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wdp" ContentType="image/vnd.ms-photo"/>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tables/table2.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pivotTables/pivotTable22.xml" ContentType="application/vnd.openxmlformats-officedocument.spreadsheetml.pivotTable+xml"/>
  <Override PartName="/xl/pivotTables/pivotTable23.xml" ContentType="application/vnd.openxmlformats-officedocument.spreadsheetml.pivotTable+xml"/>
  <Override PartName="/xl/pivotTables/pivotTable24.xml" ContentType="application/vnd.openxmlformats-officedocument.spreadsheetml.pivotTable+xml"/>
  <Override PartName="/xl/pivotTables/pivotTable25.xml" ContentType="application/vnd.openxmlformats-officedocument.spreadsheetml.pivotTable+xml"/>
  <Override PartName="/xl/pivotTables/pivotTable26.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theme/themeOverride1.xml" ContentType="application/vnd.openxmlformats-officedocument.themeOverrid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theme/themeOverride2.xml" ContentType="application/vnd.openxmlformats-officedocument.themeOverrid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3.xml" ContentType="application/vnd.openxmlformats-officedocument.drawingml.chartshapes+xml"/>
  <Override PartName="/xl/charts/chart10.xml" ContentType="application/vnd.openxmlformats-officedocument.drawingml.chart+xml"/>
  <Override PartName="/xl/charts/chart11.xml" ContentType="application/vnd.openxmlformats-officedocument.drawingml.chart+xml"/>
  <Override PartName="/xl/charts/style10.xml" ContentType="application/vnd.ms-office.chartstyle+xml"/>
  <Override PartName="/xl/charts/colors10.xml" ContentType="application/vnd.ms-office.chartcolorstyle+xml"/>
  <Override PartName="/xl/charts/chart12.xml" ContentType="application/vnd.openxmlformats-officedocument.drawingml.chart+xml"/>
  <Override PartName="/xl/charts/style11.xml" ContentType="application/vnd.ms-office.chartstyle+xml"/>
  <Override PartName="/xl/charts/colors11.xml" ContentType="application/vnd.ms-office.chartcolorstyle+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theme/themeOverride3.xml" ContentType="application/vnd.openxmlformats-officedocument.themeOverride+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charts/chart15.xml" ContentType="application/vnd.openxmlformats-officedocument.drawingml.chart+xml"/>
  <Override PartName="/xl/charts/style14.xml" ContentType="application/vnd.ms-office.chartstyle+xml"/>
  <Override PartName="/xl/charts/colors14.xml" ContentType="application/vnd.ms-office.chartcolorstyle+xml"/>
  <Override PartName="/xl/charts/chart16.xml" ContentType="application/vnd.openxmlformats-officedocument.drawingml.chart+xml"/>
  <Override PartName="/xl/charts/style15.xml" ContentType="application/vnd.ms-office.chartstyle+xml"/>
  <Override PartName="/xl/charts/colors1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830"/>
  <workbookPr codeName="ThisWorkbook" hidePivotFieldList="1" defaultThemeVersion="166925"/>
  <mc:AlternateContent xmlns:mc="http://schemas.openxmlformats.org/markup-compatibility/2006">
    <mc:Choice Requires="x15">
      <x15ac:absPath xmlns:x15ac="http://schemas.microsoft.com/office/spreadsheetml/2010/11/ac" url="D:\Kerjaan\Selesai\Dashboard Excel DL Jum'at\"/>
    </mc:Choice>
  </mc:AlternateContent>
  <xr:revisionPtr revIDLastSave="0" documentId="13_ncr:1_{5BF84DE6-6AE1-4C23-853B-FEBBD6308DAA}" xr6:coauthVersionLast="47" xr6:coauthVersionMax="47" xr10:uidLastSave="{00000000-0000-0000-0000-000000000000}"/>
  <bookViews>
    <workbookView xWindow="-110" yWindow="-110" windowWidth="19420" windowHeight="10300" activeTab="1" xr2:uid="{00000000-000D-0000-FFFF-FFFF00000000}"/>
  </bookViews>
  <sheets>
    <sheet name="Database" sheetId="1" r:id="rId1"/>
    <sheet name="Sheet2" sheetId="6" r:id="rId2"/>
    <sheet name="PivotTables" sheetId="3" r:id="rId3"/>
    <sheet name="Dashboard" sheetId="2" r:id="rId4"/>
  </sheets>
  <definedNames>
    <definedName name="Slicer_Sales_Team">#N/A</definedName>
  </definedNames>
  <calcPr calcId="191029"/>
  <pivotCaches>
    <pivotCache cacheId="0" r:id="rId5"/>
  </pivotCaches>
  <extLst>
    <ext xmlns:x14="http://schemas.microsoft.com/office/spreadsheetml/2009/9/main" uri="{BBE1A952-AA13-448e-AADC-164F8A28A991}">
      <x14:slicerCaches>
        <x14:slicerCache r:id="rId6"/>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E6" i="3" l="1"/>
  <c r="C3" i="1"/>
  <c r="DL6" i="3"/>
  <c r="DL8" i="3" s="1"/>
  <c r="DK6" i="3"/>
  <c r="DJ6" i="3"/>
  <c r="DJ7" i="3" s="1"/>
  <c r="DI6" i="3"/>
  <c r="DI7" i="3" s="1"/>
  <c r="DH6" i="3"/>
  <c r="DH8" i="3" s="1"/>
  <c r="DG6" i="3"/>
  <c r="DG8" i="3" s="1"/>
  <c r="DK8" i="3"/>
  <c r="CW6" i="3"/>
  <c r="CV6" i="3"/>
  <c r="CL6" i="3"/>
  <c r="CK6" i="3"/>
  <c r="BZ7" i="3"/>
  <c r="BZ6" i="3"/>
  <c r="BZ5" i="3"/>
  <c r="G2863" i="1"/>
  <c r="BT7" i="3"/>
  <c r="BT8" i="3"/>
  <c r="BT9" i="3"/>
  <c r="BT10" i="3"/>
  <c r="BT11" i="3"/>
  <c r="BT12" i="3"/>
  <c r="BT13" i="3"/>
  <c r="BT14" i="3"/>
  <c r="BT15" i="3"/>
  <c r="BT16" i="3"/>
  <c r="BT17" i="3"/>
  <c r="BT6" i="3"/>
  <c r="BU7" i="3"/>
  <c r="BU8" i="3"/>
  <c r="BU9" i="3"/>
  <c r="BU10" i="3"/>
  <c r="BU11" i="3"/>
  <c r="BU12" i="3"/>
  <c r="BU13" i="3"/>
  <c r="BU14" i="3"/>
  <c r="BU15" i="3"/>
  <c r="BU16" i="3"/>
  <c r="BU17" i="3"/>
  <c r="BU6" i="3"/>
  <c r="G64" i="1"/>
  <c r="G7" i="1"/>
  <c r="G24" i="1"/>
  <c r="G29" i="1"/>
  <c r="G41" i="1"/>
  <c r="G51" i="1"/>
  <c r="G52" i="1"/>
  <c r="G74" i="1"/>
  <c r="G84" i="1"/>
  <c r="G96" i="1"/>
  <c r="G109" i="1"/>
  <c r="G110" i="1"/>
  <c r="G111" i="1"/>
  <c r="G112" i="1"/>
  <c r="G113" i="1"/>
  <c r="G114" i="1"/>
  <c r="G122" i="1"/>
  <c r="G123" i="1"/>
  <c r="G141" i="1"/>
  <c r="G149" i="1"/>
  <c r="G150" i="1"/>
  <c r="G151" i="1"/>
  <c r="G174" i="1"/>
  <c r="G175" i="1"/>
  <c r="G185" i="1"/>
  <c r="G190" i="1"/>
  <c r="G191" i="1"/>
  <c r="G211" i="1"/>
  <c r="G212" i="1"/>
  <c r="G228" i="1"/>
  <c r="G241" i="1"/>
  <c r="G249" i="1"/>
  <c r="G256" i="1"/>
  <c r="G264" i="1"/>
  <c r="G265" i="1"/>
  <c r="G272" i="1"/>
  <c r="G279" i="1"/>
  <c r="G285" i="1"/>
  <c r="G286" i="1"/>
  <c r="G305" i="1"/>
  <c r="G306" i="1"/>
  <c r="G311" i="1"/>
  <c r="G325" i="1"/>
  <c r="G331" i="1"/>
  <c r="G347" i="1"/>
  <c r="G360" i="1"/>
  <c r="G368" i="1"/>
  <c r="G369" i="1"/>
  <c r="G384" i="1"/>
  <c r="G400" i="1"/>
  <c r="G401" i="1"/>
  <c r="G402" i="1"/>
  <c r="G403" i="1"/>
  <c r="G404" i="1"/>
  <c r="G409" i="1"/>
  <c r="G410" i="1"/>
  <c r="G417" i="1"/>
  <c r="G429" i="1"/>
  <c r="G430" i="1"/>
  <c r="G431" i="1"/>
  <c r="G442" i="1"/>
  <c r="G443" i="1"/>
  <c r="G444" i="1"/>
  <c r="G453" i="1"/>
  <c r="G454" i="1"/>
  <c r="G455" i="1"/>
  <c r="G476" i="1"/>
  <c r="G477" i="1"/>
  <c r="G487" i="1"/>
  <c r="G488" i="1"/>
  <c r="G512" i="1"/>
  <c r="G513" i="1"/>
  <c r="G520" i="1"/>
  <c r="G521" i="1"/>
  <c r="G528" i="1"/>
  <c r="G536" i="1"/>
  <c r="G537" i="1"/>
  <c r="G538" i="1"/>
  <c r="G539" i="1"/>
  <c r="G549" i="1"/>
  <c r="G553" i="1"/>
  <c r="G560" i="1"/>
  <c r="G561" i="1"/>
  <c r="G567" i="1"/>
  <c r="G584" i="1"/>
  <c r="G598" i="1"/>
  <c r="G599" i="1"/>
  <c r="G600" i="1"/>
  <c r="G616" i="1"/>
  <c r="G644" i="1"/>
  <c r="G662" i="1"/>
  <c r="G689" i="1"/>
  <c r="G690" i="1"/>
  <c r="G703" i="1"/>
  <c r="G704" i="1"/>
  <c r="G712" i="1"/>
  <c r="G716" i="1"/>
  <c r="G728" i="1"/>
  <c r="G729" i="1"/>
  <c r="G735" i="1"/>
  <c r="G739" i="1"/>
  <c r="G745" i="1"/>
  <c r="G755" i="1"/>
  <c r="G785" i="1"/>
  <c r="G786" i="1"/>
  <c r="G803" i="1"/>
  <c r="G804" i="1"/>
  <c r="G827" i="1"/>
  <c r="G828" i="1"/>
  <c r="G835" i="1"/>
  <c r="G836" i="1"/>
  <c r="G867" i="1"/>
  <c r="G868" i="1"/>
  <c r="G894" i="1"/>
  <c r="G899" i="1"/>
  <c r="G900" i="1"/>
  <c r="G910" i="1"/>
  <c r="G911" i="1"/>
  <c r="G917" i="1"/>
  <c r="G944" i="1"/>
  <c r="G953" i="1"/>
  <c r="G958" i="1"/>
  <c r="G966" i="1"/>
  <c r="G980" i="1"/>
  <c r="G981" i="1"/>
  <c r="G998" i="1"/>
  <c r="G1006" i="1"/>
  <c r="G1007" i="1"/>
  <c r="G1015" i="1"/>
  <c r="G1028" i="1"/>
  <c r="G1038" i="1"/>
  <c r="G1039" i="1"/>
  <c r="G1040" i="1"/>
  <c r="G1047" i="1"/>
  <c r="G1056" i="1"/>
  <c r="G1058" i="1"/>
  <c r="G1066" i="1"/>
  <c r="G1072" i="1"/>
  <c r="G1073" i="1"/>
  <c r="G1079" i="1"/>
  <c r="G1100" i="1"/>
  <c r="G1135" i="1"/>
  <c r="G1136" i="1"/>
  <c r="G1137" i="1"/>
  <c r="G1147" i="1"/>
  <c r="G1148" i="1"/>
  <c r="G1157" i="1"/>
  <c r="G1169" i="1"/>
  <c r="G1180" i="1"/>
  <c r="G1181" i="1"/>
  <c r="G1182" i="1"/>
  <c r="G1202" i="1"/>
  <c r="G1203" i="1"/>
  <c r="G1204" i="1"/>
  <c r="G1205" i="1"/>
  <c r="G1210" i="1"/>
  <c r="G1211" i="1"/>
  <c r="G1221" i="1"/>
  <c r="G1247" i="1"/>
  <c r="G1254" i="1"/>
  <c r="G1265" i="1"/>
  <c r="G1274" i="1"/>
  <c r="G1275" i="1"/>
  <c r="G1284" i="1"/>
  <c r="G1285" i="1"/>
  <c r="G1295" i="1"/>
  <c r="G1296" i="1"/>
  <c r="G1310" i="1"/>
  <c r="G1330" i="1"/>
  <c r="G1339" i="1"/>
  <c r="G1340" i="1"/>
  <c r="G1349" i="1"/>
  <c r="G1360" i="1"/>
  <c r="G1361" i="1"/>
  <c r="G1367" i="1"/>
  <c r="G1368" i="1"/>
  <c r="G1383" i="1"/>
  <c r="G1396" i="1"/>
  <c r="G1397" i="1"/>
  <c r="G1420" i="1"/>
  <c r="G1426" i="1"/>
  <c r="G1441" i="1"/>
  <c r="G1467" i="1"/>
  <c r="G1475" i="1"/>
  <c r="G1501" i="1"/>
  <c r="G1514" i="1"/>
  <c r="G1515" i="1"/>
  <c r="G1516" i="1"/>
  <c r="G1541" i="1"/>
  <c r="G1546" i="1"/>
  <c r="G1561" i="1"/>
  <c r="G1562" i="1"/>
  <c r="G1572" i="1"/>
  <c r="G1592" i="1"/>
  <c r="G1619" i="1"/>
  <c r="G1629" i="1"/>
  <c r="G1630" i="1"/>
  <c r="G1646" i="1"/>
  <c r="G1647" i="1"/>
  <c r="G1658" i="1"/>
  <c r="G1667" i="1"/>
  <c r="G1668" i="1"/>
  <c r="G1669" i="1"/>
  <c r="G1676" i="1"/>
  <c r="G1682" i="1"/>
  <c r="G1683" i="1"/>
  <c r="G1691" i="1"/>
  <c r="G1698" i="1"/>
  <c r="G1699" i="1"/>
  <c r="G1700" i="1"/>
  <c r="G1701" i="1"/>
  <c r="G1711" i="1"/>
  <c r="G1712" i="1"/>
  <c r="G1713" i="1"/>
  <c r="G1723" i="1"/>
  <c r="G1724" i="1"/>
  <c r="G1737" i="1"/>
  <c r="G1760" i="1"/>
  <c r="G1777" i="1"/>
  <c r="G1778" i="1"/>
  <c r="G1787" i="1"/>
  <c r="G1788" i="1"/>
  <c r="G1796" i="1"/>
  <c r="G1797" i="1"/>
  <c r="G1798" i="1"/>
  <c r="G1810" i="1"/>
  <c r="G1811" i="1"/>
  <c r="G1819" i="1"/>
  <c r="G1820" i="1"/>
  <c r="G1831" i="1"/>
  <c r="G1840" i="1"/>
  <c r="G1841" i="1"/>
  <c r="G1872" i="1"/>
  <c r="G1880" i="1"/>
  <c r="G1889" i="1"/>
  <c r="G1896" i="1"/>
  <c r="G1906" i="1"/>
  <c r="G1917" i="1"/>
  <c r="G1956" i="1"/>
  <c r="G1960" i="1"/>
  <c r="G1968" i="1"/>
  <c r="G1969" i="1"/>
  <c r="G1970" i="1"/>
  <c r="G1977" i="1"/>
  <c r="G1978" i="1"/>
  <c r="G1979" i="1"/>
  <c r="G1982" i="1"/>
  <c r="G1983" i="1"/>
  <c r="G1984" i="1"/>
  <c r="G1992" i="1"/>
  <c r="G1993" i="1"/>
  <c r="G2009" i="1"/>
  <c r="G2017" i="1"/>
  <c r="G2026" i="1"/>
  <c r="G2027" i="1"/>
  <c r="G2037" i="1"/>
  <c r="G2038" i="1"/>
  <c r="G2041" i="1"/>
  <c r="G2042" i="1"/>
  <c r="G2043" i="1"/>
  <c r="G2044" i="1"/>
  <c r="G2054" i="1"/>
  <c r="G2057" i="1"/>
  <c r="G2068" i="1"/>
  <c r="G2075" i="1"/>
  <c r="G2093" i="1"/>
  <c r="G2094" i="1"/>
  <c r="G2099" i="1"/>
  <c r="G2108" i="1"/>
  <c r="G2109" i="1"/>
  <c r="G2110" i="1"/>
  <c r="G2111" i="1"/>
  <c r="G2119" i="1"/>
  <c r="G2120" i="1"/>
  <c r="G2129" i="1"/>
  <c r="G2130" i="1"/>
  <c r="G2137" i="1"/>
  <c r="G2149" i="1"/>
  <c r="G2160" i="1"/>
  <c r="G2163" i="1"/>
  <c r="G2164" i="1"/>
  <c r="G2170" i="1"/>
  <c r="G2175" i="1"/>
  <c r="G2176" i="1"/>
  <c r="G2177" i="1"/>
  <c r="G2178" i="1"/>
  <c r="G2196" i="1"/>
  <c r="G2197" i="1"/>
  <c r="G2198" i="1"/>
  <c r="G2206" i="1"/>
  <c r="G2217" i="1"/>
  <c r="G2227" i="1"/>
  <c r="G2257" i="1"/>
  <c r="G2258" i="1"/>
  <c r="G2284" i="1"/>
  <c r="G2285" i="1"/>
  <c r="G2299" i="1"/>
  <c r="G2314" i="1"/>
  <c r="G2324" i="1"/>
  <c r="G2341" i="1"/>
  <c r="G2382" i="1"/>
  <c r="G2383" i="1"/>
  <c r="G2399" i="1"/>
  <c r="G2416" i="1"/>
  <c r="G2417" i="1"/>
  <c r="G2418" i="1"/>
  <c r="G2424" i="1"/>
  <c r="G2425" i="1"/>
  <c r="G2448" i="1"/>
  <c r="G2449" i="1"/>
  <c r="G2459" i="1"/>
  <c r="G2460" i="1"/>
  <c r="G2465" i="1"/>
  <c r="G2478" i="1"/>
  <c r="G2485" i="1"/>
  <c r="G2489" i="1"/>
  <c r="G2499" i="1"/>
  <c r="G2505" i="1"/>
  <c r="G2506" i="1"/>
  <c r="G2512" i="1"/>
  <c r="G2524" i="1"/>
  <c r="G2525" i="1"/>
  <c r="G2532" i="1"/>
  <c r="G2562" i="1"/>
  <c r="G2563" i="1"/>
  <c r="G2564" i="1"/>
  <c r="G2565" i="1"/>
  <c r="G2566" i="1"/>
  <c r="G2571" i="1"/>
  <c r="G2572" i="1"/>
  <c r="G2580" i="1"/>
  <c r="G2611" i="1"/>
  <c r="G2623" i="1"/>
  <c r="G2624" i="1"/>
  <c r="G2637" i="1"/>
  <c r="G2651" i="1"/>
  <c r="G2652" i="1"/>
  <c r="G2658" i="1"/>
  <c r="G2659" i="1"/>
  <c r="G2667" i="1"/>
  <c r="G2668" i="1"/>
  <c r="G2669" i="1"/>
  <c r="G2679" i="1"/>
  <c r="G2687" i="1"/>
  <c r="G2688" i="1"/>
  <c r="G2689" i="1"/>
  <c r="G2696" i="1"/>
  <c r="G2704" i="1"/>
  <c r="G2711" i="1"/>
  <c r="G2712" i="1"/>
  <c r="G2713" i="1"/>
  <c r="G2714" i="1"/>
  <c r="G2722" i="1"/>
  <c r="G2723" i="1"/>
  <c r="G2724" i="1"/>
  <c r="G2729" i="1"/>
  <c r="G2730" i="1"/>
  <c r="G2740" i="1"/>
  <c r="G2762" i="1"/>
  <c r="G2763" i="1"/>
  <c r="G2764" i="1"/>
  <c r="G2776" i="1"/>
  <c r="G2798" i="1"/>
  <c r="G2799" i="1"/>
  <c r="G2800" i="1"/>
  <c r="G2801" i="1"/>
  <c r="G2811" i="1"/>
  <c r="G2817" i="1"/>
  <c r="G2818" i="1"/>
  <c r="G2828" i="1"/>
  <c r="G2829" i="1"/>
  <c r="G2839" i="1"/>
  <c r="G2848" i="1"/>
  <c r="G2849" i="1"/>
  <c r="G2856" i="1"/>
  <c r="G2857" i="1"/>
  <c r="G2864" i="1"/>
  <c r="G2865" i="1"/>
  <c r="G2866" i="1"/>
  <c r="G2875" i="1"/>
  <c r="G2876" i="1"/>
  <c r="G2885" i="1"/>
  <c r="G2889" i="1"/>
  <c r="G2890" i="1"/>
  <c r="G2909" i="1"/>
  <c r="G2910" i="1"/>
  <c r="G2911" i="1"/>
  <c r="G2929" i="1"/>
  <c r="G2930" i="1"/>
  <c r="G2931" i="1"/>
  <c r="G2937" i="1"/>
  <c r="G2938" i="1"/>
  <c r="G2946" i="1"/>
  <c r="G2947" i="1"/>
  <c r="G2959" i="1"/>
  <c r="G2967" i="1"/>
  <c r="G2982" i="1"/>
  <c r="G2983" i="1"/>
  <c r="G2994" i="1"/>
  <c r="G3006" i="1"/>
  <c r="G3018" i="1"/>
  <c r="G3025" i="1"/>
  <c r="G3030" i="1"/>
  <c r="G3031" i="1"/>
  <c r="G3032" i="1"/>
  <c r="G3040" i="1"/>
  <c r="G3052" i="1"/>
  <c r="G3053" i="1"/>
  <c r="G3059" i="1"/>
  <c r="G3060" i="1"/>
  <c r="G3066" i="1"/>
  <c r="G3078" i="1"/>
  <c r="G3079" i="1"/>
  <c r="G3083" i="1"/>
  <c r="G3084" i="1"/>
  <c r="G3091" i="1"/>
  <c r="G3092" i="1"/>
  <c r="G3102" i="1"/>
  <c r="G3103" i="1"/>
  <c r="G3123" i="1"/>
  <c r="G8" i="1"/>
  <c r="G9" i="1"/>
  <c r="G25" i="1"/>
  <c r="G30" i="1"/>
  <c r="G31" i="1"/>
  <c r="G42" i="1"/>
  <c r="G53" i="1"/>
  <c r="G54" i="1"/>
  <c r="G75" i="1"/>
  <c r="G76" i="1"/>
  <c r="G85" i="1"/>
  <c r="G86" i="1"/>
  <c r="G87" i="1"/>
  <c r="G115" i="1"/>
  <c r="G124" i="1"/>
  <c r="G125" i="1"/>
  <c r="G126" i="1"/>
  <c r="G127" i="1"/>
  <c r="G131" i="1"/>
  <c r="G142" i="1"/>
  <c r="G152" i="1"/>
  <c r="G169" i="1"/>
  <c r="G176" i="1"/>
  <c r="G192" i="1"/>
  <c r="G193" i="1"/>
  <c r="G202" i="1"/>
  <c r="G213" i="1"/>
  <c r="G220" i="1"/>
  <c r="G229" i="1"/>
  <c r="G234" i="1"/>
  <c r="G242" i="1"/>
  <c r="G266" i="1"/>
  <c r="G287" i="1"/>
  <c r="G288" i="1"/>
  <c r="G289" i="1"/>
  <c r="G296" i="1"/>
  <c r="G297" i="1"/>
  <c r="G307" i="1"/>
  <c r="G312" i="1"/>
  <c r="G316" i="1"/>
  <c r="G317" i="1"/>
  <c r="G326" i="1"/>
  <c r="G348" i="1"/>
  <c r="G349" i="1"/>
  <c r="G350" i="1"/>
  <c r="G361" i="1"/>
  <c r="G370" i="1"/>
  <c r="G371" i="1"/>
  <c r="G377" i="1"/>
  <c r="G378" i="1"/>
  <c r="G379" i="1"/>
  <c r="G385" i="1"/>
  <c r="G391" i="1"/>
  <c r="G411" i="1"/>
  <c r="G445" i="1"/>
  <c r="G463" i="1"/>
  <c r="G464" i="1"/>
  <c r="G478" i="1"/>
  <c r="G529" i="1"/>
  <c r="G540" i="1"/>
  <c r="G541" i="1"/>
  <c r="G554" i="1"/>
  <c r="G562" i="1"/>
  <c r="G568" i="1"/>
  <c r="G575" i="1"/>
  <c r="G576" i="1"/>
  <c r="G581" i="1"/>
  <c r="G585" i="1"/>
  <c r="G601" i="1"/>
  <c r="G602" i="1"/>
  <c r="G605" i="1"/>
  <c r="G623" i="1"/>
  <c r="G631" i="1"/>
  <c r="G638" i="1"/>
  <c r="G639" i="1"/>
  <c r="G645" i="1"/>
  <c r="G663" i="1"/>
  <c r="G664" i="1"/>
  <c r="G672" i="1"/>
  <c r="G681" i="1"/>
  <c r="G682" i="1"/>
  <c r="G683" i="1"/>
  <c r="G691" i="1"/>
  <c r="G705" i="1"/>
  <c r="G717" i="1"/>
  <c r="G730" i="1"/>
  <c r="G736" i="1"/>
  <c r="G740" i="1"/>
  <c r="G746" i="1"/>
  <c r="G756" i="1"/>
  <c r="G768" i="1"/>
  <c r="G769" i="1"/>
  <c r="G778" i="1"/>
  <c r="G779" i="1"/>
  <c r="G787" i="1"/>
  <c r="G805" i="1"/>
  <c r="G806" i="1"/>
  <c r="G807" i="1"/>
  <c r="G815" i="1"/>
  <c r="G845" i="1"/>
  <c r="G846" i="1"/>
  <c r="G847" i="1"/>
  <c r="G861" i="1"/>
  <c r="G869" i="1"/>
  <c r="G886" i="1"/>
  <c r="G895" i="1"/>
  <c r="G901" i="1"/>
  <c r="G902" i="1"/>
  <c r="G922" i="1"/>
  <c r="G923" i="1"/>
  <c r="G930" i="1"/>
  <c r="G939" i="1"/>
  <c r="G945" i="1"/>
  <c r="G954" i="1"/>
  <c r="G955" i="1"/>
  <c r="G959" i="1"/>
  <c r="G967" i="1"/>
  <c r="G968" i="1"/>
  <c r="G982" i="1"/>
  <c r="G987" i="1"/>
  <c r="G999" i="1"/>
  <c r="G1016" i="1"/>
  <c r="G1017" i="1"/>
  <c r="G1029" i="1"/>
  <c r="G1030" i="1"/>
  <c r="G1059" i="1"/>
  <c r="G1067" i="1"/>
  <c r="G1074" i="1"/>
  <c r="G1075" i="1"/>
  <c r="G1080" i="1"/>
  <c r="G1084" i="1"/>
  <c r="G1085" i="1"/>
  <c r="G1086" i="1"/>
  <c r="G1087" i="1"/>
  <c r="G1092" i="1"/>
  <c r="G1101" i="1"/>
  <c r="G1113" i="1"/>
  <c r="G1120" i="1"/>
  <c r="G1121" i="1"/>
  <c r="G1122" i="1"/>
  <c r="G1158" i="1"/>
  <c r="G1159" i="1"/>
  <c r="G1160" i="1"/>
  <c r="G1161" i="1"/>
  <c r="G1170" i="1"/>
  <c r="G1171" i="1"/>
  <c r="G1183" i="1"/>
  <c r="G1184" i="1"/>
  <c r="G1206" i="1"/>
  <c r="G1212" i="1"/>
  <c r="G1213" i="1"/>
  <c r="G1214" i="1"/>
  <c r="G1215" i="1"/>
  <c r="G1216" i="1"/>
  <c r="G1222" i="1"/>
  <c r="G1223" i="1"/>
  <c r="G1224" i="1"/>
  <c r="G1230" i="1"/>
  <c r="G1240" i="1"/>
  <c r="G1255" i="1"/>
  <c r="G1256" i="1"/>
  <c r="G1257" i="1"/>
  <c r="G1266" i="1"/>
  <c r="G1267" i="1"/>
  <c r="G1268" i="1"/>
  <c r="G1276" i="1"/>
  <c r="G1286" i="1"/>
  <c r="G1297" i="1"/>
  <c r="G1298" i="1"/>
  <c r="G1311" i="1"/>
  <c r="G1312" i="1"/>
  <c r="G1331" i="1"/>
  <c r="G1341" i="1"/>
  <c r="G1342" i="1"/>
  <c r="G1343" i="1"/>
  <c r="G1350" i="1"/>
  <c r="G1362" i="1"/>
  <c r="G1388" i="1"/>
  <c r="G1398" i="1"/>
  <c r="G1399" i="1"/>
  <c r="G1400" i="1"/>
  <c r="G1413" i="1"/>
  <c r="G1414" i="1"/>
  <c r="G1421" i="1"/>
  <c r="G1427" i="1"/>
  <c r="G1435" i="1"/>
  <c r="G1442" i="1"/>
  <c r="G1443" i="1"/>
  <c r="G1451" i="1"/>
  <c r="G1452" i="1"/>
  <c r="G1468" i="1"/>
  <c r="G1469" i="1"/>
  <c r="G1476" i="1"/>
  <c r="G1485" i="1"/>
  <c r="G1492" i="1"/>
  <c r="G1493" i="1"/>
  <c r="G1506" i="1"/>
  <c r="G1523" i="1"/>
  <c r="G1524" i="1"/>
  <c r="G1525" i="1"/>
  <c r="G1533" i="1"/>
  <c r="G1555" i="1"/>
  <c r="G1556" i="1"/>
  <c r="G1579" i="1"/>
  <c r="G1593" i="1"/>
  <c r="G1594" i="1"/>
  <c r="G1599" i="1"/>
  <c r="G1610" i="1"/>
  <c r="G1611" i="1"/>
  <c r="G1620" i="1"/>
  <c r="G1631" i="1"/>
  <c r="G1639" i="1"/>
  <c r="G1640" i="1"/>
  <c r="G1670" i="1"/>
  <c r="G1677" i="1"/>
  <c r="G1684" i="1"/>
  <c r="G1692" i="1"/>
  <c r="G1714" i="1"/>
  <c r="G1715" i="1"/>
  <c r="G1725" i="1"/>
  <c r="G1745" i="1"/>
  <c r="G1746" i="1"/>
  <c r="G1747" i="1"/>
  <c r="G1754" i="1"/>
  <c r="G1755" i="1"/>
  <c r="G1762" i="1"/>
  <c r="G1763" i="1"/>
  <c r="G1764" i="1"/>
  <c r="G1779" i="1"/>
  <c r="G1799" i="1"/>
  <c r="G1805" i="1"/>
  <c r="G1806" i="1"/>
  <c r="G1812" i="1"/>
  <c r="G1847" i="1"/>
  <c r="G1856" i="1"/>
  <c r="G1857" i="1"/>
  <c r="G1867" i="1"/>
  <c r="G1907" i="1"/>
  <c r="G1908" i="1"/>
  <c r="G1918" i="1"/>
  <c r="G1919" i="1"/>
  <c r="G1929" i="1"/>
  <c r="G1947" i="1"/>
  <c r="G1948" i="1"/>
  <c r="G1957" i="1"/>
  <c r="G1961" i="1"/>
  <c r="G1971" i="1"/>
  <c r="G1972" i="1"/>
  <c r="G1994" i="1"/>
  <c r="G1995" i="1"/>
  <c r="G1996" i="1"/>
  <c r="G1997" i="1"/>
  <c r="G2010" i="1"/>
  <c r="G2011" i="1"/>
  <c r="G2028" i="1"/>
  <c r="G2029" i="1"/>
  <c r="G2030" i="1"/>
  <c r="G2045" i="1"/>
  <c r="G2046" i="1"/>
  <c r="G2058" i="1"/>
  <c r="G2069" i="1"/>
  <c r="G2100" i="1"/>
  <c r="G2101" i="1"/>
  <c r="G2112" i="1"/>
  <c r="G2121" i="1"/>
  <c r="G2122" i="1"/>
  <c r="G2123" i="1"/>
  <c r="G2138" i="1"/>
  <c r="G2139" i="1"/>
  <c r="G2150" i="1"/>
  <c r="G2151" i="1"/>
  <c r="G2171" i="1"/>
  <c r="G2179" i="1"/>
  <c r="G2180" i="1"/>
  <c r="G2218" i="1"/>
  <c r="G2259" i="1"/>
  <c r="G2273" i="1"/>
  <c r="G2300" i="1"/>
  <c r="G2301" i="1"/>
  <c r="G2302" i="1"/>
  <c r="G2315" i="1"/>
  <c r="G2325" i="1"/>
  <c r="G2331" i="1"/>
  <c r="G2342" i="1"/>
  <c r="G2343" i="1"/>
  <c r="G2351" i="1"/>
  <c r="G2352" i="1"/>
  <c r="G2353" i="1"/>
  <c r="G2361" i="1"/>
  <c r="G2372" i="1"/>
  <c r="G2373" i="1"/>
  <c r="G2374" i="1"/>
  <c r="G2384" i="1"/>
  <c r="G2385" i="1"/>
  <c r="G2386" i="1"/>
  <c r="G2390" i="1"/>
  <c r="G2400" i="1"/>
  <c r="G2406" i="1"/>
  <c r="G2419" i="1"/>
  <c r="G2426" i="1"/>
  <c r="G2427" i="1"/>
  <c r="G2428" i="1"/>
  <c r="G2438" i="1"/>
  <c r="G2479" i="1"/>
  <c r="G2486" i="1"/>
  <c r="G2490" i="1"/>
  <c r="G2513" i="1"/>
  <c r="G2514" i="1"/>
  <c r="G2533" i="1"/>
  <c r="G2534" i="1"/>
  <c r="G2535" i="1"/>
  <c r="G2551" i="1"/>
  <c r="G2552" i="1"/>
  <c r="G2553" i="1"/>
  <c r="G2567" i="1"/>
  <c r="G2581" i="1"/>
  <c r="G2589" i="1"/>
  <c r="G2590" i="1"/>
  <c r="G2597" i="1"/>
  <c r="G2598" i="1"/>
  <c r="G2625" i="1"/>
  <c r="G2660" i="1"/>
  <c r="G2661" i="1"/>
  <c r="G2670" i="1"/>
  <c r="G2680" i="1"/>
  <c r="G2690" i="1"/>
  <c r="G2691" i="1"/>
  <c r="G2705" i="1"/>
  <c r="G2715" i="1"/>
  <c r="G2716" i="1"/>
  <c r="G2731" i="1"/>
  <c r="G2747" i="1"/>
  <c r="G2748" i="1"/>
  <c r="G2765" i="1"/>
  <c r="G2777" i="1"/>
  <c r="G2778" i="1"/>
  <c r="G2802" i="1"/>
  <c r="G2819" i="1"/>
  <c r="G2830" i="1"/>
  <c r="G2840" i="1"/>
  <c r="G2850" i="1"/>
  <c r="G2858" i="1"/>
  <c r="G2867" i="1"/>
  <c r="G2891" i="1"/>
  <c r="G2892" i="1"/>
  <c r="G2920" i="1"/>
  <c r="G2932" i="1"/>
  <c r="G2939" i="1"/>
  <c r="G2940" i="1"/>
  <c r="G2948" i="1"/>
  <c r="G2949" i="1"/>
  <c r="G2973" i="1"/>
  <c r="G2984" i="1"/>
  <c r="G2985" i="1"/>
  <c r="G2986" i="1"/>
  <c r="G2987" i="1"/>
  <c r="G2995" i="1"/>
  <c r="G3007" i="1"/>
  <c r="G3019" i="1"/>
  <c r="G3020" i="1"/>
  <c r="G3026" i="1"/>
  <c r="G3033" i="1"/>
  <c r="G3034" i="1"/>
  <c r="G3035" i="1"/>
  <c r="G3041" i="1"/>
  <c r="G3042" i="1"/>
  <c r="G3043" i="1"/>
  <c r="G3054" i="1"/>
  <c r="G3061" i="1"/>
  <c r="G3067" i="1"/>
  <c r="G3085" i="1"/>
  <c r="G3104" i="1"/>
  <c r="G3115" i="1"/>
  <c r="G15" i="1"/>
  <c r="G32" i="1"/>
  <c r="G43" i="1"/>
  <c r="G44" i="1"/>
  <c r="G55" i="1"/>
  <c r="G56" i="1"/>
  <c r="G65" i="1"/>
  <c r="G66" i="1"/>
  <c r="G77" i="1"/>
  <c r="G88" i="1"/>
  <c r="G89" i="1"/>
  <c r="G97" i="1"/>
  <c r="G98" i="1"/>
  <c r="G99" i="1"/>
  <c r="G116" i="1"/>
  <c r="G132" i="1"/>
  <c r="G153" i="1"/>
  <c r="G154" i="1"/>
  <c r="G155" i="1"/>
  <c r="G160" i="1"/>
  <c r="G177" i="1"/>
  <c r="G178" i="1"/>
  <c r="G186" i="1"/>
  <c r="G187" i="1"/>
  <c r="G194" i="1"/>
  <c r="G214" i="1"/>
  <c r="G230" i="1"/>
  <c r="G235" i="1"/>
  <c r="G243" i="1"/>
  <c r="G250" i="1"/>
  <c r="G257" i="1"/>
  <c r="G267" i="1"/>
  <c r="G273" i="1"/>
  <c r="G298" i="1"/>
  <c r="G299" i="1"/>
  <c r="G313" i="1"/>
  <c r="G314" i="1"/>
  <c r="G318" i="1"/>
  <c r="G319" i="1"/>
  <c r="G332" i="1"/>
  <c r="G333" i="1"/>
  <c r="G337" i="1"/>
  <c r="G351" i="1"/>
  <c r="G362" i="1"/>
  <c r="G363" i="1"/>
  <c r="G372" i="1"/>
  <c r="G386" i="1"/>
  <c r="G405" i="1"/>
  <c r="G406" i="1"/>
  <c r="G418" i="1"/>
  <c r="G419" i="1"/>
  <c r="G420" i="1"/>
  <c r="G432" i="1"/>
  <c r="G446" i="1"/>
  <c r="G465" i="1"/>
  <c r="G466" i="1"/>
  <c r="G467" i="1"/>
  <c r="G479" i="1"/>
  <c r="G489" i="1"/>
  <c r="G490" i="1"/>
  <c r="G491" i="1"/>
  <c r="G498" i="1"/>
  <c r="G499" i="1"/>
  <c r="G514" i="1"/>
  <c r="G515" i="1"/>
  <c r="G522" i="1"/>
  <c r="G530" i="1"/>
  <c r="G531" i="1"/>
  <c r="G542" i="1"/>
  <c r="G550" i="1"/>
  <c r="G551" i="1"/>
  <c r="G563" i="1"/>
  <c r="G569" i="1"/>
  <c r="G577" i="1"/>
  <c r="G578" i="1"/>
  <c r="G582" i="1"/>
  <c r="G586" i="1"/>
  <c r="G587" i="1"/>
  <c r="G603" i="1"/>
  <c r="G606" i="1"/>
  <c r="G632" i="1"/>
  <c r="G633" i="1"/>
  <c r="G640" i="1"/>
  <c r="G646" i="1"/>
  <c r="G656" i="1"/>
  <c r="G688" i="1"/>
  <c r="G692" i="1"/>
  <c r="G718" i="1"/>
  <c r="G731" i="1"/>
  <c r="G747" i="1"/>
  <c r="G757" i="1"/>
  <c r="G758" i="1"/>
  <c r="G759" i="1"/>
  <c r="G788" i="1"/>
  <c r="G808" i="1"/>
  <c r="G809" i="1"/>
  <c r="G816" i="1"/>
  <c r="G862" i="1"/>
  <c r="G870" i="1"/>
  <c r="G877" i="1"/>
  <c r="G878" i="1"/>
  <c r="G887" i="1"/>
  <c r="G912" i="1"/>
  <c r="G913" i="1"/>
  <c r="G924" i="1"/>
  <c r="G931" i="1"/>
  <c r="G946" i="1"/>
  <c r="G947" i="1"/>
  <c r="G956" i="1"/>
  <c r="G988" i="1"/>
  <c r="G989" i="1"/>
  <c r="G1018" i="1"/>
  <c r="G1031" i="1"/>
  <c r="G1048" i="1"/>
  <c r="G1068" i="1"/>
  <c r="G1076" i="1"/>
  <c r="G1088" i="1"/>
  <c r="G1102" i="1"/>
  <c r="G1103" i="1"/>
  <c r="G1131" i="1"/>
  <c r="G1138" i="1"/>
  <c r="G1149" i="1"/>
  <c r="G1162" i="1"/>
  <c r="G1172" i="1"/>
  <c r="G1192" i="1"/>
  <c r="G1196" i="1"/>
  <c r="G1207" i="1"/>
  <c r="G1241" i="1"/>
  <c r="G1269" i="1"/>
  <c r="G1277" i="1"/>
  <c r="G1278" i="1"/>
  <c r="G1287" i="1"/>
  <c r="G1288" i="1"/>
  <c r="G1289" i="1"/>
  <c r="G1290" i="1"/>
  <c r="G1291" i="1"/>
  <c r="G1292" i="1"/>
  <c r="G1299" i="1"/>
  <c r="G1300" i="1"/>
  <c r="G1313" i="1"/>
  <c r="G1324" i="1"/>
  <c r="G1344" i="1"/>
  <c r="G1351" i="1"/>
  <c r="G1352" i="1"/>
  <c r="G1353" i="1"/>
  <c r="G1369" i="1"/>
  <c r="G1370" i="1"/>
  <c r="G1384" i="1"/>
  <c r="G1385" i="1"/>
  <c r="G1389" i="1"/>
  <c r="G1390" i="1"/>
  <c r="G1401" i="1"/>
  <c r="G1402" i="1"/>
  <c r="G1407" i="1"/>
  <c r="G1408" i="1"/>
  <c r="G1428" i="1"/>
  <c r="G1429" i="1"/>
  <c r="G1430" i="1"/>
  <c r="G1431" i="1"/>
  <c r="G1453" i="1"/>
  <c r="G1460" i="1"/>
  <c r="G1477" i="1"/>
  <c r="G1486" i="1"/>
  <c r="G1494" i="1"/>
  <c r="G1502" i="1"/>
  <c r="G1503" i="1"/>
  <c r="G1507" i="1"/>
  <c r="G1508" i="1"/>
  <c r="G1509" i="1"/>
  <c r="G1526" i="1"/>
  <c r="G1527" i="1"/>
  <c r="G1547" i="1"/>
  <c r="G1548" i="1"/>
  <c r="G1563" i="1"/>
  <c r="G1564" i="1"/>
  <c r="G1580" i="1"/>
  <c r="G1581" i="1"/>
  <c r="G1595" i="1"/>
  <c r="G1596" i="1"/>
  <c r="G1597" i="1"/>
  <c r="G1600" i="1"/>
  <c r="G1621" i="1"/>
  <c r="G1632" i="1"/>
  <c r="G1633" i="1"/>
  <c r="G1641" i="1"/>
  <c r="G1648" i="1"/>
  <c r="G1649" i="1"/>
  <c r="G1650" i="1"/>
  <c r="G1671" i="1"/>
  <c r="G1693" i="1"/>
  <c r="G1702" i="1"/>
  <c r="G1703" i="1"/>
  <c r="G1716" i="1"/>
  <c r="G1726" i="1"/>
  <c r="G1727" i="1"/>
  <c r="G1738" i="1"/>
  <c r="G1739" i="1"/>
  <c r="G1740" i="1"/>
  <c r="G1748" i="1"/>
  <c r="G1756" i="1"/>
  <c r="G1765" i="1"/>
  <c r="G1780" i="1"/>
  <c r="G1813" i="1"/>
  <c r="G1814" i="1"/>
  <c r="G1821" i="1"/>
  <c r="G1822" i="1"/>
  <c r="G1823" i="1"/>
  <c r="G1832" i="1"/>
  <c r="G1836" i="1"/>
  <c r="G1848" i="1"/>
  <c r="G1849" i="1"/>
  <c r="G1868" i="1"/>
  <c r="G1869" i="1"/>
  <c r="G1873" i="1"/>
  <c r="G1874" i="1"/>
  <c r="G1875" i="1"/>
  <c r="G1881" i="1"/>
  <c r="G1890" i="1"/>
  <c r="G1897" i="1"/>
  <c r="G1903" i="1"/>
  <c r="G1909" i="1"/>
  <c r="G1920" i="1"/>
  <c r="G1921" i="1"/>
  <c r="G1922" i="1"/>
  <c r="G1930" i="1"/>
  <c r="G1958" i="1"/>
  <c r="G1962" i="1"/>
  <c r="G1998" i="1"/>
  <c r="G1999" i="1"/>
  <c r="G2039" i="1"/>
  <c r="G2055" i="1"/>
  <c r="G2059" i="1"/>
  <c r="G2060" i="1"/>
  <c r="G2076" i="1"/>
  <c r="G2077" i="1"/>
  <c r="G2087" i="1"/>
  <c r="G2095" i="1"/>
  <c r="G2113" i="1"/>
  <c r="G2114" i="1"/>
  <c r="G2124" i="1"/>
  <c r="G2125" i="1"/>
  <c r="G2131" i="1"/>
  <c r="G2140" i="1"/>
  <c r="G2152" i="1"/>
  <c r="G2156" i="1"/>
  <c r="G2181" i="1"/>
  <c r="G2182" i="1"/>
  <c r="G2187" i="1"/>
  <c r="G2188" i="1"/>
  <c r="G2207" i="1"/>
  <c r="G2208" i="1"/>
  <c r="G2246" i="1"/>
  <c r="G2274" i="1"/>
  <c r="G2275" i="1"/>
  <c r="G2276" i="1"/>
  <c r="G2286" i="1"/>
  <c r="G2289" i="1"/>
  <c r="G2303" i="1"/>
  <c r="G2304" i="1"/>
  <c r="G2305" i="1"/>
  <c r="G2306" i="1"/>
  <c r="G2307" i="1"/>
  <c r="G2309" i="1"/>
  <c r="G2316" i="1"/>
  <c r="G2317" i="1"/>
  <c r="G2326" i="1"/>
  <c r="G2336" i="1"/>
  <c r="G2344" i="1"/>
  <c r="G2354" i="1"/>
  <c r="G2362" i="1"/>
  <c r="G2363" i="1"/>
  <c r="G2364" i="1"/>
  <c r="G2387" i="1"/>
  <c r="G2401" i="1"/>
  <c r="G2402" i="1"/>
  <c r="G2407" i="1"/>
  <c r="G2408" i="1"/>
  <c r="G2420" i="1"/>
  <c r="G2421" i="1"/>
  <c r="G2429" i="1"/>
  <c r="G2439" i="1"/>
  <c r="G2440" i="1"/>
  <c r="G2450" i="1"/>
  <c r="G2451" i="1"/>
  <c r="G2466" i="1"/>
  <c r="G2467" i="1"/>
  <c r="G2480" i="1"/>
  <c r="G2500" i="1"/>
  <c r="G2507" i="1"/>
  <c r="G2515" i="1"/>
  <c r="G2536" i="1"/>
  <c r="G2537" i="1"/>
  <c r="G2538" i="1"/>
  <c r="G2539" i="1"/>
  <c r="G2554" i="1"/>
  <c r="G2568" i="1"/>
  <c r="G2573" i="1"/>
  <c r="G2582" i="1"/>
  <c r="G2591" i="1"/>
  <c r="G2592" i="1"/>
  <c r="G2593" i="1"/>
  <c r="G2599" i="1"/>
  <c r="G2612" i="1"/>
  <c r="G2613" i="1"/>
  <c r="G2643" i="1"/>
  <c r="G2671" i="1"/>
  <c r="G2681" i="1"/>
  <c r="G2697" i="1"/>
  <c r="G2698" i="1"/>
  <c r="G2699" i="1"/>
  <c r="G2706" i="1"/>
  <c r="G2707" i="1"/>
  <c r="G2708" i="1"/>
  <c r="G2725" i="1"/>
  <c r="G2732" i="1"/>
  <c r="G2733" i="1"/>
  <c r="G2734" i="1"/>
  <c r="G2741" i="1"/>
  <c r="G2742" i="1"/>
  <c r="G2749" i="1"/>
  <c r="G2783" i="1"/>
  <c r="G2784" i="1"/>
  <c r="G2785" i="1"/>
  <c r="G2791" i="1"/>
  <c r="G2803" i="1"/>
  <c r="G2812" i="1"/>
  <c r="G2820" i="1"/>
  <c r="G2821" i="1"/>
  <c r="G2822" i="1"/>
  <c r="G2831" i="1"/>
  <c r="G2832" i="1"/>
  <c r="G2833" i="1"/>
  <c r="G2841" i="1"/>
  <c r="G2868" i="1"/>
  <c r="G2869" i="1"/>
  <c r="G2870" i="1"/>
  <c r="G2877" i="1"/>
  <c r="G2886" i="1"/>
  <c r="G2901" i="1"/>
  <c r="G2906" i="1"/>
  <c r="G2912" i="1"/>
  <c r="G2921" i="1"/>
  <c r="G2941" i="1"/>
  <c r="G2950" i="1"/>
  <c r="G2951" i="1"/>
  <c r="G2960" i="1"/>
  <c r="G2961" i="1"/>
  <c r="G2968" i="1"/>
  <c r="G2969" i="1"/>
  <c r="G2974" i="1"/>
  <c r="G2975" i="1"/>
  <c r="G2976" i="1"/>
  <c r="G2996" i="1"/>
  <c r="G3000" i="1"/>
  <c r="G3008" i="1"/>
  <c r="G3009" i="1"/>
  <c r="G3036" i="1"/>
  <c r="G3044" i="1"/>
  <c r="G3062" i="1"/>
  <c r="G3063" i="1"/>
  <c r="G3068" i="1"/>
  <c r="G3069" i="1"/>
  <c r="G3086" i="1"/>
  <c r="G3105" i="1"/>
  <c r="G3116" i="1"/>
  <c r="G3117" i="1"/>
  <c r="G3124" i="1"/>
  <c r="G10" i="1"/>
  <c r="G16" i="1"/>
  <c r="G17" i="1"/>
  <c r="G18" i="1"/>
  <c r="G26" i="1"/>
  <c r="G33" i="1"/>
  <c r="G45" i="1"/>
  <c r="G46" i="1"/>
  <c r="G47" i="1"/>
  <c r="G78" i="1"/>
  <c r="G79" i="1"/>
  <c r="G90" i="1"/>
  <c r="G100" i="1"/>
  <c r="G117" i="1"/>
  <c r="G118" i="1"/>
  <c r="G133" i="1"/>
  <c r="G134" i="1"/>
  <c r="G143" i="1"/>
  <c r="G144" i="1"/>
  <c r="G156" i="1"/>
  <c r="G161" i="1"/>
  <c r="G179" i="1"/>
  <c r="G195" i="1"/>
  <c r="G196" i="1"/>
  <c r="G203" i="1"/>
  <c r="G221" i="1"/>
  <c r="G231" i="1"/>
  <c r="G232" i="1"/>
  <c r="G236" i="1"/>
  <c r="G237" i="1"/>
  <c r="G238" i="1"/>
  <c r="G244" i="1"/>
  <c r="G245" i="1"/>
  <c r="G251" i="1"/>
  <c r="G252" i="1"/>
  <c r="G253" i="1"/>
  <c r="G258" i="1"/>
  <c r="G268" i="1"/>
  <c r="G274" i="1"/>
  <c r="G275" i="1"/>
  <c r="G280" i="1"/>
  <c r="G281" i="1"/>
  <c r="G300" i="1"/>
  <c r="G308" i="1"/>
  <c r="G320" i="1"/>
  <c r="G327" i="1"/>
  <c r="G338" i="1"/>
  <c r="G339" i="1"/>
  <c r="G352" i="1"/>
  <c r="G353" i="1"/>
  <c r="G380" i="1"/>
  <c r="G387" i="1"/>
  <c r="G388" i="1"/>
  <c r="G389" i="1"/>
  <c r="G392" i="1"/>
  <c r="G412" i="1"/>
  <c r="G421" i="1"/>
  <c r="G433" i="1"/>
  <c r="G447" i="1"/>
  <c r="G448" i="1"/>
  <c r="G449" i="1"/>
  <c r="G456" i="1"/>
  <c r="G457" i="1"/>
  <c r="G458" i="1"/>
  <c r="G468" i="1"/>
  <c r="G469" i="1"/>
  <c r="G480" i="1"/>
  <c r="G481" i="1"/>
  <c r="G492" i="1"/>
  <c r="G500" i="1"/>
  <c r="G501" i="1"/>
  <c r="G502" i="1"/>
  <c r="G503" i="1"/>
  <c r="G555" i="1"/>
  <c r="G556" i="1"/>
  <c r="G564" i="1"/>
  <c r="G579" i="1"/>
  <c r="G583" i="1"/>
  <c r="G588" i="1"/>
  <c r="G589" i="1"/>
  <c r="G604" i="1"/>
  <c r="G607" i="1"/>
  <c r="G608" i="1"/>
  <c r="G624" i="1"/>
  <c r="G625" i="1"/>
  <c r="G634" i="1"/>
  <c r="G641" i="1"/>
  <c r="G647" i="1"/>
  <c r="G657" i="1"/>
  <c r="G673" i="1"/>
  <c r="G674" i="1"/>
  <c r="G684" i="1"/>
  <c r="G693" i="1"/>
  <c r="G694" i="1"/>
  <c r="G706" i="1"/>
  <c r="G713" i="1"/>
  <c r="G719" i="1"/>
  <c r="G737" i="1"/>
  <c r="G741" i="1"/>
  <c r="G748" i="1"/>
  <c r="G749" i="1"/>
  <c r="G760" i="1"/>
  <c r="G761" i="1"/>
  <c r="G770" i="1"/>
  <c r="G780" i="1"/>
  <c r="G781" i="1"/>
  <c r="G793" i="1"/>
  <c r="G817" i="1"/>
  <c r="G818" i="1"/>
  <c r="G819" i="1"/>
  <c r="G820" i="1"/>
  <c r="G829" i="1"/>
  <c r="G830" i="1"/>
  <c r="G831" i="1"/>
  <c r="G837" i="1"/>
  <c r="G848" i="1"/>
  <c r="G849" i="1"/>
  <c r="G850" i="1"/>
  <c r="G871" i="1"/>
  <c r="G879" i="1"/>
  <c r="G888" i="1"/>
  <c r="G914" i="1"/>
  <c r="G915" i="1"/>
  <c r="G918" i="1"/>
  <c r="G925" i="1"/>
  <c r="G926" i="1"/>
  <c r="G932" i="1"/>
  <c r="G933" i="1"/>
  <c r="G940" i="1"/>
  <c r="G941" i="1"/>
  <c r="G960" i="1"/>
  <c r="G969" i="1"/>
  <c r="G970" i="1"/>
  <c r="G971" i="1"/>
  <c r="G972" i="1"/>
  <c r="G990" i="1"/>
  <c r="G1000" i="1"/>
  <c r="G1001" i="1"/>
  <c r="G1008" i="1"/>
  <c r="G1019" i="1"/>
  <c r="G1020" i="1"/>
  <c r="G1032" i="1"/>
  <c r="G1033" i="1"/>
  <c r="G1049" i="1"/>
  <c r="G1050" i="1"/>
  <c r="G1060" i="1"/>
  <c r="G1061" i="1"/>
  <c r="G1062" i="1"/>
  <c r="G1081" i="1"/>
  <c r="G1089" i="1"/>
  <c r="G1093" i="1"/>
  <c r="G1094" i="1"/>
  <c r="G1095" i="1"/>
  <c r="G1104" i="1"/>
  <c r="G1114" i="1"/>
  <c r="G1115" i="1"/>
  <c r="G1116" i="1"/>
  <c r="G1126" i="1"/>
  <c r="G1139" i="1"/>
  <c r="G1140" i="1"/>
  <c r="G1150" i="1"/>
  <c r="G1163" i="1"/>
  <c r="G1185" i="1"/>
  <c r="G1197" i="1"/>
  <c r="G1225" i="1"/>
  <c r="G1231" i="1"/>
  <c r="G1232" i="1"/>
  <c r="G1233" i="1"/>
  <c r="G1248" i="1"/>
  <c r="G1279" i="1"/>
  <c r="G1293" i="1"/>
  <c r="G1301" i="1"/>
  <c r="G1332" i="1"/>
  <c r="G1333" i="1"/>
  <c r="G1377" i="1"/>
  <c r="G1403" i="1"/>
  <c r="G1404" i="1"/>
  <c r="G1409" i="1"/>
  <c r="G1444" i="1"/>
  <c r="G1454" i="1"/>
  <c r="G1455" i="1"/>
  <c r="G1461" i="1"/>
  <c r="G1478" i="1"/>
  <c r="G1487" i="1"/>
  <c r="G1488" i="1"/>
  <c r="G1489" i="1"/>
  <c r="G1495" i="1"/>
  <c r="G1504" i="1"/>
  <c r="G1528" i="1"/>
  <c r="G1529" i="1"/>
  <c r="G1534" i="1"/>
  <c r="G1557" i="1"/>
  <c r="G1573" i="1"/>
  <c r="G1574" i="1"/>
  <c r="G1575" i="1"/>
  <c r="G1582" i="1"/>
  <c r="G1612" i="1"/>
  <c r="G1613" i="1"/>
  <c r="G1614" i="1"/>
  <c r="G1615" i="1"/>
  <c r="G1634" i="1"/>
  <c r="G1642" i="1"/>
  <c r="G1651" i="1"/>
  <c r="G1652" i="1"/>
  <c r="G1659" i="1"/>
  <c r="G1678" i="1"/>
  <c r="G1685" i="1"/>
  <c r="G1686" i="1"/>
  <c r="G1717" i="1"/>
  <c r="G1718" i="1"/>
  <c r="G1728" i="1"/>
  <c r="G1729" i="1"/>
  <c r="G1749" i="1"/>
  <c r="G1761" i="1"/>
  <c r="G1766" i="1"/>
  <c r="G1767" i="1"/>
  <c r="G1781" i="1"/>
  <c r="G1782" i="1"/>
  <c r="G1789" i="1"/>
  <c r="G1800" i="1"/>
  <c r="G1801" i="1"/>
  <c r="G1802" i="1"/>
  <c r="G1807" i="1"/>
  <c r="G1824" i="1"/>
  <c r="G1833" i="1"/>
  <c r="G1834" i="1"/>
  <c r="G1850" i="1"/>
  <c r="G1882" i="1"/>
  <c r="G1891" i="1"/>
  <c r="G1904" i="1"/>
  <c r="G1910" i="1"/>
  <c r="G1911" i="1"/>
  <c r="G1923" i="1"/>
  <c r="G1924" i="1"/>
  <c r="G1931" i="1"/>
  <c r="G1932" i="1"/>
  <c r="G1937" i="1"/>
  <c r="G1938" i="1"/>
  <c r="G1949" i="1"/>
  <c r="G1963" i="1"/>
  <c r="G1964" i="1"/>
  <c r="G1985" i="1"/>
  <c r="G2018" i="1"/>
  <c r="G2019" i="1"/>
  <c r="G2047" i="1"/>
  <c r="G2070" i="1"/>
  <c r="G2088" i="1"/>
  <c r="G2102" i="1"/>
  <c r="G2103" i="1"/>
  <c r="G2104" i="1"/>
  <c r="G2115" i="1"/>
  <c r="G2132" i="1"/>
  <c r="G2133" i="1"/>
  <c r="G2157" i="1"/>
  <c r="G2172" i="1"/>
  <c r="G2173" i="1"/>
  <c r="G2183" i="1"/>
  <c r="G2199" i="1"/>
  <c r="G2200" i="1"/>
  <c r="G2209" i="1"/>
  <c r="G2210" i="1"/>
  <c r="G2211" i="1"/>
  <c r="G2228" i="1"/>
  <c r="G2229" i="1"/>
  <c r="G2238" i="1"/>
  <c r="G2247" i="1"/>
  <c r="G2260" i="1"/>
  <c r="G2261" i="1"/>
  <c r="G2277" i="1"/>
  <c r="G2278" i="1"/>
  <c r="G2290" i="1"/>
  <c r="G2291" i="1"/>
  <c r="G2318" i="1"/>
  <c r="G2319" i="1"/>
  <c r="G2332" i="1"/>
  <c r="G2337" i="1"/>
  <c r="G2338" i="1"/>
  <c r="G2339" i="1"/>
  <c r="G2345" i="1"/>
  <c r="G2346" i="1"/>
  <c r="G2347" i="1"/>
  <c r="G2348" i="1"/>
  <c r="G2349" i="1"/>
  <c r="G2365" i="1"/>
  <c r="G2366" i="1"/>
  <c r="G2375" i="1"/>
  <c r="G2391" i="1"/>
  <c r="G2403" i="1"/>
  <c r="G2409" i="1"/>
  <c r="G2410" i="1"/>
  <c r="G2430" i="1"/>
  <c r="G2431" i="1"/>
  <c r="G2445" i="1"/>
  <c r="G2446" i="1"/>
  <c r="G2452" i="1"/>
  <c r="G2491" i="1"/>
  <c r="G2501" i="1"/>
  <c r="G2502" i="1"/>
  <c r="G2508" i="1"/>
  <c r="G2516" i="1"/>
  <c r="G2517" i="1"/>
  <c r="G2526" i="1"/>
  <c r="G2527" i="1"/>
  <c r="G2540" i="1"/>
  <c r="G2555" i="1"/>
  <c r="G2556" i="1"/>
  <c r="G2557" i="1"/>
  <c r="G2583" i="1"/>
  <c r="G2594" i="1"/>
  <c r="G2600" i="1"/>
  <c r="G2601" i="1"/>
  <c r="G2614" i="1"/>
  <c r="G2626" i="1"/>
  <c r="G2638" i="1"/>
  <c r="G2644" i="1"/>
  <c r="G2645" i="1"/>
  <c r="G2646" i="1"/>
  <c r="G2674" i="1"/>
  <c r="G2682" i="1"/>
  <c r="G2683" i="1"/>
  <c r="G2700" i="1"/>
  <c r="G2709" i="1"/>
  <c r="G2710" i="1"/>
  <c r="G2717" i="1"/>
  <c r="G2735" i="1"/>
  <c r="G2743" i="1"/>
  <c r="G2750" i="1"/>
  <c r="G2766" i="1"/>
  <c r="G2767" i="1"/>
  <c r="G2768" i="1"/>
  <c r="G2792" i="1"/>
  <c r="G2793" i="1"/>
  <c r="G2804" i="1"/>
  <c r="G2805" i="1"/>
  <c r="G2806" i="1"/>
  <c r="G2823" i="1"/>
  <c r="G2824" i="1"/>
  <c r="G2825" i="1"/>
  <c r="G2842" i="1"/>
  <c r="G2859" i="1"/>
  <c r="G2860" i="1"/>
  <c r="G2871" i="1"/>
  <c r="G2878" i="1"/>
  <c r="G2879" i="1"/>
  <c r="G2893" i="1"/>
  <c r="G2902" i="1"/>
  <c r="G2903" i="1"/>
  <c r="G2913" i="1"/>
  <c r="G2914" i="1"/>
  <c r="G2915" i="1"/>
  <c r="G2916" i="1"/>
  <c r="G2922" i="1"/>
  <c r="G2933" i="1"/>
  <c r="G2942" i="1"/>
  <c r="G2943" i="1"/>
  <c r="G2952" i="1"/>
  <c r="G2962" i="1"/>
  <c r="G2977" i="1"/>
  <c r="G2978" i="1"/>
  <c r="G2979" i="1"/>
  <c r="G2988" i="1"/>
  <c r="G3001" i="1"/>
  <c r="G3010" i="1"/>
  <c r="G3011" i="1"/>
  <c r="G3012" i="1"/>
  <c r="G3027" i="1"/>
  <c r="G3037" i="1"/>
  <c r="G3045" i="1"/>
  <c r="G3055" i="1"/>
  <c r="G3070" i="1"/>
  <c r="G3087" i="1"/>
  <c r="G3093" i="1"/>
  <c r="G3094" i="1"/>
  <c r="G3106" i="1"/>
  <c r="G3118" i="1"/>
  <c r="G3119" i="1"/>
  <c r="G3125" i="1"/>
  <c r="G3126" i="1"/>
  <c r="G19" i="1"/>
  <c r="G34" i="1"/>
  <c r="G35" i="1"/>
  <c r="G57" i="1"/>
  <c r="G58" i="1"/>
  <c r="G67" i="1"/>
  <c r="G68" i="1"/>
  <c r="G69" i="1"/>
  <c r="G80" i="1"/>
  <c r="G91" i="1"/>
  <c r="G92" i="1"/>
  <c r="G101" i="1"/>
  <c r="G128" i="1"/>
  <c r="G135" i="1"/>
  <c r="G136" i="1"/>
  <c r="G137" i="1"/>
  <c r="G162" i="1"/>
  <c r="G163" i="1"/>
  <c r="G164" i="1"/>
  <c r="G170" i="1"/>
  <c r="G188" i="1"/>
  <c r="G197" i="1"/>
  <c r="G204" i="1"/>
  <c r="G205" i="1"/>
  <c r="G206" i="1"/>
  <c r="G207" i="1"/>
  <c r="G215" i="1"/>
  <c r="G246" i="1"/>
  <c r="G254" i="1"/>
  <c r="G259" i="1"/>
  <c r="G260" i="1"/>
  <c r="G261" i="1"/>
  <c r="G269" i="1"/>
  <c r="G276" i="1"/>
  <c r="G282" i="1"/>
  <c r="G301" i="1"/>
  <c r="G309" i="1"/>
  <c r="G310" i="1"/>
  <c r="G321" i="1"/>
  <c r="G328" i="1"/>
  <c r="G340" i="1"/>
  <c r="G354" i="1"/>
  <c r="G355" i="1"/>
  <c r="G381" i="1"/>
  <c r="G382" i="1"/>
  <c r="G390" i="1"/>
  <c r="G434" i="1"/>
  <c r="G435" i="1"/>
  <c r="G450" i="1"/>
  <c r="G459" i="1"/>
  <c r="G460" i="1"/>
  <c r="G461" i="1"/>
  <c r="G493" i="1"/>
  <c r="G494" i="1"/>
  <c r="G504" i="1"/>
  <c r="G505" i="1"/>
  <c r="G506" i="1"/>
  <c r="G507" i="1"/>
  <c r="G523" i="1"/>
  <c r="G524" i="1"/>
  <c r="G532" i="1"/>
  <c r="G543" i="1"/>
  <c r="G544" i="1"/>
  <c r="G545" i="1"/>
  <c r="G552" i="1"/>
  <c r="G565" i="1"/>
  <c r="G570" i="1"/>
  <c r="G571" i="1"/>
  <c r="G617" i="1"/>
  <c r="G618" i="1"/>
  <c r="G619" i="1"/>
  <c r="G626" i="1"/>
  <c r="G627" i="1"/>
  <c r="G628" i="1"/>
  <c r="G642" i="1"/>
  <c r="G652" i="1"/>
  <c r="G658" i="1"/>
  <c r="G675" i="1"/>
  <c r="G685" i="1"/>
  <c r="G695" i="1"/>
  <c r="G696" i="1"/>
  <c r="G697" i="1"/>
  <c r="G707" i="1"/>
  <c r="G708" i="1"/>
  <c r="G714" i="1"/>
  <c r="G720" i="1"/>
  <c r="G721" i="1"/>
  <c r="G742" i="1"/>
  <c r="G750" i="1"/>
  <c r="G762" i="1"/>
  <c r="G763" i="1"/>
  <c r="G771" i="1"/>
  <c r="G789" i="1"/>
  <c r="G794" i="1"/>
  <c r="G795" i="1"/>
  <c r="G810" i="1"/>
  <c r="G811" i="1"/>
  <c r="G821" i="1"/>
  <c r="G822" i="1"/>
  <c r="G823" i="1"/>
  <c r="G832" i="1"/>
  <c r="G833" i="1"/>
  <c r="G838" i="1"/>
  <c r="G839" i="1"/>
  <c r="G840" i="1"/>
  <c r="G841" i="1"/>
  <c r="G851" i="1"/>
  <c r="G852" i="1"/>
  <c r="G853" i="1"/>
  <c r="G863" i="1"/>
  <c r="G872" i="1"/>
  <c r="G873" i="1"/>
  <c r="G880" i="1"/>
  <c r="G889" i="1"/>
  <c r="G896" i="1"/>
  <c r="G903" i="1"/>
  <c r="G904" i="1"/>
  <c r="G927" i="1"/>
  <c r="G934" i="1"/>
  <c r="G942" i="1"/>
  <c r="G948" i="1"/>
  <c r="G961" i="1"/>
  <c r="G973" i="1"/>
  <c r="G974" i="1"/>
  <c r="G975" i="1"/>
  <c r="G983" i="1"/>
  <c r="G991" i="1"/>
  <c r="G992" i="1"/>
  <c r="G1009" i="1"/>
  <c r="G1010" i="1"/>
  <c r="G1021" i="1"/>
  <c r="G1022" i="1"/>
  <c r="G1023" i="1"/>
  <c r="G1034" i="1"/>
  <c r="G1035" i="1"/>
  <c r="G1041" i="1"/>
  <c r="G1042" i="1"/>
  <c r="G1051" i="1"/>
  <c r="G1063" i="1"/>
  <c r="G1069" i="1"/>
  <c r="G1070" i="1"/>
  <c r="G1077" i="1"/>
  <c r="G1105" i="1"/>
  <c r="G1106" i="1"/>
  <c r="G1127" i="1"/>
  <c r="G1128" i="1"/>
  <c r="G1141" i="1"/>
  <c r="G1151" i="1"/>
  <c r="G1164" i="1"/>
  <c r="G1173" i="1"/>
  <c r="G1174" i="1"/>
  <c r="G1186" i="1"/>
  <c r="G1217" i="1"/>
  <c r="G1226" i="1"/>
  <c r="G1234" i="1"/>
  <c r="G1242" i="1"/>
  <c r="G1249" i="1"/>
  <c r="G1258" i="1"/>
  <c r="G1270" i="1"/>
  <c r="G1271" i="1"/>
  <c r="G1280" i="1"/>
  <c r="G1281" i="1"/>
  <c r="G1294" i="1"/>
  <c r="G1302" i="1"/>
  <c r="G1303" i="1"/>
  <c r="G1304" i="1"/>
  <c r="G1314" i="1"/>
  <c r="G1315" i="1"/>
  <c r="G1325" i="1"/>
  <c r="G1326" i="1"/>
  <c r="G1334" i="1"/>
  <c r="G1335" i="1"/>
  <c r="G1345" i="1"/>
  <c r="G1363" i="1"/>
  <c r="G1378" i="1"/>
  <c r="G1379" i="1"/>
  <c r="G1380" i="1"/>
  <c r="G1410" i="1"/>
  <c r="G1415" i="1"/>
  <c r="G1422" i="1"/>
  <c r="G1432" i="1"/>
  <c r="G1436" i="1"/>
  <c r="G1445" i="1"/>
  <c r="G1446" i="1"/>
  <c r="G1456" i="1"/>
  <c r="G1462" i="1"/>
  <c r="G1470" i="1"/>
  <c r="G1471" i="1"/>
  <c r="G1490" i="1"/>
  <c r="G1496" i="1"/>
  <c r="G1505" i="1"/>
  <c r="G1510" i="1"/>
  <c r="G1517" i="1"/>
  <c r="G1530" i="1"/>
  <c r="G1549" i="1"/>
  <c r="G1565" i="1"/>
  <c r="G1566" i="1"/>
  <c r="G1576" i="1"/>
  <c r="G1583" i="1"/>
  <c r="G1584" i="1"/>
  <c r="G1585" i="1"/>
  <c r="G1601" i="1"/>
  <c r="G1602" i="1"/>
  <c r="G1603" i="1"/>
  <c r="G1604" i="1"/>
  <c r="G1616" i="1"/>
  <c r="G1622" i="1"/>
  <c r="G1635" i="1"/>
  <c r="G1636" i="1"/>
  <c r="G1643" i="1"/>
  <c r="G1653" i="1"/>
  <c r="G1660" i="1"/>
  <c r="G1661" i="1"/>
  <c r="G1662" i="1"/>
  <c r="G1672" i="1"/>
  <c r="G1673" i="1"/>
  <c r="G1674" i="1"/>
  <c r="G1679" i="1"/>
  <c r="G1687" i="1"/>
  <c r="G1694" i="1"/>
  <c r="G1695" i="1"/>
  <c r="G1696" i="1"/>
  <c r="G1704" i="1"/>
  <c r="G1705" i="1"/>
  <c r="G1719" i="1"/>
  <c r="G1741" i="1"/>
  <c r="G1742" i="1"/>
  <c r="G1750" i="1"/>
  <c r="G1757" i="1"/>
  <c r="G1758" i="1"/>
  <c r="G1768" i="1"/>
  <c r="G1769" i="1"/>
  <c r="G1808" i="1"/>
  <c r="G1825" i="1"/>
  <c r="G1837" i="1"/>
  <c r="G1838" i="1"/>
  <c r="G1842" i="1"/>
  <c r="G1851" i="1"/>
  <c r="G1852" i="1"/>
  <c r="G1858" i="1"/>
  <c r="G1859" i="1"/>
  <c r="G1860" i="1"/>
  <c r="G1870" i="1"/>
  <c r="G1871" i="1"/>
  <c r="G1876" i="1"/>
  <c r="G1883" i="1"/>
  <c r="G1898" i="1"/>
  <c r="G1899" i="1"/>
  <c r="G1912" i="1"/>
  <c r="G1925" i="1"/>
  <c r="G1939" i="1"/>
  <c r="G1940" i="1"/>
  <c r="G1950" i="1"/>
  <c r="G1951" i="1"/>
  <c r="G1980" i="1"/>
  <c r="G1981" i="1"/>
  <c r="G1986" i="1"/>
  <c r="G2000" i="1"/>
  <c r="G2001" i="1"/>
  <c r="G2003" i="1"/>
  <c r="G2004" i="1"/>
  <c r="G2012" i="1"/>
  <c r="G2020" i="1"/>
  <c r="G2021" i="1"/>
  <c r="G2022" i="1"/>
  <c r="G2023" i="1"/>
  <c r="G2031" i="1"/>
  <c r="G2032" i="1"/>
  <c r="G2048" i="1"/>
  <c r="G2049" i="1"/>
  <c r="G2056" i="1"/>
  <c r="G2061" i="1"/>
  <c r="G2062" i="1"/>
  <c r="G2078" i="1"/>
  <c r="G2079" i="1"/>
  <c r="G2080" i="1"/>
  <c r="G2089" i="1"/>
  <c r="G2090" i="1"/>
  <c r="G2105" i="1"/>
  <c r="G2126" i="1"/>
  <c r="G2141" i="1"/>
  <c r="G2142" i="1"/>
  <c r="G2143" i="1"/>
  <c r="G2144" i="1"/>
  <c r="G2153" i="1"/>
  <c r="G2154" i="1"/>
  <c r="G2165" i="1"/>
  <c r="G2189" i="1"/>
  <c r="G2212" i="1"/>
  <c r="G2213" i="1"/>
  <c r="G2214" i="1"/>
  <c r="G2219" i="1"/>
  <c r="G2220" i="1"/>
  <c r="G2230" i="1"/>
  <c r="G2231" i="1"/>
  <c r="G2232" i="1"/>
  <c r="G2239" i="1"/>
  <c r="G2240" i="1"/>
  <c r="G2248" i="1"/>
  <c r="G2249" i="1"/>
  <c r="G2250" i="1"/>
  <c r="G2262" i="1"/>
  <c r="G2263" i="1"/>
  <c r="G2292" i="1"/>
  <c r="G2310" i="1"/>
  <c r="G2311" i="1"/>
  <c r="G2320" i="1"/>
  <c r="G2327" i="1"/>
  <c r="G2340" i="1"/>
  <c r="G2355" i="1"/>
  <c r="G2356" i="1"/>
  <c r="G2376" i="1"/>
  <c r="G2377" i="1"/>
  <c r="G2378" i="1"/>
  <c r="G2388" i="1"/>
  <c r="G2392" i="1"/>
  <c r="G2404" i="1"/>
  <c r="G2405" i="1"/>
  <c r="G2411" i="1"/>
  <c r="G2412" i="1"/>
  <c r="G2432" i="1"/>
  <c r="G2441" i="1"/>
  <c r="G2442" i="1"/>
  <c r="G2453" i="1"/>
  <c r="G2461" i="1"/>
  <c r="G2468" i="1"/>
  <c r="G2481" i="1"/>
  <c r="G2482" i="1"/>
  <c r="G2487" i="1"/>
  <c r="G2492" i="1"/>
  <c r="G2493" i="1"/>
  <c r="G2503" i="1"/>
  <c r="G2528" i="1"/>
  <c r="G2529" i="1"/>
  <c r="G2543" i="1"/>
  <c r="G2544" i="1"/>
  <c r="G2558" i="1"/>
  <c r="G2569" i="1"/>
  <c r="G2574" i="1"/>
  <c r="G2584" i="1"/>
  <c r="G2602" i="1"/>
  <c r="G2627" i="1"/>
  <c r="G2628" i="1"/>
  <c r="G2629" i="1"/>
  <c r="G2639" i="1"/>
  <c r="G2640" i="1"/>
  <c r="G2647" i="1"/>
  <c r="G2662" i="1"/>
  <c r="G2663" i="1"/>
  <c r="G2675" i="1"/>
  <c r="G2676" i="1"/>
  <c r="G2677" i="1"/>
  <c r="G2684" i="1"/>
  <c r="G2692" i="1"/>
  <c r="G2693" i="1"/>
  <c r="G2701" i="1"/>
  <c r="G2702" i="1"/>
  <c r="G2726" i="1"/>
  <c r="G2736" i="1"/>
  <c r="G2751" i="1"/>
  <c r="G2752" i="1"/>
  <c r="G2753" i="1"/>
  <c r="G2754" i="1"/>
  <c r="G2769" i="1"/>
  <c r="G2770" i="1"/>
  <c r="G2771" i="1"/>
  <c r="G2786" i="1"/>
  <c r="G2787" i="1"/>
  <c r="G2794" i="1"/>
  <c r="G2795" i="1"/>
  <c r="G2796" i="1"/>
  <c r="G2807" i="1"/>
  <c r="G2813" i="1"/>
  <c r="G2814" i="1"/>
  <c r="G2815" i="1"/>
  <c r="G2834" i="1"/>
  <c r="G2843" i="1"/>
  <c r="G2844" i="1"/>
  <c r="G2851" i="1"/>
  <c r="G2894" i="1"/>
  <c r="G2895" i="1"/>
  <c r="G2934" i="1"/>
  <c r="G2935" i="1"/>
  <c r="G2953" i="1"/>
  <c r="G2954" i="1"/>
  <c r="G2955" i="1"/>
  <c r="G2963" i="1"/>
  <c r="G2964" i="1"/>
  <c r="G2965" i="1"/>
  <c r="G2989" i="1"/>
  <c r="G2990" i="1"/>
  <c r="G3013" i="1"/>
  <c r="G3021" i="1"/>
  <c r="G3038" i="1"/>
  <c r="G3046" i="1"/>
  <c r="G3056" i="1"/>
  <c r="G3064" i="1"/>
  <c r="G3071" i="1"/>
  <c r="G3072" i="1"/>
  <c r="G3073" i="1"/>
  <c r="G3080" i="1"/>
  <c r="G3081" i="1"/>
  <c r="G3088" i="1"/>
  <c r="G3095" i="1"/>
  <c r="G3096" i="1"/>
  <c r="G3097" i="1"/>
  <c r="G3107" i="1"/>
  <c r="G3108" i="1"/>
  <c r="G3109" i="1"/>
  <c r="G3120" i="1"/>
  <c r="G3" i="1"/>
  <c r="G4" i="1"/>
  <c r="G11" i="1"/>
  <c r="G20" i="1"/>
  <c r="G21" i="1"/>
  <c r="G22" i="1"/>
  <c r="G36" i="1"/>
  <c r="G59" i="1"/>
  <c r="G60" i="1"/>
  <c r="G61" i="1"/>
  <c r="G70" i="1"/>
  <c r="G71" i="1"/>
  <c r="G72" i="1"/>
  <c r="G73" i="1"/>
  <c r="G81" i="1"/>
  <c r="G119" i="1"/>
  <c r="G129" i="1"/>
  <c r="G130" i="1"/>
  <c r="G138" i="1"/>
  <c r="G145" i="1"/>
  <c r="G157" i="1"/>
  <c r="G165" i="1"/>
  <c r="G171" i="1"/>
  <c r="G172" i="1"/>
  <c r="G173" i="1"/>
  <c r="G180" i="1"/>
  <c r="G181" i="1"/>
  <c r="G198" i="1"/>
  <c r="G208" i="1"/>
  <c r="G216" i="1"/>
  <c r="G217" i="1"/>
  <c r="G218" i="1"/>
  <c r="G222" i="1"/>
  <c r="G223" i="1"/>
  <c r="G224" i="1"/>
  <c r="G225" i="1"/>
  <c r="G233" i="1"/>
  <c r="G239" i="1"/>
  <c r="G247" i="1"/>
  <c r="G262" i="1"/>
  <c r="G270" i="1"/>
  <c r="G277" i="1"/>
  <c r="G283" i="1"/>
  <c r="G284" i="1"/>
  <c r="G290" i="1"/>
  <c r="G291" i="1"/>
  <c r="G292" i="1"/>
  <c r="G302" i="1"/>
  <c r="G303" i="1"/>
  <c r="G334" i="1"/>
  <c r="G341" i="1"/>
  <c r="G342" i="1"/>
  <c r="G343" i="1"/>
  <c r="G356" i="1"/>
  <c r="G357" i="1"/>
  <c r="G364" i="1"/>
  <c r="G393" i="1"/>
  <c r="G394" i="1"/>
  <c r="G407" i="1"/>
  <c r="G408" i="1"/>
  <c r="G413" i="1"/>
  <c r="G414" i="1"/>
  <c r="G422" i="1"/>
  <c r="G423" i="1"/>
  <c r="G436" i="1"/>
  <c r="G437" i="1"/>
  <c r="G451" i="1"/>
  <c r="G470" i="1"/>
  <c r="G471" i="1"/>
  <c r="G472" i="1"/>
  <c r="G482" i="1"/>
  <c r="G495" i="1"/>
  <c r="G496" i="1"/>
  <c r="G516" i="1"/>
  <c r="G525" i="1"/>
  <c r="G526" i="1"/>
  <c r="G557" i="1"/>
  <c r="G566" i="1"/>
  <c r="G580" i="1"/>
  <c r="G590" i="1"/>
  <c r="G591" i="1"/>
  <c r="G592" i="1"/>
  <c r="G593" i="1"/>
  <c r="G609" i="1"/>
  <c r="G610" i="1"/>
  <c r="G611" i="1"/>
  <c r="G635" i="1"/>
  <c r="G648" i="1"/>
  <c r="G653" i="1"/>
  <c r="G659" i="1"/>
  <c r="G660" i="1"/>
  <c r="G665" i="1"/>
  <c r="G676" i="1"/>
  <c r="G686" i="1"/>
  <c r="G687" i="1"/>
  <c r="G698" i="1"/>
  <c r="G699" i="1"/>
  <c r="G709" i="1"/>
  <c r="G722" i="1"/>
  <c r="G738" i="1"/>
  <c r="G743" i="1"/>
  <c r="G751" i="1"/>
  <c r="G752" i="1"/>
  <c r="G764" i="1"/>
  <c r="G765" i="1"/>
  <c r="G772" i="1"/>
  <c r="G790" i="1"/>
  <c r="G791" i="1"/>
  <c r="G796" i="1"/>
  <c r="G797" i="1"/>
  <c r="G812" i="1"/>
  <c r="G813" i="1"/>
  <c r="G842" i="1"/>
  <c r="G843" i="1"/>
  <c r="G905" i="1"/>
  <c r="G906" i="1"/>
  <c r="G907" i="1"/>
  <c r="G919" i="1"/>
  <c r="G928" i="1"/>
  <c r="G935" i="1"/>
  <c r="G936" i="1"/>
  <c r="G943" i="1"/>
  <c r="G949" i="1"/>
  <c r="G950" i="1"/>
  <c r="G951" i="1"/>
  <c r="G957" i="1"/>
  <c r="G962" i="1"/>
  <c r="G993" i="1"/>
  <c r="G994" i="1"/>
  <c r="G995" i="1"/>
  <c r="G1024" i="1"/>
  <c r="G1043" i="1"/>
  <c r="G1064" i="1"/>
  <c r="G1071" i="1"/>
  <c r="G1090" i="1"/>
  <c r="G1091" i="1"/>
  <c r="G1096" i="1"/>
  <c r="G1097" i="1"/>
  <c r="G1098" i="1"/>
  <c r="G1107" i="1"/>
  <c r="G1117" i="1"/>
  <c r="G1118" i="1"/>
  <c r="G1123" i="1"/>
  <c r="G1129" i="1"/>
  <c r="G1132" i="1"/>
  <c r="G1142" i="1"/>
  <c r="G1143" i="1"/>
  <c r="G1144" i="1"/>
  <c r="G1145" i="1"/>
  <c r="G1152" i="1"/>
  <c r="G1153" i="1"/>
  <c r="G1165" i="1"/>
  <c r="G1175" i="1"/>
  <c r="G1176" i="1"/>
  <c r="G1177" i="1"/>
  <c r="G1187" i="1"/>
  <c r="G1198" i="1"/>
  <c r="G1199" i="1"/>
  <c r="G1208" i="1"/>
  <c r="G1218" i="1"/>
  <c r="G1235" i="1"/>
  <c r="G1236" i="1"/>
  <c r="G1243" i="1"/>
  <c r="G1250" i="1"/>
  <c r="G1272" i="1"/>
  <c r="G1316" i="1"/>
  <c r="G1317" i="1"/>
  <c r="G1336" i="1"/>
  <c r="G1337" i="1"/>
  <c r="G1346" i="1"/>
  <c r="G1354" i="1"/>
  <c r="G1364" i="1"/>
  <c r="G1371" i="1"/>
  <c r="G1386" i="1"/>
  <c r="G1391" i="1"/>
  <c r="G1392" i="1"/>
  <c r="G1393" i="1"/>
  <c r="G1416" i="1"/>
  <c r="G1423" i="1"/>
  <c r="G1424" i="1"/>
  <c r="G1425" i="1"/>
  <c r="G1433" i="1"/>
  <c r="G1437" i="1"/>
  <c r="G1447" i="1"/>
  <c r="G1457" i="1"/>
  <c r="G1463" i="1"/>
  <c r="G1464" i="1"/>
  <c r="G1472" i="1"/>
  <c r="G1473" i="1"/>
  <c r="G1479" i="1"/>
  <c r="G1497" i="1"/>
  <c r="G1511" i="1"/>
  <c r="G1512" i="1"/>
  <c r="G1518" i="1"/>
  <c r="G1535" i="1"/>
  <c r="G1536" i="1"/>
  <c r="G1542" i="1"/>
  <c r="G1550" i="1"/>
  <c r="G1551" i="1"/>
  <c r="G1567" i="1"/>
  <c r="G1568" i="1"/>
  <c r="G1586" i="1"/>
  <c r="G1587" i="1"/>
  <c r="G1588" i="1"/>
  <c r="G1589" i="1"/>
  <c r="G1605" i="1"/>
  <c r="G1606" i="1"/>
  <c r="G1607" i="1"/>
  <c r="G1617" i="1"/>
  <c r="G1623" i="1"/>
  <c r="G1644" i="1"/>
  <c r="G1645" i="1"/>
  <c r="G1654" i="1"/>
  <c r="G1675" i="1"/>
  <c r="G1680" i="1"/>
  <c r="G1681" i="1"/>
  <c r="G1688" i="1"/>
  <c r="G1689" i="1"/>
  <c r="G1720" i="1"/>
  <c r="G1721" i="1"/>
  <c r="G1730" i="1"/>
  <c r="G1731" i="1"/>
  <c r="G1732" i="1"/>
  <c r="G1743" i="1"/>
  <c r="G1751" i="1"/>
  <c r="G1759" i="1"/>
  <c r="G1770" i="1"/>
  <c r="G1771" i="1"/>
  <c r="G1772" i="1"/>
  <c r="G1773" i="1"/>
  <c r="G1790" i="1"/>
  <c r="G1791" i="1"/>
  <c r="G1792" i="1"/>
  <c r="G1803" i="1"/>
  <c r="G1815" i="1"/>
  <c r="G1816" i="1"/>
  <c r="G1826" i="1"/>
  <c r="G1827" i="1"/>
  <c r="G1839" i="1"/>
  <c r="G1843" i="1"/>
  <c r="G1844" i="1"/>
  <c r="G1845" i="1"/>
  <c r="G1853" i="1"/>
  <c r="G1854" i="1"/>
  <c r="G1861" i="1"/>
  <c r="G1862" i="1"/>
  <c r="G1877" i="1"/>
  <c r="G1878" i="1"/>
  <c r="G1884" i="1"/>
  <c r="G1885" i="1"/>
  <c r="G1900" i="1"/>
  <c r="G1901" i="1"/>
  <c r="G1926" i="1"/>
  <c r="G1933" i="1"/>
  <c r="G1965" i="1"/>
  <c r="G1973" i="1"/>
  <c r="G1974" i="1"/>
  <c r="G1987" i="1"/>
  <c r="G2002" i="1"/>
  <c r="G2005" i="1"/>
  <c r="G2006" i="1"/>
  <c r="G2033" i="1"/>
  <c r="G2050" i="1"/>
  <c r="G2063" i="1"/>
  <c r="G2064" i="1"/>
  <c r="G2071" i="1"/>
  <c r="G2072" i="1"/>
  <c r="G2081" i="1"/>
  <c r="G2116" i="1"/>
  <c r="G2127" i="1"/>
  <c r="G2145" i="1"/>
  <c r="G2146" i="1"/>
  <c r="G2158" i="1"/>
  <c r="G2166" i="1"/>
  <c r="G2167" i="1"/>
  <c r="G2184" i="1"/>
  <c r="G2190" i="1"/>
  <c r="G2191" i="1"/>
  <c r="G2192" i="1"/>
  <c r="G2201" i="1"/>
  <c r="G2202" i="1"/>
  <c r="G2221" i="1"/>
  <c r="G2222" i="1"/>
  <c r="G2223" i="1"/>
  <c r="G2233" i="1"/>
  <c r="G2241" i="1"/>
  <c r="G2251" i="1"/>
  <c r="G2252" i="1"/>
  <c r="G2264" i="1"/>
  <c r="G2265" i="1"/>
  <c r="G2266" i="1"/>
  <c r="G2279" i="1"/>
  <c r="G2287" i="1"/>
  <c r="G2293" i="1"/>
  <c r="G2312" i="1"/>
  <c r="G2313" i="1"/>
  <c r="G2321" i="1"/>
  <c r="G2328" i="1"/>
  <c r="G2333" i="1"/>
  <c r="G2350" i="1"/>
  <c r="G2357" i="1"/>
  <c r="G2367" i="1"/>
  <c r="G2379" i="1"/>
  <c r="G2389" i="1"/>
  <c r="G2443" i="1"/>
  <c r="G2454" i="1"/>
  <c r="G2455" i="1"/>
  <c r="G2462" i="1"/>
  <c r="G2469" i="1"/>
  <c r="G2470" i="1"/>
  <c r="G2471" i="1"/>
  <c r="G2472" i="1"/>
  <c r="G2488" i="1"/>
  <c r="G2494" i="1"/>
  <c r="G2495" i="1"/>
  <c r="G2509" i="1"/>
  <c r="G2518" i="1"/>
  <c r="G2519" i="1"/>
  <c r="G2530" i="1"/>
  <c r="G2541" i="1"/>
  <c r="G2542" i="1"/>
  <c r="G2545" i="1"/>
  <c r="G2546" i="1"/>
  <c r="G2575" i="1"/>
  <c r="G2576" i="1"/>
  <c r="G2577" i="1"/>
  <c r="G2595" i="1"/>
  <c r="G2603" i="1"/>
  <c r="G2604" i="1"/>
  <c r="G2605" i="1"/>
  <c r="G2606" i="1"/>
  <c r="G2615" i="1"/>
  <c r="G2616" i="1"/>
  <c r="G2617" i="1"/>
  <c r="G2630" i="1"/>
  <c r="G2631" i="1"/>
  <c r="G2632" i="1"/>
  <c r="G2653" i="1"/>
  <c r="G2664" i="1"/>
  <c r="G2665" i="1"/>
  <c r="G2672" i="1"/>
  <c r="G2673" i="1"/>
  <c r="G2685" i="1"/>
  <c r="G2694" i="1"/>
  <c r="G2718" i="1"/>
  <c r="G2719" i="1"/>
  <c r="G2727" i="1"/>
  <c r="G2728" i="1"/>
  <c r="G2737" i="1"/>
  <c r="G2738" i="1"/>
  <c r="G2744" i="1"/>
  <c r="G2755" i="1"/>
  <c r="G2756" i="1"/>
  <c r="G2779" i="1"/>
  <c r="G2788" i="1"/>
  <c r="G2826" i="1"/>
  <c r="G2835" i="1"/>
  <c r="G2872" i="1"/>
  <c r="G2880" i="1"/>
  <c r="G2887" i="1"/>
  <c r="G2896" i="1"/>
  <c r="G2897" i="1"/>
  <c r="G2904" i="1"/>
  <c r="G2907" i="1"/>
  <c r="G2917" i="1"/>
  <c r="G2923" i="1"/>
  <c r="G2944" i="1"/>
  <c r="G2945" i="1"/>
  <c r="G2956" i="1"/>
  <c r="G2966" i="1"/>
  <c r="G2991" i="1"/>
  <c r="G2992" i="1"/>
  <c r="G2997" i="1"/>
  <c r="G3002" i="1"/>
  <c r="G3003" i="1"/>
  <c r="G3014" i="1"/>
  <c r="G3015" i="1"/>
  <c r="G3016" i="1"/>
  <c r="G3022" i="1"/>
  <c r="G3047" i="1"/>
  <c r="G3048" i="1"/>
  <c r="G3057" i="1"/>
  <c r="G3058" i="1"/>
  <c r="G3074" i="1"/>
  <c r="G3075" i="1"/>
  <c r="G3082" i="1"/>
  <c r="G3098" i="1"/>
  <c r="G3099" i="1"/>
  <c r="G3110" i="1"/>
  <c r="G3111" i="1"/>
  <c r="G3121" i="1"/>
  <c r="G5" i="1"/>
  <c r="G12" i="1"/>
  <c r="G27" i="1"/>
  <c r="G37" i="1"/>
  <c r="G38" i="1"/>
  <c r="G39" i="1"/>
  <c r="G48" i="1"/>
  <c r="G49" i="1"/>
  <c r="G62" i="1"/>
  <c r="G82" i="1"/>
  <c r="G93" i="1"/>
  <c r="G102" i="1"/>
  <c r="G103" i="1"/>
  <c r="G104" i="1"/>
  <c r="G139" i="1"/>
  <c r="G146" i="1"/>
  <c r="G147" i="1"/>
  <c r="G158" i="1"/>
  <c r="G166" i="1"/>
  <c r="G167" i="1"/>
  <c r="G182" i="1"/>
  <c r="G199" i="1"/>
  <c r="G200" i="1"/>
  <c r="G209" i="1"/>
  <c r="G226" i="1"/>
  <c r="G255" i="1"/>
  <c r="G263" i="1"/>
  <c r="G293" i="1"/>
  <c r="G294" i="1"/>
  <c r="G322" i="1"/>
  <c r="G323" i="1"/>
  <c r="G324" i="1"/>
  <c r="G329" i="1"/>
  <c r="G335" i="1"/>
  <c r="G336" i="1"/>
  <c r="G344" i="1"/>
  <c r="G345" i="1"/>
  <c r="G358" i="1"/>
  <c r="G365" i="1"/>
  <c r="G373" i="1"/>
  <c r="G383" i="1"/>
  <c r="G415" i="1"/>
  <c r="G424" i="1"/>
  <c r="G425" i="1"/>
  <c r="G438" i="1"/>
  <c r="G439" i="1"/>
  <c r="G462" i="1"/>
  <c r="G483" i="1"/>
  <c r="G497" i="1"/>
  <c r="G508" i="1"/>
  <c r="G509" i="1"/>
  <c r="G510" i="1"/>
  <c r="G527" i="1"/>
  <c r="G533" i="1"/>
  <c r="G546" i="1"/>
  <c r="G547" i="1"/>
  <c r="G558" i="1"/>
  <c r="G559" i="1"/>
  <c r="G572" i="1"/>
  <c r="G594" i="1"/>
  <c r="G595" i="1"/>
  <c r="G596" i="1"/>
  <c r="G612" i="1"/>
  <c r="G613" i="1"/>
  <c r="G620" i="1"/>
  <c r="G636" i="1"/>
  <c r="G637" i="1"/>
  <c r="G643" i="1"/>
  <c r="G649" i="1"/>
  <c r="G650" i="1"/>
  <c r="G654" i="1"/>
  <c r="G661" i="1"/>
  <c r="G666" i="1"/>
  <c r="G667" i="1"/>
  <c r="G668" i="1"/>
  <c r="G669" i="1"/>
  <c r="G677" i="1"/>
  <c r="G678" i="1"/>
  <c r="G679" i="1"/>
  <c r="G700" i="1"/>
  <c r="G701" i="1"/>
  <c r="G710" i="1"/>
  <c r="G711" i="1"/>
  <c r="G723" i="1"/>
  <c r="G724" i="1"/>
  <c r="G744" i="1"/>
  <c r="G753" i="1"/>
  <c r="G754" i="1"/>
  <c r="G766" i="1"/>
  <c r="G767" i="1"/>
  <c r="G773" i="1"/>
  <c r="G774" i="1"/>
  <c r="G775" i="1"/>
  <c r="G776" i="1"/>
  <c r="G777" i="1"/>
  <c r="G782" i="1"/>
  <c r="G783" i="1"/>
  <c r="G792" i="1"/>
  <c r="G798" i="1"/>
  <c r="G799" i="1"/>
  <c r="G800" i="1"/>
  <c r="G801" i="1"/>
  <c r="G814" i="1"/>
  <c r="G824" i="1"/>
  <c r="G834" i="1"/>
  <c r="G854" i="1"/>
  <c r="G855" i="1"/>
  <c r="G858" i="1"/>
  <c r="G874" i="1"/>
  <c r="G881" i="1"/>
  <c r="G882" i="1"/>
  <c r="G883" i="1"/>
  <c r="G890" i="1"/>
  <c r="G897" i="1"/>
  <c r="G908" i="1"/>
  <c r="G909" i="1"/>
  <c r="G920" i="1"/>
  <c r="G937" i="1"/>
  <c r="G963" i="1"/>
  <c r="G976" i="1"/>
  <c r="G977" i="1"/>
  <c r="G984" i="1"/>
  <c r="G985" i="1"/>
  <c r="G1002" i="1"/>
  <c r="G1003" i="1"/>
  <c r="G1011" i="1"/>
  <c r="G1012" i="1"/>
  <c r="G1025" i="1"/>
  <c r="G1036" i="1"/>
  <c r="G1044" i="1"/>
  <c r="G1052" i="1"/>
  <c r="G1053" i="1"/>
  <c r="G1057" i="1"/>
  <c r="G1082" i="1"/>
  <c r="G1099" i="1"/>
  <c r="G1108" i="1"/>
  <c r="G1109" i="1"/>
  <c r="G1110" i="1"/>
  <c r="G1119" i="1"/>
  <c r="G1124" i="1"/>
  <c r="G1125" i="1"/>
  <c r="G1130" i="1"/>
  <c r="G1133" i="1"/>
  <c r="G1166" i="1"/>
  <c r="G1178" i="1"/>
  <c r="G1188" i="1"/>
  <c r="G1189" i="1"/>
  <c r="G1190" i="1"/>
  <c r="G1193" i="1"/>
  <c r="G1194" i="1"/>
  <c r="G1200" i="1"/>
  <c r="G1201" i="1"/>
  <c r="G1219" i="1"/>
  <c r="G1227" i="1"/>
  <c r="G1228" i="1"/>
  <c r="G1237" i="1"/>
  <c r="G1244" i="1"/>
  <c r="G1259" i="1"/>
  <c r="G1260" i="1"/>
  <c r="G1261" i="1"/>
  <c r="G1282" i="1"/>
  <c r="G1305" i="1"/>
  <c r="G1306" i="1"/>
  <c r="G1307" i="1"/>
  <c r="G1308" i="1"/>
  <c r="G1318" i="1"/>
  <c r="G1319" i="1"/>
  <c r="G1320" i="1"/>
  <c r="G1327" i="1"/>
  <c r="G1347" i="1"/>
  <c r="G1348" i="1"/>
  <c r="G1355" i="1"/>
  <c r="G1356" i="1"/>
  <c r="G1365" i="1"/>
  <c r="G1372" i="1"/>
  <c r="G1373" i="1"/>
  <c r="G1387" i="1"/>
  <c r="G1394" i="1"/>
  <c r="G1395" i="1"/>
  <c r="G1405" i="1"/>
  <c r="G1411" i="1"/>
  <c r="G1417" i="1"/>
  <c r="G1438" i="1"/>
  <c r="G1439" i="1"/>
  <c r="G1448" i="1"/>
  <c r="G1449" i="1"/>
  <c r="G1465" i="1"/>
  <c r="G1474" i="1"/>
  <c r="G1480" i="1"/>
  <c r="G1481" i="1"/>
  <c r="G1491" i="1"/>
  <c r="G1498" i="1"/>
  <c r="G1519" i="1"/>
  <c r="G1520" i="1"/>
  <c r="G1531" i="1"/>
  <c r="G1537" i="1"/>
  <c r="G1538" i="1"/>
  <c r="G1543" i="1"/>
  <c r="G1552" i="1"/>
  <c r="G1558" i="1"/>
  <c r="G1559" i="1"/>
  <c r="G1560" i="1"/>
  <c r="G1569" i="1"/>
  <c r="G1570" i="1"/>
  <c r="G1571" i="1"/>
  <c r="G1577" i="1"/>
  <c r="G1590" i="1"/>
  <c r="G1598" i="1"/>
  <c r="G1608" i="1"/>
  <c r="G1655" i="1"/>
  <c r="G1663" i="1"/>
  <c r="G1697" i="1"/>
  <c r="G1706" i="1"/>
  <c r="G1707" i="1"/>
  <c r="G1708" i="1"/>
  <c r="G1709" i="1"/>
  <c r="G1733" i="1"/>
  <c r="G1734" i="1"/>
  <c r="G1774" i="1"/>
  <c r="G1775" i="1"/>
  <c r="G1783" i="1"/>
  <c r="G1784" i="1"/>
  <c r="G1793" i="1"/>
  <c r="G1804" i="1"/>
  <c r="G1809" i="1"/>
  <c r="G1855" i="1"/>
  <c r="G1863" i="1"/>
  <c r="G1864" i="1"/>
  <c r="G1879" i="1"/>
  <c r="G1886" i="1"/>
  <c r="G1887" i="1"/>
  <c r="G1892" i="1"/>
  <c r="G1893" i="1"/>
  <c r="G1902" i="1"/>
  <c r="G1913" i="1"/>
  <c r="G1914" i="1"/>
  <c r="G1915" i="1"/>
  <c r="G1927" i="1"/>
  <c r="G1928" i="1"/>
  <c r="G1934" i="1"/>
  <c r="G1935" i="1"/>
  <c r="G1936" i="1"/>
  <c r="G1952" i="1"/>
  <c r="G1959" i="1"/>
  <c r="G1988" i="1"/>
  <c r="G1989" i="1"/>
  <c r="G2007" i="1"/>
  <c r="G2024" i="1"/>
  <c r="G2034" i="1"/>
  <c r="G2051" i="1"/>
  <c r="G2065" i="1"/>
  <c r="G2082" i="1"/>
  <c r="G2091" i="1"/>
  <c r="G2096" i="1"/>
  <c r="G2097" i="1"/>
  <c r="G2098" i="1"/>
  <c r="G2106" i="1"/>
  <c r="G2107" i="1"/>
  <c r="G2117" i="1"/>
  <c r="G2128" i="1"/>
  <c r="G2134" i="1"/>
  <c r="G2147" i="1"/>
  <c r="G2155" i="1"/>
  <c r="G2161" i="1"/>
  <c r="G2185" i="1"/>
  <c r="G2193" i="1"/>
  <c r="G2194" i="1"/>
  <c r="G2224" i="1"/>
  <c r="G2234" i="1"/>
  <c r="G2235" i="1"/>
  <c r="G2236" i="1"/>
  <c r="G2242" i="1"/>
  <c r="G2243" i="1"/>
  <c r="G2244" i="1"/>
  <c r="G2253" i="1"/>
  <c r="G2267" i="1"/>
  <c r="G2268" i="1"/>
  <c r="G2269" i="1"/>
  <c r="G2270" i="1"/>
  <c r="G2280" i="1"/>
  <c r="G2281" i="1"/>
  <c r="G2282" i="1"/>
  <c r="G2294" i="1"/>
  <c r="G2322" i="1"/>
  <c r="G2323" i="1"/>
  <c r="G2329" i="1"/>
  <c r="G2330" i="1"/>
  <c r="G2334" i="1"/>
  <c r="G2335" i="1"/>
  <c r="G2358" i="1"/>
  <c r="G2359" i="1"/>
  <c r="G2360" i="1"/>
  <c r="G2368" i="1"/>
  <c r="G2369" i="1"/>
  <c r="G2380" i="1"/>
  <c r="G2393" i="1"/>
  <c r="G2394" i="1"/>
  <c r="G2395" i="1"/>
  <c r="G2396" i="1"/>
  <c r="G2397" i="1"/>
  <c r="G2413" i="1"/>
  <c r="G2414" i="1"/>
  <c r="G2422" i="1"/>
  <c r="G2433" i="1"/>
  <c r="G2434" i="1"/>
  <c r="G2435" i="1"/>
  <c r="G2444" i="1"/>
  <c r="G2456" i="1"/>
  <c r="G2457" i="1"/>
  <c r="G2458" i="1"/>
  <c r="G2463" i="1"/>
  <c r="G2473" i="1"/>
  <c r="G2474" i="1"/>
  <c r="G2496" i="1"/>
  <c r="G2497" i="1"/>
  <c r="G2510" i="1"/>
  <c r="G2547" i="1"/>
  <c r="G2559" i="1"/>
  <c r="G2578" i="1"/>
  <c r="G2585" i="1"/>
  <c r="G2586" i="1"/>
  <c r="G2607" i="1"/>
  <c r="G2608" i="1"/>
  <c r="G2609" i="1"/>
  <c r="G2618" i="1"/>
  <c r="G2633" i="1"/>
  <c r="G2634" i="1"/>
  <c r="G2635" i="1"/>
  <c r="G2641" i="1"/>
  <c r="G2648" i="1"/>
  <c r="G2654" i="1"/>
  <c r="G2655" i="1"/>
  <c r="G2656" i="1"/>
  <c r="G2657" i="1"/>
  <c r="G2678" i="1"/>
  <c r="G2686" i="1"/>
  <c r="G2695" i="1"/>
  <c r="G2720" i="1"/>
  <c r="G2757" i="1"/>
  <c r="G2758" i="1"/>
  <c r="G2759" i="1"/>
  <c r="G2772" i="1"/>
  <c r="G2773" i="1"/>
  <c r="G2789" i="1"/>
  <c r="G2808" i="1"/>
  <c r="G2809" i="1"/>
  <c r="G2810" i="1"/>
  <c r="G2827" i="1"/>
  <c r="G2836" i="1"/>
  <c r="G2845" i="1"/>
  <c r="G2846" i="1"/>
  <c r="G2852" i="1"/>
  <c r="G2855" i="1"/>
  <c r="G2861" i="1"/>
  <c r="G2862" i="1"/>
  <c r="G2873" i="1"/>
  <c r="G2881" i="1"/>
  <c r="G2898" i="1"/>
  <c r="G2899" i="1"/>
  <c r="G2905" i="1"/>
  <c r="G2908" i="1"/>
  <c r="G2918" i="1"/>
  <c r="G2924" i="1"/>
  <c r="G2925" i="1"/>
  <c r="G2926" i="1"/>
  <c r="G2927" i="1"/>
  <c r="G2936" i="1"/>
  <c r="G2980" i="1"/>
  <c r="G2981" i="1"/>
  <c r="G2998" i="1"/>
  <c r="G2999" i="1"/>
  <c r="G3004" i="1"/>
  <c r="G3005" i="1"/>
  <c r="G3017" i="1"/>
  <c r="G3049" i="1"/>
  <c r="G3065" i="1"/>
  <c r="G3089" i="1"/>
  <c r="G3100" i="1"/>
  <c r="G3101" i="1"/>
  <c r="G3112" i="1"/>
  <c r="G6" i="1"/>
  <c r="G13" i="1"/>
  <c r="G14" i="1"/>
  <c r="G23" i="1"/>
  <c r="G28" i="1"/>
  <c r="G40" i="1"/>
  <c r="G50" i="1"/>
  <c r="G63" i="1"/>
  <c r="G83" i="1"/>
  <c r="G94" i="1"/>
  <c r="G95" i="1"/>
  <c r="G105" i="1"/>
  <c r="G106" i="1"/>
  <c r="G107" i="1"/>
  <c r="G108" i="1"/>
  <c r="G120" i="1"/>
  <c r="G121" i="1"/>
  <c r="G140" i="1"/>
  <c r="G148" i="1"/>
  <c r="G159" i="1"/>
  <c r="G168" i="1"/>
  <c r="G183" i="1"/>
  <c r="G184" i="1"/>
  <c r="G189" i="1"/>
  <c r="G201" i="1"/>
  <c r="G210" i="1"/>
  <c r="G219" i="1"/>
  <c r="G227" i="1"/>
  <c r="G240" i="1"/>
  <c r="G248" i="1"/>
  <c r="G271" i="1"/>
  <c r="G278" i="1"/>
  <c r="G295" i="1"/>
  <c r="G304" i="1"/>
  <c r="G315" i="1"/>
  <c r="G330" i="1"/>
  <c r="G346" i="1"/>
  <c r="G359" i="1"/>
  <c r="G366" i="1"/>
  <c r="G367" i="1"/>
  <c r="G374" i="1"/>
  <c r="G375" i="1"/>
  <c r="G376" i="1"/>
  <c r="G395" i="1"/>
  <c r="G396" i="1"/>
  <c r="G397" i="1"/>
  <c r="G398" i="1"/>
  <c r="G399" i="1"/>
  <c r="G416" i="1"/>
  <c r="G426" i="1"/>
  <c r="G427" i="1"/>
  <c r="G428" i="1"/>
  <c r="G440" i="1"/>
  <c r="G441" i="1"/>
  <c r="G452" i="1"/>
  <c r="G473" i="1"/>
  <c r="G474" i="1"/>
  <c r="G475" i="1"/>
  <c r="G484" i="1"/>
  <c r="G485" i="1"/>
  <c r="G486" i="1"/>
  <c r="G511" i="1"/>
  <c r="G517" i="1"/>
  <c r="G518" i="1"/>
  <c r="G519" i="1"/>
  <c r="G534" i="1"/>
  <c r="G535" i="1"/>
  <c r="G548" i="1"/>
  <c r="G573" i="1"/>
  <c r="G574" i="1"/>
  <c r="G597" i="1"/>
  <c r="G614" i="1"/>
  <c r="G615" i="1"/>
  <c r="G621" i="1"/>
  <c r="G622" i="1"/>
  <c r="G629" i="1"/>
  <c r="G630" i="1"/>
  <c r="G651" i="1"/>
  <c r="G655" i="1"/>
  <c r="G670" i="1"/>
  <c r="G671" i="1"/>
  <c r="G680" i="1"/>
  <c r="G702" i="1"/>
  <c r="G715" i="1"/>
  <c r="G725" i="1"/>
  <c r="G726" i="1"/>
  <c r="G727" i="1"/>
  <c r="G732" i="1"/>
  <c r="G733" i="1"/>
  <c r="G734" i="1"/>
  <c r="G784" i="1"/>
  <c r="G802" i="1"/>
  <c r="G825" i="1"/>
  <c r="G826" i="1"/>
  <c r="G844" i="1"/>
  <c r="G856" i="1"/>
  <c r="G857" i="1"/>
  <c r="G859" i="1"/>
  <c r="G860" i="1"/>
  <c r="G864" i="1"/>
  <c r="G865" i="1"/>
  <c r="G866" i="1"/>
  <c r="G875" i="1"/>
  <c r="G876" i="1"/>
  <c r="G884" i="1"/>
  <c r="G885" i="1"/>
  <c r="G891" i="1"/>
  <c r="G892" i="1"/>
  <c r="G893" i="1"/>
  <c r="G898" i="1"/>
  <c r="G916" i="1"/>
  <c r="G921" i="1"/>
  <c r="G929" i="1"/>
  <c r="G938" i="1"/>
  <c r="G952" i="1"/>
  <c r="G964" i="1"/>
  <c r="G965" i="1"/>
  <c r="G978" i="1"/>
  <c r="G979" i="1"/>
  <c r="G986" i="1"/>
  <c r="G996" i="1"/>
  <c r="G997" i="1"/>
  <c r="G1004" i="1"/>
  <c r="G1005" i="1"/>
  <c r="G1013" i="1"/>
  <c r="G1014" i="1"/>
  <c r="G1026" i="1"/>
  <c r="G1027" i="1"/>
  <c r="G1037" i="1"/>
  <c r="G1045" i="1"/>
  <c r="G1046" i="1"/>
  <c r="G1054" i="1"/>
  <c r="G1055" i="1"/>
  <c r="G1065" i="1"/>
  <c r="G1078" i="1"/>
  <c r="G1083" i="1"/>
  <c r="G1111" i="1"/>
  <c r="G1112" i="1"/>
  <c r="G1134" i="1"/>
  <c r="G1146" i="1"/>
  <c r="G1154" i="1"/>
  <c r="G1155" i="1"/>
  <c r="G1156" i="1"/>
  <c r="G1167" i="1"/>
  <c r="G1168" i="1"/>
  <c r="G1179" i="1"/>
  <c r="G1191" i="1"/>
  <c r="G1195" i="1"/>
  <c r="G1209" i="1"/>
  <c r="G1220" i="1"/>
  <c r="G1229" i="1"/>
  <c r="G1238" i="1"/>
  <c r="G1239" i="1"/>
  <c r="G1245" i="1"/>
  <c r="G1246" i="1"/>
  <c r="G1251" i="1"/>
  <c r="G1252" i="1"/>
  <c r="G1253" i="1"/>
  <c r="G1262" i="1"/>
  <c r="G1263" i="1"/>
  <c r="G1264" i="1"/>
  <c r="G1273" i="1"/>
  <c r="G1283" i="1"/>
  <c r="G1309" i="1"/>
  <c r="G1321" i="1"/>
  <c r="G1322" i="1"/>
  <c r="G1323" i="1"/>
  <c r="G1328" i="1"/>
  <c r="G1329" i="1"/>
  <c r="G1338" i="1"/>
  <c r="G1357" i="1"/>
  <c r="G1358" i="1"/>
  <c r="G1359" i="1"/>
  <c r="G1366" i="1"/>
  <c r="G1374" i="1"/>
  <c r="G1375" i="1"/>
  <c r="G1376" i="1"/>
  <c r="G1381" i="1"/>
  <c r="G1382" i="1"/>
  <c r="G1406" i="1"/>
  <c r="G1412" i="1"/>
  <c r="G1418" i="1"/>
  <c r="G1419" i="1"/>
  <c r="G1434" i="1"/>
  <c r="G1440" i="1"/>
  <c r="G1450" i="1"/>
  <c r="G1458" i="1"/>
  <c r="G1459" i="1"/>
  <c r="G1466" i="1"/>
  <c r="G1482" i="1"/>
  <c r="G1483" i="1"/>
  <c r="G1484" i="1"/>
  <c r="G1499" i="1"/>
  <c r="G1500" i="1"/>
  <c r="G1513" i="1"/>
  <c r="G1521" i="1"/>
  <c r="G1522" i="1"/>
  <c r="G1532" i="1"/>
  <c r="G1539" i="1"/>
  <c r="G1540" i="1"/>
  <c r="G1544" i="1"/>
  <c r="G1545" i="1"/>
  <c r="G1553" i="1"/>
  <c r="G1554" i="1"/>
  <c r="G1578" i="1"/>
  <c r="G1591" i="1"/>
  <c r="G1609" i="1"/>
  <c r="G1618" i="1"/>
  <c r="G1624" i="1"/>
  <c r="G1625" i="1"/>
  <c r="G1626" i="1"/>
  <c r="G1627" i="1"/>
  <c r="G1628" i="1"/>
  <c r="G1637" i="1"/>
  <c r="G1638" i="1"/>
  <c r="G1656" i="1"/>
  <c r="G1657" i="1"/>
  <c r="G1664" i="1"/>
  <c r="G1665" i="1"/>
  <c r="G1666" i="1"/>
  <c r="G1690" i="1"/>
  <c r="G1710" i="1"/>
  <c r="G1722" i="1"/>
  <c r="G1735" i="1"/>
  <c r="G1736" i="1"/>
  <c r="G1744" i="1"/>
  <c r="G1752" i="1"/>
  <c r="G1753" i="1"/>
  <c r="G1776" i="1"/>
  <c r="G1785" i="1"/>
  <c r="G1786" i="1"/>
  <c r="G1794" i="1"/>
  <c r="G1795" i="1"/>
  <c r="G1817" i="1"/>
  <c r="G1818" i="1"/>
  <c r="G1828" i="1"/>
  <c r="G1829" i="1"/>
  <c r="G1830" i="1"/>
  <c r="G1835" i="1"/>
  <c r="G1846" i="1"/>
  <c r="G1865" i="1"/>
  <c r="G1866" i="1"/>
  <c r="G1888" i="1"/>
  <c r="G1894" i="1"/>
  <c r="G1895" i="1"/>
  <c r="G1905" i="1"/>
  <c r="G1916" i="1"/>
  <c r="G1941" i="1"/>
  <c r="G1942" i="1"/>
  <c r="G1943" i="1"/>
  <c r="G1944" i="1"/>
  <c r="G1945" i="1"/>
  <c r="G1946" i="1"/>
  <c r="G1953" i="1"/>
  <c r="G1954" i="1"/>
  <c r="G1955" i="1"/>
  <c r="G1966" i="1"/>
  <c r="G1967" i="1"/>
  <c r="G1975" i="1"/>
  <c r="G1976" i="1"/>
  <c r="G1990" i="1"/>
  <c r="G1991" i="1"/>
  <c r="G2008" i="1"/>
  <c r="G2013" i="1"/>
  <c r="G2014" i="1"/>
  <c r="G2015" i="1"/>
  <c r="G2016" i="1"/>
  <c r="G2025" i="1"/>
  <c r="G2035" i="1"/>
  <c r="G2036" i="1"/>
  <c r="G2040" i="1"/>
  <c r="G2052" i="1"/>
  <c r="G2053" i="1"/>
  <c r="G2066" i="1"/>
  <c r="G2067" i="1"/>
  <c r="G2073" i="1"/>
  <c r="G2074" i="1"/>
  <c r="G2083" i="1"/>
  <c r="G2084" i="1"/>
  <c r="G2085" i="1"/>
  <c r="G2086" i="1"/>
  <c r="G2092" i="1"/>
  <c r="G2118" i="1"/>
  <c r="G2135" i="1"/>
  <c r="G2136" i="1"/>
  <c r="G2148" i="1"/>
  <c r="G2159" i="1"/>
  <c r="G2162" i="1"/>
  <c r="G2168" i="1"/>
  <c r="G2169" i="1"/>
  <c r="G2174" i="1"/>
  <c r="G2186" i="1"/>
  <c r="G2195" i="1"/>
  <c r="G2203" i="1"/>
  <c r="G2204" i="1"/>
  <c r="G2205" i="1"/>
  <c r="G2215" i="1"/>
  <c r="G2216" i="1"/>
  <c r="G2225" i="1"/>
  <c r="G2226" i="1"/>
  <c r="G2237" i="1"/>
  <c r="G2245" i="1"/>
  <c r="G2254" i="1"/>
  <c r="G2255" i="1"/>
  <c r="G2256" i="1"/>
  <c r="G2271" i="1"/>
  <c r="G2272" i="1"/>
  <c r="G2283" i="1"/>
  <c r="G2288" i="1"/>
  <c r="G2295" i="1"/>
  <c r="G2296" i="1"/>
  <c r="G2297" i="1"/>
  <c r="G2298" i="1"/>
  <c r="G2308" i="1"/>
  <c r="G2370" i="1"/>
  <c r="G2371" i="1"/>
  <c r="G2381" i="1"/>
  <c r="G2398" i="1"/>
  <c r="G2415" i="1"/>
  <c r="G2423" i="1"/>
  <c r="G2436" i="1"/>
  <c r="G2437" i="1"/>
  <c r="G2447" i="1"/>
  <c r="G2464" i="1"/>
  <c r="G2475" i="1"/>
  <c r="G2476" i="1"/>
  <c r="G2477" i="1"/>
  <c r="G2483" i="1"/>
  <c r="G2484" i="1"/>
  <c r="G2498" i="1"/>
  <c r="G2504" i="1"/>
  <c r="G2511" i="1"/>
  <c r="G2520" i="1"/>
  <c r="G2521" i="1"/>
  <c r="G2522" i="1"/>
  <c r="G2523" i="1"/>
  <c r="G2531" i="1"/>
  <c r="G2548" i="1"/>
  <c r="G2549" i="1"/>
  <c r="G2550" i="1"/>
  <c r="G2560" i="1"/>
  <c r="G2561" i="1"/>
  <c r="G2570" i="1"/>
  <c r="G2579" i="1"/>
  <c r="G2587" i="1"/>
  <c r="G2588" i="1"/>
  <c r="G2596" i="1"/>
  <c r="G2610" i="1"/>
  <c r="G2619" i="1"/>
  <c r="G2620" i="1"/>
  <c r="G2621" i="1"/>
  <c r="G2622" i="1"/>
  <c r="G2636" i="1"/>
  <c r="G2642" i="1"/>
  <c r="G2649" i="1"/>
  <c r="G2650" i="1"/>
  <c r="G2666" i="1"/>
  <c r="G2703" i="1"/>
  <c r="G2721" i="1"/>
  <c r="G2739" i="1"/>
  <c r="G2745" i="1"/>
  <c r="G2746" i="1"/>
  <c r="G2760" i="1"/>
  <c r="G2761" i="1"/>
  <c r="G2774" i="1"/>
  <c r="G2775" i="1"/>
  <c r="G2780" i="1"/>
  <c r="G2781" i="1"/>
  <c r="G2782" i="1"/>
  <c r="G2790" i="1"/>
  <c r="G2797" i="1"/>
  <c r="G2816" i="1"/>
  <c r="G2837" i="1"/>
  <c r="G2838" i="1"/>
  <c r="G2847" i="1"/>
  <c r="G2853" i="1"/>
  <c r="G2854" i="1"/>
  <c r="G2874" i="1"/>
  <c r="G2882" i="1"/>
  <c r="G2883" i="1"/>
  <c r="G2884" i="1"/>
  <c r="G2888" i="1"/>
  <c r="G2900" i="1"/>
  <c r="G2919" i="1"/>
  <c r="G2928" i="1"/>
  <c r="G2957" i="1"/>
  <c r="G2958" i="1"/>
  <c r="G2970" i="1"/>
  <c r="G2971" i="1"/>
  <c r="G2972" i="1"/>
  <c r="G2993" i="1"/>
  <c r="G3023" i="1"/>
  <c r="G3024" i="1"/>
  <c r="G3028" i="1"/>
  <c r="G3029" i="1"/>
  <c r="G3039" i="1"/>
  <c r="G3050" i="1"/>
  <c r="G3051" i="1"/>
  <c r="G3076" i="1"/>
  <c r="G3077" i="1"/>
  <c r="G3090" i="1"/>
  <c r="G3113" i="1"/>
  <c r="G3114" i="1"/>
  <c r="G3122" i="1"/>
  <c r="G3127" i="1"/>
  <c r="BM7" i="3"/>
  <c r="BM8" i="3"/>
  <c r="BM9" i="3"/>
  <c r="BM10" i="3"/>
  <c r="BM6" i="3"/>
  <c r="BL7" i="3"/>
  <c r="BL8" i="3"/>
  <c r="BL9" i="3"/>
  <c r="BL10" i="3"/>
  <c r="BL6" i="3"/>
  <c r="I6" i="3"/>
  <c r="AE7" i="3"/>
  <c r="X8" i="3"/>
  <c r="X7" i="3"/>
  <c r="X6" i="3"/>
  <c r="P6" i="3"/>
  <c r="P7" i="3"/>
  <c r="P8" i="3"/>
  <c r="P9" i="3"/>
  <c r="P10" i="3"/>
  <c r="O7" i="3"/>
  <c r="O8" i="3"/>
  <c r="O9" i="3"/>
  <c r="O10" i="3"/>
  <c r="O6" i="3"/>
  <c r="I7" i="3"/>
  <c r="C4" i="1"/>
  <c r="C6" i="1"/>
  <c r="C5" i="1"/>
  <c r="C8" i="1"/>
  <c r="C13" i="1"/>
  <c r="C14" i="1"/>
  <c r="C7" i="1"/>
  <c r="C9" i="1"/>
  <c r="C11" i="1"/>
  <c r="C10" i="1"/>
  <c r="C12" i="1"/>
  <c r="C16" i="1"/>
  <c r="C17" i="1"/>
  <c r="C20" i="1"/>
  <c r="C15" i="1"/>
  <c r="C23" i="1"/>
  <c r="C21" i="1"/>
  <c r="C18" i="1"/>
  <c r="C22" i="1"/>
  <c r="C19" i="1"/>
  <c r="C27" i="1"/>
  <c r="C24" i="1"/>
  <c r="C26" i="1"/>
  <c r="C28" i="1"/>
  <c r="C25" i="1"/>
  <c r="C37" i="1"/>
  <c r="C30" i="1"/>
  <c r="C33" i="1"/>
  <c r="C38" i="1"/>
  <c r="C32" i="1"/>
  <c r="C39" i="1"/>
  <c r="C36" i="1"/>
  <c r="C40" i="1"/>
  <c r="C31" i="1"/>
  <c r="C29" i="1"/>
  <c r="C34" i="1"/>
  <c r="C35" i="1"/>
  <c r="C48" i="1"/>
  <c r="C41" i="1"/>
  <c r="C43" i="1"/>
  <c r="C44" i="1"/>
  <c r="C45" i="1"/>
  <c r="C46" i="1"/>
  <c r="C47" i="1"/>
  <c r="C50" i="1"/>
  <c r="C42" i="1"/>
  <c r="C49" i="1"/>
  <c r="C63" i="1"/>
  <c r="C55" i="1"/>
  <c r="C56" i="1"/>
  <c r="C59" i="1"/>
  <c r="C53" i="1"/>
  <c r="C51" i="1"/>
  <c r="C57" i="1"/>
  <c r="C58" i="1"/>
  <c r="C62" i="1"/>
  <c r="C60" i="1"/>
  <c r="C54" i="1"/>
  <c r="C61" i="1"/>
  <c r="C52" i="1"/>
  <c r="C70" i="1"/>
  <c r="C67" i="1"/>
  <c r="C68" i="1"/>
  <c r="C71" i="1"/>
  <c r="C69" i="1"/>
  <c r="C65" i="1"/>
  <c r="C72" i="1"/>
  <c r="C66" i="1"/>
  <c r="C64" i="1"/>
  <c r="C73" i="1"/>
  <c r="C75" i="1"/>
  <c r="C78" i="1"/>
  <c r="C76" i="1"/>
  <c r="C83" i="1"/>
  <c r="C74" i="1"/>
  <c r="C82" i="1"/>
  <c r="C81" i="1"/>
  <c r="C79" i="1"/>
  <c r="C80" i="1"/>
  <c r="C77" i="1"/>
  <c r="C88" i="1"/>
  <c r="C90" i="1"/>
  <c r="C85" i="1"/>
  <c r="C86" i="1"/>
  <c r="C87" i="1"/>
  <c r="C89" i="1"/>
  <c r="C94" i="1"/>
  <c r="C91" i="1"/>
  <c r="C95" i="1"/>
  <c r="C93" i="1"/>
  <c r="C84" i="1"/>
  <c r="C92" i="1"/>
  <c r="C105" i="1"/>
  <c r="C101" i="1"/>
  <c r="C102" i="1"/>
  <c r="C106" i="1"/>
  <c r="C97" i="1"/>
  <c r="C103" i="1"/>
  <c r="C107" i="1"/>
  <c r="C96" i="1"/>
  <c r="C108" i="1"/>
  <c r="C98" i="1"/>
  <c r="C100" i="1"/>
  <c r="C99" i="1"/>
  <c r="C104" i="1"/>
  <c r="C116" i="1"/>
  <c r="C120" i="1"/>
  <c r="C117" i="1"/>
  <c r="C115" i="1"/>
  <c r="C109" i="1"/>
  <c r="C110" i="1"/>
  <c r="C118" i="1"/>
  <c r="C111" i="1"/>
  <c r="C121" i="1"/>
  <c r="C112" i="1"/>
  <c r="C119" i="1"/>
  <c r="C113" i="1"/>
  <c r="C114" i="1"/>
  <c r="C122" i="1"/>
  <c r="C128" i="1"/>
  <c r="C129" i="1"/>
  <c r="C130" i="1"/>
  <c r="C123" i="1"/>
  <c r="C124" i="1"/>
  <c r="C125" i="1"/>
  <c r="C126" i="1"/>
  <c r="C127" i="1"/>
  <c r="C139" i="1"/>
  <c r="C132" i="1"/>
  <c r="C133" i="1"/>
  <c r="C140" i="1"/>
  <c r="C138" i="1"/>
  <c r="C134" i="1"/>
  <c r="C135" i="1"/>
  <c r="C136" i="1"/>
  <c r="C131" i="1"/>
  <c r="C137" i="1"/>
  <c r="C143" i="1"/>
  <c r="C141" i="1"/>
  <c r="C146" i="1"/>
  <c r="C145" i="1"/>
  <c r="C144" i="1"/>
  <c r="C148" i="1"/>
  <c r="C147" i="1"/>
  <c r="C142" i="1"/>
  <c r="C153" i="1"/>
  <c r="C154" i="1"/>
  <c r="C157" i="1"/>
  <c r="C158" i="1"/>
  <c r="C159" i="1"/>
  <c r="C156" i="1"/>
  <c r="C149" i="1"/>
  <c r="C150" i="1"/>
  <c r="C152" i="1"/>
  <c r="C151" i="1"/>
  <c r="C155" i="1"/>
  <c r="C162" i="1"/>
  <c r="C161" i="1"/>
  <c r="C166" i="1"/>
  <c r="C168" i="1"/>
  <c r="C163" i="1"/>
  <c r="C167" i="1"/>
  <c r="C164" i="1"/>
  <c r="C165" i="1"/>
  <c r="C160" i="1"/>
  <c r="C171" i="1"/>
  <c r="C172" i="1"/>
  <c r="C173" i="1"/>
  <c r="C170" i="1"/>
  <c r="C169" i="1"/>
  <c r="C174" i="1"/>
  <c r="C175" i="1"/>
  <c r="C183" i="1"/>
  <c r="C180" i="1"/>
  <c r="C184" i="1"/>
  <c r="C182" i="1"/>
  <c r="C181" i="1"/>
  <c r="C179" i="1"/>
  <c r="C177" i="1"/>
  <c r="C176" i="1"/>
  <c r="C178" i="1"/>
  <c r="C186" i="1"/>
  <c r="C188" i="1"/>
  <c r="C185" i="1"/>
  <c r="C189" i="1"/>
  <c r="C187" i="1"/>
  <c r="C195" i="1"/>
  <c r="C190" i="1"/>
  <c r="C201" i="1"/>
  <c r="C199" i="1"/>
  <c r="C197" i="1"/>
  <c r="C192" i="1"/>
  <c r="C196" i="1"/>
  <c r="C200" i="1"/>
  <c r="C198" i="1"/>
  <c r="C193" i="1"/>
  <c r="C191" i="1"/>
  <c r="C194" i="1"/>
  <c r="C208" i="1"/>
  <c r="C203" i="1"/>
  <c r="C204" i="1"/>
  <c r="C210" i="1"/>
  <c r="C205" i="1"/>
  <c r="C206" i="1"/>
  <c r="C202" i="1"/>
  <c r="C207" i="1"/>
  <c r="C209" i="1"/>
  <c r="C211" i="1"/>
  <c r="C215" i="1"/>
  <c r="C214" i="1"/>
  <c r="C216" i="1"/>
  <c r="C217" i="1"/>
  <c r="C219" i="1"/>
  <c r="C213" i="1"/>
  <c r="C212" i="1"/>
  <c r="C218" i="1"/>
  <c r="C222" i="1"/>
  <c r="C220" i="1"/>
  <c r="C223" i="1"/>
  <c r="C224" i="1"/>
  <c r="C226" i="1"/>
  <c r="C225" i="1"/>
  <c r="C227" i="1"/>
  <c r="C221" i="1"/>
  <c r="C230" i="1"/>
  <c r="C228" i="1"/>
  <c r="C231" i="1"/>
  <c r="C233" i="1"/>
  <c r="C232" i="1"/>
  <c r="C229" i="1"/>
  <c r="C234" i="1"/>
  <c r="C235" i="1"/>
  <c r="C236" i="1"/>
  <c r="C240" i="1"/>
  <c r="C239" i="1"/>
  <c r="C237" i="1"/>
  <c r="C238" i="1"/>
  <c r="C248" i="1"/>
  <c r="C244" i="1"/>
  <c r="C241" i="1"/>
  <c r="C245" i="1"/>
  <c r="C243" i="1"/>
  <c r="C246" i="1"/>
  <c r="C247" i="1"/>
  <c r="C242" i="1"/>
  <c r="C249" i="1"/>
  <c r="C251" i="1"/>
  <c r="C252" i="1"/>
  <c r="C254" i="1"/>
  <c r="C255" i="1"/>
  <c r="C253" i="1"/>
  <c r="C250" i="1"/>
  <c r="C262" i="1"/>
  <c r="C256" i="1"/>
  <c r="C263" i="1"/>
  <c r="C257" i="1"/>
  <c r="C259" i="1"/>
  <c r="C260" i="1"/>
  <c r="C258" i="1"/>
  <c r="C261" i="1"/>
  <c r="C266" i="1"/>
  <c r="C269" i="1"/>
  <c r="C267" i="1"/>
  <c r="C270" i="1"/>
  <c r="C268" i="1"/>
  <c r="C264" i="1"/>
  <c r="C265" i="1"/>
  <c r="C271" i="1"/>
  <c r="C278" i="1"/>
  <c r="C277" i="1"/>
  <c r="C274" i="1"/>
  <c r="C276" i="1"/>
  <c r="C272" i="1"/>
  <c r="C275" i="1"/>
  <c r="C273" i="1"/>
  <c r="C283" i="1"/>
  <c r="C280" i="1"/>
  <c r="C279" i="1"/>
  <c r="C281" i="1"/>
  <c r="C284" i="1"/>
  <c r="C282" i="1"/>
  <c r="C285" i="1"/>
  <c r="C286" i="1"/>
  <c r="C287" i="1"/>
  <c r="C288" i="1"/>
  <c r="C293" i="1"/>
  <c r="C290" i="1"/>
  <c r="C289" i="1"/>
  <c r="C291" i="1"/>
  <c r="C292" i="1"/>
  <c r="C295" i="1"/>
  <c r="C294" i="1"/>
  <c r="C296" i="1"/>
  <c r="C301" i="1"/>
  <c r="C302" i="1"/>
  <c r="C297" i="1"/>
  <c r="C304" i="1"/>
  <c r="C298" i="1"/>
  <c r="C300" i="1"/>
  <c r="C303" i="1"/>
  <c r="C299" i="1"/>
  <c r="C309" i="1"/>
  <c r="C307" i="1"/>
  <c r="C310" i="1"/>
  <c r="C305" i="1"/>
  <c r="C306" i="1"/>
  <c r="C308" i="1"/>
  <c r="C315" i="1"/>
  <c r="C312" i="1"/>
  <c r="C311" i="1"/>
  <c r="C313" i="1"/>
  <c r="C314" i="1"/>
  <c r="C322" i="1"/>
  <c r="C316" i="1"/>
  <c r="C320" i="1"/>
  <c r="C318" i="1"/>
  <c r="C323" i="1"/>
  <c r="C319" i="1"/>
  <c r="C324" i="1"/>
  <c r="C317" i="1"/>
  <c r="C321" i="1"/>
  <c r="C326" i="1"/>
  <c r="C327" i="1"/>
  <c r="C325" i="1"/>
  <c r="C330" i="1"/>
  <c r="C328" i="1"/>
  <c r="C329" i="1"/>
  <c r="C334" i="1"/>
  <c r="C332" i="1"/>
  <c r="C335" i="1"/>
  <c r="C333" i="1"/>
  <c r="C331" i="1"/>
  <c r="C336" i="1"/>
  <c r="C338" i="1"/>
  <c r="C340" i="1"/>
  <c r="C341" i="1"/>
  <c r="C344" i="1"/>
  <c r="C342" i="1"/>
  <c r="C346" i="1"/>
  <c r="C339" i="1"/>
  <c r="C343" i="1"/>
  <c r="C345" i="1"/>
  <c r="C337" i="1"/>
  <c r="C354" i="1"/>
  <c r="C352" i="1"/>
  <c r="C348" i="1"/>
  <c r="C349" i="1"/>
  <c r="C353" i="1"/>
  <c r="C351" i="1"/>
  <c r="C356" i="1"/>
  <c r="C358" i="1"/>
  <c r="C350" i="1"/>
  <c r="C359" i="1"/>
  <c r="C357" i="1"/>
  <c r="C347" i="1"/>
  <c r="C355" i="1"/>
  <c r="C362" i="1"/>
  <c r="C360" i="1"/>
  <c r="C364" i="1"/>
  <c r="C361" i="1"/>
  <c r="C363" i="1"/>
  <c r="C366" i="1"/>
  <c r="C365" i="1"/>
  <c r="C367" i="1"/>
  <c r="C372" i="1"/>
  <c r="C374" i="1"/>
  <c r="C370" i="1"/>
  <c r="C368" i="1"/>
  <c r="C375" i="1"/>
  <c r="C376" i="1"/>
  <c r="C371" i="1"/>
  <c r="C369" i="1"/>
  <c r="C373" i="1"/>
  <c r="C383" i="1"/>
  <c r="C377" i="1"/>
  <c r="C381" i="1"/>
  <c r="C378" i="1"/>
  <c r="C379" i="1"/>
  <c r="C380" i="1"/>
  <c r="C382" i="1"/>
  <c r="C390" i="1"/>
  <c r="C386" i="1"/>
  <c r="C387" i="1"/>
  <c r="C384" i="1"/>
  <c r="C388" i="1"/>
  <c r="C385" i="1"/>
  <c r="C389" i="1"/>
  <c r="C393" i="1"/>
  <c r="C395" i="1"/>
  <c r="C396" i="1"/>
  <c r="C394" i="1"/>
  <c r="C391" i="1"/>
  <c r="C397" i="1"/>
  <c r="C398" i="1"/>
  <c r="C399" i="1"/>
  <c r="C392" i="1"/>
  <c r="C407" i="1"/>
  <c r="C400" i="1"/>
  <c r="C408" i="1"/>
  <c r="C401" i="1"/>
  <c r="C402" i="1"/>
  <c r="C403" i="1"/>
  <c r="C404" i="1"/>
  <c r="C405" i="1"/>
  <c r="C406" i="1"/>
  <c r="C413" i="1"/>
  <c r="C412" i="1"/>
  <c r="C411" i="1"/>
  <c r="C409" i="1"/>
  <c r="C414" i="1"/>
  <c r="C416" i="1"/>
  <c r="C415" i="1"/>
  <c r="C410" i="1"/>
  <c r="C422" i="1"/>
  <c r="C421" i="1"/>
  <c r="C424" i="1"/>
  <c r="C423" i="1"/>
  <c r="C426" i="1"/>
  <c r="C417" i="1"/>
  <c r="C418" i="1"/>
  <c r="C419" i="1"/>
  <c r="C427" i="1"/>
  <c r="C428" i="1"/>
  <c r="C420" i="1"/>
  <c r="C425" i="1"/>
  <c r="C432" i="1"/>
  <c r="C436" i="1"/>
  <c r="C429" i="1"/>
  <c r="C437" i="1"/>
  <c r="C430" i="1"/>
  <c r="C433" i="1"/>
  <c r="C438" i="1"/>
  <c r="C440" i="1"/>
  <c r="C431" i="1"/>
  <c r="C434" i="1"/>
  <c r="C441" i="1"/>
  <c r="C439" i="1"/>
  <c r="C435" i="1"/>
  <c r="C446" i="1"/>
  <c r="C450" i="1"/>
  <c r="C447" i="1"/>
  <c r="C442" i="1"/>
  <c r="C452" i="1"/>
  <c r="C451" i="1"/>
  <c r="C448" i="1"/>
  <c r="C443" i="1"/>
  <c r="C444" i="1"/>
  <c r="C445" i="1"/>
  <c r="C449" i="1"/>
  <c r="C453" i="1"/>
  <c r="C456" i="1"/>
  <c r="C459" i="1"/>
  <c r="C457" i="1"/>
  <c r="C458" i="1"/>
  <c r="C454" i="1"/>
  <c r="C455" i="1"/>
  <c r="C460" i="1"/>
  <c r="C462" i="1"/>
  <c r="C461" i="1"/>
  <c r="C468" i="1"/>
  <c r="C470" i="1"/>
  <c r="C473" i="1"/>
  <c r="C469" i="1"/>
  <c r="C474" i="1"/>
  <c r="C465" i="1"/>
  <c r="C471" i="1"/>
  <c r="C472" i="1"/>
  <c r="C466" i="1"/>
  <c r="C467" i="1"/>
  <c r="C463" i="1"/>
  <c r="C464" i="1"/>
  <c r="C475" i="1"/>
  <c r="C483" i="1"/>
  <c r="C479" i="1"/>
  <c r="C482" i="1"/>
  <c r="C484" i="1"/>
  <c r="C485" i="1"/>
  <c r="C476" i="1"/>
  <c r="C486" i="1"/>
  <c r="C480" i="1"/>
  <c r="C477" i="1"/>
  <c r="C478" i="1"/>
  <c r="C481" i="1"/>
  <c r="C487" i="1"/>
  <c r="C493" i="1"/>
  <c r="C489" i="1"/>
  <c r="C495" i="1"/>
  <c r="C490" i="1"/>
  <c r="C494" i="1"/>
  <c r="C497" i="1"/>
  <c r="C491" i="1"/>
  <c r="C488" i="1"/>
  <c r="C496" i="1"/>
  <c r="C492" i="1"/>
  <c r="C500" i="1"/>
  <c r="C498" i="1"/>
  <c r="C504" i="1"/>
  <c r="C508" i="1"/>
  <c r="C501" i="1"/>
  <c r="C505" i="1"/>
  <c r="C509" i="1"/>
  <c r="C510" i="1"/>
  <c r="C502" i="1"/>
  <c r="C506" i="1"/>
  <c r="C507" i="1"/>
  <c r="C499" i="1"/>
  <c r="C503" i="1"/>
  <c r="C511" i="1"/>
  <c r="C517" i="1"/>
  <c r="C512" i="1"/>
  <c r="C514" i="1"/>
  <c r="C515" i="1"/>
  <c r="C518" i="1"/>
  <c r="C513" i="1"/>
  <c r="C516" i="1"/>
  <c r="C519" i="1"/>
  <c r="C525" i="1"/>
  <c r="C527" i="1"/>
  <c r="C520" i="1"/>
  <c r="C521" i="1"/>
  <c r="C523" i="1"/>
  <c r="C524" i="1"/>
  <c r="C522" i="1"/>
  <c r="C526" i="1"/>
  <c r="C532" i="1"/>
  <c r="C533" i="1"/>
  <c r="C529" i="1"/>
  <c r="C534" i="1"/>
  <c r="C535" i="1"/>
  <c r="C530" i="1"/>
  <c r="C528" i="1"/>
  <c r="C531" i="1"/>
  <c r="C543" i="1"/>
  <c r="C540" i="1"/>
  <c r="C546" i="1"/>
  <c r="C536" i="1"/>
  <c r="C541" i="1"/>
  <c r="C537" i="1"/>
  <c r="C542" i="1"/>
  <c r="C538" i="1"/>
  <c r="C544" i="1"/>
  <c r="C548" i="1"/>
  <c r="C545" i="1"/>
  <c r="C547" i="1"/>
  <c r="C539" i="1"/>
  <c r="C550" i="1"/>
  <c r="C549" i="1"/>
  <c r="C551" i="1"/>
  <c r="C552" i="1"/>
  <c r="C554" i="1"/>
  <c r="C558" i="1"/>
  <c r="C555" i="1"/>
  <c r="C559" i="1"/>
  <c r="C553" i="1"/>
  <c r="C557" i="1"/>
  <c r="C556" i="1"/>
  <c r="C564" i="1"/>
  <c r="C563" i="1"/>
  <c r="C560" i="1"/>
  <c r="C565" i="1"/>
  <c r="C566" i="1"/>
  <c r="C561" i="1"/>
  <c r="C562" i="1"/>
  <c r="C573" i="1"/>
  <c r="C569" i="1"/>
  <c r="C574" i="1"/>
  <c r="C568" i="1"/>
  <c r="C570" i="1"/>
  <c r="C572" i="1"/>
  <c r="C571" i="1"/>
  <c r="C567" i="1"/>
  <c r="C575" i="1"/>
  <c r="C577" i="1"/>
  <c r="C579" i="1"/>
  <c r="C576" i="1"/>
  <c r="C580" i="1"/>
  <c r="C578" i="1"/>
  <c r="C581" i="1"/>
  <c r="C583" i="1"/>
  <c r="C582" i="1"/>
  <c r="C594" i="1"/>
  <c r="C590" i="1"/>
  <c r="C591" i="1"/>
  <c r="C586" i="1"/>
  <c r="C595" i="1"/>
  <c r="C588" i="1"/>
  <c r="C585" i="1"/>
  <c r="C584" i="1"/>
  <c r="C589" i="1"/>
  <c r="C597" i="1"/>
  <c r="C587" i="1"/>
  <c r="C592" i="1"/>
  <c r="C596" i="1"/>
  <c r="C593" i="1"/>
  <c r="C601" i="1"/>
  <c r="C602" i="1"/>
  <c r="C598" i="1"/>
  <c r="C599" i="1"/>
  <c r="C600" i="1"/>
  <c r="C604" i="1"/>
  <c r="C603" i="1"/>
  <c r="C612" i="1"/>
  <c r="C609" i="1"/>
  <c r="C607" i="1"/>
  <c r="C610" i="1"/>
  <c r="C611" i="1"/>
  <c r="C613" i="1"/>
  <c r="C614" i="1"/>
  <c r="C615" i="1"/>
  <c r="C605" i="1"/>
  <c r="C606" i="1"/>
  <c r="C608" i="1"/>
  <c r="C617" i="1"/>
  <c r="C618" i="1"/>
  <c r="C620" i="1"/>
  <c r="C621" i="1"/>
  <c r="C619" i="1"/>
  <c r="C616" i="1"/>
  <c r="C622" i="1"/>
  <c r="C626" i="1"/>
  <c r="C623" i="1"/>
  <c r="C627" i="1"/>
  <c r="C629" i="1"/>
  <c r="C624" i="1"/>
  <c r="C625" i="1"/>
  <c r="C628" i="1"/>
  <c r="C630" i="1"/>
  <c r="C635" i="1"/>
  <c r="C632" i="1"/>
  <c r="C636" i="1"/>
  <c r="C637" i="1"/>
  <c r="C631" i="1"/>
  <c r="C633" i="1"/>
  <c r="C634" i="1"/>
  <c r="C643" i="1"/>
  <c r="C638" i="1"/>
  <c r="C639" i="1"/>
  <c r="C640" i="1"/>
  <c r="C642" i="1"/>
  <c r="C641" i="1"/>
  <c r="C646" i="1"/>
  <c r="C649" i="1"/>
  <c r="C648" i="1"/>
  <c r="C647" i="1"/>
  <c r="C645" i="1"/>
  <c r="C650" i="1"/>
  <c r="C651" i="1"/>
  <c r="C644" i="1"/>
  <c r="C654" i="1"/>
  <c r="C653" i="1"/>
  <c r="C652" i="1"/>
  <c r="C655" i="1"/>
  <c r="C657" i="1"/>
  <c r="C658" i="1"/>
  <c r="C656" i="1"/>
  <c r="C659" i="1"/>
  <c r="C660" i="1"/>
  <c r="C661" i="1"/>
  <c r="C663" i="1"/>
  <c r="C670" i="1"/>
  <c r="C671" i="1"/>
  <c r="C665" i="1"/>
  <c r="C666" i="1"/>
  <c r="C667" i="1"/>
  <c r="C668" i="1"/>
  <c r="C662" i="1"/>
  <c r="C664" i="1"/>
  <c r="C669" i="1"/>
  <c r="C673" i="1"/>
  <c r="C675" i="1"/>
  <c r="C677" i="1"/>
  <c r="C680" i="1"/>
  <c r="C674" i="1"/>
  <c r="C672" i="1"/>
  <c r="C678" i="1"/>
  <c r="C679" i="1"/>
  <c r="C676" i="1"/>
  <c r="C681" i="1"/>
  <c r="C684" i="1"/>
  <c r="C685" i="1"/>
  <c r="C686" i="1"/>
  <c r="C682" i="1"/>
  <c r="C683" i="1"/>
  <c r="C687" i="1"/>
  <c r="C688" i="1"/>
  <c r="C698" i="1"/>
  <c r="C689" i="1"/>
  <c r="C695" i="1"/>
  <c r="C696" i="1"/>
  <c r="C699" i="1"/>
  <c r="C700" i="1"/>
  <c r="C691" i="1"/>
  <c r="C693" i="1"/>
  <c r="C697" i="1"/>
  <c r="C702" i="1"/>
  <c r="C690" i="1"/>
  <c r="C694" i="1"/>
  <c r="C692" i="1"/>
  <c r="C701" i="1"/>
  <c r="C710" i="1"/>
  <c r="C707" i="1"/>
  <c r="C709" i="1"/>
  <c r="C703" i="1"/>
  <c r="C711" i="1"/>
  <c r="C705" i="1"/>
  <c r="C704" i="1"/>
  <c r="C706" i="1"/>
  <c r="C708" i="1"/>
  <c r="C712" i="1"/>
  <c r="C713" i="1"/>
  <c r="C714" i="1"/>
  <c r="C715" i="1"/>
  <c r="C720" i="1"/>
  <c r="C725" i="1"/>
  <c r="C717" i="1"/>
  <c r="C723" i="1"/>
  <c r="C726" i="1"/>
  <c r="C724" i="1"/>
  <c r="C718" i="1"/>
  <c r="C716" i="1"/>
  <c r="C722" i="1"/>
  <c r="C721" i="1"/>
  <c r="C719" i="1"/>
  <c r="C727" i="1"/>
  <c r="C728" i="1"/>
  <c r="C731" i="1"/>
  <c r="C729" i="1"/>
  <c r="C732" i="1"/>
  <c r="C730" i="1"/>
  <c r="C733" i="1"/>
  <c r="C734" i="1"/>
  <c r="C736" i="1"/>
  <c r="C737" i="1"/>
  <c r="C738" i="1"/>
  <c r="C735" i="1"/>
  <c r="C744" i="1"/>
  <c r="C741" i="1"/>
  <c r="C743" i="1"/>
  <c r="C739" i="1"/>
  <c r="C740" i="1"/>
  <c r="C742" i="1"/>
  <c r="C745" i="1"/>
  <c r="C751" i="1"/>
  <c r="C753" i="1"/>
  <c r="C750" i="1"/>
  <c r="C748" i="1"/>
  <c r="C749" i="1"/>
  <c r="C747" i="1"/>
  <c r="C752" i="1"/>
  <c r="C754" i="1"/>
  <c r="C746" i="1"/>
  <c r="C764" i="1"/>
  <c r="C757" i="1"/>
  <c r="C756" i="1"/>
  <c r="C762" i="1"/>
  <c r="C758" i="1"/>
  <c r="C766" i="1"/>
  <c r="C767" i="1"/>
  <c r="C765" i="1"/>
  <c r="C760" i="1"/>
  <c r="C755" i="1"/>
  <c r="C761" i="1"/>
  <c r="C763" i="1"/>
  <c r="C759" i="1"/>
  <c r="C773" i="1"/>
  <c r="C768" i="1"/>
  <c r="C774" i="1"/>
  <c r="C775" i="1"/>
  <c r="C770" i="1"/>
  <c r="C776" i="1"/>
  <c r="C769" i="1"/>
  <c r="C777" i="1"/>
  <c r="C771" i="1"/>
  <c r="C772" i="1"/>
  <c r="C778" i="1"/>
  <c r="C780" i="1"/>
  <c r="C781" i="1"/>
  <c r="C779" i="1"/>
  <c r="C782" i="1"/>
  <c r="C784" i="1"/>
  <c r="C783" i="1"/>
  <c r="C788" i="1"/>
  <c r="C790" i="1"/>
  <c r="C791" i="1"/>
  <c r="C785" i="1"/>
  <c r="C786" i="1"/>
  <c r="C787" i="1"/>
  <c r="C792" i="1"/>
  <c r="C789" i="1"/>
  <c r="C794" i="1"/>
  <c r="C795" i="1"/>
  <c r="C802" i="1"/>
  <c r="C798" i="1"/>
  <c r="C793" i="1"/>
  <c r="C799" i="1"/>
  <c r="C796" i="1"/>
  <c r="C800" i="1"/>
  <c r="C797" i="1"/>
  <c r="C801" i="1"/>
  <c r="C812" i="1"/>
  <c r="C810" i="1"/>
  <c r="C803" i="1"/>
  <c r="C804" i="1"/>
  <c r="C805" i="1"/>
  <c r="C813" i="1"/>
  <c r="C806" i="1"/>
  <c r="C807" i="1"/>
  <c r="C814" i="1"/>
  <c r="C811" i="1"/>
  <c r="C808" i="1"/>
  <c r="C809" i="1"/>
  <c r="C821" i="1"/>
  <c r="C825" i="1"/>
  <c r="C816" i="1"/>
  <c r="C822" i="1"/>
  <c r="C824" i="1"/>
  <c r="C817" i="1"/>
  <c r="C818" i="1"/>
  <c r="C815" i="1"/>
  <c r="C819" i="1"/>
  <c r="C823" i="1"/>
  <c r="C820" i="1"/>
  <c r="C826" i="1"/>
  <c r="C829" i="1"/>
  <c r="C827" i="1"/>
  <c r="C828" i="1"/>
  <c r="C832" i="1"/>
  <c r="C833" i="1"/>
  <c r="C834" i="1"/>
  <c r="C830" i="1"/>
  <c r="C831" i="1"/>
  <c r="C844" i="1"/>
  <c r="C838" i="1"/>
  <c r="C842" i="1"/>
  <c r="C835" i="1"/>
  <c r="C839" i="1"/>
  <c r="C843" i="1"/>
  <c r="C836" i="1"/>
  <c r="C837" i="1"/>
  <c r="C840" i="1"/>
  <c r="C841" i="1"/>
  <c r="C845" i="1"/>
  <c r="C854" i="1"/>
  <c r="C848" i="1"/>
  <c r="C851" i="1"/>
  <c r="C852" i="1"/>
  <c r="C849" i="1"/>
  <c r="C846" i="1"/>
  <c r="C855" i="1"/>
  <c r="C856" i="1"/>
  <c r="C853" i="1"/>
  <c r="C847" i="1"/>
  <c r="C857" i="1"/>
  <c r="C850" i="1"/>
  <c r="C859" i="1"/>
  <c r="C858" i="1"/>
  <c r="C860" i="1"/>
  <c r="C864" i="1"/>
  <c r="C865" i="1"/>
  <c r="C863" i="1"/>
  <c r="C866" i="1"/>
  <c r="C862" i="1"/>
  <c r="C861" i="1"/>
  <c r="C871" i="1"/>
  <c r="C874" i="1"/>
  <c r="C867" i="1"/>
  <c r="C868" i="1"/>
  <c r="C875" i="1"/>
  <c r="C872" i="1"/>
  <c r="C876" i="1"/>
  <c r="C873" i="1"/>
  <c r="C869" i="1"/>
  <c r="C870" i="1"/>
  <c r="C877" i="1"/>
  <c r="C881" i="1"/>
  <c r="C882" i="1"/>
  <c r="C884" i="1"/>
  <c r="C885" i="1"/>
  <c r="C878" i="1"/>
  <c r="C879" i="1"/>
  <c r="C880" i="1"/>
  <c r="C883" i="1"/>
  <c r="C888" i="1"/>
  <c r="C889" i="1"/>
  <c r="C886" i="1"/>
  <c r="C891" i="1"/>
  <c r="C890" i="1"/>
  <c r="C892" i="1"/>
  <c r="C893" i="1"/>
  <c r="C887" i="1"/>
  <c r="C894" i="1"/>
  <c r="C897" i="1"/>
  <c r="C895" i="1"/>
  <c r="C896" i="1"/>
  <c r="C898" i="1"/>
  <c r="C905" i="1"/>
  <c r="C901" i="1"/>
  <c r="C903" i="1"/>
  <c r="C908" i="1"/>
  <c r="C902" i="1"/>
  <c r="C899" i="1"/>
  <c r="C900" i="1"/>
  <c r="C906" i="1"/>
  <c r="C909" i="1"/>
  <c r="C904" i="1"/>
  <c r="C907" i="1"/>
  <c r="C916" i="1"/>
  <c r="C912" i="1"/>
  <c r="C910" i="1"/>
  <c r="C913" i="1"/>
  <c r="C911" i="1"/>
  <c r="C914" i="1"/>
  <c r="C915" i="1"/>
  <c r="C917" i="1"/>
  <c r="C921" i="1"/>
  <c r="C920" i="1"/>
  <c r="C919" i="1"/>
  <c r="C918" i="1"/>
  <c r="C928" i="1"/>
  <c r="C925" i="1"/>
  <c r="C929" i="1"/>
  <c r="C922" i="1"/>
  <c r="C927" i="1"/>
  <c r="C923" i="1"/>
  <c r="C926" i="1"/>
  <c r="C924" i="1"/>
  <c r="C938" i="1"/>
  <c r="C932" i="1"/>
  <c r="C935" i="1"/>
  <c r="C930" i="1"/>
  <c r="C936" i="1"/>
  <c r="C934" i="1"/>
  <c r="C931" i="1"/>
  <c r="C933" i="1"/>
  <c r="C937" i="1"/>
  <c r="C943" i="1"/>
  <c r="C940" i="1"/>
  <c r="C942" i="1"/>
  <c r="C939" i="1"/>
  <c r="C941" i="1"/>
  <c r="C944" i="1"/>
  <c r="C952" i="1"/>
  <c r="C949" i="1"/>
  <c r="C950" i="1"/>
  <c r="C946" i="1"/>
  <c r="C947" i="1"/>
  <c r="C951" i="1"/>
  <c r="C945" i="1"/>
  <c r="C948" i="1"/>
  <c r="C954" i="1"/>
  <c r="C953" i="1"/>
  <c r="C957" i="1"/>
  <c r="C956" i="1"/>
  <c r="C955" i="1"/>
  <c r="C963" i="1"/>
  <c r="C959" i="1"/>
  <c r="C962" i="1"/>
  <c r="C964" i="1"/>
  <c r="C960" i="1"/>
  <c r="C961" i="1"/>
  <c r="C958" i="1"/>
  <c r="C965" i="1"/>
  <c r="C973" i="1"/>
  <c r="C969" i="1"/>
  <c r="C976" i="1"/>
  <c r="C978" i="1"/>
  <c r="C966" i="1"/>
  <c r="C970" i="1"/>
  <c r="C974" i="1"/>
  <c r="C967" i="1"/>
  <c r="C971" i="1"/>
  <c r="C975" i="1"/>
  <c r="C979" i="1"/>
  <c r="C972" i="1"/>
  <c r="C968" i="1"/>
  <c r="C977" i="1"/>
  <c r="C982" i="1"/>
  <c r="C983" i="1"/>
  <c r="C980" i="1"/>
  <c r="C986" i="1"/>
  <c r="C984" i="1"/>
  <c r="C985" i="1"/>
  <c r="C981" i="1"/>
  <c r="C988" i="1"/>
  <c r="C996" i="1"/>
  <c r="C993" i="1"/>
  <c r="C997" i="1"/>
  <c r="C989" i="1"/>
  <c r="C994" i="1"/>
  <c r="C990" i="1"/>
  <c r="C995" i="1"/>
  <c r="C987" i="1"/>
  <c r="C991" i="1"/>
  <c r="C992" i="1"/>
  <c r="C1000" i="1"/>
  <c r="C1002" i="1"/>
  <c r="C998" i="1"/>
  <c r="C1004" i="1"/>
  <c r="C1005" i="1"/>
  <c r="C1001" i="1"/>
  <c r="C1003" i="1"/>
  <c r="C999" i="1"/>
  <c r="C1009" i="1"/>
  <c r="C1013" i="1"/>
  <c r="C1006" i="1"/>
  <c r="C1014" i="1"/>
  <c r="C1010" i="1"/>
  <c r="C1011" i="1"/>
  <c r="C1007" i="1"/>
  <c r="C1008" i="1"/>
  <c r="C1012" i="1"/>
  <c r="C1021" i="1"/>
  <c r="C1024" i="1"/>
  <c r="C1022" i="1"/>
  <c r="C1019" i="1"/>
  <c r="C1020" i="1"/>
  <c r="C1025" i="1"/>
  <c r="C1026" i="1"/>
  <c r="C1027" i="1"/>
  <c r="C1016" i="1"/>
  <c r="C1017" i="1"/>
  <c r="C1023" i="1"/>
  <c r="C1015" i="1"/>
  <c r="C1018" i="1"/>
  <c r="C1029" i="1"/>
  <c r="C1034" i="1"/>
  <c r="C1032" i="1"/>
  <c r="C1033" i="1"/>
  <c r="C1031" i="1"/>
  <c r="C1035" i="1"/>
  <c r="C1028" i="1"/>
  <c r="C1036" i="1"/>
  <c r="C1037" i="1"/>
  <c r="C1030" i="1"/>
  <c r="C1038" i="1"/>
  <c r="C1043" i="1"/>
  <c r="C1045" i="1"/>
  <c r="C1044" i="1"/>
  <c r="C1039" i="1"/>
  <c r="C1040" i="1"/>
  <c r="C1046" i="1"/>
  <c r="C1041" i="1"/>
  <c r="C1042" i="1"/>
  <c r="C1049" i="1"/>
  <c r="C1051" i="1"/>
  <c r="C1047" i="1"/>
  <c r="C1048" i="1"/>
  <c r="C1054" i="1"/>
  <c r="C1052" i="1"/>
  <c r="C1053" i="1"/>
  <c r="C1050" i="1"/>
  <c r="C1055" i="1"/>
  <c r="C1056" i="1"/>
  <c r="C1057" i="1"/>
  <c r="C1064" i="1"/>
  <c r="C1063" i="1"/>
  <c r="C1060" i="1"/>
  <c r="C1061" i="1"/>
  <c r="C1062" i="1"/>
  <c r="C1059" i="1"/>
  <c r="C1065" i="1"/>
  <c r="C1058" i="1"/>
  <c r="C1067" i="1"/>
  <c r="C1066" i="1"/>
  <c r="C1069" i="1"/>
  <c r="C1068" i="1"/>
  <c r="C1071" i="1"/>
  <c r="C1070" i="1"/>
  <c r="C1077" i="1"/>
  <c r="C1074" i="1"/>
  <c r="C1075" i="1"/>
  <c r="C1072" i="1"/>
  <c r="C1076" i="1"/>
  <c r="C1073" i="1"/>
  <c r="C1078" i="1"/>
  <c r="C1082" i="1"/>
  <c r="C1083" i="1"/>
  <c r="C1081" i="1"/>
  <c r="C1079" i="1"/>
  <c r="C1080" i="1"/>
  <c r="C1089" i="1"/>
  <c r="C1084" i="1"/>
  <c r="C1090" i="1"/>
  <c r="C1088" i="1"/>
  <c r="C1085" i="1"/>
  <c r="C1091" i="1"/>
  <c r="C1086" i="1"/>
  <c r="C1087" i="1"/>
  <c r="C1096" i="1"/>
  <c r="C1093" i="1"/>
  <c r="C1097" i="1"/>
  <c r="C1099" i="1"/>
  <c r="C1098" i="1"/>
  <c r="C1092" i="1"/>
  <c r="C1094" i="1"/>
  <c r="C1095" i="1"/>
  <c r="C1107" i="1"/>
  <c r="C1108" i="1"/>
  <c r="C1105" i="1"/>
  <c r="C1111" i="1"/>
  <c r="C1101" i="1"/>
  <c r="C1102" i="1"/>
  <c r="C1100" i="1"/>
  <c r="C1104" i="1"/>
  <c r="C1103" i="1"/>
  <c r="C1112" i="1"/>
  <c r="C1106" i="1"/>
  <c r="C1109" i="1"/>
  <c r="C1110" i="1"/>
  <c r="C1114" i="1"/>
  <c r="C1117" i="1"/>
  <c r="C1118" i="1"/>
  <c r="C1115" i="1"/>
  <c r="C1116" i="1"/>
  <c r="C1113" i="1"/>
  <c r="C1119" i="1"/>
  <c r="C1120" i="1"/>
  <c r="C1123" i="1"/>
  <c r="C1124" i="1"/>
  <c r="C1125" i="1"/>
  <c r="C1121" i="1"/>
  <c r="C1122" i="1"/>
  <c r="C1127" i="1"/>
  <c r="C1129" i="1"/>
  <c r="C1128" i="1"/>
  <c r="C1126" i="1"/>
  <c r="C1130" i="1"/>
  <c r="C1131" i="1"/>
  <c r="C1132" i="1"/>
  <c r="C1133" i="1"/>
  <c r="C1134" i="1"/>
  <c r="C1135" i="1"/>
  <c r="C1142" i="1"/>
  <c r="C1143" i="1"/>
  <c r="C1139" i="1"/>
  <c r="C1136" i="1"/>
  <c r="C1144" i="1"/>
  <c r="C1141" i="1"/>
  <c r="C1146" i="1"/>
  <c r="C1137" i="1"/>
  <c r="C1140" i="1"/>
  <c r="C1138" i="1"/>
  <c r="C1145" i="1"/>
  <c r="C1150" i="1"/>
  <c r="C1151" i="1"/>
  <c r="C1152" i="1"/>
  <c r="C1154" i="1"/>
  <c r="C1155" i="1"/>
  <c r="C1153" i="1"/>
  <c r="C1147" i="1"/>
  <c r="C1148" i="1"/>
  <c r="C1156" i="1"/>
  <c r="C1149" i="1"/>
  <c r="C1158" i="1"/>
  <c r="C1157" i="1"/>
  <c r="C1163" i="1"/>
  <c r="C1167" i="1"/>
  <c r="C1168" i="1"/>
  <c r="C1166" i="1"/>
  <c r="C1159" i="1"/>
  <c r="C1164" i="1"/>
  <c r="C1160" i="1"/>
  <c r="C1161" i="1"/>
  <c r="C1162" i="1"/>
  <c r="C1165" i="1"/>
  <c r="C1175" i="1"/>
  <c r="C1179" i="1"/>
  <c r="C1173" i="1"/>
  <c r="C1176" i="1"/>
  <c r="C1170" i="1"/>
  <c r="C1174" i="1"/>
  <c r="C1177" i="1"/>
  <c r="C1171" i="1"/>
  <c r="C1172" i="1"/>
  <c r="C1178" i="1"/>
  <c r="C1169" i="1"/>
  <c r="C1187" i="1"/>
  <c r="C1183" i="1"/>
  <c r="C1180" i="1"/>
  <c r="C1188" i="1"/>
  <c r="C1181" i="1"/>
  <c r="C1189" i="1"/>
  <c r="C1185" i="1"/>
  <c r="C1186" i="1"/>
  <c r="C1191" i="1"/>
  <c r="C1182" i="1"/>
  <c r="C1184" i="1"/>
  <c r="C1190" i="1"/>
  <c r="C1193" i="1"/>
  <c r="C1195" i="1"/>
  <c r="C1194" i="1"/>
  <c r="C1192" i="1"/>
  <c r="C1198" i="1"/>
  <c r="C1199" i="1"/>
  <c r="C1200" i="1"/>
  <c r="C1201" i="1"/>
  <c r="C1197" i="1"/>
  <c r="C1196" i="1"/>
  <c r="C1202" i="1"/>
  <c r="C1203" i="1"/>
  <c r="C1209" i="1"/>
  <c r="C1204" i="1"/>
  <c r="C1208" i="1"/>
  <c r="C1206" i="1"/>
  <c r="C1205" i="1"/>
  <c r="C1207" i="1"/>
  <c r="C1212" i="1"/>
  <c r="C1213" i="1"/>
  <c r="C1218" i="1"/>
  <c r="C1214" i="1"/>
  <c r="C1210" i="1"/>
  <c r="C1215" i="1"/>
  <c r="C1216" i="1"/>
  <c r="C1217" i="1"/>
  <c r="C1219" i="1"/>
  <c r="C1211" i="1"/>
  <c r="C1220" i="1"/>
  <c r="C1225" i="1"/>
  <c r="C1226" i="1"/>
  <c r="C1222" i="1"/>
  <c r="C1223" i="1"/>
  <c r="C1229" i="1"/>
  <c r="C1221" i="1"/>
  <c r="C1227" i="1"/>
  <c r="C1228" i="1"/>
  <c r="C1224" i="1"/>
  <c r="C1238" i="1"/>
  <c r="C1235" i="1"/>
  <c r="C1237" i="1"/>
  <c r="C1234" i="1"/>
  <c r="C1239" i="1"/>
  <c r="C1236" i="1"/>
  <c r="C1231" i="1"/>
  <c r="C1230" i="1"/>
  <c r="C1232" i="1"/>
  <c r="C1233" i="1"/>
  <c r="C1242" i="1"/>
  <c r="C1244" i="1"/>
  <c r="C1241" i="1"/>
  <c r="C1245" i="1"/>
  <c r="C1240" i="1"/>
  <c r="C1246" i="1"/>
  <c r="C1243" i="1"/>
  <c r="C1248" i="1"/>
  <c r="C1251" i="1"/>
  <c r="C1252" i="1"/>
  <c r="C1253" i="1"/>
  <c r="C1247" i="1"/>
  <c r="C1250" i="1"/>
  <c r="C1249" i="1"/>
  <c r="C1258" i="1"/>
  <c r="C1262" i="1"/>
  <c r="C1259" i="1"/>
  <c r="C1254" i="1"/>
  <c r="C1255" i="1"/>
  <c r="C1260" i="1"/>
  <c r="C1256" i="1"/>
  <c r="C1261" i="1"/>
  <c r="C1263" i="1"/>
  <c r="C1264" i="1"/>
  <c r="C1257" i="1"/>
  <c r="C1265" i="1"/>
  <c r="C1273" i="1"/>
  <c r="C1266" i="1"/>
  <c r="C1272" i="1"/>
  <c r="C1270" i="1"/>
  <c r="C1269" i="1"/>
  <c r="C1267" i="1"/>
  <c r="C1271" i="1"/>
  <c r="C1268" i="1"/>
  <c r="C1274" i="1"/>
  <c r="C1279" i="1"/>
  <c r="C1275" i="1"/>
  <c r="C1280" i="1"/>
  <c r="C1277" i="1"/>
  <c r="C1282" i="1"/>
  <c r="C1283" i="1"/>
  <c r="C1281" i="1"/>
  <c r="C1278" i="1"/>
  <c r="C1276" i="1"/>
  <c r="C1284" i="1"/>
  <c r="C1287" i="1"/>
  <c r="C1288" i="1"/>
  <c r="C1289" i="1"/>
  <c r="C1290" i="1"/>
  <c r="C1293" i="1"/>
  <c r="C1286" i="1"/>
  <c r="C1285" i="1"/>
  <c r="C1291" i="1"/>
  <c r="C1292" i="1"/>
  <c r="C1294" i="1"/>
  <c r="C1295" i="1"/>
  <c r="C1305" i="1"/>
  <c r="C1302" i="1"/>
  <c r="C1297" i="1"/>
  <c r="C1301" i="1"/>
  <c r="C1298" i="1"/>
  <c r="C1296" i="1"/>
  <c r="C1306" i="1"/>
  <c r="C1303" i="1"/>
  <c r="C1304" i="1"/>
  <c r="C1299" i="1"/>
  <c r="C1307" i="1"/>
  <c r="C1300" i="1"/>
  <c r="C1309" i="1"/>
  <c r="C1308" i="1"/>
  <c r="C1321" i="1"/>
  <c r="C1322" i="1"/>
  <c r="C1313" i="1"/>
  <c r="C1316" i="1"/>
  <c r="C1317" i="1"/>
  <c r="C1323" i="1"/>
  <c r="C1314" i="1"/>
  <c r="C1318" i="1"/>
  <c r="C1311" i="1"/>
  <c r="C1319" i="1"/>
  <c r="C1315" i="1"/>
  <c r="C1310" i="1"/>
  <c r="C1320" i="1"/>
  <c r="C1312" i="1"/>
  <c r="C1325" i="1"/>
  <c r="C1326" i="1"/>
  <c r="C1328" i="1"/>
  <c r="C1324" i="1"/>
  <c r="C1329" i="1"/>
  <c r="C1327" i="1"/>
  <c r="C1334" i="1"/>
  <c r="C1336" i="1"/>
  <c r="C1331" i="1"/>
  <c r="C1332" i="1"/>
  <c r="C1337" i="1"/>
  <c r="C1330" i="1"/>
  <c r="C1335" i="1"/>
  <c r="C1333" i="1"/>
  <c r="C1338" i="1"/>
  <c r="C1347" i="1"/>
  <c r="C1341" i="1"/>
  <c r="C1345" i="1"/>
  <c r="C1348" i="1"/>
  <c r="C1342" i="1"/>
  <c r="C1343" i="1"/>
  <c r="C1344" i="1"/>
  <c r="C1339" i="1"/>
  <c r="C1346" i="1"/>
  <c r="C1340" i="1"/>
  <c r="C1354" i="1"/>
  <c r="C1350" i="1"/>
  <c r="C1351" i="1"/>
  <c r="C1352" i="1"/>
  <c r="C1357" i="1"/>
  <c r="C1355" i="1"/>
  <c r="C1358" i="1"/>
  <c r="C1353" i="1"/>
  <c r="C1349" i="1"/>
  <c r="C1356" i="1"/>
  <c r="C1359" i="1"/>
  <c r="C1362" i="1"/>
  <c r="C1363" i="1"/>
  <c r="C1364" i="1"/>
  <c r="C1360" i="1"/>
  <c r="C1365" i="1"/>
  <c r="C1366" i="1"/>
  <c r="C1361" i="1"/>
  <c r="C1372" i="1"/>
  <c r="C1371" i="1"/>
  <c r="C1374" i="1"/>
  <c r="C1369" i="1"/>
  <c r="C1373" i="1"/>
  <c r="C1375" i="1"/>
  <c r="C1367" i="1"/>
  <c r="C1370" i="1"/>
  <c r="C1376" i="1"/>
  <c r="C1368" i="1"/>
  <c r="C1378" i="1"/>
  <c r="C1379" i="1"/>
  <c r="C1381" i="1"/>
  <c r="C1382" i="1"/>
  <c r="C1380" i="1"/>
  <c r="C1377" i="1"/>
  <c r="C1384" i="1"/>
  <c r="C1385" i="1"/>
  <c r="C1386" i="1"/>
  <c r="C1383" i="1"/>
  <c r="C1387" i="1"/>
  <c r="C1388" i="1"/>
  <c r="C1391" i="1"/>
  <c r="C1389" i="1"/>
  <c r="C1392" i="1"/>
  <c r="C1393" i="1"/>
  <c r="C1390" i="1"/>
  <c r="C1394" i="1"/>
  <c r="C1395" i="1"/>
  <c r="C1401" i="1"/>
  <c r="C1398" i="1"/>
  <c r="C1402" i="1"/>
  <c r="C1399" i="1"/>
  <c r="C1406" i="1"/>
  <c r="C1403" i="1"/>
  <c r="C1405" i="1"/>
  <c r="C1396" i="1"/>
  <c r="C1397" i="1"/>
  <c r="C1400" i="1"/>
  <c r="C1404" i="1"/>
  <c r="C1409" i="1"/>
  <c r="C1407" i="1"/>
  <c r="C1411" i="1"/>
  <c r="C1408" i="1"/>
  <c r="C1410" i="1"/>
  <c r="C1412" i="1"/>
  <c r="C1415" i="1"/>
  <c r="C1417" i="1"/>
  <c r="C1413" i="1"/>
  <c r="C1416" i="1"/>
  <c r="C1418" i="1"/>
  <c r="C1419" i="1"/>
  <c r="C1414" i="1"/>
  <c r="C1423" i="1"/>
  <c r="C1420" i="1"/>
  <c r="C1424" i="1"/>
  <c r="C1421" i="1"/>
  <c r="C1422" i="1"/>
  <c r="C1425" i="1"/>
  <c r="C1428" i="1"/>
  <c r="C1429" i="1"/>
  <c r="C1427" i="1"/>
  <c r="C1430" i="1"/>
  <c r="C1432" i="1"/>
  <c r="C1431" i="1"/>
  <c r="C1434" i="1"/>
  <c r="C1433" i="1"/>
  <c r="C1426" i="1"/>
  <c r="C1437" i="1"/>
  <c r="C1438" i="1"/>
  <c r="C1439" i="1"/>
  <c r="C1440" i="1"/>
  <c r="C1436" i="1"/>
  <c r="C1435" i="1"/>
  <c r="C1442" i="1"/>
  <c r="C1441" i="1"/>
  <c r="C1448" i="1"/>
  <c r="C1447" i="1"/>
  <c r="C1444" i="1"/>
  <c r="C1449" i="1"/>
  <c r="C1450" i="1"/>
  <c r="C1443" i="1"/>
  <c r="C1445" i="1"/>
  <c r="C1446" i="1"/>
  <c r="C1454" i="1"/>
  <c r="C1453" i="1"/>
  <c r="C1458" i="1"/>
  <c r="C1451" i="1"/>
  <c r="C1452" i="1"/>
  <c r="C1455" i="1"/>
  <c r="C1459" i="1"/>
  <c r="C1456" i="1"/>
  <c r="C1457" i="1"/>
  <c r="C1460" i="1"/>
  <c r="C1466" i="1"/>
  <c r="C1463" i="1"/>
  <c r="C1462" i="1"/>
  <c r="C1461" i="1"/>
  <c r="C1464" i="1"/>
  <c r="C1465" i="1"/>
  <c r="C1470" i="1"/>
  <c r="C1471" i="1"/>
  <c r="C1474" i="1"/>
  <c r="C1468" i="1"/>
  <c r="C1469" i="1"/>
  <c r="C1472" i="1"/>
  <c r="C1467" i="1"/>
  <c r="C1473" i="1"/>
  <c r="C1479" i="1"/>
  <c r="C1480" i="1"/>
  <c r="C1482" i="1"/>
  <c r="C1481" i="1"/>
  <c r="C1478" i="1"/>
  <c r="C1477" i="1"/>
  <c r="C1483" i="1"/>
  <c r="C1484" i="1"/>
  <c r="C1475" i="1"/>
  <c r="C1476" i="1"/>
  <c r="C1486" i="1"/>
  <c r="C1487" i="1"/>
  <c r="C1488" i="1"/>
  <c r="C1490" i="1"/>
  <c r="C1489" i="1"/>
  <c r="C1491" i="1"/>
  <c r="C1485" i="1"/>
  <c r="C1498" i="1"/>
  <c r="C1496" i="1"/>
  <c r="C1495" i="1"/>
  <c r="C1497" i="1"/>
  <c r="C1494" i="1"/>
  <c r="C1499" i="1"/>
  <c r="C1500" i="1"/>
  <c r="C1492" i="1"/>
  <c r="C1493" i="1"/>
  <c r="C1505" i="1"/>
  <c r="C1504" i="1"/>
  <c r="C1501" i="1"/>
  <c r="C1502" i="1"/>
  <c r="C1503" i="1"/>
  <c r="C1507" i="1"/>
  <c r="C1506" i="1"/>
  <c r="C1510" i="1"/>
  <c r="C1511" i="1"/>
  <c r="C1512" i="1"/>
  <c r="C1508" i="1"/>
  <c r="C1509" i="1"/>
  <c r="C1513" i="1"/>
  <c r="C1517" i="1"/>
  <c r="C1521" i="1"/>
  <c r="C1518" i="1"/>
  <c r="C1519" i="1"/>
  <c r="C1522" i="1"/>
  <c r="C1514" i="1"/>
  <c r="C1515" i="1"/>
  <c r="C1516" i="1"/>
  <c r="C1520" i="1"/>
  <c r="C1523" i="1"/>
  <c r="C1531" i="1"/>
  <c r="C1532" i="1"/>
  <c r="C1524" i="1"/>
  <c r="C1530" i="1"/>
  <c r="C1526" i="1"/>
  <c r="C1528" i="1"/>
  <c r="C1529" i="1"/>
  <c r="C1525" i="1"/>
  <c r="C1527" i="1"/>
  <c r="C1533" i="1"/>
  <c r="C1539" i="1"/>
  <c r="C1535" i="1"/>
  <c r="C1537" i="1"/>
  <c r="C1540" i="1"/>
  <c r="C1534" i="1"/>
  <c r="C1538" i="1"/>
  <c r="C1536" i="1"/>
  <c r="C1543" i="1"/>
  <c r="C1542" i="1"/>
  <c r="C1544" i="1"/>
  <c r="C1541" i="1"/>
  <c r="C1545" i="1"/>
  <c r="C1550" i="1"/>
  <c r="C1547" i="1"/>
  <c r="C1551" i="1"/>
  <c r="C1548" i="1"/>
  <c r="C1553" i="1"/>
  <c r="C1554" i="1"/>
  <c r="C1552" i="1"/>
  <c r="C1549" i="1"/>
  <c r="C1546" i="1"/>
  <c r="C1557" i="1"/>
  <c r="C1558" i="1"/>
  <c r="C1555" i="1"/>
  <c r="C1556" i="1"/>
  <c r="C1559" i="1"/>
  <c r="C1560" i="1"/>
  <c r="C1567" i="1"/>
  <c r="C1563" i="1"/>
  <c r="C1569" i="1"/>
  <c r="C1565" i="1"/>
  <c r="C1568" i="1"/>
  <c r="C1561" i="1"/>
  <c r="C1566" i="1"/>
  <c r="C1562" i="1"/>
  <c r="C1570" i="1"/>
  <c r="C1564" i="1"/>
  <c r="C1571" i="1"/>
  <c r="C1572" i="1"/>
  <c r="C1573" i="1"/>
  <c r="C1576" i="1"/>
  <c r="C1578" i="1"/>
  <c r="C1577" i="1"/>
  <c r="C1574" i="1"/>
  <c r="C1575" i="1"/>
  <c r="C1586" i="1"/>
  <c r="C1580" i="1"/>
  <c r="C1590" i="1"/>
  <c r="C1587" i="1"/>
  <c r="C1582" i="1"/>
  <c r="C1583" i="1"/>
  <c r="C1588" i="1"/>
  <c r="C1581" i="1"/>
  <c r="C1584" i="1"/>
  <c r="C1585" i="1"/>
  <c r="C1591" i="1"/>
  <c r="C1579" i="1"/>
  <c r="C1589" i="1"/>
  <c r="C1593" i="1"/>
  <c r="C1594" i="1"/>
  <c r="C1595" i="1"/>
  <c r="C1596" i="1"/>
  <c r="C1597" i="1"/>
  <c r="C1598" i="1"/>
  <c r="C1592" i="1"/>
  <c r="C1601" i="1"/>
  <c r="C1599" i="1"/>
  <c r="C1602" i="1"/>
  <c r="C1603" i="1"/>
  <c r="C1605" i="1"/>
  <c r="C1604" i="1"/>
  <c r="C1606" i="1"/>
  <c r="C1607" i="1"/>
  <c r="C1600" i="1"/>
  <c r="C1608" i="1"/>
  <c r="C1609" i="1"/>
  <c r="C1612" i="1"/>
  <c r="C1617" i="1"/>
  <c r="C1613" i="1"/>
  <c r="C1614" i="1"/>
  <c r="C1610" i="1"/>
  <c r="C1611" i="1"/>
  <c r="C1616" i="1"/>
  <c r="C1615" i="1"/>
  <c r="C1618" i="1"/>
  <c r="C1619" i="1"/>
  <c r="C1624" i="1"/>
  <c r="C1625" i="1"/>
  <c r="C1622" i="1"/>
  <c r="C1621" i="1"/>
  <c r="C1626" i="1"/>
  <c r="C1620" i="1"/>
  <c r="C1627" i="1"/>
  <c r="C1628" i="1"/>
  <c r="C1623" i="1"/>
  <c r="C1635" i="1"/>
  <c r="C1629" i="1"/>
  <c r="C1632" i="1"/>
  <c r="C1630" i="1"/>
  <c r="C1636" i="1"/>
  <c r="C1631" i="1"/>
  <c r="C1637" i="1"/>
  <c r="C1633" i="1"/>
  <c r="C1638" i="1"/>
  <c r="C1634" i="1"/>
  <c r="C1639" i="1"/>
  <c r="C1640" i="1"/>
  <c r="C1643" i="1"/>
  <c r="C1644" i="1"/>
  <c r="C1641" i="1"/>
  <c r="C1642" i="1"/>
  <c r="C1645" i="1"/>
  <c r="C1646" i="1"/>
  <c r="C1655" i="1"/>
  <c r="C1656" i="1"/>
  <c r="C1654" i="1"/>
  <c r="C1648" i="1"/>
  <c r="C1649" i="1"/>
  <c r="C1653" i="1"/>
  <c r="C1650" i="1"/>
  <c r="C1651" i="1"/>
  <c r="C1657" i="1"/>
  <c r="C1647" i="1"/>
  <c r="C1652" i="1"/>
  <c r="C1664" i="1"/>
  <c r="C1665" i="1"/>
  <c r="C1659" i="1"/>
  <c r="C1660" i="1"/>
  <c r="C1658" i="1"/>
  <c r="C1661" i="1"/>
  <c r="C1662" i="1"/>
  <c r="C1663" i="1"/>
  <c r="C1666" i="1"/>
  <c r="C1672" i="1"/>
  <c r="C1675" i="1"/>
  <c r="C1667" i="1"/>
  <c r="C1673" i="1"/>
  <c r="C1671" i="1"/>
  <c r="C1668" i="1"/>
  <c r="C1674" i="1"/>
  <c r="C1669" i="1"/>
  <c r="C1670" i="1"/>
  <c r="C1679" i="1"/>
  <c r="C1676" i="1"/>
  <c r="C1678" i="1"/>
  <c r="C1680" i="1"/>
  <c r="C1681" i="1"/>
  <c r="C1677" i="1"/>
  <c r="C1688" i="1"/>
  <c r="C1690" i="1"/>
  <c r="C1687" i="1"/>
  <c r="C1685" i="1"/>
  <c r="C1689" i="1"/>
  <c r="C1684" i="1"/>
  <c r="C1682" i="1"/>
  <c r="C1683" i="1"/>
  <c r="C1686" i="1"/>
  <c r="C1697" i="1"/>
  <c r="C1694" i="1"/>
  <c r="C1693" i="1"/>
  <c r="C1695" i="1"/>
  <c r="C1696" i="1"/>
  <c r="C1692" i="1"/>
  <c r="C1691" i="1"/>
  <c r="C1698" i="1"/>
  <c r="C1706" i="1"/>
  <c r="C1707" i="1"/>
  <c r="C1702" i="1"/>
  <c r="C1699" i="1"/>
  <c r="C1704" i="1"/>
  <c r="C1708" i="1"/>
  <c r="C1705" i="1"/>
  <c r="C1710" i="1"/>
  <c r="C1703" i="1"/>
  <c r="C1709" i="1"/>
  <c r="C1700" i="1"/>
  <c r="C1701" i="1"/>
  <c r="C1717" i="1"/>
  <c r="C1711" i="1"/>
  <c r="C1718" i="1"/>
  <c r="C1716" i="1"/>
  <c r="C1719" i="1"/>
  <c r="C1712" i="1"/>
  <c r="C1722" i="1"/>
  <c r="C1714" i="1"/>
  <c r="C1720" i="1"/>
  <c r="C1715" i="1"/>
  <c r="C1713" i="1"/>
  <c r="C1721" i="1"/>
  <c r="C1735" i="1"/>
  <c r="C1726" i="1"/>
  <c r="C1723" i="1"/>
  <c r="C1728" i="1"/>
  <c r="C1725" i="1"/>
  <c r="C1730" i="1"/>
  <c r="C1731" i="1"/>
  <c r="C1736" i="1"/>
  <c r="C1733" i="1"/>
  <c r="C1729" i="1"/>
  <c r="C1732" i="1"/>
  <c r="C1724" i="1"/>
  <c r="C1734" i="1"/>
  <c r="C1727" i="1"/>
  <c r="C1743" i="1"/>
  <c r="C1738" i="1"/>
  <c r="C1744" i="1"/>
  <c r="C1737" i="1"/>
  <c r="C1741" i="1"/>
  <c r="C1739" i="1"/>
  <c r="C1742" i="1"/>
  <c r="C1740" i="1"/>
  <c r="C1752" i="1"/>
  <c r="C1749" i="1"/>
  <c r="C1748" i="1"/>
  <c r="C1750" i="1"/>
  <c r="C1753" i="1"/>
  <c r="C1745" i="1"/>
  <c r="C1746" i="1"/>
  <c r="C1751" i="1"/>
  <c r="C1747" i="1"/>
  <c r="C1757" i="1"/>
  <c r="C1754" i="1"/>
  <c r="C1759" i="1"/>
  <c r="C1756" i="1"/>
  <c r="C1758" i="1"/>
  <c r="C1755" i="1"/>
  <c r="C1761" i="1"/>
  <c r="C1760" i="1"/>
  <c r="C1770" i="1"/>
  <c r="C1776" i="1"/>
  <c r="C1765" i="1"/>
  <c r="C1774" i="1"/>
  <c r="C1762" i="1"/>
  <c r="C1775" i="1"/>
  <c r="C1768" i="1"/>
  <c r="C1763" i="1"/>
  <c r="C1771" i="1"/>
  <c r="C1766" i="1"/>
  <c r="C1769" i="1"/>
  <c r="C1772" i="1"/>
  <c r="C1767" i="1"/>
  <c r="C1764" i="1"/>
  <c r="C1773" i="1"/>
  <c r="C1781" i="1"/>
  <c r="C1777" i="1"/>
  <c r="C1778" i="1"/>
  <c r="C1783" i="1"/>
  <c r="C1785" i="1"/>
  <c r="C1786" i="1"/>
  <c r="C1780" i="1"/>
  <c r="C1782" i="1"/>
  <c r="C1784" i="1"/>
  <c r="C1779" i="1"/>
  <c r="C1789" i="1"/>
  <c r="C1790" i="1"/>
  <c r="C1794" i="1"/>
  <c r="C1795" i="1"/>
  <c r="C1791" i="1"/>
  <c r="C1793" i="1"/>
  <c r="C1792" i="1"/>
  <c r="C1787" i="1"/>
  <c r="C1788" i="1"/>
  <c r="C1800" i="1"/>
  <c r="C1796" i="1"/>
  <c r="C1801" i="1"/>
  <c r="C1803" i="1"/>
  <c r="C1802" i="1"/>
  <c r="C1804" i="1"/>
  <c r="C1799" i="1"/>
  <c r="C1797" i="1"/>
  <c r="C1798" i="1"/>
  <c r="C1805" i="1"/>
  <c r="C1808" i="1"/>
  <c r="C1809" i="1"/>
  <c r="C1807" i="1"/>
  <c r="C1806" i="1"/>
  <c r="C1815" i="1"/>
  <c r="C1813" i="1"/>
  <c r="C1810" i="1"/>
  <c r="C1812" i="1"/>
  <c r="C1811" i="1"/>
  <c r="C1814" i="1"/>
  <c r="C1816" i="1"/>
  <c r="C1817" i="1"/>
  <c r="C1818" i="1"/>
  <c r="C1828" i="1"/>
  <c r="C1829" i="1"/>
  <c r="C1819" i="1"/>
  <c r="C1826" i="1"/>
  <c r="C1821" i="1"/>
  <c r="C1825" i="1"/>
  <c r="C1830" i="1"/>
  <c r="C1827" i="1"/>
  <c r="C1822" i="1"/>
  <c r="C1824" i="1"/>
  <c r="C1820" i="1"/>
  <c r="C1823" i="1"/>
  <c r="C1833" i="1"/>
  <c r="C1831" i="1"/>
  <c r="C1832" i="1"/>
  <c r="C1835" i="1"/>
  <c r="C1834" i="1"/>
  <c r="C1836" i="1"/>
  <c r="C1837" i="1"/>
  <c r="C1839" i="1"/>
  <c r="C1838" i="1"/>
  <c r="C1840" i="1"/>
  <c r="C1842" i="1"/>
  <c r="C1843" i="1"/>
  <c r="C1841" i="1"/>
  <c r="C1844" i="1"/>
  <c r="C1846" i="1"/>
  <c r="C1845" i="1"/>
  <c r="C1855" i="1"/>
  <c r="C1848" i="1"/>
  <c r="C1849" i="1"/>
  <c r="C1853" i="1"/>
  <c r="C1847" i="1"/>
  <c r="C1854" i="1"/>
  <c r="C1850" i="1"/>
  <c r="C1851" i="1"/>
  <c r="C1852" i="1"/>
  <c r="C1858" i="1"/>
  <c r="C1859" i="1"/>
  <c r="C1861" i="1"/>
  <c r="C1856" i="1"/>
  <c r="C1860" i="1"/>
  <c r="C1863" i="1"/>
  <c r="C1862" i="1"/>
  <c r="C1865" i="1"/>
  <c r="C1864" i="1"/>
  <c r="C1857" i="1"/>
  <c r="C1866" i="1"/>
  <c r="C1870" i="1"/>
  <c r="C1867" i="1"/>
  <c r="C1871" i="1"/>
  <c r="C1868" i="1"/>
  <c r="C1869" i="1"/>
  <c r="C1873" i="1"/>
  <c r="C1877" i="1"/>
  <c r="C1872" i="1"/>
  <c r="C1874" i="1"/>
  <c r="C1876" i="1"/>
  <c r="C1878" i="1"/>
  <c r="C1879" i="1"/>
  <c r="C1875" i="1"/>
  <c r="C1886" i="1"/>
  <c r="C1884" i="1"/>
  <c r="C1885" i="1"/>
  <c r="C1882" i="1"/>
  <c r="C1881" i="1"/>
  <c r="C1880" i="1"/>
  <c r="C1888" i="1"/>
  <c r="C1887" i="1"/>
  <c r="C1883" i="1"/>
  <c r="C1894" i="1"/>
  <c r="C1890" i="1"/>
  <c r="C1892" i="1"/>
  <c r="C1895" i="1"/>
  <c r="C1889" i="1"/>
  <c r="C1893" i="1"/>
  <c r="C1891" i="1"/>
  <c r="C1900" i="1"/>
  <c r="C1898" i="1"/>
  <c r="C1902" i="1"/>
  <c r="C1896" i="1"/>
  <c r="C1899" i="1"/>
  <c r="C1901" i="1"/>
  <c r="C1897" i="1"/>
  <c r="C1903" i="1"/>
  <c r="C1905" i="1"/>
  <c r="C1904" i="1"/>
  <c r="C1913" i="1"/>
  <c r="C1914" i="1"/>
  <c r="C1907" i="1"/>
  <c r="C1908" i="1"/>
  <c r="C1906" i="1"/>
  <c r="C1910" i="1"/>
  <c r="C1912" i="1"/>
  <c r="C1915" i="1"/>
  <c r="C1916" i="1"/>
  <c r="C1911" i="1"/>
  <c r="C1909" i="1"/>
  <c r="C1920" i="1"/>
  <c r="C1921" i="1"/>
  <c r="C1927" i="1"/>
  <c r="C1928" i="1"/>
  <c r="C1918" i="1"/>
  <c r="C1923" i="1"/>
  <c r="C1926" i="1"/>
  <c r="C1925" i="1"/>
  <c r="C1917" i="1"/>
  <c r="C1924" i="1"/>
  <c r="C1922" i="1"/>
  <c r="C1919" i="1"/>
  <c r="C1934" i="1"/>
  <c r="C1933" i="1"/>
  <c r="C1931" i="1"/>
  <c r="C1932" i="1"/>
  <c r="C1930" i="1"/>
  <c r="C1935" i="1"/>
  <c r="C1936" i="1"/>
  <c r="C1929" i="1"/>
  <c r="C1941" i="1"/>
  <c r="C1942" i="1"/>
  <c r="C1943" i="1"/>
  <c r="C1939" i="1"/>
  <c r="C1944" i="1"/>
  <c r="C1940" i="1"/>
  <c r="C1937" i="1"/>
  <c r="C1945" i="1"/>
  <c r="C1938" i="1"/>
  <c r="C1946" i="1"/>
  <c r="C1953" i="1"/>
  <c r="C1949" i="1"/>
  <c r="C1952" i="1"/>
  <c r="C1950" i="1"/>
  <c r="C1954" i="1"/>
  <c r="C1951" i="1"/>
  <c r="C1947" i="1"/>
  <c r="C1955" i="1"/>
  <c r="C1948" i="1"/>
  <c r="C1959" i="1"/>
  <c r="C1956" i="1"/>
  <c r="C1957" i="1"/>
  <c r="C1958" i="1"/>
  <c r="C1963" i="1"/>
  <c r="C1964" i="1"/>
  <c r="C1966" i="1"/>
  <c r="C1962" i="1"/>
  <c r="C1967" i="1"/>
  <c r="C1960" i="1"/>
  <c r="C1965" i="1"/>
  <c r="C1961" i="1"/>
  <c r="C1973" i="1"/>
  <c r="C1971" i="1"/>
  <c r="C1975" i="1"/>
  <c r="C1972" i="1"/>
  <c r="C1976" i="1"/>
  <c r="C1968" i="1"/>
  <c r="C1969" i="1"/>
  <c r="C1970" i="1"/>
  <c r="C1974" i="1"/>
  <c r="C1980" i="1"/>
  <c r="C1981" i="1"/>
  <c r="C1977" i="1"/>
  <c r="C1978" i="1"/>
  <c r="C1979" i="1"/>
  <c r="C1990" i="1"/>
  <c r="C1988" i="1"/>
  <c r="C1982" i="1"/>
  <c r="C1991" i="1"/>
  <c r="C1987" i="1"/>
  <c r="C1985" i="1"/>
  <c r="C1983" i="1"/>
  <c r="C1986" i="1"/>
  <c r="C1984" i="1"/>
  <c r="C1989" i="1"/>
  <c r="C1998" i="1"/>
  <c r="C1994" i="1"/>
  <c r="C1992" i="1"/>
  <c r="C1995" i="1"/>
  <c r="C1999" i="1"/>
  <c r="C1996" i="1"/>
  <c r="C1993" i="1"/>
  <c r="C2000" i="1"/>
  <c r="C1997" i="1"/>
  <c r="C2001" i="1"/>
  <c r="C2002" i="1"/>
  <c r="C2003" i="1"/>
  <c r="C2008" i="1"/>
  <c r="C2007" i="1"/>
  <c r="C2005" i="1"/>
  <c r="C2006" i="1"/>
  <c r="C2004" i="1"/>
  <c r="C2010" i="1"/>
  <c r="C2013" i="1"/>
  <c r="C2014" i="1"/>
  <c r="C2011" i="1"/>
  <c r="C2012" i="1"/>
  <c r="C2015" i="1"/>
  <c r="C2009" i="1"/>
  <c r="C2016" i="1"/>
  <c r="C2018" i="1"/>
  <c r="C2019" i="1"/>
  <c r="C2025" i="1"/>
  <c r="C2017" i="1"/>
  <c r="C2024" i="1"/>
  <c r="C2020" i="1"/>
  <c r="C2021" i="1"/>
  <c r="C2022" i="1"/>
  <c r="C2023" i="1"/>
  <c r="C2028" i="1"/>
  <c r="C2029" i="1"/>
  <c r="C2030" i="1"/>
  <c r="C2026" i="1"/>
  <c r="C2027" i="1"/>
  <c r="C2031" i="1"/>
  <c r="C2033" i="1"/>
  <c r="C2035" i="1"/>
  <c r="C2032" i="1"/>
  <c r="C2034" i="1"/>
  <c r="C2036" i="1"/>
  <c r="C2039" i="1"/>
  <c r="C2037" i="1"/>
  <c r="C2038" i="1"/>
  <c r="C2040" i="1"/>
  <c r="C2041" i="1"/>
  <c r="C2045" i="1"/>
  <c r="C2050" i="1"/>
  <c r="C2052" i="1"/>
  <c r="C2047" i="1"/>
  <c r="C2046" i="1"/>
  <c r="C2042" i="1"/>
  <c r="C2043" i="1"/>
  <c r="C2048" i="1"/>
  <c r="C2049" i="1"/>
  <c r="C2053" i="1"/>
  <c r="C2051" i="1"/>
  <c r="C2044" i="1"/>
  <c r="C2056" i="1"/>
  <c r="C2054" i="1"/>
  <c r="C2055" i="1"/>
  <c r="C2063" i="1"/>
  <c r="C2065" i="1"/>
  <c r="C2057" i="1"/>
  <c r="C2066" i="1"/>
  <c r="C2064" i="1"/>
  <c r="C2061" i="1"/>
  <c r="C2058" i="1"/>
  <c r="C2059" i="1"/>
  <c r="C2060" i="1"/>
  <c r="C2067" i="1"/>
  <c r="C2062" i="1"/>
  <c r="C2069" i="1"/>
  <c r="C2073" i="1"/>
  <c r="C2071" i="1"/>
  <c r="C2068" i="1"/>
  <c r="C2072" i="1"/>
  <c r="C2074" i="1"/>
  <c r="C2070" i="1"/>
  <c r="C2083" i="1"/>
  <c r="C2078" i="1"/>
  <c r="C2084" i="1"/>
  <c r="C2082" i="1"/>
  <c r="C2079" i="1"/>
  <c r="C2085" i="1"/>
  <c r="C2076" i="1"/>
  <c r="C2081" i="1"/>
  <c r="C2075" i="1"/>
  <c r="C2080" i="1"/>
  <c r="C2086" i="1"/>
  <c r="C2077" i="1"/>
  <c r="C2089" i="1"/>
  <c r="C2088" i="1"/>
  <c r="C2090" i="1"/>
  <c r="C2087" i="1"/>
  <c r="C2091" i="1"/>
  <c r="C2092" i="1"/>
  <c r="C2095" i="1"/>
  <c r="C2096" i="1"/>
  <c r="C2093" i="1"/>
  <c r="C2097" i="1"/>
  <c r="C2098" i="1"/>
  <c r="C2094" i="1"/>
  <c r="C2106" i="1"/>
  <c r="C2105" i="1"/>
  <c r="C2107" i="1"/>
  <c r="C2102" i="1"/>
  <c r="C2099" i="1"/>
  <c r="C2100" i="1"/>
  <c r="C2103" i="1"/>
  <c r="C2104" i="1"/>
  <c r="C2101" i="1"/>
  <c r="C2117" i="1"/>
  <c r="C2112" i="1"/>
  <c r="C2108" i="1"/>
  <c r="C2113" i="1"/>
  <c r="C2109" i="1"/>
  <c r="C2116" i="1"/>
  <c r="C2114" i="1"/>
  <c r="C2115" i="1"/>
  <c r="C2110" i="1"/>
  <c r="C2118" i="1"/>
  <c r="C2111" i="1"/>
  <c r="C2127" i="1"/>
  <c r="C2121" i="1"/>
  <c r="C2128" i="1"/>
  <c r="C2124" i="1"/>
  <c r="C2122" i="1"/>
  <c r="C2119" i="1"/>
  <c r="C2120" i="1"/>
  <c r="C2123" i="1"/>
  <c r="C2126" i="1"/>
  <c r="C2125" i="1"/>
  <c r="C2135" i="1"/>
  <c r="C2132" i="1"/>
  <c r="C2129" i="1"/>
  <c r="C2134" i="1"/>
  <c r="C2133" i="1"/>
  <c r="C2130" i="1"/>
  <c r="C2131" i="1"/>
  <c r="C2136" i="1"/>
  <c r="C2145" i="1"/>
  <c r="C2138" i="1"/>
  <c r="C2148" i="1"/>
  <c r="C2141" i="1"/>
  <c r="C2146" i="1"/>
  <c r="C2142" i="1"/>
  <c r="C2143" i="1"/>
  <c r="C2137" i="1"/>
  <c r="C2139" i="1"/>
  <c r="C2147" i="1"/>
  <c r="C2144" i="1"/>
  <c r="C2140" i="1"/>
  <c r="C2153" i="1"/>
  <c r="C2149" i="1"/>
  <c r="C2152" i="1"/>
  <c r="C2150" i="1"/>
  <c r="C2155" i="1"/>
  <c r="C2154" i="1"/>
  <c r="C2151" i="1"/>
  <c r="C2156" i="1"/>
  <c r="C2158" i="1"/>
  <c r="C2159" i="1"/>
  <c r="C2157" i="1"/>
  <c r="C2162" i="1"/>
  <c r="C2160" i="1"/>
  <c r="C2161" i="1"/>
  <c r="C2165" i="1"/>
  <c r="C2168" i="1"/>
  <c r="C2163" i="1"/>
  <c r="C2166" i="1"/>
  <c r="C2167" i="1"/>
  <c r="C2169" i="1"/>
  <c r="C2164" i="1"/>
  <c r="C2172" i="1"/>
  <c r="C2174" i="1"/>
  <c r="C2171" i="1"/>
  <c r="C2170" i="1"/>
  <c r="C2173" i="1"/>
  <c r="C2179" i="1"/>
  <c r="C2186" i="1"/>
  <c r="C2184" i="1"/>
  <c r="C2181" i="1"/>
  <c r="C2180" i="1"/>
  <c r="C2182" i="1"/>
  <c r="C2175" i="1"/>
  <c r="C2183" i="1"/>
  <c r="C2176" i="1"/>
  <c r="C2177" i="1"/>
  <c r="C2185" i="1"/>
  <c r="C2178" i="1"/>
  <c r="C2187" i="1"/>
  <c r="C2188" i="1"/>
  <c r="C2190" i="1"/>
  <c r="C2195" i="1"/>
  <c r="C2191" i="1"/>
  <c r="C2193" i="1"/>
  <c r="C2189" i="1"/>
  <c r="C2192" i="1"/>
  <c r="C2194" i="1"/>
  <c r="C2201" i="1"/>
  <c r="C2203" i="1"/>
  <c r="C2199" i="1"/>
  <c r="C2204" i="1"/>
  <c r="C2196" i="1"/>
  <c r="C2205" i="1"/>
  <c r="C2200" i="1"/>
  <c r="C2197" i="1"/>
  <c r="C2198" i="1"/>
  <c r="C2202" i="1"/>
  <c r="C2209" i="1"/>
  <c r="C2212" i="1"/>
  <c r="C2215" i="1"/>
  <c r="C2210" i="1"/>
  <c r="C2206" i="1"/>
  <c r="C2211" i="1"/>
  <c r="C2213" i="1"/>
  <c r="C2207" i="1"/>
  <c r="C2208" i="1"/>
  <c r="C2216" i="1"/>
  <c r="C2214" i="1"/>
  <c r="C2219" i="1"/>
  <c r="C2217" i="1"/>
  <c r="C2221" i="1"/>
  <c r="C2222" i="1"/>
  <c r="C2225" i="1"/>
  <c r="C2224" i="1"/>
  <c r="C2220" i="1"/>
  <c r="C2223" i="1"/>
  <c r="C2218" i="1"/>
  <c r="C2226" i="1"/>
  <c r="C2228" i="1"/>
  <c r="C2233" i="1"/>
  <c r="C2230" i="1"/>
  <c r="C2237" i="1"/>
  <c r="C2227" i="1"/>
  <c r="C2234" i="1"/>
  <c r="C2231" i="1"/>
  <c r="C2232" i="1"/>
  <c r="C2229" i="1"/>
  <c r="C2235" i="1"/>
  <c r="C2236" i="1"/>
  <c r="C2245" i="1"/>
  <c r="C2242" i="1"/>
  <c r="C2239" i="1"/>
  <c r="C2241" i="1"/>
  <c r="C2243" i="1"/>
  <c r="C2238" i="1"/>
  <c r="C2240" i="1"/>
  <c r="C2244" i="1"/>
  <c r="C2254" i="1"/>
  <c r="C2248" i="1"/>
  <c r="C2249" i="1"/>
  <c r="C2251" i="1"/>
  <c r="C2255" i="1"/>
  <c r="C2252" i="1"/>
  <c r="C2253" i="1"/>
  <c r="C2247" i="1"/>
  <c r="C2246" i="1"/>
  <c r="C2256" i="1"/>
  <c r="C2250" i="1"/>
  <c r="C2267" i="1"/>
  <c r="C2268" i="1"/>
  <c r="C2264" i="1"/>
  <c r="C2269" i="1"/>
  <c r="C2260" i="1"/>
  <c r="C2271" i="1"/>
  <c r="C2272" i="1"/>
  <c r="C2265" i="1"/>
  <c r="C2257" i="1"/>
  <c r="C2261" i="1"/>
  <c r="C2262" i="1"/>
  <c r="C2266" i="1"/>
  <c r="C2263" i="1"/>
  <c r="C2259" i="1"/>
  <c r="C2270" i="1"/>
  <c r="C2258" i="1"/>
  <c r="C2280" i="1"/>
  <c r="C2274" i="1"/>
  <c r="C2275" i="1"/>
  <c r="C2277" i="1"/>
  <c r="C2283" i="1"/>
  <c r="C2281" i="1"/>
  <c r="C2279" i="1"/>
  <c r="C2282" i="1"/>
  <c r="C2276" i="1"/>
  <c r="C2278" i="1"/>
  <c r="C2273" i="1"/>
  <c r="C2286" i="1"/>
  <c r="C2284" i="1"/>
  <c r="C2285" i="1"/>
  <c r="C2287" i="1"/>
  <c r="C2288" i="1"/>
  <c r="C2290" i="1"/>
  <c r="C2289" i="1"/>
  <c r="C2293" i="1"/>
  <c r="C2295" i="1"/>
  <c r="C2296" i="1"/>
  <c r="C2292" i="1"/>
  <c r="C2294" i="1"/>
  <c r="C2297" i="1"/>
  <c r="C2291" i="1"/>
  <c r="C2298" i="1"/>
  <c r="C2300" i="1"/>
  <c r="C2308" i="1"/>
  <c r="C2303" i="1"/>
  <c r="C2304" i="1"/>
  <c r="C2305" i="1"/>
  <c r="C2299" i="1"/>
  <c r="C2306" i="1"/>
  <c r="C2301" i="1"/>
  <c r="C2302" i="1"/>
  <c r="C2307" i="1"/>
  <c r="C2309" i="1"/>
  <c r="C2310" i="1"/>
  <c r="C2312" i="1"/>
  <c r="C2311" i="1"/>
  <c r="C2313" i="1"/>
  <c r="C2320" i="1"/>
  <c r="C2315" i="1"/>
  <c r="C2316" i="1"/>
  <c r="C2314" i="1"/>
  <c r="C2318" i="1"/>
  <c r="C2317" i="1"/>
  <c r="C2322" i="1"/>
  <c r="C2323" i="1"/>
  <c r="C2321" i="1"/>
  <c r="C2319" i="1"/>
  <c r="C2327" i="1"/>
  <c r="C2328" i="1"/>
  <c r="C2326" i="1"/>
  <c r="C2324" i="1"/>
  <c r="C2329" i="1"/>
  <c r="C2325" i="1"/>
  <c r="C2330" i="1"/>
  <c r="C2333" i="1"/>
  <c r="C2334" i="1"/>
  <c r="C2332" i="1"/>
  <c r="C2335" i="1"/>
  <c r="C2331" i="1"/>
  <c r="C2340" i="1"/>
  <c r="C2337" i="1"/>
  <c r="C2338" i="1"/>
  <c r="C2336" i="1"/>
  <c r="C2339" i="1"/>
  <c r="C2345" i="1"/>
  <c r="C2346" i="1"/>
  <c r="C2347" i="1"/>
  <c r="C2348" i="1"/>
  <c r="C2341" i="1"/>
  <c r="C2350" i="1"/>
  <c r="C2342" i="1"/>
  <c r="C2349" i="1"/>
  <c r="C2343" i="1"/>
  <c r="C2344" i="1"/>
  <c r="C2358" i="1"/>
  <c r="C2359" i="1"/>
  <c r="C2354" i="1"/>
  <c r="C2357" i="1"/>
  <c r="C2355" i="1"/>
  <c r="C2351" i="1"/>
  <c r="C2356" i="1"/>
  <c r="C2352" i="1"/>
  <c r="C2360" i="1"/>
  <c r="C2353" i="1"/>
  <c r="C2362" i="1"/>
  <c r="C2368" i="1"/>
  <c r="C2369" i="1"/>
  <c r="C2361" i="1"/>
  <c r="C2370" i="1"/>
  <c r="C2365" i="1"/>
  <c r="C2371" i="1"/>
  <c r="C2363" i="1"/>
  <c r="C2364" i="1"/>
  <c r="C2367" i="1"/>
  <c r="C2366" i="1"/>
  <c r="C2379" i="1"/>
  <c r="C2372" i="1"/>
  <c r="C2376" i="1"/>
  <c r="C2381" i="1"/>
  <c r="C2377" i="1"/>
  <c r="C2373" i="1"/>
  <c r="C2380" i="1"/>
  <c r="C2374" i="1"/>
  <c r="C2375" i="1"/>
  <c r="C2378" i="1"/>
  <c r="C2384" i="1"/>
  <c r="C2389" i="1"/>
  <c r="C2385" i="1"/>
  <c r="C2382" i="1"/>
  <c r="C2387" i="1"/>
  <c r="C2383" i="1"/>
  <c r="C2386" i="1"/>
  <c r="C2388" i="1"/>
  <c r="C2393" i="1"/>
  <c r="C2394" i="1"/>
  <c r="C2398" i="1"/>
  <c r="C2390" i="1"/>
  <c r="C2392" i="1"/>
  <c r="C2395" i="1"/>
  <c r="C2396" i="1"/>
  <c r="C2397" i="1"/>
  <c r="C2391" i="1"/>
  <c r="C2401" i="1"/>
  <c r="C2404" i="1"/>
  <c r="C2399" i="1"/>
  <c r="C2400" i="1"/>
  <c r="C2403" i="1"/>
  <c r="C2402" i="1"/>
  <c r="C2405" i="1"/>
  <c r="C2406" i="1"/>
  <c r="C2407" i="1"/>
  <c r="C2409" i="1"/>
  <c r="C2413" i="1"/>
  <c r="C2415" i="1"/>
  <c r="C2410" i="1"/>
  <c r="C2408" i="1"/>
  <c r="C2414" i="1"/>
  <c r="C2411" i="1"/>
  <c r="C2412" i="1"/>
  <c r="C2416" i="1"/>
  <c r="C2417" i="1"/>
  <c r="C2420" i="1"/>
  <c r="C2418" i="1"/>
  <c r="C2419" i="1"/>
  <c r="C2421" i="1"/>
  <c r="C2423" i="1"/>
  <c r="C2422" i="1"/>
  <c r="C2433" i="1"/>
  <c r="C2424" i="1"/>
  <c r="C2436" i="1"/>
  <c r="C2434" i="1"/>
  <c r="C2435" i="1"/>
  <c r="C2432" i="1"/>
  <c r="C2425" i="1"/>
  <c r="C2437" i="1"/>
  <c r="C2430" i="1"/>
  <c r="C2426" i="1"/>
  <c r="C2431" i="1"/>
  <c r="C2427" i="1"/>
  <c r="C2429" i="1"/>
  <c r="C2428" i="1"/>
  <c r="C2441" i="1"/>
  <c r="C2438" i="1"/>
  <c r="C2439" i="1"/>
  <c r="C2440" i="1"/>
  <c r="C2442" i="1"/>
  <c r="C2443" i="1"/>
  <c r="C2444" i="1"/>
  <c r="C2447" i="1"/>
  <c r="C2445" i="1"/>
  <c r="C2446" i="1"/>
  <c r="C2448" i="1"/>
  <c r="C2453" i="1"/>
  <c r="C2456" i="1"/>
  <c r="C2449" i="1"/>
  <c r="C2450" i="1"/>
  <c r="C2452" i="1"/>
  <c r="C2454" i="1"/>
  <c r="C2451" i="1"/>
  <c r="C2457" i="1"/>
  <c r="C2455" i="1"/>
  <c r="C2458" i="1"/>
  <c r="C2463" i="1"/>
  <c r="C2459" i="1"/>
  <c r="C2461" i="1"/>
  <c r="C2460" i="1"/>
  <c r="C2462" i="1"/>
  <c r="C2464" i="1"/>
  <c r="C2469" i="1"/>
  <c r="C2470" i="1"/>
  <c r="C2475" i="1"/>
  <c r="C2473" i="1"/>
  <c r="C2474" i="1"/>
  <c r="C2468" i="1"/>
  <c r="C2466" i="1"/>
  <c r="C2467" i="1"/>
  <c r="C2471" i="1"/>
  <c r="C2476" i="1"/>
  <c r="C2477" i="1"/>
  <c r="C2465" i="1"/>
  <c r="C2472" i="1"/>
  <c r="C2483" i="1"/>
  <c r="C2481" i="1"/>
  <c r="C2480" i="1"/>
  <c r="C2478" i="1"/>
  <c r="C2479" i="1"/>
  <c r="C2482" i="1"/>
  <c r="C2484" i="1"/>
  <c r="C2488" i="1"/>
  <c r="C2486" i="1"/>
  <c r="C2485" i="1"/>
  <c r="C2487" i="1"/>
  <c r="C2492" i="1"/>
  <c r="C2496" i="1"/>
  <c r="C2497" i="1"/>
  <c r="C2494" i="1"/>
  <c r="C2498" i="1"/>
  <c r="C2489" i="1"/>
  <c r="C2493" i="1"/>
  <c r="C2490" i="1"/>
  <c r="C2495" i="1"/>
  <c r="C2491" i="1"/>
  <c r="C2501" i="1"/>
  <c r="C2502" i="1"/>
  <c r="C2500" i="1"/>
  <c r="C2503" i="1"/>
  <c r="C2499" i="1"/>
  <c r="C2504" i="1"/>
  <c r="C2511" i="1"/>
  <c r="C2509" i="1"/>
  <c r="C2508" i="1"/>
  <c r="C2510" i="1"/>
  <c r="C2507" i="1"/>
  <c r="C2505" i="1"/>
  <c r="C2506" i="1"/>
  <c r="C2516" i="1"/>
  <c r="C2517" i="1"/>
  <c r="C2520" i="1"/>
  <c r="C2521" i="1"/>
  <c r="C2518" i="1"/>
  <c r="C2513" i="1"/>
  <c r="C2512" i="1"/>
  <c r="C2514" i="1"/>
  <c r="C2519" i="1"/>
  <c r="C2522" i="1"/>
  <c r="C2515" i="1"/>
  <c r="C2523" i="1"/>
  <c r="C2526" i="1"/>
  <c r="C2527" i="1"/>
  <c r="C2528" i="1"/>
  <c r="C2529" i="1"/>
  <c r="C2524" i="1"/>
  <c r="C2531" i="1"/>
  <c r="C2530" i="1"/>
  <c r="C2525" i="1"/>
  <c r="C2533" i="1"/>
  <c r="C2536" i="1"/>
  <c r="C2534" i="1"/>
  <c r="C2537" i="1"/>
  <c r="C2535" i="1"/>
  <c r="C2532" i="1"/>
  <c r="C2541" i="1"/>
  <c r="C2538" i="1"/>
  <c r="C2540" i="1"/>
  <c r="C2542" i="1"/>
  <c r="C2539" i="1"/>
  <c r="C2543" i="1"/>
  <c r="C2548" i="1"/>
  <c r="C2545" i="1"/>
  <c r="C2544" i="1"/>
  <c r="C2546" i="1"/>
  <c r="C2549" i="1"/>
  <c r="C2550" i="1"/>
  <c r="C2547" i="1"/>
  <c r="C2554" i="1"/>
  <c r="C2551" i="1"/>
  <c r="C2552" i="1"/>
  <c r="C2555" i="1"/>
  <c r="C2560" i="1"/>
  <c r="C2556" i="1"/>
  <c r="C2558" i="1"/>
  <c r="C2557" i="1"/>
  <c r="C2559" i="1"/>
  <c r="C2561" i="1"/>
  <c r="C2553" i="1"/>
  <c r="C2562" i="1"/>
  <c r="C2567" i="1"/>
  <c r="C2563" i="1"/>
  <c r="C2569" i="1"/>
  <c r="C2568" i="1"/>
  <c r="C2564" i="1"/>
  <c r="C2570" i="1"/>
  <c r="C2565" i="1"/>
  <c r="C2566" i="1"/>
  <c r="C2571" i="1"/>
  <c r="C2575" i="1"/>
  <c r="C2574" i="1"/>
  <c r="C2576" i="1"/>
  <c r="C2572" i="1"/>
  <c r="C2573" i="1"/>
  <c r="C2578" i="1"/>
  <c r="C2577" i="1"/>
  <c r="C2579" i="1"/>
  <c r="C2582" i="1"/>
  <c r="C2580" i="1"/>
  <c r="C2584" i="1"/>
  <c r="C2585" i="1"/>
  <c r="C2587" i="1"/>
  <c r="C2581" i="1"/>
  <c r="C2583" i="1"/>
  <c r="C2588" i="1"/>
  <c r="C2586" i="1"/>
  <c r="C2591" i="1"/>
  <c r="C2592" i="1"/>
  <c r="C2596" i="1"/>
  <c r="C2595" i="1"/>
  <c r="C2593" i="1"/>
  <c r="C2594" i="1"/>
  <c r="C2589" i="1"/>
  <c r="C2590" i="1"/>
  <c r="C2600" i="1"/>
  <c r="C2607" i="1"/>
  <c r="C2603" i="1"/>
  <c r="C2597" i="1"/>
  <c r="C2610" i="1"/>
  <c r="C2604" i="1"/>
  <c r="C2608" i="1"/>
  <c r="C2602" i="1"/>
  <c r="C2601" i="1"/>
  <c r="C2605" i="1"/>
  <c r="C2606" i="1"/>
  <c r="C2598" i="1"/>
  <c r="C2609" i="1"/>
  <c r="C2599" i="1"/>
  <c r="C2615" i="1"/>
  <c r="C2616" i="1"/>
  <c r="C2614" i="1"/>
  <c r="C2619" i="1"/>
  <c r="C2617" i="1"/>
  <c r="C2612" i="1"/>
  <c r="C2620" i="1"/>
  <c r="C2618" i="1"/>
  <c r="C2621" i="1"/>
  <c r="C2622" i="1"/>
  <c r="C2611" i="1"/>
  <c r="C2613" i="1"/>
  <c r="C2633" i="1"/>
  <c r="C2627" i="1"/>
  <c r="C2625" i="1"/>
  <c r="C2628" i="1"/>
  <c r="C2626" i="1"/>
  <c r="C2623" i="1"/>
  <c r="C2630" i="1"/>
  <c r="C2636" i="1"/>
  <c r="C2631" i="1"/>
  <c r="C2632" i="1"/>
  <c r="C2634" i="1"/>
  <c r="C2624" i="1"/>
  <c r="C2629" i="1"/>
  <c r="C2635" i="1"/>
  <c r="C2642" i="1"/>
  <c r="C2639" i="1"/>
  <c r="C2641" i="1"/>
  <c r="C2638" i="1"/>
  <c r="C2640" i="1"/>
  <c r="C2637" i="1"/>
  <c r="C2647" i="1"/>
  <c r="C2648" i="1"/>
  <c r="C2649" i="1"/>
  <c r="C2644" i="1"/>
  <c r="C2643" i="1"/>
  <c r="C2650" i="1"/>
  <c r="C2645" i="1"/>
  <c r="C2646" i="1"/>
  <c r="C2654" i="1"/>
  <c r="C2651" i="1"/>
  <c r="C2652" i="1"/>
  <c r="C2655" i="1"/>
  <c r="C2656" i="1"/>
  <c r="C2657" i="1"/>
  <c r="C2653" i="1"/>
  <c r="C2664" i="1"/>
  <c r="C2658" i="1"/>
  <c r="C2666" i="1"/>
  <c r="C2660" i="1"/>
  <c r="C2661" i="1"/>
  <c r="C2659" i="1"/>
  <c r="C2665" i="1"/>
  <c r="C2662" i="1"/>
  <c r="C2663" i="1"/>
  <c r="C2672" i="1"/>
  <c r="C2667" i="1"/>
  <c r="C2671" i="1"/>
  <c r="C2673" i="1"/>
  <c r="C2668" i="1"/>
  <c r="C2669" i="1"/>
  <c r="C2670" i="1"/>
  <c r="C2674" i="1"/>
  <c r="C2678" i="1"/>
  <c r="C2675" i="1"/>
  <c r="C2676" i="1"/>
  <c r="C2677" i="1"/>
  <c r="C2686" i="1"/>
  <c r="C2680" i="1"/>
  <c r="C2685" i="1"/>
  <c r="C2682" i="1"/>
  <c r="C2684" i="1"/>
  <c r="C2681" i="1"/>
  <c r="C2679" i="1"/>
  <c r="C2683" i="1"/>
  <c r="C2687" i="1"/>
  <c r="C2695" i="1"/>
  <c r="C2694" i="1"/>
  <c r="C2688" i="1"/>
  <c r="C2690" i="1"/>
  <c r="C2692" i="1"/>
  <c r="C2693" i="1"/>
  <c r="C2691" i="1"/>
  <c r="C2689" i="1"/>
  <c r="C2701" i="1"/>
  <c r="C2697" i="1"/>
  <c r="C2696" i="1"/>
  <c r="C2700" i="1"/>
  <c r="C2702" i="1"/>
  <c r="C2703" i="1"/>
  <c r="C2698" i="1"/>
  <c r="C2699" i="1"/>
  <c r="C2709" i="1"/>
  <c r="C2710" i="1"/>
  <c r="C2704" i="1"/>
  <c r="C2706" i="1"/>
  <c r="C2707" i="1"/>
  <c r="C2708" i="1"/>
  <c r="C2705" i="1"/>
  <c r="C2711" i="1"/>
  <c r="C2720" i="1"/>
  <c r="C2718" i="1"/>
  <c r="C2715" i="1"/>
  <c r="C2719" i="1"/>
  <c r="C2712" i="1"/>
  <c r="C2721" i="1"/>
  <c r="C2716" i="1"/>
  <c r="C2713" i="1"/>
  <c r="C2717" i="1"/>
  <c r="C2714" i="1"/>
  <c r="C2722" i="1"/>
  <c r="C2723" i="1"/>
  <c r="C2727" i="1"/>
  <c r="C2724" i="1"/>
  <c r="C2725" i="1"/>
  <c r="C2728" i="1"/>
  <c r="C2726" i="1"/>
  <c r="C2729" i="1"/>
  <c r="C2732" i="1"/>
  <c r="C2733" i="1"/>
  <c r="C2735" i="1"/>
  <c r="C2736" i="1"/>
  <c r="C2739" i="1"/>
  <c r="C2731" i="1"/>
  <c r="C2730" i="1"/>
  <c r="C2734" i="1"/>
  <c r="C2737" i="1"/>
  <c r="C2738" i="1"/>
  <c r="C2743" i="1"/>
  <c r="C2740" i="1"/>
  <c r="C2745" i="1"/>
  <c r="C2741" i="1"/>
  <c r="C2742" i="1"/>
  <c r="C2744" i="1"/>
  <c r="C2746" i="1"/>
  <c r="C2749" i="1"/>
  <c r="C2755" i="1"/>
  <c r="C2751" i="1"/>
  <c r="C2752" i="1"/>
  <c r="C2750" i="1"/>
  <c r="C2760" i="1"/>
  <c r="C2757" i="1"/>
  <c r="C2747" i="1"/>
  <c r="C2761" i="1"/>
  <c r="C2758" i="1"/>
  <c r="C2748" i="1"/>
  <c r="C2753" i="1"/>
  <c r="C2759" i="1"/>
  <c r="C2756" i="1"/>
  <c r="C2754" i="1"/>
  <c r="C2762" i="1"/>
  <c r="C2769" i="1"/>
  <c r="C2774" i="1"/>
  <c r="C2766" i="1"/>
  <c r="C2767" i="1"/>
  <c r="C2772" i="1"/>
  <c r="C2763" i="1"/>
  <c r="C2765" i="1"/>
  <c r="C2764" i="1"/>
  <c r="C2768" i="1"/>
  <c r="C2770" i="1"/>
  <c r="C2771" i="1"/>
  <c r="C2775" i="1"/>
  <c r="C2773" i="1"/>
  <c r="C2779" i="1"/>
  <c r="C2777" i="1"/>
  <c r="C2780" i="1"/>
  <c r="C2778" i="1"/>
  <c r="C2781" i="1"/>
  <c r="C2782" i="1"/>
  <c r="C2776" i="1"/>
  <c r="C2790" i="1"/>
  <c r="C2786" i="1"/>
  <c r="C2787" i="1"/>
  <c r="C2788" i="1"/>
  <c r="C2789" i="1"/>
  <c r="C2783" i="1"/>
  <c r="C2784" i="1"/>
  <c r="C2785" i="1"/>
  <c r="C2794" i="1"/>
  <c r="C2795" i="1"/>
  <c r="C2791" i="1"/>
  <c r="C2792" i="1"/>
  <c r="C2797" i="1"/>
  <c r="C2796" i="1"/>
  <c r="C2793" i="1"/>
  <c r="C2798" i="1"/>
  <c r="C2804" i="1"/>
  <c r="C2803" i="1"/>
  <c r="C2805" i="1"/>
  <c r="C2808" i="1"/>
  <c r="C2799" i="1"/>
  <c r="C2809" i="1"/>
  <c r="C2810" i="1"/>
  <c r="C2800" i="1"/>
  <c r="C2806" i="1"/>
  <c r="C2802" i="1"/>
  <c r="C2801" i="1"/>
  <c r="C2807" i="1"/>
  <c r="C2811" i="1"/>
  <c r="C2812" i="1"/>
  <c r="C2813" i="1"/>
  <c r="C2814" i="1"/>
  <c r="C2816" i="1"/>
  <c r="C2815" i="1"/>
  <c r="C2827" i="1"/>
  <c r="C2823" i="1"/>
  <c r="C2824" i="1"/>
  <c r="C2826" i="1"/>
  <c r="C2819" i="1"/>
  <c r="C2820" i="1"/>
  <c r="C2817" i="1"/>
  <c r="C2818" i="1"/>
  <c r="C2821" i="1"/>
  <c r="C2825" i="1"/>
  <c r="C2822" i="1"/>
  <c r="C2837" i="1"/>
  <c r="C2835" i="1"/>
  <c r="C2831" i="1"/>
  <c r="C2836" i="1"/>
  <c r="C2834" i="1"/>
  <c r="C2832" i="1"/>
  <c r="C2828" i="1"/>
  <c r="C2833" i="1"/>
  <c r="C2829" i="1"/>
  <c r="C2830" i="1"/>
  <c r="C2838" i="1"/>
  <c r="C2842" i="1"/>
  <c r="C2840" i="1"/>
  <c r="C2847" i="1"/>
  <c r="C2839" i="1"/>
  <c r="C2843" i="1"/>
  <c r="C2845" i="1"/>
  <c r="C2841" i="1"/>
  <c r="C2846" i="1"/>
  <c r="C2844" i="1"/>
  <c r="C2850" i="1"/>
  <c r="C2853" i="1"/>
  <c r="C2848" i="1"/>
  <c r="C2849" i="1"/>
  <c r="C2852" i="1"/>
  <c r="C2854" i="1"/>
  <c r="C2851" i="1"/>
  <c r="C2855" i="1"/>
  <c r="C2861" i="1"/>
  <c r="C2862" i="1"/>
  <c r="C2856" i="1"/>
  <c r="C2859" i="1"/>
  <c r="C2858" i="1"/>
  <c r="C2863" i="1"/>
  <c r="C2857" i="1"/>
  <c r="C2860" i="1"/>
  <c r="C2874" i="1"/>
  <c r="C2873" i="1"/>
  <c r="C2864" i="1"/>
  <c r="C2865" i="1"/>
  <c r="C2868" i="1"/>
  <c r="C2866" i="1"/>
  <c r="C2869" i="1"/>
  <c r="C2871" i="1"/>
  <c r="C2872" i="1"/>
  <c r="C2867" i="1"/>
  <c r="C2870" i="1"/>
  <c r="C2880" i="1"/>
  <c r="C2875" i="1"/>
  <c r="C2876" i="1"/>
  <c r="C2877" i="1"/>
  <c r="C2882" i="1"/>
  <c r="C2881" i="1"/>
  <c r="C2878" i="1"/>
  <c r="C2883" i="1"/>
  <c r="C2884" i="1"/>
  <c r="C2879" i="1"/>
  <c r="C2888" i="1"/>
  <c r="C2885" i="1"/>
  <c r="C2886" i="1"/>
  <c r="C2887" i="1"/>
  <c r="C2898" i="1"/>
  <c r="C2893" i="1"/>
  <c r="C2891" i="1"/>
  <c r="C2889" i="1"/>
  <c r="C2896" i="1"/>
  <c r="C2890" i="1"/>
  <c r="C2894" i="1"/>
  <c r="C2895" i="1"/>
  <c r="C2897" i="1"/>
  <c r="C2899" i="1"/>
  <c r="C2900" i="1"/>
  <c r="C2892" i="1"/>
  <c r="C2904" i="1"/>
  <c r="C2902" i="1"/>
  <c r="C2905" i="1"/>
  <c r="C2903" i="1"/>
  <c r="C2901" i="1"/>
  <c r="C2908" i="1"/>
  <c r="C2907" i="1"/>
  <c r="C2906" i="1"/>
  <c r="C2909" i="1"/>
  <c r="C2913" i="1"/>
  <c r="C2910" i="1"/>
  <c r="C2919" i="1"/>
  <c r="C2914" i="1"/>
  <c r="C2917" i="1"/>
  <c r="C2911" i="1"/>
  <c r="C2912" i="1"/>
  <c r="C2915" i="1"/>
  <c r="C2916" i="1"/>
  <c r="C2918" i="1"/>
  <c r="C2924" i="1"/>
  <c r="C2925" i="1"/>
  <c r="C2920" i="1"/>
  <c r="C2926" i="1"/>
  <c r="C2921" i="1"/>
  <c r="C2928" i="1"/>
  <c r="C2922" i="1"/>
  <c r="C2923" i="1"/>
  <c r="C2927" i="1"/>
  <c r="C2934" i="1"/>
  <c r="C2932" i="1"/>
  <c r="C2933" i="1"/>
  <c r="C2935" i="1"/>
  <c r="C2936" i="1"/>
  <c r="C2929" i="1"/>
  <c r="C2930" i="1"/>
  <c r="C2931" i="1"/>
  <c r="C2942" i="1"/>
  <c r="C2937" i="1"/>
  <c r="C2938" i="1"/>
  <c r="C2944" i="1"/>
  <c r="C2939" i="1"/>
  <c r="C2940" i="1"/>
  <c r="C2943" i="1"/>
  <c r="C2941" i="1"/>
  <c r="C2945" i="1"/>
  <c r="C2957" i="1"/>
  <c r="C2950" i="1"/>
  <c r="C2946" i="1"/>
  <c r="C2948" i="1"/>
  <c r="C2953" i="1"/>
  <c r="C2952" i="1"/>
  <c r="C2954" i="1"/>
  <c r="C2947" i="1"/>
  <c r="C2955" i="1"/>
  <c r="C2951" i="1"/>
  <c r="C2958" i="1"/>
  <c r="C2956" i="1"/>
  <c r="C2949" i="1"/>
  <c r="C2960" i="1"/>
  <c r="C2962" i="1"/>
  <c r="C2961" i="1"/>
  <c r="C2959" i="1"/>
  <c r="C2963" i="1"/>
  <c r="C2964" i="1"/>
  <c r="C2965" i="1"/>
  <c r="C2966" i="1"/>
  <c r="C2968" i="1"/>
  <c r="C2969" i="1"/>
  <c r="C2970" i="1"/>
  <c r="C2967" i="1"/>
  <c r="C2971" i="1"/>
  <c r="C2972" i="1"/>
  <c r="C2974" i="1"/>
  <c r="C2977" i="1"/>
  <c r="C2978" i="1"/>
  <c r="C2975" i="1"/>
  <c r="C2980" i="1"/>
  <c r="C2979" i="1"/>
  <c r="C2981" i="1"/>
  <c r="C2973" i="1"/>
  <c r="C2976" i="1"/>
  <c r="C2991" i="1"/>
  <c r="C2984" i="1"/>
  <c r="C2982" i="1"/>
  <c r="C2985" i="1"/>
  <c r="C2988" i="1"/>
  <c r="C2989" i="1"/>
  <c r="C2986" i="1"/>
  <c r="C2993" i="1"/>
  <c r="C2992" i="1"/>
  <c r="C2983" i="1"/>
  <c r="C2987" i="1"/>
  <c r="C2990" i="1"/>
  <c r="C2997" i="1"/>
  <c r="C2998" i="1"/>
  <c r="C2994" i="1"/>
  <c r="C2995" i="1"/>
  <c r="C2996" i="1"/>
  <c r="C2999" i="1"/>
  <c r="C3000" i="1"/>
  <c r="C3004" i="1"/>
  <c r="C3002" i="1"/>
  <c r="C3001" i="1"/>
  <c r="C3003" i="1"/>
  <c r="C3005" i="1"/>
  <c r="C3008" i="1"/>
  <c r="C3010" i="1"/>
  <c r="C3011" i="1"/>
  <c r="C3006" i="1"/>
  <c r="C3017" i="1"/>
  <c r="C3014" i="1"/>
  <c r="C3009" i="1"/>
  <c r="C3013" i="1"/>
  <c r="C3015" i="1"/>
  <c r="C3012" i="1"/>
  <c r="C3007" i="1"/>
  <c r="C3016" i="1"/>
  <c r="C3019" i="1"/>
  <c r="C3023" i="1"/>
  <c r="C3020" i="1"/>
  <c r="C3024" i="1"/>
  <c r="C3021" i="1"/>
  <c r="C3022" i="1"/>
  <c r="C3018" i="1"/>
  <c r="C3026" i="1"/>
  <c r="C3025" i="1"/>
  <c r="C3028" i="1"/>
  <c r="C3029" i="1"/>
  <c r="C3027" i="1"/>
  <c r="C3038" i="1"/>
  <c r="C3036" i="1"/>
  <c r="C3030" i="1"/>
  <c r="C3033" i="1"/>
  <c r="C3034" i="1"/>
  <c r="C3035" i="1"/>
  <c r="C3039" i="1"/>
  <c r="C3031" i="1"/>
  <c r="C3032" i="1"/>
  <c r="C3037" i="1"/>
  <c r="C3041" i="1"/>
  <c r="C3040" i="1"/>
  <c r="C3044" i="1"/>
  <c r="C3050" i="1"/>
  <c r="C3047" i="1"/>
  <c r="C3042" i="1"/>
  <c r="C3045" i="1"/>
  <c r="C3043" i="1"/>
  <c r="C3048" i="1"/>
  <c r="C3046" i="1"/>
  <c r="C3049" i="1"/>
  <c r="C3051" i="1"/>
  <c r="C3054" i="1"/>
  <c r="C3057" i="1"/>
  <c r="C3058" i="1"/>
  <c r="C3052" i="1"/>
  <c r="C3053" i="1"/>
  <c r="C3056" i="1"/>
  <c r="C3055" i="1"/>
  <c r="C3062" i="1"/>
  <c r="C3063" i="1"/>
  <c r="C3061" i="1"/>
  <c r="C3064" i="1"/>
  <c r="C3059" i="1"/>
  <c r="C3060" i="1"/>
  <c r="C3065" i="1"/>
  <c r="C3066" i="1"/>
  <c r="C3071" i="1"/>
  <c r="C3070" i="1"/>
  <c r="C3074" i="1"/>
  <c r="C3072" i="1"/>
  <c r="C3073" i="1"/>
  <c r="C3067" i="1"/>
  <c r="C3076" i="1"/>
  <c r="C3068" i="1"/>
  <c r="C3069" i="1"/>
  <c r="C3075" i="1"/>
  <c r="C3077" i="1"/>
  <c r="C3078" i="1"/>
  <c r="C3080" i="1"/>
  <c r="C3079" i="1"/>
  <c r="C3081" i="1"/>
  <c r="C3082" i="1"/>
  <c r="C3086" i="1"/>
  <c r="C3087" i="1"/>
  <c r="C3088" i="1"/>
  <c r="C3083" i="1"/>
  <c r="C3085" i="1"/>
  <c r="C3089" i="1"/>
  <c r="C3084" i="1"/>
  <c r="C3090" i="1"/>
  <c r="C3095" i="1"/>
  <c r="C3093" i="1"/>
  <c r="C3098" i="1"/>
  <c r="C3091" i="1"/>
  <c r="C3096" i="1"/>
  <c r="C3099" i="1"/>
  <c r="C3097" i="1"/>
  <c r="C3092" i="1"/>
  <c r="C3100" i="1"/>
  <c r="C3101" i="1"/>
  <c r="C3094" i="1"/>
  <c r="C3112" i="1"/>
  <c r="C3106" i="1"/>
  <c r="C3113" i="1"/>
  <c r="C3102" i="1"/>
  <c r="C3107" i="1"/>
  <c r="C3110" i="1"/>
  <c r="C3111" i="1"/>
  <c r="C3114" i="1"/>
  <c r="C3103" i="1"/>
  <c r="C3108" i="1"/>
  <c r="C3105" i="1"/>
  <c r="C3104" i="1"/>
  <c r="C3109" i="1"/>
  <c r="C3116" i="1"/>
  <c r="C3122" i="1"/>
  <c r="C3118" i="1"/>
  <c r="C3117" i="1"/>
  <c r="C3119" i="1"/>
  <c r="C3115" i="1"/>
  <c r="C3120" i="1"/>
  <c r="C3121" i="1"/>
  <c r="C3124" i="1"/>
  <c r="C3127" i="1"/>
  <c r="C3125" i="1"/>
  <c r="C3123" i="1"/>
  <c r="C3126" i="1"/>
  <c r="I3128" i="1"/>
  <c r="D3126" i="1"/>
  <c r="D3123" i="1"/>
  <c r="D3125" i="1"/>
  <c r="D3127" i="1"/>
  <c r="D3124" i="1"/>
  <c r="D3121" i="1"/>
  <c r="D3120" i="1"/>
  <c r="D3115" i="1"/>
  <c r="D3119" i="1"/>
  <c r="D3117" i="1"/>
  <c r="D3118" i="1"/>
  <c r="D3122" i="1"/>
  <c r="D3116" i="1"/>
  <c r="D3109" i="1"/>
  <c r="D3104" i="1"/>
  <c r="D3105" i="1"/>
  <c r="D3108" i="1"/>
  <c r="D3103" i="1"/>
  <c r="D3114" i="1"/>
  <c r="D3111" i="1"/>
  <c r="D3110" i="1"/>
  <c r="D3107" i="1"/>
  <c r="D3102" i="1"/>
  <c r="D3113" i="1"/>
  <c r="D3106" i="1"/>
  <c r="D3112" i="1"/>
  <c r="D3094" i="1"/>
  <c r="D3101" i="1"/>
  <c r="D3100" i="1"/>
  <c r="D3092" i="1"/>
  <c r="D3097" i="1"/>
  <c r="D3099" i="1"/>
  <c r="D3096" i="1"/>
  <c r="D3091" i="1"/>
  <c r="D3098" i="1"/>
  <c r="D3093" i="1"/>
  <c r="D3095" i="1"/>
  <c r="D3090" i="1"/>
  <c r="D3084" i="1"/>
  <c r="D3089" i="1"/>
  <c r="D3085" i="1"/>
  <c r="D3083" i="1"/>
  <c r="D3088" i="1"/>
  <c r="D3087" i="1"/>
  <c r="D3086" i="1"/>
  <c r="D3082" i="1"/>
  <c r="D3081" i="1"/>
  <c r="D3079" i="1"/>
  <c r="D3080" i="1"/>
  <c r="D3078" i="1"/>
  <c r="D3077" i="1"/>
  <c r="D3075" i="1"/>
  <c r="D3069" i="1"/>
  <c r="D3068" i="1"/>
  <c r="D3076" i="1"/>
  <c r="D3067" i="1"/>
  <c r="D3073" i="1"/>
  <c r="D3072" i="1"/>
  <c r="D3074" i="1"/>
  <c r="D3070" i="1"/>
  <c r="D3071" i="1"/>
  <c r="D3066" i="1"/>
  <c r="D3065" i="1"/>
  <c r="D3060" i="1"/>
  <c r="D3059" i="1"/>
  <c r="D3064" i="1"/>
  <c r="D3061" i="1"/>
  <c r="D3063" i="1"/>
  <c r="D3062" i="1"/>
  <c r="D3055" i="1"/>
  <c r="D3056" i="1"/>
  <c r="D3053" i="1"/>
  <c r="D3052" i="1"/>
  <c r="D3058" i="1"/>
  <c r="D3057" i="1"/>
  <c r="D3054" i="1"/>
  <c r="D3051" i="1"/>
  <c r="D3049" i="1"/>
  <c r="D3046" i="1"/>
  <c r="D3048" i="1"/>
  <c r="D3043" i="1"/>
  <c r="D3045" i="1"/>
  <c r="D3042" i="1"/>
  <c r="D3047" i="1"/>
  <c r="D3050" i="1"/>
  <c r="D3044" i="1"/>
  <c r="D3040" i="1"/>
  <c r="D3041" i="1"/>
  <c r="D3037" i="1"/>
  <c r="D3032" i="1"/>
  <c r="D3031" i="1"/>
  <c r="D3039" i="1"/>
  <c r="D3035" i="1"/>
  <c r="D3034" i="1"/>
  <c r="D3033" i="1"/>
  <c r="D3030" i="1"/>
  <c r="D3036" i="1"/>
  <c r="D3038" i="1"/>
  <c r="D3027" i="1"/>
  <c r="D3029" i="1"/>
  <c r="D3028" i="1"/>
  <c r="D3025" i="1"/>
  <c r="D3026" i="1"/>
  <c r="D3018" i="1"/>
  <c r="D3022" i="1"/>
  <c r="D3021" i="1"/>
  <c r="D3024" i="1"/>
  <c r="D3020" i="1"/>
  <c r="D3023" i="1"/>
  <c r="D3019" i="1"/>
  <c r="D3016" i="1"/>
  <c r="D3007" i="1"/>
  <c r="D3012" i="1"/>
  <c r="D3015" i="1"/>
  <c r="D3013" i="1"/>
  <c r="D3009" i="1"/>
  <c r="D3014" i="1"/>
  <c r="D3017" i="1"/>
  <c r="D3006" i="1"/>
  <c r="D3011" i="1"/>
  <c r="D3010" i="1"/>
  <c r="D3008" i="1"/>
  <c r="D3005" i="1"/>
  <c r="D3003" i="1"/>
  <c r="D3001" i="1"/>
  <c r="D3002" i="1"/>
  <c r="D3004" i="1"/>
  <c r="D3000" i="1"/>
  <c r="D2999" i="1"/>
  <c r="D2996" i="1"/>
  <c r="D2995" i="1"/>
  <c r="D2994" i="1"/>
  <c r="D2998" i="1"/>
  <c r="D2997" i="1"/>
  <c r="D2990" i="1"/>
  <c r="D2987" i="1"/>
  <c r="D2983" i="1"/>
  <c r="D2992" i="1"/>
  <c r="D2993" i="1"/>
  <c r="D2986" i="1"/>
  <c r="D2989" i="1"/>
  <c r="D2988" i="1"/>
  <c r="D2985" i="1"/>
  <c r="D2982" i="1"/>
  <c r="D2984" i="1"/>
  <c r="D2991" i="1"/>
  <c r="D2976" i="1"/>
  <c r="D2973" i="1"/>
  <c r="D2981" i="1"/>
  <c r="D2979" i="1"/>
  <c r="D2980" i="1"/>
  <c r="D2975" i="1"/>
  <c r="D2978" i="1"/>
  <c r="D2977" i="1"/>
  <c r="D2974" i="1"/>
  <c r="D2972" i="1"/>
  <c r="D2971" i="1"/>
  <c r="D2967" i="1"/>
  <c r="D2970" i="1"/>
  <c r="D2969" i="1"/>
  <c r="D2968" i="1"/>
  <c r="D2966" i="1"/>
  <c r="D2965" i="1"/>
  <c r="D2964" i="1"/>
  <c r="D2963" i="1"/>
  <c r="D2959" i="1"/>
  <c r="D2961" i="1"/>
  <c r="D2962" i="1"/>
  <c r="D2960" i="1"/>
  <c r="D2949" i="1"/>
  <c r="D2956" i="1"/>
  <c r="D2958" i="1"/>
  <c r="D2951" i="1"/>
  <c r="D2955" i="1"/>
  <c r="D2947" i="1"/>
  <c r="D2954" i="1"/>
  <c r="D2952" i="1"/>
  <c r="D2953" i="1"/>
  <c r="D2948" i="1"/>
  <c r="D2946" i="1"/>
  <c r="D2950" i="1"/>
  <c r="D2957" i="1"/>
  <c r="D2945" i="1"/>
  <c r="D2941" i="1"/>
  <c r="D2943" i="1"/>
  <c r="D2940" i="1"/>
  <c r="D2939" i="1"/>
  <c r="D2944" i="1"/>
  <c r="D2938" i="1"/>
  <c r="D2937" i="1"/>
  <c r="D2942" i="1"/>
  <c r="D2931" i="1"/>
  <c r="D2930" i="1"/>
  <c r="D2929" i="1"/>
  <c r="D2936" i="1"/>
  <c r="D2935" i="1"/>
  <c r="D2933" i="1"/>
  <c r="D2932" i="1"/>
  <c r="D2934" i="1"/>
  <c r="D2927" i="1"/>
  <c r="D2923" i="1"/>
  <c r="D2922" i="1"/>
  <c r="D2928" i="1"/>
  <c r="D2921" i="1"/>
  <c r="D2926" i="1"/>
  <c r="D2920" i="1"/>
  <c r="D2925" i="1"/>
  <c r="D2924" i="1"/>
  <c r="D2918" i="1"/>
  <c r="D2916" i="1"/>
  <c r="D2915" i="1"/>
  <c r="D2912" i="1"/>
  <c r="D2911" i="1"/>
  <c r="D2917" i="1"/>
  <c r="D2914" i="1"/>
  <c r="D2919" i="1"/>
  <c r="D2910" i="1"/>
  <c r="D2913" i="1"/>
  <c r="D2909" i="1"/>
  <c r="D2906" i="1"/>
  <c r="D2907" i="1"/>
  <c r="D2908" i="1"/>
  <c r="D2901" i="1"/>
  <c r="D2903" i="1"/>
  <c r="D2905" i="1"/>
  <c r="D2902" i="1"/>
  <c r="D2904" i="1"/>
  <c r="D2892" i="1"/>
  <c r="D2900" i="1"/>
  <c r="D2899" i="1"/>
  <c r="D2897" i="1"/>
  <c r="D2895" i="1"/>
  <c r="D2894" i="1"/>
  <c r="D2890" i="1"/>
  <c r="D2896" i="1"/>
  <c r="D2889" i="1"/>
  <c r="D2891" i="1"/>
  <c r="D2893" i="1"/>
  <c r="D2898" i="1"/>
  <c r="D2887" i="1"/>
  <c r="D2886" i="1"/>
  <c r="D2885" i="1"/>
  <c r="D2888" i="1"/>
  <c r="D2879" i="1"/>
  <c r="D2884" i="1"/>
  <c r="D2883" i="1"/>
  <c r="D2878" i="1"/>
  <c r="D2881" i="1"/>
  <c r="D2882" i="1"/>
  <c r="D2877" i="1"/>
  <c r="D2876" i="1"/>
  <c r="D2875" i="1"/>
  <c r="D2880" i="1"/>
  <c r="D2870" i="1"/>
  <c r="D2867" i="1"/>
  <c r="D2872" i="1"/>
  <c r="D2871" i="1"/>
  <c r="D2869" i="1"/>
  <c r="D2866" i="1"/>
  <c r="D2868" i="1"/>
  <c r="D2865" i="1"/>
  <c r="D2864" i="1"/>
  <c r="D2873" i="1"/>
  <c r="D2874" i="1"/>
  <c r="D2860" i="1"/>
  <c r="D2857" i="1"/>
  <c r="D2863" i="1"/>
  <c r="D2858" i="1"/>
  <c r="D2859" i="1"/>
  <c r="D2856" i="1"/>
  <c r="D2862" i="1"/>
  <c r="D2861" i="1"/>
  <c r="D2855" i="1"/>
  <c r="D2851" i="1"/>
  <c r="D2854" i="1"/>
  <c r="D2852" i="1"/>
  <c r="D2849" i="1"/>
  <c r="D2848" i="1"/>
  <c r="D2853" i="1"/>
  <c r="D2850" i="1"/>
  <c r="D2844" i="1"/>
  <c r="D2846" i="1"/>
  <c r="D2841" i="1"/>
  <c r="D2845" i="1"/>
  <c r="D2843" i="1"/>
  <c r="D2839" i="1"/>
  <c r="D2847" i="1"/>
  <c r="D2840" i="1"/>
  <c r="D2842" i="1"/>
  <c r="D2838" i="1"/>
  <c r="D2830" i="1"/>
  <c r="D2829" i="1"/>
  <c r="D2833" i="1"/>
  <c r="D2828" i="1"/>
  <c r="D2832" i="1"/>
  <c r="D2834" i="1"/>
  <c r="D2836" i="1"/>
  <c r="D2831" i="1"/>
  <c r="D2835" i="1"/>
  <c r="D2837" i="1"/>
  <c r="D2822" i="1"/>
  <c r="D2825" i="1"/>
  <c r="D2821" i="1"/>
  <c r="D2818" i="1"/>
  <c r="D2817" i="1"/>
  <c r="D2820" i="1"/>
  <c r="D2819" i="1"/>
  <c r="D2826" i="1"/>
  <c r="D2824" i="1"/>
  <c r="D2823" i="1"/>
  <c r="D2827" i="1"/>
  <c r="D2815" i="1"/>
  <c r="D2816" i="1"/>
  <c r="D2814" i="1"/>
  <c r="D2813" i="1"/>
  <c r="D2812" i="1"/>
  <c r="D2811" i="1"/>
  <c r="D2807" i="1"/>
  <c r="D2801" i="1"/>
  <c r="D2802" i="1"/>
  <c r="D2806" i="1"/>
  <c r="D2800" i="1"/>
  <c r="D2810" i="1"/>
  <c r="D2809" i="1"/>
  <c r="D2799" i="1"/>
  <c r="D2808" i="1"/>
  <c r="D2805" i="1"/>
  <c r="D2803" i="1"/>
  <c r="D2804" i="1"/>
  <c r="D2798" i="1"/>
  <c r="D2793" i="1"/>
  <c r="D2796" i="1"/>
  <c r="D2797" i="1"/>
  <c r="D2792" i="1"/>
  <c r="D2791" i="1"/>
  <c r="D2795" i="1"/>
  <c r="D2794" i="1"/>
  <c r="D2785" i="1"/>
  <c r="D2784" i="1"/>
  <c r="D2783" i="1"/>
  <c r="D2789" i="1"/>
  <c r="D2788" i="1"/>
  <c r="D2787" i="1"/>
  <c r="D2786" i="1"/>
  <c r="D2790" i="1"/>
  <c r="D2776" i="1"/>
  <c r="D2782" i="1"/>
  <c r="D2781" i="1"/>
  <c r="D2778" i="1"/>
  <c r="D2780" i="1"/>
  <c r="D2777" i="1"/>
  <c r="D2779" i="1"/>
  <c r="D2773" i="1"/>
  <c r="D2775" i="1"/>
  <c r="D2771" i="1"/>
  <c r="D2770" i="1"/>
  <c r="D2768" i="1"/>
  <c r="D2764" i="1"/>
  <c r="D2765" i="1"/>
  <c r="D2763" i="1"/>
  <c r="D2772" i="1"/>
  <c r="D2767" i="1"/>
  <c r="D2766" i="1"/>
  <c r="D2774" i="1"/>
  <c r="D2769" i="1"/>
  <c r="D2762" i="1"/>
  <c r="D2754" i="1"/>
  <c r="D2756" i="1"/>
  <c r="D2759" i="1"/>
  <c r="D2753" i="1"/>
  <c r="D2748" i="1"/>
  <c r="D2758" i="1"/>
  <c r="D2761" i="1"/>
  <c r="D2747" i="1"/>
  <c r="D2757" i="1"/>
  <c r="D2760" i="1"/>
  <c r="D2750" i="1"/>
  <c r="D2752" i="1"/>
  <c r="D2751" i="1"/>
  <c r="D2755" i="1"/>
  <c r="D2749" i="1"/>
  <c r="D2746" i="1"/>
  <c r="D2744" i="1"/>
  <c r="D2742" i="1"/>
  <c r="D2741" i="1"/>
  <c r="D2745" i="1"/>
  <c r="D2740" i="1"/>
  <c r="D2743" i="1"/>
  <c r="D2738" i="1"/>
  <c r="D2737" i="1"/>
  <c r="D2734" i="1"/>
  <c r="D2730" i="1"/>
  <c r="D2731" i="1"/>
  <c r="D2739" i="1"/>
  <c r="D2736" i="1"/>
  <c r="D2735" i="1"/>
  <c r="D2733" i="1"/>
  <c r="D2732" i="1"/>
  <c r="D2729" i="1"/>
  <c r="D2726" i="1"/>
  <c r="D2728" i="1"/>
  <c r="D2725" i="1"/>
  <c r="D2724" i="1"/>
  <c r="D2727" i="1"/>
  <c r="D2723" i="1"/>
  <c r="D2722" i="1"/>
  <c r="D2714" i="1"/>
  <c r="D2717" i="1"/>
  <c r="D2713" i="1"/>
  <c r="D2716" i="1"/>
  <c r="D2721" i="1"/>
  <c r="D2712" i="1"/>
  <c r="D2719" i="1"/>
  <c r="D2715" i="1"/>
  <c r="D2718" i="1"/>
  <c r="D2720" i="1"/>
  <c r="D2711" i="1"/>
  <c r="D2705" i="1"/>
  <c r="D2708" i="1"/>
  <c r="D2707" i="1"/>
  <c r="D2706" i="1"/>
  <c r="D2704" i="1"/>
  <c r="D2710" i="1"/>
  <c r="D2709" i="1"/>
  <c r="D2699" i="1"/>
  <c r="D2698" i="1"/>
  <c r="D2703" i="1"/>
  <c r="D2702" i="1"/>
  <c r="D2700" i="1"/>
  <c r="D2696" i="1"/>
  <c r="D2697" i="1"/>
  <c r="D2701" i="1"/>
  <c r="D2689" i="1"/>
  <c r="D2691" i="1"/>
  <c r="D2693" i="1"/>
  <c r="D2692" i="1"/>
  <c r="D2690" i="1"/>
  <c r="D2688" i="1"/>
  <c r="D2694" i="1"/>
  <c r="D2695" i="1"/>
  <c r="D2687" i="1"/>
  <c r="D2683" i="1"/>
  <c r="D2679" i="1"/>
  <c r="D2681" i="1"/>
  <c r="D2684" i="1"/>
  <c r="D2682" i="1"/>
  <c r="D2685" i="1"/>
  <c r="D2680" i="1"/>
  <c r="D2686" i="1"/>
  <c r="D2677" i="1"/>
  <c r="D2676" i="1"/>
  <c r="D2675" i="1"/>
  <c r="D2678" i="1"/>
  <c r="D2674" i="1"/>
  <c r="D2670" i="1"/>
  <c r="D2669" i="1"/>
  <c r="D2668" i="1"/>
  <c r="D2673" i="1"/>
  <c r="D2671" i="1"/>
  <c r="D2667" i="1"/>
  <c r="D2672" i="1"/>
  <c r="D2663" i="1"/>
  <c r="D2662" i="1"/>
  <c r="D2665" i="1"/>
  <c r="D2659" i="1"/>
  <c r="D2661" i="1"/>
  <c r="D2660" i="1"/>
  <c r="D2666" i="1"/>
  <c r="D2658" i="1"/>
  <c r="D2664" i="1"/>
  <c r="D2653" i="1"/>
  <c r="D2657" i="1"/>
  <c r="D2656" i="1"/>
  <c r="D2655" i="1"/>
  <c r="D2652" i="1"/>
  <c r="D2651" i="1"/>
  <c r="D2654" i="1"/>
  <c r="D2646" i="1"/>
  <c r="D2645" i="1"/>
  <c r="D2650" i="1"/>
  <c r="D2643" i="1"/>
  <c r="D2644" i="1"/>
  <c r="D2649" i="1"/>
  <c r="D2648" i="1"/>
  <c r="D2647" i="1"/>
  <c r="D2637" i="1"/>
  <c r="D2640" i="1"/>
  <c r="D2638" i="1"/>
  <c r="D2641" i="1"/>
  <c r="D2639" i="1"/>
  <c r="D2642" i="1"/>
  <c r="D2635" i="1"/>
  <c r="D2629" i="1"/>
  <c r="D2624" i="1"/>
  <c r="D2634" i="1"/>
  <c r="D2632" i="1"/>
  <c r="D2631" i="1"/>
  <c r="D2636" i="1"/>
  <c r="D2630" i="1"/>
  <c r="D2623" i="1"/>
  <c r="D2626" i="1"/>
  <c r="D2628" i="1"/>
  <c r="D2625" i="1"/>
  <c r="D2627" i="1"/>
  <c r="D2633" i="1"/>
  <c r="D2613" i="1"/>
  <c r="D2611" i="1"/>
  <c r="D2622" i="1"/>
  <c r="D2621" i="1"/>
  <c r="D2618" i="1"/>
  <c r="D2620" i="1"/>
  <c r="D2612" i="1"/>
  <c r="D2617" i="1"/>
  <c r="D2619" i="1"/>
  <c r="D2614" i="1"/>
  <c r="D2616" i="1"/>
  <c r="D2615" i="1"/>
  <c r="D2599" i="1"/>
  <c r="D2609" i="1"/>
  <c r="D2598" i="1"/>
  <c r="D2606" i="1"/>
  <c r="D2605" i="1"/>
  <c r="D2601" i="1"/>
  <c r="D2602" i="1"/>
  <c r="D2608" i="1"/>
  <c r="D2604" i="1"/>
  <c r="D2610" i="1"/>
  <c r="D2597" i="1"/>
  <c r="D2603" i="1"/>
  <c r="D2607" i="1"/>
  <c r="D2600" i="1"/>
  <c r="D2590" i="1"/>
  <c r="D2589" i="1"/>
  <c r="D2594" i="1"/>
  <c r="D2593" i="1"/>
  <c r="D2595" i="1"/>
  <c r="D2596" i="1"/>
  <c r="D2592" i="1"/>
  <c r="D2591" i="1"/>
  <c r="D2586" i="1"/>
  <c r="D2588" i="1"/>
  <c r="D2583" i="1"/>
  <c r="D2581" i="1"/>
  <c r="D2587" i="1"/>
  <c r="D2585" i="1"/>
  <c r="D2584" i="1"/>
  <c r="D2580" i="1"/>
  <c r="D2582" i="1"/>
  <c r="D2579" i="1"/>
  <c r="D2577" i="1"/>
  <c r="D2578" i="1"/>
  <c r="D2573" i="1"/>
  <c r="D2572" i="1"/>
  <c r="D2576" i="1"/>
  <c r="D2574" i="1"/>
  <c r="D2575" i="1"/>
  <c r="D2571" i="1"/>
  <c r="D2566" i="1"/>
  <c r="D2565" i="1"/>
  <c r="D2570" i="1"/>
  <c r="D2564" i="1"/>
  <c r="D2568" i="1"/>
  <c r="D2569" i="1"/>
  <c r="D2563" i="1"/>
  <c r="D2567" i="1"/>
  <c r="D2562" i="1"/>
  <c r="D2553" i="1"/>
  <c r="D2561" i="1"/>
  <c r="D2559" i="1"/>
  <c r="D2557" i="1"/>
  <c r="D2558" i="1"/>
  <c r="D2556" i="1"/>
  <c r="D2560" i="1"/>
  <c r="D2555" i="1"/>
  <c r="D2552" i="1"/>
  <c r="D2551" i="1"/>
  <c r="D2554" i="1"/>
  <c r="D2547" i="1"/>
  <c r="D2550" i="1"/>
  <c r="D2549" i="1"/>
  <c r="D2546" i="1"/>
  <c r="D2544" i="1"/>
  <c r="D2545" i="1"/>
  <c r="D2548" i="1"/>
  <c r="D2543" i="1"/>
  <c r="D2539" i="1"/>
  <c r="D2542" i="1"/>
  <c r="D2540" i="1"/>
  <c r="D2538" i="1"/>
  <c r="D2541" i="1"/>
  <c r="D2532" i="1"/>
  <c r="D2535" i="1"/>
  <c r="D2537" i="1"/>
  <c r="D2534" i="1"/>
  <c r="D2536" i="1"/>
  <c r="D2533" i="1"/>
  <c r="D2525" i="1"/>
  <c r="D2530" i="1"/>
  <c r="D2531" i="1"/>
  <c r="D2524" i="1"/>
  <c r="D2529" i="1"/>
  <c r="D2528" i="1"/>
  <c r="D2527" i="1"/>
  <c r="D2526" i="1"/>
  <c r="D2523" i="1"/>
  <c r="D2515" i="1"/>
  <c r="D2522" i="1"/>
  <c r="D2519" i="1"/>
  <c r="D2514" i="1"/>
  <c r="D2512" i="1"/>
  <c r="D2513" i="1"/>
  <c r="D2518" i="1"/>
  <c r="D2521" i="1"/>
  <c r="D2520" i="1"/>
  <c r="D2517" i="1"/>
  <c r="D2516" i="1"/>
  <c r="D2506" i="1"/>
  <c r="D2505" i="1"/>
  <c r="D2507" i="1"/>
  <c r="D2510" i="1"/>
  <c r="D2508" i="1"/>
  <c r="D2509" i="1"/>
  <c r="D2511" i="1"/>
  <c r="D2504" i="1"/>
  <c r="D2499" i="1"/>
  <c r="D2503" i="1"/>
  <c r="D2500" i="1"/>
  <c r="D2502" i="1"/>
  <c r="D2501" i="1"/>
  <c r="D2491" i="1"/>
  <c r="D2495" i="1"/>
  <c r="D2490" i="1"/>
  <c r="D2493" i="1"/>
  <c r="D2489" i="1"/>
  <c r="D2498" i="1"/>
  <c r="D2494" i="1"/>
  <c r="D2497" i="1"/>
  <c r="D2496" i="1"/>
  <c r="D2492" i="1"/>
  <c r="D2487" i="1"/>
  <c r="D2485" i="1"/>
  <c r="D2486" i="1"/>
  <c r="D2488" i="1"/>
  <c r="D2484" i="1"/>
  <c r="D2482" i="1"/>
  <c r="D2479" i="1"/>
  <c r="D2478" i="1"/>
  <c r="D2480" i="1"/>
  <c r="D2481" i="1"/>
  <c r="D2483" i="1"/>
  <c r="D2472" i="1"/>
  <c r="D2465" i="1"/>
  <c r="D2477" i="1"/>
  <c r="D2476" i="1"/>
  <c r="D2471" i="1"/>
  <c r="D2467" i="1"/>
  <c r="D2466" i="1"/>
  <c r="D2468" i="1"/>
  <c r="D2474" i="1"/>
  <c r="D2473" i="1"/>
  <c r="D2475" i="1"/>
  <c r="D2470" i="1"/>
  <c r="D2469" i="1"/>
  <c r="D2464" i="1"/>
  <c r="D2462" i="1"/>
  <c r="D2460" i="1"/>
  <c r="D2461" i="1"/>
  <c r="D2459" i="1"/>
  <c r="D2463" i="1"/>
  <c r="D2458" i="1"/>
  <c r="D2455" i="1"/>
  <c r="D2457" i="1"/>
  <c r="D2451" i="1"/>
  <c r="D2454" i="1"/>
  <c r="D2452" i="1"/>
  <c r="D2450" i="1"/>
  <c r="D2449" i="1"/>
  <c r="D2456" i="1"/>
  <c r="D2453" i="1"/>
  <c r="D2448" i="1"/>
  <c r="D2446" i="1"/>
  <c r="D2445" i="1"/>
  <c r="D2447" i="1"/>
  <c r="D2444" i="1"/>
  <c r="D2443" i="1"/>
  <c r="D2442" i="1"/>
  <c r="D2440" i="1"/>
  <c r="D2439" i="1"/>
  <c r="D2438" i="1"/>
  <c r="D2441" i="1"/>
  <c r="D2428" i="1"/>
  <c r="D2429" i="1"/>
  <c r="D2427" i="1"/>
  <c r="D2431" i="1"/>
  <c r="D2426" i="1"/>
  <c r="D2430" i="1"/>
  <c r="D2437" i="1"/>
  <c r="D2425" i="1"/>
  <c r="D2432" i="1"/>
  <c r="D2435" i="1"/>
  <c r="D2434" i="1"/>
  <c r="D2436" i="1"/>
  <c r="D2424" i="1"/>
  <c r="D2433" i="1"/>
  <c r="D2422" i="1"/>
  <c r="D2423" i="1"/>
  <c r="D2421" i="1"/>
  <c r="D2419" i="1"/>
  <c r="D2418" i="1"/>
  <c r="D2420" i="1"/>
  <c r="D2417" i="1"/>
  <c r="D2416" i="1"/>
  <c r="D2412" i="1"/>
  <c r="D2411" i="1"/>
  <c r="D2414" i="1"/>
  <c r="D2408" i="1"/>
  <c r="D2410" i="1"/>
  <c r="D2415" i="1"/>
  <c r="D2413" i="1"/>
  <c r="D2409" i="1"/>
  <c r="D2407" i="1"/>
  <c r="D2406" i="1"/>
  <c r="D2405" i="1"/>
  <c r="D2402" i="1"/>
  <c r="D2403" i="1"/>
  <c r="D2400" i="1"/>
  <c r="D2399" i="1"/>
  <c r="D2404" i="1"/>
  <c r="D2401" i="1"/>
  <c r="D2391" i="1"/>
  <c r="D2397" i="1"/>
  <c r="D2396" i="1"/>
  <c r="D2395" i="1"/>
  <c r="D2392" i="1"/>
  <c r="D2390" i="1"/>
  <c r="D2398" i="1"/>
  <c r="D2394" i="1"/>
  <c r="D2393" i="1"/>
  <c r="D2388" i="1"/>
  <c r="D2386" i="1"/>
  <c r="D2383" i="1"/>
  <c r="D2387" i="1"/>
  <c r="D2382" i="1"/>
  <c r="D2385" i="1"/>
  <c r="D2389" i="1"/>
  <c r="D2384" i="1"/>
  <c r="D2378" i="1"/>
  <c r="D2375" i="1"/>
  <c r="D2374" i="1"/>
  <c r="D2380" i="1"/>
  <c r="D2373" i="1"/>
  <c r="D2377" i="1"/>
  <c r="D2381" i="1"/>
  <c r="D2376" i="1"/>
  <c r="D2372" i="1"/>
  <c r="D2379" i="1"/>
  <c r="D2366" i="1"/>
  <c r="D2367" i="1"/>
  <c r="D2364" i="1"/>
  <c r="D2363" i="1"/>
  <c r="D2371" i="1"/>
  <c r="D2365" i="1"/>
  <c r="D2370" i="1"/>
  <c r="D2361" i="1"/>
  <c r="D2369" i="1"/>
  <c r="D2368" i="1"/>
  <c r="D2362" i="1"/>
  <c r="D2353" i="1"/>
  <c r="D2360" i="1"/>
  <c r="D2352" i="1"/>
  <c r="D2356" i="1"/>
  <c r="D2351" i="1"/>
  <c r="D2355" i="1"/>
  <c r="D2357" i="1"/>
  <c r="D2354" i="1"/>
  <c r="D2359" i="1"/>
  <c r="D2358" i="1"/>
  <c r="D2344" i="1"/>
  <c r="D2343" i="1"/>
  <c r="D2349" i="1"/>
  <c r="D2342" i="1"/>
  <c r="D2350" i="1"/>
  <c r="D2341" i="1"/>
  <c r="D2348" i="1"/>
  <c r="D2347" i="1"/>
  <c r="D2346" i="1"/>
  <c r="D2345" i="1"/>
  <c r="D2339" i="1"/>
  <c r="D2336" i="1"/>
  <c r="D2338" i="1"/>
  <c r="D2337" i="1"/>
  <c r="D2340" i="1"/>
  <c r="D2331" i="1"/>
  <c r="D2335" i="1"/>
  <c r="D2332" i="1"/>
  <c r="D2334" i="1"/>
  <c r="D2333" i="1"/>
  <c r="D2330" i="1"/>
  <c r="D2325" i="1"/>
  <c r="D2329" i="1"/>
  <c r="D2324" i="1"/>
  <c r="D2326" i="1"/>
  <c r="D2328" i="1"/>
  <c r="D2327" i="1"/>
  <c r="D2319" i="1"/>
  <c r="D2321" i="1"/>
  <c r="D2323" i="1"/>
  <c r="D2322" i="1"/>
  <c r="D2317" i="1"/>
  <c r="D2318" i="1"/>
  <c r="D2314" i="1"/>
  <c r="D2316" i="1"/>
  <c r="D2315" i="1"/>
  <c r="D2320" i="1"/>
  <c r="D2313" i="1"/>
  <c r="D2311" i="1"/>
  <c r="D2312" i="1"/>
  <c r="D2310" i="1"/>
  <c r="D2309" i="1"/>
  <c r="D2307" i="1"/>
  <c r="D2302" i="1"/>
  <c r="D2301" i="1"/>
  <c r="D2306" i="1"/>
  <c r="D2299" i="1"/>
  <c r="D2305" i="1"/>
  <c r="D2304" i="1"/>
  <c r="D2303" i="1"/>
  <c r="D2308" i="1"/>
  <c r="D2300" i="1"/>
  <c r="D2298" i="1"/>
  <c r="D2291" i="1"/>
  <c r="D2297" i="1"/>
  <c r="D2294" i="1"/>
  <c r="D2292" i="1"/>
  <c r="D2296" i="1"/>
  <c r="D2295" i="1"/>
  <c r="D2293" i="1"/>
  <c r="D2289" i="1"/>
  <c r="D2290" i="1"/>
  <c r="D2288" i="1"/>
  <c r="D2287" i="1"/>
  <c r="D2285" i="1"/>
  <c r="D2284" i="1"/>
  <c r="D2286" i="1"/>
  <c r="D2273" i="1"/>
  <c r="D2278" i="1"/>
  <c r="D2276" i="1"/>
  <c r="D2282" i="1"/>
  <c r="D2279" i="1"/>
  <c r="D2281" i="1"/>
  <c r="D2283" i="1"/>
  <c r="D2277" i="1"/>
  <c r="D2275" i="1"/>
  <c r="D2274" i="1"/>
  <c r="D2280" i="1"/>
  <c r="D2258" i="1"/>
  <c r="D2270" i="1"/>
  <c r="D2259" i="1"/>
  <c r="D2263" i="1"/>
  <c r="D2266" i="1"/>
  <c r="D2262" i="1"/>
  <c r="D2261" i="1"/>
  <c r="D2257" i="1"/>
  <c r="D2265" i="1"/>
  <c r="D2272" i="1"/>
  <c r="D2271" i="1"/>
  <c r="D2260" i="1"/>
  <c r="D2269" i="1"/>
  <c r="D2264" i="1"/>
  <c r="D2268" i="1"/>
  <c r="D2267" i="1"/>
  <c r="D2250" i="1"/>
  <c r="D2256" i="1"/>
  <c r="D2246" i="1"/>
  <c r="D2247" i="1"/>
  <c r="D2253" i="1"/>
  <c r="D2252" i="1"/>
  <c r="D2255" i="1"/>
  <c r="D2251" i="1"/>
  <c r="D2249" i="1"/>
  <c r="D2248" i="1"/>
  <c r="D2254" i="1"/>
  <c r="D2244" i="1"/>
  <c r="D2240" i="1"/>
  <c r="D2238" i="1"/>
  <c r="D2243" i="1"/>
  <c r="D2241" i="1"/>
  <c r="D2239" i="1"/>
  <c r="D2242" i="1"/>
  <c r="D2245" i="1"/>
  <c r="D2236" i="1"/>
  <c r="D2235" i="1"/>
  <c r="D2229" i="1"/>
  <c r="D2232" i="1"/>
  <c r="D2231" i="1"/>
  <c r="D2234" i="1"/>
  <c r="D2227" i="1"/>
  <c r="D2237" i="1"/>
  <c r="D2230" i="1"/>
  <c r="D2233" i="1"/>
  <c r="D2228" i="1"/>
  <c r="D2226" i="1"/>
  <c r="D2218" i="1"/>
  <c r="D2223" i="1"/>
  <c r="D2220" i="1"/>
  <c r="D2224" i="1"/>
  <c r="D2225" i="1"/>
  <c r="D2222" i="1"/>
  <c r="D2221" i="1"/>
  <c r="D2217" i="1"/>
  <c r="D2219" i="1"/>
  <c r="D2214" i="1"/>
  <c r="D2216" i="1"/>
  <c r="D2208" i="1"/>
  <c r="D2207" i="1"/>
  <c r="D2213" i="1"/>
  <c r="D2211" i="1"/>
  <c r="D2206" i="1"/>
  <c r="D2210" i="1"/>
  <c r="D2215" i="1"/>
  <c r="D2212" i="1"/>
  <c r="D2209" i="1"/>
  <c r="D2202" i="1"/>
  <c r="D2198" i="1"/>
  <c r="D2197" i="1"/>
  <c r="D2200" i="1"/>
  <c r="D2205" i="1"/>
  <c r="D2196" i="1"/>
  <c r="D2204" i="1"/>
  <c r="D2199" i="1"/>
  <c r="D2203" i="1"/>
  <c r="D2201" i="1"/>
  <c r="D2194" i="1"/>
  <c r="D2192" i="1"/>
  <c r="D2189" i="1"/>
  <c r="D2193" i="1"/>
  <c r="D2191" i="1"/>
  <c r="D2195" i="1"/>
  <c r="D2190" i="1"/>
  <c r="D2188" i="1"/>
  <c r="D2187" i="1"/>
  <c r="D2178" i="1"/>
  <c r="D2185" i="1"/>
  <c r="D2177" i="1"/>
  <c r="D2176" i="1"/>
  <c r="D2183" i="1"/>
  <c r="D2175" i="1"/>
  <c r="D2182" i="1"/>
  <c r="D2180" i="1"/>
  <c r="D2181" i="1"/>
  <c r="D2184" i="1"/>
  <c r="D2186" i="1"/>
  <c r="D2179" i="1"/>
  <c r="D2173" i="1"/>
  <c r="D2170" i="1"/>
  <c r="D2171" i="1"/>
  <c r="D2174" i="1"/>
  <c r="D2172" i="1"/>
  <c r="D2164" i="1"/>
  <c r="D2169" i="1"/>
  <c r="D2167" i="1"/>
  <c r="D2166" i="1"/>
  <c r="D2163" i="1"/>
  <c r="D2168" i="1"/>
  <c r="D2165" i="1"/>
  <c r="D2161" i="1"/>
  <c r="D2160" i="1"/>
  <c r="D2162" i="1"/>
  <c r="D2157" i="1"/>
  <c r="D2159" i="1"/>
  <c r="D2158" i="1"/>
  <c r="D2156" i="1"/>
  <c r="D2151" i="1"/>
  <c r="D2154" i="1"/>
  <c r="D2155" i="1"/>
  <c r="D2150" i="1"/>
  <c r="D2152" i="1"/>
  <c r="D2149" i="1"/>
  <c r="D2153" i="1"/>
  <c r="D2140" i="1"/>
  <c r="D2144" i="1"/>
  <c r="D2147" i="1"/>
  <c r="D2139" i="1"/>
  <c r="D2137" i="1"/>
  <c r="D2143" i="1"/>
  <c r="D2142" i="1"/>
  <c r="D2146" i="1"/>
  <c r="D2141" i="1"/>
  <c r="D2148" i="1"/>
  <c r="D2138" i="1"/>
  <c r="D2145" i="1"/>
  <c r="D2136" i="1"/>
  <c r="D2131" i="1"/>
  <c r="D2130" i="1"/>
  <c r="D2133" i="1"/>
  <c r="D2134" i="1"/>
  <c r="D2129" i="1"/>
  <c r="D2132" i="1"/>
  <c r="D2135" i="1"/>
  <c r="D2125" i="1"/>
  <c r="D2126" i="1"/>
  <c r="D2123" i="1"/>
  <c r="D2120" i="1"/>
  <c r="D2119" i="1"/>
  <c r="D2122" i="1"/>
  <c r="D2124" i="1"/>
  <c r="D2128" i="1"/>
  <c r="D2121" i="1"/>
  <c r="D2127" i="1"/>
  <c r="D2111" i="1"/>
  <c r="D2118" i="1"/>
  <c r="D2110" i="1"/>
  <c r="D2115" i="1"/>
  <c r="D2114" i="1"/>
  <c r="D2116" i="1"/>
  <c r="D2109" i="1"/>
  <c r="D2113" i="1"/>
  <c r="D2108" i="1"/>
  <c r="D2112" i="1"/>
  <c r="D2117" i="1"/>
  <c r="D2101" i="1"/>
  <c r="D2104" i="1"/>
  <c r="D2103" i="1"/>
  <c r="D2100" i="1"/>
  <c r="D2099" i="1"/>
  <c r="D2102" i="1"/>
  <c r="D2107" i="1"/>
  <c r="D2105" i="1"/>
  <c r="D2106" i="1"/>
  <c r="D2094" i="1"/>
  <c r="D2098" i="1"/>
  <c r="D2097" i="1"/>
  <c r="D2093" i="1"/>
  <c r="D2096" i="1"/>
  <c r="D2095" i="1"/>
  <c r="D2092" i="1"/>
  <c r="D2091" i="1"/>
  <c r="D2087" i="1"/>
  <c r="D2090" i="1"/>
  <c r="D2088" i="1"/>
  <c r="D2089" i="1"/>
  <c r="D2077" i="1"/>
  <c r="D2086" i="1"/>
  <c r="D2080" i="1"/>
  <c r="D2075" i="1"/>
  <c r="D2081" i="1"/>
  <c r="D2076" i="1"/>
  <c r="D2085" i="1"/>
  <c r="D2079" i="1"/>
  <c r="D2082" i="1"/>
  <c r="D2084" i="1"/>
  <c r="D2078" i="1"/>
  <c r="D2083" i="1"/>
  <c r="D2070" i="1"/>
  <c r="D2074" i="1"/>
  <c r="D2072" i="1"/>
  <c r="D2068" i="1"/>
  <c r="D2071" i="1"/>
  <c r="D2073" i="1"/>
  <c r="D2069" i="1"/>
  <c r="D2062" i="1"/>
  <c r="D2067" i="1"/>
  <c r="D2060" i="1"/>
  <c r="D2059" i="1"/>
  <c r="D2058" i="1"/>
  <c r="D2061" i="1"/>
  <c r="D2064" i="1"/>
  <c r="D2066" i="1"/>
  <c r="D2057" i="1"/>
  <c r="D2065" i="1"/>
  <c r="D2063" i="1"/>
  <c r="D2055" i="1"/>
  <c r="D2054" i="1"/>
  <c r="D2056" i="1"/>
  <c r="D2044" i="1"/>
  <c r="D2051" i="1"/>
  <c r="D2053" i="1"/>
  <c r="D2049" i="1"/>
  <c r="D2048" i="1"/>
  <c r="D2043" i="1"/>
  <c r="D2042" i="1"/>
  <c r="D2046" i="1"/>
  <c r="D2047" i="1"/>
  <c r="D2052" i="1"/>
  <c r="D2050" i="1"/>
  <c r="D2045" i="1"/>
  <c r="D2041" i="1"/>
  <c r="D2040" i="1"/>
  <c r="D2038" i="1"/>
  <c r="D2037" i="1"/>
  <c r="D2039" i="1"/>
  <c r="D2036" i="1"/>
  <c r="D2034" i="1"/>
  <c r="D2032" i="1"/>
  <c r="D2035" i="1"/>
  <c r="D2033" i="1"/>
  <c r="D2031" i="1"/>
  <c r="D2027" i="1"/>
  <c r="D2026" i="1"/>
  <c r="D2030" i="1"/>
  <c r="D2029" i="1"/>
  <c r="D2028" i="1"/>
  <c r="D2023" i="1"/>
  <c r="D2022" i="1"/>
  <c r="D2021" i="1"/>
  <c r="D2020" i="1"/>
  <c r="D2024" i="1"/>
  <c r="D2017" i="1"/>
  <c r="D2025" i="1"/>
  <c r="D2019" i="1"/>
  <c r="D2018" i="1"/>
  <c r="D2016" i="1"/>
  <c r="D2009" i="1"/>
  <c r="D2015" i="1"/>
  <c r="D2012" i="1"/>
  <c r="D2011" i="1"/>
  <c r="D2014" i="1"/>
  <c r="D2013" i="1"/>
  <c r="D2010" i="1"/>
  <c r="D2004" i="1"/>
  <c r="D2006" i="1"/>
  <c r="D2005" i="1"/>
  <c r="D2007" i="1"/>
  <c r="D2008" i="1"/>
  <c r="D2003" i="1"/>
  <c r="D2002" i="1"/>
  <c r="D2001" i="1"/>
  <c r="D1997" i="1"/>
  <c r="D2000" i="1"/>
  <c r="D1993" i="1"/>
  <c r="D1996" i="1"/>
  <c r="D1999" i="1"/>
  <c r="D1995" i="1"/>
  <c r="D1992" i="1"/>
  <c r="D1994" i="1"/>
  <c r="D1998" i="1"/>
  <c r="D1989" i="1"/>
  <c r="D1984" i="1"/>
  <c r="D1986" i="1"/>
  <c r="D1983" i="1"/>
  <c r="D1985" i="1"/>
  <c r="D1987" i="1"/>
  <c r="D1991" i="1"/>
  <c r="D1982" i="1"/>
  <c r="D1988" i="1"/>
  <c r="D1990" i="1"/>
  <c r="D1979" i="1"/>
  <c r="D1978" i="1"/>
  <c r="D1977" i="1"/>
  <c r="D1981" i="1"/>
  <c r="D1980" i="1"/>
  <c r="D1974" i="1"/>
  <c r="D1970" i="1"/>
  <c r="D1969" i="1"/>
  <c r="D1968" i="1"/>
  <c r="D1976" i="1"/>
  <c r="D1972" i="1"/>
  <c r="D1975" i="1"/>
  <c r="D1971" i="1"/>
  <c r="D1973" i="1"/>
  <c r="D1961" i="1"/>
  <c r="D1965" i="1"/>
  <c r="D1960" i="1"/>
  <c r="D1967" i="1"/>
  <c r="D1962" i="1"/>
  <c r="D1966" i="1"/>
  <c r="D1964" i="1"/>
  <c r="D1963" i="1"/>
  <c r="D1958" i="1"/>
  <c r="D1957" i="1"/>
  <c r="D1956" i="1"/>
  <c r="D1959" i="1"/>
  <c r="D1948" i="1"/>
  <c r="D1955" i="1"/>
  <c r="D1947" i="1"/>
  <c r="D1951" i="1"/>
  <c r="D1954" i="1"/>
  <c r="D1950" i="1"/>
  <c r="D1952" i="1"/>
  <c r="D1949" i="1"/>
  <c r="D1953" i="1"/>
  <c r="D1946" i="1"/>
  <c r="D1938" i="1"/>
  <c r="D1945" i="1"/>
  <c r="D1937" i="1"/>
  <c r="D1940" i="1"/>
  <c r="D1944" i="1"/>
  <c r="D1939" i="1"/>
  <c r="D1943" i="1"/>
  <c r="D1942" i="1"/>
  <c r="D1941" i="1"/>
  <c r="D1929" i="1"/>
  <c r="D1936" i="1"/>
  <c r="D1935" i="1"/>
  <c r="D1930" i="1"/>
  <c r="D1932" i="1"/>
  <c r="D1931" i="1"/>
  <c r="D1933" i="1"/>
  <c r="D1934" i="1"/>
  <c r="D1919" i="1"/>
  <c r="D1922" i="1"/>
  <c r="D1924" i="1"/>
  <c r="D1917" i="1"/>
  <c r="D1925" i="1"/>
  <c r="D1926" i="1"/>
  <c r="D1923" i="1"/>
  <c r="D1918" i="1"/>
  <c r="D1928" i="1"/>
  <c r="D1927" i="1"/>
  <c r="D1921" i="1"/>
  <c r="D1920" i="1"/>
  <c r="D1909" i="1"/>
  <c r="D1911" i="1"/>
  <c r="D1916" i="1"/>
  <c r="D1915" i="1"/>
  <c r="D1912" i="1"/>
  <c r="D1910" i="1"/>
  <c r="D1906" i="1"/>
  <c r="D1908" i="1"/>
  <c r="D1907" i="1"/>
  <c r="D1914" i="1"/>
  <c r="D1913" i="1"/>
  <c r="D1904" i="1"/>
  <c r="D1905" i="1"/>
  <c r="D1903" i="1"/>
  <c r="D1897" i="1"/>
  <c r="D1901" i="1"/>
  <c r="D1899" i="1"/>
  <c r="D1896" i="1"/>
  <c r="D1902" i="1"/>
  <c r="D1898" i="1"/>
  <c r="D1900" i="1"/>
  <c r="D1891" i="1"/>
  <c r="D1893" i="1"/>
  <c r="D1889" i="1"/>
  <c r="D1895" i="1"/>
  <c r="D1892" i="1"/>
  <c r="D1890" i="1"/>
  <c r="D1894" i="1"/>
  <c r="D1883" i="1"/>
  <c r="D1887" i="1"/>
  <c r="D1888" i="1"/>
  <c r="D1880" i="1"/>
  <c r="D1881" i="1"/>
  <c r="D1882" i="1"/>
  <c r="D1885" i="1"/>
  <c r="D1884" i="1"/>
  <c r="D1886" i="1"/>
  <c r="D1875" i="1"/>
  <c r="D1879" i="1"/>
  <c r="D1878" i="1"/>
  <c r="D1876" i="1"/>
  <c r="D1874" i="1"/>
  <c r="D1872" i="1"/>
  <c r="D1877" i="1"/>
  <c r="D1873" i="1"/>
  <c r="D1869" i="1"/>
  <c r="D1868" i="1"/>
  <c r="D1871" i="1"/>
  <c r="D1867" i="1"/>
  <c r="D1870" i="1"/>
  <c r="D1866" i="1"/>
  <c r="D1857" i="1"/>
  <c r="D1864" i="1"/>
  <c r="D1865" i="1"/>
  <c r="D1862" i="1"/>
  <c r="D1863" i="1"/>
  <c r="D1860" i="1"/>
  <c r="D1856" i="1"/>
  <c r="D1861" i="1"/>
  <c r="D1859" i="1"/>
  <c r="D1858" i="1"/>
  <c r="D1852" i="1"/>
  <c r="D1851" i="1"/>
  <c r="D1850" i="1"/>
  <c r="D1854" i="1"/>
  <c r="D1847" i="1"/>
  <c r="D1853" i="1"/>
  <c r="D1849" i="1"/>
  <c r="D1848" i="1"/>
  <c r="D1855" i="1"/>
  <c r="D1845" i="1"/>
  <c r="D1846" i="1"/>
  <c r="D1844" i="1"/>
  <c r="D1841" i="1"/>
  <c r="D1843" i="1"/>
  <c r="D1842" i="1"/>
  <c r="D1840" i="1"/>
  <c r="D1838" i="1"/>
  <c r="D1839" i="1"/>
  <c r="D1837" i="1"/>
  <c r="D1836" i="1"/>
  <c r="D1834" i="1"/>
  <c r="D1835" i="1"/>
  <c r="D1832" i="1"/>
  <c r="D1831" i="1"/>
  <c r="D1833" i="1"/>
  <c r="D1823" i="1"/>
  <c r="D1820" i="1"/>
  <c r="D1824" i="1"/>
  <c r="D1822" i="1"/>
  <c r="D1827" i="1"/>
  <c r="D1830" i="1"/>
  <c r="D1825" i="1"/>
  <c r="D1821" i="1"/>
  <c r="D1826" i="1"/>
  <c r="D1819" i="1"/>
  <c r="D1829" i="1"/>
  <c r="D1828" i="1"/>
  <c r="D1818" i="1"/>
  <c r="D1817" i="1"/>
  <c r="D1816" i="1"/>
  <c r="D1814" i="1"/>
  <c r="D1811" i="1"/>
  <c r="D1812" i="1"/>
  <c r="D1810" i="1"/>
  <c r="D1813" i="1"/>
  <c r="D1815" i="1"/>
  <c r="D1806" i="1"/>
  <c r="D1807" i="1"/>
  <c r="D1809" i="1"/>
  <c r="D1808" i="1"/>
  <c r="D1805" i="1"/>
  <c r="D1798" i="1"/>
  <c r="D1797" i="1"/>
  <c r="D1799" i="1"/>
  <c r="D1804" i="1"/>
  <c r="D1802" i="1"/>
  <c r="D1803" i="1"/>
  <c r="D1801" i="1"/>
  <c r="D1796" i="1"/>
  <c r="D1800" i="1"/>
  <c r="D1788" i="1"/>
  <c r="D1787" i="1"/>
  <c r="D1792" i="1"/>
  <c r="D1793" i="1"/>
  <c r="D1791" i="1"/>
  <c r="D1795" i="1"/>
  <c r="D1794" i="1"/>
  <c r="D1790" i="1"/>
  <c r="D1789" i="1"/>
  <c r="D1779" i="1"/>
  <c r="D1784" i="1"/>
  <c r="D1782" i="1"/>
  <c r="D1780" i="1"/>
  <c r="D1786" i="1"/>
  <c r="D1785" i="1"/>
  <c r="D1783" i="1"/>
  <c r="D1778" i="1"/>
  <c r="D1777" i="1"/>
  <c r="D1781" i="1"/>
  <c r="D1773" i="1"/>
  <c r="D1764" i="1"/>
  <c r="D1767" i="1"/>
  <c r="D1772" i="1"/>
  <c r="D1769" i="1"/>
  <c r="D1766" i="1"/>
  <c r="D1771" i="1"/>
  <c r="D1763" i="1"/>
  <c r="D1768" i="1"/>
  <c r="D1775" i="1"/>
  <c r="D1762" i="1"/>
  <c r="D1774" i="1"/>
  <c r="D1765" i="1"/>
  <c r="D1776" i="1"/>
  <c r="D1770" i="1"/>
  <c r="D1760" i="1"/>
  <c r="D1761" i="1"/>
  <c r="D1755" i="1"/>
  <c r="D1758" i="1"/>
  <c r="D1756" i="1"/>
  <c r="D1759" i="1"/>
  <c r="D1754" i="1"/>
  <c r="D1757" i="1"/>
  <c r="D1747" i="1"/>
  <c r="D1751" i="1"/>
  <c r="D1746" i="1"/>
  <c r="D1745" i="1"/>
  <c r="D1753" i="1"/>
  <c r="D1750" i="1"/>
  <c r="D1748" i="1"/>
  <c r="D1749" i="1"/>
  <c r="D1752" i="1"/>
  <c r="D1740" i="1"/>
  <c r="D1742" i="1"/>
  <c r="D1739" i="1"/>
  <c r="D1741" i="1"/>
  <c r="D1737" i="1"/>
  <c r="D1744" i="1"/>
  <c r="D1738" i="1"/>
  <c r="D1743" i="1"/>
  <c r="D1727" i="1"/>
  <c r="D1734" i="1"/>
  <c r="D1724" i="1"/>
  <c r="D1732" i="1"/>
  <c r="D1729" i="1"/>
  <c r="D1733" i="1"/>
  <c r="D1736" i="1"/>
  <c r="D1731" i="1"/>
  <c r="D1730" i="1"/>
  <c r="D1725" i="1"/>
  <c r="D1728" i="1"/>
  <c r="D1723" i="1"/>
  <c r="D1726" i="1"/>
  <c r="D1735" i="1"/>
  <c r="D1721" i="1"/>
  <c r="D1713" i="1"/>
  <c r="D1715" i="1"/>
  <c r="D1720" i="1"/>
  <c r="D1714" i="1"/>
  <c r="D1722" i="1"/>
  <c r="D1712" i="1"/>
  <c r="D1719" i="1"/>
  <c r="D1716" i="1"/>
  <c r="D1718" i="1"/>
  <c r="D1711" i="1"/>
  <c r="D1717" i="1"/>
  <c r="D1701" i="1"/>
  <c r="D1700" i="1"/>
  <c r="D1709" i="1"/>
  <c r="D1703" i="1"/>
  <c r="D1710" i="1"/>
  <c r="D1705" i="1"/>
  <c r="D1708" i="1"/>
  <c r="D1704" i="1"/>
  <c r="D1699" i="1"/>
  <c r="D1702" i="1"/>
  <c r="D1707" i="1"/>
  <c r="D1706" i="1"/>
  <c r="D1698" i="1"/>
  <c r="D1691" i="1"/>
  <c r="D1692" i="1"/>
  <c r="D1696" i="1"/>
  <c r="D1695" i="1"/>
  <c r="D1693" i="1"/>
  <c r="D1694" i="1"/>
  <c r="D1697" i="1"/>
  <c r="D1686" i="1"/>
  <c r="D1683" i="1"/>
  <c r="D1682" i="1"/>
  <c r="D1684" i="1"/>
  <c r="D1689" i="1"/>
  <c r="D1685" i="1"/>
  <c r="D1687" i="1"/>
  <c r="D1690" i="1"/>
  <c r="D1688" i="1"/>
  <c r="D1677" i="1"/>
  <c r="D1681" i="1"/>
  <c r="D1680" i="1"/>
  <c r="D1678" i="1"/>
  <c r="D1676" i="1"/>
  <c r="D1679" i="1"/>
  <c r="D1670" i="1"/>
  <c r="D1669" i="1"/>
  <c r="D1674" i="1"/>
  <c r="D1668" i="1"/>
  <c r="D1671" i="1"/>
  <c r="D1673" i="1"/>
  <c r="D1667" i="1"/>
  <c r="D1675" i="1"/>
  <c r="D1672" i="1"/>
  <c r="D1666" i="1"/>
  <c r="D1663" i="1"/>
  <c r="D1662" i="1"/>
  <c r="D1661" i="1"/>
  <c r="D1658" i="1"/>
  <c r="D1660" i="1"/>
  <c r="D1659" i="1"/>
  <c r="D1665" i="1"/>
  <c r="D1664" i="1"/>
  <c r="D1652" i="1"/>
  <c r="D1647" i="1"/>
  <c r="D1657" i="1"/>
  <c r="D1651" i="1"/>
  <c r="D1650" i="1"/>
  <c r="D1653" i="1"/>
  <c r="D1649" i="1"/>
  <c r="D1648" i="1"/>
  <c r="D1654" i="1"/>
  <c r="D1656" i="1"/>
  <c r="D1655" i="1"/>
  <c r="D1646" i="1"/>
  <c r="D1645" i="1"/>
  <c r="D1642" i="1"/>
  <c r="D1641" i="1"/>
  <c r="D1644" i="1"/>
  <c r="D1643" i="1"/>
  <c r="D1640" i="1"/>
  <c r="D1639" i="1"/>
  <c r="D1634" i="1"/>
  <c r="D1638" i="1"/>
  <c r="D1633" i="1"/>
  <c r="D1637" i="1"/>
  <c r="D1631" i="1"/>
  <c r="D1636" i="1"/>
  <c r="D1630" i="1"/>
  <c r="D1632" i="1"/>
  <c r="D1629" i="1"/>
  <c r="D1635" i="1"/>
  <c r="D1623" i="1"/>
  <c r="D1628" i="1"/>
  <c r="D1627" i="1"/>
  <c r="D1620" i="1"/>
  <c r="D1626" i="1"/>
  <c r="D1621" i="1"/>
  <c r="D1622" i="1"/>
  <c r="D1625" i="1"/>
  <c r="D1624" i="1"/>
  <c r="D1619" i="1"/>
  <c r="D1618" i="1"/>
  <c r="D1615" i="1"/>
  <c r="D1616" i="1"/>
  <c r="D1611" i="1"/>
  <c r="D1610" i="1"/>
  <c r="D1614" i="1"/>
  <c r="D1613" i="1"/>
  <c r="D1617" i="1"/>
  <c r="D1612" i="1"/>
  <c r="D1609" i="1"/>
  <c r="D1608" i="1"/>
  <c r="D1600" i="1"/>
  <c r="D1607" i="1"/>
  <c r="D1606" i="1"/>
  <c r="D1604" i="1"/>
  <c r="D1605" i="1"/>
  <c r="D1603" i="1"/>
  <c r="D1602" i="1"/>
  <c r="D1599" i="1"/>
  <c r="D1601" i="1"/>
  <c r="D1592" i="1"/>
  <c r="D1598" i="1"/>
  <c r="D1597" i="1"/>
  <c r="D1596" i="1"/>
  <c r="D1595" i="1"/>
  <c r="D1594" i="1"/>
  <c r="D1593" i="1"/>
  <c r="D1589" i="1"/>
  <c r="D1579" i="1"/>
  <c r="D1591" i="1"/>
  <c r="D1585" i="1"/>
  <c r="D1584" i="1"/>
  <c r="D1581" i="1"/>
  <c r="D1588" i="1"/>
  <c r="D1583" i="1"/>
  <c r="D1582" i="1"/>
  <c r="D1587" i="1"/>
  <c r="D1590" i="1"/>
  <c r="D1580" i="1"/>
  <c r="D1586" i="1"/>
  <c r="D1575" i="1"/>
  <c r="D1574" i="1"/>
  <c r="D1577" i="1"/>
  <c r="D1578" i="1"/>
  <c r="D1576" i="1"/>
  <c r="D1573" i="1"/>
  <c r="D1572" i="1"/>
  <c r="D1571" i="1"/>
  <c r="D1564" i="1"/>
  <c r="D1570" i="1"/>
  <c r="D1562" i="1"/>
  <c r="D1566" i="1"/>
  <c r="D1561" i="1"/>
  <c r="D1568" i="1"/>
  <c r="D1565" i="1"/>
  <c r="D1569" i="1"/>
  <c r="D1563" i="1"/>
  <c r="D1567" i="1"/>
  <c r="D1560" i="1"/>
  <c r="D1559" i="1"/>
  <c r="D1556" i="1"/>
  <c r="D1555" i="1"/>
  <c r="D1558" i="1"/>
  <c r="D1557" i="1"/>
  <c r="D1546" i="1"/>
  <c r="D1549" i="1"/>
  <c r="D1552" i="1"/>
  <c r="D1554" i="1"/>
  <c r="D1553" i="1"/>
  <c r="D1548" i="1"/>
  <c r="D1551" i="1"/>
  <c r="D1547" i="1"/>
  <c r="D1550" i="1"/>
  <c r="D1545" i="1"/>
  <c r="D1541" i="1"/>
  <c r="D1544" i="1"/>
  <c r="D1542" i="1"/>
  <c r="D1543" i="1"/>
  <c r="D1536" i="1"/>
  <c r="D1538" i="1"/>
  <c r="D1534" i="1"/>
  <c r="D1540" i="1"/>
  <c r="D1537" i="1"/>
  <c r="D1535" i="1"/>
  <c r="D1539" i="1"/>
  <c r="D1533" i="1"/>
  <c r="D1527" i="1"/>
  <c r="D1525" i="1"/>
  <c r="D1529" i="1"/>
  <c r="D1528" i="1"/>
  <c r="D1526" i="1"/>
  <c r="D1530" i="1"/>
  <c r="D1524" i="1"/>
  <c r="D1532" i="1"/>
  <c r="D1531" i="1"/>
  <c r="D1523" i="1"/>
  <c r="D1520" i="1"/>
  <c r="D1516" i="1"/>
  <c r="D1515" i="1"/>
  <c r="D1514" i="1"/>
  <c r="D1522" i="1"/>
  <c r="D1519" i="1"/>
  <c r="D1518" i="1"/>
  <c r="D1521" i="1"/>
  <c r="D1517" i="1"/>
  <c r="D1513" i="1"/>
  <c r="D1509" i="1"/>
  <c r="D1508" i="1"/>
  <c r="D1512" i="1"/>
  <c r="D1511" i="1"/>
  <c r="D1510" i="1"/>
  <c r="D1506" i="1"/>
  <c r="D1507" i="1"/>
  <c r="D1503" i="1"/>
  <c r="D1502" i="1"/>
  <c r="D1501" i="1"/>
  <c r="D1504" i="1"/>
  <c r="D1505" i="1"/>
  <c r="D1493" i="1"/>
  <c r="D1492" i="1"/>
  <c r="D1500" i="1"/>
  <c r="D1499" i="1"/>
  <c r="D1494" i="1"/>
  <c r="D1497" i="1"/>
  <c r="D1495" i="1"/>
  <c r="D1496" i="1"/>
  <c r="D1498" i="1"/>
  <c r="D1485" i="1"/>
  <c r="D1491" i="1"/>
  <c r="D1489" i="1"/>
  <c r="D1490" i="1"/>
  <c r="D1488" i="1"/>
  <c r="D1487" i="1"/>
  <c r="D1486" i="1"/>
  <c r="D1476" i="1"/>
  <c r="D1475" i="1"/>
  <c r="D1484" i="1"/>
  <c r="D1483" i="1"/>
  <c r="D1477" i="1"/>
  <c r="D1478" i="1"/>
  <c r="D1481" i="1"/>
  <c r="D1482" i="1"/>
  <c r="D1480" i="1"/>
  <c r="D1479" i="1"/>
  <c r="D1473" i="1"/>
  <c r="D1467" i="1"/>
  <c r="D1472" i="1"/>
  <c r="D1469" i="1"/>
  <c r="D1468" i="1"/>
  <c r="D1474" i="1"/>
  <c r="D1471" i="1"/>
  <c r="D1470" i="1"/>
  <c r="D1465" i="1"/>
  <c r="D1464" i="1"/>
  <c r="D1461" i="1"/>
  <c r="D1462" i="1"/>
  <c r="D1463" i="1"/>
  <c r="D1466" i="1"/>
  <c r="D1460" i="1"/>
  <c r="D1457" i="1"/>
  <c r="D1456" i="1"/>
  <c r="D1459" i="1"/>
  <c r="D1455" i="1"/>
  <c r="D1452" i="1"/>
  <c r="D1451" i="1"/>
  <c r="D1458" i="1"/>
  <c r="D1453" i="1"/>
  <c r="D1454" i="1"/>
  <c r="D1446" i="1"/>
  <c r="D1445" i="1"/>
  <c r="D1443" i="1"/>
  <c r="D1450" i="1"/>
  <c r="D1449" i="1"/>
  <c r="D1444" i="1"/>
  <c r="D1447" i="1"/>
  <c r="D1448" i="1"/>
  <c r="D1441" i="1"/>
  <c r="D1442" i="1"/>
  <c r="D1435" i="1"/>
  <c r="D1436" i="1"/>
  <c r="D1440" i="1"/>
  <c r="D1439" i="1"/>
  <c r="D1438" i="1"/>
  <c r="D1437" i="1"/>
  <c r="D1426" i="1"/>
  <c r="D1433" i="1"/>
  <c r="D1434" i="1"/>
  <c r="D1431" i="1"/>
  <c r="D1432" i="1"/>
  <c r="D1430" i="1"/>
  <c r="D1427" i="1"/>
  <c r="D1429" i="1"/>
  <c r="D1428" i="1"/>
  <c r="D1425" i="1"/>
  <c r="D1422" i="1"/>
  <c r="D1421" i="1"/>
  <c r="D1424" i="1"/>
  <c r="D1420" i="1"/>
  <c r="D1423" i="1"/>
  <c r="D1414" i="1"/>
  <c r="D1419" i="1"/>
  <c r="D1418" i="1"/>
  <c r="D1416" i="1"/>
  <c r="D1413" i="1"/>
  <c r="D1417" i="1"/>
  <c r="D1415" i="1"/>
  <c r="D1412" i="1"/>
  <c r="D1410" i="1"/>
  <c r="D1408" i="1"/>
  <c r="D1411" i="1"/>
  <c r="D1407" i="1"/>
  <c r="D1409" i="1"/>
  <c r="D1404" i="1"/>
  <c r="D1400" i="1"/>
  <c r="D1397" i="1"/>
  <c r="D1396" i="1"/>
  <c r="D1405" i="1"/>
  <c r="D1403" i="1"/>
  <c r="D1406" i="1"/>
  <c r="D1399" i="1"/>
  <c r="D1402" i="1"/>
  <c r="D1398" i="1"/>
  <c r="D1401" i="1"/>
  <c r="D1395" i="1"/>
  <c r="D1394" i="1"/>
  <c r="D1390" i="1"/>
  <c r="D1393" i="1"/>
  <c r="D1392" i="1"/>
  <c r="D1389" i="1"/>
  <c r="D1391" i="1"/>
  <c r="D1388" i="1"/>
  <c r="D1387" i="1"/>
  <c r="D1383" i="1"/>
  <c r="D1386" i="1"/>
  <c r="D1385" i="1"/>
  <c r="D1384" i="1"/>
  <c r="D1377" i="1"/>
  <c r="D1380" i="1"/>
  <c r="D1382" i="1"/>
  <c r="D1381" i="1"/>
  <c r="D1379" i="1"/>
  <c r="D1378" i="1"/>
  <c r="D1368" i="1"/>
  <c r="D1376" i="1"/>
  <c r="D1370" i="1"/>
  <c r="D1367" i="1"/>
  <c r="D1375" i="1"/>
  <c r="D1373" i="1"/>
  <c r="D1369" i="1"/>
  <c r="D1374" i="1"/>
  <c r="D1371" i="1"/>
  <c r="D1372" i="1"/>
  <c r="D1361" i="1"/>
  <c r="D1366" i="1"/>
  <c r="D1365" i="1"/>
  <c r="D1360" i="1"/>
  <c r="D1364" i="1"/>
  <c r="D1363" i="1"/>
  <c r="D1362" i="1"/>
  <c r="D1359" i="1"/>
  <c r="D1356" i="1"/>
  <c r="D1349" i="1"/>
  <c r="D1353" i="1"/>
  <c r="D1358" i="1"/>
  <c r="D1355" i="1"/>
  <c r="D1357" i="1"/>
  <c r="D1352" i="1"/>
  <c r="D1351" i="1"/>
  <c r="D1350" i="1"/>
  <c r="D1354" i="1"/>
  <c r="D1340" i="1"/>
  <c r="D1346" i="1"/>
  <c r="D1339" i="1"/>
  <c r="D1344" i="1"/>
  <c r="D1343" i="1"/>
  <c r="D1342" i="1"/>
  <c r="D1348" i="1"/>
  <c r="D1345" i="1"/>
  <c r="D1341" i="1"/>
  <c r="D1347" i="1"/>
  <c r="D1338" i="1"/>
  <c r="D1333" i="1"/>
  <c r="D1335" i="1"/>
  <c r="D1330" i="1"/>
  <c r="D1337" i="1"/>
  <c r="D1332" i="1"/>
  <c r="D1331" i="1"/>
  <c r="D1336" i="1"/>
  <c r="D1334" i="1"/>
  <c r="D1327" i="1"/>
  <c r="D1329" i="1"/>
  <c r="D1324" i="1"/>
  <c r="D1328" i="1"/>
  <c r="D1326" i="1"/>
  <c r="D1325" i="1"/>
  <c r="D1312" i="1"/>
  <c r="D1320" i="1"/>
  <c r="D1310" i="1"/>
  <c r="D1315" i="1"/>
  <c r="D1319" i="1"/>
  <c r="D1311" i="1"/>
  <c r="D1318" i="1"/>
  <c r="D1314" i="1"/>
  <c r="D1323" i="1"/>
  <c r="D1317" i="1"/>
  <c r="D1316" i="1"/>
  <c r="D1313" i="1"/>
  <c r="D1322" i="1"/>
  <c r="D1321" i="1"/>
  <c r="D1308" i="1"/>
  <c r="D1309" i="1"/>
  <c r="D1300" i="1"/>
  <c r="D1307" i="1"/>
  <c r="D1299" i="1"/>
  <c r="D1304" i="1"/>
  <c r="D1303" i="1"/>
  <c r="D1306" i="1"/>
  <c r="D1296" i="1"/>
  <c r="D1298" i="1"/>
  <c r="D1301" i="1"/>
  <c r="D1297" i="1"/>
  <c r="D1302" i="1"/>
  <c r="D1305" i="1"/>
  <c r="D1295" i="1"/>
  <c r="D1294" i="1"/>
  <c r="D1292" i="1"/>
  <c r="D1291" i="1"/>
  <c r="D1285" i="1"/>
  <c r="D1286" i="1"/>
  <c r="D1293" i="1"/>
  <c r="D1290" i="1"/>
  <c r="D1289" i="1"/>
  <c r="D1288" i="1"/>
  <c r="D1287" i="1"/>
  <c r="D1284" i="1"/>
  <c r="D1276" i="1"/>
  <c r="D1278" i="1"/>
  <c r="D1281" i="1"/>
  <c r="D1283" i="1"/>
  <c r="D1282" i="1"/>
  <c r="D1277" i="1"/>
  <c r="D1280" i="1"/>
  <c r="D1275" i="1"/>
  <c r="D1279" i="1"/>
  <c r="D1274" i="1"/>
  <c r="D1268" i="1"/>
  <c r="D1271" i="1"/>
  <c r="D1267" i="1"/>
  <c r="D1269" i="1"/>
  <c r="D1270" i="1"/>
  <c r="D1272" i="1"/>
  <c r="D1266" i="1"/>
  <c r="D1273" i="1"/>
  <c r="D1265" i="1"/>
  <c r="D1257" i="1"/>
  <c r="D1264" i="1"/>
  <c r="D1263" i="1"/>
  <c r="D1261" i="1"/>
  <c r="D1256" i="1"/>
  <c r="D1260" i="1"/>
  <c r="D1255" i="1"/>
  <c r="D1254" i="1"/>
  <c r="D1259" i="1"/>
  <c r="D1262" i="1"/>
  <c r="D1258" i="1"/>
  <c r="D1249" i="1"/>
  <c r="D1250" i="1"/>
  <c r="D1247" i="1"/>
  <c r="D1253" i="1"/>
  <c r="D1252" i="1"/>
  <c r="D1251" i="1"/>
  <c r="D1248" i="1"/>
  <c r="D1243" i="1"/>
  <c r="D1246" i="1"/>
  <c r="D1240" i="1"/>
  <c r="D1245" i="1"/>
  <c r="D1241" i="1"/>
  <c r="D1244" i="1"/>
  <c r="D1242" i="1"/>
  <c r="D1233" i="1"/>
  <c r="D1232" i="1"/>
  <c r="D1230" i="1"/>
  <c r="D1231" i="1"/>
  <c r="D1236" i="1"/>
  <c r="D1239" i="1"/>
  <c r="D1234" i="1"/>
  <c r="D1237" i="1"/>
  <c r="D1235" i="1"/>
  <c r="D1238" i="1"/>
  <c r="D1224" i="1"/>
  <c r="D1228" i="1"/>
  <c r="D1227" i="1"/>
  <c r="D1221" i="1"/>
  <c r="D1229" i="1"/>
  <c r="D1223" i="1"/>
  <c r="D1222" i="1"/>
  <c r="D1226" i="1"/>
  <c r="D1225" i="1"/>
  <c r="D1220" i="1"/>
  <c r="D1211" i="1"/>
  <c r="D1219" i="1"/>
  <c r="D1217" i="1"/>
  <c r="D1216" i="1"/>
  <c r="D1215" i="1"/>
  <c r="D1210" i="1"/>
  <c r="D1214" i="1"/>
  <c r="D1218" i="1"/>
  <c r="D1213" i="1"/>
  <c r="D1212" i="1"/>
  <c r="D1207" i="1"/>
  <c r="D1205" i="1"/>
  <c r="D1206" i="1"/>
  <c r="D1208" i="1"/>
  <c r="D1204" i="1"/>
  <c r="D1209" i="1"/>
  <c r="D1203" i="1"/>
  <c r="D1202" i="1"/>
  <c r="D1196" i="1"/>
  <c r="D1197" i="1"/>
  <c r="D1201" i="1"/>
  <c r="D1200" i="1"/>
  <c r="D1199" i="1"/>
  <c r="D1198" i="1"/>
  <c r="D1192" i="1"/>
  <c r="D1194" i="1"/>
  <c r="D1195" i="1"/>
  <c r="D1193" i="1"/>
  <c r="D1190" i="1"/>
  <c r="D1184" i="1"/>
  <c r="D1182" i="1"/>
  <c r="D1191" i="1"/>
  <c r="D1186" i="1"/>
  <c r="D1185" i="1"/>
  <c r="D1189" i="1"/>
  <c r="D1181" i="1"/>
  <c r="D1188" i="1"/>
  <c r="D1180" i="1"/>
  <c r="D1183" i="1"/>
  <c r="D1187" i="1"/>
  <c r="D1169" i="1"/>
  <c r="D1178" i="1"/>
  <c r="D1172" i="1"/>
  <c r="D1171" i="1"/>
  <c r="D1177" i="1"/>
  <c r="D1174" i="1"/>
  <c r="D1170" i="1"/>
  <c r="D1176" i="1"/>
  <c r="D1173" i="1"/>
  <c r="D1179" i="1"/>
  <c r="D1175" i="1"/>
  <c r="D1165" i="1"/>
  <c r="D1162" i="1"/>
  <c r="D1161" i="1"/>
  <c r="D1160" i="1"/>
  <c r="D1164" i="1"/>
  <c r="D1159" i="1"/>
  <c r="D1166" i="1"/>
  <c r="D1168" i="1"/>
  <c r="D1167" i="1"/>
  <c r="D1163" i="1"/>
  <c r="D1157" i="1"/>
  <c r="D1158" i="1"/>
  <c r="D1149" i="1"/>
  <c r="D1156" i="1"/>
  <c r="D1148" i="1"/>
  <c r="D1147" i="1"/>
  <c r="D1153" i="1"/>
  <c r="D1155" i="1"/>
  <c r="D1154" i="1"/>
  <c r="D1152" i="1"/>
  <c r="D1151" i="1"/>
  <c r="D1150" i="1"/>
  <c r="D1145" i="1"/>
  <c r="D1138" i="1"/>
  <c r="D1140" i="1"/>
  <c r="D1137" i="1"/>
  <c r="D1146" i="1"/>
  <c r="D1141" i="1"/>
  <c r="D1144" i="1"/>
  <c r="D1136" i="1"/>
  <c r="D1139" i="1"/>
  <c r="D1143" i="1"/>
  <c r="D1142" i="1"/>
  <c r="D1135" i="1"/>
  <c r="D1134" i="1"/>
  <c r="D1133" i="1"/>
  <c r="D1132" i="1"/>
  <c r="D1131" i="1"/>
  <c r="D1130" i="1"/>
  <c r="D1126" i="1"/>
  <c r="D1128" i="1"/>
  <c r="D1129" i="1"/>
  <c r="D1127" i="1"/>
  <c r="D1122" i="1"/>
  <c r="D1121" i="1"/>
  <c r="D1125" i="1"/>
  <c r="D1124" i="1"/>
  <c r="D1123" i="1"/>
  <c r="D1120" i="1"/>
  <c r="D1119" i="1"/>
  <c r="D1113" i="1"/>
  <c r="D1116" i="1"/>
  <c r="D1115" i="1"/>
  <c r="D1118" i="1"/>
  <c r="D1117" i="1"/>
  <c r="D1114" i="1"/>
  <c r="D1110" i="1"/>
  <c r="D1109" i="1"/>
  <c r="D1106" i="1"/>
  <c r="D1112" i="1"/>
  <c r="D1103" i="1"/>
  <c r="D1104" i="1"/>
  <c r="D1100" i="1"/>
  <c r="D1102" i="1"/>
  <c r="D1101" i="1"/>
  <c r="D1111" i="1"/>
  <c r="D1105" i="1"/>
  <c r="D1108" i="1"/>
  <c r="D1107" i="1"/>
  <c r="D1095" i="1"/>
  <c r="D1094" i="1"/>
  <c r="D1092" i="1"/>
  <c r="D1098" i="1"/>
  <c r="D1099" i="1"/>
  <c r="D1097" i="1"/>
  <c r="D1093" i="1"/>
  <c r="D1096" i="1"/>
  <c r="D1087" i="1"/>
  <c r="D1086" i="1"/>
  <c r="D1091" i="1"/>
  <c r="D1085" i="1"/>
  <c r="D1088" i="1"/>
  <c r="D1090" i="1"/>
  <c r="D1084" i="1"/>
  <c r="D1089" i="1"/>
  <c r="D1080" i="1"/>
  <c r="D1079" i="1"/>
  <c r="D1081" i="1"/>
  <c r="D1083" i="1"/>
  <c r="D1082" i="1"/>
  <c r="D1078" i="1"/>
  <c r="D1073" i="1"/>
  <c r="D1076" i="1"/>
  <c r="D1072" i="1"/>
  <c r="D1075" i="1"/>
  <c r="D1074" i="1"/>
  <c r="D1077" i="1"/>
  <c r="D1070" i="1"/>
  <c r="D1071" i="1"/>
  <c r="D1068" i="1"/>
  <c r="D1069" i="1"/>
  <c r="D1066" i="1"/>
  <c r="D1067" i="1"/>
  <c r="D1058" i="1"/>
  <c r="D1065" i="1"/>
  <c r="D1059" i="1"/>
  <c r="D1062" i="1"/>
  <c r="D1061" i="1"/>
  <c r="D1060" i="1"/>
  <c r="D1063" i="1"/>
  <c r="D1064" i="1"/>
  <c r="D1057" i="1"/>
  <c r="D1056" i="1"/>
  <c r="D1055" i="1"/>
  <c r="D1050" i="1"/>
  <c r="D1053" i="1"/>
  <c r="D1052" i="1"/>
  <c r="D1054" i="1"/>
  <c r="D1048" i="1"/>
  <c r="D1047" i="1"/>
  <c r="D1051" i="1"/>
  <c r="D1049" i="1"/>
  <c r="D1042" i="1"/>
  <c r="D1041" i="1"/>
  <c r="D1046" i="1"/>
  <c r="D1040" i="1"/>
  <c r="D1039" i="1"/>
  <c r="D1044" i="1"/>
  <c r="D1045" i="1"/>
  <c r="D1043" i="1"/>
  <c r="D1038" i="1"/>
  <c r="D1030" i="1"/>
  <c r="D1037" i="1"/>
  <c r="D1036" i="1"/>
  <c r="D1028" i="1"/>
  <c r="D1035" i="1"/>
  <c r="D1031" i="1"/>
  <c r="D1033" i="1"/>
  <c r="D1032" i="1"/>
  <c r="D1034" i="1"/>
  <c r="D1029" i="1"/>
  <c r="D1018" i="1"/>
  <c r="D1015" i="1"/>
  <c r="D1023" i="1"/>
  <c r="D1017" i="1"/>
  <c r="D1016" i="1"/>
  <c r="D1027" i="1"/>
  <c r="D1026" i="1"/>
  <c r="D1025" i="1"/>
  <c r="D1020" i="1"/>
  <c r="D1019" i="1"/>
  <c r="D1022" i="1"/>
  <c r="D1024" i="1"/>
  <c r="D1021" i="1"/>
  <c r="D1012" i="1"/>
  <c r="D1008" i="1"/>
  <c r="D1007" i="1"/>
  <c r="D1011" i="1"/>
  <c r="D1010" i="1"/>
  <c r="D1014" i="1"/>
  <c r="D1006" i="1"/>
  <c r="D1013" i="1"/>
  <c r="D1009" i="1"/>
  <c r="D999" i="1"/>
  <c r="D1003" i="1"/>
  <c r="D1001" i="1"/>
  <c r="D1005" i="1"/>
  <c r="D1004" i="1"/>
  <c r="D998" i="1"/>
  <c r="D1002" i="1"/>
  <c r="D1000" i="1"/>
  <c r="D992" i="1"/>
  <c r="D991" i="1"/>
  <c r="D987" i="1"/>
  <c r="D995" i="1"/>
  <c r="D990" i="1"/>
  <c r="D994" i="1"/>
  <c r="D989" i="1"/>
  <c r="D997" i="1"/>
  <c r="D993" i="1"/>
  <c r="D996" i="1"/>
  <c r="D988" i="1"/>
  <c r="D981" i="1"/>
  <c r="D985" i="1"/>
  <c r="D984" i="1"/>
  <c r="D986" i="1"/>
  <c r="D980" i="1"/>
  <c r="D983" i="1"/>
  <c r="D982" i="1"/>
  <c r="D977" i="1"/>
  <c r="D968" i="1"/>
  <c r="D972" i="1"/>
  <c r="D979" i="1"/>
  <c r="D975" i="1"/>
  <c r="D971" i="1"/>
  <c r="D967" i="1"/>
  <c r="D974" i="1"/>
  <c r="D970" i="1"/>
  <c r="D966" i="1"/>
  <c r="D978" i="1"/>
  <c r="D976" i="1"/>
  <c r="D969" i="1"/>
  <c r="D973" i="1"/>
  <c r="D965" i="1"/>
  <c r="D958" i="1"/>
  <c r="D961" i="1"/>
  <c r="D960" i="1"/>
  <c r="D964" i="1"/>
  <c r="D962" i="1"/>
  <c r="D959" i="1"/>
  <c r="D963" i="1"/>
  <c r="D955" i="1"/>
  <c r="D956" i="1"/>
  <c r="D957" i="1"/>
  <c r="D953" i="1"/>
  <c r="D954" i="1"/>
  <c r="D948" i="1"/>
  <c r="D945" i="1"/>
  <c r="D951" i="1"/>
  <c r="D947" i="1"/>
  <c r="D946" i="1"/>
  <c r="D950" i="1"/>
  <c r="D949" i="1"/>
  <c r="D952" i="1"/>
  <c r="D944" i="1"/>
  <c r="D941" i="1"/>
  <c r="D939" i="1"/>
  <c r="D942" i="1"/>
  <c r="D940" i="1"/>
  <c r="D943" i="1"/>
  <c r="D937" i="1"/>
  <c r="D933" i="1"/>
  <c r="D931" i="1"/>
  <c r="D934" i="1"/>
  <c r="D936" i="1"/>
  <c r="D930" i="1"/>
  <c r="D935" i="1"/>
  <c r="D932" i="1"/>
  <c r="D938" i="1"/>
  <c r="D924" i="1"/>
  <c r="D926" i="1"/>
  <c r="D923" i="1"/>
  <c r="D927" i="1"/>
  <c r="D922" i="1"/>
  <c r="D929" i="1"/>
  <c r="D925" i="1"/>
  <c r="D928" i="1"/>
  <c r="D918" i="1"/>
  <c r="D919" i="1"/>
  <c r="D920" i="1"/>
  <c r="D921" i="1"/>
  <c r="D917" i="1"/>
  <c r="D915" i="1"/>
  <c r="D914" i="1"/>
  <c r="D911" i="1"/>
  <c r="D913" i="1"/>
  <c r="D910" i="1"/>
  <c r="D912" i="1"/>
  <c r="D916" i="1"/>
  <c r="D907" i="1"/>
  <c r="D904" i="1"/>
  <c r="D909" i="1"/>
  <c r="D906" i="1"/>
  <c r="D900" i="1"/>
  <c r="D899" i="1"/>
  <c r="D902" i="1"/>
  <c r="D908" i="1"/>
  <c r="D903" i="1"/>
  <c r="D901" i="1"/>
  <c r="D905" i="1"/>
  <c r="D898" i="1"/>
  <c r="D896" i="1"/>
  <c r="D895" i="1"/>
  <c r="D897" i="1"/>
  <c r="D894" i="1"/>
  <c r="D887" i="1"/>
  <c r="D893" i="1"/>
  <c r="D892" i="1"/>
  <c r="D890" i="1"/>
  <c r="D891" i="1"/>
  <c r="D886" i="1"/>
  <c r="D889" i="1"/>
  <c r="D888" i="1"/>
  <c r="D883" i="1"/>
  <c r="D880" i="1"/>
  <c r="D879" i="1"/>
  <c r="D878" i="1"/>
  <c r="D885" i="1"/>
  <c r="D884" i="1"/>
  <c r="D882" i="1"/>
  <c r="D881" i="1"/>
  <c r="D877" i="1"/>
  <c r="D870" i="1"/>
  <c r="D869" i="1"/>
  <c r="D873" i="1"/>
  <c r="D876" i="1"/>
  <c r="D872" i="1"/>
  <c r="D875" i="1"/>
  <c r="D868" i="1"/>
  <c r="D867" i="1"/>
  <c r="D874" i="1"/>
  <c r="D871" i="1"/>
  <c r="D861" i="1"/>
  <c r="D862" i="1"/>
  <c r="D866" i="1"/>
  <c r="D863" i="1"/>
  <c r="D865" i="1"/>
  <c r="D864" i="1"/>
  <c r="D860" i="1"/>
  <c r="D858" i="1"/>
  <c r="D859" i="1"/>
  <c r="D850" i="1"/>
  <c r="D857" i="1"/>
  <c r="D847" i="1"/>
  <c r="D853" i="1"/>
  <c r="D856" i="1"/>
  <c r="D855" i="1"/>
  <c r="D846" i="1"/>
  <c r="D849" i="1"/>
  <c r="D852" i="1"/>
  <c r="D851" i="1"/>
  <c r="D848" i="1"/>
  <c r="D854" i="1"/>
  <c r="D845" i="1"/>
  <c r="D841" i="1"/>
  <c r="D840" i="1"/>
  <c r="D837" i="1"/>
  <c r="D836" i="1"/>
  <c r="D843" i="1"/>
  <c r="D839" i="1"/>
  <c r="D835" i="1"/>
  <c r="D842" i="1"/>
  <c r="D838" i="1"/>
  <c r="D844" i="1"/>
  <c r="D831" i="1"/>
  <c r="D830" i="1"/>
  <c r="D834" i="1"/>
  <c r="D833" i="1"/>
  <c r="D832" i="1"/>
  <c r="D828" i="1"/>
  <c r="D827" i="1"/>
  <c r="D829" i="1"/>
  <c r="D826" i="1"/>
  <c r="D820" i="1"/>
  <c r="D823" i="1"/>
  <c r="D819" i="1"/>
  <c r="D815" i="1"/>
  <c r="D818" i="1"/>
  <c r="D817" i="1"/>
  <c r="D824" i="1"/>
  <c r="D822" i="1"/>
  <c r="D816" i="1"/>
  <c r="D825" i="1"/>
  <c r="D821" i="1"/>
  <c r="D809" i="1"/>
  <c r="D808" i="1"/>
  <c r="D811" i="1"/>
  <c r="D814" i="1"/>
  <c r="D807" i="1"/>
  <c r="D806" i="1"/>
  <c r="D813" i="1"/>
  <c r="D805" i="1"/>
  <c r="D804" i="1"/>
  <c r="D803" i="1"/>
  <c r="D810" i="1"/>
  <c r="D812" i="1"/>
  <c r="D801" i="1"/>
  <c r="D797" i="1"/>
  <c r="D800" i="1"/>
  <c r="D796" i="1"/>
  <c r="D799" i="1"/>
  <c r="D793" i="1"/>
  <c r="D798" i="1"/>
  <c r="D802" i="1"/>
  <c r="D795" i="1"/>
  <c r="D794" i="1"/>
  <c r="D789" i="1"/>
  <c r="D792" i="1"/>
  <c r="D787" i="1"/>
  <c r="D786" i="1"/>
  <c r="D785" i="1"/>
  <c r="D791" i="1"/>
  <c r="D790" i="1"/>
  <c r="D788" i="1"/>
  <c r="D783" i="1"/>
  <c r="D784" i="1"/>
  <c r="D782" i="1"/>
  <c r="D779" i="1"/>
  <c r="D781" i="1"/>
  <c r="D780" i="1"/>
  <c r="D778" i="1"/>
  <c r="D772" i="1"/>
  <c r="D771" i="1"/>
  <c r="D777" i="1"/>
  <c r="D769" i="1"/>
  <c r="D776" i="1"/>
  <c r="D770" i="1"/>
  <c r="D775" i="1"/>
  <c r="D774" i="1"/>
  <c r="D768" i="1"/>
  <c r="D773" i="1"/>
  <c r="D759" i="1"/>
  <c r="D763" i="1"/>
  <c r="D761" i="1"/>
  <c r="D755" i="1"/>
  <c r="D760" i="1"/>
  <c r="D765" i="1"/>
  <c r="D767" i="1"/>
  <c r="D766" i="1"/>
  <c r="D758" i="1"/>
  <c r="D762" i="1"/>
  <c r="D756" i="1"/>
  <c r="D757" i="1"/>
  <c r="D764" i="1"/>
  <c r="D746" i="1"/>
  <c r="D754" i="1"/>
  <c r="D752" i="1"/>
  <c r="D747" i="1"/>
  <c r="D749" i="1"/>
  <c r="D748" i="1"/>
  <c r="D750" i="1"/>
  <c r="D753" i="1"/>
  <c r="D751" i="1"/>
  <c r="D745" i="1"/>
  <c r="D742" i="1"/>
  <c r="D740" i="1"/>
  <c r="D739" i="1"/>
  <c r="D743" i="1"/>
  <c r="D741" i="1"/>
  <c r="D744" i="1"/>
  <c r="D735" i="1"/>
  <c r="D738" i="1"/>
  <c r="D737" i="1"/>
  <c r="D736" i="1"/>
  <c r="D734" i="1"/>
  <c r="D733" i="1"/>
  <c r="D730" i="1"/>
  <c r="D732" i="1"/>
  <c r="D729" i="1"/>
  <c r="D731" i="1"/>
  <c r="D728" i="1"/>
  <c r="D727" i="1"/>
  <c r="D719" i="1"/>
  <c r="D721" i="1"/>
  <c r="D722" i="1"/>
  <c r="D716" i="1"/>
  <c r="D718" i="1"/>
  <c r="D724" i="1"/>
  <c r="D726" i="1"/>
  <c r="D723" i="1"/>
  <c r="D717" i="1"/>
  <c r="D725" i="1"/>
  <c r="D720" i="1"/>
  <c r="D715" i="1"/>
  <c r="D714" i="1"/>
  <c r="D713" i="1"/>
  <c r="D712" i="1"/>
  <c r="D708" i="1"/>
  <c r="D706" i="1"/>
  <c r="D704" i="1"/>
  <c r="D705" i="1"/>
  <c r="D711" i="1"/>
  <c r="D703" i="1"/>
  <c r="D709" i="1"/>
  <c r="D707" i="1"/>
  <c r="D710" i="1"/>
  <c r="D701" i="1"/>
  <c r="D692" i="1"/>
  <c r="D694" i="1"/>
  <c r="D690" i="1"/>
  <c r="D702" i="1"/>
  <c r="D697" i="1"/>
  <c r="D693" i="1"/>
  <c r="D691" i="1"/>
  <c r="D700" i="1"/>
  <c r="D699" i="1"/>
  <c r="D696" i="1"/>
  <c r="D695" i="1"/>
  <c r="D689" i="1"/>
  <c r="D698" i="1"/>
  <c r="D688" i="1"/>
  <c r="D687" i="1"/>
  <c r="D683" i="1"/>
  <c r="D682" i="1"/>
  <c r="D686" i="1"/>
  <c r="D685" i="1"/>
  <c r="D684" i="1"/>
  <c r="D681" i="1"/>
  <c r="D676" i="1"/>
  <c r="D679" i="1"/>
  <c r="D678" i="1"/>
  <c r="D672" i="1"/>
  <c r="D674" i="1"/>
  <c r="D680" i="1"/>
  <c r="D677" i="1"/>
  <c r="D675" i="1"/>
  <c r="D673" i="1"/>
  <c r="D669" i="1"/>
  <c r="D664" i="1"/>
  <c r="D662" i="1"/>
  <c r="D668" i="1"/>
  <c r="D667" i="1"/>
  <c r="D666" i="1"/>
  <c r="D665" i="1"/>
  <c r="D671" i="1"/>
  <c r="D670" i="1"/>
  <c r="D663" i="1"/>
  <c r="D661" i="1"/>
  <c r="D660" i="1"/>
  <c r="D659" i="1"/>
  <c r="D656" i="1"/>
  <c r="D658" i="1"/>
  <c r="D657" i="1"/>
  <c r="D655" i="1"/>
  <c r="D652" i="1"/>
  <c r="D653" i="1"/>
  <c r="D654" i="1"/>
  <c r="D644" i="1"/>
  <c r="D651" i="1"/>
  <c r="D650" i="1"/>
  <c r="D645" i="1"/>
  <c r="D647" i="1"/>
  <c r="D648" i="1"/>
  <c r="D649" i="1"/>
  <c r="D646" i="1"/>
  <c r="D641" i="1"/>
  <c r="D642" i="1"/>
  <c r="D640" i="1"/>
  <c r="D639" i="1"/>
  <c r="D638" i="1"/>
  <c r="D643" i="1"/>
  <c r="D634" i="1"/>
  <c r="D633" i="1"/>
  <c r="D631" i="1"/>
  <c r="D637" i="1"/>
  <c r="D636" i="1"/>
  <c r="D632" i="1"/>
  <c r="D635" i="1"/>
  <c r="D630" i="1"/>
  <c r="D628" i="1"/>
  <c r="D625" i="1"/>
  <c r="D624" i="1"/>
  <c r="D629" i="1"/>
  <c r="D627" i="1"/>
  <c r="D623" i="1"/>
  <c r="D626" i="1"/>
  <c r="D622" i="1"/>
  <c r="D616" i="1"/>
  <c r="D619" i="1"/>
  <c r="D621" i="1"/>
  <c r="D620" i="1"/>
  <c r="D618" i="1"/>
  <c r="D617" i="1"/>
  <c r="D608" i="1"/>
  <c r="D606" i="1"/>
  <c r="D605" i="1"/>
  <c r="D615" i="1"/>
  <c r="D614" i="1"/>
  <c r="D613" i="1"/>
  <c r="D611" i="1"/>
  <c r="D610" i="1"/>
  <c r="D607" i="1"/>
  <c r="D609" i="1"/>
  <c r="D612" i="1"/>
  <c r="D603" i="1"/>
  <c r="D604" i="1"/>
  <c r="D600" i="1"/>
  <c r="D599" i="1"/>
  <c r="D598" i="1"/>
  <c r="D602" i="1"/>
  <c r="D601" i="1"/>
  <c r="D593" i="1"/>
  <c r="D596" i="1"/>
  <c r="D592" i="1"/>
  <c r="D587" i="1"/>
  <c r="D597" i="1"/>
  <c r="D589" i="1"/>
  <c r="D584" i="1"/>
  <c r="D585" i="1"/>
  <c r="D588" i="1"/>
  <c r="D595" i="1"/>
  <c r="D586" i="1"/>
  <c r="D591" i="1"/>
  <c r="D590" i="1"/>
  <c r="D594" i="1"/>
  <c r="D582" i="1"/>
  <c r="D583" i="1"/>
  <c r="D581" i="1"/>
  <c r="D578" i="1"/>
  <c r="D580" i="1"/>
  <c r="D576" i="1"/>
  <c r="D579" i="1"/>
  <c r="D577" i="1"/>
  <c r="D575" i="1"/>
  <c r="D567" i="1"/>
  <c r="D571" i="1"/>
  <c r="D572" i="1"/>
  <c r="D570" i="1"/>
  <c r="D568" i="1"/>
  <c r="D574" i="1"/>
  <c r="D569" i="1"/>
  <c r="D573" i="1"/>
  <c r="D562" i="1"/>
  <c r="D561" i="1"/>
  <c r="D566" i="1"/>
  <c r="D565" i="1"/>
  <c r="D560" i="1"/>
  <c r="D563" i="1"/>
  <c r="D564" i="1"/>
  <c r="D556" i="1"/>
  <c r="D557" i="1"/>
  <c r="D553" i="1"/>
  <c r="D559" i="1"/>
  <c r="D555" i="1"/>
  <c r="D558" i="1"/>
  <c r="D554" i="1"/>
  <c r="D552" i="1"/>
  <c r="D551" i="1"/>
  <c r="D549" i="1"/>
  <c r="D550" i="1"/>
  <c r="D539" i="1"/>
  <c r="D547" i="1"/>
  <c r="D545" i="1"/>
  <c r="D548" i="1"/>
  <c r="D544" i="1"/>
  <c r="D538" i="1"/>
  <c r="D542" i="1"/>
  <c r="D537" i="1"/>
  <c r="D541" i="1"/>
  <c r="D536" i="1"/>
  <c r="D546" i="1"/>
  <c r="D540" i="1"/>
  <c r="D543" i="1"/>
  <c r="D531" i="1"/>
  <c r="D528" i="1"/>
  <c r="D530" i="1"/>
  <c r="D535" i="1"/>
  <c r="D534" i="1"/>
  <c r="D529" i="1"/>
  <c r="D533" i="1"/>
  <c r="D532" i="1"/>
  <c r="D526" i="1"/>
  <c r="D522" i="1"/>
  <c r="D524" i="1"/>
  <c r="D523" i="1"/>
  <c r="D521" i="1"/>
  <c r="D520" i="1"/>
  <c r="D527" i="1"/>
  <c r="D525" i="1"/>
  <c r="D519" i="1"/>
  <c r="D516" i="1"/>
  <c r="D513" i="1"/>
  <c r="D518" i="1"/>
  <c r="D515" i="1"/>
  <c r="D514" i="1"/>
  <c r="D512" i="1"/>
  <c r="D517" i="1"/>
  <c r="D511" i="1"/>
  <c r="D503" i="1"/>
  <c r="D499" i="1"/>
  <c r="D507" i="1"/>
  <c r="D506" i="1"/>
  <c r="D502" i="1"/>
  <c r="D510" i="1"/>
  <c r="D509" i="1"/>
  <c r="D505" i="1"/>
  <c r="D501" i="1"/>
  <c r="D508" i="1"/>
  <c r="D504" i="1"/>
  <c r="D498" i="1"/>
  <c r="D500" i="1"/>
  <c r="D492" i="1"/>
  <c r="D496" i="1"/>
  <c r="D488" i="1"/>
  <c r="D491" i="1"/>
  <c r="D497" i="1"/>
  <c r="D494" i="1"/>
  <c r="D490" i="1"/>
  <c r="D495" i="1"/>
  <c r="D489" i="1"/>
  <c r="D493" i="1"/>
  <c r="D487" i="1"/>
  <c r="D481" i="1"/>
  <c r="D478" i="1"/>
  <c r="D477" i="1"/>
  <c r="D480" i="1"/>
  <c r="D486" i="1"/>
  <c r="D476" i="1"/>
  <c r="D485" i="1"/>
  <c r="D484" i="1"/>
  <c r="D482" i="1"/>
  <c r="D479" i="1"/>
  <c r="D483" i="1"/>
  <c r="D475" i="1"/>
  <c r="D464" i="1"/>
  <c r="D463" i="1"/>
  <c r="D467" i="1"/>
  <c r="D466" i="1"/>
  <c r="D472" i="1"/>
  <c r="D471" i="1"/>
  <c r="D465" i="1"/>
  <c r="D474" i="1"/>
  <c r="D469" i="1"/>
  <c r="D473" i="1"/>
  <c r="D470" i="1"/>
  <c r="D468" i="1"/>
  <c r="D461" i="1"/>
  <c r="D462" i="1"/>
  <c r="D460" i="1"/>
  <c r="D455" i="1"/>
  <c r="D454" i="1"/>
  <c r="D458" i="1"/>
  <c r="D457" i="1"/>
  <c r="D459" i="1"/>
  <c r="D456" i="1"/>
  <c r="D453" i="1"/>
  <c r="D449" i="1"/>
  <c r="D445" i="1"/>
  <c r="D444" i="1"/>
  <c r="D443" i="1"/>
  <c r="D448" i="1"/>
  <c r="D451" i="1"/>
  <c r="D452" i="1"/>
  <c r="D442" i="1"/>
  <c r="D447" i="1"/>
  <c r="D450" i="1"/>
  <c r="D446" i="1"/>
  <c r="D435" i="1"/>
  <c r="D439" i="1"/>
  <c r="D441" i="1"/>
  <c r="D434" i="1"/>
  <c r="D431" i="1"/>
  <c r="D440" i="1"/>
  <c r="D438" i="1"/>
  <c r="D433" i="1"/>
  <c r="D430" i="1"/>
  <c r="D437" i="1"/>
  <c r="D429" i="1"/>
  <c r="D436" i="1"/>
  <c r="D432" i="1"/>
  <c r="D425" i="1"/>
  <c r="D420" i="1"/>
  <c r="D428" i="1"/>
  <c r="D427" i="1"/>
  <c r="D419" i="1"/>
  <c r="D418" i="1"/>
  <c r="D417" i="1"/>
  <c r="D426" i="1"/>
  <c r="D423" i="1"/>
  <c r="D424" i="1"/>
  <c r="D421" i="1"/>
  <c r="D422" i="1"/>
  <c r="D410" i="1"/>
  <c r="D415" i="1"/>
  <c r="D416" i="1"/>
  <c r="D414" i="1"/>
  <c r="D409" i="1"/>
  <c r="D411" i="1"/>
  <c r="D412" i="1"/>
  <c r="D413" i="1"/>
  <c r="D406" i="1"/>
  <c r="D405" i="1"/>
  <c r="D404" i="1"/>
  <c r="D403" i="1"/>
  <c r="D402" i="1"/>
  <c r="D401" i="1"/>
  <c r="D408" i="1"/>
  <c r="D400" i="1"/>
  <c r="D407" i="1"/>
  <c r="D392" i="1"/>
  <c r="D399" i="1"/>
  <c r="D398" i="1"/>
  <c r="D397" i="1"/>
  <c r="D391" i="1"/>
  <c r="D394" i="1"/>
  <c r="D396" i="1"/>
  <c r="D395" i="1"/>
  <c r="D393" i="1"/>
  <c r="D389" i="1"/>
  <c r="D385" i="1"/>
  <c r="D388" i="1"/>
  <c r="D384" i="1"/>
  <c r="D387" i="1"/>
  <c r="D386" i="1"/>
  <c r="D390" i="1"/>
  <c r="D382" i="1"/>
  <c r="D380" i="1"/>
  <c r="D379" i="1"/>
  <c r="D378" i="1"/>
  <c r="D381" i="1"/>
  <c r="D377" i="1"/>
  <c r="D383" i="1"/>
  <c r="D373" i="1"/>
  <c r="D369" i="1"/>
  <c r="D371" i="1"/>
  <c r="D376" i="1"/>
  <c r="D375" i="1"/>
  <c r="D368" i="1"/>
  <c r="D370" i="1"/>
  <c r="D374" i="1"/>
  <c r="D372" i="1"/>
  <c r="D367" i="1"/>
  <c r="D365" i="1"/>
  <c r="D366" i="1"/>
  <c r="D363" i="1"/>
  <c r="D361" i="1"/>
  <c r="D364" i="1"/>
  <c r="D360" i="1"/>
  <c r="D362" i="1"/>
  <c r="D355" i="1"/>
  <c r="D347" i="1"/>
  <c r="D357" i="1"/>
  <c r="D359" i="1"/>
  <c r="D350" i="1"/>
  <c r="D358" i="1"/>
  <c r="D356" i="1"/>
  <c r="D351" i="1"/>
  <c r="D353" i="1"/>
  <c r="D349" i="1"/>
  <c r="D348" i="1"/>
  <c r="D352" i="1"/>
  <c r="D354" i="1"/>
  <c r="D337" i="1"/>
  <c r="D345" i="1"/>
  <c r="D343" i="1"/>
  <c r="D339" i="1"/>
  <c r="D346" i="1"/>
  <c r="D342" i="1"/>
  <c r="D344" i="1"/>
  <c r="D341" i="1"/>
  <c r="D340" i="1"/>
  <c r="D338" i="1"/>
  <c r="D336" i="1"/>
  <c r="D331" i="1"/>
  <c r="D333" i="1"/>
  <c r="D335" i="1"/>
  <c r="D332" i="1"/>
  <c r="D334" i="1"/>
  <c r="D329" i="1"/>
  <c r="D328" i="1"/>
  <c r="D330" i="1"/>
  <c r="D325" i="1"/>
  <c r="D327" i="1"/>
  <c r="D326" i="1"/>
  <c r="D321" i="1"/>
  <c r="D317" i="1"/>
  <c r="D324" i="1"/>
  <c r="D319" i="1"/>
  <c r="D323" i="1"/>
  <c r="D318" i="1"/>
  <c r="D320" i="1"/>
  <c r="D316" i="1"/>
  <c r="D322" i="1"/>
  <c r="D314" i="1"/>
  <c r="D313" i="1"/>
  <c r="D311" i="1"/>
  <c r="D312" i="1"/>
  <c r="D315" i="1"/>
  <c r="D308" i="1"/>
  <c r="D306" i="1"/>
  <c r="D305" i="1"/>
  <c r="D310" i="1"/>
  <c r="D307" i="1"/>
  <c r="D309" i="1"/>
  <c r="D299" i="1"/>
  <c r="D303" i="1"/>
  <c r="D300" i="1"/>
  <c r="D298" i="1"/>
  <c r="D304" i="1"/>
  <c r="D297" i="1"/>
  <c r="D302" i="1"/>
  <c r="D301" i="1"/>
  <c r="D296" i="1"/>
  <c r="D294" i="1"/>
  <c r="D295" i="1"/>
  <c r="D292" i="1"/>
  <c r="D291" i="1"/>
  <c r="D289" i="1"/>
  <c r="D290" i="1"/>
  <c r="D293" i="1"/>
  <c r="D288" i="1"/>
  <c r="D287" i="1"/>
  <c r="D286" i="1"/>
  <c r="D285" i="1"/>
  <c r="D282" i="1"/>
  <c r="D284" i="1"/>
  <c r="D281" i="1"/>
  <c r="D279" i="1"/>
  <c r="D280" i="1"/>
  <c r="D283" i="1"/>
  <c r="D273" i="1"/>
  <c r="D275" i="1"/>
  <c r="D272" i="1"/>
  <c r="D276" i="1"/>
  <c r="D274" i="1"/>
  <c r="D277" i="1"/>
  <c r="D278" i="1"/>
  <c r="D271" i="1"/>
  <c r="D265" i="1"/>
  <c r="D264" i="1"/>
  <c r="D268" i="1"/>
  <c r="D270" i="1"/>
  <c r="D267" i="1"/>
  <c r="D269" i="1"/>
  <c r="D266" i="1"/>
  <c r="D261" i="1"/>
  <c r="D258" i="1"/>
  <c r="D260" i="1"/>
  <c r="D259" i="1"/>
  <c r="D257" i="1"/>
  <c r="D263" i="1"/>
  <c r="D256" i="1"/>
  <c r="D262" i="1"/>
  <c r="D250" i="1"/>
  <c r="D253" i="1"/>
  <c r="D255" i="1"/>
  <c r="D254" i="1"/>
  <c r="D252" i="1"/>
  <c r="D251" i="1"/>
  <c r="D249" i="1"/>
  <c r="D242" i="1"/>
  <c r="D247" i="1"/>
  <c r="D246" i="1"/>
  <c r="D243" i="1"/>
  <c r="D245" i="1"/>
  <c r="D241" i="1"/>
  <c r="D244" i="1"/>
  <c r="D248" i="1"/>
  <c r="D238" i="1"/>
  <c r="D237" i="1"/>
  <c r="D239" i="1"/>
  <c r="D240" i="1"/>
  <c r="D236" i="1"/>
  <c r="D235" i="1"/>
  <c r="D234" i="1"/>
  <c r="D229" i="1"/>
  <c r="D232" i="1"/>
  <c r="D233" i="1"/>
  <c r="D231" i="1"/>
  <c r="D228" i="1"/>
  <c r="D230" i="1"/>
  <c r="D221" i="1"/>
  <c r="D227" i="1"/>
  <c r="D225" i="1"/>
  <c r="D226" i="1"/>
  <c r="D224" i="1"/>
  <c r="D223" i="1"/>
  <c r="D220" i="1"/>
  <c r="D222" i="1"/>
  <c r="D218" i="1"/>
  <c r="D212" i="1"/>
  <c r="D213" i="1"/>
  <c r="D219" i="1"/>
  <c r="D217" i="1"/>
  <c r="D216" i="1"/>
  <c r="D214" i="1"/>
  <c r="D215" i="1"/>
  <c r="D211" i="1"/>
  <c r="D209" i="1"/>
  <c r="D207" i="1"/>
  <c r="D202" i="1"/>
  <c r="D206" i="1"/>
  <c r="D205" i="1"/>
  <c r="D210" i="1"/>
  <c r="D204" i="1"/>
  <c r="D203" i="1"/>
  <c r="D208" i="1"/>
  <c r="D194" i="1"/>
  <c r="D191" i="1"/>
  <c r="D193" i="1"/>
  <c r="D198" i="1"/>
  <c r="D200" i="1"/>
  <c r="D196" i="1"/>
  <c r="D192" i="1"/>
  <c r="D197" i="1"/>
  <c r="D199" i="1"/>
  <c r="D201" i="1"/>
  <c r="D190" i="1"/>
  <c r="D195" i="1"/>
  <c r="D187" i="1"/>
  <c r="D189" i="1"/>
  <c r="D185" i="1"/>
  <c r="D188" i="1"/>
  <c r="D186" i="1"/>
  <c r="D178" i="1"/>
  <c r="D176" i="1"/>
  <c r="D177" i="1"/>
  <c r="D179" i="1"/>
  <c r="D181" i="1"/>
  <c r="D182" i="1"/>
  <c r="D184" i="1"/>
  <c r="D180" i="1"/>
  <c r="D183" i="1"/>
  <c r="D175" i="1"/>
  <c r="D174" i="1"/>
  <c r="D169" i="1"/>
  <c r="D170" i="1"/>
  <c r="D173" i="1"/>
  <c r="D172" i="1"/>
  <c r="D171" i="1"/>
  <c r="D160" i="1"/>
  <c r="D165" i="1"/>
  <c r="D164" i="1"/>
  <c r="D167" i="1"/>
  <c r="D163" i="1"/>
  <c r="D168" i="1"/>
  <c r="D166" i="1"/>
  <c r="D161" i="1"/>
  <c r="D162" i="1"/>
  <c r="D155" i="1"/>
  <c r="D151" i="1"/>
  <c r="D152" i="1"/>
  <c r="D150" i="1"/>
  <c r="D149" i="1"/>
  <c r="D156" i="1"/>
  <c r="D159" i="1"/>
  <c r="D158" i="1"/>
  <c r="D157" i="1"/>
  <c r="D154" i="1"/>
  <c r="D153" i="1"/>
  <c r="D142" i="1"/>
  <c r="D147" i="1"/>
  <c r="D148" i="1"/>
  <c r="D144" i="1"/>
  <c r="D145" i="1"/>
  <c r="D146" i="1"/>
  <c r="D141" i="1"/>
  <c r="D143" i="1"/>
  <c r="D137" i="1"/>
  <c r="D131" i="1"/>
  <c r="D136" i="1"/>
  <c r="D135" i="1"/>
  <c r="D134" i="1"/>
  <c r="D138" i="1"/>
  <c r="D140" i="1"/>
  <c r="D133" i="1"/>
  <c r="D132" i="1"/>
  <c r="D139" i="1"/>
  <c r="D127" i="1"/>
  <c r="D126" i="1"/>
  <c r="D125" i="1"/>
  <c r="D124" i="1"/>
  <c r="D123" i="1"/>
  <c r="D130" i="1"/>
  <c r="D129" i="1"/>
  <c r="D128" i="1"/>
  <c r="D122" i="1"/>
  <c r="D114" i="1"/>
  <c r="D113" i="1"/>
  <c r="D119" i="1"/>
  <c r="D112" i="1"/>
  <c r="D121" i="1"/>
  <c r="D111" i="1"/>
  <c r="D118" i="1"/>
  <c r="D110" i="1"/>
  <c r="D109" i="1"/>
  <c r="D115" i="1"/>
  <c r="D117" i="1"/>
  <c r="D120" i="1"/>
  <c r="D116" i="1"/>
  <c r="D104" i="1"/>
  <c r="D99" i="1"/>
  <c r="D100" i="1"/>
  <c r="D98" i="1"/>
  <c r="D108" i="1"/>
  <c r="D96" i="1"/>
  <c r="D107" i="1"/>
  <c r="D103" i="1"/>
  <c r="D97" i="1"/>
  <c r="D106" i="1"/>
  <c r="D102" i="1"/>
  <c r="D101" i="1"/>
  <c r="D105" i="1"/>
  <c r="D92" i="1"/>
  <c r="D84" i="1"/>
  <c r="D93" i="1"/>
  <c r="D95" i="1"/>
  <c r="D91" i="1"/>
  <c r="D94" i="1"/>
  <c r="D89" i="1"/>
  <c r="D87" i="1"/>
  <c r="D86" i="1"/>
  <c r="D85" i="1"/>
  <c r="D90" i="1"/>
  <c r="D88" i="1"/>
  <c r="D77" i="1"/>
  <c r="D80" i="1"/>
  <c r="D79" i="1"/>
  <c r="D81" i="1"/>
  <c r="D82" i="1"/>
  <c r="D74" i="1"/>
  <c r="D83" i="1"/>
  <c r="D76" i="1"/>
  <c r="D78" i="1"/>
  <c r="D75" i="1"/>
  <c r="D73" i="1"/>
  <c r="D64" i="1"/>
  <c r="D66" i="1"/>
  <c r="D72" i="1"/>
  <c r="D65" i="1"/>
  <c r="D69" i="1"/>
  <c r="D71" i="1"/>
  <c r="D68" i="1"/>
  <c r="D67" i="1"/>
  <c r="D70" i="1"/>
  <c r="D52" i="1"/>
  <c r="D61" i="1"/>
  <c r="D54" i="1"/>
  <c r="D60" i="1"/>
  <c r="D62" i="1"/>
  <c r="D58" i="1"/>
  <c r="D57" i="1"/>
  <c r="D51" i="1"/>
  <c r="D53" i="1"/>
  <c r="D59" i="1"/>
  <c r="D56" i="1"/>
  <c r="D55" i="1"/>
  <c r="D63" i="1"/>
  <c r="D49" i="1"/>
  <c r="D42" i="1"/>
  <c r="D50" i="1"/>
  <c r="D47" i="1"/>
  <c r="D46" i="1"/>
  <c r="D45" i="1"/>
  <c r="D44" i="1"/>
  <c r="D43" i="1"/>
  <c r="D41" i="1"/>
  <c r="D48" i="1"/>
  <c r="D35" i="1"/>
  <c r="D34" i="1"/>
  <c r="D29" i="1"/>
  <c r="D31" i="1"/>
  <c r="D40" i="1"/>
  <c r="D36" i="1"/>
  <c r="D39" i="1"/>
  <c r="D32" i="1"/>
  <c r="D38" i="1"/>
  <c r="D33" i="1"/>
  <c r="D30" i="1"/>
  <c r="D37" i="1"/>
  <c r="D25" i="1"/>
  <c r="D28" i="1"/>
  <c r="D26" i="1"/>
  <c r="D24" i="1"/>
  <c r="D27" i="1"/>
  <c r="D19" i="1"/>
  <c r="D22" i="1"/>
  <c r="D18" i="1"/>
  <c r="D21" i="1"/>
  <c r="D23" i="1"/>
  <c r="D15" i="1"/>
  <c r="D20" i="1"/>
  <c r="D17" i="1"/>
  <c r="D16" i="1"/>
  <c r="D12" i="1"/>
  <c r="D10" i="1"/>
  <c r="D11" i="1"/>
  <c r="D9" i="1"/>
  <c r="D7" i="1"/>
  <c r="D14" i="1"/>
  <c r="D13" i="1"/>
  <c r="D8" i="1"/>
  <c r="D5" i="1"/>
  <c r="D6" i="1"/>
  <c r="D4" i="1"/>
  <c r="D3" i="1"/>
  <c r="AF7" i="3"/>
  <c r="DY6" i="3"/>
  <c r="AF6" i="3"/>
  <c r="DH7" i="3" l="1"/>
  <c r="DL7" i="3"/>
  <c r="DG7" i="3"/>
  <c r="DJ8" i="3"/>
  <c r="DK7" i="3"/>
  <c r="DI8" i="3"/>
  <c r="BW17" i="3"/>
  <c r="BW16" i="3"/>
  <c r="BW12" i="3"/>
  <c r="BV8" i="3"/>
  <c r="BW9" i="3"/>
  <c r="BW15" i="3"/>
  <c r="BW11" i="3"/>
  <c r="BW7" i="3"/>
  <c r="BW13" i="3"/>
  <c r="BW6" i="3"/>
  <c r="BW14" i="3"/>
  <c r="BW10" i="3"/>
  <c r="BV16" i="3"/>
  <c r="BV17" i="3"/>
  <c r="BV13" i="3"/>
  <c r="BV9" i="3"/>
  <c r="BW8" i="3"/>
  <c r="BV15" i="3"/>
  <c r="BV11" i="3"/>
  <c r="BV7" i="3"/>
  <c r="BV12" i="3"/>
  <c r="BV6" i="3"/>
  <c r="BV14" i="3"/>
  <c r="BV10" i="3"/>
  <c r="N3128" i="1"/>
  <c r="DN7" i="3" l="1"/>
</calcChain>
</file>

<file path=xl/sharedStrings.xml><?xml version="1.0" encoding="utf-8"?>
<sst xmlns="http://schemas.openxmlformats.org/spreadsheetml/2006/main" count="52172" uniqueCount="221">
  <si>
    <t>Amount of Sales</t>
  </si>
  <si>
    <t>Accessories</t>
  </si>
  <si>
    <t>Sumatra</t>
  </si>
  <si>
    <t>Kitchen</t>
  </si>
  <si>
    <t>Bali &amp; Nusra</t>
  </si>
  <si>
    <t>Jawa</t>
  </si>
  <si>
    <t>Electronic</t>
  </si>
  <si>
    <t>Sulawesi</t>
  </si>
  <si>
    <t>Kalimantan</t>
  </si>
  <si>
    <t>Maluku &amp; Papua</t>
  </si>
  <si>
    <t/>
  </si>
  <si>
    <t>David</t>
  </si>
  <si>
    <t>Hendrawan</t>
  </si>
  <si>
    <t>Aisyah</t>
  </si>
  <si>
    <t>Fitriani</t>
  </si>
  <si>
    <t>PT Unilever Indonesia Tbk.</t>
  </si>
  <si>
    <t>PT Surya Citra Media Tbk.</t>
  </si>
  <si>
    <t>PT Pakuwon Jati Tbk.</t>
  </si>
  <si>
    <t>PT Ace Hardware Indonesia Tbk</t>
  </si>
  <si>
    <t>PT Telekomunikasi Indonesia (Persero) Tbk</t>
  </si>
  <si>
    <t>PT Bank Central Asia Tbk.</t>
  </si>
  <si>
    <t>PT Metropolitan Kentjana Tbk.</t>
  </si>
  <si>
    <t>PT Bumi Serpong Damai Tbk.</t>
  </si>
  <si>
    <t>PT Sumarecon Agung Tbk.</t>
  </si>
  <si>
    <t>PT Waskita Karya (Persero) Tbk.</t>
  </si>
  <si>
    <t>PT Bank Rakyat Indonesia (Persero) Tbk.</t>
  </si>
  <si>
    <t>PT Wijaya Karya (Persero) Tbk.</t>
  </si>
  <si>
    <t>PT Bank Mandiri (Persero) Tbk.</t>
  </si>
  <si>
    <t>PT Astra International Tbk.</t>
  </si>
  <si>
    <t>PT Sumber Alfaria Trijaya Tbk.</t>
  </si>
  <si>
    <t>PT Semen Indonesia (Persero) Tbk.</t>
  </si>
  <si>
    <t>PT Indofood CBP Sukses Makmur Tbk.</t>
  </si>
  <si>
    <t>PT AKR Corporindo Tbk.</t>
  </si>
  <si>
    <t>PT Bank Tabungan Pensiunan Negara Tbk.</t>
  </si>
  <si>
    <t>PT Media Nusantara Citra Tbk.</t>
  </si>
  <si>
    <t>PT Lippo Cikarang Tbk.</t>
  </si>
  <si>
    <t>PT Modernland Realty Tbk.</t>
  </si>
  <si>
    <t>PT Cardig Aero Services Tbk.</t>
  </si>
  <si>
    <t>PT Industri Jamu &amp; Farmasi Sido Muncul Tbk.</t>
  </si>
  <si>
    <t>PT Nusa Raya Cipta Tbk.</t>
  </si>
  <si>
    <t>PT Tiphone Mobile Indonesia Tbk.</t>
  </si>
  <si>
    <t>PT Tempo Scan Pacific Tbk.</t>
  </si>
  <si>
    <t>PT Ciputra Surya Tbk.</t>
  </si>
  <si>
    <t>PT Bank Mayapada Internasional Tbk.</t>
  </si>
  <si>
    <t>PT Sri Rejeki Isman Tbk.</t>
  </si>
  <si>
    <t>PT Tiga Pilar Sejahtera Food Tbk.</t>
  </si>
  <si>
    <t>PT Siantar Top Tbk.</t>
  </si>
  <si>
    <t>PT Metrodata Electronics Tbk.</t>
  </si>
  <si>
    <t>PT Indonesia Paradise Property Tbk.</t>
  </si>
  <si>
    <t>PT BPD Jawa Barat &amp; Banten Tbk.</t>
  </si>
  <si>
    <t>PT Metropolitan Land Tbk.</t>
  </si>
  <si>
    <t>PT Citra Marga Nusaphala Persada Tbk.</t>
  </si>
  <si>
    <t>PT Acset Indonusa Tbk.</t>
  </si>
  <si>
    <t>PT Intiland Development Tbk.</t>
  </si>
  <si>
    <t>PT Mitra Pinasthika Mustika Tbk.</t>
  </si>
  <si>
    <t>PT Clipan Finance Indonesia Tbk.</t>
  </si>
  <si>
    <t>PT Bayu Buana Tbk.</t>
  </si>
  <si>
    <t>PT FKS Multi Agro Tbk.</t>
  </si>
  <si>
    <t>PT Wilmar Cahaya Indonesia Tbk.</t>
  </si>
  <si>
    <t>PT Batavia Prosperindo Tbk.</t>
  </si>
  <si>
    <t>PT Ekadharma International Tbk.</t>
  </si>
  <si>
    <t>PT KMI Wire and Cable Tbk.</t>
  </si>
  <si>
    <t>PT Perdana Gapuraprima Tbk.</t>
  </si>
  <si>
    <t>PT Panorama Sentrawisata Tbk.</t>
  </si>
  <si>
    <t>PT Sekar Laut Tbk.</t>
  </si>
  <si>
    <t>Sales Team</t>
  </si>
  <si>
    <t>Payment Status</t>
  </si>
  <si>
    <t>Paid</t>
  </si>
  <si>
    <t>Customer</t>
  </si>
  <si>
    <t>Product Category</t>
  </si>
  <si>
    <t>Table Lamp</t>
  </si>
  <si>
    <t>TV</t>
  </si>
  <si>
    <t>Office Table</t>
  </si>
  <si>
    <t>Office Chair</t>
  </si>
  <si>
    <t>Laptop</t>
  </si>
  <si>
    <t>AC</t>
  </si>
  <si>
    <t>Cable</t>
  </si>
  <si>
    <t>Computer</t>
  </si>
  <si>
    <t>Furniture</t>
  </si>
  <si>
    <t>Networking</t>
  </si>
  <si>
    <t>COD</t>
  </si>
  <si>
    <t>Cheque</t>
  </si>
  <si>
    <t>Bank Transfer</t>
  </si>
  <si>
    <t>Unknown</t>
  </si>
  <si>
    <t>Payment Method</t>
  </si>
  <si>
    <t>day</t>
  </si>
  <si>
    <t>Not Paid</t>
  </si>
  <si>
    <t>Sum of Amount of Sales</t>
  </si>
  <si>
    <t>Row Labels</t>
  </si>
  <si>
    <t>Count of Payment Status</t>
  </si>
  <si>
    <t>Total Paid Invoice</t>
  </si>
  <si>
    <t>Total Earning by Months</t>
  </si>
  <si>
    <t>Jan</t>
  </si>
  <si>
    <t>Feb</t>
  </si>
  <si>
    <t>Mar</t>
  </si>
  <si>
    <t>Apr</t>
  </si>
  <si>
    <t>Mei</t>
  </si>
  <si>
    <t>Jun</t>
  </si>
  <si>
    <t>Jul</t>
  </si>
  <si>
    <t>Agu</t>
  </si>
  <si>
    <t>Sep</t>
  </si>
  <si>
    <t>Okt</t>
  </si>
  <si>
    <t>Nov</t>
  </si>
  <si>
    <t>Des</t>
  </si>
  <si>
    <t>Sum of Amount of Sales2</t>
  </si>
  <si>
    <t>Max</t>
  </si>
  <si>
    <t>Avg.</t>
  </si>
  <si>
    <t>Min</t>
  </si>
  <si>
    <t>Paid/Unpaid Invoice</t>
  </si>
  <si>
    <t>Grand Total</t>
  </si>
  <si>
    <t>Purchase Order</t>
  </si>
  <si>
    <t>Sales Area</t>
  </si>
  <si>
    <t>Amount of Sales by Product</t>
  </si>
  <si>
    <t>Printer</t>
  </si>
  <si>
    <t>Coffee Mach</t>
  </si>
  <si>
    <t>Amount of Purchase Order by Product</t>
  </si>
  <si>
    <t>Count of Sales Area</t>
  </si>
  <si>
    <t>Undilivered Order</t>
  </si>
  <si>
    <t>Months</t>
  </si>
  <si>
    <t>Undilivered Order by Months</t>
  </si>
  <si>
    <t>Avg</t>
  </si>
  <si>
    <t>Total Sales by Sales Team</t>
  </si>
  <si>
    <t>Total Sales by Product Category</t>
  </si>
  <si>
    <r>
      <t>Abzan Software</t>
    </r>
    <r>
      <rPr>
        <sz val="11"/>
        <color rgb="FFF1F0F5"/>
        <rFont val="Calibri"/>
        <family val="2"/>
      </rPr>
      <t>™</t>
    </r>
  </si>
  <si>
    <t>Paid Orders</t>
  </si>
  <si>
    <t>(All)</t>
  </si>
  <si>
    <t>Paid Orders by Product Category</t>
  </si>
  <si>
    <t>Average</t>
  </si>
  <si>
    <t>Average Not Paid Orders by Month</t>
  </si>
  <si>
    <t>Column Labels</t>
  </si>
  <si>
    <t xml:space="preserve">Kode Program/Kegiatan </t>
  </si>
  <si>
    <t>Program/Kegiatan/Sub Kegiatan</t>
  </si>
  <si>
    <t>Lokasi</t>
  </si>
  <si>
    <t>Anggaran Murni</t>
  </si>
  <si>
    <t>Target s.d. Januari</t>
  </si>
  <si>
    <t xml:space="preserve">Realisasi s.d. Januari </t>
  </si>
  <si>
    <t>Deviasi s.d. Januari</t>
  </si>
  <si>
    <t>Output Kegiatan Yang Telah Selesai Sampai Dengan Januari</t>
  </si>
  <si>
    <t>Realisasi Anggaran</t>
  </si>
  <si>
    <t>Anggaran</t>
  </si>
  <si>
    <t>1</t>
  </si>
  <si>
    <t>2</t>
  </si>
  <si>
    <t>3</t>
  </si>
  <si>
    <t>4</t>
  </si>
  <si>
    <t>5</t>
  </si>
  <si>
    <t>6</t>
  </si>
  <si>
    <t>7</t>
  </si>
  <si>
    <t>8</t>
  </si>
  <si>
    <t>9</t>
  </si>
  <si>
    <t>10</t>
  </si>
  <si>
    <t>11</t>
  </si>
  <si>
    <t>12</t>
  </si>
  <si>
    <t>13</t>
  </si>
  <si>
    <t>14</t>
  </si>
  <si>
    <t>15</t>
  </si>
  <si>
    <t>16</t>
  </si>
  <si>
    <t>17</t>
  </si>
  <si>
    <t>18</t>
  </si>
  <si>
    <t>19</t>
  </si>
  <si>
    <t>20</t>
  </si>
  <si>
    <t>21</t>
  </si>
  <si>
    <t>22</t>
  </si>
  <si>
    <t>23</t>
  </si>
  <si>
    <t>24</t>
  </si>
  <si>
    <t>25</t>
  </si>
  <si>
    <t>26</t>
  </si>
  <si>
    <t>27</t>
  </si>
  <si>
    <t>28</t>
  </si>
  <si>
    <t>29</t>
  </si>
  <si>
    <t>30</t>
  </si>
  <si>
    <t>31</t>
  </si>
  <si>
    <t>Realisasi Belanja Terbesar</t>
  </si>
  <si>
    <t>TANGGAL</t>
  </si>
  <si>
    <t>HARI</t>
  </si>
  <si>
    <t>BULAN</t>
  </si>
  <si>
    <t>KODE PROGRAM/KEGIATAN/SUB KEGIATAN</t>
  </si>
  <si>
    <t>ANGGARAN MURNI</t>
  </si>
  <si>
    <t>%</t>
  </si>
  <si>
    <t xml:space="preserve">REALISASI </t>
  </si>
  <si>
    <t>TARGET</t>
  </si>
  <si>
    <t>DEVIASI</t>
  </si>
  <si>
    <t>%2</t>
  </si>
  <si>
    <t>STATUS REALISASI</t>
  </si>
  <si>
    <t>KETERANGAN</t>
  </si>
  <si>
    <t>4.01.01.1.01.01</t>
  </si>
  <si>
    <t>PROGRAM/KEGIATAN/SUB KEGIATAN</t>
  </si>
  <si>
    <t>Penyusunan Dokumen Perencanaan Perangkat Daerah</t>
  </si>
  <si>
    <t>4.01.01.1.01.06</t>
  </si>
  <si>
    <t xml:space="preserve"> Koordinasi dan Penyusunan Laporan Capaian Kinerja dan
Ikhtisar Realisasi Kinerja SKPD3</t>
  </si>
  <si>
    <t>4.01.01.1.05.09</t>
  </si>
  <si>
    <t>4.01.01.1.06.02</t>
  </si>
  <si>
    <t>Penyediaan Peralatan dan Perlengkapan Kantor</t>
  </si>
  <si>
    <t>4.01.01.1.06.05</t>
  </si>
  <si>
    <t>Penyediaan Barang Cetakan dan Penggandaan</t>
  </si>
  <si>
    <t>4.01.01.1.06.09</t>
  </si>
  <si>
    <t>Penyelenggaraan Rapat Koordinasi dan Konsultasi SKPD</t>
  </si>
  <si>
    <t>4.01.01.1.08.02</t>
  </si>
  <si>
    <t>Penyediaan Jasa Komunikasi, Sumber Daya Air dan Listrik</t>
  </si>
  <si>
    <t xml:space="preserve">4.01.01.1.08.03 </t>
  </si>
  <si>
    <t>Penyediaan Jasa Peralatan dan Perlengkapan Kantor</t>
  </si>
  <si>
    <t>4.01.01.1.08.04</t>
  </si>
  <si>
    <t>Penyediaan Jasa Pelayanan Umum Kantor</t>
  </si>
  <si>
    <t>4.01.07.1.01.01</t>
  </si>
  <si>
    <t>Pengelolaan Strategi Pengadaan Barang dan Jasa2</t>
  </si>
  <si>
    <t>4.01.07.1.01.02</t>
  </si>
  <si>
    <t>Pelaksanaan Pengadaan Barang dan Jasa1</t>
  </si>
  <si>
    <t>Pemantauan dan Evaluasi Pengadaan Barang dan Jasa</t>
  </si>
  <si>
    <t xml:space="preserve">4.01.07.1.01.03 </t>
  </si>
  <si>
    <t>4.01.07.1.02.01</t>
  </si>
  <si>
    <t>Pengelolaan Sistem Pengadaan Secara Elektronik</t>
  </si>
  <si>
    <t>4.01.07.1.02.02</t>
  </si>
  <si>
    <t>Pengembangan Sistem Informasi Pengadaan Barang dan Jasa</t>
  </si>
  <si>
    <t>4.01.07.1.02.03</t>
  </si>
  <si>
    <t>Pengelolaan Informasi Pengadaan Barang dan Jasa</t>
  </si>
  <si>
    <t>4.01.07.1.03.01</t>
  </si>
  <si>
    <t>Pembinaan Sumber Daya Manusia Pengadaan Barang dan
Jasa</t>
  </si>
  <si>
    <t>4.01.07.1.03.02</t>
  </si>
  <si>
    <t>Pembinaan Kelembagaan Pengadaan Barang dan Jasa</t>
  </si>
  <si>
    <t xml:space="preserve">4.01.07.1.03.03 </t>
  </si>
  <si>
    <t>Pendampingan, Konsultasi, dan/atau Bimbingan Teknis
Pengadaan Barang dan Jasa</t>
  </si>
  <si>
    <t>Pendidikan dan Pelatihan Pegawai Berdasarkan Tugas dan
Fungsi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</si>
</sst>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2">
    <numFmt numFmtId="41" formatCode="_-* #,##0_-;\-* #,##0_-;_-* &quot;-&quot;_-;_-@_-"/>
    <numFmt numFmtId="164" formatCode="[&lt;999950]#,##0.0,&quot;K&quot;;[&lt;999950000]#,##0.0,,&quot;JT&quot;;#,##0.0,,,&quot;M&quot;"/>
  </numFmts>
  <fonts count="15" x14ac:knownFonts="1">
    <font>
      <sz val="11"/>
      <color theme="1"/>
      <name val="Calibri"/>
      <family val="2"/>
      <charset val="1"/>
      <scheme val="minor"/>
    </font>
    <font>
      <sz val="10"/>
      <color theme="1" tint="0.249977111117893"/>
      <name val="Avenir Next LT Pro Demi"/>
      <family val="2"/>
    </font>
    <font>
      <sz val="8"/>
      <color theme="1" tint="0.249977111117893"/>
      <name val="Avenir Next LT Pro Demi"/>
      <family val="2"/>
    </font>
    <font>
      <sz val="9"/>
      <color theme="0"/>
      <name val="Avenir Next LT Pro Demi"/>
      <family val="2"/>
    </font>
    <font>
      <sz val="8"/>
      <name val="Calibri"/>
      <family val="2"/>
      <charset val="1"/>
      <scheme val="minor"/>
    </font>
    <font>
      <sz val="10"/>
      <color theme="0"/>
      <name val="Arial"/>
      <family val="2"/>
    </font>
    <font>
      <sz val="10"/>
      <color theme="1"/>
      <name val="Arial"/>
      <family val="2"/>
    </font>
    <font>
      <sz val="10"/>
      <color rgb="FFC00000"/>
      <name val="Arial"/>
      <family val="2"/>
    </font>
    <font>
      <sz val="10"/>
      <color theme="1"/>
      <name val="Calibri"/>
      <family val="2"/>
      <charset val="1"/>
      <scheme val="minor"/>
    </font>
    <font>
      <b/>
      <sz val="10"/>
      <color theme="0"/>
      <name val="Arial"/>
      <family val="2"/>
    </font>
    <font>
      <sz val="11"/>
      <color rgb="FFF1F0F5"/>
      <name val="Calibri"/>
      <family val="2"/>
      <scheme val="minor"/>
    </font>
    <font>
      <sz val="11"/>
      <color rgb="FFF1F0F5"/>
      <name val="Calibri"/>
      <family val="2"/>
    </font>
    <font>
      <b/>
      <sz val="10"/>
      <color theme="1"/>
      <name val="Arial"/>
      <family val="2"/>
    </font>
    <font>
      <sz val="10"/>
      <color theme="0"/>
      <name val="Arial"/>
      <family val="2"/>
    </font>
    <font>
      <sz val="10"/>
      <color theme="1"/>
      <name val="Arial"/>
      <family val="2"/>
    </font>
  </fonts>
  <fills count="8">
    <fill>
      <patternFill patternType="none"/>
    </fill>
    <fill>
      <patternFill patternType="gray125"/>
    </fill>
    <fill>
      <patternFill patternType="solid">
        <fgColor theme="0"/>
        <bgColor indexed="64"/>
      </patternFill>
    </fill>
    <fill>
      <patternFill patternType="solid">
        <fgColor rgb="FF362F48"/>
        <bgColor indexed="64"/>
      </patternFill>
    </fill>
    <fill>
      <patternFill patternType="solid">
        <fgColor rgb="FFF6F6F6"/>
        <bgColor indexed="64"/>
      </patternFill>
    </fill>
    <fill>
      <patternFill patternType="solid">
        <fgColor rgb="FF4958CE"/>
        <bgColor indexed="64"/>
      </patternFill>
    </fill>
    <fill>
      <patternFill patternType="solid">
        <fgColor rgb="FFF1F0F5"/>
        <bgColor indexed="64"/>
      </patternFill>
    </fill>
    <fill>
      <patternFill patternType="solid">
        <fgColor rgb="FFA13F9E"/>
        <bgColor indexed="64"/>
      </patternFill>
    </fill>
  </fills>
  <borders count="32">
    <border>
      <left/>
      <right/>
      <top/>
      <bottom/>
      <diagonal/>
    </border>
    <border>
      <left/>
      <right style="thin">
        <color rgb="FF4958CE"/>
      </right>
      <top/>
      <bottom/>
      <diagonal/>
    </border>
    <border>
      <left style="thin">
        <color theme="1" tint="0.499984740745262"/>
      </left>
      <right/>
      <top/>
      <bottom/>
      <diagonal/>
    </border>
    <border>
      <left style="thin">
        <color theme="1" tint="0.499984740745262"/>
      </left>
      <right/>
      <top style="thin">
        <color theme="1" tint="0.499984740745262"/>
      </top>
      <bottom/>
      <diagonal/>
    </border>
    <border>
      <left/>
      <right style="thin">
        <color theme="1" tint="0.499984740745262"/>
      </right>
      <top style="thin">
        <color theme="1" tint="0.499984740745262"/>
      </top>
      <bottom/>
      <diagonal/>
    </border>
    <border>
      <left style="thin">
        <color theme="1" tint="0.499984740745262"/>
      </left>
      <right/>
      <top/>
      <bottom style="thin">
        <color theme="1" tint="0.499984740745262"/>
      </bottom>
      <diagonal/>
    </border>
    <border>
      <left/>
      <right style="thin">
        <color theme="1" tint="0.499984740745262"/>
      </right>
      <top/>
      <bottom style="thin">
        <color theme="1" tint="0.499984740745262"/>
      </bottom>
      <diagonal/>
    </border>
    <border>
      <left/>
      <right style="thin">
        <color theme="1" tint="0.499984740745262"/>
      </right>
      <top/>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style="thin">
        <color theme="1" tint="0.499984740745262"/>
      </right>
      <top/>
      <bottom style="thin">
        <color theme="1" tint="0.499984740745262"/>
      </bottom>
      <diagonal/>
    </border>
    <border>
      <left style="thin">
        <color theme="0" tint="-0.24994659260841701"/>
      </left>
      <right/>
      <top style="thin">
        <color theme="0" tint="-0.24994659260841701"/>
      </top>
      <bottom/>
      <diagonal/>
    </border>
    <border>
      <left/>
      <right style="thin">
        <color theme="0" tint="-0.24994659260841701"/>
      </right>
      <top style="thin">
        <color theme="0" tint="-0.24994659260841701"/>
      </top>
      <bottom/>
      <diagonal/>
    </border>
    <border>
      <left style="thin">
        <color theme="0" tint="-0.24994659260841701"/>
      </left>
      <right/>
      <top/>
      <bottom/>
      <diagonal/>
    </border>
    <border>
      <left/>
      <right style="thin">
        <color theme="0" tint="-0.24994659260841701"/>
      </right>
      <top/>
      <bottom/>
      <diagonal/>
    </border>
    <border>
      <left style="thin">
        <color theme="0" tint="-0.24994659260841701"/>
      </left>
      <right/>
      <top/>
      <bottom style="thin">
        <color theme="0" tint="-0.24994659260841701"/>
      </bottom>
      <diagonal/>
    </border>
    <border>
      <left/>
      <right style="thin">
        <color theme="0" tint="-0.24994659260841701"/>
      </right>
      <top/>
      <bottom style="thin">
        <color theme="0" tint="-0.24994659260841701"/>
      </bottom>
      <diagonal/>
    </border>
    <border>
      <left/>
      <right/>
      <top/>
      <bottom style="thin">
        <color theme="4" tint="0.39997558519241921"/>
      </bottom>
      <diagonal/>
    </border>
    <border>
      <left/>
      <right/>
      <top/>
      <bottom style="thin">
        <color theme="0" tint="-0.24994659260841701"/>
      </bottom>
      <diagonal/>
    </border>
    <border>
      <left style="thin">
        <color theme="0" tint="-0.24994659260841701"/>
      </left>
      <right/>
      <top style="thin">
        <color theme="0" tint="-0.24994659260841701"/>
      </top>
      <bottom style="thin">
        <color theme="0" tint="-0.24994659260841701"/>
      </bottom>
      <diagonal/>
    </border>
    <border>
      <left/>
      <right style="thin">
        <color theme="0" tint="-0.24994659260841701"/>
      </right>
      <top style="thin">
        <color theme="0" tint="-0.24994659260841701"/>
      </top>
      <bottom style="thin">
        <color theme="0" tint="-0.24994659260841701"/>
      </bottom>
      <diagonal/>
    </border>
    <border>
      <left/>
      <right/>
      <top style="thin">
        <color theme="0" tint="-0.24994659260841701"/>
      </top>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style="thin">
        <color theme="0" tint="-0.24994659260841701"/>
      </bottom>
      <diagonal/>
    </border>
    <border>
      <left style="thin">
        <color rgb="FFABABAB"/>
      </left>
      <right/>
      <top style="thin">
        <color rgb="FFABABAB"/>
      </top>
      <bottom/>
      <diagonal/>
    </border>
    <border>
      <left style="thin">
        <color indexed="65"/>
      </left>
      <right/>
      <top style="thin">
        <color rgb="FFABABAB"/>
      </top>
      <bottom/>
      <diagonal/>
    </border>
    <border>
      <left style="thin">
        <color indexed="65"/>
      </left>
      <right style="thin">
        <color rgb="FFABABAB"/>
      </right>
      <top style="thin">
        <color rgb="FFABABAB"/>
      </top>
      <bottom/>
      <diagonal/>
    </border>
    <border>
      <left style="thin">
        <color rgb="FFABABAB"/>
      </left>
      <right/>
      <top style="thin">
        <color indexed="65"/>
      </top>
      <bottom/>
      <diagonal/>
    </border>
    <border>
      <left style="thin">
        <color indexed="65"/>
      </left>
      <right/>
      <top style="thin">
        <color indexed="65"/>
      </top>
      <bottom/>
      <diagonal/>
    </border>
    <border>
      <left style="thin">
        <color indexed="65"/>
      </left>
      <right style="thin">
        <color rgb="FFABABAB"/>
      </right>
      <top style="thin">
        <color indexed="65"/>
      </top>
      <bottom/>
      <diagonal/>
    </border>
    <border>
      <left style="thin">
        <color rgb="FFABABAB"/>
      </left>
      <right/>
      <top style="thin">
        <color indexed="65"/>
      </top>
      <bottom style="thin">
        <color rgb="FFABABAB"/>
      </bottom>
      <diagonal/>
    </border>
    <border>
      <left style="thin">
        <color indexed="65"/>
      </left>
      <right/>
      <top style="thin">
        <color indexed="65"/>
      </top>
      <bottom style="thin">
        <color rgb="FFABABAB"/>
      </bottom>
      <diagonal/>
    </border>
    <border>
      <left style="thin">
        <color indexed="65"/>
      </left>
      <right style="thin">
        <color rgb="FFABABAB"/>
      </right>
      <top style="thin">
        <color indexed="65"/>
      </top>
      <bottom style="thin">
        <color rgb="FFABABAB"/>
      </bottom>
      <diagonal/>
    </border>
  </borders>
  <cellStyleXfs count="1">
    <xf numFmtId="0" fontId="0" fillId="0" borderId="0"/>
  </cellStyleXfs>
  <cellXfs count="88">
    <xf numFmtId="0" fontId="0" fillId="0" borderId="0" xfId="0"/>
    <xf numFmtId="14" fontId="2" fillId="0" borderId="0" xfId="0" applyNumberFormat="1" applyFont="1" applyAlignment="1">
      <alignment horizontal="center" vertical="center"/>
    </xf>
    <xf numFmtId="0" fontId="2" fillId="0" borderId="0" xfId="0" applyFont="1" applyAlignment="1">
      <alignment horizontal="center" vertical="center"/>
    </xf>
    <xf numFmtId="3" fontId="2" fillId="0" borderId="0" xfId="0" applyNumberFormat="1" applyFont="1" applyAlignment="1">
      <alignment horizontal="center" vertical="center"/>
    </xf>
    <xf numFmtId="4" fontId="2" fillId="0" borderId="0" xfId="0" applyNumberFormat="1" applyFont="1" applyAlignment="1">
      <alignment horizontal="center" vertical="center"/>
    </xf>
    <xf numFmtId="0" fontId="1" fillId="2" borderId="0" xfId="0" applyFont="1" applyFill="1" applyAlignment="1">
      <alignment vertical="center" wrapText="1"/>
    </xf>
    <xf numFmtId="0" fontId="1" fillId="2" borderId="0" xfId="0" applyFont="1" applyFill="1" applyAlignment="1">
      <alignment horizontal="center" vertical="center" wrapText="1"/>
    </xf>
    <xf numFmtId="4" fontId="1" fillId="2" borderId="0" xfId="0" applyNumberFormat="1" applyFont="1" applyFill="1" applyAlignment="1">
      <alignment horizontal="center" vertical="center" wrapText="1"/>
    </xf>
    <xf numFmtId="0" fontId="1" fillId="2" borderId="0" xfId="0" applyFont="1" applyFill="1"/>
    <xf numFmtId="0" fontId="1" fillId="0" borderId="0" xfId="0" applyFont="1" applyAlignment="1">
      <alignment horizontal="center"/>
    </xf>
    <xf numFmtId="0" fontId="1" fillId="0" borderId="0" xfId="0" applyFont="1" applyAlignment="1">
      <alignment vertical="center"/>
    </xf>
    <xf numFmtId="3" fontId="1" fillId="0" borderId="0" xfId="0" applyNumberFormat="1" applyFont="1" applyAlignment="1">
      <alignment vertical="center"/>
    </xf>
    <xf numFmtId="41" fontId="2" fillId="0" borderId="0" xfId="0" applyNumberFormat="1" applyFont="1" applyAlignment="1">
      <alignment horizontal="center" vertical="center"/>
    </xf>
    <xf numFmtId="0" fontId="2" fillId="0" borderId="0" xfId="0" applyFont="1" applyAlignment="1">
      <alignment vertical="center"/>
    </xf>
    <xf numFmtId="4" fontId="1" fillId="0" borderId="0" xfId="0" applyNumberFormat="1" applyFont="1" applyAlignment="1">
      <alignment vertical="center"/>
    </xf>
    <xf numFmtId="14" fontId="3" fillId="3" borderId="0" xfId="0" applyNumberFormat="1" applyFont="1" applyFill="1" applyAlignment="1">
      <alignment horizontal="center" vertical="center" wrapText="1"/>
    </xf>
    <xf numFmtId="4" fontId="3" fillId="3" borderId="0" xfId="0" applyNumberFormat="1" applyFont="1" applyFill="1" applyAlignment="1">
      <alignment horizontal="center" vertical="center" wrapText="1"/>
    </xf>
    <xf numFmtId="0" fontId="3" fillId="3" borderId="0" xfId="0" applyFont="1" applyFill="1" applyAlignment="1">
      <alignment horizontal="center" vertical="center" wrapText="1"/>
    </xf>
    <xf numFmtId="14" fontId="2" fillId="4" borderId="0" xfId="0" applyNumberFormat="1" applyFont="1" applyFill="1" applyAlignment="1">
      <alignment horizontal="center" vertical="center"/>
    </xf>
    <xf numFmtId="0" fontId="2" fillId="4" borderId="0" xfId="0" applyFont="1" applyFill="1" applyAlignment="1">
      <alignment horizontal="center" vertical="center"/>
    </xf>
    <xf numFmtId="3" fontId="2" fillId="4" borderId="0" xfId="0" applyNumberFormat="1" applyFont="1" applyFill="1" applyAlignment="1">
      <alignment horizontal="center" vertical="center"/>
    </xf>
    <xf numFmtId="4" fontId="2" fillId="4" borderId="0" xfId="0" applyNumberFormat="1" applyFont="1" applyFill="1" applyAlignment="1">
      <alignment horizontal="center" vertical="center"/>
    </xf>
    <xf numFmtId="0" fontId="1" fillId="5" borderId="0" xfId="0" applyFont="1" applyFill="1" applyAlignment="1">
      <alignment horizontal="center"/>
    </xf>
    <xf numFmtId="0" fontId="1" fillId="5" borderId="1" xfId="0" applyFont="1" applyFill="1" applyBorder="1"/>
    <xf numFmtId="0" fontId="1" fillId="5" borderId="1" xfId="0" applyFont="1" applyFill="1" applyBorder="1" applyAlignment="1">
      <alignment vertical="center"/>
    </xf>
    <xf numFmtId="3" fontId="1" fillId="0" borderId="0" xfId="0" applyNumberFormat="1" applyFont="1" applyAlignment="1">
      <alignment horizontal="center" vertical="center" wrapText="1"/>
    </xf>
    <xf numFmtId="0" fontId="1" fillId="0" borderId="0" xfId="0" applyFont="1" applyAlignment="1">
      <alignment horizontal="center" vertical="center" wrapText="1"/>
    </xf>
    <xf numFmtId="0" fontId="0" fillId="6" borderId="0" xfId="0" applyFill="1"/>
    <xf numFmtId="0" fontId="6" fillId="0" borderId="0" xfId="0" applyFont="1"/>
    <xf numFmtId="0" fontId="7" fillId="0" borderId="0" xfId="0" applyFont="1"/>
    <xf numFmtId="0" fontId="7" fillId="0" borderId="2" xfId="0" applyFont="1" applyBorder="1"/>
    <xf numFmtId="0" fontId="6" fillId="0" borderId="2" xfId="0" applyFont="1" applyBorder="1"/>
    <xf numFmtId="0" fontId="8" fillId="0" borderId="0" xfId="0" applyFont="1"/>
    <xf numFmtId="164" fontId="6" fillId="0" borderId="0" xfId="0" applyNumberFormat="1" applyFont="1"/>
    <xf numFmtId="0" fontId="6" fillId="0" borderId="3" xfId="0" applyFont="1" applyBorder="1"/>
    <xf numFmtId="3" fontId="6" fillId="0" borderId="4" xfId="0" applyNumberFormat="1" applyFont="1" applyBorder="1"/>
    <xf numFmtId="0" fontId="6" fillId="0" borderId="5" xfId="0" applyFont="1" applyBorder="1"/>
    <xf numFmtId="3" fontId="6" fillId="0" borderId="6" xfId="0" applyNumberFormat="1" applyFont="1" applyBorder="1"/>
    <xf numFmtId="164" fontId="6" fillId="0" borderId="4" xfId="0" applyNumberFormat="1" applyFont="1" applyBorder="1"/>
    <xf numFmtId="164" fontId="6" fillId="0" borderId="7" xfId="0" applyNumberFormat="1" applyFont="1" applyBorder="1"/>
    <xf numFmtId="164" fontId="6" fillId="0" borderId="6" xfId="0" applyNumberFormat="1" applyFont="1" applyBorder="1"/>
    <xf numFmtId="9" fontId="6" fillId="0" borderId="8" xfId="0" applyNumberFormat="1" applyFont="1" applyBorder="1"/>
    <xf numFmtId="9" fontId="6" fillId="0" borderId="9" xfId="0" applyNumberFormat="1" applyFont="1" applyBorder="1"/>
    <xf numFmtId="3" fontId="6" fillId="0" borderId="0" xfId="0" applyNumberFormat="1" applyFont="1"/>
    <xf numFmtId="0" fontId="6" fillId="0" borderId="10" xfId="0" applyFont="1" applyBorder="1"/>
    <xf numFmtId="164" fontId="6" fillId="0" borderId="11" xfId="0" applyNumberFormat="1" applyFont="1" applyBorder="1"/>
    <xf numFmtId="0" fontId="6" fillId="0" borderId="12" xfId="0" applyFont="1" applyBorder="1"/>
    <xf numFmtId="164" fontId="6" fillId="0" borderId="13" xfId="0" applyNumberFormat="1" applyFont="1" applyBorder="1"/>
    <xf numFmtId="0" fontId="6" fillId="0" borderId="14" xfId="0" applyFont="1" applyBorder="1"/>
    <xf numFmtId="164" fontId="6" fillId="0" borderId="15" xfId="0" applyNumberFormat="1" applyFont="1" applyBorder="1"/>
    <xf numFmtId="0" fontId="6" fillId="0" borderId="0" xfId="0" applyFont="1" applyAlignment="1">
      <alignment horizontal="center"/>
    </xf>
    <xf numFmtId="0" fontId="6" fillId="0" borderId="17" xfId="0" applyFont="1" applyBorder="1" applyAlignment="1">
      <alignment horizontal="center"/>
    </xf>
    <xf numFmtId="0" fontId="9" fillId="7" borderId="16" xfId="0" applyFont="1" applyFill="1" applyBorder="1" applyAlignment="1">
      <alignment horizontal="center"/>
    </xf>
    <xf numFmtId="0" fontId="10" fillId="6" borderId="0" xfId="0" applyFont="1" applyFill="1"/>
    <xf numFmtId="164" fontId="0" fillId="0" borderId="0" xfId="0" applyNumberFormat="1"/>
    <xf numFmtId="164" fontId="6" fillId="0" borderId="0" xfId="0" applyNumberFormat="1" applyFont="1" applyAlignment="1">
      <alignment horizontal="center"/>
    </xf>
    <xf numFmtId="0" fontId="6" fillId="0" borderId="18" xfId="0" applyFont="1" applyBorder="1"/>
    <xf numFmtId="164" fontId="6" fillId="0" borderId="19" xfId="0" applyNumberFormat="1" applyFont="1" applyBorder="1"/>
    <xf numFmtId="0" fontId="9" fillId="7" borderId="20" xfId="0" applyFont="1" applyFill="1" applyBorder="1"/>
    <xf numFmtId="0" fontId="9" fillId="7" borderId="11" xfId="0" applyFont="1" applyFill="1" applyBorder="1"/>
    <xf numFmtId="164" fontId="6" fillId="0" borderId="13" xfId="0" applyNumberFormat="1" applyFont="1" applyBorder="1" applyAlignment="1">
      <alignment horizontal="center"/>
    </xf>
    <xf numFmtId="164" fontId="6" fillId="0" borderId="17" xfId="0" applyNumberFormat="1" applyFont="1" applyBorder="1" applyAlignment="1">
      <alignment horizontal="center"/>
    </xf>
    <xf numFmtId="0" fontId="6" fillId="0" borderId="21" xfId="0" applyFont="1" applyBorder="1" applyAlignment="1">
      <alignment horizontal="center"/>
    </xf>
    <xf numFmtId="164" fontId="6" fillId="0" borderId="22" xfId="0" applyNumberFormat="1" applyFont="1" applyBorder="1" applyAlignment="1">
      <alignment horizontal="center"/>
    </xf>
    <xf numFmtId="1" fontId="12" fillId="0" borderId="19" xfId="0" applyNumberFormat="1" applyFont="1" applyBorder="1" applyAlignment="1">
      <alignment horizontal="center"/>
    </xf>
    <xf numFmtId="0" fontId="13" fillId="7" borderId="0" xfId="0" applyFont="1" applyFill="1"/>
    <xf numFmtId="0" fontId="14" fillId="0" borderId="0" xfId="0" applyFont="1" applyAlignment="1">
      <alignment horizontal="left"/>
    </xf>
    <xf numFmtId="164" fontId="14" fillId="0" borderId="0" xfId="0" applyNumberFormat="1" applyFont="1"/>
    <xf numFmtId="0" fontId="13" fillId="7" borderId="0" xfId="0" applyFont="1" applyFill="1" applyAlignment="1">
      <alignment horizontal="left"/>
    </xf>
    <xf numFmtId="0" fontId="6" fillId="0" borderId="19" xfId="0" applyFont="1" applyBorder="1"/>
    <xf numFmtId="0" fontId="5" fillId="0" borderId="0" xfId="0" applyFont="1"/>
    <xf numFmtId="0" fontId="3" fillId="3" borderId="0" xfId="0" applyFont="1" applyFill="1" applyAlignment="1">
      <alignment horizontal="left" vertical="center" wrapText="1"/>
    </xf>
    <xf numFmtId="0" fontId="14" fillId="0" borderId="0" xfId="0" applyFont="1"/>
    <xf numFmtId="164" fontId="13" fillId="7" borderId="0" xfId="0" applyNumberFormat="1" applyFont="1" applyFill="1"/>
    <xf numFmtId="164" fontId="13" fillId="7" borderId="0" xfId="0" applyNumberFormat="1" applyFont="1" applyFill="1" applyAlignment="1">
      <alignment horizontal="center"/>
    </xf>
    <xf numFmtId="14" fontId="0" fillId="0" borderId="0" xfId="0" applyNumberFormat="1"/>
    <xf numFmtId="0" fontId="14" fillId="0" borderId="23" xfId="0" applyFont="1" applyBorder="1"/>
    <xf numFmtId="0" fontId="14" fillId="0" borderId="24" xfId="0" applyFont="1" applyBorder="1"/>
    <xf numFmtId="0" fontId="14" fillId="0" borderId="25" xfId="0" applyFont="1" applyBorder="1"/>
    <xf numFmtId="0" fontId="14" fillId="0" borderId="26" xfId="0" applyFont="1" applyBorder="1"/>
    <xf numFmtId="0" fontId="14" fillId="0" borderId="27" xfId="0" applyFont="1" applyBorder="1"/>
    <xf numFmtId="0" fontId="14" fillId="0" borderId="28" xfId="0" applyFont="1" applyBorder="1"/>
    <xf numFmtId="0" fontId="14" fillId="0" borderId="29" xfId="0" applyFont="1" applyBorder="1"/>
    <xf numFmtId="0" fontId="14" fillId="0" borderId="30" xfId="0" applyFont="1" applyBorder="1"/>
    <xf numFmtId="0" fontId="14" fillId="0" borderId="31" xfId="0" applyFont="1" applyBorder="1"/>
    <xf numFmtId="0" fontId="0" fillId="0" borderId="0" xfId="0" applyAlignment="1">
      <alignment horizontal="left"/>
    </xf>
    <xf numFmtId="21" fontId="0" fillId="0" borderId="0" xfId="0" applyNumberFormat="1"/>
    <xf numFmtId="0" fontId="0" fillId="0" borderId="0" xfId="0" applyAlignment="1">
      <alignment wrapText="1"/>
    </xf>
  </cellXfs>
  <cellStyles count="1">
    <cellStyle name="Normal" xfId="0" builtinId="0"/>
  </cellStyles>
  <dxfs count="531">
    <dxf>
      <font>
        <color theme="0"/>
      </font>
      <fill>
        <patternFill patternType="solid">
          <fgColor indexed="64"/>
          <bgColor rgb="FFA13F9E"/>
        </patternFill>
      </fill>
    </dxf>
    <dxf>
      <alignment horizontal="center"/>
    </dxf>
    <dxf>
      <font>
        <color theme="0"/>
      </font>
      <fill>
        <patternFill patternType="solid">
          <fgColor indexed="64"/>
          <bgColor rgb="FFA13F9E"/>
        </patternFill>
      </fill>
    </dxf>
    <dxf>
      <font>
        <color theme="0"/>
      </font>
    </dxf>
    <dxf>
      <font>
        <color theme="0"/>
      </font>
    </dxf>
    <dxf>
      <font>
        <sz val="10"/>
      </font>
    </dxf>
    <dxf>
      <font>
        <sz val="10"/>
      </font>
    </dxf>
    <dxf>
      <font>
        <sz val="10"/>
      </font>
    </dxf>
    <dxf>
      <font>
        <sz val="10"/>
      </font>
    </dxf>
    <dxf>
      <fill>
        <patternFill>
          <fgColor indexed="64"/>
          <bgColor rgb="FFA13F9E"/>
        </patternFill>
      </fill>
    </dxf>
    <dxf>
      <fill>
        <patternFill>
          <fgColor indexed="64"/>
          <bgColor rgb="FFA13F9E"/>
        </patternFill>
      </fill>
    </dxf>
    <dxf>
      <fill>
        <patternFill patternType="solid">
          <bgColor rgb="FFA13F9E"/>
        </patternFill>
      </fill>
    </dxf>
    <dxf>
      <fill>
        <patternFill patternType="solid">
          <bgColor rgb="FFA13F9E"/>
        </patternFill>
      </fill>
    </dxf>
    <dxf>
      <font>
        <sz val="9"/>
        <color theme="0"/>
      </font>
      <fill>
        <patternFill patternType="solid">
          <fgColor indexed="64"/>
          <bgColor rgb="FF4958CE"/>
        </patternFill>
      </fill>
    </dxf>
    <dxf>
      <font>
        <sz val="9"/>
      </font>
    </dxf>
    <dxf>
      <font>
        <name val="Arial"/>
        <scheme val="none"/>
      </font>
    </dxf>
    <dxf>
      <font>
        <name val="Arial"/>
        <scheme val="none"/>
      </font>
    </dxf>
    <dxf>
      <font>
        <name val="Arial"/>
        <scheme val="none"/>
      </font>
    </dxf>
    <dxf>
      <font>
        <color theme="0"/>
      </font>
    </dxf>
    <dxf>
      <fill>
        <patternFill patternType="solid">
          <bgColor rgb="FF4958CE"/>
        </patternFill>
      </fill>
    </dxf>
    <dxf>
      <font>
        <color theme="0"/>
      </font>
      <fill>
        <patternFill patternType="solid">
          <fgColor indexed="64"/>
          <bgColor rgb="FFA13F9E"/>
        </patternFill>
      </fill>
    </dxf>
    <dxf>
      <font>
        <color theme="0"/>
      </font>
    </dxf>
    <dxf>
      <font>
        <color theme="0"/>
      </font>
    </dxf>
    <dxf>
      <font>
        <sz val="10"/>
      </font>
    </dxf>
    <dxf>
      <font>
        <sz val="10"/>
      </font>
    </dxf>
    <dxf>
      <font>
        <sz val="10"/>
      </font>
    </dxf>
    <dxf>
      <font>
        <sz val="10"/>
      </font>
    </dxf>
    <dxf>
      <fill>
        <patternFill>
          <fgColor indexed="64"/>
          <bgColor rgb="FFA13F9E"/>
        </patternFill>
      </fill>
    </dxf>
    <dxf>
      <fill>
        <patternFill>
          <fgColor indexed="64"/>
          <bgColor rgb="FFA13F9E"/>
        </patternFill>
      </fill>
    </dxf>
    <dxf>
      <fill>
        <patternFill patternType="solid">
          <bgColor rgb="FFA13F9E"/>
        </patternFill>
      </fill>
    </dxf>
    <dxf>
      <fill>
        <patternFill patternType="solid">
          <bgColor rgb="FFA13F9E"/>
        </patternFill>
      </fill>
    </dxf>
    <dxf>
      <font>
        <sz val="9"/>
        <color theme="0"/>
      </font>
      <fill>
        <patternFill patternType="solid">
          <fgColor indexed="64"/>
          <bgColor rgb="FF4958CE"/>
        </patternFill>
      </fill>
    </dxf>
    <dxf>
      <font>
        <sz val="9"/>
      </font>
    </dxf>
    <dxf>
      <font>
        <name val="Arial"/>
        <scheme val="none"/>
      </font>
    </dxf>
    <dxf>
      <font>
        <name val="Arial"/>
        <scheme val="none"/>
      </font>
    </dxf>
    <dxf>
      <font>
        <name val="Arial"/>
        <scheme val="none"/>
      </font>
    </dxf>
    <dxf>
      <font>
        <color theme="0"/>
      </font>
    </dxf>
    <dxf>
      <fill>
        <patternFill patternType="solid">
          <bgColor rgb="FF4958CE"/>
        </patternFill>
      </fill>
    </dxf>
    <dxf>
      <font>
        <color theme="0"/>
      </font>
      <fill>
        <patternFill patternType="solid">
          <fgColor indexed="64"/>
          <bgColor rgb="FFA13F9E"/>
        </patternFill>
      </fill>
    </dxf>
    <dxf>
      <font>
        <color theme="0"/>
      </font>
      <fill>
        <patternFill patternType="solid">
          <fgColor indexed="64"/>
          <bgColor rgb="FFA13F9E"/>
        </patternFill>
      </fill>
    </dxf>
    <dxf>
      <border>
        <bottom/>
        <horizontal/>
      </border>
    </dxf>
    <dxf>
      <numFmt numFmtId="164" formatCode="[&lt;999950]#,##0.0,&quot;K&quot;;[&lt;999950000]#,##0.0,,&quot;JT&quot;;#,##0.0,,,&quot;M&quot;"/>
    </dxf>
    <dxf>
      <font>
        <color theme="0"/>
      </font>
      <fill>
        <patternFill patternType="solid">
          <fgColor indexed="64"/>
          <bgColor rgb="FFA13F9E"/>
        </patternFill>
      </fill>
    </dxf>
    <dxf>
      <alignment horizontal="center"/>
    </dxf>
    <dxf>
      <font>
        <color theme="0"/>
      </font>
      <fill>
        <patternFill patternType="solid">
          <fgColor indexed="64"/>
          <bgColor rgb="FFA13F9E"/>
        </patternFill>
      </fill>
    </dxf>
    <dxf>
      <font>
        <color theme="0"/>
      </font>
    </dxf>
    <dxf>
      <font>
        <color theme="0"/>
      </font>
    </dxf>
    <dxf>
      <font>
        <sz val="10"/>
      </font>
    </dxf>
    <dxf>
      <font>
        <sz val="10"/>
      </font>
    </dxf>
    <dxf>
      <font>
        <sz val="10"/>
      </font>
    </dxf>
    <dxf>
      <font>
        <sz val="10"/>
      </font>
    </dxf>
    <dxf>
      <fill>
        <patternFill>
          <fgColor indexed="64"/>
          <bgColor rgb="FFA13F9E"/>
        </patternFill>
      </fill>
    </dxf>
    <dxf>
      <fill>
        <patternFill>
          <fgColor indexed="64"/>
          <bgColor rgb="FFA13F9E"/>
        </patternFill>
      </fill>
    </dxf>
    <dxf>
      <fill>
        <patternFill patternType="solid">
          <bgColor rgb="FFA13F9E"/>
        </patternFill>
      </fill>
    </dxf>
    <dxf>
      <fill>
        <patternFill patternType="solid">
          <bgColor rgb="FFA13F9E"/>
        </patternFill>
      </fill>
    </dxf>
    <dxf>
      <font>
        <sz val="9"/>
        <color theme="0"/>
      </font>
      <fill>
        <patternFill patternType="solid">
          <fgColor indexed="64"/>
          <bgColor rgb="FF4958CE"/>
        </patternFill>
      </fill>
    </dxf>
    <dxf>
      <font>
        <sz val="9"/>
      </font>
    </dxf>
    <dxf>
      <font>
        <name val="Arial"/>
        <scheme val="none"/>
      </font>
    </dxf>
    <dxf>
      <font>
        <name val="Arial"/>
        <scheme val="none"/>
      </font>
    </dxf>
    <dxf>
      <font>
        <name val="Arial"/>
        <scheme val="none"/>
      </font>
    </dxf>
    <dxf>
      <font>
        <color theme="0"/>
      </font>
    </dxf>
    <dxf>
      <fill>
        <patternFill patternType="solid">
          <bgColor rgb="FF4958CE"/>
        </patternFill>
      </fill>
    </dxf>
    <dxf>
      <font>
        <color theme="0"/>
      </font>
      <fill>
        <patternFill patternType="solid">
          <fgColor indexed="64"/>
          <bgColor rgb="FFA13F9E"/>
        </patternFill>
      </fill>
    </dxf>
    <dxf>
      <font>
        <color theme="0"/>
      </font>
    </dxf>
    <dxf>
      <font>
        <color theme="0"/>
      </font>
    </dxf>
    <dxf>
      <font>
        <sz val="10"/>
      </font>
    </dxf>
    <dxf>
      <font>
        <sz val="10"/>
      </font>
    </dxf>
    <dxf>
      <font>
        <sz val="10"/>
      </font>
    </dxf>
    <dxf>
      <font>
        <sz val="10"/>
      </font>
    </dxf>
    <dxf>
      <fill>
        <patternFill>
          <fgColor indexed="64"/>
          <bgColor rgb="FFA13F9E"/>
        </patternFill>
      </fill>
    </dxf>
    <dxf>
      <fill>
        <patternFill>
          <fgColor indexed="64"/>
          <bgColor rgb="FFA13F9E"/>
        </patternFill>
      </fill>
    </dxf>
    <dxf>
      <fill>
        <patternFill patternType="solid">
          <bgColor rgb="FFA13F9E"/>
        </patternFill>
      </fill>
    </dxf>
    <dxf>
      <fill>
        <patternFill patternType="solid">
          <bgColor rgb="FFA13F9E"/>
        </patternFill>
      </fill>
    </dxf>
    <dxf>
      <font>
        <sz val="9"/>
        <color theme="0"/>
      </font>
      <fill>
        <patternFill patternType="solid">
          <fgColor indexed="64"/>
          <bgColor rgb="FF4958CE"/>
        </patternFill>
      </fill>
    </dxf>
    <dxf>
      <font>
        <sz val="9"/>
      </font>
    </dxf>
    <dxf>
      <font>
        <name val="Arial"/>
        <scheme val="none"/>
      </font>
    </dxf>
    <dxf>
      <font>
        <name val="Arial"/>
        <scheme val="none"/>
      </font>
    </dxf>
    <dxf>
      <font>
        <name val="Arial"/>
        <scheme val="none"/>
      </font>
    </dxf>
    <dxf>
      <font>
        <color theme="0"/>
      </font>
    </dxf>
    <dxf>
      <fill>
        <patternFill patternType="solid">
          <bgColor rgb="FF4958CE"/>
        </patternFill>
      </fill>
    </dxf>
    <dxf>
      <font>
        <color theme="0"/>
      </font>
    </dxf>
    <dxf>
      <font>
        <color theme="0"/>
      </font>
    </dxf>
    <dxf>
      <font>
        <sz val="10"/>
      </font>
    </dxf>
    <dxf>
      <font>
        <sz val="10"/>
      </font>
    </dxf>
    <dxf>
      <font>
        <sz val="10"/>
      </font>
    </dxf>
    <dxf>
      <font>
        <sz val="10"/>
      </font>
    </dxf>
    <dxf>
      <fill>
        <patternFill>
          <fgColor indexed="64"/>
          <bgColor rgb="FFA13F9E"/>
        </patternFill>
      </fill>
    </dxf>
    <dxf>
      <fill>
        <patternFill>
          <fgColor indexed="64"/>
          <bgColor rgb="FFA13F9E"/>
        </patternFill>
      </fill>
    </dxf>
    <dxf>
      <fill>
        <patternFill patternType="solid">
          <bgColor rgb="FFA13F9E"/>
        </patternFill>
      </fill>
    </dxf>
    <dxf>
      <fill>
        <patternFill patternType="solid">
          <bgColor rgb="FFA13F9E"/>
        </patternFill>
      </fill>
    </dxf>
    <dxf>
      <font>
        <sz val="9"/>
        <color theme="0"/>
      </font>
      <fill>
        <patternFill patternType="solid">
          <fgColor indexed="64"/>
          <bgColor rgb="FF4958CE"/>
        </patternFill>
      </fill>
    </dxf>
    <dxf>
      <font>
        <sz val="9"/>
      </font>
    </dxf>
    <dxf>
      <font>
        <name val="Arial"/>
        <scheme val="none"/>
      </font>
    </dxf>
    <dxf>
      <font>
        <name val="Arial"/>
        <scheme val="none"/>
      </font>
    </dxf>
    <dxf>
      <font>
        <name val="Arial"/>
        <scheme val="none"/>
      </font>
    </dxf>
    <dxf>
      <font>
        <color theme="0"/>
      </font>
    </dxf>
    <dxf>
      <fill>
        <patternFill patternType="solid">
          <bgColor rgb="FF4958CE"/>
        </patternFill>
      </fill>
    </dxf>
    <dxf>
      <font>
        <color theme="0"/>
      </font>
      <fill>
        <patternFill patternType="solid">
          <fgColor indexed="64"/>
          <bgColor rgb="FFA13F9E"/>
        </patternFill>
      </fill>
    </dxf>
    <dxf>
      <alignment horizontal="center"/>
    </dxf>
    <dxf>
      <font>
        <color theme="0"/>
      </font>
      <fill>
        <patternFill patternType="solid">
          <fgColor indexed="64"/>
          <bgColor rgb="FFA13F9E"/>
        </patternFill>
      </fill>
    </dxf>
    <dxf>
      <font>
        <color theme="0"/>
      </font>
      <fill>
        <patternFill patternType="solid">
          <fgColor indexed="64"/>
          <bgColor rgb="FFA13F9E"/>
        </patternFill>
      </fill>
    </dxf>
    <dxf>
      <font>
        <color theme="0"/>
      </font>
    </dxf>
    <dxf>
      <font>
        <color theme="0"/>
      </font>
    </dxf>
    <dxf>
      <font>
        <sz val="10"/>
      </font>
    </dxf>
    <dxf>
      <font>
        <sz val="10"/>
      </font>
    </dxf>
    <dxf>
      <font>
        <sz val="10"/>
      </font>
    </dxf>
    <dxf>
      <font>
        <sz val="10"/>
      </font>
    </dxf>
    <dxf>
      <fill>
        <patternFill>
          <fgColor indexed="64"/>
          <bgColor rgb="FFA13F9E"/>
        </patternFill>
      </fill>
    </dxf>
    <dxf>
      <fill>
        <patternFill>
          <fgColor indexed="64"/>
          <bgColor rgb="FFA13F9E"/>
        </patternFill>
      </fill>
    </dxf>
    <dxf>
      <fill>
        <patternFill patternType="solid">
          <bgColor rgb="FFA13F9E"/>
        </patternFill>
      </fill>
    </dxf>
    <dxf>
      <fill>
        <patternFill patternType="solid">
          <bgColor rgb="FFA13F9E"/>
        </patternFill>
      </fill>
    </dxf>
    <dxf>
      <font>
        <sz val="9"/>
        <color theme="0"/>
      </font>
      <fill>
        <patternFill patternType="solid">
          <fgColor indexed="64"/>
          <bgColor rgb="FF4958CE"/>
        </patternFill>
      </fill>
    </dxf>
    <dxf>
      <font>
        <sz val="9"/>
      </font>
    </dxf>
    <dxf>
      <font>
        <name val="Arial"/>
        <scheme val="none"/>
      </font>
    </dxf>
    <dxf>
      <font>
        <name val="Arial"/>
        <scheme val="none"/>
      </font>
    </dxf>
    <dxf>
      <font>
        <name val="Arial"/>
        <scheme val="none"/>
      </font>
    </dxf>
    <dxf>
      <font>
        <color theme="0"/>
      </font>
    </dxf>
    <dxf>
      <fill>
        <patternFill patternType="solid">
          <bgColor rgb="FF4958CE"/>
        </patternFill>
      </fill>
    </dxf>
    <dxf>
      <font>
        <color theme="0"/>
      </font>
      <fill>
        <patternFill patternType="solid">
          <fgColor indexed="64"/>
          <bgColor rgb="FFA13F9E"/>
        </patternFill>
      </fill>
    </dxf>
    <dxf>
      <numFmt numFmtId="164" formatCode="[&lt;999950]#,##0.0,&quot;K&quot;;[&lt;999950000]#,##0.0,,&quot;JT&quot;;#,##0.0,,,&quot;M&quot;"/>
    </dxf>
    <dxf>
      <font>
        <color theme="0"/>
      </font>
      <fill>
        <patternFill patternType="solid">
          <fgColor indexed="64"/>
          <bgColor rgb="FFA13F9E"/>
        </patternFill>
      </fill>
    </dxf>
    <dxf>
      <font>
        <color theme="0"/>
      </font>
    </dxf>
    <dxf>
      <font>
        <color theme="0"/>
      </font>
    </dxf>
    <dxf>
      <font>
        <sz val="10"/>
      </font>
    </dxf>
    <dxf>
      <font>
        <sz val="10"/>
      </font>
    </dxf>
    <dxf>
      <font>
        <sz val="10"/>
      </font>
    </dxf>
    <dxf>
      <font>
        <sz val="10"/>
      </font>
    </dxf>
    <dxf>
      <fill>
        <patternFill>
          <fgColor indexed="64"/>
          <bgColor rgb="FFA13F9E"/>
        </patternFill>
      </fill>
    </dxf>
    <dxf>
      <fill>
        <patternFill>
          <fgColor indexed="64"/>
          <bgColor rgb="FFA13F9E"/>
        </patternFill>
      </fill>
    </dxf>
    <dxf>
      <fill>
        <patternFill patternType="solid">
          <bgColor rgb="FFA13F9E"/>
        </patternFill>
      </fill>
    </dxf>
    <dxf>
      <fill>
        <patternFill patternType="solid">
          <bgColor rgb="FFA13F9E"/>
        </patternFill>
      </fill>
    </dxf>
    <dxf>
      <font>
        <sz val="9"/>
        <color theme="0"/>
      </font>
      <fill>
        <patternFill patternType="solid">
          <fgColor indexed="64"/>
          <bgColor rgb="FF4958CE"/>
        </patternFill>
      </fill>
    </dxf>
    <dxf>
      <font>
        <sz val="9"/>
      </font>
    </dxf>
    <dxf>
      <font>
        <name val="Arial"/>
        <scheme val="none"/>
      </font>
    </dxf>
    <dxf>
      <font>
        <name val="Arial"/>
        <scheme val="none"/>
      </font>
    </dxf>
    <dxf>
      <font>
        <name val="Arial"/>
        <scheme val="none"/>
      </font>
    </dxf>
    <dxf>
      <font>
        <color theme="0"/>
      </font>
    </dxf>
    <dxf>
      <fill>
        <patternFill patternType="solid">
          <bgColor rgb="FF4958CE"/>
        </patternFill>
      </fill>
    </dxf>
    <dxf>
      <font>
        <color theme="0"/>
      </font>
      <fill>
        <patternFill patternType="solid">
          <fgColor indexed="64"/>
          <bgColor rgb="FFA13F9E"/>
        </patternFill>
      </fill>
    </dxf>
    <dxf>
      <numFmt numFmtId="164" formatCode="[&lt;999950]#,##0.0,&quot;K&quot;;[&lt;999950000]#,##0.0,,&quot;JT&quot;;#,##0.0,,,&quot;M&quot;"/>
    </dxf>
    <dxf>
      <font>
        <color theme="0"/>
      </font>
      <fill>
        <patternFill patternType="solid">
          <fgColor indexed="64"/>
          <bgColor rgb="FFA13F9E"/>
        </patternFill>
      </fill>
    </dxf>
    <dxf>
      <font>
        <color theme="0"/>
      </font>
    </dxf>
    <dxf>
      <font>
        <color theme="0"/>
      </font>
    </dxf>
    <dxf>
      <font>
        <sz val="10"/>
      </font>
    </dxf>
    <dxf>
      <font>
        <sz val="10"/>
      </font>
    </dxf>
    <dxf>
      <font>
        <sz val="10"/>
      </font>
    </dxf>
    <dxf>
      <font>
        <sz val="10"/>
      </font>
    </dxf>
    <dxf>
      <fill>
        <patternFill>
          <fgColor indexed="64"/>
          <bgColor rgb="FFA13F9E"/>
        </patternFill>
      </fill>
    </dxf>
    <dxf>
      <fill>
        <patternFill>
          <fgColor indexed="64"/>
          <bgColor rgb="FFA13F9E"/>
        </patternFill>
      </fill>
    </dxf>
    <dxf>
      <fill>
        <patternFill patternType="solid">
          <bgColor rgb="FFA13F9E"/>
        </patternFill>
      </fill>
    </dxf>
    <dxf>
      <fill>
        <patternFill patternType="solid">
          <bgColor rgb="FFA13F9E"/>
        </patternFill>
      </fill>
    </dxf>
    <dxf>
      <font>
        <sz val="9"/>
        <color theme="0"/>
      </font>
      <fill>
        <patternFill patternType="solid">
          <fgColor indexed="64"/>
          <bgColor rgb="FF4958CE"/>
        </patternFill>
      </fill>
    </dxf>
    <dxf>
      <font>
        <sz val="9"/>
      </font>
    </dxf>
    <dxf>
      <font>
        <name val="Arial"/>
        <scheme val="none"/>
      </font>
    </dxf>
    <dxf>
      <font>
        <name val="Arial"/>
        <scheme val="none"/>
      </font>
    </dxf>
    <dxf>
      <font>
        <name val="Arial"/>
        <scheme val="none"/>
      </font>
    </dxf>
    <dxf>
      <font>
        <color theme="0"/>
      </font>
    </dxf>
    <dxf>
      <fill>
        <patternFill patternType="solid">
          <bgColor rgb="FF4958CE"/>
        </patternFill>
      </fill>
    </dxf>
    <dxf>
      <font>
        <color theme="0"/>
      </font>
      <fill>
        <patternFill patternType="solid">
          <fgColor indexed="64"/>
          <bgColor rgb="FFA13F9E"/>
        </patternFill>
      </fill>
    </dxf>
    <dxf>
      <numFmt numFmtId="164" formatCode="[&lt;999950]#,##0.0,&quot;K&quot;;[&lt;999950000]#,##0.0,,&quot;JT&quot;;#,##0.0,,,&quot;M&quot;"/>
    </dxf>
    <dxf>
      <font>
        <color theme="0"/>
      </font>
      <fill>
        <patternFill patternType="solid">
          <fgColor indexed="64"/>
          <bgColor rgb="FFA13F9E"/>
        </patternFill>
      </fill>
    </dxf>
    <dxf>
      <font>
        <color theme="0"/>
      </font>
    </dxf>
    <dxf>
      <font>
        <color theme="0"/>
      </font>
    </dxf>
    <dxf>
      <font>
        <sz val="10"/>
      </font>
    </dxf>
    <dxf>
      <font>
        <sz val="10"/>
      </font>
    </dxf>
    <dxf>
      <font>
        <sz val="10"/>
      </font>
    </dxf>
    <dxf>
      <font>
        <sz val="10"/>
      </font>
    </dxf>
    <dxf>
      <fill>
        <patternFill>
          <fgColor indexed="64"/>
          <bgColor rgb="FFA13F9E"/>
        </patternFill>
      </fill>
    </dxf>
    <dxf>
      <fill>
        <patternFill>
          <fgColor indexed="64"/>
          <bgColor rgb="FFA13F9E"/>
        </patternFill>
      </fill>
    </dxf>
    <dxf>
      <fill>
        <patternFill patternType="solid">
          <bgColor rgb="FFA13F9E"/>
        </patternFill>
      </fill>
    </dxf>
    <dxf>
      <fill>
        <patternFill patternType="solid">
          <bgColor rgb="FFA13F9E"/>
        </patternFill>
      </fill>
    </dxf>
    <dxf>
      <font>
        <sz val="9"/>
        <color theme="0"/>
      </font>
      <fill>
        <patternFill patternType="solid">
          <fgColor indexed="64"/>
          <bgColor rgb="FF4958CE"/>
        </patternFill>
      </fill>
    </dxf>
    <dxf>
      <font>
        <sz val="9"/>
      </font>
    </dxf>
    <dxf>
      <font>
        <name val="Arial"/>
        <scheme val="none"/>
      </font>
    </dxf>
    <dxf>
      <font>
        <name val="Arial"/>
        <scheme val="none"/>
      </font>
    </dxf>
    <dxf>
      <font>
        <name val="Arial"/>
        <scheme val="none"/>
      </font>
    </dxf>
    <dxf>
      <font>
        <color theme="0"/>
      </font>
    </dxf>
    <dxf>
      <fill>
        <patternFill patternType="solid">
          <bgColor rgb="FF4958CE"/>
        </patternFill>
      </fill>
    </dxf>
    <dxf>
      <fill>
        <patternFill patternType="none">
          <bgColor auto="1"/>
        </patternFill>
      </fill>
    </dxf>
    <dxf>
      <font>
        <color theme="1"/>
      </font>
    </dxf>
    <dxf>
      <font>
        <color theme="0"/>
      </font>
    </dxf>
    <dxf>
      <font>
        <color theme="0"/>
      </font>
    </dxf>
    <dxf>
      <font>
        <sz val="10"/>
      </font>
    </dxf>
    <dxf>
      <font>
        <sz val="10"/>
      </font>
    </dxf>
    <dxf>
      <font>
        <sz val="10"/>
      </font>
    </dxf>
    <dxf>
      <font>
        <sz val="10"/>
      </font>
    </dxf>
    <dxf>
      <fill>
        <patternFill>
          <fgColor indexed="64"/>
          <bgColor rgb="FFA13F9E"/>
        </patternFill>
      </fill>
    </dxf>
    <dxf>
      <fill>
        <patternFill>
          <fgColor indexed="64"/>
          <bgColor rgb="FFA13F9E"/>
        </patternFill>
      </fill>
    </dxf>
    <dxf>
      <fill>
        <patternFill patternType="solid">
          <bgColor rgb="FFA13F9E"/>
        </patternFill>
      </fill>
    </dxf>
    <dxf>
      <fill>
        <patternFill patternType="solid">
          <bgColor rgb="FFA13F9E"/>
        </patternFill>
      </fill>
    </dxf>
    <dxf>
      <font>
        <sz val="9"/>
        <color theme="0"/>
      </font>
      <fill>
        <patternFill patternType="solid">
          <fgColor indexed="64"/>
          <bgColor rgb="FF4958CE"/>
        </patternFill>
      </fill>
    </dxf>
    <dxf>
      <font>
        <sz val="9"/>
      </font>
    </dxf>
    <dxf>
      <font>
        <name val="Arial"/>
        <scheme val="none"/>
      </font>
    </dxf>
    <dxf>
      <font>
        <name val="Arial"/>
        <scheme val="none"/>
      </font>
    </dxf>
    <dxf>
      <font>
        <name val="Arial"/>
        <scheme val="none"/>
      </font>
    </dxf>
    <dxf>
      <font>
        <color theme="0"/>
      </font>
    </dxf>
    <dxf>
      <fill>
        <patternFill patternType="solid">
          <bgColor rgb="FF4958CE"/>
        </patternFill>
      </fill>
    </dxf>
    <dxf>
      <numFmt numFmtId="164" formatCode="[&lt;999950]#,##0.0,&quot;K&quot;;[&lt;999950000]#,##0.0,,&quot;JT&quot;;#,##0.0,,,&quot;M&quot;"/>
    </dxf>
    <dxf>
      <font>
        <color theme="0"/>
      </font>
      <fill>
        <patternFill patternType="solid">
          <fgColor indexed="64"/>
          <bgColor rgb="FFA13F9E"/>
        </patternFill>
      </fill>
    </dxf>
    <dxf>
      <font>
        <color theme="0"/>
      </font>
      <fill>
        <patternFill patternType="solid">
          <fgColor indexed="64"/>
          <bgColor rgb="FFA13F9E"/>
        </patternFill>
      </fill>
    </dxf>
    <dxf>
      <font>
        <color theme="0"/>
      </font>
      <fill>
        <patternFill patternType="solid">
          <fgColor indexed="64"/>
          <bgColor rgb="FFA13F9E"/>
        </patternFill>
      </fill>
    </dxf>
    <dxf>
      <numFmt numFmtId="164" formatCode="[&lt;999950]#,##0.0,&quot;K&quot;;[&lt;999950000]#,##0.0,,&quot;JT&quot;;#,##0.0,,,&quot;M&quot;"/>
    </dxf>
    <dxf>
      <font>
        <color theme="0"/>
      </font>
      <fill>
        <patternFill patternType="solid">
          <fgColor indexed="64"/>
          <bgColor rgb="FFA13F9E"/>
        </patternFill>
      </fill>
    </dxf>
    <dxf>
      <font>
        <color theme="0"/>
      </font>
    </dxf>
    <dxf>
      <font>
        <color theme="0"/>
      </font>
    </dxf>
    <dxf>
      <font>
        <sz val="10"/>
      </font>
    </dxf>
    <dxf>
      <font>
        <sz val="10"/>
      </font>
    </dxf>
    <dxf>
      <font>
        <sz val="10"/>
      </font>
    </dxf>
    <dxf>
      <font>
        <sz val="10"/>
      </font>
    </dxf>
    <dxf>
      <fill>
        <patternFill>
          <fgColor indexed="64"/>
          <bgColor rgb="FFA13F9E"/>
        </patternFill>
      </fill>
    </dxf>
    <dxf>
      <fill>
        <patternFill>
          <fgColor indexed="64"/>
          <bgColor rgb="FFA13F9E"/>
        </patternFill>
      </fill>
    </dxf>
    <dxf>
      <fill>
        <patternFill patternType="solid">
          <bgColor rgb="FFA13F9E"/>
        </patternFill>
      </fill>
    </dxf>
    <dxf>
      <fill>
        <patternFill patternType="solid">
          <bgColor rgb="FFA13F9E"/>
        </patternFill>
      </fill>
    </dxf>
    <dxf>
      <font>
        <sz val="9"/>
        <color theme="0"/>
      </font>
      <fill>
        <patternFill patternType="solid">
          <fgColor indexed="64"/>
          <bgColor rgb="FF4958CE"/>
        </patternFill>
      </fill>
    </dxf>
    <dxf>
      <font>
        <sz val="9"/>
      </font>
    </dxf>
    <dxf>
      <font>
        <name val="Arial"/>
        <scheme val="none"/>
      </font>
    </dxf>
    <dxf>
      <font>
        <name val="Arial"/>
        <scheme val="none"/>
      </font>
    </dxf>
    <dxf>
      <font>
        <name val="Arial"/>
        <scheme val="none"/>
      </font>
    </dxf>
    <dxf>
      <font>
        <color theme="0"/>
      </font>
    </dxf>
    <dxf>
      <fill>
        <patternFill patternType="solid">
          <bgColor rgb="FF4958CE"/>
        </patternFill>
      </fill>
    </dxf>
    <dxf>
      <font>
        <sz val="10"/>
      </font>
    </dxf>
    <dxf>
      <font>
        <sz val="10"/>
      </font>
    </dxf>
    <dxf>
      <font>
        <sz val="10"/>
      </font>
    </dxf>
    <dxf>
      <fill>
        <patternFill>
          <bgColor rgb="FFA13F9E"/>
        </patternFill>
      </fill>
    </dxf>
    <dxf>
      <font>
        <sz val="9"/>
      </font>
    </dxf>
    <dxf>
      <font>
        <name val="Arial"/>
        <scheme val="none"/>
      </font>
    </dxf>
    <dxf>
      <font>
        <name val="Arial"/>
        <scheme val="none"/>
      </font>
    </dxf>
    <dxf>
      <font>
        <name val="Arial"/>
        <scheme val="none"/>
      </font>
    </dxf>
    <dxf>
      <font>
        <color theme="0"/>
      </font>
    </dxf>
    <dxf>
      <fill>
        <patternFill patternType="solid">
          <bgColor rgb="FF4958CE"/>
        </patternFill>
      </fill>
    </dxf>
    <dxf>
      <fill>
        <patternFill patternType="none">
          <bgColor auto="1"/>
        </patternFill>
      </fill>
    </dxf>
    <dxf>
      <font>
        <color theme="1"/>
      </font>
    </dxf>
    <dxf>
      <font>
        <color theme="0"/>
      </font>
    </dxf>
    <dxf>
      <font>
        <color theme="0"/>
      </font>
    </dxf>
    <dxf>
      <font>
        <sz val="10"/>
      </font>
    </dxf>
    <dxf>
      <font>
        <sz val="10"/>
      </font>
    </dxf>
    <dxf>
      <font>
        <sz val="10"/>
      </font>
    </dxf>
    <dxf>
      <font>
        <sz val="10"/>
      </font>
    </dxf>
    <dxf>
      <fill>
        <patternFill>
          <fgColor indexed="64"/>
          <bgColor rgb="FFA13F9E"/>
        </patternFill>
      </fill>
    </dxf>
    <dxf>
      <fill>
        <patternFill>
          <fgColor indexed="64"/>
          <bgColor rgb="FFA13F9E"/>
        </patternFill>
      </fill>
    </dxf>
    <dxf>
      <fill>
        <patternFill patternType="solid">
          <bgColor rgb="FFA13F9E"/>
        </patternFill>
      </fill>
    </dxf>
    <dxf>
      <fill>
        <patternFill patternType="solid">
          <bgColor rgb="FFA13F9E"/>
        </patternFill>
      </fill>
    </dxf>
    <dxf>
      <font>
        <sz val="9"/>
        <color theme="0"/>
      </font>
      <fill>
        <patternFill patternType="solid">
          <fgColor indexed="64"/>
          <bgColor rgb="FF4958CE"/>
        </patternFill>
      </fill>
    </dxf>
    <dxf>
      <font>
        <sz val="9"/>
      </font>
    </dxf>
    <dxf>
      <font>
        <name val="Arial"/>
        <scheme val="none"/>
      </font>
    </dxf>
    <dxf>
      <font>
        <name val="Arial"/>
        <scheme val="none"/>
      </font>
    </dxf>
    <dxf>
      <font>
        <name val="Arial"/>
        <scheme val="none"/>
      </font>
    </dxf>
    <dxf>
      <font>
        <color theme="0"/>
      </font>
    </dxf>
    <dxf>
      <fill>
        <patternFill patternType="solid">
          <bgColor rgb="FF4958CE"/>
        </patternFill>
      </fill>
    </dxf>
    <dxf>
      <numFmt numFmtId="164" formatCode="[&lt;999950]#,##0.0,&quot;K&quot;;[&lt;999950000]#,##0.0,,&quot;JT&quot;;#,##0.0,,,&quot;M&quot;"/>
    </dxf>
    <dxf>
      <numFmt numFmtId="3" formatCode="#,##0"/>
    </dxf>
    <dxf>
      <alignment horizontal="center"/>
    </dxf>
    <dxf>
      <numFmt numFmtId="164" formatCode="[&lt;999950]#,##0.0,&quot;K&quot;;[&lt;999950000]#,##0.0,,&quot;JT&quot;;#,##0.0,,,&quot;M&quot;"/>
    </dxf>
    <dxf>
      <font>
        <color theme="0"/>
      </font>
      <fill>
        <patternFill patternType="solid">
          <fgColor indexed="64"/>
          <bgColor rgb="FFA13F9E"/>
        </patternFill>
      </fill>
    </dxf>
    <dxf>
      <font>
        <color theme="0"/>
      </font>
      <fill>
        <patternFill patternType="solid">
          <fgColor indexed="64"/>
          <bgColor rgb="FFA13F9E"/>
        </patternFill>
      </fill>
    </dxf>
    <dxf>
      <numFmt numFmtId="164" formatCode="[&lt;999950]#,##0.0,&quot;K&quot;;[&lt;999950000]#,##0.0,,&quot;JT&quot;;#,##0.0,,,&quot;M&quot;"/>
      <fill>
        <patternFill patternType="none">
          <fgColor indexed="64"/>
          <bgColor indexed="65"/>
        </patternFill>
      </fill>
    </dxf>
    <dxf>
      <font>
        <color theme="0"/>
      </font>
      <fill>
        <patternFill patternType="solid">
          <fgColor indexed="64"/>
          <bgColor rgb="FFA13F9E"/>
        </patternFill>
      </fill>
    </dxf>
    <dxf>
      <font>
        <color theme="0"/>
      </font>
      <fill>
        <patternFill patternType="solid">
          <fgColor indexed="64"/>
          <bgColor rgb="FFA13F9E"/>
        </patternFill>
      </fill>
    </dxf>
    <dxf>
      <font>
        <color theme="0"/>
      </font>
      <fill>
        <patternFill patternType="solid">
          <fgColor indexed="64"/>
          <bgColor rgb="FFA13F9E"/>
        </patternFill>
      </fill>
    </dxf>
    <dxf>
      <font>
        <color theme="0"/>
      </font>
      <fill>
        <patternFill patternType="solid">
          <fgColor indexed="64"/>
          <bgColor rgb="FFA13F9E"/>
        </patternFill>
      </fill>
    </dxf>
    <dxf>
      <font>
        <color theme="0"/>
      </font>
      <fill>
        <patternFill patternType="solid">
          <fgColor indexed="64"/>
          <bgColor rgb="FFA13F9E"/>
        </patternFill>
      </fill>
    </dxf>
    <dxf>
      <font>
        <color theme="0"/>
      </font>
      <fill>
        <patternFill patternType="solid">
          <fgColor indexed="64"/>
          <bgColor rgb="FFA13F9E"/>
        </patternFill>
      </fill>
    </dxf>
    <dxf>
      <font>
        <color theme="0"/>
      </font>
    </dxf>
    <dxf>
      <font>
        <color theme="0"/>
      </font>
    </dxf>
    <dxf>
      <font>
        <sz val="10"/>
      </font>
    </dxf>
    <dxf>
      <font>
        <sz val="10"/>
      </font>
    </dxf>
    <dxf>
      <font>
        <sz val="10"/>
      </font>
    </dxf>
    <dxf>
      <font>
        <sz val="10"/>
      </font>
    </dxf>
    <dxf>
      <fill>
        <patternFill>
          <fgColor indexed="64"/>
          <bgColor rgb="FFA13F9E"/>
        </patternFill>
      </fill>
    </dxf>
    <dxf>
      <fill>
        <patternFill>
          <fgColor indexed="64"/>
          <bgColor rgb="FFA13F9E"/>
        </patternFill>
      </fill>
    </dxf>
    <dxf>
      <fill>
        <patternFill patternType="solid">
          <bgColor rgb="FFA13F9E"/>
        </patternFill>
      </fill>
    </dxf>
    <dxf>
      <fill>
        <patternFill patternType="solid">
          <bgColor rgb="FFA13F9E"/>
        </patternFill>
      </fill>
    </dxf>
    <dxf>
      <font>
        <sz val="9"/>
        <color theme="0"/>
      </font>
      <fill>
        <patternFill patternType="solid">
          <fgColor indexed="64"/>
          <bgColor rgb="FF4958CE"/>
        </patternFill>
      </fill>
    </dxf>
    <dxf>
      <font>
        <sz val="9"/>
      </font>
    </dxf>
    <dxf>
      <font>
        <name val="Arial"/>
        <scheme val="none"/>
      </font>
    </dxf>
    <dxf>
      <font>
        <name val="Arial"/>
        <scheme val="none"/>
      </font>
    </dxf>
    <dxf>
      <font>
        <name val="Arial"/>
        <scheme val="none"/>
      </font>
    </dxf>
    <dxf>
      <font>
        <color theme="0"/>
      </font>
    </dxf>
    <dxf>
      <fill>
        <patternFill patternType="solid">
          <bgColor rgb="FF4958CE"/>
        </patternFill>
      </fill>
    </dxf>
    <dxf>
      <font>
        <color theme="0"/>
      </font>
      <fill>
        <patternFill patternType="solid">
          <fgColor indexed="64"/>
          <bgColor rgb="FFA13F9E"/>
        </patternFill>
      </fill>
    </dxf>
    <dxf>
      <font>
        <color theme="0"/>
      </font>
    </dxf>
    <dxf>
      <font>
        <color theme="0"/>
      </font>
    </dxf>
    <dxf>
      <font>
        <sz val="10"/>
      </font>
    </dxf>
    <dxf>
      <font>
        <sz val="10"/>
      </font>
    </dxf>
    <dxf>
      <font>
        <sz val="10"/>
      </font>
    </dxf>
    <dxf>
      <font>
        <sz val="10"/>
      </font>
    </dxf>
    <dxf>
      <fill>
        <patternFill>
          <fgColor indexed="64"/>
          <bgColor rgb="FFA13F9E"/>
        </patternFill>
      </fill>
    </dxf>
    <dxf>
      <fill>
        <patternFill>
          <fgColor indexed="64"/>
          <bgColor rgb="FFA13F9E"/>
        </patternFill>
      </fill>
    </dxf>
    <dxf>
      <fill>
        <patternFill patternType="solid">
          <bgColor rgb="FFA13F9E"/>
        </patternFill>
      </fill>
    </dxf>
    <dxf>
      <fill>
        <patternFill patternType="solid">
          <bgColor rgb="FFA13F9E"/>
        </patternFill>
      </fill>
    </dxf>
    <dxf>
      <font>
        <sz val="9"/>
        <color theme="0"/>
      </font>
      <fill>
        <patternFill patternType="solid">
          <fgColor indexed="64"/>
          <bgColor rgb="FF4958CE"/>
        </patternFill>
      </fill>
    </dxf>
    <dxf>
      <font>
        <sz val="9"/>
      </font>
    </dxf>
    <dxf>
      <font>
        <name val="Arial"/>
        <scheme val="none"/>
      </font>
    </dxf>
    <dxf>
      <font>
        <name val="Arial"/>
        <scheme val="none"/>
      </font>
    </dxf>
    <dxf>
      <font>
        <name val="Arial"/>
        <scheme val="none"/>
      </font>
    </dxf>
    <dxf>
      <font>
        <color theme="0"/>
      </font>
    </dxf>
    <dxf>
      <fill>
        <patternFill patternType="solid">
          <bgColor rgb="FF4958CE"/>
        </patternFill>
      </fill>
    </dxf>
    <dxf>
      <font>
        <color theme="0"/>
      </font>
      <fill>
        <patternFill patternType="solid">
          <fgColor indexed="64"/>
          <bgColor rgb="FFA13F9E"/>
        </patternFill>
      </fill>
    </dxf>
    <dxf>
      <font>
        <color theme="0"/>
      </font>
      <fill>
        <patternFill patternType="solid">
          <fgColor indexed="64"/>
          <bgColor rgb="FFA13F9E"/>
        </patternFill>
      </fill>
    </dxf>
    <dxf>
      <numFmt numFmtId="164" formatCode="[&lt;999950]#,##0.0,&quot;K&quot;;[&lt;999950000]#,##0.0,,&quot;JT&quot;;#,##0.0,,,&quot;M&quot;"/>
    </dxf>
    <dxf>
      <font>
        <color theme="0"/>
      </font>
      <fill>
        <patternFill patternType="solid">
          <fgColor indexed="64"/>
          <bgColor rgb="FFA13F9E"/>
        </patternFill>
      </fill>
    </dxf>
    <dxf>
      <font>
        <color theme="0"/>
      </font>
    </dxf>
    <dxf>
      <font>
        <color theme="0"/>
      </font>
    </dxf>
    <dxf>
      <font>
        <sz val="10"/>
      </font>
    </dxf>
    <dxf>
      <font>
        <sz val="10"/>
      </font>
    </dxf>
    <dxf>
      <font>
        <sz val="10"/>
      </font>
    </dxf>
    <dxf>
      <font>
        <sz val="10"/>
      </font>
    </dxf>
    <dxf>
      <fill>
        <patternFill>
          <fgColor indexed="64"/>
          <bgColor rgb="FFA13F9E"/>
        </patternFill>
      </fill>
    </dxf>
    <dxf>
      <fill>
        <patternFill>
          <fgColor indexed="64"/>
          <bgColor rgb="FFA13F9E"/>
        </patternFill>
      </fill>
    </dxf>
    <dxf>
      <fill>
        <patternFill patternType="solid">
          <bgColor rgb="FFA13F9E"/>
        </patternFill>
      </fill>
    </dxf>
    <dxf>
      <fill>
        <patternFill patternType="solid">
          <bgColor rgb="FFA13F9E"/>
        </patternFill>
      </fill>
    </dxf>
    <dxf>
      <font>
        <sz val="9"/>
        <color theme="0"/>
      </font>
      <fill>
        <patternFill patternType="solid">
          <fgColor indexed="64"/>
          <bgColor rgb="FF4958CE"/>
        </patternFill>
      </fill>
    </dxf>
    <dxf>
      <font>
        <sz val="9"/>
      </font>
    </dxf>
    <dxf>
      <font>
        <name val="Arial"/>
        <scheme val="none"/>
      </font>
    </dxf>
    <dxf>
      <font>
        <name val="Arial"/>
        <scheme val="none"/>
      </font>
    </dxf>
    <dxf>
      <font>
        <name val="Arial"/>
        <scheme val="none"/>
      </font>
    </dxf>
    <dxf>
      <font>
        <color theme="0"/>
      </font>
    </dxf>
    <dxf>
      <fill>
        <patternFill patternType="solid">
          <bgColor rgb="FF4958CE"/>
        </patternFill>
      </fill>
    </dxf>
    <dxf>
      <font>
        <sz val="10"/>
      </font>
    </dxf>
    <dxf>
      <font>
        <sz val="10"/>
      </font>
    </dxf>
    <dxf>
      <font>
        <sz val="10"/>
      </font>
    </dxf>
    <dxf>
      <font>
        <sz val="10"/>
      </font>
    </dxf>
    <dxf>
      <font>
        <sz val="10"/>
      </font>
    </dxf>
    <dxf>
      <fill>
        <patternFill>
          <fgColor indexed="64"/>
          <bgColor rgb="FFA13F9E"/>
        </patternFill>
      </fill>
    </dxf>
    <dxf>
      <fill>
        <patternFill>
          <fgColor indexed="64"/>
          <bgColor rgb="FFA13F9E"/>
        </patternFill>
      </fill>
    </dxf>
    <dxf>
      <fill>
        <patternFill patternType="solid">
          <bgColor rgb="FFA13F9E"/>
        </patternFill>
      </fill>
    </dxf>
    <dxf>
      <fill>
        <patternFill patternType="solid">
          <bgColor rgb="FFA13F9E"/>
        </patternFill>
      </fill>
    </dxf>
    <dxf>
      <font>
        <sz val="9"/>
        <color theme="0"/>
      </font>
      <fill>
        <patternFill patternType="solid">
          <fgColor indexed="64"/>
          <bgColor rgb="FF4958CE"/>
        </patternFill>
      </fill>
    </dxf>
    <dxf>
      <font>
        <sz val="9"/>
      </font>
    </dxf>
    <dxf>
      <font>
        <name val="Arial"/>
        <scheme val="none"/>
      </font>
    </dxf>
    <dxf>
      <font>
        <name val="Arial"/>
        <scheme val="none"/>
      </font>
    </dxf>
    <dxf>
      <font>
        <name val="Arial"/>
        <scheme val="none"/>
      </font>
    </dxf>
    <dxf>
      <font>
        <color theme="0"/>
      </font>
    </dxf>
    <dxf>
      <fill>
        <patternFill patternType="solid">
          <bgColor rgb="FF4958CE"/>
        </patternFill>
      </fill>
    </dxf>
    <dxf>
      <font>
        <color theme="0"/>
      </font>
    </dxf>
    <dxf>
      <font>
        <color theme="0"/>
      </font>
    </dxf>
    <dxf>
      <font>
        <sz val="10"/>
      </font>
    </dxf>
    <dxf>
      <font>
        <sz val="10"/>
      </font>
    </dxf>
    <dxf>
      <font>
        <sz val="10"/>
      </font>
    </dxf>
    <dxf>
      <font>
        <sz val="10"/>
      </font>
    </dxf>
    <dxf>
      <fill>
        <patternFill>
          <fgColor indexed="64"/>
          <bgColor rgb="FFA13F9E"/>
        </patternFill>
      </fill>
    </dxf>
    <dxf>
      <fill>
        <patternFill>
          <fgColor indexed="64"/>
          <bgColor rgb="FFA13F9E"/>
        </patternFill>
      </fill>
    </dxf>
    <dxf>
      <fill>
        <patternFill patternType="solid">
          <bgColor rgb="FFA13F9E"/>
        </patternFill>
      </fill>
    </dxf>
    <dxf>
      <fill>
        <patternFill patternType="solid">
          <bgColor rgb="FFA13F9E"/>
        </patternFill>
      </fill>
    </dxf>
    <dxf>
      <font>
        <sz val="9"/>
        <color theme="0"/>
      </font>
      <fill>
        <patternFill patternType="solid">
          <fgColor indexed="64"/>
          <bgColor rgb="FF4958CE"/>
        </patternFill>
      </fill>
    </dxf>
    <dxf>
      <font>
        <sz val="9"/>
      </font>
    </dxf>
    <dxf>
      <font>
        <name val="Arial"/>
        <scheme val="none"/>
      </font>
    </dxf>
    <dxf>
      <font>
        <name val="Arial"/>
        <scheme val="none"/>
      </font>
    </dxf>
    <dxf>
      <font>
        <name val="Arial"/>
        <scheme val="none"/>
      </font>
    </dxf>
    <dxf>
      <font>
        <color theme="0"/>
      </font>
    </dxf>
    <dxf>
      <fill>
        <patternFill patternType="solid">
          <bgColor rgb="FF4958CE"/>
        </patternFill>
      </fill>
    </dxf>
    <dxf>
      <numFmt numFmtId="164" formatCode="[&lt;999950]#,##0.0,&quot;K&quot;;[&lt;999950000]#,##0.0,,&quot;JT&quot;;#,##0.0,,,&quot;M&quot;"/>
    </dxf>
    <dxf>
      <font>
        <color theme="0"/>
      </font>
      <fill>
        <patternFill patternType="solid">
          <fgColor indexed="64"/>
          <bgColor rgb="FFA13F9E"/>
        </patternFill>
      </fill>
    </dxf>
    <dxf>
      <font>
        <color theme="0"/>
      </font>
    </dxf>
    <dxf>
      <font>
        <color theme="0"/>
      </font>
    </dxf>
    <dxf>
      <font>
        <sz val="10"/>
      </font>
    </dxf>
    <dxf>
      <font>
        <sz val="10"/>
      </font>
    </dxf>
    <dxf>
      <font>
        <sz val="10"/>
      </font>
    </dxf>
    <dxf>
      <font>
        <sz val="10"/>
      </font>
    </dxf>
    <dxf>
      <fill>
        <patternFill>
          <fgColor indexed="64"/>
          <bgColor rgb="FFA13F9E"/>
        </patternFill>
      </fill>
    </dxf>
    <dxf>
      <fill>
        <patternFill>
          <fgColor indexed="64"/>
          <bgColor rgb="FFA13F9E"/>
        </patternFill>
      </fill>
    </dxf>
    <dxf>
      <fill>
        <patternFill patternType="solid">
          <bgColor rgb="FFA13F9E"/>
        </patternFill>
      </fill>
    </dxf>
    <dxf>
      <fill>
        <patternFill patternType="solid">
          <bgColor rgb="FFA13F9E"/>
        </patternFill>
      </fill>
    </dxf>
    <dxf>
      <font>
        <sz val="9"/>
        <color theme="0"/>
      </font>
      <fill>
        <patternFill patternType="solid">
          <fgColor indexed="64"/>
          <bgColor rgb="FF4958CE"/>
        </patternFill>
      </fill>
    </dxf>
    <dxf>
      <font>
        <sz val="9"/>
      </font>
    </dxf>
    <dxf>
      <font>
        <name val="Arial"/>
        <scheme val="none"/>
      </font>
    </dxf>
    <dxf>
      <font>
        <name val="Arial"/>
        <scheme val="none"/>
      </font>
    </dxf>
    <dxf>
      <font>
        <name val="Arial"/>
        <scheme val="none"/>
      </font>
    </dxf>
    <dxf>
      <font>
        <color theme="0"/>
      </font>
    </dxf>
    <dxf>
      <fill>
        <patternFill patternType="solid">
          <bgColor rgb="FF4958CE"/>
        </patternFill>
      </fill>
    </dxf>
    <dxf>
      <font>
        <color theme="0"/>
      </font>
      <fill>
        <patternFill patternType="solid">
          <fgColor indexed="64"/>
          <bgColor rgb="FFA13F9E"/>
        </patternFill>
      </fill>
    </dxf>
    <dxf>
      <numFmt numFmtId="164" formatCode="[&lt;999950]#,##0.0,&quot;K&quot;;[&lt;999950000]#,##0.0,,&quot;JT&quot;;#,##0.0,,,&quot;M&quot;"/>
    </dxf>
    <dxf>
      <font>
        <color theme="0"/>
      </font>
      <fill>
        <patternFill patternType="solid">
          <fgColor indexed="64"/>
          <bgColor rgb="FFA13F9E"/>
        </patternFill>
      </fill>
    </dxf>
    <dxf>
      <font>
        <color theme="0"/>
      </font>
    </dxf>
    <dxf>
      <font>
        <color theme="0"/>
      </font>
    </dxf>
    <dxf>
      <font>
        <sz val="10"/>
      </font>
    </dxf>
    <dxf>
      <font>
        <sz val="10"/>
      </font>
    </dxf>
    <dxf>
      <font>
        <sz val="10"/>
      </font>
    </dxf>
    <dxf>
      <font>
        <sz val="10"/>
      </font>
    </dxf>
    <dxf>
      <fill>
        <patternFill>
          <fgColor indexed="64"/>
          <bgColor rgb="FFA13F9E"/>
        </patternFill>
      </fill>
    </dxf>
    <dxf>
      <fill>
        <patternFill>
          <fgColor indexed="64"/>
          <bgColor rgb="FFA13F9E"/>
        </patternFill>
      </fill>
    </dxf>
    <dxf>
      <fill>
        <patternFill patternType="solid">
          <bgColor rgb="FFA13F9E"/>
        </patternFill>
      </fill>
    </dxf>
    <dxf>
      <fill>
        <patternFill patternType="solid">
          <bgColor rgb="FFA13F9E"/>
        </patternFill>
      </fill>
    </dxf>
    <dxf>
      <font>
        <sz val="9"/>
        <color theme="0"/>
      </font>
      <fill>
        <patternFill patternType="solid">
          <fgColor indexed="64"/>
          <bgColor rgb="FF4958CE"/>
        </patternFill>
      </fill>
    </dxf>
    <dxf>
      <font>
        <sz val="9"/>
      </font>
    </dxf>
    <dxf>
      <font>
        <name val="Arial"/>
        <scheme val="none"/>
      </font>
    </dxf>
    <dxf>
      <font>
        <name val="Arial"/>
        <scheme val="none"/>
      </font>
    </dxf>
    <dxf>
      <font>
        <name val="Arial"/>
        <scheme val="none"/>
      </font>
    </dxf>
    <dxf>
      <font>
        <color theme="0"/>
      </font>
    </dxf>
    <dxf>
      <fill>
        <patternFill patternType="solid">
          <bgColor rgb="FF4958CE"/>
        </patternFill>
      </fill>
    </dxf>
    <dxf>
      <font>
        <color theme="0"/>
      </font>
      <fill>
        <patternFill patternType="solid">
          <fgColor indexed="64"/>
          <bgColor rgb="FFA13F9E"/>
        </patternFill>
      </fill>
    </dxf>
    <dxf>
      <font>
        <color theme="0"/>
      </font>
    </dxf>
    <dxf>
      <font>
        <color theme="0"/>
      </font>
    </dxf>
    <dxf>
      <font>
        <sz val="10"/>
      </font>
    </dxf>
    <dxf>
      <font>
        <sz val="10"/>
      </font>
    </dxf>
    <dxf>
      <font>
        <sz val="10"/>
      </font>
    </dxf>
    <dxf>
      <font>
        <sz val="10"/>
      </font>
    </dxf>
    <dxf>
      <fill>
        <patternFill>
          <fgColor indexed="64"/>
          <bgColor rgb="FFA13F9E"/>
        </patternFill>
      </fill>
    </dxf>
    <dxf>
      <fill>
        <patternFill>
          <fgColor indexed="64"/>
          <bgColor rgb="FFA13F9E"/>
        </patternFill>
      </fill>
    </dxf>
    <dxf>
      <fill>
        <patternFill patternType="solid">
          <bgColor rgb="FFA13F9E"/>
        </patternFill>
      </fill>
    </dxf>
    <dxf>
      <fill>
        <patternFill patternType="solid">
          <bgColor rgb="FFA13F9E"/>
        </patternFill>
      </fill>
    </dxf>
    <dxf>
      <font>
        <sz val="9"/>
        <color theme="0"/>
      </font>
      <fill>
        <patternFill patternType="solid">
          <fgColor indexed="64"/>
          <bgColor rgb="FF4958CE"/>
        </patternFill>
      </fill>
    </dxf>
    <dxf>
      <font>
        <sz val="9"/>
      </font>
    </dxf>
    <dxf>
      <font>
        <name val="Arial"/>
        <scheme val="none"/>
      </font>
    </dxf>
    <dxf>
      <font>
        <name val="Arial"/>
        <scheme val="none"/>
      </font>
    </dxf>
    <dxf>
      <font>
        <name val="Arial"/>
        <scheme val="none"/>
      </font>
    </dxf>
    <dxf>
      <font>
        <color theme="0"/>
      </font>
    </dxf>
    <dxf>
      <fill>
        <patternFill patternType="solid">
          <bgColor rgb="FF4958CE"/>
        </patternFill>
      </fill>
    </dxf>
    <dxf>
      <font>
        <sz val="10"/>
      </font>
    </dxf>
    <dxf>
      <font>
        <sz val="10"/>
      </font>
    </dxf>
    <dxf>
      <font>
        <sz val="10"/>
      </font>
    </dxf>
    <dxf>
      <font>
        <sz val="10"/>
      </font>
    </dxf>
    <dxf>
      <font>
        <sz val="10"/>
      </font>
    </dxf>
    <dxf>
      <numFmt numFmtId="164" formatCode="[&lt;999950]#,##0.0,&quot;K&quot;;[&lt;999950000]#,##0.0,,&quot;JT&quot;;#,##0.0,,,&quot;M&quot;"/>
    </dxf>
    <dxf>
      <font>
        <sz val="9"/>
        <color theme="0"/>
      </font>
      <fill>
        <patternFill patternType="solid">
          <fgColor indexed="64"/>
          <bgColor rgb="FFA13F9E"/>
        </patternFill>
      </fill>
    </dxf>
    <dxf>
      <font>
        <sz val="9"/>
        <color theme="0"/>
      </font>
      <fill>
        <patternFill patternType="solid">
          <fgColor indexed="64"/>
          <bgColor rgb="FFA13F9E"/>
        </patternFill>
      </fill>
    </dxf>
    <dxf>
      <fill>
        <patternFill>
          <fgColor indexed="64"/>
          <bgColor rgb="FFA13F9E"/>
        </patternFill>
      </fill>
    </dxf>
    <dxf>
      <font>
        <sz val="9"/>
        <color theme="0"/>
      </font>
      <fill>
        <patternFill patternType="solid">
          <fgColor indexed="64"/>
          <bgColor rgb="FF4958CE"/>
        </patternFill>
      </fill>
    </dxf>
    <dxf>
      <font>
        <name val="Arial"/>
        <scheme val="none"/>
      </font>
    </dxf>
    <dxf>
      <font>
        <name val="Arial"/>
        <scheme val="none"/>
      </font>
    </dxf>
    <dxf>
      <font>
        <name val="Arial"/>
        <scheme val="none"/>
      </font>
    </dxf>
    <dxf>
      <font>
        <color theme="0"/>
      </font>
      <fill>
        <patternFill patternType="solid">
          <fgColor indexed="64"/>
          <bgColor rgb="FFA13F9E"/>
        </patternFill>
      </fill>
    </dxf>
    <dxf>
      <numFmt numFmtId="164" formatCode="[&lt;999950]#,##0.0,&quot;K&quot;;[&lt;999950000]#,##0.0,,&quot;JT&quot;;#,##0.0,,,&quot;M&quot;"/>
    </dxf>
    <dxf>
      <font>
        <color theme="0"/>
      </font>
      <fill>
        <patternFill patternType="solid">
          <fgColor indexed="64"/>
          <bgColor rgb="FFA13F9E"/>
        </patternFill>
      </fill>
    </dxf>
    <dxf>
      <font>
        <color theme="0"/>
      </font>
    </dxf>
    <dxf>
      <font>
        <color theme="0"/>
      </font>
    </dxf>
    <dxf>
      <font>
        <sz val="10"/>
      </font>
    </dxf>
    <dxf>
      <font>
        <sz val="10"/>
      </font>
    </dxf>
    <dxf>
      <font>
        <sz val="10"/>
      </font>
    </dxf>
    <dxf>
      <font>
        <sz val="10"/>
      </font>
    </dxf>
    <dxf>
      <fill>
        <patternFill>
          <fgColor indexed="64"/>
          <bgColor rgb="FFA13F9E"/>
        </patternFill>
      </fill>
    </dxf>
    <dxf>
      <fill>
        <patternFill>
          <fgColor indexed="64"/>
          <bgColor rgb="FFA13F9E"/>
        </patternFill>
      </fill>
    </dxf>
    <dxf>
      <fill>
        <patternFill patternType="solid">
          <bgColor rgb="FFA13F9E"/>
        </patternFill>
      </fill>
    </dxf>
    <dxf>
      <fill>
        <patternFill patternType="solid">
          <bgColor rgb="FFA13F9E"/>
        </patternFill>
      </fill>
    </dxf>
    <dxf>
      <font>
        <sz val="9"/>
        <color theme="0"/>
      </font>
      <fill>
        <patternFill patternType="solid">
          <fgColor indexed="64"/>
          <bgColor rgb="FF4958CE"/>
        </patternFill>
      </fill>
    </dxf>
    <dxf>
      <font>
        <sz val="9"/>
      </font>
    </dxf>
    <dxf>
      <font>
        <name val="Arial"/>
        <scheme val="none"/>
      </font>
    </dxf>
    <dxf>
      <font>
        <name val="Arial"/>
        <scheme val="none"/>
      </font>
    </dxf>
    <dxf>
      <font>
        <name val="Arial"/>
        <scheme val="none"/>
      </font>
    </dxf>
    <dxf>
      <font>
        <color theme="0"/>
      </font>
    </dxf>
    <dxf>
      <fill>
        <patternFill patternType="solid">
          <bgColor rgb="FF4958CE"/>
        </patternFill>
      </fill>
    </dxf>
    <dxf>
      <font>
        <color theme="0"/>
      </font>
      <fill>
        <patternFill patternType="solid">
          <fgColor indexed="64"/>
          <bgColor rgb="FFA13F9E"/>
        </patternFill>
      </fill>
    </dxf>
    <dxf>
      <font>
        <color theme="0"/>
      </font>
      <fill>
        <patternFill patternType="solid">
          <fgColor indexed="64"/>
          <bgColor rgb="FFA13F9E"/>
        </patternFill>
      </fill>
    </dxf>
    <dxf>
      <font>
        <color theme="0"/>
      </font>
      <fill>
        <patternFill patternType="solid">
          <fgColor indexed="64"/>
          <bgColor rgb="FFA13F9E"/>
        </patternFill>
      </fill>
    </dxf>
    <dxf>
      <numFmt numFmtId="164" formatCode="[&lt;999950]#,##0.0,&quot;K&quot;;[&lt;999950000]#,##0.0,,&quot;JT&quot;;#,##0.0,,,&quot;M&quot;"/>
    </dxf>
    <dxf>
      <font>
        <color theme="0"/>
      </font>
      <fill>
        <patternFill patternType="solid">
          <fgColor indexed="64"/>
          <bgColor rgb="FFA13F9E"/>
        </patternFill>
      </fill>
    </dxf>
    <dxf>
      <font>
        <color theme="0"/>
      </font>
    </dxf>
    <dxf>
      <font>
        <color theme="0"/>
      </font>
    </dxf>
    <dxf>
      <font>
        <sz val="10"/>
      </font>
    </dxf>
    <dxf>
      <font>
        <sz val="10"/>
      </font>
    </dxf>
    <dxf>
      <font>
        <sz val="10"/>
      </font>
    </dxf>
    <dxf>
      <font>
        <sz val="10"/>
      </font>
    </dxf>
    <dxf>
      <fill>
        <patternFill>
          <fgColor indexed="64"/>
          <bgColor rgb="FFA13F9E"/>
        </patternFill>
      </fill>
    </dxf>
    <dxf>
      <fill>
        <patternFill>
          <fgColor indexed="64"/>
          <bgColor rgb="FFA13F9E"/>
        </patternFill>
      </fill>
    </dxf>
    <dxf>
      <fill>
        <patternFill patternType="solid">
          <bgColor rgb="FFA13F9E"/>
        </patternFill>
      </fill>
    </dxf>
    <dxf>
      <fill>
        <patternFill patternType="solid">
          <bgColor rgb="FFA13F9E"/>
        </patternFill>
      </fill>
    </dxf>
    <dxf>
      <font>
        <sz val="9"/>
        <color theme="0"/>
      </font>
      <fill>
        <patternFill patternType="solid">
          <fgColor indexed="64"/>
          <bgColor rgb="FF4958CE"/>
        </patternFill>
      </fill>
    </dxf>
    <dxf>
      <font>
        <sz val="9"/>
      </font>
    </dxf>
    <dxf>
      <font>
        <name val="Arial"/>
        <scheme val="none"/>
      </font>
    </dxf>
    <dxf>
      <font>
        <name val="Arial"/>
        <scheme val="none"/>
      </font>
    </dxf>
    <dxf>
      <font>
        <name val="Arial"/>
        <scheme val="none"/>
      </font>
    </dxf>
    <dxf>
      <font>
        <color theme="0"/>
      </font>
    </dxf>
    <dxf>
      <fill>
        <patternFill patternType="solid">
          <bgColor rgb="FF4958CE"/>
        </patternFill>
      </fill>
    </dxf>
    <dxf>
      <numFmt numFmtId="164" formatCode="[&lt;999950]#,##0.0,&quot;K&quot;;[&lt;999950000]#,##0.0,,&quot;JT&quot;;#,##0.0,,,&quot;M&quot;"/>
    </dxf>
    <dxf>
      <font>
        <color theme="0"/>
      </font>
      <fill>
        <patternFill patternType="solid">
          <fgColor indexed="64"/>
          <bgColor rgb="FFA13F9E"/>
        </patternFill>
      </fill>
    </dxf>
    <dxf>
      <font>
        <sz val="10"/>
      </font>
    </dxf>
    <dxf>
      <font>
        <sz val="10"/>
      </font>
    </dxf>
    <dxf>
      <font>
        <sz val="10"/>
      </font>
    </dxf>
    <dxf>
      <font>
        <sz val="10"/>
      </font>
    </dxf>
    <dxf>
      <numFmt numFmtId="164" formatCode="[&lt;999950]#,##0.0,&quot;K&quot;;[&lt;999950000]#,##0.0,,&quot;JT&quot;;#,##0.0,,,&quot;M&quot;"/>
    </dxf>
    <dxf>
      <font>
        <sz val="9"/>
        <color theme="0"/>
      </font>
      <fill>
        <patternFill patternType="solid">
          <fgColor indexed="64"/>
          <bgColor rgb="FFA13F9E"/>
        </patternFill>
      </fill>
    </dxf>
    <dxf>
      <font>
        <sz val="9"/>
        <color theme="0"/>
      </font>
      <fill>
        <patternFill patternType="solid">
          <fgColor indexed="64"/>
          <bgColor rgb="FFA13F9E"/>
        </patternFill>
      </fill>
    </dxf>
    <dxf>
      <fill>
        <patternFill>
          <fgColor indexed="64"/>
          <bgColor rgb="FFA13F9E"/>
        </patternFill>
      </fill>
    </dxf>
    <dxf>
      <font>
        <sz val="9"/>
        <color theme="0"/>
      </font>
      <fill>
        <patternFill patternType="solid">
          <fgColor indexed="64"/>
          <bgColor rgb="FF4958CE"/>
        </patternFill>
      </fill>
    </dxf>
    <dxf>
      <font>
        <name val="Arial"/>
        <scheme val="none"/>
      </font>
    </dxf>
    <dxf>
      <font>
        <name val="Arial"/>
        <scheme val="none"/>
      </font>
    </dxf>
    <dxf>
      <font>
        <name val="Arial"/>
        <scheme val="none"/>
      </font>
    </dxf>
    <dxf>
      <font>
        <color theme="0"/>
      </font>
    </dxf>
    <dxf>
      <font>
        <color theme="0"/>
      </font>
    </dxf>
    <dxf>
      <font>
        <sz val="10"/>
      </font>
    </dxf>
    <dxf>
      <font>
        <sz val="10"/>
      </font>
    </dxf>
    <dxf>
      <font>
        <sz val="10"/>
      </font>
    </dxf>
    <dxf>
      <font>
        <sz val="10"/>
      </font>
    </dxf>
    <dxf>
      <font>
        <sz val="10"/>
      </font>
    </dxf>
    <dxf>
      <fill>
        <patternFill>
          <fgColor indexed="64"/>
          <bgColor rgb="FFA13F9E"/>
        </patternFill>
      </fill>
    </dxf>
    <dxf>
      <fill>
        <patternFill>
          <fgColor indexed="64"/>
          <bgColor rgb="FFA13F9E"/>
        </patternFill>
      </fill>
    </dxf>
    <dxf>
      <fill>
        <patternFill patternType="solid">
          <bgColor rgb="FFA13F9E"/>
        </patternFill>
      </fill>
    </dxf>
    <dxf>
      <fill>
        <patternFill patternType="solid">
          <bgColor rgb="FFA13F9E"/>
        </patternFill>
      </fill>
    </dxf>
    <dxf>
      <font>
        <sz val="9"/>
        <color theme="0"/>
      </font>
      <fill>
        <patternFill patternType="solid">
          <fgColor indexed="64"/>
          <bgColor rgb="FF4958CE"/>
        </patternFill>
      </fill>
    </dxf>
    <dxf>
      <font>
        <sz val="9"/>
      </font>
    </dxf>
    <dxf>
      <font>
        <name val="Arial"/>
        <scheme val="none"/>
      </font>
    </dxf>
    <dxf>
      <font>
        <name val="Arial"/>
        <scheme val="none"/>
      </font>
    </dxf>
    <dxf>
      <font>
        <name val="Arial"/>
        <scheme val="none"/>
      </font>
    </dxf>
    <dxf>
      <font>
        <color theme="0"/>
      </font>
    </dxf>
    <dxf>
      <fill>
        <patternFill patternType="solid">
          <bgColor rgb="FF4958CE"/>
        </patternFill>
      </fill>
    </dxf>
    <dxf>
      <numFmt numFmtId="19" formatCode="dd/mm/yyyy"/>
    </dxf>
    <dxf>
      <font>
        <b val="0"/>
        <i val="0"/>
        <strike val="0"/>
        <condense val="0"/>
        <extend val="0"/>
        <outline val="0"/>
        <shadow val="0"/>
        <u val="none"/>
        <vertAlign val="baseline"/>
        <sz val="8"/>
        <color theme="1" tint="0.249977111117893"/>
        <name val="Avenir Next LT Pro Demi"/>
        <scheme val="none"/>
      </font>
      <alignment horizontal="general" vertical="center" textRotation="0" wrapText="0" indent="0" justifyLastLine="0" shrinkToFit="0" readingOrder="0"/>
    </dxf>
    <dxf>
      <font>
        <b val="0"/>
        <i val="0"/>
        <strike val="0"/>
        <condense val="0"/>
        <extend val="0"/>
        <outline val="0"/>
        <shadow val="0"/>
        <u val="none"/>
        <vertAlign val="baseline"/>
        <sz val="8"/>
        <color theme="1" tint="0.249977111117893"/>
        <name val="Avenir Next LT Pro Demi"/>
        <scheme val="none"/>
      </font>
      <numFmt numFmtId="3" formatCode="#,##0"/>
      <alignment horizontal="center" vertical="center" textRotation="0" wrapText="0" indent="0" justifyLastLine="0" shrinkToFit="0" readingOrder="0"/>
    </dxf>
    <dxf>
      <font>
        <b val="0"/>
        <i val="0"/>
        <strike val="0"/>
        <condense val="0"/>
        <extend val="0"/>
        <outline val="0"/>
        <shadow val="0"/>
        <u val="none"/>
        <vertAlign val="baseline"/>
        <sz val="8"/>
        <color theme="1" tint="0.249977111117893"/>
        <name val="Avenir Next LT Pro Demi"/>
        <scheme val="none"/>
      </font>
      <numFmt numFmtId="33" formatCode="_-* #,##0_-;\-* #,##0_-;_-* &quot;-&quot;_-;_-@_-"/>
      <alignment horizontal="center" vertical="center" textRotation="0" wrapText="0" indent="0" justifyLastLine="0" shrinkToFit="0" readingOrder="0"/>
    </dxf>
    <dxf>
      <font>
        <strike val="0"/>
        <outline val="0"/>
        <shadow val="0"/>
        <u val="none"/>
        <vertAlign val="baseline"/>
        <sz val="8"/>
        <color theme="1" tint="0.249977111117893"/>
        <name val="Avenir Next LT Pro Demi"/>
        <scheme val="none"/>
      </font>
      <numFmt numFmtId="3" formatCode="#,##0"/>
      <alignment horizontal="center" vertical="center" textRotation="0" wrapText="0" indent="0" justifyLastLine="0" shrinkToFit="0" readingOrder="0"/>
    </dxf>
    <dxf>
      <font>
        <b val="0"/>
        <i val="0"/>
        <strike val="0"/>
        <condense val="0"/>
        <extend val="0"/>
        <outline val="0"/>
        <shadow val="0"/>
        <u val="none"/>
        <vertAlign val="baseline"/>
        <sz val="8"/>
        <color theme="1" tint="0.249977111117893"/>
        <name val="Avenir Next LT Pro Demi"/>
        <scheme val="none"/>
      </font>
      <alignment horizontal="center" vertical="center" textRotation="0" wrapText="0" indent="0" justifyLastLine="0" shrinkToFit="0" readingOrder="0"/>
    </dxf>
    <dxf>
      <font>
        <strike val="0"/>
        <outline val="0"/>
        <shadow val="0"/>
        <u val="none"/>
        <vertAlign val="baseline"/>
        <sz val="8"/>
        <color theme="1" tint="0.249977111117893"/>
        <name val="Avenir Next LT Pro Demi"/>
        <scheme val="none"/>
      </font>
      <numFmt numFmtId="4" formatCode="#,##0.00"/>
      <alignment horizontal="center" vertical="center" textRotation="0" wrapText="0" indent="0" justifyLastLine="0" shrinkToFit="0" readingOrder="0"/>
    </dxf>
    <dxf>
      <font>
        <b val="0"/>
        <i val="0"/>
        <strike val="0"/>
        <condense val="0"/>
        <extend val="0"/>
        <outline val="0"/>
        <shadow val="0"/>
        <u val="none"/>
        <vertAlign val="baseline"/>
        <sz val="8"/>
        <color theme="1" tint="0.249977111117893"/>
        <name val="Avenir Next LT Pro Demi"/>
        <scheme val="none"/>
      </font>
      <alignment horizontal="general" vertical="center" textRotation="0" wrapText="0" indent="0" justifyLastLine="0" shrinkToFit="0" readingOrder="0"/>
    </dxf>
    <dxf>
      <font>
        <strike val="0"/>
        <outline val="0"/>
        <shadow val="0"/>
        <u val="none"/>
        <vertAlign val="baseline"/>
        <sz val="8"/>
        <color theme="1" tint="0.249977111117893"/>
        <name val="Avenir Next LT Pro Demi"/>
        <scheme val="none"/>
      </font>
      <alignment horizontal="center" vertical="center" textRotation="0" wrapText="0" indent="0" justifyLastLine="0" shrinkToFit="0" readingOrder="0"/>
    </dxf>
    <dxf>
      <font>
        <b val="0"/>
        <i val="0"/>
        <strike val="0"/>
        <condense val="0"/>
        <extend val="0"/>
        <outline val="0"/>
        <shadow val="0"/>
        <u val="none"/>
        <vertAlign val="baseline"/>
        <sz val="8"/>
        <color theme="1" tint="0.249977111117893"/>
        <name val="Avenir Next LT Pro Demi"/>
        <scheme val="none"/>
      </font>
      <alignment horizontal="general" vertical="center" textRotation="0" wrapText="0" indent="0" justifyLastLine="0" shrinkToFit="0" readingOrder="0"/>
    </dxf>
    <dxf>
      <font>
        <strike val="0"/>
        <outline val="0"/>
        <shadow val="0"/>
        <u val="none"/>
        <vertAlign val="baseline"/>
        <sz val="8"/>
        <color theme="1" tint="0.249977111117893"/>
        <name val="Avenir Next LT Pro Demi"/>
        <scheme val="none"/>
      </font>
      <alignment horizontal="center" vertical="center" textRotation="0" wrapText="0" indent="0" justifyLastLine="0" shrinkToFit="0" readingOrder="0"/>
    </dxf>
    <dxf>
      <font>
        <b val="0"/>
        <i val="0"/>
        <strike val="0"/>
        <condense val="0"/>
        <extend val="0"/>
        <outline val="0"/>
        <shadow val="0"/>
        <u val="none"/>
        <vertAlign val="baseline"/>
        <sz val="8"/>
        <color theme="1" tint="0.249977111117893"/>
        <name val="Avenir Next LT Pro Demi"/>
        <scheme val="none"/>
      </font>
      <numFmt numFmtId="33" formatCode="_-* #,##0_-;\-* #,##0_-;_-* &quot;-&quot;_-;_-@_-"/>
      <alignment horizontal="center" vertical="center" textRotation="0" wrapText="0" indent="0" justifyLastLine="0" shrinkToFit="0" readingOrder="0"/>
    </dxf>
    <dxf>
      <font>
        <strike val="0"/>
        <outline val="0"/>
        <shadow val="0"/>
        <u val="none"/>
        <vertAlign val="baseline"/>
        <sz val="8"/>
        <color theme="1" tint="0.249977111117893"/>
        <name val="Avenir Next LT Pro Demi"/>
        <scheme val="none"/>
      </font>
      <numFmt numFmtId="3" formatCode="#,##0"/>
      <alignment horizontal="center" vertical="center" textRotation="0" wrapText="0" indent="0" justifyLastLine="0" shrinkToFit="0" readingOrder="0"/>
    </dxf>
    <dxf>
      <font>
        <b val="0"/>
        <i val="0"/>
        <strike val="0"/>
        <condense val="0"/>
        <extend val="0"/>
        <outline val="0"/>
        <shadow val="0"/>
        <u val="none"/>
        <vertAlign val="baseline"/>
        <sz val="8"/>
        <color theme="1" tint="0.249977111117893"/>
        <name val="Avenir Next LT Pro Demi"/>
        <scheme val="none"/>
      </font>
      <numFmt numFmtId="33" formatCode="_-* #,##0_-;\-* #,##0_-;_-* &quot;-&quot;_-;_-@_-"/>
      <alignment horizontal="center" vertical="center" textRotation="0" wrapText="0" indent="0" justifyLastLine="0" shrinkToFit="0" readingOrder="0"/>
    </dxf>
    <dxf>
      <font>
        <strike val="0"/>
        <outline val="0"/>
        <shadow val="0"/>
        <u val="none"/>
        <vertAlign val="baseline"/>
        <sz val="8"/>
        <color theme="1" tint="0.249977111117893"/>
        <name val="Avenir Next LT Pro Demi"/>
        <scheme val="none"/>
      </font>
      <numFmt numFmtId="3" formatCode="#,##0"/>
      <alignment horizontal="center" vertical="center" textRotation="0" wrapText="0" indent="0" justifyLastLine="0" shrinkToFit="0" readingOrder="0"/>
    </dxf>
    <dxf>
      <font>
        <b val="0"/>
        <i val="0"/>
        <strike val="0"/>
        <condense val="0"/>
        <extend val="0"/>
        <outline val="0"/>
        <shadow val="0"/>
        <u val="none"/>
        <vertAlign val="baseline"/>
        <sz val="8"/>
        <color theme="1" tint="0.249977111117893"/>
        <name val="Avenir Next LT Pro Demi"/>
        <scheme val="none"/>
      </font>
      <alignment horizontal="general" vertical="center" textRotation="0" wrapText="0" indent="0" justifyLastLine="0" shrinkToFit="0" readingOrder="0"/>
    </dxf>
    <dxf>
      <font>
        <strike val="0"/>
        <outline val="0"/>
        <shadow val="0"/>
        <u val="none"/>
        <vertAlign val="baseline"/>
        <sz val="8"/>
        <color theme="1" tint="0.249977111117893"/>
        <name val="Avenir Next LT Pro Demi"/>
        <scheme val="none"/>
      </font>
      <alignment horizontal="center" vertical="center" textRotation="0" wrapText="0" indent="0" justifyLastLine="0" shrinkToFit="0" readingOrder="0"/>
    </dxf>
    <dxf>
      <font>
        <b val="0"/>
        <i val="0"/>
        <strike val="0"/>
        <condense val="0"/>
        <extend val="0"/>
        <outline val="0"/>
        <shadow val="0"/>
        <u val="none"/>
        <vertAlign val="baseline"/>
        <sz val="8"/>
        <color theme="1" tint="0.249977111117893"/>
        <name val="Avenir Next LT Pro Demi"/>
        <scheme val="none"/>
      </font>
      <numFmt numFmtId="3" formatCode="#,##0"/>
      <alignment horizontal="center" vertical="center" textRotation="0" wrapText="0" indent="0" justifyLastLine="0" shrinkToFit="0" readingOrder="0"/>
    </dxf>
    <dxf>
      <font>
        <b val="0"/>
        <i val="0"/>
        <strike val="0"/>
        <condense val="0"/>
        <extend val="0"/>
        <outline val="0"/>
        <shadow val="0"/>
        <u val="none"/>
        <vertAlign val="baseline"/>
        <sz val="8"/>
        <color theme="1" tint="0.249977111117893"/>
        <name val="Avenir Next LT Pro Demi"/>
        <scheme val="none"/>
      </font>
      <numFmt numFmtId="3" formatCode="#,##0"/>
      <fill>
        <patternFill patternType="solid">
          <fgColor indexed="64"/>
          <bgColor rgb="FFF6F6F6"/>
        </patternFill>
      </fill>
      <alignment horizontal="center" vertical="center" textRotation="0" wrapText="0" indent="0" justifyLastLine="0" shrinkToFit="0" readingOrder="0"/>
    </dxf>
    <dxf>
      <font>
        <b val="0"/>
        <i val="0"/>
        <strike val="0"/>
        <condense val="0"/>
        <extend val="0"/>
        <outline val="0"/>
        <shadow val="0"/>
        <u val="none"/>
        <vertAlign val="baseline"/>
        <sz val="8"/>
        <color theme="1" tint="0.249977111117893"/>
        <name val="Avenir Next LT Pro Demi"/>
        <scheme val="none"/>
      </font>
      <numFmt numFmtId="3" formatCode="#,##0"/>
      <alignment horizontal="center" vertical="center" textRotation="0" wrapText="0" indent="0" justifyLastLine="0" shrinkToFit="0" readingOrder="0"/>
    </dxf>
    <dxf>
      <font>
        <strike val="0"/>
        <outline val="0"/>
        <shadow val="0"/>
        <u val="none"/>
        <vertAlign val="baseline"/>
        <sz val="8"/>
        <color theme="1" tint="0.249977111117893"/>
        <name val="Avenir Next LT Pro Demi"/>
        <scheme val="none"/>
      </font>
      <numFmt numFmtId="3" formatCode="#,##0"/>
      <alignment horizontal="center" vertical="center" textRotation="0" wrapText="0" indent="0" justifyLastLine="0" shrinkToFit="0" readingOrder="0"/>
    </dxf>
    <dxf>
      <font>
        <b val="0"/>
        <i val="0"/>
        <strike val="0"/>
        <condense val="0"/>
        <extend val="0"/>
        <outline val="0"/>
        <shadow val="0"/>
        <u val="none"/>
        <vertAlign val="baseline"/>
        <sz val="8"/>
        <color theme="1" tint="0.249977111117893"/>
        <name val="Avenir Next LT Pro Demi"/>
        <scheme val="none"/>
      </font>
      <numFmt numFmtId="33" formatCode="_-* #,##0_-;\-* #,##0_-;_-* &quot;-&quot;_-;_-@_-"/>
      <alignment horizontal="center" vertical="center" textRotation="0" wrapText="0" indent="0" justifyLastLine="0" shrinkToFit="0" readingOrder="0"/>
    </dxf>
    <dxf>
      <font>
        <b val="0"/>
        <i val="0"/>
        <strike val="0"/>
        <condense val="0"/>
        <extend val="0"/>
        <outline val="0"/>
        <shadow val="0"/>
        <u val="none"/>
        <vertAlign val="baseline"/>
        <sz val="8"/>
        <color theme="1" tint="0.249977111117893"/>
        <name val="Avenir Next LT Pro Demi"/>
        <scheme val="none"/>
      </font>
      <numFmt numFmtId="3" formatCode="#,##0"/>
      <alignment horizontal="center" vertical="center" textRotation="0" wrapText="0" indent="0" justifyLastLine="0" shrinkToFit="0" readingOrder="0"/>
    </dxf>
    <dxf>
      <font>
        <b val="0"/>
        <i val="0"/>
        <strike val="0"/>
        <condense val="0"/>
        <extend val="0"/>
        <outline val="0"/>
        <shadow val="0"/>
        <u val="none"/>
        <vertAlign val="baseline"/>
        <sz val="8"/>
        <color theme="1" tint="0.249977111117893"/>
        <name val="Avenir Next LT Pro Demi"/>
        <scheme val="none"/>
      </font>
      <alignment horizontal="center" vertical="center" textRotation="0" wrapText="0" indent="0" justifyLastLine="0" shrinkToFit="0" readingOrder="0"/>
    </dxf>
    <dxf>
      <font>
        <b val="0"/>
        <i val="0"/>
        <strike val="0"/>
        <condense val="0"/>
        <extend val="0"/>
        <outline val="0"/>
        <shadow val="0"/>
        <u val="none"/>
        <vertAlign val="baseline"/>
        <sz val="8"/>
        <color theme="1" tint="0.249977111117893"/>
        <name val="Avenir Next LT Pro Demi"/>
        <scheme val="none"/>
      </font>
      <numFmt numFmtId="19" formatCode="dd/mm/yyyy"/>
      <alignment horizontal="center" vertical="center" textRotation="0" wrapText="0" indent="0" justifyLastLine="0" shrinkToFit="0" readingOrder="0"/>
    </dxf>
    <dxf>
      <font>
        <b val="0"/>
        <i val="0"/>
        <strike val="0"/>
        <condense val="0"/>
        <extend val="0"/>
        <outline val="0"/>
        <shadow val="0"/>
        <u val="none"/>
        <vertAlign val="baseline"/>
        <sz val="8"/>
        <color theme="1" tint="0.249977111117893"/>
        <name val="Avenir Next LT Pro Demi"/>
        <scheme val="none"/>
      </font>
      <alignment horizontal="center" vertical="center" textRotation="0" wrapText="0" indent="0" justifyLastLine="0" shrinkToFit="0" readingOrder="0"/>
    </dxf>
    <dxf>
      <font>
        <b val="0"/>
        <i val="0"/>
        <strike val="0"/>
        <condense val="0"/>
        <extend val="0"/>
        <outline val="0"/>
        <shadow val="0"/>
        <u val="none"/>
        <vertAlign val="baseline"/>
        <sz val="8"/>
        <color theme="1" tint="0.249977111117893"/>
        <name val="Avenir Next LT Pro Demi"/>
        <scheme val="none"/>
      </font>
      <numFmt numFmtId="19" formatCode="dd/mm/yyyy"/>
      <alignment horizontal="center" vertical="center" textRotation="0" wrapText="0" indent="0" justifyLastLine="0" shrinkToFit="0" readingOrder="0"/>
    </dxf>
    <dxf>
      <font>
        <b val="0"/>
        <i val="0"/>
        <strike val="0"/>
        <condense val="0"/>
        <extend val="0"/>
        <outline val="0"/>
        <shadow val="0"/>
        <u val="none"/>
        <vertAlign val="baseline"/>
        <sz val="8"/>
        <color theme="1" tint="0.249977111117893"/>
        <name val="Avenir Next LT Pro Demi"/>
        <scheme val="none"/>
      </font>
      <alignment horizontal="center" vertical="center" textRotation="0" wrapText="0" indent="0" justifyLastLine="0" shrinkToFit="0" readingOrder="0"/>
    </dxf>
    <dxf>
      <font>
        <strike val="0"/>
        <outline val="0"/>
        <shadow val="0"/>
        <u val="none"/>
        <vertAlign val="baseline"/>
        <sz val="8"/>
        <color theme="1" tint="0.249977111117893"/>
        <name val="Avenir Next LT Pro Demi"/>
        <scheme val="none"/>
      </font>
      <numFmt numFmtId="19" formatCode="dd/mm/yyyy"/>
      <alignment horizontal="center" vertical="center" textRotation="0" wrapText="0" indent="0" justifyLastLine="0" shrinkToFit="0" readingOrder="0"/>
    </dxf>
    <dxf>
      <font>
        <strike val="0"/>
        <outline val="0"/>
        <shadow val="0"/>
        <u val="none"/>
        <vertAlign val="baseline"/>
        <color theme="1" tint="0.249977111117893"/>
        <name val="Avenir Next LT Pro Demi"/>
        <scheme val="none"/>
      </font>
      <numFmt numFmtId="165" formatCode="#.##000"/>
    </dxf>
    <dxf>
      <font>
        <strike val="0"/>
        <outline val="0"/>
        <shadow val="0"/>
        <u val="none"/>
        <vertAlign val="baseline"/>
        <sz val="10"/>
        <color theme="1" tint="0.249977111117893"/>
        <name val="Avenir Next LT Pro Demi"/>
        <scheme val="none"/>
      </font>
      <numFmt numFmtId="4" formatCode="#,##0.00"/>
      <alignment horizontal="center" vertical="bottom" textRotation="0" wrapText="0" indent="0" justifyLastLine="0" shrinkToFit="0" readingOrder="0"/>
    </dxf>
    <dxf>
      <font>
        <strike val="0"/>
        <outline val="0"/>
        <shadow val="0"/>
        <u val="none"/>
        <vertAlign val="baseline"/>
        <sz val="9"/>
        <color theme="1" tint="0.249977111117893"/>
        <name val="Avenir Next LT Pro Demi"/>
        <scheme val="none"/>
      </font>
      <numFmt numFmtId="4" formatCode="#,##0.00"/>
      <alignment horizontal="center" vertical="bottom" textRotation="0" wrapText="0" indent="0" justifyLastLine="0" shrinkToFit="0" readingOrder="0"/>
    </dxf>
    <dxf>
      <font>
        <color theme="0"/>
      </font>
      <fill>
        <patternFill>
          <bgColor rgb="FFA5C2E3"/>
        </patternFill>
      </fill>
      <border diagonalUp="0" diagonalDown="0">
        <left/>
        <right/>
        <top/>
        <bottom/>
        <vertical/>
        <horizontal/>
      </border>
    </dxf>
    <dxf>
      <font>
        <color theme="0"/>
      </font>
      <fill>
        <patternFill>
          <bgColor rgb="FF362F48"/>
        </patternFill>
      </fill>
      <border diagonalUp="0" diagonalDown="0">
        <left/>
        <right/>
        <top/>
        <bottom/>
        <vertical/>
        <horizontal/>
      </border>
    </dxf>
    <dxf>
      <font>
        <color theme="0"/>
      </font>
      <fill>
        <patternFill>
          <bgColor rgb="FFA5C2E3"/>
        </patternFill>
      </fill>
      <border diagonalUp="0" diagonalDown="0">
        <left/>
        <right/>
        <top/>
        <bottom/>
        <vertical/>
        <horizontal/>
      </border>
    </dxf>
    <dxf>
      <font>
        <color theme="0"/>
      </font>
      <fill>
        <patternFill>
          <bgColor rgb="FFA5C2E3"/>
        </patternFill>
      </fill>
      <border diagonalUp="0" diagonalDown="0">
        <left/>
        <right/>
        <top/>
        <bottom/>
        <vertical/>
        <horizontal/>
      </border>
    </dxf>
  </dxfs>
  <tableStyles count="2" defaultTableStyle="TableStyleMedium2" defaultPivotStyle="PivotStyleLight16">
    <tableStyle name="SlicerStyleNavy" pivot="0" table="0" count="10" xr9:uid="{00000000-0011-0000-FFFF-FFFF00000000}">
      <tableStyleElement type="wholeTable" dxfId="530"/>
      <tableStyleElement type="headerRow" dxfId="529"/>
    </tableStyle>
    <tableStyle name="SlicerStyleNavy 2" pivot="0" table="0" count="10" xr9:uid="{00000000-0011-0000-FFFF-FFFF01000000}">
      <tableStyleElement type="wholeTable" dxfId="528"/>
      <tableStyleElement type="headerRow" dxfId="527"/>
    </tableStyle>
  </tableStyles>
  <colors>
    <mruColors>
      <color rgb="FFF1F0F5"/>
      <color rgb="FF00B626"/>
      <color rgb="FFDB2D4A"/>
      <color rgb="FFA13F9E"/>
      <color rgb="FF362F48"/>
      <color rgb="FF8D7EF3"/>
      <color rgb="FFF1F2FE"/>
      <color rgb="FFE8788C"/>
      <color rgb="FFFED14E"/>
      <color rgb="FFE8E6EE"/>
    </mruColors>
  </colors>
  <extLst>
    <ext xmlns:x14="http://schemas.microsoft.com/office/spreadsheetml/2009/9/main" uri="{46F421CA-312F-682f-3DD2-61675219B42D}">
      <x14:dxfs count="16">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b/>
            <i val="0"/>
            <sz val="12"/>
            <color theme="0"/>
          </font>
          <fill>
            <patternFill patternType="solid">
              <fgColor auto="1"/>
              <bgColor rgb="FFDB2D4A"/>
            </patternFill>
          </fill>
          <border diagonalUp="0" diagonalDown="0">
            <left/>
            <right/>
            <top/>
            <bottom/>
            <vertical/>
            <horizontal/>
          </border>
        </dxf>
        <dxf>
          <font>
            <b/>
            <i val="0"/>
            <sz val="12"/>
            <color theme="1" tint="4.9989318521683403E-2"/>
          </font>
          <fill>
            <patternFill patternType="solid">
              <fgColor auto="1"/>
              <bgColor rgb="FFDB2D4A"/>
            </patternFill>
          </fill>
          <border diagonalUp="0" diagonalDown="0">
            <left/>
            <right/>
            <top/>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b/>
            <i val="0"/>
            <sz val="12"/>
            <color theme="0"/>
          </font>
          <fill>
            <patternFill patternType="solid">
              <fgColor theme="4" tint="0.59999389629810485"/>
              <bgColor rgb="FF362F48"/>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b/>
            <i val="0"/>
            <sz val="10"/>
            <color theme="0"/>
          </font>
          <fill>
            <patternFill patternType="solid">
              <fgColor rgb="FFFFFFFF"/>
              <bgColor rgb="FF362F48"/>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b/>
            <i val="0"/>
            <sz val="12"/>
            <color theme="0"/>
          </font>
          <fill>
            <patternFill patternType="solid">
              <fgColor auto="1"/>
              <bgColor theme="8" tint="0.79998168889431442"/>
            </patternFill>
          </fill>
          <border diagonalUp="0" diagonalDown="0">
            <left/>
            <right/>
            <top/>
            <bottom/>
            <vertical/>
            <horizontal/>
          </border>
        </dxf>
        <dxf>
          <font>
            <b/>
            <i val="0"/>
            <sz val="12"/>
            <color rgb="FFA5C2E3"/>
          </font>
          <fill>
            <patternFill patternType="solid">
              <fgColor auto="1"/>
              <bgColor theme="0"/>
            </patternFill>
          </fill>
          <border diagonalUp="0" diagonalDown="0">
            <left/>
            <right/>
            <top/>
            <bottom/>
            <vertical/>
            <horizontal/>
          </border>
        </dxf>
        <dxf>
          <font>
            <color rgb="FF828282"/>
          </font>
          <fill>
            <patternFill patternType="solid">
              <fgColor theme="4" tint="0.79998168889431442"/>
              <bgColor theme="4" tint="0.79998168889431442"/>
            </patternFill>
          </fill>
          <border>
            <left style="thin">
              <color rgb="FFCCCCCC"/>
            </left>
            <right style="thin">
              <color rgb="FFCCCCCC"/>
            </right>
            <top style="thin">
              <color rgb="FFCCCCCC"/>
            </top>
            <bottom style="thin">
              <color rgb="FFCCCCCC"/>
            </bottom>
            <vertical/>
            <horizontal/>
          </border>
        </dxf>
        <dxf>
          <font>
            <b/>
            <i val="0"/>
            <sz val="12"/>
            <color theme="0"/>
          </font>
          <fill>
            <patternFill patternType="solid">
              <fgColor theme="4" tint="0.59999389629810485"/>
              <bgColor rgb="FFA5C2E3"/>
            </patternFill>
          </fill>
          <border diagonalUp="0" diagonalDown="0">
            <left/>
            <right/>
            <top/>
            <bottom/>
            <vertical/>
            <horizontal/>
          </border>
        </dxf>
        <dxf>
          <font>
            <color rgb="FF828282"/>
          </font>
          <fill>
            <patternFill patternType="solid">
              <fgColor rgb="FFFFFFFF"/>
              <bgColor rgb="FFFFFFFF"/>
            </patternFill>
          </fill>
          <border>
            <left style="thin">
              <color rgb="FFE0E0E0"/>
            </left>
            <right style="thin">
              <color rgb="FFE0E0E0"/>
            </right>
            <top style="thin">
              <color rgb="FFE0E0E0"/>
            </top>
            <bottom style="thin">
              <color rgb="FFE0E0E0"/>
            </bottom>
            <vertical/>
            <horizontal/>
          </border>
        </dxf>
        <dxf>
          <font>
            <b/>
            <i val="0"/>
            <sz val="10"/>
            <color theme="0"/>
          </font>
          <fill>
            <patternFill patternType="solid">
              <fgColor rgb="FFFFFFFF"/>
              <bgColor rgb="FFA5C2E3"/>
            </patternFill>
          </fill>
          <border diagonalUp="0" diagonalDown="0">
            <left/>
            <right/>
            <top/>
            <bottom/>
            <vertical/>
            <horizontal/>
          </border>
        </dxf>
      </x14:dxfs>
    </ext>
    <ext xmlns:x14="http://schemas.microsoft.com/office/spreadsheetml/2009/9/main" uri="{EB79DEF2-80B8-43e5-95BD-54CBDDF9020C}">
      <x14:slicerStyles defaultSlicerStyle="SlicerStyleLight1">
        <x14:slicerStyle name="SlicerStyleNavy">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Navy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5" Type="http://schemas.openxmlformats.org/officeDocument/2006/relationships/pivotCacheDefinition" Target="pivotCache/pivotCacheDefinition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9.xml"/><Relationship Id="rId1" Type="http://schemas.microsoft.com/office/2011/relationships/chartStyle" Target="style9.xml"/></Relationships>
</file>

<file path=xl/charts/_rels/chart11.xml.rels><?xml version="1.0" encoding="UTF-8" standalone="yes"?>
<Relationships xmlns="http://schemas.openxmlformats.org/package/2006/relationships"><Relationship Id="rId3" Type="http://schemas.openxmlformats.org/officeDocument/2006/relationships/image" Target="../media/image12.png"/><Relationship Id="rId2" Type="http://schemas.microsoft.com/office/2011/relationships/chartColorStyle" Target="colors10.xml"/><Relationship Id="rId1" Type="http://schemas.microsoft.com/office/2011/relationships/chartStyle" Target="style10.xml"/></Relationships>
</file>

<file path=xl/charts/_rels/chart12.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5.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6.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Metric Dashboard.xlsx]PivotTables!PivotTable4</c:name>
    <c:fmtId val="2"/>
  </c:pivotSource>
  <c:chart>
    <c:autoTitleDeleted val="1"/>
    <c:pivotFmts>
      <c:pivotFmt>
        <c:idx val="0"/>
        <c:spPr>
          <a:solidFill>
            <a:schemeClr val="accent1"/>
          </a:solidFill>
          <a:ln w="15875" cap="rnd">
            <a:solidFill>
              <a:srgbClr val="8D7EF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50000"/>
                      <a:lumOff val="50000"/>
                    </a:schemeClr>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gradFill flip="none" rotWithShape="1">
            <a:gsLst>
              <a:gs pos="0">
                <a:srgbClr val="E8788C">
                  <a:alpha val="23000"/>
                </a:srgbClr>
              </a:gs>
              <a:gs pos="53000">
                <a:srgbClr val="E8788C">
                  <a:alpha val="0"/>
                </a:srgbClr>
              </a:gs>
            </a:gsLst>
            <a:lin ang="2700000" scaled="1"/>
            <a:tileRect/>
          </a:gradFill>
          <a:ln>
            <a:noFill/>
          </a:ln>
          <a:effectLst/>
        </c:spPr>
        <c:marker>
          <c:symbol val="none"/>
        </c:marker>
      </c:pivotFmt>
      <c:pivotFmt>
        <c:idx val="2"/>
        <c:spPr>
          <a:gradFill flip="none" rotWithShape="1">
            <a:gsLst>
              <a:gs pos="0">
                <a:srgbClr val="E8788C">
                  <a:alpha val="23000"/>
                </a:srgbClr>
              </a:gs>
              <a:gs pos="53000">
                <a:srgbClr val="E8788C">
                  <a:alpha val="0"/>
                </a:srgbClr>
              </a:gs>
            </a:gsLst>
            <a:lin ang="27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15875" cap="rnd">
            <a:solidFill>
              <a:srgbClr val="8D7EF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50000"/>
                      <a:lumOff val="50000"/>
                    </a:schemeClr>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rgbClr val="E8788C">
                  <a:alpha val="23000"/>
                </a:srgbClr>
              </a:gs>
              <a:gs pos="53000">
                <a:srgbClr val="E8788C">
                  <a:alpha val="0"/>
                </a:srgbClr>
              </a:gs>
            </a:gsLst>
            <a:lin ang="2700000" scaled="1"/>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15875" cap="rnd">
            <a:solidFill>
              <a:srgbClr val="8D7EF3"/>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50000"/>
                      <a:lumOff val="50000"/>
                    </a:schemeClr>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1"/>
          <c:order val="1"/>
          <c:tx>
            <c:strRef>
              <c:f>PivotTables!$T$5</c:f>
              <c:strCache>
                <c:ptCount val="1"/>
                <c:pt idx="0">
                  <c:v>Sum of Amount of Sales2</c:v>
                </c:pt>
              </c:strCache>
            </c:strRef>
          </c:tx>
          <c:spPr>
            <a:gradFill flip="none" rotWithShape="1">
              <a:gsLst>
                <a:gs pos="0">
                  <a:srgbClr val="E8788C">
                    <a:alpha val="23000"/>
                  </a:srgbClr>
                </a:gs>
                <a:gs pos="53000">
                  <a:srgbClr val="E8788C">
                    <a:alpha val="0"/>
                  </a:srgbClr>
                </a:gs>
              </a:gsLst>
              <a:lin ang="2700000" scaled="1"/>
              <a:tileRect/>
            </a:gradFill>
            <a:ln>
              <a:noFill/>
            </a:ln>
            <a:effectLst/>
          </c:spPr>
          <c:cat>
            <c:strRef>
              <c:f>PivotTables!$S$6</c:f>
              <c:strCache>
                <c:ptCount val="1"/>
                <c:pt idx="0">
                  <c:v>Total</c:v>
                </c:pt>
              </c:strCache>
            </c:strRef>
          </c:cat>
          <c:val>
            <c:numRef>
              <c:f>PivotTables!$T$6</c:f>
              <c:numCache>
                <c:formatCode>[&lt;999950]#,##0.0,"K";[&lt;999950000]#,##0.0,,"JT";#,##0.0,,,"M"</c:formatCode>
                <c:ptCount val="1"/>
                <c:pt idx="0">
                  <c:v>163120000000</c:v>
                </c:pt>
              </c:numCache>
            </c:numRef>
          </c:val>
          <c:extLst>
            <c:ext xmlns:c16="http://schemas.microsoft.com/office/drawing/2014/chart" uri="{C3380CC4-5D6E-409C-BE32-E72D297353CC}">
              <c16:uniqueId val="{00000000-7B00-4DC9-A0C6-2D310449C45F}"/>
            </c:ext>
          </c:extLst>
        </c:ser>
        <c:dLbls>
          <c:showLegendKey val="0"/>
          <c:showVal val="0"/>
          <c:showCatName val="0"/>
          <c:showSerName val="0"/>
          <c:showPercent val="0"/>
          <c:showBubbleSize val="0"/>
        </c:dLbls>
        <c:axId val="213554640"/>
        <c:axId val="213559736"/>
      </c:areaChart>
      <c:lineChart>
        <c:grouping val="standard"/>
        <c:varyColors val="0"/>
        <c:ser>
          <c:idx val="0"/>
          <c:order val="0"/>
          <c:tx>
            <c:strRef>
              <c:f>PivotTables!$S$5</c:f>
              <c:strCache>
                <c:ptCount val="1"/>
                <c:pt idx="0">
                  <c:v>Sum of Amount of Sales</c:v>
                </c:pt>
              </c:strCache>
            </c:strRef>
          </c:tx>
          <c:spPr>
            <a:ln w="15875" cap="rnd">
              <a:solidFill>
                <a:srgbClr val="8D7EF3"/>
              </a:solidFill>
              <a:round/>
            </a:ln>
            <a:effectLst/>
          </c:spPr>
          <c:marker>
            <c:symbol val="none"/>
          </c:marker>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50000"/>
                        <a:lumOff val="50000"/>
                      </a:schemeClr>
                    </a:solidFill>
                    <a:latin typeface="Arial" panose="020B0604020202020204" pitchFamily="34" charset="0"/>
                    <a:ea typeface="+mn-ea"/>
                    <a:cs typeface="Arial" panose="020B0604020202020204" pitchFamily="34"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PivotTables!$S$6</c:f>
              <c:strCache>
                <c:ptCount val="1"/>
                <c:pt idx="0">
                  <c:v>Total</c:v>
                </c:pt>
              </c:strCache>
            </c:strRef>
          </c:cat>
          <c:val>
            <c:numRef>
              <c:f>PivotTables!$S$6</c:f>
              <c:numCache>
                <c:formatCode>[&lt;999950]#,##0.0,"K";[&lt;999950000]#,##0.0,,"JT";#,##0.0,,,"M"</c:formatCode>
                <c:ptCount val="1"/>
                <c:pt idx="0">
                  <c:v>163120000000</c:v>
                </c:pt>
              </c:numCache>
            </c:numRef>
          </c:val>
          <c:smooth val="1"/>
          <c:extLst>
            <c:ext xmlns:c16="http://schemas.microsoft.com/office/drawing/2014/chart" uri="{C3380CC4-5D6E-409C-BE32-E72D297353CC}">
              <c16:uniqueId val="{00000001-7B00-4DC9-A0C6-2D310449C45F}"/>
            </c:ext>
          </c:extLst>
        </c:ser>
        <c:dLbls>
          <c:dLblPos val="t"/>
          <c:showLegendKey val="0"/>
          <c:showVal val="1"/>
          <c:showCatName val="0"/>
          <c:showSerName val="0"/>
          <c:showPercent val="0"/>
          <c:showBubbleSize val="0"/>
        </c:dLbls>
        <c:marker val="1"/>
        <c:smooth val="0"/>
        <c:axId val="213554640"/>
        <c:axId val="213559736"/>
      </c:lineChart>
      <c:catAx>
        <c:axId val="213554640"/>
        <c:scaling>
          <c:orientation val="minMax"/>
        </c:scaling>
        <c:delete val="1"/>
        <c:axPos val="b"/>
        <c:numFmt formatCode="General" sourceLinked="1"/>
        <c:majorTickMark val="none"/>
        <c:minorTickMark val="none"/>
        <c:tickLblPos val="nextTo"/>
        <c:crossAx val="213559736"/>
        <c:crosses val="autoZero"/>
        <c:auto val="1"/>
        <c:lblAlgn val="ctr"/>
        <c:lblOffset val="100"/>
        <c:noMultiLvlLbl val="0"/>
      </c:catAx>
      <c:valAx>
        <c:axId val="213559736"/>
        <c:scaling>
          <c:orientation val="minMax"/>
        </c:scaling>
        <c:delete val="1"/>
        <c:axPos val="l"/>
        <c:numFmt formatCode="[&lt;999950]#,##0.0,&quot;K&quot;;[&lt;999950000]#,##0.0,,&quot;JT&quot;;#,##0.0,,,&quot;M&quot;" sourceLinked="1"/>
        <c:majorTickMark val="none"/>
        <c:minorTickMark val="none"/>
        <c:tickLblPos val="nextTo"/>
        <c:crossAx val="21355464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Metric Dashboard.xlsx]PivotTables!PivotTable6</c:name>
    <c:fmtId val="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0B626"/>
          </a:solidFill>
          <a:ln w="19050">
            <a:solidFill>
              <a:schemeClr val="lt1"/>
            </a:solidFill>
          </a:ln>
          <a:effectLst/>
        </c:spPr>
      </c:pivotFmt>
      <c:pivotFmt>
        <c:idx val="2"/>
        <c:spPr>
          <a:solidFill>
            <a:schemeClr val="bg2">
              <a:lumMod val="90000"/>
            </a:schemeClr>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rgbClr val="00B626"/>
          </a:solidFill>
          <a:ln w="19050">
            <a:solidFill>
              <a:schemeClr val="lt1"/>
            </a:solidFill>
          </a:ln>
          <a:effectLst/>
        </c:spPr>
      </c:pivotFmt>
      <c:pivotFmt>
        <c:idx val="5"/>
        <c:spPr>
          <a:solidFill>
            <a:schemeClr val="bg2">
              <a:lumMod val="90000"/>
            </a:schemeClr>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rgbClr val="00B626"/>
          </a:solidFill>
          <a:ln w="19050">
            <a:solidFill>
              <a:schemeClr val="lt1"/>
            </a:solidFill>
          </a:ln>
          <a:effectLst/>
        </c:spPr>
      </c:pivotFmt>
      <c:pivotFmt>
        <c:idx val="8"/>
        <c:spPr>
          <a:solidFill>
            <a:schemeClr val="bg2">
              <a:lumMod val="90000"/>
            </a:schemeClr>
          </a:solidFill>
          <a:ln w="19050">
            <a:solidFill>
              <a:schemeClr val="lt1"/>
            </a:solidFill>
          </a:ln>
          <a:effectLst/>
        </c:spPr>
      </c:pivotFmt>
    </c:pivotFmts>
    <c:plotArea>
      <c:layout/>
      <c:doughnutChart>
        <c:varyColors val="1"/>
        <c:ser>
          <c:idx val="0"/>
          <c:order val="0"/>
          <c:tx>
            <c:strRef>
              <c:f>PivotTables!$AB$5</c:f>
              <c:strCache>
                <c:ptCount val="1"/>
                <c:pt idx="0">
                  <c:v>Total</c:v>
                </c:pt>
              </c:strCache>
            </c:strRef>
          </c:tx>
          <c:dPt>
            <c:idx val="0"/>
            <c:bubble3D val="0"/>
            <c:spPr>
              <a:solidFill>
                <a:srgbClr val="00B626"/>
              </a:solidFill>
              <a:ln w="19050">
                <a:solidFill>
                  <a:schemeClr val="lt1"/>
                </a:solidFill>
              </a:ln>
              <a:effectLst/>
            </c:spPr>
            <c:extLst>
              <c:ext xmlns:c16="http://schemas.microsoft.com/office/drawing/2014/chart" uri="{C3380CC4-5D6E-409C-BE32-E72D297353CC}">
                <c16:uniqueId val="{00000001-72A7-4330-9D95-614323DDAB4A}"/>
              </c:ext>
            </c:extLst>
          </c:dPt>
          <c:dPt>
            <c:idx val="1"/>
            <c:bubble3D val="0"/>
            <c:spPr>
              <a:solidFill>
                <a:schemeClr val="bg2">
                  <a:lumMod val="90000"/>
                </a:schemeClr>
              </a:solidFill>
              <a:ln w="19050">
                <a:solidFill>
                  <a:schemeClr val="lt1"/>
                </a:solidFill>
              </a:ln>
              <a:effectLst/>
            </c:spPr>
            <c:extLst>
              <c:ext xmlns:c16="http://schemas.microsoft.com/office/drawing/2014/chart" uri="{C3380CC4-5D6E-409C-BE32-E72D297353CC}">
                <c16:uniqueId val="{00000003-72A7-4330-9D95-614323DDAB4A}"/>
              </c:ext>
            </c:extLst>
          </c:dPt>
          <c:cat>
            <c:strRef>
              <c:f>PivotTables!$AA$6:$AA$8</c:f>
              <c:strCache>
                <c:ptCount val="2"/>
                <c:pt idx="0">
                  <c:v>Paid</c:v>
                </c:pt>
                <c:pt idx="1">
                  <c:v>Not Paid</c:v>
                </c:pt>
              </c:strCache>
            </c:strRef>
          </c:cat>
          <c:val>
            <c:numRef>
              <c:f>PivotTables!$AB$6:$AB$8</c:f>
              <c:numCache>
                <c:formatCode>General</c:formatCode>
                <c:ptCount val="2"/>
                <c:pt idx="0">
                  <c:v>707</c:v>
                </c:pt>
                <c:pt idx="1">
                  <c:v>72</c:v>
                </c:pt>
              </c:numCache>
            </c:numRef>
          </c:val>
          <c:extLst>
            <c:ext xmlns:c16="http://schemas.microsoft.com/office/drawing/2014/chart" uri="{C3380CC4-5D6E-409C-BE32-E72D297353CC}">
              <c16:uniqueId val="{00000004-72A7-4330-9D95-614323DDAB4A}"/>
            </c:ext>
          </c:extLst>
        </c:ser>
        <c:dLbls>
          <c:showLegendKey val="0"/>
          <c:showVal val="0"/>
          <c:showCatName val="0"/>
          <c:showSerName val="0"/>
          <c:showPercent val="0"/>
          <c:showBubbleSize val="0"/>
          <c:showLeaderLines val="1"/>
        </c:dLbls>
        <c:firstSliceAng val="0"/>
        <c:holeSize val="8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Metric Dashboard.xlsx]PivotTables!PivotTable6</c:name>
    <c:fmtId val="6"/>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bg1">
              <a:lumMod val="95000"/>
            </a:schemeClr>
          </a:solidFill>
          <a:ln w="19050">
            <a:solidFill>
              <a:schemeClr val="lt1"/>
            </a:solidFill>
          </a:ln>
          <a:effectLst/>
        </c:spPr>
      </c:pivotFmt>
      <c:pivotFmt>
        <c:idx val="2"/>
        <c:spPr>
          <a:solidFill>
            <a:srgbClr val="E8788C"/>
          </a:solidFill>
          <a:ln w="19050">
            <a:solidFill>
              <a:schemeClr val="lt1"/>
            </a:solidFill>
          </a:ln>
          <a:effectLst/>
        </c:spPr>
      </c:pivotFmt>
      <c:pivotFmt>
        <c:idx val="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bg1">
              <a:lumMod val="95000"/>
            </a:schemeClr>
          </a:solidFill>
          <a:ln w="19050">
            <a:solidFill>
              <a:schemeClr val="lt1"/>
            </a:solidFill>
          </a:ln>
          <a:effectLst/>
        </c:spPr>
      </c:pivotFmt>
      <c:pivotFmt>
        <c:idx val="5"/>
        <c:spPr>
          <a:solidFill>
            <a:srgbClr val="E8788C"/>
          </a:solidFill>
          <a:ln w="19050">
            <a:solidFill>
              <a:schemeClr val="lt1"/>
            </a:solidFill>
          </a:ln>
          <a:effectLst/>
        </c:spPr>
      </c:pivotFmt>
      <c:pivotFmt>
        <c:idx val="6"/>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bg1">
              <a:lumMod val="95000"/>
            </a:schemeClr>
          </a:solidFill>
          <a:ln w="19050">
            <a:solidFill>
              <a:schemeClr val="lt1"/>
            </a:solidFill>
          </a:ln>
          <a:effectLst/>
        </c:spPr>
      </c:pivotFmt>
      <c:pivotFmt>
        <c:idx val="8"/>
        <c:spPr>
          <a:solidFill>
            <a:srgbClr val="E8788C"/>
          </a:solidFill>
          <a:ln w="19050">
            <a:solidFill>
              <a:schemeClr val="lt1"/>
            </a:solidFill>
          </a:ln>
          <a:effectLst/>
        </c:spPr>
      </c:pivotFmt>
    </c:pivotFmts>
    <c:plotArea>
      <c:layout/>
      <c:doughnutChart>
        <c:varyColors val="1"/>
        <c:ser>
          <c:idx val="0"/>
          <c:order val="0"/>
          <c:tx>
            <c:strRef>
              <c:f>PivotTables!$AB$5</c:f>
              <c:strCache>
                <c:ptCount val="1"/>
                <c:pt idx="0">
                  <c:v>Total</c:v>
                </c:pt>
              </c:strCache>
            </c:strRef>
          </c:tx>
          <c:spPr>
            <a:solidFill>
              <a:schemeClr val="accent1"/>
            </a:solidFill>
          </c:spPr>
          <c:dPt>
            <c:idx val="0"/>
            <c:bubble3D val="0"/>
            <c:spPr>
              <a:solidFill>
                <a:schemeClr val="bg1">
                  <a:lumMod val="95000"/>
                </a:schemeClr>
              </a:solidFill>
              <a:ln w="19050">
                <a:solidFill>
                  <a:schemeClr val="lt1"/>
                </a:solidFill>
              </a:ln>
              <a:effectLst/>
            </c:spPr>
            <c:extLst>
              <c:ext xmlns:c16="http://schemas.microsoft.com/office/drawing/2014/chart" uri="{C3380CC4-5D6E-409C-BE32-E72D297353CC}">
                <c16:uniqueId val="{00000001-7FF0-420D-A293-CCF1529633C6}"/>
              </c:ext>
            </c:extLst>
          </c:dPt>
          <c:dPt>
            <c:idx val="1"/>
            <c:bubble3D val="0"/>
            <c:spPr>
              <a:solidFill>
                <a:srgbClr val="E8788C"/>
              </a:solidFill>
              <a:ln w="19050">
                <a:solidFill>
                  <a:schemeClr val="lt1"/>
                </a:solidFill>
              </a:ln>
              <a:effectLst/>
            </c:spPr>
            <c:extLst>
              <c:ext xmlns:c16="http://schemas.microsoft.com/office/drawing/2014/chart" uri="{C3380CC4-5D6E-409C-BE32-E72D297353CC}">
                <c16:uniqueId val="{00000003-7FF0-420D-A293-CCF1529633C6}"/>
              </c:ext>
            </c:extLst>
          </c:dPt>
          <c:cat>
            <c:strRef>
              <c:f>PivotTables!$AA$6:$AA$8</c:f>
              <c:strCache>
                <c:ptCount val="2"/>
                <c:pt idx="0">
                  <c:v>Paid</c:v>
                </c:pt>
                <c:pt idx="1">
                  <c:v>Not Paid</c:v>
                </c:pt>
              </c:strCache>
            </c:strRef>
          </c:cat>
          <c:val>
            <c:numRef>
              <c:f>PivotTables!$AB$6:$AB$8</c:f>
              <c:numCache>
                <c:formatCode>General</c:formatCode>
                <c:ptCount val="2"/>
                <c:pt idx="0">
                  <c:v>707</c:v>
                </c:pt>
                <c:pt idx="1">
                  <c:v>72</c:v>
                </c:pt>
              </c:numCache>
            </c:numRef>
          </c:val>
          <c:extLst>
            <c:ext xmlns:c16="http://schemas.microsoft.com/office/drawing/2014/chart" uri="{C3380CC4-5D6E-409C-BE32-E72D297353CC}">
              <c16:uniqueId val="{00000004-7FF0-420D-A293-CCF1529633C6}"/>
            </c:ext>
          </c:extLst>
        </c:ser>
        <c:dLbls>
          <c:showLegendKey val="0"/>
          <c:showVal val="0"/>
          <c:showCatName val="0"/>
          <c:showSerName val="0"/>
          <c:showPercent val="0"/>
          <c:showBubbleSize val="0"/>
          <c:showLeaderLines val="1"/>
        </c:dLbls>
        <c:firstSliceAng val="0"/>
        <c:holeSize val="8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[Sales Performance Metric Dashboard.xlsx]PivotTables!PivotTable7</c:name>
    <c:fmtId val="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1">
              <a:alpha val="10000"/>
            </a:schemeClr>
          </a:solidFill>
          <a:ln w="3175">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tx1">
              <a:alpha val="10000"/>
            </a:schemeClr>
          </a:solidFill>
          <a:ln w="3175">
            <a:solidFill>
              <a:schemeClr val="bg1"/>
            </a:solidFill>
          </a:ln>
          <a:effectLst/>
        </c:spPr>
        <c:marker>
          <c:symbol val="none"/>
        </c:marker>
      </c:pivotFmt>
    </c:pivotFmts>
    <c:plotArea>
      <c:layout/>
      <c:barChart>
        <c:barDir val="col"/>
        <c:grouping val="clustered"/>
        <c:varyColors val="0"/>
        <c:dLbls>
          <c:showLegendKey val="0"/>
          <c:showVal val="0"/>
          <c:showCatName val="0"/>
          <c:showSerName val="0"/>
          <c:showPercent val="0"/>
          <c:showBubbleSize val="0"/>
        </c:dLbls>
        <c:gapWidth val="0"/>
        <c:overlap val="100"/>
        <c:axId val="348739304"/>
        <c:axId val="348740088"/>
      </c:barChart>
      <c:catAx>
        <c:axId val="348739304"/>
        <c:scaling>
          <c:orientation val="minMax"/>
        </c:scaling>
        <c:delete val="1"/>
        <c:axPos val="b"/>
        <c:numFmt formatCode="General" sourceLinked="1"/>
        <c:majorTickMark val="none"/>
        <c:minorTickMark val="none"/>
        <c:tickLblPos val="nextTo"/>
        <c:crossAx val="348740088"/>
        <c:crosses val="autoZero"/>
        <c:auto val="1"/>
        <c:lblAlgn val="ctr"/>
        <c:lblOffset val="100"/>
        <c:noMultiLvlLbl val="0"/>
      </c:catAx>
      <c:valAx>
        <c:axId val="348740088"/>
        <c:scaling>
          <c:orientation val="minMax"/>
        </c:scaling>
        <c:delete val="1"/>
        <c:axPos val="l"/>
        <c:numFmt formatCode="#,##0" sourceLinked="1"/>
        <c:majorTickMark val="none"/>
        <c:minorTickMark val="none"/>
        <c:tickLblPos val="nextTo"/>
        <c:crossAx val="348739304"/>
        <c:crosses val="autoZero"/>
        <c:crossBetween val="between"/>
      </c:valAx>
      <c:spPr>
        <a:noFill/>
        <a:ln w="25400">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[Sales Performance Metric Dashboard.xlsx]PivotTables!PivotTable9</c:name>
    <c:fmtId val="12"/>
  </c:pivotSource>
  <c:chart>
    <c:autoTitleDeleted val="1"/>
    <c:pivotFmts>
      <c:pivotFmt>
        <c:idx val="0"/>
        <c:spPr>
          <a:solidFill>
            <a:srgbClr val="0AEAE0">
              <a:alpha val="13000"/>
            </a:srgbClr>
          </a:solidFill>
          <a:ln w="12700">
            <a:solidFill>
              <a:srgbClr val="A13F9E"/>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rgbClr val="0AEAE0">
              <a:alpha val="13000"/>
            </a:srgbClr>
          </a:solidFill>
          <a:ln w="12700">
            <a:solidFill>
              <a:srgbClr val="A13F9E"/>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0AEAE0">
              <a:alpha val="13000"/>
            </a:srgbClr>
          </a:solidFill>
          <a:ln w="12700">
            <a:solidFill>
              <a:srgbClr val="A13F9E"/>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rgbClr val="0AEAE0">
              <a:alpha val="13000"/>
            </a:srgbClr>
          </a:solidFill>
          <a:ln w="12700">
            <a:solidFill>
              <a:srgbClr val="A13F9E"/>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radarChart>
        <c:radarStyle val="filled"/>
        <c:varyColors val="0"/>
        <c:ser>
          <c:idx val="0"/>
          <c:order val="0"/>
          <c:tx>
            <c:strRef>
              <c:f>PivotTables!$AR$5</c:f>
              <c:strCache>
                <c:ptCount val="1"/>
                <c:pt idx="0">
                  <c:v>Total</c:v>
                </c:pt>
              </c:strCache>
            </c:strRef>
          </c:tx>
          <c:spPr>
            <a:solidFill>
              <a:srgbClr val="0AEAE0">
                <a:alpha val="13000"/>
              </a:srgbClr>
            </a:solidFill>
            <a:ln w="12700">
              <a:solidFill>
                <a:srgbClr val="A13F9E"/>
              </a:solidFill>
            </a:ln>
            <a:effectLst/>
          </c:spPr>
          <c:cat>
            <c:strRef>
              <c:f>PivotTables!$AQ$6:$AQ$12</c:f>
              <c:strCache>
                <c:ptCount val="6"/>
                <c:pt idx="0">
                  <c:v>Bali &amp; Nusra</c:v>
                </c:pt>
                <c:pt idx="1">
                  <c:v>Jawa</c:v>
                </c:pt>
                <c:pt idx="2">
                  <c:v>Kalimantan</c:v>
                </c:pt>
                <c:pt idx="3">
                  <c:v>Maluku &amp; Papua</c:v>
                </c:pt>
                <c:pt idx="4">
                  <c:v>Sulawesi</c:v>
                </c:pt>
                <c:pt idx="5">
                  <c:v>Sumatra</c:v>
                </c:pt>
              </c:strCache>
            </c:strRef>
          </c:cat>
          <c:val>
            <c:numRef>
              <c:f>PivotTables!$AR$6:$AR$12</c:f>
              <c:numCache>
                <c:formatCode>General</c:formatCode>
                <c:ptCount val="6"/>
                <c:pt idx="0">
                  <c:v>41</c:v>
                </c:pt>
                <c:pt idx="1">
                  <c:v>244</c:v>
                </c:pt>
                <c:pt idx="2">
                  <c:v>54</c:v>
                </c:pt>
                <c:pt idx="3">
                  <c:v>45</c:v>
                </c:pt>
                <c:pt idx="4">
                  <c:v>88</c:v>
                </c:pt>
                <c:pt idx="5">
                  <c:v>307</c:v>
                </c:pt>
              </c:numCache>
            </c:numRef>
          </c:val>
          <c:extLst>
            <c:ext xmlns:c16="http://schemas.microsoft.com/office/drawing/2014/chart" uri="{C3380CC4-5D6E-409C-BE32-E72D297353CC}">
              <c16:uniqueId val="{00000004-E9C5-4BD7-8140-B073DBED38BA}"/>
            </c:ext>
          </c:extLst>
        </c:ser>
        <c:dLbls>
          <c:showLegendKey val="0"/>
          <c:showVal val="0"/>
          <c:showCatName val="0"/>
          <c:showSerName val="0"/>
          <c:showPercent val="0"/>
          <c:showBubbleSize val="0"/>
        </c:dLbls>
        <c:axId val="348742440"/>
        <c:axId val="348742832"/>
      </c:radarChart>
      <c:catAx>
        <c:axId val="34874244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348742832"/>
        <c:crosses val="autoZero"/>
        <c:auto val="1"/>
        <c:lblAlgn val="ctr"/>
        <c:lblOffset val="100"/>
        <c:noMultiLvlLbl val="0"/>
      </c:catAx>
      <c:valAx>
        <c:axId val="348742832"/>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348742440"/>
        <c:crosses val="autoZero"/>
        <c:crossBetween val="between"/>
      </c:valAx>
      <c:spPr>
        <a:noFill/>
        <a:ln>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Metric Dashboard.xlsx]PivotTables!PivotTable10</c:name>
    <c:fmtId val="15"/>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rgbClr val="0AEAE0"/>
          </a:solidFill>
          <a:ln w="19050">
            <a:solidFill>
              <a:schemeClr val="lt1"/>
            </a:solidFill>
          </a:ln>
          <a:effectLst/>
        </c:spPr>
      </c:pivotFmt>
      <c:pivotFmt>
        <c:idx val="2"/>
        <c:spPr>
          <a:solidFill>
            <a:srgbClr val="A13F9E"/>
          </a:solidFill>
          <a:ln w="19050">
            <a:solidFill>
              <a:schemeClr val="lt1"/>
            </a:solidFill>
          </a:ln>
          <a:effectLst/>
        </c:spPr>
      </c:pivotFmt>
      <c:pivotFmt>
        <c:idx val="3"/>
        <c:spPr>
          <a:solidFill>
            <a:srgbClr val="E8788C"/>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rgbClr val="0AEAE0"/>
          </a:solidFill>
          <a:ln w="19050">
            <a:solidFill>
              <a:schemeClr val="lt1"/>
            </a:solidFill>
          </a:ln>
          <a:effectLst/>
        </c:spPr>
      </c:pivotFmt>
      <c:pivotFmt>
        <c:idx val="6"/>
        <c:spPr>
          <a:solidFill>
            <a:srgbClr val="A13F9E"/>
          </a:solidFill>
          <a:ln w="19050">
            <a:solidFill>
              <a:schemeClr val="lt1"/>
            </a:solidFill>
          </a:ln>
          <a:effectLst/>
        </c:spPr>
      </c:pivotFmt>
      <c:pivotFmt>
        <c:idx val="7"/>
        <c:spPr>
          <a:solidFill>
            <a:srgbClr val="E8788C"/>
          </a:solidFill>
          <a:ln w="19050">
            <a:solidFill>
              <a:schemeClr val="lt1"/>
            </a:solidFill>
          </a:ln>
          <a:effectLst/>
        </c:spPr>
      </c:pivotFmt>
      <c:pivotFmt>
        <c:idx val="8"/>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rgbClr val="0AEAE0"/>
          </a:solidFill>
          <a:ln w="19050">
            <a:solidFill>
              <a:schemeClr val="lt1"/>
            </a:solidFill>
          </a:ln>
          <a:effectLst/>
        </c:spPr>
      </c:pivotFmt>
      <c:pivotFmt>
        <c:idx val="10"/>
        <c:spPr>
          <a:solidFill>
            <a:srgbClr val="A13F9E"/>
          </a:solidFill>
          <a:ln w="19050">
            <a:solidFill>
              <a:schemeClr val="lt1"/>
            </a:solidFill>
          </a:ln>
          <a:effectLst/>
        </c:spPr>
      </c:pivotFmt>
      <c:pivotFmt>
        <c:idx val="11"/>
        <c:spPr>
          <a:solidFill>
            <a:srgbClr val="E8788C"/>
          </a:solidFill>
          <a:ln w="19050">
            <a:solidFill>
              <a:schemeClr val="lt1"/>
            </a:solidFill>
          </a:ln>
          <a:effectLst/>
        </c:spPr>
      </c:pivotFmt>
    </c:pivotFmts>
    <c:plotArea>
      <c:layout/>
      <c:pieChart>
        <c:varyColors val="1"/>
        <c:ser>
          <c:idx val="0"/>
          <c:order val="0"/>
          <c:tx>
            <c:strRef>
              <c:f>PivotTables!$AW$5</c:f>
              <c:strCache>
                <c:ptCount val="1"/>
                <c:pt idx="0">
                  <c:v>Total</c:v>
                </c:pt>
              </c:strCache>
            </c:strRef>
          </c:tx>
          <c:dPt>
            <c:idx val="0"/>
            <c:bubble3D val="0"/>
            <c:spPr>
              <a:solidFill>
                <a:srgbClr val="0AEAE0"/>
              </a:solidFill>
              <a:ln w="19050">
                <a:solidFill>
                  <a:schemeClr val="lt1"/>
                </a:solidFill>
              </a:ln>
              <a:effectLst/>
            </c:spPr>
            <c:extLst>
              <c:ext xmlns:c16="http://schemas.microsoft.com/office/drawing/2014/chart" uri="{C3380CC4-5D6E-409C-BE32-E72D297353CC}">
                <c16:uniqueId val="{00000001-7267-4B80-BC3A-3DB882263D1E}"/>
              </c:ext>
            </c:extLst>
          </c:dPt>
          <c:dPt>
            <c:idx val="1"/>
            <c:bubble3D val="0"/>
            <c:spPr>
              <a:solidFill>
                <a:srgbClr val="A13F9E"/>
              </a:solidFill>
              <a:ln w="19050">
                <a:solidFill>
                  <a:schemeClr val="lt1"/>
                </a:solidFill>
              </a:ln>
              <a:effectLst/>
            </c:spPr>
            <c:extLst>
              <c:ext xmlns:c16="http://schemas.microsoft.com/office/drawing/2014/chart" uri="{C3380CC4-5D6E-409C-BE32-E72D297353CC}">
                <c16:uniqueId val="{00000003-7267-4B80-BC3A-3DB882263D1E}"/>
              </c:ext>
            </c:extLst>
          </c:dPt>
          <c:dPt>
            <c:idx val="2"/>
            <c:bubble3D val="0"/>
            <c:spPr>
              <a:solidFill>
                <a:srgbClr val="E8788C"/>
              </a:solidFill>
              <a:ln w="19050">
                <a:solidFill>
                  <a:schemeClr val="lt1"/>
                </a:solidFill>
              </a:ln>
              <a:effectLst/>
            </c:spPr>
            <c:extLst>
              <c:ext xmlns:c16="http://schemas.microsoft.com/office/drawing/2014/chart" uri="{C3380CC4-5D6E-409C-BE32-E72D297353CC}">
                <c16:uniqueId val="{00000005-7267-4B80-BC3A-3DB882263D1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PivotTables!$AV$6:$AV$9</c:f>
              <c:strCache>
                <c:ptCount val="3"/>
                <c:pt idx="0">
                  <c:v>Bank Transfer</c:v>
                </c:pt>
                <c:pt idx="1">
                  <c:v>Cheque</c:v>
                </c:pt>
                <c:pt idx="2">
                  <c:v>COD</c:v>
                </c:pt>
              </c:strCache>
            </c:strRef>
          </c:cat>
          <c:val>
            <c:numRef>
              <c:f>PivotTables!$AW$6:$AW$9</c:f>
              <c:numCache>
                <c:formatCode>[&lt;999950]#,##0.0,"K";[&lt;999950000]#,##0.0,,"JT";#,##0.0,,,"M"</c:formatCode>
                <c:ptCount val="3"/>
                <c:pt idx="0">
                  <c:v>12680000000</c:v>
                </c:pt>
                <c:pt idx="1">
                  <c:v>10700000000</c:v>
                </c:pt>
                <c:pt idx="2">
                  <c:v>13080000000</c:v>
                </c:pt>
              </c:numCache>
            </c:numRef>
          </c:val>
          <c:extLst>
            <c:ext xmlns:c16="http://schemas.microsoft.com/office/drawing/2014/chart" uri="{C3380CC4-5D6E-409C-BE32-E72D297353CC}">
              <c16:uniqueId val="{00000006-7267-4B80-BC3A-3DB882263D1E}"/>
            </c:ext>
          </c:extLst>
        </c:ser>
        <c:dLbls>
          <c:dLblPos val="outEnd"/>
          <c:showLegendKey val="0"/>
          <c:showVal val="1"/>
          <c:showCatName val="0"/>
          <c:showSerName val="0"/>
          <c:showPercent val="0"/>
          <c:showBubbleSize val="0"/>
          <c:showLeaderLines val="1"/>
        </c:dLbls>
        <c:firstSliceAng val="0"/>
      </c:pie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Metric Dashboard.xlsx]PivotTables!PivotTable11</c:name>
    <c:fmtId val="19"/>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rgbClr val="A13F9E"/>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85000"/>
                      <a:lumOff val="15000"/>
                    </a:schemeClr>
                  </a:solidFill>
                  <a:latin typeface="+mn-lt"/>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PivotTables!$BA$5</c:f>
              <c:strCache>
                <c:ptCount val="1"/>
                <c:pt idx="0">
                  <c:v>Total</c:v>
                </c:pt>
              </c:strCache>
            </c:strRef>
          </c:tx>
          <c:spPr>
            <a:solidFill>
              <a:srgbClr val="A13F9E"/>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85000"/>
                        <a:lumOff val="15000"/>
                      </a:schemeClr>
                    </a:solidFill>
                    <a:latin typeface="+mn-lt"/>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PivotTables!$BA$6</c:f>
              <c:strCache>
                <c:ptCount val="1"/>
                <c:pt idx="0">
                  <c:v>Total</c:v>
                </c:pt>
              </c:strCache>
            </c:strRef>
          </c:cat>
          <c:val>
            <c:numRef>
              <c:f>PivotTables!$BA$6</c:f>
              <c:numCache>
                <c:formatCode>[&lt;999950]#,##0.0,"K";[&lt;999950000]#,##0.0,,"JT";#,##0.0,,,"M"</c:formatCode>
                <c:ptCount val="1"/>
                <c:pt idx="0">
                  <c:v>36460000000</c:v>
                </c:pt>
              </c:numCache>
            </c:numRef>
          </c:val>
          <c:extLst>
            <c:ext xmlns:c16="http://schemas.microsoft.com/office/drawing/2014/chart" uri="{C3380CC4-5D6E-409C-BE32-E72D297353CC}">
              <c16:uniqueId val="{00000000-CA40-4698-91C6-9C847894952F}"/>
            </c:ext>
          </c:extLst>
        </c:ser>
        <c:dLbls>
          <c:dLblPos val="outEnd"/>
          <c:showLegendKey val="0"/>
          <c:showVal val="1"/>
          <c:showCatName val="0"/>
          <c:showSerName val="0"/>
          <c:showPercent val="0"/>
          <c:showBubbleSize val="0"/>
        </c:dLbls>
        <c:gapWidth val="182"/>
        <c:axId val="348744792"/>
        <c:axId val="348741656"/>
      </c:barChart>
      <c:catAx>
        <c:axId val="348744792"/>
        <c:scaling>
          <c:orientation val="maxMin"/>
        </c:scaling>
        <c:delete val="0"/>
        <c:axPos val="l"/>
        <c:numFmt formatCode="General" sourceLinked="1"/>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348741656"/>
        <c:crosses val="autoZero"/>
        <c:auto val="1"/>
        <c:lblAlgn val="ctr"/>
        <c:lblOffset val="100"/>
        <c:tickLblSkip val="1"/>
        <c:noMultiLvlLbl val="0"/>
      </c:catAx>
      <c:valAx>
        <c:axId val="348741656"/>
        <c:scaling>
          <c:orientation val="minMax"/>
        </c:scaling>
        <c:delete val="1"/>
        <c:axPos val="t"/>
        <c:numFmt formatCode="[&lt;999950]#,##0.0,&quot;K&quot;;[&lt;999950000]#,##0.0,,&quot;JT&quot;;#,##0.0,,,&quot;M&quot;" sourceLinked="1"/>
        <c:majorTickMark val="none"/>
        <c:minorTickMark val="none"/>
        <c:tickLblPos val="nextTo"/>
        <c:crossAx val="3487447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Metric Dashboard.xlsx]PivotTables!PivotTable12</c:name>
    <c:fmtId val="22"/>
  </c:pivotSource>
  <c:chart>
    <c:autoTitleDeleted val="1"/>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5400" cap="rnd">
            <a:solidFill>
              <a:srgbClr val="A13F9E"/>
            </a:solidFill>
            <a:round/>
          </a:ln>
          <a:effectLst/>
        </c:spPr>
        <c:marker>
          <c:symbol val="circle"/>
          <c:size val="8"/>
          <c:spPr>
            <a:solidFill>
              <a:schemeClr val="bg1"/>
            </a:solidFill>
            <a:ln w="15875">
              <a:solidFill>
                <a:srgbClr val="A13F9E"/>
              </a:solidFill>
            </a:ln>
            <a:effectLst/>
          </c:spPr>
        </c:marker>
      </c:pivotFmt>
    </c:pivotFmts>
    <c:plotArea>
      <c:layout/>
      <c:lineChart>
        <c:grouping val="standard"/>
        <c:varyColors val="0"/>
        <c:dLbls>
          <c:showLegendKey val="0"/>
          <c:showVal val="0"/>
          <c:showCatName val="0"/>
          <c:showSerName val="0"/>
          <c:showPercent val="0"/>
          <c:showBubbleSize val="0"/>
        </c:dLbls>
        <c:marker val="1"/>
        <c:smooth val="0"/>
        <c:axId val="348738520"/>
        <c:axId val="348738912"/>
      </c:lineChart>
      <c:catAx>
        <c:axId val="34873852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48738912"/>
        <c:crosses val="autoZero"/>
        <c:auto val="1"/>
        <c:lblAlgn val="ctr"/>
        <c:lblOffset val="100"/>
        <c:noMultiLvlLbl val="0"/>
      </c:catAx>
      <c:valAx>
        <c:axId val="348738912"/>
        <c:scaling>
          <c:orientation val="minMax"/>
        </c:scaling>
        <c:delete val="1"/>
        <c:axPos val="l"/>
        <c:majorGridlines>
          <c:spPr>
            <a:ln w="9525" cap="flat" cmpd="sng" algn="ctr">
              <a:solidFill>
                <a:schemeClr val="bg1">
                  <a:lumMod val="85000"/>
                  <a:alpha val="50000"/>
                </a:schemeClr>
              </a:solidFill>
              <a:round/>
            </a:ln>
            <a:effectLst/>
          </c:spPr>
        </c:majorGridlines>
        <c:numFmt formatCode="#,##0" sourceLinked="1"/>
        <c:majorTickMark val="none"/>
        <c:minorTickMark val="none"/>
        <c:tickLblPos val="nextTo"/>
        <c:crossAx val="34873852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spPr>
            <a:ln w="28575" cap="rnd">
              <a:noFill/>
              <a:round/>
            </a:ln>
            <a:effectLst/>
          </c:spPr>
          <c:marker>
            <c:symbol val="circle"/>
            <c:size val="11"/>
            <c:spPr>
              <a:solidFill>
                <a:srgbClr val="A13F9E"/>
              </a:solidFill>
              <a:ln w="9525">
                <a:noFill/>
              </a:ln>
              <a:effectLst/>
            </c:spPr>
          </c:marker>
          <c:cat>
            <c:numRef>
              <c:f>PivotTables!$BT$6:$BT$17</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cat>
          <c:val>
            <c:numRef>
              <c:f>PivotTables!$BU$6:$BU$17</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0-58AA-44BA-922C-47D286C52CA5}"/>
            </c:ext>
          </c:extLst>
        </c:ser>
        <c:ser>
          <c:idx val="1"/>
          <c:order val="1"/>
          <c:spPr>
            <a:ln w="25400" cap="rnd">
              <a:noFill/>
              <a:round/>
            </a:ln>
            <a:effectLst/>
          </c:spPr>
          <c:marker>
            <c:symbol val="circle"/>
            <c:size val="11"/>
            <c:spPr>
              <a:solidFill>
                <a:srgbClr val="DB2D4A"/>
              </a:solidFill>
              <a:ln w="9525">
                <a:noFill/>
              </a:ln>
              <a:effectLst/>
            </c:spPr>
          </c:marker>
          <c:cat>
            <c:numRef>
              <c:f>PivotTables!$BT$6:$BT$17</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cat>
          <c:val>
            <c:numRef>
              <c:f>PivotTables!$BV$6:$BV$17</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1-58AA-44BA-922C-47D286C52CA5}"/>
            </c:ext>
          </c:extLst>
        </c:ser>
        <c:ser>
          <c:idx val="2"/>
          <c:order val="2"/>
          <c:spPr>
            <a:ln w="25400" cap="rnd">
              <a:noFill/>
              <a:round/>
            </a:ln>
            <a:effectLst/>
          </c:spPr>
          <c:marker>
            <c:symbol val="circle"/>
            <c:size val="11"/>
            <c:spPr>
              <a:solidFill>
                <a:srgbClr val="00B626"/>
              </a:solidFill>
              <a:ln w="9525">
                <a:noFill/>
              </a:ln>
              <a:effectLst/>
            </c:spPr>
          </c:marker>
          <c:cat>
            <c:numRef>
              <c:f>PivotTables!$BT$6:$BT$17</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cat>
          <c:val>
            <c:numRef>
              <c:f>PivotTables!$BW$6:$BW$17</c:f>
              <c:numCache>
                <c:formatCode>General</c:formatCode>
                <c:ptCount val="12"/>
                <c:pt idx="0">
                  <c:v>0</c:v>
                </c:pt>
                <c:pt idx="1">
                  <c:v>0</c:v>
                </c:pt>
                <c:pt idx="2">
                  <c:v>0</c:v>
                </c:pt>
                <c:pt idx="3">
                  <c:v>0</c:v>
                </c:pt>
                <c:pt idx="4">
                  <c:v>0</c:v>
                </c:pt>
                <c:pt idx="5">
                  <c:v>0</c:v>
                </c:pt>
                <c:pt idx="6">
                  <c:v>0</c:v>
                </c:pt>
                <c:pt idx="7">
                  <c:v>0</c:v>
                </c:pt>
                <c:pt idx="8">
                  <c:v>0</c:v>
                </c:pt>
                <c:pt idx="9">
                  <c:v>0</c:v>
                </c:pt>
                <c:pt idx="10">
                  <c:v>0</c:v>
                </c:pt>
                <c:pt idx="11">
                  <c:v>0</c:v>
                </c:pt>
              </c:numCache>
            </c:numRef>
          </c:val>
          <c:smooth val="0"/>
          <c:extLst>
            <c:ext xmlns:c16="http://schemas.microsoft.com/office/drawing/2014/chart" uri="{C3380CC4-5D6E-409C-BE32-E72D297353CC}">
              <c16:uniqueId val="{00000002-58AA-44BA-922C-47D286C52CA5}"/>
            </c:ext>
          </c:extLst>
        </c:ser>
        <c:dLbls>
          <c:showLegendKey val="0"/>
          <c:showVal val="0"/>
          <c:showCatName val="0"/>
          <c:showSerName val="0"/>
          <c:showPercent val="0"/>
          <c:showBubbleSize val="0"/>
        </c:dLbls>
        <c:marker val="1"/>
        <c:smooth val="0"/>
        <c:axId val="349640216"/>
        <c:axId val="349642960"/>
      </c:lineChart>
      <c:catAx>
        <c:axId val="3496402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349642960"/>
        <c:crosses val="autoZero"/>
        <c:auto val="1"/>
        <c:lblAlgn val="ctr"/>
        <c:lblOffset val="100"/>
        <c:noMultiLvlLbl val="0"/>
      </c:catAx>
      <c:valAx>
        <c:axId val="349642960"/>
        <c:scaling>
          <c:orientation val="minMax"/>
          <c:min val="0"/>
        </c:scaling>
        <c:delete val="0"/>
        <c:axPos val="l"/>
        <c:majorGridlines>
          <c:spPr>
            <a:ln w="9525" cap="flat" cmpd="sng" algn="ctr">
              <a:solidFill>
                <a:schemeClr val="bg1">
                  <a:lumMod val="85000"/>
                </a:schemeClr>
              </a:solidFill>
              <a:prstDash val="sysDot"/>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349640216"/>
        <c:crosses val="autoZero"/>
        <c:crossBetween val="between"/>
        <c:majorUnit val="50"/>
        <c:minorUnit val="10"/>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Metric Dashboard.xlsx]PivotTables!PivotTable15</c:name>
    <c:fmtId val="2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no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dLblPos val="inBase"/>
          <c:showLegendKey val="0"/>
          <c:showVal val="0"/>
          <c:showCatName val="1"/>
          <c:showSerName val="0"/>
          <c:showPercent val="0"/>
          <c:showBubbleSize val="0"/>
          <c:separator> </c:separator>
          <c:extLst>
            <c:ext xmlns:c15="http://schemas.microsoft.com/office/drawing/2012/chart" uri="{CE6537A1-D6FC-4f65-9D91-7224C49458BB}"/>
          </c:extLst>
        </c:dLbl>
      </c:pivotFmt>
      <c:pivotFmt>
        <c:idx val="2"/>
        <c:spPr>
          <a:solidFill>
            <a:srgbClr val="00B626"/>
          </a:solidFill>
          <a:ln>
            <a:noFill/>
          </a:ln>
          <a:effectLst/>
        </c:spPr>
      </c:pivotFmt>
      <c:pivotFmt>
        <c:idx val="3"/>
        <c:spPr>
          <a:solidFill>
            <a:srgbClr val="FED14E"/>
          </a:solidFill>
          <a:ln>
            <a:noFill/>
          </a:ln>
          <a:effectLst/>
        </c:spPr>
      </c:pivotFmt>
      <c:pivotFmt>
        <c:idx val="4"/>
        <c:spPr>
          <a:solidFill>
            <a:srgbClr val="E8788C"/>
          </a:solidFill>
          <a:ln>
            <a:noFill/>
          </a:ln>
          <a:effectLst/>
        </c:spPr>
      </c:pivotFmt>
      <c:pivotFmt>
        <c:idx val="5"/>
        <c:spPr>
          <a:solidFill>
            <a:srgbClr val="A13F9E"/>
          </a:solidFill>
          <a:ln>
            <a:noFill/>
          </a:ln>
          <a:effectLst/>
        </c:spPr>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rgbClr val="00B626"/>
          </a:solidFill>
          <a:ln>
            <a:noFill/>
          </a:ln>
          <a:effectLst/>
        </c:spPr>
      </c:pivotFmt>
      <c:pivotFmt>
        <c:idx val="8"/>
        <c:spPr>
          <a:solidFill>
            <a:srgbClr val="FED14E"/>
          </a:solidFill>
          <a:ln>
            <a:noFill/>
          </a:ln>
          <a:effectLst/>
        </c:spPr>
      </c:pivotFmt>
      <c:pivotFmt>
        <c:idx val="9"/>
        <c:spPr>
          <a:solidFill>
            <a:srgbClr val="E8788C"/>
          </a:solidFill>
          <a:ln>
            <a:noFill/>
          </a:ln>
          <a:effectLst/>
        </c:spPr>
      </c:pivotFmt>
      <c:pivotFmt>
        <c:idx val="10"/>
        <c:spPr>
          <a:solidFill>
            <a:srgbClr val="A13F9E"/>
          </a:solidFill>
          <a:ln>
            <a:noFill/>
          </a:ln>
          <a:effectLst/>
        </c:spPr>
      </c:pivotFmt>
      <c:pivotFmt>
        <c:idx val="11"/>
        <c:spPr>
          <a:no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dLblPos val="inBase"/>
          <c:showLegendKey val="0"/>
          <c:showVal val="0"/>
          <c:showCatName val="1"/>
          <c:showSerName val="0"/>
          <c:showPercent val="0"/>
          <c:showBubbleSize val="0"/>
          <c:separator> </c:separator>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rgbClr val="00B626"/>
          </a:solidFill>
          <a:ln>
            <a:noFill/>
          </a:ln>
          <a:effectLst/>
        </c:spPr>
      </c:pivotFmt>
      <c:pivotFmt>
        <c:idx val="14"/>
        <c:spPr>
          <a:solidFill>
            <a:srgbClr val="FED14E"/>
          </a:solidFill>
          <a:ln>
            <a:noFill/>
          </a:ln>
          <a:effectLst/>
        </c:spPr>
      </c:pivotFmt>
      <c:pivotFmt>
        <c:idx val="15"/>
        <c:spPr>
          <a:solidFill>
            <a:srgbClr val="E8788C"/>
          </a:solidFill>
          <a:ln>
            <a:noFill/>
          </a:ln>
          <a:effectLst/>
        </c:spPr>
      </c:pivotFmt>
      <c:pivotFmt>
        <c:idx val="16"/>
        <c:spPr>
          <a:solidFill>
            <a:srgbClr val="A13F9E"/>
          </a:solidFill>
          <a:ln>
            <a:noFill/>
          </a:ln>
          <a:effectLst/>
        </c:spPr>
      </c:pivotFmt>
      <c:pivotFmt>
        <c:idx val="17"/>
        <c:spPr>
          <a:no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l">
                <a:defRPr sz="10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inBase"/>
          <c:showLegendKey val="0"/>
          <c:showVal val="0"/>
          <c:showCatName val="1"/>
          <c:showSerName val="0"/>
          <c:showPercent val="0"/>
          <c:showBubbleSize val="0"/>
          <c:separator> </c:separator>
          <c:extLst>
            <c:ext xmlns:c15="http://schemas.microsoft.com/office/drawing/2012/chart" uri="{CE6537A1-D6FC-4f65-9D91-7224C49458BB}"/>
          </c:extLst>
        </c:dLbl>
      </c:pivotFmt>
      <c:pivotFmt>
        <c:idx val="18"/>
        <c:spPr>
          <a:noFill/>
          <a:ln>
            <a:noFill/>
          </a:ln>
          <a:effectLst/>
        </c:spPr>
        <c:dLbl>
          <c:idx val="0"/>
          <c:spPr>
            <a:noFill/>
            <a:ln>
              <a:noFill/>
            </a:ln>
            <a:effectLst/>
          </c:spPr>
          <c:txPr>
            <a:bodyPr rot="0" spcFirstLastPara="1" vertOverflow="ellipsis" vert="horz" wrap="square" lIns="38100" tIns="19050" rIns="38100" bIns="19050" anchor="ctr" anchorCtr="0">
              <a:noAutofit/>
            </a:bodyPr>
            <a:lstStyle/>
            <a:p>
              <a:pPr algn="l">
                <a:defRPr sz="10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inBase"/>
          <c:showLegendKey val="0"/>
          <c:showVal val="0"/>
          <c:showCatName val="1"/>
          <c:showSerName val="0"/>
          <c:showPercent val="0"/>
          <c:showBubbleSize val="0"/>
          <c:separator> </c:separator>
          <c:extLst>
            <c:ext xmlns:c15="http://schemas.microsoft.com/office/drawing/2012/chart" uri="{CE6537A1-D6FC-4f65-9D91-7224C49458BB}">
              <c15:spPr xmlns:c15="http://schemas.microsoft.com/office/drawing/2012/chart">
                <a:prstGeom prst="rect">
                  <a:avLst/>
                </a:prstGeom>
              </c15:spPr>
            </c:ext>
          </c:extLst>
        </c:dLbl>
      </c:pivotFmt>
    </c:pivotFmts>
    <c:plotArea>
      <c:layout/>
      <c:barChart>
        <c:barDir val="bar"/>
        <c:grouping val="clustered"/>
        <c:varyColors val="0"/>
        <c:ser>
          <c:idx val="0"/>
          <c:order val="0"/>
          <c:tx>
            <c:strRef>
              <c:f>PivotTables!$CE$5</c:f>
              <c:strCache>
                <c:ptCount val="1"/>
                <c:pt idx="0">
                  <c:v>Sum of Amount of Sales</c:v>
                </c:pt>
              </c:strCache>
            </c:strRef>
          </c:tx>
          <c:spPr>
            <a:solidFill>
              <a:schemeClr val="accent1"/>
            </a:solidFill>
            <a:ln>
              <a:noFill/>
            </a:ln>
            <a:effectLst/>
          </c:spPr>
          <c:invertIfNegative val="0"/>
          <c:dPt>
            <c:idx val="0"/>
            <c:invertIfNegative val="0"/>
            <c:bubble3D val="0"/>
            <c:spPr>
              <a:solidFill>
                <a:srgbClr val="00B626"/>
              </a:solidFill>
              <a:ln>
                <a:noFill/>
              </a:ln>
              <a:effectLst/>
            </c:spPr>
            <c:extLst>
              <c:ext xmlns:c16="http://schemas.microsoft.com/office/drawing/2014/chart" uri="{C3380CC4-5D6E-409C-BE32-E72D297353CC}">
                <c16:uniqueId val="{00000001-CC8D-47DB-A53F-F0358B10ADE6}"/>
              </c:ext>
            </c:extLst>
          </c:dPt>
          <c:dPt>
            <c:idx val="1"/>
            <c:invertIfNegative val="0"/>
            <c:bubble3D val="0"/>
            <c:spPr>
              <a:solidFill>
                <a:srgbClr val="FED14E"/>
              </a:solidFill>
              <a:ln>
                <a:noFill/>
              </a:ln>
              <a:effectLst/>
            </c:spPr>
            <c:extLst>
              <c:ext xmlns:c16="http://schemas.microsoft.com/office/drawing/2014/chart" uri="{C3380CC4-5D6E-409C-BE32-E72D297353CC}">
                <c16:uniqueId val="{00000003-CC8D-47DB-A53F-F0358B10ADE6}"/>
              </c:ext>
            </c:extLst>
          </c:dPt>
          <c:dPt>
            <c:idx val="2"/>
            <c:invertIfNegative val="0"/>
            <c:bubble3D val="0"/>
            <c:spPr>
              <a:solidFill>
                <a:srgbClr val="E8788C"/>
              </a:solidFill>
              <a:ln>
                <a:noFill/>
              </a:ln>
              <a:effectLst/>
            </c:spPr>
            <c:extLst>
              <c:ext xmlns:c16="http://schemas.microsoft.com/office/drawing/2014/chart" uri="{C3380CC4-5D6E-409C-BE32-E72D297353CC}">
                <c16:uniqueId val="{00000005-CC8D-47DB-A53F-F0358B10ADE6}"/>
              </c:ext>
            </c:extLst>
          </c:dPt>
          <c:dPt>
            <c:idx val="3"/>
            <c:invertIfNegative val="0"/>
            <c:bubble3D val="0"/>
            <c:spPr>
              <a:solidFill>
                <a:srgbClr val="A13F9E"/>
              </a:solidFill>
              <a:ln>
                <a:noFill/>
              </a:ln>
              <a:effectLst/>
            </c:spPr>
            <c:extLst>
              <c:ext xmlns:c16="http://schemas.microsoft.com/office/drawing/2014/chart" uri="{C3380CC4-5D6E-409C-BE32-E72D297353CC}">
                <c16:uniqueId val="{00000007-CC8D-47DB-A53F-F0358B10ADE6}"/>
              </c:ext>
            </c:extLst>
          </c:dPt>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PivotTables!$CD$6:$CD$9</c:f>
              <c:strCache>
                <c:ptCount val="4"/>
                <c:pt idx="0">
                  <c:v>Aisyah</c:v>
                </c:pt>
                <c:pt idx="1">
                  <c:v>David</c:v>
                </c:pt>
                <c:pt idx="2">
                  <c:v>Fitriani</c:v>
                </c:pt>
                <c:pt idx="3">
                  <c:v>Hendrawan</c:v>
                </c:pt>
              </c:strCache>
            </c:strRef>
          </c:cat>
          <c:val>
            <c:numRef>
              <c:f>PivotTables!$CE$6:$CE$9</c:f>
              <c:numCache>
                <c:formatCode>[&lt;999950]#,##0.0,"K";[&lt;999950000]#,##0.0,,"JT";#,##0.0,,,"M"</c:formatCode>
                <c:ptCount val="4"/>
                <c:pt idx="0">
                  <c:v>31700000000</c:v>
                </c:pt>
                <c:pt idx="1">
                  <c:v>36460000000</c:v>
                </c:pt>
                <c:pt idx="2">
                  <c:v>33260000000</c:v>
                </c:pt>
                <c:pt idx="3">
                  <c:v>36600000000</c:v>
                </c:pt>
              </c:numCache>
            </c:numRef>
          </c:val>
          <c:extLst>
            <c:ext xmlns:c16="http://schemas.microsoft.com/office/drawing/2014/chart" uri="{C3380CC4-5D6E-409C-BE32-E72D297353CC}">
              <c16:uniqueId val="{00000011-1ACF-48E5-A49D-AEDA26F0065B}"/>
            </c:ext>
          </c:extLst>
        </c:ser>
        <c:ser>
          <c:idx val="1"/>
          <c:order val="1"/>
          <c:tx>
            <c:strRef>
              <c:f>PivotTables!$CF$5</c:f>
              <c:strCache>
                <c:ptCount val="1"/>
                <c:pt idx="0">
                  <c:v>Sum of Amount of Sales2</c:v>
                </c:pt>
              </c:strCache>
            </c:strRef>
          </c:tx>
          <c:spPr>
            <a:noFill/>
            <a:ln>
              <a:noFill/>
            </a:ln>
            <a:effectLst/>
          </c:spPr>
          <c:invertIfNegative val="0"/>
          <c:dPt>
            <c:idx val="3"/>
            <c:invertIfNegative val="0"/>
            <c:bubble3D val="0"/>
            <c:extLst>
              <c:ext xmlns:c16="http://schemas.microsoft.com/office/drawing/2014/chart" uri="{C3380CC4-5D6E-409C-BE32-E72D297353CC}">
                <c16:uniqueId val="{00000009-CC8D-47DB-A53F-F0358B10ADE6}"/>
              </c:ext>
            </c:extLst>
          </c:dPt>
          <c:dLbls>
            <c:dLbl>
              <c:idx val="3"/>
              <c:spPr>
                <a:noFill/>
                <a:ln>
                  <a:noFill/>
                </a:ln>
                <a:effectLst/>
              </c:spPr>
              <c:txPr>
                <a:bodyPr rot="0" spcFirstLastPara="1" vertOverflow="ellipsis" vert="horz" wrap="square" lIns="38100" tIns="19050" rIns="38100" bIns="19050" anchor="ctr" anchorCtr="0">
                  <a:noAutofit/>
                </a:bodyPr>
                <a:lstStyle/>
                <a:p>
                  <a:pPr algn="l">
                    <a:defRPr sz="10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inBase"/>
              <c:showLegendKey val="0"/>
              <c:showVal val="0"/>
              <c:showCatName val="1"/>
              <c:showSerName val="0"/>
              <c:showPercent val="0"/>
              <c:showBubbleSize val="0"/>
              <c:extLst>
                <c:ext xmlns:c15="http://schemas.microsoft.com/office/drawing/2012/chart" uri="{CE6537A1-D6FC-4f65-9D91-7224C49458BB}">
                  <c15:spPr xmlns:c15="http://schemas.microsoft.com/office/drawing/2012/chart">
                    <a:prstGeom prst="rect">
                      <a:avLst/>
                    </a:prstGeom>
                  </c15:spPr>
                </c:ext>
                <c:ext xmlns:c16="http://schemas.microsoft.com/office/drawing/2014/chart" uri="{C3380CC4-5D6E-409C-BE32-E72D297353CC}">
                  <c16:uniqueId val="{00000009-CC8D-47DB-A53F-F0358B10ADE6}"/>
                </c:ext>
              </c:extLst>
            </c:dLbl>
            <c:spPr>
              <a:noFill/>
              <a:ln>
                <a:noFill/>
              </a:ln>
              <a:effectLst/>
            </c:spPr>
            <c:txPr>
              <a:bodyPr rot="0" spcFirstLastPara="1" vertOverflow="ellipsis" vert="horz" wrap="square" lIns="38100" tIns="19050" rIns="38100" bIns="19050" anchor="ctr" anchorCtr="0">
                <a:spAutoFit/>
              </a:bodyPr>
              <a:lstStyle/>
              <a:p>
                <a:pPr algn="l">
                  <a:defRPr sz="10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inBase"/>
            <c:showLegendKey val="0"/>
            <c:showVal val="0"/>
            <c:showCatName val="1"/>
            <c:showSerName val="0"/>
            <c:showPercent val="0"/>
            <c:showBubbleSize val="0"/>
            <c:separator> </c:separator>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PivotTables!$CD$6:$CD$9</c:f>
              <c:strCache>
                <c:ptCount val="4"/>
                <c:pt idx="0">
                  <c:v>Aisyah</c:v>
                </c:pt>
                <c:pt idx="1">
                  <c:v>David</c:v>
                </c:pt>
                <c:pt idx="2">
                  <c:v>Fitriani</c:v>
                </c:pt>
                <c:pt idx="3">
                  <c:v>Hendrawan</c:v>
                </c:pt>
              </c:strCache>
            </c:strRef>
          </c:cat>
          <c:val>
            <c:numRef>
              <c:f>PivotTables!$CF$6:$CF$9</c:f>
              <c:numCache>
                <c:formatCode>[&lt;999950]#,##0.0,"K";[&lt;999950000]#,##0.0,,"JT";#,##0.0,,,"M"</c:formatCode>
                <c:ptCount val="4"/>
                <c:pt idx="0">
                  <c:v>31700000000</c:v>
                </c:pt>
                <c:pt idx="1">
                  <c:v>36460000000</c:v>
                </c:pt>
                <c:pt idx="2">
                  <c:v>33260000000</c:v>
                </c:pt>
                <c:pt idx="3">
                  <c:v>36600000000</c:v>
                </c:pt>
              </c:numCache>
            </c:numRef>
          </c:val>
          <c:extLst>
            <c:ext xmlns:c16="http://schemas.microsoft.com/office/drawing/2014/chart" uri="{C3380CC4-5D6E-409C-BE32-E72D297353CC}">
              <c16:uniqueId val="{00000012-1ACF-48E5-A49D-AEDA26F0065B}"/>
            </c:ext>
          </c:extLst>
        </c:ser>
        <c:dLbls>
          <c:showLegendKey val="0"/>
          <c:showVal val="0"/>
          <c:showCatName val="0"/>
          <c:showSerName val="0"/>
          <c:showPercent val="0"/>
          <c:showBubbleSize val="0"/>
        </c:dLbls>
        <c:gapWidth val="182"/>
        <c:overlap val="-80"/>
        <c:axId val="349642568"/>
        <c:axId val="349638256"/>
      </c:barChart>
      <c:catAx>
        <c:axId val="349642568"/>
        <c:scaling>
          <c:orientation val="minMax"/>
        </c:scaling>
        <c:delete val="1"/>
        <c:axPos val="l"/>
        <c:numFmt formatCode="General" sourceLinked="1"/>
        <c:majorTickMark val="none"/>
        <c:minorTickMark val="none"/>
        <c:tickLblPos val="nextTo"/>
        <c:crossAx val="349638256"/>
        <c:crosses val="autoZero"/>
        <c:auto val="1"/>
        <c:lblAlgn val="ctr"/>
        <c:lblOffset val="100"/>
        <c:noMultiLvlLbl val="0"/>
      </c:catAx>
      <c:valAx>
        <c:axId val="349638256"/>
        <c:scaling>
          <c:orientation val="minMax"/>
        </c:scaling>
        <c:delete val="1"/>
        <c:axPos val="b"/>
        <c:numFmt formatCode="[&lt;999950]#,##0.0,&quot;K&quot;;[&lt;999950000]#,##0.0,,&quot;JT&quot;;#,##0.0,,,&quot;M&quot;" sourceLinked="1"/>
        <c:majorTickMark val="none"/>
        <c:minorTickMark val="none"/>
        <c:tickLblPos val="nextTo"/>
        <c:crossAx val="34964256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Metric Dashboard.xlsx]PivotTables!PivotTable17</c:name>
    <c:fmtId val="23"/>
  </c:pivotSource>
  <c:chart>
    <c:autoTitleDeleted val="1"/>
    <c:pivotFmts>
      <c:pivotFmt>
        <c:idx val="0"/>
        <c:spPr>
          <a:blipFill>
            <a:blip xmlns:r="http://schemas.openxmlformats.org/officeDocument/2006/relationships" r:embed="rId3"/>
            <a:stretch>
              <a:fillRect/>
            </a:stretch>
          </a:blip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blipFill>
            <a:blip xmlns:r="http://schemas.openxmlformats.org/officeDocument/2006/relationships" r:embed="rId3"/>
            <a:stretch>
              <a:fillRect/>
            </a:stretch>
          </a:blip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blipFill>
            <a:blip xmlns:r="http://schemas.openxmlformats.org/officeDocument/2006/relationships" r:embed="rId3"/>
            <a:stretch>
              <a:fillRect/>
            </a:stretch>
          </a:blip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PivotTables!$CP$5</c:f>
              <c:strCache>
                <c:ptCount val="1"/>
                <c:pt idx="0">
                  <c:v>Total</c:v>
                </c:pt>
              </c:strCache>
            </c:strRef>
          </c:tx>
          <c:spPr>
            <a:blipFill>
              <a:blip xmlns:r="http://schemas.openxmlformats.org/officeDocument/2006/relationships" r:embed="rId3"/>
              <a:stretch>
                <a:fillRect/>
              </a:stretch>
            </a:blip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tx1">
                        <a:lumMod val="75000"/>
                        <a:lumOff val="25000"/>
                      </a:schemeClr>
                    </a:solidFill>
                    <a:latin typeface="Arial" panose="020B0604020202020204" pitchFamily="34" charset="0"/>
                    <a:ea typeface="+mn-ea"/>
                    <a:cs typeface="Arial" panose="020B0604020202020204" pitchFamily="34"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PivotTables!$CP$6</c:f>
              <c:strCache>
                <c:ptCount val="1"/>
                <c:pt idx="0">
                  <c:v>Total</c:v>
                </c:pt>
              </c:strCache>
            </c:strRef>
          </c:cat>
          <c:val>
            <c:numRef>
              <c:f>PivotTables!$CP$6</c:f>
              <c:numCache>
                <c:formatCode>[&lt;999950]#,##0.0,"K";[&lt;999950000]#,##0.0,,"JT";#,##0.0,,,"M"</c:formatCode>
                <c:ptCount val="1"/>
                <c:pt idx="0">
                  <c:v>42320000000</c:v>
                </c:pt>
              </c:numCache>
            </c:numRef>
          </c:val>
          <c:extLst>
            <c:ext xmlns:c16="http://schemas.microsoft.com/office/drawing/2014/chart" uri="{C3380CC4-5D6E-409C-BE32-E72D297353CC}">
              <c16:uniqueId val="{00000002-C040-43B3-A464-8FCA8C9EBB47}"/>
            </c:ext>
          </c:extLst>
        </c:ser>
        <c:dLbls>
          <c:showLegendKey val="0"/>
          <c:showVal val="0"/>
          <c:showCatName val="0"/>
          <c:showSerName val="0"/>
          <c:showPercent val="0"/>
          <c:showBubbleSize val="0"/>
        </c:dLbls>
        <c:gapWidth val="219"/>
        <c:overlap val="-27"/>
        <c:axId val="349637080"/>
        <c:axId val="349637864"/>
      </c:barChart>
      <c:catAx>
        <c:axId val="34963708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349637864"/>
        <c:crosses val="autoZero"/>
        <c:auto val="1"/>
        <c:lblAlgn val="ctr"/>
        <c:lblOffset val="100"/>
        <c:noMultiLvlLbl val="0"/>
      </c:catAx>
      <c:valAx>
        <c:axId val="349637864"/>
        <c:scaling>
          <c:orientation val="minMax"/>
        </c:scaling>
        <c:delete val="1"/>
        <c:axPos val="l"/>
        <c:numFmt formatCode="[&lt;999950]#,##0.0,&quot;K&quot;;[&lt;999950000]#,##0.0,,&quot;JT&quot;;#,##0.0,,,&quot;M&quot;" sourceLinked="1"/>
        <c:majorTickMark val="none"/>
        <c:minorTickMark val="none"/>
        <c:tickLblPos val="nextTo"/>
        <c:crossAx val="34963708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tx>
            <c:strRef>
              <c:f>PivotTables!$DG$6</c:f>
              <c:strCache>
                <c:ptCount val="1"/>
                <c:pt idx="0">
                  <c:v>0</c:v>
                </c:pt>
              </c:strCache>
            </c:strRef>
          </c:tx>
          <c:spPr>
            <a:ln>
              <a:solidFill>
                <a:schemeClr val="bg1"/>
              </a:solidFill>
            </a:ln>
          </c:spPr>
          <c:dPt>
            <c:idx val="0"/>
            <c:bubble3D val="0"/>
            <c:spPr>
              <a:solidFill>
                <a:srgbClr val="DB2D4A"/>
              </a:solidFill>
              <a:ln w="19050">
                <a:solidFill>
                  <a:schemeClr val="bg1"/>
                </a:solidFill>
              </a:ln>
              <a:effectLst/>
            </c:spPr>
            <c:extLst>
              <c:ext xmlns:c16="http://schemas.microsoft.com/office/drawing/2014/chart" uri="{C3380CC4-5D6E-409C-BE32-E72D297353CC}">
                <c16:uniqueId val="{00000001-A306-42E0-8548-AD1BABCA0192}"/>
              </c:ext>
            </c:extLst>
          </c:dPt>
          <c:dPt>
            <c:idx val="1"/>
            <c:bubble3D val="0"/>
            <c:spPr>
              <a:solidFill>
                <a:srgbClr val="F1F2FE"/>
              </a:solidFill>
              <a:ln w="19050">
                <a:solidFill>
                  <a:schemeClr val="bg1"/>
                </a:solidFill>
              </a:ln>
              <a:effectLst/>
            </c:spPr>
            <c:extLst>
              <c:ext xmlns:c16="http://schemas.microsoft.com/office/drawing/2014/chart" uri="{C3380CC4-5D6E-409C-BE32-E72D297353CC}">
                <c16:uniqueId val="{00000003-A306-42E0-8548-AD1BABCA0192}"/>
              </c:ext>
            </c:extLst>
          </c:dPt>
          <c:cat>
            <c:numRef>
              <c:f>PivotTables!$DF$7:$DF$8</c:f>
              <c:numCache>
                <c:formatCode>General</c:formatCode>
                <c:ptCount val="2"/>
              </c:numCache>
            </c:numRef>
          </c:cat>
          <c:val>
            <c:numRef>
              <c:f>PivotTables!$DG$7:$DG$8</c:f>
              <c:numCache>
                <c:formatCode>[&lt;999950]#,##0.0,"K";[&lt;999950000]#,##0.0,,"JT";#,##0.0,,,"M"</c:formatCode>
                <c:ptCount val="2"/>
                <c:pt idx="0">
                  <c:v>0</c:v>
                </c:pt>
                <c:pt idx="1">
                  <c:v>0</c:v>
                </c:pt>
              </c:numCache>
            </c:numRef>
          </c:val>
          <c:extLst>
            <c:ext xmlns:c16="http://schemas.microsoft.com/office/drawing/2014/chart" uri="{C3380CC4-5D6E-409C-BE32-E72D297353CC}">
              <c16:uniqueId val="{00000004-A306-42E0-8548-AD1BABCA0192}"/>
            </c:ext>
          </c:extLst>
        </c:ser>
        <c:ser>
          <c:idx val="1"/>
          <c:order val="1"/>
          <c:tx>
            <c:strRef>
              <c:f>PivotTables!$DH$6</c:f>
              <c:strCache>
                <c:ptCount val="1"/>
                <c:pt idx="0">
                  <c:v>0</c:v>
                </c:pt>
              </c:strCache>
            </c:strRef>
          </c:tx>
          <c:spPr>
            <a:ln>
              <a:solidFill>
                <a:schemeClr val="bg1"/>
              </a:solidFill>
            </a:ln>
          </c:spPr>
          <c:dPt>
            <c:idx val="0"/>
            <c:bubble3D val="0"/>
            <c:spPr>
              <a:solidFill>
                <a:srgbClr val="8D7EF3"/>
              </a:solidFill>
              <a:ln w="19050">
                <a:solidFill>
                  <a:schemeClr val="bg1"/>
                </a:solidFill>
              </a:ln>
              <a:effectLst/>
            </c:spPr>
            <c:extLst>
              <c:ext xmlns:c16="http://schemas.microsoft.com/office/drawing/2014/chart" uri="{C3380CC4-5D6E-409C-BE32-E72D297353CC}">
                <c16:uniqueId val="{00000006-A306-42E0-8548-AD1BABCA0192}"/>
              </c:ext>
            </c:extLst>
          </c:dPt>
          <c:dPt>
            <c:idx val="1"/>
            <c:bubble3D val="0"/>
            <c:spPr>
              <a:solidFill>
                <a:srgbClr val="F1F2FE"/>
              </a:solidFill>
              <a:ln w="19050">
                <a:solidFill>
                  <a:schemeClr val="bg1"/>
                </a:solidFill>
              </a:ln>
              <a:effectLst/>
            </c:spPr>
            <c:extLst>
              <c:ext xmlns:c16="http://schemas.microsoft.com/office/drawing/2014/chart" uri="{C3380CC4-5D6E-409C-BE32-E72D297353CC}">
                <c16:uniqueId val="{00000008-A306-42E0-8548-AD1BABCA0192}"/>
              </c:ext>
            </c:extLst>
          </c:dPt>
          <c:cat>
            <c:numRef>
              <c:f>PivotTables!$DF$7:$DF$8</c:f>
              <c:numCache>
                <c:formatCode>General</c:formatCode>
                <c:ptCount val="2"/>
              </c:numCache>
            </c:numRef>
          </c:cat>
          <c:val>
            <c:numRef>
              <c:f>PivotTables!$DH$7:$DH$8</c:f>
              <c:numCache>
                <c:formatCode>[&lt;999950]#,##0.0,"K";[&lt;999950000]#,##0.0,,"JT";#,##0.0,,,"M"</c:formatCode>
                <c:ptCount val="2"/>
                <c:pt idx="0">
                  <c:v>0</c:v>
                </c:pt>
                <c:pt idx="1">
                  <c:v>0</c:v>
                </c:pt>
              </c:numCache>
            </c:numRef>
          </c:val>
          <c:extLst>
            <c:ext xmlns:c16="http://schemas.microsoft.com/office/drawing/2014/chart" uri="{C3380CC4-5D6E-409C-BE32-E72D297353CC}">
              <c16:uniqueId val="{00000009-A306-42E0-8548-AD1BABCA0192}"/>
            </c:ext>
          </c:extLst>
        </c:ser>
        <c:ser>
          <c:idx val="2"/>
          <c:order val="2"/>
          <c:tx>
            <c:strRef>
              <c:f>PivotTables!$DI$6</c:f>
              <c:strCache>
                <c:ptCount val="1"/>
                <c:pt idx="0">
                  <c:v>0</c:v>
                </c:pt>
              </c:strCache>
            </c:strRef>
          </c:tx>
          <c:spPr>
            <a:ln>
              <a:solidFill>
                <a:schemeClr val="bg1"/>
              </a:solidFill>
            </a:ln>
          </c:spPr>
          <c:dPt>
            <c:idx val="0"/>
            <c:bubble3D val="0"/>
            <c:spPr>
              <a:solidFill>
                <a:srgbClr val="FFC000"/>
              </a:solidFill>
              <a:ln w="19050">
                <a:solidFill>
                  <a:schemeClr val="bg1"/>
                </a:solidFill>
              </a:ln>
              <a:effectLst/>
            </c:spPr>
            <c:extLst>
              <c:ext xmlns:c16="http://schemas.microsoft.com/office/drawing/2014/chart" uri="{C3380CC4-5D6E-409C-BE32-E72D297353CC}">
                <c16:uniqueId val="{0000000B-A306-42E0-8548-AD1BABCA0192}"/>
              </c:ext>
            </c:extLst>
          </c:dPt>
          <c:dPt>
            <c:idx val="1"/>
            <c:bubble3D val="0"/>
            <c:spPr>
              <a:solidFill>
                <a:srgbClr val="F1F2FE"/>
              </a:solidFill>
              <a:ln w="19050">
                <a:solidFill>
                  <a:schemeClr val="bg1"/>
                </a:solidFill>
              </a:ln>
              <a:effectLst/>
            </c:spPr>
            <c:extLst>
              <c:ext xmlns:c16="http://schemas.microsoft.com/office/drawing/2014/chart" uri="{C3380CC4-5D6E-409C-BE32-E72D297353CC}">
                <c16:uniqueId val="{0000000D-A306-42E0-8548-AD1BABCA0192}"/>
              </c:ext>
            </c:extLst>
          </c:dPt>
          <c:cat>
            <c:numRef>
              <c:f>PivotTables!$DF$7:$DF$8</c:f>
              <c:numCache>
                <c:formatCode>General</c:formatCode>
                <c:ptCount val="2"/>
              </c:numCache>
            </c:numRef>
          </c:cat>
          <c:val>
            <c:numRef>
              <c:f>PivotTables!$DI$7:$DI$8</c:f>
              <c:numCache>
                <c:formatCode>[&lt;999950]#,##0.0,"K";[&lt;999950000]#,##0.0,,"JT";#,##0.0,,,"M"</c:formatCode>
                <c:ptCount val="2"/>
                <c:pt idx="0">
                  <c:v>0</c:v>
                </c:pt>
                <c:pt idx="1">
                  <c:v>0</c:v>
                </c:pt>
              </c:numCache>
            </c:numRef>
          </c:val>
          <c:extLst>
            <c:ext xmlns:c16="http://schemas.microsoft.com/office/drawing/2014/chart" uri="{C3380CC4-5D6E-409C-BE32-E72D297353CC}">
              <c16:uniqueId val="{0000000E-A306-42E0-8548-AD1BABCA0192}"/>
            </c:ext>
          </c:extLst>
        </c:ser>
        <c:ser>
          <c:idx val="3"/>
          <c:order val="3"/>
          <c:tx>
            <c:strRef>
              <c:f>PivotTables!$DJ$6</c:f>
              <c:strCache>
                <c:ptCount val="1"/>
                <c:pt idx="0">
                  <c:v>0</c:v>
                </c:pt>
              </c:strCache>
            </c:strRef>
          </c:tx>
          <c:spPr>
            <a:ln>
              <a:solidFill>
                <a:schemeClr val="bg1"/>
              </a:solidFill>
            </a:ln>
          </c:spPr>
          <c:dPt>
            <c:idx val="0"/>
            <c:bubble3D val="0"/>
            <c:spPr>
              <a:solidFill>
                <a:srgbClr val="00B626"/>
              </a:solidFill>
              <a:ln w="19050">
                <a:solidFill>
                  <a:schemeClr val="bg1"/>
                </a:solidFill>
              </a:ln>
              <a:effectLst/>
            </c:spPr>
            <c:extLst>
              <c:ext xmlns:c16="http://schemas.microsoft.com/office/drawing/2014/chart" uri="{C3380CC4-5D6E-409C-BE32-E72D297353CC}">
                <c16:uniqueId val="{00000010-A306-42E0-8548-AD1BABCA0192}"/>
              </c:ext>
            </c:extLst>
          </c:dPt>
          <c:dPt>
            <c:idx val="1"/>
            <c:bubble3D val="0"/>
            <c:spPr>
              <a:solidFill>
                <a:srgbClr val="F1F2FE"/>
              </a:solidFill>
              <a:ln w="19050">
                <a:solidFill>
                  <a:schemeClr val="bg1"/>
                </a:solidFill>
              </a:ln>
              <a:effectLst/>
            </c:spPr>
            <c:extLst>
              <c:ext xmlns:c16="http://schemas.microsoft.com/office/drawing/2014/chart" uri="{C3380CC4-5D6E-409C-BE32-E72D297353CC}">
                <c16:uniqueId val="{00000012-A306-42E0-8548-AD1BABCA0192}"/>
              </c:ext>
            </c:extLst>
          </c:dPt>
          <c:cat>
            <c:numRef>
              <c:f>PivotTables!$DF$7:$DF$8</c:f>
              <c:numCache>
                <c:formatCode>General</c:formatCode>
                <c:ptCount val="2"/>
              </c:numCache>
            </c:numRef>
          </c:cat>
          <c:val>
            <c:numRef>
              <c:f>PivotTables!$DJ$7:$DJ$8</c:f>
              <c:numCache>
                <c:formatCode>[&lt;999950]#,##0.0,"K";[&lt;999950000]#,##0.0,,"JT";#,##0.0,,,"M"</c:formatCode>
                <c:ptCount val="2"/>
                <c:pt idx="0">
                  <c:v>0</c:v>
                </c:pt>
                <c:pt idx="1">
                  <c:v>0</c:v>
                </c:pt>
              </c:numCache>
            </c:numRef>
          </c:val>
          <c:extLst>
            <c:ext xmlns:c16="http://schemas.microsoft.com/office/drawing/2014/chart" uri="{C3380CC4-5D6E-409C-BE32-E72D297353CC}">
              <c16:uniqueId val="{00000013-A306-42E0-8548-AD1BABCA0192}"/>
            </c:ext>
          </c:extLst>
        </c:ser>
        <c:ser>
          <c:idx val="4"/>
          <c:order val="4"/>
          <c:tx>
            <c:strRef>
              <c:f>PivotTables!$DK$6</c:f>
              <c:strCache>
                <c:ptCount val="1"/>
                <c:pt idx="0">
                  <c:v>0</c:v>
                </c:pt>
              </c:strCache>
            </c:strRef>
          </c:tx>
          <c:spPr>
            <a:ln>
              <a:solidFill>
                <a:schemeClr val="bg1"/>
              </a:solidFill>
            </a:ln>
          </c:spPr>
          <c:dPt>
            <c:idx val="0"/>
            <c:bubble3D val="0"/>
            <c:spPr>
              <a:solidFill>
                <a:srgbClr val="362F48"/>
              </a:solidFill>
              <a:ln w="19050">
                <a:solidFill>
                  <a:schemeClr val="bg1"/>
                </a:solidFill>
              </a:ln>
              <a:effectLst/>
            </c:spPr>
            <c:extLst>
              <c:ext xmlns:c16="http://schemas.microsoft.com/office/drawing/2014/chart" uri="{C3380CC4-5D6E-409C-BE32-E72D297353CC}">
                <c16:uniqueId val="{00000015-A306-42E0-8548-AD1BABCA0192}"/>
              </c:ext>
            </c:extLst>
          </c:dPt>
          <c:dPt>
            <c:idx val="1"/>
            <c:bubble3D val="0"/>
            <c:spPr>
              <a:solidFill>
                <a:srgbClr val="F1F2FE"/>
              </a:solidFill>
              <a:ln w="19050">
                <a:solidFill>
                  <a:schemeClr val="bg1"/>
                </a:solidFill>
              </a:ln>
              <a:effectLst/>
            </c:spPr>
            <c:extLst>
              <c:ext xmlns:c16="http://schemas.microsoft.com/office/drawing/2014/chart" uri="{C3380CC4-5D6E-409C-BE32-E72D297353CC}">
                <c16:uniqueId val="{00000017-A306-42E0-8548-AD1BABCA0192}"/>
              </c:ext>
            </c:extLst>
          </c:dPt>
          <c:cat>
            <c:numRef>
              <c:f>PivotTables!$DF$7:$DF$8</c:f>
              <c:numCache>
                <c:formatCode>General</c:formatCode>
                <c:ptCount val="2"/>
              </c:numCache>
            </c:numRef>
          </c:cat>
          <c:val>
            <c:numRef>
              <c:f>PivotTables!$DK$7:$DK$8</c:f>
              <c:numCache>
                <c:formatCode>[&lt;999950]#,##0.0,"K";[&lt;999950000]#,##0.0,,"JT";#,##0.0,,,"M"</c:formatCode>
                <c:ptCount val="2"/>
                <c:pt idx="0">
                  <c:v>0</c:v>
                </c:pt>
                <c:pt idx="1">
                  <c:v>0</c:v>
                </c:pt>
              </c:numCache>
            </c:numRef>
          </c:val>
          <c:extLst>
            <c:ext xmlns:c16="http://schemas.microsoft.com/office/drawing/2014/chart" uri="{C3380CC4-5D6E-409C-BE32-E72D297353CC}">
              <c16:uniqueId val="{00000018-A306-42E0-8548-AD1BABCA0192}"/>
            </c:ext>
          </c:extLst>
        </c:ser>
        <c:ser>
          <c:idx val="5"/>
          <c:order val="5"/>
          <c:tx>
            <c:strRef>
              <c:f>PivotTables!$DL$6</c:f>
              <c:strCache>
                <c:ptCount val="1"/>
                <c:pt idx="0">
                  <c:v>0</c:v>
                </c:pt>
              </c:strCache>
            </c:strRef>
          </c:tx>
          <c:spPr>
            <a:ln>
              <a:solidFill>
                <a:schemeClr val="bg1"/>
              </a:solidFill>
            </a:ln>
          </c:spPr>
          <c:dPt>
            <c:idx val="0"/>
            <c:bubble3D val="0"/>
            <c:spPr>
              <a:solidFill>
                <a:srgbClr val="A13F9E"/>
              </a:solidFill>
              <a:ln w="19050">
                <a:solidFill>
                  <a:schemeClr val="bg1"/>
                </a:solidFill>
              </a:ln>
              <a:effectLst/>
            </c:spPr>
            <c:extLst>
              <c:ext xmlns:c16="http://schemas.microsoft.com/office/drawing/2014/chart" uri="{C3380CC4-5D6E-409C-BE32-E72D297353CC}">
                <c16:uniqueId val="{0000001A-A306-42E0-8548-AD1BABCA0192}"/>
              </c:ext>
            </c:extLst>
          </c:dPt>
          <c:dPt>
            <c:idx val="1"/>
            <c:bubble3D val="0"/>
            <c:spPr>
              <a:solidFill>
                <a:srgbClr val="F1F2FE"/>
              </a:solidFill>
              <a:ln w="19050">
                <a:solidFill>
                  <a:schemeClr val="bg1"/>
                </a:solidFill>
              </a:ln>
              <a:effectLst/>
            </c:spPr>
            <c:extLst>
              <c:ext xmlns:c16="http://schemas.microsoft.com/office/drawing/2014/chart" uri="{C3380CC4-5D6E-409C-BE32-E72D297353CC}">
                <c16:uniqueId val="{0000001C-A306-42E0-8548-AD1BABCA0192}"/>
              </c:ext>
            </c:extLst>
          </c:dPt>
          <c:cat>
            <c:numRef>
              <c:f>PivotTables!$DF$7:$DF$8</c:f>
              <c:numCache>
                <c:formatCode>General</c:formatCode>
                <c:ptCount val="2"/>
              </c:numCache>
            </c:numRef>
          </c:cat>
          <c:val>
            <c:numRef>
              <c:f>PivotTables!$DL$7:$DL$8</c:f>
              <c:numCache>
                <c:formatCode>[&lt;999950]#,##0.0,"K";[&lt;999950000]#,##0.0,,"JT";#,##0.0,,,"M"</c:formatCode>
                <c:ptCount val="2"/>
                <c:pt idx="0">
                  <c:v>0</c:v>
                </c:pt>
                <c:pt idx="1">
                  <c:v>0</c:v>
                </c:pt>
              </c:numCache>
            </c:numRef>
          </c:val>
          <c:extLst>
            <c:ext xmlns:c16="http://schemas.microsoft.com/office/drawing/2014/chart" uri="{C3380CC4-5D6E-409C-BE32-E72D297353CC}">
              <c16:uniqueId val="{0000001D-A306-42E0-8548-AD1BABCA0192}"/>
            </c:ext>
          </c:extLst>
        </c:ser>
        <c:dLbls>
          <c:showLegendKey val="0"/>
          <c:showVal val="0"/>
          <c:showCatName val="0"/>
          <c:showSerName val="0"/>
          <c:showPercent val="0"/>
          <c:showBubbleSize val="0"/>
          <c:showLeaderLines val="1"/>
        </c:dLbls>
        <c:firstSliceAng val="180"/>
        <c:holeSize val="43"/>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pivotSource>
    <c:name>[Sales Performance Metric Dashboard.xlsx]PivotTables!PivotTable20</c:name>
    <c:fmtId val="3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tx1">
              <a:alpha val="10000"/>
            </a:schemeClr>
          </a:solidFill>
          <a:ln w="3175">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tx1">
              <a:alpha val="10000"/>
            </a:schemeClr>
          </a:solidFill>
          <a:ln w="3175">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tx1">
              <a:alpha val="10000"/>
            </a:schemeClr>
          </a:solidFill>
          <a:ln w="3175">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tx1">
              <a:alpha val="10000"/>
            </a:schemeClr>
          </a:solidFill>
          <a:ln w="3175">
            <a:solidFill>
              <a:schemeClr val="bg1"/>
            </a:solidFill>
          </a:ln>
          <a:effectLst/>
        </c:spPr>
        <c:marker>
          <c:symbol val="none"/>
        </c:marker>
      </c:pivotFmt>
    </c:pivotFmts>
    <c:plotArea>
      <c:layout/>
      <c:barChart>
        <c:barDir val="col"/>
        <c:grouping val="clustered"/>
        <c:varyColors val="0"/>
        <c:dLbls>
          <c:showLegendKey val="0"/>
          <c:showVal val="0"/>
          <c:showCatName val="0"/>
          <c:showSerName val="0"/>
          <c:showPercent val="0"/>
          <c:showBubbleSize val="0"/>
        </c:dLbls>
        <c:gapWidth val="0"/>
        <c:overlap val="100"/>
        <c:axId val="349642176"/>
        <c:axId val="349641784"/>
      </c:barChart>
      <c:catAx>
        <c:axId val="349642176"/>
        <c:scaling>
          <c:orientation val="minMax"/>
        </c:scaling>
        <c:delete val="1"/>
        <c:axPos val="b"/>
        <c:numFmt formatCode="General" sourceLinked="1"/>
        <c:majorTickMark val="none"/>
        <c:minorTickMark val="none"/>
        <c:tickLblPos val="nextTo"/>
        <c:crossAx val="349641784"/>
        <c:crosses val="autoZero"/>
        <c:auto val="1"/>
        <c:lblAlgn val="ctr"/>
        <c:lblOffset val="100"/>
        <c:noMultiLvlLbl val="0"/>
      </c:catAx>
      <c:valAx>
        <c:axId val="349641784"/>
        <c:scaling>
          <c:orientation val="minMax"/>
        </c:scaling>
        <c:delete val="1"/>
        <c:axPos val="l"/>
        <c:numFmt formatCode="0" sourceLinked="1"/>
        <c:majorTickMark val="none"/>
        <c:minorTickMark val="none"/>
        <c:tickLblPos val="nextTo"/>
        <c:crossAx val="349642176"/>
        <c:crosses val="autoZero"/>
        <c:crossBetween val="between"/>
      </c:valAx>
      <c:spPr>
        <a:noFill/>
        <a:ln w="25400">
          <a:noFill/>
        </a:ln>
        <a:effectLst/>
      </c:spPr>
    </c:plotArea>
    <c:plotVisOnly val="1"/>
    <c:dispBlanksAs val="gap"/>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Metric Dashboard.xlsx]PivotTables!PivotTable21</c:name>
    <c:fmtId val="38"/>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w="15875" cap="rnd">
            <a:solidFill>
              <a:srgbClr val="DB2D4A"/>
            </a:solidFill>
            <a:round/>
          </a:ln>
          <a:effectLst/>
        </c:spPr>
        <c:marker>
          <c:symbol val="none"/>
        </c:marker>
      </c:pivotFmt>
      <c:pivotFmt>
        <c:idx val="13"/>
        <c:spPr>
          <a:solidFill>
            <a:schemeClr val="accent1"/>
          </a:solidFill>
          <a:ln w="15875" cap="rnd">
            <a:solidFill>
              <a:srgbClr val="8D7EF3"/>
            </a:solidFill>
            <a:round/>
          </a:ln>
          <a:effectLst/>
        </c:spPr>
        <c:marker>
          <c:symbol val="none"/>
        </c:marker>
      </c:pivotFmt>
      <c:pivotFmt>
        <c:idx val="14"/>
        <c:spPr>
          <a:solidFill>
            <a:schemeClr val="accent1"/>
          </a:solidFill>
          <a:ln w="15875" cap="rnd">
            <a:solidFill>
              <a:srgbClr val="FFC000"/>
            </a:solidFill>
            <a:round/>
          </a:ln>
          <a:effectLst/>
        </c:spPr>
        <c:marker>
          <c:symbol val="none"/>
        </c:marker>
      </c:pivotFmt>
      <c:pivotFmt>
        <c:idx val="15"/>
        <c:spPr>
          <a:solidFill>
            <a:schemeClr val="accent1"/>
          </a:solidFill>
          <a:ln w="15875" cap="rnd">
            <a:solidFill>
              <a:srgbClr val="00B626"/>
            </a:solidFill>
            <a:round/>
          </a:ln>
          <a:effectLst/>
        </c:spPr>
        <c:marker>
          <c:symbol val="none"/>
        </c:marker>
      </c:pivotFmt>
      <c:pivotFmt>
        <c:idx val="16"/>
        <c:spPr>
          <a:solidFill>
            <a:schemeClr val="accent1"/>
          </a:solidFill>
          <a:ln w="15875" cap="rnd">
            <a:solidFill>
              <a:srgbClr val="362F48"/>
            </a:solidFill>
            <a:round/>
          </a:ln>
          <a:effectLst/>
        </c:spPr>
        <c:marker>
          <c:symbol val="none"/>
        </c:marker>
      </c:pivotFmt>
      <c:pivotFmt>
        <c:idx val="17"/>
        <c:spPr>
          <a:solidFill>
            <a:schemeClr val="accent1"/>
          </a:solidFill>
          <a:ln w="15875" cap="rnd">
            <a:solidFill>
              <a:srgbClr val="A13F9E"/>
            </a:solidFill>
            <a:round/>
          </a:ln>
          <a:effectLst/>
        </c:spPr>
        <c:marker>
          <c:symbol val="none"/>
        </c:marker>
      </c:pivotFmt>
      <c:pivotFmt>
        <c:idx val="18"/>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PivotTables!$EC$5</c:f>
              <c:strCache>
                <c:ptCount val="1"/>
                <c:pt idx="0">
                  <c:v>Total</c:v>
                </c:pt>
              </c:strCache>
            </c:strRef>
          </c:tx>
          <c:spPr>
            <a:ln w="28575" cap="rnd">
              <a:solidFill>
                <a:schemeClr val="accent1"/>
              </a:solidFill>
              <a:round/>
            </a:ln>
            <a:effectLst/>
          </c:spPr>
          <c:marker>
            <c:symbol val="none"/>
          </c:marker>
          <c:cat>
            <c:strRef>
              <c:f>PivotTables!$EC$6</c:f>
              <c:strCache>
                <c:ptCount val="1"/>
                <c:pt idx="0">
                  <c:v>Total</c:v>
                </c:pt>
              </c:strCache>
            </c:strRef>
          </c:cat>
          <c:val>
            <c:numRef>
              <c:f>PivotTables!$EC$6</c:f>
              <c:numCache>
                <c:formatCode>[&lt;999950]#,##0.0,"K";[&lt;999950000]#,##0.0,,"JT";#,##0.0,,,"M"</c:formatCode>
                <c:ptCount val="1"/>
                <c:pt idx="0">
                  <c:v>42320000000</c:v>
                </c:pt>
              </c:numCache>
            </c:numRef>
          </c:val>
          <c:smooth val="0"/>
          <c:extLst>
            <c:ext xmlns:c16="http://schemas.microsoft.com/office/drawing/2014/chart" uri="{C3380CC4-5D6E-409C-BE32-E72D297353CC}">
              <c16:uniqueId val="{00000000-66D6-47B4-97C3-5AC1A1347C6A}"/>
            </c:ext>
          </c:extLst>
        </c:ser>
        <c:dLbls>
          <c:showLegendKey val="0"/>
          <c:showVal val="0"/>
          <c:showCatName val="0"/>
          <c:showSerName val="0"/>
          <c:showPercent val="0"/>
          <c:showBubbleSize val="0"/>
        </c:dLbls>
        <c:smooth val="0"/>
        <c:axId val="347864584"/>
        <c:axId val="347864192"/>
      </c:lineChart>
      <c:catAx>
        <c:axId val="34786458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347864192"/>
        <c:crosses val="autoZero"/>
        <c:auto val="1"/>
        <c:lblAlgn val="ctr"/>
        <c:lblOffset val="100"/>
        <c:noMultiLvlLbl val="0"/>
      </c:catAx>
      <c:valAx>
        <c:axId val="347864192"/>
        <c:scaling>
          <c:orientation val="minMax"/>
        </c:scaling>
        <c:delete val="0"/>
        <c:axPos val="l"/>
        <c:majorGridlines>
          <c:spPr>
            <a:ln w="6350" cap="flat" cmpd="sng" algn="ctr">
              <a:solidFill>
                <a:schemeClr val="bg1">
                  <a:lumMod val="95000"/>
                </a:schemeClr>
              </a:solidFill>
              <a:round/>
            </a:ln>
            <a:effectLst/>
          </c:spPr>
        </c:majorGridlines>
        <c:numFmt formatCode="[&lt;999950]#,##0.0,&quot;K&quot;;[&lt;999950000]#,##0.0,,&quot;JT&quot;;#,##0.0,,,&quot;M&quot;"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347864584"/>
        <c:crosses val="autoZero"/>
        <c:crossBetween val="between"/>
      </c:valAx>
      <c:spPr>
        <a:noFill/>
        <a:ln>
          <a:noFill/>
        </a:ln>
        <a:effectLst/>
      </c:spPr>
    </c:plotArea>
    <c:legend>
      <c:legendPos val="r"/>
      <c:layout>
        <c:manualLayout>
          <c:xMode val="edge"/>
          <c:yMode val="edge"/>
          <c:x val="0.80585432174691662"/>
          <c:y val="0.30821364829396325"/>
          <c:w val="0.17500043811870133"/>
          <c:h val="0.56426670976353588"/>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Metric Dashboard.xlsx]PivotTables!PivotTable24</c:name>
    <c:fmtId val="2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362F48"/>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PivotTables!$ES$5</c:f>
              <c:strCache>
                <c:ptCount val="1"/>
                <c:pt idx="0">
                  <c:v>Total</c:v>
                </c:pt>
              </c:strCache>
            </c:strRef>
          </c:tx>
          <c:spPr>
            <a:solidFill>
              <a:srgbClr val="362F48"/>
            </a:solidFill>
            <a:ln>
              <a:noFill/>
            </a:ln>
            <a:effectLst/>
          </c:spPr>
          <c:invertIfNegative val="0"/>
          <c:cat>
            <c:strRef>
              <c:f>PivotTables!$ER$6:$ER$7</c:f>
              <c:strCache>
                <c:ptCount val="1"/>
                <c:pt idx="0">
                  <c:v>David</c:v>
                </c:pt>
              </c:strCache>
            </c:strRef>
          </c:cat>
          <c:val>
            <c:numRef>
              <c:f>PivotTables!$ES$6:$ES$7</c:f>
              <c:numCache>
                <c:formatCode>[&lt;999950]#,##0.0,"K";[&lt;999950000]#,##0.0,,"JT";#,##0.0,,,"M"</c:formatCode>
                <c:ptCount val="1"/>
                <c:pt idx="0">
                  <c:v>36460000000</c:v>
                </c:pt>
              </c:numCache>
            </c:numRef>
          </c:val>
          <c:extLst>
            <c:ext xmlns:c16="http://schemas.microsoft.com/office/drawing/2014/chart" uri="{C3380CC4-5D6E-409C-BE32-E72D297353CC}">
              <c16:uniqueId val="{00000000-1690-491D-8046-60D0426F554F}"/>
            </c:ext>
          </c:extLst>
        </c:ser>
        <c:dLbls>
          <c:showLegendKey val="0"/>
          <c:showVal val="0"/>
          <c:showCatName val="0"/>
          <c:showSerName val="0"/>
          <c:showPercent val="0"/>
          <c:showBubbleSize val="0"/>
        </c:dLbls>
        <c:gapWidth val="219"/>
        <c:overlap val="-27"/>
        <c:axId val="347866544"/>
        <c:axId val="347861056"/>
      </c:barChart>
      <c:catAx>
        <c:axId val="34786654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600" b="0" i="0" u="none" strike="noStrike" kern="1200" baseline="0">
                <a:solidFill>
                  <a:schemeClr val="tx1">
                    <a:lumMod val="85000"/>
                    <a:lumOff val="15000"/>
                  </a:schemeClr>
                </a:solidFill>
                <a:latin typeface="Arial" panose="020B0604020202020204" pitchFamily="34" charset="0"/>
                <a:ea typeface="+mn-ea"/>
                <a:cs typeface="Arial" panose="020B0604020202020204" pitchFamily="34" charset="0"/>
              </a:defRPr>
            </a:pPr>
            <a:endParaRPr lang="en-US"/>
          </a:p>
        </c:txPr>
        <c:crossAx val="347861056"/>
        <c:crosses val="autoZero"/>
        <c:auto val="1"/>
        <c:lblAlgn val="ctr"/>
        <c:lblOffset val="100"/>
        <c:noMultiLvlLbl val="0"/>
      </c:catAx>
      <c:valAx>
        <c:axId val="347861056"/>
        <c:scaling>
          <c:orientation val="minMax"/>
        </c:scaling>
        <c:delete val="1"/>
        <c:axPos val="l"/>
        <c:numFmt formatCode="[&lt;999950]#,##0.0,&quot;K&quot;;[&lt;999950000]#,##0.0,,&quot;JT&quot;;#,##0.0,,,&quot;M&quot;" sourceLinked="1"/>
        <c:majorTickMark val="none"/>
        <c:minorTickMark val="none"/>
        <c:tickLblPos val="nextTo"/>
        <c:crossAx val="3478665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Performance Metric Dashboard.xlsx]PivotTables!PivotTable26</c:name>
    <c:fmtId val="28"/>
  </c:pivotSource>
  <c:chart>
    <c:autoTitleDeleted val="0"/>
    <c:pivotFmts>
      <c:pivotFmt>
        <c:idx val="0"/>
        <c:spPr>
          <a:solidFill>
            <a:schemeClr val="accent1"/>
          </a:solidFill>
          <a:ln w="22225" cap="rnd">
            <a:solidFill>
              <a:srgbClr val="A13F9E"/>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rgbClr val="00B62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rgbClr val="DB2D4A"/>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2225" cap="rnd">
            <a:solidFill>
              <a:srgbClr val="A13F9E"/>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8575" cap="rnd">
            <a:solidFill>
              <a:srgbClr val="00B62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8575" cap="rnd">
            <a:solidFill>
              <a:srgbClr val="DB2D4A"/>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ln w="22225" cap="rnd">
            <a:solidFill>
              <a:srgbClr val="A13F9E"/>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ln w="28575" cap="rnd">
            <a:solidFill>
              <a:srgbClr val="00B62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ln w="28575" cap="rnd">
            <a:solidFill>
              <a:srgbClr val="DB2D4A"/>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PivotTables!$EX$5:$EX$6</c:f>
              <c:strCache>
                <c:ptCount val="1"/>
                <c:pt idx="0">
                  <c:v>Bank Transfer</c:v>
                </c:pt>
              </c:strCache>
            </c:strRef>
          </c:tx>
          <c:spPr>
            <a:ln w="22225" cap="rnd">
              <a:solidFill>
                <a:srgbClr val="A13F9E"/>
              </a:solidFill>
              <a:round/>
            </a:ln>
            <a:effectLst/>
          </c:spPr>
          <c:marker>
            <c:symbol val="none"/>
          </c:marker>
          <c:cat>
            <c:strRef>
              <c:f>PivotTables!$EW$7</c:f>
              <c:strCache>
                <c:ptCount val="1"/>
                <c:pt idx="0">
                  <c:v>Total</c:v>
                </c:pt>
              </c:strCache>
            </c:strRef>
          </c:cat>
          <c:val>
            <c:numRef>
              <c:f>PivotTables!$EX$7</c:f>
              <c:numCache>
                <c:formatCode>[&lt;999950]#,##0.0,"K";[&lt;999950000]#,##0.0,,"JT";#,##0.0,,,"M"</c:formatCode>
                <c:ptCount val="1"/>
                <c:pt idx="0">
                  <c:v>12680000000</c:v>
                </c:pt>
              </c:numCache>
            </c:numRef>
          </c:val>
          <c:smooth val="0"/>
          <c:extLst>
            <c:ext xmlns:c16="http://schemas.microsoft.com/office/drawing/2014/chart" uri="{C3380CC4-5D6E-409C-BE32-E72D297353CC}">
              <c16:uniqueId val="{00000000-97D2-4398-979A-D28D8274861F}"/>
            </c:ext>
          </c:extLst>
        </c:ser>
        <c:ser>
          <c:idx val="1"/>
          <c:order val="1"/>
          <c:tx>
            <c:strRef>
              <c:f>PivotTables!$EY$5:$EY$6</c:f>
              <c:strCache>
                <c:ptCount val="1"/>
                <c:pt idx="0">
                  <c:v>Cheque</c:v>
                </c:pt>
              </c:strCache>
            </c:strRef>
          </c:tx>
          <c:spPr>
            <a:ln w="28575" cap="rnd">
              <a:solidFill>
                <a:srgbClr val="00B626"/>
              </a:solidFill>
              <a:round/>
            </a:ln>
            <a:effectLst/>
          </c:spPr>
          <c:marker>
            <c:symbol val="none"/>
          </c:marker>
          <c:cat>
            <c:strRef>
              <c:f>PivotTables!$EW$7</c:f>
              <c:strCache>
                <c:ptCount val="1"/>
                <c:pt idx="0">
                  <c:v>Total</c:v>
                </c:pt>
              </c:strCache>
            </c:strRef>
          </c:cat>
          <c:val>
            <c:numRef>
              <c:f>PivotTables!$EY$7</c:f>
              <c:numCache>
                <c:formatCode>[&lt;999950]#,##0.0,"K";[&lt;999950000]#,##0.0,,"JT";#,##0.0,,,"M"</c:formatCode>
                <c:ptCount val="1"/>
                <c:pt idx="0">
                  <c:v>10700000000</c:v>
                </c:pt>
              </c:numCache>
            </c:numRef>
          </c:val>
          <c:smooth val="0"/>
          <c:extLst>
            <c:ext xmlns:c16="http://schemas.microsoft.com/office/drawing/2014/chart" uri="{C3380CC4-5D6E-409C-BE32-E72D297353CC}">
              <c16:uniqueId val="{00000001-97D2-4398-979A-D28D8274861F}"/>
            </c:ext>
          </c:extLst>
        </c:ser>
        <c:ser>
          <c:idx val="2"/>
          <c:order val="2"/>
          <c:tx>
            <c:strRef>
              <c:f>PivotTables!$EZ$5:$EZ$6</c:f>
              <c:strCache>
                <c:ptCount val="1"/>
                <c:pt idx="0">
                  <c:v>COD</c:v>
                </c:pt>
              </c:strCache>
            </c:strRef>
          </c:tx>
          <c:spPr>
            <a:ln w="28575" cap="rnd">
              <a:solidFill>
                <a:srgbClr val="DB2D4A"/>
              </a:solidFill>
              <a:round/>
            </a:ln>
            <a:effectLst/>
          </c:spPr>
          <c:marker>
            <c:symbol val="none"/>
          </c:marker>
          <c:cat>
            <c:strRef>
              <c:f>PivotTables!$EW$7</c:f>
              <c:strCache>
                <c:ptCount val="1"/>
                <c:pt idx="0">
                  <c:v>Total</c:v>
                </c:pt>
              </c:strCache>
            </c:strRef>
          </c:cat>
          <c:val>
            <c:numRef>
              <c:f>PivotTables!$EZ$7</c:f>
              <c:numCache>
                <c:formatCode>[&lt;999950]#,##0.0,"K";[&lt;999950000]#,##0.0,,"JT";#,##0.0,,,"M"</c:formatCode>
                <c:ptCount val="1"/>
                <c:pt idx="0">
                  <c:v>13080000000</c:v>
                </c:pt>
              </c:numCache>
            </c:numRef>
          </c:val>
          <c:smooth val="0"/>
          <c:extLst>
            <c:ext xmlns:c16="http://schemas.microsoft.com/office/drawing/2014/chart" uri="{C3380CC4-5D6E-409C-BE32-E72D297353CC}">
              <c16:uniqueId val="{00000002-97D2-4398-979A-D28D8274861F}"/>
            </c:ext>
          </c:extLst>
        </c:ser>
        <c:dLbls>
          <c:showLegendKey val="0"/>
          <c:showVal val="0"/>
          <c:showCatName val="0"/>
          <c:showSerName val="0"/>
          <c:showPercent val="0"/>
          <c:showBubbleSize val="0"/>
        </c:dLbls>
        <c:smooth val="0"/>
        <c:axId val="347860664"/>
        <c:axId val="347865760"/>
      </c:lineChart>
      <c:catAx>
        <c:axId val="34786066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347865760"/>
        <c:crosses val="autoZero"/>
        <c:auto val="1"/>
        <c:lblAlgn val="ctr"/>
        <c:lblOffset val="100"/>
        <c:noMultiLvlLbl val="0"/>
      </c:catAx>
      <c:valAx>
        <c:axId val="347865760"/>
        <c:scaling>
          <c:orientation val="minMax"/>
        </c:scaling>
        <c:delete val="0"/>
        <c:axPos val="l"/>
        <c:majorGridlines>
          <c:spPr>
            <a:ln w="3175" cap="flat" cmpd="sng" algn="ctr">
              <a:solidFill>
                <a:schemeClr val="bg1">
                  <a:lumMod val="95000"/>
                </a:schemeClr>
              </a:solidFill>
              <a:round/>
            </a:ln>
            <a:effectLst/>
          </c:spPr>
        </c:majorGridlines>
        <c:numFmt formatCode="[&lt;999950]#,##0.0,&quot;K&quot;;[&lt;999950000]#,##0.0,,&quot;JT&quot;;#,##0.0,,,&quot;M&quot;"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347860664"/>
        <c:crosses val="autoZero"/>
        <c:crossBetween val="between"/>
      </c:valAx>
      <c:spPr>
        <a:noFill/>
        <a:ln>
          <a:noFill/>
        </a:ln>
        <a:effectLst/>
      </c:spPr>
    </c:plotArea>
    <c:legend>
      <c:legendPos val="b"/>
      <c:layout>
        <c:manualLayout>
          <c:xMode val="edge"/>
          <c:yMode val="edge"/>
          <c:x val="0.51319427847867738"/>
          <c:y val="0.85241851786564282"/>
          <c:w val="0.44397572217819764"/>
          <c:h val="0.1088717850504369"/>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hyperlink" Target="#Dashboard!B2"/></Relationships>
</file>

<file path=xl/drawings/_rels/drawing2.xml.rels><?xml version="1.0" encoding="UTF-8" standalone="yes"?>
<Relationships xmlns="http://schemas.openxmlformats.org/package/2006/relationships"><Relationship Id="rId13" Type="http://schemas.openxmlformats.org/officeDocument/2006/relationships/chart" Target="../charts/chart3.xml"/><Relationship Id="rId18" Type="http://schemas.openxmlformats.org/officeDocument/2006/relationships/chart" Target="../charts/chart7.xml"/><Relationship Id="rId26" Type="http://schemas.openxmlformats.org/officeDocument/2006/relationships/chart" Target="../charts/chart11.xml"/><Relationship Id="rId3" Type="http://schemas.openxmlformats.org/officeDocument/2006/relationships/hyperlink" Target="https://pixabay.com/th/vectors/%E0%B8%AA%E0%B8%81%E0%B8%B8%E0%B8%A5%E0%B9%80%E0%B8%87%E0%B8%B4%E0%B8%99-%E0%B8%94%E0%B8%AD%E0%B8%A5%E0%B8%A5%E0%B9%88%E0%B8%B2-%E0%B8%A2%E0%B8%B9%E0%B9%82%E0%B8%A3-%E0%B9%80%E0%B8%A2%E0%B8%99-%E0%B8%9B%E0%B8%AD%E0%B8%99%E0%B8%94%E0%B9%8C-1680786/" TargetMode="External"/><Relationship Id="rId21" Type="http://schemas.openxmlformats.org/officeDocument/2006/relationships/image" Target="../media/image9.png"/><Relationship Id="rId7" Type="http://schemas.openxmlformats.org/officeDocument/2006/relationships/image" Target="../media/image4.svg"/><Relationship Id="rId12" Type="http://schemas.openxmlformats.org/officeDocument/2006/relationships/chart" Target="../charts/chart2.xml"/><Relationship Id="rId17" Type="http://schemas.openxmlformats.org/officeDocument/2006/relationships/chart" Target="../charts/chart6.xml"/><Relationship Id="rId25" Type="http://schemas.openxmlformats.org/officeDocument/2006/relationships/image" Target="../media/image11.svg"/><Relationship Id="rId33" Type="http://schemas.openxmlformats.org/officeDocument/2006/relationships/chart" Target="../charts/chart16.xml"/><Relationship Id="rId2" Type="http://schemas.microsoft.com/office/2007/relationships/hdphoto" Target="../media/hdphoto1.wdp"/><Relationship Id="rId16" Type="http://schemas.openxmlformats.org/officeDocument/2006/relationships/chart" Target="../charts/chart5.xml"/><Relationship Id="rId20" Type="http://schemas.openxmlformats.org/officeDocument/2006/relationships/chart" Target="../charts/chart9.xml"/><Relationship Id="rId29" Type="http://schemas.openxmlformats.org/officeDocument/2006/relationships/image" Target="../media/image14.svg"/><Relationship Id="rId1" Type="http://schemas.openxmlformats.org/officeDocument/2006/relationships/image" Target="../media/image1.png"/><Relationship Id="rId6" Type="http://schemas.openxmlformats.org/officeDocument/2006/relationships/image" Target="../media/image3.png"/><Relationship Id="rId11" Type="http://schemas.openxmlformats.org/officeDocument/2006/relationships/image" Target="../media/image8.svg"/><Relationship Id="rId24" Type="http://schemas.openxmlformats.org/officeDocument/2006/relationships/image" Target="../media/image10.png"/><Relationship Id="rId32" Type="http://schemas.openxmlformats.org/officeDocument/2006/relationships/chart" Target="../charts/chart15.xml"/><Relationship Id="rId5" Type="http://schemas.openxmlformats.org/officeDocument/2006/relationships/chart" Target="../charts/chart1.xml"/><Relationship Id="rId15" Type="http://schemas.openxmlformats.org/officeDocument/2006/relationships/chart" Target="../charts/chart4.xml"/><Relationship Id="rId23" Type="http://schemas.openxmlformats.org/officeDocument/2006/relationships/chart" Target="../charts/chart10.xml"/><Relationship Id="rId28" Type="http://schemas.openxmlformats.org/officeDocument/2006/relationships/image" Target="../media/image13.png"/><Relationship Id="rId10" Type="http://schemas.openxmlformats.org/officeDocument/2006/relationships/image" Target="../media/image7.png"/><Relationship Id="rId19" Type="http://schemas.openxmlformats.org/officeDocument/2006/relationships/chart" Target="../charts/chart8.xml"/><Relationship Id="rId31" Type="http://schemas.openxmlformats.org/officeDocument/2006/relationships/chart" Target="../charts/chart14.xml"/><Relationship Id="rId4" Type="http://schemas.openxmlformats.org/officeDocument/2006/relationships/image" Target="../media/image2.png"/><Relationship Id="rId9" Type="http://schemas.openxmlformats.org/officeDocument/2006/relationships/image" Target="../media/image6.svg"/><Relationship Id="rId14" Type="http://schemas.openxmlformats.org/officeDocument/2006/relationships/hyperlink" Target="#Database!C3"/><Relationship Id="rId22" Type="http://schemas.openxmlformats.org/officeDocument/2006/relationships/hyperlink" Target="https://dvmed.com/Carprieve-Injection-50mgmL-20mL-Vial_p_163.html" TargetMode="External"/><Relationship Id="rId27" Type="http://schemas.openxmlformats.org/officeDocument/2006/relationships/chart" Target="../charts/chart12.xml"/><Relationship Id="rId30" Type="http://schemas.openxmlformats.org/officeDocument/2006/relationships/chart" Target="../charts/chart13.xml"/><Relationship Id="rId8"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xdr:from>
      <xdr:col>14</xdr:col>
      <xdr:colOff>538833</xdr:colOff>
      <xdr:row>0</xdr:row>
      <xdr:rowOff>370520</xdr:rowOff>
    </xdr:from>
    <xdr:to>
      <xdr:col>15</xdr:col>
      <xdr:colOff>132433</xdr:colOff>
      <xdr:row>1</xdr:row>
      <xdr:rowOff>134980</xdr:rowOff>
    </xdr:to>
    <xdr:sp macro="" textlink="">
      <xdr:nvSpPr>
        <xdr:cNvPr id="6" name="Rectangle 5">
          <a:extLst>
            <a:ext uri="{FF2B5EF4-FFF2-40B4-BE49-F238E27FC236}">
              <a16:creationId xmlns:a16="http://schemas.microsoft.com/office/drawing/2014/main" id="{B65AA5CB-4467-9383-B8DB-5DF1615AF3BC}"/>
            </a:ext>
          </a:extLst>
        </xdr:cNvPr>
        <xdr:cNvSpPr/>
      </xdr:nvSpPr>
      <xdr:spPr>
        <a:xfrm rot="2544924">
          <a:off x="11511633" y="370520"/>
          <a:ext cx="317500" cy="183560"/>
        </a:xfrm>
        <a:prstGeom prst="rect">
          <a:avLst/>
        </a:prstGeom>
        <a:solidFill>
          <a:srgbClr val="A13F9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1</xdr:row>
      <xdr:rowOff>9298</xdr:rowOff>
    </xdr:from>
    <xdr:to>
      <xdr:col>1</xdr:col>
      <xdr:colOff>250347</xdr:colOff>
      <xdr:row>1</xdr:row>
      <xdr:rowOff>187952</xdr:rowOff>
    </xdr:to>
    <xdr:sp macro="" textlink="">
      <xdr:nvSpPr>
        <xdr:cNvPr id="5" name="Rectangle 4">
          <a:extLst>
            <a:ext uri="{FF2B5EF4-FFF2-40B4-BE49-F238E27FC236}">
              <a16:creationId xmlns:a16="http://schemas.microsoft.com/office/drawing/2014/main" id="{A7EFB238-1019-1857-5766-D4946638C9F3}"/>
            </a:ext>
          </a:extLst>
        </xdr:cNvPr>
        <xdr:cNvSpPr/>
      </xdr:nvSpPr>
      <xdr:spPr>
        <a:xfrm rot="19560218">
          <a:off x="0" y="428398"/>
          <a:ext cx="663097" cy="178654"/>
        </a:xfrm>
        <a:prstGeom prst="rect">
          <a:avLst/>
        </a:prstGeom>
        <a:solidFill>
          <a:srgbClr val="4958C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0</xdr:col>
      <xdr:colOff>0</xdr:colOff>
      <xdr:row>0</xdr:row>
      <xdr:rowOff>0</xdr:rowOff>
    </xdr:from>
    <xdr:to>
      <xdr:col>16</xdr:col>
      <xdr:colOff>336550</xdr:colOff>
      <xdr:row>3127</xdr:row>
      <xdr:rowOff>262890</xdr:rowOff>
    </xdr:to>
    <xdr:sp macro="" textlink="">
      <xdr:nvSpPr>
        <xdr:cNvPr id="4" name="L-Shape 3">
          <a:extLst>
            <a:ext uri="{FF2B5EF4-FFF2-40B4-BE49-F238E27FC236}">
              <a16:creationId xmlns:a16="http://schemas.microsoft.com/office/drawing/2014/main" id="{75F67D55-2B03-B55B-C906-37EC84399114}"/>
            </a:ext>
          </a:extLst>
        </xdr:cNvPr>
        <xdr:cNvSpPr/>
      </xdr:nvSpPr>
      <xdr:spPr>
        <a:xfrm rot="16200000" flipH="1">
          <a:off x="-410995495" y="410995495"/>
          <a:ext cx="834589390" cy="12598400"/>
        </a:xfrm>
        <a:prstGeom prst="corner">
          <a:avLst>
            <a:gd name="adj1" fmla="val 7676"/>
            <a:gd name="adj2" fmla="val 3654"/>
          </a:avLst>
        </a:prstGeom>
        <a:gradFill>
          <a:gsLst>
            <a:gs pos="0">
              <a:srgbClr val="4958CE"/>
            </a:gs>
            <a:gs pos="100000">
              <a:srgbClr val="A13F9E"/>
            </a:gs>
          </a:gsLst>
          <a:lin ang="5400000" scaled="1"/>
        </a:gra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xdr:col>
      <xdr:colOff>25400</xdr:colOff>
      <xdr:row>1</xdr:row>
      <xdr:rowOff>25400</xdr:rowOff>
    </xdr:from>
    <xdr:to>
      <xdr:col>14</xdr:col>
      <xdr:colOff>698500</xdr:colOff>
      <xdr:row>1</xdr:row>
      <xdr:rowOff>457200</xdr:rowOff>
    </xdr:to>
    <xdr:sp macro="" textlink="">
      <xdr:nvSpPr>
        <xdr:cNvPr id="2" name="Rectangle: Top Corners Rounded 1">
          <a:extLst>
            <a:ext uri="{FF2B5EF4-FFF2-40B4-BE49-F238E27FC236}">
              <a16:creationId xmlns:a16="http://schemas.microsoft.com/office/drawing/2014/main" id="{FFE8902C-C1EA-E143-B942-DF39E7961846}"/>
            </a:ext>
          </a:extLst>
        </xdr:cNvPr>
        <xdr:cNvSpPr/>
      </xdr:nvSpPr>
      <xdr:spPr>
        <a:xfrm>
          <a:off x="311150" y="444500"/>
          <a:ext cx="11296650" cy="431800"/>
        </a:xfrm>
        <a:prstGeom prst="round2SameRect">
          <a:avLst>
            <a:gd name="adj1" fmla="val 50000"/>
            <a:gd name="adj2" fmla="val 0"/>
          </a:avLst>
        </a:prstGeom>
        <a:noFill/>
        <a:ln w="76200">
          <a:solidFill>
            <a:srgbClr val="362F48"/>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14</xdr:col>
      <xdr:colOff>742950</xdr:colOff>
      <xdr:row>0</xdr:row>
      <xdr:rowOff>0</xdr:rowOff>
    </xdr:from>
    <xdr:to>
      <xdr:col>15</xdr:col>
      <xdr:colOff>266700</xdr:colOff>
      <xdr:row>0</xdr:row>
      <xdr:rowOff>234950</xdr:rowOff>
    </xdr:to>
    <xdr:sp macro="" textlink="">
      <xdr:nvSpPr>
        <xdr:cNvPr id="7" name="TextBox 6">
          <a:hlinkClick xmlns:r="http://schemas.openxmlformats.org/officeDocument/2006/relationships" r:id="rId1" tooltip="Go to Dashboard"/>
          <a:extLst>
            <a:ext uri="{FF2B5EF4-FFF2-40B4-BE49-F238E27FC236}">
              <a16:creationId xmlns:a16="http://schemas.microsoft.com/office/drawing/2014/main" id="{95846AE7-4C96-3022-3450-72598077E6F0}"/>
            </a:ext>
          </a:extLst>
        </xdr:cNvPr>
        <xdr:cNvSpPr txBox="1"/>
      </xdr:nvSpPr>
      <xdr:spPr>
        <a:xfrm>
          <a:off x="11658600" y="0"/>
          <a:ext cx="304800" cy="234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rPr>
            <a:t>↗</a:t>
          </a:r>
        </a:p>
      </xdr:txBody>
    </xdr:sp>
    <xdr:clientData/>
  </xdr:twoCellAnchor>
</xdr:wsDr>
</file>

<file path=xl/drawings/drawing2.xml><?xml version="1.0" encoding="utf-8"?>
<xdr:wsDr xmlns:xdr="http://schemas.openxmlformats.org/drawingml/2006/spreadsheetDrawing" xmlns:a="http://schemas.openxmlformats.org/drawingml/2006/main">
  <xdr:twoCellAnchor editAs="absolute">
    <xdr:from>
      <xdr:col>0</xdr:col>
      <xdr:colOff>176682</xdr:colOff>
      <xdr:row>0</xdr:row>
      <xdr:rowOff>136980</xdr:rowOff>
    </xdr:from>
    <xdr:to>
      <xdr:col>3</xdr:col>
      <xdr:colOff>357173</xdr:colOff>
      <xdr:row>11</xdr:row>
      <xdr:rowOff>152946</xdr:rowOff>
    </xdr:to>
    <xdr:grpSp>
      <xdr:nvGrpSpPr>
        <xdr:cNvPr id="30" name="Group 29">
          <a:extLst>
            <a:ext uri="{FF2B5EF4-FFF2-40B4-BE49-F238E27FC236}">
              <a16:creationId xmlns:a16="http://schemas.microsoft.com/office/drawing/2014/main" id="{9F2F61F6-1AC0-221C-D228-B4EC8DBE5846}"/>
            </a:ext>
          </a:extLst>
        </xdr:cNvPr>
        <xdr:cNvGrpSpPr/>
      </xdr:nvGrpSpPr>
      <xdr:grpSpPr>
        <a:xfrm>
          <a:off x="176682" y="136980"/>
          <a:ext cx="2003848" cy="2011680"/>
          <a:chOff x="1396786" y="118836"/>
          <a:chExt cx="2003849" cy="2011680"/>
        </a:xfrm>
      </xdr:grpSpPr>
      <xdr:sp macro="" textlink="">
        <xdr:nvSpPr>
          <xdr:cNvPr id="6" name="Rectangle: Rounded Corners 5">
            <a:extLst>
              <a:ext uri="{FF2B5EF4-FFF2-40B4-BE49-F238E27FC236}">
                <a16:creationId xmlns:a16="http://schemas.microsoft.com/office/drawing/2014/main" id="{213006C1-7EA0-3C69-D7BC-319824B037B5}"/>
              </a:ext>
            </a:extLst>
          </xdr:cNvPr>
          <xdr:cNvSpPr/>
        </xdr:nvSpPr>
        <xdr:spPr>
          <a:xfrm>
            <a:off x="1396786" y="118836"/>
            <a:ext cx="2002536" cy="2011680"/>
          </a:xfrm>
          <a:prstGeom prst="roundRect">
            <a:avLst>
              <a:gd name="adj" fmla="val 6824"/>
            </a:avLst>
          </a:prstGeom>
          <a:solidFill>
            <a:schemeClr val="bg1"/>
          </a:solidFill>
          <a:ln>
            <a:noFill/>
          </a:ln>
          <a:effectLst>
            <a:outerShdw blurRad="279400" dist="50800" dir="2700000" algn="tl" rotWithShape="0">
              <a:prstClr val="black">
                <a:alpha val="12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7" name="TextBox 6">
            <a:extLst>
              <a:ext uri="{FF2B5EF4-FFF2-40B4-BE49-F238E27FC236}">
                <a16:creationId xmlns:a16="http://schemas.microsoft.com/office/drawing/2014/main" id="{05630E42-FA67-4837-4904-3DF6FD296E26}"/>
              </a:ext>
            </a:extLst>
          </xdr:cNvPr>
          <xdr:cNvSpPr txBox="1"/>
        </xdr:nvSpPr>
        <xdr:spPr>
          <a:xfrm>
            <a:off x="1808409" y="239343"/>
            <a:ext cx="1188720" cy="2177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id-ID" sz="1100">
                <a:solidFill>
                  <a:schemeClr val="tx1">
                    <a:lumMod val="65000"/>
                    <a:lumOff val="35000"/>
                  </a:schemeClr>
                </a:solidFill>
                <a:latin typeface="Avenir Next LT Pro Demi" panose="020B0704020202020204" pitchFamily="34" charset="0"/>
              </a:rPr>
              <a:t>Realisasi Anggaran</a:t>
            </a:r>
          </a:p>
          <a:p>
            <a:pPr algn="ctr"/>
            <a:endParaRPr lang="en-US" sz="1100">
              <a:solidFill>
                <a:schemeClr val="tx1">
                  <a:lumMod val="65000"/>
                  <a:lumOff val="35000"/>
                </a:schemeClr>
              </a:solidFill>
              <a:latin typeface="Avenir Next LT Pro Demi" panose="020B0704020202020204" pitchFamily="34" charset="0"/>
            </a:endParaRPr>
          </a:p>
        </xdr:txBody>
      </xdr:sp>
      <xdr:grpSp>
        <xdr:nvGrpSpPr>
          <xdr:cNvPr id="11" name="Group 10">
            <a:extLst>
              <a:ext uri="{FF2B5EF4-FFF2-40B4-BE49-F238E27FC236}">
                <a16:creationId xmlns:a16="http://schemas.microsoft.com/office/drawing/2014/main" id="{3B5F81E8-21D1-3931-BE2C-ABED0083F74A}"/>
              </a:ext>
            </a:extLst>
          </xdr:cNvPr>
          <xdr:cNvGrpSpPr/>
        </xdr:nvGrpSpPr>
        <xdr:grpSpPr>
          <a:xfrm>
            <a:off x="1563611" y="508905"/>
            <a:ext cx="1097280" cy="562426"/>
            <a:chOff x="1590695" y="418191"/>
            <a:chExt cx="1463419" cy="562426"/>
          </a:xfrm>
        </xdr:grpSpPr>
        <xdr:sp macro="" textlink="PivotTables!B6">
          <xdr:nvSpPr>
            <xdr:cNvPr id="8" name="TextBox 7">
              <a:extLst>
                <a:ext uri="{FF2B5EF4-FFF2-40B4-BE49-F238E27FC236}">
                  <a16:creationId xmlns:a16="http://schemas.microsoft.com/office/drawing/2014/main" id="{856F639A-A0B7-2DDA-B822-41EB5517FF8D}"/>
                </a:ext>
              </a:extLst>
            </xdr:cNvPr>
            <xdr:cNvSpPr txBox="1"/>
          </xdr:nvSpPr>
          <xdr:spPr>
            <a:xfrm>
              <a:off x="1590695" y="418191"/>
              <a:ext cx="1463419" cy="4526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B8369131-4E45-4DAD-B5EB-03FB1D3694A4}" type="TxLink">
                <a:rPr lang="en-US" sz="1800" b="1" i="0" u="none" strike="noStrike">
                  <a:solidFill>
                    <a:schemeClr val="bg2">
                      <a:lumMod val="10000"/>
                    </a:schemeClr>
                  </a:solidFill>
                  <a:latin typeface="Avenir Next LT Pro" panose="020B0504020202020204" pitchFamily="34" charset="0"/>
                  <a:cs typeface="Arial" panose="020B0604020202020204" pitchFamily="34" charset="0"/>
                </a:rPr>
                <a:pPr algn="l"/>
                <a:t>42,3M</a:t>
              </a:fld>
              <a:endParaRPr lang="en-US" sz="1800" b="1">
                <a:solidFill>
                  <a:schemeClr val="bg2">
                    <a:lumMod val="10000"/>
                  </a:schemeClr>
                </a:solidFill>
                <a:latin typeface="Avenir Next LT Pro" panose="020B0504020202020204" pitchFamily="34" charset="0"/>
                <a:cs typeface="Arial" panose="020B0604020202020204" pitchFamily="34" charset="0"/>
              </a:endParaRPr>
            </a:p>
          </xdr:txBody>
        </xdr:sp>
        <xdr:sp macro="" textlink="">
          <xdr:nvSpPr>
            <xdr:cNvPr id="9" name="TextBox 8">
              <a:extLst>
                <a:ext uri="{FF2B5EF4-FFF2-40B4-BE49-F238E27FC236}">
                  <a16:creationId xmlns:a16="http://schemas.microsoft.com/office/drawing/2014/main" id="{5DE2C2E9-E3F9-F440-0F8C-CA9C2BE70FBF}"/>
                </a:ext>
              </a:extLst>
            </xdr:cNvPr>
            <xdr:cNvSpPr txBox="1"/>
          </xdr:nvSpPr>
          <xdr:spPr>
            <a:xfrm>
              <a:off x="1590696" y="762903"/>
              <a:ext cx="731520" cy="2177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000" b="1">
                  <a:solidFill>
                    <a:schemeClr val="tx1"/>
                  </a:solidFill>
                  <a:latin typeface="Arial" panose="020B0604020202020204" pitchFamily="34" charset="0"/>
                  <a:cs typeface="Arial" panose="020B0604020202020204" pitchFamily="34" charset="0"/>
                </a:rPr>
                <a:t>IDR</a:t>
              </a:r>
            </a:p>
          </xdr:txBody>
        </xdr:sp>
      </xdr:grpSp>
      <xdr:sp macro="" textlink="">
        <xdr:nvSpPr>
          <xdr:cNvPr id="10" name="Isosceles Triangle 9">
            <a:extLst>
              <a:ext uri="{FF2B5EF4-FFF2-40B4-BE49-F238E27FC236}">
                <a16:creationId xmlns:a16="http://schemas.microsoft.com/office/drawing/2014/main" id="{84A7E7C4-1B77-7B62-8D05-E6FE005B4B58}"/>
              </a:ext>
            </a:extLst>
          </xdr:cNvPr>
          <xdr:cNvSpPr/>
        </xdr:nvSpPr>
        <xdr:spPr>
          <a:xfrm>
            <a:off x="2530933" y="562429"/>
            <a:ext cx="109728" cy="64008"/>
          </a:xfrm>
          <a:prstGeom prst="triangle">
            <a:avLst/>
          </a:prstGeom>
          <a:solidFill>
            <a:srgbClr val="00B626"/>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13" name="Picture 12">
            <a:extLst>
              <a:ext uri="{FF2B5EF4-FFF2-40B4-BE49-F238E27FC236}">
                <a16:creationId xmlns:a16="http://schemas.microsoft.com/office/drawing/2014/main" id="{F0C4051D-2FBB-545A-23D5-5C1A8B4E232B}"/>
              </a:ext>
            </a:extLst>
          </xdr:cNvPr>
          <xdr:cNvPicPr>
            <a:picLocks noChangeAspect="1"/>
          </xdr:cNvPicPr>
        </xdr:nvPicPr>
        <xdr:blipFill rotWithShape="1">
          <a:blip xmlns:r="http://schemas.openxmlformats.org/officeDocument/2006/relationships" r:embed="rId1" cstate="print">
            <a:extLst>
              <a:ext uri="{BEBA8EAE-BF5A-486C-A8C5-ECC9F3942E4B}">
                <a14:imgProps xmlns:a14="http://schemas.microsoft.com/office/drawing/2010/main">
                  <a14:imgLayer r:embed="rId2">
                    <a14:imgEffect>
                      <a14:backgroundRemoval t="10000" b="91563" l="10000" r="94531">
                        <a14:foregroundMark x1="80391" y1="54844" x2="75547" y2="64219"/>
                        <a14:foregroundMark x1="75547" y1="64219" x2="75547" y2="79375"/>
                        <a14:foregroundMark x1="75547" y1="79375" x2="80625" y2="91875"/>
                        <a14:foregroundMark x1="80625" y1="91875" x2="86797" y2="94531"/>
                        <a14:foregroundMark x1="86797" y1="94531" x2="92891" y2="86719"/>
                        <a14:foregroundMark x1="92891" y1="86719" x2="94688" y2="70781"/>
                        <a14:foregroundMark x1="94688" y1="70781" x2="91563" y2="58750"/>
                        <a14:foregroundMark x1="91563" y1="58750" x2="86172" y2="52656"/>
                        <a14:foregroundMark x1="86172" y1="52656" x2="79844" y2="54688"/>
                        <a14:foregroundMark x1="79844" y1="54688" x2="79844" y2="54688"/>
                        <a14:foregroundMark x1="75156" y1="65313" x2="74531" y2="79375"/>
                        <a14:foregroundMark x1="74531" y1="79375" x2="80313" y2="90781"/>
                        <a14:foregroundMark x1="79609" y1="91563" x2="75156" y2="83125"/>
                        <a14:foregroundMark x1="78984" y1="56250" x2="76953" y2="61563"/>
                        <a14:foregroundMark x1="78984" y1="56094" x2="75625" y2="62813"/>
                        <a14:foregroundMark x1="92344" y1="61094" x2="94531" y2="67656"/>
                        <a14:foregroundMark x1="87891" y1="71250" x2="87969" y2="69531"/>
                        <a14:foregroundMark x1="80547" y1="65781" x2="80859" y2="67188"/>
                      </a14:backgroundRemoval>
                    </a14:imgEffect>
                  </a14:imgLayer>
                </a14:imgProps>
              </a:ext>
              <a:ext uri="{28A0092B-C50C-407E-A947-70E740481C1C}">
                <a14:useLocalDpi xmlns:a14="http://schemas.microsoft.com/office/drawing/2010/main" val="0"/>
              </a:ext>
              <a:ext uri="{837473B0-CC2E-450A-ABE3-18F120FF3D39}">
                <a1611:picAttrSrcUrl xmlns:a1611="http://schemas.microsoft.com/office/drawing/2016/11/main" r:id="rId3"/>
              </a:ext>
            </a:extLst>
          </a:blip>
          <a:srcRect l="74930" t="50653" r="5345" b="6863"/>
          <a:stretch/>
        </xdr:blipFill>
        <xdr:spPr>
          <a:xfrm>
            <a:off x="1560290" y="172354"/>
            <a:ext cx="326572" cy="351693"/>
          </a:xfrm>
          <a:prstGeom prst="rect">
            <a:avLst/>
          </a:prstGeom>
        </xdr:spPr>
      </xdr:pic>
      <xdr:cxnSp macro="">
        <xdr:nvCxnSpPr>
          <xdr:cNvPr id="12" name="Straight Connector 11">
            <a:extLst>
              <a:ext uri="{FF2B5EF4-FFF2-40B4-BE49-F238E27FC236}">
                <a16:creationId xmlns:a16="http://schemas.microsoft.com/office/drawing/2014/main" id="{024F0F8D-B5F1-2932-CA7E-2D244D648DBD}"/>
              </a:ext>
            </a:extLst>
          </xdr:cNvPr>
          <xdr:cNvCxnSpPr/>
        </xdr:nvCxnSpPr>
        <xdr:spPr>
          <a:xfrm flipV="1">
            <a:off x="1608840" y="1147355"/>
            <a:ext cx="1578429" cy="9071"/>
          </a:xfrm>
          <a:prstGeom prst="line">
            <a:avLst/>
          </a:prstGeom>
          <a:ln>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sp macro="" textlink="">
        <xdr:nvSpPr>
          <xdr:cNvPr id="14" name="TextBox 13">
            <a:extLst>
              <a:ext uri="{FF2B5EF4-FFF2-40B4-BE49-F238E27FC236}">
                <a16:creationId xmlns:a16="http://schemas.microsoft.com/office/drawing/2014/main" id="{C00F0F52-0E7F-6C0D-461D-FAD51138EFFD}"/>
              </a:ext>
            </a:extLst>
          </xdr:cNvPr>
          <xdr:cNvSpPr txBox="1"/>
        </xdr:nvSpPr>
        <xdr:spPr>
          <a:xfrm>
            <a:off x="1490913" y="1246272"/>
            <a:ext cx="1371600" cy="2177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id-ID" sz="1100">
                <a:solidFill>
                  <a:schemeClr val="tx1">
                    <a:lumMod val="65000"/>
                    <a:lumOff val="35000"/>
                  </a:schemeClr>
                </a:solidFill>
                <a:latin typeface="Avenir Next LT Pro Demi" panose="020B0704020202020204" pitchFamily="34" charset="0"/>
              </a:rPr>
              <a:t>Pagu</a:t>
            </a:r>
            <a:r>
              <a:rPr lang="id-ID" sz="1100" baseline="0">
                <a:solidFill>
                  <a:schemeClr val="tx1">
                    <a:lumMod val="65000"/>
                    <a:lumOff val="35000"/>
                  </a:schemeClr>
                </a:solidFill>
                <a:latin typeface="Avenir Next LT Pro Demi" panose="020B0704020202020204" pitchFamily="34" charset="0"/>
              </a:rPr>
              <a:t> Anggaran</a:t>
            </a:r>
          </a:p>
          <a:p>
            <a:pPr algn="ctr"/>
            <a:endParaRPr lang="en-US" sz="1100">
              <a:solidFill>
                <a:schemeClr val="tx1">
                  <a:lumMod val="65000"/>
                  <a:lumOff val="35000"/>
                </a:schemeClr>
              </a:solidFill>
              <a:latin typeface="Avenir Next LT Pro Demi" panose="020B0704020202020204" pitchFamily="34" charset="0"/>
            </a:endParaRPr>
          </a:p>
        </xdr:txBody>
      </xdr:sp>
      <xdr:sp macro="" textlink="PivotTables!I6">
        <xdr:nvSpPr>
          <xdr:cNvPr id="15" name="TextBox 14">
            <a:extLst>
              <a:ext uri="{FF2B5EF4-FFF2-40B4-BE49-F238E27FC236}">
                <a16:creationId xmlns:a16="http://schemas.microsoft.com/office/drawing/2014/main" id="{97668511-A14B-4CE7-8D33-3569B2F675CF}"/>
              </a:ext>
            </a:extLst>
          </xdr:cNvPr>
          <xdr:cNvSpPr txBox="1"/>
        </xdr:nvSpPr>
        <xdr:spPr>
          <a:xfrm>
            <a:off x="1551005" y="1434193"/>
            <a:ext cx="979461" cy="45266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D3C760E9-D3CA-4DD8-A19E-A56B601BDC67}" type="TxLink">
              <a:rPr lang="en-US" sz="1800" b="1" i="0" u="none" strike="noStrike">
                <a:solidFill>
                  <a:schemeClr val="bg2">
                    <a:lumMod val="10000"/>
                  </a:schemeClr>
                </a:solidFill>
                <a:latin typeface="Arial" panose="020B0604020202020204" pitchFamily="34" charset="0"/>
                <a:ea typeface="+mn-ea"/>
                <a:cs typeface="Arial" panose="020B0604020202020204" pitchFamily="34" charset="0"/>
              </a:rPr>
              <a:pPr marL="0" indent="0" algn="l"/>
              <a:t>707</a:t>
            </a:fld>
            <a:endParaRPr lang="en-US" sz="4000" b="1" i="0" u="none" strike="noStrike">
              <a:solidFill>
                <a:schemeClr val="bg2">
                  <a:lumMod val="10000"/>
                </a:schemeClr>
              </a:solidFill>
              <a:latin typeface="Arial" panose="020B0604020202020204" pitchFamily="34" charset="0"/>
              <a:ea typeface="+mn-ea"/>
              <a:cs typeface="Arial" panose="020B0604020202020204" pitchFamily="34" charset="0"/>
            </a:endParaRPr>
          </a:p>
        </xdr:txBody>
      </xdr:sp>
      <xdr:sp macro="" textlink="">
        <xdr:nvSpPr>
          <xdr:cNvPr id="16" name="TextBox 15">
            <a:extLst>
              <a:ext uri="{FF2B5EF4-FFF2-40B4-BE49-F238E27FC236}">
                <a16:creationId xmlns:a16="http://schemas.microsoft.com/office/drawing/2014/main" id="{090D4A3E-2905-75E6-C834-D3537E3563B4}"/>
              </a:ext>
            </a:extLst>
          </xdr:cNvPr>
          <xdr:cNvSpPr txBox="1"/>
        </xdr:nvSpPr>
        <xdr:spPr>
          <a:xfrm>
            <a:off x="1536268" y="1772414"/>
            <a:ext cx="822960" cy="2177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000" baseline="0">
                <a:solidFill>
                  <a:schemeClr val="tx1"/>
                </a:solidFill>
                <a:latin typeface="Avenir Next LT Pro Demi" panose="020B0704020202020204" pitchFamily="34" charset="0"/>
              </a:rPr>
              <a:t>Invoice</a:t>
            </a:r>
            <a:endParaRPr lang="en-US" sz="1000">
              <a:solidFill>
                <a:schemeClr val="tx1"/>
              </a:solidFill>
              <a:latin typeface="Avenir Next LT Pro Demi" panose="020B0704020202020204" pitchFamily="34" charset="0"/>
            </a:endParaRPr>
          </a:p>
        </xdr:txBody>
      </xdr:sp>
      <xdr:pic>
        <xdr:nvPicPr>
          <xdr:cNvPr id="22" name="Picture 21">
            <a:extLst>
              <a:ext uri="{FF2B5EF4-FFF2-40B4-BE49-F238E27FC236}">
                <a16:creationId xmlns:a16="http://schemas.microsoft.com/office/drawing/2014/main" id="{9C336F04-66ED-E7A3-B105-A0C5FD31E58F}"/>
              </a:ext>
            </a:extLst>
          </xdr:cNvPr>
          <xdr:cNvPicPr>
            <a:picLocks noChangeAspect="1"/>
          </xdr:cNvPicPr>
        </xdr:nvPicPr>
        <xdr:blipFill>
          <a:blip xmlns:r="http://schemas.openxmlformats.org/officeDocument/2006/relationships" r:embed="rId4" cstate="print">
            <a:extLst>
              <a:ext uri="{28A0092B-C50C-407E-A947-70E740481C1C}">
                <a14:useLocalDpi xmlns:a14="http://schemas.microsoft.com/office/drawing/2010/main" val="0"/>
              </a:ext>
            </a:extLst>
          </a:blip>
          <a:stretch>
            <a:fillRect/>
          </a:stretch>
        </xdr:blipFill>
        <xdr:spPr>
          <a:xfrm>
            <a:off x="2467434" y="1397003"/>
            <a:ext cx="933201" cy="623152"/>
          </a:xfrm>
          <a:prstGeom prst="rect">
            <a:avLst/>
          </a:prstGeom>
        </xdr:spPr>
      </xdr:pic>
    </xdr:grpSp>
    <xdr:clientData/>
  </xdr:twoCellAnchor>
  <xdr:twoCellAnchor editAs="absolute">
    <xdr:from>
      <xdr:col>3</xdr:col>
      <xdr:colOff>565841</xdr:colOff>
      <xdr:row>0</xdr:row>
      <xdr:rowOff>82550</xdr:rowOff>
    </xdr:from>
    <xdr:to>
      <xdr:col>8</xdr:col>
      <xdr:colOff>394606</xdr:colOff>
      <xdr:row>11</xdr:row>
      <xdr:rowOff>98516</xdr:rowOff>
    </xdr:to>
    <xdr:grpSp>
      <xdr:nvGrpSpPr>
        <xdr:cNvPr id="28" name="Group 27">
          <a:extLst>
            <a:ext uri="{FF2B5EF4-FFF2-40B4-BE49-F238E27FC236}">
              <a16:creationId xmlns:a16="http://schemas.microsoft.com/office/drawing/2014/main" id="{B6AC9DD8-57DA-E31D-E82D-A00C3D1E3E1F}"/>
            </a:ext>
          </a:extLst>
        </xdr:cNvPr>
        <xdr:cNvGrpSpPr/>
      </xdr:nvGrpSpPr>
      <xdr:grpSpPr>
        <a:xfrm>
          <a:off x="2389198" y="82550"/>
          <a:ext cx="2867694" cy="2011680"/>
          <a:chOff x="3465070" y="91622"/>
          <a:chExt cx="2848643" cy="2011680"/>
        </a:xfrm>
      </xdr:grpSpPr>
      <xdr:sp macro="" textlink="">
        <xdr:nvSpPr>
          <xdr:cNvPr id="23" name="Rectangle: Rounded Corners 22">
            <a:extLst>
              <a:ext uri="{FF2B5EF4-FFF2-40B4-BE49-F238E27FC236}">
                <a16:creationId xmlns:a16="http://schemas.microsoft.com/office/drawing/2014/main" id="{5908D2CC-726E-88C6-3187-4206E0EC7EEF}"/>
              </a:ext>
            </a:extLst>
          </xdr:cNvPr>
          <xdr:cNvSpPr/>
        </xdr:nvSpPr>
        <xdr:spPr>
          <a:xfrm>
            <a:off x="3465070" y="91622"/>
            <a:ext cx="2848643" cy="2011680"/>
          </a:xfrm>
          <a:prstGeom prst="roundRect">
            <a:avLst>
              <a:gd name="adj" fmla="val 6824"/>
            </a:avLst>
          </a:prstGeom>
          <a:solidFill>
            <a:schemeClr val="bg1"/>
          </a:solidFill>
          <a:ln>
            <a:noFill/>
          </a:ln>
          <a:effectLst>
            <a:outerShdw blurRad="279400" dist="50800" dir="2700000" algn="tl" rotWithShape="0">
              <a:prstClr val="black">
                <a:alpha val="12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lumMod val="65000"/>
                  <a:lumOff val="35000"/>
                </a:schemeClr>
              </a:solidFill>
            </a:endParaRPr>
          </a:p>
        </xdr:txBody>
      </xdr:sp>
      <xdr:sp macro="" textlink="">
        <xdr:nvSpPr>
          <xdr:cNvPr id="26" name="TextBox 25">
            <a:extLst>
              <a:ext uri="{FF2B5EF4-FFF2-40B4-BE49-F238E27FC236}">
                <a16:creationId xmlns:a16="http://schemas.microsoft.com/office/drawing/2014/main" id="{5EC6D5E2-A2F8-84B5-7E5B-1ECF0A3AB9F7}"/>
              </a:ext>
            </a:extLst>
          </xdr:cNvPr>
          <xdr:cNvSpPr txBox="1"/>
        </xdr:nvSpPr>
        <xdr:spPr>
          <a:xfrm>
            <a:off x="3497232" y="94206"/>
            <a:ext cx="1248349" cy="7040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000">
                <a:solidFill>
                  <a:schemeClr val="tx1">
                    <a:lumMod val="65000"/>
                    <a:lumOff val="35000"/>
                  </a:schemeClr>
                </a:solidFill>
                <a:latin typeface="Avenir Next LT Pro Demi" panose="020B0704020202020204" pitchFamily="34" charset="0"/>
              </a:rPr>
              <a:t>Top 5</a:t>
            </a:r>
            <a:endParaRPr lang="en-US" sz="1100">
              <a:solidFill>
                <a:schemeClr val="tx1">
                  <a:lumMod val="65000"/>
                  <a:lumOff val="35000"/>
                </a:schemeClr>
              </a:solidFill>
              <a:latin typeface="Avenir Next LT Pro Demi" panose="020B0704020202020204" pitchFamily="34" charset="0"/>
            </a:endParaRPr>
          </a:p>
          <a:p>
            <a:pPr algn="l"/>
            <a:r>
              <a:rPr lang="en-US" sz="1200">
                <a:solidFill>
                  <a:schemeClr val="tx1">
                    <a:lumMod val="85000"/>
                    <a:lumOff val="15000"/>
                  </a:schemeClr>
                </a:solidFill>
                <a:latin typeface="Avenir Next LT Pro Demi" panose="020B0704020202020204" pitchFamily="34" charset="0"/>
              </a:rPr>
              <a:t>Customer</a:t>
            </a:r>
            <a:endParaRPr lang="en-US" sz="1100">
              <a:solidFill>
                <a:schemeClr val="tx1">
                  <a:lumMod val="85000"/>
                  <a:lumOff val="15000"/>
                </a:schemeClr>
              </a:solidFill>
              <a:latin typeface="Avenir Next LT Pro Demi" panose="020B0704020202020204" pitchFamily="34" charset="0"/>
            </a:endParaRPr>
          </a:p>
          <a:p>
            <a:pPr algn="l"/>
            <a:r>
              <a:rPr lang="en-US" sz="1000">
                <a:solidFill>
                  <a:schemeClr val="tx1">
                    <a:lumMod val="65000"/>
                    <a:lumOff val="35000"/>
                  </a:schemeClr>
                </a:solidFill>
                <a:latin typeface="Avenir Next LT Pro Demi" panose="020B0704020202020204" pitchFamily="34" charset="0"/>
              </a:rPr>
              <a:t>Sales Revenue</a:t>
            </a:r>
            <a:endParaRPr lang="en-US" sz="1100">
              <a:solidFill>
                <a:schemeClr val="tx1">
                  <a:lumMod val="65000"/>
                  <a:lumOff val="35000"/>
                </a:schemeClr>
              </a:solidFill>
              <a:latin typeface="Avenir Next LT Pro Demi" panose="020B0704020202020204" pitchFamily="34" charset="0"/>
            </a:endParaRPr>
          </a:p>
        </xdr:txBody>
      </xdr:sp>
      <xdr:sp macro="" textlink="">
        <xdr:nvSpPr>
          <xdr:cNvPr id="27" name="Star: 5 Points 26">
            <a:extLst>
              <a:ext uri="{FF2B5EF4-FFF2-40B4-BE49-F238E27FC236}">
                <a16:creationId xmlns:a16="http://schemas.microsoft.com/office/drawing/2014/main" id="{4A962953-6DA5-30A6-175B-6935A8F0E3CB}"/>
              </a:ext>
            </a:extLst>
          </xdr:cNvPr>
          <xdr:cNvSpPr/>
        </xdr:nvSpPr>
        <xdr:spPr>
          <a:xfrm>
            <a:off x="5894545" y="235856"/>
            <a:ext cx="115232" cy="118872"/>
          </a:xfrm>
          <a:prstGeom prst="star5">
            <a:avLst/>
          </a:prstGeom>
          <a:solidFill>
            <a:srgbClr val="FED14E"/>
          </a:solidFill>
          <a:ln>
            <a:solidFill>
              <a:srgbClr val="FED14E"/>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25" name="Group 24">
            <a:extLst>
              <a:ext uri="{FF2B5EF4-FFF2-40B4-BE49-F238E27FC236}">
                <a16:creationId xmlns:a16="http://schemas.microsoft.com/office/drawing/2014/main" id="{6FE3464E-7E67-19BF-B31D-D23D2C38B897}"/>
              </a:ext>
            </a:extLst>
          </xdr:cNvPr>
          <xdr:cNvGrpSpPr/>
        </xdr:nvGrpSpPr>
        <xdr:grpSpPr>
          <a:xfrm>
            <a:off x="3470206" y="756417"/>
            <a:ext cx="2786351" cy="1215572"/>
            <a:chOff x="3470206" y="756417"/>
            <a:chExt cx="2786351" cy="1215572"/>
          </a:xfrm>
        </xdr:grpSpPr>
        <xdr:sp macro="" textlink="PivotTables!O6">
          <xdr:nvSpPr>
            <xdr:cNvPr id="29" name="TextBox 28">
              <a:extLst>
                <a:ext uri="{FF2B5EF4-FFF2-40B4-BE49-F238E27FC236}">
                  <a16:creationId xmlns:a16="http://schemas.microsoft.com/office/drawing/2014/main" id="{26501EC7-1EAD-EBE2-DAA6-B26F0C9539BB}"/>
                </a:ext>
              </a:extLst>
            </xdr:cNvPr>
            <xdr:cNvSpPr txBox="1"/>
          </xdr:nvSpPr>
          <xdr:spPr>
            <a:xfrm>
              <a:off x="3497239" y="756417"/>
              <a:ext cx="2016563" cy="2177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AFA5BBB5-3C6F-47D5-AD32-2B5280691C93}" type="TxLink">
                <a:rPr lang="en-US" sz="800" b="0" i="0" u="none" strike="noStrike">
                  <a:solidFill>
                    <a:schemeClr val="tx1">
                      <a:lumMod val="65000"/>
                      <a:lumOff val="35000"/>
                    </a:schemeClr>
                  </a:solidFill>
                  <a:latin typeface="Avenir Next LT Pro Demi" panose="020B0704020202020204" pitchFamily="34" charset="0"/>
                  <a:cs typeface="Arial"/>
                </a:rPr>
                <a:pPr algn="l"/>
                <a:t>PT Siantar Top Tbk.</a:t>
              </a:fld>
              <a:endParaRPr lang="en-US" sz="1000">
                <a:solidFill>
                  <a:schemeClr val="tx1">
                    <a:lumMod val="65000"/>
                    <a:lumOff val="35000"/>
                  </a:schemeClr>
                </a:solidFill>
                <a:latin typeface="Avenir Next LT Pro Demi" panose="020B0704020202020204" pitchFamily="34" charset="0"/>
              </a:endParaRPr>
            </a:p>
          </xdr:txBody>
        </xdr:sp>
        <xdr:sp macro="" textlink="PivotTables!P6">
          <xdr:nvSpPr>
            <xdr:cNvPr id="31" name="TextBox 30">
              <a:extLst>
                <a:ext uri="{FF2B5EF4-FFF2-40B4-BE49-F238E27FC236}">
                  <a16:creationId xmlns:a16="http://schemas.microsoft.com/office/drawing/2014/main" id="{2F61F34E-10E1-C3F6-FEA1-789DE8B162F6}"/>
                </a:ext>
              </a:extLst>
            </xdr:cNvPr>
            <xdr:cNvSpPr txBox="1"/>
          </xdr:nvSpPr>
          <xdr:spPr>
            <a:xfrm>
              <a:off x="5584369" y="756417"/>
              <a:ext cx="672188" cy="2177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253ACFB0-1DA6-4C86-B6AE-DBAA0265205A}" type="TxLink">
                <a:rPr lang="en-US" sz="900" b="0" i="0" u="none" strike="noStrike">
                  <a:solidFill>
                    <a:schemeClr val="tx1">
                      <a:lumMod val="65000"/>
                      <a:lumOff val="35000"/>
                    </a:schemeClr>
                  </a:solidFill>
                  <a:latin typeface="Avenir Next LT Pro Demi" panose="020B0704020202020204" pitchFamily="34" charset="0"/>
                  <a:ea typeface="+mn-ea"/>
                  <a:cs typeface="Arial"/>
                </a:rPr>
                <a:pPr marL="0" indent="0" algn="r"/>
                <a:t>1,5M</a:t>
              </a:fld>
              <a:endParaRPr lang="en-US" sz="900" b="0" i="0" u="none" strike="noStrike">
                <a:solidFill>
                  <a:schemeClr val="tx1">
                    <a:lumMod val="65000"/>
                    <a:lumOff val="35000"/>
                  </a:schemeClr>
                </a:solidFill>
                <a:latin typeface="Avenir Next LT Pro Demi" panose="020B0704020202020204" pitchFamily="34" charset="0"/>
                <a:ea typeface="+mn-ea"/>
                <a:cs typeface="Arial"/>
              </a:endParaRPr>
            </a:p>
          </xdr:txBody>
        </xdr:sp>
        <xdr:sp macro="" textlink="PivotTables!O7">
          <xdr:nvSpPr>
            <xdr:cNvPr id="50" name="TextBox 49">
              <a:extLst>
                <a:ext uri="{FF2B5EF4-FFF2-40B4-BE49-F238E27FC236}">
                  <a16:creationId xmlns:a16="http://schemas.microsoft.com/office/drawing/2014/main" id="{4C29F0EC-2ECF-A276-D377-D7D4265AA2A0}"/>
                </a:ext>
              </a:extLst>
            </xdr:cNvPr>
            <xdr:cNvSpPr txBox="1"/>
          </xdr:nvSpPr>
          <xdr:spPr>
            <a:xfrm>
              <a:off x="3497239" y="1005881"/>
              <a:ext cx="2016563" cy="2177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F9D22DEF-4C45-4EDD-BD5C-817E9BCF2A65}" type="TxLink">
                <a:rPr lang="en-US" sz="800" b="0" i="0" u="none" strike="noStrike">
                  <a:solidFill>
                    <a:schemeClr val="tx1">
                      <a:lumMod val="65000"/>
                      <a:lumOff val="35000"/>
                    </a:schemeClr>
                  </a:solidFill>
                  <a:latin typeface="Avenir Next LT Pro Demi" panose="020B0704020202020204" pitchFamily="34" charset="0"/>
                  <a:ea typeface="+mn-ea"/>
                  <a:cs typeface="Arial"/>
                </a:rPr>
                <a:pPr marL="0" indent="0" algn="l"/>
                <a:t>PT AKR Corporindo Tbk.</a:t>
              </a:fld>
              <a:endParaRPr lang="en-US" sz="800" b="0" i="0" u="none" strike="noStrike">
                <a:solidFill>
                  <a:schemeClr val="tx1">
                    <a:lumMod val="65000"/>
                    <a:lumOff val="35000"/>
                  </a:schemeClr>
                </a:solidFill>
                <a:latin typeface="Avenir Next LT Pro Demi" panose="020B0704020202020204" pitchFamily="34" charset="0"/>
                <a:ea typeface="+mn-ea"/>
                <a:cs typeface="Arial"/>
              </a:endParaRPr>
            </a:p>
          </xdr:txBody>
        </xdr:sp>
        <xdr:sp macro="" textlink="PivotTables!P7">
          <xdr:nvSpPr>
            <xdr:cNvPr id="51" name="TextBox 50">
              <a:extLst>
                <a:ext uri="{FF2B5EF4-FFF2-40B4-BE49-F238E27FC236}">
                  <a16:creationId xmlns:a16="http://schemas.microsoft.com/office/drawing/2014/main" id="{C9C2C43C-92E3-6517-F679-0D0F007F2AB6}"/>
                </a:ext>
              </a:extLst>
            </xdr:cNvPr>
            <xdr:cNvSpPr txBox="1"/>
          </xdr:nvSpPr>
          <xdr:spPr>
            <a:xfrm>
              <a:off x="5584369" y="1042167"/>
              <a:ext cx="672188" cy="2177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FE72ADD0-1F7C-4B8B-9AB1-43A8C9A191E4}" type="TxLink">
                <a:rPr lang="en-US" sz="900" b="0" i="0" u="none" strike="noStrike">
                  <a:solidFill>
                    <a:schemeClr val="tx1">
                      <a:lumMod val="65000"/>
                      <a:lumOff val="35000"/>
                    </a:schemeClr>
                  </a:solidFill>
                  <a:latin typeface="Avenir Next LT Pro Demi" panose="020B0704020202020204" pitchFamily="34" charset="0"/>
                  <a:ea typeface="+mn-ea"/>
                  <a:cs typeface="Arial"/>
                </a:rPr>
                <a:pPr marL="0" indent="0" algn="r"/>
                <a:t>1,3M</a:t>
              </a:fld>
              <a:endParaRPr lang="en-US" sz="900" b="0" i="0" u="none" strike="noStrike">
                <a:solidFill>
                  <a:schemeClr val="tx1">
                    <a:lumMod val="65000"/>
                    <a:lumOff val="35000"/>
                  </a:schemeClr>
                </a:solidFill>
                <a:latin typeface="Avenir Next LT Pro Demi" panose="020B0704020202020204" pitchFamily="34" charset="0"/>
                <a:ea typeface="+mn-ea"/>
                <a:cs typeface="Arial"/>
              </a:endParaRPr>
            </a:p>
          </xdr:txBody>
        </xdr:sp>
        <xdr:sp macro="" textlink="PivotTables!O8">
          <xdr:nvSpPr>
            <xdr:cNvPr id="53" name="TextBox 52">
              <a:extLst>
                <a:ext uri="{FF2B5EF4-FFF2-40B4-BE49-F238E27FC236}">
                  <a16:creationId xmlns:a16="http://schemas.microsoft.com/office/drawing/2014/main" id="{E0185CB3-66F1-29ED-F3E0-9E7C926A21D7}"/>
                </a:ext>
              </a:extLst>
            </xdr:cNvPr>
            <xdr:cNvSpPr txBox="1"/>
          </xdr:nvSpPr>
          <xdr:spPr>
            <a:xfrm>
              <a:off x="3497239" y="1255345"/>
              <a:ext cx="2016563" cy="2177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D9251A74-7B99-45DF-9F32-AB90724F182C}" type="TxLink">
                <a:rPr lang="en-US" sz="800" b="0" i="0" u="none" strike="noStrike">
                  <a:solidFill>
                    <a:schemeClr val="tx1">
                      <a:lumMod val="65000"/>
                      <a:lumOff val="35000"/>
                    </a:schemeClr>
                  </a:solidFill>
                  <a:latin typeface="Avenir Next LT Pro Demi" panose="020B0704020202020204" pitchFamily="34" charset="0"/>
                  <a:ea typeface="+mn-ea"/>
                  <a:cs typeface="Arial"/>
                </a:rPr>
                <a:pPr marL="0" indent="0" algn="l"/>
                <a:t>PT Pakuwon Jati Tbk.</a:t>
              </a:fld>
              <a:endParaRPr lang="en-US" sz="800" b="0" i="0" u="none" strike="noStrike">
                <a:solidFill>
                  <a:schemeClr val="tx1">
                    <a:lumMod val="65000"/>
                    <a:lumOff val="35000"/>
                  </a:schemeClr>
                </a:solidFill>
                <a:latin typeface="Avenir Next LT Pro Demi" panose="020B0704020202020204" pitchFamily="34" charset="0"/>
                <a:ea typeface="+mn-ea"/>
                <a:cs typeface="Arial"/>
              </a:endParaRPr>
            </a:p>
          </xdr:txBody>
        </xdr:sp>
        <xdr:sp macro="" textlink="PivotTables!P8">
          <xdr:nvSpPr>
            <xdr:cNvPr id="54" name="TextBox 53">
              <a:extLst>
                <a:ext uri="{FF2B5EF4-FFF2-40B4-BE49-F238E27FC236}">
                  <a16:creationId xmlns:a16="http://schemas.microsoft.com/office/drawing/2014/main" id="{9A3F2159-8740-E5C6-4935-B879E956495E}"/>
                </a:ext>
              </a:extLst>
            </xdr:cNvPr>
            <xdr:cNvSpPr txBox="1"/>
          </xdr:nvSpPr>
          <xdr:spPr>
            <a:xfrm>
              <a:off x="5584369" y="1255345"/>
              <a:ext cx="672188" cy="2177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BB71C4BE-55C3-4583-9090-AC589B118681}" type="TxLink">
                <a:rPr lang="en-US" sz="900" b="0" i="0" u="none" strike="noStrike">
                  <a:solidFill>
                    <a:schemeClr val="tx1">
                      <a:lumMod val="65000"/>
                      <a:lumOff val="35000"/>
                    </a:schemeClr>
                  </a:solidFill>
                  <a:latin typeface="Avenir Next LT Pro Demi" panose="020B0704020202020204" pitchFamily="34" charset="0"/>
                  <a:ea typeface="+mn-ea"/>
                  <a:cs typeface="Arial"/>
                </a:rPr>
                <a:pPr marL="0" indent="0" algn="r"/>
                <a:t>1,3M</a:t>
              </a:fld>
              <a:endParaRPr lang="en-US" sz="900" b="0" i="0" u="none" strike="noStrike">
                <a:solidFill>
                  <a:schemeClr val="tx1">
                    <a:lumMod val="65000"/>
                    <a:lumOff val="35000"/>
                  </a:schemeClr>
                </a:solidFill>
                <a:latin typeface="Avenir Next LT Pro Demi" panose="020B0704020202020204" pitchFamily="34" charset="0"/>
                <a:ea typeface="+mn-ea"/>
                <a:cs typeface="Arial"/>
              </a:endParaRPr>
            </a:p>
          </xdr:txBody>
        </xdr:sp>
        <xdr:sp macro="" textlink="PivotTables!O9">
          <xdr:nvSpPr>
            <xdr:cNvPr id="56" name="TextBox 55">
              <a:extLst>
                <a:ext uri="{FF2B5EF4-FFF2-40B4-BE49-F238E27FC236}">
                  <a16:creationId xmlns:a16="http://schemas.microsoft.com/office/drawing/2014/main" id="{89DB0A6E-76C5-885E-3271-9AD025081C75}"/>
                </a:ext>
              </a:extLst>
            </xdr:cNvPr>
            <xdr:cNvSpPr txBox="1"/>
          </xdr:nvSpPr>
          <xdr:spPr>
            <a:xfrm>
              <a:off x="3470206" y="1504810"/>
              <a:ext cx="2016563" cy="2177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EF2832E9-3D50-441F-A052-C71DFD6F9900}" type="TxLink">
                <a:rPr lang="en-US" sz="800" b="0" i="0" u="none" strike="noStrike">
                  <a:solidFill>
                    <a:schemeClr val="tx1">
                      <a:lumMod val="65000"/>
                      <a:lumOff val="35000"/>
                    </a:schemeClr>
                  </a:solidFill>
                  <a:latin typeface="Avenir Next LT Pro Demi" panose="020B0704020202020204" pitchFamily="34" charset="0"/>
                  <a:ea typeface="+mn-ea"/>
                  <a:cs typeface="Arial"/>
                </a:rPr>
                <a:pPr marL="0" indent="0" algn="l"/>
                <a:t>PT Mitra Pinasthika Mustika Tbk.</a:t>
              </a:fld>
              <a:endParaRPr lang="en-US" sz="800" b="0" i="0" u="none" strike="noStrike">
                <a:solidFill>
                  <a:schemeClr val="tx1">
                    <a:lumMod val="65000"/>
                    <a:lumOff val="35000"/>
                  </a:schemeClr>
                </a:solidFill>
                <a:latin typeface="Avenir Next LT Pro Demi" panose="020B0704020202020204" pitchFamily="34" charset="0"/>
                <a:ea typeface="+mn-ea"/>
                <a:cs typeface="Arial"/>
              </a:endParaRPr>
            </a:p>
          </xdr:txBody>
        </xdr:sp>
        <xdr:sp macro="" textlink="PivotTables!P9">
          <xdr:nvSpPr>
            <xdr:cNvPr id="57" name="TextBox 56">
              <a:extLst>
                <a:ext uri="{FF2B5EF4-FFF2-40B4-BE49-F238E27FC236}">
                  <a16:creationId xmlns:a16="http://schemas.microsoft.com/office/drawing/2014/main" id="{77ADB828-8C07-4BCD-F9BF-27B98CA09DD4}"/>
                </a:ext>
              </a:extLst>
            </xdr:cNvPr>
            <xdr:cNvSpPr txBox="1"/>
          </xdr:nvSpPr>
          <xdr:spPr>
            <a:xfrm>
              <a:off x="5584369" y="1504810"/>
              <a:ext cx="672188" cy="2177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BDF2924F-5FCF-4C0B-9B7F-25A70B2F101E}" type="TxLink">
                <a:rPr lang="en-US" sz="900" b="0" i="0" u="none" strike="noStrike">
                  <a:solidFill>
                    <a:schemeClr val="tx1">
                      <a:lumMod val="65000"/>
                      <a:lumOff val="35000"/>
                    </a:schemeClr>
                  </a:solidFill>
                  <a:latin typeface="Avenir Next LT Pro Demi" panose="020B0704020202020204" pitchFamily="34" charset="0"/>
                  <a:ea typeface="+mn-ea"/>
                  <a:cs typeface="Arial"/>
                </a:rPr>
                <a:pPr marL="0" indent="0" algn="r"/>
                <a:t>1,3M</a:t>
              </a:fld>
              <a:endParaRPr lang="en-US" sz="900" b="0" i="0" u="none" strike="noStrike">
                <a:solidFill>
                  <a:schemeClr val="tx1">
                    <a:lumMod val="65000"/>
                    <a:lumOff val="35000"/>
                  </a:schemeClr>
                </a:solidFill>
                <a:latin typeface="Avenir Next LT Pro Demi" panose="020B0704020202020204" pitchFamily="34" charset="0"/>
                <a:ea typeface="+mn-ea"/>
                <a:cs typeface="Arial"/>
              </a:endParaRPr>
            </a:p>
          </xdr:txBody>
        </xdr:sp>
        <xdr:sp macro="" textlink="PivotTables!O10">
          <xdr:nvSpPr>
            <xdr:cNvPr id="59" name="TextBox 58">
              <a:extLst>
                <a:ext uri="{FF2B5EF4-FFF2-40B4-BE49-F238E27FC236}">
                  <a16:creationId xmlns:a16="http://schemas.microsoft.com/office/drawing/2014/main" id="{217B2D87-039D-9218-35F2-298B0E008748}"/>
                </a:ext>
              </a:extLst>
            </xdr:cNvPr>
            <xdr:cNvSpPr txBox="1"/>
          </xdr:nvSpPr>
          <xdr:spPr>
            <a:xfrm>
              <a:off x="3497239" y="1754275"/>
              <a:ext cx="2016563" cy="2177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3A6ACBA2-8CBF-4BFA-B4C6-CA949E63D0EA}" type="TxLink">
                <a:rPr lang="en-US" sz="800" b="0" i="0" u="none" strike="noStrike">
                  <a:solidFill>
                    <a:schemeClr val="tx1">
                      <a:lumMod val="65000"/>
                      <a:lumOff val="35000"/>
                    </a:schemeClr>
                  </a:solidFill>
                  <a:latin typeface="Avenir Next LT Pro Demi" panose="020B0704020202020204" pitchFamily="34" charset="0"/>
                  <a:ea typeface="+mn-ea"/>
                  <a:cs typeface="Arial"/>
                </a:rPr>
                <a:pPr marL="0" indent="0" algn="l"/>
                <a:t>PT Semen Indonesia (Persero) Tbk.</a:t>
              </a:fld>
              <a:endParaRPr lang="en-US" sz="800" b="0" i="0" u="none" strike="noStrike">
                <a:solidFill>
                  <a:schemeClr val="tx1">
                    <a:lumMod val="65000"/>
                    <a:lumOff val="35000"/>
                  </a:schemeClr>
                </a:solidFill>
                <a:latin typeface="Avenir Next LT Pro Demi" panose="020B0704020202020204" pitchFamily="34" charset="0"/>
                <a:ea typeface="+mn-ea"/>
                <a:cs typeface="Arial"/>
              </a:endParaRPr>
            </a:p>
          </xdr:txBody>
        </xdr:sp>
        <xdr:sp macro="" textlink="PivotTables!P10">
          <xdr:nvSpPr>
            <xdr:cNvPr id="60" name="TextBox 59">
              <a:extLst>
                <a:ext uri="{FF2B5EF4-FFF2-40B4-BE49-F238E27FC236}">
                  <a16:creationId xmlns:a16="http://schemas.microsoft.com/office/drawing/2014/main" id="{83A93851-24A5-21AC-06C3-478538643036}"/>
                </a:ext>
              </a:extLst>
            </xdr:cNvPr>
            <xdr:cNvSpPr txBox="1"/>
          </xdr:nvSpPr>
          <xdr:spPr>
            <a:xfrm>
              <a:off x="5584369" y="1754275"/>
              <a:ext cx="672188" cy="2177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45C92C1A-0943-4D0B-BA74-3ED2DF486E24}" type="TxLink">
                <a:rPr lang="en-US" sz="900" b="0" i="0" u="none" strike="noStrike">
                  <a:solidFill>
                    <a:schemeClr val="tx1">
                      <a:lumMod val="65000"/>
                      <a:lumOff val="35000"/>
                    </a:schemeClr>
                  </a:solidFill>
                  <a:latin typeface="Avenir Next LT Pro Demi" panose="020B0704020202020204" pitchFamily="34" charset="0"/>
                  <a:ea typeface="+mn-ea"/>
                  <a:cs typeface="Arial"/>
                </a:rPr>
                <a:pPr marL="0" indent="0" algn="r"/>
                <a:t>1,3M</a:t>
              </a:fld>
              <a:endParaRPr lang="en-US" sz="900" b="0" i="0" u="none" strike="noStrike">
                <a:solidFill>
                  <a:schemeClr val="tx1">
                    <a:lumMod val="65000"/>
                    <a:lumOff val="35000"/>
                  </a:schemeClr>
                </a:solidFill>
                <a:latin typeface="Avenir Next LT Pro Demi" panose="020B0704020202020204" pitchFamily="34" charset="0"/>
                <a:ea typeface="+mn-ea"/>
                <a:cs typeface="Arial"/>
              </a:endParaRPr>
            </a:p>
          </xdr:txBody>
        </xdr:sp>
      </xdr:grpSp>
    </xdr:grpSp>
    <xdr:clientData/>
  </xdr:twoCellAnchor>
  <xdr:twoCellAnchor editAs="absolute">
    <xdr:from>
      <xdr:col>8</xdr:col>
      <xdr:colOff>349246</xdr:colOff>
      <xdr:row>0</xdr:row>
      <xdr:rowOff>109765</xdr:rowOff>
    </xdr:from>
    <xdr:to>
      <xdr:col>17</xdr:col>
      <xdr:colOff>276671</xdr:colOff>
      <xdr:row>11</xdr:row>
      <xdr:rowOff>125731</xdr:rowOff>
    </xdr:to>
    <xdr:grpSp>
      <xdr:nvGrpSpPr>
        <xdr:cNvPr id="18" name="Group 17">
          <a:extLst>
            <a:ext uri="{FF2B5EF4-FFF2-40B4-BE49-F238E27FC236}">
              <a16:creationId xmlns:a16="http://schemas.microsoft.com/office/drawing/2014/main" id="{F72C7C12-CFAC-A04E-5794-5894840CEBA8}"/>
            </a:ext>
          </a:extLst>
        </xdr:cNvPr>
        <xdr:cNvGrpSpPr/>
      </xdr:nvGrpSpPr>
      <xdr:grpSpPr>
        <a:xfrm>
          <a:off x="5211532" y="109765"/>
          <a:ext cx="5397496" cy="2011680"/>
          <a:chOff x="6150429" y="91622"/>
          <a:chExt cx="5823857" cy="2011680"/>
        </a:xfrm>
      </xdr:grpSpPr>
      <xdr:sp macro="" textlink="">
        <xdr:nvSpPr>
          <xdr:cNvPr id="62" name="Rectangle: Rounded Corners 61">
            <a:extLst>
              <a:ext uri="{FF2B5EF4-FFF2-40B4-BE49-F238E27FC236}">
                <a16:creationId xmlns:a16="http://schemas.microsoft.com/office/drawing/2014/main" id="{0D24351B-5098-8AF6-1DCE-92F31FD5822C}"/>
              </a:ext>
            </a:extLst>
          </xdr:cNvPr>
          <xdr:cNvSpPr/>
        </xdr:nvSpPr>
        <xdr:spPr>
          <a:xfrm>
            <a:off x="6331640" y="91622"/>
            <a:ext cx="5513832" cy="2011680"/>
          </a:xfrm>
          <a:prstGeom prst="roundRect">
            <a:avLst>
              <a:gd name="adj" fmla="val 6824"/>
            </a:avLst>
          </a:prstGeom>
          <a:solidFill>
            <a:schemeClr val="bg1"/>
          </a:solidFill>
          <a:ln>
            <a:noFill/>
          </a:ln>
          <a:effectLst>
            <a:outerShdw blurRad="279400" dist="50800" dir="2700000" algn="tl" rotWithShape="0">
              <a:prstClr val="black">
                <a:alpha val="12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
        <xdr:nvSpPr>
          <xdr:cNvPr id="63" name="TextBox 62">
            <a:extLst>
              <a:ext uri="{FF2B5EF4-FFF2-40B4-BE49-F238E27FC236}">
                <a16:creationId xmlns:a16="http://schemas.microsoft.com/office/drawing/2014/main" id="{EB89FE21-BD94-4DBF-A40F-76C14D34C711}"/>
              </a:ext>
            </a:extLst>
          </xdr:cNvPr>
          <xdr:cNvSpPr txBox="1"/>
        </xdr:nvSpPr>
        <xdr:spPr>
          <a:xfrm>
            <a:off x="6340711" y="164190"/>
            <a:ext cx="1973261" cy="2177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a:solidFill>
                  <a:schemeClr val="tx1"/>
                </a:solidFill>
                <a:latin typeface="Avenir Next LT Pro Demi" panose="020B0704020202020204" pitchFamily="34" charset="0"/>
              </a:rPr>
              <a:t>Total Earnings by Months</a:t>
            </a:r>
          </a:p>
        </xdr:txBody>
      </xdr:sp>
      <xdr:graphicFrame macro="">
        <xdr:nvGraphicFramePr>
          <xdr:cNvPr id="64" name="Chart 63">
            <a:extLst>
              <a:ext uri="{FF2B5EF4-FFF2-40B4-BE49-F238E27FC236}">
                <a16:creationId xmlns:a16="http://schemas.microsoft.com/office/drawing/2014/main" id="{60576F0E-A397-4411-810F-3269709A17ED}"/>
              </a:ext>
            </a:extLst>
          </xdr:cNvPr>
          <xdr:cNvGraphicFramePr>
            <a:graphicFrameLocks/>
          </xdr:cNvGraphicFramePr>
        </xdr:nvGraphicFramePr>
        <xdr:xfrm>
          <a:off x="6150429" y="399144"/>
          <a:ext cx="5823857" cy="1106714"/>
        </xdr:xfrm>
        <a:graphic>
          <a:graphicData uri="http://schemas.openxmlformats.org/drawingml/2006/chart">
            <c:chart xmlns:c="http://schemas.openxmlformats.org/drawingml/2006/chart" xmlns:r="http://schemas.openxmlformats.org/officeDocument/2006/relationships" r:id="rId5"/>
          </a:graphicData>
        </a:graphic>
      </xdr:graphicFrame>
      <xdr:grpSp>
        <xdr:nvGrpSpPr>
          <xdr:cNvPr id="72" name="Group 71">
            <a:extLst>
              <a:ext uri="{FF2B5EF4-FFF2-40B4-BE49-F238E27FC236}">
                <a16:creationId xmlns:a16="http://schemas.microsoft.com/office/drawing/2014/main" id="{FCCDFAE4-72A5-230E-5D74-5217CFBD873E}"/>
              </a:ext>
            </a:extLst>
          </xdr:cNvPr>
          <xdr:cNvGrpSpPr/>
        </xdr:nvGrpSpPr>
        <xdr:grpSpPr>
          <a:xfrm>
            <a:off x="6888618" y="1397906"/>
            <a:ext cx="1016220" cy="597808"/>
            <a:chOff x="6875917" y="1397906"/>
            <a:chExt cx="1016220" cy="597808"/>
          </a:xfrm>
        </xdr:grpSpPr>
        <xdr:sp macro="" textlink="">
          <xdr:nvSpPr>
            <xdr:cNvPr id="66" name="TextBox 65">
              <a:extLst>
                <a:ext uri="{FF2B5EF4-FFF2-40B4-BE49-F238E27FC236}">
                  <a16:creationId xmlns:a16="http://schemas.microsoft.com/office/drawing/2014/main" id="{2EF72F25-460C-4664-BD40-41EC5C124492}"/>
                </a:ext>
              </a:extLst>
            </xdr:cNvPr>
            <xdr:cNvSpPr txBox="1"/>
          </xdr:nvSpPr>
          <xdr:spPr>
            <a:xfrm>
              <a:off x="6875917" y="1397906"/>
              <a:ext cx="1016220" cy="3891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a:solidFill>
                    <a:schemeClr val="tx1">
                      <a:lumMod val="65000"/>
                      <a:lumOff val="35000"/>
                    </a:schemeClr>
                  </a:solidFill>
                  <a:latin typeface="Avenir Next LT Pro Demi" panose="020B0704020202020204" pitchFamily="34" charset="0"/>
                </a:rPr>
                <a:t>Highest</a:t>
              </a:r>
            </a:p>
            <a:p>
              <a:pPr algn="ctr"/>
              <a:r>
                <a:rPr lang="en-US" sz="700">
                  <a:solidFill>
                    <a:schemeClr val="tx1">
                      <a:lumMod val="50000"/>
                      <a:lumOff val="50000"/>
                    </a:schemeClr>
                  </a:solidFill>
                  <a:latin typeface="Avenir Next LT Pro Demi" panose="020B0704020202020204" pitchFamily="34" charset="0"/>
                </a:rPr>
                <a:t>Monthly Revenue</a:t>
              </a:r>
              <a:endParaRPr lang="en-US" sz="600">
                <a:solidFill>
                  <a:schemeClr val="tx1">
                    <a:lumMod val="50000"/>
                    <a:lumOff val="50000"/>
                  </a:schemeClr>
                </a:solidFill>
                <a:latin typeface="Avenir Next LT Pro Demi" panose="020B0704020202020204" pitchFamily="34" charset="0"/>
              </a:endParaRPr>
            </a:p>
          </xdr:txBody>
        </xdr:sp>
        <xdr:sp macro="" textlink="PivotTables!X6">
          <xdr:nvSpPr>
            <xdr:cNvPr id="69" name="TextBox 68">
              <a:extLst>
                <a:ext uri="{FF2B5EF4-FFF2-40B4-BE49-F238E27FC236}">
                  <a16:creationId xmlns:a16="http://schemas.microsoft.com/office/drawing/2014/main" id="{699722EE-655C-4B14-9C0A-E181D5440536}"/>
                </a:ext>
              </a:extLst>
            </xdr:cNvPr>
            <xdr:cNvSpPr txBox="1"/>
          </xdr:nvSpPr>
          <xdr:spPr>
            <a:xfrm>
              <a:off x="6972547" y="1778000"/>
              <a:ext cx="822960" cy="2177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BE50F860-5F07-494E-AA26-9F6A14268428}" type="TxLink">
                <a:rPr lang="en-US" sz="1000" b="0" i="0" u="none" strike="noStrike">
                  <a:solidFill>
                    <a:schemeClr val="tx1">
                      <a:lumMod val="65000"/>
                      <a:lumOff val="35000"/>
                    </a:schemeClr>
                  </a:solidFill>
                  <a:latin typeface="Avenir Next LT Pro Demi" panose="020B0704020202020204" pitchFamily="34" charset="0"/>
                  <a:cs typeface="Arial"/>
                </a:rPr>
                <a:pPr algn="ctr"/>
                <a:t>0,0K</a:t>
              </a:fld>
              <a:endParaRPr lang="en-US" sz="1100">
                <a:solidFill>
                  <a:schemeClr val="tx1">
                    <a:lumMod val="65000"/>
                    <a:lumOff val="35000"/>
                  </a:schemeClr>
                </a:solidFill>
                <a:latin typeface="Avenir Next LT Pro Demi" panose="020B0704020202020204" pitchFamily="34" charset="0"/>
              </a:endParaRPr>
            </a:p>
          </xdr:txBody>
        </xdr:sp>
      </xdr:grpSp>
      <xdr:grpSp>
        <xdr:nvGrpSpPr>
          <xdr:cNvPr id="74" name="Group 73">
            <a:extLst>
              <a:ext uri="{FF2B5EF4-FFF2-40B4-BE49-F238E27FC236}">
                <a16:creationId xmlns:a16="http://schemas.microsoft.com/office/drawing/2014/main" id="{C3F1DB44-EDF5-E7EA-AD35-6209306227B6}"/>
              </a:ext>
            </a:extLst>
          </xdr:cNvPr>
          <xdr:cNvGrpSpPr/>
        </xdr:nvGrpSpPr>
        <xdr:grpSpPr>
          <a:xfrm>
            <a:off x="10263203" y="1397906"/>
            <a:ext cx="1016220" cy="597808"/>
            <a:chOff x="10277715" y="1397906"/>
            <a:chExt cx="1016220" cy="597808"/>
          </a:xfrm>
        </xdr:grpSpPr>
        <xdr:sp macro="" textlink="">
          <xdr:nvSpPr>
            <xdr:cNvPr id="68" name="TextBox 67">
              <a:extLst>
                <a:ext uri="{FF2B5EF4-FFF2-40B4-BE49-F238E27FC236}">
                  <a16:creationId xmlns:a16="http://schemas.microsoft.com/office/drawing/2014/main" id="{D2DB2DFF-D1A3-8141-4EE9-18008D2C3438}"/>
                </a:ext>
              </a:extLst>
            </xdr:cNvPr>
            <xdr:cNvSpPr txBox="1"/>
          </xdr:nvSpPr>
          <xdr:spPr>
            <a:xfrm>
              <a:off x="10277715" y="1397906"/>
              <a:ext cx="1016220" cy="3891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a:solidFill>
                    <a:schemeClr val="tx1">
                      <a:lumMod val="65000"/>
                      <a:lumOff val="35000"/>
                    </a:schemeClr>
                  </a:solidFill>
                  <a:latin typeface="Avenir Next LT Pro Demi" panose="020B0704020202020204" pitchFamily="34" charset="0"/>
                </a:rPr>
                <a:t>Lowest</a:t>
              </a:r>
            </a:p>
            <a:p>
              <a:pPr algn="ctr"/>
              <a:r>
                <a:rPr lang="en-US" sz="700">
                  <a:solidFill>
                    <a:schemeClr val="tx1">
                      <a:lumMod val="50000"/>
                      <a:lumOff val="50000"/>
                    </a:schemeClr>
                  </a:solidFill>
                  <a:latin typeface="Avenir Next LT Pro Demi" panose="020B0704020202020204" pitchFamily="34" charset="0"/>
                </a:rPr>
                <a:t>Monthly Revenue</a:t>
              </a:r>
              <a:endParaRPr lang="en-US" sz="600">
                <a:solidFill>
                  <a:schemeClr val="tx1">
                    <a:lumMod val="50000"/>
                    <a:lumOff val="50000"/>
                  </a:schemeClr>
                </a:solidFill>
                <a:latin typeface="Avenir Next LT Pro Demi" panose="020B0704020202020204" pitchFamily="34" charset="0"/>
              </a:endParaRPr>
            </a:p>
          </xdr:txBody>
        </xdr:sp>
        <xdr:sp macro="" textlink="PivotTables!X8">
          <xdr:nvSpPr>
            <xdr:cNvPr id="71" name="TextBox 70">
              <a:extLst>
                <a:ext uri="{FF2B5EF4-FFF2-40B4-BE49-F238E27FC236}">
                  <a16:creationId xmlns:a16="http://schemas.microsoft.com/office/drawing/2014/main" id="{BA1C3732-3CB0-53B1-90C9-850E7E585FCD}"/>
                </a:ext>
              </a:extLst>
            </xdr:cNvPr>
            <xdr:cNvSpPr txBox="1"/>
          </xdr:nvSpPr>
          <xdr:spPr>
            <a:xfrm>
              <a:off x="10374345" y="1778000"/>
              <a:ext cx="822960" cy="2177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6F52E066-8A6A-4FA8-B306-F6F7B9EABD20}" type="TxLink">
                <a:rPr lang="en-US" sz="1000" b="0" i="0" u="none" strike="noStrike">
                  <a:solidFill>
                    <a:schemeClr val="tx1">
                      <a:lumMod val="65000"/>
                      <a:lumOff val="35000"/>
                    </a:schemeClr>
                  </a:solidFill>
                  <a:latin typeface="Avenir Next LT Pro Demi" panose="020B0704020202020204" pitchFamily="34" charset="0"/>
                  <a:ea typeface="+mn-ea"/>
                  <a:cs typeface="Arial"/>
                </a:rPr>
                <a:pPr marL="0" indent="0" algn="ctr"/>
                <a:t>0,0K</a:t>
              </a:fld>
              <a:endParaRPr lang="en-US" sz="1000" b="0" i="0" u="none" strike="noStrike">
                <a:solidFill>
                  <a:schemeClr val="tx1">
                    <a:lumMod val="65000"/>
                    <a:lumOff val="35000"/>
                  </a:schemeClr>
                </a:solidFill>
                <a:latin typeface="Avenir Next LT Pro Demi" panose="020B0704020202020204" pitchFamily="34" charset="0"/>
                <a:ea typeface="+mn-ea"/>
                <a:cs typeface="Arial"/>
              </a:endParaRPr>
            </a:p>
          </xdr:txBody>
        </xdr:sp>
      </xdr:grpSp>
      <xdr:pic>
        <xdr:nvPicPr>
          <xdr:cNvPr id="77" name="Graphic 76" descr="Caret Up with solid fill">
            <a:extLst>
              <a:ext uri="{FF2B5EF4-FFF2-40B4-BE49-F238E27FC236}">
                <a16:creationId xmlns:a16="http://schemas.microsoft.com/office/drawing/2014/main" id="{36DD60DD-A06C-4BFD-C95D-06966D527466}"/>
              </a:ext>
            </a:extLst>
          </xdr:cNvPr>
          <xdr:cNvPicPr>
            <a:picLocks noChangeAspect="1"/>
          </xdr:cNvPicPr>
        </xdr:nvPicPr>
        <xdr:blipFill>
          <a:blip xmlns:r="http://schemas.openxmlformats.org/officeDocument/2006/relationships" r:embed="rId6" cstate="print">
            <a:extLst>
              <a:ext uri="{28A0092B-C50C-407E-A947-70E740481C1C}">
                <a14:useLocalDpi xmlns:a14="http://schemas.microsoft.com/office/drawing/2010/main" val="0"/>
              </a:ext>
              <a:ext uri="{96DAC541-7B7A-43D3-8B79-37D633B846F1}">
                <asvg:svgBlip xmlns:asvg="http://schemas.microsoft.com/office/drawing/2016/SVG/main" r:embed="rId7"/>
              </a:ext>
            </a:extLst>
          </a:blip>
          <a:stretch>
            <a:fillRect/>
          </a:stretch>
        </xdr:blipFill>
        <xdr:spPr>
          <a:xfrm>
            <a:off x="6767284" y="1424215"/>
            <a:ext cx="274320" cy="274320"/>
          </a:xfrm>
          <a:prstGeom prst="rect">
            <a:avLst/>
          </a:prstGeom>
        </xdr:spPr>
      </xdr:pic>
      <xdr:grpSp>
        <xdr:nvGrpSpPr>
          <xdr:cNvPr id="83" name="Group 82">
            <a:extLst>
              <a:ext uri="{FF2B5EF4-FFF2-40B4-BE49-F238E27FC236}">
                <a16:creationId xmlns:a16="http://schemas.microsoft.com/office/drawing/2014/main" id="{1ECCBBF2-9C57-9683-9D0B-7BEA25CF4F93}"/>
              </a:ext>
            </a:extLst>
          </xdr:cNvPr>
          <xdr:cNvGrpSpPr/>
        </xdr:nvGrpSpPr>
        <xdr:grpSpPr>
          <a:xfrm>
            <a:off x="8506334" y="1397906"/>
            <a:ext cx="1155373" cy="597808"/>
            <a:chOff x="8510869" y="1397906"/>
            <a:chExt cx="1155373" cy="597808"/>
          </a:xfrm>
        </xdr:grpSpPr>
        <xdr:sp macro="" textlink="PivotTables!X7">
          <xdr:nvSpPr>
            <xdr:cNvPr id="70" name="TextBox 69">
              <a:extLst>
                <a:ext uri="{FF2B5EF4-FFF2-40B4-BE49-F238E27FC236}">
                  <a16:creationId xmlns:a16="http://schemas.microsoft.com/office/drawing/2014/main" id="{097B4D87-7EF0-4FBC-05A1-C6F8B8754F96}"/>
                </a:ext>
              </a:extLst>
            </xdr:cNvPr>
            <xdr:cNvSpPr txBox="1"/>
          </xdr:nvSpPr>
          <xdr:spPr>
            <a:xfrm>
              <a:off x="8677075" y="1778000"/>
              <a:ext cx="822960" cy="2177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A8DC11C2-9E9B-4802-9C08-63C397123F3F}" type="TxLink">
                <a:rPr lang="en-US" sz="1000" b="0" i="0" u="none" strike="noStrike">
                  <a:solidFill>
                    <a:schemeClr val="tx1">
                      <a:lumMod val="65000"/>
                      <a:lumOff val="35000"/>
                    </a:schemeClr>
                  </a:solidFill>
                  <a:latin typeface="Avenir Next LT Pro Demi" panose="020B0704020202020204" pitchFamily="34" charset="0"/>
                  <a:ea typeface="+mn-ea"/>
                  <a:cs typeface="Arial"/>
                </a:rPr>
                <a:pPr marL="0" indent="0" algn="ctr"/>
                <a:t>#DIV/0!</a:t>
              </a:fld>
              <a:endParaRPr lang="en-US" sz="1000" b="0" i="0" u="none" strike="noStrike">
                <a:solidFill>
                  <a:schemeClr val="tx1">
                    <a:lumMod val="65000"/>
                    <a:lumOff val="35000"/>
                  </a:schemeClr>
                </a:solidFill>
                <a:latin typeface="Avenir Next LT Pro Demi" panose="020B0704020202020204" pitchFamily="34" charset="0"/>
                <a:ea typeface="+mn-ea"/>
                <a:cs typeface="Arial"/>
              </a:endParaRPr>
            </a:p>
          </xdr:txBody>
        </xdr:sp>
        <xdr:grpSp>
          <xdr:nvGrpSpPr>
            <xdr:cNvPr id="81" name="Group 80">
              <a:extLst>
                <a:ext uri="{FF2B5EF4-FFF2-40B4-BE49-F238E27FC236}">
                  <a16:creationId xmlns:a16="http://schemas.microsoft.com/office/drawing/2014/main" id="{ACA5935F-F169-8066-79F1-CF56E2E0B75D}"/>
                </a:ext>
              </a:extLst>
            </xdr:cNvPr>
            <xdr:cNvGrpSpPr/>
          </xdr:nvGrpSpPr>
          <xdr:grpSpPr>
            <a:xfrm>
              <a:off x="8510869" y="1397906"/>
              <a:ext cx="1155373" cy="389167"/>
              <a:chOff x="8580446" y="1397906"/>
              <a:chExt cx="1155373" cy="389167"/>
            </a:xfrm>
          </xdr:grpSpPr>
          <xdr:sp macro="" textlink="">
            <xdr:nvSpPr>
              <xdr:cNvPr id="67" name="TextBox 66">
                <a:extLst>
                  <a:ext uri="{FF2B5EF4-FFF2-40B4-BE49-F238E27FC236}">
                    <a16:creationId xmlns:a16="http://schemas.microsoft.com/office/drawing/2014/main" id="{39FB4711-2508-F0E0-F03C-2537AF475BA1}"/>
                  </a:ext>
                </a:extLst>
              </xdr:cNvPr>
              <xdr:cNvSpPr txBox="1"/>
            </xdr:nvSpPr>
            <xdr:spPr>
              <a:xfrm>
                <a:off x="8580446" y="1397906"/>
                <a:ext cx="1016220" cy="3891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a:solidFill>
                      <a:schemeClr val="tx1">
                        <a:lumMod val="65000"/>
                        <a:lumOff val="35000"/>
                      </a:schemeClr>
                    </a:solidFill>
                    <a:latin typeface="Avenir Next LT Pro Demi" panose="020B0704020202020204" pitchFamily="34" charset="0"/>
                  </a:rPr>
                  <a:t>Average</a:t>
                </a:r>
              </a:p>
              <a:p>
                <a:pPr algn="ctr"/>
                <a:r>
                  <a:rPr lang="en-US" sz="700">
                    <a:solidFill>
                      <a:schemeClr val="tx1">
                        <a:lumMod val="50000"/>
                        <a:lumOff val="50000"/>
                      </a:schemeClr>
                    </a:solidFill>
                    <a:latin typeface="Avenir Next LT Pro Demi" panose="020B0704020202020204" pitchFamily="34" charset="0"/>
                  </a:rPr>
                  <a:t>Monthly Revenue</a:t>
                </a:r>
                <a:endParaRPr lang="en-US" sz="600">
                  <a:solidFill>
                    <a:schemeClr val="tx1">
                      <a:lumMod val="50000"/>
                      <a:lumOff val="50000"/>
                    </a:schemeClr>
                  </a:solidFill>
                  <a:latin typeface="Avenir Next LT Pro Demi" panose="020B0704020202020204" pitchFamily="34" charset="0"/>
                </a:endParaRPr>
              </a:p>
            </xdr:txBody>
          </xdr:sp>
          <xdr:pic>
            <xdr:nvPicPr>
              <xdr:cNvPr id="79" name="Graphic 78" descr="Normal Distribution with solid fill">
                <a:extLst>
                  <a:ext uri="{FF2B5EF4-FFF2-40B4-BE49-F238E27FC236}">
                    <a16:creationId xmlns:a16="http://schemas.microsoft.com/office/drawing/2014/main" id="{9E6DB628-D01D-24C0-4834-7D5F549E6514}"/>
                  </a:ext>
                </a:extLst>
              </xdr:cNvPr>
              <xdr:cNvPicPr>
                <a:picLocks noChangeAspect="1"/>
              </xdr:cNvPicPr>
            </xdr:nvPicPr>
            <xdr:blipFill>
              <a:blip xmlns:r="http://schemas.openxmlformats.org/officeDocument/2006/relationships" r:embed="rId8" cstate="print">
                <a:extLst>
                  <a:ext uri="{28A0092B-C50C-407E-A947-70E740481C1C}">
                    <a14:useLocalDpi xmlns:a14="http://schemas.microsoft.com/office/drawing/2010/main" val="0"/>
                  </a:ext>
                  <a:ext uri="{96DAC541-7B7A-43D3-8B79-37D633B846F1}">
                    <asvg:svgBlip xmlns:asvg="http://schemas.microsoft.com/office/drawing/2016/SVG/main" r:embed="rId9"/>
                  </a:ext>
                </a:extLst>
              </a:blip>
              <a:stretch>
                <a:fillRect/>
              </a:stretch>
            </xdr:blipFill>
            <xdr:spPr>
              <a:xfrm>
                <a:off x="9461499" y="1469566"/>
                <a:ext cx="274320" cy="274320"/>
              </a:xfrm>
              <a:prstGeom prst="rect">
                <a:avLst/>
              </a:prstGeom>
            </xdr:spPr>
          </xdr:pic>
        </xdr:grpSp>
      </xdr:grpSp>
      <xdr:pic>
        <xdr:nvPicPr>
          <xdr:cNvPr id="80" name="Graphic 79" descr="Caret Up with solid fill">
            <a:extLst>
              <a:ext uri="{FF2B5EF4-FFF2-40B4-BE49-F238E27FC236}">
                <a16:creationId xmlns:a16="http://schemas.microsoft.com/office/drawing/2014/main" id="{9492B2DB-FA95-4276-C463-3403012A3518}"/>
              </a:ext>
            </a:extLst>
          </xdr:cNvPr>
          <xdr:cNvPicPr>
            <a:picLocks noChangeAspect="1"/>
          </xdr:cNvPicPr>
        </xdr:nvPicPr>
        <xdr:blipFill>
          <a:blip xmlns:r="http://schemas.openxmlformats.org/officeDocument/2006/relationships" r:embed="rId10" cstate="print">
            <a:extLst>
              <a:ext uri="{28A0092B-C50C-407E-A947-70E740481C1C}">
                <a14:useLocalDpi xmlns:a14="http://schemas.microsoft.com/office/drawing/2010/main" val="0"/>
              </a:ext>
              <a:ext uri="{96DAC541-7B7A-43D3-8B79-37D633B846F1}">
                <asvg:svgBlip xmlns:asvg="http://schemas.microsoft.com/office/drawing/2016/SVG/main" r:embed="rId11"/>
              </a:ext>
            </a:extLst>
          </a:blip>
          <a:stretch>
            <a:fillRect/>
          </a:stretch>
        </xdr:blipFill>
        <xdr:spPr>
          <a:xfrm flipV="1">
            <a:off x="10132787" y="1424215"/>
            <a:ext cx="274320" cy="274320"/>
          </a:xfrm>
          <a:prstGeom prst="rect">
            <a:avLst/>
          </a:prstGeom>
        </xdr:spPr>
      </xdr:pic>
    </xdr:grpSp>
    <xdr:clientData/>
  </xdr:twoCellAnchor>
  <xdr:twoCellAnchor editAs="absolute">
    <xdr:from>
      <xdr:col>17</xdr:col>
      <xdr:colOff>136081</xdr:colOff>
      <xdr:row>0</xdr:row>
      <xdr:rowOff>108857</xdr:rowOff>
    </xdr:from>
    <xdr:to>
      <xdr:col>20</xdr:col>
      <xdr:colOff>565120</xdr:colOff>
      <xdr:row>11</xdr:row>
      <xdr:rowOff>127287</xdr:rowOff>
    </xdr:to>
    <xdr:grpSp>
      <xdr:nvGrpSpPr>
        <xdr:cNvPr id="24" name="Group 23">
          <a:extLst>
            <a:ext uri="{FF2B5EF4-FFF2-40B4-BE49-F238E27FC236}">
              <a16:creationId xmlns:a16="http://schemas.microsoft.com/office/drawing/2014/main" id="{A7A67DAB-D08B-AA19-1010-8AD2B456696B}"/>
            </a:ext>
          </a:extLst>
        </xdr:cNvPr>
        <xdr:cNvGrpSpPr/>
      </xdr:nvGrpSpPr>
      <xdr:grpSpPr>
        <a:xfrm>
          <a:off x="10468438" y="108857"/>
          <a:ext cx="2252396" cy="2014144"/>
          <a:chOff x="11566078" y="90714"/>
          <a:chExt cx="2212482" cy="2014144"/>
        </a:xfrm>
      </xdr:grpSpPr>
      <xdr:sp macro="" textlink="">
        <xdr:nvSpPr>
          <xdr:cNvPr id="86" name="Rectangle: Rounded Corners 85">
            <a:extLst>
              <a:ext uri="{FF2B5EF4-FFF2-40B4-BE49-F238E27FC236}">
                <a16:creationId xmlns:a16="http://schemas.microsoft.com/office/drawing/2014/main" id="{A912B954-EF70-1816-3E07-B0A81A3113A4}"/>
              </a:ext>
            </a:extLst>
          </xdr:cNvPr>
          <xdr:cNvSpPr/>
        </xdr:nvSpPr>
        <xdr:spPr>
          <a:xfrm>
            <a:off x="11874286" y="91622"/>
            <a:ext cx="1887071" cy="2011680"/>
          </a:xfrm>
          <a:prstGeom prst="roundRect">
            <a:avLst>
              <a:gd name="adj" fmla="val 6824"/>
            </a:avLst>
          </a:prstGeom>
          <a:solidFill>
            <a:schemeClr val="bg1"/>
          </a:solidFill>
          <a:ln>
            <a:noFill/>
          </a:ln>
          <a:effectLst>
            <a:outerShdw blurRad="279400" dist="50800" dir="2700000" algn="tl" rotWithShape="0">
              <a:prstClr val="black">
                <a:alpha val="12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grpSp>
        <xdr:nvGrpSpPr>
          <xdr:cNvPr id="4" name="Group 3">
            <a:extLst>
              <a:ext uri="{FF2B5EF4-FFF2-40B4-BE49-F238E27FC236}">
                <a16:creationId xmlns:a16="http://schemas.microsoft.com/office/drawing/2014/main" id="{9803D6C7-CB66-34F5-702A-BB9B73694802}"/>
              </a:ext>
            </a:extLst>
          </xdr:cNvPr>
          <xdr:cNvGrpSpPr/>
        </xdr:nvGrpSpPr>
        <xdr:grpSpPr>
          <a:xfrm>
            <a:off x="12681280" y="236766"/>
            <a:ext cx="914400" cy="607782"/>
            <a:chOff x="12844558" y="236766"/>
            <a:chExt cx="914400" cy="607782"/>
          </a:xfrm>
        </xdr:grpSpPr>
        <xdr:sp macro="" textlink="">
          <xdr:nvSpPr>
            <xdr:cNvPr id="87" name="TextBox 86">
              <a:extLst>
                <a:ext uri="{FF2B5EF4-FFF2-40B4-BE49-F238E27FC236}">
                  <a16:creationId xmlns:a16="http://schemas.microsoft.com/office/drawing/2014/main" id="{E25DF9E9-580A-4456-BD39-80E0952E3D32}"/>
                </a:ext>
              </a:extLst>
            </xdr:cNvPr>
            <xdr:cNvSpPr txBox="1"/>
          </xdr:nvSpPr>
          <xdr:spPr>
            <a:xfrm>
              <a:off x="12844558" y="236766"/>
              <a:ext cx="914400" cy="2177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a:solidFill>
                    <a:schemeClr val="tx1">
                      <a:lumMod val="65000"/>
                      <a:lumOff val="35000"/>
                    </a:schemeClr>
                  </a:solidFill>
                  <a:latin typeface="Avenir Next LT Pro Demi" panose="020B0704020202020204" pitchFamily="34" charset="0"/>
                </a:rPr>
                <a:t>Total Paid</a:t>
              </a:r>
            </a:p>
          </xdr:txBody>
        </xdr:sp>
        <xdr:sp macro="" textlink="PivotTables!AE6">
          <xdr:nvSpPr>
            <xdr:cNvPr id="88" name="TextBox 87">
              <a:extLst>
                <a:ext uri="{FF2B5EF4-FFF2-40B4-BE49-F238E27FC236}">
                  <a16:creationId xmlns:a16="http://schemas.microsoft.com/office/drawing/2014/main" id="{966A5DB3-F415-80EF-EED1-F3E4EC29B512}"/>
                </a:ext>
              </a:extLst>
            </xdr:cNvPr>
            <xdr:cNvSpPr txBox="1"/>
          </xdr:nvSpPr>
          <xdr:spPr>
            <a:xfrm>
              <a:off x="12844558" y="481694"/>
              <a:ext cx="914400" cy="2177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08E3AEDB-0720-43FD-98BE-806A597D6668}" type="TxLink">
                <a:rPr lang="en-US" sz="1200" b="1" i="0" u="none" strike="noStrike">
                  <a:solidFill>
                    <a:schemeClr val="tx1">
                      <a:lumMod val="75000"/>
                      <a:lumOff val="25000"/>
                    </a:schemeClr>
                  </a:solidFill>
                  <a:latin typeface="Arial"/>
                  <a:cs typeface="Arial"/>
                </a:rPr>
                <a:pPr algn="l"/>
                <a:t>707</a:t>
              </a:fld>
              <a:endParaRPr lang="en-US" sz="1600" b="1">
                <a:solidFill>
                  <a:schemeClr val="tx1">
                    <a:lumMod val="75000"/>
                    <a:lumOff val="25000"/>
                  </a:schemeClr>
                </a:solidFill>
                <a:latin typeface="Avenir Next LT Pro Demi" panose="020B0704020202020204" pitchFamily="34" charset="0"/>
              </a:endParaRPr>
            </a:p>
          </xdr:txBody>
        </xdr:sp>
        <xdr:sp macro="" textlink="">
          <xdr:nvSpPr>
            <xdr:cNvPr id="92" name="TextBox 91">
              <a:extLst>
                <a:ext uri="{FF2B5EF4-FFF2-40B4-BE49-F238E27FC236}">
                  <a16:creationId xmlns:a16="http://schemas.microsoft.com/office/drawing/2014/main" id="{A8D540E9-0C4C-4089-BC35-97A5E1D290BB}"/>
                </a:ext>
              </a:extLst>
            </xdr:cNvPr>
            <xdr:cNvSpPr txBox="1"/>
          </xdr:nvSpPr>
          <xdr:spPr>
            <a:xfrm>
              <a:off x="12844558" y="626834"/>
              <a:ext cx="822960" cy="2177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900" baseline="0">
                  <a:solidFill>
                    <a:schemeClr val="tx1">
                      <a:lumMod val="75000"/>
                      <a:lumOff val="25000"/>
                    </a:schemeClr>
                  </a:solidFill>
                  <a:latin typeface="Avenir Next LT Pro Demi" panose="020B0704020202020204" pitchFamily="34" charset="0"/>
                </a:rPr>
                <a:t>Invoice</a:t>
              </a:r>
              <a:endParaRPr lang="en-US" sz="900">
                <a:solidFill>
                  <a:schemeClr val="tx1">
                    <a:lumMod val="75000"/>
                    <a:lumOff val="25000"/>
                  </a:schemeClr>
                </a:solidFill>
                <a:latin typeface="Avenir Next LT Pro Demi" panose="020B0704020202020204" pitchFamily="34" charset="0"/>
              </a:endParaRPr>
            </a:p>
          </xdr:txBody>
        </xdr:sp>
      </xdr:grpSp>
      <xdr:graphicFrame macro="">
        <xdr:nvGraphicFramePr>
          <xdr:cNvPr id="93" name="Chart 92">
            <a:extLst>
              <a:ext uri="{FF2B5EF4-FFF2-40B4-BE49-F238E27FC236}">
                <a16:creationId xmlns:a16="http://schemas.microsoft.com/office/drawing/2014/main" id="{B14E9D2A-D5DA-434E-904F-38C935F5DADD}"/>
              </a:ext>
            </a:extLst>
          </xdr:cNvPr>
          <xdr:cNvGraphicFramePr>
            <a:graphicFrameLocks/>
          </xdr:cNvGraphicFramePr>
        </xdr:nvGraphicFramePr>
        <xdr:xfrm>
          <a:off x="11566078" y="90714"/>
          <a:ext cx="1508760" cy="950976"/>
        </xdr:xfrm>
        <a:graphic>
          <a:graphicData uri="http://schemas.openxmlformats.org/drawingml/2006/chart">
            <c:chart xmlns:c="http://schemas.openxmlformats.org/drawingml/2006/chart" xmlns:r="http://schemas.openxmlformats.org/officeDocument/2006/relationships" r:id="rId12"/>
          </a:graphicData>
        </a:graphic>
      </xdr:graphicFrame>
      <xdr:graphicFrame macro="">
        <xdr:nvGraphicFramePr>
          <xdr:cNvPr id="94" name="Chart 93">
            <a:extLst>
              <a:ext uri="{FF2B5EF4-FFF2-40B4-BE49-F238E27FC236}">
                <a16:creationId xmlns:a16="http://schemas.microsoft.com/office/drawing/2014/main" id="{13D377E2-CFB6-4184-9F3F-DBF193F87D9C}"/>
              </a:ext>
            </a:extLst>
          </xdr:cNvPr>
          <xdr:cNvGraphicFramePr>
            <a:graphicFrameLocks/>
          </xdr:cNvGraphicFramePr>
        </xdr:nvGraphicFramePr>
        <xdr:xfrm>
          <a:off x="11566985" y="1153882"/>
          <a:ext cx="1508760" cy="950976"/>
        </xdr:xfrm>
        <a:graphic>
          <a:graphicData uri="http://schemas.openxmlformats.org/drawingml/2006/chart">
            <c:chart xmlns:c="http://schemas.openxmlformats.org/drawingml/2006/chart" xmlns:r="http://schemas.openxmlformats.org/officeDocument/2006/relationships" r:id="rId13"/>
          </a:graphicData>
        </a:graphic>
      </xdr:graphicFrame>
      <xdr:cxnSp macro="">
        <xdr:nvCxnSpPr>
          <xdr:cNvPr id="95" name="Straight Connector 94">
            <a:extLst>
              <a:ext uri="{FF2B5EF4-FFF2-40B4-BE49-F238E27FC236}">
                <a16:creationId xmlns:a16="http://schemas.microsoft.com/office/drawing/2014/main" id="{849A7C80-73A0-4FF7-A6AF-F6457BE956A9}"/>
              </a:ext>
            </a:extLst>
          </xdr:cNvPr>
          <xdr:cNvCxnSpPr/>
        </xdr:nvCxnSpPr>
        <xdr:spPr>
          <a:xfrm flipV="1">
            <a:off x="12086301" y="1092927"/>
            <a:ext cx="1463040" cy="9071"/>
          </a:xfrm>
          <a:prstGeom prst="line">
            <a:avLst/>
          </a:prstGeom>
          <a:ln>
            <a:solidFill>
              <a:schemeClr val="bg1">
                <a:lumMod val="65000"/>
              </a:schemeClr>
            </a:solidFill>
          </a:ln>
        </xdr:spPr>
        <xdr:style>
          <a:lnRef idx="1">
            <a:schemeClr val="accent1"/>
          </a:lnRef>
          <a:fillRef idx="0">
            <a:schemeClr val="accent1"/>
          </a:fillRef>
          <a:effectRef idx="0">
            <a:schemeClr val="accent1"/>
          </a:effectRef>
          <a:fontRef idx="minor">
            <a:schemeClr val="tx1"/>
          </a:fontRef>
        </xdr:style>
      </xdr:cxnSp>
      <xdr:grpSp>
        <xdr:nvGrpSpPr>
          <xdr:cNvPr id="96" name="Group 95">
            <a:extLst>
              <a:ext uri="{FF2B5EF4-FFF2-40B4-BE49-F238E27FC236}">
                <a16:creationId xmlns:a16="http://schemas.microsoft.com/office/drawing/2014/main" id="{69D20FF1-1901-FF79-5671-D8971ABAB511}"/>
              </a:ext>
            </a:extLst>
          </xdr:cNvPr>
          <xdr:cNvGrpSpPr/>
        </xdr:nvGrpSpPr>
        <xdr:grpSpPr>
          <a:xfrm>
            <a:off x="12681280" y="1298123"/>
            <a:ext cx="1097280" cy="607782"/>
            <a:chOff x="12844558" y="236766"/>
            <a:chExt cx="1097280" cy="607782"/>
          </a:xfrm>
        </xdr:grpSpPr>
        <xdr:sp macro="" textlink="">
          <xdr:nvSpPr>
            <xdr:cNvPr id="97" name="TextBox 96">
              <a:extLst>
                <a:ext uri="{FF2B5EF4-FFF2-40B4-BE49-F238E27FC236}">
                  <a16:creationId xmlns:a16="http://schemas.microsoft.com/office/drawing/2014/main" id="{65D5E1D2-5D95-5ECE-05D4-5FBF7A7FF0A0}"/>
                </a:ext>
              </a:extLst>
            </xdr:cNvPr>
            <xdr:cNvSpPr txBox="1"/>
          </xdr:nvSpPr>
          <xdr:spPr>
            <a:xfrm>
              <a:off x="12844558" y="236766"/>
              <a:ext cx="1097280" cy="2177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a:solidFill>
                    <a:schemeClr val="tx1">
                      <a:lumMod val="65000"/>
                      <a:lumOff val="35000"/>
                    </a:schemeClr>
                  </a:solidFill>
                  <a:latin typeface="Avenir Next LT Pro Demi" panose="020B0704020202020204" pitchFamily="34" charset="0"/>
                </a:rPr>
                <a:t>Total Unpaid</a:t>
              </a:r>
            </a:p>
          </xdr:txBody>
        </xdr:sp>
        <xdr:sp macro="" textlink="PivotTables!AE7">
          <xdr:nvSpPr>
            <xdr:cNvPr id="98" name="TextBox 97">
              <a:extLst>
                <a:ext uri="{FF2B5EF4-FFF2-40B4-BE49-F238E27FC236}">
                  <a16:creationId xmlns:a16="http://schemas.microsoft.com/office/drawing/2014/main" id="{54217D8E-6A88-CBBB-BD49-018CAD78088A}"/>
                </a:ext>
              </a:extLst>
            </xdr:cNvPr>
            <xdr:cNvSpPr txBox="1"/>
          </xdr:nvSpPr>
          <xdr:spPr>
            <a:xfrm>
              <a:off x="12844558" y="481694"/>
              <a:ext cx="914400" cy="2177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A949206F-D843-45D4-BDD4-18DB8973028E}" type="TxLink">
                <a:rPr lang="en-US" sz="1200" b="1" i="0" u="none" strike="noStrike">
                  <a:solidFill>
                    <a:schemeClr val="tx1">
                      <a:lumMod val="75000"/>
                      <a:lumOff val="25000"/>
                    </a:schemeClr>
                  </a:solidFill>
                  <a:latin typeface="Arial"/>
                  <a:cs typeface="Arial"/>
                </a:rPr>
                <a:pPr algn="l"/>
                <a:t>72</a:t>
              </a:fld>
              <a:endParaRPr lang="en-US" sz="1800" b="1">
                <a:solidFill>
                  <a:schemeClr val="tx1">
                    <a:lumMod val="75000"/>
                    <a:lumOff val="25000"/>
                  </a:schemeClr>
                </a:solidFill>
                <a:latin typeface="Avenir Next LT Pro Demi" panose="020B0704020202020204" pitchFamily="34" charset="0"/>
              </a:endParaRPr>
            </a:p>
          </xdr:txBody>
        </xdr:sp>
        <xdr:sp macro="" textlink="">
          <xdr:nvSpPr>
            <xdr:cNvPr id="99" name="TextBox 98">
              <a:extLst>
                <a:ext uri="{FF2B5EF4-FFF2-40B4-BE49-F238E27FC236}">
                  <a16:creationId xmlns:a16="http://schemas.microsoft.com/office/drawing/2014/main" id="{F94120D6-E328-A4B4-B6B9-B0B384DC40A5}"/>
                </a:ext>
              </a:extLst>
            </xdr:cNvPr>
            <xdr:cNvSpPr txBox="1"/>
          </xdr:nvSpPr>
          <xdr:spPr>
            <a:xfrm>
              <a:off x="12844558" y="626834"/>
              <a:ext cx="822960" cy="2177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900" baseline="0">
                  <a:solidFill>
                    <a:schemeClr val="tx1">
                      <a:lumMod val="75000"/>
                      <a:lumOff val="25000"/>
                    </a:schemeClr>
                  </a:solidFill>
                  <a:latin typeface="Avenir Next LT Pro Demi" panose="020B0704020202020204" pitchFamily="34" charset="0"/>
                </a:rPr>
                <a:t>Invoice</a:t>
              </a:r>
              <a:endParaRPr lang="en-US" sz="900">
                <a:solidFill>
                  <a:schemeClr val="tx1">
                    <a:lumMod val="75000"/>
                    <a:lumOff val="25000"/>
                  </a:schemeClr>
                </a:solidFill>
                <a:latin typeface="Avenir Next LT Pro Demi" panose="020B0704020202020204" pitchFamily="34" charset="0"/>
              </a:endParaRPr>
            </a:p>
          </xdr:txBody>
        </xdr:sp>
      </xdr:grpSp>
      <xdr:sp macro="" textlink="PivotTables!AF7">
        <xdr:nvSpPr>
          <xdr:cNvPr id="100" name="TextBox 99">
            <a:extLst>
              <a:ext uri="{FF2B5EF4-FFF2-40B4-BE49-F238E27FC236}">
                <a16:creationId xmlns:a16="http://schemas.microsoft.com/office/drawing/2014/main" id="{D8BDA3A5-6726-471B-953F-B3DF70B42A0D}"/>
              </a:ext>
            </a:extLst>
          </xdr:cNvPr>
          <xdr:cNvSpPr txBox="1"/>
        </xdr:nvSpPr>
        <xdr:spPr>
          <a:xfrm>
            <a:off x="12047045" y="1520513"/>
            <a:ext cx="548640" cy="2177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C560C19-44CF-4570-B74E-F4956C7DDB2C}" type="TxLink">
              <a:rPr lang="en-US" sz="1000" b="1" i="0" u="none" strike="noStrike">
                <a:solidFill>
                  <a:schemeClr val="tx1">
                    <a:lumMod val="75000"/>
                    <a:lumOff val="25000"/>
                  </a:schemeClr>
                </a:solidFill>
                <a:latin typeface="Arial"/>
                <a:ea typeface="+mn-ea"/>
                <a:cs typeface="Arial"/>
              </a:rPr>
              <a:pPr marL="0" indent="0" algn="ctr"/>
              <a:t>9%</a:t>
            </a:fld>
            <a:endParaRPr lang="en-US" sz="1000" b="1" i="0" u="none" strike="noStrike">
              <a:solidFill>
                <a:schemeClr val="tx1">
                  <a:lumMod val="75000"/>
                  <a:lumOff val="25000"/>
                </a:schemeClr>
              </a:solidFill>
              <a:latin typeface="Arial"/>
              <a:ea typeface="+mn-ea"/>
              <a:cs typeface="Arial"/>
            </a:endParaRPr>
          </a:p>
        </xdr:txBody>
      </xdr:sp>
      <xdr:sp macro="" textlink="PivotTables!AF6">
        <xdr:nvSpPr>
          <xdr:cNvPr id="101" name="TextBox 100">
            <a:extLst>
              <a:ext uri="{FF2B5EF4-FFF2-40B4-BE49-F238E27FC236}">
                <a16:creationId xmlns:a16="http://schemas.microsoft.com/office/drawing/2014/main" id="{6691BDA8-33E1-FA9A-47C1-68B6FEEE6AAB}"/>
              </a:ext>
            </a:extLst>
          </xdr:cNvPr>
          <xdr:cNvSpPr txBox="1"/>
        </xdr:nvSpPr>
        <xdr:spPr>
          <a:xfrm>
            <a:off x="12046138" y="457345"/>
            <a:ext cx="548640" cy="2177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5EBE4DE2-F9F8-40B9-9751-CC91DA2AD06E}" type="TxLink">
              <a:rPr lang="en-US" sz="1000" b="1" i="0" u="none" strike="noStrike">
                <a:solidFill>
                  <a:schemeClr val="tx1">
                    <a:lumMod val="75000"/>
                    <a:lumOff val="25000"/>
                  </a:schemeClr>
                </a:solidFill>
                <a:latin typeface="Arial"/>
                <a:cs typeface="Arial"/>
              </a:rPr>
              <a:pPr algn="ctr"/>
              <a:t>91%</a:t>
            </a:fld>
            <a:endParaRPr lang="en-US" sz="1600" b="1">
              <a:solidFill>
                <a:schemeClr val="tx1">
                  <a:lumMod val="75000"/>
                  <a:lumOff val="25000"/>
                </a:schemeClr>
              </a:solidFill>
              <a:latin typeface="Avenir Next LT Pro Demi" panose="020B0704020202020204" pitchFamily="34" charset="0"/>
            </a:endParaRPr>
          </a:p>
        </xdr:txBody>
      </xdr:sp>
    </xdr:grpSp>
    <xdr:clientData/>
  </xdr:twoCellAnchor>
  <xdr:twoCellAnchor>
    <xdr:from>
      <xdr:col>22</xdr:col>
      <xdr:colOff>181219</xdr:colOff>
      <xdr:row>0</xdr:row>
      <xdr:rowOff>109765</xdr:rowOff>
    </xdr:from>
    <xdr:to>
      <xdr:col>25</xdr:col>
      <xdr:colOff>76934</xdr:colOff>
      <xdr:row>11</xdr:row>
      <xdr:rowOff>125731</xdr:rowOff>
    </xdr:to>
    <xdr:sp macro="" textlink="">
      <xdr:nvSpPr>
        <xdr:cNvPr id="102" name="Rectangle: Rounded Corners 101">
          <a:extLst>
            <a:ext uri="{FF2B5EF4-FFF2-40B4-BE49-F238E27FC236}">
              <a16:creationId xmlns:a16="http://schemas.microsoft.com/office/drawing/2014/main" id="{A887AF44-E466-6E33-2E95-0236B8750F8B}"/>
            </a:ext>
          </a:extLst>
        </xdr:cNvPr>
        <xdr:cNvSpPr/>
      </xdr:nvSpPr>
      <xdr:spPr>
        <a:xfrm>
          <a:off x="13552505" y="109765"/>
          <a:ext cx="1719072" cy="2011680"/>
        </a:xfrm>
        <a:prstGeom prst="roundRect">
          <a:avLst>
            <a:gd name="adj" fmla="val 6824"/>
          </a:avLst>
        </a:prstGeom>
        <a:solidFill>
          <a:srgbClr val="A5C2E3"/>
        </a:solidFill>
        <a:ln>
          <a:noFill/>
        </a:ln>
        <a:effectLst>
          <a:outerShdw blurRad="279400" dist="50800" dir="2700000" algn="tl" rotWithShape="0">
            <a:prstClr val="black">
              <a:alpha val="12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xdr:from>
      <xdr:col>22</xdr:col>
      <xdr:colOff>317287</xdr:colOff>
      <xdr:row>0</xdr:row>
      <xdr:rowOff>136980</xdr:rowOff>
    </xdr:from>
    <xdr:to>
      <xdr:col>23</xdr:col>
      <xdr:colOff>553364</xdr:colOff>
      <xdr:row>3</xdr:row>
      <xdr:rowOff>81645</xdr:rowOff>
    </xdr:to>
    <xdr:sp macro="" textlink="">
      <xdr:nvSpPr>
        <xdr:cNvPr id="104" name="TextBox 103">
          <a:extLst>
            <a:ext uri="{FF2B5EF4-FFF2-40B4-BE49-F238E27FC236}">
              <a16:creationId xmlns:a16="http://schemas.microsoft.com/office/drawing/2014/main" id="{0CB16E38-070A-4F3E-97E6-07BA02C34FB1}"/>
            </a:ext>
          </a:extLst>
        </xdr:cNvPr>
        <xdr:cNvSpPr txBox="1"/>
      </xdr:nvSpPr>
      <xdr:spPr>
        <a:xfrm>
          <a:off x="13688573" y="136980"/>
          <a:ext cx="843862" cy="48895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200">
              <a:solidFill>
                <a:schemeClr val="bg1"/>
              </a:solidFill>
              <a:latin typeface="Avenir Next LT Pro Demi" panose="020B0704020202020204" pitchFamily="34" charset="0"/>
            </a:rPr>
            <a:t>Monthly</a:t>
          </a:r>
          <a:endParaRPr lang="en-US" sz="1100">
            <a:solidFill>
              <a:schemeClr val="bg1"/>
            </a:solidFill>
            <a:latin typeface="Avenir Next LT Pro Demi" panose="020B0704020202020204" pitchFamily="34" charset="0"/>
          </a:endParaRPr>
        </a:p>
        <a:p>
          <a:pPr algn="l"/>
          <a:r>
            <a:rPr lang="en-US" sz="1000">
              <a:solidFill>
                <a:schemeClr val="bg1"/>
              </a:solidFill>
              <a:latin typeface="Avenir Next LT Pro Demi" panose="020B0704020202020204" pitchFamily="34" charset="0"/>
            </a:rPr>
            <a:t>Slicer</a:t>
          </a:r>
          <a:endParaRPr lang="en-US" sz="1100">
            <a:solidFill>
              <a:schemeClr val="bg1"/>
            </a:solidFill>
            <a:latin typeface="Avenir Next LT Pro Demi" panose="020B0704020202020204" pitchFamily="34" charset="0"/>
          </a:endParaRPr>
        </a:p>
      </xdr:txBody>
    </xdr:sp>
    <xdr:clientData/>
  </xdr:twoCellAnchor>
  <xdr:twoCellAnchor>
    <xdr:from>
      <xdr:col>22</xdr:col>
      <xdr:colOff>382168</xdr:colOff>
      <xdr:row>3</xdr:row>
      <xdr:rowOff>47900</xdr:rowOff>
    </xdr:from>
    <xdr:to>
      <xdr:col>24</xdr:col>
      <xdr:colOff>80997</xdr:colOff>
      <xdr:row>3</xdr:row>
      <xdr:rowOff>56971</xdr:rowOff>
    </xdr:to>
    <xdr:cxnSp macro="">
      <xdr:nvCxnSpPr>
        <xdr:cNvPr id="105" name="Straight Connector 104">
          <a:extLst>
            <a:ext uri="{FF2B5EF4-FFF2-40B4-BE49-F238E27FC236}">
              <a16:creationId xmlns:a16="http://schemas.microsoft.com/office/drawing/2014/main" id="{E8B817C6-4E09-4AEE-9F4F-A4AFBF68879A}"/>
            </a:ext>
          </a:extLst>
        </xdr:cNvPr>
        <xdr:cNvCxnSpPr/>
      </xdr:nvCxnSpPr>
      <xdr:spPr>
        <a:xfrm flipV="1">
          <a:off x="13753454" y="592186"/>
          <a:ext cx="914400" cy="9071"/>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24</xdr:col>
      <xdr:colOff>362866</xdr:colOff>
      <xdr:row>0</xdr:row>
      <xdr:rowOff>126999</xdr:rowOff>
    </xdr:from>
    <xdr:to>
      <xdr:col>25</xdr:col>
      <xdr:colOff>110680</xdr:colOff>
      <xdr:row>1</xdr:row>
      <xdr:rowOff>180520</xdr:rowOff>
    </xdr:to>
    <xdr:sp macro="" textlink="">
      <xdr:nvSpPr>
        <xdr:cNvPr id="106" name="TextBox 105">
          <a:hlinkClick xmlns:r="http://schemas.openxmlformats.org/officeDocument/2006/relationships" r:id="rId14" tooltip="Go to Database"/>
          <a:extLst>
            <a:ext uri="{FF2B5EF4-FFF2-40B4-BE49-F238E27FC236}">
              <a16:creationId xmlns:a16="http://schemas.microsoft.com/office/drawing/2014/main" id="{7BEA1CC5-3D15-40E6-8BA6-5BEBD32ADE7A}"/>
            </a:ext>
          </a:extLst>
        </xdr:cNvPr>
        <xdr:cNvSpPr txBox="1"/>
      </xdr:nvSpPr>
      <xdr:spPr>
        <a:xfrm>
          <a:off x="14949723" y="126999"/>
          <a:ext cx="355600" cy="23495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rPr>
            <a:t>↗</a:t>
          </a:r>
        </a:p>
      </xdr:txBody>
    </xdr:sp>
    <xdr:clientData/>
  </xdr:twoCellAnchor>
  <xdr:twoCellAnchor editAs="absolute">
    <xdr:from>
      <xdr:col>25</xdr:col>
      <xdr:colOff>154003</xdr:colOff>
      <xdr:row>0</xdr:row>
      <xdr:rowOff>109765</xdr:rowOff>
    </xdr:from>
    <xdr:to>
      <xdr:col>27</xdr:col>
      <xdr:colOff>584352</xdr:colOff>
      <xdr:row>11</xdr:row>
      <xdr:rowOff>125731</xdr:rowOff>
    </xdr:to>
    <xdr:sp macro="" textlink="">
      <xdr:nvSpPr>
        <xdr:cNvPr id="107" name="Rectangle: Rounded Corners 106">
          <a:extLst>
            <a:ext uri="{FF2B5EF4-FFF2-40B4-BE49-F238E27FC236}">
              <a16:creationId xmlns:a16="http://schemas.microsoft.com/office/drawing/2014/main" id="{7D0C5109-2887-213A-FCCA-CC0A563512B1}"/>
            </a:ext>
          </a:extLst>
        </xdr:cNvPr>
        <xdr:cNvSpPr/>
      </xdr:nvSpPr>
      <xdr:spPr>
        <a:xfrm>
          <a:off x="15348646" y="109765"/>
          <a:ext cx="1645920" cy="2011680"/>
        </a:xfrm>
        <a:prstGeom prst="roundRect">
          <a:avLst>
            <a:gd name="adj" fmla="val 6824"/>
          </a:avLst>
        </a:prstGeom>
        <a:solidFill>
          <a:schemeClr val="bg1"/>
        </a:solidFill>
        <a:ln>
          <a:noFill/>
        </a:ln>
        <a:effectLst>
          <a:outerShdw blurRad="279400" dist="50800" dir="2700000" algn="tl" rotWithShape="0">
            <a:prstClr val="black">
              <a:alpha val="12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25</xdr:col>
      <xdr:colOff>172145</xdr:colOff>
      <xdr:row>1</xdr:row>
      <xdr:rowOff>9977</xdr:rowOff>
    </xdr:from>
    <xdr:to>
      <xdr:col>27</xdr:col>
      <xdr:colOff>328174</xdr:colOff>
      <xdr:row>2</xdr:row>
      <xdr:rowOff>46263</xdr:rowOff>
    </xdr:to>
    <xdr:sp macro="" textlink="">
      <xdr:nvSpPr>
        <xdr:cNvPr id="108" name="TextBox 107">
          <a:extLst>
            <a:ext uri="{FF2B5EF4-FFF2-40B4-BE49-F238E27FC236}">
              <a16:creationId xmlns:a16="http://schemas.microsoft.com/office/drawing/2014/main" id="{D27B2CCD-D82D-4B5D-80D3-EE2B9EC7C0DF}"/>
            </a:ext>
          </a:extLst>
        </xdr:cNvPr>
        <xdr:cNvSpPr txBox="1"/>
      </xdr:nvSpPr>
      <xdr:spPr>
        <a:xfrm>
          <a:off x="15366788" y="191406"/>
          <a:ext cx="1371600" cy="2177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a:solidFill>
                <a:schemeClr val="tx1"/>
              </a:solidFill>
              <a:latin typeface="Avenir Next LT Pro Demi" panose="020B0704020202020204" pitchFamily="34" charset="0"/>
            </a:rPr>
            <a:t>Purchase</a:t>
          </a:r>
          <a:r>
            <a:rPr lang="en-US" sz="1100" baseline="0">
              <a:solidFill>
                <a:schemeClr val="tx1"/>
              </a:solidFill>
              <a:latin typeface="Avenir Next LT Pro Demi" panose="020B0704020202020204" pitchFamily="34" charset="0"/>
            </a:rPr>
            <a:t> Order</a:t>
          </a:r>
          <a:endParaRPr lang="en-US" sz="1100">
            <a:solidFill>
              <a:schemeClr val="tx1"/>
            </a:solidFill>
            <a:latin typeface="Avenir Next LT Pro Demi" panose="020B0704020202020204" pitchFamily="34" charset="0"/>
          </a:endParaRPr>
        </a:p>
      </xdr:txBody>
    </xdr:sp>
    <xdr:clientData/>
  </xdr:twoCellAnchor>
  <xdr:twoCellAnchor editAs="absolute">
    <xdr:from>
      <xdr:col>25</xdr:col>
      <xdr:colOff>9071</xdr:colOff>
      <xdr:row>6</xdr:row>
      <xdr:rowOff>99786</xdr:rowOff>
    </xdr:from>
    <xdr:to>
      <xdr:col>28</xdr:col>
      <xdr:colOff>117929</xdr:colOff>
      <xdr:row>12</xdr:row>
      <xdr:rowOff>80055</xdr:rowOff>
    </xdr:to>
    <xdr:graphicFrame macro="">
      <xdr:nvGraphicFramePr>
        <xdr:cNvPr id="75" name="Chart 74">
          <a:extLst>
            <a:ext uri="{FF2B5EF4-FFF2-40B4-BE49-F238E27FC236}">
              <a16:creationId xmlns:a16="http://schemas.microsoft.com/office/drawing/2014/main" id="{E73DF2FC-4664-412A-A720-F8CF724A841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absolute">
    <xdr:from>
      <xdr:col>25</xdr:col>
      <xdr:colOff>163074</xdr:colOff>
      <xdr:row>2</xdr:row>
      <xdr:rowOff>82548</xdr:rowOff>
    </xdr:from>
    <xdr:to>
      <xdr:col>26</xdr:col>
      <xdr:colOff>195368</xdr:colOff>
      <xdr:row>3</xdr:row>
      <xdr:rowOff>83999</xdr:rowOff>
    </xdr:to>
    <xdr:sp macro="" textlink="PivotTables!AN6">
      <xdr:nvSpPr>
        <xdr:cNvPr id="76" name="TextBox 75">
          <a:extLst>
            <a:ext uri="{FF2B5EF4-FFF2-40B4-BE49-F238E27FC236}">
              <a16:creationId xmlns:a16="http://schemas.microsoft.com/office/drawing/2014/main" id="{697CB3FA-910C-98F0-0F92-5A2CF1C4CE5F}"/>
            </a:ext>
          </a:extLst>
        </xdr:cNvPr>
        <xdr:cNvSpPr txBox="1"/>
      </xdr:nvSpPr>
      <xdr:spPr>
        <a:xfrm>
          <a:off x="15357717" y="445405"/>
          <a:ext cx="640080" cy="1828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B846505F-A9D4-4CDA-90F6-D1633EB7BA10}" type="TxLink">
            <a:rPr lang="en-US" sz="1400" b="1" i="0" u="none" strike="noStrike">
              <a:solidFill>
                <a:srgbClr val="A13F9E"/>
              </a:solidFill>
              <a:latin typeface="Arial" panose="020B0604020202020204" pitchFamily="34" charset="0"/>
              <a:cs typeface="Arial" panose="020B0604020202020204" pitchFamily="34" charset="0"/>
            </a:rPr>
            <a:pPr algn="r"/>
            <a:t> </a:t>
          </a:fld>
          <a:endParaRPr lang="en-US" sz="1800" b="1">
            <a:solidFill>
              <a:srgbClr val="A13F9E"/>
            </a:solidFill>
            <a:latin typeface="Arial" panose="020B0604020202020204" pitchFamily="34" charset="0"/>
            <a:cs typeface="Arial" panose="020B0604020202020204" pitchFamily="34" charset="0"/>
          </a:endParaRPr>
        </a:p>
      </xdr:txBody>
    </xdr:sp>
    <xdr:clientData/>
  </xdr:twoCellAnchor>
  <xdr:twoCellAnchor editAs="absolute">
    <xdr:from>
      <xdr:col>26</xdr:col>
      <xdr:colOff>99580</xdr:colOff>
      <xdr:row>2</xdr:row>
      <xdr:rowOff>91619</xdr:rowOff>
    </xdr:from>
    <xdr:to>
      <xdr:col>27</xdr:col>
      <xdr:colOff>131875</xdr:colOff>
      <xdr:row>3</xdr:row>
      <xdr:rowOff>127904</xdr:rowOff>
    </xdr:to>
    <xdr:sp macro="" textlink="">
      <xdr:nvSpPr>
        <xdr:cNvPr id="78" name="TextBox 77">
          <a:extLst>
            <a:ext uri="{FF2B5EF4-FFF2-40B4-BE49-F238E27FC236}">
              <a16:creationId xmlns:a16="http://schemas.microsoft.com/office/drawing/2014/main" id="{0D3FC9AD-CC28-6855-9D7E-8C48F3745DFD}"/>
            </a:ext>
          </a:extLst>
        </xdr:cNvPr>
        <xdr:cNvSpPr txBox="1"/>
      </xdr:nvSpPr>
      <xdr:spPr>
        <a:xfrm>
          <a:off x="15902009" y="454476"/>
          <a:ext cx="640080" cy="2177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900">
              <a:solidFill>
                <a:schemeClr val="bg2">
                  <a:lumMod val="50000"/>
                </a:schemeClr>
              </a:solidFill>
              <a:latin typeface="Avenir Next LT Pro Demi" panose="020B0704020202020204" pitchFamily="34" charset="0"/>
            </a:rPr>
            <a:t>Orders</a:t>
          </a:r>
        </a:p>
      </xdr:txBody>
    </xdr:sp>
    <xdr:clientData/>
  </xdr:twoCellAnchor>
  <xdr:twoCellAnchor editAs="absolute">
    <xdr:from>
      <xdr:col>25</xdr:col>
      <xdr:colOff>172145</xdr:colOff>
      <xdr:row>3</xdr:row>
      <xdr:rowOff>146048</xdr:rowOff>
    </xdr:from>
    <xdr:to>
      <xdr:col>27</xdr:col>
      <xdr:colOff>328174</xdr:colOff>
      <xdr:row>5</xdr:row>
      <xdr:rowOff>905</xdr:rowOff>
    </xdr:to>
    <xdr:sp macro="" textlink="">
      <xdr:nvSpPr>
        <xdr:cNvPr id="91" name="TextBox 90">
          <a:extLst>
            <a:ext uri="{FF2B5EF4-FFF2-40B4-BE49-F238E27FC236}">
              <a16:creationId xmlns:a16="http://schemas.microsoft.com/office/drawing/2014/main" id="{E943D078-D274-F0DD-2836-A8A0B759C6CE}"/>
            </a:ext>
          </a:extLst>
        </xdr:cNvPr>
        <xdr:cNvSpPr txBox="1"/>
      </xdr:nvSpPr>
      <xdr:spPr>
        <a:xfrm>
          <a:off x="15366788" y="690334"/>
          <a:ext cx="1371600" cy="2177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a:solidFill>
                <a:schemeClr val="bg1">
                  <a:lumMod val="50000"/>
                </a:schemeClr>
              </a:solidFill>
              <a:latin typeface="Avenir Next LT Pro Demi" panose="020B0704020202020204" pitchFamily="34" charset="0"/>
            </a:rPr>
            <a:t>Average</a:t>
          </a:r>
        </a:p>
      </xdr:txBody>
    </xdr:sp>
    <xdr:clientData/>
  </xdr:twoCellAnchor>
  <xdr:twoCellAnchor editAs="absolute">
    <xdr:from>
      <xdr:col>25</xdr:col>
      <xdr:colOff>163074</xdr:colOff>
      <xdr:row>5</xdr:row>
      <xdr:rowOff>37190</xdr:rowOff>
    </xdr:from>
    <xdr:to>
      <xdr:col>26</xdr:col>
      <xdr:colOff>103928</xdr:colOff>
      <xdr:row>6</xdr:row>
      <xdr:rowOff>38642</xdr:rowOff>
    </xdr:to>
    <xdr:sp macro="" textlink="PivotTables!AL6">
      <xdr:nvSpPr>
        <xdr:cNvPr id="109" name="TextBox 108">
          <a:extLst>
            <a:ext uri="{FF2B5EF4-FFF2-40B4-BE49-F238E27FC236}">
              <a16:creationId xmlns:a16="http://schemas.microsoft.com/office/drawing/2014/main" id="{2C56D370-A764-E506-307C-AFFD7015E9C7}"/>
            </a:ext>
          </a:extLst>
        </xdr:cNvPr>
        <xdr:cNvSpPr txBox="1"/>
      </xdr:nvSpPr>
      <xdr:spPr>
        <a:xfrm>
          <a:off x="15357717" y="944333"/>
          <a:ext cx="548640" cy="1828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9F19C398-E3BF-4B33-A3A1-0B2C68B7661D}" type="TxLink">
            <a:rPr lang="en-US" sz="1400" b="1" i="0" u="none" strike="noStrike">
              <a:solidFill>
                <a:srgbClr val="FFC000"/>
              </a:solidFill>
              <a:latin typeface="Arial" panose="020B0604020202020204" pitchFamily="34" charset="0"/>
              <a:ea typeface="+mn-ea"/>
              <a:cs typeface="Arial" panose="020B0604020202020204" pitchFamily="34" charset="0"/>
            </a:rPr>
            <a:pPr marL="0" indent="0" algn="r"/>
            <a:t> </a:t>
          </a:fld>
          <a:endParaRPr lang="en-US" sz="1400" b="1" i="0" u="none" strike="noStrike">
            <a:solidFill>
              <a:srgbClr val="FFC000"/>
            </a:solidFill>
            <a:latin typeface="Arial" panose="020B0604020202020204" pitchFamily="34" charset="0"/>
            <a:ea typeface="+mn-ea"/>
            <a:cs typeface="Arial" panose="020B0604020202020204" pitchFamily="34" charset="0"/>
          </a:endParaRPr>
        </a:p>
      </xdr:txBody>
    </xdr:sp>
    <xdr:clientData/>
  </xdr:twoCellAnchor>
  <xdr:twoCellAnchor editAs="absolute">
    <xdr:from>
      <xdr:col>26</xdr:col>
      <xdr:colOff>8865</xdr:colOff>
      <xdr:row>5</xdr:row>
      <xdr:rowOff>37189</xdr:rowOff>
    </xdr:from>
    <xdr:to>
      <xdr:col>27</xdr:col>
      <xdr:colOff>45356</xdr:colOff>
      <xdr:row>6</xdr:row>
      <xdr:rowOff>117928</xdr:rowOff>
    </xdr:to>
    <xdr:sp macro="" textlink="">
      <xdr:nvSpPr>
        <xdr:cNvPr id="110" name="TextBox 109">
          <a:extLst>
            <a:ext uri="{FF2B5EF4-FFF2-40B4-BE49-F238E27FC236}">
              <a16:creationId xmlns:a16="http://schemas.microsoft.com/office/drawing/2014/main" id="{69FA6242-7175-DCE8-1E32-B9503361F474}"/>
            </a:ext>
          </a:extLst>
        </xdr:cNvPr>
        <xdr:cNvSpPr txBox="1"/>
      </xdr:nvSpPr>
      <xdr:spPr>
        <a:xfrm>
          <a:off x="15811294" y="944332"/>
          <a:ext cx="644276" cy="26216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b"/>
        <a:lstStyle/>
        <a:p>
          <a:pPr algn="l"/>
          <a:r>
            <a:rPr lang="el-GR" sz="1800">
              <a:solidFill>
                <a:srgbClr val="FFC000"/>
              </a:solidFill>
              <a:latin typeface="Avenir Next LT Pro Demi" panose="020B0704020202020204" pitchFamily="34" charset="0"/>
            </a:rPr>
            <a:t>~</a:t>
          </a:r>
          <a:endParaRPr lang="en-US" sz="1800">
            <a:solidFill>
              <a:srgbClr val="FFC000"/>
            </a:solidFill>
            <a:latin typeface="Avenir Next LT Pro Demi" panose="020B0704020202020204" pitchFamily="34" charset="0"/>
          </a:endParaRPr>
        </a:p>
      </xdr:txBody>
    </xdr:sp>
    <xdr:clientData/>
  </xdr:twoCellAnchor>
  <xdr:twoCellAnchor editAs="absolute">
    <xdr:from>
      <xdr:col>23</xdr:col>
      <xdr:colOff>455175</xdr:colOff>
      <xdr:row>12</xdr:row>
      <xdr:rowOff>82551</xdr:rowOff>
    </xdr:from>
    <xdr:to>
      <xdr:col>27</xdr:col>
      <xdr:colOff>584352</xdr:colOff>
      <xdr:row>25</xdr:row>
      <xdr:rowOff>9980</xdr:rowOff>
    </xdr:to>
    <xdr:sp macro="" textlink="">
      <xdr:nvSpPr>
        <xdr:cNvPr id="82" name="Rectangle: Rounded Corners 81">
          <a:extLst>
            <a:ext uri="{FF2B5EF4-FFF2-40B4-BE49-F238E27FC236}">
              <a16:creationId xmlns:a16="http://schemas.microsoft.com/office/drawing/2014/main" id="{D9A0D29A-9F2C-FA72-1153-2F19F12E65F2}"/>
            </a:ext>
          </a:extLst>
        </xdr:cNvPr>
        <xdr:cNvSpPr/>
      </xdr:nvSpPr>
      <xdr:spPr>
        <a:xfrm>
          <a:off x="14434246" y="2259694"/>
          <a:ext cx="2560320" cy="2286000"/>
        </a:xfrm>
        <a:prstGeom prst="roundRect">
          <a:avLst>
            <a:gd name="adj" fmla="val 6824"/>
          </a:avLst>
        </a:prstGeom>
        <a:solidFill>
          <a:schemeClr val="bg1"/>
        </a:solidFill>
        <a:ln>
          <a:noFill/>
        </a:ln>
        <a:effectLst>
          <a:outerShdw blurRad="279400" dist="50800" dir="2700000" algn="tl" rotWithShape="0">
            <a:prstClr val="black">
              <a:alpha val="12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24</xdr:col>
      <xdr:colOff>441749</xdr:colOff>
      <xdr:row>12</xdr:row>
      <xdr:rowOff>164194</xdr:rowOff>
    </xdr:from>
    <xdr:to>
      <xdr:col>26</xdr:col>
      <xdr:colOff>597777</xdr:colOff>
      <xdr:row>14</xdr:row>
      <xdr:rowOff>19051</xdr:rowOff>
    </xdr:to>
    <xdr:sp macro="" textlink="">
      <xdr:nvSpPr>
        <xdr:cNvPr id="84" name="TextBox 83">
          <a:extLst>
            <a:ext uri="{FF2B5EF4-FFF2-40B4-BE49-F238E27FC236}">
              <a16:creationId xmlns:a16="http://schemas.microsoft.com/office/drawing/2014/main" id="{A5CA2EC6-6CDA-4BC0-6195-BFEEA4554ED3}"/>
            </a:ext>
          </a:extLst>
        </xdr:cNvPr>
        <xdr:cNvSpPr txBox="1"/>
      </xdr:nvSpPr>
      <xdr:spPr>
        <a:xfrm>
          <a:off x="15028606" y="2341337"/>
          <a:ext cx="1371600" cy="2177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tx1"/>
              </a:solidFill>
              <a:latin typeface="Avenir Next LT Pro Demi" panose="020B0704020202020204" pitchFamily="34" charset="0"/>
            </a:rPr>
            <a:t>Sales Area</a:t>
          </a:r>
        </a:p>
      </xdr:txBody>
    </xdr:sp>
    <xdr:clientData/>
  </xdr:twoCellAnchor>
  <xdr:twoCellAnchor editAs="absolute">
    <xdr:from>
      <xdr:col>23</xdr:col>
      <xdr:colOff>326572</xdr:colOff>
      <xdr:row>12</xdr:row>
      <xdr:rowOff>99785</xdr:rowOff>
    </xdr:from>
    <xdr:to>
      <xdr:col>28</xdr:col>
      <xdr:colOff>54428</xdr:colOff>
      <xdr:row>25</xdr:row>
      <xdr:rowOff>172358</xdr:rowOff>
    </xdr:to>
    <xdr:graphicFrame macro="">
      <xdr:nvGraphicFramePr>
        <xdr:cNvPr id="85" name="Chart 84">
          <a:extLst>
            <a:ext uri="{FF2B5EF4-FFF2-40B4-BE49-F238E27FC236}">
              <a16:creationId xmlns:a16="http://schemas.microsoft.com/office/drawing/2014/main" id="{BF07C7D4-93C4-4F32-9290-5B939650A5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absolute">
    <xdr:from>
      <xdr:col>23</xdr:col>
      <xdr:colOff>440766</xdr:colOff>
      <xdr:row>26</xdr:row>
      <xdr:rowOff>14061</xdr:rowOff>
    </xdr:from>
    <xdr:to>
      <xdr:col>27</xdr:col>
      <xdr:colOff>569943</xdr:colOff>
      <xdr:row>38</xdr:row>
      <xdr:rowOff>125640</xdr:rowOff>
    </xdr:to>
    <xdr:sp macro="" textlink="">
      <xdr:nvSpPr>
        <xdr:cNvPr id="89" name="Rectangle: Rounded Corners 88">
          <a:extLst>
            <a:ext uri="{FF2B5EF4-FFF2-40B4-BE49-F238E27FC236}">
              <a16:creationId xmlns:a16="http://schemas.microsoft.com/office/drawing/2014/main" id="{ED8FFDF6-D44C-74DF-D868-492C5C4A624D}"/>
            </a:ext>
          </a:extLst>
        </xdr:cNvPr>
        <xdr:cNvSpPr/>
      </xdr:nvSpPr>
      <xdr:spPr>
        <a:xfrm>
          <a:off x="14419837" y="4731204"/>
          <a:ext cx="2560320" cy="2288722"/>
        </a:xfrm>
        <a:prstGeom prst="roundRect">
          <a:avLst>
            <a:gd name="adj" fmla="val 6824"/>
          </a:avLst>
        </a:prstGeom>
        <a:solidFill>
          <a:schemeClr val="bg1"/>
        </a:solidFill>
        <a:ln>
          <a:noFill/>
        </a:ln>
        <a:effectLst>
          <a:outerShdw blurRad="279400" dist="50800" dir="2700000" algn="tl" rotWithShape="0">
            <a:prstClr val="black">
              <a:alpha val="12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23</xdr:col>
      <xdr:colOff>449838</xdr:colOff>
      <xdr:row>25</xdr:row>
      <xdr:rowOff>122918</xdr:rowOff>
    </xdr:from>
    <xdr:to>
      <xdr:col>27</xdr:col>
      <xdr:colOff>579015</xdr:colOff>
      <xdr:row>38</xdr:row>
      <xdr:rowOff>50346</xdr:rowOff>
    </xdr:to>
    <xdr:graphicFrame macro="">
      <xdr:nvGraphicFramePr>
        <xdr:cNvPr id="90" name="Chart 89">
          <a:extLst>
            <a:ext uri="{FF2B5EF4-FFF2-40B4-BE49-F238E27FC236}">
              <a16:creationId xmlns:a16="http://schemas.microsoft.com/office/drawing/2014/main" id="{5E2B8368-D3A6-4344-8F2B-E2255865C5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editAs="absolute">
    <xdr:from>
      <xdr:col>24</xdr:col>
      <xdr:colOff>477341</xdr:colOff>
      <xdr:row>27</xdr:row>
      <xdr:rowOff>131189</xdr:rowOff>
    </xdr:from>
    <xdr:to>
      <xdr:col>26</xdr:col>
      <xdr:colOff>541929</xdr:colOff>
      <xdr:row>34</xdr:row>
      <xdr:rowOff>141349</xdr:rowOff>
    </xdr:to>
    <xdr:sp macro="" textlink="">
      <xdr:nvSpPr>
        <xdr:cNvPr id="20" name="Oval 19">
          <a:extLst>
            <a:ext uri="{FF2B5EF4-FFF2-40B4-BE49-F238E27FC236}">
              <a16:creationId xmlns:a16="http://schemas.microsoft.com/office/drawing/2014/main" id="{CE289B0D-629A-592E-2395-2F621DC64F74}"/>
            </a:ext>
          </a:extLst>
        </xdr:cNvPr>
        <xdr:cNvSpPr/>
      </xdr:nvSpPr>
      <xdr:spPr>
        <a:xfrm>
          <a:off x="15064198" y="5029760"/>
          <a:ext cx="1280160" cy="1280160"/>
        </a:xfrm>
        <a:prstGeom prst="ellipse">
          <a:avLst/>
        </a:prstGeom>
        <a:solidFill>
          <a:schemeClr val="bg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24</xdr:col>
      <xdr:colOff>586889</xdr:colOff>
      <xdr:row>30</xdr:row>
      <xdr:rowOff>19052</xdr:rowOff>
    </xdr:from>
    <xdr:to>
      <xdr:col>26</xdr:col>
      <xdr:colOff>468597</xdr:colOff>
      <xdr:row>32</xdr:row>
      <xdr:rowOff>63502</xdr:rowOff>
    </xdr:to>
    <xdr:sp macro="" textlink="">
      <xdr:nvSpPr>
        <xdr:cNvPr id="111" name="TextBox 110">
          <a:extLst>
            <a:ext uri="{FF2B5EF4-FFF2-40B4-BE49-F238E27FC236}">
              <a16:creationId xmlns:a16="http://schemas.microsoft.com/office/drawing/2014/main" id="{07E1D0B5-8A8B-7592-7567-EF4E5A577DF8}"/>
            </a:ext>
          </a:extLst>
        </xdr:cNvPr>
        <xdr:cNvSpPr txBox="1"/>
      </xdr:nvSpPr>
      <xdr:spPr>
        <a:xfrm>
          <a:off x="15173746" y="5461909"/>
          <a:ext cx="1097280" cy="407307"/>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00">
              <a:solidFill>
                <a:schemeClr val="tx1"/>
              </a:solidFill>
              <a:latin typeface="Avenir Next LT Pro Demi" panose="020B0704020202020204" pitchFamily="34" charset="0"/>
            </a:rPr>
            <a:t>Payment</a:t>
          </a:r>
          <a:endParaRPr lang="en-US" sz="1000" baseline="0">
            <a:solidFill>
              <a:schemeClr val="tx1"/>
            </a:solidFill>
            <a:latin typeface="Avenir Next LT Pro Demi" panose="020B0704020202020204" pitchFamily="34" charset="0"/>
          </a:endParaRPr>
        </a:p>
        <a:p>
          <a:pPr algn="ctr"/>
          <a:r>
            <a:rPr lang="en-US" sz="1000" baseline="0">
              <a:solidFill>
                <a:schemeClr val="tx1"/>
              </a:solidFill>
              <a:latin typeface="Avenir Next LT Pro Demi" panose="020B0704020202020204" pitchFamily="34" charset="0"/>
            </a:rPr>
            <a:t>Method</a:t>
          </a:r>
          <a:endParaRPr lang="en-US" sz="1000">
            <a:solidFill>
              <a:schemeClr val="tx1"/>
            </a:solidFill>
            <a:latin typeface="Avenir Next LT Pro Demi" panose="020B0704020202020204" pitchFamily="34" charset="0"/>
          </a:endParaRPr>
        </a:p>
      </xdr:txBody>
    </xdr:sp>
    <xdr:clientData/>
  </xdr:twoCellAnchor>
  <xdr:twoCellAnchor editAs="absolute">
    <xdr:from>
      <xdr:col>19</xdr:col>
      <xdr:colOff>45357</xdr:colOff>
      <xdr:row>12</xdr:row>
      <xdr:rowOff>82551</xdr:rowOff>
    </xdr:from>
    <xdr:to>
      <xdr:col>23</xdr:col>
      <xdr:colOff>387609</xdr:colOff>
      <xdr:row>38</xdr:row>
      <xdr:rowOff>46718</xdr:rowOff>
    </xdr:to>
    <xdr:sp macro="" textlink="">
      <xdr:nvSpPr>
        <xdr:cNvPr id="112" name="Rectangle: Rounded Corners 111">
          <a:extLst>
            <a:ext uri="{FF2B5EF4-FFF2-40B4-BE49-F238E27FC236}">
              <a16:creationId xmlns:a16="http://schemas.microsoft.com/office/drawing/2014/main" id="{296B53FF-3AEC-90F8-23B1-08573F050223}"/>
            </a:ext>
          </a:extLst>
        </xdr:cNvPr>
        <xdr:cNvSpPr/>
      </xdr:nvSpPr>
      <xdr:spPr>
        <a:xfrm>
          <a:off x="11593286" y="2259694"/>
          <a:ext cx="2773394" cy="4681310"/>
        </a:xfrm>
        <a:prstGeom prst="roundRect">
          <a:avLst>
            <a:gd name="adj" fmla="val 6824"/>
          </a:avLst>
        </a:prstGeom>
        <a:solidFill>
          <a:schemeClr val="bg1"/>
        </a:solidFill>
        <a:ln>
          <a:noFill/>
        </a:ln>
        <a:effectLst>
          <a:outerShdw blurRad="279400" dist="50800" dir="2700000" algn="tl" rotWithShape="0">
            <a:prstClr val="black">
              <a:alpha val="12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19</xdr:col>
      <xdr:colOff>45357</xdr:colOff>
      <xdr:row>14</xdr:row>
      <xdr:rowOff>9070</xdr:rowOff>
    </xdr:from>
    <xdr:to>
      <xdr:col>23</xdr:col>
      <xdr:colOff>326574</xdr:colOff>
      <xdr:row>24</xdr:row>
      <xdr:rowOff>126999</xdr:rowOff>
    </xdr:to>
    <xdr:graphicFrame macro="">
      <xdr:nvGraphicFramePr>
        <xdr:cNvPr id="113" name="Chart 112">
          <a:extLst>
            <a:ext uri="{FF2B5EF4-FFF2-40B4-BE49-F238E27FC236}">
              <a16:creationId xmlns:a16="http://schemas.microsoft.com/office/drawing/2014/main" id="{D1FB5CB3-59C6-40EC-A55B-F1C87ED15F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editAs="absolute">
    <xdr:from>
      <xdr:col>19</xdr:col>
      <xdr:colOff>62643</xdr:colOff>
      <xdr:row>12</xdr:row>
      <xdr:rowOff>164194</xdr:rowOff>
    </xdr:from>
    <xdr:to>
      <xdr:col>22</xdr:col>
      <xdr:colOff>250966</xdr:colOff>
      <xdr:row>14</xdr:row>
      <xdr:rowOff>19051</xdr:rowOff>
    </xdr:to>
    <xdr:sp macro="" textlink="">
      <xdr:nvSpPr>
        <xdr:cNvPr id="118" name="TextBox 117">
          <a:extLst>
            <a:ext uri="{FF2B5EF4-FFF2-40B4-BE49-F238E27FC236}">
              <a16:creationId xmlns:a16="http://schemas.microsoft.com/office/drawing/2014/main" id="{9BFB075F-DD1E-EE2F-459E-2646D255BA34}"/>
            </a:ext>
          </a:extLst>
        </xdr:cNvPr>
        <xdr:cNvSpPr txBox="1"/>
      </xdr:nvSpPr>
      <xdr:spPr>
        <a:xfrm>
          <a:off x="11610572" y="2341337"/>
          <a:ext cx="2011680" cy="2177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chemeClr val="tx1"/>
              </a:solidFill>
              <a:latin typeface="Avenir Next LT Pro Demi" panose="020B0704020202020204" pitchFamily="34" charset="0"/>
            </a:rPr>
            <a:t>Amount of Sales </a:t>
          </a:r>
          <a:r>
            <a:rPr lang="en-US" sz="1000">
              <a:solidFill>
                <a:schemeClr val="tx1">
                  <a:lumMod val="65000"/>
                  <a:lumOff val="35000"/>
                </a:schemeClr>
              </a:solidFill>
              <a:latin typeface="Avenir Next LT Pro Demi" panose="020B0704020202020204" pitchFamily="34" charset="0"/>
            </a:rPr>
            <a:t>by Product</a:t>
          </a:r>
          <a:endParaRPr lang="en-US" sz="1100">
            <a:solidFill>
              <a:schemeClr val="tx1">
                <a:lumMod val="65000"/>
                <a:lumOff val="35000"/>
              </a:schemeClr>
            </a:solidFill>
            <a:latin typeface="Avenir Next LT Pro Demi" panose="020B0704020202020204" pitchFamily="34" charset="0"/>
          </a:endParaRPr>
        </a:p>
      </xdr:txBody>
    </xdr:sp>
    <xdr:clientData/>
  </xdr:twoCellAnchor>
  <xdr:twoCellAnchor editAs="absolute">
    <xdr:from>
      <xdr:col>19</xdr:col>
      <xdr:colOff>81644</xdr:colOff>
      <xdr:row>26</xdr:row>
      <xdr:rowOff>72571</xdr:rowOff>
    </xdr:from>
    <xdr:to>
      <xdr:col>23</xdr:col>
      <xdr:colOff>462645</xdr:colOff>
      <xdr:row>38</xdr:row>
      <xdr:rowOff>36286</xdr:rowOff>
    </xdr:to>
    <xdr:graphicFrame macro="">
      <xdr:nvGraphicFramePr>
        <xdr:cNvPr id="119" name="Chart 118">
          <a:extLst>
            <a:ext uri="{FF2B5EF4-FFF2-40B4-BE49-F238E27FC236}">
              <a16:creationId xmlns:a16="http://schemas.microsoft.com/office/drawing/2014/main" id="{D666BBD8-8E71-41C3-9A05-7936019E03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editAs="absolute">
    <xdr:from>
      <xdr:col>19</xdr:col>
      <xdr:colOff>89856</xdr:colOff>
      <xdr:row>24</xdr:row>
      <xdr:rowOff>91617</xdr:rowOff>
    </xdr:from>
    <xdr:to>
      <xdr:col>22</xdr:col>
      <xdr:colOff>190500</xdr:colOff>
      <xdr:row>27</xdr:row>
      <xdr:rowOff>45355</xdr:rowOff>
    </xdr:to>
    <xdr:sp macro="" textlink="">
      <xdr:nvSpPr>
        <xdr:cNvPr id="114" name="TextBox 113">
          <a:extLst>
            <a:ext uri="{FF2B5EF4-FFF2-40B4-BE49-F238E27FC236}">
              <a16:creationId xmlns:a16="http://schemas.microsoft.com/office/drawing/2014/main" id="{AAC62640-F8B7-FBA7-0D60-BAFAAC721D3A}"/>
            </a:ext>
          </a:extLst>
        </xdr:cNvPr>
        <xdr:cNvSpPr txBox="1"/>
      </xdr:nvSpPr>
      <xdr:spPr>
        <a:xfrm>
          <a:off x="11637785" y="4445903"/>
          <a:ext cx="1924001" cy="49802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r>
            <a:rPr lang="en-US" sz="1050">
              <a:solidFill>
                <a:srgbClr val="362F48"/>
              </a:solidFill>
              <a:latin typeface="Avenir Next LT Pro Demi" panose="020B0704020202020204" pitchFamily="34" charset="0"/>
              <a:ea typeface="+mn-ea"/>
              <a:cs typeface="+mn-cs"/>
            </a:rPr>
            <a:t>Amount</a:t>
          </a:r>
          <a:r>
            <a:rPr lang="en-US" sz="1100">
              <a:solidFill>
                <a:srgbClr val="362F48"/>
              </a:solidFill>
              <a:latin typeface="Avenir Next LT Pro Demi" panose="020B0704020202020204" pitchFamily="34" charset="0"/>
              <a:ea typeface="+mn-ea"/>
              <a:cs typeface="+mn-cs"/>
            </a:rPr>
            <a:t> of Purchase Order</a:t>
          </a:r>
        </a:p>
        <a:p>
          <a:pPr marL="0" indent="0" algn="l"/>
          <a:r>
            <a:rPr lang="en-US" sz="1000">
              <a:solidFill>
                <a:schemeClr val="tx1">
                  <a:lumMod val="65000"/>
                  <a:lumOff val="35000"/>
                </a:schemeClr>
              </a:solidFill>
              <a:latin typeface="Avenir Next LT Pro Demi" panose="020B0704020202020204" pitchFamily="34" charset="0"/>
              <a:ea typeface="+mn-ea"/>
              <a:cs typeface="+mn-cs"/>
            </a:rPr>
            <a:t>by Product</a:t>
          </a:r>
          <a:endParaRPr lang="en-US" sz="1100">
            <a:solidFill>
              <a:schemeClr val="tx1">
                <a:lumMod val="65000"/>
                <a:lumOff val="35000"/>
              </a:schemeClr>
            </a:solidFill>
            <a:latin typeface="Avenir Next LT Pro Demi" panose="020B0704020202020204" pitchFamily="34" charset="0"/>
            <a:ea typeface="+mn-ea"/>
            <a:cs typeface="+mn-cs"/>
          </a:endParaRPr>
        </a:p>
      </xdr:txBody>
    </xdr:sp>
    <xdr:clientData/>
  </xdr:twoCellAnchor>
  <xdr:twoCellAnchor editAs="absolute">
    <xdr:from>
      <xdr:col>15</xdr:col>
      <xdr:colOff>199571</xdr:colOff>
      <xdr:row>12</xdr:row>
      <xdr:rowOff>86856</xdr:rowOff>
    </xdr:from>
    <xdr:to>
      <xdr:col>18</xdr:col>
      <xdr:colOff>552676</xdr:colOff>
      <xdr:row>25</xdr:row>
      <xdr:rowOff>14285</xdr:rowOff>
    </xdr:to>
    <xdr:sp macro="" textlink="">
      <xdr:nvSpPr>
        <xdr:cNvPr id="116" name="Rectangle: Rounded Corners 115">
          <a:extLst>
            <a:ext uri="{FF2B5EF4-FFF2-40B4-BE49-F238E27FC236}">
              <a16:creationId xmlns:a16="http://schemas.microsoft.com/office/drawing/2014/main" id="{FB9A6AC2-8E2D-C004-B105-FE7D91E85CC6}"/>
            </a:ext>
          </a:extLst>
        </xdr:cNvPr>
        <xdr:cNvSpPr/>
      </xdr:nvSpPr>
      <xdr:spPr>
        <a:xfrm>
          <a:off x="9316357" y="2263999"/>
          <a:ext cx="2176462" cy="2286000"/>
        </a:xfrm>
        <a:prstGeom prst="roundRect">
          <a:avLst>
            <a:gd name="adj" fmla="val 6824"/>
          </a:avLst>
        </a:prstGeom>
        <a:solidFill>
          <a:schemeClr val="bg1"/>
        </a:solidFill>
        <a:ln>
          <a:noFill/>
        </a:ln>
        <a:effectLst>
          <a:outerShdw blurRad="279400" dist="50800" dir="2700000" algn="tl" rotWithShape="0">
            <a:prstClr val="black">
              <a:alpha val="12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lumMod val="65000"/>
                <a:lumOff val="35000"/>
              </a:schemeClr>
            </a:solidFill>
          </a:endParaRPr>
        </a:p>
      </xdr:txBody>
    </xdr:sp>
    <xdr:clientData/>
  </xdr:twoCellAnchor>
  <xdr:twoCellAnchor editAs="absolute">
    <xdr:from>
      <xdr:col>15</xdr:col>
      <xdr:colOff>242284</xdr:colOff>
      <xdr:row>12</xdr:row>
      <xdr:rowOff>53157</xdr:rowOff>
    </xdr:from>
    <xdr:to>
      <xdr:col>17</xdr:col>
      <xdr:colOff>544284</xdr:colOff>
      <xdr:row>16</xdr:row>
      <xdr:rowOff>31529</xdr:rowOff>
    </xdr:to>
    <xdr:sp macro="" textlink="">
      <xdr:nvSpPr>
        <xdr:cNvPr id="117" name="TextBox 116">
          <a:extLst>
            <a:ext uri="{FF2B5EF4-FFF2-40B4-BE49-F238E27FC236}">
              <a16:creationId xmlns:a16="http://schemas.microsoft.com/office/drawing/2014/main" id="{9D04ADFA-04E8-087D-7AB1-D4C17BB9D6B4}"/>
            </a:ext>
          </a:extLst>
        </xdr:cNvPr>
        <xdr:cNvSpPr txBox="1"/>
      </xdr:nvSpPr>
      <xdr:spPr>
        <a:xfrm>
          <a:off x="9359070" y="2230300"/>
          <a:ext cx="1517571" cy="70408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000">
              <a:solidFill>
                <a:schemeClr val="tx1">
                  <a:lumMod val="65000"/>
                  <a:lumOff val="35000"/>
                </a:schemeClr>
              </a:solidFill>
              <a:latin typeface="Avenir Next LT Pro Demi" panose="020B0704020202020204" pitchFamily="34" charset="0"/>
            </a:rPr>
            <a:t>Top 5</a:t>
          </a:r>
          <a:endParaRPr lang="en-US" sz="1100">
            <a:solidFill>
              <a:schemeClr val="tx1">
                <a:lumMod val="65000"/>
                <a:lumOff val="35000"/>
              </a:schemeClr>
            </a:solidFill>
            <a:latin typeface="Avenir Next LT Pro Demi" panose="020B0704020202020204" pitchFamily="34" charset="0"/>
          </a:endParaRPr>
        </a:p>
        <a:p>
          <a:pPr algn="l"/>
          <a:r>
            <a:rPr lang="en-US" sz="1200">
              <a:solidFill>
                <a:schemeClr val="tx1">
                  <a:lumMod val="85000"/>
                  <a:lumOff val="15000"/>
                </a:schemeClr>
              </a:solidFill>
              <a:latin typeface="Avenir Next LT Pro Demi" panose="020B0704020202020204" pitchFamily="34" charset="0"/>
            </a:rPr>
            <a:t>Best Product</a:t>
          </a:r>
          <a:endParaRPr lang="en-US" sz="1100">
            <a:solidFill>
              <a:schemeClr val="tx1">
                <a:lumMod val="85000"/>
                <a:lumOff val="15000"/>
              </a:schemeClr>
            </a:solidFill>
            <a:latin typeface="Avenir Next LT Pro Demi" panose="020B0704020202020204" pitchFamily="34" charset="0"/>
          </a:endParaRPr>
        </a:p>
        <a:p>
          <a:pPr algn="l"/>
          <a:r>
            <a:rPr lang="en-US" sz="1000">
              <a:solidFill>
                <a:schemeClr val="tx1">
                  <a:lumMod val="65000"/>
                  <a:lumOff val="35000"/>
                </a:schemeClr>
              </a:solidFill>
              <a:latin typeface="Avenir Next LT Pro Demi" panose="020B0704020202020204" pitchFamily="34" charset="0"/>
            </a:rPr>
            <a:t>Support to Revenue</a:t>
          </a:r>
          <a:endParaRPr lang="en-US" sz="1100">
            <a:solidFill>
              <a:schemeClr val="tx1">
                <a:lumMod val="65000"/>
                <a:lumOff val="35000"/>
              </a:schemeClr>
            </a:solidFill>
            <a:latin typeface="Avenir Next LT Pro Demi" panose="020B0704020202020204" pitchFamily="34" charset="0"/>
          </a:endParaRPr>
        </a:p>
      </xdr:txBody>
    </xdr:sp>
    <xdr:clientData/>
  </xdr:twoCellAnchor>
  <xdr:twoCellAnchor editAs="absolute">
    <xdr:from>
      <xdr:col>18</xdr:col>
      <xdr:colOff>232416</xdr:colOff>
      <xdr:row>13</xdr:row>
      <xdr:rowOff>95018</xdr:rowOff>
    </xdr:from>
    <xdr:to>
      <xdr:col>18</xdr:col>
      <xdr:colOff>351288</xdr:colOff>
      <xdr:row>14</xdr:row>
      <xdr:rowOff>32461</xdr:rowOff>
    </xdr:to>
    <xdr:sp macro="" textlink="">
      <xdr:nvSpPr>
        <xdr:cNvPr id="120" name="Star: 5 Points 119">
          <a:extLst>
            <a:ext uri="{FF2B5EF4-FFF2-40B4-BE49-F238E27FC236}">
              <a16:creationId xmlns:a16="http://schemas.microsoft.com/office/drawing/2014/main" id="{DE34B1EC-C2B4-CCF9-8B89-D7CEB11A78D8}"/>
            </a:ext>
          </a:extLst>
        </xdr:cNvPr>
        <xdr:cNvSpPr/>
      </xdr:nvSpPr>
      <xdr:spPr>
        <a:xfrm>
          <a:off x="11172559" y="2453589"/>
          <a:ext cx="118872" cy="118872"/>
        </a:xfrm>
        <a:prstGeom prst="star5">
          <a:avLst/>
        </a:prstGeom>
        <a:solidFill>
          <a:srgbClr val="FED14E"/>
        </a:solidFill>
        <a:ln>
          <a:solidFill>
            <a:srgbClr val="FED14E"/>
          </a:solid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15</xdr:col>
      <xdr:colOff>224149</xdr:colOff>
      <xdr:row>16</xdr:row>
      <xdr:rowOff>72572</xdr:rowOff>
    </xdr:from>
    <xdr:to>
      <xdr:col>18</xdr:col>
      <xdr:colOff>509007</xdr:colOff>
      <xdr:row>23</xdr:row>
      <xdr:rowOff>171080</xdr:rowOff>
    </xdr:to>
    <xdr:grpSp>
      <xdr:nvGrpSpPr>
        <xdr:cNvPr id="121" name="Group 120">
          <a:extLst>
            <a:ext uri="{FF2B5EF4-FFF2-40B4-BE49-F238E27FC236}">
              <a16:creationId xmlns:a16="http://schemas.microsoft.com/office/drawing/2014/main" id="{8CFBCAE2-F9BB-5575-F5E1-BF36503D51E5}"/>
            </a:ext>
          </a:extLst>
        </xdr:cNvPr>
        <xdr:cNvGrpSpPr/>
      </xdr:nvGrpSpPr>
      <xdr:grpSpPr>
        <a:xfrm>
          <a:off x="9340935" y="2975429"/>
          <a:ext cx="2108215" cy="1368508"/>
          <a:chOff x="3522916" y="765488"/>
          <a:chExt cx="2627516" cy="1215572"/>
        </a:xfrm>
      </xdr:grpSpPr>
      <xdr:sp macro="" textlink="PivotTables!BL6">
        <xdr:nvSpPr>
          <xdr:cNvPr id="122" name="TextBox 121">
            <a:extLst>
              <a:ext uri="{FF2B5EF4-FFF2-40B4-BE49-F238E27FC236}">
                <a16:creationId xmlns:a16="http://schemas.microsoft.com/office/drawing/2014/main" id="{64B666B8-38F7-EEE6-580A-B1A6E1D334F6}"/>
              </a:ext>
            </a:extLst>
          </xdr:cNvPr>
          <xdr:cNvSpPr txBox="1"/>
        </xdr:nvSpPr>
        <xdr:spPr>
          <a:xfrm>
            <a:off x="3522916" y="765488"/>
            <a:ext cx="1920240" cy="2177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9732694E-82D0-48B5-86A6-9B8F1DD01AD6}" type="TxLink">
              <a:rPr lang="en-US" sz="800" b="0" i="0" u="none" strike="noStrike">
                <a:solidFill>
                  <a:schemeClr val="tx1">
                    <a:lumMod val="65000"/>
                    <a:lumOff val="35000"/>
                  </a:schemeClr>
                </a:solidFill>
                <a:latin typeface="Avenir Next LT Pro Demi" panose="020B0704020202020204" pitchFamily="34" charset="0"/>
                <a:cs typeface="Arial"/>
              </a:rPr>
              <a:pPr algn="l"/>
              <a:t>36460000000</a:t>
            </a:fld>
            <a:endParaRPr lang="en-US" sz="800">
              <a:solidFill>
                <a:schemeClr val="tx1">
                  <a:lumMod val="65000"/>
                  <a:lumOff val="35000"/>
                </a:schemeClr>
              </a:solidFill>
              <a:latin typeface="Avenir Next LT Pro Demi" panose="020B0704020202020204" pitchFamily="34" charset="0"/>
            </a:endParaRPr>
          </a:p>
        </xdr:txBody>
      </xdr:sp>
      <xdr:sp macro="" textlink="PivotTables!BM6">
        <xdr:nvSpPr>
          <xdr:cNvPr id="123" name="TextBox 122">
            <a:extLst>
              <a:ext uri="{FF2B5EF4-FFF2-40B4-BE49-F238E27FC236}">
                <a16:creationId xmlns:a16="http://schemas.microsoft.com/office/drawing/2014/main" id="{F44C17D3-B618-5463-A44F-77D81522FBFA}"/>
              </a:ext>
            </a:extLst>
          </xdr:cNvPr>
          <xdr:cNvSpPr txBox="1"/>
        </xdr:nvSpPr>
        <xdr:spPr>
          <a:xfrm>
            <a:off x="5510352" y="765488"/>
            <a:ext cx="640080" cy="2177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CB249340-CF72-46C0-ADFD-DF79A290965B}" type="TxLink">
              <a:rPr lang="en-US" sz="1000" b="0" i="0" u="none" strike="noStrike">
                <a:solidFill>
                  <a:schemeClr val="tx1">
                    <a:lumMod val="75000"/>
                    <a:lumOff val="25000"/>
                  </a:schemeClr>
                </a:solidFill>
                <a:latin typeface="Arial"/>
                <a:ea typeface="+mn-ea"/>
                <a:cs typeface="Arial"/>
              </a:rPr>
              <a:pPr marL="0" indent="0" algn="r"/>
              <a:t>0,0K</a:t>
            </a:fld>
            <a:endParaRPr lang="en-US" sz="900" b="0" i="0" u="none" strike="noStrike">
              <a:solidFill>
                <a:schemeClr val="tx1">
                  <a:lumMod val="75000"/>
                  <a:lumOff val="25000"/>
                </a:schemeClr>
              </a:solidFill>
              <a:latin typeface="Avenir Next LT Pro Demi" panose="020B0704020202020204" pitchFamily="34" charset="0"/>
              <a:ea typeface="+mn-ea"/>
              <a:cs typeface="Arial"/>
            </a:endParaRPr>
          </a:p>
        </xdr:txBody>
      </xdr:sp>
      <xdr:sp macro="" textlink="PivotTables!BL7">
        <xdr:nvSpPr>
          <xdr:cNvPr id="124" name="TextBox 123">
            <a:extLst>
              <a:ext uri="{FF2B5EF4-FFF2-40B4-BE49-F238E27FC236}">
                <a16:creationId xmlns:a16="http://schemas.microsoft.com/office/drawing/2014/main" id="{B41BA5A1-7D8E-612D-3B79-66ADCB65F68A}"/>
              </a:ext>
            </a:extLst>
          </xdr:cNvPr>
          <xdr:cNvSpPr txBox="1"/>
        </xdr:nvSpPr>
        <xdr:spPr>
          <a:xfrm>
            <a:off x="3522916" y="1014952"/>
            <a:ext cx="1920240" cy="2177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31177A35-F12F-4324-98AB-402F33F7692B}" type="TxLink">
              <a:rPr lang="en-US" sz="800" b="0" i="0" u="none" strike="noStrike">
                <a:solidFill>
                  <a:schemeClr val="tx1">
                    <a:lumMod val="65000"/>
                    <a:lumOff val="35000"/>
                  </a:schemeClr>
                </a:solidFill>
                <a:latin typeface="Avenir Next LT Pro Demi" panose="020B0704020202020204" pitchFamily="34" charset="0"/>
                <a:ea typeface="+mn-ea"/>
                <a:cs typeface="Arial"/>
              </a:rPr>
              <a:pPr marL="0" indent="0" algn="l"/>
              <a:t>0</a:t>
            </a:fld>
            <a:endParaRPr lang="en-US" sz="600" b="0" i="0" u="none" strike="noStrike">
              <a:solidFill>
                <a:schemeClr val="tx1">
                  <a:lumMod val="65000"/>
                  <a:lumOff val="35000"/>
                </a:schemeClr>
              </a:solidFill>
              <a:latin typeface="Avenir Next LT Pro Demi" panose="020B0704020202020204" pitchFamily="34" charset="0"/>
              <a:ea typeface="+mn-ea"/>
              <a:cs typeface="Arial"/>
            </a:endParaRPr>
          </a:p>
        </xdr:txBody>
      </xdr:sp>
      <xdr:sp macro="" textlink="PivotTables!BM7">
        <xdr:nvSpPr>
          <xdr:cNvPr id="125" name="TextBox 124">
            <a:extLst>
              <a:ext uri="{FF2B5EF4-FFF2-40B4-BE49-F238E27FC236}">
                <a16:creationId xmlns:a16="http://schemas.microsoft.com/office/drawing/2014/main" id="{11D7AD5A-C44D-99CB-078E-1622A2657739}"/>
              </a:ext>
            </a:extLst>
          </xdr:cNvPr>
          <xdr:cNvSpPr txBox="1"/>
        </xdr:nvSpPr>
        <xdr:spPr>
          <a:xfrm>
            <a:off x="5510352" y="1014952"/>
            <a:ext cx="640080" cy="2177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4CBAB93C-68DE-4F56-ACC0-CE5E73B42E76}" type="TxLink">
              <a:rPr lang="en-US" sz="1000" b="0" i="0" u="none" strike="noStrike">
                <a:solidFill>
                  <a:schemeClr val="tx1">
                    <a:lumMod val="75000"/>
                    <a:lumOff val="25000"/>
                  </a:schemeClr>
                </a:solidFill>
                <a:latin typeface="Arial"/>
                <a:ea typeface="+mn-ea"/>
                <a:cs typeface="Arial"/>
              </a:rPr>
              <a:pPr marL="0" indent="0" algn="r"/>
              <a:t>0,0K</a:t>
            </a:fld>
            <a:endParaRPr lang="en-US" sz="900" b="0" i="0" u="none" strike="noStrike">
              <a:solidFill>
                <a:schemeClr val="tx1">
                  <a:lumMod val="75000"/>
                  <a:lumOff val="25000"/>
                </a:schemeClr>
              </a:solidFill>
              <a:latin typeface="Avenir Next LT Pro Demi" panose="020B0704020202020204" pitchFamily="34" charset="0"/>
              <a:ea typeface="+mn-ea"/>
              <a:cs typeface="Arial"/>
            </a:endParaRPr>
          </a:p>
        </xdr:txBody>
      </xdr:sp>
      <xdr:sp macro="" textlink="PivotTables!BL8">
        <xdr:nvSpPr>
          <xdr:cNvPr id="126" name="TextBox 125">
            <a:extLst>
              <a:ext uri="{FF2B5EF4-FFF2-40B4-BE49-F238E27FC236}">
                <a16:creationId xmlns:a16="http://schemas.microsoft.com/office/drawing/2014/main" id="{32FA986C-409E-822E-67BE-2F8B49EAFF92}"/>
              </a:ext>
            </a:extLst>
          </xdr:cNvPr>
          <xdr:cNvSpPr txBox="1"/>
        </xdr:nvSpPr>
        <xdr:spPr>
          <a:xfrm>
            <a:off x="3522916" y="1264416"/>
            <a:ext cx="1920240" cy="2177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AF52023B-8FA6-4DBD-AF60-775E268DEA92}" type="TxLink">
              <a:rPr lang="en-US" sz="800" b="0" i="0" u="none" strike="noStrike">
                <a:solidFill>
                  <a:schemeClr val="tx1">
                    <a:lumMod val="65000"/>
                    <a:lumOff val="35000"/>
                  </a:schemeClr>
                </a:solidFill>
                <a:latin typeface="Avenir Next LT Pro Demi" panose="020B0704020202020204" pitchFamily="34" charset="0"/>
                <a:ea typeface="+mn-ea"/>
                <a:cs typeface="Arial"/>
              </a:rPr>
              <a:pPr marL="0" indent="0" algn="l"/>
              <a:t>0</a:t>
            </a:fld>
            <a:endParaRPr lang="en-US" sz="600" b="0" i="0" u="none" strike="noStrike">
              <a:solidFill>
                <a:schemeClr val="tx1">
                  <a:lumMod val="65000"/>
                  <a:lumOff val="35000"/>
                </a:schemeClr>
              </a:solidFill>
              <a:latin typeface="Avenir Next LT Pro Demi" panose="020B0704020202020204" pitchFamily="34" charset="0"/>
              <a:ea typeface="+mn-ea"/>
              <a:cs typeface="Arial"/>
            </a:endParaRPr>
          </a:p>
        </xdr:txBody>
      </xdr:sp>
      <xdr:sp macro="" textlink="PivotTables!BM8">
        <xdr:nvSpPr>
          <xdr:cNvPr id="127" name="TextBox 126">
            <a:extLst>
              <a:ext uri="{FF2B5EF4-FFF2-40B4-BE49-F238E27FC236}">
                <a16:creationId xmlns:a16="http://schemas.microsoft.com/office/drawing/2014/main" id="{B65D8C91-863B-9D93-F8A4-567D0B3BD8B8}"/>
              </a:ext>
            </a:extLst>
          </xdr:cNvPr>
          <xdr:cNvSpPr txBox="1"/>
        </xdr:nvSpPr>
        <xdr:spPr>
          <a:xfrm>
            <a:off x="5510352" y="1264416"/>
            <a:ext cx="640080" cy="2177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B3FF2F77-9C0A-4FAA-84BD-860FC373C91A}" type="TxLink">
              <a:rPr lang="en-US" sz="1000" b="0" i="0" u="none" strike="noStrike">
                <a:solidFill>
                  <a:schemeClr val="tx1">
                    <a:lumMod val="75000"/>
                    <a:lumOff val="25000"/>
                  </a:schemeClr>
                </a:solidFill>
                <a:latin typeface="Arial"/>
                <a:ea typeface="+mn-ea"/>
                <a:cs typeface="Arial"/>
              </a:rPr>
              <a:pPr marL="0" indent="0" algn="r"/>
              <a:t>0,0K</a:t>
            </a:fld>
            <a:endParaRPr lang="en-US" sz="900" b="0" i="0" u="none" strike="noStrike">
              <a:solidFill>
                <a:schemeClr val="tx1">
                  <a:lumMod val="75000"/>
                  <a:lumOff val="25000"/>
                </a:schemeClr>
              </a:solidFill>
              <a:latin typeface="Avenir Next LT Pro Demi" panose="020B0704020202020204" pitchFamily="34" charset="0"/>
              <a:ea typeface="+mn-ea"/>
              <a:cs typeface="Arial"/>
            </a:endParaRPr>
          </a:p>
        </xdr:txBody>
      </xdr:sp>
      <xdr:sp macro="" textlink="PivotTables!BL9">
        <xdr:nvSpPr>
          <xdr:cNvPr id="128" name="TextBox 127">
            <a:extLst>
              <a:ext uri="{FF2B5EF4-FFF2-40B4-BE49-F238E27FC236}">
                <a16:creationId xmlns:a16="http://schemas.microsoft.com/office/drawing/2014/main" id="{D9B043F4-4F46-6337-24CB-4CCF8EBAA451}"/>
              </a:ext>
            </a:extLst>
          </xdr:cNvPr>
          <xdr:cNvSpPr txBox="1"/>
        </xdr:nvSpPr>
        <xdr:spPr>
          <a:xfrm>
            <a:off x="3522916" y="1513881"/>
            <a:ext cx="1920240" cy="2177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E1CBD2EB-0BD3-4DB8-9AC8-C2F8E9B8B9EA}" type="TxLink">
              <a:rPr lang="en-US" sz="800" b="0" i="0" u="none" strike="noStrike">
                <a:solidFill>
                  <a:schemeClr val="tx1">
                    <a:lumMod val="65000"/>
                    <a:lumOff val="35000"/>
                  </a:schemeClr>
                </a:solidFill>
                <a:latin typeface="Avenir Next LT Pro Demi" panose="020B0704020202020204" pitchFamily="34" charset="0"/>
                <a:ea typeface="+mn-ea"/>
                <a:cs typeface="Arial"/>
              </a:rPr>
              <a:pPr marL="0" indent="0" algn="l"/>
              <a:t>0</a:t>
            </a:fld>
            <a:endParaRPr lang="en-US" sz="600" b="0" i="0" u="none" strike="noStrike">
              <a:solidFill>
                <a:schemeClr val="tx1">
                  <a:lumMod val="65000"/>
                  <a:lumOff val="35000"/>
                </a:schemeClr>
              </a:solidFill>
              <a:latin typeface="Avenir Next LT Pro Demi" panose="020B0704020202020204" pitchFamily="34" charset="0"/>
              <a:ea typeface="+mn-ea"/>
              <a:cs typeface="Arial"/>
            </a:endParaRPr>
          </a:p>
        </xdr:txBody>
      </xdr:sp>
      <xdr:sp macro="" textlink="PivotTables!BM9">
        <xdr:nvSpPr>
          <xdr:cNvPr id="129" name="TextBox 128">
            <a:extLst>
              <a:ext uri="{FF2B5EF4-FFF2-40B4-BE49-F238E27FC236}">
                <a16:creationId xmlns:a16="http://schemas.microsoft.com/office/drawing/2014/main" id="{B31E9777-D66D-ABD3-3DCA-7E4063C92627}"/>
              </a:ext>
            </a:extLst>
          </xdr:cNvPr>
          <xdr:cNvSpPr txBox="1"/>
        </xdr:nvSpPr>
        <xdr:spPr>
          <a:xfrm>
            <a:off x="5510352" y="1513881"/>
            <a:ext cx="640080" cy="2177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AAB26711-E8B5-4C24-B770-007C8B54B588}" type="TxLink">
              <a:rPr lang="en-US" sz="1000" b="0" i="0" u="none" strike="noStrike">
                <a:solidFill>
                  <a:schemeClr val="tx1">
                    <a:lumMod val="75000"/>
                    <a:lumOff val="25000"/>
                  </a:schemeClr>
                </a:solidFill>
                <a:latin typeface="Arial"/>
                <a:ea typeface="+mn-ea"/>
                <a:cs typeface="Arial"/>
              </a:rPr>
              <a:pPr marL="0" indent="0" algn="r"/>
              <a:t>0,0K</a:t>
            </a:fld>
            <a:endParaRPr lang="en-US" sz="900" b="0" i="0" u="none" strike="noStrike">
              <a:solidFill>
                <a:schemeClr val="tx1">
                  <a:lumMod val="75000"/>
                  <a:lumOff val="25000"/>
                </a:schemeClr>
              </a:solidFill>
              <a:latin typeface="Avenir Next LT Pro Demi" panose="020B0704020202020204" pitchFamily="34" charset="0"/>
              <a:ea typeface="+mn-ea"/>
              <a:cs typeface="Arial"/>
            </a:endParaRPr>
          </a:p>
        </xdr:txBody>
      </xdr:sp>
      <xdr:sp macro="" textlink="PivotTables!BL10">
        <xdr:nvSpPr>
          <xdr:cNvPr id="130" name="TextBox 129">
            <a:extLst>
              <a:ext uri="{FF2B5EF4-FFF2-40B4-BE49-F238E27FC236}">
                <a16:creationId xmlns:a16="http://schemas.microsoft.com/office/drawing/2014/main" id="{78379538-3524-0BB5-2EDC-D7CF0E5CCDCB}"/>
              </a:ext>
            </a:extLst>
          </xdr:cNvPr>
          <xdr:cNvSpPr txBox="1"/>
        </xdr:nvSpPr>
        <xdr:spPr>
          <a:xfrm>
            <a:off x="3522916" y="1763346"/>
            <a:ext cx="1920240" cy="2177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D5DD86D2-A0E6-47F7-92FD-AD8B58775CC7}" type="TxLink">
              <a:rPr lang="en-US" sz="800" b="0" i="0" u="none" strike="noStrike">
                <a:solidFill>
                  <a:schemeClr val="tx1">
                    <a:lumMod val="65000"/>
                    <a:lumOff val="35000"/>
                  </a:schemeClr>
                </a:solidFill>
                <a:latin typeface="Avenir Next LT Pro Demi" panose="020B0704020202020204" pitchFamily="34" charset="0"/>
                <a:ea typeface="+mn-ea"/>
                <a:cs typeface="Arial"/>
              </a:rPr>
              <a:pPr marL="0" indent="0" algn="l"/>
              <a:t>0</a:t>
            </a:fld>
            <a:endParaRPr lang="en-US" sz="600" b="0" i="0" u="none" strike="noStrike">
              <a:solidFill>
                <a:schemeClr val="tx1">
                  <a:lumMod val="65000"/>
                  <a:lumOff val="35000"/>
                </a:schemeClr>
              </a:solidFill>
              <a:latin typeface="Avenir Next LT Pro Demi" panose="020B0704020202020204" pitchFamily="34" charset="0"/>
              <a:ea typeface="+mn-ea"/>
              <a:cs typeface="Arial"/>
            </a:endParaRPr>
          </a:p>
        </xdr:txBody>
      </xdr:sp>
      <xdr:sp macro="" textlink="PivotTables!BM10">
        <xdr:nvSpPr>
          <xdr:cNvPr id="131" name="TextBox 130">
            <a:extLst>
              <a:ext uri="{FF2B5EF4-FFF2-40B4-BE49-F238E27FC236}">
                <a16:creationId xmlns:a16="http://schemas.microsoft.com/office/drawing/2014/main" id="{F1F364AC-2EE0-1CA0-7DC5-05D983619ACD}"/>
              </a:ext>
            </a:extLst>
          </xdr:cNvPr>
          <xdr:cNvSpPr txBox="1"/>
        </xdr:nvSpPr>
        <xdr:spPr>
          <a:xfrm>
            <a:off x="5510352" y="1763346"/>
            <a:ext cx="640080" cy="21771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r"/>
            <a:fld id="{497A9595-FC51-4348-AB27-AD33A546E32F}" type="TxLink">
              <a:rPr lang="en-US" sz="1000" b="0" i="0" u="none" strike="noStrike">
                <a:solidFill>
                  <a:schemeClr val="tx1">
                    <a:lumMod val="75000"/>
                    <a:lumOff val="25000"/>
                  </a:schemeClr>
                </a:solidFill>
                <a:latin typeface="Arial"/>
                <a:ea typeface="+mn-ea"/>
                <a:cs typeface="Arial"/>
              </a:rPr>
              <a:pPr marL="0" indent="0" algn="r"/>
              <a:t>0,0K</a:t>
            </a:fld>
            <a:endParaRPr lang="en-US" sz="900" b="0" i="0" u="none" strike="noStrike">
              <a:solidFill>
                <a:schemeClr val="tx1">
                  <a:lumMod val="75000"/>
                  <a:lumOff val="25000"/>
                </a:schemeClr>
              </a:solidFill>
              <a:latin typeface="Avenir Next LT Pro Demi" panose="020B0704020202020204" pitchFamily="34" charset="0"/>
              <a:ea typeface="+mn-ea"/>
              <a:cs typeface="Arial"/>
            </a:endParaRPr>
          </a:p>
        </xdr:txBody>
      </xdr:sp>
    </xdr:grpSp>
    <xdr:clientData/>
  </xdr:twoCellAnchor>
  <xdr:twoCellAnchor editAs="absolute">
    <xdr:from>
      <xdr:col>5</xdr:col>
      <xdr:colOff>417286</xdr:colOff>
      <xdr:row>12</xdr:row>
      <xdr:rowOff>86856</xdr:rowOff>
    </xdr:from>
    <xdr:to>
      <xdr:col>15</xdr:col>
      <xdr:colOff>117248</xdr:colOff>
      <xdr:row>25</xdr:row>
      <xdr:rowOff>14285</xdr:rowOff>
    </xdr:to>
    <xdr:sp macro="" textlink="">
      <xdr:nvSpPr>
        <xdr:cNvPr id="132" name="Rectangle: Rounded Corners 131">
          <a:extLst>
            <a:ext uri="{FF2B5EF4-FFF2-40B4-BE49-F238E27FC236}">
              <a16:creationId xmlns:a16="http://schemas.microsoft.com/office/drawing/2014/main" id="{C2D4AD3E-E056-6BAD-C605-CFC7D6E830E8}"/>
            </a:ext>
          </a:extLst>
        </xdr:cNvPr>
        <xdr:cNvSpPr/>
      </xdr:nvSpPr>
      <xdr:spPr>
        <a:xfrm>
          <a:off x="3456215" y="2263999"/>
          <a:ext cx="5777819" cy="2286000"/>
        </a:xfrm>
        <a:prstGeom prst="roundRect">
          <a:avLst>
            <a:gd name="adj" fmla="val 6824"/>
          </a:avLst>
        </a:prstGeom>
        <a:solidFill>
          <a:schemeClr val="bg1"/>
        </a:solidFill>
        <a:ln>
          <a:noFill/>
        </a:ln>
        <a:effectLst>
          <a:outerShdw blurRad="279400" dist="50800" dir="2700000" algn="tl" rotWithShape="0">
            <a:prstClr val="black">
              <a:alpha val="12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lumMod val="65000"/>
                <a:lumOff val="35000"/>
              </a:schemeClr>
            </a:solidFill>
          </a:endParaRPr>
        </a:p>
      </xdr:txBody>
    </xdr:sp>
    <xdr:clientData/>
  </xdr:twoCellAnchor>
  <xdr:twoCellAnchor editAs="absolute">
    <xdr:from>
      <xdr:col>12</xdr:col>
      <xdr:colOff>117063</xdr:colOff>
      <xdr:row>12</xdr:row>
      <xdr:rowOff>127909</xdr:rowOff>
    </xdr:from>
    <xdr:to>
      <xdr:col>14</xdr:col>
      <xdr:colOff>426348</xdr:colOff>
      <xdr:row>15</xdr:row>
      <xdr:rowOff>72571</xdr:rowOff>
    </xdr:to>
    <xdr:sp macro="" textlink="">
      <xdr:nvSpPr>
        <xdr:cNvPr id="133" name="TextBox 132">
          <a:extLst>
            <a:ext uri="{FF2B5EF4-FFF2-40B4-BE49-F238E27FC236}">
              <a16:creationId xmlns:a16="http://schemas.microsoft.com/office/drawing/2014/main" id="{E44A3751-7045-D75F-F958-D079E82E16E6}"/>
            </a:ext>
          </a:extLst>
        </xdr:cNvPr>
        <xdr:cNvSpPr txBox="1"/>
      </xdr:nvSpPr>
      <xdr:spPr>
        <a:xfrm>
          <a:off x="7410492" y="2305052"/>
          <a:ext cx="1524856" cy="488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a:solidFill>
                <a:schemeClr val="tx1"/>
              </a:solidFill>
              <a:latin typeface="Avenir Next LT Pro Demi" panose="020B0704020202020204" pitchFamily="34" charset="0"/>
            </a:rPr>
            <a:t>Undilivered Order</a:t>
          </a:r>
        </a:p>
        <a:p>
          <a:pPr algn="l"/>
          <a:r>
            <a:rPr lang="en-US" sz="1100">
              <a:solidFill>
                <a:schemeClr val="tx1">
                  <a:lumMod val="65000"/>
                  <a:lumOff val="35000"/>
                </a:schemeClr>
              </a:solidFill>
              <a:latin typeface="Avenir Next LT Pro Demi" panose="020B0704020202020204" pitchFamily="34" charset="0"/>
            </a:rPr>
            <a:t>by Month</a:t>
          </a:r>
        </a:p>
      </xdr:txBody>
    </xdr:sp>
    <xdr:clientData/>
  </xdr:twoCellAnchor>
  <xdr:twoCellAnchor editAs="absolute">
    <xdr:from>
      <xdr:col>5</xdr:col>
      <xdr:colOff>453571</xdr:colOff>
      <xdr:row>12</xdr:row>
      <xdr:rowOff>117931</xdr:rowOff>
    </xdr:from>
    <xdr:to>
      <xdr:col>11</xdr:col>
      <xdr:colOff>553357</xdr:colOff>
      <xdr:row>24</xdr:row>
      <xdr:rowOff>80484</xdr:rowOff>
    </xdr:to>
    <xdr:grpSp>
      <xdr:nvGrpSpPr>
        <xdr:cNvPr id="115" name="Group 114">
          <a:extLst>
            <a:ext uri="{FF2B5EF4-FFF2-40B4-BE49-F238E27FC236}">
              <a16:creationId xmlns:a16="http://schemas.microsoft.com/office/drawing/2014/main" id="{A7321787-2E32-447D-B42B-84D0FD250766}"/>
            </a:ext>
          </a:extLst>
        </xdr:cNvPr>
        <xdr:cNvGrpSpPr/>
      </xdr:nvGrpSpPr>
      <xdr:grpSpPr>
        <a:xfrm>
          <a:off x="3492500" y="2295074"/>
          <a:ext cx="3746500" cy="2139696"/>
          <a:chOff x="63719075" y="3165475"/>
          <a:chExt cx="3746500" cy="2139696"/>
        </a:xfrm>
      </xdr:grpSpPr>
      <xdr:graphicFrame macro="">
        <xdr:nvGraphicFramePr>
          <xdr:cNvPr id="134" name="Chart 133">
            <a:extLst>
              <a:ext uri="{FF2B5EF4-FFF2-40B4-BE49-F238E27FC236}">
                <a16:creationId xmlns:a16="http://schemas.microsoft.com/office/drawing/2014/main" id="{3D5993E4-127F-146E-283B-820FFD29A1A8}"/>
              </a:ext>
            </a:extLst>
          </xdr:cNvPr>
          <xdr:cNvGraphicFramePr/>
        </xdr:nvGraphicFramePr>
        <xdr:xfrm>
          <a:off x="63719075" y="3165475"/>
          <a:ext cx="3746500" cy="2139696"/>
        </xdr:xfrm>
        <a:graphic>
          <a:graphicData uri="http://schemas.openxmlformats.org/drawingml/2006/chart">
            <c:chart xmlns:c="http://schemas.openxmlformats.org/drawingml/2006/chart" xmlns:r="http://schemas.openxmlformats.org/officeDocument/2006/relationships" r:id="rId20"/>
          </a:graphicData>
        </a:graphic>
      </xdr:graphicFrame>
      <xdr:cxnSp macro="">
        <xdr:nvCxnSpPr>
          <xdr:cNvPr id="135" name="Straight Connector 134">
            <a:extLst>
              <a:ext uri="{FF2B5EF4-FFF2-40B4-BE49-F238E27FC236}">
                <a16:creationId xmlns:a16="http://schemas.microsoft.com/office/drawing/2014/main" id="{7BE29E70-D943-6D24-1EF8-E4A1CABFF69E}"/>
              </a:ext>
            </a:extLst>
          </xdr:cNvPr>
          <xdr:cNvCxnSpPr/>
        </xdr:nvCxnSpPr>
        <xdr:spPr>
          <a:xfrm flipV="1">
            <a:off x="64052450" y="5041900"/>
            <a:ext cx="3295650" cy="6350"/>
          </a:xfrm>
          <a:prstGeom prst="line">
            <a:avLst/>
          </a:prstGeom>
          <a:ln w="9525">
            <a:solidFill>
              <a:schemeClr val="bg1">
                <a:lumMod val="85000"/>
              </a:schemeClr>
            </a:solidFill>
            <a:prstDash val="sysDot"/>
          </a:ln>
        </xdr:spPr>
        <xdr:style>
          <a:lnRef idx="1">
            <a:schemeClr val="accent1"/>
          </a:lnRef>
          <a:fillRef idx="0">
            <a:schemeClr val="accent1"/>
          </a:fillRef>
          <a:effectRef idx="0">
            <a:schemeClr val="accent1"/>
          </a:effectRef>
          <a:fontRef idx="minor">
            <a:schemeClr val="tx1"/>
          </a:fontRef>
        </xdr:style>
      </xdr:cxnSp>
    </xdr:grpSp>
    <xdr:clientData/>
  </xdr:twoCellAnchor>
  <xdr:twoCellAnchor editAs="absolute">
    <xdr:from>
      <xdr:col>8</xdr:col>
      <xdr:colOff>180559</xdr:colOff>
      <xdr:row>23</xdr:row>
      <xdr:rowOff>136981</xdr:rowOff>
    </xdr:from>
    <xdr:to>
      <xdr:col>9</xdr:col>
      <xdr:colOff>172358</xdr:colOff>
      <xdr:row>25</xdr:row>
      <xdr:rowOff>45358</xdr:rowOff>
    </xdr:to>
    <xdr:sp macro="" textlink="">
      <xdr:nvSpPr>
        <xdr:cNvPr id="136" name="TextBox 135">
          <a:extLst>
            <a:ext uri="{FF2B5EF4-FFF2-40B4-BE49-F238E27FC236}">
              <a16:creationId xmlns:a16="http://schemas.microsoft.com/office/drawing/2014/main" id="{F8AFD908-2E4C-843E-F83D-D19843DA7A3E}"/>
            </a:ext>
          </a:extLst>
        </xdr:cNvPr>
        <xdr:cNvSpPr txBox="1"/>
      </xdr:nvSpPr>
      <xdr:spPr>
        <a:xfrm>
          <a:off x="5042845" y="4309838"/>
          <a:ext cx="599584" cy="2712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900">
              <a:solidFill>
                <a:schemeClr val="tx1">
                  <a:lumMod val="65000"/>
                  <a:lumOff val="35000"/>
                </a:schemeClr>
              </a:solidFill>
              <a:latin typeface="Arial" panose="020B0604020202020204" pitchFamily="34" charset="0"/>
              <a:cs typeface="Arial" panose="020B0604020202020204" pitchFamily="34" charset="0"/>
            </a:rPr>
            <a:t>Month</a:t>
          </a:r>
          <a:endParaRPr lang="en-US" sz="1000">
            <a:solidFill>
              <a:schemeClr val="tx1">
                <a:lumMod val="65000"/>
                <a:lumOff val="35000"/>
              </a:schemeClr>
            </a:solidFill>
            <a:latin typeface="Arial" panose="020B0604020202020204" pitchFamily="34" charset="0"/>
            <a:cs typeface="Arial" panose="020B0604020202020204" pitchFamily="34" charset="0"/>
          </a:endParaRPr>
        </a:p>
      </xdr:txBody>
    </xdr:sp>
    <xdr:clientData/>
  </xdr:twoCellAnchor>
  <xdr:twoCellAnchor editAs="absolute">
    <xdr:from>
      <xdr:col>12</xdr:col>
      <xdr:colOff>181430</xdr:colOff>
      <xdr:row>16</xdr:row>
      <xdr:rowOff>34105</xdr:rowOff>
    </xdr:from>
    <xdr:to>
      <xdr:col>15</xdr:col>
      <xdr:colOff>90032</xdr:colOff>
      <xdr:row>19</xdr:row>
      <xdr:rowOff>38459</xdr:rowOff>
    </xdr:to>
    <xdr:grpSp>
      <xdr:nvGrpSpPr>
        <xdr:cNvPr id="32" name="Group 31">
          <a:extLst>
            <a:ext uri="{FF2B5EF4-FFF2-40B4-BE49-F238E27FC236}">
              <a16:creationId xmlns:a16="http://schemas.microsoft.com/office/drawing/2014/main" id="{27BA8736-3C52-E8DC-3184-A35D764592B4}"/>
            </a:ext>
          </a:extLst>
        </xdr:cNvPr>
        <xdr:cNvGrpSpPr/>
      </xdr:nvGrpSpPr>
      <xdr:grpSpPr>
        <a:xfrm>
          <a:off x="7474859" y="2936962"/>
          <a:ext cx="1731959" cy="548640"/>
          <a:chOff x="7520216" y="2948434"/>
          <a:chExt cx="1731959" cy="548640"/>
        </a:xfrm>
      </xdr:grpSpPr>
      <xdr:sp macro="" textlink="">
        <xdr:nvSpPr>
          <xdr:cNvPr id="17" name="Rectangle: Top Corners Rounded 16">
            <a:extLst>
              <a:ext uri="{FF2B5EF4-FFF2-40B4-BE49-F238E27FC236}">
                <a16:creationId xmlns:a16="http://schemas.microsoft.com/office/drawing/2014/main" id="{CDD81F31-5623-0436-516C-724C0AEDB210}"/>
              </a:ext>
            </a:extLst>
          </xdr:cNvPr>
          <xdr:cNvSpPr/>
        </xdr:nvSpPr>
        <xdr:spPr>
          <a:xfrm rot="16200000">
            <a:off x="8123124" y="2355801"/>
            <a:ext cx="526143" cy="1731959"/>
          </a:xfrm>
          <a:prstGeom prst="round2SameRect">
            <a:avLst/>
          </a:prstGeom>
          <a:solidFill>
            <a:srgbClr val="A13F9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sp macro="" textlink="PivotTables!BZ5">
        <xdr:nvSpPr>
          <xdr:cNvPr id="137" name="TextBox 136">
            <a:extLst>
              <a:ext uri="{FF2B5EF4-FFF2-40B4-BE49-F238E27FC236}">
                <a16:creationId xmlns:a16="http://schemas.microsoft.com/office/drawing/2014/main" id="{AA45374A-92A3-635F-21BF-B3EA5EE2D2D2}"/>
              </a:ext>
            </a:extLst>
          </xdr:cNvPr>
          <xdr:cNvSpPr txBox="1"/>
        </xdr:nvSpPr>
        <xdr:spPr>
          <a:xfrm>
            <a:off x="8271595" y="2977306"/>
            <a:ext cx="980580" cy="48894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462A63D8-2076-4DC8-B9A9-A679B8FEF9C7}" type="TxLink">
              <a:rPr lang="en-US" sz="2000" b="1" i="0" u="none" strike="noStrike">
                <a:solidFill>
                  <a:schemeClr val="bg1"/>
                </a:solidFill>
                <a:latin typeface="Avenir Next LT Pro Demi" panose="020B0704020202020204" pitchFamily="34" charset="0"/>
                <a:cs typeface="Arial"/>
              </a:rPr>
              <a:pPr algn="ctr"/>
              <a:t>#DIV/0!</a:t>
            </a:fld>
            <a:endParaRPr lang="en-US" sz="2800" b="1">
              <a:solidFill>
                <a:schemeClr val="bg1"/>
              </a:solidFill>
              <a:latin typeface="Avenir Next LT Pro Demi" panose="020B0704020202020204" pitchFamily="34" charset="0"/>
            </a:endParaRPr>
          </a:p>
        </xdr:txBody>
      </xdr:sp>
      <xdr:sp macro="" textlink="">
        <xdr:nvSpPr>
          <xdr:cNvPr id="141" name="TextBox 140">
            <a:extLst>
              <a:ext uri="{FF2B5EF4-FFF2-40B4-BE49-F238E27FC236}">
                <a16:creationId xmlns:a16="http://schemas.microsoft.com/office/drawing/2014/main" id="{8BF8D161-776F-FA9D-902B-B83470907C3C}"/>
              </a:ext>
            </a:extLst>
          </xdr:cNvPr>
          <xdr:cNvSpPr txBox="1"/>
        </xdr:nvSpPr>
        <xdr:spPr>
          <a:xfrm>
            <a:off x="7565571" y="2948434"/>
            <a:ext cx="1252722" cy="54864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900">
                <a:solidFill>
                  <a:schemeClr val="bg1"/>
                </a:solidFill>
                <a:latin typeface="Arial" panose="020B0604020202020204" pitchFamily="34" charset="0"/>
                <a:cs typeface="Arial" panose="020B0604020202020204" pitchFamily="34" charset="0"/>
              </a:rPr>
              <a:t>Average</a:t>
            </a:r>
          </a:p>
          <a:p>
            <a:pPr algn="l"/>
            <a:r>
              <a:rPr lang="en-US" sz="900">
                <a:solidFill>
                  <a:schemeClr val="bg1"/>
                </a:solidFill>
                <a:latin typeface="Arial" panose="020B0604020202020204" pitchFamily="34" charset="0"/>
                <a:cs typeface="Arial" panose="020B0604020202020204" pitchFamily="34" charset="0"/>
              </a:rPr>
              <a:t>Orders</a:t>
            </a:r>
            <a:endParaRPr lang="en-US" sz="900" baseline="0">
              <a:solidFill>
                <a:schemeClr val="bg1"/>
              </a:solidFill>
              <a:latin typeface="Arial" panose="020B0604020202020204" pitchFamily="34" charset="0"/>
              <a:cs typeface="Arial" panose="020B0604020202020204" pitchFamily="34" charset="0"/>
            </a:endParaRPr>
          </a:p>
          <a:p>
            <a:pPr algn="l"/>
            <a:r>
              <a:rPr lang="en-US" sz="900" baseline="0">
                <a:solidFill>
                  <a:schemeClr val="bg1"/>
                </a:solidFill>
                <a:latin typeface="Arial" panose="020B0604020202020204" pitchFamily="34" charset="0"/>
                <a:cs typeface="Arial" panose="020B0604020202020204" pitchFamily="34" charset="0"/>
              </a:rPr>
              <a:t>Undilivered</a:t>
            </a:r>
            <a:endParaRPr lang="en-US" sz="900">
              <a:solidFill>
                <a:schemeClr val="bg1"/>
              </a:solidFill>
              <a:latin typeface="Arial" panose="020B0604020202020204" pitchFamily="34" charset="0"/>
              <a:cs typeface="Arial" panose="020B0604020202020204" pitchFamily="34" charset="0"/>
            </a:endParaRPr>
          </a:p>
        </xdr:txBody>
      </xdr:sp>
    </xdr:grpSp>
    <xdr:clientData/>
  </xdr:twoCellAnchor>
  <xdr:twoCellAnchor editAs="absolute">
    <xdr:from>
      <xdr:col>12</xdr:col>
      <xdr:colOff>163284</xdr:colOff>
      <xdr:row>19</xdr:row>
      <xdr:rowOff>163279</xdr:rowOff>
    </xdr:from>
    <xdr:to>
      <xdr:col>15</xdr:col>
      <xdr:colOff>51960</xdr:colOff>
      <xdr:row>23</xdr:row>
      <xdr:rowOff>181426</xdr:rowOff>
    </xdr:to>
    <xdr:grpSp>
      <xdr:nvGrpSpPr>
        <xdr:cNvPr id="38" name="Group 37">
          <a:extLst>
            <a:ext uri="{FF2B5EF4-FFF2-40B4-BE49-F238E27FC236}">
              <a16:creationId xmlns:a16="http://schemas.microsoft.com/office/drawing/2014/main" id="{F848AB9F-08CC-3884-FA6A-F0B62D908E94}"/>
            </a:ext>
          </a:extLst>
        </xdr:cNvPr>
        <xdr:cNvGrpSpPr/>
      </xdr:nvGrpSpPr>
      <xdr:grpSpPr>
        <a:xfrm>
          <a:off x="7456713" y="3610422"/>
          <a:ext cx="1712033" cy="743861"/>
          <a:chOff x="7502070" y="3592279"/>
          <a:chExt cx="1712033" cy="743861"/>
        </a:xfrm>
      </xdr:grpSpPr>
      <xdr:sp macro="" textlink="PivotTables!BZ7">
        <xdr:nvSpPr>
          <xdr:cNvPr id="142" name="TextBox 141">
            <a:extLst>
              <a:ext uri="{FF2B5EF4-FFF2-40B4-BE49-F238E27FC236}">
                <a16:creationId xmlns:a16="http://schemas.microsoft.com/office/drawing/2014/main" id="{19630DD6-B49B-499F-ABD1-DA11AC240DB3}"/>
              </a:ext>
            </a:extLst>
          </xdr:cNvPr>
          <xdr:cNvSpPr txBox="1"/>
        </xdr:nvSpPr>
        <xdr:spPr>
          <a:xfrm>
            <a:off x="7502071" y="4063998"/>
            <a:ext cx="807357" cy="2721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CCABD71-0C7B-4C2D-B11A-04CB18639EAD}" type="TxLink">
              <a:rPr lang="en-US" sz="1400" b="1" i="0" u="none" strike="noStrike">
                <a:solidFill>
                  <a:srgbClr val="000000"/>
                </a:solidFill>
                <a:latin typeface="Avenir Next LT Pro Demi" panose="020B0704020202020204" pitchFamily="34" charset="0"/>
                <a:cs typeface="Arial"/>
              </a:rPr>
              <a:pPr algn="ctr"/>
              <a:t>0</a:t>
            </a:fld>
            <a:endParaRPr lang="en-US" sz="3200" b="1">
              <a:solidFill>
                <a:srgbClr val="362F48"/>
              </a:solidFill>
              <a:latin typeface="Avenir Next LT Pro Demi" panose="020B0704020202020204" pitchFamily="34" charset="0"/>
            </a:endParaRPr>
          </a:p>
        </xdr:txBody>
      </xdr:sp>
      <xdr:sp macro="" textlink="">
        <xdr:nvSpPr>
          <xdr:cNvPr id="146" name="TextBox 145">
            <a:extLst>
              <a:ext uri="{FF2B5EF4-FFF2-40B4-BE49-F238E27FC236}">
                <a16:creationId xmlns:a16="http://schemas.microsoft.com/office/drawing/2014/main" id="{8526C212-44F5-D724-F651-35E157E8A4C9}"/>
              </a:ext>
            </a:extLst>
          </xdr:cNvPr>
          <xdr:cNvSpPr txBox="1"/>
        </xdr:nvSpPr>
        <xdr:spPr>
          <a:xfrm>
            <a:off x="7502070" y="3592279"/>
            <a:ext cx="832104" cy="4898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b="1" i="0" u="none" strike="noStrike">
                <a:solidFill>
                  <a:schemeClr val="tx1"/>
                </a:solidFill>
                <a:latin typeface="Arial" panose="020B0604020202020204" pitchFamily="34" charset="0"/>
                <a:cs typeface="Arial" panose="020B0604020202020204" pitchFamily="34" charset="0"/>
              </a:rPr>
              <a:t>Minimum</a:t>
            </a:r>
          </a:p>
          <a:p>
            <a:pPr algn="ctr"/>
            <a:r>
              <a:rPr lang="en-US" sz="900" b="0" i="0" u="none" strike="noStrike">
                <a:solidFill>
                  <a:schemeClr val="tx1"/>
                </a:solidFill>
                <a:latin typeface="Arial" panose="020B0604020202020204" pitchFamily="34" charset="0"/>
                <a:cs typeface="Arial" panose="020B0604020202020204" pitchFamily="34" charset="0"/>
              </a:rPr>
              <a:t>Orders</a:t>
            </a:r>
          </a:p>
        </xdr:txBody>
      </xdr:sp>
      <xdr:sp macro="" textlink="PivotTables!BZ6">
        <xdr:nvSpPr>
          <xdr:cNvPr id="143" name="TextBox 142">
            <a:extLst>
              <a:ext uri="{FF2B5EF4-FFF2-40B4-BE49-F238E27FC236}">
                <a16:creationId xmlns:a16="http://schemas.microsoft.com/office/drawing/2014/main" id="{7225752C-64F6-83AC-C403-4D1FDD17057B}"/>
              </a:ext>
            </a:extLst>
          </xdr:cNvPr>
          <xdr:cNvSpPr txBox="1"/>
        </xdr:nvSpPr>
        <xdr:spPr>
          <a:xfrm>
            <a:off x="8382000" y="4063998"/>
            <a:ext cx="807357" cy="27214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F90DF441-0674-45D2-902D-7B91C77FB97D}" type="TxLink">
              <a:rPr lang="en-US" sz="1400" b="1" i="0" u="none" strike="noStrike">
                <a:solidFill>
                  <a:srgbClr val="000000"/>
                </a:solidFill>
                <a:latin typeface="Avenir Next LT Pro Demi" panose="020B0704020202020204" pitchFamily="34" charset="0"/>
                <a:ea typeface="+mn-ea"/>
                <a:cs typeface="Arial"/>
              </a:rPr>
              <a:pPr marL="0" indent="0" algn="ctr"/>
              <a:t>0</a:t>
            </a:fld>
            <a:endParaRPr lang="en-US" sz="1400" b="1" i="0" u="none" strike="noStrike">
              <a:solidFill>
                <a:srgbClr val="000000"/>
              </a:solidFill>
              <a:latin typeface="Avenir Next LT Pro Demi" panose="020B0704020202020204" pitchFamily="34" charset="0"/>
              <a:ea typeface="+mn-ea"/>
              <a:cs typeface="Arial"/>
            </a:endParaRPr>
          </a:p>
        </xdr:txBody>
      </xdr:sp>
      <xdr:sp macro="" textlink="">
        <xdr:nvSpPr>
          <xdr:cNvPr id="147" name="TextBox 146">
            <a:extLst>
              <a:ext uri="{FF2B5EF4-FFF2-40B4-BE49-F238E27FC236}">
                <a16:creationId xmlns:a16="http://schemas.microsoft.com/office/drawing/2014/main" id="{254FD2A0-56BD-43F5-634C-34D37303E4BA}"/>
              </a:ext>
            </a:extLst>
          </xdr:cNvPr>
          <xdr:cNvSpPr txBox="1"/>
        </xdr:nvSpPr>
        <xdr:spPr>
          <a:xfrm>
            <a:off x="8381999" y="3592279"/>
            <a:ext cx="832104" cy="48985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100" b="1" i="0" u="none" strike="noStrike">
                <a:solidFill>
                  <a:schemeClr val="tx1"/>
                </a:solidFill>
                <a:latin typeface="Arial" panose="020B0604020202020204" pitchFamily="34" charset="0"/>
                <a:ea typeface="+mn-ea"/>
                <a:cs typeface="Arial" panose="020B0604020202020204" pitchFamily="34" charset="0"/>
              </a:rPr>
              <a:t>Maximum</a:t>
            </a:r>
          </a:p>
          <a:p>
            <a:pPr marL="0" indent="0" algn="ctr"/>
            <a:r>
              <a:rPr lang="en-US" sz="900" b="0" i="0" u="none" strike="noStrike">
                <a:solidFill>
                  <a:schemeClr val="bg2">
                    <a:lumMod val="25000"/>
                  </a:schemeClr>
                </a:solidFill>
                <a:latin typeface="Arial" panose="020B0604020202020204" pitchFamily="34" charset="0"/>
                <a:ea typeface="+mn-ea"/>
                <a:cs typeface="Arial" panose="020B0604020202020204" pitchFamily="34" charset="0"/>
              </a:rPr>
              <a:t>Orders</a:t>
            </a:r>
          </a:p>
        </xdr:txBody>
      </xdr:sp>
      <xdr:pic>
        <xdr:nvPicPr>
          <xdr:cNvPr id="35" name="Picture 34">
            <a:extLst>
              <a:ext uri="{FF2B5EF4-FFF2-40B4-BE49-F238E27FC236}">
                <a16:creationId xmlns:a16="http://schemas.microsoft.com/office/drawing/2014/main" id="{F18B0E1F-49A6-9E25-36AB-65444C3C1DE8}"/>
              </a:ext>
            </a:extLst>
          </xdr:cNvPr>
          <xdr:cNvPicPr>
            <a:picLocks noChangeAspect="1"/>
          </xdr:cNvPicPr>
        </xdr:nvPicPr>
        <xdr:blipFill>
          <a:blip xmlns:r="http://schemas.openxmlformats.org/officeDocument/2006/relationships" r:embed="rId21" cstate="print">
            <a:extLst>
              <a:ext uri="{28A0092B-C50C-407E-A947-70E740481C1C}">
                <a14:useLocalDpi xmlns:a14="http://schemas.microsoft.com/office/drawing/2010/main" val="0"/>
              </a:ext>
              <a:ext uri="{837473B0-CC2E-450A-ABE3-18F120FF3D39}">
                <a1611:picAttrSrcUrl xmlns:a1611="http://schemas.microsoft.com/office/drawing/2016/11/main" r:id="rId22"/>
              </a:ext>
            </a:extLst>
          </a:blip>
          <a:stretch>
            <a:fillRect/>
          </a:stretch>
        </xdr:blipFill>
        <xdr:spPr>
          <a:xfrm>
            <a:off x="8208408" y="3835546"/>
            <a:ext cx="299357" cy="257327"/>
          </a:xfrm>
          <a:prstGeom prst="rect">
            <a:avLst/>
          </a:prstGeom>
        </xdr:spPr>
      </xdr:pic>
    </xdr:grpSp>
    <xdr:clientData/>
  </xdr:twoCellAnchor>
  <xdr:twoCellAnchor editAs="absolute">
    <xdr:from>
      <xdr:col>5</xdr:col>
      <xdr:colOff>417283</xdr:colOff>
      <xdr:row>25</xdr:row>
      <xdr:rowOff>123143</xdr:rowOff>
    </xdr:from>
    <xdr:to>
      <xdr:col>11</xdr:col>
      <xdr:colOff>353784</xdr:colOff>
      <xdr:row>38</xdr:row>
      <xdr:rowOff>50571</xdr:rowOff>
    </xdr:to>
    <xdr:sp macro="" textlink="">
      <xdr:nvSpPr>
        <xdr:cNvPr id="138" name="Rectangle: Rounded Corners 137">
          <a:extLst>
            <a:ext uri="{FF2B5EF4-FFF2-40B4-BE49-F238E27FC236}">
              <a16:creationId xmlns:a16="http://schemas.microsoft.com/office/drawing/2014/main" id="{211C47AF-3419-7CB7-08FA-520973AE01EA}"/>
            </a:ext>
          </a:extLst>
        </xdr:cNvPr>
        <xdr:cNvSpPr/>
      </xdr:nvSpPr>
      <xdr:spPr>
        <a:xfrm>
          <a:off x="3456212" y="4658857"/>
          <a:ext cx="3583215" cy="2286000"/>
        </a:xfrm>
        <a:prstGeom prst="roundRect">
          <a:avLst>
            <a:gd name="adj" fmla="val 6824"/>
          </a:avLst>
        </a:prstGeom>
        <a:solidFill>
          <a:schemeClr val="bg1"/>
        </a:solidFill>
        <a:ln>
          <a:noFill/>
        </a:ln>
        <a:effectLst>
          <a:outerShdw blurRad="279400" dist="50800" dir="2700000" algn="tl" rotWithShape="0">
            <a:prstClr val="black">
              <a:alpha val="12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lumMod val="65000"/>
                <a:lumOff val="35000"/>
              </a:schemeClr>
            </a:solidFill>
          </a:endParaRPr>
        </a:p>
      </xdr:txBody>
    </xdr:sp>
    <xdr:clientData/>
  </xdr:twoCellAnchor>
  <xdr:twoCellAnchor editAs="absolute">
    <xdr:from>
      <xdr:col>5</xdr:col>
      <xdr:colOff>425500</xdr:colOff>
      <xdr:row>25</xdr:row>
      <xdr:rowOff>155123</xdr:rowOff>
    </xdr:from>
    <xdr:to>
      <xdr:col>7</xdr:col>
      <xdr:colOff>371929</xdr:colOff>
      <xdr:row>28</xdr:row>
      <xdr:rowOff>54430</xdr:rowOff>
    </xdr:to>
    <xdr:sp macro="" textlink="">
      <xdr:nvSpPr>
        <xdr:cNvPr id="139" name="TextBox 138">
          <a:extLst>
            <a:ext uri="{FF2B5EF4-FFF2-40B4-BE49-F238E27FC236}">
              <a16:creationId xmlns:a16="http://schemas.microsoft.com/office/drawing/2014/main" id="{847385C0-C7D4-F254-B858-AEB43FE64E00}"/>
            </a:ext>
          </a:extLst>
        </xdr:cNvPr>
        <xdr:cNvSpPr txBox="1"/>
      </xdr:nvSpPr>
      <xdr:spPr>
        <a:xfrm>
          <a:off x="3464429" y="4690837"/>
          <a:ext cx="1162000" cy="4435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a:solidFill>
                <a:schemeClr val="tx1"/>
              </a:solidFill>
              <a:latin typeface="Avenir Next LT Pro Demi" panose="020B0704020202020204" pitchFamily="34" charset="0"/>
            </a:rPr>
            <a:t>Total Sales</a:t>
          </a:r>
        </a:p>
        <a:p>
          <a:pPr algn="l"/>
          <a:r>
            <a:rPr lang="en-US" sz="1000">
              <a:solidFill>
                <a:schemeClr val="tx1">
                  <a:lumMod val="65000"/>
                  <a:lumOff val="35000"/>
                </a:schemeClr>
              </a:solidFill>
              <a:latin typeface="Avenir Next LT Pro Demi" panose="020B0704020202020204" pitchFamily="34" charset="0"/>
            </a:rPr>
            <a:t>by Sales Team</a:t>
          </a:r>
          <a:endParaRPr lang="en-US" sz="1100">
            <a:solidFill>
              <a:schemeClr val="tx1">
                <a:lumMod val="65000"/>
                <a:lumOff val="35000"/>
              </a:schemeClr>
            </a:solidFill>
            <a:latin typeface="Avenir Next LT Pro Demi" panose="020B0704020202020204" pitchFamily="34" charset="0"/>
          </a:endParaRPr>
        </a:p>
      </xdr:txBody>
    </xdr:sp>
    <xdr:clientData/>
  </xdr:twoCellAnchor>
  <xdr:twoCellAnchor editAs="absolute">
    <xdr:from>
      <xdr:col>5</xdr:col>
      <xdr:colOff>417284</xdr:colOff>
      <xdr:row>28</xdr:row>
      <xdr:rowOff>108857</xdr:rowOff>
    </xdr:from>
    <xdr:to>
      <xdr:col>11</xdr:col>
      <xdr:colOff>9071</xdr:colOff>
      <xdr:row>38</xdr:row>
      <xdr:rowOff>108857</xdr:rowOff>
    </xdr:to>
    <xdr:graphicFrame macro="">
      <xdr:nvGraphicFramePr>
        <xdr:cNvPr id="140" name="Chart 139">
          <a:extLst>
            <a:ext uri="{FF2B5EF4-FFF2-40B4-BE49-F238E27FC236}">
              <a16:creationId xmlns:a16="http://schemas.microsoft.com/office/drawing/2014/main" id="{AA95FCEE-4C47-4AFB-AB52-7682DE93F8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3"/>
        </a:graphicData>
      </a:graphic>
    </xdr:graphicFrame>
    <xdr:clientData/>
  </xdr:twoCellAnchor>
  <xdr:twoCellAnchor editAs="absolute">
    <xdr:from>
      <xdr:col>9</xdr:col>
      <xdr:colOff>99789</xdr:colOff>
      <xdr:row>25</xdr:row>
      <xdr:rowOff>155123</xdr:rowOff>
    </xdr:from>
    <xdr:to>
      <xdr:col>11</xdr:col>
      <xdr:colOff>199573</xdr:colOff>
      <xdr:row>29</xdr:row>
      <xdr:rowOff>127000</xdr:rowOff>
    </xdr:to>
    <xdr:grpSp>
      <xdr:nvGrpSpPr>
        <xdr:cNvPr id="42" name="Group 41">
          <a:extLst>
            <a:ext uri="{FF2B5EF4-FFF2-40B4-BE49-F238E27FC236}">
              <a16:creationId xmlns:a16="http://schemas.microsoft.com/office/drawing/2014/main" id="{B75DD3D3-BC12-6EDA-F310-BB0D86FB7455}"/>
            </a:ext>
          </a:extLst>
        </xdr:cNvPr>
        <xdr:cNvGrpSpPr/>
      </xdr:nvGrpSpPr>
      <xdr:grpSpPr>
        <a:xfrm>
          <a:off x="5569860" y="4690837"/>
          <a:ext cx="1315356" cy="697592"/>
          <a:chOff x="5161649" y="4672694"/>
          <a:chExt cx="1315356" cy="697592"/>
        </a:xfrm>
      </xdr:grpSpPr>
      <xdr:sp macro="" textlink="PivotTables!CK6">
        <xdr:nvSpPr>
          <xdr:cNvPr id="144" name="TextBox 143">
            <a:extLst>
              <a:ext uri="{FF2B5EF4-FFF2-40B4-BE49-F238E27FC236}">
                <a16:creationId xmlns:a16="http://schemas.microsoft.com/office/drawing/2014/main" id="{C25F818D-5485-FACC-63A4-D6AC5C5A806C}"/>
              </a:ext>
            </a:extLst>
          </xdr:cNvPr>
          <xdr:cNvSpPr txBox="1"/>
        </xdr:nvSpPr>
        <xdr:spPr>
          <a:xfrm>
            <a:off x="5315005" y="4672694"/>
            <a:ext cx="1162000" cy="2712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AF4F79D9-6BC1-4D57-A1A9-FA5382BCC735}" type="TxLink">
              <a:rPr lang="en-US" sz="1100" b="0" i="0" u="none" strike="noStrike">
                <a:solidFill>
                  <a:srgbClr val="000000"/>
                </a:solidFill>
                <a:latin typeface="Avenir Next LT Pro Demi" panose="020B0704020202020204" pitchFamily="34" charset="0"/>
                <a:cs typeface="Arial"/>
              </a:rPr>
              <a:pPr algn="ctr"/>
              <a:t>David</a:t>
            </a:fld>
            <a:endParaRPr lang="en-US" sz="1400" b="0">
              <a:solidFill>
                <a:schemeClr val="tx1">
                  <a:lumMod val="65000"/>
                  <a:lumOff val="35000"/>
                </a:schemeClr>
              </a:solidFill>
              <a:latin typeface="Avenir Next LT Pro Demi" panose="020B0704020202020204" pitchFamily="34" charset="0"/>
            </a:endParaRPr>
          </a:p>
        </xdr:txBody>
      </xdr:sp>
      <xdr:sp macro="" textlink="PivotTables!CL6">
        <xdr:nvSpPr>
          <xdr:cNvPr id="145" name="TextBox 144">
            <a:extLst>
              <a:ext uri="{FF2B5EF4-FFF2-40B4-BE49-F238E27FC236}">
                <a16:creationId xmlns:a16="http://schemas.microsoft.com/office/drawing/2014/main" id="{E2436FD6-96DA-2F1C-0050-16CFEEB3D012}"/>
              </a:ext>
            </a:extLst>
          </xdr:cNvPr>
          <xdr:cNvSpPr txBox="1"/>
        </xdr:nvSpPr>
        <xdr:spPr>
          <a:xfrm>
            <a:off x="5315005" y="4885872"/>
            <a:ext cx="1162000" cy="2712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914B572F-3062-4F03-8D6B-E98607C3AFC1}" type="TxLink">
              <a:rPr lang="en-US" sz="1600" b="0" i="0" u="none" strike="noStrike">
                <a:solidFill>
                  <a:srgbClr val="000000"/>
                </a:solidFill>
                <a:latin typeface="Avenir Next LT Pro Demi" panose="020B0704020202020204" pitchFamily="34" charset="0"/>
                <a:cs typeface="Arial"/>
              </a:rPr>
              <a:pPr algn="ctr"/>
              <a:t>36,5M</a:t>
            </a:fld>
            <a:endParaRPr lang="en-US" sz="2000" b="0">
              <a:solidFill>
                <a:schemeClr val="tx1">
                  <a:lumMod val="65000"/>
                  <a:lumOff val="35000"/>
                </a:schemeClr>
              </a:solidFill>
              <a:latin typeface="Avenir Next LT Pro Demi" panose="020B0704020202020204" pitchFamily="34" charset="0"/>
            </a:endParaRPr>
          </a:p>
        </xdr:txBody>
      </xdr:sp>
      <xdr:sp macro="" textlink="">
        <xdr:nvSpPr>
          <xdr:cNvPr id="149" name="TextBox 148">
            <a:extLst>
              <a:ext uri="{FF2B5EF4-FFF2-40B4-BE49-F238E27FC236}">
                <a16:creationId xmlns:a16="http://schemas.microsoft.com/office/drawing/2014/main" id="{817DBF0B-6DD8-4B40-B2D1-FA36556459F6}"/>
              </a:ext>
            </a:extLst>
          </xdr:cNvPr>
          <xdr:cNvSpPr txBox="1"/>
        </xdr:nvSpPr>
        <xdr:spPr>
          <a:xfrm>
            <a:off x="5315005" y="5099051"/>
            <a:ext cx="1162000" cy="2712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700" b="0" i="0" u="none" strike="noStrike">
                <a:solidFill>
                  <a:schemeClr val="tx1">
                    <a:lumMod val="75000"/>
                    <a:lumOff val="25000"/>
                  </a:schemeClr>
                </a:solidFill>
                <a:latin typeface="Arial" panose="020B0604020202020204" pitchFamily="34" charset="0"/>
                <a:cs typeface="Arial" panose="020B0604020202020204" pitchFamily="34" charset="0"/>
              </a:rPr>
              <a:t>Top</a:t>
            </a:r>
            <a:r>
              <a:rPr lang="en-US" sz="700" b="0" i="0" u="none" strike="noStrike" baseline="0">
                <a:solidFill>
                  <a:schemeClr val="tx1">
                    <a:lumMod val="75000"/>
                    <a:lumOff val="25000"/>
                  </a:schemeClr>
                </a:solidFill>
                <a:latin typeface="Arial" panose="020B0604020202020204" pitchFamily="34" charset="0"/>
                <a:cs typeface="Arial" panose="020B0604020202020204" pitchFamily="34" charset="0"/>
              </a:rPr>
              <a:t> selling sales team</a:t>
            </a:r>
            <a:endParaRPr lang="en-US" sz="700" b="0" i="0" u="none" strike="noStrike">
              <a:solidFill>
                <a:schemeClr val="tx1">
                  <a:lumMod val="75000"/>
                  <a:lumOff val="25000"/>
                </a:schemeClr>
              </a:solidFill>
              <a:latin typeface="Arial" panose="020B0604020202020204" pitchFamily="34" charset="0"/>
              <a:cs typeface="Arial" panose="020B0604020202020204" pitchFamily="34" charset="0"/>
            </a:endParaRPr>
          </a:p>
        </xdr:txBody>
      </xdr:sp>
      <xdr:pic>
        <xdr:nvPicPr>
          <xdr:cNvPr id="40" name="Graphic 39" descr="Ribbon with solid fill">
            <a:extLst>
              <a:ext uri="{FF2B5EF4-FFF2-40B4-BE49-F238E27FC236}">
                <a16:creationId xmlns:a16="http://schemas.microsoft.com/office/drawing/2014/main" id="{26AE3314-C3D5-7E97-ABD2-83E80982BC50}"/>
              </a:ext>
            </a:extLst>
          </xdr:cNvPr>
          <xdr:cNvPicPr>
            <a:picLocks noChangeAspect="1"/>
          </xdr:cNvPicPr>
        </xdr:nvPicPr>
        <xdr:blipFill>
          <a:blip xmlns:r="http://schemas.openxmlformats.org/officeDocument/2006/relationships" r:embed="rId24" cstate="print">
            <a:extLst>
              <a:ext uri="{28A0092B-C50C-407E-A947-70E740481C1C}">
                <a14:useLocalDpi xmlns:a14="http://schemas.microsoft.com/office/drawing/2010/main" val="0"/>
              </a:ext>
              <a:ext uri="{96DAC541-7B7A-43D3-8B79-37D633B846F1}">
                <asvg:svgBlip xmlns:asvg="http://schemas.microsoft.com/office/drawing/2016/SVG/main" r:embed="rId25"/>
              </a:ext>
            </a:extLst>
          </a:blip>
          <a:stretch>
            <a:fillRect/>
          </a:stretch>
        </xdr:blipFill>
        <xdr:spPr>
          <a:xfrm>
            <a:off x="5161649" y="4789716"/>
            <a:ext cx="353782" cy="353782"/>
          </a:xfrm>
          <a:prstGeom prst="rect">
            <a:avLst/>
          </a:prstGeom>
        </xdr:spPr>
      </xdr:pic>
    </xdr:grpSp>
    <xdr:clientData/>
  </xdr:twoCellAnchor>
  <xdr:twoCellAnchor editAs="absolute">
    <xdr:from>
      <xdr:col>11</xdr:col>
      <xdr:colOff>444500</xdr:colOff>
      <xdr:row>25</xdr:row>
      <xdr:rowOff>123143</xdr:rowOff>
    </xdr:from>
    <xdr:to>
      <xdr:col>18</xdr:col>
      <xdr:colOff>517070</xdr:colOff>
      <xdr:row>38</xdr:row>
      <xdr:rowOff>54428</xdr:rowOff>
    </xdr:to>
    <xdr:sp macro="" textlink="">
      <xdr:nvSpPr>
        <xdr:cNvPr id="150" name="Rectangle: Rounded Corners 149">
          <a:extLst>
            <a:ext uri="{FF2B5EF4-FFF2-40B4-BE49-F238E27FC236}">
              <a16:creationId xmlns:a16="http://schemas.microsoft.com/office/drawing/2014/main" id="{128C3EE5-50A9-4853-2CF4-E9B58229A00A}"/>
            </a:ext>
          </a:extLst>
        </xdr:cNvPr>
        <xdr:cNvSpPr/>
      </xdr:nvSpPr>
      <xdr:spPr>
        <a:xfrm>
          <a:off x="7130143" y="4658857"/>
          <a:ext cx="4327070" cy="2289857"/>
        </a:xfrm>
        <a:prstGeom prst="roundRect">
          <a:avLst>
            <a:gd name="adj" fmla="val 6824"/>
          </a:avLst>
        </a:prstGeom>
        <a:solidFill>
          <a:schemeClr val="bg1"/>
        </a:solidFill>
        <a:ln>
          <a:noFill/>
        </a:ln>
        <a:effectLst>
          <a:outerShdw blurRad="279400" dist="50800" dir="2700000" algn="tl" rotWithShape="0">
            <a:prstClr val="black">
              <a:alpha val="12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lumMod val="65000"/>
                <a:lumOff val="35000"/>
              </a:schemeClr>
            </a:solidFill>
          </a:endParaRPr>
        </a:p>
      </xdr:txBody>
    </xdr:sp>
    <xdr:clientData/>
  </xdr:twoCellAnchor>
  <xdr:twoCellAnchor editAs="absolute">
    <xdr:from>
      <xdr:col>11</xdr:col>
      <xdr:colOff>544282</xdr:colOff>
      <xdr:row>29</xdr:row>
      <xdr:rowOff>72571</xdr:rowOff>
    </xdr:from>
    <xdr:to>
      <xdr:col>18</xdr:col>
      <xdr:colOff>426354</xdr:colOff>
      <xdr:row>38</xdr:row>
      <xdr:rowOff>9073</xdr:rowOff>
    </xdr:to>
    <xdr:graphicFrame macro="">
      <xdr:nvGraphicFramePr>
        <xdr:cNvPr id="151" name="Chart 150">
          <a:extLst>
            <a:ext uri="{FF2B5EF4-FFF2-40B4-BE49-F238E27FC236}">
              <a16:creationId xmlns:a16="http://schemas.microsoft.com/office/drawing/2014/main" id="{5A807254-A671-44BF-B60B-9CF113A2CD2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6"/>
        </a:graphicData>
      </a:graphic>
    </xdr:graphicFrame>
    <xdr:clientData/>
  </xdr:twoCellAnchor>
  <xdr:twoCellAnchor editAs="absolute">
    <xdr:from>
      <xdr:col>11</xdr:col>
      <xdr:colOff>570644</xdr:colOff>
      <xdr:row>25</xdr:row>
      <xdr:rowOff>155123</xdr:rowOff>
    </xdr:from>
    <xdr:to>
      <xdr:col>14</xdr:col>
      <xdr:colOff>154214</xdr:colOff>
      <xdr:row>28</xdr:row>
      <xdr:rowOff>54430</xdr:rowOff>
    </xdr:to>
    <xdr:sp macro="" textlink="">
      <xdr:nvSpPr>
        <xdr:cNvPr id="152" name="TextBox 151">
          <a:extLst>
            <a:ext uri="{FF2B5EF4-FFF2-40B4-BE49-F238E27FC236}">
              <a16:creationId xmlns:a16="http://schemas.microsoft.com/office/drawing/2014/main" id="{C4B25FDE-D030-5AB6-551C-4F70AC720EB6}"/>
            </a:ext>
          </a:extLst>
        </xdr:cNvPr>
        <xdr:cNvSpPr txBox="1"/>
      </xdr:nvSpPr>
      <xdr:spPr>
        <a:xfrm>
          <a:off x="7256287" y="4690837"/>
          <a:ext cx="1406927" cy="4435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a:solidFill>
                <a:schemeClr val="tx1"/>
              </a:solidFill>
              <a:latin typeface="Avenir Next LT Pro Demi" panose="020B0704020202020204" pitchFamily="34" charset="0"/>
            </a:rPr>
            <a:t>Total Sales</a:t>
          </a:r>
        </a:p>
        <a:p>
          <a:pPr algn="l"/>
          <a:r>
            <a:rPr lang="en-US" sz="1000">
              <a:solidFill>
                <a:schemeClr val="tx1">
                  <a:lumMod val="65000"/>
                  <a:lumOff val="35000"/>
                </a:schemeClr>
              </a:solidFill>
              <a:latin typeface="Avenir Next LT Pro Demi" panose="020B0704020202020204" pitchFamily="34" charset="0"/>
            </a:rPr>
            <a:t>by Product</a:t>
          </a:r>
          <a:r>
            <a:rPr lang="en-US" sz="1000" baseline="0">
              <a:solidFill>
                <a:schemeClr val="tx1">
                  <a:lumMod val="65000"/>
                  <a:lumOff val="35000"/>
                </a:schemeClr>
              </a:solidFill>
              <a:latin typeface="Avenir Next LT Pro Demi" panose="020B0704020202020204" pitchFamily="34" charset="0"/>
            </a:rPr>
            <a:t> Category</a:t>
          </a:r>
          <a:endParaRPr lang="en-US" sz="1100">
            <a:solidFill>
              <a:schemeClr val="tx1">
                <a:lumMod val="65000"/>
                <a:lumOff val="35000"/>
              </a:schemeClr>
            </a:solidFill>
            <a:latin typeface="Avenir Next LT Pro Demi" panose="020B0704020202020204" pitchFamily="34" charset="0"/>
          </a:endParaRPr>
        </a:p>
      </xdr:txBody>
    </xdr:sp>
    <xdr:clientData/>
  </xdr:twoCellAnchor>
  <xdr:twoCellAnchor editAs="absolute">
    <xdr:from>
      <xdr:col>16</xdr:col>
      <xdr:colOff>366965</xdr:colOff>
      <xdr:row>25</xdr:row>
      <xdr:rowOff>155123</xdr:rowOff>
    </xdr:from>
    <xdr:to>
      <xdr:col>18</xdr:col>
      <xdr:colOff>313393</xdr:colOff>
      <xdr:row>27</xdr:row>
      <xdr:rowOff>63501</xdr:rowOff>
    </xdr:to>
    <xdr:sp macro="" textlink="PivotTables!CV6">
      <xdr:nvSpPr>
        <xdr:cNvPr id="154" name="TextBox 153">
          <a:extLst>
            <a:ext uri="{FF2B5EF4-FFF2-40B4-BE49-F238E27FC236}">
              <a16:creationId xmlns:a16="http://schemas.microsoft.com/office/drawing/2014/main" id="{E391D068-B459-D83D-3892-2A06083BA936}"/>
            </a:ext>
          </a:extLst>
        </xdr:cNvPr>
        <xdr:cNvSpPr txBox="1"/>
      </xdr:nvSpPr>
      <xdr:spPr>
        <a:xfrm>
          <a:off x="10091536" y="4690837"/>
          <a:ext cx="1162000" cy="2712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12DAFB7A-1F16-4EF0-A3E5-1D63694E67DB}" type="TxLink">
            <a:rPr lang="en-US" sz="1100" b="0" i="0" u="none" strike="noStrike">
              <a:solidFill>
                <a:srgbClr val="000000"/>
              </a:solidFill>
              <a:latin typeface="Avenir Next LT Pro Demi" panose="020B0704020202020204" pitchFamily="34" charset="0"/>
              <a:ea typeface="+mn-ea"/>
              <a:cs typeface="Arial"/>
            </a:rPr>
            <a:pPr marL="0" indent="0" algn="ctr"/>
            <a:t>42320000000</a:t>
          </a:fld>
          <a:endParaRPr lang="en-US" sz="1100" b="0" i="0" u="none" strike="noStrike">
            <a:solidFill>
              <a:srgbClr val="000000"/>
            </a:solidFill>
            <a:latin typeface="Avenir Next LT Pro Demi" panose="020B0704020202020204" pitchFamily="34" charset="0"/>
            <a:ea typeface="+mn-ea"/>
            <a:cs typeface="Arial"/>
          </a:endParaRPr>
        </a:p>
      </xdr:txBody>
    </xdr:sp>
    <xdr:clientData/>
  </xdr:twoCellAnchor>
  <xdr:twoCellAnchor editAs="absolute">
    <xdr:from>
      <xdr:col>16</xdr:col>
      <xdr:colOff>366965</xdr:colOff>
      <xdr:row>27</xdr:row>
      <xdr:rowOff>5444</xdr:rowOff>
    </xdr:from>
    <xdr:to>
      <xdr:col>18</xdr:col>
      <xdr:colOff>313393</xdr:colOff>
      <xdr:row>28</xdr:row>
      <xdr:rowOff>95250</xdr:rowOff>
    </xdr:to>
    <xdr:sp macro="" textlink="PivotTables!CW6">
      <xdr:nvSpPr>
        <xdr:cNvPr id="155" name="TextBox 154">
          <a:extLst>
            <a:ext uri="{FF2B5EF4-FFF2-40B4-BE49-F238E27FC236}">
              <a16:creationId xmlns:a16="http://schemas.microsoft.com/office/drawing/2014/main" id="{CA4F9CAF-6540-3150-8123-46DC4ABC0FCC}"/>
            </a:ext>
          </a:extLst>
        </xdr:cNvPr>
        <xdr:cNvSpPr txBox="1"/>
      </xdr:nvSpPr>
      <xdr:spPr>
        <a:xfrm>
          <a:off x="10091536" y="4904015"/>
          <a:ext cx="1162000" cy="2712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fld id="{D73E86D1-F5D0-436A-B3A3-23CD7EB5F34A}" type="TxLink">
            <a:rPr lang="en-US" sz="1600" b="0" i="0" u="none" strike="noStrike">
              <a:solidFill>
                <a:srgbClr val="000000"/>
              </a:solidFill>
              <a:latin typeface="Avenir Next LT Pro Demi" panose="020B0704020202020204" pitchFamily="34" charset="0"/>
              <a:ea typeface="+mn-ea"/>
              <a:cs typeface="Arial"/>
            </a:rPr>
            <a:pPr marL="0" indent="0" algn="ctr"/>
            <a:t>0,0K</a:t>
          </a:fld>
          <a:endParaRPr lang="en-US" sz="1600" b="0" i="0" u="none" strike="noStrike">
            <a:solidFill>
              <a:srgbClr val="000000"/>
            </a:solidFill>
            <a:latin typeface="Avenir Next LT Pro Demi" panose="020B0704020202020204" pitchFamily="34" charset="0"/>
            <a:ea typeface="+mn-ea"/>
            <a:cs typeface="Arial"/>
          </a:endParaRPr>
        </a:p>
      </xdr:txBody>
    </xdr:sp>
    <xdr:clientData/>
  </xdr:twoCellAnchor>
  <xdr:twoCellAnchor editAs="absolute">
    <xdr:from>
      <xdr:col>16</xdr:col>
      <xdr:colOff>290284</xdr:colOff>
      <xdr:row>28</xdr:row>
      <xdr:rowOff>37194</xdr:rowOff>
    </xdr:from>
    <xdr:to>
      <xdr:col>18</xdr:col>
      <xdr:colOff>390075</xdr:colOff>
      <xdr:row>29</xdr:row>
      <xdr:rowOff>127000</xdr:rowOff>
    </xdr:to>
    <xdr:sp macro="" textlink="">
      <xdr:nvSpPr>
        <xdr:cNvPr id="156" name="TextBox 155">
          <a:extLst>
            <a:ext uri="{FF2B5EF4-FFF2-40B4-BE49-F238E27FC236}">
              <a16:creationId xmlns:a16="http://schemas.microsoft.com/office/drawing/2014/main" id="{7545B316-EBF9-688B-CF6F-9CF51BE09743}"/>
            </a:ext>
          </a:extLst>
        </xdr:cNvPr>
        <xdr:cNvSpPr txBox="1"/>
      </xdr:nvSpPr>
      <xdr:spPr>
        <a:xfrm>
          <a:off x="10014855" y="5117194"/>
          <a:ext cx="1315363" cy="2712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700" b="0" i="0" u="none" strike="noStrike">
              <a:solidFill>
                <a:schemeClr val="tx1">
                  <a:lumMod val="75000"/>
                  <a:lumOff val="25000"/>
                </a:schemeClr>
              </a:solidFill>
              <a:latin typeface="Arial" panose="020B0604020202020204" pitchFamily="34" charset="0"/>
              <a:cs typeface="Arial" panose="020B0604020202020204" pitchFamily="34" charset="0"/>
            </a:rPr>
            <a:t>Top</a:t>
          </a:r>
          <a:r>
            <a:rPr lang="en-US" sz="700" b="0" i="0" u="none" strike="noStrike" baseline="0">
              <a:solidFill>
                <a:schemeClr val="tx1">
                  <a:lumMod val="75000"/>
                  <a:lumOff val="25000"/>
                </a:schemeClr>
              </a:solidFill>
              <a:latin typeface="Arial" panose="020B0604020202020204" pitchFamily="34" charset="0"/>
              <a:cs typeface="Arial" panose="020B0604020202020204" pitchFamily="34" charset="0"/>
            </a:rPr>
            <a:t> selling product category</a:t>
          </a:r>
          <a:endParaRPr lang="en-US" sz="700" b="0" i="0" u="none" strike="noStrike">
            <a:solidFill>
              <a:schemeClr val="tx1">
                <a:lumMod val="75000"/>
                <a:lumOff val="25000"/>
              </a:schemeClr>
            </a:solidFill>
            <a:latin typeface="Arial" panose="020B0604020202020204" pitchFamily="34" charset="0"/>
            <a:cs typeface="Arial" panose="020B0604020202020204" pitchFamily="34" charset="0"/>
          </a:endParaRPr>
        </a:p>
      </xdr:txBody>
    </xdr:sp>
    <xdr:clientData/>
  </xdr:twoCellAnchor>
  <xdr:twoCellAnchor editAs="absolute">
    <xdr:from>
      <xdr:col>16</xdr:col>
      <xdr:colOff>263079</xdr:colOff>
      <xdr:row>26</xdr:row>
      <xdr:rowOff>72573</xdr:rowOff>
    </xdr:from>
    <xdr:to>
      <xdr:col>17</xdr:col>
      <xdr:colOff>11909</xdr:colOff>
      <xdr:row>28</xdr:row>
      <xdr:rowOff>66332</xdr:rowOff>
    </xdr:to>
    <xdr:pic>
      <xdr:nvPicPr>
        <xdr:cNvPr id="157" name="Graphic 156" descr="Ribbon with solid fill">
          <a:extLst>
            <a:ext uri="{FF2B5EF4-FFF2-40B4-BE49-F238E27FC236}">
              <a16:creationId xmlns:a16="http://schemas.microsoft.com/office/drawing/2014/main" id="{C52B3B39-7CA1-DEA5-4753-702E8FA23A60}"/>
            </a:ext>
          </a:extLst>
        </xdr:cNvPr>
        <xdr:cNvPicPr>
          <a:picLocks noChangeAspect="1"/>
        </xdr:cNvPicPr>
      </xdr:nvPicPr>
      <xdr:blipFill>
        <a:blip xmlns:r="http://schemas.openxmlformats.org/officeDocument/2006/relationships" r:embed="rId24" cstate="print">
          <a:extLst>
            <a:ext uri="{28A0092B-C50C-407E-A947-70E740481C1C}">
              <a14:useLocalDpi xmlns:a14="http://schemas.microsoft.com/office/drawing/2010/main" val="0"/>
            </a:ext>
            <a:ext uri="{96DAC541-7B7A-43D3-8B79-37D633B846F1}">
              <asvg:svgBlip xmlns:asvg="http://schemas.microsoft.com/office/drawing/2016/SVG/main" r:embed="rId25"/>
            </a:ext>
          </a:extLst>
        </a:blip>
        <a:stretch>
          <a:fillRect/>
        </a:stretch>
      </xdr:blipFill>
      <xdr:spPr>
        <a:xfrm>
          <a:off x="9987650" y="4789716"/>
          <a:ext cx="356616" cy="356616"/>
        </a:xfrm>
        <a:prstGeom prst="rect">
          <a:avLst/>
        </a:prstGeom>
      </xdr:spPr>
    </xdr:pic>
    <xdr:clientData/>
  </xdr:twoCellAnchor>
  <xdr:twoCellAnchor editAs="absolute">
    <xdr:from>
      <xdr:col>0</xdr:col>
      <xdr:colOff>36286</xdr:colOff>
      <xdr:row>12</xdr:row>
      <xdr:rowOff>86856</xdr:rowOff>
    </xdr:from>
    <xdr:to>
      <xdr:col>5</xdr:col>
      <xdr:colOff>299357</xdr:colOff>
      <xdr:row>34</xdr:row>
      <xdr:rowOff>154215</xdr:rowOff>
    </xdr:to>
    <xdr:sp macro="" textlink="">
      <xdr:nvSpPr>
        <xdr:cNvPr id="159" name="Rectangle: Rounded Corners 158">
          <a:extLst>
            <a:ext uri="{FF2B5EF4-FFF2-40B4-BE49-F238E27FC236}">
              <a16:creationId xmlns:a16="http://schemas.microsoft.com/office/drawing/2014/main" id="{1815C952-5366-A8DC-D903-BA54C23B79E7}"/>
            </a:ext>
          </a:extLst>
        </xdr:cNvPr>
        <xdr:cNvSpPr/>
      </xdr:nvSpPr>
      <xdr:spPr>
        <a:xfrm>
          <a:off x="36286" y="2263999"/>
          <a:ext cx="3302000" cy="4058787"/>
        </a:xfrm>
        <a:prstGeom prst="roundRect">
          <a:avLst>
            <a:gd name="adj" fmla="val 6824"/>
          </a:avLst>
        </a:prstGeom>
        <a:solidFill>
          <a:schemeClr val="bg1"/>
        </a:solidFill>
        <a:ln>
          <a:noFill/>
        </a:ln>
        <a:effectLst>
          <a:outerShdw blurRad="279400" dist="50800" dir="2700000" algn="tl" rotWithShape="0">
            <a:prstClr val="black">
              <a:alpha val="12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lumMod val="65000"/>
                <a:lumOff val="35000"/>
              </a:schemeClr>
            </a:solidFill>
          </a:endParaRPr>
        </a:p>
      </xdr:txBody>
    </xdr:sp>
    <xdr:clientData/>
  </xdr:twoCellAnchor>
  <xdr:twoCellAnchor editAs="absolute">
    <xdr:from>
      <xdr:col>28</xdr:col>
      <xdr:colOff>352198</xdr:colOff>
      <xdr:row>11</xdr:row>
      <xdr:rowOff>100012</xdr:rowOff>
    </xdr:from>
    <xdr:to>
      <xdr:col>28</xdr:col>
      <xdr:colOff>471941</xdr:colOff>
      <xdr:row>12</xdr:row>
      <xdr:rowOff>27441</xdr:rowOff>
    </xdr:to>
    <xdr:sp macro="" textlink="">
      <xdr:nvSpPr>
        <xdr:cNvPr id="34" name="Right Triangle 33">
          <a:extLst>
            <a:ext uri="{FF2B5EF4-FFF2-40B4-BE49-F238E27FC236}">
              <a16:creationId xmlns:a16="http://schemas.microsoft.com/office/drawing/2014/main" id="{EAADCCB3-035E-AD7F-02CA-F79823F4B8AC}"/>
            </a:ext>
          </a:extLst>
        </xdr:cNvPr>
        <xdr:cNvSpPr/>
      </xdr:nvSpPr>
      <xdr:spPr>
        <a:xfrm flipH="1">
          <a:off x="17370198" y="2095726"/>
          <a:ext cx="119743" cy="108858"/>
        </a:xfrm>
        <a:prstGeom prst="rtTriangle">
          <a:avLst/>
        </a:prstGeom>
        <a:solidFill>
          <a:srgbClr val="F1F0F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27</xdr:col>
      <xdr:colOff>538760</xdr:colOff>
      <xdr:row>11</xdr:row>
      <xdr:rowOff>32910</xdr:rowOff>
    </xdr:from>
    <xdr:to>
      <xdr:col>27</xdr:col>
      <xdr:colOff>596817</xdr:colOff>
      <xdr:row>11</xdr:row>
      <xdr:rowOff>155913</xdr:rowOff>
    </xdr:to>
    <xdr:sp macro="" textlink="">
      <xdr:nvSpPr>
        <xdr:cNvPr id="36" name="Moon 35">
          <a:extLst>
            <a:ext uri="{FF2B5EF4-FFF2-40B4-BE49-F238E27FC236}">
              <a16:creationId xmlns:a16="http://schemas.microsoft.com/office/drawing/2014/main" id="{8D9C5F85-A402-0B82-62C0-A4972CA6895A}"/>
            </a:ext>
          </a:extLst>
        </xdr:cNvPr>
        <xdr:cNvSpPr/>
      </xdr:nvSpPr>
      <xdr:spPr>
        <a:xfrm rot="13146407">
          <a:off x="16948974" y="2028624"/>
          <a:ext cx="58057" cy="123003"/>
        </a:xfrm>
        <a:prstGeom prst="moon">
          <a:avLst>
            <a:gd name="adj" fmla="val 74369"/>
          </a:avLst>
        </a:prstGeom>
        <a:solidFill>
          <a:srgbClr val="E8E6E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25</xdr:col>
      <xdr:colOff>145060</xdr:colOff>
      <xdr:row>11</xdr:row>
      <xdr:rowOff>36085</xdr:rowOff>
    </xdr:from>
    <xdr:to>
      <xdr:col>25</xdr:col>
      <xdr:colOff>204931</xdr:colOff>
      <xdr:row>11</xdr:row>
      <xdr:rowOff>159088</xdr:rowOff>
    </xdr:to>
    <xdr:sp macro="" textlink="">
      <xdr:nvSpPr>
        <xdr:cNvPr id="148" name="Moon 147">
          <a:extLst>
            <a:ext uri="{FF2B5EF4-FFF2-40B4-BE49-F238E27FC236}">
              <a16:creationId xmlns:a16="http://schemas.microsoft.com/office/drawing/2014/main" id="{027B7F05-B7A6-40CA-B068-9D1CAD9AEB34}"/>
            </a:ext>
          </a:extLst>
        </xdr:cNvPr>
        <xdr:cNvSpPr/>
      </xdr:nvSpPr>
      <xdr:spPr>
        <a:xfrm rot="19038020">
          <a:off x="15339703" y="2031799"/>
          <a:ext cx="59871" cy="123003"/>
        </a:xfrm>
        <a:prstGeom prst="moon">
          <a:avLst>
            <a:gd name="adj" fmla="val 74369"/>
          </a:avLst>
        </a:prstGeom>
        <a:solidFill>
          <a:srgbClr val="E8E6EE"/>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0</xdr:col>
      <xdr:colOff>224519</xdr:colOff>
      <xdr:row>15</xdr:row>
      <xdr:rowOff>99783</xdr:rowOff>
    </xdr:from>
    <xdr:to>
      <xdr:col>4</xdr:col>
      <xdr:colOff>371929</xdr:colOff>
      <xdr:row>27</xdr:row>
      <xdr:rowOff>136073</xdr:rowOff>
    </xdr:to>
    <xdr:graphicFrame macro="">
      <xdr:nvGraphicFramePr>
        <xdr:cNvPr id="153" name="Chart 152">
          <a:extLst>
            <a:ext uri="{FF2B5EF4-FFF2-40B4-BE49-F238E27FC236}">
              <a16:creationId xmlns:a16="http://schemas.microsoft.com/office/drawing/2014/main" id="{519CB178-284A-4D22-AD46-24B4CF50284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7"/>
        </a:graphicData>
      </a:graphic>
    </xdr:graphicFrame>
    <xdr:clientData/>
  </xdr:twoCellAnchor>
  <xdr:twoCellAnchor editAs="absolute">
    <xdr:from>
      <xdr:col>0</xdr:col>
      <xdr:colOff>153347</xdr:colOff>
      <xdr:row>12</xdr:row>
      <xdr:rowOff>129722</xdr:rowOff>
    </xdr:from>
    <xdr:to>
      <xdr:col>3</xdr:col>
      <xdr:colOff>170542</xdr:colOff>
      <xdr:row>15</xdr:row>
      <xdr:rowOff>91168</xdr:rowOff>
    </xdr:to>
    <xdr:sp macro="" textlink="">
      <xdr:nvSpPr>
        <xdr:cNvPr id="158" name="TextBox 157">
          <a:extLst>
            <a:ext uri="{FF2B5EF4-FFF2-40B4-BE49-F238E27FC236}">
              <a16:creationId xmlns:a16="http://schemas.microsoft.com/office/drawing/2014/main" id="{2F627641-90B1-642C-246F-599D81F57763}"/>
            </a:ext>
          </a:extLst>
        </xdr:cNvPr>
        <xdr:cNvSpPr txBox="1"/>
      </xdr:nvSpPr>
      <xdr:spPr>
        <a:xfrm>
          <a:off x="153347" y="2306865"/>
          <a:ext cx="1840552" cy="50573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400">
              <a:solidFill>
                <a:schemeClr val="tx1"/>
              </a:solidFill>
              <a:latin typeface="Avenir Next LT Pro Demi" panose="020B0704020202020204" pitchFamily="34" charset="0"/>
            </a:rPr>
            <a:t>Paid Orders</a:t>
          </a:r>
        </a:p>
        <a:p>
          <a:pPr algn="l"/>
          <a:r>
            <a:rPr lang="en-US" sz="1100">
              <a:solidFill>
                <a:schemeClr val="tx1">
                  <a:lumMod val="65000"/>
                  <a:lumOff val="35000"/>
                </a:schemeClr>
              </a:solidFill>
              <a:latin typeface="Avenir Next LT Pro Demi" panose="020B0704020202020204" pitchFamily="34" charset="0"/>
            </a:rPr>
            <a:t>by Product</a:t>
          </a:r>
          <a:r>
            <a:rPr lang="en-US" sz="1100" baseline="0">
              <a:solidFill>
                <a:schemeClr val="tx1">
                  <a:lumMod val="65000"/>
                  <a:lumOff val="35000"/>
                </a:schemeClr>
              </a:solidFill>
              <a:latin typeface="Avenir Next LT Pro Demi" panose="020B0704020202020204" pitchFamily="34" charset="0"/>
            </a:rPr>
            <a:t> Category</a:t>
          </a:r>
          <a:endParaRPr lang="en-US" sz="1100">
            <a:solidFill>
              <a:schemeClr val="tx1">
                <a:lumMod val="65000"/>
                <a:lumOff val="35000"/>
              </a:schemeClr>
            </a:solidFill>
            <a:latin typeface="Avenir Next LT Pro Demi" panose="020B0704020202020204" pitchFamily="34" charset="0"/>
          </a:endParaRPr>
        </a:p>
      </xdr:txBody>
    </xdr:sp>
    <xdr:clientData/>
  </xdr:twoCellAnchor>
  <xdr:twoCellAnchor editAs="absolute">
    <xdr:from>
      <xdr:col>1</xdr:col>
      <xdr:colOff>302123</xdr:colOff>
      <xdr:row>20</xdr:row>
      <xdr:rowOff>140338</xdr:rowOff>
    </xdr:from>
    <xdr:to>
      <xdr:col>3</xdr:col>
      <xdr:colOff>284846</xdr:colOff>
      <xdr:row>22</xdr:row>
      <xdr:rowOff>94072</xdr:rowOff>
    </xdr:to>
    <xdr:sp macro="" textlink="">
      <xdr:nvSpPr>
        <xdr:cNvPr id="160" name="TextBox 159">
          <a:extLst>
            <a:ext uri="{FF2B5EF4-FFF2-40B4-BE49-F238E27FC236}">
              <a16:creationId xmlns:a16="http://schemas.microsoft.com/office/drawing/2014/main" id="{BFCFA530-7916-5516-675E-E140EA608A06}"/>
            </a:ext>
          </a:extLst>
        </xdr:cNvPr>
        <xdr:cNvSpPr txBox="1"/>
      </xdr:nvSpPr>
      <xdr:spPr>
        <a:xfrm>
          <a:off x="909909" y="3768909"/>
          <a:ext cx="1198294" cy="3165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050">
              <a:solidFill>
                <a:schemeClr val="tx1"/>
              </a:solidFill>
              <a:latin typeface="Avenir Next LT Pro Demi" panose="020B0704020202020204" pitchFamily="34" charset="0"/>
            </a:rPr>
            <a:t>Paid Orders</a:t>
          </a:r>
        </a:p>
      </xdr:txBody>
    </xdr:sp>
    <xdr:clientData/>
  </xdr:twoCellAnchor>
  <xdr:twoCellAnchor editAs="absolute">
    <xdr:from>
      <xdr:col>1</xdr:col>
      <xdr:colOff>302123</xdr:colOff>
      <xdr:row>21</xdr:row>
      <xdr:rowOff>130177</xdr:rowOff>
    </xdr:from>
    <xdr:to>
      <xdr:col>3</xdr:col>
      <xdr:colOff>284846</xdr:colOff>
      <xdr:row>23</xdr:row>
      <xdr:rowOff>83912</xdr:rowOff>
    </xdr:to>
    <xdr:sp macro="" textlink="PivotTables!DN7">
      <xdr:nvSpPr>
        <xdr:cNvPr id="161" name="TextBox 160">
          <a:extLst>
            <a:ext uri="{FF2B5EF4-FFF2-40B4-BE49-F238E27FC236}">
              <a16:creationId xmlns:a16="http://schemas.microsoft.com/office/drawing/2014/main" id="{59D919C3-BECF-2FD9-6A3D-1135FC2E13A0}"/>
            </a:ext>
          </a:extLst>
        </xdr:cNvPr>
        <xdr:cNvSpPr txBox="1"/>
      </xdr:nvSpPr>
      <xdr:spPr>
        <a:xfrm>
          <a:off x="909909" y="3940177"/>
          <a:ext cx="1198294" cy="3165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9DF7217-3A72-4717-BC02-15883DD98B94}" type="TxLink">
            <a:rPr lang="en-US" sz="1400" b="0" i="0" u="none" strike="noStrike">
              <a:solidFill>
                <a:srgbClr val="000000"/>
              </a:solidFill>
              <a:latin typeface="Avenir Next LT Pro Demi" panose="020B0704020202020204" pitchFamily="34" charset="0"/>
              <a:cs typeface="Arial"/>
            </a:rPr>
            <a:pPr algn="ctr"/>
            <a:t>0,0K</a:t>
          </a:fld>
          <a:endParaRPr lang="en-US" sz="1800">
            <a:solidFill>
              <a:schemeClr val="tx1"/>
            </a:solidFill>
            <a:latin typeface="Avenir Next LT Pro Demi" panose="020B0704020202020204" pitchFamily="34" charset="0"/>
          </a:endParaRPr>
        </a:p>
      </xdr:txBody>
    </xdr:sp>
    <xdr:clientData/>
  </xdr:twoCellAnchor>
  <xdr:twoCellAnchor editAs="absolute">
    <xdr:from>
      <xdr:col>2</xdr:col>
      <xdr:colOff>156324</xdr:colOff>
      <xdr:row>19</xdr:row>
      <xdr:rowOff>125188</xdr:rowOff>
    </xdr:from>
    <xdr:to>
      <xdr:col>2</xdr:col>
      <xdr:colOff>430644</xdr:colOff>
      <xdr:row>21</xdr:row>
      <xdr:rowOff>31208</xdr:rowOff>
    </xdr:to>
    <xdr:grpSp>
      <xdr:nvGrpSpPr>
        <xdr:cNvPr id="55" name="Group 54">
          <a:extLst>
            <a:ext uri="{FF2B5EF4-FFF2-40B4-BE49-F238E27FC236}">
              <a16:creationId xmlns:a16="http://schemas.microsoft.com/office/drawing/2014/main" id="{5FEAC1A8-EDE0-5C72-8252-708FA1C6B8B1}"/>
            </a:ext>
          </a:extLst>
        </xdr:cNvPr>
        <xdr:cNvGrpSpPr/>
      </xdr:nvGrpSpPr>
      <xdr:grpSpPr>
        <a:xfrm>
          <a:off x="1371895" y="3572331"/>
          <a:ext cx="274320" cy="268877"/>
          <a:chOff x="1454604" y="3555095"/>
          <a:chExt cx="274320" cy="274320"/>
        </a:xfrm>
      </xdr:grpSpPr>
      <xdr:sp macro="" textlink="">
        <xdr:nvSpPr>
          <xdr:cNvPr id="33" name="Oval 32">
            <a:extLst>
              <a:ext uri="{FF2B5EF4-FFF2-40B4-BE49-F238E27FC236}">
                <a16:creationId xmlns:a16="http://schemas.microsoft.com/office/drawing/2014/main" id="{A02C46B4-82BF-4E83-7AA5-3BCE40C4F5F4}"/>
              </a:ext>
            </a:extLst>
          </xdr:cNvPr>
          <xdr:cNvSpPr/>
        </xdr:nvSpPr>
        <xdr:spPr>
          <a:xfrm>
            <a:off x="1454604" y="3555095"/>
            <a:ext cx="274320" cy="274320"/>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47" name="Graphic 46" descr="Payroll with solid fill">
            <a:extLst>
              <a:ext uri="{FF2B5EF4-FFF2-40B4-BE49-F238E27FC236}">
                <a16:creationId xmlns:a16="http://schemas.microsoft.com/office/drawing/2014/main" id="{1D04B2C8-F107-A219-A26B-8AA9E179F4C0}"/>
              </a:ext>
            </a:extLst>
          </xdr:cNvPr>
          <xdr:cNvPicPr>
            <a:picLocks noChangeAspect="1"/>
          </xdr:cNvPicPr>
        </xdr:nvPicPr>
        <xdr:blipFill>
          <a:blip xmlns:r="http://schemas.openxmlformats.org/officeDocument/2006/relationships" r:embed="rId28" cstate="print">
            <a:extLst>
              <a:ext uri="{28A0092B-C50C-407E-A947-70E740481C1C}">
                <a14:useLocalDpi xmlns:a14="http://schemas.microsoft.com/office/drawing/2010/main" val="0"/>
              </a:ext>
              <a:ext uri="{96DAC541-7B7A-43D3-8B79-37D633B846F1}">
                <asvg:svgBlip xmlns:asvg="http://schemas.microsoft.com/office/drawing/2016/SVG/main" r:embed="rId29"/>
              </a:ext>
            </a:extLst>
          </a:blip>
          <a:stretch>
            <a:fillRect/>
          </a:stretch>
        </xdr:blipFill>
        <xdr:spPr>
          <a:xfrm>
            <a:off x="1491181" y="3591671"/>
            <a:ext cx="201167" cy="201168"/>
          </a:xfrm>
          <a:prstGeom prst="rect">
            <a:avLst/>
          </a:prstGeom>
        </xdr:spPr>
      </xdr:pic>
    </xdr:grpSp>
    <xdr:clientData/>
  </xdr:twoCellAnchor>
  <xdr:twoCellAnchor editAs="absolute">
    <xdr:from>
      <xdr:col>0</xdr:col>
      <xdr:colOff>408759</xdr:colOff>
      <xdr:row>27</xdr:row>
      <xdr:rowOff>24043</xdr:rowOff>
    </xdr:from>
    <xdr:to>
      <xdr:col>4</xdr:col>
      <xdr:colOff>534670</xdr:colOff>
      <xdr:row>34</xdr:row>
      <xdr:rowOff>108858</xdr:rowOff>
    </xdr:to>
    <xdr:grpSp>
      <xdr:nvGrpSpPr>
        <xdr:cNvPr id="73" name="Group 72">
          <a:extLst>
            <a:ext uri="{FF2B5EF4-FFF2-40B4-BE49-F238E27FC236}">
              <a16:creationId xmlns:a16="http://schemas.microsoft.com/office/drawing/2014/main" id="{A0F267E7-BF09-CA33-E79C-644E596C78F6}"/>
            </a:ext>
          </a:extLst>
        </xdr:cNvPr>
        <xdr:cNvGrpSpPr/>
      </xdr:nvGrpSpPr>
      <xdr:grpSpPr>
        <a:xfrm>
          <a:off x="408759" y="4922614"/>
          <a:ext cx="2557054" cy="1354815"/>
          <a:chOff x="433656" y="4931684"/>
          <a:chExt cx="2557054" cy="1472753"/>
        </a:xfrm>
      </xdr:grpSpPr>
      <xdr:grpSp>
        <xdr:nvGrpSpPr>
          <xdr:cNvPr id="58" name="Group 57">
            <a:extLst>
              <a:ext uri="{FF2B5EF4-FFF2-40B4-BE49-F238E27FC236}">
                <a16:creationId xmlns:a16="http://schemas.microsoft.com/office/drawing/2014/main" id="{C0545B48-93BB-01DA-A4E1-88A3387598DB}"/>
              </a:ext>
            </a:extLst>
          </xdr:cNvPr>
          <xdr:cNvGrpSpPr/>
        </xdr:nvGrpSpPr>
        <xdr:grpSpPr>
          <a:xfrm>
            <a:off x="433656" y="4931684"/>
            <a:ext cx="1005840" cy="1472753"/>
            <a:chOff x="352013" y="5022397"/>
            <a:chExt cx="1005840" cy="1472753"/>
          </a:xfrm>
        </xdr:grpSpPr>
        <xdr:grpSp>
          <xdr:nvGrpSpPr>
            <xdr:cNvPr id="48" name="Group 47">
              <a:extLst>
                <a:ext uri="{FF2B5EF4-FFF2-40B4-BE49-F238E27FC236}">
                  <a16:creationId xmlns:a16="http://schemas.microsoft.com/office/drawing/2014/main" id="{61EB8A4F-1101-5A74-343D-C14F97FF23B3}"/>
                </a:ext>
              </a:extLst>
            </xdr:cNvPr>
            <xdr:cNvGrpSpPr/>
          </xdr:nvGrpSpPr>
          <xdr:grpSpPr>
            <a:xfrm>
              <a:off x="352013" y="5022397"/>
              <a:ext cx="1005840" cy="483967"/>
              <a:chOff x="88941" y="5312677"/>
              <a:chExt cx="1005840" cy="483967"/>
            </a:xfrm>
          </xdr:grpSpPr>
          <xdr:sp macro="" textlink="PivotTables!DG6">
            <xdr:nvSpPr>
              <xdr:cNvPr id="162" name="TextBox 161">
                <a:extLst>
                  <a:ext uri="{FF2B5EF4-FFF2-40B4-BE49-F238E27FC236}">
                    <a16:creationId xmlns:a16="http://schemas.microsoft.com/office/drawing/2014/main" id="{B9C09DE8-C5BA-CFCA-DA56-61B015638DF7}"/>
                  </a:ext>
                </a:extLst>
              </xdr:cNvPr>
              <xdr:cNvSpPr txBox="1"/>
            </xdr:nvSpPr>
            <xdr:spPr>
              <a:xfrm>
                <a:off x="88941" y="5312677"/>
                <a:ext cx="1005840" cy="3165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F79B58F6-3CB6-423C-9F93-4BC476DC0BAB}" type="TxLink">
                  <a:rPr lang="en-US" sz="1050" b="1" i="0" u="none" strike="noStrike">
                    <a:solidFill>
                      <a:schemeClr val="tx1">
                        <a:lumMod val="75000"/>
                        <a:lumOff val="25000"/>
                      </a:schemeClr>
                    </a:solidFill>
                    <a:latin typeface="Arial"/>
                    <a:cs typeface="Arial"/>
                  </a:rPr>
                  <a:pPr algn="l"/>
                  <a:t>0</a:t>
                </a:fld>
                <a:endParaRPr lang="en-US" sz="1200">
                  <a:solidFill>
                    <a:schemeClr val="tx1">
                      <a:lumMod val="75000"/>
                      <a:lumOff val="25000"/>
                    </a:schemeClr>
                  </a:solidFill>
                  <a:latin typeface="Avenir Next LT Pro Demi" panose="020B0704020202020204" pitchFamily="34" charset="0"/>
                </a:endParaRPr>
              </a:p>
            </xdr:txBody>
          </xdr:sp>
          <xdr:sp macro="" textlink="PivotTables!DG7">
            <xdr:nvSpPr>
              <xdr:cNvPr id="163" name="TextBox 162">
                <a:extLst>
                  <a:ext uri="{FF2B5EF4-FFF2-40B4-BE49-F238E27FC236}">
                    <a16:creationId xmlns:a16="http://schemas.microsoft.com/office/drawing/2014/main" id="{1245582D-64E6-4CDF-E62F-796B51243D1B}"/>
                  </a:ext>
                </a:extLst>
              </xdr:cNvPr>
              <xdr:cNvSpPr txBox="1"/>
            </xdr:nvSpPr>
            <xdr:spPr>
              <a:xfrm>
                <a:off x="88941" y="5494109"/>
                <a:ext cx="954272" cy="3025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28916482-B529-4889-AEFF-80C807A2C1EB}" type="TxLink">
                  <a:rPr lang="en-US" sz="1100" b="0" i="0" u="none" strike="noStrike">
                    <a:solidFill>
                      <a:schemeClr val="tx1">
                        <a:lumMod val="85000"/>
                        <a:lumOff val="15000"/>
                      </a:schemeClr>
                    </a:solidFill>
                    <a:latin typeface="Arial"/>
                    <a:cs typeface="Arial"/>
                  </a:rPr>
                  <a:pPr algn="l"/>
                  <a:t>0,0K</a:t>
                </a:fld>
                <a:endParaRPr lang="en-US" sz="1800" b="0">
                  <a:solidFill>
                    <a:schemeClr val="tx1">
                      <a:lumMod val="85000"/>
                      <a:lumOff val="15000"/>
                    </a:schemeClr>
                  </a:solidFill>
                  <a:latin typeface="Avenir Next LT Pro Demi" panose="020B0704020202020204" pitchFamily="34" charset="0"/>
                </a:endParaRPr>
              </a:p>
            </xdr:txBody>
          </xdr:sp>
        </xdr:grpSp>
        <xdr:grpSp>
          <xdr:nvGrpSpPr>
            <xdr:cNvPr id="49" name="Group 48">
              <a:extLst>
                <a:ext uri="{FF2B5EF4-FFF2-40B4-BE49-F238E27FC236}">
                  <a16:creationId xmlns:a16="http://schemas.microsoft.com/office/drawing/2014/main" id="{5A130549-8DB3-DFC8-8705-65C9F54ECF74}"/>
                </a:ext>
              </a:extLst>
            </xdr:cNvPr>
            <xdr:cNvGrpSpPr/>
          </xdr:nvGrpSpPr>
          <xdr:grpSpPr>
            <a:xfrm>
              <a:off x="352013" y="5516790"/>
              <a:ext cx="1005840" cy="483967"/>
              <a:chOff x="88941" y="5757177"/>
              <a:chExt cx="1005840" cy="483967"/>
            </a:xfrm>
          </xdr:grpSpPr>
          <xdr:sp macro="" textlink="PivotTables!DH6">
            <xdr:nvSpPr>
              <xdr:cNvPr id="168" name="TextBox 167">
                <a:extLst>
                  <a:ext uri="{FF2B5EF4-FFF2-40B4-BE49-F238E27FC236}">
                    <a16:creationId xmlns:a16="http://schemas.microsoft.com/office/drawing/2014/main" id="{D3B48BAE-11F2-8AE3-B242-7BA5FD57D428}"/>
                  </a:ext>
                </a:extLst>
              </xdr:cNvPr>
              <xdr:cNvSpPr txBox="1"/>
            </xdr:nvSpPr>
            <xdr:spPr>
              <a:xfrm>
                <a:off x="88941" y="5757177"/>
                <a:ext cx="1005840" cy="3165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7584F6FC-4911-4D94-B542-D5245436922B}" type="TxLink">
                  <a:rPr lang="en-US" sz="1000" b="1" i="0" u="none" strike="noStrike">
                    <a:solidFill>
                      <a:schemeClr val="tx1">
                        <a:lumMod val="75000"/>
                        <a:lumOff val="25000"/>
                      </a:schemeClr>
                    </a:solidFill>
                    <a:latin typeface="Arial"/>
                    <a:cs typeface="Arial"/>
                  </a:rPr>
                  <a:pPr algn="l"/>
                  <a:t>0</a:t>
                </a:fld>
                <a:endParaRPr lang="en-US" sz="1200">
                  <a:solidFill>
                    <a:schemeClr val="tx1">
                      <a:lumMod val="75000"/>
                      <a:lumOff val="25000"/>
                    </a:schemeClr>
                  </a:solidFill>
                  <a:latin typeface="Avenir Next LT Pro Demi" panose="020B0704020202020204" pitchFamily="34" charset="0"/>
                </a:endParaRPr>
              </a:p>
            </xdr:txBody>
          </xdr:sp>
          <xdr:sp macro="" textlink="PivotTables!DH7">
            <xdr:nvSpPr>
              <xdr:cNvPr id="169" name="TextBox 168">
                <a:extLst>
                  <a:ext uri="{FF2B5EF4-FFF2-40B4-BE49-F238E27FC236}">
                    <a16:creationId xmlns:a16="http://schemas.microsoft.com/office/drawing/2014/main" id="{1CE807C6-1086-6889-FED4-E77342616BD9}"/>
                  </a:ext>
                </a:extLst>
              </xdr:cNvPr>
              <xdr:cNvSpPr txBox="1"/>
            </xdr:nvSpPr>
            <xdr:spPr>
              <a:xfrm>
                <a:off x="88941" y="5938609"/>
                <a:ext cx="954272" cy="3025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958CB47A-F193-4469-BA5F-49787C2B5095}" type="TxLink">
                  <a:rPr lang="en-US" sz="1100" b="0" i="0" u="none" strike="noStrike">
                    <a:solidFill>
                      <a:schemeClr val="tx1">
                        <a:lumMod val="85000"/>
                        <a:lumOff val="15000"/>
                      </a:schemeClr>
                    </a:solidFill>
                    <a:latin typeface="Arial"/>
                    <a:ea typeface="+mn-ea"/>
                    <a:cs typeface="Arial"/>
                  </a:rPr>
                  <a:pPr marL="0" indent="0" algn="l"/>
                  <a:t>0,0K</a:t>
                </a:fld>
                <a:endParaRPr lang="en-US" sz="1100" b="0" i="0" u="none" strike="noStrike">
                  <a:solidFill>
                    <a:schemeClr val="tx1">
                      <a:lumMod val="85000"/>
                      <a:lumOff val="15000"/>
                    </a:schemeClr>
                  </a:solidFill>
                  <a:latin typeface="Arial"/>
                  <a:ea typeface="+mn-ea"/>
                  <a:cs typeface="Arial"/>
                </a:endParaRPr>
              </a:p>
            </xdr:txBody>
          </xdr:sp>
        </xdr:grpSp>
        <xdr:grpSp>
          <xdr:nvGrpSpPr>
            <xdr:cNvPr id="52" name="Group 51">
              <a:extLst>
                <a:ext uri="{FF2B5EF4-FFF2-40B4-BE49-F238E27FC236}">
                  <a16:creationId xmlns:a16="http://schemas.microsoft.com/office/drawing/2014/main" id="{7A71DA4B-8B51-78F9-8645-BF4DD7ABB166}"/>
                </a:ext>
              </a:extLst>
            </xdr:cNvPr>
            <xdr:cNvGrpSpPr/>
          </xdr:nvGrpSpPr>
          <xdr:grpSpPr>
            <a:xfrm>
              <a:off x="352013" y="6011183"/>
              <a:ext cx="1005840" cy="483967"/>
              <a:chOff x="88941" y="6301463"/>
              <a:chExt cx="1005840" cy="483967"/>
            </a:xfrm>
          </xdr:grpSpPr>
          <xdr:sp macro="" textlink="PivotTables!DI6">
            <xdr:nvSpPr>
              <xdr:cNvPr id="173" name="TextBox 172">
                <a:extLst>
                  <a:ext uri="{FF2B5EF4-FFF2-40B4-BE49-F238E27FC236}">
                    <a16:creationId xmlns:a16="http://schemas.microsoft.com/office/drawing/2014/main" id="{2941912E-2332-5787-1361-A6EDF142ADD8}"/>
                  </a:ext>
                </a:extLst>
              </xdr:cNvPr>
              <xdr:cNvSpPr txBox="1"/>
            </xdr:nvSpPr>
            <xdr:spPr>
              <a:xfrm>
                <a:off x="88941" y="6301463"/>
                <a:ext cx="1005840" cy="3165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6A47223A-3EAB-495A-AFAC-67155E0E7F04}" type="TxLink">
                  <a:rPr lang="en-US" sz="1000" b="1" i="0" u="none" strike="noStrike">
                    <a:solidFill>
                      <a:schemeClr val="tx1">
                        <a:lumMod val="75000"/>
                        <a:lumOff val="25000"/>
                      </a:schemeClr>
                    </a:solidFill>
                    <a:latin typeface="Arial"/>
                    <a:cs typeface="Arial"/>
                  </a:rPr>
                  <a:pPr algn="l"/>
                  <a:t>0</a:t>
                </a:fld>
                <a:endParaRPr lang="en-US" sz="1200">
                  <a:solidFill>
                    <a:schemeClr val="tx1">
                      <a:lumMod val="75000"/>
                      <a:lumOff val="25000"/>
                    </a:schemeClr>
                  </a:solidFill>
                  <a:latin typeface="Avenir Next LT Pro Demi" panose="020B0704020202020204" pitchFamily="34" charset="0"/>
                </a:endParaRPr>
              </a:p>
            </xdr:txBody>
          </xdr:sp>
          <xdr:sp macro="" textlink="PivotTables!DI7">
            <xdr:nvSpPr>
              <xdr:cNvPr id="174" name="TextBox 173">
                <a:extLst>
                  <a:ext uri="{FF2B5EF4-FFF2-40B4-BE49-F238E27FC236}">
                    <a16:creationId xmlns:a16="http://schemas.microsoft.com/office/drawing/2014/main" id="{3FDA0237-D340-4D23-37EF-4436BD9C9FF1}"/>
                  </a:ext>
                </a:extLst>
              </xdr:cNvPr>
              <xdr:cNvSpPr txBox="1"/>
            </xdr:nvSpPr>
            <xdr:spPr>
              <a:xfrm>
                <a:off x="88941" y="6482895"/>
                <a:ext cx="954272" cy="3025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4B6ADCB3-7BAC-4A57-8B92-484436599CE5}" type="TxLink">
                  <a:rPr lang="en-US" sz="1100" b="0" i="0" u="none" strike="noStrike">
                    <a:solidFill>
                      <a:schemeClr val="tx1">
                        <a:lumMod val="85000"/>
                        <a:lumOff val="15000"/>
                      </a:schemeClr>
                    </a:solidFill>
                    <a:latin typeface="Arial"/>
                    <a:ea typeface="+mn-ea"/>
                    <a:cs typeface="Arial"/>
                  </a:rPr>
                  <a:pPr marL="0" indent="0" algn="l"/>
                  <a:t>0,0K</a:t>
                </a:fld>
                <a:endParaRPr lang="en-US" sz="1100" b="0" i="0" u="none" strike="noStrike">
                  <a:solidFill>
                    <a:schemeClr val="tx1">
                      <a:lumMod val="85000"/>
                      <a:lumOff val="15000"/>
                    </a:schemeClr>
                  </a:solidFill>
                  <a:latin typeface="Arial"/>
                  <a:ea typeface="+mn-ea"/>
                  <a:cs typeface="Arial"/>
                </a:endParaRPr>
              </a:p>
            </xdr:txBody>
          </xdr:sp>
        </xdr:grpSp>
      </xdr:grpSp>
      <xdr:grpSp>
        <xdr:nvGrpSpPr>
          <xdr:cNvPr id="61" name="Group 60">
            <a:extLst>
              <a:ext uri="{FF2B5EF4-FFF2-40B4-BE49-F238E27FC236}">
                <a16:creationId xmlns:a16="http://schemas.microsoft.com/office/drawing/2014/main" id="{908344F9-E30A-F643-E387-1439B34C0B92}"/>
              </a:ext>
            </a:extLst>
          </xdr:cNvPr>
          <xdr:cNvGrpSpPr/>
        </xdr:nvGrpSpPr>
        <xdr:grpSpPr>
          <a:xfrm>
            <a:off x="1984870" y="4931684"/>
            <a:ext cx="1005840" cy="1472753"/>
            <a:chOff x="1821584" y="5022397"/>
            <a:chExt cx="1005840" cy="1472753"/>
          </a:xfrm>
        </xdr:grpSpPr>
        <xdr:grpSp>
          <xdr:nvGrpSpPr>
            <xdr:cNvPr id="175" name="Group 174">
              <a:extLst>
                <a:ext uri="{FF2B5EF4-FFF2-40B4-BE49-F238E27FC236}">
                  <a16:creationId xmlns:a16="http://schemas.microsoft.com/office/drawing/2014/main" id="{DEF5234F-0712-FB94-00CA-D576BB942230}"/>
                </a:ext>
              </a:extLst>
            </xdr:cNvPr>
            <xdr:cNvGrpSpPr/>
          </xdr:nvGrpSpPr>
          <xdr:grpSpPr>
            <a:xfrm>
              <a:off x="1821584" y="5022397"/>
              <a:ext cx="1005840" cy="483967"/>
              <a:chOff x="88941" y="5312677"/>
              <a:chExt cx="1005840" cy="483967"/>
            </a:xfrm>
          </xdr:grpSpPr>
          <xdr:sp macro="" textlink="PivotTables!DJ6">
            <xdr:nvSpPr>
              <xdr:cNvPr id="176" name="TextBox 175">
                <a:extLst>
                  <a:ext uri="{FF2B5EF4-FFF2-40B4-BE49-F238E27FC236}">
                    <a16:creationId xmlns:a16="http://schemas.microsoft.com/office/drawing/2014/main" id="{5D206182-D626-B510-B6BB-32D0B9786553}"/>
                  </a:ext>
                </a:extLst>
              </xdr:cNvPr>
              <xdr:cNvSpPr txBox="1"/>
            </xdr:nvSpPr>
            <xdr:spPr>
              <a:xfrm>
                <a:off x="88941" y="5312677"/>
                <a:ext cx="1005840" cy="3165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80ADBFB5-E2DD-4CC2-8513-29512A3708B2}" type="TxLink">
                  <a:rPr lang="en-US" sz="1000" b="1" i="0" u="none" strike="noStrike">
                    <a:solidFill>
                      <a:schemeClr val="tx1">
                        <a:lumMod val="75000"/>
                        <a:lumOff val="25000"/>
                      </a:schemeClr>
                    </a:solidFill>
                    <a:latin typeface="Arial"/>
                    <a:cs typeface="Arial"/>
                  </a:rPr>
                  <a:pPr algn="l"/>
                  <a:t>0</a:t>
                </a:fld>
                <a:endParaRPr lang="en-US" sz="1200">
                  <a:solidFill>
                    <a:schemeClr val="tx1">
                      <a:lumMod val="75000"/>
                      <a:lumOff val="25000"/>
                    </a:schemeClr>
                  </a:solidFill>
                  <a:latin typeface="Avenir Next LT Pro Demi" panose="020B0704020202020204" pitchFamily="34" charset="0"/>
                </a:endParaRPr>
              </a:p>
            </xdr:txBody>
          </xdr:sp>
          <xdr:sp macro="" textlink="PivotTables!DJ7">
            <xdr:nvSpPr>
              <xdr:cNvPr id="177" name="TextBox 176">
                <a:extLst>
                  <a:ext uri="{FF2B5EF4-FFF2-40B4-BE49-F238E27FC236}">
                    <a16:creationId xmlns:a16="http://schemas.microsoft.com/office/drawing/2014/main" id="{18503072-16C9-13FF-4D00-C415C6301D74}"/>
                  </a:ext>
                </a:extLst>
              </xdr:cNvPr>
              <xdr:cNvSpPr txBox="1"/>
            </xdr:nvSpPr>
            <xdr:spPr>
              <a:xfrm>
                <a:off x="88941" y="5494109"/>
                <a:ext cx="954272" cy="3025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FAAF8944-F6CB-4AE2-87CB-8CFF5549EE0B}" type="TxLink">
                  <a:rPr lang="en-US" sz="1000" b="0" i="0" u="none" strike="noStrike">
                    <a:solidFill>
                      <a:schemeClr val="tx1">
                        <a:lumMod val="75000"/>
                        <a:lumOff val="25000"/>
                      </a:schemeClr>
                    </a:solidFill>
                    <a:latin typeface="Arial"/>
                    <a:cs typeface="Arial"/>
                  </a:rPr>
                  <a:pPr algn="l"/>
                  <a:t>0,0K</a:t>
                </a:fld>
                <a:endParaRPr lang="en-US" sz="1800" b="0">
                  <a:solidFill>
                    <a:schemeClr val="tx1">
                      <a:lumMod val="75000"/>
                      <a:lumOff val="25000"/>
                    </a:schemeClr>
                  </a:solidFill>
                  <a:latin typeface="Avenir Next LT Pro Demi" panose="020B0704020202020204" pitchFamily="34" charset="0"/>
                </a:endParaRPr>
              </a:p>
            </xdr:txBody>
          </xdr:sp>
        </xdr:grpSp>
        <xdr:grpSp>
          <xdr:nvGrpSpPr>
            <xdr:cNvPr id="178" name="Group 177">
              <a:extLst>
                <a:ext uri="{FF2B5EF4-FFF2-40B4-BE49-F238E27FC236}">
                  <a16:creationId xmlns:a16="http://schemas.microsoft.com/office/drawing/2014/main" id="{B0E257CE-1968-415E-EF58-1B7A4C54FE39}"/>
                </a:ext>
              </a:extLst>
            </xdr:cNvPr>
            <xdr:cNvGrpSpPr/>
          </xdr:nvGrpSpPr>
          <xdr:grpSpPr>
            <a:xfrm>
              <a:off x="1821584" y="5516790"/>
              <a:ext cx="1005840" cy="483967"/>
              <a:chOff x="88941" y="5757177"/>
              <a:chExt cx="1005840" cy="483967"/>
            </a:xfrm>
          </xdr:grpSpPr>
          <xdr:sp macro="" textlink="PivotTables!DK6">
            <xdr:nvSpPr>
              <xdr:cNvPr id="179" name="TextBox 178">
                <a:extLst>
                  <a:ext uri="{FF2B5EF4-FFF2-40B4-BE49-F238E27FC236}">
                    <a16:creationId xmlns:a16="http://schemas.microsoft.com/office/drawing/2014/main" id="{BA0F3A55-7EF4-9B0F-F53A-FDB1F579490E}"/>
                  </a:ext>
                </a:extLst>
              </xdr:cNvPr>
              <xdr:cNvSpPr txBox="1"/>
            </xdr:nvSpPr>
            <xdr:spPr>
              <a:xfrm>
                <a:off x="88941" y="5757177"/>
                <a:ext cx="1005840" cy="3165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9F3114FC-C698-4EE1-A56D-9EABE657319D}" type="TxLink">
                  <a:rPr lang="en-US" sz="1000" b="1" i="0" u="none" strike="noStrike">
                    <a:solidFill>
                      <a:schemeClr val="tx1">
                        <a:lumMod val="75000"/>
                        <a:lumOff val="25000"/>
                      </a:schemeClr>
                    </a:solidFill>
                    <a:latin typeface="Arial"/>
                    <a:cs typeface="Arial"/>
                  </a:rPr>
                  <a:pPr algn="l"/>
                  <a:t>0</a:t>
                </a:fld>
                <a:endParaRPr lang="en-US" sz="1200">
                  <a:solidFill>
                    <a:schemeClr val="tx1">
                      <a:lumMod val="75000"/>
                      <a:lumOff val="25000"/>
                    </a:schemeClr>
                  </a:solidFill>
                  <a:latin typeface="Avenir Next LT Pro Demi" panose="020B0704020202020204" pitchFamily="34" charset="0"/>
                </a:endParaRPr>
              </a:p>
            </xdr:txBody>
          </xdr:sp>
          <xdr:sp macro="" textlink="PivotTables!DK7">
            <xdr:nvSpPr>
              <xdr:cNvPr id="180" name="TextBox 179">
                <a:extLst>
                  <a:ext uri="{FF2B5EF4-FFF2-40B4-BE49-F238E27FC236}">
                    <a16:creationId xmlns:a16="http://schemas.microsoft.com/office/drawing/2014/main" id="{3F93C77D-DE19-166F-A99A-E26CFB6E01A4}"/>
                  </a:ext>
                </a:extLst>
              </xdr:cNvPr>
              <xdr:cNvSpPr txBox="1"/>
            </xdr:nvSpPr>
            <xdr:spPr>
              <a:xfrm>
                <a:off x="88941" y="5938609"/>
                <a:ext cx="954272" cy="3025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C0724503-3944-408A-B3F6-35FF3C21260E}" type="TxLink">
                  <a:rPr lang="en-US" sz="1000" b="0" i="0" u="none" strike="noStrike">
                    <a:solidFill>
                      <a:schemeClr val="tx1">
                        <a:lumMod val="75000"/>
                        <a:lumOff val="25000"/>
                      </a:schemeClr>
                    </a:solidFill>
                    <a:latin typeface="Arial"/>
                    <a:ea typeface="+mn-ea"/>
                    <a:cs typeface="Arial"/>
                  </a:rPr>
                  <a:pPr marL="0" indent="0" algn="l"/>
                  <a:t>0,0K</a:t>
                </a:fld>
                <a:endParaRPr lang="en-US" sz="1100" b="0" i="0" u="none" strike="noStrike">
                  <a:solidFill>
                    <a:schemeClr val="tx1">
                      <a:lumMod val="75000"/>
                      <a:lumOff val="25000"/>
                    </a:schemeClr>
                  </a:solidFill>
                  <a:latin typeface="Arial"/>
                  <a:ea typeface="+mn-ea"/>
                  <a:cs typeface="Arial"/>
                </a:endParaRPr>
              </a:p>
            </xdr:txBody>
          </xdr:sp>
        </xdr:grpSp>
        <xdr:grpSp>
          <xdr:nvGrpSpPr>
            <xdr:cNvPr id="181" name="Group 180">
              <a:extLst>
                <a:ext uri="{FF2B5EF4-FFF2-40B4-BE49-F238E27FC236}">
                  <a16:creationId xmlns:a16="http://schemas.microsoft.com/office/drawing/2014/main" id="{1DB16C75-EF8F-CBE6-629A-63B83E14EE49}"/>
                </a:ext>
              </a:extLst>
            </xdr:cNvPr>
            <xdr:cNvGrpSpPr/>
          </xdr:nvGrpSpPr>
          <xdr:grpSpPr>
            <a:xfrm>
              <a:off x="1821584" y="6011183"/>
              <a:ext cx="1005840" cy="483967"/>
              <a:chOff x="88941" y="6301463"/>
              <a:chExt cx="1005840" cy="483967"/>
            </a:xfrm>
          </xdr:grpSpPr>
          <xdr:sp macro="" textlink="PivotTables!DL6">
            <xdr:nvSpPr>
              <xdr:cNvPr id="182" name="TextBox 181">
                <a:extLst>
                  <a:ext uri="{FF2B5EF4-FFF2-40B4-BE49-F238E27FC236}">
                    <a16:creationId xmlns:a16="http://schemas.microsoft.com/office/drawing/2014/main" id="{FAF982CA-FE2C-11A7-4D95-E72E9D920CD5}"/>
                  </a:ext>
                </a:extLst>
              </xdr:cNvPr>
              <xdr:cNvSpPr txBox="1"/>
            </xdr:nvSpPr>
            <xdr:spPr>
              <a:xfrm>
                <a:off x="88941" y="6301463"/>
                <a:ext cx="1005840" cy="31659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fld id="{75538EEC-A459-42B2-8B10-11202672575F}" type="TxLink">
                  <a:rPr lang="en-US" sz="1000" b="1" i="0" u="none" strike="noStrike">
                    <a:solidFill>
                      <a:schemeClr val="tx1">
                        <a:lumMod val="75000"/>
                        <a:lumOff val="25000"/>
                      </a:schemeClr>
                    </a:solidFill>
                    <a:latin typeface="Arial"/>
                    <a:cs typeface="Arial"/>
                  </a:rPr>
                  <a:pPr algn="l"/>
                  <a:t>0</a:t>
                </a:fld>
                <a:endParaRPr lang="en-US" sz="1200">
                  <a:solidFill>
                    <a:schemeClr val="tx1">
                      <a:lumMod val="75000"/>
                      <a:lumOff val="25000"/>
                    </a:schemeClr>
                  </a:solidFill>
                  <a:latin typeface="Avenir Next LT Pro Demi" panose="020B0704020202020204" pitchFamily="34" charset="0"/>
                </a:endParaRPr>
              </a:p>
            </xdr:txBody>
          </xdr:sp>
          <xdr:sp macro="" textlink="PivotTables!DL7">
            <xdr:nvSpPr>
              <xdr:cNvPr id="183" name="TextBox 182">
                <a:extLst>
                  <a:ext uri="{FF2B5EF4-FFF2-40B4-BE49-F238E27FC236}">
                    <a16:creationId xmlns:a16="http://schemas.microsoft.com/office/drawing/2014/main" id="{5CFBE839-5458-80FD-3B40-5B39EBEE10AE}"/>
                  </a:ext>
                </a:extLst>
              </xdr:cNvPr>
              <xdr:cNvSpPr txBox="1"/>
            </xdr:nvSpPr>
            <xdr:spPr>
              <a:xfrm>
                <a:off x="88941" y="6482895"/>
                <a:ext cx="954272" cy="302535"/>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l"/>
                <a:fld id="{D30CC6F3-6EED-4EA1-8A48-9EBF85E32479}" type="TxLink">
                  <a:rPr lang="en-US" sz="1000" b="0" i="0" u="none" strike="noStrike">
                    <a:solidFill>
                      <a:schemeClr val="tx1">
                        <a:lumMod val="75000"/>
                        <a:lumOff val="25000"/>
                      </a:schemeClr>
                    </a:solidFill>
                    <a:latin typeface="Arial"/>
                    <a:ea typeface="+mn-ea"/>
                    <a:cs typeface="Arial"/>
                  </a:rPr>
                  <a:pPr marL="0" indent="0" algn="l"/>
                  <a:t>0,0K</a:t>
                </a:fld>
                <a:endParaRPr lang="en-US" sz="1100" b="0" i="0" u="none" strike="noStrike">
                  <a:solidFill>
                    <a:schemeClr val="tx1">
                      <a:lumMod val="75000"/>
                      <a:lumOff val="25000"/>
                    </a:schemeClr>
                  </a:solidFill>
                  <a:latin typeface="Arial"/>
                  <a:ea typeface="+mn-ea"/>
                  <a:cs typeface="Arial"/>
                </a:endParaRPr>
              </a:p>
            </xdr:txBody>
          </xdr:sp>
        </xdr:grpSp>
      </xdr:grpSp>
    </xdr:grpSp>
    <xdr:clientData/>
  </xdr:twoCellAnchor>
  <xdr:twoCellAnchor editAs="absolute">
    <xdr:from>
      <xdr:col>0</xdr:col>
      <xdr:colOff>36286</xdr:colOff>
      <xdr:row>35</xdr:row>
      <xdr:rowOff>64408</xdr:rowOff>
    </xdr:from>
    <xdr:to>
      <xdr:col>5</xdr:col>
      <xdr:colOff>299357</xdr:colOff>
      <xdr:row>38</xdr:row>
      <xdr:rowOff>37193</xdr:rowOff>
    </xdr:to>
    <xdr:sp macro="" textlink="">
      <xdr:nvSpPr>
        <xdr:cNvPr id="185" name="Rectangle: Rounded Corners 184">
          <a:extLst>
            <a:ext uri="{FF2B5EF4-FFF2-40B4-BE49-F238E27FC236}">
              <a16:creationId xmlns:a16="http://schemas.microsoft.com/office/drawing/2014/main" id="{4D6E6DB7-6298-534A-C6C6-2D15025522CD}"/>
            </a:ext>
          </a:extLst>
        </xdr:cNvPr>
        <xdr:cNvSpPr/>
      </xdr:nvSpPr>
      <xdr:spPr>
        <a:xfrm>
          <a:off x="36286" y="6414408"/>
          <a:ext cx="3302000" cy="517071"/>
        </a:xfrm>
        <a:prstGeom prst="roundRect">
          <a:avLst>
            <a:gd name="adj" fmla="val 5069"/>
          </a:avLst>
        </a:prstGeom>
        <a:solidFill>
          <a:schemeClr val="bg1"/>
        </a:solidFill>
        <a:ln>
          <a:noFill/>
        </a:ln>
        <a:effectLst>
          <a:outerShdw blurRad="279400" dist="50800" dir="2700000" algn="tl" rotWithShape="0">
            <a:prstClr val="black">
              <a:alpha val="12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solidFill>
              <a:schemeClr val="tx1">
                <a:lumMod val="65000"/>
                <a:lumOff val="35000"/>
              </a:schemeClr>
            </a:solidFill>
          </a:endParaRPr>
        </a:p>
      </xdr:txBody>
    </xdr:sp>
    <xdr:clientData/>
  </xdr:twoCellAnchor>
  <xdr:twoCellAnchor editAs="absolute">
    <xdr:from>
      <xdr:col>2</xdr:col>
      <xdr:colOff>453571</xdr:colOff>
      <xdr:row>34</xdr:row>
      <xdr:rowOff>158297</xdr:rowOff>
    </xdr:from>
    <xdr:to>
      <xdr:col>5</xdr:col>
      <xdr:colOff>439960</xdr:colOff>
      <xdr:row>38</xdr:row>
      <xdr:rowOff>174625</xdr:rowOff>
    </xdr:to>
    <xdr:graphicFrame macro="">
      <xdr:nvGraphicFramePr>
        <xdr:cNvPr id="187" name="Chart 186">
          <a:extLst>
            <a:ext uri="{FF2B5EF4-FFF2-40B4-BE49-F238E27FC236}">
              <a16:creationId xmlns:a16="http://schemas.microsoft.com/office/drawing/2014/main" id="{D8DC9D0F-B4F9-4CE2-8840-47A5F48FC0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0"/>
        </a:graphicData>
      </a:graphic>
    </xdr:graphicFrame>
    <xdr:clientData/>
  </xdr:twoCellAnchor>
  <xdr:twoCellAnchor editAs="absolute">
    <xdr:from>
      <xdr:col>0</xdr:col>
      <xdr:colOff>80779</xdr:colOff>
      <xdr:row>35</xdr:row>
      <xdr:rowOff>73480</xdr:rowOff>
    </xdr:from>
    <xdr:to>
      <xdr:col>1</xdr:col>
      <xdr:colOff>444500</xdr:colOff>
      <xdr:row>38</xdr:row>
      <xdr:rowOff>37194</xdr:rowOff>
    </xdr:to>
    <xdr:sp macro="" textlink="">
      <xdr:nvSpPr>
        <xdr:cNvPr id="188" name="TextBox 187">
          <a:extLst>
            <a:ext uri="{FF2B5EF4-FFF2-40B4-BE49-F238E27FC236}">
              <a16:creationId xmlns:a16="http://schemas.microsoft.com/office/drawing/2014/main" id="{F36342E4-25E9-7571-E38C-047340D82CEC}"/>
            </a:ext>
          </a:extLst>
        </xdr:cNvPr>
        <xdr:cNvSpPr txBox="1"/>
      </xdr:nvSpPr>
      <xdr:spPr>
        <a:xfrm>
          <a:off x="80779" y="6423480"/>
          <a:ext cx="971507" cy="5080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a:solidFill>
                <a:schemeClr val="tx1"/>
              </a:solidFill>
              <a:latin typeface="Avenir Next LT Pro Demi" panose="020B0704020202020204" pitchFamily="34" charset="0"/>
            </a:rPr>
            <a:t>Average</a:t>
          </a:r>
        </a:p>
        <a:p>
          <a:pPr algn="l"/>
          <a:r>
            <a:rPr lang="en-US" sz="800">
              <a:solidFill>
                <a:schemeClr val="tx1">
                  <a:lumMod val="65000"/>
                  <a:lumOff val="35000"/>
                </a:schemeClr>
              </a:solidFill>
              <a:latin typeface="Avenir Next LT Pro Demi" panose="020B0704020202020204" pitchFamily="34" charset="0"/>
            </a:rPr>
            <a:t>Not Paid</a:t>
          </a:r>
          <a:r>
            <a:rPr lang="en-US" sz="800" baseline="0">
              <a:solidFill>
                <a:schemeClr val="tx1">
                  <a:lumMod val="65000"/>
                  <a:lumOff val="35000"/>
                </a:schemeClr>
              </a:solidFill>
              <a:latin typeface="Avenir Next LT Pro Demi" panose="020B0704020202020204" pitchFamily="34" charset="0"/>
            </a:rPr>
            <a:t> Orders</a:t>
          </a:r>
          <a:endParaRPr lang="en-US" sz="800">
            <a:solidFill>
              <a:schemeClr val="tx1">
                <a:lumMod val="65000"/>
                <a:lumOff val="35000"/>
              </a:schemeClr>
            </a:solidFill>
            <a:latin typeface="Avenir Next LT Pro Demi" panose="020B0704020202020204" pitchFamily="34" charset="0"/>
          </a:endParaRPr>
        </a:p>
      </xdr:txBody>
    </xdr:sp>
    <xdr:clientData/>
  </xdr:twoCellAnchor>
  <xdr:twoCellAnchor editAs="absolute">
    <xdr:from>
      <xdr:col>1</xdr:col>
      <xdr:colOff>253136</xdr:colOff>
      <xdr:row>35</xdr:row>
      <xdr:rowOff>73480</xdr:rowOff>
    </xdr:from>
    <xdr:to>
      <xdr:col>2</xdr:col>
      <xdr:colOff>299358</xdr:colOff>
      <xdr:row>38</xdr:row>
      <xdr:rowOff>25402</xdr:rowOff>
    </xdr:to>
    <xdr:sp macro="" textlink="PivotTables!DY6">
      <xdr:nvSpPr>
        <xdr:cNvPr id="189" name="TextBox 188">
          <a:extLst>
            <a:ext uri="{FF2B5EF4-FFF2-40B4-BE49-F238E27FC236}">
              <a16:creationId xmlns:a16="http://schemas.microsoft.com/office/drawing/2014/main" id="{396340CA-7F1A-8277-1218-625A7C820625}"/>
            </a:ext>
          </a:extLst>
        </xdr:cNvPr>
        <xdr:cNvSpPr txBox="1"/>
      </xdr:nvSpPr>
      <xdr:spPr>
        <a:xfrm>
          <a:off x="860922" y="6423480"/>
          <a:ext cx="654007" cy="49620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C7CFB6FA-F42F-437C-BD19-EB845BD2D56C}" type="TxLink">
            <a:rPr lang="en-US" sz="1600" b="1" i="0" u="none" strike="noStrike">
              <a:solidFill>
                <a:srgbClr val="000000"/>
              </a:solidFill>
              <a:latin typeface="Avenir Next LT Pro Demi" panose="020B0704020202020204" pitchFamily="34" charset="0"/>
              <a:cs typeface="Arial"/>
            </a:rPr>
            <a:pPr algn="ctr"/>
            <a:t>#REF!</a:t>
          </a:fld>
          <a:endParaRPr lang="en-US" sz="4000">
            <a:solidFill>
              <a:schemeClr val="tx1">
                <a:lumMod val="85000"/>
                <a:lumOff val="15000"/>
              </a:schemeClr>
            </a:solidFill>
            <a:latin typeface="Avenir Next LT Pro Demi" panose="020B0704020202020204" pitchFamily="34" charset="0"/>
          </a:endParaRPr>
        </a:p>
      </xdr:txBody>
    </xdr:sp>
    <xdr:clientData/>
  </xdr:twoCellAnchor>
  <xdr:twoCellAnchor editAs="absolute">
    <xdr:from>
      <xdr:col>1</xdr:col>
      <xdr:colOff>579702</xdr:colOff>
      <xdr:row>36</xdr:row>
      <xdr:rowOff>56246</xdr:rowOff>
    </xdr:from>
    <xdr:to>
      <xdr:col>2</xdr:col>
      <xdr:colOff>571501</xdr:colOff>
      <xdr:row>37</xdr:row>
      <xdr:rowOff>146052</xdr:rowOff>
    </xdr:to>
    <xdr:sp macro="" textlink="">
      <xdr:nvSpPr>
        <xdr:cNvPr id="190" name="TextBox 189">
          <a:extLst>
            <a:ext uri="{FF2B5EF4-FFF2-40B4-BE49-F238E27FC236}">
              <a16:creationId xmlns:a16="http://schemas.microsoft.com/office/drawing/2014/main" id="{76C5C6B5-60F1-5990-EF32-966CAE6E8B1F}"/>
            </a:ext>
          </a:extLst>
        </xdr:cNvPr>
        <xdr:cNvSpPr txBox="1"/>
      </xdr:nvSpPr>
      <xdr:spPr>
        <a:xfrm>
          <a:off x="1187488" y="6587675"/>
          <a:ext cx="599584" cy="27123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800">
              <a:solidFill>
                <a:schemeClr val="tx1">
                  <a:lumMod val="65000"/>
                  <a:lumOff val="35000"/>
                </a:schemeClr>
              </a:solidFill>
              <a:latin typeface="Arial" panose="020B0604020202020204" pitchFamily="34" charset="0"/>
              <a:cs typeface="Arial" panose="020B0604020202020204" pitchFamily="34" charset="0"/>
            </a:rPr>
            <a:t>Orders</a:t>
          </a:r>
          <a:endParaRPr lang="en-US" sz="900">
            <a:solidFill>
              <a:schemeClr val="tx1">
                <a:lumMod val="65000"/>
                <a:lumOff val="35000"/>
              </a:schemeClr>
            </a:solidFill>
            <a:latin typeface="Arial" panose="020B0604020202020204" pitchFamily="34" charset="0"/>
            <a:cs typeface="Arial" panose="020B0604020202020204" pitchFamily="34" charset="0"/>
          </a:endParaRPr>
        </a:p>
      </xdr:txBody>
    </xdr:sp>
    <xdr:clientData/>
  </xdr:twoCellAnchor>
  <xdr:twoCellAnchor editAs="absolute">
    <xdr:from>
      <xdr:col>19</xdr:col>
      <xdr:colOff>36284</xdr:colOff>
      <xdr:row>38</xdr:row>
      <xdr:rowOff>141061</xdr:rowOff>
    </xdr:from>
    <xdr:to>
      <xdr:col>27</xdr:col>
      <xdr:colOff>579014</xdr:colOff>
      <xdr:row>50</xdr:row>
      <xdr:rowOff>54428</xdr:rowOff>
    </xdr:to>
    <xdr:sp macro="" textlink="">
      <xdr:nvSpPr>
        <xdr:cNvPr id="184" name="Rectangle: Rounded Corners 183">
          <a:extLst>
            <a:ext uri="{FF2B5EF4-FFF2-40B4-BE49-F238E27FC236}">
              <a16:creationId xmlns:a16="http://schemas.microsoft.com/office/drawing/2014/main" id="{FDEAE4C4-189B-577F-506B-BA51A708A59D}"/>
            </a:ext>
          </a:extLst>
        </xdr:cNvPr>
        <xdr:cNvSpPr/>
      </xdr:nvSpPr>
      <xdr:spPr>
        <a:xfrm>
          <a:off x="11584213" y="7035347"/>
          <a:ext cx="5405015" cy="2090510"/>
        </a:xfrm>
        <a:prstGeom prst="roundRect">
          <a:avLst>
            <a:gd name="adj" fmla="val 6824"/>
          </a:avLst>
        </a:prstGeom>
        <a:solidFill>
          <a:schemeClr val="bg1"/>
        </a:solidFill>
        <a:ln>
          <a:noFill/>
        </a:ln>
        <a:effectLst>
          <a:outerShdw blurRad="279400" dist="50800" dir="2700000" algn="tl" rotWithShape="0">
            <a:prstClr val="black">
              <a:alpha val="12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19</xdr:col>
      <xdr:colOff>63505</xdr:colOff>
      <xdr:row>39</xdr:row>
      <xdr:rowOff>117929</xdr:rowOff>
    </xdr:from>
    <xdr:to>
      <xdr:col>27</xdr:col>
      <xdr:colOff>371930</xdr:colOff>
      <xdr:row>50</xdr:row>
      <xdr:rowOff>27214</xdr:rowOff>
    </xdr:to>
    <xdr:graphicFrame macro="">
      <xdr:nvGraphicFramePr>
        <xdr:cNvPr id="186" name="Chart 185">
          <a:extLst>
            <a:ext uri="{FF2B5EF4-FFF2-40B4-BE49-F238E27FC236}">
              <a16:creationId xmlns:a16="http://schemas.microsoft.com/office/drawing/2014/main" id="{6FB1E59F-E282-49BA-A8C4-8A064F35791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1"/>
        </a:graphicData>
      </a:graphic>
    </xdr:graphicFrame>
    <xdr:clientData/>
  </xdr:twoCellAnchor>
  <xdr:twoCellAnchor editAs="absolute">
    <xdr:from>
      <xdr:col>19</xdr:col>
      <xdr:colOff>534356</xdr:colOff>
      <xdr:row>38</xdr:row>
      <xdr:rowOff>164194</xdr:rowOff>
    </xdr:from>
    <xdr:to>
      <xdr:col>22</xdr:col>
      <xdr:colOff>117926</xdr:colOff>
      <xdr:row>41</xdr:row>
      <xdr:rowOff>63502</xdr:rowOff>
    </xdr:to>
    <xdr:sp macro="" textlink="">
      <xdr:nvSpPr>
        <xdr:cNvPr id="191" name="TextBox 190">
          <a:extLst>
            <a:ext uri="{FF2B5EF4-FFF2-40B4-BE49-F238E27FC236}">
              <a16:creationId xmlns:a16="http://schemas.microsoft.com/office/drawing/2014/main" id="{910597A3-66C3-3687-0895-032E90020332}"/>
            </a:ext>
          </a:extLst>
        </xdr:cNvPr>
        <xdr:cNvSpPr txBox="1"/>
      </xdr:nvSpPr>
      <xdr:spPr>
        <a:xfrm>
          <a:off x="12082285" y="7058480"/>
          <a:ext cx="1406927" cy="4435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a:solidFill>
                <a:schemeClr val="tx1"/>
              </a:solidFill>
              <a:latin typeface="Avenir Next LT Pro Demi" panose="020B0704020202020204" pitchFamily="34" charset="0"/>
            </a:rPr>
            <a:t>Total Sales</a:t>
          </a:r>
        </a:p>
        <a:p>
          <a:pPr algn="l"/>
          <a:r>
            <a:rPr lang="en-US" sz="1000">
              <a:solidFill>
                <a:schemeClr val="tx1">
                  <a:lumMod val="65000"/>
                  <a:lumOff val="35000"/>
                </a:schemeClr>
              </a:solidFill>
              <a:latin typeface="Avenir Next LT Pro Demi" panose="020B0704020202020204" pitchFamily="34" charset="0"/>
            </a:rPr>
            <a:t>by Product</a:t>
          </a:r>
          <a:r>
            <a:rPr lang="en-US" sz="1000" baseline="0">
              <a:solidFill>
                <a:schemeClr val="tx1">
                  <a:lumMod val="65000"/>
                  <a:lumOff val="35000"/>
                </a:schemeClr>
              </a:solidFill>
              <a:latin typeface="Avenir Next LT Pro Demi" panose="020B0704020202020204" pitchFamily="34" charset="0"/>
            </a:rPr>
            <a:t> Category</a:t>
          </a:r>
          <a:endParaRPr lang="en-US" sz="1100">
            <a:solidFill>
              <a:schemeClr val="tx1">
                <a:lumMod val="65000"/>
                <a:lumOff val="35000"/>
              </a:schemeClr>
            </a:solidFill>
            <a:latin typeface="Avenir Next LT Pro Demi" panose="020B0704020202020204" pitchFamily="34" charset="0"/>
          </a:endParaRPr>
        </a:p>
      </xdr:txBody>
    </xdr:sp>
    <xdr:clientData/>
  </xdr:twoCellAnchor>
  <xdr:twoCellAnchor editAs="absolute">
    <xdr:from>
      <xdr:col>26</xdr:col>
      <xdr:colOff>0</xdr:colOff>
      <xdr:row>39</xdr:row>
      <xdr:rowOff>58961</xdr:rowOff>
    </xdr:from>
    <xdr:to>
      <xdr:col>27</xdr:col>
      <xdr:colOff>579014</xdr:colOff>
      <xdr:row>42</xdr:row>
      <xdr:rowOff>36282</xdr:rowOff>
    </xdr:to>
    <xdr:sp macro="" textlink="">
      <xdr:nvSpPr>
        <xdr:cNvPr id="37" name="Rectangle: Top Corners Rounded 36">
          <a:extLst>
            <a:ext uri="{FF2B5EF4-FFF2-40B4-BE49-F238E27FC236}">
              <a16:creationId xmlns:a16="http://schemas.microsoft.com/office/drawing/2014/main" id="{ABCCF9FD-7242-2A61-4919-F06891514CD1}"/>
            </a:ext>
          </a:extLst>
        </xdr:cNvPr>
        <xdr:cNvSpPr/>
      </xdr:nvSpPr>
      <xdr:spPr>
        <a:xfrm rot="16200000">
          <a:off x="16135025" y="6802079"/>
          <a:ext cx="521607" cy="1186799"/>
        </a:xfrm>
        <a:prstGeom prst="round2SameRect">
          <a:avLst/>
        </a:prstGeom>
        <a:solidFill>
          <a:srgbClr val="362F48"/>
        </a:solidFill>
        <a:ln>
          <a:noFill/>
        </a:ln>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26</xdr:col>
      <xdr:colOff>479931</xdr:colOff>
      <xdr:row>39</xdr:row>
      <xdr:rowOff>97968</xdr:rowOff>
    </xdr:from>
    <xdr:to>
      <xdr:col>28</xdr:col>
      <xdr:colOff>18143</xdr:colOff>
      <xdr:row>41</xdr:row>
      <xdr:rowOff>178704</xdr:rowOff>
    </xdr:to>
    <xdr:sp macro="" textlink="">
      <xdr:nvSpPr>
        <xdr:cNvPr id="192" name="TextBox 191">
          <a:extLst>
            <a:ext uri="{FF2B5EF4-FFF2-40B4-BE49-F238E27FC236}">
              <a16:creationId xmlns:a16="http://schemas.microsoft.com/office/drawing/2014/main" id="{D66D3FDF-9C2B-2054-91E1-E2EB534DB7CC}"/>
            </a:ext>
          </a:extLst>
        </xdr:cNvPr>
        <xdr:cNvSpPr txBox="1"/>
      </xdr:nvSpPr>
      <xdr:spPr>
        <a:xfrm>
          <a:off x="16282360" y="7173682"/>
          <a:ext cx="753783" cy="4435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000">
              <a:solidFill>
                <a:srgbClr val="DB2D4A"/>
              </a:solidFill>
              <a:latin typeface="Avenir Next LT Pro Demi" panose="020B0704020202020204" pitchFamily="34" charset="0"/>
            </a:rPr>
            <a:t>Product</a:t>
          </a:r>
          <a:r>
            <a:rPr lang="en-US" sz="1000" baseline="0">
              <a:solidFill>
                <a:srgbClr val="DB2D4A"/>
              </a:solidFill>
              <a:latin typeface="Avenir Next LT Pro Demi" panose="020B0704020202020204" pitchFamily="34" charset="0"/>
            </a:rPr>
            <a:t> Category</a:t>
          </a:r>
          <a:endParaRPr lang="en-US" sz="1100">
            <a:solidFill>
              <a:srgbClr val="DB2D4A"/>
            </a:solidFill>
            <a:latin typeface="Avenir Next LT Pro Demi" panose="020B0704020202020204" pitchFamily="34" charset="0"/>
          </a:endParaRPr>
        </a:p>
      </xdr:txBody>
    </xdr:sp>
    <xdr:clientData/>
  </xdr:twoCellAnchor>
  <xdr:twoCellAnchor editAs="absolute">
    <xdr:from>
      <xdr:col>25</xdr:col>
      <xdr:colOff>508002</xdr:colOff>
      <xdr:row>39</xdr:row>
      <xdr:rowOff>97968</xdr:rowOff>
    </xdr:from>
    <xdr:to>
      <xdr:col>26</xdr:col>
      <xdr:colOff>417287</xdr:colOff>
      <xdr:row>41</xdr:row>
      <xdr:rowOff>178704</xdr:rowOff>
    </xdr:to>
    <xdr:sp macro="" textlink="PivotTables!EM6">
      <xdr:nvSpPr>
        <xdr:cNvPr id="193" name="TextBox 192">
          <a:extLst>
            <a:ext uri="{FF2B5EF4-FFF2-40B4-BE49-F238E27FC236}">
              <a16:creationId xmlns:a16="http://schemas.microsoft.com/office/drawing/2014/main" id="{17589104-5072-AAAA-CA3E-4B96B20C1423}"/>
            </a:ext>
          </a:extLst>
        </xdr:cNvPr>
        <xdr:cNvSpPr txBox="1"/>
      </xdr:nvSpPr>
      <xdr:spPr>
        <a:xfrm>
          <a:off x="15702645" y="7173682"/>
          <a:ext cx="517071" cy="4435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r"/>
          <a:fld id="{5C7F9419-17A1-47D5-9B78-1E818EB2103A}" type="TxLink">
            <a:rPr lang="en-US" sz="1600" b="0" i="0" u="none" strike="noStrike">
              <a:solidFill>
                <a:schemeClr val="bg1"/>
              </a:solidFill>
              <a:latin typeface="Avenir Next LT Pro Demi" panose="020B0704020202020204" pitchFamily="34" charset="0"/>
              <a:cs typeface="Arial"/>
            </a:rPr>
            <a:pPr algn="r"/>
            <a:t> </a:t>
          </a:fld>
          <a:endParaRPr lang="en-US" sz="2000">
            <a:solidFill>
              <a:schemeClr val="bg1"/>
            </a:solidFill>
            <a:latin typeface="Avenir Next LT Pro Demi" panose="020B0704020202020204" pitchFamily="34" charset="0"/>
          </a:endParaRPr>
        </a:p>
      </xdr:txBody>
    </xdr:sp>
    <xdr:clientData/>
  </xdr:twoCellAnchor>
  <xdr:twoCellAnchor editAs="absolute">
    <xdr:from>
      <xdr:col>26</xdr:col>
      <xdr:colOff>456092</xdr:colOff>
      <xdr:row>39</xdr:row>
      <xdr:rowOff>136884</xdr:rowOff>
    </xdr:from>
    <xdr:to>
      <xdr:col>26</xdr:col>
      <xdr:colOff>459267</xdr:colOff>
      <xdr:row>41</xdr:row>
      <xdr:rowOff>148318</xdr:rowOff>
    </xdr:to>
    <xdr:cxnSp macro="">
      <xdr:nvCxnSpPr>
        <xdr:cNvPr id="41" name="Straight Connector 40">
          <a:extLst>
            <a:ext uri="{FF2B5EF4-FFF2-40B4-BE49-F238E27FC236}">
              <a16:creationId xmlns:a16="http://schemas.microsoft.com/office/drawing/2014/main" id="{15DE725B-8489-57AD-D5C0-40EFC15F00A9}"/>
            </a:ext>
          </a:extLst>
        </xdr:cNvPr>
        <xdr:cNvCxnSpPr/>
      </xdr:nvCxnSpPr>
      <xdr:spPr>
        <a:xfrm flipH="1">
          <a:off x="16258521" y="7212598"/>
          <a:ext cx="3175" cy="374291"/>
        </a:xfrm>
        <a:prstGeom prst="line">
          <a:avLst/>
        </a:prstGeom>
        <a:ln>
          <a:solidFill>
            <a:srgbClr val="DB2D4A"/>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13</xdr:col>
      <xdr:colOff>72572</xdr:colOff>
      <xdr:row>38</xdr:row>
      <xdr:rowOff>141061</xdr:rowOff>
    </xdr:from>
    <xdr:to>
      <xdr:col>18</xdr:col>
      <xdr:colOff>517070</xdr:colOff>
      <xdr:row>50</xdr:row>
      <xdr:rowOff>54428</xdr:rowOff>
    </xdr:to>
    <xdr:sp macro="" textlink="">
      <xdr:nvSpPr>
        <xdr:cNvPr id="194" name="Rectangle: Rounded Corners 193">
          <a:extLst>
            <a:ext uri="{FF2B5EF4-FFF2-40B4-BE49-F238E27FC236}">
              <a16:creationId xmlns:a16="http://schemas.microsoft.com/office/drawing/2014/main" id="{2B050786-437C-769E-9BED-7426D5A52AE3}"/>
            </a:ext>
          </a:extLst>
        </xdr:cNvPr>
        <xdr:cNvSpPr/>
      </xdr:nvSpPr>
      <xdr:spPr>
        <a:xfrm>
          <a:off x="7973786" y="7035347"/>
          <a:ext cx="3483427" cy="2090510"/>
        </a:xfrm>
        <a:prstGeom prst="roundRect">
          <a:avLst>
            <a:gd name="adj" fmla="val 6824"/>
          </a:avLst>
        </a:prstGeom>
        <a:solidFill>
          <a:schemeClr val="bg1"/>
        </a:solidFill>
        <a:ln>
          <a:noFill/>
        </a:ln>
        <a:effectLst>
          <a:outerShdw blurRad="279400" dist="50800" dir="2700000" algn="tl" rotWithShape="0">
            <a:prstClr val="black">
              <a:alpha val="12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13</xdr:col>
      <xdr:colOff>136071</xdr:colOff>
      <xdr:row>39</xdr:row>
      <xdr:rowOff>117926</xdr:rowOff>
    </xdr:from>
    <xdr:to>
      <xdr:col>18</xdr:col>
      <xdr:colOff>462643</xdr:colOff>
      <xdr:row>50</xdr:row>
      <xdr:rowOff>36284</xdr:rowOff>
    </xdr:to>
    <xdr:graphicFrame macro="">
      <xdr:nvGraphicFramePr>
        <xdr:cNvPr id="195" name="Chart 194">
          <a:extLst>
            <a:ext uri="{FF2B5EF4-FFF2-40B4-BE49-F238E27FC236}">
              <a16:creationId xmlns:a16="http://schemas.microsoft.com/office/drawing/2014/main" id="{9222EED0-0100-4F03-804B-A9ED0EB781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2"/>
        </a:graphicData>
      </a:graphic>
    </xdr:graphicFrame>
    <xdr:clientData/>
  </xdr:twoCellAnchor>
  <xdr:twoCellAnchor editAs="absolute">
    <xdr:from>
      <xdr:col>13</xdr:col>
      <xdr:colOff>153356</xdr:colOff>
      <xdr:row>38</xdr:row>
      <xdr:rowOff>136978</xdr:rowOff>
    </xdr:from>
    <xdr:to>
      <xdr:col>16</xdr:col>
      <xdr:colOff>45356</xdr:colOff>
      <xdr:row>41</xdr:row>
      <xdr:rowOff>36286</xdr:rowOff>
    </xdr:to>
    <xdr:sp macro="" textlink="">
      <xdr:nvSpPr>
        <xdr:cNvPr id="196" name="TextBox 195">
          <a:extLst>
            <a:ext uri="{FF2B5EF4-FFF2-40B4-BE49-F238E27FC236}">
              <a16:creationId xmlns:a16="http://schemas.microsoft.com/office/drawing/2014/main" id="{EBFDFC18-17EA-3F51-3963-97A0806707EB}"/>
            </a:ext>
          </a:extLst>
        </xdr:cNvPr>
        <xdr:cNvSpPr txBox="1"/>
      </xdr:nvSpPr>
      <xdr:spPr>
        <a:xfrm>
          <a:off x="8054570" y="7031264"/>
          <a:ext cx="1715357" cy="443593"/>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050">
              <a:solidFill>
                <a:schemeClr val="tx1"/>
              </a:solidFill>
              <a:latin typeface="Avenir Next LT Pro Demi" panose="020B0704020202020204" pitchFamily="34" charset="0"/>
            </a:rPr>
            <a:t>Product</a:t>
          </a:r>
          <a:r>
            <a:rPr lang="en-US" sz="1050" baseline="0">
              <a:solidFill>
                <a:schemeClr val="tx1"/>
              </a:solidFill>
              <a:latin typeface="Avenir Next LT Pro Demi" panose="020B0704020202020204" pitchFamily="34" charset="0"/>
            </a:rPr>
            <a:t> Category Sales</a:t>
          </a:r>
          <a:endParaRPr lang="en-US" sz="1050">
            <a:solidFill>
              <a:schemeClr val="tx1"/>
            </a:solidFill>
            <a:latin typeface="Avenir Next LT Pro Demi" panose="020B0704020202020204" pitchFamily="34" charset="0"/>
          </a:endParaRPr>
        </a:p>
        <a:p>
          <a:pPr algn="l"/>
          <a:r>
            <a:rPr lang="en-US" sz="900">
              <a:solidFill>
                <a:schemeClr val="tx1">
                  <a:lumMod val="65000"/>
                  <a:lumOff val="35000"/>
                </a:schemeClr>
              </a:solidFill>
              <a:latin typeface="Avenir Next LT Pro Demi" panose="020B0704020202020204" pitchFamily="34" charset="0"/>
            </a:rPr>
            <a:t>by Sales Team</a:t>
          </a:r>
          <a:endParaRPr lang="en-US" sz="1050">
            <a:solidFill>
              <a:schemeClr val="tx1">
                <a:lumMod val="65000"/>
                <a:lumOff val="35000"/>
              </a:schemeClr>
            </a:solidFill>
            <a:latin typeface="Avenir Next LT Pro Demi" panose="020B0704020202020204" pitchFamily="34" charset="0"/>
          </a:endParaRPr>
        </a:p>
      </xdr:txBody>
    </xdr:sp>
    <xdr:clientData/>
  </xdr:twoCellAnchor>
  <xdr:twoCellAnchor editAs="absolute">
    <xdr:from>
      <xdr:col>10</xdr:col>
      <xdr:colOff>81434</xdr:colOff>
      <xdr:row>38</xdr:row>
      <xdr:rowOff>146050</xdr:rowOff>
    </xdr:from>
    <xdr:to>
      <xdr:col>12</xdr:col>
      <xdr:colOff>584934</xdr:colOff>
      <xdr:row>50</xdr:row>
      <xdr:rowOff>62593</xdr:rowOff>
    </xdr:to>
    <xdr:sp macro="" textlink="">
      <xdr:nvSpPr>
        <xdr:cNvPr id="198" name="Rectangle: Rounded Corners 197">
          <a:extLst>
            <a:ext uri="{FF2B5EF4-FFF2-40B4-BE49-F238E27FC236}">
              <a16:creationId xmlns:a16="http://schemas.microsoft.com/office/drawing/2014/main" id="{1B6210F9-5818-9184-41CF-CB891D4A6CE5}"/>
            </a:ext>
          </a:extLst>
        </xdr:cNvPr>
        <xdr:cNvSpPr/>
      </xdr:nvSpPr>
      <xdr:spPr>
        <a:xfrm>
          <a:off x="6159291" y="7040336"/>
          <a:ext cx="1719072" cy="2093686"/>
        </a:xfrm>
        <a:prstGeom prst="roundRect">
          <a:avLst>
            <a:gd name="adj" fmla="val 6824"/>
          </a:avLst>
        </a:prstGeom>
        <a:solidFill>
          <a:srgbClr val="362F48"/>
        </a:solidFill>
        <a:ln>
          <a:noFill/>
        </a:ln>
        <a:effectLst>
          <a:outerShdw blurRad="279400" dist="50800" dir="2700000" algn="tl" rotWithShape="0">
            <a:prstClr val="black">
              <a:alpha val="12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10</xdr:col>
      <xdr:colOff>217501</xdr:colOff>
      <xdr:row>38</xdr:row>
      <xdr:rowOff>174755</xdr:rowOff>
    </xdr:from>
    <xdr:to>
      <xdr:col>12</xdr:col>
      <xdr:colOff>36284</xdr:colOff>
      <xdr:row>41</xdr:row>
      <xdr:rowOff>146188</xdr:rowOff>
    </xdr:to>
    <xdr:sp macro="" textlink="">
      <xdr:nvSpPr>
        <xdr:cNvPr id="200" name="TextBox 199">
          <a:extLst>
            <a:ext uri="{FF2B5EF4-FFF2-40B4-BE49-F238E27FC236}">
              <a16:creationId xmlns:a16="http://schemas.microsoft.com/office/drawing/2014/main" id="{1A4A534A-4BFF-9B34-CFB9-F9A254E05390}"/>
            </a:ext>
          </a:extLst>
        </xdr:cNvPr>
        <xdr:cNvSpPr txBox="1"/>
      </xdr:nvSpPr>
      <xdr:spPr>
        <a:xfrm>
          <a:off x="6295358" y="7069041"/>
          <a:ext cx="1034355" cy="515718"/>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200">
              <a:solidFill>
                <a:schemeClr val="bg1"/>
              </a:solidFill>
              <a:latin typeface="Avenir Next LT Pro Demi" panose="020B0704020202020204" pitchFamily="34" charset="0"/>
            </a:rPr>
            <a:t>Sales</a:t>
          </a:r>
          <a:r>
            <a:rPr lang="en-US" sz="1200" baseline="0">
              <a:solidFill>
                <a:schemeClr val="bg1"/>
              </a:solidFill>
              <a:latin typeface="Avenir Next LT Pro Demi" panose="020B0704020202020204" pitchFamily="34" charset="0"/>
            </a:rPr>
            <a:t> Team</a:t>
          </a:r>
          <a:endParaRPr lang="en-US" sz="1100">
            <a:solidFill>
              <a:schemeClr val="bg1"/>
            </a:solidFill>
            <a:latin typeface="Avenir Next LT Pro Demi" panose="020B0704020202020204" pitchFamily="34" charset="0"/>
          </a:endParaRPr>
        </a:p>
        <a:p>
          <a:pPr algn="l"/>
          <a:r>
            <a:rPr lang="en-US" sz="1000">
              <a:solidFill>
                <a:schemeClr val="bg1"/>
              </a:solidFill>
              <a:latin typeface="Avenir Next LT Pro Demi" panose="020B0704020202020204" pitchFamily="34" charset="0"/>
            </a:rPr>
            <a:t>Slicer</a:t>
          </a:r>
          <a:endParaRPr lang="en-US" sz="1100">
            <a:solidFill>
              <a:schemeClr val="bg1"/>
            </a:solidFill>
            <a:latin typeface="Avenir Next LT Pro Demi" panose="020B0704020202020204" pitchFamily="34" charset="0"/>
          </a:endParaRPr>
        </a:p>
      </xdr:txBody>
    </xdr:sp>
    <xdr:clientData/>
  </xdr:twoCellAnchor>
  <xdr:twoCellAnchor editAs="absolute">
    <xdr:from>
      <xdr:col>10</xdr:col>
      <xdr:colOff>282383</xdr:colOff>
      <xdr:row>41</xdr:row>
      <xdr:rowOff>146880</xdr:rowOff>
    </xdr:from>
    <xdr:to>
      <xdr:col>11</xdr:col>
      <xdr:colOff>588997</xdr:colOff>
      <xdr:row>41</xdr:row>
      <xdr:rowOff>156448</xdr:rowOff>
    </xdr:to>
    <xdr:cxnSp macro="">
      <xdr:nvCxnSpPr>
        <xdr:cNvPr id="201" name="Straight Connector 200">
          <a:extLst>
            <a:ext uri="{FF2B5EF4-FFF2-40B4-BE49-F238E27FC236}">
              <a16:creationId xmlns:a16="http://schemas.microsoft.com/office/drawing/2014/main" id="{5F06907E-B5D3-8DF3-E2DC-6BDFFE3553A7}"/>
            </a:ext>
          </a:extLst>
        </xdr:cNvPr>
        <xdr:cNvCxnSpPr/>
      </xdr:nvCxnSpPr>
      <xdr:spPr>
        <a:xfrm flipV="1">
          <a:off x="6360240" y="7585451"/>
          <a:ext cx="914400" cy="9568"/>
        </a:xfrm>
        <a:prstGeom prst="line">
          <a:avLst/>
        </a:prstGeom>
        <a:ln>
          <a:solidFill>
            <a:schemeClr val="bg1"/>
          </a:solidFill>
        </a:ln>
      </xdr:spPr>
      <xdr:style>
        <a:lnRef idx="1">
          <a:schemeClr val="accent1"/>
        </a:lnRef>
        <a:fillRef idx="0">
          <a:schemeClr val="accent1"/>
        </a:fillRef>
        <a:effectRef idx="0">
          <a:schemeClr val="accent1"/>
        </a:effectRef>
        <a:fontRef idx="minor">
          <a:schemeClr val="tx1"/>
        </a:fontRef>
      </xdr:style>
    </xdr:cxnSp>
    <xdr:clientData/>
  </xdr:twoCellAnchor>
  <xdr:twoCellAnchor editAs="absolute">
    <xdr:from>
      <xdr:col>12</xdr:col>
      <xdr:colOff>263080</xdr:colOff>
      <xdr:row>38</xdr:row>
      <xdr:rowOff>164227</xdr:rowOff>
    </xdr:from>
    <xdr:to>
      <xdr:col>13</xdr:col>
      <xdr:colOff>10895</xdr:colOff>
      <xdr:row>40</xdr:row>
      <xdr:rowOff>49182</xdr:rowOff>
    </xdr:to>
    <xdr:sp macro="" textlink="">
      <xdr:nvSpPr>
        <xdr:cNvPr id="202" name="TextBox 201">
          <a:hlinkClick xmlns:r="http://schemas.openxmlformats.org/officeDocument/2006/relationships" r:id="rId14" tooltip="Go to Database"/>
          <a:extLst>
            <a:ext uri="{FF2B5EF4-FFF2-40B4-BE49-F238E27FC236}">
              <a16:creationId xmlns:a16="http://schemas.microsoft.com/office/drawing/2014/main" id="{74CDA485-CFE3-BBAD-0995-B501C648B9B0}"/>
            </a:ext>
          </a:extLst>
        </xdr:cNvPr>
        <xdr:cNvSpPr txBox="1"/>
      </xdr:nvSpPr>
      <xdr:spPr>
        <a:xfrm>
          <a:off x="7556509" y="7058513"/>
          <a:ext cx="355600" cy="247812"/>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solidFill>
                <a:schemeClr val="bg1"/>
              </a:solidFill>
            </a:rPr>
            <a:t>↗</a:t>
          </a:r>
        </a:p>
      </xdr:txBody>
    </xdr:sp>
    <xdr:clientData/>
  </xdr:twoCellAnchor>
  <xdr:twoCellAnchor editAs="absolute">
    <xdr:from>
      <xdr:col>0</xdr:col>
      <xdr:colOff>63500</xdr:colOff>
      <xdr:row>38</xdr:row>
      <xdr:rowOff>141061</xdr:rowOff>
    </xdr:from>
    <xdr:to>
      <xdr:col>9</xdr:col>
      <xdr:colOff>553356</xdr:colOff>
      <xdr:row>50</xdr:row>
      <xdr:rowOff>68943</xdr:rowOff>
    </xdr:to>
    <xdr:sp macro="" textlink="">
      <xdr:nvSpPr>
        <xdr:cNvPr id="205" name="Rectangle: Rounded Corners 204">
          <a:extLst>
            <a:ext uri="{FF2B5EF4-FFF2-40B4-BE49-F238E27FC236}">
              <a16:creationId xmlns:a16="http://schemas.microsoft.com/office/drawing/2014/main" id="{BA0559CF-7A2A-ED29-66A0-6637D284248C}"/>
            </a:ext>
          </a:extLst>
        </xdr:cNvPr>
        <xdr:cNvSpPr/>
      </xdr:nvSpPr>
      <xdr:spPr>
        <a:xfrm>
          <a:off x="63500" y="7035347"/>
          <a:ext cx="5959927" cy="2105025"/>
        </a:xfrm>
        <a:prstGeom prst="roundRect">
          <a:avLst>
            <a:gd name="adj" fmla="val 6824"/>
          </a:avLst>
        </a:prstGeom>
        <a:solidFill>
          <a:schemeClr val="bg1"/>
        </a:solidFill>
        <a:ln>
          <a:noFill/>
        </a:ln>
        <a:effectLst>
          <a:outerShdw blurRad="279400" dist="50800" dir="2700000" algn="tl" rotWithShape="0">
            <a:prstClr val="black">
              <a:alpha val="12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clientData/>
  </xdr:twoCellAnchor>
  <xdr:twoCellAnchor editAs="absolute">
    <xdr:from>
      <xdr:col>0</xdr:col>
      <xdr:colOff>154214</xdr:colOff>
      <xdr:row>39</xdr:row>
      <xdr:rowOff>36287</xdr:rowOff>
    </xdr:from>
    <xdr:to>
      <xdr:col>9</xdr:col>
      <xdr:colOff>408215</xdr:colOff>
      <xdr:row>49</xdr:row>
      <xdr:rowOff>172357</xdr:rowOff>
    </xdr:to>
    <xdr:graphicFrame macro="">
      <xdr:nvGraphicFramePr>
        <xdr:cNvPr id="204" name="Chart 203">
          <a:extLst>
            <a:ext uri="{FF2B5EF4-FFF2-40B4-BE49-F238E27FC236}">
              <a16:creationId xmlns:a16="http://schemas.microsoft.com/office/drawing/2014/main" id="{C5C31F85-3A88-4839-9BA2-83E6E1BF74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3"/>
        </a:graphicData>
      </a:graphic>
    </xdr:graphicFrame>
    <xdr:clientData/>
  </xdr:twoCellAnchor>
  <xdr:twoCellAnchor editAs="absolute">
    <xdr:from>
      <xdr:col>0</xdr:col>
      <xdr:colOff>225926</xdr:colOff>
      <xdr:row>48</xdr:row>
      <xdr:rowOff>64404</xdr:rowOff>
    </xdr:from>
    <xdr:to>
      <xdr:col>4</xdr:col>
      <xdr:colOff>290284</xdr:colOff>
      <xdr:row>49</xdr:row>
      <xdr:rowOff>163284</xdr:rowOff>
    </xdr:to>
    <xdr:sp macro="" textlink="">
      <xdr:nvSpPr>
        <xdr:cNvPr id="206" name="TextBox 205">
          <a:extLst>
            <a:ext uri="{FF2B5EF4-FFF2-40B4-BE49-F238E27FC236}">
              <a16:creationId xmlns:a16="http://schemas.microsoft.com/office/drawing/2014/main" id="{A5689739-00A5-3412-8337-28122FEEED58}"/>
            </a:ext>
          </a:extLst>
        </xdr:cNvPr>
        <xdr:cNvSpPr txBox="1"/>
      </xdr:nvSpPr>
      <xdr:spPr>
        <a:xfrm>
          <a:off x="225926" y="8772975"/>
          <a:ext cx="2495501" cy="280309"/>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l"/>
          <a:r>
            <a:rPr lang="en-US" sz="1100">
              <a:solidFill>
                <a:schemeClr val="tx1"/>
              </a:solidFill>
              <a:latin typeface="Avenir Next LT Pro Demi" panose="020B0704020202020204" pitchFamily="34" charset="0"/>
            </a:rPr>
            <a:t>Payment Method</a:t>
          </a:r>
          <a:r>
            <a:rPr lang="en-US" sz="1050" baseline="0">
              <a:solidFill>
                <a:schemeClr val="tx1"/>
              </a:solidFill>
              <a:latin typeface="Avenir Next LT Pro Demi" panose="020B0704020202020204" pitchFamily="34" charset="0"/>
            </a:rPr>
            <a:t> </a:t>
          </a:r>
          <a:r>
            <a:rPr lang="en-US" sz="900">
              <a:solidFill>
                <a:schemeClr val="tx1">
                  <a:lumMod val="65000"/>
                  <a:lumOff val="35000"/>
                </a:schemeClr>
              </a:solidFill>
              <a:latin typeface="Avenir Next LT Pro Demi" panose="020B0704020202020204" pitchFamily="34" charset="0"/>
            </a:rPr>
            <a:t>by</a:t>
          </a:r>
          <a:r>
            <a:rPr lang="en-US" sz="900" baseline="0">
              <a:solidFill>
                <a:schemeClr val="tx1">
                  <a:lumMod val="65000"/>
                  <a:lumOff val="35000"/>
                </a:schemeClr>
              </a:solidFill>
              <a:latin typeface="Avenir Next LT Pro Demi" panose="020B0704020202020204" pitchFamily="34" charset="0"/>
            </a:rPr>
            <a:t> </a:t>
          </a:r>
          <a:r>
            <a:rPr lang="en-US" sz="900">
              <a:solidFill>
                <a:schemeClr val="tx1">
                  <a:lumMod val="65000"/>
                  <a:lumOff val="35000"/>
                </a:schemeClr>
              </a:solidFill>
              <a:latin typeface="Avenir Next LT Pro Demi" panose="020B0704020202020204" pitchFamily="34" charset="0"/>
            </a:rPr>
            <a:t>Product</a:t>
          </a:r>
          <a:r>
            <a:rPr lang="en-US" sz="900" baseline="0">
              <a:solidFill>
                <a:schemeClr val="tx1">
                  <a:lumMod val="65000"/>
                  <a:lumOff val="35000"/>
                </a:schemeClr>
              </a:solidFill>
              <a:latin typeface="Avenir Next LT Pro Demi" panose="020B0704020202020204" pitchFamily="34" charset="0"/>
            </a:rPr>
            <a:t> Category</a:t>
          </a:r>
          <a:endParaRPr lang="en-US" sz="900">
            <a:solidFill>
              <a:schemeClr val="tx1">
                <a:lumMod val="65000"/>
                <a:lumOff val="35000"/>
              </a:schemeClr>
            </a:solidFill>
            <a:latin typeface="Avenir Next LT Pro Demi" panose="020B0704020202020204" pitchFamily="34" charset="0"/>
          </a:endParaRPr>
        </a:p>
      </xdr:txBody>
    </xdr:sp>
    <xdr:clientData/>
  </xdr:twoCellAnchor>
  <xdr:twoCellAnchor editAs="absolute">
    <xdr:from>
      <xdr:col>10</xdr:col>
      <xdr:colOff>208643</xdr:colOff>
      <xdr:row>41</xdr:row>
      <xdr:rowOff>163285</xdr:rowOff>
    </xdr:from>
    <xdr:to>
      <xdr:col>12</xdr:col>
      <xdr:colOff>444681</xdr:colOff>
      <xdr:row>49</xdr:row>
      <xdr:rowOff>135163</xdr:rowOff>
    </xdr:to>
    <mc:AlternateContent xmlns:mc="http://schemas.openxmlformats.org/markup-compatibility/2006" xmlns:a14="http://schemas.microsoft.com/office/drawing/2010/main">
      <mc:Choice Requires="a14">
        <xdr:graphicFrame macro="">
          <xdr:nvGraphicFramePr>
            <xdr:cNvPr id="203" name="Sales Team">
              <a:extLst>
                <a:ext uri="{FF2B5EF4-FFF2-40B4-BE49-F238E27FC236}">
                  <a16:creationId xmlns:a16="http://schemas.microsoft.com/office/drawing/2014/main" id="{5246DED9-9A9A-4714-B11C-E4659B5DEE67}"/>
                </a:ext>
              </a:extLst>
            </xdr:cNvPr>
            <xdr:cNvGraphicFramePr>
              <a:graphicFrameLocks noMove="1" noResize="1"/>
            </xdr:cNvGraphicFramePr>
          </xdr:nvGraphicFramePr>
          <xdr:xfrm>
            <a:off x="0" y="0"/>
            <a:ext cx="0" cy="0"/>
          </xdr:xfrm>
          <a:graphic>
            <a:graphicData uri="http://schemas.microsoft.com/office/drawing/2010/slicer">
              <sle:slicer xmlns:sle="http://schemas.microsoft.com/office/drawing/2010/slicer" name="Sales Team"/>
            </a:graphicData>
          </a:graphic>
        </xdr:graphicFrame>
      </mc:Choice>
      <mc:Fallback xmlns="">
        <xdr:sp macro="" textlink="">
          <xdr:nvSpPr>
            <xdr:cNvPr id="0" name=""/>
            <xdr:cNvSpPr>
              <a:spLocks noTextEdit="1"/>
            </xdr:cNvSpPr>
          </xdr:nvSpPr>
          <xdr:spPr>
            <a:xfrm>
              <a:off x="6286500" y="7601856"/>
              <a:ext cx="1451610" cy="1423307"/>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LocksWithSheet="0"/>
  </xdr:twoCellAnchor>
  <xdr:twoCellAnchor editAs="absolute">
    <xdr:from>
      <xdr:col>752</xdr:col>
      <xdr:colOff>562429</xdr:colOff>
      <xdr:row>323211</xdr:row>
      <xdr:rowOff>18143</xdr:rowOff>
    </xdr:from>
    <xdr:to>
      <xdr:col>756</xdr:col>
      <xdr:colOff>93436</xdr:colOff>
      <xdr:row>323215</xdr:row>
      <xdr:rowOff>143329</xdr:rowOff>
    </xdr:to>
    <xdr:sp macro="" textlink="">
      <xdr:nvSpPr>
        <xdr:cNvPr id="21" name="TextBox 20">
          <a:extLst>
            <a:ext uri="{FF2B5EF4-FFF2-40B4-BE49-F238E27FC236}">
              <a16:creationId xmlns:a16="http://schemas.microsoft.com/office/drawing/2014/main" id="{77A57739-36BB-4C76-998F-DD6C240164E2}"/>
            </a:ext>
          </a:extLst>
        </xdr:cNvPr>
        <xdr:cNvSpPr txBox="1">
          <a:spLocks noChangeAspect="1"/>
        </xdr:cNvSpPr>
      </xdr:nvSpPr>
      <xdr:spPr>
        <a:xfrm>
          <a:off x="457617286" y="58639728143"/>
          <a:ext cx="1962150" cy="85090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100">
              <a:solidFill>
                <a:srgbClr val="F1F0F5"/>
              </a:solidFill>
            </a:rPr>
            <a:t>Made</a:t>
          </a:r>
          <a:r>
            <a:rPr lang="en-US" sz="1100" baseline="0">
              <a:solidFill>
                <a:srgbClr val="F1F0F5"/>
              </a:solidFill>
            </a:rPr>
            <a:t> by</a:t>
          </a:r>
        </a:p>
        <a:p>
          <a:pPr algn="ctr"/>
          <a:r>
            <a:rPr lang="en-US" sz="1100">
              <a:solidFill>
                <a:srgbClr val="F1F0F5"/>
              </a:solidFill>
            </a:rPr>
            <a:t>Abzan Software</a:t>
          </a:r>
        </a:p>
        <a:p>
          <a:pPr algn="ctr"/>
          <a:r>
            <a:rPr lang="en-US" sz="1100">
              <a:solidFill>
                <a:srgbClr val="F1F0F5"/>
              </a:solidFill>
            </a:rPr>
            <a:t>2022</a:t>
          </a:r>
        </a:p>
        <a:p>
          <a:pPr algn="ctr"/>
          <a:r>
            <a:rPr lang="en-US" sz="1100" b="1">
              <a:solidFill>
                <a:srgbClr val="F1F0F5"/>
              </a:solidFill>
            </a:rPr>
            <a:t>DO NOT RE-SALE</a:t>
          </a:r>
        </a:p>
      </xdr:txBody>
    </xdr:sp>
    <xdr:clientData fPrintsWithSheet="0"/>
  </xdr:twoCellAnchor>
</xdr:wsDr>
</file>

<file path=xl/drawings/drawing3.xml><?xml version="1.0" encoding="utf-8"?>
<c:userShapes xmlns:c="http://schemas.openxmlformats.org/drawingml/2006/chart">
  <cdr:relSizeAnchor xmlns:cdr="http://schemas.openxmlformats.org/drawingml/2006/chartDrawing">
    <cdr:from>
      <cdr:x>0.09237</cdr:x>
      <cdr:y>0.83244</cdr:y>
    </cdr:from>
    <cdr:to>
      <cdr:x>0.97102</cdr:x>
      <cdr:y>0.91257</cdr:y>
    </cdr:to>
    <cdr:sp macro="" textlink="">
      <cdr:nvSpPr>
        <cdr:cNvPr id="2" name="Rectangle 1">
          <a:extLst xmlns:a="http://schemas.openxmlformats.org/drawingml/2006/main">
            <a:ext uri="{FF2B5EF4-FFF2-40B4-BE49-F238E27FC236}">
              <a16:creationId xmlns:a16="http://schemas.microsoft.com/office/drawing/2014/main" id="{79032584-B0A2-9E5B-B4FC-26652D7A3CE7}"/>
            </a:ext>
          </a:extLst>
        </cdr:cNvPr>
        <cdr:cNvSpPr/>
      </cdr:nvSpPr>
      <cdr:spPr>
        <a:xfrm xmlns:a="http://schemas.openxmlformats.org/drawingml/2006/main">
          <a:off x="346075" y="1781175"/>
          <a:ext cx="3291840" cy="171450"/>
        </a:xfrm>
        <a:prstGeom xmlns:a="http://schemas.openxmlformats.org/drawingml/2006/main" prst="rect">
          <a:avLst/>
        </a:prstGeom>
        <a:solidFill xmlns:a="http://schemas.openxmlformats.org/drawingml/2006/main">
          <a:schemeClr val="bg1"/>
        </a:solidFill>
        <a:ln xmlns:a="http://schemas.openxmlformats.org/drawingml/2006/main">
          <a:noFill/>
        </a:ln>
      </cdr:spPr>
      <cdr:style>
        <a:lnRef xmlns:a="http://schemas.openxmlformats.org/drawingml/2006/main" idx="2">
          <a:schemeClr val="accent1">
            <a:shade val="50000"/>
          </a:schemeClr>
        </a:lnRef>
        <a:fillRef xmlns:a="http://schemas.openxmlformats.org/drawingml/2006/main" idx="1">
          <a:schemeClr val="accent1"/>
        </a:fillRef>
        <a:effectRef xmlns:a="http://schemas.openxmlformats.org/drawingml/2006/main" idx="0">
          <a:schemeClr val="accent1"/>
        </a:effectRef>
        <a:fontRef xmlns:a="http://schemas.openxmlformats.org/drawingml/2006/main" idx="minor">
          <a:schemeClr val="lt1"/>
        </a:fontRef>
      </cdr:style>
      <cdr:txBody>
        <a:bodyPr xmlns:a="http://schemas.openxmlformats.org/drawingml/2006/main" vertOverflow="clip"/>
        <a:lstStyle xmlns:a="http://schemas.openxmlformats.org/drawingml/2006/main"/>
        <a:p xmlns:a="http://schemas.openxmlformats.org/drawingml/2006/main">
          <a:endParaRPr lang="en-US"/>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Windows User" refreshedDate="45002.372102893518" missingItemsLimit="0" createdVersion="8" refreshedVersion="5" minRefreshableVersion="3" recordCount="3125" xr:uid="{00000000-000A-0000-FFFF-FFFF07000000}">
  <cacheSource type="worksheet">
    <worksheetSource name="Sales"/>
  </cacheSource>
  <cacheFields count="14">
    <cacheField name="Kode Program/Kegiatan " numFmtId="14">
      <sharedItems containsSemiMixedTypes="0" containsNonDate="0" containsDate="1" containsString="0" minDate="2020-01-01T00:00:00" maxDate="2020-12-31T00:00:00"/>
    </cacheField>
    <cacheField name="Program/Kegiatan/Sub Kegiatan" numFmtId="14">
      <sharedItems/>
    </cacheField>
    <cacheField name="Lokasi" numFmtId="0">
      <sharedItems/>
    </cacheField>
    <cacheField name="Anggaran Murni" numFmtId="3">
      <sharedItems containsSemiMixedTypes="0" containsString="0" containsNumber="1" containsInteger="1" minValue="3" maxValue="10"/>
    </cacheField>
    <cacheField name="Target s.d. Januari" numFmtId="0">
      <sharedItems containsSemiMixedTypes="0" containsString="0" containsNumber="1" containsInteger="1" minValue="1" maxValue="10"/>
    </cacheField>
    <cacheField name="Realisasi s.d. Januari " numFmtId="3">
      <sharedItems containsMixedTypes="1" containsNumber="1" containsInteger="1" minValue="1" maxValue="4"/>
    </cacheField>
    <cacheField name="Deviasi s.d. Januari" numFmtId="0">
      <sharedItems/>
    </cacheField>
    <cacheField name="Output Kegiatan Yang Telah Selesai Sampai Dengan Januari" numFmtId="3">
      <sharedItems/>
    </cacheField>
    <cacheField name="Amount of Sales" numFmtId="3">
      <sharedItems containsString="0" containsBlank="1" containsNumber="1" containsInteger="1" minValue="40000000" maxValue="140000000"/>
    </cacheField>
    <cacheField name="Customer" numFmtId="0">
      <sharedItems count="50">
        <s v="PT Unilever Indonesia Tbk."/>
        <s v="PT Surya Citra Media Tbk."/>
        <s v="PT Ace Hardware Indonesia Tbk"/>
        <s v="PT Pakuwon Jati Tbk."/>
        <s v="PT Bumi Serpong Damai Tbk."/>
        <s v="PT Telekomunikasi Indonesia (Persero) Tbk"/>
        <s v="PT Sumarecon Agung Tbk."/>
        <s v="PT Bank Rakyat Indonesia (Persero) Tbk."/>
        <s v="PT Waskita Karya (Persero) Tbk."/>
        <s v="PT Wijaya Karya (Persero) Tbk."/>
        <s v="PT Bank Central Asia Tbk."/>
        <s v="PT Metropolitan Kentjana Tbk."/>
        <s v="PT Bank Mandiri (Persero) Tbk."/>
        <s v="PT Astra International Tbk."/>
        <s v="PT Sumber Alfaria Trijaya Tbk."/>
        <s v="PT Semen Indonesia (Persero) Tbk."/>
        <s v="PT Media Nusantara Citra Tbk."/>
        <s v="PT AKR Corporindo Tbk."/>
        <s v="PT Indofood CBP Sukses Makmur Tbk."/>
        <s v="PT Bank Tabungan Pensiunan Negara Tbk."/>
        <s v="PT Lippo Cikarang Tbk."/>
        <s v="PT Cardig Aero Services Tbk."/>
        <s v="PT Industri Jamu &amp; Farmasi Sido Muncul Tbk."/>
        <s v="PT Modernland Realty Tbk."/>
        <s v="PT Bank Mayapada Internasional Tbk."/>
        <s v="PT Nusa Raya Cipta Tbk."/>
        <s v="PT Tiphone Mobile Indonesia Tbk."/>
        <s v="PT Tempo Scan Pacific Tbk."/>
        <s v="PT Sri Rejeki Isman Tbk."/>
        <s v="PT Ciputra Surya Tbk."/>
        <s v="PT Siantar Top Tbk."/>
        <s v="PT Metrodata Electronics Tbk."/>
        <s v="PT Indonesia Paradise Property Tbk."/>
        <s v="PT Tiga Pilar Sejahtera Food Tbk."/>
        <s v="PT Acset Indonusa Tbk."/>
        <s v="PT BPD Jawa Barat &amp; Banten Tbk."/>
        <s v="PT Metropolitan Land Tbk."/>
        <s v="PT Citra Marga Nusaphala Persada Tbk."/>
        <s v="PT Intiland Development Tbk."/>
        <s v="PT Mitra Pinasthika Mustika Tbk."/>
        <s v="PT Bayu Buana Tbk."/>
        <s v="PT Clipan Finance Indonesia Tbk."/>
        <s v="PT FKS Multi Agro Tbk."/>
        <s v="PT Ekadharma International Tbk."/>
        <s v="PT Batavia Prosperindo Tbk."/>
        <s v="PT Wilmar Cahaya Indonesia Tbk."/>
        <s v="PT KMI Wire and Cable Tbk."/>
        <s v="PT Perdana Gapuraprima Tbk."/>
        <s v="PT Panorama Sentrawisata Tbk."/>
        <s v="PT Sekar Laut Tbk."/>
      </sharedItems>
    </cacheField>
    <cacheField name="Sales Area" numFmtId="0">
      <sharedItems count="6">
        <s v="Sumatra"/>
        <s v="Bali &amp; Nusra"/>
        <s v="Jawa"/>
        <s v="Kalimantan"/>
        <s v="Sulawesi"/>
        <s v="Maluku &amp; Papua"/>
      </sharedItems>
    </cacheField>
    <cacheField name="Payment Status" numFmtId="4">
      <sharedItems count="2">
        <s v="Paid"/>
        <s v="Not Paid"/>
      </sharedItems>
    </cacheField>
    <cacheField name="Payment Method" numFmtId="3">
      <sharedItems count="4">
        <s v="COD"/>
        <s v="Bank Transfer"/>
        <s v="Cheque"/>
        <s v="Unknown"/>
      </sharedItems>
    </cacheField>
    <cacheField name="Sales Team" numFmtId="0">
      <sharedItems count="4">
        <s v="David"/>
        <s v="Hendrawan"/>
        <s v="Fitriani"/>
        <s v="Aisyah"/>
      </sharedItems>
    </cacheField>
  </cacheFields>
  <extLst>
    <ext xmlns:x14="http://schemas.microsoft.com/office/spreadsheetml/2009/9/main" uri="{725AE2AE-9491-48be-B2B4-4EB974FC3084}">
      <x14:pivotCacheDefinition pivotCacheId="578968588"/>
    </ext>
  </extLst>
</pivotCacheDefinition>
</file>

<file path=xl/pivotCache/pivotCacheRecords1.xml><?xml version="1.0" encoding="utf-8"?>
<pivotCacheRecords xmlns="http://schemas.openxmlformats.org/spreadsheetml/2006/main" xmlns:r="http://schemas.openxmlformats.org/officeDocument/2006/relationships" count="3125">
  <r>
    <d v="2020-01-01T00:00:00"/>
    <s v="1"/>
    <s v="Jan"/>
    <n v="5"/>
    <n v="3"/>
    <n v="2"/>
    <s v="Cable"/>
    <s v="Networking"/>
    <m/>
    <x v="0"/>
    <x v="0"/>
    <x v="0"/>
    <x v="0"/>
    <x v="0"/>
  </r>
  <r>
    <d v="2020-01-01T00:00:00"/>
    <s v="1"/>
    <s v="Jan"/>
    <n v="5"/>
    <n v="3"/>
    <n v="2"/>
    <s v="TV"/>
    <s v="Electronic"/>
    <m/>
    <x v="1"/>
    <x v="1"/>
    <x v="0"/>
    <x v="1"/>
    <x v="1"/>
  </r>
  <r>
    <d v="2020-01-01T00:00:00"/>
    <s v="1"/>
    <s v="Jan"/>
    <n v="4"/>
    <n v="2"/>
    <n v="2"/>
    <s v="Office Chair"/>
    <s v="Furniture"/>
    <m/>
    <x v="2"/>
    <x v="2"/>
    <x v="0"/>
    <x v="1"/>
    <x v="2"/>
  </r>
  <r>
    <d v="2020-01-01T00:00:00"/>
    <s v="1"/>
    <s v="Jan"/>
    <n v="3"/>
    <n v="2"/>
    <n v="1"/>
    <s v="TV"/>
    <s v="Electronic"/>
    <m/>
    <x v="3"/>
    <x v="3"/>
    <x v="0"/>
    <x v="1"/>
    <x v="3"/>
  </r>
  <r>
    <d v="2020-01-02T00:00:00"/>
    <s v="2"/>
    <s v="Jan"/>
    <n v="10"/>
    <n v="6"/>
    <n v="4"/>
    <s v="Printer"/>
    <s v="Computer"/>
    <m/>
    <x v="4"/>
    <x v="4"/>
    <x v="0"/>
    <x v="0"/>
    <x v="3"/>
  </r>
  <r>
    <d v="2020-01-02T00:00:00"/>
    <s v="2"/>
    <s v="Jan"/>
    <n v="9"/>
    <n v="8"/>
    <n v="1"/>
    <s v="Table Lamp"/>
    <s v="Accessories"/>
    <m/>
    <x v="5"/>
    <x v="2"/>
    <x v="0"/>
    <x v="2"/>
    <x v="1"/>
  </r>
  <r>
    <d v="2020-01-02T00:00:00"/>
    <s v="2"/>
    <s v="Jan"/>
    <n v="9"/>
    <n v="8"/>
    <n v="1"/>
    <s v="Office Table"/>
    <s v="Furniture"/>
    <m/>
    <x v="6"/>
    <x v="0"/>
    <x v="0"/>
    <x v="0"/>
    <x v="2"/>
  </r>
  <r>
    <d v="2020-01-02T00:00:00"/>
    <s v="2"/>
    <s v="Jan"/>
    <n v="7"/>
    <n v="6"/>
    <n v="1"/>
    <s v="Office Chair"/>
    <s v="Furniture"/>
    <m/>
    <x v="7"/>
    <x v="2"/>
    <x v="0"/>
    <x v="2"/>
    <x v="0"/>
  </r>
  <r>
    <d v="2020-01-02T00:00:00"/>
    <s v="2"/>
    <s v="Jan"/>
    <n v="5"/>
    <n v="4"/>
    <n v="1"/>
    <s v="Laptop"/>
    <s v="Computer"/>
    <m/>
    <x v="8"/>
    <x v="0"/>
    <x v="0"/>
    <x v="1"/>
    <x v="2"/>
  </r>
  <r>
    <d v="2020-01-02T00:00:00"/>
    <s v="2"/>
    <s v="Jan"/>
    <n v="4"/>
    <n v="2"/>
    <n v="2"/>
    <s v="Cable"/>
    <s v="Networking"/>
    <m/>
    <x v="9"/>
    <x v="3"/>
    <x v="0"/>
    <x v="2"/>
    <x v="1"/>
  </r>
  <r>
    <d v="2020-01-02T00:00:00"/>
    <s v="2"/>
    <s v="Jan"/>
    <n v="3"/>
    <n v="1"/>
    <n v="2"/>
    <s v="Laptop"/>
    <s v="Computer"/>
    <m/>
    <x v="10"/>
    <x v="2"/>
    <x v="0"/>
    <x v="1"/>
    <x v="0"/>
  </r>
  <r>
    <d v="2020-01-02T00:00:00"/>
    <s v="2"/>
    <s v="Jan"/>
    <n v="3"/>
    <n v="1"/>
    <n v="2"/>
    <s v="TV"/>
    <s v="Electronic"/>
    <m/>
    <x v="11"/>
    <x v="1"/>
    <x v="0"/>
    <x v="2"/>
    <x v="1"/>
  </r>
  <r>
    <d v="2020-01-03T00:00:00"/>
    <s v="3"/>
    <s v="Jan"/>
    <n v="8"/>
    <n v="4"/>
    <n v="4"/>
    <s v="Coffee Mach"/>
    <s v="Kitchen"/>
    <m/>
    <x v="7"/>
    <x v="0"/>
    <x v="0"/>
    <x v="0"/>
    <x v="0"/>
  </r>
  <r>
    <d v="2020-01-03T00:00:00"/>
    <s v="3"/>
    <s v="Jan"/>
    <n v="7"/>
    <n v="6"/>
    <n v="1"/>
    <s v="Cable"/>
    <s v="Networking"/>
    <m/>
    <x v="12"/>
    <x v="2"/>
    <x v="0"/>
    <x v="1"/>
    <x v="1"/>
  </r>
  <r>
    <d v="2020-01-03T00:00:00"/>
    <s v="3"/>
    <s v="Jan"/>
    <n v="7"/>
    <n v="4"/>
    <n v="3"/>
    <s v="AC"/>
    <s v="Electronic"/>
    <m/>
    <x v="13"/>
    <x v="0"/>
    <x v="0"/>
    <x v="0"/>
    <x v="3"/>
  </r>
  <r>
    <d v="2020-01-03T00:00:00"/>
    <s v="3"/>
    <s v="Jan"/>
    <n v="7"/>
    <n v="6"/>
    <n v="1"/>
    <s v="AC"/>
    <s v="Electronic"/>
    <m/>
    <x v="6"/>
    <x v="0"/>
    <x v="0"/>
    <x v="2"/>
    <x v="0"/>
  </r>
  <r>
    <d v="2020-01-03T00:00:00"/>
    <s v="3"/>
    <s v="Jan"/>
    <n v="6"/>
    <n v="4"/>
    <n v="2"/>
    <s v="Office Chair"/>
    <s v="Furniture"/>
    <m/>
    <x v="6"/>
    <x v="0"/>
    <x v="0"/>
    <x v="2"/>
    <x v="0"/>
  </r>
  <r>
    <d v="2020-01-03T00:00:00"/>
    <s v="3"/>
    <s v="Jan"/>
    <n v="5"/>
    <n v="3"/>
    <n v="2"/>
    <s v="Printer"/>
    <s v="Computer"/>
    <m/>
    <x v="6"/>
    <x v="2"/>
    <x v="0"/>
    <x v="2"/>
    <x v="2"/>
  </r>
  <r>
    <d v="2020-01-03T00:00:00"/>
    <s v="3"/>
    <s v="Jan"/>
    <n v="5"/>
    <n v="3"/>
    <n v="2"/>
    <s v="Cable"/>
    <s v="Networking"/>
    <m/>
    <x v="14"/>
    <x v="2"/>
    <x v="0"/>
    <x v="2"/>
    <x v="1"/>
  </r>
  <r>
    <d v="2020-01-03T00:00:00"/>
    <s v="3"/>
    <s v="Jan"/>
    <n v="5"/>
    <n v="4"/>
    <n v="1"/>
    <s v="Office Table"/>
    <s v="Furniture"/>
    <m/>
    <x v="15"/>
    <x v="0"/>
    <x v="0"/>
    <x v="1"/>
    <x v="0"/>
  </r>
  <r>
    <d v="2020-01-03T00:00:00"/>
    <s v="3"/>
    <s v="Jan"/>
    <n v="3"/>
    <n v="2"/>
    <n v="1"/>
    <s v="Laptop"/>
    <s v="Computer"/>
    <m/>
    <x v="9"/>
    <x v="0"/>
    <x v="0"/>
    <x v="2"/>
    <x v="2"/>
  </r>
  <r>
    <d v="2020-01-04T00:00:00"/>
    <s v="4"/>
    <s v="Jan"/>
    <n v="10"/>
    <n v="8"/>
    <n v="2"/>
    <s v="Table Lamp"/>
    <s v="Accessories"/>
    <m/>
    <x v="15"/>
    <x v="4"/>
    <x v="0"/>
    <x v="1"/>
    <x v="3"/>
  </r>
  <r>
    <d v="2020-01-04T00:00:00"/>
    <s v="4"/>
    <s v="Jan"/>
    <n v="9"/>
    <n v="6"/>
    <n v="3"/>
    <s v="Printer"/>
    <s v="Computer"/>
    <m/>
    <x v="16"/>
    <x v="0"/>
    <x v="0"/>
    <x v="1"/>
    <x v="2"/>
  </r>
  <r>
    <d v="2020-01-04T00:00:00"/>
    <s v="4"/>
    <s v="Jan"/>
    <n v="7"/>
    <n v="5"/>
    <n v="2"/>
    <s v="Office Chair"/>
    <s v="Furniture"/>
    <m/>
    <x v="17"/>
    <x v="2"/>
    <x v="0"/>
    <x v="1"/>
    <x v="0"/>
  </r>
  <r>
    <d v="2020-01-04T00:00:00"/>
    <s v="4"/>
    <s v="Jan"/>
    <n v="4"/>
    <n v="2"/>
    <n v="2"/>
    <s v="AC"/>
    <s v="Electronic"/>
    <m/>
    <x v="18"/>
    <x v="2"/>
    <x v="0"/>
    <x v="2"/>
    <x v="1"/>
  </r>
  <r>
    <d v="2020-01-04T00:00:00"/>
    <s v="4"/>
    <s v="Jan"/>
    <n v="3"/>
    <n v="1"/>
    <n v="2"/>
    <s v="Office Table"/>
    <s v="Furniture"/>
    <m/>
    <x v="19"/>
    <x v="2"/>
    <x v="0"/>
    <x v="1"/>
    <x v="0"/>
  </r>
  <r>
    <d v="2020-01-05T00:00:00"/>
    <s v="5"/>
    <s v="Jan"/>
    <n v="10"/>
    <n v="8"/>
    <n v="2"/>
    <s v="Office Table"/>
    <s v="Furniture"/>
    <m/>
    <x v="17"/>
    <x v="4"/>
    <x v="0"/>
    <x v="1"/>
    <x v="2"/>
  </r>
  <r>
    <d v="2020-01-05T00:00:00"/>
    <s v="5"/>
    <s v="Jan"/>
    <n v="9"/>
    <n v="8"/>
    <n v="1"/>
    <s v="Office Chair"/>
    <s v="Furniture"/>
    <m/>
    <x v="20"/>
    <x v="2"/>
    <x v="0"/>
    <x v="2"/>
    <x v="1"/>
  </r>
  <r>
    <d v="2020-01-05T00:00:00"/>
    <s v="5"/>
    <s v="Jan"/>
    <n v="9"/>
    <n v="8"/>
    <n v="1"/>
    <s v="Cable"/>
    <s v="Networking"/>
    <m/>
    <x v="21"/>
    <x v="3"/>
    <x v="0"/>
    <x v="1"/>
    <x v="3"/>
  </r>
  <r>
    <d v="2020-01-05T00:00:00"/>
    <s v="5"/>
    <s v="Jan"/>
    <n v="8"/>
    <n v="7"/>
    <n v="1"/>
    <s v="TV"/>
    <s v="Electronic"/>
    <m/>
    <x v="7"/>
    <x v="1"/>
    <x v="0"/>
    <x v="0"/>
    <x v="0"/>
  </r>
  <r>
    <d v="2020-01-05T00:00:00"/>
    <s v="5"/>
    <s v="Jan"/>
    <n v="7"/>
    <n v="6"/>
    <n v="1"/>
    <s v="Coffee Mach"/>
    <s v="Kitchen"/>
    <m/>
    <x v="8"/>
    <x v="5"/>
    <x v="0"/>
    <x v="2"/>
    <x v="1"/>
  </r>
  <r>
    <d v="2020-01-05T00:00:00"/>
    <s v="5"/>
    <s v="Jan"/>
    <n v="6"/>
    <n v="3"/>
    <n v="3"/>
    <s v="Cable"/>
    <s v="Networking"/>
    <m/>
    <x v="7"/>
    <x v="2"/>
    <x v="0"/>
    <x v="1"/>
    <x v="0"/>
  </r>
  <r>
    <d v="2020-01-05T00:00:00"/>
    <s v="5"/>
    <s v="Jan"/>
    <n v="6"/>
    <n v="5"/>
    <n v="1"/>
    <s v="Printer"/>
    <s v="Computer"/>
    <m/>
    <x v="22"/>
    <x v="2"/>
    <x v="0"/>
    <x v="0"/>
    <x v="2"/>
  </r>
  <r>
    <d v="2020-01-05T00:00:00"/>
    <s v="5"/>
    <s v="Jan"/>
    <n v="5"/>
    <n v="4"/>
    <n v="1"/>
    <s v="Office Table"/>
    <s v="Furniture"/>
    <m/>
    <x v="11"/>
    <x v="0"/>
    <x v="0"/>
    <x v="2"/>
    <x v="1"/>
  </r>
  <r>
    <d v="2020-01-05T00:00:00"/>
    <s v="5"/>
    <s v="Jan"/>
    <n v="4"/>
    <n v="2"/>
    <n v="2"/>
    <s v="Table Lamp"/>
    <s v="Accessories"/>
    <m/>
    <x v="20"/>
    <x v="0"/>
    <x v="0"/>
    <x v="0"/>
    <x v="1"/>
  </r>
  <r>
    <d v="2020-01-05T00:00:00"/>
    <s v="5"/>
    <s v="Jan"/>
    <n v="4"/>
    <n v="2"/>
    <n v="2"/>
    <s v="Coffee Mach"/>
    <s v="Kitchen"/>
    <m/>
    <x v="14"/>
    <x v="2"/>
    <x v="0"/>
    <x v="0"/>
    <x v="1"/>
  </r>
  <r>
    <d v="2020-01-05T00:00:00"/>
    <s v="5"/>
    <s v="Jan"/>
    <n v="4"/>
    <n v="2"/>
    <n v="2"/>
    <s v="Printer"/>
    <s v="Computer"/>
    <m/>
    <x v="20"/>
    <x v="0"/>
    <x v="0"/>
    <x v="0"/>
    <x v="0"/>
  </r>
  <r>
    <d v="2020-01-05T00:00:00"/>
    <s v="5"/>
    <s v="Jan"/>
    <n v="3"/>
    <n v="1"/>
    <n v="2"/>
    <s v="Cable"/>
    <s v="Networking"/>
    <m/>
    <x v="23"/>
    <x v="2"/>
    <x v="0"/>
    <x v="0"/>
    <x v="3"/>
  </r>
  <r>
    <d v="2020-01-06T00:00:00"/>
    <s v="6"/>
    <s v="Jan"/>
    <n v="10"/>
    <n v="6"/>
    <n v="4"/>
    <s v="Office Table"/>
    <s v="Furniture"/>
    <m/>
    <x v="12"/>
    <x v="2"/>
    <x v="0"/>
    <x v="1"/>
    <x v="2"/>
  </r>
  <r>
    <d v="2020-01-06T00:00:00"/>
    <s v="6"/>
    <s v="Jan"/>
    <n v="9"/>
    <n v="7"/>
    <n v="2"/>
    <s v="Laptop"/>
    <s v="Computer"/>
    <m/>
    <x v="24"/>
    <x v="0"/>
    <x v="0"/>
    <x v="1"/>
    <x v="2"/>
  </r>
  <r>
    <d v="2020-01-06T00:00:00"/>
    <s v="6"/>
    <s v="Jan"/>
    <n v="8"/>
    <n v="6"/>
    <n v="2"/>
    <s v="Laptop"/>
    <s v="Computer"/>
    <m/>
    <x v="25"/>
    <x v="2"/>
    <x v="0"/>
    <x v="2"/>
    <x v="0"/>
  </r>
  <r>
    <d v="2020-01-06T00:00:00"/>
    <s v="6"/>
    <s v="Jan"/>
    <n v="8"/>
    <n v="4"/>
    <n v="4"/>
    <s v="Office Chair"/>
    <s v="Furniture"/>
    <m/>
    <x v="23"/>
    <x v="3"/>
    <x v="0"/>
    <x v="2"/>
    <x v="3"/>
  </r>
  <r>
    <d v="2020-01-06T00:00:00"/>
    <s v="6"/>
    <s v="Jan"/>
    <n v="7"/>
    <n v="6"/>
    <n v="1"/>
    <s v="Laptop"/>
    <s v="Computer"/>
    <m/>
    <x v="9"/>
    <x v="3"/>
    <x v="0"/>
    <x v="0"/>
    <x v="2"/>
  </r>
  <r>
    <d v="2020-01-06T00:00:00"/>
    <s v="6"/>
    <s v="Jan"/>
    <n v="7"/>
    <n v="6"/>
    <n v="1"/>
    <s v="Cable"/>
    <s v="Networking"/>
    <m/>
    <x v="26"/>
    <x v="2"/>
    <x v="0"/>
    <x v="2"/>
    <x v="2"/>
  </r>
  <r>
    <d v="2020-01-06T00:00:00"/>
    <s v="6"/>
    <s v="Jan"/>
    <n v="7"/>
    <n v="6"/>
    <n v="1"/>
    <s v="Office Chair"/>
    <s v="Furniture"/>
    <m/>
    <x v="27"/>
    <x v="2"/>
    <x v="0"/>
    <x v="1"/>
    <x v="3"/>
  </r>
  <r>
    <d v="2020-01-06T00:00:00"/>
    <s v="6"/>
    <s v="Jan"/>
    <n v="4"/>
    <n v="3"/>
    <n v="1"/>
    <s v="Printer"/>
    <s v="Computer"/>
    <m/>
    <x v="18"/>
    <x v="0"/>
    <x v="0"/>
    <x v="0"/>
    <x v="1"/>
  </r>
  <r>
    <d v="2020-01-06T00:00:00"/>
    <s v="6"/>
    <s v="Jan"/>
    <n v="4"/>
    <n v="2"/>
    <n v="2"/>
    <s v="Table Lamp"/>
    <s v="Accessories"/>
    <m/>
    <x v="28"/>
    <x v="1"/>
    <x v="0"/>
    <x v="2"/>
    <x v="2"/>
  </r>
  <r>
    <d v="2020-01-06T00:00:00"/>
    <s v="6"/>
    <s v="Jan"/>
    <n v="3"/>
    <n v="2"/>
    <n v="1"/>
    <s v="Office Chair"/>
    <s v="Furniture"/>
    <m/>
    <x v="29"/>
    <x v="0"/>
    <x v="0"/>
    <x v="1"/>
    <x v="0"/>
  </r>
  <r>
    <d v="2020-01-07T00:00:00"/>
    <s v="7"/>
    <s v="Jan"/>
    <n v="10"/>
    <n v="8"/>
    <n v="2"/>
    <s v="Laptop"/>
    <s v="Computer"/>
    <m/>
    <x v="26"/>
    <x v="4"/>
    <x v="0"/>
    <x v="0"/>
    <x v="2"/>
  </r>
  <r>
    <d v="2020-01-07T00:00:00"/>
    <s v="7"/>
    <s v="Jan"/>
    <n v="10"/>
    <n v="9"/>
    <n v="1"/>
    <s v="Printer"/>
    <s v="Computer"/>
    <m/>
    <x v="9"/>
    <x v="2"/>
    <x v="0"/>
    <x v="1"/>
    <x v="1"/>
  </r>
  <r>
    <d v="2020-01-07T00:00:00"/>
    <s v="7"/>
    <s v="Jan"/>
    <n v="9"/>
    <n v="8"/>
    <n v="1"/>
    <s v="Cable"/>
    <s v="Networking"/>
    <m/>
    <x v="14"/>
    <x v="4"/>
    <x v="0"/>
    <x v="1"/>
    <x v="0"/>
  </r>
  <r>
    <d v="2020-01-07T00:00:00"/>
    <s v="7"/>
    <s v="Jan"/>
    <n v="9"/>
    <n v="6"/>
    <n v="3"/>
    <s v="AC"/>
    <s v="Electronic"/>
    <m/>
    <x v="9"/>
    <x v="5"/>
    <x v="0"/>
    <x v="1"/>
    <x v="0"/>
  </r>
  <r>
    <d v="2020-01-07T00:00:00"/>
    <s v="7"/>
    <s v="Jan"/>
    <n v="8"/>
    <n v="7"/>
    <n v="1"/>
    <s v="Coffee Mach"/>
    <s v="Kitchen"/>
    <m/>
    <x v="9"/>
    <x v="0"/>
    <x v="0"/>
    <x v="1"/>
    <x v="3"/>
  </r>
  <r>
    <d v="2020-01-07T00:00:00"/>
    <s v="7"/>
    <s v="Jan"/>
    <n v="8"/>
    <n v="6"/>
    <n v="2"/>
    <s v="Laptop"/>
    <s v="Computer"/>
    <m/>
    <x v="11"/>
    <x v="2"/>
    <x v="0"/>
    <x v="1"/>
    <x v="2"/>
  </r>
  <r>
    <d v="2020-01-07T00:00:00"/>
    <s v="7"/>
    <s v="Jan"/>
    <n v="6"/>
    <n v="5"/>
    <n v="1"/>
    <s v="Cable"/>
    <s v="Networking"/>
    <m/>
    <x v="30"/>
    <x v="0"/>
    <x v="0"/>
    <x v="2"/>
    <x v="3"/>
  </r>
  <r>
    <d v="2020-01-07T00:00:00"/>
    <s v="7"/>
    <s v="Jan"/>
    <n v="6"/>
    <n v="5"/>
    <n v="1"/>
    <s v="TV"/>
    <s v="Electronic"/>
    <m/>
    <x v="31"/>
    <x v="0"/>
    <x v="0"/>
    <x v="0"/>
    <x v="2"/>
  </r>
  <r>
    <d v="2020-01-07T00:00:00"/>
    <s v="7"/>
    <s v="Jan"/>
    <n v="5"/>
    <n v="4"/>
    <n v="1"/>
    <s v="Cable"/>
    <s v="Networking"/>
    <m/>
    <x v="16"/>
    <x v="0"/>
    <x v="0"/>
    <x v="1"/>
    <x v="1"/>
  </r>
  <r>
    <d v="2020-01-07T00:00:00"/>
    <s v="7"/>
    <s v="Jan"/>
    <n v="5"/>
    <n v="3"/>
    <n v="2"/>
    <s v="Office Table"/>
    <s v="Furniture"/>
    <m/>
    <x v="15"/>
    <x v="2"/>
    <x v="0"/>
    <x v="0"/>
    <x v="1"/>
  </r>
  <r>
    <d v="2020-01-07T00:00:00"/>
    <s v="7"/>
    <s v="Jan"/>
    <n v="5"/>
    <n v="3"/>
    <n v="2"/>
    <s v="TV"/>
    <s v="Electronic"/>
    <m/>
    <x v="32"/>
    <x v="3"/>
    <x v="0"/>
    <x v="2"/>
    <x v="1"/>
  </r>
  <r>
    <d v="2020-01-07T00:00:00"/>
    <s v="7"/>
    <s v="Jan"/>
    <n v="4"/>
    <n v="2"/>
    <n v="2"/>
    <s v="TV"/>
    <s v="Electronic"/>
    <m/>
    <x v="8"/>
    <x v="0"/>
    <x v="0"/>
    <x v="0"/>
    <x v="1"/>
  </r>
  <r>
    <d v="2020-01-07T00:00:00"/>
    <s v="7"/>
    <s v="Jan"/>
    <n v="3"/>
    <n v="2"/>
    <n v="1"/>
    <s v="Laptop"/>
    <s v="Computer"/>
    <m/>
    <x v="33"/>
    <x v="0"/>
    <x v="0"/>
    <x v="2"/>
    <x v="1"/>
  </r>
  <r>
    <d v="2020-01-08T00:00:00"/>
    <s v="8"/>
    <s v="Jan"/>
    <n v="10"/>
    <n v="10"/>
    <s v=""/>
    <s v="Office Chair"/>
    <s v="Furniture"/>
    <m/>
    <x v="34"/>
    <x v="0"/>
    <x v="0"/>
    <x v="0"/>
    <x v="1"/>
  </r>
  <r>
    <d v="2020-01-08T00:00:00"/>
    <s v="8"/>
    <s v="Jan"/>
    <n v="8"/>
    <n v="8"/>
    <s v=""/>
    <s v="Table Lamp"/>
    <s v="Accessories"/>
    <m/>
    <x v="12"/>
    <x v="2"/>
    <x v="0"/>
    <x v="1"/>
    <x v="2"/>
  </r>
  <r>
    <d v="2020-01-08T00:00:00"/>
    <s v="8"/>
    <s v="Jan"/>
    <n v="8"/>
    <n v="8"/>
    <s v=""/>
    <s v="Laptop"/>
    <s v="Computer"/>
    <m/>
    <x v="15"/>
    <x v="2"/>
    <x v="0"/>
    <x v="0"/>
    <x v="1"/>
  </r>
  <r>
    <d v="2020-01-08T00:00:00"/>
    <s v="8"/>
    <s v="Jan"/>
    <n v="6"/>
    <n v="6"/>
    <s v=""/>
    <s v="Office Chair"/>
    <s v="Furniture"/>
    <m/>
    <x v="35"/>
    <x v="1"/>
    <x v="0"/>
    <x v="2"/>
    <x v="3"/>
  </r>
  <r>
    <d v="2020-01-08T00:00:00"/>
    <s v="8"/>
    <s v="Jan"/>
    <n v="6"/>
    <n v="6"/>
    <s v=""/>
    <s v="Office Table"/>
    <s v="Furniture"/>
    <m/>
    <x v="36"/>
    <x v="2"/>
    <x v="0"/>
    <x v="1"/>
    <x v="2"/>
  </r>
  <r>
    <d v="2020-01-08T00:00:00"/>
    <s v="8"/>
    <s v="Jan"/>
    <n v="6"/>
    <n v="6"/>
    <s v=""/>
    <s v="Office Chair"/>
    <s v="Furniture"/>
    <m/>
    <x v="37"/>
    <x v="2"/>
    <x v="0"/>
    <x v="2"/>
    <x v="0"/>
  </r>
  <r>
    <d v="2020-01-08T00:00:00"/>
    <s v="8"/>
    <s v="Jan"/>
    <n v="5"/>
    <n v="5"/>
    <s v=""/>
    <s v="Office Table"/>
    <s v="Furniture"/>
    <m/>
    <x v="22"/>
    <x v="0"/>
    <x v="0"/>
    <x v="1"/>
    <x v="3"/>
  </r>
  <r>
    <d v="2020-01-08T00:00:00"/>
    <s v="8"/>
    <s v="Jan"/>
    <n v="5"/>
    <n v="5"/>
    <s v=""/>
    <s v="Office Table"/>
    <s v="Furniture"/>
    <m/>
    <x v="7"/>
    <x v="5"/>
    <x v="0"/>
    <x v="1"/>
    <x v="0"/>
  </r>
  <r>
    <d v="2020-01-08T00:00:00"/>
    <s v="8"/>
    <s v="Jan"/>
    <n v="5"/>
    <n v="5"/>
    <s v=""/>
    <s v="TV"/>
    <s v="Electronic"/>
    <m/>
    <x v="15"/>
    <x v="3"/>
    <x v="0"/>
    <x v="1"/>
    <x v="0"/>
  </r>
  <r>
    <d v="2020-01-08T00:00:00"/>
    <s v="8"/>
    <s v="Jan"/>
    <n v="5"/>
    <n v="5"/>
    <s v=""/>
    <s v="Coffee Mach"/>
    <s v="Kitchen"/>
    <m/>
    <x v="30"/>
    <x v="0"/>
    <x v="0"/>
    <x v="0"/>
    <x v="2"/>
  </r>
  <r>
    <d v="2020-01-09T00:00:00"/>
    <s v="9"/>
    <s v="Jan"/>
    <n v="10"/>
    <n v="10"/>
    <s v=""/>
    <s v="Cable"/>
    <s v="Networking"/>
    <m/>
    <x v="10"/>
    <x v="2"/>
    <x v="0"/>
    <x v="1"/>
    <x v="3"/>
  </r>
  <r>
    <d v="2020-01-09T00:00:00"/>
    <s v="9"/>
    <s v="Jan"/>
    <n v="9"/>
    <n v="9"/>
    <s v=""/>
    <s v="Table Lamp"/>
    <s v="Accessories"/>
    <m/>
    <x v="25"/>
    <x v="0"/>
    <x v="0"/>
    <x v="2"/>
    <x v="2"/>
  </r>
  <r>
    <d v="2020-01-09T00:00:00"/>
    <s v="9"/>
    <s v="Jan"/>
    <n v="9"/>
    <n v="9"/>
    <s v=""/>
    <s v="Printer"/>
    <s v="Computer"/>
    <m/>
    <x v="36"/>
    <x v="2"/>
    <x v="0"/>
    <x v="1"/>
    <x v="1"/>
  </r>
  <r>
    <d v="2020-01-09T00:00:00"/>
    <s v="9"/>
    <s v="Jan"/>
    <n v="8"/>
    <n v="8"/>
    <s v=""/>
    <s v="Printer"/>
    <s v="Computer"/>
    <m/>
    <x v="24"/>
    <x v="0"/>
    <x v="0"/>
    <x v="0"/>
    <x v="2"/>
  </r>
  <r>
    <d v="2020-01-09T00:00:00"/>
    <s v="9"/>
    <s v="Jan"/>
    <n v="7"/>
    <n v="7"/>
    <s v=""/>
    <s v="Office Chair"/>
    <s v="Furniture"/>
    <m/>
    <x v="25"/>
    <x v="0"/>
    <x v="0"/>
    <x v="0"/>
    <x v="0"/>
  </r>
  <r>
    <d v="2020-01-09T00:00:00"/>
    <s v="9"/>
    <s v="Jan"/>
    <n v="7"/>
    <n v="7"/>
    <s v=""/>
    <s v="Printer"/>
    <s v="Computer"/>
    <m/>
    <x v="5"/>
    <x v="5"/>
    <x v="0"/>
    <x v="0"/>
    <x v="1"/>
  </r>
  <r>
    <d v="2020-01-09T00:00:00"/>
    <s v="9"/>
    <s v="Jan"/>
    <n v="6"/>
    <n v="6"/>
    <s v=""/>
    <s v="Coffee Mach"/>
    <s v="Kitchen"/>
    <m/>
    <x v="30"/>
    <x v="0"/>
    <x v="0"/>
    <x v="2"/>
    <x v="1"/>
  </r>
  <r>
    <d v="2020-01-09T00:00:00"/>
    <s v="9"/>
    <s v="Jan"/>
    <n v="5"/>
    <n v="5"/>
    <s v=""/>
    <s v="Cable"/>
    <s v="Networking"/>
    <m/>
    <x v="20"/>
    <x v="2"/>
    <x v="0"/>
    <x v="2"/>
    <x v="0"/>
  </r>
  <r>
    <d v="2020-01-09T00:00:00"/>
    <s v="9"/>
    <s v="Jan"/>
    <n v="4"/>
    <n v="4"/>
    <s v=""/>
    <s v="Printer"/>
    <s v="Computer"/>
    <m/>
    <x v="37"/>
    <x v="5"/>
    <x v="0"/>
    <x v="2"/>
    <x v="3"/>
  </r>
  <r>
    <d v="2020-01-09T00:00:00"/>
    <s v="9"/>
    <s v="Jan"/>
    <n v="3"/>
    <n v="3"/>
    <s v=""/>
    <s v="Laptop"/>
    <s v="Computer"/>
    <m/>
    <x v="38"/>
    <x v="0"/>
    <x v="0"/>
    <x v="1"/>
    <x v="0"/>
  </r>
  <r>
    <d v="2020-01-10T00:00:00"/>
    <s v="10"/>
    <s v="Jan"/>
    <n v="10"/>
    <n v="10"/>
    <s v=""/>
    <s v="Office Chair"/>
    <s v="Furniture"/>
    <m/>
    <x v="28"/>
    <x v="0"/>
    <x v="0"/>
    <x v="0"/>
    <x v="2"/>
  </r>
  <r>
    <d v="2020-01-10T00:00:00"/>
    <s v="10"/>
    <s v="Jan"/>
    <n v="9"/>
    <n v="9"/>
    <s v=""/>
    <s v="Coffee Mach"/>
    <s v="Kitchen"/>
    <m/>
    <x v="27"/>
    <x v="2"/>
    <x v="0"/>
    <x v="1"/>
    <x v="0"/>
  </r>
  <r>
    <d v="2020-01-10T00:00:00"/>
    <s v="10"/>
    <s v="Jan"/>
    <n v="9"/>
    <n v="9"/>
    <s v=""/>
    <s v="Laptop"/>
    <s v="Computer"/>
    <m/>
    <x v="22"/>
    <x v="2"/>
    <x v="0"/>
    <x v="1"/>
    <x v="0"/>
  </r>
  <r>
    <d v="2020-01-10T00:00:00"/>
    <s v="10"/>
    <s v="Jan"/>
    <n v="9"/>
    <n v="9"/>
    <s v=""/>
    <s v="Printer"/>
    <s v="Computer"/>
    <m/>
    <x v="3"/>
    <x v="5"/>
    <x v="0"/>
    <x v="1"/>
    <x v="3"/>
  </r>
  <r>
    <d v="2020-01-10T00:00:00"/>
    <s v="10"/>
    <s v="Jan"/>
    <n v="8"/>
    <n v="8"/>
    <s v=""/>
    <s v="Laptop"/>
    <s v="Computer"/>
    <m/>
    <x v="2"/>
    <x v="2"/>
    <x v="0"/>
    <x v="1"/>
    <x v="0"/>
  </r>
  <r>
    <d v="2020-01-10T00:00:00"/>
    <s v="10"/>
    <s v="Jan"/>
    <n v="8"/>
    <n v="8"/>
    <s v=""/>
    <s v="Office Chair"/>
    <s v="Furniture"/>
    <m/>
    <x v="22"/>
    <x v="0"/>
    <x v="0"/>
    <x v="2"/>
    <x v="2"/>
  </r>
  <r>
    <d v="2020-01-10T00:00:00"/>
    <s v="10"/>
    <s v="Jan"/>
    <n v="7"/>
    <n v="7"/>
    <s v=""/>
    <s v="TV"/>
    <s v="Electronic"/>
    <m/>
    <x v="32"/>
    <x v="3"/>
    <x v="0"/>
    <x v="1"/>
    <x v="2"/>
  </r>
  <r>
    <d v="2020-01-10T00:00:00"/>
    <s v="10"/>
    <s v="Jan"/>
    <n v="6"/>
    <n v="6"/>
    <s v=""/>
    <s v="Printer"/>
    <s v="Computer"/>
    <m/>
    <x v="5"/>
    <x v="2"/>
    <x v="0"/>
    <x v="0"/>
    <x v="2"/>
  </r>
  <r>
    <d v="2020-01-10T00:00:00"/>
    <s v="10"/>
    <s v="Jan"/>
    <n v="6"/>
    <n v="6"/>
    <s v=""/>
    <s v="Office Chair"/>
    <s v="Furniture"/>
    <m/>
    <x v="17"/>
    <x v="0"/>
    <x v="0"/>
    <x v="0"/>
    <x v="2"/>
  </r>
  <r>
    <d v="2020-01-10T00:00:00"/>
    <s v="10"/>
    <s v="Jan"/>
    <n v="4"/>
    <n v="4"/>
    <s v=""/>
    <s v="Cable"/>
    <s v="Networking"/>
    <m/>
    <x v="18"/>
    <x v="0"/>
    <x v="0"/>
    <x v="1"/>
    <x v="0"/>
  </r>
  <r>
    <d v="2020-01-10T00:00:00"/>
    <s v="10"/>
    <s v="Jan"/>
    <n v="3"/>
    <n v="3"/>
    <s v=""/>
    <s v="Office Table"/>
    <s v="Furniture"/>
    <m/>
    <x v="37"/>
    <x v="0"/>
    <x v="0"/>
    <x v="1"/>
    <x v="1"/>
  </r>
  <r>
    <d v="2020-01-10T00:00:00"/>
    <s v="10"/>
    <s v="Jan"/>
    <n v="3"/>
    <n v="3"/>
    <s v=""/>
    <s v="Laptop"/>
    <s v="Computer"/>
    <m/>
    <x v="39"/>
    <x v="2"/>
    <x v="0"/>
    <x v="0"/>
    <x v="0"/>
  </r>
  <r>
    <d v="2020-01-11T00:00:00"/>
    <s v="11"/>
    <s v="Jan"/>
    <n v="10"/>
    <n v="10"/>
    <s v=""/>
    <s v="Office Table"/>
    <s v="Furniture"/>
    <m/>
    <x v="15"/>
    <x v="0"/>
    <x v="0"/>
    <x v="1"/>
    <x v="0"/>
  </r>
  <r>
    <d v="2020-01-11T00:00:00"/>
    <s v="11"/>
    <s v="Jan"/>
    <n v="8"/>
    <n v="8"/>
    <s v=""/>
    <s v="TV"/>
    <s v="Electronic"/>
    <m/>
    <x v="16"/>
    <x v="3"/>
    <x v="0"/>
    <x v="2"/>
    <x v="1"/>
  </r>
  <r>
    <d v="2020-01-11T00:00:00"/>
    <s v="11"/>
    <s v="Jan"/>
    <n v="8"/>
    <n v="8"/>
    <s v=""/>
    <s v="AC"/>
    <s v="Electronic"/>
    <m/>
    <x v="16"/>
    <x v="0"/>
    <x v="0"/>
    <x v="1"/>
    <x v="2"/>
  </r>
  <r>
    <d v="2020-01-11T00:00:00"/>
    <s v="11"/>
    <s v="Jan"/>
    <n v="8"/>
    <n v="8"/>
    <s v=""/>
    <s v="Coffee Mach"/>
    <s v="Kitchen"/>
    <m/>
    <x v="17"/>
    <x v="0"/>
    <x v="0"/>
    <x v="0"/>
    <x v="0"/>
  </r>
  <r>
    <d v="2020-01-11T00:00:00"/>
    <s v="11"/>
    <s v="Jan"/>
    <n v="7"/>
    <n v="7"/>
    <s v=""/>
    <s v="AC"/>
    <s v="Electronic"/>
    <m/>
    <x v="21"/>
    <x v="2"/>
    <x v="0"/>
    <x v="1"/>
    <x v="0"/>
  </r>
  <r>
    <d v="2020-01-11T00:00:00"/>
    <s v="11"/>
    <s v="Jan"/>
    <n v="6"/>
    <n v="6"/>
    <s v=""/>
    <s v="Table Lamp"/>
    <s v="Accessories"/>
    <m/>
    <x v="2"/>
    <x v="2"/>
    <x v="0"/>
    <x v="0"/>
    <x v="0"/>
  </r>
  <r>
    <d v="2020-01-11T00:00:00"/>
    <s v="11"/>
    <s v="Jan"/>
    <n v="4"/>
    <n v="4"/>
    <s v=""/>
    <s v="Cable"/>
    <s v="Networking"/>
    <m/>
    <x v="2"/>
    <x v="2"/>
    <x v="0"/>
    <x v="1"/>
    <x v="3"/>
  </r>
  <r>
    <d v="2020-01-11T00:00:00"/>
    <s v="11"/>
    <s v="Jan"/>
    <n v="4"/>
    <n v="4"/>
    <s v=""/>
    <s v="AC"/>
    <s v="Electronic"/>
    <m/>
    <x v="17"/>
    <x v="0"/>
    <x v="0"/>
    <x v="1"/>
    <x v="2"/>
  </r>
  <r>
    <d v="2020-01-11T00:00:00"/>
    <s v="11"/>
    <s v="Jan"/>
    <n v="4"/>
    <n v="4"/>
    <s v=""/>
    <s v="Cable"/>
    <s v="Networking"/>
    <m/>
    <x v="40"/>
    <x v="2"/>
    <x v="0"/>
    <x v="2"/>
    <x v="1"/>
  </r>
  <r>
    <d v="2020-01-11T00:00:00"/>
    <s v="11"/>
    <s v="Jan"/>
    <n v="3"/>
    <n v="3"/>
    <s v=""/>
    <s v="AC"/>
    <s v="Electronic"/>
    <m/>
    <x v="34"/>
    <x v="0"/>
    <x v="0"/>
    <x v="1"/>
    <x v="1"/>
  </r>
  <r>
    <d v="2020-01-11T00:00:00"/>
    <s v="11"/>
    <s v="Jan"/>
    <n v="3"/>
    <n v="3"/>
    <s v=""/>
    <s v="Office Chair"/>
    <s v="Furniture"/>
    <m/>
    <x v="5"/>
    <x v="4"/>
    <x v="0"/>
    <x v="1"/>
    <x v="3"/>
  </r>
  <r>
    <d v="2020-01-11T00:00:00"/>
    <s v="11"/>
    <s v="Jan"/>
    <n v="3"/>
    <n v="3"/>
    <s v=""/>
    <s v="TV"/>
    <s v="Electronic"/>
    <m/>
    <x v="41"/>
    <x v="2"/>
    <x v="0"/>
    <x v="2"/>
    <x v="0"/>
  </r>
  <r>
    <d v="2020-01-11T00:00:00"/>
    <s v="11"/>
    <s v="Jan"/>
    <n v="3"/>
    <n v="3"/>
    <s v=""/>
    <s v="AC"/>
    <s v="Electronic"/>
    <m/>
    <x v="16"/>
    <x v="0"/>
    <x v="0"/>
    <x v="0"/>
    <x v="2"/>
  </r>
  <r>
    <d v="2020-01-12T00:00:00"/>
    <s v="12"/>
    <s v="Jan"/>
    <n v="10"/>
    <n v="10"/>
    <s v=""/>
    <s v="Office Table"/>
    <s v="Furniture"/>
    <m/>
    <x v="24"/>
    <x v="2"/>
    <x v="0"/>
    <x v="0"/>
    <x v="0"/>
  </r>
  <r>
    <d v="2020-01-12T00:00:00"/>
    <s v="12"/>
    <s v="Jan"/>
    <n v="10"/>
    <n v="10"/>
    <s v=""/>
    <s v="Table Lamp"/>
    <s v="Accessories"/>
    <m/>
    <x v="14"/>
    <x v="2"/>
    <x v="0"/>
    <x v="1"/>
    <x v="3"/>
  </r>
  <r>
    <d v="2020-01-12T00:00:00"/>
    <s v="12"/>
    <s v="Jan"/>
    <n v="10"/>
    <n v="10"/>
    <s v=""/>
    <s v="Cable"/>
    <s v="Networking"/>
    <m/>
    <x v="5"/>
    <x v="0"/>
    <x v="0"/>
    <x v="1"/>
    <x v="2"/>
  </r>
  <r>
    <d v="2020-01-12T00:00:00"/>
    <s v="12"/>
    <s v="Jan"/>
    <n v="10"/>
    <n v="10"/>
    <s v=""/>
    <s v="AC"/>
    <s v="Electronic"/>
    <m/>
    <x v="7"/>
    <x v="2"/>
    <x v="0"/>
    <x v="2"/>
    <x v="0"/>
  </r>
  <r>
    <d v="2020-01-12T00:00:00"/>
    <s v="12"/>
    <s v="Jan"/>
    <n v="10"/>
    <n v="10"/>
    <s v=""/>
    <s v="Cable"/>
    <s v="Networking"/>
    <m/>
    <x v="5"/>
    <x v="5"/>
    <x v="0"/>
    <x v="2"/>
    <x v="0"/>
  </r>
  <r>
    <d v="2020-01-12T00:00:00"/>
    <s v="12"/>
    <s v="Jan"/>
    <n v="10"/>
    <n v="10"/>
    <s v=""/>
    <s v="AC"/>
    <s v="Electronic"/>
    <m/>
    <x v="41"/>
    <x v="2"/>
    <x v="0"/>
    <x v="1"/>
    <x v="3"/>
  </r>
  <r>
    <d v="2020-01-12T00:00:00"/>
    <s v="12"/>
    <s v="Jan"/>
    <n v="9"/>
    <n v="9"/>
    <s v=""/>
    <s v="Cable"/>
    <s v="Networking"/>
    <m/>
    <x v="15"/>
    <x v="3"/>
    <x v="0"/>
    <x v="0"/>
    <x v="1"/>
  </r>
  <r>
    <d v="2020-01-12T00:00:00"/>
    <s v="12"/>
    <s v="Jan"/>
    <n v="8"/>
    <n v="8"/>
    <s v=""/>
    <s v="Printer"/>
    <s v="Computer"/>
    <m/>
    <x v="42"/>
    <x v="1"/>
    <x v="0"/>
    <x v="2"/>
    <x v="3"/>
  </r>
  <r>
    <d v="2020-01-12T00:00:00"/>
    <s v="12"/>
    <s v="Jan"/>
    <n v="7"/>
    <n v="7"/>
    <s v=""/>
    <s v="Office Table"/>
    <s v="Furniture"/>
    <m/>
    <x v="22"/>
    <x v="0"/>
    <x v="0"/>
    <x v="2"/>
    <x v="3"/>
  </r>
  <r>
    <d v="2020-01-12T00:00:00"/>
    <s v="12"/>
    <s v="Jan"/>
    <n v="7"/>
    <n v="7"/>
    <s v=""/>
    <s v="Office Chair"/>
    <s v="Furniture"/>
    <m/>
    <x v="29"/>
    <x v="0"/>
    <x v="0"/>
    <x v="1"/>
    <x v="0"/>
  </r>
  <r>
    <d v="2020-01-12T00:00:00"/>
    <s v="12"/>
    <s v="Jan"/>
    <n v="5"/>
    <n v="5"/>
    <s v=""/>
    <s v="AC"/>
    <s v="Electronic"/>
    <m/>
    <x v="12"/>
    <x v="2"/>
    <x v="0"/>
    <x v="1"/>
    <x v="1"/>
  </r>
  <r>
    <d v="2020-01-12T00:00:00"/>
    <s v="12"/>
    <s v="Jan"/>
    <n v="3"/>
    <n v="3"/>
    <s v=""/>
    <s v="Office Chair"/>
    <s v="Furniture"/>
    <m/>
    <x v="23"/>
    <x v="2"/>
    <x v="0"/>
    <x v="1"/>
    <x v="1"/>
  </r>
  <r>
    <d v="2020-01-12T00:00:00"/>
    <s v="12"/>
    <s v="Jan"/>
    <n v="3"/>
    <n v="3"/>
    <s v=""/>
    <s v="Coffee Mach"/>
    <s v="Kitchen"/>
    <m/>
    <x v="34"/>
    <x v="0"/>
    <x v="0"/>
    <x v="1"/>
    <x v="3"/>
  </r>
  <r>
    <d v="2020-01-13T00:00:00"/>
    <s v="13"/>
    <s v="Jan"/>
    <n v="10"/>
    <n v="8"/>
    <n v="2"/>
    <s v="Office Chair"/>
    <s v="Furniture"/>
    <m/>
    <x v="27"/>
    <x v="0"/>
    <x v="0"/>
    <x v="0"/>
    <x v="2"/>
  </r>
  <r>
    <d v="2020-01-13T00:00:00"/>
    <s v="13"/>
    <s v="Jan"/>
    <n v="10"/>
    <n v="9"/>
    <n v="1"/>
    <s v="TV"/>
    <s v="Electronic"/>
    <m/>
    <x v="21"/>
    <x v="2"/>
    <x v="0"/>
    <x v="1"/>
    <x v="1"/>
  </r>
  <r>
    <d v="2020-01-13T00:00:00"/>
    <s v="13"/>
    <s v="Jan"/>
    <n v="9"/>
    <n v="7"/>
    <n v="2"/>
    <s v="Printer"/>
    <s v="Computer"/>
    <m/>
    <x v="13"/>
    <x v="4"/>
    <x v="0"/>
    <x v="0"/>
    <x v="0"/>
  </r>
  <r>
    <d v="2020-01-13T00:00:00"/>
    <s v="13"/>
    <s v="Jan"/>
    <n v="9"/>
    <n v="8"/>
    <n v="1"/>
    <s v="Office Chair"/>
    <s v="Furniture"/>
    <m/>
    <x v="34"/>
    <x v="0"/>
    <x v="0"/>
    <x v="2"/>
    <x v="1"/>
  </r>
  <r>
    <d v="2020-01-13T00:00:00"/>
    <s v="13"/>
    <s v="Jan"/>
    <n v="9"/>
    <n v="7"/>
    <n v="2"/>
    <s v="AC"/>
    <s v="Electronic"/>
    <m/>
    <x v="20"/>
    <x v="0"/>
    <x v="0"/>
    <x v="1"/>
    <x v="2"/>
  </r>
  <r>
    <d v="2020-01-13T00:00:00"/>
    <s v="13"/>
    <s v="Jan"/>
    <n v="9"/>
    <n v="7"/>
    <n v="2"/>
    <s v="Coffee Mach"/>
    <s v="Kitchen"/>
    <m/>
    <x v="8"/>
    <x v="2"/>
    <x v="0"/>
    <x v="0"/>
    <x v="3"/>
  </r>
  <r>
    <d v="2020-01-13T00:00:00"/>
    <s v="13"/>
    <s v="Jan"/>
    <n v="6"/>
    <n v="3"/>
    <n v="3"/>
    <s v="TV"/>
    <s v="Electronic"/>
    <m/>
    <x v="7"/>
    <x v="5"/>
    <x v="0"/>
    <x v="0"/>
    <x v="0"/>
  </r>
  <r>
    <d v="2020-01-13T00:00:00"/>
    <s v="13"/>
    <s v="Jan"/>
    <n v="5"/>
    <n v="4"/>
    <n v="1"/>
    <s v="Laptop"/>
    <s v="Computer"/>
    <m/>
    <x v="12"/>
    <x v="0"/>
    <x v="0"/>
    <x v="0"/>
    <x v="1"/>
  </r>
  <r>
    <d v="2020-01-13T00:00:00"/>
    <s v="13"/>
    <s v="Jan"/>
    <n v="5"/>
    <n v="4"/>
    <n v="1"/>
    <s v="Laptop"/>
    <s v="Computer"/>
    <m/>
    <x v="32"/>
    <x v="2"/>
    <x v="0"/>
    <x v="1"/>
    <x v="3"/>
  </r>
  <r>
    <d v="2020-01-14T00:00:00"/>
    <s v="14"/>
    <s v="Jan"/>
    <n v="9"/>
    <n v="8"/>
    <n v="1"/>
    <s v="TV"/>
    <s v="Electronic"/>
    <m/>
    <x v="43"/>
    <x v="2"/>
    <x v="0"/>
    <x v="1"/>
    <x v="1"/>
  </r>
  <r>
    <d v="2020-01-14T00:00:00"/>
    <s v="14"/>
    <s v="Jan"/>
    <n v="8"/>
    <n v="7"/>
    <n v="1"/>
    <s v="Coffee Mach"/>
    <s v="Kitchen"/>
    <m/>
    <x v="39"/>
    <x v="5"/>
    <x v="0"/>
    <x v="1"/>
    <x v="3"/>
  </r>
  <r>
    <d v="2020-01-14T00:00:00"/>
    <s v="14"/>
    <s v="Jan"/>
    <n v="7"/>
    <n v="4"/>
    <n v="3"/>
    <s v="Office Chair"/>
    <s v="Furniture"/>
    <m/>
    <x v="44"/>
    <x v="0"/>
    <x v="0"/>
    <x v="0"/>
    <x v="3"/>
  </r>
  <r>
    <d v="2020-01-14T00:00:00"/>
    <s v="14"/>
    <s v="Jan"/>
    <n v="7"/>
    <n v="4"/>
    <n v="3"/>
    <s v="Coffee Mach"/>
    <s v="Kitchen"/>
    <m/>
    <x v="0"/>
    <x v="0"/>
    <x v="0"/>
    <x v="1"/>
    <x v="3"/>
  </r>
  <r>
    <d v="2020-01-14T00:00:00"/>
    <s v="14"/>
    <s v="Jan"/>
    <n v="6"/>
    <n v="5"/>
    <n v="1"/>
    <s v="Printer"/>
    <s v="Computer"/>
    <m/>
    <x v="15"/>
    <x v="4"/>
    <x v="0"/>
    <x v="1"/>
    <x v="2"/>
  </r>
  <r>
    <d v="2020-01-14T00:00:00"/>
    <s v="14"/>
    <s v="Jan"/>
    <n v="6"/>
    <n v="3"/>
    <n v="3"/>
    <s v="Coffee Mach"/>
    <s v="Kitchen"/>
    <m/>
    <x v="38"/>
    <x v="0"/>
    <x v="0"/>
    <x v="1"/>
    <x v="0"/>
  </r>
  <r>
    <d v="2020-01-14T00:00:00"/>
    <s v="14"/>
    <s v="Jan"/>
    <n v="6"/>
    <n v="3"/>
    <n v="3"/>
    <s v="Office Chair"/>
    <s v="Furniture"/>
    <m/>
    <x v="17"/>
    <x v="4"/>
    <x v="0"/>
    <x v="2"/>
    <x v="0"/>
  </r>
  <r>
    <d v="2020-01-14T00:00:00"/>
    <s v="14"/>
    <s v="Jan"/>
    <n v="5"/>
    <n v="3"/>
    <n v="2"/>
    <s v="Laptop"/>
    <s v="Computer"/>
    <m/>
    <x v="38"/>
    <x v="0"/>
    <x v="0"/>
    <x v="1"/>
    <x v="0"/>
  </r>
  <r>
    <d v="2020-01-14T00:00:00"/>
    <s v="14"/>
    <s v="Jan"/>
    <n v="4"/>
    <n v="3"/>
    <n v="1"/>
    <s v="AC"/>
    <s v="Electronic"/>
    <m/>
    <x v="45"/>
    <x v="0"/>
    <x v="0"/>
    <x v="0"/>
    <x v="1"/>
  </r>
  <r>
    <d v="2020-01-14T00:00:00"/>
    <s v="14"/>
    <s v="Jan"/>
    <n v="3"/>
    <n v="1"/>
    <n v="2"/>
    <s v="Printer"/>
    <s v="Computer"/>
    <m/>
    <x v="24"/>
    <x v="0"/>
    <x v="0"/>
    <x v="1"/>
    <x v="3"/>
  </r>
  <r>
    <d v="2020-01-15T00:00:00"/>
    <s v="15"/>
    <s v="Jan"/>
    <n v="10"/>
    <n v="10"/>
    <s v=""/>
    <s v="AC"/>
    <s v="Electronic"/>
    <m/>
    <x v="36"/>
    <x v="2"/>
    <x v="0"/>
    <x v="0"/>
    <x v="2"/>
  </r>
  <r>
    <d v="2020-01-15T00:00:00"/>
    <s v="15"/>
    <s v="Jan"/>
    <n v="9"/>
    <n v="9"/>
    <s v=""/>
    <s v="Office Table"/>
    <s v="Furniture"/>
    <m/>
    <x v="43"/>
    <x v="2"/>
    <x v="0"/>
    <x v="0"/>
    <x v="3"/>
  </r>
  <r>
    <d v="2020-01-15T00:00:00"/>
    <s v="15"/>
    <s v="Jan"/>
    <n v="7"/>
    <n v="7"/>
    <s v=""/>
    <s v="Coffee Mach"/>
    <s v="Kitchen"/>
    <m/>
    <x v="12"/>
    <x v="0"/>
    <x v="0"/>
    <x v="2"/>
    <x v="3"/>
  </r>
  <r>
    <d v="2020-01-15T00:00:00"/>
    <s v="15"/>
    <s v="Jan"/>
    <n v="7"/>
    <n v="7"/>
    <s v=""/>
    <s v="Office Table"/>
    <s v="Furniture"/>
    <m/>
    <x v="16"/>
    <x v="2"/>
    <x v="0"/>
    <x v="0"/>
    <x v="1"/>
  </r>
  <r>
    <d v="2020-01-15T00:00:00"/>
    <s v="15"/>
    <s v="Jan"/>
    <n v="5"/>
    <n v="5"/>
    <s v=""/>
    <s v="Printer"/>
    <s v="Computer"/>
    <m/>
    <x v="34"/>
    <x v="4"/>
    <x v="0"/>
    <x v="2"/>
    <x v="3"/>
  </r>
  <r>
    <d v="2020-01-15T00:00:00"/>
    <s v="15"/>
    <s v="Jan"/>
    <n v="4"/>
    <n v="4"/>
    <s v=""/>
    <s v="Printer"/>
    <s v="Computer"/>
    <m/>
    <x v="9"/>
    <x v="0"/>
    <x v="0"/>
    <x v="0"/>
    <x v="0"/>
  </r>
  <r>
    <d v="2020-01-15T00:00:00"/>
    <s v="15"/>
    <s v="Jan"/>
    <n v="4"/>
    <n v="4"/>
    <s v=""/>
    <s v="Office Table"/>
    <s v="Furniture"/>
    <m/>
    <x v="7"/>
    <x v="4"/>
    <x v="0"/>
    <x v="0"/>
    <x v="0"/>
  </r>
  <r>
    <d v="2020-01-15T00:00:00"/>
    <s v="15"/>
    <s v="Jan"/>
    <n v="3"/>
    <n v="3"/>
    <s v=""/>
    <s v="AC"/>
    <s v="Electronic"/>
    <m/>
    <x v="14"/>
    <x v="4"/>
    <x v="0"/>
    <x v="1"/>
    <x v="1"/>
  </r>
  <r>
    <d v="2020-01-16T00:00:00"/>
    <s v="16"/>
    <s v="Jan"/>
    <n v="10"/>
    <n v="10"/>
    <s v=""/>
    <s v="Printer"/>
    <s v="Computer"/>
    <m/>
    <x v="27"/>
    <x v="0"/>
    <x v="0"/>
    <x v="1"/>
    <x v="0"/>
  </r>
  <r>
    <d v="2020-01-16T00:00:00"/>
    <s v="16"/>
    <s v="Jan"/>
    <n v="10"/>
    <n v="10"/>
    <s v=""/>
    <s v="Cable"/>
    <s v="Networking"/>
    <m/>
    <x v="21"/>
    <x v="2"/>
    <x v="0"/>
    <x v="2"/>
    <x v="2"/>
  </r>
  <r>
    <d v="2020-01-16T00:00:00"/>
    <s v="16"/>
    <s v="Jan"/>
    <n v="10"/>
    <n v="10"/>
    <s v=""/>
    <s v="Cable"/>
    <s v="Networking"/>
    <m/>
    <x v="27"/>
    <x v="2"/>
    <x v="0"/>
    <x v="1"/>
    <x v="2"/>
  </r>
  <r>
    <d v="2020-01-16T00:00:00"/>
    <s v="16"/>
    <s v="Jan"/>
    <n v="9"/>
    <n v="9"/>
    <s v=""/>
    <s v="Office Chair"/>
    <s v="Furniture"/>
    <m/>
    <x v="45"/>
    <x v="2"/>
    <x v="0"/>
    <x v="1"/>
    <x v="1"/>
  </r>
  <r>
    <d v="2020-01-16T00:00:00"/>
    <s v="16"/>
    <s v="Jan"/>
    <n v="8"/>
    <n v="8"/>
    <s v=""/>
    <s v="TV"/>
    <s v="Electronic"/>
    <m/>
    <x v="0"/>
    <x v="4"/>
    <x v="0"/>
    <x v="1"/>
    <x v="2"/>
  </r>
  <r>
    <d v="2020-01-16T00:00:00"/>
    <s v="16"/>
    <s v="Jan"/>
    <n v="8"/>
    <n v="8"/>
    <s v=""/>
    <s v="TV"/>
    <s v="Electronic"/>
    <m/>
    <x v="6"/>
    <x v="0"/>
    <x v="0"/>
    <x v="0"/>
    <x v="3"/>
  </r>
  <r>
    <d v="2020-01-16T00:00:00"/>
    <s v="16"/>
    <s v="Jan"/>
    <n v="8"/>
    <n v="8"/>
    <s v=""/>
    <s v="Coffee Mach"/>
    <s v="Kitchen"/>
    <m/>
    <x v="21"/>
    <x v="0"/>
    <x v="0"/>
    <x v="2"/>
    <x v="0"/>
  </r>
  <r>
    <d v="2020-01-16T00:00:00"/>
    <s v="16"/>
    <s v="Jan"/>
    <n v="7"/>
    <n v="7"/>
    <s v=""/>
    <s v="Cable"/>
    <s v="Networking"/>
    <m/>
    <x v="35"/>
    <x v="4"/>
    <x v="0"/>
    <x v="1"/>
    <x v="3"/>
  </r>
  <r>
    <d v="2020-01-16T00:00:00"/>
    <s v="16"/>
    <s v="Jan"/>
    <n v="5"/>
    <n v="5"/>
    <s v=""/>
    <s v="Coffee Mach"/>
    <s v="Kitchen"/>
    <m/>
    <x v="45"/>
    <x v="4"/>
    <x v="0"/>
    <x v="0"/>
    <x v="2"/>
  </r>
  <r>
    <d v="2020-01-16T00:00:00"/>
    <s v="16"/>
    <s v="Jan"/>
    <n v="4"/>
    <n v="4"/>
    <s v=""/>
    <s v="TV"/>
    <s v="Electronic"/>
    <m/>
    <x v="0"/>
    <x v="0"/>
    <x v="0"/>
    <x v="1"/>
    <x v="2"/>
  </r>
  <r>
    <d v="2020-01-16T00:00:00"/>
    <s v="16"/>
    <s v="Jan"/>
    <n v="3"/>
    <n v="3"/>
    <s v=""/>
    <s v="Table Lamp"/>
    <s v="Accessories"/>
    <m/>
    <x v="15"/>
    <x v="2"/>
    <x v="0"/>
    <x v="2"/>
    <x v="0"/>
  </r>
  <r>
    <d v="2020-01-17T00:00:00"/>
    <s v="17"/>
    <s v="Jan"/>
    <n v="8"/>
    <n v="8"/>
    <s v=""/>
    <s v="AC"/>
    <s v="Electronic"/>
    <m/>
    <x v="2"/>
    <x v="1"/>
    <x v="0"/>
    <x v="0"/>
    <x v="2"/>
  </r>
  <r>
    <d v="2020-01-17T00:00:00"/>
    <s v="17"/>
    <s v="Jan"/>
    <n v="7"/>
    <n v="7"/>
    <s v=""/>
    <s v="Office Chair"/>
    <s v="Furniture"/>
    <m/>
    <x v="44"/>
    <x v="4"/>
    <x v="0"/>
    <x v="1"/>
    <x v="3"/>
  </r>
  <r>
    <d v="2020-01-17T00:00:00"/>
    <s v="17"/>
    <s v="Jan"/>
    <n v="6"/>
    <n v="6"/>
    <s v=""/>
    <s v="Cable"/>
    <s v="Networking"/>
    <m/>
    <x v="45"/>
    <x v="5"/>
    <x v="0"/>
    <x v="0"/>
    <x v="1"/>
  </r>
  <r>
    <d v="2020-01-17T00:00:00"/>
    <s v="17"/>
    <s v="Jan"/>
    <n v="6"/>
    <n v="6"/>
    <s v=""/>
    <s v="AC"/>
    <s v="Electronic"/>
    <m/>
    <x v="39"/>
    <x v="0"/>
    <x v="0"/>
    <x v="1"/>
    <x v="1"/>
  </r>
  <r>
    <d v="2020-01-17T00:00:00"/>
    <s v="17"/>
    <s v="Jan"/>
    <n v="6"/>
    <n v="6"/>
    <s v=""/>
    <s v="Printer"/>
    <s v="Computer"/>
    <m/>
    <x v="7"/>
    <x v="0"/>
    <x v="0"/>
    <x v="2"/>
    <x v="0"/>
  </r>
  <r>
    <d v="2020-01-17T00:00:00"/>
    <s v="17"/>
    <s v="Jan"/>
    <n v="5"/>
    <n v="5"/>
    <s v=""/>
    <s v="TV"/>
    <s v="Electronic"/>
    <m/>
    <x v="1"/>
    <x v="2"/>
    <x v="0"/>
    <x v="1"/>
    <x v="0"/>
  </r>
  <r>
    <d v="2020-01-17T00:00:00"/>
    <s v="17"/>
    <s v="Jan"/>
    <n v="4"/>
    <n v="4"/>
    <s v=""/>
    <s v="AC"/>
    <s v="Electronic"/>
    <m/>
    <x v="46"/>
    <x v="0"/>
    <x v="0"/>
    <x v="0"/>
    <x v="0"/>
  </r>
  <r>
    <d v="2020-01-17T00:00:00"/>
    <s v="17"/>
    <s v="Jan"/>
    <n v="4"/>
    <n v="4"/>
    <s v=""/>
    <s v="AC"/>
    <s v="Electronic"/>
    <m/>
    <x v="45"/>
    <x v="0"/>
    <x v="0"/>
    <x v="1"/>
    <x v="2"/>
  </r>
  <r>
    <d v="2020-01-17T00:00:00"/>
    <s v="17"/>
    <s v="Jan"/>
    <n v="3"/>
    <n v="3"/>
    <s v=""/>
    <s v="Office Table"/>
    <s v="Furniture"/>
    <m/>
    <x v="46"/>
    <x v="0"/>
    <x v="0"/>
    <x v="1"/>
    <x v="0"/>
  </r>
  <r>
    <d v="2020-01-18T00:00:00"/>
    <s v="18"/>
    <s v="Jan"/>
    <n v="9"/>
    <n v="9"/>
    <s v=""/>
    <s v="Coffee Mach"/>
    <s v="Kitchen"/>
    <m/>
    <x v="1"/>
    <x v="0"/>
    <x v="0"/>
    <x v="2"/>
    <x v="1"/>
  </r>
  <r>
    <d v="2020-01-18T00:00:00"/>
    <s v="18"/>
    <s v="Jan"/>
    <n v="6"/>
    <n v="6"/>
    <s v=""/>
    <s v="Office Chair"/>
    <s v="Furniture"/>
    <m/>
    <x v="15"/>
    <x v="4"/>
    <x v="0"/>
    <x v="0"/>
    <x v="3"/>
  </r>
  <r>
    <d v="2020-01-18T00:00:00"/>
    <s v="18"/>
    <s v="Jan"/>
    <n v="5"/>
    <n v="5"/>
    <s v=""/>
    <s v="Printer"/>
    <s v="Computer"/>
    <m/>
    <x v="14"/>
    <x v="0"/>
    <x v="0"/>
    <x v="1"/>
    <x v="1"/>
  </r>
  <r>
    <d v="2020-01-18T00:00:00"/>
    <s v="18"/>
    <s v="Jan"/>
    <n v="5"/>
    <n v="5"/>
    <s v=""/>
    <s v="Coffee Mach"/>
    <s v="Kitchen"/>
    <m/>
    <x v="11"/>
    <x v="2"/>
    <x v="0"/>
    <x v="2"/>
    <x v="3"/>
  </r>
  <r>
    <d v="2020-01-18T00:00:00"/>
    <s v="18"/>
    <s v="Jan"/>
    <n v="5"/>
    <n v="5"/>
    <s v=""/>
    <s v="Laptop"/>
    <s v="Computer"/>
    <m/>
    <x v="42"/>
    <x v="0"/>
    <x v="0"/>
    <x v="1"/>
    <x v="1"/>
  </r>
  <r>
    <d v="2020-01-19T00:00:00"/>
    <s v="19"/>
    <s v="Jan"/>
    <n v="10"/>
    <n v="10"/>
    <s v=""/>
    <s v="Laptop"/>
    <s v="Computer"/>
    <m/>
    <x v="45"/>
    <x v="2"/>
    <x v="0"/>
    <x v="2"/>
    <x v="3"/>
  </r>
  <r>
    <d v="2020-01-19T00:00:00"/>
    <s v="19"/>
    <s v="Jan"/>
    <n v="10"/>
    <n v="10"/>
    <s v=""/>
    <s v="Office Table"/>
    <s v="Furniture"/>
    <m/>
    <x v="21"/>
    <x v="2"/>
    <x v="0"/>
    <x v="1"/>
    <x v="3"/>
  </r>
  <r>
    <d v="2020-01-19T00:00:00"/>
    <s v="19"/>
    <s v="Jan"/>
    <n v="9"/>
    <n v="9"/>
    <s v=""/>
    <s v="Printer"/>
    <s v="Computer"/>
    <m/>
    <x v="36"/>
    <x v="2"/>
    <x v="0"/>
    <x v="2"/>
    <x v="2"/>
  </r>
  <r>
    <d v="2020-01-19T00:00:00"/>
    <s v="19"/>
    <s v="Jan"/>
    <n v="8"/>
    <n v="8"/>
    <s v=""/>
    <s v="Office Chair"/>
    <s v="Furniture"/>
    <m/>
    <x v="43"/>
    <x v="2"/>
    <x v="0"/>
    <x v="1"/>
    <x v="3"/>
  </r>
  <r>
    <d v="2020-01-19T00:00:00"/>
    <s v="19"/>
    <s v="Jan"/>
    <n v="8"/>
    <n v="8"/>
    <s v=""/>
    <s v="Printer"/>
    <s v="Computer"/>
    <m/>
    <x v="14"/>
    <x v="5"/>
    <x v="0"/>
    <x v="0"/>
    <x v="0"/>
  </r>
  <r>
    <d v="2020-01-19T00:00:00"/>
    <s v="19"/>
    <s v="Jan"/>
    <n v="7"/>
    <n v="7"/>
    <s v=""/>
    <s v="Table Lamp"/>
    <s v="Accessories"/>
    <m/>
    <x v="8"/>
    <x v="4"/>
    <x v="0"/>
    <x v="1"/>
    <x v="2"/>
  </r>
  <r>
    <d v="2020-01-19T00:00:00"/>
    <s v="19"/>
    <s v="Jan"/>
    <n v="5"/>
    <n v="5"/>
    <s v=""/>
    <s v="Office Chair"/>
    <s v="Furniture"/>
    <m/>
    <x v="47"/>
    <x v="4"/>
    <x v="0"/>
    <x v="1"/>
    <x v="3"/>
  </r>
  <r>
    <d v="2020-01-19T00:00:00"/>
    <s v="19"/>
    <s v="Jan"/>
    <n v="5"/>
    <n v="5"/>
    <s v=""/>
    <s v="Office Table"/>
    <s v="Furniture"/>
    <m/>
    <x v="32"/>
    <x v="3"/>
    <x v="0"/>
    <x v="1"/>
    <x v="2"/>
  </r>
  <r>
    <d v="2020-01-19T00:00:00"/>
    <s v="19"/>
    <s v="Jan"/>
    <n v="4"/>
    <n v="4"/>
    <s v=""/>
    <s v="Printer"/>
    <s v="Computer"/>
    <m/>
    <x v="15"/>
    <x v="4"/>
    <x v="0"/>
    <x v="1"/>
    <x v="3"/>
  </r>
  <r>
    <d v="2020-01-19T00:00:00"/>
    <s v="19"/>
    <s v="Jan"/>
    <n v="3"/>
    <n v="3"/>
    <s v=""/>
    <s v="Printer"/>
    <s v="Computer"/>
    <m/>
    <x v="7"/>
    <x v="4"/>
    <x v="0"/>
    <x v="0"/>
    <x v="3"/>
  </r>
  <r>
    <d v="2020-01-19T00:00:00"/>
    <s v="19"/>
    <s v="Jan"/>
    <n v="3"/>
    <n v="3"/>
    <s v=""/>
    <s v="Office Chair"/>
    <s v="Furniture"/>
    <m/>
    <x v="40"/>
    <x v="0"/>
    <x v="0"/>
    <x v="0"/>
    <x v="3"/>
  </r>
  <r>
    <d v="2020-01-20T00:00:00"/>
    <s v="20"/>
    <s v="Jan"/>
    <n v="10"/>
    <n v="10"/>
    <s v=""/>
    <s v="Cable"/>
    <s v="Networking"/>
    <m/>
    <x v="30"/>
    <x v="3"/>
    <x v="0"/>
    <x v="2"/>
    <x v="3"/>
  </r>
  <r>
    <d v="2020-01-20T00:00:00"/>
    <s v="20"/>
    <s v="Jan"/>
    <n v="8"/>
    <n v="8"/>
    <s v=""/>
    <s v="Printer"/>
    <s v="Computer"/>
    <m/>
    <x v="26"/>
    <x v="1"/>
    <x v="0"/>
    <x v="2"/>
    <x v="3"/>
  </r>
  <r>
    <d v="2020-01-20T00:00:00"/>
    <s v="20"/>
    <s v="Jan"/>
    <n v="8"/>
    <n v="8"/>
    <s v=""/>
    <s v="AC"/>
    <s v="Electronic"/>
    <m/>
    <x v="27"/>
    <x v="0"/>
    <x v="0"/>
    <x v="0"/>
    <x v="2"/>
  </r>
  <r>
    <d v="2020-01-20T00:00:00"/>
    <s v="20"/>
    <s v="Jan"/>
    <n v="6"/>
    <n v="6"/>
    <s v=""/>
    <s v="Printer"/>
    <s v="Computer"/>
    <m/>
    <x v="16"/>
    <x v="0"/>
    <x v="0"/>
    <x v="1"/>
    <x v="0"/>
  </r>
  <r>
    <d v="2020-01-20T00:00:00"/>
    <s v="20"/>
    <s v="Jan"/>
    <n v="3"/>
    <n v="3"/>
    <s v=""/>
    <s v="Laptop"/>
    <s v="Computer"/>
    <m/>
    <x v="23"/>
    <x v="2"/>
    <x v="0"/>
    <x v="0"/>
    <x v="1"/>
  </r>
  <r>
    <d v="2020-01-21T00:00:00"/>
    <s v="21"/>
    <s v="Jan"/>
    <n v="10"/>
    <n v="10"/>
    <s v=""/>
    <s v="AC"/>
    <s v="Electronic"/>
    <m/>
    <x v="8"/>
    <x v="5"/>
    <x v="0"/>
    <x v="1"/>
    <x v="1"/>
  </r>
  <r>
    <d v="2020-01-21T00:00:00"/>
    <s v="21"/>
    <s v="Jan"/>
    <n v="10"/>
    <n v="10"/>
    <s v=""/>
    <s v="Cable"/>
    <s v="Networking"/>
    <m/>
    <x v="31"/>
    <x v="2"/>
    <x v="0"/>
    <x v="2"/>
    <x v="0"/>
  </r>
  <r>
    <d v="2020-01-21T00:00:00"/>
    <s v="21"/>
    <s v="Jan"/>
    <n v="9"/>
    <n v="9"/>
    <s v=""/>
    <s v="Laptop"/>
    <s v="Computer"/>
    <m/>
    <x v="41"/>
    <x v="2"/>
    <x v="0"/>
    <x v="2"/>
    <x v="2"/>
  </r>
  <r>
    <d v="2020-01-21T00:00:00"/>
    <s v="21"/>
    <s v="Jan"/>
    <n v="9"/>
    <n v="9"/>
    <s v=""/>
    <s v="TV"/>
    <s v="Electronic"/>
    <m/>
    <x v="27"/>
    <x v="0"/>
    <x v="0"/>
    <x v="1"/>
    <x v="0"/>
  </r>
  <r>
    <d v="2020-01-21T00:00:00"/>
    <s v="21"/>
    <s v="Jan"/>
    <n v="8"/>
    <n v="8"/>
    <s v=""/>
    <s v="Office Table"/>
    <s v="Furniture"/>
    <m/>
    <x v="13"/>
    <x v="0"/>
    <x v="0"/>
    <x v="0"/>
    <x v="3"/>
  </r>
  <r>
    <d v="2020-01-21T00:00:00"/>
    <s v="21"/>
    <s v="Jan"/>
    <n v="7"/>
    <n v="7"/>
    <s v=""/>
    <s v="Table Lamp"/>
    <s v="Accessories"/>
    <m/>
    <x v="30"/>
    <x v="2"/>
    <x v="0"/>
    <x v="0"/>
    <x v="2"/>
  </r>
  <r>
    <d v="2020-01-21T00:00:00"/>
    <s v="21"/>
    <s v="Jan"/>
    <n v="7"/>
    <n v="7"/>
    <s v=""/>
    <s v="Office Chair"/>
    <s v="Furniture"/>
    <m/>
    <x v="27"/>
    <x v="2"/>
    <x v="0"/>
    <x v="0"/>
    <x v="0"/>
  </r>
  <r>
    <d v="2020-01-21T00:00:00"/>
    <s v="21"/>
    <s v="Jan"/>
    <n v="6"/>
    <n v="6"/>
    <s v=""/>
    <s v="Printer"/>
    <s v="Computer"/>
    <m/>
    <x v="18"/>
    <x v="2"/>
    <x v="0"/>
    <x v="1"/>
    <x v="0"/>
  </r>
  <r>
    <d v="2020-01-21T00:00:00"/>
    <s v="21"/>
    <s v="Jan"/>
    <n v="5"/>
    <n v="5"/>
    <s v=""/>
    <s v="Office Chair"/>
    <s v="Furniture"/>
    <m/>
    <x v="45"/>
    <x v="2"/>
    <x v="0"/>
    <x v="0"/>
    <x v="0"/>
  </r>
  <r>
    <d v="2020-01-21T00:00:00"/>
    <s v="21"/>
    <s v="Jan"/>
    <n v="4"/>
    <n v="4"/>
    <s v=""/>
    <s v="TV"/>
    <s v="Electronic"/>
    <m/>
    <x v="11"/>
    <x v="2"/>
    <x v="0"/>
    <x v="0"/>
    <x v="1"/>
  </r>
  <r>
    <d v="2020-01-21T00:00:00"/>
    <s v="21"/>
    <s v="Jan"/>
    <n v="4"/>
    <n v="4"/>
    <s v=""/>
    <s v="TV"/>
    <s v="Electronic"/>
    <m/>
    <x v="15"/>
    <x v="5"/>
    <x v="0"/>
    <x v="0"/>
    <x v="1"/>
  </r>
  <r>
    <d v="2020-01-21T00:00:00"/>
    <s v="21"/>
    <s v="Jan"/>
    <n v="3"/>
    <n v="3"/>
    <s v=""/>
    <s v="AC"/>
    <s v="Electronic"/>
    <m/>
    <x v="35"/>
    <x v="5"/>
    <x v="0"/>
    <x v="2"/>
    <x v="3"/>
  </r>
  <r>
    <d v="2020-01-22T00:00:00"/>
    <s v="22"/>
    <s v="Jan"/>
    <n v="9"/>
    <n v="9"/>
    <s v=""/>
    <s v="Cable"/>
    <s v="Networking"/>
    <m/>
    <x v="32"/>
    <x v="2"/>
    <x v="0"/>
    <x v="1"/>
    <x v="3"/>
  </r>
  <r>
    <d v="2020-01-22T00:00:00"/>
    <s v="22"/>
    <s v="Jan"/>
    <n v="7"/>
    <n v="7"/>
    <s v=""/>
    <s v="AC"/>
    <s v="Electronic"/>
    <m/>
    <x v="34"/>
    <x v="0"/>
    <x v="0"/>
    <x v="1"/>
    <x v="0"/>
  </r>
  <r>
    <d v="2020-01-22T00:00:00"/>
    <s v="22"/>
    <s v="Jan"/>
    <n v="6"/>
    <n v="6"/>
    <s v=""/>
    <s v="Office Table"/>
    <s v="Furniture"/>
    <m/>
    <x v="44"/>
    <x v="3"/>
    <x v="0"/>
    <x v="1"/>
    <x v="0"/>
  </r>
  <r>
    <d v="2020-01-22T00:00:00"/>
    <s v="22"/>
    <s v="Jan"/>
    <n v="6"/>
    <n v="6"/>
    <s v=""/>
    <s v="Office Table"/>
    <s v="Furniture"/>
    <m/>
    <x v="45"/>
    <x v="0"/>
    <x v="0"/>
    <x v="1"/>
    <x v="3"/>
  </r>
  <r>
    <d v="2020-01-22T00:00:00"/>
    <s v="22"/>
    <s v="Jan"/>
    <n v="6"/>
    <n v="6"/>
    <s v=""/>
    <s v="Table Lamp"/>
    <s v="Accessories"/>
    <m/>
    <x v="34"/>
    <x v="4"/>
    <x v="0"/>
    <x v="1"/>
    <x v="3"/>
  </r>
  <r>
    <d v="2020-01-22T00:00:00"/>
    <s v="22"/>
    <s v="Jan"/>
    <n v="6"/>
    <n v="6"/>
    <s v=""/>
    <s v="Coffee Mach"/>
    <s v="Kitchen"/>
    <m/>
    <x v="13"/>
    <x v="2"/>
    <x v="0"/>
    <x v="1"/>
    <x v="0"/>
  </r>
  <r>
    <d v="2020-01-22T00:00:00"/>
    <s v="22"/>
    <s v="Jan"/>
    <n v="5"/>
    <n v="5"/>
    <s v=""/>
    <s v="AC"/>
    <s v="Electronic"/>
    <m/>
    <x v="32"/>
    <x v="2"/>
    <x v="0"/>
    <x v="1"/>
    <x v="3"/>
  </r>
  <r>
    <d v="2020-01-22T00:00:00"/>
    <s v="22"/>
    <s v="Jan"/>
    <n v="4"/>
    <n v="4"/>
    <s v=""/>
    <s v="Cable"/>
    <s v="Networking"/>
    <m/>
    <x v="14"/>
    <x v="1"/>
    <x v="0"/>
    <x v="1"/>
    <x v="2"/>
  </r>
  <r>
    <d v="2020-01-22T00:00:00"/>
    <s v="22"/>
    <s v="Jan"/>
    <n v="3"/>
    <n v="3"/>
    <s v=""/>
    <s v="Coffee Mach"/>
    <s v="Kitchen"/>
    <m/>
    <x v="5"/>
    <x v="3"/>
    <x v="0"/>
    <x v="0"/>
    <x v="2"/>
  </r>
  <r>
    <d v="2020-01-23T00:00:00"/>
    <s v="23"/>
    <s v="Jan"/>
    <n v="10"/>
    <n v="10"/>
    <s v=""/>
    <s v="Cable"/>
    <s v="Networking"/>
    <m/>
    <x v="13"/>
    <x v="2"/>
    <x v="0"/>
    <x v="2"/>
    <x v="3"/>
  </r>
  <r>
    <d v="2020-01-23T00:00:00"/>
    <s v="23"/>
    <s v="Jan"/>
    <n v="10"/>
    <n v="10"/>
    <s v=""/>
    <s v="AC"/>
    <s v="Electronic"/>
    <m/>
    <x v="30"/>
    <x v="2"/>
    <x v="0"/>
    <x v="0"/>
    <x v="1"/>
  </r>
  <r>
    <d v="2020-01-23T00:00:00"/>
    <s v="23"/>
    <s v="Jan"/>
    <n v="9"/>
    <n v="9"/>
    <s v=""/>
    <s v="Office Table"/>
    <s v="Furniture"/>
    <m/>
    <x v="19"/>
    <x v="3"/>
    <x v="0"/>
    <x v="1"/>
    <x v="3"/>
  </r>
  <r>
    <d v="2020-01-23T00:00:00"/>
    <s v="23"/>
    <s v="Jan"/>
    <n v="8"/>
    <n v="8"/>
    <s v=""/>
    <s v="AC"/>
    <s v="Electronic"/>
    <m/>
    <x v="23"/>
    <x v="3"/>
    <x v="0"/>
    <x v="1"/>
    <x v="3"/>
  </r>
  <r>
    <d v="2020-01-23T00:00:00"/>
    <s v="23"/>
    <s v="Jan"/>
    <n v="6"/>
    <n v="6"/>
    <s v=""/>
    <s v="Office Table"/>
    <s v="Furniture"/>
    <m/>
    <x v="31"/>
    <x v="0"/>
    <x v="0"/>
    <x v="2"/>
    <x v="2"/>
  </r>
  <r>
    <d v="2020-01-23T00:00:00"/>
    <s v="23"/>
    <s v="Jan"/>
    <n v="5"/>
    <n v="5"/>
    <s v=""/>
    <s v="Printer"/>
    <s v="Computer"/>
    <m/>
    <x v="7"/>
    <x v="3"/>
    <x v="0"/>
    <x v="2"/>
    <x v="1"/>
  </r>
  <r>
    <d v="2020-01-23T00:00:00"/>
    <s v="23"/>
    <s v="Jan"/>
    <n v="5"/>
    <n v="5"/>
    <s v=""/>
    <s v="TV"/>
    <s v="Electronic"/>
    <m/>
    <x v="9"/>
    <x v="1"/>
    <x v="0"/>
    <x v="0"/>
    <x v="2"/>
  </r>
  <r>
    <d v="2020-01-23T00:00:00"/>
    <s v="23"/>
    <s v="Jan"/>
    <n v="5"/>
    <n v="5"/>
    <s v=""/>
    <s v="Office Chair"/>
    <s v="Furniture"/>
    <m/>
    <x v="47"/>
    <x v="0"/>
    <x v="0"/>
    <x v="0"/>
    <x v="0"/>
  </r>
  <r>
    <d v="2020-01-23T00:00:00"/>
    <s v="23"/>
    <s v="Jan"/>
    <n v="3"/>
    <n v="3"/>
    <s v=""/>
    <s v="Coffee Mach"/>
    <s v="Kitchen"/>
    <m/>
    <x v="48"/>
    <x v="0"/>
    <x v="0"/>
    <x v="2"/>
    <x v="0"/>
  </r>
  <r>
    <d v="2020-01-24T00:00:00"/>
    <s v="24"/>
    <s v="Jan"/>
    <n v="9"/>
    <n v="9"/>
    <s v=""/>
    <s v="Table Lamp"/>
    <s v="Accessories"/>
    <m/>
    <x v="32"/>
    <x v="0"/>
    <x v="0"/>
    <x v="2"/>
    <x v="2"/>
  </r>
  <r>
    <d v="2020-01-24T00:00:00"/>
    <s v="24"/>
    <s v="Jan"/>
    <n v="7"/>
    <n v="7"/>
    <s v=""/>
    <s v="Office Table"/>
    <s v="Furniture"/>
    <m/>
    <x v="49"/>
    <x v="2"/>
    <x v="0"/>
    <x v="0"/>
    <x v="0"/>
  </r>
  <r>
    <d v="2020-01-24T00:00:00"/>
    <s v="24"/>
    <s v="Jan"/>
    <n v="5"/>
    <n v="5"/>
    <s v=""/>
    <s v="Laptop"/>
    <s v="Computer"/>
    <m/>
    <x v="15"/>
    <x v="4"/>
    <x v="0"/>
    <x v="2"/>
    <x v="3"/>
  </r>
  <r>
    <d v="2020-01-24T00:00:00"/>
    <s v="24"/>
    <s v="Jan"/>
    <n v="5"/>
    <n v="5"/>
    <s v=""/>
    <s v="AC"/>
    <s v="Electronic"/>
    <m/>
    <x v="45"/>
    <x v="2"/>
    <x v="0"/>
    <x v="0"/>
    <x v="2"/>
  </r>
  <r>
    <d v="2020-01-24T00:00:00"/>
    <s v="24"/>
    <s v="Jan"/>
    <n v="5"/>
    <n v="5"/>
    <s v=""/>
    <s v="Coffee Mach"/>
    <s v="Kitchen"/>
    <m/>
    <x v="10"/>
    <x v="2"/>
    <x v="0"/>
    <x v="1"/>
    <x v="2"/>
  </r>
  <r>
    <d v="2020-01-24T00:00:00"/>
    <s v="24"/>
    <s v="Jan"/>
    <n v="5"/>
    <n v="5"/>
    <s v=""/>
    <s v="Office Chair"/>
    <s v="Furniture"/>
    <m/>
    <x v="26"/>
    <x v="3"/>
    <x v="0"/>
    <x v="1"/>
    <x v="0"/>
  </r>
  <r>
    <d v="2020-01-24T00:00:00"/>
    <s v="24"/>
    <s v="Jan"/>
    <n v="4"/>
    <n v="4"/>
    <s v=""/>
    <s v="Table Lamp"/>
    <s v="Accessories"/>
    <m/>
    <x v="0"/>
    <x v="2"/>
    <x v="0"/>
    <x v="2"/>
    <x v="1"/>
  </r>
  <r>
    <d v="2020-01-24T00:00:00"/>
    <s v="24"/>
    <s v="Jan"/>
    <n v="3"/>
    <n v="3"/>
    <s v=""/>
    <s v="Cable"/>
    <s v="Networking"/>
    <m/>
    <x v="43"/>
    <x v="2"/>
    <x v="0"/>
    <x v="2"/>
    <x v="2"/>
  </r>
  <r>
    <d v="2020-01-25T00:00:00"/>
    <s v="25"/>
    <s v="Jan"/>
    <n v="10"/>
    <n v="10"/>
    <s v=""/>
    <s v="Table Lamp"/>
    <s v="Accessories"/>
    <m/>
    <x v="3"/>
    <x v="4"/>
    <x v="0"/>
    <x v="0"/>
    <x v="0"/>
  </r>
  <r>
    <d v="2020-01-25T00:00:00"/>
    <s v="25"/>
    <s v="Jan"/>
    <n v="9"/>
    <n v="9"/>
    <s v=""/>
    <s v="Printer"/>
    <s v="Computer"/>
    <m/>
    <x v="44"/>
    <x v="3"/>
    <x v="0"/>
    <x v="1"/>
    <x v="3"/>
  </r>
  <r>
    <d v="2020-01-25T00:00:00"/>
    <s v="25"/>
    <s v="Jan"/>
    <n v="8"/>
    <n v="8"/>
    <s v=""/>
    <s v="Table Lamp"/>
    <s v="Accessories"/>
    <m/>
    <x v="38"/>
    <x v="0"/>
    <x v="0"/>
    <x v="1"/>
    <x v="3"/>
  </r>
  <r>
    <d v="2020-01-25T00:00:00"/>
    <s v="25"/>
    <s v="Jan"/>
    <n v="7"/>
    <n v="7"/>
    <s v=""/>
    <s v="TV"/>
    <s v="Electronic"/>
    <m/>
    <x v="14"/>
    <x v="4"/>
    <x v="0"/>
    <x v="2"/>
    <x v="3"/>
  </r>
  <r>
    <d v="2020-01-25T00:00:00"/>
    <s v="25"/>
    <s v="Jan"/>
    <n v="7"/>
    <n v="7"/>
    <s v=""/>
    <s v="Office Table"/>
    <s v="Furniture"/>
    <m/>
    <x v="10"/>
    <x v="0"/>
    <x v="0"/>
    <x v="1"/>
    <x v="0"/>
  </r>
  <r>
    <d v="2020-01-25T00:00:00"/>
    <s v="25"/>
    <s v="Jan"/>
    <n v="5"/>
    <n v="5"/>
    <s v=""/>
    <s v="TV"/>
    <s v="Electronic"/>
    <m/>
    <x v="29"/>
    <x v="3"/>
    <x v="0"/>
    <x v="2"/>
    <x v="3"/>
  </r>
  <r>
    <d v="2020-01-26T00:00:00"/>
    <s v="26"/>
    <s v="Jan"/>
    <n v="9"/>
    <n v="9"/>
    <s v=""/>
    <s v="TV"/>
    <s v="Electronic"/>
    <m/>
    <x v="3"/>
    <x v="5"/>
    <x v="0"/>
    <x v="0"/>
    <x v="1"/>
  </r>
  <r>
    <d v="2020-01-26T00:00:00"/>
    <s v="26"/>
    <s v="Jan"/>
    <n v="8"/>
    <n v="8"/>
    <s v=""/>
    <s v="Office Table"/>
    <s v="Furniture"/>
    <m/>
    <x v="1"/>
    <x v="3"/>
    <x v="0"/>
    <x v="2"/>
    <x v="0"/>
  </r>
  <r>
    <d v="2020-01-26T00:00:00"/>
    <s v="26"/>
    <s v="Jan"/>
    <n v="7"/>
    <n v="7"/>
    <s v=""/>
    <s v="AC"/>
    <s v="Electronic"/>
    <m/>
    <x v="48"/>
    <x v="0"/>
    <x v="0"/>
    <x v="1"/>
    <x v="0"/>
  </r>
  <r>
    <d v="2020-01-26T00:00:00"/>
    <s v="26"/>
    <s v="Jan"/>
    <n v="7"/>
    <n v="7"/>
    <s v=""/>
    <s v="AC"/>
    <s v="Electronic"/>
    <m/>
    <x v="19"/>
    <x v="2"/>
    <x v="0"/>
    <x v="1"/>
    <x v="0"/>
  </r>
  <r>
    <d v="2020-01-26T00:00:00"/>
    <s v="26"/>
    <s v="Jan"/>
    <n v="7"/>
    <n v="7"/>
    <s v=""/>
    <s v="Printer"/>
    <s v="Computer"/>
    <m/>
    <x v="28"/>
    <x v="4"/>
    <x v="0"/>
    <x v="2"/>
    <x v="0"/>
  </r>
  <r>
    <d v="2020-01-26T00:00:00"/>
    <s v="26"/>
    <s v="Jan"/>
    <n v="5"/>
    <n v="5"/>
    <s v=""/>
    <s v="Printer"/>
    <s v="Computer"/>
    <m/>
    <x v="41"/>
    <x v="0"/>
    <x v="0"/>
    <x v="0"/>
    <x v="2"/>
  </r>
  <r>
    <d v="2020-01-26T00:00:00"/>
    <s v="26"/>
    <s v="Jan"/>
    <n v="3"/>
    <n v="3"/>
    <s v=""/>
    <s v="Office Chair"/>
    <s v="Furniture"/>
    <m/>
    <x v="30"/>
    <x v="0"/>
    <x v="0"/>
    <x v="0"/>
    <x v="1"/>
  </r>
  <r>
    <d v="2020-01-27T00:00:00"/>
    <s v="27"/>
    <s v="Jan"/>
    <n v="10"/>
    <n v="10"/>
    <s v=""/>
    <s v="TV"/>
    <s v="Electronic"/>
    <m/>
    <x v="37"/>
    <x v="2"/>
    <x v="0"/>
    <x v="2"/>
    <x v="1"/>
  </r>
  <r>
    <d v="2020-01-27T00:00:00"/>
    <s v="27"/>
    <s v="Jan"/>
    <n v="9"/>
    <n v="9"/>
    <s v=""/>
    <s v="Laptop"/>
    <s v="Computer"/>
    <m/>
    <x v="3"/>
    <x v="5"/>
    <x v="0"/>
    <x v="0"/>
    <x v="2"/>
  </r>
  <r>
    <d v="2020-01-27T00:00:00"/>
    <s v="27"/>
    <s v="Jan"/>
    <n v="8"/>
    <n v="8"/>
    <s v=""/>
    <s v="AC"/>
    <s v="Electronic"/>
    <m/>
    <x v="27"/>
    <x v="2"/>
    <x v="0"/>
    <x v="1"/>
    <x v="1"/>
  </r>
  <r>
    <d v="2020-01-27T00:00:00"/>
    <s v="27"/>
    <s v="Jan"/>
    <n v="7"/>
    <n v="7"/>
    <s v=""/>
    <s v="Table Lamp"/>
    <s v="Accessories"/>
    <m/>
    <x v="17"/>
    <x v="0"/>
    <x v="0"/>
    <x v="1"/>
    <x v="0"/>
  </r>
  <r>
    <d v="2020-01-27T00:00:00"/>
    <s v="27"/>
    <s v="Jan"/>
    <n v="7"/>
    <n v="7"/>
    <s v=""/>
    <s v="Printer"/>
    <s v="Computer"/>
    <m/>
    <x v="39"/>
    <x v="4"/>
    <x v="0"/>
    <x v="2"/>
    <x v="0"/>
  </r>
  <r>
    <d v="2020-01-27T00:00:00"/>
    <s v="27"/>
    <s v="Jan"/>
    <n v="6"/>
    <n v="6"/>
    <s v=""/>
    <s v="Office Chair"/>
    <s v="Furniture"/>
    <m/>
    <x v="6"/>
    <x v="1"/>
    <x v="0"/>
    <x v="2"/>
    <x v="1"/>
  </r>
  <r>
    <d v="2020-01-27T00:00:00"/>
    <s v="27"/>
    <s v="Jan"/>
    <n v="5"/>
    <n v="5"/>
    <s v=""/>
    <s v="TV"/>
    <s v="Electronic"/>
    <m/>
    <x v="6"/>
    <x v="0"/>
    <x v="0"/>
    <x v="1"/>
    <x v="1"/>
  </r>
  <r>
    <d v="2020-01-27T00:00:00"/>
    <s v="27"/>
    <s v="Jan"/>
    <n v="3"/>
    <n v="3"/>
    <s v=""/>
    <s v="Table Lamp"/>
    <s v="Accessories"/>
    <m/>
    <x v="33"/>
    <x v="0"/>
    <x v="0"/>
    <x v="1"/>
    <x v="0"/>
  </r>
  <r>
    <d v="2020-01-28T00:00:00"/>
    <s v="28"/>
    <s v="Jan"/>
    <n v="10"/>
    <n v="10"/>
    <s v=""/>
    <s v="AC"/>
    <s v="Electronic"/>
    <m/>
    <x v="43"/>
    <x v="2"/>
    <x v="0"/>
    <x v="0"/>
    <x v="2"/>
  </r>
  <r>
    <d v="2020-01-28T00:00:00"/>
    <s v="28"/>
    <s v="Jan"/>
    <n v="8"/>
    <n v="8"/>
    <s v=""/>
    <s v="Table Lamp"/>
    <s v="Accessories"/>
    <m/>
    <x v="34"/>
    <x v="4"/>
    <x v="0"/>
    <x v="1"/>
    <x v="3"/>
  </r>
  <r>
    <d v="2020-01-28T00:00:00"/>
    <s v="28"/>
    <s v="Jan"/>
    <n v="7"/>
    <n v="7"/>
    <s v=""/>
    <s v="Office Table"/>
    <s v="Furniture"/>
    <m/>
    <x v="39"/>
    <x v="2"/>
    <x v="0"/>
    <x v="2"/>
    <x v="3"/>
  </r>
  <r>
    <d v="2020-01-28T00:00:00"/>
    <s v="28"/>
    <s v="Jan"/>
    <n v="7"/>
    <n v="7"/>
    <s v=""/>
    <s v="Coffee Mach"/>
    <s v="Kitchen"/>
    <m/>
    <x v="1"/>
    <x v="2"/>
    <x v="0"/>
    <x v="1"/>
    <x v="2"/>
  </r>
  <r>
    <d v="2020-01-28T00:00:00"/>
    <s v="28"/>
    <s v="Jan"/>
    <n v="7"/>
    <n v="7"/>
    <s v=""/>
    <s v="Table Lamp"/>
    <s v="Accessories"/>
    <m/>
    <x v="36"/>
    <x v="0"/>
    <x v="0"/>
    <x v="0"/>
    <x v="0"/>
  </r>
  <r>
    <d v="2020-01-28T00:00:00"/>
    <s v="28"/>
    <s v="Jan"/>
    <n v="6"/>
    <n v="6"/>
    <s v=""/>
    <s v="Laptop"/>
    <s v="Computer"/>
    <m/>
    <x v="32"/>
    <x v="0"/>
    <x v="0"/>
    <x v="1"/>
    <x v="3"/>
  </r>
  <r>
    <d v="2020-01-28T00:00:00"/>
    <s v="28"/>
    <s v="Jan"/>
    <n v="4"/>
    <n v="4"/>
    <s v=""/>
    <s v="Laptop"/>
    <s v="Computer"/>
    <m/>
    <x v="21"/>
    <x v="0"/>
    <x v="0"/>
    <x v="0"/>
    <x v="1"/>
  </r>
  <r>
    <d v="2020-01-29T00:00:00"/>
    <s v="29"/>
    <s v="Jan"/>
    <n v="10"/>
    <n v="10"/>
    <s v=""/>
    <s v="Printer"/>
    <s v="Computer"/>
    <m/>
    <x v="18"/>
    <x v="2"/>
    <x v="0"/>
    <x v="2"/>
    <x v="2"/>
  </r>
  <r>
    <d v="2020-01-29T00:00:00"/>
    <s v="29"/>
    <s v="Jan"/>
    <n v="8"/>
    <n v="8"/>
    <s v=""/>
    <s v="Cable"/>
    <s v="Networking"/>
    <m/>
    <x v="18"/>
    <x v="2"/>
    <x v="0"/>
    <x v="2"/>
    <x v="2"/>
  </r>
  <r>
    <d v="2020-01-29T00:00:00"/>
    <s v="29"/>
    <s v="Jan"/>
    <n v="7"/>
    <n v="7"/>
    <s v=""/>
    <s v="AC"/>
    <s v="Electronic"/>
    <m/>
    <x v="15"/>
    <x v="0"/>
    <x v="0"/>
    <x v="2"/>
    <x v="0"/>
  </r>
  <r>
    <d v="2020-01-29T00:00:00"/>
    <s v="29"/>
    <s v="Jan"/>
    <n v="6"/>
    <n v="6"/>
    <s v=""/>
    <s v="TV"/>
    <s v="Electronic"/>
    <m/>
    <x v="23"/>
    <x v="2"/>
    <x v="0"/>
    <x v="0"/>
    <x v="3"/>
  </r>
  <r>
    <d v="2020-01-29T00:00:00"/>
    <s v="29"/>
    <s v="Jan"/>
    <n v="6"/>
    <n v="6"/>
    <s v=""/>
    <s v="Coffee Mach"/>
    <s v="Kitchen"/>
    <m/>
    <x v="2"/>
    <x v="2"/>
    <x v="0"/>
    <x v="2"/>
    <x v="1"/>
  </r>
  <r>
    <d v="2020-01-29T00:00:00"/>
    <s v="29"/>
    <s v="Jan"/>
    <n v="6"/>
    <n v="6"/>
    <s v=""/>
    <s v="Coffee Mach"/>
    <s v="Kitchen"/>
    <m/>
    <x v="0"/>
    <x v="2"/>
    <x v="0"/>
    <x v="0"/>
    <x v="2"/>
  </r>
  <r>
    <d v="2020-01-29T00:00:00"/>
    <s v="29"/>
    <s v="Jan"/>
    <n v="5"/>
    <n v="5"/>
    <s v=""/>
    <s v="Cable"/>
    <s v="Networking"/>
    <m/>
    <x v="3"/>
    <x v="0"/>
    <x v="0"/>
    <x v="1"/>
    <x v="1"/>
  </r>
  <r>
    <d v="2020-01-29T00:00:00"/>
    <s v="29"/>
    <s v="Jan"/>
    <n v="4"/>
    <n v="4"/>
    <s v=""/>
    <s v="Cable"/>
    <s v="Networking"/>
    <m/>
    <x v="35"/>
    <x v="4"/>
    <x v="0"/>
    <x v="1"/>
    <x v="0"/>
  </r>
  <r>
    <d v="2020-01-30T00:00:00"/>
    <s v="30"/>
    <s v="Jan"/>
    <n v="10"/>
    <n v="10"/>
    <s v=""/>
    <s v="Table Lamp"/>
    <s v="Accessories"/>
    <m/>
    <x v="33"/>
    <x v="2"/>
    <x v="0"/>
    <x v="2"/>
    <x v="3"/>
  </r>
  <r>
    <d v="2020-01-30T00:00:00"/>
    <s v="30"/>
    <s v="Jan"/>
    <n v="10"/>
    <n v="10"/>
    <s v=""/>
    <s v="Cable"/>
    <s v="Networking"/>
    <m/>
    <x v="17"/>
    <x v="4"/>
    <x v="0"/>
    <x v="2"/>
    <x v="3"/>
  </r>
  <r>
    <d v="2020-01-30T00:00:00"/>
    <s v="30"/>
    <s v="Jan"/>
    <n v="9"/>
    <n v="9"/>
    <s v=""/>
    <s v="Laptop"/>
    <s v="Computer"/>
    <m/>
    <x v="36"/>
    <x v="0"/>
    <x v="0"/>
    <x v="0"/>
    <x v="1"/>
  </r>
  <r>
    <d v="2020-01-30T00:00:00"/>
    <s v="30"/>
    <s v="Jan"/>
    <n v="8"/>
    <n v="8"/>
    <s v=""/>
    <s v="TV"/>
    <s v="Electronic"/>
    <m/>
    <x v="7"/>
    <x v="2"/>
    <x v="0"/>
    <x v="1"/>
    <x v="0"/>
  </r>
  <r>
    <d v="2020-01-30T00:00:00"/>
    <s v="30"/>
    <s v="Jan"/>
    <n v="7"/>
    <n v="7"/>
    <s v=""/>
    <s v="AC"/>
    <s v="Electronic"/>
    <m/>
    <x v="1"/>
    <x v="0"/>
    <x v="0"/>
    <x v="1"/>
    <x v="1"/>
  </r>
  <r>
    <d v="2020-01-30T00:00:00"/>
    <s v="30"/>
    <s v="Jan"/>
    <n v="6"/>
    <n v="6"/>
    <s v=""/>
    <s v="Laptop"/>
    <s v="Computer"/>
    <m/>
    <x v="33"/>
    <x v="0"/>
    <x v="0"/>
    <x v="1"/>
    <x v="1"/>
  </r>
  <r>
    <d v="2020-01-30T00:00:00"/>
    <s v="30"/>
    <s v="Jan"/>
    <n v="5"/>
    <n v="5"/>
    <s v=""/>
    <s v="Office Chair"/>
    <s v="Furniture"/>
    <m/>
    <x v="26"/>
    <x v="1"/>
    <x v="0"/>
    <x v="1"/>
    <x v="0"/>
  </r>
  <r>
    <d v="2020-01-30T00:00:00"/>
    <s v="30"/>
    <s v="Jan"/>
    <n v="3"/>
    <n v="3"/>
    <s v=""/>
    <s v="Laptop"/>
    <s v="Computer"/>
    <m/>
    <x v="49"/>
    <x v="1"/>
    <x v="0"/>
    <x v="0"/>
    <x v="3"/>
  </r>
  <r>
    <d v="2020-01-31T00:00:00"/>
    <s v="31"/>
    <s v="Jan"/>
    <n v="10"/>
    <n v="10"/>
    <s v=""/>
    <s v="Laptop"/>
    <s v="Computer"/>
    <m/>
    <x v="13"/>
    <x v="2"/>
    <x v="0"/>
    <x v="2"/>
    <x v="1"/>
  </r>
  <r>
    <d v="2020-01-31T00:00:00"/>
    <s v="31"/>
    <s v="Jan"/>
    <n v="8"/>
    <n v="8"/>
    <s v=""/>
    <s v="AC"/>
    <s v="Electronic"/>
    <m/>
    <x v="33"/>
    <x v="2"/>
    <x v="0"/>
    <x v="2"/>
    <x v="0"/>
  </r>
  <r>
    <d v="2020-01-31T00:00:00"/>
    <s v="31"/>
    <s v="Jan"/>
    <n v="7"/>
    <n v="7"/>
    <s v=""/>
    <s v="Coffee Mach"/>
    <s v="Kitchen"/>
    <m/>
    <x v="37"/>
    <x v="0"/>
    <x v="0"/>
    <x v="2"/>
    <x v="2"/>
  </r>
  <r>
    <d v="2020-01-31T00:00:00"/>
    <s v="31"/>
    <s v="Jan"/>
    <n v="7"/>
    <n v="7"/>
    <s v=""/>
    <s v="Printer"/>
    <s v="Computer"/>
    <m/>
    <x v="22"/>
    <x v="2"/>
    <x v="0"/>
    <x v="0"/>
    <x v="2"/>
  </r>
  <r>
    <d v="2020-01-31T00:00:00"/>
    <s v="31"/>
    <s v="Jan"/>
    <n v="6"/>
    <n v="6"/>
    <s v=""/>
    <s v="Printer"/>
    <s v="Computer"/>
    <m/>
    <x v="21"/>
    <x v="4"/>
    <x v="0"/>
    <x v="1"/>
    <x v="3"/>
  </r>
  <r>
    <d v="2020-01-31T00:00:00"/>
    <s v="31"/>
    <s v="Jan"/>
    <n v="5"/>
    <n v="5"/>
    <s v=""/>
    <s v="Cable"/>
    <s v="Networking"/>
    <m/>
    <x v="28"/>
    <x v="0"/>
    <x v="0"/>
    <x v="0"/>
    <x v="1"/>
  </r>
  <r>
    <d v="2020-01-31T00:00:00"/>
    <s v="31"/>
    <s v="Jan"/>
    <n v="3"/>
    <n v="3"/>
    <s v=""/>
    <s v="Laptop"/>
    <s v="Computer"/>
    <m/>
    <x v="9"/>
    <x v="0"/>
    <x v="0"/>
    <x v="2"/>
    <x v="3"/>
  </r>
  <r>
    <d v="2020-02-01T00:00:00"/>
    <s v="1"/>
    <s v="Feb"/>
    <n v="10"/>
    <n v="9"/>
    <n v="1"/>
    <s v="Cable"/>
    <s v="Networking"/>
    <m/>
    <x v="43"/>
    <x v="0"/>
    <x v="0"/>
    <x v="2"/>
    <x v="0"/>
  </r>
  <r>
    <d v="2020-02-01T00:00:00"/>
    <s v="1"/>
    <s v="Feb"/>
    <n v="7"/>
    <n v="6"/>
    <n v="1"/>
    <s v="AC"/>
    <s v="Electronic"/>
    <m/>
    <x v="28"/>
    <x v="0"/>
    <x v="0"/>
    <x v="2"/>
    <x v="3"/>
  </r>
  <r>
    <d v="2020-02-01T00:00:00"/>
    <s v="1"/>
    <s v="Feb"/>
    <n v="7"/>
    <n v="4"/>
    <n v="3"/>
    <s v="Printer"/>
    <s v="Computer"/>
    <m/>
    <x v="19"/>
    <x v="0"/>
    <x v="0"/>
    <x v="0"/>
    <x v="1"/>
  </r>
  <r>
    <d v="2020-02-01T00:00:00"/>
    <s v="1"/>
    <s v="Feb"/>
    <n v="6"/>
    <n v="4"/>
    <n v="2"/>
    <s v="Cable"/>
    <s v="Networking"/>
    <m/>
    <x v="8"/>
    <x v="2"/>
    <x v="0"/>
    <x v="1"/>
    <x v="1"/>
  </r>
  <r>
    <d v="2020-02-01T00:00:00"/>
    <s v="1"/>
    <s v="Feb"/>
    <n v="5"/>
    <n v="4"/>
    <n v="1"/>
    <s v="Office Chair"/>
    <s v="Furniture"/>
    <m/>
    <x v="39"/>
    <x v="2"/>
    <x v="0"/>
    <x v="2"/>
    <x v="2"/>
  </r>
  <r>
    <d v="2020-02-01T00:00:00"/>
    <s v="1"/>
    <s v="Feb"/>
    <n v="5"/>
    <n v="4"/>
    <n v="1"/>
    <s v="Printer"/>
    <s v="Computer"/>
    <m/>
    <x v="25"/>
    <x v="4"/>
    <x v="0"/>
    <x v="1"/>
    <x v="3"/>
  </r>
  <r>
    <d v="2020-02-02T00:00:00"/>
    <s v="2"/>
    <s v="Feb"/>
    <n v="10"/>
    <n v="7"/>
    <n v="3"/>
    <s v="Table Lamp"/>
    <s v="Accessories"/>
    <m/>
    <x v="28"/>
    <x v="2"/>
    <x v="0"/>
    <x v="1"/>
    <x v="0"/>
  </r>
  <r>
    <d v="2020-02-02T00:00:00"/>
    <s v="2"/>
    <s v="Feb"/>
    <n v="10"/>
    <n v="9"/>
    <n v="1"/>
    <s v="Office Chair"/>
    <s v="Furniture"/>
    <m/>
    <x v="40"/>
    <x v="2"/>
    <x v="0"/>
    <x v="2"/>
    <x v="3"/>
  </r>
  <r>
    <d v="2020-02-02T00:00:00"/>
    <s v="2"/>
    <s v="Feb"/>
    <n v="9"/>
    <n v="5"/>
    <n v="4"/>
    <s v="TV"/>
    <s v="Electronic"/>
    <m/>
    <x v="24"/>
    <x v="4"/>
    <x v="0"/>
    <x v="0"/>
    <x v="0"/>
  </r>
  <r>
    <d v="2020-02-02T00:00:00"/>
    <s v="2"/>
    <s v="Feb"/>
    <n v="9"/>
    <n v="7"/>
    <n v="2"/>
    <s v="Coffee Mach"/>
    <s v="Kitchen"/>
    <m/>
    <x v="20"/>
    <x v="0"/>
    <x v="0"/>
    <x v="2"/>
    <x v="1"/>
  </r>
  <r>
    <d v="2020-02-02T00:00:00"/>
    <s v="2"/>
    <s v="Feb"/>
    <n v="9"/>
    <n v="7"/>
    <n v="2"/>
    <s v="Office Chair"/>
    <s v="Furniture"/>
    <m/>
    <x v="35"/>
    <x v="4"/>
    <x v="0"/>
    <x v="0"/>
    <x v="3"/>
  </r>
  <r>
    <d v="2020-02-02T00:00:00"/>
    <s v="2"/>
    <s v="Feb"/>
    <n v="5"/>
    <n v="4"/>
    <n v="1"/>
    <s v="Laptop"/>
    <s v="Computer"/>
    <m/>
    <x v="31"/>
    <x v="3"/>
    <x v="0"/>
    <x v="0"/>
    <x v="1"/>
  </r>
  <r>
    <d v="2020-02-02T00:00:00"/>
    <s v="2"/>
    <s v="Feb"/>
    <n v="5"/>
    <n v="4"/>
    <n v="1"/>
    <s v="Office Table"/>
    <s v="Furniture"/>
    <m/>
    <x v="46"/>
    <x v="2"/>
    <x v="0"/>
    <x v="2"/>
    <x v="0"/>
  </r>
  <r>
    <d v="2020-02-02T00:00:00"/>
    <s v="2"/>
    <s v="Feb"/>
    <n v="5"/>
    <n v="4"/>
    <n v="1"/>
    <s v="Coffee Mach"/>
    <s v="Kitchen"/>
    <m/>
    <x v="0"/>
    <x v="0"/>
    <x v="0"/>
    <x v="0"/>
    <x v="1"/>
  </r>
  <r>
    <d v="2020-02-02T00:00:00"/>
    <s v="2"/>
    <s v="Feb"/>
    <n v="4"/>
    <n v="3"/>
    <n v="1"/>
    <s v="Printer"/>
    <s v="Computer"/>
    <m/>
    <x v="11"/>
    <x v="3"/>
    <x v="0"/>
    <x v="1"/>
    <x v="0"/>
  </r>
  <r>
    <d v="2020-02-02T00:00:00"/>
    <s v="2"/>
    <s v="Feb"/>
    <n v="4"/>
    <n v="2"/>
    <n v="2"/>
    <s v="Table Lamp"/>
    <s v="Accessories"/>
    <m/>
    <x v="5"/>
    <x v="0"/>
    <x v="0"/>
    <x v="1"/>
    <x v="3"/>
  </r>
  <r>
    <d v="2020-02-02T00:00:00"/>
    <s v="2"/>
    <s v="Feb"/>
    <n v="3"/>
    <n v="1"/>
    <n v="2"/>
    <s v="AC"/>
    <s v="Electronic"/>
    <m/>
    <x v="35"/>
    <x v="2"/>
    <x v="0"/>
    <x v="0"/>
    <x v="0"/>
  </r>
  <r>
    <d v="2020-02-03T00:00:00"/>
    <s v="3"/>
    <s v="Feb"/>
    <n v="9"/>
    <n v="6"/>
    <n v="3"/>
    <s v="Table Lamp"/>
    <s v="Accessories"/>
    <m/>
    <x v="3"/>
    <x v="2"/>
    <x v="0"/>
    <x v="1"/>
    <x v="3"/>
  </r>
  <r>
    <d v="2020-02-03T00:00:00"/>
    <s v="3"/>
    <s v="Feb"/>
    <n v="9"/>
    <n v="6"/>
    <n v="3"/>
    <s v="Coffee Mach"/>
    <s v="Kitchen"/>
    <m/>
    <x v="15"/>
    <x v="0"/>
    <x v="0"/>
    <x v="2"/>
    <x v="1"/>
  </r>
  <r>
    <d v="2020-02-03T00:00:00"/>
    <s v="3"/>
    <s v="Feb"/>
    <n v="8"/>
    <n v="6"/>
    <n v="2"/>
    <s v="Table Lamp"/>
    <s v="Accessories"/>
    <m/>
    <x v="2"/>
    <x v="2"/>
    <x v="0"/>
    <x v="2"/>
    <x v="0"/>
  </r>
  <r>
    <d v="2020-02-03T00:00:00"/>
    <s v="3"/>
    <s v="Feb"/>
    <n v="8"/>
    <n v="7"/>
    <n v="1"/>
    <s v="Office Table"/>
    <s v="Furniture"/>
    <m/>
    <x v="16"/>
    <x v="0"/>
    <x v="0"/>
    <x v="1"/>
    <x v="1"/>
  </r>
  <r>
    <d v="2020-02-03T00:00:00"/>
    <s v="3"/>
    <s v="Feb"/>
    <n v="7"/>
    <n v="4"/>
    <n v="3"/>
    <s v="Office Table"/>
    <s v="Furniture"/>
    <m/>
    <x v="35"/>
    <x v="0"/>
    <x v="0"/>
    <x v="2"/>
    <x v="1"/>
  </r>
  <r>
    <d v="2020-02-03T00:00:00"/>
    <s v="3"/>
    <s v="Feb"/>
    <n v="6"/>
    <n v="4"/>
    <n v="2"/>
    <s v="Laptop"/>
    <s v="Computer"/>
    <m/>
    <x v="34"/>
    <x v="0"/>
    <x v="0"/>
    <x v="1"/>
    <x v="3"/>
  </r>
  <r>
    <d v="2020-02-03T00:00:00"/>
    <s v="3"/>
    <s v="Feb"/>
    <n v="5"/>
    <n v="4"/>
    <n v="1"/>
    <s v="Coffee Mach"/>
    <s v="Kitchen"/>
    <m/>
    <x v="16"/>
    <x v="2"/>
    <x v="0"/>
    <x v="1"/>
    <x v="1"/>
  </r>
  <r>
    <d v="2020-02-03T00:00:00"/>
    <s v="3"/>
    <s v="Feb"/>
    <n v="5"/>
    <n v="4"/>
    <n v="1"/>
    <s v="Office Chair"/>
    <s v="Furniture"/>
    <m/>
    <x v="11"/>
    <x v="2"/>
    <x v="0"/>
    <x v="0"/>
    <x v="1"/>
  </r>
  <r>
    <d v="2020-02-03T00:00:00"/>
    <s v="3"/>
    <s v="Feb"/>
    <n v="3"/>
    <n v="1"/>
    <n v="2"/>
    <s v="Office Table"/>
    <s v="Furniture"/>
    <m/>
    <x v="43"/>
    <x v="2"/>
    <x v="0"/>
    <x v="1"/>
    <x v="2"/>
  </r>
  <r>
    <d v="2020-02-04T00:00:00"/>
    <s v="4"/>
    <s v="Feb"/>
    <n v="10"/>
    <n v="9"/>
    <n v="1"/>
    <s v="TV"/>
    <s v="Electronic"/>
    <m/>
    <x v="4"/>
    <x v="0"/>
    <x v="0"/>
    <x v="0"/>
    <x v="2"/>
  </r>
  <r>
    <d v="2020-02-04T00:00:00"/>
    <s v="4"/>
    <s v="Feb"/>
    <n v="10"/>
    <n v="6"/>
    <n v="4"/>
    <s v="Office Table"/>
    <s v="Furniture"/>
    <m/>
    <x v="47"/>
    <x v="4"/>
    <x v="0"/>
    <x v="0"/>
    <x v="2"/>
  </r>
  <r>
    <d v="2020-02-04T00:00:00"/>
    <s v="4"/>
    <s v="Feb"/>
    <n v="9"/>
    <n v="8"/>
    <n v="1"/>
    <s v="AC"/>
    <s v="Electronic"/>
    <m/>
    <x v="25"/>
    <x v="4"/>
    <x v="0"/>
    <x v="2"/>
    <x v="2"/>
  </r>
  <r>
    <d v="2020-02-04T00:00:00"/>
    <s v="4"/>
    <s v="Feb"/>
    <n v="7"/>
    <n v="5"/>
    <n v="2"/>
    <s v="Printer"/>
    <s v="Computer"/>
    <m/>
    <x v="49"/>
    <x v="0"/>
    <x v="0"/>
    <x v="1"/>
    <x v="1"/>
  </r>
  <r>
    <d v="2020-02-04T00:00:00"/>
    <s v="4"/>
    <s v="Feb"/>
    <n v="6"/>
    <n v="4"/>
    <n v="2"/>
    <s v="Coffee Mach"/>
    <s v="Kitchen"/>
    <m/>
    <x v="3"/>
    <x v="3"/>
    <x v="0"/>
    <x v="2"/>
    <x v="1"/>
  </r>
  <r>
    <d v="2020-02-04T00:00:00"/>
    <s v="4"/>
    <s v="Feb"/>
    <n v="6"/>
    <n v="3"/>
    <n v="3"/>
    <s v="Printer"/>
    <s v="Computer"/>
    <m/>
    <x v="47"/>
    <x v="4"/>
    <x v="0"/>
    <x v="1"/>
    <x v="2"/>
  </r>
  <r>
    <d v="2020-02-05T00:00:00"/>
    <s v="5"/>
    <s v="Feb"/>
    <n v="10"/>
    <n v="7"/>
    <n v="3"/>
    <s v="Table Lamp"/>
    <s v="Accessories"/>
    <m/>
    <x v="39"/>
    <x v="1"/>
    <x v="0"/>
    <x v="0"/>
    <x v="3"/>
  </r>
  <r>
    <d v="2020-02-05T00:00:00"/>
    <s v="5"/>
    <s v="Feb"/>
    <n v="9"/>
    <n v="8"/>
    <n v="1"/>
    <s v="Table Lamp"/>
    <s v="Accessories"/>
    <m/>
    <x v="14"/>
    <x v="0"/>
    <x v="0"/>
    <x v="0"/>
    <x v="1"/>
  </r>
  <r>
    <d v="2020-02-05T00:00:00"/>
    <s v="5"/>
    <s v="Feb"/>
    <n v="8"/>
    <n v="5"/>
    <n v="3"/>
    <s v="Coffee Mach"/>
    <s v="Kitchen"/>
    <m/>
    <x v="18"/>
    <x v="2"/>
    <x v="0"/>
    <x v="1"/>
    <x v="3"/>
  </r>
  <r>
    <d v="2020-02-05T00:00:00"/>
    <s v="5"/>
    <s v="Feb"/>
    <n v="8"/>
    <n v="7"/>
    <n v="1"/>
    <s v="Table Lamp"/>
    <s v="Accessories"/>
    <m/>
    <x v="13"/>
    <x v="5"/>
    <x v="0"/>
    <x v="0"/>
    <x v="3"/>
  </r>
  <r>
    <d v="2020-02-05T00:00:00"/>
    <s v="5"/>
    <s v="Feb"/>
    <n v="3"/>
    <n v="1"/>
    <n v="2"/>
    <s v="AC"/>
    <s v="Electronic"/>
    <m/>
    <x v="18"/>
    <x v="2"/>
    <x v="0"/>
    <x v="2"/>
    <x v="2"/>
  </r>
  <r>
    <d v="2020-02-06T00:00:00"/>
    <s v="6"/>
    <s v="Feb"/>
    <n v="9"/>
    <n v="6"/>
    <n v="3"/>
    <s v="Printer"/>
    <s v="Computer"/>
    <m/>
    <x v="15"/>
    <x v="3"/>
    <x v="0"/>
    <x v="1"/>
    <x v="3"/>
  </r>
  <r>
    <d v="2020-02-06T00:00:00"/>
    <s v="6"/>
    <s v="Feb"/>
    <n v="9"/>
    <n v="8"/>
    <n v="1"/>
    <s v="Table Lamp"/>
    <s v="Accessories"/>
    <m/>
    <x v="25"/>
    <x v="2"/>
    <x v="0"/>
    <x v="1"/>
    <x v="3"/>
  </r>
  <r>
    <d v="2020-02-06T00:00:00"/>
    <s v="6"/>
    <s v="Feb"/>
    <n v="8"/>
    <n v="6"/>
    <n v="2"/>
    <s v="Office Table"/>
    <s v="Furniture"/>
    <m/>
    <x v="28"/>
    <x v="0"/>
    <x v="0"/>
    <x v="0"/>
    <x v="1"/>
  </r>
  <r>
    <d v="2020-02-06T00:00:00"/>
    <s v="6"/>
    <s v="Feb"/>
    <n v="8"/>
    <n v="4"/>
    <n v="4"/>
    <s v="Printer"/>
    <s v="Computer"/>
    <m/>
    <x v="33"/>
    <x v="5"/>
    <x v="0"/>
    <x v="1"/>
    <x v="0"/>
  </r>
  <r>
    <d v="2020-02-06T00:00:00"/>
    <s v="6"/>
    <s v="Feb"/>
    <n v="7"/>
    <n v="4"/>
    <n v="3"/>
    <s v="Coffee Mach"/>
    <s v="Kitchen"/>
    <m/>
    <x v="31"/>
    <x v="0"/>
    <x v="0"/>
    <x v="2"/>
    <x v="3"/>
  </r>
  <r>
    <d v="2020-02-06T00:00:00"/>
    <s v="6"/>
    <s v="Feb"/>
    <n v="6"/>
    <n v="4"/>
    <n v="2"/>
    <s v="Laptop"/>
    <s v="Computer"/>
    <m/>
    <x v="10"/>
    <x v="0"/>
    <x v="0"/>
    <x v="0"/>
    <x v="2"/>
  </r>
  <r>
    <d v="2020-02-06T00:00:00"/>
    <s v="6"/>
    <s v="Feb"/>
    <n v="4"/>
    <n v="2"/>
    <n v="2"/>
    <s v="AC"/>
    <s v="Electronic"/>
    <m/>
    <x v="15"/>
    <x v="2"/>
    <x v="0"/>
    <x v="0"/>
    <x v="0"/>
  </r>
  <r>
    <d v="2020-02-06T00:00:00"/>
    <s v="6"/>
    <s v="Feb"/>
    <n v="4"/>
    <n v="3"/>
    <n v="1"/>
    <s v="Office Table"/>
    <s v="Furniture"/>
    <m/>
    <x v="26"/>
    <x v="2"/>
    <x v="0"/>
    <x v="1"/>
    <x v="1"/>
  </r>
  <r>
    <d v="2020-02-06T00:00:00"/>
    <s v="6"/>
    <s v="Feb"/>
    <n v="4"/>
    <n v="3"/>
    <n v="1"/>
    <s v="Laptop"/>
    <s v="Computer"/>
    <m/>
    <x v="18"/>
    <x v="0"/>
    <x v="0"/>
    <x v="0"/>
    <x v="3"/>
  </r>
  <r>
    <d v="2020-02-07T00:00:00"/>
    <s v="7"/>
    <s v="Feb"/>
    <n v="10"/>
    <n v="7"/>
    <n v="3"/>
    <s v="Cable"/>
    <s v="Networking"/>
    <m/>
    <x v="45"/>
    <x v="2"/>
    <x v="0"/>
    <x v="0"/>
    <x v="3"/>
  </r>
  <r>
    <d v="2020-02-07T00:00:00"/>
    <s v="7"/>
    <s v="Feb"/>
    <n v="9"/>
    <n v="8"/>
    <n v="1"/>
    <s v="Office Table"/>
    <s v="Furniture"/>
    <m/>
    <x v="8"/>
    <x v="0"/>
    <x v="0"/>
    <x v="0"/>
    <x v="0"/>
  </r>
  <r>
    <d v="2020-02-07T00:00:00"/>
    <s v="7"/>
    <s v="Feb"/>
    <n v="7"/>
    <n v="5"/>
    <n v="2"/>
    <s v="Printer"/>
    <s v="Computer"/>
    <m/>
    <x v="31"/>
    <x v="1"/>
    <x v="0"/>
    <x v="1"/>
    <x v="3"/>
  </r>
  <r>
    <d v="2020-02-07T00:00:00"/>
    <s v="7"/>
    <s v="Feb"/>
    <n v="6"/>
    <n v="5"/>
    <n v="1"/>
    <s v="Office Chair"/>
    <s v="Furniture"/>
    <m/>
    <x v="23"/>
    <x v="0"/>
    <x v="0"/>
    <x v="2"/>
    <x v="0"/>
  </r>
  <r>
    <d v="2020-02-07T00:00:00"/>
    <s v="7"/>
    <s v="Feb"/>
    <n v="4"/>
    <n v="3"/>
    <n v="1"/>
    <s v="Printer"/>
    <s v="Computer"/>
    <m/>
    <x v="46"/>
    <x v="0"/>
    <x v="0"/>
    <x v="2"/>
    <x v="3"/>
  </r>
  <r>
    <d v="2020-02-07T00:00:00"/>
    <s v="7"/>
    <s v="Feb"/>
    <n v="3"/>
    <n v="1"/>
    <n v="2"/>
    <s v="Printer"/>
    <s v="Computer"/>
    <m/>
    <x v="39"/>
    <x v="0"/>
    <x v="0"/>
    <x v="0"/>
    <x v="3"/>
  </r>
  <r>
    <d v="2020-02-08T00:00:00"/>
    <s v="8"/>
    <s v="Feb"/>
    <n v="10"/>
    <n v="9"/>
    <n v="1"/>
    <s v="Coffee Mach"/>
    <s v="Kitchen"/>
    <m/>
    <x v="18"/>
    <x v="2"/>
    <x v="0"/>
    <x v="2"/>
    <x v="2"/>
  </r>
  <r>
    <d v="2020-02-08T00:00:00"/>
    <s v="8"/>
    <s v="Feb"/>
    <n v="8"/>
    <n v="4"/>
    <n v="4"/>
    <s v="Cable"/>
    <s v="Networking"/>
    <m/>
    <x v="4"/>
    <x v="2"/>
    <x v="0"/>
    <x v="0"/>
    <x v="2"/>
  </r>
  <r>
    <d v="2020-02-08T00:00:00"/>
    <s v="8"/>
    <s v="Feb"/>
    <n v="8"/>
    <n v="6"/>
    <n v="2"/>
    <s v="AC"/>
    <s v="Electronic"/>
    <m/>
    <x v="30"/>
    <x v="2"/>
    <x v="0"/>
    <x v="1"/>
    <x v="1"/>
  </r>
  <r>
    <d v="2020-02-08T00:00:00"/>
    <s v="8"/>
    <s v="Feb"/>
    <n v="5"/>
    <n v="3"/>
    <n v="2"/>
    <s v="Office Chair"/>
    <s v="Furniture"/>
    <m/>
    <x v="9"/>
    <x v="3"/>
    <x v="0"/>
    <x v="0"/>
    <x v="1"/>
  </r>
  <r>
    <d v="2020-02-08T00:00:00"/>
    <s v="8"/>
    <s v="Feb"/>
    <n v="4"/>
    <n v="3"/>
    <n v="1"/>
    <s v="Table Lamp"/>
    <s v="Accessories"/>
    <m/>
    <x v="47"/>
    <x v="0"/>
    <x v="0"/>
    <x v="1"/>
    <x v="1"/>
  </r>
  <r>
    <d v="2020-02-08T00:00:00"/>
    <s v="8"/>
    <s v="Feb"/>
    <n v="4"/>
    <n v="2"/>
    <n v="2"/>
    <s v="Cable"/>
    <s v="Networking"/>
    <m/>
    <x v="41"/>
    <x v="0"/>
    <x v="0"/>
    <x v="1"/>
    <x v="1"/>
  </r>
  <r>
    <d v="2020-02-09T00:00:00"/>
    <s v="9"/>
    <s v="Feb"/>
    <n v="8"/>
    <n v="5"/>
    <n v="3"/>
    <s v="AC"/>
    <s v="Electronic"/>
    <m/>
    <x v="48"/>
    <x v="4"/>
    <x v="0"/>
    <x v="2"/>
    <x v="1"/>
  </r>
  <r>
    <d v="2020-02-09T00:00:00"/>
    <s v="9"/>
    <s v="Feb"/>
    <n v="7"/>
    <n v="4"/>
    <n v="3"/>
    <s v="AC"/>
    <s v="Electronic"/>
    <m/>
    <x v="24"/>
    <x v="0"/>
    <x v="0"/>
    <x v="2"/>
    <x v="1"/>
  </r>
  <r>
    <d v="2020-02-09T00:00:00"/>
    <s v="9"/>
    <s v="Feb"/>
    <n v="7"/>
    <n v="5"/>
    <n v="2"/>
    <s v="AC"/>
    <s v="Electronic"/>
    <m/>
    <x v="16"/>
    <x v="0"/>
    <x v="0"/>
    <x v="2"/>
    <x v="1"/>
  </r>
  <r>
    <d v="2020-02-09T00:00:00"/>
    <s v="9"/>
    <s v="Feb"/>
    <n v="6"/>
    <n v="5"/>
    <n v="1"/>
    <s v="Cable"/>
    <s v="Networking"/>
    <m/>
    <x v="5"/>
    <x v="4"/>
    <x v="0"/>
    <x v="1"/>
    <x v="0"/>
  </r>
  <r>
    <d v="2020-02-09T00:00:00"/>
    <s v="9"/>
    <s v="Feb"/>
    <n v="5"/>
    <n v="3"/>
    <n v="2"/>
    <s v="TV"/>
    <s v="Electronic"/>
    <m/>
    <x v="37"/>
    <x v="0"/>
    <x v="0"/>
    <x v="0"/>
    <x v="1"/>
  </r>
  <r>
    <d v="2020-02-09T00:00:00"/>
    <s v="9"/>
    <s v="Feb"/>
    <n v="5"/>
    <n v="3"/>
    <n v="2"/>
    <s v="Coffee Mach"/>
    <s v="Kitchen"/>
    <m/>
    <x v="29"/>
    <x v="2"/>
    <x v="0"/>
    <x v="0"/>
    <x v="3"/>
  </r>
  <r>
    <d v="2020-02-09T00:00:00"/>
    <s v="9"/>
    <s v="Feb"/>
    <n v="5"/>
    <n v="3"/>
    <n v="2"/>
    <s v="Office Table"/>
    <s v="Furniture"/>
    <m/>
    <x v="49"/>
    <x v="3"/>
    <x v="0"/>
    <x v="2"/>
    <x v="1"/>
  </r>
  <r>
    <d v="2020-02-09T00:00:00"/>
    <s v="9"/>
    <s v="Feb"/>
    <n v="4"/>
    <n v="2"/>
    <n v="2"/>
    <s v="Printer"/>
    <s v="Computer"/>
    <m/>
    <x v="10"/>
    <x v="3"/>
    <x v="0"/>
    <x v="1"/>
    <x v="2"/>
  </r>
  <r>
    <d v="2020-02-09T00:00:00"/>
    <s v="9"/>
    <s v="Feb"/>
    <n v="4"/>
    <n v="2"/>
    <n v="2"/>
    <s v="Office Chair"/>
    <s v="Furniture"/>
    <m/>
    <x v="9"/>
    <x v="0"/>
    <x v="0"/>
    <x v="1"/>
    <x v="2"/>
  </r>
  <r>
    <d v="2020-02-09T00:00:00"/>
    <s v="9"/>
    <s v="Feb"/>
    <n v="3"/>
    <n v="2"/>
    <n v="1"/>
    <s v="Office Chair"/>
    <s v="Furniture"/>
    <m/>
    <x v="37"/>
    <x v="2"/>
    <x v="0"/>
    <x v="2"/>
    <x v="3"/>
  </r>
  <r>
    <d v="2020-02-10T00:00:00"/>
    <s v="10"/>
    <s v="Feb"/>
    <n v="10"/>
    <n v="9"/>
    <n v="1"/>
    <s v="Table Lamp"/>
    <s v="Accessories"/>
    <m/>
    <x v="36"/>
    <x v="0"/>
    <x v="0"/>
    <x v="2"/>
    <x v="1"/>
  </r>
  <r>
    <d v="2020-02-10T00:00:00"/>
    <s v="10"/>
    <s v="Feb"/>
    <n v="9"/>
    <n v="5"/>
    <n v="4"/>
    <s v="Laptop"/>
    <s v="Computer"/>
    <m/>
    <x v="27"/>
    <x v="0"/>
    <x v="0"/>
    <x v="1"/>
    <x v="1"/>
  </r>
  <r>
    <d v="2020-02-10T00:00:00"/>
    <s v="10"/>
    <s v="Feb"/>
    <n v="9"/>
    <n v="5"/>
    <n v="4"/>
    <s v="Laptop"/>
    <s v="Computer"/>
    <m/>
    <x v="23"/>
    <x v="4"/>
    <x v="0"/>
    <x v="1"/>
    <x v="3"/>
  </r>
  <r>
    <d v="2020-02-10T00:00:00"/>
    <s v="10"/>
    <s v="Feb"/>
    <n v="9"/>
    <n v="6"/>
    <n v="3"/>
    <s v="Table Lamp"/>
    <s v="Accessories"/>
    <m/>
    <x v="0"/>
    <x v="0"/>
    <x v="0"/>
    <x v="2"/>
    <x v="1"/>
  </r>
  <r>
    <d v="2020-02-10T00:00:00"/>
    <s v="10"/>
    <s v="Feb"/>
    <n v="8"/>
    <n v="6"/>
    <n v="2"/>
    <s v="Office Table"/>
    <s v="Furniture"/>
    <m/>
    <x v="42"/>
    <x v="4"/>
    <x v="0"/>
    <x v="2"/>
    <x v="0"/>
  </r>
  <r>
    <d v="2020-02-10T00:00:00"/>
    <s v="10"/>
    <s v="Feb"/>
    <n v="7"/>
    <n v="6"/>
    <n v="1"/>
    <s v="Table Lamp"/>
    <s v="Accessories"/>
    <m/>
    <x v="18"/>
    <x v="2"/>
    <x v="0"/>
    <x v="1"/>
    <x v="2"/>
  </r>
  <r>
    <d v="2020-02-10T00:00:00"/>
    <s v="10"/>
    <s v="Feb"/>
    <n v="7"/>
    <n v="4"/>
    <n v="3"/>
    <s v="TV"/>
    <s v="Electronic"/>
    <m/>
    <x v="10"/>
    <x v="0"/>
    <x v="0"/>
    <x v="0"/>
    <x v="3"/>
  </r>
  <r>
    <d v="2020-02-10T00:00:00"/>
    <s v="10"/>
    <s v="Feb"/>
    <n v="6"/>
    <n v="4"/>
    <n v="2"/>
    <s v="Office Table"/>
    <s v="Furniture"/>
    <m/>
    <x v="38"/>
    <x v="2"/>
    <x v="0"/>
    <x v="0"/>
    <x v="2"/>
  </r>
  <r>
    <d v="2020-02-10T00:00:00"/>
    <s v="10"/>
    <s v="Feb"/>
    <n v="6"/>
    <n v="4"/>
    <n v="2"/>
    <s v="Laptop"/>
    <s v="Computer"/>
    <m/>
    <x v="15"/>
    <x v="2"/>
    <x v="0"/>
    <x v="0"/>
    <x v="0"/>
  </r>
  <r>
    <d v="2020-02-10T00:00:00"/>
    <s v="10"/>
    <s v="Feb"/>
    <n v="5"/>
    <n v="3"/>
    <n v="2"/>
    <s v="Coffee Mach"/>
    <s v="Kitchen"/>
    <m/>
    <x v="8"/>
    <x v="2"/>
    <x v="0"/>
    <x v="2"/>
    <x v="2"/>
  </r>
  <r>
    <d v="2020-02-10T00:00:00"/>
    <s v="10"/>
    <s v="Feb"/>
    <n v="5"/>
    <n v="4"/>
    <n v="1"/>
    <s v="TV"/>
    <s v="Electronic"/>
    <m/>
    <x v="46"/>
    <x v="2"/>
    <x v="0"/>
    <x v="2"/>
    <x v="2"/>
  </r>
  <r>
    <d v="2020-02-10T00:00:00"/>
    <s v="10"/>
    <s v="Feb"/>
    <n v="4"/>
    <n v="2"/>
    <n v="2"/>
    <s v="Coffee Mach"/>
    <s v="Kitchen"/>
    <m/>
    <x v="6"/>
    <x v="0"/>
    <x v="0"/>
    <x v="2"/>
    <x v="2"/>
  </r>
  <r>
    <d v="2020-02-10T00:00:00"/>
    <s v="10"/>
    <s v="Feb"/>
    <n v="3"/>
    <n v="1"/>
    <n v="2"/>
    <s v="Printer"/>
    <s v="Computer"/>
    <m/>
    <x v="18"/>
    <x v="5"/>
    <x v="0"/>
    <x v="1"/>
    <x v="2"/>
  </r>
  <r>
    <d v="2020-02-11T00:00:00"/>
    <s v="11"/>
    <s v="Feb"/>
    <n v="10"/>
    <n v="8"/>
    <n v="2"/>
    <s v="TV"/>
    <s v="Electronic"/>
    <m/>
    <x v="18"/>
    <x v="0"/>
    <x v="0"/>
    <x v="1"/>
    <x v="2"/>
  </r>
  <r>
    <d v="2020-02-11T00:00:00"/>
    <s v="11"/>
    <s v="Feb"/>
    <n v="9"/>
    <n v="8"/>
    <n v="1"/>
    <s v="Table Lamp"/>
    <s v="Accessories"/>
    <m/>
    <x v="42"/>
    <x v="3"/>
    <x v="0"/>
    <x v="1"/>
    <x v="2"/>
  </r>
  <r>
    <d v="2020-02-11T00:00:00"/>
    <s v="11"/>
    <s v="Feb"/>
    <n v="8"/>
    <n v="4"/>
    <n v="4"/>
    <s v="Table Lamp"/>
    <s v="Accessories"/>
    <m/>
    <x v="4"/>
    <x v="0"/>
    <x v="0"/>
    <x v="0"/>
    <x v="3"/>
  </r>
  <r>
    <d v="2020-02-11T00:00:00"/>
    <s v="11"/>
    <s v="Feb"/>
    <n v="8"/>
    <n v="4"/>
    <n v="4"/>
    <s v="Coffee Mach"/>
    <s v="Kitchen"/>
    <m/>
    <x v="26"/>
    <x v="0"/>
    <x v="0"/>
    <x v="1"/>
    <x v="0"/>
  </r>
  <r>
    <d v="2020-02-11T00:00:00"/>
    <s v="11"/>
    <s v="Feb"/>
    <n v="5"/>
    <n v="3"/>
    <n v="2"/>
    <s v="Cable"/>
    <s v="Networking"/>
    <m/>
    <x v="28"/>
    <x v="0"/>
    <x v="0"/>
    <x v="1"/>
    <x v="0"/>
  </r>
  <r>
    <d v="2020-02-11T00:00:00"/>
    <s v="11"/>
    <s v="Feb"/>
    <n v="4"/>
    <n v="2"/>
    <n v="2"/>
    <s v="AC"/>
    <s v="Electronic"/>
    <m/>
    <x v="29"/>
    <x v="2"/>
    <x v="0"/>
    <x v="2"/>
    <x v="3"/>
  </r>
  <r>
    <d v="2020-02-11T00:00:00"/>
    <s v="11"/>
    <s v="Feb"/>
    <n v="3"/>
    <n v="2"/>
    <n v="1"/>
    <s v="Laptop"/>
    <s v="Computer"/>
    <m/>
    <x v="29"/>
    <x v="4"/>
    <x v="0"/>
    <x v="0"/>
    <x v="1"/>
  </r>
  <r>
    <d v="2020-02-11T00:00:00"/>
    <s v="11"/>
    <s v="Feb"/>
    <n v="3"/>
    <n v="2"/>
    <n v="1"/>
    <s v="Office Table"/>
    <s v="Furniture"/>
    <m/>
    <x v="37"/>
    <x v="0"/>
    <x v="0"/>
    <x v="0"/>
    <x v="1"/>
  </r>
  <r>
    <d v="2020-02-12T00:00:00"/>
    <s v="12"/>
    <s v="Feb"/>
    <n v="10"/>
    <n v="10"/>
    <s v=""/>
    <s v="Office Chair"/>
    <s v="Furniture"/>
    <m/>
    <x v="35"/>
    <x v="3"/>
    <x v="0"/>
    <x v="2"/>
    <x v="3"/>
  </r>
  <r>
    <d v="2020-02-12T00:00:00"/>
    <s v="12"/>
    <s v="Feb"/>
    <n v="10"/>
    <n v="10"/>
    <s v=""/>
    <s v="TV"/>
    <s v="Electronic"/>
    <m/>
    <x v="16"/>
    <x v="0"/>
    <x v="0"/>
    <x v="0"/>
    <x v="2"/>
  </r>
  <r>
    <d v="2020-02-12T00:00:00"/>
    <s v="12"/>
    <s v="Feb"/>
    <n v="9"/>
    <n v="9"/>
    <s v=""/>
    <s v="Laptop"/>
    <s v="Computer"/>
    <m/>
    <x v="11"/>
    <x v="0"/>
    <x v="0"/>
    <x v="0"/>
    <x v="1"/>
  </r>
  <r>
    <d v="2020-02-12T00:00:00"/>
    <s v="12"/>
    <s v="Feb"/>
    <n v="9"/>
    <n v="9"/>
    <s v=""/>
    <s v="AC"/>
    <s v="Electronic"/>
    <m/>
    <x v="28"/>
    <x v="0"/>
    <x v="0"/>
    <x v="1"/>
    <x v="0"/>
  </r>
  <r>
    <d v="2020-02-12T00:00:00"/>
    <s v="12"/>
    <s v="Feb"/>
    <n v="8"/>
    <n v="8"/>
    <s v=""/>
    <s v="Office Chair"/>
    <s v="Furniture"/>
    <m/>
    <x v="25"/>
    <x v="2"/>
    <x v="0"/>
    <x v="1"/>
    <x v="1"/>
  </r>
  <r>
    <d v="2020-02-12T00:00:00"/>
    <s v="12"/>
    <s v="Feb"/>
    <n v="4"/>
    <n v="4"/>
    <s v=""/>
    <s v="Cable"/>
    <s v="Networking"/>
    <m/>
    <x v="2"/>
    <x v="4"/>
    <x v="0"/>
    <x v="2"/>
    <x v="3"/>
  </r>
  <r>
    <d v="2020-02-12T00:00:00"/>
    <s v="12"/>
    <s v="Feb"/>
    <n v="3"/>
    <n v="3"/>
    <s v=""/>
    <s v="Coffee Mach"/>
    <s v="Kitchen"/>
    <m/>
    <x v="27"/>
    <x v="0"/>
    <x v="0"/>
    <x v="1"/>
    <x v="1"/>
  </r>
  <r>
    <d v="2020-02-12T00:00:00"/>
    <s v="12"/>
    <s v="Feb"/>
    <n v="3"/>
    <n v="3"/>
    <s v=""/>
    <s v="Laptop"/>
    <s v="Computer"/>
    <m/>
    <x v="47"/>
    <x v="0"/>
    <x v="0"/>
    <x v="1"/>
    <x v="2"/>
  </r>
  <r>
    <d v="2020-02-12T00:00:00"/>
    <s v="12"/>
    <s v="Feb"/>
    <n v="3"/>
    <n v="3"/>
    <s v=""/>
    <s v="Cable"/>
    <s v="Networking"/>
    <m/>
    <x v="27"/>
    <x v="4"/>
    <x v="0"/>
    <x v="1"/>
    <x v="2"/>
  </r>
  <r>
    <d v="2020-02-13T00:00:00"/>
    <s v="13"/>
    <s v="Feb"/>
    <n v="9"/>
    <n v="9"/>
    <s v=""/>
    <s v="Laptop"/>
    <s v="Computer"/>
    <m/>
    <x v="30"/>
    <x v="4"/>
    <x v="0"/>
    <x v="0"/>
    <x v="3"/>
  </r>
  <r>
    <d v="2020-02-13T00:00:00"/>
    <s v="13"/>
    <s v="Feb"/>
    <n v="9"/>
    <n v="9"/>
    <s v=""/>
    <s v="Office Chair"/>
    <s v="Furniture"/>
    <m/>
    <x v="45"/>
    <x v="2"/>
    <x v="0"/>
    <x v="1"/>
    <x v="3"/>
  </r>
  <r>
    <d v="2020-02-13T00:00:00"/>
    <s v="13"/>
    <s v="Feb"/>
    <n v="9"/>
    <n v="9"/>
    <s v=""/>
    <s v="Table Lamp"/>
    <s v="Accessories"/>
    <m/>
    <x v="4"/>
    <x v="4"/>
    <x v="0"/>
    <x v="0"/>
    <x v="1"/>
  </r>
  <r>
    <d v="2020-02-13T00:00:00"/>
    <s v="13"/>
    <s v="Feb"/>
    <n v="7"/>
    <n v="7"/>
    <s v=""/>
    <s v="Coffee Mach"/>
    <s v="Kitchen"/>
    <m/>
    <x v="42"/>
    <x v="0"/>
    <x v="0"/>
    <x v="1"/>
    <x v="3"/>
  </r>
  <r>
    <d v="2020-02-13T00:00:00"/>
    <s v="13"/>
    <s v="Feb"/>
    <n v="6"/>
    <n v="6"/>
    <s v=""/>
    <s v="Laptop"/>
    <s v="Computer"/>
    <m/>
    <x v="42"/>
    <x v="5"/>
    <x v="0"/>
    <x v="1"/>
    <x v="3"/>
  </r>
  <r>
    <d v="2020-02-13T00:00:00"/>
    <s v="13"/>
    <s v="Feb"/>
    <n v="6"/>
    <n v="6"/>
    <s v=""/>
    <s v="Coffee Mach"/>
    <s v="Kitchen"/>
    <m/>
    <x v="44"/>
    <x v="1"/>
    <x v="0"/>
    <x v="2"/>
    <x v="2"/>
  </r>
  <r>
    <d v="2020-02-13T00:00:00"/>
    <s v="13"/>
    <s v="Feb"/>
    <n v="4"/>
    <n v="4"/>
    <s v=""/>
    <s v="Office Table"/>
    <s v="Furniture"/>
    <m/>
    <x v="15"/>
    <x v="0"/>
    <x v="0"/>
    <x v="0"/>
    <x v="2"/>
  </r>
  <r>
    <d v="2020-02-14T00:00:00"/>
    <s v="14"/>
    <s v="Feb"/>
    <n v="10"/>
    <n v="10"/>
    <s v=""/>
    <s v="Office Table"/>
    <s v="Furniture"/>
    <m/>
    <x v="49"/>
    <x v="0"/>
    <x v="0"/>
    <x v="0"/>
    <x v="3"/>
  </r>
  <r>
    <d v="2020-02-14T00:00:00"/>
    <s v="14"/>
    <s v="Feb"/>
    <n v="9"/>
    <n v="9"/>
    <s v=""/>
    <s v="AC"/>
    <s v="Electronic"/>
    <m/>
    <x v="33"/>
    <x v="4"/>
    <x v="0"/>
    <x v="2"/>
    <x v="1"/>
  </r>
  <r>
    <d v="2020-02-14T00:00:00"/>
    <s v="14"/>
    <s v="Feb"/>
    <n v="8"/>
    <n v="8"/>
    <s v=""/>
    <s v="Office Chair"/>
    <s v="Furniture"/>
    <m/>
    <x v="43"/>
    <x v="5"/>
    <x v="0"/>
    <x v="2"/>
    <x v="3"/>
  </r>
  <r>
    <d v="2020-02-14T00:00:00"/>
    <s v="14"/>
    <s v="Feb"/>
    <n v="7"/>
    <n v="7"/>
    <s v=""/>
    <s v="Coffee Mach"/>
    <s v="Kitchen"/>
    <m/>
    <x v="36"/>
    <x v="2"/>
    <x v="0"/>
    <x v="2"/>
    <x v="0"/>
  </r>
  <r>
    <d v="2020-02-14T00:00:00"/>
    <s v="14"/>
    <s v="Feb"/>
    <n v="7"/>
    <n v="7"/>
    <s v=""/>
    <s v="Laptop"/>
    <s v="Computer"/>
    <m/>
    <x v="13"/>
    <x v="2"/>
    <x v="0"/>
    <x v="2"/>
    <x v="3"/>
  </r>
  <r>
    <d v="2020-02-14T00:00:00"/>
    <s v="14"/>
    <s v="Feb"/>
    <n v="7"/>
    <n v="7"/>
    <s v=""/>
    <s v="Printer"/>
    <s v="Computer"/>
    <m/>
    <x v="33"/>
    <x v="3"/>
    <x v="0"/>
    <x v="0"/>
    <x v="2"/>
  </r>
  <r>
    <d v="2020-02-14T00:00:00"/>
    <s v="14"/>
    <s v="Feb"/>
    <n v="6"/>
    <n v="6"/>
    <s v=""/>
    <s v="Printer"/>
    <s v="Computer"/>
    <m/>
    <x v="27"/>
    <x v="5"/>
    <x v="0"/>
    <x v="0"/>
    <x v="1"/>
  </r>
  <r>
    <d v="2020-02-15T00:00:00"/>
    <s v="15"/>
    <s v="Feb"/>
    <n v="9"/>
    <n v="9"/>
    <s v=""/>
    <s v="Laptop"/>
    <s v="Computer"/>
    <m/>
    <x v="3"/>
    <x v="0"/>
    <x v="0"/>
    <x v="1"/>
    <x v="3"/>
  </r>
  <r>
    <d v="2020-02-15T00:00:00"/>
    <s v="15"/>
    <s v="Feb"/>
    <n v="7"/>
    <n v="7"/>
    <s v=""/>
    <s v="AC"/>
    <s v="Electronic"/>
    <m/>
    <x v="23"/>
    <x v="0"/>
    <x v="0"/>
    <x v="2"/>
    <x v="3"/>
  </r>
  <r>
    <d v="2020-02-15T00:00:00"/>
    <s v="15"/>
    <s v="Feb"/>
    <n v="5"/>
    <n v="5"/>
    <s v=""/>
    <s v="TV"/>
    <s v="Electronic"/>
    <m/>
    <x v="37"/>
    <x v="3"/>
    <x v="0"/>
    <x v="2"/>
    <x v="3"/>
  </r>
  <r>
    <d v="2020-02-15T00:00:00"/>
    <s v="15"/>
    <s v="Feb"/>
    <n v="5"/>
    <n v="5"/>
    <s v=""/>
    <s v="Printer"/>
    <s v="Computer"/>
    <m/>
    <x v="43"/>
    <x v="2"/>
    <x v="0"/>
    <x v="1"/>
    <x v="0"/>
  </r>
  <r>
    <d v="2020-02-15T00:00:00"/>
    <s v="15"/>
    <s v="Feb"/>
    <n v="3"/>
    <n v="3"/>
    <s v=""/>
    <s v="Table Lamp"/>
    <s v="Accessories"/>
    <m/>
    <x v="21"/>
    <x v="0"/>
    <x v="0"/>
    <x v="2"/>
    <x v="2"/>
  </r>
  <r>
    <d v="2020-02-15T00:00:00"/>
    <s v="15"/>
    <s v="Feb"/>
    <n v="3"/>
    <n v="3"/>
    <s v=""/>
    <s v="Table Lamp"/>
    <s v="Accessories"/>
    <m/>
    <x v="10"/>
    <x v="2"/>
    <x v="0"/>
    <x v="0"/>
    <x v="1"/>
  </r>
  <r>
    <d v="2020-02-15T00:00:00"/>
    <s v="15"/>
    <s v="Feb"/>
    <n v="3"/>
    <n v="3"/>
    <s v=""/>
    <s v="Office Table"/>
    <s v="Furniture"/>
    <m/>
    <x v="38"/>
    <x v="0"/>
    <x v="0"/>
    <x v="0"/>
    <x v="0"/>
  </r>
  <r>
    <d v="2020-02-15T00:00:00"/>
    <s v="15"/>
    <s v="Feb"/>
    <n v="3"/>
    <n v="3"/>
    <s v=""/>
    <s v="Coffee Mach"/>
    <s v="Kitchen"/>
    <m/>
    <x v="6"/>
    <x v="2"/>
    <x v="0"/>
    <x v="1"/>
    <x v="3"/>
  </r>
  <r>
    <d v="2020-02-15T00:00:00"/>
    <s v="15"/>
    <s v="Feb"/>
    <n v="3"/>
    <n v="3"/>
    <s v=""/>
    <s v="AC"/>
    <s v="Electronic"/>
    <m/>
    <x v="26"/>
    <x v="5"/>
    <x v="0"/>
    <x v="0"/>
    <x v="0"/>
  </r>
  <r>
    <d v="2020-02-16T00:00:00"/>
    <s v="16"/>
    <s v="Feb"/>
    <n v="10"/>
    <n v="10"/>
    <s v=""/>
    <s v="AC"/>
    <s v="Electronic"/>
    <m/>
    <x v="13"/>
    <x v="2"/>
    <x v="0"/>
    <x v="1"/>
    <x v="3"/>
  </r>
  <r>
    <d v="2020-02-16T00:00:00"/>
    <s v="16"/>
    <s v="Feb"/>
    <n v="10"/>
    <n v="10"/>
    <s v=""/>
    <s v="Printer"/>
    <s v="Computer"/>
    <m/>
    <x v="29"/>
    <x v="0"/>
    <x v="0"/>
    <x v="1"/>
    <x v="2"/>
  </r>
  <r>
    <d v="2020-02-16T00:00:00"/>
    <s v="16"/>
    <s v="Feb"/>
    <n v="10"/>
    <n v="10"/>
    <s v=""/>
    <s v="Office Chair"/>
    <s v="Furniture"/>
    <m/>
    <x v="3"/>
    <x v="0"/>
    <x v="0"/>
    <x v="0"/>
    <x v="0"/>
  </r>
  <r>
    <d v="2020-02-16T00:00:00"/>
    <s v="16"/>
    <s v="Feb"/>
    <n v="10"/>
    <n v="10"/>
    <s v=""/>
    <s v="TV"/>
    <s v="Electronic"/>
    <m/>
    <x v="24"/>
    <x v="4"/>
    <x v="0"/>
    <x v="2"/>
    <x v="2"/>
  </r>
  <r>
    <d v="2020-02-16T00:00:00"/>
    <s v="16"/>
    <s v="Feb"/>
    <n v="10"/>
    <n v="10"/>
    <s v=""/>
    <s v="AC"/>
    <s v="Electronic"/>
    <m/>
    <x v="42"/>
    <x v="2"/>
    <x v="0"/>
    <x v="0"/>
    <x v="2"/>
  </r>
  <r>
    <d v="2020-02-16T00:00:00"/>
    <s v="16"/>
    <s v="Feb"/>
    <n v="8"/>
    <n v="8"/>
    <s v=""/>
    <s v="Printer"/>
    <s v="Computer"/>
    <m/>
    <x v="18"/>
    <x v="0"/>
    <x v="0"/>
    <x v="0"/>
    <x v="3"/>
  </r>
  <r>
    <d v="2020-02-16T00:00:00"/>
    <s v="16"/>
    <s v="Feb"/>
    <n v="8"/>
    <n v="8"/>
    <s v=""/>
    <s v="Laptop"/>
    <s v="Computer"/>
    <m/>
    <x v="39"/>
    <x v="3"/>
    <x v="0"/>
    <x v="1"/>
    <x v="1"/>
  </r>
  <r>
    <d v="2020-02-16T00:00:00"/>
    <s v="16"/>
    <s v="Feb"/>
    <n v="5"/>
    <n v="5"/>
    <s v=""/>
    <s v="Laptop"/>
    <s v="Computer"/>
    <m/>
    <x v="19"/>
    <x v="4"/>
    <x v="0"/>
    <x v="2"/>
    <x v="2"/>
  </r>
  <r>
    <d v="2020-02-16T00:00:00"/>
    <s v="16"/>
    <s v="Feb"/>
    <n v="5"/>
    <n v="5"/>
    <s v=""/>
    <s v="Laptop"/>
    <s v="Computer"/>
    <m/>
    <x v="38"/>
    <x v="5"/>
    <x v="0"/>
    <x v="2"/>
    <x v="2"/>
  </r>
  <r>
    <d v="2020-02-17T00:00:00"/>
    <s v="17"/>
    <s v="Feb"/>
    <n v="10"/>
    <n v="10"/>
    <s v=""/>
    <s v="Cable"/>
    <s v="Networking"/>
    <m/>
    <x v="0"/>
    <x v="0"/>
    <x v="0"/>
    <x v="0"/>
    <x v="0"/>
  </r>
  <r>
    <d v="2020-02-17T00:00:00"/>
    <s v="17"/>
    <s v="Feb"/>
    <n v="10"/>
    <n v="10"/>
    <s v=""/>
    <s v="Laptop"/>
    <s v="Computer"/>
    <m/>
    <x v="0"/>
    <x v="0"/>
    <x v="0"/>
    <x v="2"/>
    <x v="3"/>
  </r>
  <r>
    <d v="2020-02-17T00:00:00"/>
    <s v="17"/>
    <s v="Feb"/>
    <n v="9"/>
    <n v="9"/>
    <s v=""/>
    <s v="Table Lamp"/>
    <s v="Accessories"/>
    <m/>
    <x v="46"/>
    <x v="2"/>
    <x v="0"/>
    <x v="0"/>
    <x v="3"/>
  </r>
  <r>
    <d v="2020-02-17T00:00:00"/>
    <s v="17"/>
    <s v="Feb"/>
    <n v="7"/>
    <n v="7"/>
    <s v=""/>
    <s v="Printer"/>
    <s v="Computer"/>
    <m/>
    <x v="12"/>
    <x v="0"/>
    <x v="0"/>
    <x v="0"/>
    <x v="2"/>
  </r>
  <r>
    <d v="2020-02-17T00:00:00"/>
    <s v="17"/>
    <s v="Feb"/>
    <n v="5"/>
    <n v="5"/>
    <s v=""/>
    <s v="Coffee Mach"/>
    <s v="Kitchen"/>
    <m/>
    <x v="32"/>
    <x v="4"/>
    <x v="0"/>
    <x v="0"/>
    <x v="1"/>
  </r>
  <r>
    <d v="2020-02-17T00:00:00"/>
    <s v="17"/>
    <s v="Feb"/>
    <n v="5"/>
    <n v="5"/>
    <s v=""/>
    <s v="TV"/>
    <s v="Electronic"/>
    <m/>
    <x v="37"/>
    <x v="2"/>
    <x v="0"/>
    <x v="0"/>
    <x v="1"/>
  </r>
  <r>
    <d v="2020-02-17T00:00:00"/>
    <s v="17"/>
    <s v="Feb"/>
    <n v="4"/>
    <n v="4"/>
    <s v=""/>
    <s v="Laptop"/>
    <s v="Computer"/>
    <m/>
    <x v="45"/>
    <x v="2"/>
    <x v="0"/>
    <x v="0"/>
    <x v="0"/>
  </r>
  <r>
    <d v="2020-02-17T00:00:00"/>
    <s v="17"/>
    <s v="Feb"/>
    <n v="3"/>
    <n v="3"/>
    <s v=""/>
    <s v="Cable"/>
    <s v="Networking"/>
    <m/>
    <x v="19"/>
    <x v="2"/>
    <x v="0"/>
    <x v="2"/>
    <x v="3"/>
  </r>
  <r>
    <d v="2020-02-18T00:00:00"/>
    <s v="18"/>
    <s v="Feb"/>
    <n v="10"/>
    <n v="10"/>
    <s v=""/>
    <s v="AC"/>
    <s v="Electronic"/>
    <m/>
    <x v="15"/>
    <x v="3"/>
    <x v="0"/>
    <x v="1"/>
    <x v="3"/>
  </r>
  <r>
    <d v="2020-02-18T00:00:00"/>
    <s v="18"/>
    <s v="Feb"/>
    <n v="8"/>
    <n v="8"/>
    <s v=""/>
    <s v="TV"/>
    <s v="Electronic"/>
    <m/>
    <x v="36"/>
    <x v="2"/>
    <x v="0"/>
    <x v="1"/>
    <x v="0"/>
  </r>
  <r>
    <d v="2020-02-18T00:00:00"/>
    <s v="18"/>
    <s v="Feb"/>
    <n v="8"/>
    <n v="8"/>
    <s v=""/>
    <s v="TV"/>
    <s v="Electronic"/>
    <m/>
    <x v="18"/>
    <x v="0"/>
    <x v="0"/>
    <x v="0"/>
    <x v="1"/>
  </r>
  <r>
    <d v="2020-02-18T00:00:00"/>
    <s v="18"/>
    <s v="Feb"/>
    <n v="8"/>
    <n v="8"/>
    <s v=""/>
    <s v="Laptop"/>
    <s v="Computer"/>
    <m/>
    <x v="4"/>
    <x v="0"/>
    <x v="0"/>
    <x v="1"/>
    <x v="2"/>
  </r>
  <r>
    <d v="2020-02-18T00:00:00"/>
    <s v="18"/>
    <s v="Feb"/>
    <n v="7"/>
    <n v="7"/>
    <s v=""/>
    <s v="Printer"/>
    <s v="Computer"/>
    <m/>
    <x v="43"/>
    <x v="0"/>
    <x v="0"/>
    <x v="2"/>
    <x v="3"/>
  </r>
  <r>
    <d v="2020-02-18T00:00:00"/>
    <s v="18"/>
    <s v="Feb"/>
    <n v="5"/>
    <n v="5"/>
    <s v=""/>
    <s v="Office Table"/>
    <s v="Furniture"/>
    <m/>
    <x v="3"/>
    <x v="3"/>
    <x v="0"/>
    <x v="2"/>
    <x v="2"/>
  </r>
  <r>
    <d v="2020-02-18T00:00:00"/>
    <s v="18"/>
    <s v="Feb"/>
    <n v="5"/>
    <n v="5"/>
    <s v=""/>
    <s v="Table Lamp"/>
    <s v="Accessories"/>
    <m/>
    <x v="9"/>
    <x v="2"/>
    <x v="0"/>
    <x v="2"/>
    <x v="3"/>
  </r>
  <r>
    <d v="2020-02-18T00:00:00"/>
    <s v="18"/>
    <s v="Feb"/>
    <n v="4"/>
    <n v="4"/>
    <s v=""/>
    <s v="AC"/>
    <s v="Electronic"/>
    <m/>
    <x v="41"/>
    <x v="0"/>
    <x v="0"/>
    <x v="1"/>
    <x v="3"/>
  </r>
  <r>
    <d v="2020-02-18T00:00:00"/>
    <s v="18"/>
    <s v="Feb"/>
    <n v="4"/>
    <n v="4"/>
    <s v=""/>
    <s v="Printer"/>
    <s v="Computer"/>
    <m/>
    <x v="23"/>
    <x v="0"/>
    <x v="0"/>
    <x v="2"/>
    <x v="0"/>
  </r>
  <r>
    <d v="2020-02-18T00:00:00"/>
    <s v="18"/>
    <s v="Feb"/>
    <n v="3"/>
    <n v="3"/>
    <s v=""/>
    <s v="Coffee Mach"/>
    <s v="Kitchen"/>
    <m/>
    <x v="20"/>
    <x v="2"/>
    <x v="0"/>
    <x v="1"/>
    <x v="3"/>
  </r>
  <r>
    <d v="2020-02-18T00:00:00"/>
    <s v="18"/>
    <s v="Feb"/>
    <n v="3"/>
    <n v="3"/>
    <s v=""/>
    <s v="Office Table"/>
    <s v="Furniture"/>
    <m/>
    <x v="17"/>
    <x v="3"/>
    <x v="0"/>
    <x v="2"/>
    <x v="3"/>
  </r>
  <r>
    <d v="2020-02-18T00:00:00"/>
    <s v="18"/>
    <s v="Feb"/>
    <n v="3"/>
    <n v="3"/>
    <s v=""/>
    <s v="TV"/>
    <s v="Electronic"/>
    <m/>
    <x v="26"/>
    <x v="0"/>
    <x v="0"/>
    <x v="2"/>
    <x v="3"/>
  </r>
  <r>
    <d v="2020-02-19T00:00:00"/>
    <s v="19"/>
    <s v="Feb"/>
    <n v="10"/>
    <n v="10"/>
    <s v=""/>
    <s v="Office Table"/>
    <s v="Furniture"/>
    <m/>
    <x v="32"/>
    <x v="2"/>
    <x v="0"/>
    <x v="2"/>
    <x v="2"/>
  </r>
  <r>
    <d v="2020-02-19T00:00:00"/>
    <s v="19"/>
    <s v="Feb"/>
    <n v="10"/>
    <n v="10"/>
    <s v=""/>
    <s v="Laptop"/>
    <s v="Computer"/>
    <m/>
    <x v="28"/>
    <x v="2"/>
    <x v="0"/>
    <x v="0"/>
    <x v="2"/>
  </r>
  <r>
    <d v="2020-02-19T00:00:00"/>
    <s v="19"/>
    <s v="Feb"/>
    <n v="10"/>
    <n v="10"/>
    <s v=""/>
    <s v="Printer"/>
    <s v="Computer"/>
    <m/>
    <x v="40"/>
    <x v="0"/>
    <x v="0"/>
    <x v="0"/>
    <x v="0"/>
  </r>
  <r>
    <d v="2020-02-19T00:00:00"/>
    <s v="19"/>
    <s v="Feb"/>
    <n v="8"/>
    <n v="8"/>
    <s v=""/>
    <s v="Coffee Mach"/>
    <s v="Kitchen"/>
    <m/>
    <x v="22"/>
    <x v="4"/>
    <x v="0"/>
    <x v="1"/>
    <x v="0"/>
  </r>
  <r>
    <d v="2020-02-19T00:00:00"/>
    <s v="19"/>
    <s v="Feb"/>
    <n v="7"/>
    <n v="7"/>
    <s v=""/>
    <s v="Laptop"/>
    <s v="Computer"/>
    <m/>
    <x v="31"/>
    <x v="0"/>
    <x v="0"/>
    <x v="1"/>
    <x v="1"/>
  </r>
  <r>
    <d v="2020-02-19T00:00:00"/>
    <s v="19"/>
    <s v="Feb"/>
    <n v="6"/>
    <n v="6"/>
    <s v=""/>
    <s v="Office Chair"/>
    <s v="Furniture"/>
    <m/>
    <x v="44"/>
    <x v="0"/>
    <x v="0"/>
    <x v="1"/>
    <x v="0"/>
  </r>
  <r>
    <d v="2020-02-19T00:00:00"/>
    <s v="19"/>
    <s v="Feb"/>
    <n v="6"/>
    <n v="6"/>
    <s v=""/>
    <s v="Table Lamp"/>
    <s v="Accessories"/>
    <m/>
    <x v="28"/>
    <x v="0"/>
    <x v="0"/>
    <x v="2"/>
    <x v="2"/>
  </r>
  <r>
    <d v="2020-02-19T00:00:00"/>
    <s v="19"/>
    <s v="Feb"/>
    <n v="5"/>
    <n v="5"/>
    <s v=""/>
    <s v="TV"/>
    <s v="Electronic"/>
    <m/>
    <x v="46"/>
    <x v="2"/>
    <x v="0"/>
    <x v="2"/>
    <x v="2"/>
  </r>
  <r>
    <d v="2020-02-19T00:00:00"/>
    <s v="19"/>
    <s v="Feb"/>
    <n v="5"/>
    <n v="5"/>
    <s v=""/>
    <s v="AC"/>
    <s v="Electronic"/>
    <m/>
    <x v="17"/>
    <x v="0"/>
    <x v="0"/>
    <x v="1"/>
    <x v="3"/>
  </r>
  <r>
    <d v="2020-02-19T00:00:00"/>
    <s v="19"/>
    <s v="Feb"/>
    <n v="4"/>
    <n v="4"/>
    <s v=""/>
    <s v="Coffee Mach"/>
    <s v="Kitchen"/>
    <m/>
    <x v="13"/>
    <x v="0"/>
    <x v="0"/>
    <x v="2"/>
    <x v="3"/>
  </r>
  <r>
    <d v="2020-02-19T00:00:00"/>
    <s v="19"/>
    <s v="Feb"/>
    <n v="4"/>
    <n v="4"/>
    <s v=""/>
    <s v="Printer"/>
    <s v="Computer"/>
    <m/>
    <x v="47"/>
    <x v="2"/>
    <x v="0"/>
    <x v="2"/>
    <x v="3"/>
  </r>
  <r>
    <d v="2020-02-19T00:00:00"/>
    <s v="19"/>
    <s v="Feb"/>
    <n v="3"/>
    <n v="3"/>
    <s v=""/>
    <s v="Office Table"/>
    <s v="Furniture"/>
    <m/>
    <x v="42"/>
    <x v="2"/>
    <x v="0"/>
    <x v="1"/>
    <x v="2"/>
  </r>
  <r>
    <d v="2020-02-19T00:00:00"/>
    <s v="19"/>
    <s v="Feb"/>
    <n v="3"/>
    <n v="3"/>
    <s v=""/>
    <s v="Table Lamp"/>
    <s v="Accessories"/>
    <m/>
    <x v="17"/>
    <x v="5"/>
    <x v="0"/>
    <x v="0"/>
    <x v="2"/>
  </r>
  <r>
    <d v="2020-02-20T00:00:00"/>
    <s v="20"/>
    <s v="Feb"/>
    <n v="10"/>
    <n v="10"/>
    <s v=""/>
    <s v="Table Lamp"/>
    <s v="Accessories"/>
    <m/>
    <x v="49"/>
    <x v="5"/>
    <x v="0"/>
    <x v="0"/>
    <x v="2"/>
  </r>
  <r>
    <d v="2020-02-20T00:00:00"/>
    <s v="20"/>
    <s v="Feb"/>
    <n v="10"/>
    <n v="10"/>
    <s v=""/>
    <s v="Office Table"/>
    <s v="Furniture"/>
    <m/>
    <x v="43"/>
    <x v="3"/>
    <x v="0"/>
    <x v="1"/>
    <x v="0"/>
  </r>
  <r>
    <d v="2020-02-20T00:00:00"/>
    <s v="20"/>
    <s v="Feb"/>
    <n v="10"/>
    <n v="10"/>
    <s v=""/>
    <s v="Table Lamp"/>
    <s v="Accessories"/>
    <m/>
    <x v="11"/>
    <x v="0"/>
    <x v="0"/>
    <x v="1"/>
    <x v="3"/>
  </r>
  <r>
    <d v="2020-02-20T00:00:00"/>
    <s v="20"/>
    <s v="Feb"/>
    <n v="9"/>
    <n v="9"/>
    <s v=""/>
    <s v="Printer"/>
    <s v="Computer"/>
    <m/>
    <x v="30"/>
    <x v="0"/>
    <x v="0"/>
    <x v="1"/>
    <x v="2"/>
  </r>
  <r>
    <d v="2020-02-20T00:00:00"/>
    <s v="20"/>
    <s v="Feb"/>
    <n v="8"/>
    <n v="8"/>
    <s v=""/>
    <s v="Coffee Mach"/>
    <s v="Kitchen"/>
    <m/>
    <x v="37"/>
    <x v="0"/>
    <x v="0"/>
    <x v="2"/>
    <x v="3"/>
  </r>
  <r>
    <d v="2020-02-20T00:00:00"/>
    <s v="20"/>
    <s v="Feb"/>
    <n v="7"/>
    <n v="7"/>
    <s v=""/>
    <s v="Printer"/>
    <s v="Computer"/>
    <m/>
    <x v="44"/>
    <x v="1"/>
    <x v="0"/>
    <x v="0"/>
    <x v="0"/>
  </r>
  <r>
    <d v="2020-02-20T00:00:00"/>
    <s v="20"/>
    <s v="Feb"/>
    <n v="7"/>
    <n v="7"/>
    <s v=""/>
    <s v="Laptop"/>
    <s v="Computer"/>
    <m/>
    <x v="6"/>
    <x v="3"/>
    <x v="0"/>
    <x v="0"/>
    <x v="2"/>
  </r>
  <r>
    <d v="2020-02-20T00:00:00"/>
    <s v="20"/>
    <s v="Feb"/>
    <n v="7"/>
    <n v="7"/>
    <s v=""/>
    <s v="Coffee Mach"/>
    <s v="Kitchen"/>
    <m/>
    <x v="20"/>
    <x v="2"/>
    <x v="0"/>
    <x v="1"/>
    <x v="0"/>
  </r>
  <r>
    <d v="2020-02-20T00:00:00"/>
    <s v="20"/>
    <s v="Feb"/>
    <n v="6"/>
    <n v="6"/>
    <s v=""/>
    <s v="Cable"/>
    <s v="Networking"/>
    <m/>
    <x v="7"/>
    <x v="0"/>
    <x v="0"/>
    <x v="2"/>
    <x v="2"/>
  </r>
  <r>
    <d v="2020-02-20T00:00:00"/>
    <s v="20"/>
    <s v="Feb"/>
    <n v="5"/>
    <n v="5"/>
    <s v=""/>
    <s v="TV"/>
    <s v="Electronic"/>
    <m/>
    <x v="44"/>
    <x v="4"/>
    <x v="0"/>
    <x v="2"/>
    <x v="2"/>
  </r>
  <r>
    <d v="2020-02-20T00:00:00"/>
    <s v="20"/>
    <s v="Feb"/>
    <n v="3"/>
    <n v="3"/>
    <s v=""/>
    <s v="Printer"/>
    <s v="Computer"/>
    <m/>
    <x v="22"/>
    <x v="3"/>
    <x v="0"/>
    <x v="0"/>
    <x v="1"/>
  </r>
  <r>
    <d v="2020-02-21T00:00:00"/>
    <s v="21"/>
    <s v="Feb"/>
    <n v="10"/>
    <n v="10"/>
    <s v=""/>
    <s v="Printer"/>
    <s v="Computer"/>
    <m/>
    <x v="30"/>
    <x v="3"/>
    <x v="0"/>
    <x v="2"/>
    <x v="1"/>
  </r>
  <r>
    <d v="2020-02-21T00:00:00"/>
    <s v="21"/>
    <s v="Feb"/>
    <n v="10"/>
    <n v="10"/>
    <s v=""/>
    <s v="TV"/>
    <s v="Electronic"/>
    <m/>
    <x v="44"/>
    <x v="0"/>
    <x v="0"/>
    <x v="1"/>
    <x v="1"/>
  </r>
  <r>
    <d v="2020-02-21T00:00:00"/>
    <s v="21"/>
    <s v="Feb"/>
    <n v="10"/>
    <n v="10"/>
    <s v=""/>
    <s v="Coffee Mach"/>
    <s v="Kitchen"/>
    <m/>
    <x v="22"/>
    <x v="2"/>
    <x v="0"/>
    <x v="1"/>
    <x v="0"/>
  </r>
  <r>
    <d v="2020-02-21T00:00:00"/>
    <s v="21"/>
    <s v="Feb"/>
    <n v="7"/>
    <n v="7"/>
    <s v=""/>
    <s v="Office Table"/>
    <s v="Furniture"/>
    <m/>
    <x v="26"/>
    <x v="0"/>
    <x v="0"/>
    <x v="2"/>
    <x v="1"/>
  </r>
  <r>
    <d v="2020-02-21T00:00:00"/>
    <s v="21"/>
    <s v="Feb"/>
    <n v="7"/>
    <n v="7"/>
    <s v=""/>
    <s v="Coffee Mach"/>
    <s v="Kitchen"/>
    <m/>
    <x v="18"/>
    <x v="0"/>
    <x v="0"/>
    <x v="1"/>
    <x v="2"/>
  </r>
  <r>
    <d v="2020-02-21T00:00:00"/>
    <s v="21"/>
    <s v="Feb"/>
    <n v="7"/>
    <n v="7"/>
    <s v=""/>
    <s v="Printer"/>
    <s v="Computer"/>
    <m/>
    <x v="9"/>
    <x v="5"/>
    <x v="0"/>
    <x v="2"/>
    <x v="2"/>
  </r>
  <r>
    <d v="2020-02-21T00:00:00"/>
    <s v="21"/>
    <s v="Feb"/>
    <n v="6"/>
    <n v="6"/>
    <s v=""/>
    <s v="AC"/>
    <s v="Electronic"/>
    <m/>
    <x v="37"/>
    <x v="2"/>
    <x v="0"/>
    <x v="1"/>
    <x v="1"/>
  </r>
  <r>
    <d v="2020-02-21T00:00:00"/>
    <s v="21"/>
    <s v="Feb"/>
    <n v="6"/>
    <n v="6"/>
    <s v=""/>
    <s v="Office Chair"/>
    <s v="Furniture"/>
    <m/>
    <x v="1"/>
    <x v="2"/>
    <x v="0"/>
    <x v="0"/>
    <x v="2"/>
  </r>
  <r>
    <d v="2020-02-21T00:00:00"/>
    <s v="21"/>
    <s v="Feb"/>
    <n v="6"/>
    <n v="6"/>
    <s v=""/>
    <s v="Office Chair"/>
    <s v="Furniture"/>
    <m/>
    <x v="0"/>
    <x v="0"/>
    <x v="0"/>
    <x v="2"/>
    <x v="3"/>
  </r>
  <r>
    <d v="2020-02-21T00:00:00"/>
    <s v="21"/>
    <s v="Feb"/>
    <n v="4"/>
    <n v="4"/>
    <s v=""/>
    <s v="Office Chair"/>
    <s v="Furniture"/>
    <m/>
    <x v="37"/>
    <x v="5"/>
    <x v="0"/>
    <x v="2"/>
    <x v="3"/>
  </r>
  <r>
    <d v="2020-02-22T00:00:00"/>
    <s v="22"/>
    <s v="Feb"/>
    <n v="9"/>
    <n v="9"/>
    <s v=""/>
    <s v="Office Chair"/>
    <s v="Furniture"/>
    <m/>
    <x v="4"/>
    <x v="3"/>
    <x v="0"/>
    <x v="0"/>
    <x v="3"/>
  </r>
  <r>
    <d v="2020-02-22T00:00:00"/>
    <s v="22"/>
    <s v="Feb"/>
    <n v="9"/>
    <n v="9"/>
    <s v=""/>
    <s v="AC"/>
    <s v="Electronic"/>
    <m/>
    <x v="32"/>
    <x v="5"/>
    <x v="0"/>
    <x v="0"/>
    <x v="0"/>
  </r>
  <r>
    <d v="2020-02-22T00:00:00"/>
    <s v="22"/>
    <s v="Feb"/>
    <n v="8"/>
    <n v="8"/>
    <s v=""/>
    <s v="Cable"/>
    <s v="Networking"/>
    <m/>
    <x v="2"/>
    <x v="0"/>
    <x v="0"/>
    <x v="0"/>
    <x v="2"/>
  </r>
  <r>
    <d v="2020-02-22T00:00:00"/>
    <s v="22"/>
    <s v="Feb"/>
    <n v="8"/>
    <n v="8"/>
    <s v=""/>
    <s v="Laptop"/>
    <s v="Computer"/>
    <m/>
    <x v="26"/>
    <x v="5"/>
    <x v="0"/>
    <x v="2"/>
    <x v="2"/>
  </r>
  <r>
    <d v="2020-02-22T00:00:00"/>
    <s v="22"/>
    <s v="Feb"/>
    <n v="8"/>
    <n v="8"/>
    <s v=""/>
    <s v="Office Table"/>
    <s v="Furniture"/>
    <m/>
    <x v="3"/>
    <x v="0"/>
    <x v="0"/>
    <x v="0"/>
    <x v="0"/>
  </r>
  <r>
    <d v="2020-02-22T00:00:00"/>
    <s v="22"/>
    <s v="Feb"/>
    <n v="7"/>
    <n v="7"/>
    <s v=""/>
    <s v="Office Table"/>
    <s v="Furniture"/>
    <m/>
    <x v="20"/>
    <x v="0"/>
    <x v="0"/>
    <x v="1"/>
    <x v="2"/>
  </r>
  <r>
    <d v="2020-02-22T00:00:00"/>
    <s v="22"/>
    <s v="Feb"/>
    <n v="7"/>
    <n v="7"/>
    <s v=""/>
    <s v="Printer"/>
    <s v="Computer"/>
    <m/>
    <x v="28"/>
    <x v="4"/>
    <x v="0"/>
    <x v="1"/>
    <x v="0"/>
  </r>
  <r>
    <d v="2020-02-22T00:00:00"/>
    <s v="22"/>
    <s v="Feb"/>
    <n v="5"/>
    <n v="5"/>
    <s v=""/>
    <s v="Coffee Mach"/>
    <s v="Kitchen"/>
    <m/>
    <x v="20"/>
    <x v="5"/>
    <x v="0"/>
    <x v="2"/>
    <x v="2"/>
  </r>
  <r>
    <d v="2020-02-22T00:00:00"/>
    <s v="22"/>
    <s v="Feb"/>
    <n v="5"/>
    <n v="5"/>
    <s v=""/>
    <s v="Laptop"/>
    <s v="Computer"/>
    <m/>
    <x v="4"/>
    <x v="0"/>
    <x v="0"/>
    <x v="2"/>
    <x v="2"/>
  </r>
  <r>
    <d v="2020-02-22T00:00:00"/>
    <s v="22"/>
    <s v="Feb"/>
    <n v="5"/>
    <n v="5"/>
    <s v=""/>
    <s v="Printer"/>
    <s v="Computer"/>
    <m/>
    <x v="42"/>
    <x v="5"/>
    <x v="0"/>
    <x v="2"/>
    <x v="2"/>
  </r>
  <r>
    <d v="2020-02-22T00:00:00"/>
    <s v="22"/>
    <s v="Feb"/>
    <n v="3"/>
    <n v="3"/>
    <s v=""/>
    <s v="Table Lamp"/>
    <s v="Accessories"/>
    <m/>
    <x v="10"/>
    <x v="0"/>
    <x v="0"/>
    <x v="0"/>
    <x v="0"/>
  </r>
  <r>
    <d v="2020-02-22T00:00:00"/>
    <s v="22"/>
    <s v="Feb"/>
    <n v="3"/>
    <n v="3"/>
    <s v=""/>
    <s v="Printer"/>
    <s v="Computer"/>
    <m/>
    <x v="7"/>
    <x v="2"/>
    <x v="0"/>
    <x v="0"/>
    <x v="3"/>
  </r>
  <r>
    <d v="2020-02-22T00:00:00"/>
    <s v="22"/>
    <s v="Feb"/>
    <n v="3"/>
    <n v="3"/>
    <s v=""/>
    <s v="AC"/>
    <s v="Electronic"/>
    <m/>
    <x v="29"/>
    <x v="2"/>
    <x v="0"/>
    <x v="0"/>
    <x v="2"/>
  </r>
  <r>
    <d v="2020-02-23T00:00:00"/>
    <s v="23"/>
    <s v="Feb"/>
    <n v="10"/>
    <n v="10"/>
    <s v=""/>
    <s v="Printer"/>
    <s v="Computer"/>
    <m/>
    <x v="43"/>
    <x v="4"/>
    <x v="0"/>
    <x v="2"/>
    <x v="1"/>
  </r>
  <r>
    <d v="2020-02-23T00:00:00"/>
    <s v="23"/>
    <s v="Feb"/>
    <n v="10"/>
    <n v="10"/>
    <s v=""/>
    <s v="Table Lamp"/>
    <s v="Accessories"/>
    <m/>
    <x v="9"/>
    <x v="4"/>
    <x v="0"/>
    <x v="0"/>
    <x v="2"/>
  </r>
  <r>
    <d v="2020-02-23T00:00:00"/>
    <s v="23"/>
    <s v="Feb"/>
    <n v="9"/>
    <n v="9"/>
    <s v=""/>
    <s v="Table Lamp"/>
    <s v="Accessories"/>
    <m/>
    <x v="48"/>
    <x v="0"/>
    <x v="0"/>
    <x v="1"/>
    <x v="0"/>
  </r>
  <r>
    <d v="2020-02-23T00:00:00"/>
    <s v="23"/>
    <s v="Feb"/>
    <n v="8"/>
    <n v="8"/>
    <s v=""/>
    <s v="Coffee Mach"/>
    <s v="Kitchen"/>
    <m/>
    <x v="20"/>
    <x v="2"/>
    <x v="0"/>
    <x v="1"/>
    <x v="3"/>
  </r>
  <r>
    <d v="2020-02-23T00:00:00"/>
    <s v="23"/>
    <s v="Feb"/>
    <n v="7"/>
    <n v="7"/>
    <s v=""/>
    <s v="Office Chair"/>
    <s v="Furniture"/>
    <m/>
    <x v="30"/>
    <x v="2"/>
    <x v="0"/>
    <x v="1"/>
    <x v="3"/>
  </r>
  <r>
    <d v="2020-02-23T00:00:00"/>
    <s v="23"/>
    <s v="Feb"/>
    <n v="7"/>
    <n v="7"/>
    <s v=""/>
    <s v="Office Table"/>
    <s v="Furniture"/>
    <m/>
    <x v="6"/>
    <x v="3"/>
    <x v="0"/>
    <x v="0"/>
    <x v="2"/>
  </r>
  <r>
    <d v="2020-02-23T00:00:00"/>
    <s v="23"/>
    <s v="Feb"/>
    <n v="5"/>
    <n v="5"/>
    <s v=""/>
    <s v="AC"/>
    <s v="Electronic"/>
    <m/>
    <x v="7"/>
    <x v="2"/>
    <x v="0"/>
    <x v="1"/>
    <x v="2"/>
  </r>
  <r>
    <d v="2020-02-23T00:00:00"/>
    <s v="23"/>
    <s v="Feb"/>
    <n v="4"/>
    <n v="4"/>
    <s v=""/>
    <s v="AC"/>
    <s v="Electronic"/>
    <m/>
    <x v="0"/>
    <x v="0"/>
    <x v="0"/>
    <x v="1"/>
    <x v="2"/>
  </r>
  <r>
    <d v="2020-02-23T00:00:00"/>
    <s v="23"/>
    <s v="Feb"/>
    <n v="3"/>
    <n v="3"/>
    <s v=""/>
    <s v="Printer"/>
    <s v="Computer"/>
    <m/>
    <x v="33"/>
    <x v="2"/>
    <x v="0"/>
    <x v="2"/>
    <x v="0"/>
  </r>
  <r>
    <d v="2020-02-23T00:00:00"/>
    <s v="23"/>
    <s v="Feb"/>
    <n v="3"/>
    <n v="3"/>
    <s v=""/>
    <s v="Laptop"/>
    <s v="Computer"/>
    <m/>
    <x v="26"/>
    <x v="2"/>
    <x v="0"/>
    <x v="0"/>
    <x v="0"/>
  </r>
  <r>
    <d v="2020-02-23T00:00:00"/>
    <s v="23"/>
    <s v="Feb"/>
    <n v="3"/>
    <n v="3"/>
    <s v=""/>
    <s v="Table Lamp"/>
    <s v="Accessories"/>
    <m/>
    <x v="39"/>
    <x v="0"/>
    <x v="0"/>
    <x v="2"/>
    <x v="3"/>
  </r>
  <r>
    <d v="2020-02-24T00:00:00"/>
    <s v="24"/>
    <s v="Feb"/>
    <n v="10"/>
    <n v="10"/>
    <s v=""/>
    <s v="Cable"/>
    <s v="Networking"/>
    <m/>
    <x v="35"/>
    <x v="4"/>
    <x v="0"/>
    <x v="0"/>
    <x v="2"/>
  </r>
  <r>
    <d v="2020-02-24T00:00:00"/>
    <s v="24"/>
    <s v="Feb"/>
    <n v="10"/>
    <n v="8"/>
    <n v="2"/>
    <s v="AC"/>
    <s v="Electronic"/>
    <m/>
    <x v="1"/>
    <x v="3"/>
    <x v="0"/>
    <x v="2"/>
    <x v="3"/>
  </r>
  <r>
    <d v="2020-02-24T00:00:00"/>
    <s v="24"/>
    <s v="Feb"/>
    <n v="8"/>
    <n v="7"/>
    <n v="1"/>
    <s v="AC"/>
    <s v="Electronic"/>
    <m/>
    <x v="26"/>
    <x v="1"/>
    <x v="0"/>
    <x v="1"/>
    <x v="1"/>
  </r>
  <r>
    <d v="2020-02-24T00:00:00"/>
    <s v="24"/>
    <s v="Feb"/>
    <n v="8"/>
    <n v="5"/>
    <n v="3"/>
    <s v="AC"/>
    <s v="Electronic"/>
    <m/>
    <x v="2"/>
    <x v="2"/>
    <x v="0"/>
    <x v="2"/>
    <x v="1"/>
  </r>
  <r>
    <d v="2020-02-24T00:00:00"/>
    <s v="24"/>
    <s v="Feb"/>
    <n v="8"/>
    <n v="5"/>
    <n v="3"/>
    <s v="TV"/>
    <s v="Electronic"/>
    <m/>
    <x v="43"/>
    <x v="0"/>
    <x v="0"/>
    <x v="1"/>
    <x v="3"/>
  </r>
  <r>
    <d v="2020-02-24T00:00:00"/>
    <s v="24"/>
    <s v="Feb"/>
    <n v="7"/>
    <n v="5"/>
    <n v="2"/>
    <s v="AC"/>
    <s v="Electronic"/>
    <m/>
    <x v="41"/>
    <x v="0"/>
    <x v="0"/>
    <x v="1"/>
    <x v="3"/>
  </r>
  <r>
    <d v="2020-02-24T00:00:00"/>
    <s v="24"/>
    <s v="Feb"/>
    <n v="6"/>
    <n v="6"/>
    <s v=""/>
    <s v="Laptop"/>
    <s v="Computer"/>
    <m/>
    <x v="4"/>
    <x v="0"/>
    <x v="0"/>
    <x v="1"/>
    <x v="1"/>
  </r>
  <r>
    <d v="2020-02-24T00:00:00"/>
    <s v="24"/>
    <s v="Feb"/>
    <n v="6"/>
    <n v="4"/>
    <n v="2"/>
    <s v="Coffee Mach"/>
    <s v="Kitchen"/>
    <m/>
    <x v="19"/>
    <x v="5"/>
    <x v="0"/>
    <x v="1"/>
    <x v="3"/>
  </r>
  <r>
    <d v="2020-02-24T00:00:00"/>
    <s v="24"/>
    <s v="Feb"/>
    <n v="5"/>
    <n v="4"/>
    <n v="1"/>
    <s v="Office Chair"/>
    <s v="Furniture"/>
    <m/>
    <x v="22"/>
    <x v="0"/>
    <x v="0"/>
    <x v="0"/>
    <x v="0"/>
  </r>
  <r>
    <d v="2020-02-24T00:00:00"/>
    <s v="24"/>
    <s v="Feb"/>
    <n v="5"/>
    <n v="3"/>
    <n v="2"/>
    <s v="TV"/>
    <s v="Electronic"/>
    <m/>
    <x v="6"/>
    <x v="0"/>
    <x v="0"/>
    <x v="2"/>
    <x v="1"/>
  </r>
  <r>
    <d v="2020-02-24T00:00:00"/>
    <s v="24"/>
    <s v="Feb"/>
    <n v="4"/>
    <n v="2"/>
    <n v="2"/>
    <s v="Coffee Mach"/>
    <s v="Kitchen"/>
    <m/>
    <x v="20"/>
    <x v="3"/>
    <x v="0"/>
    <x v="1"/>
    <x v="1"/>
  </r>
  <r>
    <d v="2020-02-25T00:00:00"/>
    <s v="25"/>
    <s v="Feb"/>
    <n v="8"/>
    <n v="4"/>
    <n v="4"/>
    <s v="TV"/>
    <s v="Electronic"/>
    <m/>
    <x v="29"/>
    <x v="2"/>
    <x v="0"/>
    <x v="0"/>
    <x v="3"/>
  </r>
  <r>
    <d v="2020-02-25T00:00:00"/>
    <s v="25"/>
    <s v="Feb"/>
    <n v="8"/>
    <n v="4"/>
    <n v="4"/>
    <s v="TV"/>
    <s v="Electronic"/>
    <m/>
    <x v="17"/>
    <x v="4"/>
    <x v="0"/>
    <x v="1"/>
    <x v="1"/>
  </r>
  <r>
    <d v="2020-02-25T00:00:00"/>
    <s v="25"/>
    <s v="Feb"/>
    <n v="7"/>
    <n v="5"/>
    <n v="2"/>
    <s v="Office Chair"/>
    <s v="Furniture"/>
    <m/>
    <x v="33"/>
    <x v="2"/>
    <x v="0"/>
    <x v="0"/>
    <x v="2"/>
  </r>
  <r>
    <d v="2020-02-25T00:00:00"/>
    <s v="25"/>
    <s v="Feb"/>
    <n v="7"/>
    <n v="5"/>
    <n v="2"/>
    <s v="Table Lamp"/>
    <s v="Accessories"/>
    <m/>
    <x v="7"/>
    <x v="0"/>
    <x v="0"/>
    <x v="1"/>
    <x v="1"/>
  </r>
  <r>
    <d v="2020-02-25T00:00:00"/>
    <s v="25"/>
    <s v="Feb"/>
    <n v="7"/>
    <n v="5"/>
    <n v="2"/>
    <s v="Laptop"/>
    <s v="Computer"/>
    <m/>
    <x v="25"/>
    <x v="4"/>
    <x v="0"/>
    <x v="2"/>
    <x v="0"/>
  </r>
  <r>
    <d v="2020-02-25T00:00:00"/>
    <s v="25"/>
    <s v="Feb"/>
    <n v="7"/>
    <n v="6"/>
    <n v="1"/>
    <s v="Coffee Mach"/>
    <s v="Kitchen"/>
    <m/>
    <x v="5"/>
    <x v="2"/>
    <x v="0"/>
    <x v="2"/>
    <x v="2"/>
  </r>
  <r>
    <d v="2020-02-25T00:00:00"/>
    <s v="25"/>
    <s v="Feb"/>
    <n v="6"/>
    <n v="5"/>
    <n v="1"/>
    <s v="Coffee Mach"/>
    <s v="Kitchen"/>
    <m/>
    <x v="16"/>
    <x v="3"/>
    <x v="0"/>
    <x v="2"/>
    <x v="3"/>
  </r>
  <r>
    <d v="2020-02-25T00:00:00"/>
    <s v="25"/>
    <s v="Feb"/>
    <n v="6"/>
    <n v="4"/>
    <n v="2"/>
    <s v="Laptop"/>
    <s v="Computer"/>
    <m/>
    <x v="29"/>
    <x v="4"/>
    <x v="0"/>
    <x v="0"/>
    <x v="2"/>
  </r>
  <r>
    <d v="2020-02-25T00:00:00"/>
    <s v="25"/>
    <s v="Feb"/>
    <n v="6"/>
    <n v="3"/>
    <n v="3"/>
    <s v="Cable"/>
    <s v="Networking"/>
    <m/>
    <x v="49"/>
    <x v="0"/>
    <x v="0"/>
    <x v="0"/>
    <x v="2"/>
  </r>
  <r>
    <d v="2020-02-25T00:00:00"/>
    <s v="25"/>
    <s v="Feb"/>
    <n v="6"/>
    <n v="4"/>
    <n v="2"/>
    <s v="Office Table"/>
    <s v="Furniture"/>
    <m/>
    <x v="48"/>
    <x v="4"/>
    <x v="0"/>
    <x v="2"/>
    <x v="1"/>
  </r>
  <r>
    <d v="2020-02-25T00:00:00"/>
    <s v="25"/>
    <s v="Feb"/>
    <n v="4"/>
    <n v="2"/>
    <n v="2"/>
    <s v="Laptop"/>
    <s v="Computer"/>
    <m/>
    <x v="7"/>
    <x v="0"/>
    <x v="0"/>
    <x v="1"/>
    <x v="0"/>
  </r>
  <r>
    <d v="2020-02-25T00:00:00"/>
    <s v="25"/>
    <s v="Feb"/>
    <n v="4"/>
    <n v="3"/>
    <n v="1"/>
    <s v="Office Chair"/>
    <s v="Furniture"/>
    <m/>
    <x v="45"/>
    <x v="0"/>
    <x v="0"/>
    <x v="1"/>
    <x v="3"/>
  </r>
  <r>
    <d v="2020-02-25T00:00:00"/>
    <s v="25"/>
    <s v="Feb"/>
    <n v="4"/>
    <n v="2"/>
    <n v="2"/>
    <s v="Printer"/>
    <s v="Computer"/>
    <m/>
    <x v="17"/>
    <x v="2"/>
    <x v="0"/>
    <x v="0"/>
    <x v="0"/>
  </r>
  <r>
    <d v="2020-02-25T00:00:00"/>
    <s v="25"/>
    <s v="Feb"/>
    <n v="3"/>
    <n v="1"/>
    <n v="2"/>
    <s v="Laptop"/>
    <s v="Computer"/>
    <m/>
    <x v="14"/>
    <x v="2"/>
    <x v="0"/>
    <x v="0"/>
    <x v="0"/>
  </r>
  <r>
    <d v="2020-02-26T00:00:00"/>
    <s v="26"/>
    <s v="Feb"/>
    <n v="10"/>
    <n v="6"/>
    <n v="4"/>
    <s v="Laptop"/>
    <s v="Computer"/>
    <m/>
    <x v="25"/>
    <x v="4"/>
    <x v="0"/>
    <x v="0"/>
    <x v="3"/>
  </r>
  <r>
    <d v="2020-02-26T00:00:00"/>
    <s v="26"/>
    <s v="Feb"/>
    <n v="10"/>
    <n v="8"/>
    <n v="2"/>
    <s v="Table Lamp"/>
    <s v="Accessories"/>
    <m/>
    <x v="47"/>
    <x v="2"/>
    <x v="0"/>
    <x v="2"/>
    <x v="0"/>
  </r>
  <r>
    <d v="2020-02-26T00:00:00"/>
    <s v="26"/>
    <s v="Feb"/>
    <n v="8"/>
    <n v="5"/>
    <n v="3"/>
    <s v="TV"/>
    <s v="Electronic"/>
    <m/>
    <x v="48"/>
    <x v="5"/>
    <x v="0"/>
    <x v="2"/>
    <x v="3"/>
  </r>
  <r>
    <d v="2020-02-26T00:00:00"/>
    <s v="26"/>
    <s v="Feb"/>
    <n v="8"/>
    <n v="5"/>
    <n v="3"/>
    <s v="Office Table"/>
    <s v="Furniture"/>
    <m/>
    <x v="1"/>
    <x v="2"/>
    <x v="0"/>
    <x v="1"/>
    <x v="2"/>
  </r>
  <r>
    <d v="2020-02-26T00:00:00"/>
    <s v="26"/>
    <s v="Feb"/>
    <n v="5"/>
    <n v="3"/>
    <n v="2"/>
    <s v="Printer"/>
    <s v="Computer"/>
    <m/>
    <x v="43"/>
    <x v="0"/>
    <x v="0"/>
    <x v="1"/>
    <x v="3"/>
  </r>
  <r>
    <d v="2020-02-26T00:00:00"/>
    <s v="26"/>
    <s v="Feb"/>
    <n v="3"/>
    <n v="2"/>
    <n v="1"/>
    <s v="Office Table"/>
    <s v="Furniture"/>
    <m/>
    <x v="34"/>
    <x v="5"/>
    <x v="0"/>
    <x v="0"/>
    <x v="3"/>
  </r>
  <r>
    <d v="2020-02-26T00:00:00"/>
    <s v="26"/>
    <s v="Feb"/>
    <n v="3"/>
    <n v="1"/>
    <n v="2"/>
    <s v="Table Lamp"/>
    <s v="Accessories"/>
    <m/>
    <x v="21"/>
    <x v="2"/>
    <x v="0"/>
    <x v="0"/>
    <x v="2"/>
  </r>
  <r>
    <d v="2020-02-26T00:00:00"/>
    <s v="26"/>
    <s v="Feb"/>
    <n v="3"/>
    <n v="2"/>
    <n v="1"/>
    <s v="Coffee Mach"/>
    <s v="Kitchen"/>
    <m/>
    <x v="0"/>
    <x v="4"/>
    <x v="0"/>
    <x v="1"/>
    <x v="1"/>
  </r>
  <r>
    <d v="2020-02-27T00:00:00"/>
    <s v="27"/>
    <s v="Feb"/>
    <n v="10"/>
    <n v="6"/>
    <n v="4"/>
    <s v="Printer"/>
    <s v="Computer"/>
    <m/>
    <x v="10"/>
    <x v="3"/>
    <x v="0"/>
    <x v="2"/>
    <x v="2"/>
  </r>
  <r>
    <d v="2020-02-27T00:00:00"/>
    <s v="27"/>
    <s v="Feb"/>
    <n v="10"/>
    <n v="6"/>
    <n v="4"/>
    <s v="Printer"/>
    <s v="Computer"/>
    <m/>
    <x v="25"/>
    <x v="4"/>
    <x v="0"/>
    <x v="0"/>
    <x v="2"/>
  </r>
  <r>
    <d v="2020-02-27T00:00:00"/>
    <s v="27"/>
    <s v="Feb"/>
    <n v="8"/>
    <n v="5"/>
    <n v="3"/>
    <s v="Table Lamp"/>
    <s v="Accessories"/>
    <m/>
    <x v="22"/>
    <x v="0"/>
    <x v="0"/>
    <x v="2"/>
    <x v="3"/>
  </r>
  <r>
    <d v="2020-02-27T00:00:00"/>
    <s v="27"/>
    <s v="Feb"/>
    <n v="6"/>
    <n v="5"/>
    <n v="1"/>
    <s v="AC"/>
    <s v="Electronic"/>
    <m/>
    <x v="12"/>
    <x v="1"/>
    <x v="0"/>
    <x v="1"/>
    <x v="2"/>
  </r>
  <r>
    <d v="2020-02-27T00:00:00"/>
    <s v="27"/>
    <s v="Feb"/>
    <n v="6"/>
    <n v="4"/>
    <n v="2"/>
    <s v="Laptop"/>
    <s v="Computer"/>
    <m/>
    <x v="19"/>
    <x v="0"/>
    <x v="0"/>
    <x v="1"/>
    <x v="2"/>
  </r>
  <r>
    <d v="2020-02-27T00:00:00"/>
    <s v="27"/>
    <s v="Feb"/>
    <n v="5"/>
    <n v="3"/>
    <n v="2"/>
    <s v="Office Chair"/>
    <s v="Furniture"/>
    <m/>
    <x v="5"/>
    <x v="2"/>
    <x v="0"/>
    <x v="1"/>
    <x v="0"/>
  </r>
  <r>
    <d v="2020-02-27T00:00:00"/>
    <s v="27"/>
    <s v="Feb"/>
    <n v="5"/>
    <n v="4"/>
    <n v="1"/>
    <s v="Printer"/>
    <s v="Computer"/>
    <m/>
    <x v="10"/>
    <x v="5"/>
    <x v="0"/>
    <x v="1"/>
    <x v="0"/>
  </r>
  <r>
    <d v="2020-02-27T00:00:00"/>
    <s v="27"/>
    <s v="Feb"/>
    <n v="4"/>
    <n v="2"/>
    <n v="2"/>
    <s v="Table Lamp"/>
    <s v="Accessories"/>
    <m/>
    <x v="44"/>
    <x v="0"/>
    <x v="0"/>
    <x v="2"/>
    <x v="0"/>
  </r>
  <r>
    <d v="2020-02-28T00:00:00"/>
    <s v="28"/>
    <s v="Feb"/>
    <n v="10"/>
    <n v="9"/>
    <n v="1"/>
    <s v="Table Lamp"/>
    <s v="Accessories"/>
    <m/>
    <x v="49"/>
    <x v="2"/>
    <x v="0"/>
    <x v="1"/>
    <x v="0"/>
  </r>
  <r>
    <d v="2020-02-28T00:00:00"/>
    <s v="28"/>
    <s v="Feb"/>
    <n v="9"/>
    <n v="7"/>
    <n v="2"/>
    <s v="Office Chair"/>
    <s v="Furniture"/>
    <m/>
    <x v="12"/>
    <x v="0"/>
    <x v="0"/>
    <x v="2"/>
    <x v="0"/>
  </r>
  <r>
    <d v="2020-02-28T00:00:00"/>
    <s v="28"/>
    <s v="Feb"/>
    <n v="8"/>
    <n v="4"/>
    <n v="4"/>
    <s v="TV"/>
    <s v="Electronic"/>
    <m/>
    <x v="4"/>
    <x v="0"/>
    <x v="0"/>
    <x v="0"/>
    <x v="3"/>
  </r>
  <r>
    <d v="2020-02-28T00:00:00"/>
    <s v="28"/>
    <s v="Feb"/>
    <n v="8"/>
    <n v="6"/>
    <n v="2"/>
    <s v="Printer"/>
    <s v="Computer"/>
    <m/>
    <x v="41"/>
    <x v="1"/>
    <x v="0"/>
    <x v="0"/>
    <x v="1"/>
  </r>
  <r>
    <d v="2020-02-28T00:00:00"/>
    <s v="28"/>
    <s v="Feb"/>
    <n v="6"/>
    <n v="5"/>
    <n v="1"/>
    <s v="Office Chair"/>
    <s v="Furniture"/>
    <m/>
    <x v="34"/>
    <x v="5"/>
    <x v="0"/>
    <x v="2"/>
    <x v="2"/>
  </r>
  <r>
    <d v="2020-02-28T00:00:00"/>
    <s v="28"/>
    <s v="Feb"/>
    <n v="4"/>
    <n v="3"/>
    <n v="1"/>
    <s v="Office Chair"/>
    <s v="Furniture"/>
    <m/>
    <x v="41"/>
    <x v="2"/>
    <x v="0"/>
    <x v="1"/>
    <x v="1"/>
  </r>
  <r>
    <d v="2020-02-28T00:00:00"/>
    <s v="28"/>
    <s v="Feb"/>
    <n v="3"/>
    <n v="2"/>
    <n v="1"/>
    <s v="Coffee Mach"/>
    <s v="Kitchen"/>
    <m/>
    <x v="18"/>
    <x v="2"/>
    <x v="0"/>
    <x v="2"/>
    <x v="0"/>
  </r>
  <r>
    <d v="2020-02-28T00:00:00"/>
    <s v="28"/>
    <s v="Feb"/>
    <n v="3"/>
    <n v="1"/>
    <n v="2"/>
    <s v="Printer"/>
    <s v="Computer"/>
    <m/>
    <x v="29"/>
    <x v="3"/>
    <x v="0"/>
    <x v="1"/>
    <x v="0"/>
  </r>
  <r>
    <d v="2020-02-29T00:00:00"/>
    <s v="29"/>
    <s v="Feb"/>
    <n v="10"/>
    <n v="7"/>
    <n v="3"/>
    <s v="Office Chair"/>
    <s v="Furniture"/>
    <m/>
    <x v="33"/>
    <x v="0"/>
    <x v="0"/>
    <x v="2"/>
    <x v="2"/>
  </r>
  <r>
    <d v="2020-02-29T00:00:00"/>
    <s v="29"/>
    <s v="Feb"/>
    <n v="10"/>
    <n v="7"/>
    <n v="3"/>
    <s v="Cable"/>
    <s v="Networking"/>
    <m/>
    <x v="28"/>
    <x v="2"/>
    <x v="0"/>
    <x v="1"/>
    <x v="1"/>
  </r>
  <r>
    <d v="2020-02-29T00:00:00"/>
    <s v="29"/>
    <s v="Feb"/>
    <n v="10"/>
    <n v="7"/>
    <n v="3"/>
    <s v="Laptop"/>
    <s v="Computer"/>
    <m/>
    <x v="29"/>
    <x v="2"/>
    <x v="0"/>
    <x v="1"/>
    <x v="2"/>
  </r>
  <r>
    <d v="2020-02-29T00:00:00"/>
    <s v="29"/>
    <s v="Feb"/>
    <n v="10"/>
    <n v="9"/>
    <n v="1"/>
    <s v="Cable"/>
    <s v="Networking"/>
    <m/>
    <x v="20"/>
    <x v="0"/>
    <x v="0"/>
    <x v="0"/>
    <x v="0"/>
  </r>
  <r>
    <d v="2020-02-29T00:00:00"/>
    <s v="29"/>
    <s v="Feb"/>
    <n v="9"/>
    <n v="5"/>
    <n v="4"/>
    <s v="Office Table"/>
    <s v="Furniture"/>
    <m/>
    <x v="26"/>
    <x v="4"/>
    <x v="0"/>
    <x v="1"/>
    <x v="2"/>
  </r>
  <r>
    <d v="2020-02-29T00:00:00"/>
    <s v="29"/>
    <s v="Feb"/>
    <n v="9"/>
    <n v="7"/>
    <n v="2"/>
    <s v="Coffee Mach"/>
    <s v="Kitchen"/>
    <m/>
    <x v="34"/>
    <x v="2"/>
    <x v="0"/>
    <x v="1"/>
    <x v="0"/>
  </r>
  <r>
    <d v="2020-02-29T00:00:00"/>
    <s v="29"/>
    <s v="Feb"/>
    <n v="8"/>
    <n v="4"/>
    <n v="4"/>
    <s v="Table Lamp"/>
    <s v="Accessories"/>
    <m/>
    <x v="39"/>
    <x v="0"/>
    <x v="0"/>
    <x v="1"/>
    <x v="2"/>
  </r>
  <r>
    <d v="2020-02-29T00:00:00"/>
    <s v="29"/>
    <s v="Feb"/>
    <n v="6"/>
    <n v="3"/>
    <n v="3"/>
    <s v="Table Lamp"/>
    <s v="Accessories"/>
    <m/>
    <x v="29"/>
    <x v="2"/>
    <x v="0"/>
    <x v="2"/>
    <x v="2"/>
  </r>
  <r>
    <d v="2020-02-29T00:00:00"/>
    <s v="29"/>
    <s v="Feb"/>
    <n v="6"/>
    <n v="4"/>
    <n v="2"/>
    <s v="Office Chair"/>
    <s v="Furniture"/>
    <m/>
    <x v="15"/>
    <x v="0"/>
    <x v="0"/>
    <x v="0"/>
    <x v="0"/>
  </r>
  <r>
    <d v="2020-02-29T00:00:00"/>
    <s v="29"/>
    <s v="Feb"/>
    <n v="6"/>
    <n v="5"/>
    <n v="1"/>
    <s v="Table Lamp"/>
    <s v="Accessories"/>
    <m/>
    <x v="41"/>
    <x v="0"/>
    <x v="0"/>
    <x v="0"/>
    <x v="2"/>
  </r>
  <r>
    <d v="2020-02-29T00:00:00"/>
    <s v="29"/>
    <s v="Feb"/>
    <n v="4"/>
    <n v="3"/>
    <n v="1"/>
    <s v="Cable"/>
    <s v="Networking"/>
    <m/>
    <x v="6"/>
    <x v="0"/>
    <x v="0"/>
    <x v="2"/>
    <x v="3"/>
  </r>
  <r>
    <d v="2020-02-29T00:00:00"/>
    <s v="29"/>
    <s v="Feb"/>
    <n v="4"/>
    <n v="3"/>
    <n v="1"/>
    <s v="Coffee Mach"/>
    <s v="Kitchen"/>
    <m/>
    <x v="13"/>
    <x v="4"/>
    <x v="0"/>
    <x v="0"/>
    <x v="3"/>
  </r>
  <r>
    <d v="2020-02-29T00:00:00"/>
    <s v="29"/>
    <s v="Feb"/>
    <n v="3"/>
    <n v="1"/>
    <n v="2"/>
    <s v="Cable"/>
    <s v="Networking"/>
    <m/>
    <x v="7"/>
    <x v="2"/>
    <x v="0"/>
    <x v="2"/>
    <x v="2"/>
  </r>
  <r>
    <d v="2020-03-01T00:00:00"/>
    <s v="1"/>
    <s v="Mar"/>
    <n v="10"/>
    <n v="10"/>
    <s v=""/>
    <s v="Office Chair"/>
    <s v="Furniture"/>
    <m/>
    <x v="3"/>
    <x v="3"/>
    <x v="0"/>
    <x v="0"/>
    <x v="3"/>
  </r>
  <r>
    <d v="2020-03-01T00:00:00"/>
    <s v="1"/>
    <s v="Mar"/>
    <n v="8"/>
    <n v="8"/>
    <s v=""/>
    <s v="Laptop"/>
    <s v="Computer"/>
    <m/>
    <x v="36"/>
    <x v="2"/>
    <x v="0"/>
    <x v="0"/>
    <x v="3"/>
  </r>
  <r>
    <d v="2020-03-01T00:00:00"/>
    <s v="1"/>
    <s v="Mar"/>
    <n v="8"/>
    <n v="8"/>
    <s v=""/>
    <s v="Office Table"/>
    <s v="Furniture"/>
    <m/>
    <x v="32"/>
    <x v="0"/>
    <x v="0"/>
    <x v="2"/>
    <x v="1"/>
  </r>
  <r>
    <d v="2020-03-01T00:00:00"/>
    <s v="1"/>
    <s v="Mar"/>
    <n v="6"/>
    <n v="6"/>
    <s v=""/>
    <s v="Coffee Mach"/>
    <s v="Kitchen"/>
    <m/>
    <x v="16"/>
    <x v="0"/>
    <x v="0"/>
    <x v="0"/>
    <x v="3"/>
  </r>
  <r>
    <d v="2020-03-02T00:00:00"/>
    <s v="2"/>
    <s v="Mar"/>
    <n v="10"/>
    <n v="10"/>
    <s v=""/>
    <s v="Cable"/>
    <s v="Networking"/>
    <m/>
    <x v="17"/>
    <x v="4"/>
    <x v="0"/>
    <x v="1"/>
    <x v="0"/>
  </r>
  <r>
    <d v="2020-03-02T00:00:00"/>
    <s v="2"/>
    <s v="Mar"/>
    <n v="9"/>
    <n v="9"/>
    <s v=""/>
    <s v="Coffee Mach"/>
    <s v="Kitchen"/>
    <m/>
    <x v="23"/>
    <x v="3"/>
    <x v="0"/>
    <x v="1"/>
    <x v="2"/>
  </r>
  <r>
    <d v="2020-03-02T00:00:00"/>
    <s v="2"/>
    <s v="Mar"/>
    <n v="7"/>
    <n v="7"/>
    <s v=""/>
    <s v="Printer"/>
    <s v="Computer"/>
    <m/>
    <x v="8"/>
    <x v="0"/>
    <x v="0"/>
    <x v="1"/>
    <x v="2"/>
  </r>
  <r>
    <d v="2020-03-02T00:00:00"/>
    <s v="2"/>
    <s v="Mar"/>
    <n v="7"/>
    <n v="7"/>
    <s v=""/>
    <s v="Laptop"/>
    <s v="Computer"/>
    <m/>
    <x v="19"/>
    <x v="2"/>
    <x v="0"/>
    <x v="1"/>
    <x v="3"/>
  </r>
  <r>
    <d v="2020-03-02T00:00:00"/>
    <s v="2"/>
    <s v="Mar"/>
    <n v="5"/>
    <n v="5"/>
    <s v=""/>
    <s v="TV"/>
    <s v="Electronic"/>
    <m/>
    <x v="32"/>
    <x v="2"/>
    <x v="0"/>
    <x v="0"/>
    <x v="1"/>
  </r>
  <r>
    <d v="2020-03-02T00:00:00"/>
    <s v="2"/>
    <s v="Mar"/>
    <n v="4"/>
    <n v="4"/>
    <s v=""/>
    <s v="AC"/>
    <s v="Electronic"/>
    <m/>
    <x v="27"/>
    <x v="3"/>
    <x v="0"/>
    <x v="0"/>
    <x v="2"/>
  </r>
  <r>
    <d v="2020-03-02T00:00:00"/>
    <s v="2"/>
    <s v="Mar"/>
    <n v="4"/>
    <n v="4"/>
    <s v=""/>
    <s v="Office Table"/>
    <s v="Furniture"/>
    <m/>
    <x v="40"/>
    <x v="4"/>
    <x v="0"/>
    <x v="2"/>
    <x v="1"/>
  </r>
  <r>
    <d v="2020-03-03T00:00:00"/>
    <s v="3"/>
    <s v="Mar"/>
    <n v="10"/>
    <n v="10"/>
    <s v=""/>
    <s v="Coffee Mach"/>
    <s v="Kitchen"/>
    <m/>
    <x v="0"/>
    <x v="2"/>
    <x v="0"/>
    <x v="2"/>
    <x v="1"/>
  </r>
  <r>
    <d v="2020-03-03T00:00:00"/>
    <s v="3"/>
    <s v="Mar"/>
    <n v="10"/>
    <n v="10"/>
    <s v=""/>
    <s v="AC"/>
    <s v="Electronic"/>
    <m/>
    <x v="47"/>
    <x v="2"/>
    <x v="0"/>
    <x v="1"/>
    <x v="1"/>
  </r>
  <r>
    <d v="2020-03-03T00:00:00"/>
    <s v="3"/>
    <s v="Mar"/>
    <n v="9"/>
    <n v="9"/>
    <s v=""/>
    <s v="Table Lamp"/>
    <s v="Accessories"/>
    <m/>
    <x v="0"/>
    <x v="2"/>
    <x v="0"/>
    <x v="0"/>
    <x v="1"/>
  </r>
  <r>
    <d v="2020-03-03T00:00:00"/>
    <s v="3"/>
    <s v="Mar"/>
    <n v="8"/>
    <n v="8"/>
    <s v=""/>
    <s v="Printer"/>
    <s v="Computer"/>
    <m/>
    <x v="0"/>
    <x v="2"/>
    <x v="0"/>
    <x v="0"/>
    <x v="1"/>
  </r>
  <r>
    <d v="2020-03-03T00:00:00"/>
    <s v="3"/>
    <s v="Mar"/>
    <n v="7"/>
    <n v="7"/>
    <s v=""/>
    <s v="Coffee Mach"/>
    <s v="Kitchen"/>
    <m/>
    <x v="3"/>
    <x v="5"/>
    <x v="0"/>
    <x v="2"/>
    <x v="1"/>
  </r>
  <r>
    <d v="2020-03-03T00:00:00"/>
    <s v="3"/>
    <s v="Mar"/>
    <n v="6"/>
    <n v="6"/>
    <s v=""/>
    <s v="Office Table"/>
    <s v="Furniture"/>
    <m/>
    <x v="12"/>
    <x v="2"/>
    <x v="0"/>
    <x v="2"/>
    <x v="3"/>
  </r>
  <r>
    <d v="2020-03-03T00:00:00"/>
    <s v="3"/>
    <s v="Mar"/>
    <n v="5"/>
    <n v="5"/>
    <s v=""/>
    <s v="Office Chair"/>
    <s v="Furniture"/>
    <m/>
    <x v="38"/>
    <x v="4"/>
    <x v="0"/>
    <x v="1"/>
    <x v="1"/>
  </r>
  <r>
    <d v="2020-03-04T00:00:00"/>
    <s v="4"/>
    <s v="Mar"/>
    <n v="10"/>
    <n v="10"/>
    <s v=""/>
    <s v="Laptop"/>
    <s v="Computer"/>
    <m/>
    <x v="19"/>
    <x v="0"/>
    <x v="0"/>
    <x v="2"/>
    <x v="1"/>
  </r>
  <r>
    <d v="2020-03-04T00:00:00"/>
    <s v="4"/>
    <s v="Mar"/>
    <n v="9"/>
    <n v="9"/>
    <s v=""/>
    <s v="Printer"/>
    <s v="Computer"/>
    <m/>
    <x v="23"/>
    <x v="2"/>
    <x v="0"/>
    <x v="0"/>
    <x v="3"/>
  </r>
  <r>
    <d v="2020-03-04T00:00:00"/>
    <s v="4"/>
    <s v="Mar"/>
    <n v="8"/>
    <n v="8"/>
    <s v=""/>
    <s v="AC"/>
    <s v="Electronic"/>
    <m/>
    <x v="6"/>
    <x v="0"/>
    <x v="0"/>
    <x v="1"/>
    <x v="0"/>
  </r>
  <r>
    <d v="2020-03-04T00:00:00"/>
    <s v="4"/>
    <s v="Mar"/>
    <n v="6"/>
    <n v="6"/>
    <s v=""/>
    <s v="AC"/>
    <s v="Electronic"/>
    <m/>
    <x v="31"/>
    <x v="0"/>
    <x v="0"/>
    <x v="0"/>
    <x v="3"/>
  </r>
  <r>
    <d v="2020-03-04T00:00:00"/>
    <s v="4"/>
    <s v="Mar"/>
    <n v="6"/>
    <n v="6"/>
    <s v=""/>
    <s v="TV"/>
    <s v="Electronic"/>
    <m/>
    <x v="37"/>
    <x v="2"/>
    <x v="0"/>
    <x v="1"/>
    <x v="3"/>
  </r>
  <r>
    <d v="2020-03-04T00:00:00"/>
    <s v="4"/>
    <s v="Mar"/>
    <n v="4"/>
    <n v="4"/>
    <s v=""/>
    <s v="Printer"/>
    <s v="Computer"/>
    <m/>
    <x v="0"/>
    <x v="1"/>
    <x v="0"/>
    <x v="0"/>
    <x v="2"/>
  </r>
  <r>
    <d v="2020-03-04T00:00:00"/>
    <s v="4"/>
    <s v="Mar"/>
    <n v="3"/>
    <n v="3"/>
    <s v=""/>
    <s v="Coffee Mach"/>
    <s v="Kitchen"/>
    <m/>
    <x v="10"/>
    <x v="0"/>
    <x v="0"/>
    <x v="2"/>
    <x v="3"/>
  </r>
  <r>
    <d v="2020-03-04T00:00:00"/>
    <s v="4"/>
    <s v="Mar"/>
    <n v="3"/>
    <n v="3"/>
    <s v=""/>
    <s v="Laptop"/>
    <s v="Computer"/>
    <m/>
    <x v="24"/>
    <x v="0"/>
    <x v="0"/>
    <x v="0"/>
    <x v="1"/>
  </r>
  <r>
    <d v="2020-03-05T00:00:00"/>
    <s v="5"/>
    <s v="Mar"/>
    <n v="9"/>
    <n v="9"/>
    <s v=""/>
    <s v="Laptop"/>
    <s v="Computer"/>
    <m/>
    <x v="13"/>
    <x v="3"/>
    <x v="0"/>
    <x v="2"/>
    <x v="3"/>
  </r>
  <r>
    <d v="2020-03-05T00:00:00"/>
    <s v="5"/>
    <s v="Mar"/>
    <n v="9"/>
    <n v="9"/>
    <s v=""/>
    <s v="Cable"/>
    <s v="Networking"/>
    <m/>
    <x v="16"/>
    <x v="0"/>
    <x v="0"/>
    <x v="0"/>
    <x v="2"/>
  </r>
  <r>
    <d v="2020-03-05T00:00:00"/>
    <s v="5"/>
    <s v="Mar"/>
    <n v="8"/>
    <n v="8"/>
    <s v=""/>
    <s v="Cable"/>
    <s v="Networking"/>
    <m/>
    <x v="10"/>
    <x v="5"/>
    <x v="0"/>
    <x v="1"/>
    <x v="2"/>
  </r>
  <r>
    <d v="2020-03-05T00:00:00"/>
    <s v="5"/>
    <s v="Mar"/>
    <n v="8"/>
    <n v="8"/>
    <s v=""/>
    <s v="AC"/>
    <s v="Electronic"/>
    <m/>
    <x v="7"/>
    <x v="2"/>
    <x v="0"/>
    <x v="2"/>
    <x v="2"/>
  </r>
  <r>
    <d v="2020-03-05T00:00:00"/>
    <s v="5"/>
    <s v="Mar"/>
    <n v="7"/>
    <n v="7"/>
    <s v=""/>
    <s v="Table Lamp"/>
    <s v="Accessories"/>
    <m/>
    <x v="34"/>
    <x v="0"/>
    <x v="0"/>
    <x v="1"/>
    <x v="1"/>
  </r>
  <r>
    <d v="2020-03-05T00:00:00"/>
    <s v="5"/>
    <s v="Mar"/>
    <n v="5"/>
    <n v="5"/>
    <s v=""/>
    <s v="Printer"/>
    <s v="Computer"/>
    <m/>
    <x v="13"/>
    <x v="0"/>
    <x v="0"/>
    <x v="1"/>
    <x v="0"/>
  </r>
  <r>
    <d v="2020-03-06T00:00:00"/>
    <s v="6"/>
    <s v="Mar"/>
    <n v="9"/>
    <n v="9"/>
    <s v=""/>
    <s v="AC"/>
    <s v="Electronic"/>
    <m/>
    <x v="14"/>
    <x v="2"/>
    <x v="0"/>
    <x v="1"/>
    <x v="0"/>
  </r>
  <r>
    <d v="2020-03-06T00:00:00"/>
    <s v="6"/>
    <s v="Mar"/>
    <n v="8"/>
    <n v="8"/>
    <s v=""/>
    <s v="Table Lamp"/>
    <s v="Accessories"/>
    <m/>
    <x v="13"/>
    <x v="2"/>
    <x v="0"/>
    <x v="1"/>
    <x v="1"/>
  </r>
  <r>
    <d v="2020-03-06T00:00:00"/>
    <s v="6"/>
    <s v="Mar"/>
    <n v="7"/>
    <n v="7"/>
    <s v=""/>
    <s v="Laptop"/>
    <s v="Computer"/>
    <m/>
    <x v="15"/>
    <x v="0"/>
    <x v="0"/>
    <x v="0"/>
    <x v="0"/>
  </r>
  <r>
    <d v="2020-03-07T00:00:00"/>
    <s v="7"/>
    <s v="Mar"/>
    <n v="10"/>
    <n v="10"/>
    <s v=""/>
    <s v="Coffee Mach"/>
    <s v="Kitchen"/>
    <m/>
    <x v="29"/>
    <x v="0"/>
    <x v="0"/>
    <x v="0"/>
    <x v="0"/>
  </r>
  <r>
    <d v="2020-03-07T00:00:00"/>
    <s v="7"/>
    <s v="Mar"/>
    <n v="9"/>
    <n v="9"/>
    <s v=""/>
    <s v="Table Lamp"/>
    <s v="Accessories"/>
    <m/>
    <x v="13"/>
    <x v="4"/>
    <x v="0"/>
    <x v="0"/>
    <x v="0"/>
  </r>
  <r>
    <d v="2020-03-07T00:00:00"/>
    <s v="7"/>
    <s v="Mar"/>
    <n v="8"/>
    <n v="8"/>
    <s v=""/>
    <s v="AC"/>
    <s v="Electronic"/>
    <m/>
    <x v="26"/>
    <x v="2"/>
    <x v="0"/>
    <x v="2"/>
    <x v="2"/>
  </r>
  <r>
    <d v="2020-03-07T00:00:00"/>
    <s v="7"/>
    <s v="Mar"/>
    <n v="8"/>
    <n v="8"/>
    <s v=""/>
    <s v="Printer"/>
    <s v="Computer"/>
    <m/>
    <x v="38"/>
    <x v="0"/>
    <x v="0"/>
    <x v="1"/>
    <x v="0"/>
  </r>
  <r>
    <d v="2020-03-07T00:00:00"/>
    <s v="7"/>
    <s v="Mar"/>
    <n v="7"/>
    <n v="7"/>
    <s v=""/>
    <s v="Printer"/>
    <s v="Computer"/>
    <m/>
    <x v="44"/>
    <x v="0"/>
    <x v="0"/>
    <x v="0"/>
    <x v="0"/>
  </r>
  <r>
    <d v="2020-03-07T00:00:00"/>
    <s v="7"/>
    <s v="Mar"/>
    <n v="7"/>
    <n v="7"/>
    <s v=""/>
    <s v="Coffee Mach"/>
    <s v="Kitchen"/>
    <m/>
    <x v="15"/>
    <x v="2"/>
    <x v="0"/>
    <x v="0"/>
    <x v="1"/>
  </r>
  <r>
    <d v="2020-03-07T00:00:00"/>
    <s v="7"/>
    <s v="Mar"/>
    <n v="5"/>
    <n v="5"/>
    <s v=""/>
    <s v="Laptop"/>
    <s v="Computer"/>
    <m/>
    <x v="32"/>
    <x v="2"/>
    <x v="0"/>
    <x v="2"/>
    <x v="1"/>
  </r>
  <r>
    <d v="2020-03-07T00:00:00"/>
    <s v="7"/>
    <s v="Mar"/>
    <n v="5"/>
    <n v="5"/>
    <s v=""/>
    <s v="AC"/>
    <s v="Electronic"/>
    <m/>
    <x v="44"/>
    <x v="2"/>
    <x v="0"/>
    <x v="2"/>
    <x v="3"/>
  </r>
  <r>
    <d v="2020-03-07T00:00:00"/>
    <s v="7"/>
    <s v="Mar"/>
    <n v="5"/>
    <n v="5"/>
    <s v=""/>
    <s v="Office Chair"/>
    <s v="Furniture"/>
    <m/>
    <x v="2"/>
    <x v="2"/>
    <x v="0"/>
    <x v="0"/>
    <x v="1"/>
  </r>
  <r>
    <d v="2020-03-07T00:00:00"/>
    <s v="7"/>
    <s v="Mar"/>
    <n v="5"/>
    <n v="5"/>
    <s v=""/>
    <s v="Office Chair"/>
    <s v="Furniture"/>
    <m/>
    <x v="15"/>
    <x v="3"/>
    <x v="0"/>
    <x v="2"/>
    <x v="1"/>
  </r>
  <r>
    <d v="2020-03-07T00:00:00"/>
    <s v="7"/>
    <s v="Mar"/>
    <n v="4"/>
    <n v="4"/>
    <s v=""/>
    <s v="Laptop"/>
    <s v="Computer"/>
    <m/>
    <x v="24"/>
    <x v="2"/>
    <x v="0"/>
    <x v="1"/>
    <x v="3"/>
  </r>
  <r>
    <d v="2020-03-07T00:00:00"/>
    <s v="7"/>
    <s v="Mar"/>
    <n v="4"/>
    <n v="4"/>
    <s v=""/>
    <s v="Office Chair"/>
    <s v="Furniture"/>
    <m/>
    <x v="14"/>
    <x v="2"/>
    <x v="0"/>
    <x v="0"/>
    <x v="0"/>
  </r>
  <r>
    <d v="2020-03-07T00:00:00"/>
    <s v="7"/>
    <s v="Mar"/>
    <n v="4"/>
    <n v="4"/>
    <s v=""/>
    <s v="Laptop"/>
    <s v="Computer"/>
    <m/>
    <x v="34"/>
    <x v="0"/>
    <x v="0"/>
    <x v="1"/>
    <x v="2"/>
  </r>
  <r>
    <d v="2020-03-07T00:00:00"/>
    <s v="7"/>
    <s v="Mar"/>
    <n v="3"/>
    <n v="3"/>
    <s v=""/>
    <s v="Coffee Mach"/>
    <s v="Kitchen"/>
    <m/>
    <x v="48"/>
    <x v="0"/>
    <x v="0"/>
    <x v="1"/>
    <x v="1"/>
  </r>
  <r>
    <d v="2020-03-08T00:00:00"/>
    <s v="8"/>
    <s v="Mar"/>
    <n v="10"/>
    <n v="10"/>
    <s v=""/>
    <s v="Office Chair"/>
    <s v="Furniture"/>
    <m/>
    <x v="15"/>
    <x v="3"/>
    <x v="0"/>
    <x v="1"/>
    <x v="1"/>
  </r>
  <r>
    <d v="2020-03-08T00:00:00"/>
    <s v="8"/>
    <s v="Mar"/>
    <n v="10"/>
    <n v="10"/>
    <s v=""/>
    <s v="TV"/>
    <s v="Electronic"/>
    <m/>
    <x v="36"/>
    <x v="0"/>
    <x v="0"/>
    <x v="2"/>
    <x v="3"/>
  </r>
  <r>
    <d v="2020-03-08T00:00:00"/>
    <s v="8"/>
    <s v="Mar"/>
    <n v="10"/>
    <n v="10"/>
    <s v=""/>
    <s v="Printer"/>
    <s v="Computer"/>
    <m/>
    <x v="24"/>
    <x v="2"/>
    <x v="0"/>
    <x v="1"/>
    <x v="1"/>
  </r>
  <r>
    <d v="2020-03-08T00:00:00"/>
    <s v="8"/>
    <s v="Mar"/>
    <n v="9"/>
    <n v="9"/>
    <s v=""/>
    <s v="Office Table"/>
    <s v="Furniture"/>
    <m/>
    <x v="24"/>
    <x v="2"/>
    <x v="0"/>
    <x v="0"/>
    <x v="2"/>
  </r>
  <r>
    <d v="2020-03-08T00:00:00"/>
    <s v="8"/>
    <s v="Mar"/>
    <n v="9"/>
    <n v="9"/>
    <s v=""/>
    <s v="TV"/>
    <s v="Electronic"/>
    <m/>
    <x v="1"/>
    <x v="1"/>
    <x v="0"/>
    <x v="2"/>
    <x v="0"/>
  </r>
  <r>
    <d v="2020-03-08T00:00:00"/>
    <s v="8"/>
    <s v="Mar"/>
    <n v="8"/>
    <n v="8"/>
    <s v=""/>
    <s v="Table Lamp"/>
    <s v="Accessories"/>
    <m/>
    <x v="24"/>
    <x v="0"/>
    <x v="0"/>
    <x v="0"/>
    <x v="3"/>
  </r>
  <r>
    <d v="2020-03-08T00:00:00"/>
    <s v="8"/>
    <s v="Mar"/>
    <n v="7"/>
    <n v="7"/>
    <s v=""/>
    <s v="Cable"/>
    <s v="Networking"/>
    <m/>
    <x v="36"/>
    <x v="2"/>
    <x v="0"/>
    <x v="2"/>
    <x v="1"/>
  </r>
  <r>
    <d v="2020-03-09T00:00:00"/>
    <s v="9"/>
    <s v="Mar"/>
    <n v="9"/>
    <n v="9"/>
    <s v=""/>
    <s v="Cable"/>
    <s v="Networking"/>
    <m/>
    <x v="15"/>
    <x v="2"/>
    <x v="0"/>
    <x v="0"/>
    <x v="1"/>
  </r>
  <r>
    <d v="2020-03-09T00:00:00"/>
    <s v="9"/>
    <s v="Mar"/>
    <n v="8"/>
    <n v="8"/>
    <s v=""/>
    <s v="Office Chair"/>
    <s v="Furniture"/>
    <m/>
    <x v="23"/>
    <x v="2"/>
    <x v="0"/>
    <x v="2"/>
    <x v="3"/>
  </r>
  <r>
    <d v="2020-03-09T00:00:00"/>
    <s v="9"/>
    <s v="Mar"/>
    <n v="7"/>
    <n v="7"/>
    <s v=""/>
    <s v="Laptop"/>
    <s v="Computer"/>
    <m/>
    <x v="29"/>
    <x v="0"/>
    <x v="0"/>
    <x v="2"/>
    <x v="3"/>
  </r>
  <r>
    <d v="2020-03-09T00:00:00"/>
    <s v="9"/>
    <s v="Mar"/>
    <n v="7"/>
    <n v="7"/>
    <s v=""/>
    <s v="Printer"/>
    <s v="Computer"/>
    <m/>
    <x v="28"/>
    <x v="2"/>
    <x v="0"/>
    <x v="1"/>
    <x v="2"/>
  </r>
  <r>
    <d v="2020-03-09T00:00:00"/>
    <s v="9"/>
    <s v="Mar"/>
    <n v="5"/>
    <n v="5"/>
    <s v=""/>
    <s v="AC"/>
    <s v="Electronic"/>
    <m/>
    <x v="7"/>
    <x v="2"/>
    <x v="0"/>
    <x v="1"/>
    <x v="0"/>
  </r>
  <r>
    <d v="2020-03-09T00:00:00"/>
    <s v="9"/>
    <s v="Mar"/>
    <n v="5"/>
    <n v="5"/>
    <s v=""/>
    <s v="Office Table"/>
    <s v="Furniture"/>
    <m/>
    <x v="19"/>
    <x v="2"/>
    <x v="0"/>
    <x v="1"/>
    <x v="2"/>
  </r>
  <r>
    <d v="2020-03-09T00:00:00"/>
    <s v="9"/>
    <s v="Mar"/>
    <n v="5"/>
    <n v="5"/>
    <s v=""/>
    <s v="Table Lamp"/>
    <s v="Accessories"/>
    <m/>
    <x v="6"/>
    <x v="2"/>
    <x v="0"/>
    <x v="0"/>
    <x v="0"/>
  </r>
  <r>
    <d v="2020-03-09T00:00:00"/>
    <s v="9"/>
    <s v="Mar"/>
    <n v="4"/>
    <n v="4"/>
    <s v=""/>
    <s v="Printer"/>
    <s v="Computer"/>
    <m/>
    <x v="28"/>
    <x v="4"/>
    <x v="0"/>
    <x v="0"/>
    <x v="3"/>
  </r>
  <r>
    <d v="2020-03-09T00:00:00"/>
    <s v="9"/>
    <s v="Mar"/>
    <n v="4"/>
    <n v="4"/>
    <s v=""/>
    <s v="Table Lamp"/>
    <s v="Accessories"/>
    <m/>
    <x v="40"/>
    <x v="4"/>
    <x v="0"/>
    <x v="1"/>
    <x v="2"/>
  </r>
  <r>
    <d v="2020-03-09T00:00:00"/>
    <s v="9"/>
    <s v="Mar"/>
    <n v="3"/>
    <n v="3"/>
    <s v=""/>
    <s v="TV"/>
    <s v="Electronic"/>
    <m/>
    <x v="44"/>
    <x v="0"/>
    <x v="0"/>
    <x v="1"/>
    <x v="0"/>
  </r>
  <r>
    <d v="2020-03-09T00:00:00"/>
    <s v="9"/>
    <s v="Mar"/>
    <n v="3"/>
    <n v="3"/>
    <s v=""/>
    <s v="Coffee Mach"/>
    <s v="Kitchen"/>
    <m/>
    <x v="28"/>
    <x v="0"/>
    <x v="0"/>
    <x v="0"/>
    <x v="0"/>
  </r>
  <r>
    <d v="2020-03-10T00:00:00"/>
    <s v="10"/>
    <s v="Mar"/>
    <n v="10"/>
    <n v="10"/>
    <s v=""/>
    <s v="AC"/>
    <s v="Electronic"/>
    <m/>
    <x v="25"/>
    <x v="0"/>
    <x v="0"/>
    <x v="0"/>
    <x v="2"/>
  </r>
  <r>
    <d v="2020-03-10T00:00:00"/>
    <s v="10"/>
    <s v="Mar"/>
    <n v="6"/>
    <n v="6"/>
    <s v=""/>
    <s v="TV"/>
    <s v="Electronic"/>
    <m/>
    <x v="15"/>
    <x v="2"/>
    <x v="0"/>
    <x v="0"/>
    <x v="2"/>
  </r>
  <r>
    <d v="2020-03-10T00:00:00"/>
    <s v="10"/>
    <s v="Mar"/>
    <n v="6"/>
    <n v="6"/>
    <s v=""/>
    <s v="Office Table"/>
    <s v="Furniture"/>
    <m/>
    <x v="19"/>
    <x v="5"/>
    <x v="0"/>
    <x v="2"/>
    <x v="2"/>
  </r>
  <r>
    <d v="2020-03-10T00:00:00"/>
    <s v="10"/>
    <s v="Mar"/>
    <n v="6"/>
    <n v="6"/>
    <s v=""/>
    <s v="Cable"/>
    <s v="Networking"/>
    <m/>
    <x v="38"/>
    <x v="0"/>
    <x v="0"/>
    <x v="1"/>
    <x v="1"/>
  </r>
  <r>
    <d v="2020-03-10T00:00:00"/>
    <s v="10"/>
    <s v="Mar"/>
    <n v="4"/>
    <n v="4"/>
    <s v=""/>
    <s v="Coffee Mach"/>
    <s v="Kitchen"/>
    <m/>
    <x v="42"/>
    <x v="4"/>
    <x v="0"/>
    <x v="2"/>
    <x v="1"/>
  </r>
  <r>
    <d v="2020-03-10T00:00:00"/>
    <s v="10"/>
    <s v="Mar"/>
    <n v="3"/>
    <n v="3"/>
    <s v=""/>
    <s v="Coffee Mach"/>
    <s v="Kitchen"/>
    <m/>
    <x v="23"/>
    <x v="0"/>
    <x v="0"/>
    <x v="2"/>
    <x v="2"/>
  </r>
  <r>
    <d v="2020-03-10T00:00:00"/>
    <s v="10"/>
    <s v="Mar"/>
    <n v="3"/>
    <n v="3"/>
    <s v=""/>
    <s v="AC"/>
    <s v="Electronic"/>
    <m/>
    <x v="27"/>
    <x v="3"/>
    <x v="0"/>
    <x v="1"/>
    <x v="2"/>
  </r>
  <r>
    <d v="2020-03-11T00:00:00"/>
    <s v="11"/>
    <s v="Mar"/>
    <n v="9"/>
    <n v="9"/>
    <s v=""/>
    <s v="TV"/>
    <s v="Electronic"/>
    <m/>
    <x v="11"/>
    <x v="0"/>
    <x v="0"/>
    <x v="1"/>
    <x v="3"/>
  </r>
  <r>
    <d v="2020-03-11T00:00:00"/>
    <s v="11"/>
    <s v="Mar"/>
    <n v="7"/>
    <n v="7"/>
    <s v=""/>
    <s v="AC"/>
    <s v="Electronic"/>
    <m/>
    <x v="3"/>
    <x v="0"/>
    <x v="0"/>
    <x v="1"/>
    <x v="3"/>
  </r>
  <r>
    <d v="2020-03-11T00:00:00"/>
    <s v="11"/>
    <s v="Mar"/>
    <n v="7"/>
    <n v="7"/>
    <s v=""/>
    <s v="Office Table"/>
    <s v="Furniture"/>
    <m/>
    <x v="31"/>
    <x v="2"/>
    <x v="0"/>
    <x v="2"/>
    <x v="1"/>
  </r>
  <r>
    <d v="2020-03-11T00:00:00"/>
    <s v="11"/>
    <s v="Mar"/>
    <n v="6"/>
    <n v="6"/>
    <s v=""/>
    <s v="TV"/>
    <s v="Electronic"/>
    <m/>
    <x v="0"/>
    <x v="4"/>
    <x v="0"/>
    <x v="1"/>
    <x v="2"/>
  </r>
  <r>
    <d v="2020-03-11T00:00:00"/>
    <s v="11"/>
    <s v="Mar"/>
    <n v="6"/>
    <n v="6"/>
    <s v=""/>
    <s v="Cable"/>
    <s v="Networking"/>
    <m/>
    <x v="49"/>
    <x v="2"/>
    <x v="0"/>
    <x v="2"/>
    <x v="0"/>
  </r>
  <r>
    <d v="2020-03-11T00:00:00"/>
    <s v="11"/>
    <s v="Mar"/>
    <n v="6"/>
    <n v="6"/>
    <s v=""/>
    <s v="AC"/>
    <s v="Electronic"/>
    <m/>
    <x v="42"/>
    <x v="1"/>
    <x v="0"/>
    <x v="2"/>
    <x v="1"/>
  </r>
  <r>
    <d v="2020-03-11T00:00:00"/>
    <s v="11"/>
    <s v="Mar"/>
    <n v="3"/>
    <n v="3"/>
    <s v=""/>
    <s v="Laptop"/>
    <s v="Computer"/>
    <m/>
    <x v="6"/>
    <x v="4"/>
    <x v="0"/>
    <x v="0"/>
    <x v="0"/>
  </r>
  <r>
    <d v="2020-03-11T00:00:00"/>
    <s v="11"/>
    <s v="Mar"/>
    <n v="3"/>
    <n v="3"/>
    <s v=""/>
    <s v="Table Lamp"/>
    <s v="Accessories"/>
    <m/>
    <x v="44"/>
    <x v="1"/>
    <x v="0"/>
    <x v="1"/>
    <x v="1"/>
  </r>
  <r>
    <d v="2020-03-12T00:00:00"/>
    <s v="12"/>
    <s v="Mar"/>
    <n v="9"/>
    <n v="9"/>
    <s v=""/>
    <s v="Office Chair"/>
    <s v="Furniture"/>
    <m/>
    <x v="40"/>
    <x v="2"/>
    <x v="0"/>
    <x v="1"/>
    <x v="3"/>
  </r>
  <r>
    <d v="2020-03-12T00:00:00"/>
    <s v="12"/>
    <s v="Mar"/>
    <n v="8"/>
    <n v="8"/>
    <s v=""/>
    <s v="AC"/>
    <s v="Electronic"/>
    <m/>
    <x v="46"/>
    <x v="1"/>
    <x v="0"/>
    <x v="2"/>
    <x v="3"/>
  </r>
  <r>
    <d v="2020-03-12T00:00:00"/>
    <s v="12"/>
    <s v="Mar"/>
    <n v="8"/>
    <n v="8"/>
    <s v=""/>
    <s v="TV"/>
    <s v="Electronic"/>
    <m/>
    <x v="37"/>
    <x v="0"/>
    <x v="0"/>
    <x v="2"/>
    <x v="3"/>
  </r>
  <r>
    <d v="2020-03-12T00:00:00"/>
    <s v="12"/>
    <s v="Mar"/>
    <n v="7"/>
    <n v="7"/>
    <s v=""/>
    <s v="Printer"/>
    <s v="Computer"/>
    <m/>
    <x v="34"/>
    <x v="2"/>
    <x v="0"/>
    <x v="2"/>
    <x v="3"/>
  </r>
  <r>
    <d v="2020-03-12T00:00:00"/>
    <s v="12"/>
    <s v="Mar"/>
    <n v="5"/>
    <n v="5"/>
    <s v=""/>
    <s v="AC"/>
    <s v="Electronic"/>
    <m/>
    <x v="31"/>
    <x v="2"/>
    <x v="0"/>
    <x v="1"/>
    <x v="1"/>
  </r>
  <r>
    <d v="2020-03-12T00:00:00"/>
    <s v="12"/>
    <s v="Mar"/>
    <n v="4"/>
    <n v="4"/>
    <s v=""/>
    <s v="Table Lamp"/>
    <s v="Accessories"/>
    <m/>
    <x v="9"/>
    <x v="4"/>
    <x v="0"/>
    <x v="2"/>
    <x v="2"/>
  </r>
  <r>
    <d v="2020-03-12T00:00:00"/>
    <s v="12"/>
    <s v="Mar"/>
    <n v="4"/>
    <n v="4"/>
    <s v=""/>
    <s v="Cable"/>
    <s v="Networking"/>
    <m/>
    <x v="15"/>
    <x v="2"/>
    <x v="0"/>
    <x v="2"/>
    <x v="1"/>
  </r>
  <r>
    <d v="2020-03-13T00:00:00"/>
    <s v="13"/>
    <s v="Mar"/>
    <n v="9"/>
    <n v="9"/>
    <s v=""/>
    <s v="Office Chair"/>
    <s v="Furniture"/>
    <m/>
    <x v="21"/>
    <x v="0"/>
    <x v="0"/>
    <x v="2"/>
    <x v="1"/>
  </r>
  <r>
    <d v="2020-03-13T00:00:00"/>
    <s v="13"/>
    <s v="Mar"/>
    <n v="9"/>
    <n v="9"/>
    <s v=""/>
    <s v="Office Table"/>
    <s v="Furniture"/>
    <m/>
    <x v="9"/>
    <x v="0"/>
    <x v="0"/>
    <x v="1"/>
    <x v="3"/>
  </r>
  <r>
    <d v="2020-03-13T00:00:00"/>
    <s v="13"/>
    <s v="Mar"/>
    <n v="8"/>
    <n v="8"/>
    <s v=""/>
    <s v="Printer"/>
    <s v="Computer"/>
    <m/>
    <x v="0"/>
    <x v="2"/>
    <x v="0"/>
    <x v="0"/>
    <x v="3"/>
  </r>
  <r>
    <d v="2020-03-13T00:00:00"/>
    <s v="13"/>
    <s v="Mar"/>
    <n v="7"/>
    <n v="7"/>
    <s v=""/>
    <s v="Laptop"/>
    <s v="Computer"/>
    <m/>
    <x v="18"/>
    <x v="0"/>
    <x v="0"/>
    <x v="0"/>
    <x v="0"/>
  </r>
  <r>
    <d v="2020-03-13T00:00:00"/>
    <s v="13"/>
    <s v="Mar"/>
    <n v="6"/>
    <n v="6"/>
    <s v=""/>
    <s v="Printer"/>
    <s v="Computer"/>
    <m/>
    <x v="45"/>
    <x v="2"/>
    <x v="0"/>
    <x v="2"/>
    <x v="2"/>
  </r>
  <r>
    <d v="2020-03-13T00:00:00"/>
    <s v="13"/>
    <s v="Mar"/>
    <n v="4"/>
    <n v="4"/>
    <s v=""/>
    <s v="AC"/>
    <s v="Electronic"/>
    <m/>
    <x v="36"/>
    <x v="0"/>
    <x v="0"/>
    <x v="0"/>
    <x v="2"/>
  </r>
  <r>
    <d v="2020-03-14T00:00:00"/>
    <s v="14"/>
    <s v="Mar"/>
    <n v="10"/>
    <n v="10"/>
    <s v=""/>
    <s v="Cable"/>
    <s v="Networking"/>
    <m/>
    <x v="48"/>
    <x v="0"/>
    <x v="0"/>
    <x v="1"/>
    <x v="3"/>
  </r>
  <r>
    <d v="2020-03-14T00:00:00"/>
    <s v="14"/>
    <s v="Mar"/>
    <n v="9"/>
    <n v="9"/>
    <s v=""/>
    <s v="Office Table"/>
    <s v="Furniture"/>
    <m/>
    <x v="22"/>
    <x v="2"/>
    <x v="0"/>
    <x v="1"/>
    <x v="3"/>
  </r>
  <r>
    <d v="2020-03-14T00:00:00"/>
    <s v="14"/>
    <s v="Mar"/>
    <n v="8"/>
    <n v="8"/>
    <s v=""/>
    <s v="TV"/>
    <s v="Electronic"/>
    <m/>
    <x v="31"/>
    <x v="3"/>
    <x v="0"/>
    <x v="0"/>
    <x v="3"/>
  </r>
  <r>
    <d v="2020-03-14T00:00:00"/>
    <s v="14"/>
    <s v="Mar"/>
    <n v="7"/>
    <n v="7"/>
    <s v=""/>
    <s v="TV"/>
    <s v="Electronic"/>
    <m/>
    <x v="7"/>
    <x v="0"/>
    <x v="0"/>
    <x v="0"/>
    <x v="3"/>
  </r>
  <r>
    <d v="2020-03-14T00:00:00"/>
    <s v="14"/>
    <s v="Mar"/>
    <n v="5"/>
    <n v="5"/>
    <s v=""/>
    <s v="Office Table"/>
    <s v="Furniture"/>
    <m/>
    <x v="17"/>
    <x v="0"/>
    <x v="0"/>
    <x v="1"/>
    <x v="3"/>
  </r>
  <r>
    <d v="2020-03-14T00:00:00"/>
    <s v="14"/>
    <s v="Mar"/>
    <n v="4"/>
    <n v="4"/>
    <s v=""/>
    <s v="Office Chair"/>
    <s v="Furniture"/>
    <m/>
    <x v="33"/>
    <x v="2"/>
    <x v="0"/>
    <x v="1"/>
    <x v="3"/>
  </r>
  <r>
    <d v="2020-03-14T00:00:00"/>
    <s v="14"/>
    <s v="Mar"/>
    <n v="4"/>
    <n v="4"/>
    <s v=""/>
    <s v="Table Lamp"/>
    <s v="Accessories"/>
    <m/>
    <x v="49"/>
    <x v="0"/>
    <x v="0"/>
    <x v="2"/>
    <x v="1"/>
  </r>
  <r>
    <d v="2020-03-14T00:00:00"/>
    <s v="14"/>
    <s v="Mar"/>
    <n v="3"/>
    <n v="3"/>
    <s v=""/>
    <s v="Printer"/>
    <s v="Computer"/>
    <m/>
    <x v="0"/>
    <x v="2"/>
    <x v="0"/>
    <x v="0"/>
    <x v="3"/>
  </r>
  <r>
    <d v="2020-03-15T00:00:00"/>
    <s v="15"/>
    <s v="Mar"/>
    <n v="6"/>
    <n v="6"/>
    <s v=""/>
    <s v="AC"/>
    <s v="Electronic"/>
    <m/>
    <x v="2"/>
    <x v="0"/>
    <x v="0"/>
    <x v="1"/>
    <x v="0"/>
  </r>
  <r>
    <d v="2020-03-15T00:00:00"/>
    <s v="15"/>
    <s v="Mar"/>
    <n v="5"/>
    <n v="5"/>
    <s v=""/>
    <s v="Office Table"/>
    <s v="Furniture"/>
    <m/>
    <x v="10"/>
    <x v="0"/>
    <x v="0"/>
    <x v="0"/>
    <x v="3"/>
  </r>
  <r>
    <d v="2020-03-15T00:00:00"/>
    <s v="15"/>
    <s v="Mar"/>
    <n v="4"/>
    <n v="4"/>
    <s v=""/>
    <s v="TV"/>
    <s v="Electronic"/>
    <m/>
    <x v="26"/>
    <x v="2"/>
    <x v="0"/>
    <x v="2"/>
    <x v="2"/>
  </r>
  <r>
    <d v="2020-03-15T00:00:00"/>
    <s v="15"/>
    <s v="Mar"/>
    <n v="3"/>
    <n v="3"/>
    <s v=""/>
    <s v="TV"/>
    <s v="Electronic"/>
    <m/>
    <x v="43"/>
    <x v="2"/>
    <x v="0"/>
    <x v="0"/>
    <x v="1"/>
  </r>
  <r>
    <d v="2020-03-16T00:00:00"/>
    <s v="16"/>
    <s v="Mar"/>
    <n v="8"/>
    <n v="8"/>
    <s v=""/>
    <s v="Cable"/>
    <s v="Networking"/>
    <m/>
    <x v="30"/>
    <x v="0"/>
    <x v="0"/>
    <x v="2"/>
    <x v="1"/>
  </r>
  <r>
    <d v="2020-03-16T00:00:00"/>
    <s v="16"/>
    <s v="Mar"/>
    <n v="7"/>
    <n v="7"/>
    <s v=""/>
    <s v="Table Lamp"/>
    <s v="Accessories"/>
    <m/>
    <x v="42"/>
    <x v="2"/>
    <x v="0"/>
    <x v="2"/>
    <x v="0"/>
  </r>
  <r>
    <d v="2020-03-16T00:00:00"/>
    <s v="16"/>
    <s v="Mar"/>
    <n v="6"/>
    <n v="6"/>
    <s v=""/>
    <s v="Table Lamp"/>
    <s v="Accessories"/>
    <m/>
    <x v="38"/>
    <x v="3"/>
    <x v="0"/>
    <x v="0"/>
    <x v="3"/>
  </r>
  <r>
    <d v="2020-03-16T00:00:00"/>
    <s v="16"/>
    <s v="Mar"/>
    <n v="5"/>
    <n v="5"/>
    <s v=""/>
    <s v="Cable"/>
    <s v="Networking"/>
    <m/>
    <x v="43"/>
    <x v="0"/>
    <x v="0"/>
    <x v="2"/>
    <x v="0"/>
  </r>
  <r>
    <d v="2020-03-16T00:00:00"/>
    <s v="16"/>
    <s v="Mar"/>
    <n v="5"/>
    <n v="5"/>
    <s v=""/>
    <s v="Laptop"/>
    <s v="Computer"/>
    <m/>
    <x v="14"/>
    <x v="0"/>
    <x v="0"/>
    <x v="1"/>
    <x v="3"/>
  </r>
  <r>
    <d v="2020-03-16T00:00:00"/>
    <s v="16"/>
    <s v="Mar"/>
    <n v="4"/>
    <n v="4"/>
    <s v=""/>
    <s v="Office Chair"/>
    <s v="Furniture"/>
    <m/>
    <x v="4"/>
    <x v="0"/>
    <x v="0"/>
    <x v="1"/>
    <x v="2"/>
  </r>
  <r>
    <d v="2020-03-17T00:00:00"/>
    <s v="17"/>
    <s v="Mar"/>
    <n v="10"/>
    <n v="10"/>
    <s v=""/>
    <s v="Printer"/>
    <s v="Computer"/>
    <m/>
    <x v="22"/>
    <x v="0"/>
    <x v="0"/>
    <x v="1"/>
    <x v="1"/>
  </r>
  <r>
    <d v="2020-03-17T00:00:00"/>
    <s v="17"/>
    <s v="Mar"/>
    <n v="9"/>
    <n v="9"/>
    <s v=""/>
    <s v="AC"/>
    <s v="Electronic"/>
    <m/>
    <x v="12"/>
    <x v="4"/>
    <x v="0"/>
    <x v="0"/>
    <x v="0"/>
  </r>
  <r>
    <d v="2020-03-17T00:00:00"/>
    <s v="17"/>
    <s v="Mar"/>
    <n v="9"/>
    <n v="9"/>
    <s v=""/>
    <s v="Coffee Mach"/>
    <s v="Kitchen"/>
    <m/>
    <x v="35"/>
    <x v="3"/>
    <x v="0"/>
    <x v="2"/>
    <x v="3"/>
  </r>
  <r>
    <d v="2020-03-17T00:00:00"/>
    <s v="17"/>
    <s v="Mar"/>
    <n v="5"/>
    <n v="5"/>
    <s v=""/>
    <s v="Cable"/>
    <s v="Networking"/>
    <m/>
    <x v="29"/>
    <x v="2"/>
    <x v="0"/>
    <x v="1"/>
    <x v="3"/>
  </r>
  <r>
    <d v="2020-03-17T00:00:00"/>
    <s v="17"/>
    <s v="Mar"/>
    <n v="4"/>
    <n v="4"/>
    <s v=""/>
    <s v="Coffee Mach"/>
    <s v="Kitchen"/>
    <m/>
    <x v="29"/>
    <x v="2"/>
    <x v="0"/>
    <x v="1"/>
    <x v="2"/>
  </r>
  <r>
    <d v="2020-03-17T00:00:00"/>
    <s v="17"/>
    <s v="Mar"/>
    <n v="4"/>
    <n v="4"/>
    <s v=""/>
    <s v="Office Table"/>
    <s v="Furniture"/>
    <m/>
    <x v="18"/>
    <x v="0"/>
    <x v="0"/>
    <x v="1"/>
    <x v="0"/>
  </r>
  <r>
    <d v="2020-03-17T00:00:00"/>
    <s v="17"/>
    <s v="Mar"/>
    <n v="4"/>
    <n v="4"/>
    <s v=""/>
    <s v="Coffee Mach"/>
    <s v="Kitchen"/>
    <m/>
    <x v="11"/>
    <x v="2"/>
    <x v="0"/>
    <x v="1"/>
    <x v="0"/>
  </r>
  <r>
    <d v="2020-03-17T00:00:00"/>
    <s v="17"/>
    <s v="Mar"/>
    <n v="4"/>
    <n v="4"/>
    <s v=""/>
    <s v="Coffee Mach"/>
    <s v="Kitchen"/>
    <m/>
    <x v="49"/>
    <x v="0"/>
    <x v="0"/>
    <x v="1"/>
    <x v="0"/>
  </r>
  <r>
    <d v="2020-03-17T00:00:00"/>
    <s v="17"/>
    <s v="Mar"/>
    <n v="3"/>
    <n v="3"/>
    <s v=""/>
    <s v="Office Chair"/>
    <s v="Furniture"/>
    <m/>
    <x v="22"/>
    <x v="0"/>
    <x v="0"/>
    <x v="2"/>
    <x v="3"/>
  </r>
  <r>
    <d v="2020-03-17T00:00:00"/>
    <s v="17"/>
    <s v="Mar"/>
    <n v="3"/>
    <n v="3"/>
    <s v=""/>
    <s v="TV"/>
    <s v="Electronic"/>
    <m/>
    <x v="49"/>
    <x v="0"/>
    <x v="0"/>
    <x v="1"/>
    <x v="0"/>
  </r>
  <r>
    <d v="2020-03-18T00:00:00"/>
    <s v="18"/>
    <s v="Mar"/>
    <n v="9"/>
    <n v="9"/>
    <s v=""/>
    <s v="Coffee Mach"/>
    <s v="Kitchen"/>
    <m/>
    <x v="15"/>
    <x v="2"/>
    <x v="0"/>
    <x v="1"/>
    <x v="2"/>
  </r>
  <r>
    <d v="2020-03-18T00:00:00"/>
    <s v="18"/>
    <s v="Mar"/>
    <n v="7"/>
    <n v="7"/>
    <s v=""/>
    <s v="Table Lamp"/>
    <s v="Accessories"/>
    <m/>
    <x v="1"/>
    <x v="2"/>
    <x v="0"/>
    <x v="1"/>
    <x v="2"/>
  </r>
  <r>
    <d v="2020-03-18T00:00:00"/>
    <s v="18"/>
    <s v="Mar"/>
    <n v="7"/>
    <n v="7"/>
    <s v=""/>
    <s v="Printer"/>
    <s v="Computer"/>
    <m/>
    <x v="33"/>
    <x v="2"/>
    <x v="0"/>
    <x v="1"/>
    <x v="3"/>
  </r>
  <r>
    <d v="2020-03-18T00:00:00"/>
    <s v="18"/>
    <s v="Mar"/>
    <n v="6"/>
    <n v="6"/>
    <s v=""/>
    <s v="Coffee Mach"/>
    <s v="Kitchen"/>
    <m/>
    <x v="23"/>
    <x v="0"/>
    <x v="0"/>
    <x v="2"/>
    <x v="2"/>
  </r>
  <r>
    <d v="2020-03-18T00:00:00"/>
    <s v="18"/>
    <s v="Mar"/>
    <n v="5"/>
    <n v="5"/>
    <s v=""/>
    <s v="Laptop"/>
    <s v="Computer"/>
    <m/>
    <x v="46"/>
    <x v="2"/>
    <x v="0"/>
    <x v="1"/>
    <x v="3"/>
  </r>
  <r>
    <d v="2020-03-18T00:00:00"/>
    <s v="18"/>
    <s v="Mar"/>
    <n v="4"/>
    <n v="4"/>
    <s v=""/>
    <s v="Office Table"/>
    <s v="Furniture"/>
    <m/>
    <x v="37"/>
    <x v="0"/>
    <x v="0"/>
    <x v="1"/>
    <x v="1"/>
  </r>
  <r>
    <d v="2020-03-18T00:00:00"/>
    <s v="18"/>
    <s v="Mar"/>
    <n v="4"/>
    <n v="4"/>
    <s v=""/>
    <s v="TV"/>
    <s v="Electronic"/>
    <m/>
    <x v="39"/>
    <x v="0"/>
    <x v="0"/>
    <x v="2"/>
    <x v="1"/>
  </r>
  <r>
    <d v="2020-03-18T00:00:00"/>
    <s v="18"/>
    <s v="Mar"/>
    <n v="4"/>
    <n v="4"/>
    <s v=""/>
    <s v="TV"/>
    <s v="Electronic"/>
    <m/>
    <x v="24"/>
    <x v="0"/>
    <x v="0"/>
    <x v="1"/>
    <x v="2"/>
  </r>
  <r>
    <d v="2020-03-18T00:00:00"/>
    <s v="18"/>
    <s v="Mar"/>
    <n v="3"/>
    <n v="3"/>
    <s v=""/>
    <s v="TV"/>
    <s v="Electronic"/>
    <m/>
    <x v="19"/>
    <x v="2"/>
    <x v="0"/>
    <x v="1"/>
    <x v="0"/>
  </r>
  <r>
    <d v="2020-03-19T00:00:00"/>
    <s v="19"/>
    <s v="Mar"/>
    <n v="9"/>
    <n v="9"/>
    <s v=""/>
    <s v="Office Table"/>
    <s v="Furniture"/>
    <m/>
    <x v="31"/>
    <x v="2"/>
    <x v="0"/>
    <x v="0"/>
    <x v="3"/>
  </r>
  <r>
    <d v="2020-03-19T00:00:00"/>
    <s v="19"/>
    <s v="Mar"/>
    <n v="9"/>
    <n v="9"/>
    <s v=""/>
    <s v="Printer"/>
    <s v="Computer"/>
    <m/>
    <x v="29"/>
    <x v="2"/>
    <x v="0"/>
    <x v="2"/>
    <x v="0"/>
  </r>
  <r>
    <d v="2020-03-19T00:00:00"/>
    <s v="19"/>
    <s v="Mar"/>
    <n v="9"/>
    <n v="9"/>
    <s v=""/>
    <s v="Office Chair"/>
    <s v="Furniture"/>
    <m/>
    <x v="37"/>
    <x v="0"/>
    <x v="0"/>
    <x v="2"/>
    <x v="3"/>
  </r>
  <r>
    <d v="2020-03-19T00:00:00"/>
    <s v="19"/>
    <s v="Mar"/>
    <n v="7"/>
    <n v="7"/>
    <s v=""/>
    <s v="Printer"/>
    <s v="Computer"/>
    <m/>
    <x v="41"/>
    <x v="5"/>
    <x v="0"/>
    <x v="1"/>
    <x v="0"/>
  </r>
  <r>
    <d v="2020-03-19T00:00:00"/>
    <s v="19"/>
    <s v="Mar"/>
    <n v="6"/>
    <n v="6"/>
    <s v=""/>
    <s v="Cable"/>
    <s v="Networking"/>
    <m/>
    <x v="39"/>
    <x v="0"/>
    <x v="0"/>
    <x v="1"/>
    <x v="3"/>
  </r>
  <r>
    <d v="2020-03-19T00:00:00"/>
    <s v="19"/>
    <s v="Mar"/>
    <n v="5"/>
    <n v="5"/>
    <s v=""/>
    <s v="Office Chair"/>
    <s v="Furniture"/>
    <m/>
    <x v="28"/>
    <x v="4"/>
    <x v="0"/>
    <x v="2"/>
    <x v="3"/>
  </r>
  <r>
    <d v="2020-03-19T00:00:00"/>
    <s v="19"/>
    <s v="Mar"/>
    <n v="5"/>
    <n v="5"/>
    <s v=""/>
    <s v="TV"/>
    <s v="Electronic"/>
    <m/>
    <x v="22"/>
    <x v="2"/>
    <x v="0"/>
    <x v="2"/>
    <x v="2"/>
  </r>
  <r>
    <d v="2020-03-20T00:00:00"/>
    <s v="20"/>
    <s v="Mar"/>
    <n v="8"/>
    <n v="8"/>
    <s v=""/>
    <s v="TV"/>
    <s v="Electronic"/>
    <m/>
    <x v="31"/>
    <x v="0"/>
    <x v="0"/>
    <x v="1"/>
    <x v="1"/>
  </r>
  <r>
    <d v="2020-03-21T00:00:00"/>
    <s v="21"/>
    <s v="Mar"/>
    <n v="10"/>
    <n v="10"/>
    <s v=""/>
    <s v="Laptop"/>
    <s v="Computer"/>
    <m/>
    <x v="33"/>
    <x v="4"/>
    <x v="0"/>
    <x v="1"/>
    <x v="0"/>
  </r>
  <r>
    <d v="2020-03-21T00:00:00"/>
    <s v="21"/>
    <s v="Mar"/>
    <n v="10"/>
    <n v="10"/>
    <s v=""/>
    <s v="Cable"/>
    <s v="Networking"/>
    <m/>
    <x v="41"/>
    <x v="0"/>
    <x v="0"/>
    <x v="0"/>
    <x v="3"/>
  </r>
  <r>
    <d v="2020-03-21T00:00:00"/>
    <s v="21"/>
    <s v="Mar"/>
    <n v="9"/>
    <n v="9"/>
    <s v=""/>
    <s v="Laptop"/>
    <s v="Computer"/>
    <m/>
    <x v="43"/>
    <x v="4"/>
    <x v="0"/>
    <x v="1"/>
    <x v="0"/>
  </r>
  <r>
    <d v="2020-03-21T00:00:00"/>
    <s v="21"/>
    <s v="Mar"/>
    <n v="8"/>
    <n v="8"/>
    <s v=""/>
    <s v="Office Chair"/>
    <s v="Furniture"/>
    <m/>
    <x v="11"/>
    <x v="2"/>
    <x v="0"/>
    <x v="1"/>
    <x v="2"/>
  </r>
  <r>
    <d v="2020-03-21T00:00:00"/>
    <s v="21"/>
    <s v="Mar"/>
    <n v="7"/>
    <n v="7"/>
    <s v=""/>
    <s v="AC"/>
    <s v="Electronic"/>
    <m/>
    <x v="23"/>
    <x v="5"/>
    <x v="0"/>
    <x v="2"/>
    <x v="1"/>
  </r>
  <r>
    <d v="2020-03-21T00:00:00"/>
    <s v="21"/>
    <s v="Mar"/>
    <n v="7"/>
    <n v="7"/>
    <s v=""/>
    <s v="Laptop"/>
    <s v="Computer"/>
    <m/>
    <x v="6"/>
    <x v="3"/>
    <x v="0"/>
    <x v="1"/>
    <x v="3"/>
  </r>
  <r>
    <d v="2020-03-21T00:00:00"/>
    <s v="21"/>
    <s v="Mar"/>
    <n v="6"/>
    <n v="6"/>
    <s v=""/>
    <s v="Table Lamp"/>
    <s v="Accessories"/>
    <m/>
    <x v="28"/>
    <x v="0"/>
    <x v="0"/>
    <x v="2"/>
    <x v="0"/>
  </r>
  <r>
    <d v="2020-03-21T00:00:00"/>
    <s v="21"/>
    <s v="Mar"/>
    <n v="6"/>
    <n v="6"/>
    <s v=""/>
    <s v="AC"/>
    <s v="Electronic"/>
    <m/>
    <x v="23"/>
    <x v="3"/>
    <x v="0"/>
    <x v="1"/>
    <x v="0"/>
  </r>
  <r>
    <d v="2020-03-21T00:00:00"/>
    <s v="21"/>
    <s v="Mar"/>
    <n v="6"/>
    <n v="6"/>
    <s v=""/>
    <s v="Cable"/>
    <s v="Networking"/>
    <m/>
    <x v="24"/>
    <x v="4"/>
    <x v="0"/>
    <x v="0"/>
    <x v="1"/>
  </r>
  <r>
    <d v="2020-03-21T00:00:00"/>
    <s v="21"/>
    <s v="Mar"/>
    <n v="5"/>
    <n v="5"/>
    <s v=""/>
    <s v="Laptop"/>
    <s v="Computer"/>
    <m/>
    <x v="7"/>
    <x v="0"/>
    <x v="0"/>
    <x v="2"/>
    <x v="2"/>
  </r>
  <r>
    <d v="2020-03-21T00:00:00"/>
    <s v="21"/>
    <s v="Mar"/>
    <n v="5"/>
    <n v="5"/>
    <s v=""/>
    <s v="Table Lamp"/>
    <s v="Accessories"/>
    <m/>
    <x v="17"/>
    <x v="3"/>
    <x v="0"/>
    <x v="1"/>
    <x v="3"/>
  </r>
  <r>
    <d v="2020-03-21T00:00:00"/>
    <s v="21"/>
    <s v="Mar"/>
    <n v="4"/>
    <n v="4"/>
    <s v=""/>
    <s v="Printer"/>
    <s v="Computer"/>
    <m/>
    <x v="45"/>
    <x v="2"/>
    <x v="0"/>
    <x v="2"/>
    <x v="1"/>
  </r>
  <r>
    <d v="2020-03-21T00:00:00"/>
    <s v="21"/>
    <s v="Mar"/>
    <n v="4"/>
    <n v="4"/>
    <s v=""/>
    <s v="Laptop"/>
    <s v="Computer"/>
    <m/>
    <x v="43"/>
    <x v="0"/>
    <x v="0"/>
    <x v="0"/>
    <x v="3"/>
  </r>
  <r>
    <d v="2020-03-21T00:00:00"/>
    <s v="21"/>
    <s v="Mar"/>
    <n v="3"/>
    <n v="3"/>
    <s v=""/>
    <s v="Laptop"/>
    <s v="Computer"/>
    <m/>
    <x v="32"/>
    <x v="4"/>
    <x v="0"/>
    <x v="2"/>
    <x v="2"/>
  </r>
  <r>
    <d v="2020-03-22T00:00:00"/>
    <s v="22"/>
    <s v="Mar"/>
    <n v="10"/>
    <n v="9"/>
    <n v="1"/>
    <s v="Printer"/>
    <s v="Computer"/>
    <m/>
    <x v="28"/>
    <x v="5"/>
    <x v="0"/>
    <x v="0"/>
    <x v="3"/>
  </r>
  <r>
    <d v="2020-03-22T00:00:00"/>
    <s v="22"/>
    <s v="Mar"/>
    <n v="10"/>
    <n v="8"/>
    <n v="2"/>
    <s v="Office Table"/>
    <s v="Furniture"/>
    <m/>
    <x v="48"/>
    <x v="2"/>
    <x v="0"/>
    <x v="1"/>
    <x v="2"/>
  </r>
  <r>
    <d v="2020-03-22T00:00:00"/>
    <s v="22"/>
    <s v="Mar"/>
    <n v="9"/>
    <n v="8"/>
    <n v="1"/>
    <s v="Office Table"/>
    <s v="Furniture"/>
    <m/>
    <x v="31"/>
    <x v="1"/>
    <x v="0"/>
    <x v="2"/>
    <x v="2"/>
  </r>
  <r>
    <d v="2020-03-22T00:00:00"/>
    <s v="22"/>
    <s v="Mar"/>
    <n v="7"/>
    <n v="5"/>
    <n v="2"/>
    <s v="Office Table"/>
    <s v="Furniture"/>
    <m/>
    <x v="40"/>
    <x v="2"/>
    <x v="0"/>
    <x v="1"/>
    <x v="0"/>
  </r>
  <r>
    <d v="2020-03-22T00:00:00"/>
    <s v="22"/>
    <s v="Mar"/>
    <n v="6"/>
    <n v="4"/>
    <n v="2"/>
    <s v="TV"/>
    <s v="Electronic"/>
    <m/>
    <x v="1"/>
    <x v="0"/>
    <x v="0"/>
    <x v="2"/>
    <x v="0"/>
  </r>
  <r>
    <d v="2020-03-22T00:00:00"/>
    <s v="22"/>
    <s v="Mar"/>
    <n v="6"/>
    <n v="4"/>
    <n v="2"/>
    <s v="Table Lamp"/>
    <s v="Accessories"/>
    <m/>
    <x v="30"/>
    <x v="0"/>
    <x v="0"/>
    <x v="0"/>
    <x v="1"/>
  </r>
  <r>
    <d v="2020-03-22T00:00:00"/>
    <s v="22"/>
    <s v="Mar"/>
    <n v="5"/>
    <n v="4"/>
    <n v="1"/>
    <s v="Office Table"/>
    <s v="Furniture"/>
    <m/>
    <x v="20"/>
    <x v="0"/>
    <x v="0"/>
    <x v="1"/>
    <x v="2"/>
  </r>
  <r>
    <d v="2020-03-22T00:00:00"/>
    <s v="22"/>
    <s v="Mar"/>
    <n v="4"/>
    <n v="2"/>
    <n v="2"/>
    <s v="TV"/>
    <s v="Electronic"/>
    <m/>
    <x v="28"/>
    <x v="5"/>
    <x v="0"/>
    <x v="0"/>
    <x v="1"/>
  </r>
  <r>
    <d v="2020-03-22T00:00:00"/>
    <s v="22"/>
    <s v="Mar"/>
    <n v="4"/>
    <n v="3"/>
    <n v="1"/>
    <s v="Office Table"/>
    <s v="Furniture"/>
    <m/>
    <x v="47"/>
    <x v="0"/>
    <x v="0"/>
    <x v="1"/>
    <x v="1"/>
  </r>
  <r>
    <d v="2020-03-23T00:00:00"/>
    <s v="23"/>
    <s v="Mar"/>
    <n v="10"/>
    <n v="7"/>
    <n v="3"/>
    <s v="TV"/>
    <s v="Electronic"/>
    <m/>
    <x v="47"/>
    <x v="0"/>
    <x v="0"/>
    <x v="2"/>
    <x v="1"/>
  </r>
  <r>
    <d v="2020-03-23T00:00:00"/>
    <s v="23"/>
    <s v="Mar"/>
    <n v="7"/>
    <n v="4"/>
    <n v="3"/>
    <s v="Printer"/>
    <s v="Computer"/>
    <m/>
    <x v="39"/>
    <x v="0"/>
    <x v="0"/>
    <x v="2"/>
    <x v="0"/>
  </r>
  <r>
    <d v="2020-03-23T00:00:00"/>
    <s v="23"/>
    <s v="Mar"/>
    <n v="6"/>
    <n v="3"/>
    <n v="3"/>
    <s v="AC"/>
    <s v="Electronic"/>
    <m/>
    <x v="49"/>
    <x v="2"/>
    <x v="0"/>
    <x v="1"/>
    <x v="0"/>
  </r>
  <r>
    <d v="2020-03-23T00:00:00"/>
    <s v="23"/>
    <s v="Mar"/>
    <n v="3"/>
    <n v="1"/>
    <n v="2"/>
    <s v="Office Table"/>
    <s v="Furniture"/>
    <m/>
    <x v="49"/>
    <x v="3"/>
    <x v="0"/>
    <x v="0"/>
    <x v="1"/>
  </r>
  <r>
    <d v="2020-03-24T00:00:00"/>
    <s v="24"/>
    <s v="Mar"/>
    <n v="10"/>
    <n v="8"/>
    <n v="2"/>
    <s v="Table Lamp"/>
    <s v="Accessories"/>
    <m/>
    <x v="16"/>
    <x v="3"/>
    <x v="0"/>
    <x v="2"/>
    <x v="1"/>
  </r>
  <r>
    <d v="2020-03-24T00:00:00"/>
    <s v="24"/>
    <s v="Mar"/>
    <n v="9"/>
    <n v="6"/>
    <n v="3"/>
    <s v="Cable"/>
    <s v="Networking"/>
    <m/>
    <x v="20"/>
    <x v="2"/>
    <x v="0"/>
    <x v="1"/>
    <x v="1"/>
  </r>
  <r>
    <d v="2020-03-24T00:00:00"/>
    <s v="24"/>
    <s v="Mar"/>
    <n v="8"/>
    <n v="5"/>
    <n v="3"/>
    <s v="Cable"/>
    <s v="Networking"/>
    <m/>
    <x v="3"/>
    <x v="0"/>
    <x v="0"/>
    <x v="0"/>
    <x v="2"/>
  </r>
  <r>
    <d v="2020-03-24T00:00:00"/>
    <s v="24"/>
    <s v="Mar"/>
    <n v="7"/>
    <n v="4"/>
    <n v="3"/>
    <s v="Laptop"/>
    <s v="Computer"/>
    <m/>
    <x v="12"/>
    <x v="0"/>
    <x v="0"/>
    <x v="2"/>
    <x v="2"/>
  </r>
  <r>
    <d v="2020-03-24T00:00:00"/>
    <s v="24"/>
    <s v="Mar"/>
    <n v="6"/>
    <n v="5"/>
    <n v="1"/>
    <s v="AC"/>
    <s v="Electronic"/>
    <m/>
    <x v="46"/>
    <x v="4"/>
    <x v="0"/>
    <x v="1"/>
    <x v="3"/>
  </r>
  <r>
    <d v="2020-03-24T00:00:00"/>
    <s v="24"/>
    <s v="Mar"/>
    <n v="6"/>
    <n v="4"/>
    <n v="2"/>
    <s v="Cable"/>
    <s v="Networking"/>
    <m/>
    <x v="7"/>
    <x v="0"/>
    <x v="0"/>
    <x v="0"/>
    <x v="0"/>
  </r>
  <r>
    <d v="2020-03-24T00:00:00"/>
    <s v="24"/>
    <s v="Mar"/>
    <n v="5"/>
    <n v="4"/>
    <n v="1"/>
    <s v="Cable"/>
    <s v="Networking"/>
    <m/>
    <x v="31"/>
    <x v="0"/>
    <x v="0"/>
    <x v="2"/>
    <x v="3"/>
  </r>
  <r>
    <d v="2020-03-24T00:00:00"/>
    <s v="24"/>
    <s v="Mar"/>
    <n v="4"/>
    <n v="3"/>
    <n v="1"/>
    <s v="AC"/>
    <s v="Electronic"/>
    <m/>
    <x v="17"/>
    <x v="5"/>
    <x v="0"/>
    <x v="1"/>
    <x v="0"/>
  </r>
  <r>
    <d v="2020-03-24T00:00:00"/>
    <s v="24"/>
    <s v="Mar"/>
    <n v="4"/>
    <n v="3"/>
    <n v="1"/>
    <s v="Printer"/>
    <s v="Computer"/>
    <m/>
    <x v="5"/>
    <x v="0"/>
    <x v="0"/>
    <x v="0"/>
    <x v="3"/>
  </r>
  <r>
    <d v="2020-03-24T00:00:00"/>
    <s v="24"/>
    <s v="Mar"/>
    <n v="3"/>
    <n v="2"/>
    <n v="1"/>
    <s v="Office Chair"/>
    <s v="Furniture"/>
    <m/>
    <x v="29"/>
    <x v="5"/>
    <x v="0"/>
    <x v="2"/>
    <x v="1"/>
  </r>
  <r>
    <d v="2020-03-24T00:00:00"/>
    <s v="24"/>
    <s v="Mar"/>
    <n v="3"/>
    <n v="1"/>
    <n v="2"/>
    <s v="Cable"/>
    <s v="Networking"/>
    <m/>
    <x v="24"/>
    <x v="2"/>
    <x v="0"/>
    <x v="2"/>
    <x v="3"/>
  </r>
  <r>
    <d v="2020-03-24T00:00:00"/>
    <s v="24"/>
    <s v="Mar"/>
    <n v="3"/>
    <n v="2"/>
    <n v="1"/>
    <s v="TV"/>
    <s v="Electronic"/>
    <m/>
    <x v="29"/>
    <x v="5"/>
    <x v="0"/>
    <x v="1"/>
    <x v="1"/>
  </r>
  <r>
    <d v="2020-03-25T00:00:00"/>
    <s v="25"/>
    <s v="Mar"/>
    <n v="10"/>
    <n v="7"/>
    <n v="3"/>
    <s v="AC"/>
    <s v="Electronic"/>
    <m/>
    <x v="33"/>
    <x v="2"/>
    <x v="0"/>
    <x v="2"/>
    <x v="3"/>
  </r>
  <r>
    <d v="2020-03-25T00:00:00"/>
    <s v="25"/>
    <s v="Mar"/>
    <n v="10"/>
    <n v="7"/>
    <n v="3"/>
    <s v="Office Table"/>
    <s v="Furniture"/>
    <m/>
    <x v="28"/>
    <x v="3"/>
    <x v="0"/>
    <x v="1"/>
    <x v="1"/>
  </r>
  <r>
    <d v="2020-03-25T00:00:00"/>
    <s v="25"/>
    <s v="Mar"/>
    <n v="9"/>
    <n v="7"/>
    <n v="2"/>
    <s v="Table Lamp"/>
    <s v="Accessories"/>
    <m/>
    <x v="39"/>
    <x v="0"/>
    <x v="0"/>
    <x v="2"/>
    <x v="1"/>
  </r>
  <r>
    <d v="2020-03-25T00:00:00"/>
    <s v="25"/>
    <s v="Mar"/>
    <n v="8"/>
    <n v="6"/>
    <n v="2"/>
    <s v="Laptop"/>
    <s v="Computer"/>
    <m/>
    <x v="33"/>
    <x v="3"/>
    <x v="0"/>
    <x v="2"/>
    <x v="2"/>
  </r>
  <r>
    <d v="2020-03-25T00:00:00"/>
    <s v="25"/>
    <s v="Mar"/>
    <n v="3"/>
    <n v="1"/>
    <n v="2"/>
    <s v="Coffee Mach"/>
    <s v="Kitchen"/>
    <m/>
    <x v="5"/>
    <x v="0"/>
    <x v="0"/>
    <x v="2"/>
    <x v="0"/>
  </r>
  <r>
    <d v="2020-03-25T00:00:00"/>
    <s v="25"/>
    <s v="Mar"/>
    <n v="3"/>
    <n v="2"/>
    <n v="1"/>
    <s v="Table Lamp"/>
    <s v="Accessories"/>
    <m/>
    <x v="33"/>
    <x v="0"/>
    <x v="0"/>
    <x v="1"/>
    <x v="2"/>
  </r>
  <r>
    <d v="2020-03-25T00:00:00"/>
    <s v="25"/>
    <s v="Mar"/>
    <n v="3"/>
    <n v="1"/>
    <n v="2"/>
    <s v="Office Chair"/>
    <s v="Furniture"/>
    <m/>
    <x v="26"/>
    <x v="4"/>
    <x v="0"/>
    <x v="1"/>
    <x v="0"/>
  </r>
  <r>
    <d v="2020-03-26T00:00:00"/>
    <s v="26"/>
    <s v="Mar"/>
    <n v="10"/>
    <n v="6"/>
    <n v="4"/>
    <s v="Office Table"/>
    <s v="Furniture"/>
    <m/>
    <x v="14"/>
    <x v="5"/>
    <x v="0"/>
    <x v="2"/>
    <x v="1"/>
  </r>
  <r>
    <d v="2020-03-26T00:00:00"/>
    <s v="26"/>
    <s v="Mar"/>
    <n v="9"/>
    <n v="8"/>
    <n v="1"/>
    <s v="Printer"/>
    <s v="Computer"/>
    <m/>
    <x v="18"/>
    <x v="2"/>
    <x v="0"/>
    <x v="0"/>
    <x v="0"/>
  </r>
  <r>
    <d v="2020-03-26T00:00:00"/>
    <s v="26"/>
    <s v="Mar"/>
    <n v="7"/>
    <n v="6"/>
    <n v="1"/>
    <s v="Coffee Mach"/>
    <s v="Kitchen"/>
    <m/>
    <x v="21"/>
    <x v="3"/>
    <x v="0"/>
    <x v="0"/>
    <x v="0"/>
  </r>
  <r>
    <d v="2020-03-26T00:00:00"/>
    <s v="26"/>
    <s v="Mar"/>
    <n v="5"/>
    <n v="4"/>
    <n v="1"/>
    <s v="Laptop"/>
    <s v="Computer"/>
    <m/>
    <x v="24"/>
    <x v="3"/>
    <x v="0"/>
    <x v="0"/>
    <x v="0"/>
  </r>
  <r>
    <d v="2020-03-27T00:00:00"/>
    <s v="27"/>
    <s v="Mar"/>
    <n v="10"/>
    <n v="9"/>
    <n v="1"/>
    <s v="TV"/>
    <s v="Electronic"/>
    <m/>
    <x v="19"/>
    <x v="0"/>
    <x v="0"/>
    <x v="0"/>
    <x v="2"/>
  </r>
  <r>
    <d v="2020-03-27T00:00:00"/>
    <s v="27"/>
    <s v="Mar"/>
    <n v="9"/>
    <n v="8"/>
    <n v="1"/>
    <s v="Laptop"/>
    <s v="Computer"/>
    <m/>
    <x v="43"/>
    <x v="2"/>
    <x v="0"/>
    <x v="1"/>
    <x v="0"/>
  </r>
  <r>
    <d v="2020-03-27T00:00:00"/>
    <s v="27"/>
    <s v="Mar"/>
    <n v="7"/>
    <n v="5"/>
    <n v="2"/>
    <s v="Office Table"/>
    <s v="Furniture"/>
    <m/>
    <x v="32"/>
    <x v="0"/>
    <x v="0"/>
    <x v="2"/>
    <x v="1"/>
  </r>
  <r>
    <d v="2020-03-27T00:00:00"/>
    <s v="27"/>
    <s v="Mar"/>
    <n v="6"/>
    <n v="3"/>
    <n v="3"/>
    <s v="Coffee Mach"/>
    <s v="Kitchen"/>
    <m/>
    <x v="21"/>
    <x v="0"/>
    <x v="0"/>
    <x v="1"/>
    <x v="1"/>
  </r>
  <r>
    <d v="2020-03-27T00:00:00"/>
    <s v="27"/>
    <s v="Mar"/>
    <n v="5"/>
    <n v="4"/>
    <n v="1"/>
    <s v="Office Table"/>
    <s v="Furniture"/>
    <m/>
    <x v="24"/>
    <x v="2"/>
    <x v="0"/>
    <x v="2"/>
    <x v="0"/>
  </r>
  <r>
    <d v="2020-03-27T00:00:00"/>
    <s v="27"/>
    <s v="Mar"/>
    <n v="4"/>
    <n v="3"/>
    <n v="1"/>
    <s v="TV"/>
    <s v="Electronic"/>
    <m/>
    <x v="19"/>
    <x v="2"/>
    <x v="0"/>
    <x v="1"/>
    <x v="2"/>
  </r>
  <r>
    <d v="2020-03-28T00:00:00"/>
    <s v="28"/>
    <s v="Mar"/>
    <n v="10"/>
    <n v="6"/>
    <n v="4"/>
    <s v="Table Lamp"/>
    <s v="Accessories"/>
    <m/>
    <x v="5"/>
    <x v="0"/>
    <x v="0"/>
    <x v="0"/>
    <x v="2"/>
  </r>
  <r>
    <d v="2020-03-28T00:00:00"/>
    <s v="28"/>
    <s v="Mar"/>
    <n v="9"/>
    <n v="7"/>
    <n v="2"/>
    <s v="Office Chair"/>
    <s v="Furniture"/>
    <m/>
    <x v="48"/>
    <x v="2"/>
    <x v="0"/>
    <x v="0"/>
    <x v="1"/>
  </r>
  <r>
    <d v="2020-03-28T00:00:00"/>
    <s v="28"/>
    <s v="Mar"/>
    <n v="8"/>
    <n v="6"/>
    <n v="2"/>
    <s v="Coffee Mach"/>
    <s v="Kitchen"/>
    <m/>
    <x v="17"/>
    <x v="5"/>
    <x v="0"/>
    <x v="0"/>
    <x v="1"/>
  </r>
  <r>
    <d v="2020-03-28T00:00:00"/>
    <s v="28"/>
    <s v="Mar"/>
    <n v="7"/>
    <n v="5"/>
    <n v="2"/>
    <s v="Laptop"/>
    <s v="Computer"/>
    <m/>
    <x v="1"/>
    <x v="5"/>
    <x v="0"/>
    <x v="1"/>
    <x v="0"/>
  </r>
  <r>
    <d v="2020-03-28T00:00:00"/>
    <s v="28"/>
    <s v="Mar"/>
    <n v="7"/>
    <n v="5"/>
    <n v="2"/>
    <s v="Office Table"/>
    <s v="Furniture"/>
    <m/>
    <x v="15"/>
    <x v="2"/>
    <x v="0"/>
    <x v="1"/>
    <x v="2"/>
  </r>
  <r>
    <d v="2020-03-28T00:00:00"/>
    <s v="28"/>
    <s v="Mar"/>
    <n v="6"/>
    <n v="4"/>
    <n v="2"/>
    <s v="Office Chair"/>
    <s v="Furniture"/>
    <m/>
    <x v="9"/>
    <x v="0"/>
    <x v="0"/>
    <x v="2"/>
    <x v="3"/>
  </r>
  <r>
    <d v="2020-03-28T00:00:00"/>
    <s v="28"/>
    <s v="Mar"/>
    <n v="5"/>
    <n v="4"/>
    <n v="1"/>
    <s v="AC"/>
    <s v="Electronic"/>
    <m/>
    <x v="13"/>
    <x v="0"/>
    <x v="0"/>
    <x v="0"/>
    <x v="0"/>
  </r>
  <r>
    <d v="2020-03-28T00:00:00"/>
    <s v="28"/>
    <s v="Mar"/>
    <n v="5"/>
    <n v="3"/>
    <n v="2"/>
    <s v="Office Chair"/>
    <s v="Furniture"/>
    <m/>
    <x v="14"/>
    <x v="2"/>
    <x v="0"/>
    <x v="1"/>
    <x v="1"/>
  </r>
  <r>
    <d v="2020-03-28T00:00:00"/>
    <s v="28"/>
    <s v="Mar"/>
    <n v="4"/>
    <n v="3"/>
    <n v="1"/>
    <s v="Office Chair"/>
    <s v="Furniture"/>
    <m/>
    <x v="27"/>
    <x v="0"/>
    <x v="0"/>
    <x v="0"/>
    <x v="0"/>
  </r>
  <r>
    <d v="2020-03-28T00:00:00"/>
    <s v="28"/>
    <s v="Mar"/>
    <n v="4"/>
    <n v="2"/>
    <n v="2"/>
    <s v="Table Lamp"/>
    <s v="Accessories"/>
    <m/>
    <x v="47"/>
    <x v="0"/>
    <x v="0"/>
    <x v="1"/>
    <x v="1"/>
  </r>
  <r>
    <d v="2020-03-29T00:00:00"/>
    <s v="29"/>
    <s v="Mar"/>
    <n v="10"/>
    <n v="8"/>
    <n v="2"/>
    <s v="AC"/>
    <s v="Electronic"/>
    <m/>
    <x v="1"/>
    <x v="2"/>
    <x v="0"/>
    <x v="0"/>
    <x v="2"/>
  </r>
  <r>
    <d v="2020-03-29T00:00:00"/>
    <s v="29"/>
    <s v="Mar"/>
    <n v="9"/>
    <n v="5"/>
    <n v="4"/>
    <s v="Printer"/>
    <s v="Computer"/>
    <m/>
    <x v="35"/>
    <x v="2"/>
    <x v="0"/>
    <x v="1"/>
    <x v="1"/>
  </r>
  <r>
    <d v="2020-03-29T00:00:00"/>
    <s v="29"/>
    <s v="Mar"/>
    <n v="8"/>
    <n v="5"/>
    <n v="3"/>
    <s v="TV"/>
    <s v="Electronic"/>
    <m/>
    <x v="19"/>
    <x v="2"/>
    <x v="0"/>
    <x v="0"/>
    <x v="2"/>
  </r>
  <r>
    <d v="2020-03-29T00:00:00"/>
    <s v="29"/>
    <s v="Mar"/>
    <n v="8"/>
    <n v="4"/>
    <n v="4"/>
    <s v="Office Chair"/>
    <s v="Furniture"/>
    <m/>
    <x v="5"/>
    <x v="4"/>
    <x v="0"/>
    <x v="0"/>
    <x v="0"/>
  </r>
  <r>
    <d v="2020-03-29T00:00:00"/>
    <s v="29"/>
    <s v="Mar"/>
    <n v="8"/>
    <n v="7"/>
    <n v="1"/>
    <s v="Coffee Mach"/>
    <s v="Kitchen"/>
    <m/>
    <x v="48"/>
    <x v="0"/>
    <x v="0"/>
    <x v="0"/>
    <x v="1"/>
  </r>
  <r>
    <d v="2020-03-29T00:00:00"/>
    <s v="29"/>
    <s v="Mar"/>
    <n v="7"/>
    <n v="4"/>
    <n v="3"/>
    <s v="Cable"/>
    <s v="Networking"/>
    <m/>
    <x v="23"/>
    <x v="0"/>
    <x v="0"/>
    <x v="0"/>
    <x v="1"/>
  </r>
  <r>
    <d v="2020-03-29T00:00:00"/>
    <s v="29"/>
    <s v="Mar"/>
    <n v="7"/>
    <n v="5"/>
    <n v="2"/>
    <s v="TV"/>
    <s v="Electronic"/>
    <m/>
    <x v="39"/>
    <x v="0"/>
    <x v="0"/>
    <x v="0"/>
    <x v="2"/>
  </r>
  <r>
    <d v="2020-03-29T00:00:00"/>
    <s v="29"/>
    <s v="Mar"/>
    <n v="6"/>
    <n v="4"/>
    <n v="2"/>
    <s v="Printer"/>
    <s v="Computer"/>
    <m/>
    <x v="22"/>
    <x v="2"/>
    <x v="0"/>
    <x v="2"/>
    <x v="3"/>
  </r>
  <r>
    <d v="2020-03-29T00:00:00"/>
    <s v="29"/>
    <s v="Mar"/>
    <n v="6"/>
    <n v="3"/>
    <n v="3"/>
    <s v="Cable"/>
    <s v="Networking"/>
    <m/>
    <x v="18"/>
    <x v="1"/>
    <x v="0"/>
    <x v="0"/>
    <x v="0"/>
  </r>
  <r>
    <d v="2020-03-29T00:00:00"/>
    <s v="29"/>
    <s v="Mar"/>
    <n v="5"/>
    <n v="4"/>
    <n v="1"/>
    <s v="Coffee Mach"/>
    <s v="Kitchen"/>
    <m/>
    <x v="24"/>
    <x v="2"/>
    <x v="0"/>
    <x v="1"/>
    <x v="2"/>
  </r>
  <r>
    <d v="2020-03-29T00:00:00"/>
    <s v="29"/>
    <s v="Mar"/>
    <n v="5"/>
    <n v="3"/>
    <n v="2"/>
    <s v="Table Lamp"/>
    <s v="Accessories"/>
    <m/>
    <x v="16"/>
    <x v="3"/>
    <x v="0"/>
    <x v="0"/>
    <x v="1"/>
  </r>
  <r>
    <d v="2020-03-29T00:00:00"/>
    <s v="29"/>
    <s v="Mar"/>
    <n v="4"/>
    <n v="2"/>
    <n v="2"/>
    <s v="AC"/>
    <s v="Electronic"/>
    <m/>
    <x v="6"/>
    <x v="2"/>
    <x v="0"/>
    <x v="2"/>
    <x v="2"/>
  </r>
  <r>
    <d v="2020-03-29T00:00:00"/>
    <s v="29"/>
    <s v="Mar"/>
    <n v="4"/>
    <n v="2"/>
    <n v="2"/>
    <s v="TV"/>
    <s v="Electronic"/>
    <m/>
    <x v="10"/>
    <x v="2"/>
    <x v="0"/>
    <x v="0"/>
    <x v="3"/>
  </r>
  <r>
    <d v="2020-03-30T00:00:00"/>
    <s v="30"/>
    <s v="Mar"/>
    <n v="9"/>
    <n v="5"/>
    <n v="4"/>
    <s v="Laptop"/>
    <s v="Computer"/>
    <m/>
    <x v="48"/>
    <x v="0"/>
    <x v="0"/>
    <x v="2"/>
    <x v="2"/>
  </r>
  <r>
    <d v="2020-03-30T00:00:00"/>
    <s v="30"/>
    <s v="Mar"/>
    <n v="9"/>
    <n v="7"/>
    <n v="2"/>
    <s v="AC"/>
    <s v="Electronic"/>
    <m/>
    <x v="22"/>
    <x v="1"/>
    <x v="0"/>
    <x v="2"/>
    <x v="0"/>
  </r>
  <r>
    <d v="2020-03-30T00:00:00"/>
    <s v="30"/>
    <s v="Mar"/>
    <n v="7"/>
    <n v="5"/>
    <n v="2"/>
    <s v="Cable"/>
    <s v="Networking"/>
    <m/>
    <x v="30"/>
    <x v="2"/>
    <x v="0"/>
    <x v="0"/>
    <x v="0"/>
  </r>
  <r>
    <d v="2020-03-30T00:00:00"/>
    <s v="30"/>
    <s v="Mar"/>
    <n v="6"/>
    <n v="3"/>
    <n v="3"/>
    <s v="Table Lamp"/>
    <s v="Accessories"/>
    <m/>
    <x v="3"/>
    <x v="0"/>
    <x v="0"/>
    <x v="2"/>
    <x v="2"/>
  </r>
  <r>
    <d v="2020-03-30T00:00:00"/>
    <s v="30"/>
    <s v="Mar"/>
    <n v="5"/>
    <n v="4"/>
    <n v="1"/>
    <s v="Laptop"/>
    <s v="Computer"/>
    <m/>
    <x v="42"/>
    <x v="4"/>
    <x v="0"/>
    <x v="0"/>
    <x v="0"/>
  </r>
  <r>
    <d v="2020-03-30T00:00:00"/>
    <s v="30"/>
    <s v="Mar"/>
    <n v="4"/>
    <n v="2"/>
    <n v="2"/>
    <s v="Table Lamp"/>
    <s v="Accessories"/>
    <m/>
    <x v="8"/>
    <x v="0"/>
    <x v="0"/>
    <x v="2"/>
    <x v="1"/>
  </r>
  <r>
    <d v="2020-03-30T00:00:00"/>
    <s v="30"/>
    <s v="Mar"/>
    <n v="4"/>
    <n v="3"/>
    <n v="1"/>
    <s v="Laptop"/>
    <s v="Computer"/>
    <m/>
    <x v="30"/>
    <x v="0"/>
    <x v="0"/>
    <x v="2"/>
    <x v="2"/>
  </r>
  <r>
    <d v="2020-03-30T00:00:00"/>
    <s v="30"/>
    <s v="Mar"/>
    <n v="4"/>
    <n v="3"/>
    <n v="1"/>
    <s v="Office Table"/>
    <s v="Furniture"/>
    <m/>
    <x v="39"/>
    <x v="2"/>
    <x v="0"/>
    <x v="0"/>
    <x v="0"/>
  </r>
  <r>
    <d v="2020-03-30T00:00:00"/>
    <s v="30"/>
    <s v="Mar"/>
    <n v="4"/>
    <n v="2"/>
    <n v="2"/>
    <s v="Office Chair"/>
    <s v="Furniture"/>
    <m/>
    <x v="32"/>
    <x v="0"/>
    <x v="0"/>
    <x v="2"/>
    <x v="1"/>
  </r>
  <r>
    <d v="2020-03-30T00:00:00"/>
    <s v="30"/>
    <s v="Mar"/>
    <n v="4"/>
    <n v="2"/>
    <n v="2"/>
    <s v="TV"/>
    <s v="Electronic"/>
    <m/>
    <x v="33"/>
    <x v="5"/>
    <x v="0"/>
    <x v="2"/>
    <x v="3"/>
  </r>
  <r>
    <d v="2020-03-31T00:00:00"/>
    <s v="31"/>
    <s v="Mar"/>
    <n v="9"/>
    <n v="8"/>
    <n v="1"/>
    <s v="Office Chair"/>
    <s v="Furniture"/>
    <m/>
    <x v="38"/>
    <x v="0"/>
    <x v="0"/>
    <x v="2"/>
    <x v="0"/>
  </r>
  <r>
    <d v="2020-03-31T00:00:00"/>
    <s v="31"/>
    <s v="Mar"/>
    <n v="9"/>
    <n v="7"/>
    <n v="2"/>
    <s v="Office Chair"/>
    <s v="Furniture"/>
    <m/>
    <x v="46"/>
    <x v="2"/>
    <x v="0"/>
    <x v="0"/>
    <x v="3"/>
  </r>
  <r>
    <d v="2020-03-31T00:00:00"/>
    <s v="31"/>
    <s v="Mar"/>
    <n v="7"/>
    <n v="6"/>
    <n v="1"/>
    <s v="Coffee Mach"/>
    <s v="Kitchen"/>
    <m/>
    <x v="49"/>
    <x v="0"/>
    <x v="0"/>
    <x v="0"/>
    <x v="3"/>
  </r>
  <r>
    <d v="2020-03-31T00:00:00"/>
    <s v="31"/>
    <s v="Mar"/>
    <n v="7"/>
    <n v="5"/>
    <n v="2"/>
    <s v="Office Table"/>
    <s v="Furniture"/>
    <m/>
    <x v="12"/>
    <x v="2"/>
    <x v="0"/>
    <x v="0"/>
    <x v="2"/>
  </r>
  <r>
    <d v="2020-03-31T00:00:00"/>
    <s v="31"/>
    <s v="Mar"/>
    <n v="4"/>
    <n v="3"/>
    <n v="1"/>
    <s v="Printer"/>
    <s v="Computer"/>
    <m/>
    <x v="4"/>
    <x v="3"/>
    <x v="0"/>
    <x v="0"/>
    <x v="1"/>
  </r>
  <r>
    <d v="2020-03-31T00:00:00"/>
    <s v="31"/>
    <s v="Mar"/>
    <n v="4"/>
    <n v="2"/>
    <n v="2"/>
    <s v="Cable"/>
    <s v="Networking"/>
    <m/>
    <x v="17"/>
    <x v="0"/>
    <x v="0"/>
    <x v="2"/>
    <x v="0"/>
  </r>
  <r>
    <d v="2020-03-31T00:00:00"/>
    <s v="31"/>
    <s v="Mar"/>
    <n v="3"/>
    <n v="1"/>
    <n v="2"/>
    <s v="Table Lamp"/>
    <s v="Accessories"/>
    <m/>
    <x v="19"/>
    <x v="0"/>
    <x v="0"/>
    <x v="2"/>
    <x v="0"/>
  </r>
  <r>
    <d v="2020-04-01T00:00:00"/>
    <s v="1"/>
    <s v="Apr"/>
    <n v="10"/>
    <n v="9"/>
    <n v="1"/>
    <s v="Office Table"/>
    <s v="Furniture"/>
    <m/>
    <x v="45"/>
    <x v="0"/>
    <x v="0"/>
    <x v="2"/>
    <x v="0"/>
  </r>
  <r>
    <d v="2020-04-01T00:00:00"/>
    <s v="1"/>
    <s v="Apr"/>
    <n v="10"/>
    <n v="9"/>
    <n v="1"/>
    <s v="Table Lamp"/>
    <s v="Accessories"/>
    <m/>
    <x v="1"/>
    <x v="2"/>
    <x v="0"/>
    <x v="1"/>
    <x v="0"/>
  </r>
  <r>
    <d v="2020-04-01T00:00:00"/>
    <s v="1"/>
    <s v="Apr"/>
    <n v="9"/>
    <n v="7"/>
    <n v="2"/>
    <s v="Cable"/>
    <s v="Networking"/>
    <m/>
    <x v="34"/>
    <x v="0"/>
    <x v="0"/>
    <x v="2"/>
    <x v="1"/>
  </r>
  <r>
    <d v="2020-04-01T00:00:00"/>
    <s v="1"/>
    <s v="Apr"/>
    <n v="8"/>
    <n v="6"/>
    <n v="2"/>
    <s v="Coffee Mach"/>
    <s v="Kitchen"/>
    <m/>
    <x v="29"/>
    <x v="4"/>
    <x v="0"/>
    <x v="0"/>
    <x v="0"/>
  </r>
  <r>
    <d v="2020-04-01T00:00:00"/>
    <s v="1"/>
    <s v="Apr"/>
    <n v="6"/>
    <n v="4"/>
    <n v="2"/>
    <s v="Table Lamp"/>
    <s v="Accessories"/>
    <m/>
    <x v="30"/>
    <x v="1"/>
    <x v="0"/>
    <x v="1"/>
    <x v="0"/>
  </r>
  <r>
    <d v="2020-04-01T00:00:00"/>
    <s v="1"/>
    <s v="Apr"/>
    <n v="5"/>
    <n v="3"/>
    <n v="2"/>
    <s v="AC"/>
    <s v="Electronic"/>
    <m/>
    <x v="31"/>
    <x v="0"/>
    <x v="0"/>
    <x v="0"/>
    <x v="1"/>
  </r>
  <r>
    <d v="2020-04-01T00:00:00"/>
    <s v="1"/>
    <s v="Apr"/>
    <n v="5"/>
    <n v="4"/>
    <n v="1"/>
    <s v="Cable"/>
    <s v="Networking"/>
    <m/>
    <x v="32"/>
    <x v="4"/>
    <x v="0"/>
    <x v="1"/>
    <x v="1"/>
  </r>
  <r>
    <d v="2020-04-01T00:00:00"/>
    <s v="1"/>
    <s v="Apr"/>
    <n v="4"/>
    <n v="3"/>
    <n v="1"/>
    <s v="Printer"/>
    <s v="Computer"/>
    <m/>
    <x v="30"/>
    <x v="4"/>
    <x v="0"/>
    <x v="0"/>
    <x v="0"/>
  </r>
  <r>
    <d v="2020-04-02T00:00:00"/>
    <s v="2"/>
    <s v="Apr"/>
    <n v="7"/>
    <n v="5"/>
    <n v="2"/>
    <s v="Table Lamp"/>
    <s v="Accessories"/>
    <m/>
    <x v="30"/>
    <x v="2"/>
    <x v="0"/>
    <x v="0"/>
    <x v="3"/>
  </r>
  <r>
    <d v="2020-04-02T00:00:00"/>
    <s v="2"/>
    <s v="Apr"/>
    <n v="6"/>
    <n v="3"/>
    <n v="3"/>
    <s v="TV"/>
    <s v="Electronic"/>
    <m/>
    <x v="37"/>
    <x v="0"/>
    <x v="0"/>
    <x v="2"/>
    <x v="3"/>
  </r>
  <r>
    <d v="2020-04-02T00:00:00"/>
    <s v="2"/>
    <s v="Apr"/>
    <n v="6"/>
    <n v="3"/>
    <n v="3"/>
    <s v="TV"/>
    <s v="Electronic"/>
    <m/>
    <x v="31"/>
    <x v="2"/>
    <x v="0"/>
    <x v="2"/>
    <x v="1"/>
  </r>
  <r>
    <d v="2020-04-02T00:00:00"/>
    <s v="2"/>
    <s v="Apr"/>
    <n v="5"/>
    <n v="4"/>
    <n v="1"/>
    <s v="TV"/>
    <s v="Electronic"/>
    <m/>
    <x v="24"/>
    <x v="0"/>
    <x v="0"/>
    <x v="0"/>
    <x v="2"/>
  </r>
  <r>
    <d v="2020-04-02T00:00:00"/>
    <s v="2"/>
    <s v="Apr"/>
    <n v="5"/>
    <n v="4"/>
    <n v="1"/>
    <s v="TV"/>
    <s v="Electronic"/>
    <m/>
    <x v="1"/>
    <x v="0"/>
    <x v="0"/>
    <x v="1"/>
    <x v="1"/>
  </r>
  <r>
    <d v="2020-04-02T00:00:00"/>
    <s v="2"/>
    <s v="Apr"/>
    <n v="4"/>
    <n v="3"/>
    <n v="1"/>
    <s v="Coffee Mach"/>
    <s v="Kitchen"/>
    <m/>
    <x v="34"/>
    <x v="3"/>
    <x v="0"/>
    <x v="1"/>
    <x v="2"/>
  </r>
  <r>
    <d v="2020-04-02T00:00:00"/>
    <s v="2"/>
    <s v="Apr"/>
    <n v="4"/>
    <n v="2"/>
    <n v="2"/>
    <s v="Printer"/>
    <s v="Computer"/>
    <m/>
    <x v="12"/>
    <x v="0"/>
    <x v="0"/>
    <x v="2"/>
    <x v="0"/>
  </r>
  <r>
    <d v="2020-04-02T00:00:00"/>
    <s v="2"/>
    <s v="Apr"/>
    <n v="4"/>
    <n v="2"/>
    <n v="2"/>
    <s v="Printer"/>
    <s v="Computer"/>
    <m/>
    <x v="16"/>
    <x v="3"/>
    <x v="0"/>
    <x v="0"/>
    <x v="0"/>
  </r>
  <r>
    <d v="2020-04-02T00:00:00"/>
    <s v="2"/>
    <s v="Apr"/>
    <n v="4"/>
    <n v="3"/>
    <n v="1"/>
    <s v="AC"/>
    <s v="Electronic"/>
    <m/>
    <x v="21"/>
    <x v="0"/>
    <x v="0"/>
    <x v="0"/>
    <x v="0"/>
  </r>
  <r>
    <d v="2020-04-02T00:00:00"/>
    <s v="2"/>
    <s v="Apr"/>
    <n v="3"/>
    <n v="2"/>
    <n v="1"/>
    <s v="Office Chair"/>
    <s v="Furniture"/>
    <m/>
    <x v="2"/>
    <x v="3"/>
    <x v="0"/>
    <x v="0"/>
    <x v="1"/>
  </r>
  <r>
    <d v="2020-04-03T00:00:00"/>
    <s v="3"/>
    <s v="Apr"/>
    <n v="10"/>
    <n v="8"/>
    <n v="2"/>
    <s v="Cable"/>
    <s v="Networking"/>
    <m/>
    <x v="47"/>
    <x v="0"/>
    <x v="0"/>
    <x v="2"/>
    <x v="2"/>
  </r>
  <r>
    <d v="2020-04-03T00:00:00"/>
    <s v="3"/>
    <s v="Apr"/>
    <n v="10"/>
    <n v="7"/>
    <n v="3"/>
    <s v="Laptop"/>
    <s v="Computer"/>
    <m/>
    <x v="35"/>
    <x v="4"/>
    <x v="0"/>
    <x v="2"/>
    <x v="3"/>
  </r>
  <r>
    <d v="2020-04-03T00:00:00"/>
    <s v="3"/>
    <s v="Apr"/>
    <n v="9"/>
    <n v="7"/>
    <n v="2"/>
    <s v="AC"/>
    <s v="Electronic"/>
    <m/>
    <x v="1"/>
    <x v="2"/>
    <x v="0"/>
    <x v="0"/>
    <x v="0"/>
  </r>
  <r>
    <d v="2020-04-03T00:00:00"/>
    <s v="3"/>
    <s v="Apr"/>
    <n v="9"/>
    <n v="8"/>
    <n v="1"/>
    <s v="Laptop"/>
    <s v="Computer"/>
    <m/>
    <x v="23"/>
    <x v="0"/>
    <x v="0"/>
    <x v="2"/>
    <x v="3"/>
  </r>
  <r>
    <d v="2020-04-03T00:00:00"/>
    <s v="3"/>
    <s v="Apr"/>
    <n v="9"/>
    <n v="5"/>
    <n v="4"/>
    <s v="Table Lamp"/>
    <s v="Accessories"/>
    <m/>
    <x v="21"/>
    <x v="2"/>
    <x v="0"/>
    <x v="1"/>
    <x v="2"/>
  </r>
  <r>
    <d v="2020-04-03T00:00:00"/>
    <s v="3"/>
    <s v="Apr"/>
    <n v="8"/>
    <n v="5"/>
    <n v="3"/>
    <s v="Table Lamp"/>
    <s v="Accessories"/>
    <m/>
    <x v="32"/>
    <x v="2"/>
    <x v="0"/>
    <x v="1"/>
    <x v="3"/>
  </r>
  <r>
    <d v="2020-04-03T00:00:00"/>
    <s v="3"/>
    <s v="Apr"/>
    <n v="8"/>
    <n v="4"/>
    <n v="4"/>
    <s v="TV"/>
    <s v="Electronic"/>
    <m/>
    <x v="34"/>
    <x v="0"/>
    <x v="0"/>
    <x v="1"/>
    <x v="1"/>
  </r>
  <r>
    <d v="2020-04-03T00:00:00"/>
    <s v="3"/>
    <s v="Apr"/>
    <n v="6"/>
    <n v="3"/>
    <n v="3"/>
    <s v="Cable"/>
    <s v="Networking"/>
    <m/>
    <x v="49"/>
    <x v="2"/>
    <x v="0"/>
    <x v="1"/>
    <x v="2"/>
  </r>
  <r>
    <d v="2020-04-03T00:00:00"/>
    <s v="3"/>
    <s v="Apr"/>
    <n v="6"/>
    <n v="4"/>
    <n v="2"/>
    <s v="Printer"/>
    <s v="Computer"/>
    <m/>
    <x v="4"/>
    <x v="2"/>
    <x v="0"/>
    <x v="0"/>
    <x v="2"/>
  </r>
  <r>
    <d v="2020-04-03T00:00:00"/>
    <s v="3"/>
    <s v="Apr"/>
    <n v="5"/>
    <n v="3"/>
    <n v="2"/>
    <s v="Cable"/>
    <s v="Networking"/>
    <m/>
    <x v="24"/>
    <x v="3"/>
    <x v="0"/>
    <x v="0"/>
    <x v="3"/>
  </r>
  <r>
    <d v="2020-04-03T00:00:00"/>
    <s v="3"/>
    <s v="Apr"/>
    <n v="5"/>
    <n v="4"/>
    <n v="1"/>
    <s v="Laptop"/>
    <s v="Computer"/>
    <m/>
    <x v="32"/>
    <x v="4"/>
    <x v="0"/>
    <x v="0"/>
    <x v="0"/>
  </r>
  <r>
    <d v="2020-04-03T00:00:00"/>
    <s v="3"/>
    <s v="Apr"/>
    <n v="4"/>
    <n v="3"/>
    <n v="1"/>
    <s v="Coffee Mach"/>
    <s v="Kitchen"/>
    <m/>
    <x v="46"/>
    <x v="4"/>
    <x v="0"/>
    <x v="2"/>
    <x v="1"/>
  </r>
  <r>
    <d v="2020-04-04T00:00:00"/>
    <s v="4"/>
    <s v="Apr"/>
    <n v="9"/>
    <n v="8"/>
    <n v="1"/>
    <s v="Table Lamp"/>
    <s v="Accessories"/>
    <m/>
    <x v="8"/>
    <x v="2"/>
    <x v="0"/>
    <x v="1"/>
    <x v="3"/>
  </r>
  <r>
    <d v="2020-04-04T00:00:00"/>
    <s v="4"/>
    <s v="Apr"/>
    <n v="8"/>
    <n v="6"/>
    <n v="2"/>
    <s v="Coffee Mach"/>
    <s v="Kitchen"/>
    <m/>
    <x v="4"/>
    <x v="0"/>
    <x v="0"/>
    <x v="0"/>
    <x v="1"/>
  </r>
  <r>
    <d v="2020-04-04T00:00:00"/>
    <s v="4"/>
    <s v="Apr"/>
    <n v="7"/>
    <n v="4"/>
    <n v="3"/>
    <s v="TV"/>
    <s v="Electronic"/>
    <m/>
    <x v="24"/>
    <x v="2"/>
    <x v="0"/>
    <x v="1"/>
    <x v="1"/>
  </r>
  <r>
    <d v="2020-04-04T00:00:00"/>
    <s v="4"/>
    <s v="Apr"/>
    <n v="7"/>
    <n v="5"/>
    <n v="2"/>
    <s v="Cable"/>
    <s v="Networking"/>
    <m/>
    <x v="7"/>
    <x v="4"/>
    <x v="0"/>
    <x v="1"/>
    <x v="1"/>
  </r>
  <r>
    <d v="2020-04-04T00:00:00"/>
    <s v="4"/>
    <s v="Apr"/>
    <n v="7"/>
    <n v="5"/>
    <n v="2"/>
    <s v="Printer"/>
    <s v="Computer"/>
    <m/>
    <x v="15"/>
    <x v="2"/>
    <x v="0"/>
    <x v="0"/>
    <x v="1"/>
  </r>
  <r>
    <d v="2020-04-04T00:00:00"/>
    <s v="4"/>
    <s v="Apr"/>
    <n v="7"/>
    <n v="5"/>
    <n v="2"/>
    <s v="Office Table"/>
    <s v="Furniture"/>
    <m/>
    <x v="48"/>
    <x v="0"/>
    <x v="0"/>
    <x v="0"/>
    <x v="1"/>
  </r>
  <r>
    <d v="2020-04-04T00:00:00"/>
    <s v="4"/>
    <s v="Apr"/>
    <n v="6"/>
    <n v="5"/>
    <n v="1"/>
    <s v="Cable"/>
    <s v="Networking"/>
    <m/>
    <x v="12"/>
    <x v="0"/>
    <x v="0"/>
    <x v="0"/>
    <x v="1"/>
  </r>
  <r>
    <d v="2020-04-04T00:00:00"/>
    <s v="4"/>
    <s v="Apr"/>
    <n v="6"/>
    <n v="4"/>
    <n v="2"/>
    <s v="Cable"/>
    <s v="Networking"/>
    <m/>
    <x v="40"/>
    <x v="0"/>
    <x v="0"/>
    <x v="0"/>
    <x v="2"/>
  </r>
  <r>
    <d v="2020-04-04T00:00:00"/>
    <s v="4"/>
    <s v="Apr"/>
    <n v="6"/>
    <n v="5"/>
    <n v="1"/>
    <s v="Coffee Mach"/>
    <s v="Kitchen"/>
    <m/>
    <x v="37"/>
    <x v="2"/>
    <x v="0"/>
    <x v="1"/>
    <x v="2"/>
  </r>
  <r>
    <d v="2020-04-04T00:00:00"/>
    <s v="4"/>
    <s v="Apr"/>
    <n v="4"/>
    <n v="3"/>
    <n v="1"/>
    <s v="AC"/>
    <s v="Electronic"/>
    <m/>
    <x v="45"/>
    <x v="2"/>
    <x v="0"/>
    <x v="1"/>
    <x v="2"/>
  </r>
  <r>
    <d v="2020-04-04T00:00:00"/>
    <s v="4"/>
    <s v="Apr"/>
    <n v="3"/>
    <n v="1"/>
    <n v="2"/>
    <s v="Table Lamp"/>
    <s v="Accessories"/>
    <m/>
    <x v="39"/>
    <x v="1"/>
    <x v="0"/>
    <x v="2"/>
    <x v="1"/>
  </r>
  <r>
    <d v="2020-04-04T00:00:00"/>
    <s v="4"/>
    <s v="Apr"/>
    <n v="3"/>
    <n v="1"/>
    <n v="2"/>
    <s v="Office Table"/>
    <s v="Furniture"/>
    <m/>
    <x v="13"/>
    <x v="2"/>
    <x v="0"/>
    <x v="2"/>
    <x v="3"/>
  </r>
  <r>
    <d v="2020-04-05T00:00:00"/>
    <s v="5"/>
    <s v="Apr"/>
    <n v="10"/>
    <n v="8"/>
    <n v="2"/>
    <s v="Cable"/>
    <s v="Networking"/>
    <m/>
    <x v="42"/>
    <x v="0"/>
    <x v="0"/>
    <x v="0"/>
    <x v="2"/>
  </r>
  <r>
    <d v="2020-04-05T00:00:00"/>
    <s v="5"/>
    <s v="Apr"/>
    <n v="10"/>
    <n v="6"/>
    <n v="4"/>
    <s v="TV"/>
    <s v="Electronic"/>
    <m/>
    <x v="9"/>
    <x v="2"/>
    <x v="0"/>
    <x v="2"/>
    <x v="1"/>
  </r>
  <r>
    <d v="2020-04-05T00:00:00"/>
    <s v="5"/>
    <s v="Apr"/>
    <n v="7"/>
    <n v="4"/>
    <n v="3"/>
    <s v="AC"/>
    <s v="Electronic"/>
    <m/>
    <x v="20"/>
    <x v="3"/>
    <x v="0"/>
    <x v="1"/>
    <x v="2"/>
  </r>
  <r>
    <d v="2020-04-05T00:00:00"/>
    <s v="5"/>
    <s v="Apr"/>
    <n v="7"/>
    <n v="4"/>
    <n v="3"/>
    <s v="Office Table"/>
    <s v="Furniture"/>
    <m/>
    <x v="22"/>
    <x v="2"/>
    <x v="0"/>
    <x v="0"/>
    <x v="0"/>
  </r>
  <r>
    <d v="2020-04-05T00:00:00"/>
    <s v="5"/>
    <s v="Apr"/>
    <n v="7"/>
    <n v="6"/>
    <n v="1"/>
    <s v="Coffee Mach"/>
    <s v="Kitchen"/>
    <m/>
    <x v="27"/>
    <x v="0"/>
    <x v="0"/>
    <x v="0"/>
    <x v="3"/>
  </r>
  <r>
    <d v="2020-04-05T00:00:00"/>
    <s v="5"/>
    <s v="Apr"/>
    <n v="6"/>
    <n v="3"/>
    <n v="3"/>
    <s v="Office Chair"/>
    <s v="Furniture"/>
    <m/>
    <x v="31"/>
    <x v="2"/>
    <x v="0"/>
    <x v="0"/>
    <x v="2"/>
  </r>
  <r>
    <d v="2020-04-05T00:00:00"/>
    <s v="5"/>
    <s v="Apr"/>
    <n v="6"/>
    <n v="5"/>
    <n v="1"/>
    <s v="Printer"/>
    <s v="Computer"/>
    <m/>
    <x v="15"/>
    <x v="0"/>
    <x v="0"/>
    <x v="2"/>
    <x v="0"/>
  </r>
  <r>
    <d v="2020-04-05T00:00:00"/>
    <s v="5"/>
    <s v="Apr"/>
    <n v="4"/>
    <n v="3"/>
    <n v="1"/>
    <s v="Laptop"/>
    <s v="Computer"/>
    <m/>
    <x v="15"/>
    <x v="3"/>
    <x v="0"/>
    <x v="2"/>
    <x v="3"/>
  </r>
  <r>
    <d v="2020-04-06T00:00:00"/>
    <s v="6"/>
    <s v="Apr"/>
    <n v="10"/>
    <n v="9"/>
    <n v="1"/>
    <s v="Table Lamp"/>
    <s v="Accessories"/>
    <m/>
    <x v="37"/>
    <x v="2"/>
    <x v="0"/>
    <x v="2"/>
    <x v="0"/>
  </r>
  <r>
    <d v="2020-04-06T00:00:00"/>
    <s v="6"/>
    <s v="Apr"/>
    <n v="10"/>
    <n v="9"/>
    <n v="1"/>
    <s v="TV"/>
    <s v="Electronic"/>
    <m/>
    <x v="12"/>
    <x v="4"/>
    <x v="0"/>
    <x v="0"/>
    <x v="3"/>
  </r>
  <r>
    <d v="2020-04-06T00:00:00"/>
    <s v="6"/>
    <s v="Apr"/>
    <n v="7"/>
    <n v="4"/>
    <n v="3"/>
    <s v="Table Lamp"/>
    <s v="Accessories"/>
    <m/>
    <x v="48"/>
    <x v="4"/>
    <x v="0"/>
    <x v="0"/>
    <x v="2"/>
  </r>
  <r>
    <d v="2020-04-06T00:00:00"/>
    <s v="6"/>
    <s v="Apr"/>
    <n v="6"/>
    <n v="3"/>
    <n v="3"/>
    <s v="TV"/>
    <s v="Electronic"/>
    <m/>
    <x v="15"/>
    <x v="2"/>
    <x v="0"/>
    <x v="0"/>
    <x v="0"/>
  </r>
  <r>
    <d v="2020-04-06T00:00:00"/>
    <s v="6"/>
    <s v="Apr"/>
    <n v="6"/>
    <n v="4"/>
    <n v="2"/>
    <s v="Laptop"/>
    <s v="Computer"/>
    <m/>
    <x v="41"/>
    <x v="2"/>
    <x v="0"/>
    <x v="0"/>
    <x v="1"/>
  </r>
  <r>
    <d v="2020-04-06T00:00:00"/>
    <s v="6"/>
    <s v="Apr"/>
    <n v="6"/>
    <n v="5"/>
    <n v="1"/>
    <s v="Printer"/>
    <s v="Computer"/>
    <m/>
    <x v="3"/>
    <x v="5"/>
    <x v="0"/>
    <x v="0"/>
    <x v="3"/>
  </r>
  <r>
    <d v="2020-04-06T00:00:00"/>
    <s v="6"/>
    <s v="Apr"/>
    <n v="6"/>
    <n v="4"/>
    <n v="2"/>
    <s v="Printer"/>
    <s v="Computer"/>
    <m/>
    <x v="15"/>
    <x v="2"/>
    <x v="0"/>
    <x v="2"/>
    <x v="1"/>
  </r>
  <r>
    <d v="2020-04-06T00:00:00"/>
    <s v="6"/>
    <s v="Apr"/>
    <n v="5"/>
    <n v="4"/>
    <n v="1"/>
    <s v="AC"/>
    <s v="Electronic"/>
    <m/>
    <x v="15"/>
    <x v="2"/>
    <x v="0"/>
    <x v="2"/>
    <x v="3"/>
  </r>
  <r>
    <d v="2020-04-06T00:00:00"/>
    <s v="6"/>
    <s v="Apr"/>
    <n v="5"/>
    <n v="4"/>
    <n v="1"/>
    <s v="Cable"/>
    <s v="Networking"/>
    <m/>
    <x v="39"/>
    <x v="0"/>
    <x v="0"/>
    <x v="0"/>
    <x v="1"/>
  </r>
  <r>
    <d v="2020-04-06T00:00:00"/>
    <s v="6"/>
    <s v="Apr"/>
    <n v="3"/>
    <n v="1"/>
    <n v="2"/>
    <s v="Table Lamp"/>
    <s v="Accessories"/>
    <m/>
    <x v="24"/>
    <x v="2"/>
    <x v="0"/>
    <x v="2"/>
    <x v="0"/>
  </r>
  <r>
    <d v="2020-04-07T00:00:00"/>
    <s v="7"/>
    <s v="Apr"/>
    <n v="9"/>
    <n v="7"/>
    <n v="2"/>
    <s v="AC"/>
    <s v="Electronic"/>
    <m/>
    <x v="26"/>
    <x v="1"/>
    <x v="0"/>
    <x v="2"/>
    <x v="1"/>
  </r>
  <r>
    <d v="2020-04-07T00:00:00"/>
    <s v="7"/>
    <s v="Apr"/>
    <n v="9"/>
    <n v="7"/>
    <n v="2"/>
    <s v="Cable"/>
    <s v="Networking"/>
    <m/>
    <x v="36"/>
    <x v="0"/>
    <x v="0"/>
    <x v="2"/>
    <x v="3"/>
  </r>
  <r>
    <d v="2020-04-07T00:00:00"/>
    <s v="7"/>
    <s v="Apr"/>
    <n v="9"/>
    <n v="6"/>
    <n v="3"/>
    <s v="Table Lamp"/>
    <s v="Accessories"/>
    <m/>
    <x v="37"/>
    <x v="4"/>
    <x v="0"/>
    <x v="0"/>
    <x v="0"/>
  </r>
  <r>
    <d v="2020-04-07T00:00:00"/>
    <s v="7"/>
    <s v="Apr"/>
    <n v="7"/>
    <n v="5"/>
    <n v="2"/>
    <s v="Coffee Mach"/>
    <s v="Kitchen"/>
    <m/>
    <x v="16"/>
    <x v="0"/>
    <x v="0"/>
    <x v="2"/>
    <x v="1"/>
  </r>
  <r>
    <d v="2020-04-07T00:00:00"/>
    <s v="7"/>
    <s v="Apr"/>
    <n v="7"/>
    <n v="6"/>
    <n v="1"/>
    <s v="TV"/>
    <s v="Electronic"/>
    <m/>
    <x v="33"/>
    <x v="2"/>
    <x v="0"/>
    <x v="2"/>
    <x v="0"/>
  </r>
  <r>
    <d v="2020-04-07T00:00:00"/>
    <s v="7"/>
    <s v="Apr"/>
    <n v="7"/>
    <n v="5"/>
    <n v="2"/>
    <s v="Cable"/>
    <s v="Networking"/>
    <m/>
    <x v="43"/>
    <x v="0"/>
    <x v="0"/>
    <x v="2"/>
    <x v="3"/>
  </r>
  <r>
    <d v="2020-04-07T00:00:00"/>
    <s v="7"/>
    <s v="Apr"/>
    <n v="6"/>
    <n v="4"/>
    <n v="2"/>
    <s v="AC"/>
    <s v="Electronic"/>
    <m/>
    <x v="9"/>
    <x v="4"/>
    <x v="0"/>
    <x v="1"/>
    <x v="3"/>
  </r>
  <r>
    <d v="2020-04-07T00:00:00"/>
    <s v="7"/>
    <s v="Apr"/>
    <n v="6"/>
    <n v="5"/>
    <n v="1"/>
    <s v="Printer"/>
    <s v="Computer"/>
    <m/>
    <x v="7"/>
    <x v="1"/>
    <x v="0"/>
    <x v="1"/>
    <x v="1"/>
  </r>
  <r>
    <d v="2020-04-07T00:00:00"/>
    <s v="7"/>
    <s v="Apr"/>
    <n v="6"/>
    <n v="4"/>
    <n v="2"/>
    <s v="Printer"/>
    <s v="Computer"/>
    <m/>
    <x v="48"/>
    <x v="0"/>
    <x v="0"/>
    <x v="0"/>
    <x v="0"/>
  </r>
  <r>
    <d v="2020-04-07T00:00:00"/>
    <s v="7"/>
    <s v="Apr"/>
    <n v="4"/>
    <n v="2"/>
    <n v="2"/>
    <s v="Cable"/>
    <s v="Networking"/>
    <m/>
    <x v="46"/>
    <x v="0"/>
    <x v="0"/>
    <x v="1"/>
    <x v="3"/>
  </r>
  <r>
    <d v="2020-04-07T00:00:00"/>
    <s v="7"/>
    <s v="Apr"/>
    <n v="4"/>
    <n v="2"/>
    <n v="2"/>
    <s v="Office Table"/>
    <s v="Furniture"/>
    <m/>
    <x v="6"/>
    <x v="0"/>
    <x v="0"/>
    <x v="0"/>
    <x v="1"/>
  </r>
  <r>
    <d v="2020-04-07T00:00:00"/>
    <s v="7"/>
    <s v="Apr"/>
    <n v="3"/>
    <n v="2"/>
    <n v="1"/>
    <s v="Coffee Mach"/>
    <s v="Kitchen"/>
    <m/>
    <x v="21"/>
    <x v="2"/>
    <x v="0"/>
    <x v="0"/>
    <x v="1"/>
  </r>
  <r>
    <d v="2020-04-07T00:00:00"/>
    <s v="7"/>
    <s v="Apr"/>
    <n v="3"/>
    <n v="2"/>
    <n v="1"/>
    <s v="Laptop"/>
    <s v="Computer"/>
    <m/>
    <x v="43"/>
    <x v="2"/>
    <x v="0"/>
    <x v="0"/>
    <x v="0"/>
  </r>
  <r>
    <d v="2020-04-08T00:00:00"/>
    <s v="8"/>
    <s v="Apr"/>
    <n v="4"/>
    <n v="2"/>
    <n v="2"/>
    <s v="Laptop"/>
    <s v="Computer"/>
    <m/>
    <x v="26"/>
    <x v="5"/>
    <x v="0"/>
    <x v="1"/>
    <x v="1"/>
  </r>
  <r>
    <d v="2020-04-08T00:00:00"/>
    <s v="8"/>
    <s v="Apr"/>
    <n v="3"/>
    <n v="2"/>
    <n v="1"/>
    <s v="TV"/>
    <s v="Electronic"/>
    <m/>
    <x v="11"/>
    <x v="5"/>
    <x v="0"/>
    <x v="1"/>
    <x v="2"/>
  </r>
  <r>
    <d v="2020-04-08T00:00:00"/>
    <s v="8"/>
    <s v="Apr"/>
    <n v="3"/>
    <n v="1"/>
    <n v="2"/>
    <s v="Cable"/>
    <s v="Networking"/>
    <m/>
    <x v="44"/>
    <x v="2"/>
    <x v="0"/>
    <x v="2"/>
    <x v="1"/>
  </r>
  <r>
    <d v="2020-04-09T00:00:00"/>
    <s v="9"/>
    <s v="Apr"/>
    <n v="9"/>
    <n v="8"/>
    <n v="1"/>
    <s v="TV"/>
    <s v="Electronic"/>
    <m/>
    <x v="7"/>
    <x v="0"/>
    <x v="0"/>
    <x v="0"/>
    <x v="1"/>
  </r>
  <r>
    <d v="2020-04-09T00:00:00"/>
    <s v="9"/>
    <s v="Apr"/>
    <n v="8"/>
    <n v="6"/>
    <n v="2"/>
    <s v="AC"/>
    <s v="Electronic"/>
    <m/>
    <x v="32"/>
    <x v="1"/>
    <x v="0"/>
    <x v="1"/>
    <x v="3"/>
  </r>
  <r>
    <d v="2020-04-09T00:00:00"/>
    <s v="9"/>
    <s v="Apr"/>
    <n v="6"/>
    <n v="3"/>
    <n v="3"/>
    <s v="Office Table"/>
    <s v="Furniture"/>
    <m/>
    <x v="10"/>
    <x v="2"/>
    <x v="0"/>
    <x v="0"/>
    <x v="0"/>
  </r>
  <r>
    <d v="2020-04-09T00:00:00"/>
    <s v="9"/>
    <s v="Apr"/>
    <n v="3"/>
    <n v="1"/>
    <n v="2"/>
    <s v="Coffee Mach"/>
    <s v="Kitchen"/>
    <m/>
    <x v="2"/>
    <x v="5"/>
    <x v="0"/>
    <x v="1"/>
    <x v="1"/>
  </r>
  <r>
    <d v="2020-04-09T00:00:00"/>
    <s v="9"/>
    <s v="Apr"/>
    <n v="3"/>
    <n v="2"/>
    <n v="1"/>
    <s v="Office Table"/>
    <s v="Furniture"/>
    <m/>
    <x v="45"/>
    <x v="0"/>
    <x v="0"/>
    <x v="1"/>
    <x v="1"/>
  </r>
  <r>
    <d v="2020-04-09T00:00:00"/>
    <s v="9"/>
    <s v="Apr"/>
    <n v="3"/>
    <n v="2"/>
    <n v="1"/>
    <s v="Laptop"/>
    <s v="Computer"/>
    <m/>
    <x v="45"/>
    <x v="1"/>
    <x v="0"/>
    <x v="1"/>
    <x v="0"/>
  </r>
  <r>
    <d v="2020-04-10T00:00:00"/>
    <s v="10"/>
    <s v="Apr"/>
    <n v="10"/>
    <n v="6"/>
    <n v="4"/>
    <s v="AC"/>
    <s v="Electronic"/>
    <m/>
    <x v="21"/>
    <x v="0"/>
    <x v="0"/>
    <x v="1"/>
    <x v="3"/>
  </r>
  <r>
    <d v="2020-04-10T00:00:00"/>
    <s v="10"/>
    <s v="Apr"/>
    <n v="10"/>
    <n v="9"/>
    <n v="1"/>
    <s v="Coffee Mach"/>
    <s v="Kitchen"/>
    <m/>
    <x v="18"/>
    <x v="2"/>
    <x v="0"/>
    <x v="2"/>
    <x v="3"/>
  </r>
  <r>
    <d v="2020-04-10T00:00:00"/>
    <s v="10"/>
    <s v="Apr"/>
    <n v="9"/>
    <n v="5"/>
    <n v="4"/>
    <s v="TV"/>
    <s v="Electronic"/>
    <m/>
    <x v="35"/>
    <x v="2"/>
    <x v="0"/>
    <x v="2"/>
    <x v="0"/>
  </r>
  <r>
    <d v="2020-04-10T00:00:00"/>
    <s v="10"/>
    <s v="Apr"/>
    <n v="8"/>
    <n v="7"/>
    <n v="1"/>
    <s v="Printer"/>
    <s v="Computer"/>
    <m/>
    <x v="46"/>
    <x v="0"/>
    <x v="0"/>
    <x v="2"/>
    <x v="3"/>
  </r>
  <r>
    <d v="2020-04-10T00:00:00"/>
    <s v="10"/>
    <s v="Apr"/>
    <n v="7"/>
    <n v="6"/>
    <n v="1"/>
    <s v="Table Lamp"/>
    <s v="Accessories"/>
    <m/>
    <x v="38"/>
    <x v="1"/>
    <x v="0"/>
    <x v="2"/>
    <x v="0"/>
  </r>
  <r>
    <d v="2020-04-10T00:00:00"/>
    <s v="10"/>
    <s v="Apr"/>
    <n v="6"/>
    <n v="3"/>
    <n v="3"/>
    <s v="Cable"/>
    <s v="Networking"/>
    <m/>
    <x v="41"/>
    <x v="0"/>
    <x v="0"/>
    <x v="1"/>
    <x v="0"/>
  </r>
  <r>
    <d v="2020-04-10T00:00:00"/>
    <s v="10"/>
    <s v="Apr"/>
    <n v="6"/>
    <n v="3"/>
    <n v="3"/>
    <s v="Office Chair"/>
    <s v="Furniture"/>
    <m/>
    <x v="21"/>
    <x v="2"/>
    <x v="0"/>
    <x v="2"/>
    <x v="2"/>
  </r>
  <r>
    <d v="2020-04-10T00:00:00"/>
    <s v="10"/>
    <s v="Apr"/>
    <n v="4"/>
    <n v="2"/>
    <n v="2"/>
    <s v="Cable"/>
    <s v="Networking"/>
    <m/>
    <x v="33"/>
    <x v="2"/>
    <x v="0"/>
    <x v="2"/>
    <x v="3"/>
  </r>
  <r>
    <d v="2020-04-10T00:00:00"/>
    <s v="10"/>
    <s v="Apr"/>
    <n v="3"/>
    <n v="2"/>
    <n v="1"/>
    <s v="Table Lamp"/>
    <s v="Accessories"/>
    <m/>
    <x v="31"/>
    <x v="0"/>
    <x v="0"/>
    <x v="0"/>
    <x v="0"/>
  </r>
  <r>
    <d v="2020-04-10T00:00:00"/>
    <s v="10"/>
    <s v="Apr"/>
    <n v="3"/>
    <n v="1"/>
    <n v="2"/>
    <s v="Printer"/>
    <s v="Computer"/>
    <m/>
    <x v="0"/>
    <x v="5"/>
    <x v="0"/>
    <x v="1"/>
    <x v="0"/>
  </r>
  <r>
    <d v="2020-04-11T00:00:00"/>
    <s v="11"/>
    <s v="Apr"/>
    <n v="8"/>
    <n v="5"/>
    <n v="3"/>
    <s v="Table Lamp"/>
    <s v="Accessories"/>
    <m/>
    <x v="25"/>
    <x v="1"/>
    <x v="0"/>
    <x v="2"/>
    <x v="2"/>
  </r>
  <r>
    <d v="2020-04-11T00:00:00"/>
    <s v="11"/>
    <s v="Apr"/>
    <n v="8"/>
    <n v="5"/>
    <n v="3"/>
    <s v="Laptop"/>
    <s v="Computer"/>
    <m/>
    <x v="39"/>
    <x v="0"/>
    <x v="0"/>
    <x v="2"/>
    <x v="0"/>
  </r>
  <r>
    <d v="2020-04-11T00:00:00"/>
    <s v="11"/>
    <s v="Apr"/>
    <n v="7"/>
    <n v="5"/>
    <n v="2"/>
    <s v="AC"/>
    <s v="Electronic"/>
    <m/>
    <x v="13"/>
    <x v="0"/>
    <x v="0"/>
    <x v="0"/>
    <x v="1"/>
  </r>
  <r>
    <d v="2020-04-11T00:00:00"/>
    <s v="11"/>
    <s v="Apr"/>
    <n v="6"/>
    <n v="3"/>
    <n v="3"/>
    <s v="Table Lamp"/>
    <s v="Accessories"/>
    <m/>
    <x v="43"/>
    <x v="3"/>
    <x v="0"/>
    <x v="2"/>
    <x v="1"/>
  </r>
  <r>
    <d v="2020-04-11T00:00:00"/>
    <s v="11"/>
    <s v="Apr"/>
    <n v="4"/>
    <n v="3"/>
    <n v="1"/>
    <s v="Office Table"/>
    <s v="Furniture"/>
    <m/>
    <x v="37"/>
    <x v="1"/>
    <x v="0"/>
    <x v="0"/>
    <x v="0"/>
  </r>
  <r>
    <d v="2020-04-11T00:00:00"/>
    <s v="11"/>
    <s v="Apr"/>
    <n v="4"/>
    <n v="2"/>
    <n v="2"/>
    <s v="Office Table"/>
    <s v="Furniture"/>
    <m/>
    <x v="26"/>
    <x v="2"/>
    <x v="0"/>
    <x v="0"/>
    <x v="1"/>
  </r>
  <r>
    <d v="2020-04-11T00:00:00"/>
    <s v="11"/>
    <s v="Apr"/>
    <n v="4"/>
    <n v="2"/>
    <n v="2"/>
    <s v="Laptop"/>
    <s v="Computer"/>
    <m/>
    <x v="14"/>
    <x v="2"/>
    <x v="0"/>
    <x v="2"/>
    <x v="1"/>
  </r>
  <r>
    <d v="2020-04-11T00:00:00"/>
    <s v="11"/>
    <s v="Apr"/>
    <n v="3"/>
    <n v="2"/>
    <n v="1"/>
    <s v="TV"/>
    <s v="Electronic"/>
    <m/>
    <x v="2"/>
    <x v="0"/>
    <x v="0"/>
    <x v="2"/>
    <x v="1"/>
  </r>
  <r>
    <d v="2020-04-11T00:00:00"/>
    <s v="11"/>
    <s v="Apr"/>
    <n v="3"/>
    <n v="1"/>
    <n v="2"/>
    <s v="AC"/>
    <s v="Electronic"/>
    <m/>
    <x v="43"/>
    <x v="2"/>
    <x v="0"/>
    <x v="1"/>
    <x v="0"/>
  </r>
  <r>
    <d v="2020-04-12T00:00:00"/>
    <s v="12"/>
    <s v="Apr"/>
    <n v="9"/>
    <n v="7"/>
    <n v="2"/>
    <s v="Cable"/>
    <s v="Networking"/>
    <m/>
    <x v="38"/>
    <x v="2"/>
    <x v="0"/>
    <x v="1"/>
    <x v="2"/>
  </r>
  <r>
    <d v="2020-04-12T00:00:00"/>
    <s v="12"/>
    <s v="Apr"/>
    <n v="8"/>
    <n v="4"/>
    <n v="4"/>
    <s v="Office Table"/>
    <s v="Furniture"/>
    <m/>
    <x v="45"/>
    <x v="4"/>
    <x v="0"/>
    <x v="0"/>
    <x v="2"/>
  </r>
  <r>
    <d v="2020-04-12T00:00:00"/>
    <s v="12"/>
    <s v="Apr"/>
    <n v="7"/>
    <n v="6"/>
    <n v="1"/>
    <s v="Laptop"/>
    <s v="Computer"/>
    <m/>
    <x v="6"/>
    <x v="0"/>
    <x v="0"/>
    <x v="1"/>
    <x v="0"/>
  </r>
  <r>
    <d v="2020-04-12T00:00:00"/>
    <s v="12"/>
    <s v="Apr"/>
    <n v="6"/>
    <n v="5"/>
    <n v="1"/>
    <s v="Office Chair"/>
    <s v="Furniture"/>
    <m/>
    <x v="3"/>
    <x v="2"/>
    <x v="0"/>
    <x v="2"/>
    <x v="3"/>
  </r>
  <r>
    <d v="2020-04-12T00:00:00"/>
    <s v="12"/>
    <s v="Apr"/>
    <n v="4"/>
    <n v="3"/>
    <n v="1"/>
    <s v="Cable"/>
    <s v="Networking"/>
    <m/>
    <x v="16"/>
    <x v="0"/>
    <x v="0"/>
    <x v="0"/>
    <x v="2"/>
  </r>
  <r>
    <d v="2020-04-12T00:00:00"/>
    <s v="12"/>
    <s v="Apr"/>
    <n v="3"/>
    <n v="2"/>
    <n v="1"/>
    <s v="Office Table"/>
    <s v="Furniture"/>
    <m/>
    <x v="20"/>
    <x v="2"/>
    <x v="0"/>
    <x v="2"/>
    <x v="3"/>
  </r>
  <r>
    <d v="2020-04-12T00:00:00"/>
    <s v="12"/>
    <s v="Apr"/>
    <n v="3"/>
    <n v="2"/>
    <n v="1"/>
    <s v="AC"/>
    <s v="Electronic"/>
    <m/>
    <x v="18"/>
    <x v="2"/>
    <x v="0"/>
    <x v="1"/>
    <x v="3"/>
  </r>
  <r>
    <d v="2020-04-12T00:00:00"/>
    <s v="12"/>
    <s v="Apr"/>
    <n v="3"/>
    <n v="1"/>
    <n v="2"/>
    <s v="Office Chair"/>
    <s v="Furniture"/>
    <m/>
    <x v="26"/>
    <x v="1"/>
    <x v="0"/>
    <x v="2"/>
    <x v="1"/>
  </r>
  <r>
    <d v="2020-04-13T00:00:00"/>
    <s v="13"/>
    <s v="Apr"/>
    <n v="10"/>
    <n v="10"/>
    <s v=""/>
    <s v="Printer"/>
    <s v="Computer"/>
    <m/>
    <x v="36"/>
    <x v="0"/>
    <x v="0"/>
    <x v="1"/>
    <x v="0"/>
  </r>
  <r>
    <d v="2020-04-13T00:00:00"/>
    <s v="13"/>
    <s v="Apr"/>
    <n v="9"/>
    <n v="9"/>
    <s v=""/>
    <s v="Laptop"/>
    <s v="Computer"/>
    <m/>
    <x v="6"/>
    <x v="4"/>
    <x v="0"/>
    <x v="1"/>
    <x v="3"/>
  </r>
  <r>
    <d v="2020-04-13T00:00:00"/>
    <s v="13"/>
    <s v="Apr"/>
    <n v="6"/>
    <n v="6"/>
    <s v=""/>
    <s v="Coffee Mach"/>
    <s v="Kitchen"/>
    <m/>
    <x v="46"/>
    <x v="2"/>
    <x v="0"/>
    <x v="1"/>
    <x v="1"/>
  </r>
  <r>
    <d v="2020-04-13T00:00:00"/>
    <s v="13"/>
    <s v="Apr"/>
    <n v="4"/>
    <n v="4"/>
    <s v=""/>
    <s v="Printer"/>
    <s v="Computer"/>
    <m/>
    <x v="21"/>
    <x v="5"/>
    <x v="0"/>
    <x v="1"/>
    <x v="0"/>
  </r>
  <r>
    <d v="2020-04-13T00:00:00"/>
    <s v="13"/>
    <s v="Apr"/>
    <n v="3"/>
    <n v="3"/>
    <s v=""/>
    <s v="Office Table"/>
    <s v="Furniture"/>
    <m/>
    <x v="27"/>
    <x v="0"/>
    <x v="0"/>
    <x v="0"/>
    <x v="3"/>
  </r>
  <r>
    <d v="2020-04-14T00:00:00"/>
    <s v="14"/>
    <s v="Apr"/>
    <n v="10"/>
    <n v="10"/>
    <s v=""/>
    <s v="Printer"/>
    <s v="Computer"/>
    <m/>
    <x v="12"/>
    <x v="2"/>
    <x v="0"/>
    <x v="0"/>
    <x v="1"/>
  </r>
  <r>
    <d v="2020-04-14T00:00:00"/>
    <s v="14"/>
    <s v="Apr"/>
    <n v="10"/>
    <n v="10"/>
    <s v=""/>
    <s v="TV"/>
    <s v="Electronic"/>
    <m/>
    <x v="19"/>
    <x v="4"/>
    <x v="0"/>
    <x v="0"/>
    <x v="3"/>
  </r>
  <r>
    <d v="2020-04-14T00:00:00"/>
    <s v="14"/>
    <s v="Apr"/>
    <n v="9"/>
    <n v="9"/>
    <s v=""/>
    <s v="Printer"/>
    <s v="Computer"/>
    <m/>
    <x v="7"/>
    <x v="4"/>
    <x v="0"/>
    <x v="2"/>
    <x v="2"/>
  </r>
  <r>
    <d v="2020-04-14T00:00:00"/>
    <s v="14"/>
    <s v="Apr"/>
    <n v="9"/>
    <n v="9"/>
    <s v=""/>
    <s v="AC"/>
    <s v="Electronic"/>
    <m/>
    <x v="45"/>
    <x v="0"/>
    <x v="0"/>
    <x v="0"/>
    <x v="2"/>
  </r>
  <r>
    <d v="2020-04-14T00:00:00"/>
    <s v="14"/>
    <s v="Apr"/>
    <n v="6"/>
    <n v="6"/>
    <s v=""/>
    <s v="Coffee Mach"/>
    <s v="Kitchen"/>
    <m/>
    <x v="46"/>
    <x v="2"/>
    <x v="0"/>
    <x v="1"/>
    <x v="1"/>
  </r>
  <r>
    <d v="2020-04-14T00:00:00"/>
    <s v="14"/>
    <s v="Apr"/>
    <n v="6"/>
    <n v="6"/>
    <s v=""/>
    <s v="Coffee Mach"/>
    <s v="Kitchen"/>
    <m/>
    <x v="14"/>
    <x v="5"/>
    <x v="0"/>
    <x v="1"/>
    <x v="3"/>
  </r>
  <r>
    <d v="2020-04-14T00:00:00"/>
    <s v="14"/>
    <s v="Apr"/>
    <n v="5"/>
    <n v="5"/>
    <s v=""/>
    <s v="Office Chair"/>
    <s v="Furniture"/>
    <m/>
    <x v="25"/>
    <x v="0"/>
    <x v="0"/>
    <x v="1"/>
    <x v="0"/>
  </r>
  <r>
    <d v="2020-04-14T00:00:00"/>
    <s v="14"/>
    <s v="Apr"/>
    <n v="5"/>
    <n v="5"/>
    <s v=""/>
    <s v="Printer"/>
    <s v="Computer"/>
    <m/>
    <x v="33"/>
    <x v="2"/>
    <x v="0"/>
    <x v="2"/>
    <x v="1"/>
  </r>
  <r>
    <d v="2020-04-14T00:00:00"/>
    <s v="14"/>
    <s v="Apr"/>
    <n v="5"/>
    <n v="5"/>
    <s v=""/>
    <s v="Printer"/>
    <s v="Computer"/>
    <m/>
    <x v="33"/>
    <x v="0"/>
    <x v="0"/>
    <x v="1"/>
    <x v="2"/>
  </r>
  <r>
    <d v="2020-04-14T00:00:00"/>
    <s v="14"/>
    <s v="Apr"/>
    <n v="4"/>
    <n v="4"/>
    <s v=""/>
    <s v="Office Chair"/>
    <s v="Furniture"/>
    <m/>
    <x v="44"/>
    <x v="4"/>
    <x v="0"/>
    <x v="1"/>
    <x v="1"/>
  </r>
  <r>
    <d v="2020-04-14T00:00:00"/>
    <s v="14"/>
    <s v="Apr"/>
    <n v="4"/>
    <n v="4"/>
    <s v=""/>
    <s v="Coffee Mach"/>
    <s v="Kitchen"/>
    <m/>
    <x v="27"/>
    <x v="5"/>
    <x v="0"/>
    <x v="0"/>
    <x v="0"/>
  </r>
  <r>
    <d v="2020-04-15T00:00:00"/>
    <s v="15"/>
    <s v="Apr"/>
    <n v="10"/>
    <n v="10"/>
    <s v=""/>
    <s v="Laptop"/>
    <s v="Computer"/>
    <m/>
    <x v="33"/>
    <x v="4"/>
    <x v="0"/>
    <x v="2"/>
    <x v="1"/>
  </r>
  <r>
    <d v="2020-04-15T00:00:00"/>
    <s v="15"/>
    <s v="Apr"/>
    <n v="10"/>
    <n v="10"/>
    <s v=""/>
    <s v="Laptop"/>
    <s v="Computer"/>
    <m/>
    <x v="46"/>
    <x v="0"/>
    <x v="0"/>
    <x v="0"/>
    <x v="1"/>
  </r>
  <r>
    <d v="2020-04-15T00:00:00"/>
    <s v="15"/>
    <s v="Apr"/>
    <n v="8"/>
    <n v="8"/>
    <s v=""/>
    <s v="TV"/>
    <s v="Electronic"/>
    <m/>
    <x v="7"/>
    <x v="0"/>
    <x v="0"/>
    <x v="2"/>
    <x v="1"/>
  </r>
  <r>
    <d v="2020-04-15T00:00:00"/>
    <s v="15"/>
    <s v="Apr"/>
    <n v="8"/>
    <n v="8"/>
    <s v=""/>
    <s v="Table Lamp"/>
    <s v="Accessories"/>
    <m/>
    <x v="12"/>
    <x v="0"/>
    <x v="0"/>
    <x v="0"/>
    <x v="3"/>
  </r>
  <r>
    <d v="2020-04-15T00:00:00"/>
    <s v="15"/>
    <s v="Apr"/>
    <n v="7"/>
    <n v="7"/>
    <s v=""/>
    <s v="Cable"/>
    <s v="Networking"/>
    <m/>
    <x v="26"/>
    <x v="0"/>
    <x v="0"/>
    <x v="1"/>
    <x v="1"/>
  </r>
  <r>
    <d v="2020-04-15T00:00:00"/>
    <s v="15"/>
    <s v="Apr"/>
    <n v="7"/>
    <n v="7"/>
    <s v=""/>
    <s v="Office Chair"/>
    <s v="Furniture"/>
    <m/>
    <x v="9"/>
    <x v="3"/>
    <x v="0"/>
    <x v="2"/>
    <x v="1"/>
  </r>
  <r>
    <d v="2020-04-15T00:00:00"/>
    <s v="15"/>
    <s v="Apr"/>
    <n v="3"/>
    <n v="3"/>
    <s v=""/>
    <s v="Cable"/>
    <s v="Networking"/>
    <m/>
    <x v="8"/>
    <x v="4"/>
    <x v="0"/>
    <x v="2"/>
    <x v="1"/>
  </r>
  <r>
    <d v="2020-04-16T00:00:00"/>
    <s v="16"/>
    <s v="Apr"/>
    <n v="10"/>
    <n v="10"/>
    <s v=""/>
    <s v="TV"/>
    <s v="Electronic"/>
    <m/>
    <x v="3"/>
    <x v="4"/>
    <x v="0"/>
    <x v="0"/>
    <x v="1"/>
  </r>
  <r>
    <d v="2020-04-16T00:00:00"/>
    <s v="16"/>
    <s v="Apr"/>
    <n v="7"/>
    <n v="7"/>
    <s v=""/>
    <s v="Table Lamp"/>
    <s v="Accessories"/>
    <m/>
    <x v="48"/>
    <x v="0"/>
    <x v="0"/>
    <x v="0"/>
    <x v="3"/>
  </r>
  <r>
    <d v="2020-04-16T00:00:00"/>
    <s v="16"/>
    <s v="Apr"/>
    <n v="5"/>
    <n v="5"/>
    <s v=""/>
    <s v="Laptop"/>
    <s v="Computer"/>
    <m/>
    <x v="15"/>
    <x v="2"/>
    <x v="0"/>
    <x v="1"/>
    <x v="3"/>
  </r>
  <r>
    <d v="2020-04-16T00:00:00"/>
    <s v="16"/>
    <s v="Apr"/>
    <n v="4"/>
    <n v="4"/>
    <s v=""/>
    <s v="Cable"/>
    <s v="Networking"/>
    <m/>
    <x v="42"/>
    <x v="0"/>
    <x v="0"/>
    <x v="1"/>
    <x v="1"/>
  </r>
  <r>
    <d v="2020-04-16T00:00:00"/>
    <s v="16"/>
    <s v="Apr"/>
    <n v="3"/>
    <n v="3"/>
    <s v=""/>
    <s v="Coffee Mach"/>
    <s v="Kitchen"/>
    <m/>
    <x v="33"/>
    <x v="1"/>
    <x v="0"/>
    <x v="0"/>
    <x v="0"/>
  </r>
  <r>
    <d v="2020-04-17T00:00:00"/>
    <s v="17"/>
    <s v="Apr"/>
    <n v="9"/>
    <n v="9"/>
    <s v=""/>
    <s v="Office Chair"/>
    <s v="Furniture"/>
    <m/>
    <x v="2"/>
    <x v="2"/>
    <x v="0"/>
    <x v="1"/>
    <x v="1"/>
  </r>
  <r>
    <d v="2020-04-17T00:00:00"/>
    <s v="17"/>
    <s v="Apr"/>
    <n v="9"/>
    <n v="9"/>
    <s v=""/>
    <s v="Laptop"/>
    <s v="Computer"/>
    <m/>
    <x v="15"/>
    <x v="0"/>
    <x v="0"/>
    <x v="0"/>
    <x v="1"/>
  </r>
  <r>
    <d v="2020-04-17T00:00:00"/>
    <s v="17"/>
    <s v="Apr"/>
    <n v="8"/>
    <n v="8"/>
    <s v=""/>
    <s v="AC"/>
    <s v="Electronic"/>
    <m/>
    <x v="15"/>
    <x v="2"/>
    <x v="0"/>
    <x v="0"/>
    <x v="3"/>
  </r>
  <r>
    <d v="2020-04-17T00:00:00"/>
    <s v="17"/>
    <s v="Apr"/>
    <n v="7"/>
    <n v="7"/>
    <s v=""/>
    <s v="Table Lamp"/>
    <s v="Accessories"/>
    <m/>
    <x v="38"/>
    <x v="3"/>
    <x v="0"/>
    <x v="2"/>
    <x v="2"/>
  </r>
  <r>
    <d v="2020-04-17T00:00:00"/>
    <s v="17"/>
    <s v="Apr"/>
    <n v="7"/>
    <n v="7"/>
    <s v=""/>
    <s v="Office Table"/>
    <s v="Furniture"/>
    <m/>
    <x v="2"/>
    <x v="4"/>
    <x v="0"/>
    <x v="2"/>
    <x v="3"/>
  </r>
  <r>
    <d v="2020-04-17T00:00:00"/>
    <s v="17"/>
    <s v="Apr"/>
    <n v="6"/>
    <n v="6"/>
    <s v=""/>
    <s v="AC"/>
    <s v="Electronic"/>
    <m/>
    <x v="22"/>
    <x v="3"/>
    <x v="0"/>
    <x v="0"/>
    <x v="1"/>
  </r>
  <r>
    <d v="2020-04-17T00:00:00"/>
    <s v="17"/>
    <s v="Apr"/>
    <n v="5"/>
    <n v="5"/>
    <s v=""/>
    <s v="Table Lamp"/>
    <s v="Accessories"/>
    <m/>
    <x v="8"/>
    <x v="2"/>
    <x v="0"/>
    <x v="1"/>
    <x v="2"/>
  </r>
  <r>
    <d v="2020-04-17T00:00:00"/>
    <s v="17"/>
    <s v="Apr"/>
    <n v="3"/>
    <n v="3"/>
    <s v=""/>
    <s v="Cable"/>
    <s v="Networking"/>
    <m/>
    <x v="33"/>
    <x v="0"/>
    <x v="0"/>
    <x v="0"/>
    <x v="0"/>
  </r>
  <r>
    <d v="2020-04-18T00:00:00"/>
    <s v="18"/>
    <s v="Apr"/>
    <n v="9"/>
    <n v="9"/>
    <s v=""/>
    <s v="Coffee Mach"/>
    <s v="Kitchen"/>
    <m/>
    <x v="4"/>
    <x v="2"/>
    <x v="0"/>
    <x v="1"/>
    <x v="2"/>
  </r>
  <r>
    <d v="2020-04-18T00:00:00"/>
    <s v="18"/>
    <s v="Apr"/>
    <n v="8"/>
    <n v="8"/>
    <s v=""/>
    <s v="Table Lamp"/>
    <s v="Accessories"/>
    <m/>
    <x v="31"/>
    <x v="0"/>
    <x v="0"/>
    <x v="0"/>
    <x v="1"/>
  </r>
  <r>
    <d v="2020-04-18T00:00:00"/>
    <s v="18"/>
    <s v="Apr"/>
    <n v="7"/>
    <n v="7"/>
    <s v=""/>
    <s v="Coffee Mach"/>
    <s v="Kitchen"/>
    <m/>
    <x v="37"/>
    <x v="0"/>
    <x v="0"/>
    <x v="0"/>
    <x v="2"/>
  </r>
  <r>
    <d v="2020-04-18T00:00:00"/>
    <s v="18"/>
    <s v="Apr"/>
    <n v="7"/>
    <n v="7"/>
    <s v=""/>
    <s v="Cable"/>
    <s v="Networking"/>
    <m/>
    <x v="30"/>
    <x v="0"/>
    <x v="0"/>
    <x v="0"/>
    <x v="0"/>
  </r>
  <r>
    <d v="2020-04-18T00:00:00"/>
    <s v="18"/>
    <s v="Apr"/>
    <n v="6"/>
    <n v="6"/>
    <s v=""/>
    <s v="Cable"/>
    <s v="Networking"/>
    <m/>
    <x v="45"/>
    <x v="2"/>
    <x v="0"/>
    <x v="1"/>
    <x v="0"/>
  </r>
  <r>
    <d v="2020-04-18T00:00:00"/>
    <s v="18"/>
    <s v="Apr"/>
    <n v="5"/>
    <n v="5"/>
    <s v=""/>
    <s v="Laptop"/>
    <s v="Computer"/>
    <m/>
    <x v="44"/>
    <x v="3"/>
    <x v="0"/>
    <x v="1"/>
    <x v="1"/>
  </r>
  <r>
    <d v="2020-04-18T00:00:00"/>
    <s v="18"/>
    <s v="Apr"/>
    <n v="5"/>
    <n v="5"/>
    <s v=""/>
    <s v="Cable"/>
    <s v="Networking"/>
    <m/>
    <x v="47"/>
    <x v="0"/>
    <x v="0"/>
    <x v="1"/>
    <x v="3"/>
  </r>
  <r>
    <d v="2020-04-18T00:00:00"/>
    <s v="18"/>
    <s v="Apr"/>
    <n v="4"/>
    <n v="4"/>
    <s v=""/>
    <s v="Office Table"/>
    <s v="Furniture"/>
    <m/>
    <x v="36"/>
    <x v="0"/>
    <x v="0"/>
    <x v="2"/>
    <x v="3"/>
  </r>
  <r>
    <d v="2020-04-18T00:00:00"/>
    <s v="18"/>
    <s v="Apr"/>
    <n v="3"/>
    <n v="3"/>
    <s v=""/>
    <s v="AC"/>
    <s v="Electronic"/>
    <m/>
    <x v="45"/>
    <x v="0"/>
    <x v="0"/>
    <x v="0"/>
    <x v="0"/>
  </r>
  <r>
    <d v="2020-04-19T00:00:00"/>
    <s v="19"/>
    <s v="Apr"/>
    <n v="9"/>
    <n v="9"/>
    <s v=""/>
    <s v="Table Lamp"/>
    <s v="Accessories"/>
    <m/>
    <x v="27"/>
    <x v="0"/>
    <x v="0"/>
    <x v="0"/>
    <x v="1"/>
  </r>
  <r>
    <d v="2020-04-19T00:00:00"/>
    <s v="19"/>
    <s v="Apr"/>
    <n v="7"/>
    <n v="7"/>
    <s v=""/>
    <s v="AC"/>
    <s v="Electronic"/>
    <m/>
    <x v="4"/>
    <x v="0"/>
    <x v="0"/>
    <x v="1"/>
    <x v="3"/>
  </r>
  <r>
    <d v="2020-04-19T00:00:00"/>
    <s v="19"/>
    <s v="Apr"/>
    <n v="7"/>
    <n v="7"/>
    <s v=""/>
    <s v="Coffee Mach"/>
    <s v="Kitchen"/>
    <m/>
    <x v="49"/>
    <x v="0"/>
    <x v="0"/>
    <x v="0"/>
    <x v="2"/>
  </r>
  <r>
    <d v="2020-04-19T00:00:00"/>
    <s v="19"/>
    <s v="Apr"/>
    <n v="6"/>
    <n v="6"/>
    <s v=""/>
    <s v="TV"/>
    <s v="Electronic"/>
    <m/>
    <x v="3"/>
    <x v="0"/>
    <x v="0"/>
    <x v="1"/>
    <x v="2"/>
  </r>
  <r>
    <d v="2020-04-19T00:00:00"/>
    <s v="19"/>
    <s v="Apr"/>
    <n v="5"/>
    <n v="5"/>
    <s v=""/>
    <s v="Office Chair"/>
    <s v="Furniture"/>
    <m/>
    <x v="22"/>
    <x v="2"/>
    <x v="0"/>
    <x v="1"/>
    <x v="1"/>
  </r>
  <r>
    <d v="2020-04-20T00:00:00"/>
    <s v="20"/>
    <s v="Apr"/>
    <n v="10"/>
    <n v="10"/>
    <s v=""/>
    <s v="Office Chair"/>
    <s v="Furniture"/>
    <m/>
    <x v="31"/>
    <x v="0"/>
    <x v="0"/>
    <x v="0"/>
    <x v="3"/>
  </r>
  <r>
    <d v="2020-04-20T00:00:00"/>
    <s v="20"/>
    <s v="Apr"/>
    <n v="9"/>
    <n v="9"/>
    <s v=""/>
    <s v="AC"/>
    <s v="Electronic"/>
    <m/>
    <x v="28"/>
    <x v="5"/>
    <x v="0"/>
    <x v="2"/>
    <x v="3"/>
  </r>
  <r>
    <d v="2020-04-20T00:00:00"/>
    <s v="20"/>
    <s v="Apr"/>
    <n v="8"/>
    <n v="8"/>
    <s v=""/>
    <s v="Printer"/>
    <s v="Computer"/>
    <m/>
    <x v="48"/>
    <x v="3"/>
    <x v="0"/>
    <x v="2"/>
    <x v="2"/>
  </r>
  <r>
    <d v="2020-04-20T00:00:00"/>
    <s v="20"/>
    <s v="Apr"/>
    <n v="8"/>
    <n v="8"/>
    <s v=""/>
    <s v="TV"/>
    <s v="Electronic"/>
    <m/>
    <x v="38"/>
    <x v="2"/>
    <x v="0"/>
    <x v="2"/>
    <x v="2"/>
  </r>
  <r>
    <d v="2020-04-20T00:00:00"/>
    <s v="20"/>
    <s v="Apr"/>
    <n v="6"/>
    <n v="6"/>
    <s v=""/>
    <s v="Office Table"/>
    <s v="Furniture"/>
    <m/>
    <x v="28"/>
    <x v="4"/>
    <x v="0"/>
    <x v="1"/>
    <x v="2"/>
  </r>
  <r>
    <d v="2020-04-20T00:00:00"/>
    <s v="20"/>
    <s v="Apr"/>
    <n v="5"/>
    <n v="5"/>
    <s v=""/>
    <s v="Office Table"/>
    <s v="Furniture"/>
    <m/>
    <x v="46"/>
    <x v="2"/>
    <x v="0"/>
    <x v="1"/>
    <x v="3"/>
  </r>
  <r>
    <d v="2020-04-20T00:00:00"/>
    <s v="20"/>
    <s v="Apr"/>
    <n v="5"/>
    <n v="5"/>
    <s v=""/>
    <s v="Cable"/>
    <s v="Networking"/>
    <m/>
    <x v="29"/>
    <x v="0"/>
    <x v="0"/>
    <x v="1"/>
    <x v="2"/>
  </r>
  <r>
    <d v="2020-04-20T00:00:00"/>
    <s v="20"/>
    <s v="Apr"/>
    <n v="5"/>
    <n v="5"/>
    <s v=""/>
    <s v="Office Chair"/>
    <s v="Furniture"/>
    <m/>
    <x v="22"/>
    <x v="0"/>
    <x v="0"/>
    <x v="1"/>
    <x v="1"/>
  </r>
  <r>
    <d v="2020-04-20T00:00:00"/>
    <s v="20"/>
    <s v="Apr"/>
    <n v="3"/>
    <n v="3"/>
    <s v=""/>
    <s v="Printer"/>
    <s v="Computer"/>
    <m/>
    <x v="19"/>
    <x v="2"/>
    <x v="0"/>
    <x v="1"/>
    <x v="0"/>
  </r>
  <r>
    <d v="2020-04-21T00:00:00"/>
    <s v="21"/>
    <s v="Apr"/>
    <n v="10"/>
    <n v="10"/>
    <s v=""/>
    <s v="Cable"/>
    <s v="Networking"/>
    <m/>
    <x v="46"/>
    <x v="0"/>
    <x v="0"/>
    <x v="2"/>
    <x v="3"/>
  </r>
  <r>
    <d v="2020-04-21T00:00:00"/>
    <s v="21"/>
    <s v="Apr"/>
    <n v="9"/>
    <n v="9"/>
    <s v=""/>
    <s v="TV"/>
    <s v="Electronic"/>
    <m/>
    <x v="0"/>
    <x v="4"/>
    <x v="0"/>
    <x v="1"/>
    <x v="1"/>
  </r>
  <r>
    <d v="2020-04-21T00:00:00"/>
    <s v="21"/>
    <s v="Apr"/>
    <n v="9"/>
    <n v="9"/>
    <s v=""/>
    <s v="Cable"/>
    <s v="Networking"/>
    <m/>
    <x v="2"/>
    <x v="5"/>
    <x v="0"/>
    <x v="1"/>
    <x v="1"/>
  </r>
  <r>
    <d v="2020-04-21T00:00:00"/>
    <s v="21"/>
    <s v="Apr"/>
    <n v="8"/>
    <n v="8"/>
    <s v=""/>
    <s v="AC"/>
    <s v="Electronic"/>
    <m/>
    <x v="27"/>
    <x v="0"/>
    <x v="0"/>
    <x v="0"/>
    <x v="2"/>
  </r>
  <r>
    <d v="2020-04-21T00:00:00"/>
    <s v="21"/>
    <s v="Apr"/>
    <n v="5"/>
    <n v="5"/>
    <s v=""/>
    <s v="Cable"/>
    <s v="Networking"/>
    <m/>
    <x v="31"/>
    <x v="1"/>
    <x v="0"/>
    <x v="2"/>
    <x v="3"/>
  </r>
  <r>
    <d v="2020-04-22T00:00:00"/>
    <s v="22"/>
    <s v="Apr"/>
    <n v="10"/>
    <n v="10"/>
    <s v=""/>
    <s v="Laptop"/>
    <s v="Computer"/>
    <m/>
    <x v="13"/>
    <x v="4"/>
    <x v="0"/>
    <x v="2"/>
    <x v="1"/>
  </r>
  <r>
    <d v="2020-04-22T00:00:00"/>
    <s v="22"/>
    <s v="Apr"/>
    <n v="9"/>
    <n v="9"/>
    <s v=""/>
    <s v="Office Table"/>
    <s v="Furniture"/>
    <m/>
    <x v="34"/>
    <x v="2"/>
    <x v="0"/>
    <x v="2"/>
    <x v="2"/>
  </r>
  <r>
    <d v="2020-04-22T00:00:00"/>
    <s v="22"/>
    <s v="Apr"/>
    <n v="7"/>
    <n v="7"/>
    <s v=""/>
    <s v="Table Lamp"/>
    <s v="Accessories"/>
    <m/>
    <x v="22"/>
    <x v="0"/>
    <x v="0"/>
    <x v="0"/>
    <x v="2"/>
  </r>
  <r>
    <d v="2020-04-22T00:00:00"/>
    <s v="22"/>
    <s v="Apr"/>
    <n v="6"/>
    <n v="6"/>
    <s v=""/>
    <s v="Cable"/>
    <s v="Networking"/>
    <m/>
    <x v="9"/>
    <x v="4"/>
    <x v="0"/>
    <x v="1"/>
    <x v="1"/>
  </r>
  <r>
    <d v="2020-04-22T00:00:00"/>
    <s v="22"/>
    <s v="Apr"/>
    <n v="5"/>
    <n v="5"/>
    <s v=""/>
    <s v="Cable"/>
    <s v="Networking"/>
    <m/>
    <x v="23"/>
    <x v="0"/>
    <x v="0"/>
    <x v="1"/>
    <x v="0"/>
  </r>
  <r>
    <d v="2020-04-22T00:00:00"/>
    <s v="22"/>
    <s v="Apr"/>
    <n v="4"/>
    <n v="4"/>
    <s v=""/>
    <s v="Printer"/>
    <s v="Computer"/>
    <m/>
    <x v="6"/>
    <x v="2"/>
    <x v="0"/>
    <x v="1"/>
    <x v="1"/>
  </r>
  <r>
    <d v="2020-04-22T00:00:00"/>
    <s v="22"/>
    <s v="Apr"/>
    <n v="3"/>
    <n v="3"/>
    <s v=""/>
    <s v="Printer"/>
    <s v="Computer"/>
    <m/>
    <x v="44"/>
    <x v="4"/>
    <x v="0"/>
    <x v="1"/>
    <x v="0"/>
  </r>
  <r>
    <d v="2020-04-22T00:00:00"/>
    <s v="22"/>
    <s v="Apr"/>
    <n v="3"/>
    <n v="3"/>
    <s v=""/>
    <s v="Office Chair"/>
    <s v="Furniture"/>
    <m/>
    <x v="19"/>
    <x v="0"/>
    <x v="0"/>
    <x v="2"/>
    <x v="1"/>
  </r>
  <r>
    <d v="2020-04-23T00:00:00"/>
    <s v="23"/>
    <s v="Apr"/>
    <n v="10"/>
    <n v="10"/>
    <s v=""/>
    <s v="Cable"/>
    <s v="Networking"/>
    <m/>
    <x v="9"/>
    <x v="0"/>
    <x v="0"/>
    <x v="0"/>
    <x v="1"/>
  </r>
  <r>
    <d v="2020-04-23T00:00:00"/>
    <s v="23"/>
    <s v="Apr"/>
    <n v="9"/>
    <n v="9"/>
    <s v=""/>
    <s v="Office Chair"/>
    <s v="Furniture"/>
    <m/>
    <x v="40"/>
    <x v="1"/>
    <x v="0"/>
    <x v="0"/>
    <x v="1"/>
  </r>
  <r>
    <d v="2020-04-23T00:00:00"/>
    <s v="23"/>
    <s v="Apr"/>
    <n v="9"/>
    <n v="9"/>
    <s v=""/>
    <s v="Printer"/>
    <s v="Computer"/>
    <m/>
    <x v="3"/>
    <x v="0"/>
    <x v="0"/>
    <x v="1"/>
    <x v="3"/>
  </r>
  <r>
    <d v="2020-04-23T00:00:00"/>
    <s v="23"/>
    <s v="Apr"/>
    <n v="7"/>
    <n v="7"/>
    <s v=""/>
    <s v="Office Table"/>
    <s v="Furniture"/>
    <m/>
    <x v="9"/>
    <x v="0"/>
    <x v="0"/>
    <x v="2"/>
    <x v="0"/>
  </r>
  <r>
    <d v="2020-04-23T00:00:00"/>
    <s v="23"/>
    <s v="Apr"/>
    <n v="7"/>
    <n v="7"/>
    <s v=""/>
    <s v="Cable"/>
    <s v="Networking"/>
    <m/>
    <x v="28"/>
    <x v="0"/>
    <x v="0"/>
    <x v="1"/>
    <x v="3"/>
  </r>
  <r>
    <d v="2020-04-23T00:00:00"/>
    <s v="23"/>
    <s v="Apr"/>
    <n v="7"/>
    <n v="7"/>
    <s v=""/>
    <s v="Table Lamp"/>
    <s v="Accessories"/>
    <m/>
    <x v="25"/>
    <x v="0"/>
    <x v="0"/>
    <x v="2"/>
    <x v="0"/>
  </r>
  <r>
    <d v="2020-04-23T00:00:00"/>
    <s v="23"/>
    <s v="Apr"/>
    <n v="7"/>
    <n v="7"/>
    <s v=""/>
    <s v="Office Table"/>
    <s v="Furniture"/>
    <m/>
    <x v="46"/>
    <x v="0"/>
    <x v="0"/>
    <x v="0"/>
    <x v="3"/>
  </r>
  <r>
    <d v="2020-04-23T00:00:00"/>
    <s v="23"/>
    <s v="Apr"/>
    <n v="6"/>
    <n v="6"/>
    <s v=""/>
    <s v="Cable"/>
    <s v="Networking"/>
    <m/>
    <x v="25"/>
    <x v="4"/>
    <x v="0"/>
    <x v="1"/>
    <x v="1"/>
  </r>
  <r>
    <d v="2020-04-23T00:00:00"/>
    <s v="23"/>
    <s v="Apr"/>
    <n v="6"/>
    <n v="6"/>
    <s v=""/>
    <s v="Printer"/>
    <s v="Computer"/>
    <m/>
    <x v="7"/>
    <x v="0"/>
    <x v="0"/>
    <x v="1"/>
    <x v="3"/>
  </r>
  <r>
    <d v="2020-04-23T00:00:00"/>
    <s v="23"/>
    <s v="Apr"/>
    <n v="6"/>
    <n v="6"/>
    <s v=""/>
    <s v="TV"/>
    <s v="Electronic"/>
    <m/>
    <x v="15"/>
    <x v="2"/>
    <x v="0"/>
    <x v="2"/>
    <x v="2"/>
  </r>
  <r>
    <d v="2020-04-23T00:00:00"/>
    <s v="23"/>
    <s v="Apr"/>
    <n v="4"/>
    <n v="4"/>
    <s v=""/>
    <s v="Coffee Mach"/>
    <s v="Kitchen"/>
    <m/>
    <x v="34"/>
    <x v="0"/>
    <x v="0"/>
    <x v="1"/>
    <x v="0"/>
  </r>
  <r>
    <d v="2020-04-23T00:00:00"/>
    <s v="23"/>
    <s v="Apr"/>
    <n v="4"/>
    <n v="4"/>
    <s v=""/>
    <s v="Office Table"/>
    <s v="Furniture"/>
    <m/>
    <x v="15"/>
    <x v="4"/>
    <x v="0"/>
    <x v="1"/>
    <x v="2"/>
  </r>
  <r>
    <d v="2020-04-23T00:00:00"/>
    <s v="23"/>
    <s v="Apr"/>
    <n v="3"/>
    <n v="3"/>
    <s v=""/>
    <s v="Table Lamp"/>
    <s v="Accessories"/>
    <m/>
    <x v="17"/>
    <x v="0"/>
    <x v="0"/>
    <x v="1"/>
    <x v="1"/>
  </r>
  <r>
    <d v="2020-04-23T00:00:00"/>
    <s v="23"/>
    <s v="Apr"/>
    <n v="3"/>
    <n v="3"/>
    <s v=""/>
    <s v="Table Lamp"/>
    <s v="Accessories"/>
    <m/>
    <x v="1"/>
    <x v="3"/>
    <x v="0"/>
    <x v="1"/>
    <x v="3"/>
  </r>
  <r>
    <d v="2020-04-24T00:00:00"/>
    <s v="24"/>
    <s v="Apr"/>
    <n v="10"/>
    <n v="8"/>
    <n v="2"/>
    <s v="Printer"/>
    <s v="Computer"/>
    <m/>
    <x v="22"/>
    <x v="1"/>
    <x v="0"/>
    <x v="1"/>
    <x v="0"/>
  </r>
  <r>
    <d v="2020-04-24T00:00:00"/>
    <s v="24"/>
    <s v="Apr"/>
    <n v="10"/>
    <n v="7"/>
    <n v="3"/>
    <s v="Laptop"/>
    <s v="Computer"/>
    <m/>
    <x v="49"/>
    <x v="4"/>
    <x v="0"/>
    <x v="0"/>
    <x v="0"/>
  </r>
  <r>
    <d v="2020-04-24T00:00:00"/>
    <s v="24"/>
    <s v="Apr"/>
    <n v="9"/>
    <n v="5"/>
    <n v="4"/>
    <s v="Laptop"/>
    <s v="Computer"/>
    <m/>
    <x v="3"/>
    <x v="0"/>
    <x v="0"/>
    <x v="2"/>
    <x v="3"/>
  </r>
  <r>
    <d v="2020-04-24T00:00:00"/>
    <s v="24"/>
    <s v="Apr"/>
    <n v="6"/>
    <n v="3"/>
    <n v="3"/>
    <s v="Office Table"/>
    <s v="Furniture"/>
    <m/>
    <x v="30"/>
    <x v="2"/>
    <x v="0"/>
    <x v="1"/>
    <x v="3"/>
  </r>
  <r>
    <d v="2020-04-24T00:00:00"/>
    <s v="24"/>
    <s v="Apr"/>
    <n v="4"/>
    <n v="2"/>
    <n v="2"/>
    <s v="AC"/>
    <s v="Electronic"/>
    <m/>
    <x v="30"/>
    <x v="2"/>
    <x v="0"/>
    <x v="1"/>
    <x v="3"/>
  </r>
  <r>
    <d v="2020-04-24T00:00:00"/>
    <s v="24"/>
    <s v="Apr"/>
    <n v="4"/>
    <n v="3"/>
    <n v="1"/>
    <s v="Coffee Mach"/>
    <s v="Kitchen"/>
    <m/>
    <x v="33"/>
    <x v="0"/>
    <x v="0"/>
    <x v="2"/>
    <x v="1"/>
  </r>
  <r>
    <d v="2020-04-24T00:00:00"/>
    <s v="24"/>
    <s v="Apr"/>
    <n v="3"/>
    <n v="1"/>
    <n v="2"/>
    <s v="AC"/>
    <s v="Electronic"/>
    <m/>
    <x v="4"/>
    <x v="2"/>
    <x v="0"/>
    <x v="0"/>
    <x v="1"/>
  </r>
  <r>
    <d v="2020-04-25T00:00:00"/>
    <s v="25"/>
    <s v="Apr"/>
    <n v="9"/>
    <n v="6"/>
    <n v="3"/>
    <s v="TV"/>
    <s v="Electronic"/>
    <m/>
    <x v="8"/>
    <x v="3"/>
    <x v="0"/>
    <x v="1"/>
    <x v="2"/>
  </r>
  <r>
    <d v="2020-04-25T00:00:00"/>
    <s v="25"/>
    <s v="Apr"/>
    <n v="8"/>
    <n v="6"/>
    <n v="2"/>
    <s v="AC"/>
    <s v="Electronic"/>
    <m/>
    <x v="6"/>
    <x v="2"/>
    <x v="0"/>
    <x v="1"/>
    <x v="3"/>
  </r>
  <r>
    <d v="2020-04-25T00:00:00"/>
    <s v="25"/>
    <s v="Apr"/>
    <n v="8"/>
    <n v="4"/>
    <n v="4"/>
    <s v="Coffee Mach"/>
    <s v="Kitchen"/>
    <m/>
    <x v="11"/>
    <x v="0"/>
    <x v="0"/>
    <x v="0"/>
    <x v="3"/>
  </r>
  <r>
    <d v="2020-04-25T00:00:00"/>
    <s v="25"/>
    <s v="Apr"/>
    <n v="7"/>
    <n v="6"/>
    <n v="1"/>
    <s v="Table Lamp"/>
    <s v="Accessories"/>
    <m/>
    <x v="48"/>
    <x v="0"/>
    <x v="0"/>
    <x v="2"/>
    <x v="0"/>
  </r>
  <r>
    <d v="2020-04-25T00:00:00"/>
    <s v="25"/>
    <s v="Apr"/>
    <n v="6"/>
    <n v="3"/>
    <n v="3"/>
    <s v="Cable"/>
    <s v="Networking"/>
    <m/>
    <x v="0"/>
    <x v="3"/>
    <x v="0"/>
    <x v="0"/>
    <x v="2"/>
  </r>
  <r>
    <d v="2020-04-25T00:00:00"/>
    <s v="25"/>
    <s v="Apr"/>
    <n v="6"/>
    <n v="5"/>
    <n v="1"/>
    <s v="Office Table"/>
    <s v="Furniture"/>
    <m/>
    <x v="15"/>
    <x v="2"/>
    <x v="0"/>
    <x v="1"/>
    <x v="2"/>
  </r>
  <r>
    <d v="2020-04-25T00:00:00"/>
    <s v="25"/>
    <s v="Apr"/>
    <n v="5"/>
    <n v="4"/>
    <n v="1"/>
    <s v="Office Chair"/>
    <s v="Furniture"/>
    <m/>
    <x v="46"/>
    <x v="0"/>
    <x v="0"/>
    <x v="1"/>
    <x v="0"/>
  </r>
  <r>
    <d v="2020-04-25T00:00:00"/>
    <s v="25"/>
    <s v="Apr"/>
    <n v="5"/>
    <n v="4"/>
    <n v="1"/>
    <s v="Coffee Mach"/>
    <s v="Kitchen"/>
    <m/>
    <x v="42"/>
    <x v="0"/>
    <x v="0"/>
    <x v="2"/>
    <x v="2"/>
  </r>
  <r>
    <d v="2020-04-25T00:00:00"/>
    <s v="25"/>
    <s v="Apr"/>
    <n v="5"/>
    <n v="3"/>
    <n v="2"/>
    <s v="Laptop"/>
    <s v="Computer"/>
    <m/>
    <x v="17"/>
    <x v="0"/>
    <x v="0"/>
    <x v="2"/>
    <x v="3"/>
  </r>
  <r>
    <d v="2020-04-25T00:00:00"/>
    <s v="25"/>
    <s v="Apr"/>
    <n v="3"/>
    <n v="2"/>
    <n v="1"/>
    <s v="Table Lamp"/>
    <s v="Accessories"/>
    <m/>
    <x v="32"/>
    <x v="0"/>
    <x v="0"/>
    <x v="1"/>
    <x v="0"/>
  </r>
  <r>
    <d v="2020-04-25T00:00:00"/>
    <s v="25"/>
    <s v="Apr"/>
    <n v="3"/>
    <n v="2"/>
    <n v="1"/>
    <s v="Office Chair"/>
    <s v="Furniture"/>
    <m/>
    <x v="9"/>
    <x v="2"/>
    <x v="0"/>
    <x v="2"/>
    <x v="2"/>
  </r>
  <r>
    <d v="2020-04-26T00:00:00"/>
    <s v="26"/>
    <s v="Apr"/>
    <n v="10"/>
    <n v="7"/>
    <n v="3"/>
    <s v="Cable"/>
    <s v="Networking"/>
    <m/>
    <x v="32"/>
    <x v="2"/>
    <x v="0"/>
    <x v="2"/>
    <x v="1"/>
  </r>
  <r>
    <d v="2020-04-26T00:00:00"/>
    <s v="26"/>
    <s v="Apr"/>
    <n v="9"/>
    <n v="6"/>
    <n v="3"/>
    <s v="TV"/>
    <s v="Electronic"/>
    <m/>
    <x v="8"/>
    <x v="0"/>
    <x v="0"/>
    <x v="0"/>
    <x v="1"/>
  </r>
  <r>
    <d v="2020-04-26T00:00:00"/>
    <s v="26"/>
    <s v="Apr"/>
    <n v="7"/>
    <n v="4"/>
    <n v="3"/>
    <s v="Cable"/>
    <s v="Networking"/>
    <m/>
    <x v="15"/>
    <x v="0"/>
    <x v="0"/>
    <x v="2"/>
    <x v="3"/>
  </r>
  <r>
    <d v="2020-04-26T00:00:00"/>
    <s v="26"/>
    <s v="Apr"/>
    <n v="7"/>
    <n v="5"/>
    <n v="2"/>
    <s v="Cable"/>
    <s v="Networking"/>
    <m/>
    <x v="11"/>
    <x v="2"/>
    <x v="0"/>
    <x v="1"/>
    <x v="2"/>
  </r>
  <r>
    <d v="2020-04-26T00:00:00"/>
    <s v="26"/>
    <s v="Apr"/>
    <n v="4"/>
    <n v="2"/>
    <n v="2"/>
    <s v="Coffee Mach"/>
    <s v="Kitchen"/>
    <m/>
    <x v="32"/>
    <x v="0"/>
    <x v="0"/>
    <x v="2"/>
    <x v="2"/>
  </r>
  <r>
    <d v="2020-04-26T00:00:00"/>
    <s v="26"/>
    <s v="Apr"/>
    <n v="4"/>
    <n v="2"/>
    <n v="2"/>
    <s v="Printer"/>
    <s v="Computer"/>
    <m/>
    <x v="3"/>
    <x v="0"/>
    <x v="0"/>
    <x v="1"/>
    <x v="0"/>
  </r>
  <r>
    <d v="2020-04-26T00:00:00"/>
    <s v="26"/>
    <s v="Apr"/>
    <n v="3"/>
    <n v="2"/>
    <n v="1"/>
    <s v="Laptop"/>
    <s v="Computer"/>
    <m/>
    <x v="17"/>
    <x v="0"/>
    <x v="0"/>
    <x v="2"/>
    <x v="2"/>
  </r>
  <r>
    <d v="2020-04-26T00:00:00"/>
    <s v="26"/>
    <s v="Apr"/>
    <n v="3"/>
    <n v="2"/>
    <n v="1"/>
    <s v="Coffee Mach"/>
    <s v="Kitchen"/>
    <m/>
    <x v="43"/>
    <x v="0"/>
    <x v="0"/>
    <x v="2"/>
    <x v="0"/>
  </r>
  <r>
    <d v="2020-04-27T00:00:00"/>
    <s v="27"/>
    <s v="Apr"/>
    <n v="10"/>
    <n v="8"/>
    <n v="2"/>
    <s v="Cable"/>
    <s v="Networking"/>
    <m/>
    <x v="25"/>
    <x v="2"/>
    <x v="0"/>
    <x v="0"/>
    <x v="0"/>
  </r>
  <r>
    <d v="2020-04-27T00:00:00"/>
    <s v="27"/>
    <s v="Apr"/>
    <n v="10"/>
    <n v="6"/>
    <n v="4"/>
    <s v="Cable"/>
    <s v="Networking"/>
    <m/>
    <x v="45"/>
    <x v="1"/>
    <x v="0"/>
    <x v="0"/>
    <x v="3"/>
  </r>
  <r>
    <d v="2020-04-27T00:00:00"/>
    <s v="27"/>
    <s v="Apr"/>
    <n v="7"/>
    <n v="6"/>
    <n v="1"/>
    <s v="TV"/>
    <s v="Electronic"/>
    <m/>
    <x v="30"/>
    <x v="0"/>
    <x v="0"/>
    <x v="0"/>
    <x v="1"/>
  </r>
  <r>
    <d v="2020-04-27T00:00:00"/>
    <s v="27"/>
    <s v="Apr"/>
    <n v="6"/>
    <n v="3"/>
    <n v="3"/>
    <s v="Cable"/>
    <s v="Networking"/>
    <m/>
    <x v="29"/>
    <x v="2"/>
    <x v="0"/>
    <x v="2"/>
    <x v="3"/>
  </r>
  <r>
    <d v="2020-04-27T00:00:00"/>
    <s v="27"/>
    <s v="Apr"/>
    <n v="6"/>
    <n v="3"/>
    <n v="3"/>
    <s v="Office Chair"/>
    <s v="Furniture"/>
    <m/>
    <x v="36"/>
    <x v="0"/>
    <x v="0"/>
    <x v="2"/>
    <x v="0"/>
  </r>
  <r>
    <d v="2020-04-27T00:00:00"/>
    <s v="27"/>
    <s v="Apr"/>
    <n v="4"/>
    <n v="2"/>
    <n v="2"/>
    <s v="Table Lamp"/>
    <s v="Accessories"/>
    <m/>
    <x v="34"/>
    <x v="0"/>
    <x v="0"/>
    <x v="0"/>
    <x v="1"/>
  </r>
  <r>
    <d v="2020-04-27T00:00:00"/>
    <s v="27"/>
    <s v="Apr"/>
    <n v="4"/>
    <n v="2"/>
    <n v="2"/>
    <s v="Laptop"/>
    <s v="Computer"/>
    <m/>
    <x v="8"/>
    <x v="0"/>
    <x v="0"/>
    <x v="0"/>
    <x v="3"/>
  </r>
  <r>
    <d v="2020-04-27T00:00:00"/>
    <s v="27"/>
    <s v="Apr"/>
    <n v="3"/>
    <n v="2"/>
    <n v="1"/>
    <s v="Cable"/>
    <s v="Networking"/>
    <m/>
    <x v="1"/>
    <x v="2"/>
    <x v="0"/>
    <x v="2"/>
    <x v="1"/>
  </r>
  <r>
    <d v="2020-04-27T00:00:00"/>
    <s v="27"/>
    <s v="Apr"/>
    <n v="3"/>
    <n v="1"/>
    <n v="2"/>
    <s v="AC"/>
    <s v="Electronic"/>
    <m/>
    <x v="2"/>
    <x v="2"/>
    <x v="0"/>
    <x v="2"/>
    <x v="2"/>
  </r>
  <r>
    <d v="2020-04-28T00:00:00"/>
    <s v="28"/>
    <s v="Apr"/>
    <n v="10"/>
    <n v="6"/>
    <n v="4"/>
    <s v="Cable"/>
    <s v="Networking"/>
    <m/>
    <x v="4"/>
    <x v="2"/>
    <x v="0"/>
    <x v="1"/>
    <x v="0"/>
  </r>
  <r>
    <d v="2020-04-28T00:00:00"/>
    <s v="28"/>
    <s v="Apr"/>
    <n v="9"/>
    <n v="7"/>
    <n v="2"/>
    <s v="Table Lamp"/>
    <s v="Accessories"/>
    <m/>
    <x v="14"/>
    <x v="2"/>
    <x v="0"/>
    <x v="1"/>
    <x v="1"/>
  </r>
  <r>
    <d v="2020-04-28T00:00:00"/>
    <s v="28"/>
    <s v="Apr"/>
    <n v="9"/>
    <n v="8"/>
    <n v="1"/>
    <s v="Cable"/>
    <s v="Networking"/>
    <m/>
    <x v="45"/>
    <x v="0"/>
    <x v="0"/>
    <x v="2"/>
    <x v="2"/>
  </r>
  <r>
    <d v="2020-04-28T00:00:00"/>
    <s v="28"/>
    <s v="Apr"/>
    <n v="8"/>
    <n v="5"/>
    <n v="3"/>
    <s v="Printer"/>
    <s v="Computer"/>
    <m/>
    <x v="14"/>
    <x v="3"/>
    <x v="0"/>
    <x v="0"/>
    <x v="0"/>
  </r>
  <r>
    <d v="2020-04-28T00:00:00"/>
    <s v="28"/>
    <s v="Apr"/>
    <n v="7"/>
    <n v="4"/>
    <n v="3"/>
    <s v="AC"/>
    <s v="Electronic"/>
    <m/>
    <x v="31"/>
    <x v="0"/>
    <x v="0"/>
    <x v="1"/>
    <x v="0"/>
  </r>
  <r>
    <d v="2020-04-28T00:00:00"/>
    <s v="28"/>
    <s v="Apr"/>
    <n v="7"/>
    <n v="4"/>
    <n v="3"/>
    <s v="TV"/>
    <s v="Electronic"/>
    <m/>
    <x v="18"/>
    <x v="2"/>
    <x v="0"/>
    <x v="0"/>
    <x v="2"/>
  </r>
  <r>
    <d v="2020-04-28T00:00:00"/>
    <s v="28"/>
    <s v="Apr"/>
    <n v="6"/>
    <n v="4"/>
    <n v="2"/>
    <s v="Printer"/>
    <s v="Computer"/>
    <m/>
    <x v="2"/>
    <x v="0"/>
    <x v="0"/>
    <x v="1"/>
    <x v="2"/>
  </r>
  <r>
    <d v="2020-04-28T00:00:00"/>
    <s v="28"/>
    <s v="Apr"/>
    <n v="6"/>
    <n v="4"/>
    <n v="2"/>
    <s v="Laptop"/>
    <s v="Computer"/>
    <m/>
    <x v="9"/>
    <x v="2"/>
    <x v="0"/>
    <x v="0"/>
    <x v="1"/>
  </r>
  <r>
    <d v="2020-04-28T00:00:00"/>
    <s v="28"/>
    <s v="Apr"/>
    <n v="6"/>
    <n v="3"/>
    <n v="3"/>
    <s v="TV"/>
    <s v="Electronic"/>
    <m/>
    <x v="8"/>
    <x v="2"/>
    <x v="0"/>
    <x v="1"/>
    <x v="3"/>
  </r>
  <r>
    <d v="2020-04-28T00:00:00"/>
    <s v="28"/>
    <s v="Apr"/>
    <n v="5"/>
    <n v="4"/>
    <n v="1"/>
    <s v="Cable"/>
    <s v="Networking"/>
    <m/>
    <x v="44"/>
    <x v="5"/>
    <x v="0"/>
    <x v="0"/>
    <x v="2"/>
  </r>
  <r>
    <d v="2020-04-28T00:00:00"/>
    <s v="28"/>
    <s v="Apr"/>
    <n v="4"/>
    <n v="2"/>
    <n v="2"/>
    <s v="Office Table"/>
    <s v="Furniture"/>
    <m/>
    <x v="22"/>
    <x v="0"/>
    <x v="0"/>
    <x v="1"/>
    <x v="3"/>
  </r>
  <r>
    <d v="2020-04-28T00:00:00"/>
    <s v="28"/>
    <s v="Apr"/>
    <n v="3"/>
    <n v="2"/>
    <n v="1"/>
    <s v="TV"/>
    <s v="Electronic"/>
    <m/>
    <x v="15"/>
    <x v="2"/>
    <x v="0"/>
    <x v="2"/>
    <x v="1"/>
  </r>
  <r>
    <d v="2020-04-28T00:00:00"/>
    <s v="28"/>
    <s v="Apr"/>
    <n v="3"/>
    <n v="2"/>
    <n v="1"/>
    <s v="Office Chair"/>
    <s v="Furniture"/>
    <m/>
    <x v="14"/>
    <x v="0"/>
    <x v="0"/>
    <x v="0"/>
    <x v="0"/>
  </r>
  <r>
    <d v="2020-04-29T00:00:00"/>
    <s v="29"/>
    <s v="Apr"/>
    <n v="10"/>
    <n v="8"/>
    <n v="2"/>
    <s v="Cable"/>
    <s v="Networking"/>
    <m/>
    <x v="18"/>
    <x v="0"/>
    <x v="0"/>
    <x v="2"/>
    <x v="3"/>
  </r>
  <r>
    <d v="2020-04-29T00:00:00"/>
    <s v="29"/>
    <s v="Apr"/>
    <n v="9"/>
    <n v="6"/>
    <n v="3"/>
    <s v="Office Chair"/>
    <s v="Furniture"/>
    <m/>
    <x v="10"/>
    <x v="2"/>
    <x v="0"/>
    <x v="0"/>
    <x v="3"/>
  </r>
  <r>
    <d v="2020-04-29T00:00:00"/>
    <s v="29"/>
    <s v="Apr"/>
    <n v="9"/>
    <n v="7"/>
    <n v="2"/>
    <s v="Printer"/>
    <s v="Computer"/>
    <m/>
    <x v="11"/>
    <x v="2"/>
    <x v="0"/>
    <x v="1"/>
    <x v="2"/>
  </r>
  <r>
    <d v="2020-04-29T00:00:00"/>
    <s v="29"/>
    <s v="Apr"/>
    <n v="8"/>
    <n v="5"/>
    <n v="3"/>
    <s v="Coffee Mach"/>
    <s v="Kitchen"/>
    <m/>
    <x v="44"/>
    <x v="2"/>
    <x v="0"/>
    <x v="1"/>
    <x v="2"/>
  </r>
  <r>
    <d v="2020-04-29T00:00:00"/>
    <s v="29"/>
    <s v="Apr"/>
    <n v="7"/>
    <n v="5"/>
    <n v="2"/>
    <s v="Cable"/>
    <s v="Networking"/>
    <m/>
    <x v="30"/>
    <x v="2"/>
    <x v="0"/>
    <x v="2"/>
    <x v="2"/>
  </r>
  <r>
    <d v="2020-04-29T00:00:00"/>
    <s v="29"/>
    <s v="Apr"/>
    <n v="7"/>
    <n v="4"/>
    <n v="3"/>
    <s v="Coffee Mach"/>
    <s v="Kitchen"/>
    <m/>
    <x v="45"/>
    <x v="2"/>
    <x v="0"/>
    <x v="0"/>
    <x v="2"/>
  </r>
  <r>
    <d v="2020-04-29T00:00:00"/>
    <s v="29"/>
    <s v="Apr"/>
    <n v="6"/>
    <n v="3"/>
    <n v="3"/>
    <s v="Office Chair"/>
    <s v="Furniture"/>
    <m/>
    <x v="23"/>
    <x v="0"/>
    <x v="0"/>
    <x v="2"/>
    <x v="2"/>
  </r>
  <r>
    <d v="2020-04-29T00:00:00"/>
    <s v="29"/>
    <s v="Apr"/>
    <n v="6"/>
    <n v="3"/>
    <n v="3"/>
    <s v="AC"/>
    <s v="Electronic"/>
    <m/>
    <x v="21"/>
    <x v="3"/>
    <x v="0"/>
    <x v="2"/>
    <x v="0"/>
  </r>
  <r>
    <d v="2020-04-29T00:00:00"/>
    <s v="29"/>
    <s v="Apr"/>
    <n v="4"/>
    <n v="3"/>
    <n v="1"/>
    <s v="Office Chair"/>
    <s v="Furniture"/>
    <m/>
    <x v="38"/>
    <x v="0"/>
    <x v="0"/>
    <x v="2"/>
    <x v="2"/>
  </r>
  <r>
    <d v="2020-04-29T00:00:00"/>
    <s v="29"/>
    <s v="Apr"/>
    <n v="3"/>
    <n v="1"/>
    <n v="2"/>
    <s v="Office Chair"/>
    <s v="Furniture"/>
    <m/>
    <x v="48"/>
    <x v="4"/>
    <x v="0"/>
    <x v="0"/>
    <x v="2"/>
  </r>
  <r>
    <d v="2020-04-30T00:00:00"/>
    <s v="30"/>
    <s v="Apr"/>
    <n v="10"/>
    <n v="9"/>
    <n v="1"/>
    <s v="Cable"/>
    <s v="Networking"/>
    <m/>
    <x v="2"/>
    <x v="2"/>
    <x v="0"/>
    <x v="1"/>
    <x v="0"/>
  </r>
  <r>
    <d v="2020-04-30T00:00:00"/>
    <s v="30"/>
    <s v="Apr"/>
    <n v="10"/>
    <n v="6"/>
    <n v="4"/>
    <s v="Printer"/>
    <s v="Computer"/>
    <m/>
    <x v="41"/>
    <x v="2"/>
    <x v="0"/>
    <x v="1"/>
    <x v="0"/>
  </r>
  <r>
    <d v="2020-04-30T00:00:00"/>
    <s v="30"/>
    <s v="Apr"/>
    <n v="10"/>
    <n v="7"/>
    <n v="3"/>
    <s v="AC"/>
    <s v="Electronic"/>
    <m/>
    <x v="18"/>
    <x v="0"/>
    <x v="0"/>
    <x v="2"/>
    <x v="0"/>
  </r>
  <r>
    <d v="2020-04-30T00:00:00"/>
    <s v="30"/>
    <s v="Apr"/>
    <n v="6"/>
    <n v="5"/>
    <n v="1"/>
    <s v="Laptop"/>
    <s v="Computer"/>
    <m/>
    <x v="4"/>
    <x v="0"/>
    <x v="0"/>
    <x v="0"/>
    <x v="3"/>
  </r>
  <r>
    <d v="2020-04-30T00:00:00"/>
    <s v="30"/>
    <s v="Apr"/>
    <n v="6"/>
    <n v="3"/>
    <n v="3"/>
    <s v="TV"/>
    <s v="Electronic"/>
    <m/>
    <x v="25"/>
    <x v="0"/>
    <x v="0"/>
    <x v="1"/>
    <x v="1"/>
  </r>
  <r>
    <d v="2020-04-30T00:00:00"/>
    <s v="30"/>
    <s v="Apr"/>
    <n v="5"/>
    <n v="3"/>
    <n v="2"/>
    <s v="Printer"/>
    <s v="Computer"/>
    <m/>
    <x v="45"/>
    <x v="2"/>
    <x v="0"/>
    <x v="2"/>
    <x v="3"/>
  </r>
  <r>
    <d v="2020-04-30T00:00:00"/>
    <s v="30"/>
    <s v="Apr"/>
    <n v="4"/>
    <n v="2"/>
    <n v="2"/>
    <s v="Office Chair"/>
    <s v="Furniture"/>
    <m/>
    <x v="18"/>
    <x v="0"/>
    <x v="0"/>
    <x v="0"/>
    <x v="2"/>
  </r>
  <r>
    <d v="2020-04-30T00:00:00"/>
    <s v="30"/>
    <s v="Apr"/>
    <n v="3"/>
    <n v="1"/>
    <n v="2"/>
    <s v="Table Lamp"/>
    <s v="Accessories"/>
    <m/>
    <x v="9"/>
    <x v="0"/>
    <x v="0"/>
    <x v="0"/>
    <x v="1"/>
  </r>
  <r>
    <d v="2020-04-30T00:00:00"/>
    <s v="30"/>
    <s v="Apr"/>
    <n v="3"/>
    <n v="2"/>
    <n v="1"/>
    <s v="Laptop"/>
    <s v="Computer"/>
    <m/>
    <x v="26"/>
    <x v="2"/>
    <x v="0"/>
    <x v="1"/>
    <x v="0"/>
  </r>
  <r>
    <d v="2020-05-01T00:00:00"/>
    <s v="1"/>
    <s v="Mei"/>
    <n v="10"/>
    <n v="6"/>
    <n v="4"/>
    <s v="Office Table"/>
    <s v="Furniture"/>
    <m/>
    <x v="34"/>
    <x v="0"/>
    <x v="0"/>
    <x v="1"/>
    <x v="2"/>
  </r>
  <r>
    <d v="2020-05-01T00:00:00"/>
    <s v="1"/>
    <s v="Mei"/>
    <n v="8"/>
    <n v="6"/>
    <n v="2"/>
    <s v="Laptop"/>
    <s v="Computer"/>
    <m/>
    <x v="2"/>
    <x v="3"/>
    <x v="0"/>
    <x v="0"/>
    <x v="3"/>
  </r>
  <r>
    <d v="2020-05-01T00:00:00"/>
    <s v="1"/>
    <s v="Mei"/>
    <n v="7"/>
    <n v="5"/>
    <n v="2"/>
    <s v="TV"/>
    <s v="Electronic"/>
    <m/>
    <x v="10"/>
    <x v="2"/>
    <x v="0"/>
    <x v="0"/>
    <x v="3"/>
  </r>
  <r>
    <d v="2020-05-01T00:00:00"/>
    <s v="1"/>
    <s v="Mei"/>
    <n v="7"/>
    <n v="6"/>
    <n v="1"/>
    <s v="Table Lamp"/>
    <s v="Accessories"/>
    <m/>
    <x v="36"/>
    <x v="2"/>
    <x v="0"/>
    <x v="1"/>
    <x v="0"/>
  </r>
  <r>
    <d v="2020-05-01T00:00:00"/>
    <s v="1"/>
    <s v="Mei"/>
    <n v="6"/>
    <n v="3"/>
    <n v="3"/>
    <s v="TV"/>
    <s v="Electronic"/>
    <m/>
    <x v="29"/>
    <x v="0"/>
    <x v="0"/>
    <x v="1"/>
    <x v="2"/>
  </r>
  <r>
    <d v="2020-05-01T00:00:00"/>
    <s v="1"/>
    <s v="Mei"/>
    <n v="4"/>
    <n v="2"/>
    <n v="2"/>
    <s v="Coffee Mach"/>
    <s v="Kitchen"/>
    <m/>
    <x v="38"/>
    <x v="2"/>
    <x v="0"/>
    <x v="1"/>
    <x v="3"/>
  </r>
  <r>
    <d v="2020-05-01T00:00:00"/>
    <s v="1"/>
    <s v="Mei"/>
    <n v="4"/>
    <n v="3"/>
    <n v="1"/>
    <s v="Office Chair"/>
    <s v="Furniture"/>
    <m/>
    <x v="3"/>
    <x v="0"/>
    <x v="0"/>
    <x v="0"/>
    <x v="1"/>
  </r>
  <r>
    <d v="2020-05-01T00:00:00"/>
    <s v="1"/>
    <s v="Mei"/>
    <n v="3"/>
    <n v="2"/>
    <n v="1"/>
    <s v="TV"/>
    <s v="Electronic"/>
    <m/>
    <x v="27"/>
    <x v="2"/>
    <x v="0"/>
    <x v="2"/>
    <x v="1"/>
  </r>
  <r>
    <d v="2020-05-01T00:00:00"/>
    <s v="1"/>
    <s v="Mei"/>
    <n v="3"/>
    <n v="1"/>
    <n v="2"/>
    <s v="Office Table"/>
    <s v="Furniture"/>
    <m/>
    <x v="44"/>
    <x v="1"/>
    <x v="0"/>
    <x v="1"/>
    <x v="2"/>
  </r>
  <r>
    <d v="2020-05-02T00:00:00"/>
    <s v="2"/>
    <s v="Mei"/>
    <n v="10"/>
    <n v="9"/>
    <n v="1"/>
    <s v="Coffee Mach"/>
    <s v="Kitchen"/>
    <m/>
    <x v="32"/>
    <x v="2"/>
    <x v="0"/>
    <x v="1"/>
    <x v="0"/>
  </r>
  <r>
    <d v="2020-05-02T00:00:00"/>
    <s v="2"/>
    <s v="Mei"/>
    <n v="4"/>
    <n v="3"/>
    <n v="1"/>
    <s v="Coffee Mach"/>
    <s v="Kitchen"/>
    <m/>
    <x v="31"/>
    <x v="2"/>
    <x v="0"/>
    <x v="1"/>
    <x v="2"/>
  </r>
  <r>
    <d v="2020-05-03T00:00:00"/>
    <s v="3"/>
    <s v="Mei"/>
    <n v="10"/>
    <n v="9"/>
    <n v="1"/>
    <s v="Printer"/>
    <s v="Computer"/>
    <m/>
    <x v="20"/>
    <x v="2"/>
    <x v="0"/>
    <x v="1"/>
    <x v="1"/>
  </r>
  <r>
    <d v="2020-05-03T00:00:00"/>
    <s v="3"/>
    <s v="Mei"/>
    <n v="9"/>
    <n v="5"/>
    <n v="4"/>
    <s v="Office Table"/>
    <s v="Furniture"/>
    <m/>
    <x v="40"/>
    <x v="5"/>
    <x v="0"/>
    <x v="1"/>
    <x v="3"/>
  </r>
  <r>
    <d v="2020-05-03T00:00:00"/>
    <s v="3"/>
    <s v="Mei"/>
    <n v="7"/>
    <n v="4"/>
    <n v="3"/>
    <s v="AC"/>
    <s v="Electronic"/>
    <m/>
    <x v="37"/>
    <x v="2"/>
    <x v="0"/>
    <x v="2"/>
    <x v="3"/>
  </r>
  <r>
    <d v="2020-05-03T00:00:00"/>
    <s v="3"/>
    <s v="Mei"/>
    <n v="7"/>
    <n v="6"/>
    <n v="1"/>
    <s v="AC"/>
    <s v="Electronic"/>
    <m/>
    <x v="8"/>
    <x v="1"/>
    <x v="0"/>
    <x v="1"/>
    <x v="2"/>
  </r>
  <r>
    <d v="2020-05-03T00:00:00"/>
    <s v="3"/>
    <s v="Mei"/>
    <n v="7"/>
    <n v="5"/>
    <n v="2"/>
    <s v="Printer"/>
    <s v="Computer"/>
    <m/>
    <x v="22"/>
    <x v="3"/>
    <x v="0"/>
    <x v="2"/>
    <x v="0"/>
  </r>
  <r>
    <d v="2020-05-03T00:00:00"/>
    <s v="3"/>
    <s v="Mei"/>
    <n v="6"/>
    <n v="3"/>
    <n v="3"/>
    <s v="Cable"/>
    <s v="Networking"/>
    <m/>
    <x v="26"/>
    <x v="2"/>
    <x v="0"/>
    <x v="1"/>
    <x v="3"/>
  </r>
  <r>
    <d v="2020-05-03T00:00:00"/>
    <s v="3"/>
    <s v="Mei"/>
    <n v="5"/>
    <n v="4"/>
    <n v="1"/>
    <s v="TV"/>
    <s v="Electronic"/>
    <m/>
    <x v="48"/>
    <x v="5"/>
    <x v="0"/>
    <x v="0"/>
    <x v="2"/>
  </r>
  <r>
    <d v="2020-05-03T00:00:00"/>
    <s v="3"/>
    <s v="Mei"/>
    <n v="3"/>
    <n v="2"/>
    <n v="1"/>
    <s v="Cable"/>
    <s v="Networking"/>
    <m/>
    <x v="21"/>
    <x v="0"/>
    <x v="0"/>
    <x v="0"/>
    <x v="1"/>
  </r>
  <r>
    <d v="2020-05-04T00:00:00"/>
    <s v="4"/>
    <s v="Mei"/>
    <n v="10"/>
    <n v="8"/>
    <n v="2"/>
    <s v="Coffee Mach"/>
    <s v="Kitchen"/>
    <m/>
    <x v="40"/>
    <x v="2"/>
    <x v="0"/>
    <x v="2"/>
    <x v="1"/>
  </r>
  <r>
    <d v="2020-05-04T00:00:00"/>
    <s v="4"/>
    <s v="Mei"/>
    <n v="9"/>
    <n v="5"/>
    <n v="4"/>
    <s v="AC"/>
    <s v="Electronic"/>
    <m/>
    <x v="28"/>
    <x v="0"/>
    <x v="0"/>
    <x v="0"/>
    <x v="2"/>
  </r>
  <r>
    <d v="2020-05-04T00:00:00"/>
    <s v="4"/>
    <s v="Mei"/>
    <n v="8"/>
    <n v="6"/>
    <n v="2"/>
    <s v="Printer"/>
    <s v="Computer"/>
    <m/>
    <x v="47"/>
    <x v="0"/>
    <x v="0"/>
    <x v="2"/>
    <x v="1"/>
  </r>
  <r>
    <d v="2020-05-04T00:00:00"/>
    <s v="4"/>
    <s v="Mei"/>
    <n v="6"/>
    <n v="3"/>
    <n v="3"/>
    <s v="Table Lamp"/>
    <s v="Accessories"/>
    <m/>
    <x v="6"/>
    <x v="2"/>
    <x v="0"/>
    <x v="2"/>
    <x v="0"/>
  </r>
  <r>
    <d v="2020-05-04T00:00:00"/>
    <s v="4"/>
    <s v="Mei"/>
    <n v="6"/>
    <n v="3"/>
    <n v="3"/>
    <s v="AC"/>
    <s v="Electronic"/>
    <m/>
    <x v="27"/>
    <x v="2"/>
    <x v="0"/>
    <x v="1"/>
    <x v="1"/>
  </r>
  <r>
    <d v="2020-05-04T00:00:00"/>
    <s v="4"/>
    <s v="Mei"/>
    <n v="5"/>
    <n v="3"/>
    <n v="2"/>
    <s v="Office Chair"/>
    <s v="Furniture"/>
    <m/>
    <x v="5"/>
    <x v="2"/>
    <x v="0"/>
    <x v="2"/>
    <x v="0"/>
  </r>
  <r>
    <d v="2020-05-05T00:00:00"/>
    <s v="5"/>
    <s v="Mei"/>
    <n v="10"/>
    <n v="10"/>
    <s v=""/>
    <s v="Table Lamp"/>
    <s v="Accessories"/>
    <m/>
    <x v="44"/>
    <x v="0"/>
    <x v="0"/>
    <x v="2"/>
    <x v="3"/>
  </r>
  <r>
    <d v="2020-05-05T00:00:00"/>
    <s v="5"/>
    <s v="Mei"/>
    <n v="10"/>
    <n v="10"/>
    <s v=""/>
    <s v="Laptop"/>
    <s v="Computer"/>
    <m/>
    <x v="7"/>
    <x v="0"/>
    <x v="0"/>
    <x v="1"/>
    <x v="2"/>
  </r>
  <r>
    <d v="2020-05-05T00:00:00"/>
    <s v="5"/>
    <s v="Mei"/>
    <n v="9"/>
    <n v="9"/>
    <s v=""/>
    <s v="Coffee Mach"/>
    <s v="Kitchen"/>
    <m/>
    <x v="37"/>
    <x v="2"/>
    <x v="0"/>
    <x v="2"/>
    <x v="1"/>
  </r>
  <r>
    <d v="2020-05-05T00:00:00"/>
    <s v="5"/>
    <s v="Mei"/>
    <n v="9"/>
    <n v="9"/>
    <s v=""/>
    <s v="TV"/>
    <s v="Electronic"/>
    <m/>
    <x v="16"/>
    <x v="2"/>
    <x v="0"/>
    <x v="2"/>
    <x v="0"/>
  </r>
  <r>
    <d v="2020-05-05T00:00:00"/>
    <s v="5"/>
    <s v="Mei"/>
    <n v="8"/>
    <n v="8"/>
    <s v=""/>
    <s v="Office Chair"/>
    <s v="Furniture"/>
    <m/>
    <x v="24"/>
    <x v="3"/>
    <x v="0"/>
    <x v="1"/>
    <x v="3"/>
  </r>
  <r>
    <d v="2020-05-05T00:00:00"/>
    <s v="5"/>
    <s v="Mei"/>
    <n v="6"/>
    <n v="6"/>
    <s v=""/>
    <s v="Laptop"/>
    <s v="Computer"/>
    <m/>
    <x v="19"/>
    <x v="0"/>
    <x v="0"/>
    <x v="1"/>
    <x v="1"/>
  </r>
  <r>
    <d v="2020-05-05T00:00:00"/>
    <s v="5"/>
    <s v="Mei"/>
    <n v="3"/>
    <n v="3"/>
    <s v=""/>
    <s v="Coffee Mach"/>
    <s v="Kitchen"/>
    <m/>
    <x v="22"/>
    <x v="2"/>
    <x v="0"/>
    <x v="0"/>
    <x v="2"/>
  </r>
  <r>
    <d v="2020-05-06T00:00:00"/>
    <s v="6"/>
    <s v="Mei"/>
    <n v="10"/>
    <n v="10"/>
    <s v=""/>
    <s v="Cable"/>
    <s v="Networking"/>
    <m/>
    <x v="11"/>
    <x v="3"/>
    <x v="0"/>
    <x v="2"/>
    <x v="2"/>
  </r>
  <r>
    <d v="2020-05-06T00:00:00"/>
    <s v="6"/>
    <s v="Mei"/>
    <n v="9"/>
    <n v="9"/>
    <s v=""/>
    <s v="Table Lamp"/>
    <s v="Accessories"/>
    <m/>
    <x v="44"/>
    <x v="4"/>
    <x v="0"/>
    <x v="2"/>
    <x v="1"/>
  </r>
  <r>
    <d v="2020-05-06T00:00:00"/>
    <s v="6"/>
    <s v="Mei"/>
    <n v="7"/>
    <n v="7"/>
    <s v=""/>
    <s v="Office Table"/>
    <s v="Furniture"/>
    <m/>
    <x v="40"/>
    <x v="2"/>
    <x v="0"/>
    <x v="0"/>
    <x v="1"/>
  </r>
  <r>
    <d v="2020-05-06T00:00:00"/>
    <s v="6"/>
    <s v="Mei"/>
    <n v="4"/>
    <n v="4"/>
    <s v=""/>
    <s v="Office Chair"/>
    <s v="Furniture"/>
    <m/>
    <x v="39"/>
    <x v="2"/>
    <x v="0"/>
    <x v="0"/>
    <x v="2"/>
  </r>
  <r>
    <d v="2020-05-06T00:00:00"/>
    <s v="6"/>
    <s v="Mei"/>
    <n v="3"/>
    <n v="3"/>
    <s v=""/>
    <s v="TV"/>
    <s v="Electronic"/>
    <m/>
    <x v="22"/>
    <x v="0"/>
    <x v="0"/>
    <x v="0"/>
    <x v="3"/>
  </r>
  <r>
    <d v="2020-05-07T00:00:00"/>
    <s v="7"/>
    <s v="Mei"/>
    <n v="9"/>
    <n v="9"/>
    <s v=""/>
    <s v="Printer"/>
    <s v="Computer"/>
    <m/>
    <x v="46"/>
    <x v="2"/>
    <x v="0"/>
    <x v="1"/>
    <x v="3"/>
  </r>
  <r>
    <d v="2020-05-07T00:00:00"/>
    <s v="7"/>
    <s v="Mei"/>
    <n v="9"/>
    <n v="9"/>
    <s v=""/>
    <s v="TV"/>
    <s v="Electronic"/>
    <m/>
    <x v="37"/>
    <x v="4"/>
    <x v="0"/>
    <x v="2"/>
    <x v="3"/>
  </r>
  <r>
    <d v="2020-05-07T00:00:00"/>
    <s v="7"/>
    <s v="Mei"/>
    <n v="9"/>
    <n v="9"/>
    <s v=""/>
    <s v="Cable"/>
    <s v="Networking"/>
    <m/>
    <x v="27"/>
    <x v="0"/>
    <x v="0"/>
    <x v="1"/>
    <x v="3"/>
  </r>
  <r>
    <d v="2020-05-07T00:00:00"/>
    <s v="7"/>
    <s v="Mei"/>
    <n v="9"/>
    <n v="9"/>
    <s v=""/>
    <s v="Office Table"/>
    <s v="Furniture"/>
    <m/>
    <x v="48"/>
    <x v="5"/>
    <x v="0"/>
    <x v="0"/>
    <x v="2"/>
  </r>
  <r>
    <d v="2020-05-07T00:00:00"/>
    <s v="7"/>
    <s v="Mei"/>
    <n v="8"/>
    <n v="8"/>
    <s v=""/>
    <s v="Coffee Mach"/>
    <s v="Kitchen"/>
    <m/>
    <x v="14"/>
    <x v="2"/>
    <x v="0"/>
    <x v="0"/>
    <x v="2"/>
  </r>
  <r>
    <d v="2020-05-07T00:00:00"/>
    <s v="7"/>
    <s v="Mei"/>
    <n v="7"/>
    <n v="7"/>
    <s v=""/>
    <s v="Laptop"/>
    <s v="Computer"/>
    <m/>
    <x v="19"/>
    <x v="2"/>
    <x v="0"/>
    <x v="2"/>
    <x v="3"/>
  </r>
  <r>
    <d v="2020-05-07T00:00:00"/>
    <s v="7"/>
    <s v="Mei"/>
    <n v="5"/>
    <n v="5"/>
    <s v=""/>
    <s v="Table Lamp"/>
    <s v="Accessories"/>
    <m/>
    <x v="9"/>
    <x v="2"/>
    <x v="0"/>
    <x v="1"/>
    <x v="0"/>
  </r>
  <r>
    <d v="2020-05-07T00:00:00"/>
    <s v="7"/>
    <s v="Mei"/>
    <n v="5"/>
    <n v="5"/>
    <s v=""/>
    <s v="Coffee Mach"/>
    <s v="Kitchen"/>
    <m/>
    <x v="8"/>
    <x v="2"/>
    <x v="0"/>
    <x v="0"/>
    <x v="2"/>
  </r>
  <r>
    <d v="2020-05-08T00:00:00"/>
    <s v="8"/>
    <s v="Mei"/>
    <n v="9"/>
    <n v="9"/>
    <s v=""/>
    <s v="Laptop"/>
    <s v="Computer"/>
    <m/>
    <x v="44"/>
    <x v="2"/>
    <x v="0"/>
    <x v="1"/>
    <x v="1"/>
  </r>
  <r>
    <d v="2020-05-08T00:00:00"/>
    <s v="8"/>
    <s v="Mei"/>
    <n v="7"/>
    <n v="7"/>
    <s v=""/>
    <s v="Printer"/>
    <s v="Computer"/>
    <m/>
    <x v="36"/>
    <x v="2"/>
    <x v="0"/>
    <x v="2"/>
    <x v="3"/>
  </r>
  <r>
    <d v="2020-05-08T00:00:00"/>
    <s v="8"/>
    <s v="Mei"/>
    <n v="7"/>
    <n v="7"/>
    <s v=""/>
    <s v="Office Chair"/>
    <s v="Furniture"/>
    <m/>
    <x v="30"/>
    <x v="3"/>
    <x v="0"/>
    <x v="2"/>
    <x v="2"/>
  </r>
  <r>
    <d v="2020-05-08T00:00:00"/>
    <s v="8"/>
    <s v="Mei"/>
    <n v="7"/>
    <n v="7"/>
    <s v=""/>
    <s v="TV"/>
    <s v="Electronic"/>
    <m/>
    <x v="39"/>
    <x v="5"/>
    <x v="0"/>
    <x v="0"/>
    <x v="2"/>
  </r>
  <r>
    <d v="2020-05-08T00:00:00"/>
    <s v="8"/>
    <s v="Mei"/>
    <n v="5"/>
    <n v="5"/>
    <s v=""/>
    <s v="Coffee Mach"/>
    <s v="Kitchen"/>
    <m/>
    <x v="28"/>
    <x v="3"/>
    <x v="0"/>
    <x v="2"/>
    <x v="2"/>
  </r>
  <r>
    <d v="2020-05-08T00:00:00"/>
    <s v="8"/>
    <s v="Mei"/>
    <n v="5"/>
    <n v="5"/>
    <s v=""/>
    <s v="Cable"/>
    <s v="Networking"/>
    <m/>
    <x v="20"/>
    <x v="0"/>
    <x v="0"/>
    <x v="0"/>
    <x v="1"/>
  </r>
  <r>
    <d v="2020-05-08T00:00:00"/>
    <s v="8"/>
    <s v="Mei"/>
    <n v="5"/>
    <n v="5"/>
    <s v=""/>
    <s v="Coffee Mach"/>
    <s v="Kitchen"/>
    <m/>
    <x v="34"/>
    <x v="0"/>
    <x v="0"/>
    <x v="0"/>
    <x v="2"/>
  </r>
  <r>
    <d v="2020-05-08T00:00:00"/>
    <s v="8"/>
    <s v="Mei"/>
    <n v="4"/>
    <n v="4"/>
    <s v=""/>
    <s v="TV"/>
    <s v="Electronic"/>
    <m/>
    <x v="37"/>
    <x v="2"/>
    <x v="0"/>
    <x v="0"/>
    <x v="2"/>
  </r>
  <r>
    <d v="2020-05-09T00:00:00"/>
    <s v="9"/>
    <s v="Mei"/>
    <n v="10"/>
    <n v="10"/>
    <s v=""/>
    <s v="Table Lamp"/>
    <s v="Accessories"/>
    <m/>
    <x v="17"/>
    <x v="2"/>
    <x v="0"/>
    <x v="2"/>
    <x v="2"/>
  </r>
  <r>
    <d v="2020-05-09T00:00:00"/>
    <s v="9"/>
    <s v="Mei"/>
    <n v="9"/>
    <n v="9"/>
    <s v=""/>
    <s v="TV"/>
    <s v="Electronic"/>
    <m/>
    <x v="27"/>
    <x v="3"/>
    <x v="0"/>
    <x v="0"/>
    <x v="2"/>
  </r>
  <r>
    <d v="2020-05-09T00:00:00"/>
    <s v="9"/>
    <s v="Mei"/>
    <n v="8"/>
    <n v="8"/>
    <s v=""/>
    <s v="Office Table"/>
    <s v="Furniture"/>
    <m/>
    <x v="11"/>
    <x v="0"/>
    <x v="0"/>
    <x v="0"/>
    <x v="3"/>
  </r>
  <r>
    <d v="2020-05-09T00:00:00"/>
    <s v="9"/>
    <s v="Mei"/>
    <n v="8"/>
    <n v="8"/>
    <s v=""/>
    <s v="Printer"/>
    <s v="Computer"/>
    <m/>
    <x v="44"/>
    <x v="0"/>
    <x v="0"/>
    <x v="1"/>
    <x v="3"/>
  </r>
  <r>
    <d v="2020-05-09T00:00:00"/>
    <s v="9"/>
    <s v="Mei"/>
    <n v="7"/>
    <n v="7"/>
    <s v=""/>
    <s v="AC"/>
    <s v="Electronic"/>
    <m/>
    <x v="48"/>
    <x v="3"/>
    <x v="0"/>
    <x v="1"/>
    <x v="0"/>
  </r>
  <r>
    <d v="2020-05-09T00:00:00"/>
    <s v="9"/>
    <s v="Mei"/>
    <n v="6"/>
    <n v="6"/>
    <s v=""/>
    <s v="TV"/>
    <s v="Electronic"/>
    <m/>
    <x v="14"/>
    <x v="4"/>
    <x v="0"/>
    <x v="1"/>
    <x v="0"/>
  </r>
  <r>
    <d v="2020-05-09T00:00:00"/>
    <s v="9"/>
    <s v="Mei"/>
    <n v="6"/>
    <n v="6"/>
    <s v=""/>
    <s v="Table Lamp"/>
    <s v="Accessories"/>
    <m/>
    <x v="5"/>
    <x v="2"/>
    <x v="0"/>
    <x v="0"/>
    <x v="3"/>
  </r>
  <r>
    <d v="2020-05-09T00:00:00"/>
    <s v="9"/>
    <s v="Mei"/>
    <n v="5"/>
    <n v="5"/>
    <s v=""/>
    <s v="TV"/>
    <s v="Electronic"/>
    <m/>
    <x v="40"/>
    <x v="0"/>
    <x v="0"/>
    <x v="2"/>
    <x v="0"/>
  </r>
  <r>
    <d v="2020-05-09T00:00:00"/>
    <s v="9"/>
    <s v="Mei"/>
    <n v="4"/>
    <n v="4"/>
    <s v=""/>
    <s v="AC"/>
    <s v="Electronic"/>
    <m/>
    <x v="3"/>
    <x v="0"/>
    <x v="0"/>
    <x v="2"/>
    <x v="1"/>
  </r>
  <r>
    <d v="2020-05-09T00:00:00"/>
    <s v="9"/>
    <s v="Mei"/>
    <n v="4"/>
    <n v="4"/>
    <s v=""/>
    <s v="Office Table"/>
    <s v="Furniture"/>
    <m/>
    <x v="36"/>
    <x v="0"/>
    <x v="0"/>
    <x v="0"/>
    <x v="1"/>
  </r>
  <r>
    <d v="2020-05-09T00:00:00"/>
    <s v="9"/>
    <s v="Mei"/>
    <n v="4"/>
    <n v="4"/>
    <s v=""/>
    <s v="Office Table"/>
    <s v="Furniture"/>
    <m/>
    <x v="22"/>
    <x v="2"/>
    <x v="0"/>
    <x v="0"/>
    <x v="0"/>
  </r>
  <r>
    <d v="2020-05-09T00:00:00"/>
    <s v="9"/>
    <s v="Mei"/>
    <n v="3"/>
    <n v="3"/>
    <s v=""/>
    <s v="Office Table"/>
    <s v="Furniture"/>
    <m/>
    <x v="42"/>
    <x v="4"/>
    <x v="0"/>
    <x v="1"/>
    <x v="2"/>
  </r>
  <r>
    <d v="2020-05-09T00:00:00"/>
    <s v="9"/>
    <s v="Mei"/>
    <n v="3"/>
    <n v="3"/>
    <s v=""/>
    <s v="AC"/>
    <s v="Electronic"/>
    <m/>
    <x v="41"/>
    <x v="0"/>
    <x v="0"/>
    <x v="1"/>
    <x v="3"/>
  </r>
  <r>
    <d v="2020-05-10T00:00:00"/>
    <s v="10"/>
    <s v="Mei"/>
    <n v="9"/>
    <n v="9"/>
    <s v=""/>
    <s v="Cable"/>
    <s v="Networking"/>
    <m/>
    <x v="40"/>
    <x v="2"/>
    <x v="0"/>
    <x v="0"/>
    <x v="3"/>
  </r>
  <r>
    <d v="2020-05-10T00:00:00"/>
    <s v="10"/>
    <s v="Mei"/>
    <n v="7"/>
    <n v="7"/>
    <s v=""/>
    <s v="Coffee Mach"/>
    <s v="Kitchen"/>
    <m/>
    <x v="30"/>
    <x v="4"/>
    <x v="0"/>
    <x v="0"/>
    <x v="2"/>
  </r>
  <r>
    <d v="2020-05-10T00:00:00"/>
    <s v="10"/>
    <s v="Mei"/>
    <n v="7"/>
    <n v="7"/>
    <s v=""/>
    <s v="TV"/>
    <s v="Electronic"/>
    <m/>
    <x v="21"/>
    <x v="0"/>
    <x v="0"/>
    <x v="1"/>
    <x v="0"/>
  </r>
  <r>
    <d v="2020-05-10T00:00:00"/>
    <s v="10"/>
    <s v="Mei"/>
    <n v="7"/>
    <n v="7"/>
    <s v=""/>
    <s v="Laptop"/>
    <s v="Computer"/>
    <m/>
    <x v="19"/>
    <x v="3"/>
    <x v="0"/>
    <x v="0"/>
    <x v="0"/>
  </r>
  <r>
    <d v="2020-05-10T00:00:00"/>
    <s v="10"/>
    <s v="Mei"/>
    <n v="5"/>
    <n v="5"/>
    <s v=""/>
    <s v="Office Chair"/>
    <s v="Furniture"/>
    <m/>
    <x v="48"/>
    <x v="3"/>
    <x v="0"/>
    <x v="2"/>
    <x v="1"/>
  </r>
  <r>
    <d v="2020-05-10T00:00:00"/>
    <s v="10"/>
    <s v="Mei"/>
    <n v="5"/>
    <n v="5"/>
    <s v=""/>
    <s v="Table Lamp"/>
    <s v="Accessories"/>
    <m/>
    <x v="16"/>
    <x v="2"/>
    <x v="0"/>
    <x v="2"/>
    <x v="3"/>
  </r>
  <r>
    <d v="2020-05-10T00:00:00"/>
    <s v="10"/>
    <s v="Mei"/>
    <n v="4"/>
    <n v="4"/>
    <s v=""/>
    <s v="Office Chair"/>
    <s v="Furniture"/>
    <m/>
    <x v="19"/>
    <x v="2"/>
    <x v="0"/>
    <x v="2"/>
    <x v="1"/>
  </r>
  <r>
    <d v="2020-05-11T00:00:00"/>
    <s v="11"/>
    <s v="Mei"/>
    <n v="9"/>
    <n v="9"/>
    <s v=""/>
    <s v="Office Table"/>
    <s v="Furniture"/>
    <m/>
    <x v="41"/>
    <x v="2"/>
    <x v="0"/>
    <x v="0"/>
    <x v="3"/>
  </r>
  <r>
    <d v="2020-05-11T00:00:00"/>
    <s v="11"/>
    <s v="Mei"/>
    <n v="9"/>
    <n v="9"/>
    <s v=""/>
    <s v="Office Table"/>
    <s v="Furniture"/>
    <m/>
    <x v="38"/>
    <x v="2"/>
    <x v="0"/>
    <x v="0"/>
    <x v="2"/>
  </r>
  <r>
    <d v="2020-05-11T00:00:00"/>
    <s v="11"/>
    <s v="Mei"/>
    <n v="9"/>
    <n v="9"/>
    <s v=""/>
    <s v="Printer"/>
    <s v="Computer"/>
    <m/>
    <x v="28"/>
    <x v="0"/>
    <x v="0"/>
    <x v="0"/>
    <x v="3"/>
  </r>
  <r>
    <d v="2020-05-11T00:00:00"/>
    <s v="11"/>
    <s v="Mei"/>
    <n v="5"/>
    <n v="5"/>
    <s v=""/>
    <s v="Printer"/>
    <s v="Computer"/>
    <m/>
    <x v="22"/>
    <x v="2"/>
    <x v="0"/>
    <x v="0"/>
    <x v="2"/>
  </r>
  <r>
    <d v="2020-05-11T00:00:00"/>
    <s v="11"/>
    <s v="Mei"/>
    <n v="4"/>
    <n v="4"/>
    <s v=""/>
    <s v="Printer"/>
    <s v="Computer"/>
    <m/>
    <x v="14"/>
    <x v="4"/>
    <x v="0"/>
    <x v="2"/>
    <x v="1"/>
  </r>
  <r>
    <d v="2020-05-11T00:00:00"/>
    <s v="11"/>
    <s v="Mei"/>
    <n v="4"/>
    <n v="4"/>
    <s v=""/>
    <s v="Laptop"/>
    <s v="Computer"/>
    <m/>
    <x v="37"/>
    <x v="2"/>
    <x v="0"/>
    <x v="0"/>
    <x v="1"/>
  </r>
  <r>
    <d v="2020-05-12T00:00:00"/>
    <s v="12"/>
    <s v="Mei"/>
    <n v="7"/>
    <n v="7"/>
    <s v=""/>
    <s v="Printer"/>
    <s v="Computer"/>
    <m/>
    <x v="8"/>
    <x v="2"/>
    <x v="0"/>
    <x v="1"/>
    <x v="1"/>
  </r>
  <r>
    <d v="2020-05-12T00:00:00"/>
    <s v="12"/>
    <s v="Mei"/>
    <n v="6"/>
    <n v="6"/>
    <s v=""/>
    <s v="Coffee Mach"/>
    <s v="Kitchen"/>
    <m/>
    <x v="44"/>
    <x v="2"/>
    <x v="0"/>
    <x v="2"/>
    <x v="0"/>
  </r>
  <r>
    <d v="2020-05-12T00:00:00"/>
    <s v="12"/>
    <s v="Mei"/>
    <n v="6"/>
    <n v="6"/>
    <s v=""/>
    <s v="Office Chair"/>
    <s v="Furniture"/>
    <m/>
    <x v="41"/>
    <x v="1"/>
    <x v="0"/>
    <x v="0"/>
    <x v="1"/>
  </r>
  <r>
    <d v="2020-05-12T00:00:00"/>
    <s v="12"/>
    <s v="Mei"/>
    <n v="5"/>
    <n v="5"/>
    <s v=""/>
    <s v="Table Lamp"/>
    <s v="Accessories"/>
    <m/>
    <x v="34"/>
    <x v="3"/>
    <x v="0"/>
    <x v="2"/>
    <x v="2"/>
  </r>
  <r>
    <d v="2020-05-12T00:00:00"/>
    <s v="12"/>
    <s v="Mei"/>
    <n v="4"/>
    <n v="4"/>
    <s v=""/>
    <s v="TV"/>
    <s v="Electronic"/>
    <m/>
    <x v="31"/>
    <x v="1"/>
    <x v="0"/>
    <x v="1"/>
    <x v="3"/>
  </r>
  <r>
    <d v="2020-05-13T00:00:00"/>
    <s v="13"/>
    <s v="Mei"/>
    <n v="8"/>
    <n v="8"/>
    <s v=""/>
    <s v="TV"/>
    <s v="Electronic"/>
    <m/>
    <x v="49"/>
    <x v="4"/>
    <x v="0"/>
    <x v="2"/>
    <x v="0"/>
  </r>
  <r>
    <d v="2020-05-13T00:00:00"/>
    <s v="13"/>
    <s v="Mei"/>
    <n v="5"/>
    <n v="5"/>
    <s v=""/>
    <s v="Office Chair"/>
    <s v="Furniture"/>
    <m/>
    <x v="27"/>
    <x v="0"/>
    <x v="0"/>
    <x v="2"/>
    <x v="3"/>
  </r>
  <r>
    <d v="2020-05-13T00:00:00"/>
    <s v="13"/>
    <s v="Mei"/>
    <n v="4"/>
    <n v="4"/>
    <s v=""/>
    <s v="Office Chair"/>
    <s v="Furniture"/>
    <m/>
    <x v="40"/>
    <x v="0"/>
    <x v="0"/>
    <x v="0"/>
    <x v="2"/>
  </r>
  <r>
    <d v="2020-05-13T00:00:00"/>
    <s v="13"/>
    <s v="Mei"/>
    <n v="3"/>
    <n v="3"/>
    <s v=""/>
    <s v="Table Lamp"/>
    <s v="Accessories"/>
    <m/>
    <x v="9"/>
    <x v="3"/>
    <x v="0"/>
    <x v="1"/>
    <x v="2"/>
  </r>
  <r>
    <d v="2020-05-14T00:00:00"/>
    <s v="14"/>
    <s v="Mei"/>
    <n v="10"/>
    <n v="10"/>
    <s v=""/>
    <s v="Office Table"/>
    <s v="Furniture"/>
    <m/>
    <x v="7"/>
    <x v="3"/>
    <x v="0"/>
    <x v="2"/>
    <x v="3"/>
  </r>
  <r>
    <d v="2020-05-14T00:00:00"/>
    <s v="14"/>
    <s v="Mei"/>
    <n v="10"/>
    <n v="10"/>
    <s v=""/>
    <s v="Laptop"/>
    <s v="Computer"/>
    <m/>
    <x v="16"/>
    <x v="0"/>
    <x v="0"/>
    <x v="0"/>
    <x v="3"/>
  </r>
  <r>
    <d v="2020-05-14T00:00:00"/>
    <s v="14"/>
    <s v="Mei"/>
    <n v="10"/>
    <n v="10"/>
    <s v=""/>
    <s v="AC"/>
    <s v="Electronic"/>
    <m/>
    <x v="9"/>
    <x v="4"/>
    <x v="0"/>
    <x v="1"/>
    <x v="0"/>
  </r>
  <r>
    <d v="2020-05-14T00:00:00"/>
    <s v="14"/>
    <s v="Mei"/>
    <n v="8"/>
    <n v="8"/>
    <s v=""/>
    <s v="Cable"/>
    <s v="Networking"/>
    <m/>
    <x v="45"/>
    <x v="2"/>
    <x v="0"/>
    <x v="0"/>
    <x v="0"/>
  </r>
  <r>
    <d v="2020-05-14T00:00:00"/>
    <s v="14"/>
    <s v="Mei"/>
    <n v="7"/>
    <n v="7"/>
    <s v=""/>
    <s v="Office Table"/>
    <s v="Furniture"/>
    <m/>
    <x v="31"/>
    <x v="0"/>
    <x v="0"/>
    <x v="2"/>
    <x v="3"/>
  </r>
  <r>
    <d v="2020-05-14T00:00:00"/>
    <s v="14"/>
    <s v="Mei"/>
    <n v="7"/>
    <n v="7"/>
    <s v=""/>
    <s v="Office Table"/>
    <s v="Furniture"/>
    <m/>
    <x v="38"/>
    <x v="2"/>
    <x v="0"/>
    <x v="0"/>
    <x v="1"/>
  </r>
  <r>
    <d v="2020-05-14T00:00:00"/>
    <s v="14"/>
    <s v="Mei"/>
    <n v="6"/>
    <n v="6"/>
    <s v=""/>
    <s v="TV"/>
    <s v="Electronic"/>
    <m/>
    <x v="33"/>
    <x v="5"/>
    <x v="0"/>
    <x v="2"/>
    <x v="3"/>
  </r>
  <r>
    <d v="2020-05-14T00:00:00"/>
    <s v="14"/>
    <s v="Mei"/>
    <n v="5"/>
    <n v="5"/>
    <s v=""/>
    <s v="TV"/>
    <s v="Electronic"/>
    <m/>
    <x v="37"/>
    <x v="0"/>
    <x v="0"/>
    <x v="2"/>
    <x v="2"/>
  </r>
  <r>
    <d v="2020-05-14T00:00:00"/>
    <s v="14"/>
    <s v="Mei"/>
    <n v="5"/>
    <n v="5"/>
    <s v=""/>
    <s v="Laptop"/>
    <s v="Computer"/>
    <m/>
    <x v="32"/>
    <x v="3"/>
    <x v="0"/>
    <x v="2"/>
    <x v="1"/>
  </r>
  <r>
    <d v="2020-05-14T00:00:00"/>
    <s v="14"/>
    <s v="Mei"/>
    <n v="5"/>
    <n v="5"/>
    <s v=""/>
    <s v="Cable"/>
    <s v="Networking"/>
    <m/>
    <x v="23"/>
    <x v="2"/>
    <x v="0"/>
    <x v="1"/>
    <x v="1"/>
  </r>
  <r>
    <d v="2020-05-14T00:00:00"/>
    <s v="14"/>
    <s v="Mei"/>
    <n v="5"/>
    <n v="5"/>
    <s v=""/>
    <s v="Office Chair"/>
    <s v="Furniture"/>
    <m/>
    <x v="23"/>
    <x v="2"/>
    <x v="0"/>
    <x v="2"/>
    <x v="1"/>
  </r>
  <r>
    <d v="2020-05-14T00:00:00"/>
    <s v="14"/>
    <s v="Mei"/>
    <n v="3"/>
    <n v="3"/>
    <s v=""/>
    <s v="AC"/>
    <s v="Electronic"/>
    <m/>
    <x v="43"/>
    <x v="2"/>
    <x v="0"/>
    <x v="2"/>
    <x v="1"/>
  </r>
  <r>
    <d v="2020-05-15T00:00:00"/>
    <s v="15"/>
    <s v="Mei"/>
    <n v="10"/>
    <n v="10"/>
    <s v=""/>
    <s v="Laptop"/>
    <s v="Computer"/>
    <m/>
    <x v="13"/>
    <x v="2"/>
    <x v="0"/>
    <x v="0"/>
    <x v="1"/>
  </r>
  <r>
    <d v="2020-05-15T00:00:00"/>
    <s v="15"/>
    <s v="Mei"/>
    <n v="10"/>
    <n v="10"/>
    <s v=""/>
    <s v="Printer"/>
    <s v="Computer"/>
    <m/>
    <x v="29"/>
    <x v="2"/>
    <x v="0"/>
    <x v="1"/>
    <x v="1"/>
  </r>
  <r>
    <d v="2020-05-15T00:00:00"/>
    <s v="15"/>
    <s v="Mei"/>
    <n v="8"/>
    <n v="8"/>
    <s v=""/>
    <s v="AC"/>
    <s v="Electronic"/>
    <m/>
    <x v="1"/>
    <x v="4"/>
    <x v="0"/>
    <x v="1"/>
    <x v="3"/>
  </r>
  <r>
    <d v="2020-05-15T00:00:00"/>
    <s v="15"/>
    <s v="Mei"/>
    <n v="7"/>
    <n v="7"/>
    <s v=""/>
    <s v="Laptop"/>
    <s v="Computer"/>
    <m/>
    <x v="4"/>
    <x v="5"/>
    <x v="0"/>
    <x v="2"/>
    <x v="1"/>
  </r>
  <r>
    <d v="2020-05-15T00:00:00"/>
    <s v="15"/>
    <s v="Mei"/>
    <n v="6"/>
    <n v="6"/>
    <s v=""/>
    <s v="Coffee Mach"/>
    <s v="Kitchen"/>
    <m/>
    <x v="22"/>
    <x v="4"/>
    <x v="0"/>
    <x v="1"/>
    <x v="2"/>
  </r>
  <r>
    <d v="2020-05-15T00:00:00"/>
    <s v="15"/>
    <s v="Mei"/>
    <n v="5"/>
    <n v="5"/>
    <s v=""/>
    <s v="Office Chair"/>
    <s v="Furniture"/>
    <m/>
    <x v="28"/>
    <x v="4"/>
    <x v="0"/>
    <x v="2"/>
    <x v="3"/>
  </r>
  <r>
    <d v="2020-05-15T00:00:00"/>
    <s v="15"/>
    <s v="Mei"/>
    <n v="5"/>
    <n v="5"/>
    <s v=""/>
    <s v="Office Chair"/>
    <s v="Furniture"/>
    <m/>
    <x v="14"/>
    <x v="2"/>
    <x v="0"/>
    <x v="2"/>
    <x v="2"/>
  </r>
  <r>
    <d v="2020-05-15T00:00:00"/>
    <s v="15"/>
    <s v="Mei"/>
    <n v="3"/>
    <n v="3"/>
    <s v=""/>
    <s v="Coffee Mach"/>
    <s v="Kitchen"/>
    <m/>
    <x v="9"/>
    <x v="0"/>
    <x v="0"/>
    <x v="0"/>
    <x v="1"/>
  </r>
  <r>
    <d v="2020-05-15T00:00:00"/>
    <s v="15"/>
    <s v="Mei"/>
    <n v="3"/>
    <n v="3"/>
    <s v=""/>
    <s v="Cable"/>
    <s v="Networking"/>
    <m/>
    <x v="46"/>
    <x v="2"/>
    <x v="0"/>
    <x v="2"/>
    <x v="0"/>
  </r>
  <r>
    <d v="2020-05-15T00:00:00"/>
    <s v="15"/>
    <s v="Mei"/>
    <n v="3"/>
    <n v="3"/>
    <s v=""/>
    <s v="TV"/>
    <s v="Electronic"/>
    <m/>
    <x v="49"/>
    <x v="0"/>
    <x v="0"/>
    <x v="0"/>
    <x v="2"/>
  </r>
  <r>
    <d v="2020-05-16T00:00:00"/>
    <s v="16"/>
    <s v="Mei"/>
    <n v="10"/>
    <n v="10"/>
    <s v=""/>
    <s v="Table Lamp"/>
    <s v="Accessories"/>
    <m/>
    <x v="6"/>
    <x v="2"/>
    <x v="0"/>
    <x v="2"/>
    <x v="2"/>
  </r>
  <r>
    <d v="2020-05-16T00:00:00"/>
    <s v="16"/>
    <s v="Mei"/>
    <n v="9"/>
    <n v="9"/>
    <s v=""/>
    <s v="Cable"/>
    <s v="Networking"/>
    <m/>
    <x v="27"/>
    <x v="0"/>
    <x v="0"/>
    <x v="2"/>
    <x v="1"/>
  </r>
  <r>
    <d v="2020-05-16T00:00:00"/>
    <s v="16"/>
    <s v="Mei"/>
    <n v="9"/>
    <n v="9"/>
    <s v=""/>
    <s v="AC"/>
    <s v="Electronic"/>
    <m/>
    <x v="36"/>
    <x v="2"/>
    <x v="0"/>
    <x v="0"/>
    <x v="1"/>
  </r>
  <r>
    <d v="2020-05-16T00:00:00"/>
    <s v="16"/>
    <s v="Mei"/>
    <n v="9"/>
    <n v="9"/>
    <s v=""/>
    <s v="Laptop"/>
    <s v="Computer"/>
    <m/>
    <x v="40"/>
    <x v="4"/>
    <x v="0"/>
    <x v="0"/>
    <x v="0"/>
  </r>
  <r>
    <d v="2020-05-16T00:00:00"/>
    <s v="16"/>
    <s v="Mei"/>
    <n v="9"/>
    <n v="9"/>
    <s v=""/>
    <s v="TV"/>
    <s v="Electronic"/>
    <m/>
    <x v="25"/>
    <x v="2"/>
    <x v="0"/>
    <x v="0"/>
    <x v="2"/>
  </r>
  <r>
    <d v="2020-05-16T00:00:00"/>
    <s v="16"/>
    <s v="Mei"/>
    <n v="8"/>
    <n v="8"/>
    <s v=""/>
    <s v="AC"/>
    <s v="Electronic"/>
    <m/>
    <x v="18"/>
    <x v="2"/>
    <x v="0"/>
    <x v="1"/>
    <x v="3"/>
  </r>
  <r>
    <d v="2020-05-16T00:00:00"/>
    <s v="16"/>
    <s v="Mei"/>
    <n v="7"/>
    <n v="7"/>
    <s v=""/>
    <s v="Office Table"/>
    <s v="Furniture"/>
    <m/>
    <x v="43"/>
    <x v="4"/>
    <x v="0"/>
    <x v="0"/>
    <x v="0"/>
  </r>
  <r>
    <d v="2020-05-16T00:00:00"/>
    <s v="16"/>
    <s v="Mei"/>
    <n v="6"/>
    <n v="6"/>
    <s v=""/>
    <s v="AC"/>
    <s v="Electronic"/>
    <m/>
    <x v="9"/>
    <x v="0"/>
    <x v="0"/>
    <x v="0"/>
    <x v="2"/>
  </r>
  <r>
    <d v="2020-05-16T00:00:00"/>
    <s v="16"/>
    <s v="Mei"/>
    <n v="5"/>
    <n v="5"/>
    <s v=""/>
    <s v="Printer"/>
    <s v="Computer"/>
    <m/>
    <x v="8"/>
    <x v="3"/>
    <x v="0"/>
    <x v="2"/>
    <x v="1"/>
  </r>
  <r>
    <d v="2020-05-16T00:00:00"/>
    <s v="16"/>
    <s v="Mei"/>
    <n v="4"/>
    <n v="4"/>
    <s v=""/>
    <s v="Printer"/>
    <s v="Computer"/>
    <m/>
    <x v="29"/>
    <x v="1"/>
    <x v="0"/>
    <x v="2"/>
    <x v="3"/>
  </r>
  <r>
    <d v="2020-05-16T00:00:00"/>
    <s v="16"/>
    <s v="Mei"/>
    <n v="3"/>
    <n v="3"/>
    <s v=""/>
    <s v="Table Lamp"/>
    <s v="Accessories"/>
    <m/>
    <x v="16"/>
    <x v="0"/>
    <x v="0"/>
    <x v="1"/>
    <x v="1"/>
  </r>
  <r>
    <d v="2020-05-16T00:00:00"/>
    <s v="16"/>
    <s v="Mei"/>
    <n v="3"/>
    <n v="3"/>
    <s v=""/>
    <s v="Office Table"/>
    <s v="Furniture"/>
    <m/>
    <x v="35"/>
    <x v="2"/>
    <x v="0"/>
    <x v="1"/>
    <x v="0"/>
  </r>
  <r>
    <d v="2020-05-17T00:00:00"/>
    <s v="17"/>
    <s v="Mei"/>
    <n v="10"/>
    <n v="10"/>
    <s v=""/>
    <s v="Coffee Mach"/>
    <s v="Kitchen"/>
    <m/>
    <x v="3"/>
    <x v="2"/>
    <x v="0"/>
    <x v="1"/>
    <x v="3"/>
  </r>
  <r>
    <d v="2020-05-17T00:00:00"/>
    <s v="17"/>
    <s v="Mei"/>
    <n v="9"/>
    <n v="9"/>
    <s v=""/>
    <s v="Table Lamp"/>
    <s v="Accessories"/>
    <m/>
    <x v="19"/>
    <x v="0"/>
    <x v="0"/>
    <x v="1"/>
    <x v="1"/>
  </r>
  <r>
    <d v="2020-05-17T00:00:00"/>
    <s v="17"/>
    <s v="Mei"/>
    <n v="9"/>
    <n v="9"/>
    <s v=""/>
    <s v="Office Table"/>
    <s v="Furniture"/>
    <m/>
    <x v="1"/>
    <x v="2"/>
    <x v="0"/>
    <x v="0"/>
    <x v="1"/>
  </r>
  <r>
    <d v="2020-05-17T00:00:00"/>
    <s v="17"/>
    <s v="Mei"/>
    <n v="8"/>
    <n v="8"/>
    <s v=""/>
    <s v="AC"/>
    <s v="Electronic"/>
    <m/>
    <x v="22"/>
    <x v="2"/>
    <x v="0"/>
    <x v="1"/>
    <x v="1"/>
  </r>
  <r>
    <d v="2020-05-17T00:00:00"/>
    <s v="17"/>
    <s v="Mei"/>
    <n v="6"/>
    <n v="6"/>
    <s v=""/>
    <s v="Table Lamp"/>
    <s v="Accessories"/>
    <m/>
    <x v="36"/>
    <x v="2"/>
    <x v="0"/>
    <x v="1"/>
    <x v="2"/>
  </r>
  <r>
    <d v="2020-05-17T00:00:00"/>
    <s v="17"/>
    <s v="Mei"/>
    <n v="6"/>
    <n v="6"/>
    <s v=""/>
    <s v="Table Lamp"/>
    <s v="Accessories"/>
    <m/>
    <x v="25"/>
    <x v="0"/>
    <x v="0"/>
    <x v="0"/>
    <x v="2"/>
  </r>
  <r>
    <d v="2020-05-17T00:00:00"/>
    <s v="17"/>
    <s v="Mei"/>
    <n v="5"/>
    <n v="5"/>
    <s v=""/>
    <s v="Laptop"/>
    <s v="Computer"/>
    <m/>
    <x v="1"/>
    <x v="3"/>
    <x v="0"/>
    <x v="1"/>
    <x v="0"/>
  </r>
  <r>
    <d v="2020-05-17T00:00:00"/>
    <s v="17"/>
    <s v="Mei"/>
    <n v="5"/>
    <n v="5"/>
    <s v=""/>
    <s v="Cable"/>
    <s v="Networking"/>
    <m/>
    <x v="21"/>
    <x v="2"/>
    <x v="0"/>
    <x v="1"/>
    <x v="2"/>
  </r>
  <r>
    <d v="2020-05-17T00:00:00"/>
    <s v="17"/>
    <s v="Mei"/>
    <n v="5"/>
    <n v="5"/>
    <s v=""/>
    <s v="Laptop"/>
    <s v="Computer"/>
    <m/>
    <x v="3"/>
    <x v="2"/>
    <x v="0"/>
    <x v="2"/>
    <x v="1"/>
  </r>
  <r>
    <d v="2020-05-17T00:00:00"/>
    <s v="17"/>
    <s v="Mei"/>
    <n v="4"/>
    <n v="4"/>
    <s v=""/>
    <s v="AC"/>
    <s v="Electronic"/>
    <m/>
    <x v="23"/>
    <x v="2"/>
    <x v="0"/>
    <x v="2"/>
    <x v="0"/>
  </r>
  <r>
    <d v="2020-05-17T00:00:00"/>
    <s v="17"/>
    <s v="Mei"/>
    <n v="3"/>
    <n v="3"/>
    <s v=""/>
    <s v="AC"/>
    <s v="Electronic"/>
    <m/>
    <x v="41"/>
    <x v="3"/>
    <x v="0"/>
    <x v="1"/>
    <x v="1"/>
  </r>
  <r>
    <d v="2020-05-18T00:00:00"/>
    <s v="18"/>
    <s v="Mei"/>
    <n v="10"/>
    <n v="10"/>
    <s v=""/>
    <s v="Laptop"/>
    <s v="Computer"/>
    <m/>
    <x v="12"/>
    <x v="2"/>
    <x v="0"/>
    <x v="2"/>
    <x v="3"/>
  </r>
  <r>
    <d v="2020-05-18T00:00:00"/>
    <s v="18"/>
    <s v="Mei"/>
    <n v="10"/>
    <n v="10"/>
    <s v=""/>
    <s v="AC"/>
    <s v="Electronic"/>
    <m/>
    <x v="44"/>
    <x v="2"/>
    <x v="0"/>
    <x v="2"/>
    <x v="0"/>
  </r>
  <r>
    <d v="2020-05-18T00:00:00"/>
    <s v="18"/>
    <s v="Mei"/>
    <n v="10"/>
    <n v="10"/>
    <s v=""/>
    <s v="AC"/>
    <s v="Electronic"/>
    <m/>
    <x v="4"/>
    <x v="0"/>
    <x v="0"/>
    <x v="2"/>
    <x v="1"/>
  </r>
  <r>
    <d v="2020-05-18T00:00:00"/>
    <s v="18"/>
    <s v="Mei"/>
    <n v="9"/>
    <n v="9"/>
    <s v=""/>
    <s v="Office Table"/>
    <s v="Furniture"/>
    <m/>
    <x v="47"/>
    <x v="0"/>
    <x v="0"/>
    <x v="1"/>
    <x v="3"/>
  </r>
  <r>
    <d v="2020-05-18T00:00:00"/>
    <s v="18"/>
    <s v="Mei"/>
    <n v="9"/>
    <n v="9"/>
    <s v=""/>
    <s v="TV"/>
    <s v="Electronic"/>
    <m/>
    <x v="9"/>
    <x v="2"/>
    <x v="0"/>
    <x v="0"/>
    <x v="0"/>
  </r>
  <r>
    <d v="2020-05-18T00:00:00"/>
    <s v="18"/>
    <s v="Mei"/>
    <n v="7"/>
    <n v="7"/>
    <s v=""/>
    <s v="Coffee Mach"/>
    <s v="Kitchen"/>
    <m/>
    <x v="32"/>
    <x v="0"/>
    <x v="0"/>
    <x v="2"/>
    <x v="1"/>
  </r>
  <r>
    <d v="2020-05-18T00:00:00"/>
    <s v="18"/>
    <s v="Mei"/>
    <n v="6"/>
    <n v="6"/>
    <s v=""/>
    <s v="TV"/>
    <s v="Electronic"/>
    <m/>
    <x v="25"/>
    <x v="1"/>
    <x v="0"/>
    <x v="2"/>
    <x v="3"/>
  </r>
  <r>
    <d v="2020-05-18T00:00:00"/>
    <s v="18"/>
    <s v="Mei"/>
    <n v="5"/>
    <n v="5"/>
    <s v=""/>
    <s v="Office Chair"/>
    <s v="Furniture"/>
    <m/>
    <x v="26"/>
    <x v="2"/>
    <x v="0"/>
    <x v="1"/>
    <x v="2"/>
  </r>
  <r>
    <d v="2020-05-18T00:00:00"/>
    <s v="18"/>
    <s v="Mei"/>
    <n v="4"/>
    <n v="4"/>
    <s v=""/>
    <s v="Cable"/>
    <s v="Networking"/>
    <m/>
    <x v="29"/>
    <x v="0"/>
    <x v="0"/>
    <x v="1"/>
    <x v="3"/>
  </r>
  <r>
    <d v="2020-05-18T00:00:00"/>
    <s v="18"/>
    <s v="Mei"/>
    <n v="4"/>
    <n v="4"/>
    <s v=""/>
    <s v="Table Lamp"/>
    <s v="Accessories"/>
    <m/>
    <x v="26"/>
    <x v="3"/>
    <x v="0"/>
    <x v="2"/>
    <x v="0"/>
  </r>
  <r>
    <d v="2020-05-18T00:00:00"/>
    <s v="18"/>
    <s v="Mei"/>
    <n v="4"/>
    <n v="4"/>
    <s v=""/>
    <s v="TV"/>
    <s v="Electronic"/>
    <m/>
    <x v="23"/>
    <x v="0"/>
    <x v="0"/>
    <x v="2"/>
    <x v="2"/>
  </r>
  <r>
    <d v="2020-05-18T00:00:00"/>
    <s v="18"/>
    <s v="Mei"/>
    <n v="3"/>
    <n v="3"/>
    <s v=""/>
    <s v="Coffee Mach"/>
    <s v="Kitchen"/>
    <m/>
    <x v="31"/>
    <x v="3"/>
    <x v="0"/>
    <x v="1"/>
    <x v="2"/>
  </r>
  <r>
    <d v="2020-05-19T00:00:00"/>
    <s v="19"/>
    <s v="Mei"/>
    <n v="8"/>
    <n v="8"/>
    <s v=""/>
    <s v="Coffee Mach"/>
    <s v="Kitchen"/>
    <m/>
    <x v="13"/>
    <x v="0"/>
    <x v="0"/>
    <x v="1"/>
    <x v="0"/>
  </r>
  <r>
    <d v="2020-05-19T00:00:00"/>
    <s v="19"/>
    <s v="Mei"/>
    <n v="4"/>
    <n v="4"/>
    <s v=""/>
    <s v="Printer"/>
    <s v="Computer"/>
    <m/>
    <x v="6"/>
    <x v="2"/>
    <x v="0"/>
    <x v="0"/>
    <x v="0"/>
  </r>
  <r>
    <d v="2020-05-19T00:00:00"/>
    <s v="19"/>
    <s v="Mei"/>
    <n v="4"/>
    <n v="4"/>
    <s v=""/>
    <s v="Office Table"/>
    <s v="Furniture"/>
    <m/>
    <x v="30"/>
    <x v="4"/>
    <x v="0"/>
    <x v="0"/>
    <x v="2"/>
  </r>
  <r>
    <d v="2020-05-19T00:00:00"/>
    <s v="19"/>
    <s v="Mei"/>
    <n v="3"/>
    <n v="3"/>
    <s v=""/>
    <s v="AC"/>
    <s v="Electronic"/>
    <m/>
    <x v="22"/>
    <x v="2"/>
    <x v="0"/>
    <x v="2"/>
    <x v="2"/>
  </r>
  <r>
    <d v="2020-05-20T00:00:00"/>
    <s v="20"/>
    <s v="Mei"/>
    <n v="8"/>
    <n v="8"/>
    <s v=""/>
    <s v="AC"/>
    <s v="Electronic"/>
    <m/>
    <x v="29"/>
    <x v="2"/>
    <x v="0"/>
    <x v="0"/>
    <x v="2"/>
  </r>
  <r>
    <d v="2020-05-20T00:00:00"/>
    <s v="20"/>
    <s v="Mei"/>
    <n v="7"/>
    <n v="7"/>
    <s v=""/>
    <s v="Printer"/>
    <s v="Computer"/>
    <m/>
    <x v="48"/>
    <x v="0"/>
    <x v="0"/>
    <x v="1"/>
    <x v="1"/>
  </r>
  <r>
    <d v="2020-05-20T00:00:00"/>
    <s v="20"/>
    <s v="Mei"/>
    <n v="5"/>
    <n v="5"/>
    <s v=""/>
    <s v="Printer"/>
    <s v="Computer"/>
    <m/>
    <x v="49"/>
    <x v="4"/>
    <x v="0"/>
    <x v="1"/>
    <x v="2"/>
  </r>
  <r>
    <d v="2020-05-20T00:00:00"/>
    <s v="20"/>
    <s v="Mei"/>
    <n v="5"/>
    <n v="5"/>
    <s v=""/>
    <s v="Table Lamp"/>
    <s v="Accessories"/>
    <m/>
    <x v="36"/>
    <x v="0"/>
    <x v="0"/>
    <x v="0"/>
    <x v="3"/>
  </r>
  <r>
    <d v="2020-05-20T00:00:00"/>
    <s v="20"/>
    <s v="Mei"/>
    <n v="4"/>
    <n v="4"/>
    <s v=""/>
    <s v="AC"/>
    <s v="Electronic"/>
    <m/>
    <x v="39"/>
    <x v="4"/>
    <x v="0"/>
    <x v="1"/>
    <x v="1"/>
  </r>
  <r>
    <d v="2020-05-20T00:00:00"/>
    <s v="20"/>
    <s v="Mei"/>
    <n v="4"/>
    <n v="4"/>
    <s v=""/>
    <s v="AC"/>
    <s v="Electronic"/>
    <m/>
    <x v="7"/>
    <x v="3"/>
    <x v="0"/>
    <x v="2"/>
    <x v="2"/>
  </r>
  <r>
    <d v="2020-05-21T00:00:00"/>
    <s v="21"/>
    <s v="Mei"/>
    <n v="10"/>
    <n v="10"/>
    <s v=""/>
    <s v="Office Table"/>
    <s v="Furniture"/>
    <m/>
    <x v="25"/>
    <x v="1"/>
    <x v="0"/>
    <x v="2"/>
    <x v="1"/>
  </r>
  <r>
    <d v="2020-05-21T00:00:00"/>
    <s v="21"/>
    <s v="Mei"/>
    <n v="10"/>
    <n v="10"/>
    <s v=""/>
    <s v="TV"/>
    <s v="Electronic"/>
    <m/>
    <x v="18"/>
    <x v="0"/>
    <x v="0"/>
    <x v="0"/>
    <x v="2"/>
  </r>
  <r>
    <d v="2020-05-21T00:00:00"/>
    <s v="21"/>
    <s v="Mei"/>
    <n v="10"/>
    <n v="10"/>
    <s v=""/>
    <s v="Office Chair"/>
    <s v="Furniture"/>
    <m/>
    <x v="7"/>
    <x v="2"/>
    <x v="0"/>
    <x v="2"/>
    <x v="0"/>
  </r>
  <r>
    <d v="2020-05-21T00:00:00"/>
    <s v="21"/>
    <s v="Mei"/>
    <n v="10"/>
    <n v="10"/>
    <s v=""/>
    <s v="AC"/>
    <s v="Electronic"/>
    <m/>
    <x v="38"/>
    <x v="2"/>
    <x v="0"/>
    <x v="2"/>
    <x v="1"/>
  </r>
  <r>
    <d v="2020-05-21T00:00:00"/>
    <s v="21"/>
    <s v="Mei"/>
    <n v="9"/>
    <n v="9"/>
    <s v=""/>
    <s v="AC"/>
    <s v="Electronic"/>
    <m/>
    <x v="10"/>
    <x v="0"/>
    <x v="0"/>
    <x v="0"/>
    <x v="0"/>
  </r>
  <r>
    <d v="2020-05-21T00:00:00"/>
    <s v="21"/>
    <s v="Mei"/>
    <n v="8"/>
    <n v="8"/>
    <s v=""/>
    <s v="TV"/>
    <s v="Electronic"/>
    <m/>
    <x v="44"/>
    <x v="5"/>
    <x v="0"/>
    <x v="2"/>
    <x v="1"/>
  </r>
  <r>
    <d v="2020-05-21T00:00:00"/>
    <s v="21"/>
    <s v="Mei"/>
    <n v="5"/>
    <n v="5"/>
    <s v=""/>
    <s v="Printer"/>
    <s v="Computer"/>
    <m/>
    <x v="14"/>
    <x v="2"/>
    <x v="0"/>
    <x v="0"/>
    <x v="2"/>
  </r>
  <r>
    <d v="2020-05-21T00:00:00"/>
    <s v="21"/>
    <s v="Mei"/>
    <n v="3"/>
    <n v="3"/>
    <s v=""/>
    <s v="Office Chair"/>
    <s v="Furniture"/>
    <m/>
    <x v="9"/>
    <x v="4"/>
    <x v="0"/>
    <x v="1"/>
    <x v="2"/>
  </r>
  <r>
    <d v="2020-05-22T00:00:00"/>
    <s v="22"/>
    <s v="Mei"/>
    <n v="10"/>
    <n v="10"/>
    <s v=""/>
    <s v="Printer"/>
    <s v="Computer"/>
    <m/>
    <x v="42"/>
    <x v="2"/>
    <x v="0"/>
    <x v="2"/>
    <x v="2"/>
  </r>
  <r>
    <d v="2020-05-22T00:00:00"/>
    <s v="22"/>
    <s v="Mei"/>
    <n v="10"/>
    <n v="10"/>
    <s v=""/>
    <s v="Cable"/>
    <s v="Networking"/>
    <m/>
    <x v="9"/>
    <x v="1"/>
    <x v="0"/>
    <x v="1"/>
    <x v="0"/>
  </r>
  <r>
    <d v="2020-05-22T00:00:00"/>
    <s v="22"/>
    <s v="Mei"/>
    <n v="9"/>
    <n v="9"/>
    <s v=""/>
    <s v="Office Chair"/>
    <s v="Furniture"/>
    <m/>
    <x v="12"/>
    <x v="3"/>
    <x v="0"/>
    <x v="2"/>
    <x v="1"/>
  </r>
  <r>
    <d v="2020-05-22T00:00:00"/>
    <s v="22"/>
    <s v="Mei"/>
    <n v="9"/>
    <n v="9"/>
    <s v=""/>
    <s v="Office Table"/>
    <s v="Furniture"/>
    <m/>
    <x v="24"/>
    <x v="3"/>
    <x v="0"/>
    <x v="0"/>
    <x v="3"/>
  </r>
  <r>
    <d v="2020-05-22T00:00:00"/>
    <s v="22"/>
    <s v="Mei"/>
    <n v="9"/>
    <n v="9"/>
    <s v=""/>
    <s v="Printer"/>
    <s v="Computer"/>
    <m/>
    <x v="7"/>
    <x v="3"/>
    <x v="0"/>
    <x v="1"/>
    <x v="2"/>
  </r>
  <r>
    <d v="2020-05-22T00:00:00"/>
    <s v="22"/>
    <s v="Mei"/>
    <n v="9"/>
    <n v="9"/>
    <s v=""/>
    <s v="AC"/>
    <s v="Electronic"/>
    <m/>
    <x v="24"/>
    <x v="4"/>
    <x v="0"/>
    <x v="1"/>
    <x v="1"/>
  </r>
  <r>
    <d v="2020-05-22T00:00:00"/>
    <s v="22"/>
    <s v="Mei"/>
    <n v="9"/>
    <n v="9"/>
    <s v=""/>
    <s v="Cable"/>
    <s v="Networking"/>
    <m/>
    <x v="41"/>
    <x v="2"/>
    <x v="0"/>
    <x v="0"/>
    <x v="3"/>
  </r>
  <r>
    <d v="2020-05-22T00:00:00"/>
    <s v="22"/>
    <s v="Mei"/>
    <n v="6"/>
    <n v="6"/>
    <s v=""/>
    <s v="AC"/>
    <s v="Electronic"/>
    <m/>
    <x v="34"/>
    <x v="0"/>
    <x v="0"/>
    <x v="0"/>
    <x v="3"/>
  </r>
  <r>
    <d v="2020-05-22T00:00:00"/>
    <s v="22"/>
    <s v="Mei"/>
    <n v="5"/>
    <n v="5"/>
    <s v=""/>
    <s v="Coffee Mach"/>
    <s v="Kitchen"/>
    <m/>
    <x v="47"/>
    <x v="1"/>
    <x v="0"/>
    <x v="1"/>
    <x v="0"/>
  </r>
  <r>
    <d v="2020-05-22T00:00:00"/>
    <s v="22"/>
    <s v="Mei"/>
    <n v="4"/>
    <n v="4"/>
    <s v=""/>
    <s v="Cable"/>
    <s v="Networking"/>
    <m/>
    <x v="1"/>
    <x v="3"/>
    <x v="0"/>
    <x v="0"/>
    <x v="2"/>
  </r>
  <r>
    <d v="2020-05-22T00:00:00"/>
    <s v="22"/>
    <s v="Mei"/>
    <n v="3"/>
    <n v="3"/>
    <s v=""/>
    <s v="Coffee Mach"/>
    <s v="Kitchen"/>
    <m/>
    <x v="19"/>
    <x v="0"/>
    <x v="0"/>
    <x v="2"/>
    <x v="2"/>
  </r>
  <r>
    <d v="2020-05-23T00:00:00"/>
    <s v="23"/>
    <s v="Mei"/>
    <n v="10"/>
    <n v="10"/>
    <s v=""/>
    <s v="Office Table"/>
    <s v="Furniture"/>
    <m/>
    <x v="41"/>
    <x v="2"/>
    <x v="0"/>
    <x v="1"/>
    <x v="1"/>
  </r>
  <r>
    <d v="2020-05-23T00:00:00"/>
    <s v="23"/>
    <s v="Mei"/>
    <n v="9"/>
    <n v="9"/>
    <s v=""/>
    <s v="Office Chair"/>
    <s v="Furniture"/>
    <m/>
    <x v="12"/>
    <x v="0"/>
    <x v="0"/>
    <x v="1"/>
    <x v="0"/>
  </r>
  <r>
    <d v="2020-05-23T00:00:00"/>
    <s v="23"/>
    <s v="Mei"/>
    <n v="9"/>
    <n v="9"/>
    <s v=""/>
    <s v="TV"/>
    <s v="Electronic"/>
    <m/>
    <x v="41"/>
    <x v="2"/>
    <x v="0"/>
    <x v="0"/>
    <x v="2"/>
  </r>
  <r>
    <d v="2020-05-23T00:00:00"/>
    <s v="23"/>
    <s v="Mei"/>
    <n v="9"/>
    <n v="9"/>
    <s v=""/>
    <s v="TV"/>
    <s v="Electronic"/>
    <m/>
    <x v="0"/>
    <x v="0"/>
    <x v="0"/>
    <x v="2"/>
    <x v="2"/>
  </r>
  <r>
    <d v="2020-05-23T00:00:00"/>
    <s v="23"/>
    <s v="Mei"/>
    <n v="7"/>
    <n v="7"/>
    <s v=""/>
    <s v="Table Lamp"/>
    <s v="Accessories"/>
    <m/>
    <x v="7"/>
    <x v="1"/>
    <x v="0"/>
    <x v="2"/>
    <x v="3"/>
  </r>
  <r>
    <d v="2020-05-23T00:00:00"/>
    <s v="23"/>
    <s v="Mei"/>
    <n v="6"/>
    <n v="6"/>
    <s v=""/>
    <s v="Laptop"/>
    <s v="Computer"/>
    <m/>
    <x v="15"/>
    <x v="4"/>
    <x v="0"/>
    <x v="0"/>
    <x v="1"/>
  </r>
  <r>
    <d v="2020-05-23T00:00:00"/>
    <s v="23"/>
    <s v="Mei"/>
    <n v="4"/>
    <n v="4"/>
    <s v=""/>
    <s v="Printer"/>
    <s v="Computer"/>
    <m/>
    <x v="16"/>
    <x v="2"/>
    <x v="0"/>
    <x v="0"/>
    <x v="0"/>
  </r>
  <r>
    <d v="2020-05-23T00:00:00"/>
    <s v="23"/>
    <s v="Mei"/>
    <n v="4"/>
    <n v="4"/>
    <s v=""/>
    <s v="TV"/>
    <s v="Electronic"/>
    <m/>
    <x v="14"/>
    <x v="0"/>
    <x v="0"/>
    <x v="2"/>
    <x v="2"/>
  </r>
  <r>
    <d v="2020-05-23T00:00:00"/>
    <s v="23"/>
    <s v="Mei"/>
    <n v="3"/>
    <n v="3"/>
    <s v=""/>
    <s v="Laptop"/>
    <s v="Computer"/>
    <m/>
    <x v="7"/>
    <x v="0"/>
    <x v="0"/>
    <x v="0"/>
    <x v="1"/>
  </r>
  <r>
    <d v="2020-05-24T00:00:00"/>
    <s v="24"/>
    <s v="Mei"/>
    <n v="9"/>
    <n v="9"/>
    <s v=""/>
    <s v="Printer"/>
    <s v="Computer"/>
    <m/>
    <x v="9"/>
    <x v="2"/>
    <x v="0"/>
    <x v="2"/>
    <x v="0"/>
  </r>
  <r>
    <d v="2020-05-24T00:00:00"/>
    <s v="24"/>
    <s v="Mei"/>
    <n v="7"/>
    <n v="7"/>
    <s v=""/>
    <s v="TV"/>
    <s v="Electronic"/>
    <m/>
    <x v="10"/>
    <x v="2"/>
    <x v="0"/>
    <x v="1"/>
    <x v="1"/>
  </r>
  <r>
    <d v="2020-05-24T00:00:00"/>
    <s v="24"/>
    <s v="Mei"/>
    <n v="7"/>
    <n v="7"/>
    <s v=""/>
    <s v="Cable"/>
    <s v="Networking"/>
    <m/>
    <x v="10"/>
    <x v="0"/>
    <x v="0"/>
    <x v="0"/>
    <x v="1"/>
  </r>
  <r>
    <d v="2020-05-24T00:00:00"/>
    <s v="24"/>
    <s v="Mei"/>
    <n v="7"/>
    <n v="7"/>
    <s v=""/>
    <s v="Office Chair"/>
    <s v="Furniture"/>
    <m/>
    <x v="15"/>
    <x v="5"/>
    <x v="0"/>
    <x v="2"/>
    <x v="3"/>
  </r>
  <r>
    <d v="2020-05-24T00:00:00"/>
    <s v="24"/>
    <s v="Mei"/>
    <n v="6"/>
    <n v="6"/>
    <s v=""/>
    <s v="Cable"/>
    <s v="Networking"/>
    <m/>
    <x v="45"/>
    <x v="2"/>
    <x v="0"/>
    <x v="0"/>
    <x v="3"/>
  </r>
  <r>
    <d v="2020-05-24T00:00:00"/>
    <s v="24"/>
    <s v="Mei"/>
    <n v="5"/>
    <n v="5"/>
    <s v=""/>
    <s v="Office Table"/>
    <s v="Furniture"/>
    <m/>
    <x v="47"/>
    <x v="4"/>
    <x v="0"/>
    <x v="0"/>
    <x v="2"/>
  </r>
  <r>
    <d v="2020-05-24T00:00:00"/>
    <s v="24"/>
    <s v="Mei"/>
    <n v="5"/>
    <n v="5"/>
    <s v=""/>
    <s v="TV"/>
    <s v="Electronic"/>
    <m/>
    <x v="17"/>
    <x v="3"/>
    <x v="0"/>
    <x v="2"/>
    <x v="1"/>
  </r>
  <r>
    <d v="2020-05-24T00:00:00"/>
    <s v="24"/>
    <s v="Mei"/>
    <n v="4"/>
    <n v="4"/>
    <s v=""/>
    <s v="Office Chair"/>
    <s v="Furniture"/>
    <m/>
    <x v="43"/>
    <x v="4"/>
    <x v="0"/>
    <x v="1"/>
    <x v="1"/>
  </r>
  <r>
    <d v="2020-05-24T00:00:00"/>
    <s v="24"/>
    <s v="Mei"/>
    <n v="3"/>
    <n v="3"/>
    <s v=""/>
    <s v="Coffee Mach"/>
    <s v="Kitchen"/>
    <m/>
    <x v="24"/>
    <x v="0"/>
    <x v="0"/>
    <x v="0"/>
    <x v="0"/>
  </r>
  <r>
    <d v="2020-05-24T00:00:00"/>
    <s v="24"/>
    <s v="Mei"/>
    <n v="3"/>
    <n v="3"/>
    <s v=""/>
    <s v="Laptop"/>
    <s v="Computer"/>
    <m/>
    <x v="34"/>
    <x v="0"/>
    <x v="0"/>
    <x v="2"/>
    <x v="2"/>
  </r>
  <r>
    <d v="2020-05-25T00:00:00"/>
    <s v="25"/>
    <s v="Mei"/>
    <n v="9"/>
    <n v="9"/>
    <s v=""/>
    <s v="AC"/>
    <s v="Electronic"/>
    <m/>
    <x v="16"/>
    <x v="1"/>
    <x v="0"/>
    <x v="1"/>
    <x v="3"/>
  </r>
  <r>
    <d v="2020-05-25T00:00:00"/>
    <s v="25"/>
    <s v="Mei"/>
    <n v="8"/>
    <n v="8"/>
    <s v=""/>
    <s v="Laptop"/>
    <s v="Computer"/>
    <m/>
    <x v="32"/>
    <x v="0"/>
    <x v="0"/>
    <x v="1"/>
    <x v="2"/>
  </r>
  <r>
    <d v="2020-05-25T00:00:00"/>
    <s v="25"/>
    <s v="Mei"/>
    <n v="6"/>
    <n v="6"/>
    <s v=""/>
    <s v="TV"/>
    <s v="Electronic"/>
    <m/>
    <x v="25"/>
    <x v="4"/>
    <x v="0"/>
    <x v="0"/>
    <x v="3"/>
  </r>
  <r>
    <d v="2020-05-25T00:00:00"/>
    <s v="25"/>
    <s v="Mei"/>
    <n v="5"/>
    <n v="5"/>
    <s v=""/>
    <s v="Laptop"/>
    <s v="Computer"/>
    <m/>
    <x v="22"/>
    <x v="2"/>
    <x v="0"/>
    <x v="2"/>
    <x v="3"/>
  </r>
  <r>
    <d v="2020-05-25T00:00:00"/>
    <s v="25"/>
    <s v="Mei"/>
    <n v="4"/>
    <n v="4"/>
    <s v=""/>
    <s v="Printer"/>
    <s v="Computer"/>
    <m/>
    <x v="11"/>
    <x v="4"/>
    <x v="0"/>
    <x v="2"/>
    <x v="0"/>
  </r>
  <r>
    <d v="2020-05-25T00:00:00"/>
    <s v="25"/>
    <s v="Mei"/>
    <n v="3"/>
    <n v="3"/>
    <s v=""/>
    <s v="Laptop"/>
    <s v="Computer"/>
    <m/>
    <x v="47"/>
    <x v="2"/>
    <x v="0"/>
    <x v="2"/>
    <x v="1"/>
  </r>
  <r>
    <d v="2020-05-25T00:00:00"/>
    <s v="25"/>
    <s v="Mei"/>
    <n v="3"/>
    <n v="3"/>
    <s v=""/>
    <s v="Office Chair"/>
    <s v="Furniture"/>
    <m/>
    <x v="22"/>
    <x v="1"/>
    <x v="0"/>
    <x v="1"/>
    <x v="0"/>
  </r>
  <r>
    <d v="2020-05-26T00:00:00"/>
    <s v="26"/>
    <s v="Mei"/>
    <n v="10"/>
    <n v="10"/>
    <s v=""/>
    <s v="Table Lamp"/>
    <s v="Accessories"/>
    <m/>
    <x v="12"/>
    <x v="5"/>
    <x v="0"/>
    <x v="2"/>
    <x v="1"/>
  </r>
  <r>
    <d v="2020-05-26T00:00:00"/>
    <s v="26"/>
    <s v="Mei"/>
    <n v="7"/>
    <n v="7"/>
    <s v=""/>
    <s v="Cable"/>
    <s v="Networking"/>
    <m/>
    <x v="48"/>
    <x v="5"/>
    <x v="0"/>
    <x v="0"/>
    <x v="1"/>
  </r>
  <r>
    <d v="2020-05-26T00:00:00"/>
    <s v="26"/>
    <s v="Mei"/>
    <n v="6"/>
    <n v="6"/>
    <s v=""/>
    <s v="Coffee Mach"/>
    <s v="Kitchen"/>
    <m/>
    <x v="16"/>
    <x v="0"/>
    <x v="0"/>
    <x v="2"/>
    <x v="3"/>
  </r>
  <r>
    <d v="2020-05-26T00:00:00"/>
    <s v="26"/>
    <s v="Mei"/>
    <n v="5"/>
    <n v="5"/>
    <s v=""/>
    <s v="Office Chair"/>
    <s v="Furniture"/>
    <m/>
    <x v="1"/>
    <x v="0"/>
    <x v="0"/>
    <x v="1"/>
    <x v="2"/>
  </r>
  <r>
    <d v="2020-05-26T00:00:00"/>
    <s v="26"/>
    <s v="Mei"/>
    <n v="3"/>
    <n v="3"/>
    <s v=""/>
    <s v="Table Lamp"/>
    <s v="Accessories"/>
    <m/>
    <x v="46"/>
    <x v="4"/>
    <x v="0"/>
    <x v="2"/>
    <x v="2"/>
  </r>
  <r>
    <d v="2020-05-26T00:00:00"/>
    <s v="26"/>
    <s v="Mei"/>
    <n v="3"/>
    <n v="3"/>
    <s v=""/>
    <s v="Table Lamp"/>
    <s v="Accessories"/>
    <m/>
    <x v="17"/>
    <x v="0"/>
    <x v="0"/>
    <x v="2"/>
    <x v="2"/>
  </r>
  <r>
    <d v="2020-05-26T00:00:00"/>
    <s v="26"/>
    <s v="Mei"/>
    <n v="3"/>
    <n v="3"/>
    <s v=""/>
    <s v="Cable"/>
    <s v="Networking"/>
    <m/>
    <x v="37"/>
    <x v="3"/>
    <x v="0"/>
    <x v="0"/>
    <x v="2"/>
  </r>
  <r>
    <d v="2020-05-27T00:00:00"/>
    <s v="27"/>
    <s v="Mei"/>
    <n v="10"/>
    <n v="10"/>
    <s v=""/>
    <s v="Coffee Mach"/>
    <s v="Kitchen"/>
    <m/>
    <x v="38"/>
    <x v="2"/>
    <x v="0"/>
    <x v="0"/>
    <x v="0"/>
  </r>
  <r>
    <d v="2020-05-27T00:00:00"/>
    <s v="27"/>
    <s v="Mei"/>
    <n v="9"/>
    <n v="9"/>
    <s v=""/>
    <s v="Table Lamp"/>
    <s v="Accessories"/>
    <m/>
    <x v="17"/>
    <x v="5"/>
    <x v="0"/>
    <x v="1"/>
    <x v="1"/>
  </r>
  <r>
    <d v="2020-05-27T00:00:00"/>
    <s v="27"/>
    <s v="Mei"/>
    <n v="9"/>
    <n v="9"/>
    <s v=""/>
    <s v="AC"/>
    <s v="Electronic"/>
    <m/>
    <x v="47"/>
    <x v="5"/>
    <x v="0"/>
    <x v="1"/>
    <x v="2"/>
  </r>
  <r>
    <d v="2020-05-27T00:00:00"/>
    <s v="27"/>
    <s v="Mei"/>
    <n v="9"/>
    <n v="9"/>
    <s v=""/>
    <s v="Laptop"/>
    <s v="Computer"/>
    <m/>
    <x v="25"/>
    <x v="5"/>
    <x v="0"/>
    <x v="2"/>
    <x v="0"/>
  </r>
  <r>
    <d v="2020-05-27T00:00:00"/>
    <s v="27"/>
    <s v="Mei"/>
    <n v="6"/>
    <n v="6"/>
    <s v=""/>
    <s v="TV"/>
    <s v="Electronic"/>
    <m/>
    <x v="28"/>
    <x v="0"/>
    <x v="0"/>
    <x v="1"/>
    <x v="1"/>
  </r>
  <r>
    <d v="2020-05-27T00:00:00"/>
    <s v="27"/>
    <s v="Mei"/>
    <n v="4"/>
    <n v="4"/>
    <s v=""/>
    <s v="Printer"/>
    <s v="Computer"/>
    <m/>
    <x v="23"/>
    <x v="2"/>
    <x v="0"/>
    <x v="1"/>
    <x v="0"/>
  </r>
  <r>
    <d v="2020-05-27T00:00:00"/>
    <s v="27"/>
    <s v="Mei"/>
    <n v="4"/>
    <n v="4"/>
    <s v=""/>
    <s v="Coffee Mach"/>
    <s v="Kitchen"/>
    <m/>
    <x v="37"/>
    <x v="0"/>
    <x v="0"/>
    <x v="0"/>
    <x v="2"/>
  </r>
  <r>
    <d v="2020-05-27T00:00:00"/>
    <s v="27"/>
    <s v="Mei"/>
    <n v="4"/>
    <n v="4"/>
    <s v=""/>
    <s v="Laptop"/>
    <s v="Computer"/>
    <m/>
    <x v="11"/>
    <x v="2"/>
    <x v="0"/>
    <x v="1"/>
    <x v="3"/>
  </r>
  <r>
    <d v="2020-05-27T00:00:00"/>
    <s v="27"/>
    <s v="Mei"/>
    <n v="3"/>
    <n v="3"/>
    <s v=""/>
    <s v="Office Chair"/>
    <s v="Furniture"/>
    <m/>
    <x v="42"/>
    <x v="5"/>
    <x v="0"/>
    <x v="1"/>
    <x v="0"/>
  </r>
  <r>
    <d v="2020-05-27T00:00:00"/>
    <s v="27"/>
    <s v="Mei"/>
    <n v="3"/>
    <n v="3"/>
    <s v=""/>
    <s v="AC"/>
    <s v="Electronic"/>
    <m/>
    <x v="47"/>
    <x v="0"/>
    <x v="0"/>
    <x v="2"/>
    <x v="3"/>
  </r>
  <r>
    <d v="2020-05-27T00:00:00"/>
    <s v="27"/>
    <s v="Mei"/>
    <n v="3"/>
    <n v="3"/>
    <s v=""/>
    <s v="Coffee Mach"/>
    <s v="Kitchen"/>
    <m/>
    <x v="26"/>
    <x v="0"/>
    <x v="0"/>
    <x v="1"/>
    <x v="0"/>
  </r>
  <r>
    <d v="2020-05-28T00:00:00"/>
    <s v="28"/>
    <s v="Mei"/>
    <n v="10"/>
    <n v="10"/>
    <s v=""/>
    <s v="Table Lamp"/>
    <s v="Accessories"/>
    <m/>
    <x v="33"/>
    <x v="4"/>
    <x v="0"/>
    <x v="1"/>
    <x v="0"/>
  </r>
  <r>
    <d v="2020-05-28T00:00:00"/>
    <s v="28"/>
    <s v="Mei"/>
    <n v="9"/>
    <n v="9"/>
    <s v=""/>
    <s v="Table Lamp"/>
    <s v="Accessories"/>
    <m/>
    <x v="22"/>
    <x v="2"/>
    <x v="0"/>
    <x v="0"/>
    <x v="3"/>
  </r>
  <r>
    <d v="2020-05-28T00:00:00"/>
    <s v="28"/>
    <s v="Mei"/>
    <n v="9"/>
    <n v="9"/>
    <s v=""/>
    <s v="Printer"/>
    <s v="Computer"/>
    <m/>
    <x v="45"/>
    <x v="2"/>
    <x v="0"/>
    <x v="1"/>
    <x v="3"/>
  </r>
  <r>
    <d v="2020-05-28T00:00:00"/>
    <s v="28"/>
    <s v="Mei"/>
    <n v="9"/>
    <n v="9"/>
    <s v=""/>
    <s v="Laptop"/>
    <s v="Computer"/>
    <m/>
    <x v="14"/>
    <x v="2"/>
    <x v="0"/>
    <x v="1"/>
    <x v="3"/>
  </r>
  <r>
    <d v="2020-05-28T00:00:00"/>
    <s v="28"/>
    <s v="Mei"/>
    <n v="8"/>
    <n v="8"/>
    <s v=""/>
    <s v="Office Chair"/>
    <s v="Furniture"/>
    <m/>
    <x v="36"/>
    <x v="0"/>
    <x v="0"/>
    <x v="0"/>
    <x v="1"/>
  </r>
  <r>
    <d v="2020-05-28T00:00:00"/>
    <s v="28"/>
    <s v="Mei"/>
    <n v="6"/>
    <n v="6"/>
    <s v=""/>
    <s v="Table Lamp"/>
    <s v="Accessories"/>
    <m/>
    <x v="40"/>
    <x v="0"/>
    <x v="0"/>
    <x v="1"/>
    <x v="1"/>
  </r>
  <r>
    <d v="2020-05-28T00:00:00"/>
    <s v="28"/>
    <s v="Mei"/>
    <n v="6"/>
    <n v="6"/>
    <s v=""/>
    <s v="Laptop"/>
    <s v="Computer"/>
    <m/>
    <x v="7"/>
    <x v="0"/>
    <x v="0"/>
    <x v="0"/>
    <x v="1"/>
  </r>
  <r>
    <d v="2020-05-28T00:00:00"/>
    <s v="28"/>
    <s v="Mei"/>
    <n v="5"/>
    <n v="5"/>
    <s v=""/>
    <s v="TV"/>
    <s v="Electronic"/>
    <m/>
    <x v="33"/>
    <x v="2"/>
    <x v="0"/>
    <x v="0"/>
    <x v="1"/>
  </r>
  <r>
    <d v="2020-05-28T00:00:00"/>
    <s v="28"/>
    <s v="Mei"/>
    <n v="3"/>
    <n v="3"/>
    <s v=""/>
    <s v="Coffee Mach"/>
    <s v="Kitchen"/>
    <m/>
    <x v="21"/>
    <x v="2"/>
    <x v="0"/>
    <x v="0"/>
    <x v="3"/>
  </r>
  <r>
    <d v="2020-05-29T00:00:00"/>
    <s v="29"/>
    <s v="Mei"/>
    <n v="10"/>
    <n v="10"/>
    <s v=""/>
    <s v="Cable"/>
    <s v="Networking"/>
    <m/>
    <x v="29"/>
    <x v="2"/>
    <x v="0"/>
    <x v="1"/>
    <x v="2"/>
  </r>
  <r>
    <d v="2020-05-29T00:00:00"/>
    <s v="29"/>
    <s v="Mei"/>
    <n v="10"/>
    <n v="10"/>
    <s v=""/>
    <s v="Laptop"/>
    <s v="Computer"/>
    <m/>
    <x v="14"/>
    <x v="2"/>
    <x v="0"/>
    <x v="0"/>
    <x v="1"/>
  </r>
  <r>
    <d v="2020-05-29T00:00:00"/>
    <s v="29"/>
    <s v="Mei"/>
    <n v="9"/>
    <n v="9"/>
    <s v=""/>
    <s v="Coffee Mach"/>
    <s v="Kitchen"/>
    <m/>
    <x v="41"/>
    <x v="2"/>
    <x v="0"/>
    <x v="1"/>
    <x v="3"/>
  </r>
  <r>
    <d v="2020-05-29T00:00:00"/>
    <s v="29"/>
    <s v="Mei"/>
    <n v="8"/>
    <n v="8"/>
    <s v=""/>
    <s v="Printer"/>
    <s v="Computer"/>
    <m/>
    <x v="36"/>
    <x v="0"/>
    <x v="0"/>
    <x v="1"/>
    <x v="3"/>
  </r>
  <r>
    <d v="2020-05-29T00:00:00"/>
    <s v="29"/>
    <s v="Mei"/>
    <n v="8"/>
    <n v="8"/>
    <s v=""/>
    <s v="Coffee Mach"/>
    <s v="Kitchen"/>
    <m/>
    <x v="26"/>
    <x v="3"/>
    <x v="0"/>
    <x v="2"/>
    <x v="0"/>
  </r>
  <r>
    <d v="2020-05-29T00:00:00"/>
    <s v="29"/>
    <s v="Mei"/>
    <n v="7"/>
    <n v="7"/>
    <s v=""/>
    <s v="Table Lamp"/>
    <s v="Accessories"/>
    <m/>
    <x v="4"/>
    <x v="0"/>
    <x v="0"/>
    <x v="1"/>
    <x v="1"/>
  </r>
  <r>
    <d v="2020-05-29T00:00:00"/>
    <s v="29"/>
    <s v="Mei"/>
    <n v="6"/>
    <n v="6"/>
    <s v=""/>
    <s v="AC"/>
    <s v="Electronic"/>
    <m/>
    <x v="44"/>
    <x v="0"/>
    <x v="0"/>
    <x v="0"/>
    <x v="0"/>
  </r>
  <r>
    <d v="2020-05-29T00:00:00"/>
    <s v="29"/>
    <s v="Mei"/>
    <n v="6"/>
    <n v="6"/>
    <s v=""/>
    <s v="Office Chair"/>
    <s v="Furniture"/>
    <m/>
    <x v="14"/>
    <x v="0"/>
    <x v="0"/>
    <x v="2"/>
    <x v="2"/>
  </r>
  <r>
    <d v="2020-05-29T00:00:00"/>
    <s v="29"/>
    <s v="Mei"/>
    <n v="4"/>
    <n v="4"/>
    <s v=""/>
    <s v="Table Lamp"/>
    <s v="Accessories"/>
    <m/>
    <x v="42"/>
    <x v="0"/>
    <x v="0"/>
    <x v="2"/>
    <x v="3"/>
  </r>
  <r>
    <d v="2020-05-29T00:00:00"/>
    <s v="29"/>
    <s v="Mei"/>
    <n v="3"/>
    <n v="3"/>
    <s v=""/>
    <s v="AC"/>
    <s v="Electronic"/>
    <m/>
    <x v="21"/>
    <x v="1"/>
    <x v="0"/>
    <x v="0"/>
    <x v="3"/>
  </r>
  <r>
    <d v="2020-05-30T00:00:00"/>
    <s v="30"/>
    <s v="Mei"/>
    <n v="10"/>
    <n v="10"/>
    <s v=""/>
    <s v="Table Lamp"/>
    <s v="Accessories"/>
    <m/>
    <x v="25"/>
    <x v="4"/>
    <x v="0"/>
    <x v="1"/>
    <x v="1"/>
  </r>
  <r>
    <d v="2020-05-30T00:00:00"/>
    <s v="30"/>
    <s v="Mei"/>
    <n v="10"/>
    <n v="10"/>
    <s v=""/>
    <s v="TV"/>
    <s v="Electronic"/>
    <m/>
    <x v="42"/>
    <x v="4"/>
    <x v="0"/>
    <x v="0"/>
    <x v="2"/>
  </r>
  <r>
    <d v="2020-05-30T00:00:00"/>
    <s v="30"/>
    <s v="Mei"/>
    <n v="9"/>
    <n v="9"/>
    <s v=""/>
    <s v="Printer"/>
    <s v="Computer"/>
    <m/>
    <x v="10"/>
    <x v="0"/>
    <x v="0"/>
    <x v="2"/>
    <x v="3"/>
  </r>
  <r>
    <d v="2020-05-30T00:00:00"/>
    <s v="30"/>
    <s v="Mei"/>
    <n v="8"/>
    <n v="8"/>
    <s v=""/>
    <s v="TV"/>
    <s v="Electronic"/>
    <m/>
    <x v="46"/>
    <x v="2"/>
    <x v="0"/>
    <x v="2"/>
    <x v="1"/>
  </r>
  <r>
    <d v="2020-05-30T00:00:00"/>
    <s v="30"/>
    <s v="Mei"/>
    <n v="8"/>
    <n v="8"/>
    <s v=""/>
    <s v="Office Chair"/>
    <s v="Furniture"/>
    <m/>
    <x v="11"/>
    <x v="0"/>
    <x v="0"/>
    <x v="0"/>
    <x v="3"/>
  </r>
  <r>
    <d v="2020-05-30T00:00:00"/>
    <s v="30"/>
    <s v="Mei"/>
    <n v="8"/>
    <n v="8"/>
    <s v=""/>
    <s v="Office Chair"/>
    <s v="Furniture"/>
    <m/>
    <x v="42"/>
    <x v="0"/>
    <x v="0"/>
    <x v="2"/>
    <x v="2"/>
  </r>
  <r>
    <d v="2020-05-30T00:00:00"/>
    <s v="30"/>
    <s v="Mei"/>
    <n v="8"/>
    <n v="8"/>
    <s v=""/>
    <s v="AC"/>
    <s v="Electronic"/>
    <n v="100000000"/>
    <x v="28"/>
    <x v="0"/>
    <x v="0"/>
    <x v="1"/>
    <x v="1"/>
  </r>
  <r>
    <d v="2020-05-30T00:00:00"/>
    <s v="30"/>
    <s v="Mei"/>
    <n v="8"/>
    <n v="8"/>
    <s v=""/>
    <s v="Coffee Mach"/>
    <s v="Kitchen"/>
    <n v="100000000"/>
    <x v="4"/>
    <x v="0"/>
    <x v="0"/>
    <x v="1"/>
    <x v="3"/>
  </r>
  <r>
    <d v="2020-05-30T00:00:00"/>
    <s v="30"/>
    <s v="Mei"/>
    <n v="8"/>
    <n v="8"/>
    <s v=""/>
    <s v="Coffee Mach"/>
    <s v="Kitchen"/>
    <n v="140000000"/>
    <x v="24"/>
    <x v="2"/>
    <x v="0"/>
    <x v="2"/>
    <x v="3"/>
  </r>
  <r>
    <d v="2020-05-30T00:00:00"/>
    <s v="30"/>
    <s v="Mei"/>
    <n v="7"/>
    <n v="7"/>
    <s v=""/>
    <s v="AC"/>
    <s v="Electronic"/>
    <n v="140000000"/>
    <x v="17"/>
    <x v="2"/>
    <x v="0"/>
    <x v="0"/>
    <x v="0"/>
  </r>
  <r>
    <d v="2020-05-30T00:00:00"/>
    <s v="30"/>
    <s v="Mei"/>
    <n v="6"/>
    <n v="6"/>
    <s v=""/>
    <s v="Laptop"/>
    <s v="Computer"/>
    <n v="120000000"/>
    <x v="16"/>
    <x v="4"/>
    <x v="0"/>
    <x v="1"/>
    <x v="0"/>
  </r>
  <r>
    <d v="2020-05-31T00:00:00"/>
    <s v="31"/>
    <s v="Mei"/>
    <n v="10"/>
    <n v="9"/>
    <n v="1"/>
    <s v="Office Table"/>
    <s v="Furniture"/>
    <n v="60000000"/>
    <x v="37"/>
    <x v="4"/>
    <x v="0"/>
    <x v="0"/>
    <x v="2"/>
  </r>
  <r>
    <d v="2020-05-31T00:00:00"/>
    <s v="31"/>
    <s v="Mei"/>
    <n v="10"/>
    <n v="8"/>
    <n v="2"/>
    <s v="Printer"/>
    <s v="Computer"/>
    <n v="140000000"/>
    <x v="29"/>
    <x v="0"/>
    <x v="0"/>
    <x v="0"/>
    <x v="1"/>
  </r>
  <r>
    <d v="2020-05-31T00:00:00"/>
    <s v="31"/>
    <s v="Mei"/>
    <n v="9"/>
    <n v="7"/>
    <n v="2"/>
    <s v="Table Lamp"/>
    <s v="Accessories"/>
    <n v="100000000"/>
    <x v="41"/>
    <x v="0"/>
    <x v="0"/>
    <x v="1"/>
    <x v="1"/>
  </r>
  <r>
    <d v="2020-05-31T00:00:00"/>
    <s v="31"/>
    <s v="Mei"/>
    <n v="9"/>
    <n v="5"/>
    <n v="4"/>
    <s v="Printer"/>
    <s v="Computer"/>
    <n v="60000000"/>
    <x v="37"/>
    <x v="2"/>
    <x v="0"/>
    <x v="2"/>
    <x v="0"/>
  </r>
  <r>
    <d v="2020-05-31T00:00:00"/>
    <s v="31"/>
    <s v="Mei"/>
    <n v="8"/>
    <n v="5"/>
    <n v="3"/>
    <s v="AC"/>
    <s v="Electronic"/>
    <n v="100000000"/>
    <x v="3"/>
    <x v="5"/>
    <x v="0"/>
    <x v="2"/>
    <x v="0"/>
  </r>
  <r>
    <d v="2020-05-31T00:00:00"/>
    <s v="31"/>
    <s v="Mei"/>
    <n v="8"/>
    <n v="5"/>
    <n v="3"/>
    <s v="TV"/>
    <s v="Electronic"/>
    <n v="140000000"/>
    <x v="24"/>
    <x v="3"/>
    <x v="0"/>
    <x v="1"/>
    <x v="1"/>
  </r>
  <r>
    <d v="2020-05-31T00:00:00"/>
    <s v="31"/>
    <s v="Mei"/>
    <n v="7"/>
    <n v="5"/>
    <n v="2"/>
    <s v="Office Chair"/>
    <s v="Furniture"/>
    <n v="60000000"/>
    <x v="29"/>
    <x v="0"/>
    <x v="0"/>
    <x v="0"/>
    <x v="1"/>
  </r>
  <r>
    <d v="2020-05-31T00:00:00"/>
    <s v="31"/>
    <s v="Mei"/>
    <n v="6"/>
    <n v="3"/>
    <n v="3"/>
    <s v="Laptop"/>
    <s v="Computer"/>
    <n v="140000000"/>
    <x v="7"/>
    <x v="2"/>
    <x v="0"/>
    <x v="0"/>
    <x v="0"/>
  </r>
  <r>
    <d v="2020-05-31T00:00:00"/>
    <s v="31"/>
    <s v="Mei"/>
    <n v="6"/>
    <n v="5"/>
    <n v="1"/>
    <s v="Coffee Mach"/>
    <s v="Kitchen"/>
    <n v="100000000"/>
    <x v="28"/>
    <x v="3"/>
    <x v="0"/>
    <x v="1"/>
    <x v="1"/>
  </r>
  <r>
    <d v="2020-05-31T00:00:00"/>
    <s v="31"/>
    <s v="Mei"/>
    <n v="6"/>
    <n v="3"/>
    <n v="3"/>
    <s v="TV"/>
    <s v="Electronic"/>
    <n v="40000000"/>
    <x v="45"/>
    <x v="4"/>
    <x v="0"/>
    <x v="2"/>
    <x v="1"/>
  </r>
  <r>
    <d v="2020-05-31T00:00:00"/>
    <s v="31"/>
    <s v="Mei"/>
    <n v="4"/>
    <n v="3"/>
    <n v="1"/>
    <s v="AC"/>
    <s v="Electronic"/>
    <n v="120000000"/>
    <x v="20"/>
    <x v="1"/>
    <x v="0"/>
    <x v="1"/>
    <x v="0"/>
  </r>
  <r>
    <d v="2020-05-31T00:00:00"/>
    <s v="31"/>
    <s v="Mei"/>
    <n v="4"/>
    <n v="3"/>
    <n v="1"/>
    <s v="Cable"/>
    <s v="Networking"/>
    <n v="120000000"/>
    <x v="33"/>
    <x v="1"/>
    <x v="0"/>
    <x v="2"/>
    <x v="0"/>
  </r>
  <r>
    <d v="2020-05-31T00:00:00"/>
    <s v="31"/>
    <s v="Mei"/>
    <n v="4"/>
    <n v="3"/>
    <n v="1"/>
    <s v="Office Chair"/>
    <s v="Furniture"/>
    <n v="100000000"/>
    <x v="14"/>
    <x v="4"/>
    <x v="0"/>
    <x v="0"/>
    <x v="1"/>
  </r>
  <r>
    <d v="2020-05-31T00:00:00"/>
    <s v="31"/>
    <s v="Mei"/>
    <n v="4"/>
    <n v="3"/>
    <n v="1"/>
    <s v="TV"/>
    <s v="Electronic"/>
    <n v="60000000"/>
    <x v="26"/>
    <x v="4"/>
    <x v="0"/>
    <x v="1"/>
    <x v="2"/>
  </r>
  <r>
    <d v="2020-05-31T00:00:00"/>
    <s v="31"/>
    <s v="Mei"/>
    <n v="3"/>
    <n v="2"/>
    <n v="1"/>
    <s v="Laptop"/>
    <s v="Computer"/>
    <n v="40000000"/>
    <x v="29"/>
    <x v="0"/>
    <x v="0"/>
    <x v="0"/>
    <x v="1"/>
  </r>
  <r>
    <d v="2020-06-01T00:00:00"/>
    <s v="1"/>
    <s v="Jun"/>
    <n v="10"/>
    <n v="10"/>
    <s v=""/>
    <s v="Office Table"/>
    <s v="Furniture"/>
    <n v="100000000"/>
    <x v="44"/>
    <x v="0"/>
    <x v="0"/>
    <x v="2"/>
    <x v="0"/>
  </r>
  <r>
    <d v="2020-06-01T00:00:00"/>
    <s v="1"/>
    <s v="Jun"/>
    <n v="9"/>
    <n v="9"/>
    <s v=""/>
    <s v="Coffee Mach"/>
    <s v="Kitchen"/>
    <n v="80000000"/>
    <x v="7"/>
    <x v="2"/>
    <x v="0"/>
    <x v="1"/>
    <x v="3"/>
  </r>
  <r>
    <d v="2020-06-01T00:00:00"/>
    <s v="1"/>
    <s v="Jun"/>
    <n v="9"/>
    <n v="9"/>
    <s v=""/>
    <s v="Coffee Mach"/>
    <s v="Kitchen"/>
    <n v="40000000"/>
    <x v="27"/>
    <x v="0"/>
    <x v="0"/>
    <x v="0"/>
    <x v="3"/>
  </r>
  <r>
    <d v="2020-06-01T00:00:00"/>
    <s v="1"/>
    <s v="Jun"/>
    <n v="8"/>
    <n v="8"/>
    <s v=""/>
    <s v="Laptop"/>
    <s v="Computer"/>
    <n v="80000000"/>
    <x v="47"/>
    <x v="1"/>
    <x v="0"/>
    <x v="0"/>
    <x v="0"/>
  </r>
  <r>
    <d v="2020-06-01T00:00:00"/>
    <s v="1"/>
    <s v="Jun"/>
    <n v="6"/>
    <n v="6"/>
    <s v=""/>
    <s v="Printer"/>
    <s v="Computer"/>
    <n v="140000000"/>
    <x v="15"/>
    <x v="4"/>
    <x v="0"/>
    <x v="1"/>
    <x v="3"/>
  </r>
  <r>
    <d v="2020-06-01T00:00:00"/>
    <s v="1"/>
    <s v="Jun"/>
    <n v="6"/>
    <n v="6"/>
    <s v=""/>
    <s v="Coffee Mach"/>
    <s v="Kitchen"/>
    <n v="120000000"/>
    <x v="3"/>
    <x v="2"/>
    <x v="0"/>
    <x v="2"/>
    <x v="3"/>
  </r>
  <r>
    <d v="2020-06-01T00:00:00"/>
    <s v="1"/>
    <s v="Jun"/>
    <n v="5"/>
    <n v="5"/>
    <s v=""/>
    <s v="Office Chair"/>
    <s v="Furniture"/>
    <n v="40000000"/>
    <x v="24"/>
    <x v="2"/>
    <x v="0"/>
    <x v="2"/>
    <x v="3"/>
  </r>
  <r>
    <d v="2020-06-01T00:00:00"/>
    <s v="1"/>
    <s v="Jun"/>
    <n v="5"/>
    <n v="5"/>
    <s v=""/>
    <s v="Office Table"/>
    <s v="Furniture"/>
    <n v="140000000"/>
    <x v="39"/>
    <x v="0"/>
    <x v="0"/>
    <x v="1"/>
    <x v="2"/>
  </r>
  <r>
    <d v="2020-06-01T00:00:00"/>
    <s v="1"/>
    <s v="Jun"/>
    <n v="4"/>
    <n v="4"/>
    <s v=""/>
    <s v="AC"/>
    <s v="Electronic"/>
    <n v="120000000"/>
    <x v="10"/>
    <x v="5"/>
    <x v="0"/>
    <x v="1"/>
    <x v="0"/>
  </r>
  <r>
    <d v="2020-06-01T00:00:00"/>
    <s v="1"/>
    <s v="Jun"/>
    <n v="4"/>
    <n v="4"/>
    <s v=""/>
    <s v="AC"/>
    <s v="Electronic"/>
    <n v="120000000"/>
    <x v="1"/>
    <x v="0"/>
    <x v="0"/>
    <x v="2"/>
    <x v="1"/>
  </r>
  <r>
    <d v="2020-06-01T00:00:00"/>
    <s v="1"/>
    <s v="Jun"/>
    <n v="4"/>
    <n v="4"/>
    <s v=""/>
    <s v="AC"/>
    <s v="Electronic"/>
    <n v="120000000"/>
    <x v="47"/>
    <x v="2"/>
    <x v="0"/>
    <x v="0"/>
    <x v="0"/>
  </r>
  <r>
    <d v="2020-06-01T00:00:00"/>
    <s v="1"/>
    <s v="Jun"/>
    <n v="3"/>
    <n v="3"/>
    <s v=""/>
    <s v="Printer"/>
    <s v="Computer"/>
    <n v="60000000"/>
    <x v="17"/>
    <x v="2"/>
    <x v="0"/>
    <x v="2"/>
    <x v="2"/>
  </r>
  <r>
    <d v="2020-06-01T00:00:00"/>
    <s v="1"/>
    <s v="Jun"/>
    <n v="3"/>
    <n v="3"/>
    <s v=""/>
    <s v="Laptop"/>
    <s v="Computer"/>
    <n v="140000000"/>
    <x v="36"/>
    <x v="4"/>
    <x v="0"/>
    <x v="1"/>
    <x v="3"/>
  </r>
  <r>
    <d v="2020-06-01T00:00:00"/>
    <s v="1"/>
    <s v="Jun"/>
    <n v="3"/>
    <n v="3"/>
    <s v=""/>
    <s v="Coffee Mach"/>
    <s v="Kitchen"/>
    <n v="80000000"/>
    <x v="32"/>
    <x v="0"/>
    <x v="0"/>
    <x v="2"/>
    <x v="0"/>
  </r>
  <r>
    <d v="2020-06-02T00:00:00"/>
    <s v="2"/>
    <s v="Jun"/>
    <n v="8"/>
    <n v="8"/>
    <s v=""/>
    <s v="Printer"/>
    <s v="Computer"/>
    <n v="100000000"/>
    <x v="48"/>
    <x v="2"/>
    <x v="0"/>
    <x v="2"/>
    <x v="3"/>
  </r>
  <r>
    <d v="2020-06-02T00:00:00"/>
    <s v="2"/>
    <s v="Jun"/>
    <n v="6"/>
    <n v="6"/>
    <s v=""/>
    <s v="TV"/>
    <s v="Electronic"/>
    <n v="80000000"/>
    <x v="27"/>
    <x v="5"/>
    <x v="0"/>
    <x v="2"/>
    <x v="2"/>
  </r>
  <r>
    <d v="2020-06-02T00:00:00"/>
    <s v="2"/>
    <s v="Jun"/>
    <n v="6"/>
    <n v="6"/>
    <s v=""/>
    <s v="Printer"/>
    <s v="Computer"/>
    <n v="60000000"/>
    <x v="34"/>
    <x v="3"/>
    <x v="0"/>
    <x v="2"/>
    <x v="3"/>
  </r>
  <r>
    <d v="2020-06-02T00:00:00"/>
    <s v="2"/>
    <s v="Jun"/>
    <n v="4"/>
    <n v="4"/>
    <s v=""/>
    <s v="Coffee Mach"/>
    <s v="Kitchen"/>
    <n v="40000000"/>
    <x v="11"/>
    <x v="2"/>
    <x v="0"/>
    <x v="2"/>
    <x v="0"/>
  </r>
  <r>
    <d v="2020-06-02T00:00:00"/>
    <s v="2"/>
    <s v="Jun"/>
    <n v="3"/>
    <n v="3"/>
    <s v=""/>
    <s v="Printer"/>
    <s v="Computer"/>
    <n v="60000000"/>
    <x v="9"/>
    <x v="0"/>
    <x v="0"/>
    <x v="0"/>
    <x v="1"/>
  </r>
  <r>
    <d v="2020-06-02T00:00:00"/>
    <s v="2"/>
    <s v="Jun"/>
    <n v="3"/>
    <n v="3"/>
    <s v=""/>
    <s v="AC"/>
    <s v="Electronic"/>
    <n v="40000000"/>
    <x v="21"/>
    <x v="4"/>
    <x v="0"/>
    <x v="1"/>
    <x v="2"/>
  </r>
  <r>
    <d v="2020-06-03T00:00:00"/>
    <s v="3"/>
    <s v="Jun"/>
    <n v="10"/>
    <n v="10"/>
    <s v=""/>
    <s v="Office Table"/>
    <s v="Furniture"/>
    <n v="80000000"/>
    <x v="10"/>
    <x v="2"/>
    <x v="0"/>
    <x v="2"/>
    <x v="2"/>
  </r>
  <r>
    <d v="2020-06-03T00:00:00"/>
    <s v="3"/>
    <s v="Jun"/>
    <n v="9"/>
    <n v="9"/>
    <s v=""/>
    <s v="Laptop"/>
    <s v="Computer"/>
    <n v="40000000"/>
    <x v="28"/>
    <x v="0"/>
    <x v="0"/>
    <x v="1"/>
    <x v="0"/>
  </r>
  <r>
    <d v="2020-06-03T00:00:00"/>
    <s v="3"/>
    <s v="Jun"/>
    <n v="7"/>
    <n v="7"/>
    <s v=""/>
    <s v="Office Table"/>
    <s v="Furniture"/>
    <n v="120000000"/>
    <x v="35"/>
    <x v="2"/>
    <x v="0"/>
    <x v="0"/>
    <x v="0"/>
  </r>
  <r>
    <d v="2020-06-03T00:00:00"/>
    <s v="3"/>
    <s v="Jun"/>
    <n v="7"/>
    <n v="7"/>
    <s v=""/>
    <s v="AC"/>
    <s v="Electronic"/>
    <n v="120000000"/>
    <x v="12"/>
    <x v="2"/>
    <x v="0"/>
    <x v="2"/>
    <x v="1"/>
  </r>
  <r>
    <d v="2020-06-03T00:00:00"/>
    <s v="3"/>
    <s v="Jun"/>
    <n v="6"/>
    <n v="6"/>
    <s v=""/>
    <s v="TV"/>
    <s v="Electronic"/>
    <n v="80000000"/>
    <x v="32"/>
    <x v="0"/>
    <x v="0"/>
    <x v="2"/>
    <x v="2"/>
  </r>
  <r>
    <d v="2020-06-03T00:00:00"/>
    <s v="3"/>
    <s v="Jun"/>
    <n v="6"/>
    <n v="6"/>
    <s v=""/>
    <s v="Cable"/>
    <s v="Networking"/>
    <n v="80000000"/>
    <x v="34"/>
    <x v="0"/>
    <x v="0"/>
    <x v="1"/>
    <x v="3"/>
  </r>
  <r>
    <d v="2020-06-03T00:00:00"/>
    <s v="3"/>
    <s v="Jun"/>
    <n v="5"/>
    <n v="5"/>
    <s v=""/>
    <s v="AC"/>
    <s v="Electronic"/>
    <n v="60000000"/>
    <x v="36"/>
    <x v="4"/>
    <x v="0"/>
    <x v="2"/>
    <x v="1"/>
  </r>
  <r>
    <d v="2020-06-03T00:00:00"/>
    <s v="3"/>
    <s v="Jun"/>
    <n v="5"/>
    <n v="5"/>
    <s v=""/>
    <s v="TV"/>
    <s v="Electronic"/>
    <n v="140000000"/>
    <x v="8"/>
    <x v="3"/>
    <x v="0"/>
    <x v="2"/>
    <x v="3"/>
  </r>
  <r>
    <d v="2020-06-03T00:00:00"/>
    <s v="3"/>
    <s v="Jun"/>
    <n v="3"/>
    <n v="3"/>
    <s v=""/>
    <s v="Laptop"/>
    <s v="Computer"/>
    <n v="60000000"/>
    <x v="0"/>
    <x v="2"/>
    <x v="0"/>
    <x v="2"/>
    <x v="1"/>
  </r>
  <r>
    <d v="2020-06-04T00:00:00"/>
    <s v="4"/>
    <s v="Jun"/>
    <n v="10"/>
    <n v="10"/>
    <s v=""/>
    <s v="Office Table"/>
    <s v="Furniture"/>
    <n v="120000000"/>
    <x v="37"/>
    <x v="0"/>
    <x v="0"/>
    <x v="1"/>
    <x v="0"/>
  </r>
  <r>
    <d v="2020-06-04T00:00:00"/>
    <s v="4"/>
    <s v="Jun"/>
    <n v="10"/>
    <n v="10"/>
    <s v=""/>
    <s v="Office Chair"/>
    <s v="Furniture"/>
    <n v="140000000"/>
    <x v="11"/>
    <x v="4"/>
    <x v="0"/>
    <x v="2"/>
    <x v="0"/>
  </r>
  <r>
    <d v="2020-06-04T00:00:00"/>
    <s v="4"/>
    <s v="Jun"/>
    <n v="9"/>
    <n v="9"/>
    <s v=""/>
    <s v="AC"/>
    <s v="Electronic"/>
    <n v="60000000"/>
    <x v="34"/>
    <x v="2"/>
    <x v="0"/>
    <x v="2"/>
    <x v="2"/>
  </r>
  <r>
    <d v="2020-06-04T00:00:00"/>
    <s v="4"/>
    <s v="Jun"/>
    <n v="9"/>
    <n v="9"/>
    <s v=""/>
    <s v="TV"/>
    <s v="Electronic"/>
    <n v="60000000"/>
    <x v="11"/>
    <x v="1"/>
    <x v="0"/>
    <x v="1"/>
    <x v="1"/>
  </r>
  <r>
    <d v="2020-06-04T00:00:00"/>
    <s v="4"/>
    <s v="Jun"/>
    <n v="9"/>
    <n v="9"/>
    <s v=""/>
    <s v="Laptop"/>
    <s v="Computer"/>
    <n v="140000000"/>
    <x v="42"/>
    <x v="0"/>
    <x v="0"/>
    <x v="1"/>
    <x v="1"/>
  </r>
  <r>
    <d v="2020-06-04T00:00:00"/>
    <s v="4"/>
    <s v="Jun"/>
    <n v="8"/>
    <n v="8"/>
    <s v=""/>
    <s v="Office Chair"/>
    <s v="Furniture"/>
    <n v="120000000"/>
    <x v="5"/>
    <x v="0"/>
    <x v="0"/>
    <x v="2"/>
    <x v="1"/>
  </r>
  <r>
    <d v="2020-06-04T00:00:00"/>
    <s v="4"/>
    <s v="Jun"/>
    <n v="6"/>
    <n v="6"/>
    <s v=""/>
    <s v="Coffee Mach"/>
    <s v="Kitchen"/>
    <n v="120000000"/>
    <x v="11"/>
    <x v="2"/>
    <x v="0"/>
    <x v="1"/>
    <x v="2"/>
  </r>
  <r>
    <d v="2020-06-04T00:00:00"/>
    <s v="4"/>
    <s v="Jun"/>
    <n v="5"/>
    <n v="5"/>
    <s v=""/>
    <s v="Office Chair"/>
    <s v="Furniture"/>
    <n v="40000000"/>
    <x v="13"/>
    <x v="2"/>
    <x v="0"/>
    <x v="0"/>
    <x v="3"/>
  </r>
  <r>
    <d v="2020-06-04T00:00:00"/>
    <s v="4"/>
    <s v="Jun"/>
    <n v="4"/>
    <n v="4"/>
    <s v=""/>
    <s v="AC"/>
    <s v="Electronic"/>
    <n v="40000000"/>
    <x v="4"/>
    <x v="2"/>
    <x v="0"/>
    <x v="1"/>
    <x v="3"/>
  </r>
  <r>
    <d v="2020-06-04T00:00:00"/>
    <s v="4"/>
    <s v="Jun"/>
    <n v="4"/>
    <n v="4"/>
    <s v=""/>
    <s v="Cable"/>
    <s v="Networking"/>
    <n v="100000000"/>
    <x v="1"/>
    <x v="5"/>
    <x v="0"/>
    <x v="1"/>
    <x v="1"/>
  </r>
  <r>
    <d v="2020-06-05T00:00:00"/>
    <s v="5"/>
    <s v="Jun"/>
    <n v="10"/>
    <n v="10"/>
    <s v=""/>
    <s v="Office Chair"/>
    <s v="Furniture"/>
    <n v="40000000"/>
    <x v="31"/>
    <x v="0"/>
    <x v="0"/>
    <x v="0"/>
    <x v="0"/>
  </r>
  <r>
    <d v="2020-06-05T00:00:00"/>
    <s v="5"/>
    <s v="Jun"/>
    <n v="9"/>
    <n v="9"/>
    <s v=""/>
    <s v="TV"/>
    <s v="Electronic"/>
    <n v="80000000"/>
    <x v="21"/>
    <x v="3"/>
    <x v="0"/>
    <x v="0"/>
    <x v="1"/>
  </r>
  <r>
    <d v="2020-06-05T00:00:00"/>
    <s v="5"/>
    <s v="Jun"/>
    <n v="8"/>
    <n v="8"/>
    <s v=""/>
    <s v="Office Table"/>
    <s v="Furniture"/>
    <n v="120000000"/>
    <x v="18"/>
    <x v="0"/>
    <x v="0"/>
    <x v="1"/>
    <x v="3"/>
  </r>
  <r>
    <d v="2020-06-05T00:00:00"/>
    <s v="5"/>
    <s v="Jun"/>
    <n v="8"/>
    <n v="8"/>
    <s v=""/>
    <s v="Laptop"/>
    <s v="Computer"/>
    <n v="140000000"/>
    <x v="39"/>
    <x v="2"/>
    <x v="0"/>
    <x v="1"/>
    <x v="2"/>
  </r>
  <r>
    <d v="2020-06-05T00:00:00"/>
    <s v="5"/>
    <s v="Jun"/>
    <n v="8"/>
    <n v="8"/>
    <s v=""/>
    <s v="Office Table"/>
    <s v="Furniture"/>
    <n v="80000000"/>
    <x v="6"/>
    <x v="0"/>
    <x v="0"/>
    <x v="0"/>
    <x v="0"/>
  </r>
  <r>
    <d v="2020-06-05T00:00:00"/>
    <s v="5"/>
    <s v="Jun"/>
    <n v="5"/>
    <n v="5"/>
    <s v=""/>
    <s v="TV"/>
    <s v="Electronic"/>
    <n v="100000000"/>
    <x v="37"/>
    <x v="2"/>
    <x v="0"/>
    <x v="0"/>
    <x v="1"/>
  </r>
  <r>
    <d v="2020-06-05T00:00:00"/>
    <s v="5"/>
    <s v="Jun"/>
    <n v="4"/>
    <n v="4"/>
    <s v=""/>
    <s v="AC"/>
    <s v="Electronic"/>
    <n v="120000000"/>
    <x v="2"/>
    <x v="3"/>
    <x v="0"/>
    <x v="0"/>
    <x v="3"/>
  </r>
  <r>
    <d v="2020-06-05T00:00:00"/>
    <s v="5"/>
    <s v="Jun"/>
    <n v="4"/>
    <n v="4"/>
    <s v=""/>
    <s v="AC"/>
    <s v="Electronic"/>
    <n v="120000000"/>
    <x v="5"/>
    <x v="0"/>
    <x v="0"/>
    <x v="2"/>
    <x v="1"/>
  </r>
  <r>
    <d v="2020-06-05T00:00:00"/>
    <s v="5"/>
    <s v="Jun"/>
    <n v="3"/>
    <n v="3"/>
    <s v=""/>
    <s v="Coffee Mach"/>
    <s v="Kitchen"/>
    <n v="60000000"/>
    <x v="15"/>
    <x v="4"/>
    <x v="0"/>
    <x v="0"/>
    <x v="0"/>
  </r>
  <r>
    <d v="2020-06-05T00:00:00"/>
    <s v="5"/>
    <s v="Jun"/>
    <n v="3"/>
    <n v="3"/>
    <s v=""/>
    <s v="Coffee Mach"/>
    <s v="Kitchen"/>
    <n v="80000000"/>
    <x v="48"/>
    <x v="2"/>
    <x v="0"/>
    <x v="2"/>
    <x v="0"/>
  </r>
  <r>
    <d v="2020-06-05T00:00:00"/>
    <s v="5"/>
    <s v="Jun"/>
    <n v="3"/>
    <n v="3"/>
    <s v=""/>
    <s v="Printer"/>
    <s v="Computer"/>
    <n v="80000000"/>
    <x v="17"/>
    <x v="2"/>
    <x v="0"/>
    <x v="0"/>
    <x v="0"/>
  </r>
  <r>
    <d v="2020-06-06T00:00:00"/>
    <s v="6"/>
    <s v="Jun"/>
    <n v="10"/>
    <n v="10"/>
    <s v=""/>
    <s v="Cable"/>
    <s v="Networking"/>
    <n v="120000000"/>
    <x v="49"/>
    <x v="5"/>
    <x v="0"/>
    <x v="2"/>
    <x v="2"/>
  </r>
  <r>
    <d v="2020-06-06T00:00:00"/>
    <s v="6"/>
    <s v="Jun"/>
    <n v="10"/>
    <n v="10"/>
    <s v=""/>
    <s v="Printer"/>
    <s v="Computer"/>
    <n v="80000000"/>
    <x v="24"/>
    <x v="3"/>
    <x v="0"/>
    <x v="0"/>
    <x v="2"/>
  </r>
  <r>
    <d v="2020-06-06T00:00:00"/>
    <s v="6"/>
    <s v="Jun"/>
    <n v="9"/>
    <n v="9"/>
    <s v=""/>
    <s v="Office Table"/>
    <s v="Furniture"/>
    <n v="80000000"/>
    <x v="12"/>
    <x v="0"/>
    <x v="0"/>
    <x v="0"/>
    <x v="1"/>
  </r>
  <r>
    <d v="2020-06-06T00:00:00"/>
    <s v="6"/>
    <s v="Jun"/>
    <n v="6"/>
    <n v="6"/>
    <s v=""/>
    <s v="Laptop"/>
    <s v="Computer"/>
    <n v="100000000"/>
    <x v="14"/>
    <x v="2"/>
    <x v="0"/>
    <x v="2"/>
    <x v="3"/>
  </r>
  <r>
    <d v="2020-06-06T00:00:00"/>
    <s v="6"/>
    <s v="Jun"/>
    <n v="5"/>
    <n v="5"/>
    <s v=""/>
    <s v="Table Lamp"/>
    <s v="Accessories"/>
    <n v="60000000"/>
    <x v="42"/>
    <x v="1"/>
    <x v="0"/>
    <x v="1"/>
    <x v="1"/>
  </r>
  <r>
    <d v="2020-06-06T00:00:00"/>
    <s v="6"/>
    <s v="Jun"/>
    <n v="4"/>
    <n v="4"/>
    <s v=""/>
    <s v="Laptop"/>
    <s v="Computer"/>
    <n v="40000000"/>
    <x v="34"/>
    <x v="0"/>
    <x v="0"/>
    <x v="0"/>
    <x v="3"/>
  </r>
  <r>
    <d v="2020-06-06T00:00:00"/>
    <s v="6"/>
    <s v="Jun"/>
    <n v="3"/>
    <n v="3"/>
    <s v=""/>
    <s v="Table Lamp"/>
    <s v="Accessories"/>
    <n v="80000000"/>
    <x v="48"/>
    <x v="0"/>
    <x v="0"/>
    <x v="2"/>
    <x v="0"/>
  </r>
  <r>
    <d v="2020-06-07T00:00:00"/>
    <s v="7"/>
    <s v="Jun"/>
    <n v="10"/>
    <n v="10"/>
    <s v=""/>
    <s v="Table Lamp"/>
    <s v="Accessories"/>
    <n v="80000000"/>
    <x v="49"/>
    <x v="2"/>
    <x v="0"/>
    <x v="2"/>
    <x v="3"/>
  </r>
  <r>
    <d v="2020-06-07T00:00:00"/>
    <s v="7"/>
    <s v="Jun"/>
    <n v="10"/>
    <n v="10"/>
    <s v=""/>
    <s v="Cable"/>
    <s v="Networking"/>
    <n v="60000000"/>
    <x v="31"/>
    <x v="3"/>
    <x v="0"/>
    <x v="2"/>
    <x v="2"/>
  </r>
  <r>
    <d v="2020-06-07T00:00:00"/>
    <s v="7"/>
    <s v="Jun"/>
    <n v="8"/>
    <n v="8"/>
    <s v=""/>
    <s v="AC"/>
    <s v="Electronic"/>
    <n v="100000000"/>
    <x v="32"/>
    <x v="5"/>
    <x v="0"/>
    <x v="1"/>
    <x v="0"/>
  </r>
  <r>
    <d v="2020-06-07T00:00:00"/>
    <s v="7"/>
    <s v="Jun"/>
    <n v="8"/>
    <n v="8"/>
    <s v=""/>
    <s v="AC"/>
    <s v="Electronic"/>
    <n v="120000000"/>
    <x v="48"/>
    <x v="2"/>
    <x v="0"/>
    <x v="0"/>
    <x v="2"/>
  </r>
  <r>
    <d v="2020-06-07T00:00:00"/>
    <s v="7"/>
    <s v="Jun"/>
    <n v="5"/>
    <n v="5"/>
    <s v=""/>
    <s v="Office Chair"/>
    <s v="Furniture"/>
    <n v="100000000"/>
    <x v="3"/>
    <x v="2"/>
    <x v="0"/>
    <x v="1"/>
    <x v="3"/>
  </r>
  <r>
    <d v="2020-06-07T00:00:00"/>
    <s v="7"/>
    <s v="Jun"/>
    <n v="4"/>
    <n v="4"/>
    <s v=""/>
    <s v="Office Chair"/>
    <s v="Furniture"/>
    <n v="120000000"/>
    <x v="30"/>
    <x v="5"/>
    <x v="0"/>
    <x v="0"/>
    <x v="1"/>
  </r>
  <r>
    <d v="2020-06-07T00:00:00"/>
    <s v="7"/>
    <s v="Jun"/>
    <n v="4"/>
    <n v="4"/>
    <s v=""/>
    <s v="Office Table"/>
    <s v="Furniture"/>
    <n v="100000000"/>
    <x v="10"/>
    <x v="4"/>
    <x v="0"/>
    <x v="1"/>
    <x v="3"/>
  </r>
  <r>
    <d v="2020-06-07T00:00:00"/>
    <s v="7"/>
    <s v="Jun"/>
    <n v="3"/>
    <n v="3"/>
    <s v=""/>
    <s v="Table Lamp"/>
    <s v="Accessories"/>
    <n v="60000000"/>
    <x v="29"/>
    <x v="2"/>
    <x v="0"/>
    <x v="0"/>
    <x v="0"/>
  </r>
  <r>
    <d v="2020-06-07T00:00:00"/>
    <s v="7"/>
    <s v="Jun"/>
    <n v="3"/>
    <n v="3"/>
    <s v=""/>
    <s v="Office Chair"/>
    <s v="Furniture"/>
    <n v="40000000"/>
    <x v="4"/>
    <x v="4"/>
    <x v="0"/>
    <x v="2"/>
    <x v="0"/>
  </r>
  <r>
    <d v="2020-06-07T00:00:00"/>
    <s v="7"/>
    <s v="Jun"/>
    <n v="3"/>
    <n v="3"/>
    <s v=""/>
    <s v="Laptop"/>
    <s v="Computer"/>
    <n v="60000000"/>
    <x v="42"/>
    <x v="0"/>
    <x v="0"/>
    <x v="1"/>
    <x v="3"/>
  </r>
  <r>
    <d v="2020-06-08T00:00:00"/>
    <s v="8"/>
    <s v="Jun"/>
    <n v="7"/>
    <n v="7"/>
    <s v=""/>
    <s v="Cable"/>
    <s v="Networking"/>
    <n v="60000000"/>
    <x v="43"/>
    <x v="2"/>
    <x v="0"/>
    <x v="0"/>
    <x v="1"/>
  </r>
  <r>
    <d v="2020-06-08T00:00:00"/>
    <s v="8"/>
    <s v="Jun"/>
    <n v="6"/>
    <n v="6"/>
    <s v=""/>
    <s v="Table Lamp"/>
    <s v="Accessories"/>
    <n v="140000000"/>
    <x v="38"/>
    <x v="2"/>
    <x v="0"/>
    <x v="2"/>
    <x v="3"/>
  </r>
  <r>
    <d v="2020-06-08T00:00:00"/>
    <s v="8"/>
    <s v="Jun"/>
    <n v="6"/>
    <n v="6"/>
    <s v=""/>
    <s v="Office Chair"/>
    <s v="Furniture"/>
    <n v="120000000"/>
    <x v="18"/>
    <x v="3"/>
    <x v="0"/>
    <x v="2"/>
    <x v="1"/>
  </r>
  <r>
    <d v="2020-06-08T00:00:00"/>
    <s v="8"/>
    <s v="Jun"/>
    <n v="6"/>
    <n v="6"/>
    <s v=""/>
    <s v="TV"/>
    <s v="Electronic"/>
    <n v="80000000"/>
    <x v="29"/>
    <x v="2"/>
    <x v="0"/>
    <x v="1"/>
    <x v="1"/>
  </r>
  <r>
    <d v="2020-06-08T00:00:00"/>
    <s v="8"/>
    <s v="Jun"/>
    <n v="3"/>
    <n v="3"/>
    <s v=""/>
    <s v="Office Table"/>
    <s v="Furniture"/>
    <n v="80000000"/>
    <x v="39"/>
    <x v="0"/>
    <x v="0"/>
    <x v="2"/>
    <x v="1"/>
  </r>
  <r>
    <d v="2020-06-08T00:00:00"/>
    <s v="8"/>
    <s v="Jun"/>
    <n v="3"/>
    <n v="3"/>
    <s v=""/>
    <s v="TV"/>
    <s v="Electronic"/>
    <n v="40000000"/>
    <x v="49"/>
    <x v="0"/>
    <x v="0"/>
    <x v="2"/>
    <x v="1"/>
  </r>
  <r>
    <d v="2020-06-09T00:00:00"/>
    <s v="9"/>
    <s v="Jun"/>
    <n v="10"/>
    <n v="10"/>
    <s v=""/>
    <s v="Laptop"/>
    <s v="Computer"/>
    <n v="40000000"/>
    <x v="27"/>
    <x v="5"/>
    <x v="0"/>
    <x v="0"/>
    <x v="1"/>
  </r>
  <r>
    <d v="2020-06-09T00:00:00"/>
    <s v="9"/>
    <s v="Jun"/>
    <n v="8"/>
    <n v="8"/>
    <s v=""/>
    <s v="Table Lamp"/>
    <s v="Accessories"/>
    <n v="100000000"/>
    <x v="43"/>
    <x v="0"/>
    <x v="0"/>
    <x v="2"/>
    <x v="2"/>
  </r>
  <r>
    <d v="2020-06-09T00:00:00"/>
    <s v="9"/>
    <s v="Jun"/>
    <n v="8"/>
    <n v="8"/>
    <s v=""/>
    <s v="Table Lamp"/>
    <s v="Accessories"/>
    <n v="140000000"/>
    <x v="10"/>
    <x v="2"/>
    <x v="0"/>
    <x v="1"/>
    <x v="1"/>
  </r>
  <r>
    <d v="2020-06-09T00:00:00"/>
    <s v="9"/>
    <s v="Jun"/>
    <n v="5"/>
    <n v="5"/>
    <s v=""/>
    <s v="Office Chair"/>
    <s v="Furniture"/>
    <n v="120000000"/>
    <x v="14"/>
    <x v="0"/>
    <x v="0"/>
    <x v="0"/>
    <x v="0"/>
  </r>
  <r>
    <d v="2020-06-09T00:00:00"/>
    <s v="9"/>
    <s v="Jun"/>
    <n v="4"/>
    <n v="4"/>
    <s v=""/>
    <s v="Laptop"/>
    <s v="Computer"/>
    <n v="100000000"/>
    <x v="25"/>
    <x v="0"/>
    <x v="0"/>
    <x v="1"/>
    <x v="0"/>
  </r>
  <r>
    <d v="2020-06-10T00:00:00"/>
    <s v="10"/>
    <s v="Jun"/>
    <n v="9"/>
    <n v="5"/>
    <n v="4"/>
    <s v="Printer"/>
    <s v="Computer"/>
    <n v="80000000"/>
    <x v="34"/>
    <x v="2"/>
    <x v="0"/>
    <x v="2"/>
    <x v="3"/>
  </r>
  <r>
    <d v="2020-06-10T00:00:00"/>
    <s v="10"/>
    <s v="Jun"/>
    <n v="8"/>
    <n v="4"/>
    <n v="4"/>
    <s v="Office Table"/>
    <s v="Furniture"/>
    <n v="100000000"/>
    <x v="40"/>
    <x v="0"/>
    <x v="0"/>
    <x v="2"/>
    <x v="1"/>
  </r>
  <r>
    <d v="2020-06-10T00:00:00"/>
    <s v="10"/>
    <s v="Jun"/>
    <n v="8"/>
    <n v="4"/>
    <n v="4"/>
    <s v="Cable"/>
    <s v="Networking"/>
    <n v="60000000"/>
    <x v="17"/>
    <x v="2"/>
    <x v="0"/>
    <x v="2"/>
    <x v="0"/>
  </r>
  <r>
    <d v="2020-06-10T00:00:00"/>
    <s v="10"/>
    <s v="Jun"/>
    <n v="5"/>
    <n v="3"/>
    <n v="2"/>
    <s v="Printer"/>
    <s v="Computer"/>
    <n v="40000000"/>
    <x v="6"/>
    <x v="4"/>
    <x v="0"/>
    <x v="0"/>
    <x v="0"/>
  </r>
  <r>
    <d v="2020-06-10T00:00:00"/>
    <s v="10"/>
    <s v="Jun"/>
    <n v="5"/>
    <n v="4"/>
    <n v="1"/>
    <s v="Printer"/>
    <s v="Computer"/>
    <n v="60000000"/>
    <x v="49"/>
    <x v="2"/>
    <x v="0"/>
    <x v="0"/>
    <x v="2"/>
  </r>
  <r>
    <d v="2020-06-10T00:00:00"/>
    <s v="10"/>
    <s v="Jun"/>
    <n v="5"/>
    <n v="3"/>
    <n v="2"/>
    <s v="TV"/>
    <s v="Electronic"/>
    <n v="140000000"/>
    <x v="35"/>
    <x v="2"/>
    <x v="0"/>
    <x v="2"/>
    <x v="3"/>
  </r>
  <r>
    <d v="2020-06-10T00:00:00"/>
    <s v="10"/>
    <s v="Jun"/>
    <n v="4"/>
    <n v="2"/>
    <n v="2"/>
    <s v="Laptop"/>
    <s v="Computer"/>
    <n v="140000000"/>
    <x v="17"/>
    <x v="0"/>
    <x v="0"/>
    <x v="1"/>
    <x v="2"/>
  </r>
  <r>
    <d v="2020-06-10T00:00:00"/>
    <s v="10"/>
    <s v="Jun"/>
    <n v="4"/>
    <n v="3"/>
    <n v="1"/>
    <s v="Table Lamp"/>
    <s v="Accessories"/>
    <n v="40000000"/>
    <x v="41"/>
    <x v="2"/>
    <x v="0"/>
    <x v="2"/>
    <x v="1"/>
  </r>
  <r>
    <d v="2020-06-11T00:00:00"/>
    <s v="11"/>
    <s v="Jun"/>
    <n v="10"/>
    <n v="6"/>
    <n v="4"/>
    <s v="TV"/>
    <s v="Electronic"/>
    <n v="60000000"/>
    <x v="1"/>
    <x v="2"/>
    <x v="0"/>
    <x v="0"/>
    <x v="1"/>
  </r>
  <r>
    <d v="2020-06-11T00:00:00"/>
    <s v="11"/>
    <s v="Jun"/>
    <n v="10"/>
    <n v="6"/>
    <n v="4"/>
    <s v="Laptop"/>
    <s v="Computer"/>
    <n v="100000000"/>
    <x v="33"/>
    <x v="0"/>
    <x v="0"/>
    <x v="0"/>
    <x v="2"/>
  </r>
  <r>
    <d v="2020-06-11T00:00:00"/>
    <s v="11"/>
    <s v="Jun"/>
    <n v="9"/>
    <n v="7"/>
    <n v="2"/>
    <s v="Office Table"/>
    <s v="Furniture"/>
    <n v="60000000"/>
    <x v="24"/>
    <x v="4"/>
    <x v="0"/>
    <x v="1"/>
    <x v="1"/>
  </r>
  <r>
    <d v="2020-06-11T00:00:00"/>
    <s v="11"/>
    <s v="Jun"/>
    <n v="9"/>
    <n v="5"/>
    <n v="4"/>
    <s v="Office Table"/>
    <s v="Furniture"/>
    <n v="100000000"/>
    <x v="45"/>
    <x v="0"/>
    <x v="0"/>
    <x v="0"/>
    <x v="3"/>
  </r>
  <r>
    <d v="2020-06-11T00:00:00"/>
    <s v="11"/>
    <s v="Jun"/>
    <n v="9"/>
    <n v="6"/>
    <n v="3"/>
    <s v="Laptop"/>
    <s v="Computer"/>
    <n v="100000000"/>
    <x v="4"/>
    <x v="0"/>
    <x v="0"/>
    <x v="2"/>
    <x v="3"/>
  </r>
  <r>
    <d v="2020-06-11T00:00:00"/>
    <s v="11"/>
    <s v="Jun"/>
    <n v="8"/>
    <n v="5"/>
    <n v="3"/>
    <s v="TV"/>
    <s v="Electronic"/>
    <n v="100000000"/>
    <x v="26"/>
    <x v="0"/>
    <x v="0"/>
    <x v="2"/>
    <x v="0"/>
  </r>
  <r>
    <d v="2020-06-11T00:00:00"/>
    <s v="11"/>
    <s v="Jun"/>
    <n v="8"/>
    <n v="5"/>
    <n v="3"/>
    <s v="Office Chair"/>
    <s v="Furniture"/>
    <n v="80000000"/>
    <x v="12"/>
    <x v="2"/>
    <x v="0"/>
    <x v="1"/>
    <x v="2"/>
  </r>
  <r>
    <d v="2020-06-11T00:00:00"/>
    <s v="11"/>
    <s v="Jun"/>
    <n v="7"/>
    <n v="4"/>
    <n v="3"/>
    <s v="Cable"/>
    <s v="Networking"/>
    <n v="40000000"/>
    <x v="8"/>
    <x v="0"/>
    <x v="0"/>
    <x v="0"/>
    <x v="2"/>
  </r>
  <r>
    <d v="2020-06-11T00:00:00"/>
    <s v="11"/>
    <s v="Jun"/>
    <n v="7"/>
    <n v="5"/>
    <n v="2"/>
    <s v="Cable"/>
    <s v="Networking"/>
    <n v="100000000"/>
    <x v="6"/>
    <x v="3"/>
    <x v="0"/>
    <x v="2"/>
    <x v="2"/>
  </r>
  <r>
    <d v="2020-06-11T00:00:00"/>
    <s v="11"/>
    <s v="Jun"/>
    <n v="4"/>
    <n v="3"/>
    <n v="1"/>
    <s v="TV"/>
    <s v="Electronic"/>
    <n v="60000000"/>
    <x v="15"/>
    <x v="0"/>
    <x v="0"/>
    <x v="1"/>
    <x v="3"/>
  </r>
  <r>
    <d v="2020-06-11T00:00:00"/>
    <s v="11"/>
    <s v="Jun"/>
    <n v="3"/>
    <n v="1"/>
    <n v="2"/>
    <s v="AC"/>
    <s v="Electronic"/>
    <n v="80000000"/>
    <x v="16"/>
    <x v="0"/>
    <x v="0"/>
    <x v="0"/>
    <x v="0"/>
  </r>
  <r>
    <d v="2020-06-12T00:00:00"/>
    <s v="12"/>
    <s v="Jun"/>
    <n v="8"/>
    <n v="7"/>
    <n v="1"/>
    <s v="Cable"/>
    <s v="Networking"/>
    <n v="140000000"/>
    <x v="49"/>
    <x v="2"/>
    <x v="0"/>
    <x v="2"/>
    <x v="3"/>
  </r>
  <r>
    <d v="2020-06-12T00:00:00"/>
    <s v="12"/>
    <s v="Jun"/>
    <n v="8"/>
    <n v="6"/>
    <n v="2"/>
    <s v="AC"/>
    <s v="Electronic"/>
    <n v="80000000"/>
    <x v="6"/>
    <x v="3"/>
    <x v="0"/>
    <x v="2"/>
    <x v="1"/>
  </r>
  <r>
    <d v="2020-06-12T00:00:00"/>
    <s v="12"/>
    <s v="Jun"/>
    <n v="7"/>
    <n v="4"/>
    <n v="3"/>
    <s v="Table Lamp"/>
    <s v="Accessories"/>
    <n v="40000000"/>
    <x v="23"/>
    <x v="2"/>
    <x v="0"/>
    <x v="1"/>
    <x v="0"/>
  </r>
  <r>
    <d v="2020-06-12T00:00:00"/>
    <s v="12"/>
    <s v="Jun"/>
    <n v="6"/>
    <n v="5"/>
    <n v="1"/>
    <s v="Laptop"/>
    <s v="Computer"/>
    <n v="80000000"/>
    <x v="36"/>
    <x v="0"/>
    <x v="0"/>
    <x v="1"/>
    <x v="0"/>
  </r>
  <r>
    <d v="2020-06-12T00:00:00"/>
    <s v="12"/>
    <s v="Jun"/>
    <n v="4"/>
    <n v="2"/>
    <n v="2"/>
    <s v="Coffee Mach"/>
    <s v="Kitchen"/>
    <n v="140000000"/>
    <x v="27"/>
    <x v="0"/>
    <x v="0"/>
    <x v="2"/>
    <x v="3"/>
  </r>
  <r>
    <d v="2020-06-12T00:00:00"/>
    <s v="12"/>
    <s v="Jun"/>
    <n v="3"/>
    <n v="2"/>
    <n v="1"/>
    <s v="Office Chair"/>
    <s v="Furniture"/>
    <n v="140000000"/>
    <x v="2"/>
    <x v="0"/>
    <x v="0"/>
    <x v="0"/>
    <x v="1"/>
  </r>
  <r>
    <d v="2020-06-13T00:00:00"/>
    <s v="13"/>
    <s v="Jun"/>
    <n v="9"/>
    <n v="8"/>
    <n v="1"/>
    <s v="Coffee Mach"/>
    <s v="Kitchen"/>
    <n v="80000000"/>
    <x v="32"/>
    <x v="0"/>
    <x v="0"/>
    <x v="1"/>
    <x v="0"/>
  </r>
  <r>
    <d v="2020-06-13T00:00:00"/>
    <s v="13"/>
    <s v="Jun"/>
    <n v="9"/>
    <n v="8"/>
    <n v="1"/>
    <s v="Office Table"/>
    <s v="Furniture"/>
    <n v="80000000"/>
    <x v="12"/>
    <x v="2"/>
    <x v="0"/>
    <x v="1"/>
    <x v="2"/>
  </r>
  <r>
    <d v="2020-06-13T00:00:00"/>
    <s v="13"/>
    <s v="Jun"/>
    <n v="6"/>
    <n v="4"/>
    <n v="2"/>
    <s v="Cable"/>
    <s v="Networking"/>
    <n v="80000000"/>
    <x v="24"/>
    <x v="2"/>
    <x v="0"/>
    <x v="0"/>
    <x v="3"/>
  </r>
  <r>
    <d v="2020-06-13T00:00:00"/>
    <s v="13"/>
    <s v="Jun"/>
    <n v="5"/>
    <n v="4"/>
    <n v="1"/>
    <s v="Table Lamp"/>
    <s v="Accessories"/>
    <n v="60000000"/>
    <x v="5"/>
    <x v="0"/>
    <x v="0"/>
    <x v="2"/>
    <x v="3"/>
  </r>
  <r>
    <d v="2020-06-13T00:00:00"/>
    <s v="13"/>
    <s v="Jun"/>
    <n v="4"/>
    <n v="3"/>
    <n v="1"/>
    <s v="Office Chair"/>
    <s v="Furniture"/>
    <n v="60000000"/>
    <x v="14"/>
    <x v="0"/>
    <x v="0"/>
    <x v="0"/>
    <x v="1"/>
  </r>
  <r>
    <d v="2020-06-13T00:00:00"/>
    <s v="13"/>
    <s v="Jun"/>
    <n v="3"/>
    <n v="2"/>
    <n v="1"/>
    <s v="Table Lamp"/>
    <s v="Accessories"/>
    <n v="60000000"/>
    <x v="25"/>
    <x v="0"/>
    <x v="0"/>
    <x v="0"/>
    <x v="2"/>
  </r>
  <r>
    <d v="2020-06-13T00:00:00"/>
    <s v="13"/>
    <s v="Jun"/>
    <n v="3"/>
    <n v="2"/>
    <n v="1"/>
    <s v="Cable"/>
    <s v="Networking"/>
    <n v="120000000"/>
    <x v="37"/>
    <x v="4"/>
    <x v="0"/>
    <x v="2"/>
    <x v="3"/>
  </r>
  <r>
    <d v="2020-06-14T00:00:00"/>
    <s v="14"/>
    <s v="Jun"/>
    <n v="10"/>
    <n v="7"/>
    <n v="3"/>
    <s v="TV"/>
    <s v="Electronic"/>
    <n v="100000000"/>
    <x v="48"/>
    <x v="0"/>
    <x v="0"/>
    <x v="2"/>
    <x v="0"/>
  </r>
  <r>
    <d v="2020-06-14T00:00:00"/>
    <s v="14"/>
    <s v="Jun"/>
    <n v="9"/>
    <n v="5"/>
    <n v="4"/>
    <s v="Table Lamp"/>
    <s v="Accessories"/>
    <n v="120000000"/>
    <x v="30"/>
    <x v="0"/>
    <x v="0"/>
    <x v="0"/>
    <x v="0"/>
  </r>
  <r>
    <d v="2020-06-14T00:00:00"/>
    <s v="14"/>
    <s v="Jun"/>
    <n v="6"/>
    <n v="5"/>
    <n v="1"/>
    <s v="Coffee Mach"/>
    <s v="Kitchen"/>
    <n v="60000000"/>
    <x v="49"/>
    <x v="3"/>
    <x v="0"/>
    <x v="0"/>
    <x v="3"/>
  </r>
  <r>
    <d v="2020-06-14T00:00:00"/>
    <s v="14"/>
    <s v="Jun"/>
    <n v="5"/>
    <n v="4"/>
    <n v="1"/>
    <s v="AC"/>
    <s v="Electronic"/>
    <n v="120000000"/>
    <x v="25"/>
    <x v="0"/>
    <x v="0"/>
    <x v="1"/>
    <x v="2"/>
  </r>
  <r>
    <d v="2020-06-14T00:00:00"/>
    <s v="14"/>
    <s v="Jun"/>
    <n v="5"/>
    <n v="3"/>
    <n v="2"/>
    <s v="Coffee Mach"/>
    <s v="Kitchen"/>
    <n v="40000000"/>
    <x v="42"/>
    <x v="5"/>
    <x v="0"/>
    <x v="2"/>
    <x v="0"/>
  </r>
  <r>
    <d v="2020-06-14T00:00:00"/>
    <s v="14"/>
    <s v="Jun"/>
    <n v="5"/>
    <n v="4"/>
    <n v="1"/>
    <s v="Office Table"/>
    <s v="Furniture"/>
    <n v="100000000"/>
    <x v="36"/>
    <x v="0"/>
    <x v="0"/>
    <x v="2"/>
    <x v="0"/>
  </r>
  <r>
    <d v="2020-06-15T00:00:00"/>
    <s v="15"/>
    <s v="Jun"/>
    <n v="10"/>
    <n v="6"/>
    <n v="4"/>
    <s v="TV"/>
    <s v="Electronic"/>
    <n v="40000000"/>
    <x v="6"/>
    <x v="0"/>
    <x v="0"/>
    <x v="0"/>
    <x v="1"/>
  </r>
  <r>
    <d v="2020-06-15T00:00:00"/>
    <s v="15"/>
    <s v="Jun"/>
    <n v="9"/>
    <n v="7"/>
    <n v="2"/>
    <s v="Printer"/>
    <s v="Computer"/>
    <n v="40000000"/>
    <x v="2"/>
    <x v="2"/>
    <x v="0"/>
    <x v="2"/>
    <x v="2"/>
  </r>
  <r>
    <d v="2020-06-15T00:00:00"/>
    <s v="15"/>
    <s v="Jun"/>
    <n v="8"/>
    <n v="6"/>
    <n v="2"/>
    <s v="Office Chair"/>
    <s v="Furniture"/>
    <n v="60000000"/>
    <x v="37"/>
    <x v="0"/>
    <x v="0"/>
    <x v="0"/>
    <x v="2"/>
  </r>
  <r>
    <d v="2020-06-15T00:00:00"/>
    <s v="15"/>
    <s v="Jun"/>
    <n v="8"/>
    <n v="7"/>
    <n v="1"/>
    <s v="AC"/>
    <s v="Electronic"/>
    <n v="40000000"/>
    <x v="40"/>
    <x v="5"/>
    <x v="0"/>
    <x v="0"/>
    <x v="2"/>
  </r>
  <r>
    <d v="2020-06-15T00:00:00"/>
    <s v="15"/>
    <s v="Jun"/>
    <n v="8"/>
    <n v="7"/>
    <n v="1"/>
    <s v="TV"/>
    <s v="Electronic"/>
    <n v="100000000"/>
    <x v="36"/>
    <x v="4"/>
    <x v="0"/>
    <x v="1"/>
    <x v="3"/>
  </r>
  <r>
    <d v="2020-06-15T00:00:00"/>
    <s v="15"/>
    <s v="Jun"/>
    <n v="8"/>
    <n v="6"/>
    <n v="2"/>
    <s v="Table Lamp"/>
    <s v="Accessories"/>
    <n v="60000000"/>
    <x v="30"/>
    <x v="5"/>
    <x v="0"/>
    <x v="1"/>
    <x v="3"/>
  </r>
  <r>
    <d v="2020-06-15T00:00:00"/>
    <s v="15"/>
    <s v="Jun"/>
    <n v="6"/>
    <n v="5"/>
    <n v="1"/>
    <s v="Laptop"/>
    <s v="Computer"/>
    <n v="120000000"/>
    <x v="8"/>
    <x v="2"/>
    <x v="0"/>
    <x v="2"/>
    <x v="0"/>
  </r>
  <r>
    <d v="2020-06-15T00:00:00"/>
    <s v="15"/>
    <s v="Jun"/>
    <n v="5"/>
    <n v="4"/>
    <n v="1"/>
    <s v="Printer"/>
    <s v="Computer"/>
    <n v="80000000"/>
    <x v="24"/>
    <x v="2"/>
    <x v="0"/>
    <x v="1"/>
    <x v="1"/>
  </r>
  <r>
    <d v="2020-06-15T00:00:00"/>
    <s v="15"/>
    <s v="Jun"/>
    <n v="3"/>
    <n v="1"/>
    <n v="2"/>
    <s v="Office Chair"/>
    <s v="Furniture"/>
    <n v="40000000"/>
    <x v="30"/>
    <x v="2"/>
    <x v="0"/>
    <x v="2"/>
    <x v="2"/>
  </r>
  <r>
    <d v="2020-06-16T00:00:00"/>
    <s v="16"/>
    <s v="Jun"/>
    <n v="9"/>
    <n v="6"/>
    <n v="3"/>
    <s v="Cable"/>
    <s v="Networking"/>
    <n v="140000000"/>
    <x v="6"/>
    <x v="3"/>
    <x v="0"/>
    <x v="0"/>
    <x v="1"/>
  </r>
  <r>
    <d v="2020-06-16T00:00:00"/>
    <s v="16"/>
    <s v="Jun"/>
    <n v="6"/>
    <n v="4"/>
    <n v="2"/>
    <s v="AC"/>
    <s v="Electronic"/>
    <n v="80000000"/>
    <x v="26"/>
    <x v="0"/>
    <x v="0"/>
    <x v="0"/>
    <x v="3"/>
  </r>
  <r>
    <d v="2020-06-16T00:00:00"/>
    <s v="16"/>
    <s v="Jun"/>
    <n v="5"/>
    <n v="4"/>
    <n v="1"/>
    <s v="TV"/>
    <s v="Electronic"/>
    <n v="40000000"/>
    <x v="8"/>
    <x v="4"/>
    <x v="0"/>
    <x v="1"/>
    <x v="1"/>
  </r>
  <r>
    <d v="2020-06-16T00:00:00"/>
    <s v="16"/>
    <s v="Jun"/>
    <n v="4"/>
    <n v="2"/>
    <n v="2"/>
    <s v="Laptop"/>
    <s v="Computer"/>
    <n v="80000000"/>
    <x v="25"/>
    <x v="0"/>
    <x v="0"/>
    <x v="1"/>
    <x v="2"/>
  </r>
  <r>
    <d v="2020-06-16T00:00:00"/>
    <s v="16"/>
    <s v="Jun"/>
    <n v="4"/>
    <n v="2"/>
    <n v="2"/>
    <s v="Office Table"/>
    <s v="Furniture"/>
    <n v="100000000"/>
    <x v="37"/>
    <x v="1"/>
    <x v="0"/>
    <x v="2"/>
    <x v="3"/>
  </r>
  <r>
    <d v="2020-06-16T00:00:00"/>
    <s v="16"/>
    <s v="Jun"/>
    <n v="3"/>
    <n v="1"/>
    <n v="2"/>
    <s v="AC"/>
    <s v="Electronic"/>
    <n v="100000000"/>
    <x v="31"/>
    <x v="0"/>
    <x v="0"/>
    <x v="0"/>
    <x v="0"/>
  </r>
  <r>
    <d v="2020-06-17T00:00:00"/>
    <s v="17"/>
    <s v="Jun"/>
    <n v="10"/>
    <n v="7"/>
    <n v="3"/>
    <s v="AC"/>
    <s v="Electronic"/>
    <n v="140000000"/>
    <x v="17"/>
    <x v="0"/>
    <x v="0"/>
    <x v="2"/>
    <x v="1"/>
  </r>
  <r>
    <d v="2020-06-17T00:00:00"/>
    <s v="17"/>
    <s v="Jun"/>
    <n v="9"/>
    <n v="8"/>
    <n v="1"/>
    <s v="Office Chair"/>
    <s v="Furniture"/>
    <n v="100000000"/>
    <x v="13"/>
    <x v="2"/>
    <x v="0"/>
    <x v="2"/>
    <x v="2"/>
  </r>
  <r>
    <d v="2020-06-17T00:00:00"/>
    <s v="17"/>
    <s v="Jun"/>
    <n v="9"/>
    <n v="6"/>
    <n v="3"/>
    <s v="AC"/>
    <s v="Electronic"/>
    <n v="60000000"/>
    <x v="47"/>
    <x v="2"/>
    <x v="0"/>
    <x v="1"/>
    <x v="2"/>
  </r>
  <r>
    <d v="2020-06-17T00:00:00"/>
    <s v="17"/>
    <s v="Jun"/>
    <n v="7"/>
    <n v="4"/>
    <n v="3"/>
    <s v="Table Lamp"/>
    <s v="Accessories"/>
    <n v="40000000"/>
    <x v="21"/>
    <x v="0"/>
    <x v="0"/>
    <x v="1"/>
    <x v="0"/>
  </r>
  <r>
    <d v="2020-06-17T00:00:00"/>
    <s v="17"/>
    <s v="Jun"/>
    <n v="6"/>
    <n v="4"/>
    <n v="2"/>
    <s v="Laptop"/>
    <s v="Computer"/>
    <n v="40000000"/>
    <x v="10"/>
    <x v="2"/>
    <x v="0"/>
    <x v="0"/>
    <x v="1"/>
  </r>
  <r>
    <d v="2020-06-17T00:00:00"/>
    <s v="17"/>
    <s v="Jun"/>
    <n v="6"/>
    <n v="3"/>
    <n v="3"/>
    <s v="Laptop"/>
    <s v="Computer"/>
    <n v="140000000"/>
    <x v="0"/>
    <x v="2"/>
    <x v="0"/>
    <x v="0"/>
    <x v="0"/>
  </r>
  <r>
    <d v="2020-06-17T00:00:00"/>
    <s v="17"/>
    <s v="Jun"/>
    <n v="5"/>
    <n v="4"/>
    <n v="1"/>
    <s v="Laptop"/>
    <s v="Computer"/>
    <n v="100000000"/>
    <x v="19"/>
    <x v="0"/>
    <x v="0"/>
    <x v="1"/>
    <x v="1"/>
  </r>
  <r>
    <d v="2020-06-17T00:00:00"/>
    <s v="17"/>
    <s v="Jun"/>
    <n v="4"/>
    <n v="2"/>
    <n v="2"/>
    <s v="Cable"/>
    <s v="Networking"/>
    <n v="100000000"/>
    <x v="9"/>
    <x v="2"/>
    <x v="0"/>
    <x v="2"/>
    <x v="3"/>
  </r>
  <r>
    <d v="2020-06-17T00:00:00"/>
    <s v="17"/>
    <s v="Jun"/>
    <n v="4"/>
    <n v="3"/>
    <n v="1"/>
    <s v="TV"/>
    <s v="Electronic"/>
    <n v="60000000"/>
    <x v="40"/>
    <x v="2"/>
    <x v="0"/>
    <x v="0"/>
    <x v="1"/>
  </r>
  <r>
    <d v="2020-06-17T00:00:00"/>
    <s v="17"/>
    <s v="Jun"/>
    <n v="3"/>
    <n v="2"/>
    <n v="1"/>
    <s v="Coffee Mach"/>
    <s v="Kitchen"/>
    <n v="120000000"/>
    <x v="32"/>
    <x v="0"/>
    <x v="0"/>
    <x v="2"/>
    <x v="3"/>
  </r>
  <r>
    <d v="2020-06-18T00:00:00"/>
    <s v="18"/>
    <s v="Jun"/>
    <n v="9"/>
    <n v="5"/>
    <n v="4"/>
    <s v="AC"/>
    <s v="Electronic"/>
    <n v="120000000"/>
    <x v="21"/>
    <x v="2"/>
    <x v="0"/>
    <x v="2"/>
    <x v="3"/>
  </r>
  <r>
    <d v="2020-06-18T00:00:00"/>
    <s v="18"/>
    <s v="Jun"/>
    <n v="9"/>
    <n v="5"/>
    <n v="4"/>
    <s v="AC"/>
    <s v="Electronic"/>
    <n v="100000000"/>
    <x v="17"/>
    <x v="2"/>
    <x v="0"/>
    <x v="0"/>
    <x v="0"/>
  </r>
  <r>
    <d v="2020-06-18T00:00:00"/>
    <s v="18"/>
    <s v="Jun"/>
    <n v="8"/>
    <n v="7"/>
    <n v="1"/>
    <s v="Office Table"/>
    <s v="Furniture"/>
    <n v="140000000"/>
    <x v="15"/>
    <x v="4"/>
    <x v="0"/>
    <x v="0"/>
    <x v="1"/>
  </r>
  <r>
    <d v="2020-06-18T00:00:00"/>
    <s v="18"/>
    <s v="Jun"/>
    <n v="7"/>
    <n v="4"/>
    <n v="3"/>
    <s v="TV"/>
    <s v="Electronic"/>
    <n v="120000000"/>
    <x v="1"/>
    <x v="2"/>
    <x v="0"/>
    <x v="2"/>
    <x v="1"/>
  </r>
  <r>
    <d v="2020-06-18T00:00:00"/>
    <s v="18"/>
    <s v="Jun"/>
    <n v="7"/>
    <n v="5"/>
    <n v="2"/>
    <s v="Coffee Mach"/>
    <s v="Kitchen"/>
    <n v="40000000"/>
    <x v="36"/>
    <x v="2"/>
    <x v="0"/>
    <x v="1"/>
    <x v="3"/>
  </r>
  <r>
    <d v="2020-06-18T00:00:00"/>
    <s v="18"/>
    <s v="Jun"/>
    <n v="6"/>
    <n v="5"/>
    <n v="1"/>
    <s v="TV"/>
    <s v="Electronic"/>
    <n v="120000000"/>
    <x v="14"/>
    <x v="0"/>
    <x v="0"/>
    <x v="0"/>
    <x v="1"/>
  </r>
  <r>
    <d v="2020-06-18T00:00:00"/>
    <s v="18"/>
    <s v="Jun"/>
    <n v="5"/>
    <n v="4"/>
    <n v="1"/>
    <s v="Coffee Mach"/>
    <s v="Kitchen"/>
    <n v="120000000"/>
    <x v="48"/>
    <x v="2"/>
    <x v="0"/>
    <x v="2"/>
    <x v="0"/>
  </r>
  <r>
    <d v="2020-06-18T00:00:00"/>
    <s v="18"/>
    <s v="Jun"/>
    <n v="3"/>
    <n v="2"/>
    <n v="1"/>
    <s v="Table Lamp"/>
    <s v="Accessories"/>
    <n v="60000000"/>
    <x v="47"/>
    <x v="2"/>
    <x v="0"/>
    <x v="2"/>
    <x v="0"/>
  </r>
  <r>
    <d v="2020-06-18T00:00:00"/>
    <s v="18"/>
    <s v="Jun"/>
    <n v="3"/>
    <n v="1"/>
    <n v="2"/>
    <s v="AC"/>
    <s v="Electronic"/>
    <n v="100000000"/>
    <x v="48"/>
    <x v="4"/>
    <x v="0"/>
    <x v="1"/>
    <x v="0"/>
  </r>
  <r>
    <d v="2020-06-19T00:00:00"/>
    <s v="19"/>
    <s v="Jun"/>
    <n v="8"/>
    <n v="4"/>
    <n v="4"/>
    <s v="Laptop"/>
    <s v="Computer"/>
    <n v="80000000"/>
    <x v="41"/>
    <x v="3"/>
    <x v="0"/>
    <x v="0"/>
    <x v="0"/>
  </r>
  <r>
    <d v="2020-06-19T00:00:00"/>
    <s v="19"/>
    <s v="Jun"/>
    <n v="7"/>
    <n v="6"/>
    <n v="1"/>
    <s v="Laptop"/>
    <s v="Computer"/>
    <n v="140000000"/>
    <x v="48"/>
    <x v="0"/>
    <x v="0"/>
    <x v="1"/>
    <x v="2"/>
  </r>
  <r>
    <d v="2020-06-19T00:00:00"/>
    <s v="19"/>
    <s v="Jun"/>
    <n v="6"/>
    <n v="3"/>
    <n v="3"/>
    <s v="Office Table"/>
    <s v="Furniture"/>
    <n v="40000000"/>
    <x v="26"/>
    <x v="1"/>
    <x v="0"/>
    <x v="2"/>
    <x v="1"/>
  </r>
  <r>
    <d v="2020-06-19T00:00:00"/>
    <s v="19"/>
    <s v="Jun"/>
    <n v="5"/>
    <n v="3"/>
    <n v="2"/>
    <s v="Printer"/>
    <s v="Computer"/>
    <n v="140000000"/>
    <x v="30"/>
    <x v="2"/>
    <x v="0"/>
    <x v="0"/>
    <x v="0"/>
  </r>
  <r>
    <d v="2020-06-19T00:00:00"/>
    <s v="19"/>
    <s v="Jun"/>
    <n v="5"/>
    <n v="4"/>
    <n v="1"/>
    <s v="Cable"/>
    <s v="Networking"/>
    <n v="80000000"/>
    <x v="3"/>
    <x v="1"/>
    <x v="0"/>
    <x v="1"/>
    <x v="0"/>
  </r>
  <r>
    <d v="2020-06-19T00:00:00"/>
    <s v="19"/>
    <s v="Jun"/>
    <n v="4"/>
    <n v="3"/>
    <n v="1"/>
    <s v="Table Lamp"/>
    <s v="Accessories"/>
    <n v="60000000"/>
    <x v="37"/>
    <x v="4"/>
    <x v="0"/>
    <x v="2"/>
    <x v="1"/>
  </r>
  <r>
    <d v="2020-06-19T00:00:00"/>
    <s v="19"/>
    <s v="Jun"/>
    <n v="3"/>
    <n v="1"/>
    <n v="2"/>
    <s v="AC"/>
    <s v="Electronic"/>
    <n v="80000000"/>
    <x v="22"/>
    <x v="0"/>
    <x v="0"/>
    <x v="0"/>
    <x v="0"/>
  </r>
  <r>
    <d v="2020-06-20T00:00:00"/>
    <s v="20"/>
    <s v="Jun"/>
    <n v="10"/>
    <n v="10"/>
    <s v=""/>
    <s v="Laptop"/>
    <s v="Computer"/>
    <n v="60000000"/>
    <x v="34"/>
    <x v="5"/>
    <x v="0"/>
    <x v="1"/>
    <x v="1"/>
  </r>
  <r>
    <d v="2020-06-20T00:00:00"/>
    <s v="20"/>
    <s v="Jun"/>
    <n v="9"/>
    <n v="9"/>
    <s v=""/>
    <s v="TV"/>
    <s v="Electronic"/>
    <n v="140000000"/>
    <x v="45"/>
    <x v="4"/>
    <x v="0"/>
    <x v="2"/>
    <x v="1"/>
  </r>
  <r>
    <d v="2020-06-20T00:00:00"/>
    <s v="20"/>
    <s v="Jun"/>
    <n v="9"/>
    <n v="9"/>
    <s v=""/>
    <s v="Laptop"/>
    <s v="Computer"/>
    <n v="100000000"/>
    <x v="37"/>
    <x v="0"/>
    <x v="0"/>
    <x v="2"/>
    <x v="3"/>
  </r>
  <r>
    <d v="2020-06-20T00:00:00"/>
    <s v="20"/>
    <s v="Jun"/>
    <n v="6"/>
    <n v="6"/>
    <s v=""/>
    <s v="Laptop"/>
    <s v="Computer"/>
    <n v="60000000"/>
    <x v="2"/>
    <x v="2"/>
    <x v="0"/>
    <x v="2"/>
    <x v="1"/>
  </r>
  <r>
    <d v="2020-06-20T00:00:00"/>
    <s v="20"/>
    <s v="Jun"/>
    <n v="6"/>
    <n v="6"/>
    <s v=""/>
    <s v="Laptop"/>
    <s v="Computer"/>
    <n v="120000000"/>
    <x v="11"/>
    <x v="4"/>
    <x v="0"/>
    <x v="2"/>
    <x v="1"/>
  </r>
  <r>
    <d v="2020-06-20T00:00:00"/>
    <s v="20"/>
    <s v="Jun"/>
    <n v="5"/>
    <n v="5"/>
    <s v=""/>
    <s v="Laptop"/>
    <s v="Computer"/>
    <n v="100000000"/>
    <x v="44"/>
    <x v="5"/>
    <x v="0"/>
    <x v="2"/>
    <x v="3"/>
  </r>
  <r>
    <d v="2020-06-20T00:00:00"/>
    <s v="20"/>
    <s v="Jun"/>
    <n v="5"/>
    <n v="5"/>
    <s v=""/>
    <s v="Table Lamp"/>
    <s v="Accessories"/>
    <n v="140000000"/>
    <x v="38"/>
    <x v="2"/>
    <x v="0"/>
    <x v="0"/>
    <x v="0"/>
  </r>
  <r>
    <d v="2020-06-20T00:00:00"/>
    <s v="20"/>
    <s v="Jun"/>
    <n v="4"/>
    <n v="4"/>
    <s v=""/>
    <s v="AC"/>
    <s v="Electronic"/>
    <n v="140000000"/>
    <x v="11"/>
    <x v="2"/>
    <x v="0"/>
    <x v="1"/>
    <x v="1"/>
  </r>
  <r>
    <d v="2020-06-21T00:00:00"/>
    <s v="21"/>
    <s v="Jun"/>
    <n v="10"/>
    <n v="10"/>
    <s v=""/>
    <s v="TV"/>
    <s v="Electronic"/>
    <n v="60000000"/>
    <x v="45"/>
    <x v="4"/>
    <x v="0"/>
    <x v="1"/>
    <x v="1"/>
  </r>
  <r>
    <d v="2020-06-21T00:00:00"/>
    <s v="21"/>
    <s v="Jun"/>
    <n v="9"/>
    <n v="9"/>
    <s v=""/>
    <s v="Office Chair"/>
    <s v="Furniture"/>
    <n v="60000000"/>
    <x v="32"/>
    <x v="2"/>
    <x v="0"/>
    <x v="2"/>
    <x v="2"/>
  </r>
  <r>
    <d v="2020-06-21T00:00:00"/>
    <s v="21"/>
    <s v="Jun"/>
    <n v="8"/>
    <n v="8"/>
    <s v=""/>
    <s v="Coffee Mach"/>
    <s v="Kitchen"/>
    <n v="40000000"/>
    <x v="36"/>
    <x v="3"/>
    <x v="0"/>
    <x v="0"/>
    <x v="0"/>
  </r>
  <r>
    <d v="2020-06-21T00:00:00"/>
    <s v="21"/>
    <s v="Jun"/>
    <n v="7"/>
    <n v="7"/>
    <s v=""/>
    <s v="Cable"/>
    <s v="Networking"/>
    <n v="40000000"/>
    <x v="8"/>
    <x v="0"/>
    <x v="0"/>
    <x v="1"/>
    <x v="3"/>
  </r>
  <r>
    <d v="2020-06-21T00:00:00"/>
    <s v="21"/>
    <s v="Jun"/>
    <n v="5"/>
    <n v="5"/>
    <s v=""/>
    <s v="Laptop"/>
    <s v="Computer"/>
    <n v="140000000"/>
    <x v="1"/>
    <x v="2"/>
    <x v="0"/>
    <x v="0"/>
    <x v="3"/>
  </r>
  <r>
    <d v="2020-06-21T00:00:00"/>
    <s v="21"/>
    <s v="Jun"/>
    <n v="4"/>
    <n v="4"/>
    <s v=""/>
    <s v="Printer"/>
    <s v="Computer"/>
    <n v="100000000"/>
    <x v="9"/>
    <x v="2"/>
    <x v="0"/>
    <x v="2"/>
    <x v="1"/>
  </r>
  <r>
    <d v="2020-06-21T00:00:00"/>
    <s v="21"/>
    <s v="Jun"/>
    <n v="4"/>
    <n v="4"/>
    <s v=""/>
    <s v="Office Table"/>
    <s v="Furniture"/>
    <n v="40000000"/>
    <x v="21"/>
    <x v="2"/>
    <x v="0"/>
    <x v="1"/>
    <x v="1"/>
  </r>
  <r>
    <d v="2020-06-21T00:00:00"/>
    <s v="21"/>
    <s v="Jun"/>
    <n v="3"/>
    <n v="3"/>
    <s v=""/>
    <s v="Cable"/>
    <s v="Networking"/>
    <n v="120000000"/>
    <x v="49"/>
    <x v="4"/>
    <x v="0"/>
    <x v="1"/>
    <x v="1"/>
  </r>
  <r>
    <d v="2020-06-21T00:00:00"/>
    <s v="21"/>
    <s v="Jun"/>
    <n v="3"/>
    <n v="3"/>
    <s v=""/>
    <s v="AC"/>
    <s v="Electronic"/>
    <n v="80000000"/>
    <x v="34"/>
    <x v="4"/>
    <x v="0"/>
    <x v="1"/>
    <x v="2"/>
  </r>
  <r>
    <d v="2020-06-21T00:00:00"/>
    <s v="21"/>
    <s v="Jun"/>
    <n v="3"/>
    <n v="3"/>
    <s v=""/>
    <s v="Printer"/>
    <s v="Computer"/>
    <n v="80000000"/>
    <x v="22"/>
    <x v="0"/>
    <x v="0"/>
    <x v="1"/>
    <x v="0"/>
  </r>
  <r>
    <d v="2020-06-22T00:00:00"/>
    <s v="22"/>
    <s v="Jun"/>
    <n v="9"/>
    <n v="9"/>
    <s v=""/>
    <s v="AC"/>
    <s v="Electronic"/>
    <n v="140000000"/>
    <x v="29"/>
    <x v="0"/>
    <x v="0"/>
    <x v="1"/>
    <x v="3"/>
  </r>
  <r>
    <d v="2020-06-22T00:00:00"/>
    <s v="22"/>
    <s v="Jun"/>
    <n v="8"/>
    <n v="8"/>
    <s v=""/>
    <s v="Coffee Mach"/>
    <s v="Kitchen"/>
    <n v="60000000"/>
    <x v="22"/>
    <x v="4"/>
    <x v="0"/>
    <x v="0"/>
    <x v="2"/>
  </r>
  <r>
    <d v="2020-06-22T00:00:00"/>
    <s v="22"/>
    <s v="Jun"/>
    <n v="7"/>
    <n v="7"/>
    <s v=""/>
    <s v="Coffee Mach"/>
    <s v="Kitchen"/>
    <n v="100000000"/>
    <x v="25"/>
    <x v="1"/>
    <x v="0"/>
    <x v="1"/>
    <x v="2"/>
  </r>
  <r>
    <d v="2020-06-22T00:00:00"/>
    <s v="22"/>
    <s v="Jun"/>
    <n v="7"/>
    <n v="7"/>
    <s v=""/>
    <s v="Cable"/>
    <s v="Networking"/>
    <n v="60000000"/>
    <x v="13"/>
    <x v="0"/>
    <x v="0"/>
    <x v="2"/>
    <x v="0"/>
  </r>
  <r>
    <d v="2020-06-22T00:00:00"/>
    <s v="22"/>
    <s v="Jun"/>
    <n v="7"/>
    <n v="7"/>
    <s v=""/>
    <s v="TV"/>
    <s v="Electronic"/>
    <n v="80000000"/>
    <x v="47"/>
    <x v="2"/>
    <x v="0"/>
    <x v="1"/>
    <x v="1"/>
  </r>
  <r>
    <d v="2020-06-22T00:00:00"/>
    <s v="22"/>
    <s v="Jun"/>
    <n v="6"/>
    <n v="6"/>
    <s v=""/>
    <s v="Laptop"/>
    <s v="Computer"/>
    <n v="40000000"/>
    <x v="36"/>
    <x v="0"/>
    <x v="0"/>
    <x v="0"/>
    <x v="3"/>
  </r>
  <r>
    <d v="2020-06-22T00:00:00"/>
    <s v="22"/>
    <s v="Jun"/>
    <n v="4"/>
    <n v="4"/>
    <s v=""/>
    <s v="Office Chair"/>
    <s v="Furniture"/>
    <n v="60000000"/>
    <x v="20"/>
    <x v="4"/>
    <x v="0"/>
    <x v="1"/>
    <x v="1"/>
  </r>
  <r>
    <d v="2020-06-23T00:00:00"/>
    <s v="23"/>
    <s v="Jun"/>
    <n v="9"/>
    <n v="9"/>
    <s v=""/>
    <s v="Printer"/>
    <s v="Computer"/>
    <n v="100000000"/>
    <x v="33"/>
    <x v="0"/>
    <x v="0"/>
    <x v="1"/>
    <x v="1"/>
  </r>
  <r>
    <d v="2020-06-23T00:00:00"/>
    <s v="23"/>
    <s v="Jun"/>
    <n v="9"/>
    <n v="9"/>
    <s v=""/>
    <s v="TV"/>
    <s v="Electronic"/>
    <n v="100000000"/>
    <x v="11"/>
    <x v="4"/>
    <x v="0"/>
    <x v="0"/>
    <x v="2"/>
  </r>
  <r>
    <d v="2020-06-23T00:00:00"/>
    <s v="23"/>
    <s v="Jun"/>
    <n v="8"/>
    <n v="8"/>
    <s v=""/>
    <s v="Cable"/>
    <s v="Networking"/>
    <n v="120000000"/>
    <x v="24"/>
    <x v="0"/>
    <x v="0"/>
    <x v="1"/>
    <x v="3"/>
  </r>
  <r>
    <d v="2020-06-23T00:00:00"/>
    <s v="23"/>
    <s v="Jun"/>
    <n v="7"/>
    <n v="7"/>
    <s v=""/>
    <s v="Office Chair"/>
    <s v="Furniture"/>
    <n v="40000000"/>
    <x v="5"/>
    <x v="2"/>
    <x v="0"/>
    <x v="1"/>
    <x v="1"/>
  </r>
  <r>
    <d v="2020-06-23T00:00:00"/>
    <s v="23"/>
    <s v="Jun"/>
    <n v="6"/>
    <n v="6"/>
    <s v=""/>
    <s v="Office Chair"/>
    <s v="Furniture"/>
    <n v="120000000"/>
    <x v="10"/>
    <x v="0"/>
    <x v="0"/>
    <x v="0"/>
    <x v="1"/>
  </r>
  <r>
    <d v="2020-06-23T00:00:00"/>
    <s v="23"/>
    <s v="Jun"/>
    <n v="5"/>
    <n v="5"/>
    <s v=""/>
    <s v="Office Chair"/>
    <s v="Furniture"/>
    <n v="100000000"/>
    <x v="24"/>
    <x v="2"/>
    <x v="0"/>
    <x v="0"/>
    <x v="2"/>
  </r>
  <r>
    <d v="2020-06-23T00:00:00"/>
    <s v="23"/>
    <s v="Jun"/>
    <n v="4"/>
    <n v="4"/>
    <s v=""/>
    <s v="Cable"/>
    <s v="Networking"/>
    <n v="100000000"/>
    <x v="39"/>
    <x v="0"/>
    <x v="0"/>
    <x v="2"/>
    <x v="0"/>
  </r>
  <r>
    <d v="2020-06-23T00:00:00"/>
    <s v="23"/>
    <s v="Jun"/>
    <n v="3"/>
    <n v="3"/>
    <s v=""/>
    <s v="Cable"/>
    <s v="Networking"/>
    <n v="60000000"/>
    <x v="25"/>
    <x v="0"/>
    <x v="0"/>
    <x v="2"/>
    <x v="3"/>
  </r>
  <r>
    <d v="2020-06-23T00:00:00"/>
    <s v="23"/>
    <s v="Jun"/>
    <n v="3"/>
    <n v="3"/>
    <s v=""/>
    <s v="Cable"/>
    <s v="Networking"/>
    <n v="60000000"/>
    <x v="2"/>
    <x v="0"/>
    <x v="0"/>
    <x v="2"/>
    <x v="0"/>
  </r>
  <r>
    <d v="2020-06-24T00:00:00"/>
    <s v="24"/>
    <s v="Jun"/>
    <n v="10"/>
    <n v="10"/>
    <s v=""/>
    <s v="AC"/>
    <s v="Electronic"/>
    <n v="120000000"/>
    <x v="15"/>
    <x v="2"/>
    <x v="0"/>
    <x v="1"/>
    <x v="3"/>
  </r>
  <r>
    <d v="2020-06-24T00:00:00"/>
    <s v="24"/>
    <s v="Jun"/>
    <n v="8"/>
    <n v="8"/>
    <s v=""/>
    <s v="TV"/>
    <s v="Electronic"/>
    <n v="80000000"/>
    <x v="14"/>
    <x v="2"/>
    <x v="0"/>
    <x v="2"/>
    <x v="0"/>
  </r>
  <r>
    <d v="2020-06-24T00:00:00"/>
    <s v="24"/>
    <s v="Jun"/>
    <n v="8"/>
    <n v="8"/>
    <s v=""/>
    <s v="Printer"/>
    <s v="Computer"/>
    <n v="40000000"/>
    <x v="13"/>
    <x v="1"/>
    <x v="0"/>
    <x v="2"/>
    <x v="2"/>
  </r>
  <r>
    <d v="2020-06-24T00:00:00"/>
    <s v="24"/>
    <s v="Jun"/>
    <n v="7"/>
    <n v="7"/>
    <s v=""/>
    <s v="AC"/>
    <s v="Electronic"/>
    <n v="120000000"/>
    <x v="3"/>
    <x v="0"/>
    <x v="0"/>
    <x v="0"/>
    <x v="2"/>
  </r>
  <r>
    <d v="2020-06-24T00:00:00"/>
    <s v="24"/>
    <s v="Jun"/>
    <n v="6"/>
    <n v="6"/>
    <s v=""/>
    <s v="Cable"/>
    <s v="Networking"/>
    <n v="140000000"/>
    <x v="27"/>
    <x v="2"/>
    <x v="0"/>
    <x v="1"/>
    <x v="3"/>
  </r>
  <r>
    <d v="2020-06-25T00:00:00"/>
    <s v="25"/>
    <s v="Jun"/>
    <n v="9"/>
    <n v="9"/>
    <s v=""/>
    <s v="Cable"/>
    <s v="Networking"/>
    <n v="100000000"/>
    <x v="36"/>
    <x v="2"/>
    <x v="0"/>
    <x v="0"/>
    <x v="2"/>
  </r>
  <r>
    <d v="2020-06-25T00:00:00"/>
    <s v="25"/>
    <s v="Jun"/>
    <n v="8"/>
    <n v="8"/>
    <s v=""/>
    <s v="TV"/>
    <s v="Electronic"/>
    <n v="140000000"/>
    <x v="34"/>
    <x v="4"/>
    <x v="0"/>
    <x v="1"/>
    <x v="0"/>
  </r>
  <r>
    <d v="2020-06-25T00:00:00"/>
    <s v="25"/>
    <s v="Jun"/>
    <n v="8"/>
    <n v="8"/>
    <s v=""/>
    <s v="Office Table"/>
    <s v="Furniture"/>
    <n v="140000000"/>
    <x v="46"/>
    <x v="0"/>
    <x v="0"/>
    <x v="0"/>
    <x v="0"/>
  </r>
  <r>
    <d v="2020-06-25T00:00:00"/>
    <s v="25"/>
    <s v="Jun"/>
    <n v="8"/>
    <n v="8"/>
    <s v=""/>
    <s v="Table Lamp"/>
    <s v="Accessories"/>
    <n v="120000000"/>
    <x v="5"/>
    <x v="2"/>
    <x v="0"/>
    <x v="0"/>
    <x v="2"/>
  </r>
  <r>
    <d v="2020-06-25T00:00:00"/>
    <s v="25"/>
    <s v="Jun"/>
    <n v="6"/>
    <n v="6"/>
    <s v=""/>
    <s v="Laptop"/>
    <s v="Computer"/>
    <n v="120000000"/>
    <x v="49"/>
    <x v="0"/>
    <x v="0"/>
    <x v="0"/>
    <x v="0"/>
  </r>
  <r>
    <d v="2020-06-25T00:00:00"/>
    <s v="25"/>
    <s v="Jun"/>
    <n v="5"/>
    <n v="5"/>
    <s v=""/>
    <s v="Laptop"/>
    <s v="Computer"/>
    <n v="40000000"/>
    <x v="0"/>
    <x v="0"/>
    <x v="0"/>
    <x v="2"/>
    <x v="1"/>
  </r>
  <r>
    <d v="2020-06-25T00:00:00"/>
    <s v="25"/>
    <s v="Jun"/>
    <n v="5"/>
    <n v="5"/>
    <s v=""/>
    <s v="Office Chair"/>
    <s v="Furniture"/>
    <n v="100000000"/>
    <x v="36"/>
    <x v="2"/>
    <x v="0"/>
    <x v="1"/>
    <x v="0"/>
  </r>
  <r>
    <d v="2020-06-25T00:00:00"/>
    <s v="25"/>
    <s v="Jun"/>
    <n v="3"/>
    <n v="3"/>
    <s v=""/>
    <s v="Office Table"/>
    <s v="Furniture"/>
    <n v="120000000"/>
    <x v="20"/>
    <x v="0"/>
    <x v="0"/>
    <x v="2"/>
    <x v="1"/>
  </r>
  <r>
    <d v="2020-06-26T00:00:00"/>
    <s v="26"/>
    <s v="Jun"/>
    <n v="10"/>
    <n v="10"/>
    <s v=""/>
    <s v="Laptop"/>
    <s v="Computer"/>
    <n v="60000000"/>
    <x v="24"/>
    <x v="2"/>
    <x v="0"/>
    <x v="1"/>
    <x v="0"/>
  </r>
  <r>
    <d v="2020-06-26T00:00:00"/>
    <s v="26"/>
    <s v="Jun"/>
    <n v="10"/>
    <n v="10"/>
    <s v=""/>
    <s v="Laptop"/>
    <s v="Computer"/>
    <n v="40000000"/>
    <x v="17"/>
    <x v="2"/>
    <x v="0"/>
    <x v="2"/>
    <x v="1"/>
  </r>
  <r>
    <d v="2020-06-26T00:00:00"/>
    <s v="26"/>
    <s v="Jun"/>
    <n v="10"/>
    <n v="10"/>
    <s v=""/>
    <s v="Office Chair"/>
    <s v="Furniture"/>
    <n v="120000000"/>
    <x v="40"/>
    <x v="1"/>
    <x v="0"/>
    <x v="2"/>
    <x v="0"/>
  </r>
  <r>
    <d v="2020-06-26T00:00:00"/>
    <s v="26"/>
    <s v="Jun"/>
    <n v="6"/>
    <n v="6"/>
    <s v=""/>
    <s v="TV"/>
    <s v="Electronic"/>
    <n v="60000000"/>
    <x v="7"/>
    <x v="2"/>
    <x v="0"/>
    <x v="0"/>
    <x v="2"/>
  </r>
  <r>
    <d v="2020-06-26T00:00:00"/>
    <s v="26"/>
    <s v="Jun"/>
    <n v="5"/>
    <n v="5"/>
    <s v=""/>
    <s v="Coffee Mach"/>
    <s v="Kitchen"/>
    <n v="100000000"/>
    <x v="41"/>
    <x v="3"/>
    <x v="0"/>
    <x v="1"/>
    <x v="2"/>
  </r>
  <r>
    <d v="2020-06-26T00:00:00"/>
    <s v="26"/>
    <s v="Jun"/>
    <n v="4"/>
    <n v="4"/>
    <s v=""/>
    <s v="Table Lamp"/>
    <s v="Accessories"/>
    <n v="100000000"/>
    <x v="19"/>
    <x v="5"/>
    <x v="0"/>
    <x v="1"/>
    <x v="2"/>
  </r>
  <r>
    <d v="2020-06-26T00:00:00"/>
    <s v="26"/>
    <s v="Jun"/>
    <n v="4"/>
    <n v="4"/>
    <s v=""/>
    <s v="Cable"/>
    <s v="Networking"/>
    <n v="80000000"/>
    <x v="23"/>
    <x v="2"/>
    <x v="0"/>
    <x v="1"/>
    <x v="1"/>
  </r>
  <r>
    <d v="2020-06-26T00:00:00"/>
    <s v="26"/>
    <s v="Jun"/>
    <n v="3"/>
    <n v="3"/>
    <s v=""/>
    <s v="Cable"/>
    <s v="Networking"/>
    <n v="80000000"/>
    <x v="6"/>
    <x v="0"/>
    <x v="0"/>
    <x v="1"/>
    <x v="2"/>
  </r>
  <r>
    <d v="2020-06-26T00:00:00"/>
    <s v="26"/>
    <s v="Jun"/>
    <n v="3"/>
    <n v="3"/>
    <s v=""/>
    <s v="Office Table"/>
    <s v="Furniture"/>
    <n v="80000000"/>
    <x v="22"/>
    <x v="2"/>
    <x v="0"/>
    <x v="2"/>
    <x v="2"/>
  </r>
  <r>
    <d v="2020-06-27T00:00:00"/>
    <s v="27"/>
    <s v="Jun"/>
    <n v="9"/>
    <n v="9"/>
    <s v=""/>
    <s v="Office Chair"/>
    <s v="Furniture"/>
    <n v="120000000"/>
    <x v="1"/>
    <x v="3"/>
    <x v="0"/>
    <x v="2"/>
    <x v="3"/>
  </r>
  <r>
    <d v="2020-06-27T00:00:00"/>
    <s v="27"/>
    <s v="Jun"/>
    <n v="9"/>
    <n v="9"/>
    <s v=""/>
    <s v="Office Table"/>
    <s v="Furniture"/>
    <n v="40000000"/>
    <x v="41"/>
    <x v="1"/>
    <x v="0"/>
    <x v="2"/>
    <x v="2"/>
  </r>
  <r>
    <d v="2020-06-27T00:00:00"/>
    <s v="27"/>
    <s v="Jun"/>
    <n v="9"/>
    <n v="9"/>
    <s v=""/>
    <s v="TV"/>
    <s v="Electronic"/>
    <n v="80000000"/>
    <x v="15"/>
    <x v="2"/>
    <x v="0"/>
    <x v="1"/>
    <x v="3"/>
  </r>
  <r>
    <d v="2020-06-27T00:00:00"/>
    <s v="27"/>
    <s v="Jun"/>
    <n v="8"/>
    <n v="8"/>
    <s v=""/>
    <s v="Laptop"/>
    <s v="Computer"/>
    <n v="80000000"/>
    <x v="19"/>
    <x v="0"/>
    <x v="0"/>
    <x v="1"/>
    <x v="2"/>
  </r>
  <r>
    <d v="2020-06-27T00:00:00"/>
    <s v="27"/>
    <s v="Jun"/>
    <n v="8"/>
    <n v="8"/>
    <s v=""/>
    <s v="Cable"/>
    <s v="Networking"/>
    <n v="120000000"/>
    <x v="22"/>
    <x v="2"/>
    <x v="0"/>
    <x v="2"/>
    <x v="3"/>
  </r>
  <r>
    <d v="2020-06-27T00:00:00"/>
    <s v="27"/>
    <s v="Jun"/>
    <n v="7"/>
    <n v="7"/>
    <s v=""/>
    <s v="Laptop"/>
    <s v="Computer"/>
    <n v="40000000"/>
    <x v="34"/>
    <x v="2"/>
    <x v="0"/>
    <x v="1"/>
    <x v="1"/>
  </r>
  <r>
    <d v="2020-06-27T00:00:00"/>
    <s v="27"/>
    <s v="Jun"/>
    <n v="7"/>
    <n v="7"/>
    <s v=""/>
    <s v="Office Table"/>
    <s v="Furniture"/>
    <n v="40000000"/>
    <x v="12"/>
    <x v="2"/>
    <x v="0"/>
    <x v="2"/>
    <x v="2"/>
  </r>
  <r>
    <d v="2020-06-27T00:00:00"/>
    <s v="27"/>
    <s v="Jun"/>
    <n v="6"/>
    <n v="6"/>
    <s v=""/>
    <s v="Office Table"/>
    <s v="Furniture"/>
    <n v="120000000"/>
    <x v="17"/>
    <x v="0"/>
    <x v="0"/>
    <x v="2"/>
    <x v="2"/>
  </r>
  <r>
    <d v="2020-06-27T00:00:00"/>
    <s v="27"/>
    <s v="Jun"/>
    <n v="4"/>
    <n v="4"/>
    <s v=""/>
    <s v="Coffee Mach"/>
    <s v="Kitchen"/>
    <n v="120000000"/>
    <x v="25"/>
    <x v="0"/>
    <x v="0"/>
    <x v="2"/>
    <x v="1"/>
  </r>
  <r>
    <d v="2020-06-27T00:00:00"/>
    <s v="27"/>
    <s v="Jun"/>
    <n v="3"/>
    <n v="3"/>
    <s v=""/>
    <s v="Table Lamp"/>
    <s v="Accessories"/>
    <n v="140000000"/>
    <x v="0"/>
    <x v="0"/>
    <x v="0"/>
    <x v="2"/>
    <x v="3"/>
  </r>
  <r>
    <d v="2020-06-28T00:00:00"/>
    <s v="28"/>
    <s v="Jun"/>
    <n v="9"/>
    <n v="9"/>
    <s v=""/>
    <s v="Office Chair"/>
    <s v="Furniture"/>
    <n v="120000000"/>
    <x v="13"/>
    <x v="1"/>
    <x v="0"/>
    <x v="2"/>
    <x v="1"/>
  </r>
  <r>
    <d v="2020-06-28T00:00:00"/>
    <s v="28"/>
    <s v="Jun"/>
    <n v="7"/>
    <n v="7"/>
    <s v=""/>
    <s v="AC"/>
    <s v="Electronic"/>
    <n v="120000000"/>
    <x v="42"/>
    <x v="2"/>
    <x v="0"/>
    <x v="0"/>
    <x v="1"/>
  </r>
  <r>
    <d v="2020-06-28T00:00:00"/>
    <s v="28"/>
    <s v="Jun"/>
    <n v="5"/>
    <n v="5"/>
    <s v=""/>
    <s v="Cable"/>
    <s v="Networking"/>
    <n v="100000000"/>
    <x v="25"/>
    <x v="5"/>
    <x v="0"/>
    <x v="1"/>
    <x v="0"/>
  </r>
  <r>
    <d v="2020-06-28T00:00:00"/>
    <s v="28"/>
    <s v="Jun"/>
    <n v="5"/>
    <n v="5"/>
    <s v=""/>
    <s v="Laptop"/>
    <s v="Computer"/>
    <n v="120000000"/>
    <x v="21"/>
    <x v="2"/>
    <x v="0"/>
    <x v="0"/>
    <x v="2"/>
  </r>
  <r>
    <d v="2020-06-28T00:00:00"/>
    <s v="28"/>
    <s v="Jun"/>
    <n v="4"/>
    <n v="4"/>
    <s v=""/>
    <s v="Laptop"/>
    <s v="Computer"/>
    <n v="140000000"/>
    <x v="4"/>
    <x v="5"/>
    <x v="0"/>
    <x v="2"/>
    <x v="3"/>
  </r>
  <r>
    <d v="2020-06-28T00:00:00"/>
    <s v="28"/>
    <s v="Jun"/>
    <n v="4"/>
    <n v="4"/>
    <s v=""/>
    <s v="Table Lamp"/>
    <s v="Accessories"/>
    <n v="140000000"/>
    <x v="11"/>
    <x v="4"/>
    <x v="0"/>
    <x v="0"/>
    <x v="1"/>
  </r>
  <r>
    <d v="2020-06-28T00:00:00"/>
    <s v="28"/>
    <s v="Jun"/>
    <n v="3"/>
    <n v="3"/>
    <s v=""/>
    <s v="Office Chair"/>
    <s v="Furniture"/>
    <n v="100000000"/>
    <x v="43"/>
    <x v="2"/>
    <x v="0"/>
    <x v="1"/>
    <x v="3"/>
  </r>
  <r>
    <d v="2020-06-28T00:00:00"/>
    <s v="28"/>
    <s v="Jun"/>
    <n v="3"/>
    <n v="3"/>
    <s v=""/>
    <s v="Table Lamp"/>
    <s v="Accessories"/>
    <n v="140000000"/>
    <x v="30"/>
    <x v="0"/>
    <x v="0"/>
    <x v="1"/>
    <x v="3"/>
  </r>
  <r>
    <d v="2020-06-29T00:00:00"/>
    <s v="29"/>
    <s v="Jun"/>
    <n v="10"/>
    <n v="7"/>
    <n v="3"/>
    <s v="Printer"/>
    <s v="Computer"/>
    <n v="80000000"/>
    <x v="17"/>
    <x v="2"/>
    <x v="0"/>
    <x v="0"/>
    <x v="1"/>
  </r>
  <r>
    <d v="2020-06-29T00:00:00"/>
    <s v="29"/>
    <s v="Jun"/>
    <n v="5"/>
    <n v="3"/>
    <n v="2"/>
    <s v="Laptop"/>
    <s v="Computer"/>
    <n v="120000000"/>
    <x v="15"/>
    <x v="4"/>
    <x v="0"/>
    <x v="0"/>
    <x v="3"/>
  </r>
  <r>
    <d v="2020-06-29T00:00:00"/>
    <s v="29"/>
    <s v="Jun"/>
    <n v="4"/>
    <n v="3"/>
    <n v="1"/>
    <s v="Table Lamp"/>
    <s v="Accessories"/>
    <n v="120000000"/>
    <x v="1"/>
    <x v="3"/>
    <x v="0"/>
    <x v="0"/>
    <x v="1"/>
  </r>
  <r>
    <d v="2020-06-29T00:00:00"/>
    <s v="29"/>
    <s v="Jun"/>
    <n v="3"/>
    <n v="2"/>
    <n v="1"/>
    <s v="Printer"/>
    <s v="Computer"/>
    <n v="60000000"/>
    <x v="45"/>
    <x v="1"/>
    <x v="0"/>
    <x v="1"/>
    <x v="0"/>
  </r>
  <r>
    <d v="2020-06-29T00:00:00"/>
    <s v="29"/>
    <s v="Jun"/>
    <n v="3"/>
    <n v="2"/>
    <n v="1"/>
    <s v="Laptop"/>
    <s v="Computer"/>
    <n v="120000000"/>
    <x v="40"/>
    <x v="2"/>
    <x v="0"/>
    <x v="0"/>
    <x v="3"/>
  </r>
  <r>
    <d v="2020-06-30T00:00:00"/>
    <s v="30"/>
    <s v="Jun"/>
    <n v="10"/>
    <n v="8"/>
    <n v="2"/>
    <s v="Printer"/>
    <s v="Computer"/>
    <n v="140000000"/>
    <x v="25"/>
    <x v="0"/>
    <x v="0"/>
    <x v="2"/>
    <x v="0"/>
  </r>
  <r>
    <d v="2020-06-30T00:00:00"/>
    <s v="30"/>
    <s v="Jun"/>
    <n v="8"/>
    <n v="6"/>
    <n v="2"/>
    <s v="Laptop"/>
    <s v="Computer"/>
    <n v="120000000"/>
    <x v="8"/>
    <x v="0"/>
    <x v="0"/>
    <x v="1"/>
    <x v="2"/>
  </r>
  <r>
    <d v="2020-06-30T00:00:00"/>
    <s v="30"/>
    <s v="Jun"/>
    <n v="8"/>
    <n v="5"/>
    <n v="3"/>
    <s v="Table Lamp"/>
    <s v="Accessories"/>
    <n v="120000000"/>
    <x v="6"/>
    <x v="0"/>
    <x v="0"/>
    <x v="2"/>
    <x v="2"/>
  </r>
  <r>
    <d v="2020-06-30T00:00:00"/>
    <s v="30"/>
    <s v="Jun"/>
    <n v="6"/>
    <n v="4"/>
    <n v="2"/>
    <s v="AC"/>
    <s v="Electronic"/>
    <n v="40000000"/>
    <x v="25"/>
    <x v="0"/>
    <x v="0"/>
    <x v="1"/>
    <x v="3"/>
  </r>
  <r>
    <d v="2020-06-30T00:00:00"/>
    <s v="30"/>
    <s v="Jun"/>
    <n v="5"/>
    <n v="3"/>
    <n v="2"/>
    <s v="Office Chair"/>
    <s v="Furniture"/>
    <n v="140000000"/>
    <x v="20"/>
    <x v="3"/>
    <x v="0"/>
    <x v="2"/>
    <x v="3"/>
  </r>
  <r>
    <d v="2020-06-30T00:00:00"/>
    <s v="30"/>
    <s v="Jun"/>
    <n v="5"/>
    <n v="3"/>
    <n v="2"/>
    <s v="Coffee Mach"/>
    <s v="Kitchen"/>
    <n v="80000000"/>
    <x v="46"/>
    <x v="3"/>
    <x v="0"/>
    <x v="2"/>
    <x v="3"/>
  </r>
  <r>
    <d v="2020-06-30T00:00:00"/>
    <s v="30"/>
    <s v="Jun"/>
    <n v="4"/>
    <n v="3"/>
    <n v="1"/>
    <s v="Office Chair"/>
    <s v="Furniture"/>
    <n v="40000000"/>
    <x v="15"/>
    <x v="0"/>
    <x v="0"/>
    <x v="1"/>
    <x v="1"/>
  </r>
  <r>
    <d v="2020-06-30T00:00:00"/>
    <s v="30"/>
    <s v="Jun"/>
    <n v="3"/>
    <n v="1"/>
    <n v="2"/>
    <s v="TV"/>
    <s v="Electronic"/>
    <n v="40000000"/>
    <x v="13"/>
    <x v="2"/>
    <x v="0"/>
    <x v="0"/>
    <x v="0"/>
  </r>
  <r>
    <d v="2020-06-30T00:00:00"/>
    <s v="30"/>
    <s v="Jun"/>
    <n v="3"/>
    <n v="1"/>
    <n v="2"/>
    <s v="AC"/>
    <s v="Electronic"/>
    <n v="140000000"/>
    <x v="48"/>
    <x v="2"/>
    <x v="0"/>
    <x v="0"/>
    <x v="2"/>
  </r>
  <r>
    <d v="2020-07-01T00:00:00"/>
    <s v="1"/>
    <s v="Jul"/>
    <n v="9"/>
    <n v="7"/>
    <n v="2"/>
    <s v="AC"/>
    <s v="Electronic"/>
    <n v="140000000"/>
    <x v="18"/>
    <x v="4"/>
    <x v="0"/>
    <x v="0"/>
    <x v="1"/>
  </r>
  <r>
    <d v="2020-07-01T00:00:00"/>
    <s v="1"/>
    <s v="Jul"/>
    <n v="9"/>
    <n v="8"/>
    <n v="1"/>
    <s v="Office Chair"/>
    <s v="Furniture"/>
    <n v="80000000"/>
    <x v="5"/>
    <x v="0"/>
    <x v="0"/>
    <x v="2"/>
    <x v="3"/>
  </r>
  <r>
    <d v="2020-07-01T00:00:00"/>
    <s v="1"/>
    <s v="Jul"/>
    <n v="7"/>
    <n v="4"/>
    <n v="3"/>
    <s v="Cable"/>
    <s v="Networking"/>
    <n v="40000000"/>
    <x v="12"/>
    <x v="2"/>
    <x v="0"/>
    <x v="1"/>
    <x v="2"/>
  </r>
  <r>
    <d v="2020-07-01T00:00:00"/>
    <s v="1"/>
    <s v="Jul"/>
    <n v="4"/>
    <n v="2"/>
    <n v="2"/>
    <s v="Table Lamp"/>
    <s v="Accessories"/>
    <n v="60000000"/>
    <x v="39"/>
    <x v="3"/>
    <x v="0"/>
    <x v="0"/>
    <x v="2"/>
  </r>
  <r>
    <d v="2020-07-01T00:00:00"/>
    <s v="1"/>
    <s v="Jul"/>
    <n v="4"/>
    <n v="3"/>
    <n v="1"/>
    <s v="Coffee Mach"/>
    <s v="Kitchen"/>
    <n v="80000000"/>
    <x v="20"/>
    <x v="2"/>
    <x v="0"/>
    <x v="0"/>
    <x v="2"/>
  </r>
  <r>
    <d v="2020-07-01T00:00:00"/>
    <s v="1"/>
    <s v="Jul"/>
    <n v="4"/>
    <n v="2"/>
    <n v="2"/>
    <s v="Office Table"/>
    <s v="Furniture"/>
    <n v="60000000"/>
    <x v="18"/>
    <x v="0"/>
    <x v="0"/>
    <x v="2"/>
    <x v="1"/>
  </r>
  <r>
    <d v="2020-07-02T00:00:00"/>
    <s v="2"/>
    <s v="Jul"/>
    <n v="10"/>
    <n v="10"/>
    <s v=""/>
    <s v="Office Table"/>
    <s v="Furniture"/>
    <n v="60000000"/>
    <x v="35"/>
    <x v="0"/>
    <x v="0"/>
    <x v="0"/>
    <x v="1"/>
  </r>
  <r>
    <d v="2020-07-02T00:00:00"/>
    <s v="2"/>
    <s v="Jul"/>
    <n v="10"/>
    <n v="10"/>
    <s v=""/>
    <s v="Coffee Mach"/>
    <s v="Kitchen"/>
    <n v="80000000"/>
    <x v="3"/>
    <x v="0"/>
    <x v="0"/>
    <x v="0"/>
    <x v="3"/>
  </r>
  <r>
    <d v="2020-07-02T00:00:00"/>
    <s v="2"/>
    <s v="Jul"/>
    <n v="8"/>
    <n v="8"/>
    <s v=""/>
    <s v="AC"/>
    <s v="Electronic"/>
    <n v="40000000"/>
    <x v="29"/>
    <x v="0"/>
    <x v="0"/>
    <x v="1"/>
    <x v="0"/>
  </r>
  <r>
    <d v="2020-07-02T00:00:00"/>
    <s v="2"/>
    <s v="Jul"/>
    <n v="8"/>
    <n v="8"/>
    <s v=""/>
    <s v="Office Chair"/>
    <s v="Furniture"/>
    <n v="120000000"/>
    <x v="25"/>
    <x v="1"/>
    <x v="0"/>
    <x v="0"/>
    <x v="3"/>
  </r>
  <r>
    <d v="2020-07-02T00:00:00"/>
    <s v="2"/>
    <s v="Jul"/>
    <n v="6"/>
    <n v="6"/>
    <s v=""/>
    <s v="Table Lamp"/>
    <s v="Accessories"/>
    <n v="40000000"/>
    <x v="33"/>
    <x v="2"/>
    <x v="0"/>
    <x v="2"/>
    <x v="3"/>
  </r>
  <r>
    <d v="2020-07-02T00:00:00"/>
    <s v="2"/>
    <s v="Jul"/>
    <n v="6"/>
    <n v="6"/>
    <s v=""/>
    <s v="Office Table"/>
    <s v="Furniture"/>
    <n v="140000000"/>
    <x v="22"/>
    <x v="0"/>
    <x v="0"/>
    <x v="2"/>
    <x v="3"/>
  </r>
  <r>
    <d v="2020-07-02T00:00:00"/>
    <s v="2"/>
    <s v="Jul"/>
    <n v="5"/>
    <n v="5"/>
    <s v=""/>
    <s v="Table Lamp"/>
    <s v="Accessories"/>
    <n v="60000000"/>
    <x v="42"/>
    <x v="4"/>
    <x v="0"/>
    <x v="1"/>
    <x v="3"/>
  </r>
  <r>
    <d v="2020-07-02T00:00:00"/>
    <s v="2"/>
    <s v="Jul"/>
    <n v="5"/>
    <n v="5"/>
    <s v=""/>
    <s v="Printer"/>
    <s v="Computer"/>
    <n v="100000000"/>
    <x v="26"/>
    <x v="0"/>
    <x v="0"/>
    <x v="1"/>
    <x v="1"/>
  </r>
  <r>
    <d v="2020-07-02T00:00:00"/>
    <s v="2"/>
    <s v="Jul"/>
    <n v="4"/>
    <n v="4"/>
    <s v=""/>
    <s v="Office Chair"/>
    <s v="Furniture"/>
    <n v="140000000"/>
    <x v="19"/>
    <x v="2"/>
    <x v="0"/>
    <x v="1"/>
    <x v="0"/>
  </r>
  <r>
    <d v="2020-07-02T00:00:00"/>
    <s v="2"/>
    <s v="Jul"/>
    <n v="4"/>
    <n v="4"/>
    <s v=""/>
    <s v="Office Chair"/>
    <s v="Furniture"/>
    <n v="100000000"/>
    <x v="3"/>
    <x v="0"/>
    <x v="0"/>
    <x v="1"/>
    <x v="2"/>
  </r>
  <r>
    <d v="2020-07-02T00:00:00"/>
    <s v="2"/>
    <s v="Jul"/>
    <n v="4"/>
    <n v="4"/>
    <s v=""/>
    <s v="Office Chair"/>
    <s v="Furniture"/>
    <n v="60000000"/>
    <x v="21"/>
    <x v="2"/>
    <x v="0"/>
    <x v="0"/>
    <x v="3"/>
  </r>
  <r>
    <d v="2020-07-03T00:00:00"/>
    <s v="3"/>
    <s v="Jul"/>
    <n v="10"/>
    <n v="10"/>
    <s v=""/>
    <s v="Table Lamp"/>
    <s v="Accessories"/>
    <n v="40000000"/>
    <x v="14"/>
    <x v="2"/>
    <x v="0"/>
    <x v="1"/>
    <x v="3"/>
  </r>
  <r>
    <d v="2020-07-03T00:00:00"/>
    <s v="3"/>
    <s v="Jul"/>
    <n v="7"/>
    <n v="7"/>
    <s v=""/>
    <s v="TV"/>
    <s v="Electronic"/>
    <n v="100000000"/>
    <x v="22"/>
    <x v="4"/>
    <x v="0"/>
    <x v="1"/>
    <x v="2"/>
  </r>
  <r>
    <d v="2020-07-03T00:00:00"/>
    <s v="3"/>
    <s v="Jul"/>
    <n v="7"/>
    <n v="7"/>
    <s v=""/>
    <s v="TV"/>
    <s v="Electronic"/>
    <n v="80000000"/>
    <x v="34"/>
    <x v="5"/>
    <x v="0"/>
    <x v="2"/>
    <x v="2"/>
  </r>
  <r>
    <d v="2020-07-03T00:00:00"/>
    <s v="3"/>
    <s v="Jul"/>
    <n v="7"/>
    <n v="7"/>
    <s v=""/>
    <s v="Coffee Mach"/>
    <s v="Kitchen"/>
    <n v="100000000"/>
    <x v="43"/>
    <x v="2"/>
    <x v="0"/>
    <x v="1"/>
    <x v="2"/>
  </r>
  <r>
    <d v="2020-07-03T00:00:00"/>
    <s v="3"/>
    <s v="Jul"/>
    <n v="6"/>
    <n v="6"/>
    <s v=""/>
    <s v="Coffee Mach"/>
    <s v="Kitchen"/>
    <n v="40000000"/>
    <x v="14"/>
    <x v="0"/>
    <x v="0"/>
    <x v="2"/>
    <x v="3"/>
  </r>
  <r>
    <d v="2020-07-03T00:00:00"/>
    <s v="3"/>
    <s v="Jul"/>
    <n v="4"/>
    <n v="4"/>
    <s v=""/>
    <s v="Laptop"/>
    <s v="Computer"/>
    <n v="140000000"/>
    <x v="34"/>
    <x v="5"/>
    <x v="0"/>
    <x v="0"/>
    <x v="3"/>
  </r>
  <r>
    <d v="2020-07-03T00:00:00"/>
    <s v="3"/>
    <s v="Jul"/>
    <n v="3"/>
    <n v="3"/>
    <s v=""/>
    <s v="Office Table"/>
    <s v="Furniture"/>
    <n v="60000000"/>
    <x v="13"/>
    <x v="3"/>
    <x v="0"/>
    <x v="2"/>
    <x v="2"/>
  </r>
  <r>
    <d v="2020-07-04T00:00:00"/>
    <s v="4"/>
    <s v="Jul"/>
    <n v="9"/>
    <n v="9"/>
    <s v=""/>
    <s v="Printer"/>
    <s v="Computer"/>
    <n v="100000000"/>
    <x v="39"/>
    <x v="4"/>
    <x v="0"/>
    <x v="2"/>
    <x v="0"/>
  </r>
  <r>
    <d v="2020-07-04T00:00:00"/>
    <s v="4"/>
    <s v="Jul"/>
    <n v="8"/>
    <n v="8"/>
    <s v=""/>
    <s v="Printer"/>
    <s v="Computer"/>
    <n v="40000000"/>
    <x v="9"/>
    <x v="0"/>
    <x v="0"/>
    <x v="2"/>
    <x v="0"/>
  </r>
  <r>
    <d v="2020-07-04T00:00:00"/>
    <s v="4"/>
    <s v="Jul"/>
    <n v="8"/>
    <n v="8"/>
    <s v=""/>
    <s v="Office Table"/>
    <s v="Furniture"/>
    <n v="100000000"/>
    <x v="46"/>
    <x v="5"/>
    <x v="0"/>
    <x v="0"/>
    <x v="3"/>
  </r>
  <r>
    <d v="2020-07-04T00:00:00"/>
    <s v="4"/>
    <s v="Jul"/>
    <n v="7"/>
    <n v="7"/>
    <s v=""/>
    <s v="Laptop"/>
    <s v="Computer"/>
    <n v="120000000"/>
    <x v="14"/>
    <x v="4"/>
    <x v="0"/>
    <x v="2"/>
    <x v="2"/>
  </r>
  <r>
    <d v="2020-07-04T00:00:00"/>
    <s v="4"/>
    <s v="Jul"/>
    <n v="6"/>
    <n v="6"/>
    <s v=""/>
    <s v="AC"/>
    <s v="Electronic"/>
    <n v="60000000"/>
    <x v="34"/>
    <x v="0"/>
    <x v="0"/>
    <x v="1"/>
    <x v="1"/>
  </r>
  <r>
    <d v="2020-07-04T00:00:00"/>
    <s v="4"/>
    <s v="Jul"/>
    <n v="6"/>
    <n v="6"/>
    <s v=""/>
    <s v="Office Table"/>
    <s v="Furniture"/>
    <n v="120000000"/>
    <x v="22"/>
    <x v="2"/>
    <x v="0"/>
    <x v="1"/>
    <x v="1"/>
  </r>
  <r>
    <d v="2020-07-04T00:00:00"/>
    <s v="4"/>
    <s v="Jul"/>
    <n v="6"/>
    <n v="6"/>
    <s v=""/>
    <s v="Printer"/>
    <s v="Computer"/>
    <n v="100000000"/>
    <x v="26"/>
    <x v="4"/>
    <x v="0"/>
    <x v="1"/>
    <x v="0"/>
  </r>
  <r>
    <d v="2020-07-04T00:00:00"/>
    <s v="4"/>
    <s v="Jul"/>
    <n v="5"/>
    <n v="5"/>
    <s v=""/>
    <s v="Laptop"/>
    <s v="Computer"/>
    <n v="60000000"/>
    <x v="28"/>
    <x v="2"/>
    <x v="0"/>
    <x v="1"/>
    <x v="2"/>
  </r>
  <r>
    <d v="2020-07-04T00:00:00"/>
    <s v="4"/>
    <s v="Jul"/>
    <n v="5"/>
    <n v="5"/>
    <s v=""/>
    <s v="Laptop"/>
    <s v="Computer"/>
    <n v="140000000"/>
    <x v="34"/>
    <x v="2"/>
    <x v="0"/>
    <x v="1"/>
    <x v="2"/>
  </r>
  <r>
    <d v="2020-07-04T00:00:00"/>
    <s v="4"/>
    <s v="Jul"/>
    <n v="5"/>
    <n v="5"/>
    <s v=""/>
    <s v="Office Chair"/>
    <s v="Furniture"/>
    <n v="40000000"/>
    <x v="38"/>
    <x v="0"/>
    <x v="0"/>
    <x v="0"/>
    <x v="0"/>
  </r>
  <r>
    <d v="2020-07-04T00:00:00"/>
    <s v="4"/>
    <s v="Jul"/>
    <n v="5"/>
    <n v="5"/>
    <s v=""/>
    <s v="Office Table"/>
    <s v="Furniture"/>
    <n v="140000000"/>
    <x v="4"/>
    <x v="0"/>
    <x v="0"/>
    <x v="1"/>
    <x v="3"/>
  </r>
  <r>
    <d v="2020-07-04T00:00:00"/>
    <s v="4"/>
    <s v="Jul"/>
    <n v="4"/>
    <n v="4"/>
    <s v=""/>
    <s v="TV"/>
    <s v="Electronic"/>
    <n v="100000000"/>
    <x v="11"/>
    <x v="0"/>
    <x v="0"/>
    <x v="0"/>
    <x v="0"/>
  </r>
  <r>
    <d v="2020-07-04T00:00:00"/>
    <s v="4"/>
    <s v="Jul"/>
    <n v="3"/>
    <n v="3"/>
    <s v=""/>
    <s v="Coffee Mach"/>
    <s v="Kitchen"/>
    <n v="60000000"/>
    <x v="24"/>
    <x v="2"/>
    <x v="0"/>
    <x v="1"/>
    <x v="1"/>
  </r>
  <r>
    <d v="2020-07-05T00:00:00"/>
    <s v="5"/>
    <s v="Jul"/>
    <n v="10"/>
    <n v="10"/>
    <s v=""/>
    <s v="Printer"/>
    <s v="Computer"/>
    <n v="40000000"/>
    <x v="2"/>
    <x v="2"/>
    <x v="0"/>
    <x v="1"/>
    <x v="2"/>
  </r>
  <r>
    <d v="2020-07-05T00:00:00"/>
    <s v="5"/>
    <s v="Jul"/>
    <n v="9"/>
    <n v="9"/>
    <s v=""/>
    <s v="Office Chair"/>
    <s v="Furniture"/>
    <n v="100000000"/>
    <x v="47"/>
    <x v="2"/>
    <x v="0"/>
    <x v="2"/>
    <x v="1"/>
  </r>
  <r>
    <d v="2020-07-05T00:00:00"/>
    <s v="5"/>
    <s v="Jul"/>
    <n v="9"/>
    <n v="9"/>
    <s v=""/>
    <s v="Printer"/>
    <s v="Computer"/>
    <n v="120000000"/>
    <x v="26"/>
    <x v="1"/>
    <x v="0"/>
    <x v="2"/>
    <x v="0"/>
  </r>
  <r>
    <d v="2020-07-05T00:00:00"/>
    <s v="5"/>
    <s v="Jul"/>
    <n v="8"/>
    <n v="8"/>
    <s v=""/>
    <s v="Laptop"/>
    <s v="Computer"/>
    <n v="140000000"/>
    <x v="40"/>
    <x v="0"/>
    <x v="0"/>
    <x v="0"/>
    <x v="3"/>
  </r>
  <r>
    <d v="2020-07-05T00:00:00"/>
    <s v="5"/>
    <s v="Jul"/>
    <n v="8"/>
    <n v="8"/>
    <s v=""/>
    <s v="Office Chair"/>
    <s v="Furniture"/>
    <n v="40000000"/>
    <x v="3"/>
    <x v="0"/>
    <x v="0"/>
    <x v="2"/>
    <x v="0"/>
  </r>
  <r>
    <d v="2020-07-05T00:00:00"/>
    <s v="5"/>
    <s v="Jul"/>
    <n v="8"/>
    <n v="8"/>
    <s v=""/>
    <s v="TV"/>
    <s v="Electronic"/>
    <n v="80000000"/>
    <x v="35"/>
    <x v="0"/>
    <x v="0"/>
    <x v="2"/>
    <x v="1"/>
  </r>
  <r>
    <d v="2020-07-05T00:00:00"/>
    <s v="5"/>
    <s v="Jul"/>
    <n v="4"/>
    <n v="4"/>
    <s v=""/>
    <s v="Printer"/>
    <s v="Computer"/>
    <n v="80000000"/>
    <x v="40"/>
    <x v="0"/>
    <x v="0"/>
    <x v="0"/>
    <x v="0"/>
  </r>
  <r>
    <d v="2020-07-06T00:00:00"/>
    <s v="6"/>
    <s v="Jul"/>
    <n v="9"/>
    <n v="9"/>
    <s v=""/>
    <s v="Table Lamp"/>
    <s v="Accessories"/>
    <n v="80000000"/>
    <x v="37"/>
    <x v="2"/>
    <x v="0"/>
    <x v="0"/>
    <x v="0"/>
  </r>
  <r>
    <d v="2020-07-06T00:00:00"/>
    <s v="6"/>
    <s v="Jul"/>
    <n v="8"/>
    <n v="8"/>
    <s v=""/>
    <s v="Table Lamp"/>
    <s v="Accessories"/>
    <n v="80000000"/>
    <x v="28"/>
    <x v="2"/>
    <x v="0"/>
    <x v="1"/>
    <x v="1"/>
  </r>
  <r>
    <d v="2020-07-06T00:00:00"/>
    <s v="6"/>
    <s v="Jul"/>
    <n v="6"/>
    <n v="6"/>
    <s v=""/>
    <s v="Cable"/>
    <s v="Networking"/>
    <n v="40000000"/>
    <x v="42"/>
    <x v="2"/>
    <x v="0"/>
    <x v="1"/>
    <x v="1"/>
  </r>
  <r>
    <d v="2020-07-06T00:00:00"/>
    <s v="6"/>
    <s v="Jul"/>
    <n v="6"/>
    <n v="6"/>
    <s v=""/>
    <s v="Printer"/>
    <s v="Computer"/>
    <n v="120000000"/>
    <x v="43"/>
    <x v="2"/>
    <x v="0"/>
    <x v="1"/>
    <x v="2"/>
  </r>
  <r>
    <d v="2020-07-06T00:00:00"/>
    <s v="6"/>
    <s v="Jul"/>
    <n v="6"/>
    <n v="6"/>
    <s v=""/>
    <s v="Office Table"/>
    <s v="Furniture"/>
    <n v="120000000"/>
    <x v="14"/>
    <x v="0"/>
    <x v="0"/>
    <x v="1"/>
    <x v="0"/>
  </r>
  <r>
    <d v="2020-07-06T00:00:00"/>
    <s v="6"/>
    <s v="Jul"/>
    <n v="6"/>
    <n v="6"/>
    <s v=""/>
    <s v="TV"/>
    <s v="Electronic"/>
    <n v="100000000"/>
    <x v="10"/>
    <x v="4"/>
    <x v="0"/>
    <x v="1"/>
    <x v="2"/>
  </r>
  <r>
    <d v="2020-07-06T00:00:00"/>
    <s v="6"/>
    <s v="Jul"/>
    <n v="5"/>
    <n v="5"/>
    <s v=""/>
    <s v="Table Lamp"/>
    <s v="Accessories"/>
    <n v="40000000"/>
    <x v="18"/>
    <x v="2"/>
    <x v="0"/>
    <x v="2"/>
    <x v="1"/>
  </r>
  <r>
    <d v="2020-07-06T00:00:00"/>
    <s v="6"/>
    <s v="Jul"/>
    <n v="5"/>
    <n v="5"/>
    <s v=""/>
    <s v="Coffee Mach"/>
    <s v="Kitchen"/>
    <n v="80000000"/>
    <x v="2"/>
    <x v="2"/>
    <x v="0"/>
    <x v="0"/>
    <x v="1"/>
  </r>
  <r>
    <d v="2020-07-06T00:00:00"/>
    <s v="6"/>
    <s v="Jul"/>
    <n v="5"/>
    <n v="5"/>
    <s v=""/>
    <s v="Coffee Mach"/>
    <s v="Kitchen"/>
    <n v="120000000"/>
    <x v="10"/>
    <x v="2"/>
    <x v="0"/>
    <x v="2"/>
    <x v="1"/>
  </r>
  <r>
    <d v="2020-07-06T00:00:00"/>
    <s v="6"/>
    <s v="Jul"/>
    <n v="4"/>
    <n v="4"/>
    <s v=""/>
    <s v="Cable"/>
    <s v="Networking"/>
    <n v="80000000"/>
    <x v="8"/>
    <x v="2"/>
    <x v="0"/>
    <x v="2"/>
    <x v="1"/>
  </r>
  <r>
    <d v="2020-07-06T00:00:00"/>
    <s v="6"/>
    <s v="Jul"/>
    <n v="3"/>
    <n v="3"/>
    <s v=""/>
    <s v="Cable"/>
    <s v="Networking"/>
    <n v="140000000"/>
    <x v="11"/>
    <x v="2"/>
    <x v="0"/>
    <x v="0"/>
    <x v="0"/>
  </r>
  <r>
    <d v="2020-07-07T00:00:00"/>
    <s v="7"/>
    <s v="Jul"/>
    <n v="9"/>
    <n v="9"/>
    <s v=""/>
    <s v="Laptop"/>
    <s v="Computer"/>
    <n v="140000000"/>
    <x v="0"/>
    <x v="5"/>
    <x v="0"/>
    <x v="0"/>
    <x v="1"/>
  </r>
  <r>
    <d v="2020-07-07T00:00:00"/>
    <s v="7"/>
    <s v="Jul"/>
    <n v="9"/>
    <n v="9"/>
    <s v=""/>
    <s v="Office Table"/>
    <s v="Furniture"/>
    <n v="40000000"/>
    <x v="8"/>
    <x v="2"/>
    <x v="0"/>
    <x v="1"/>
    <x v="0"/>
  </r>
  <r>
    <d v="2020-07-07T00:00:00"/>
    <s v="7"/>
    <s v="Jul"/>
    <n v="7"/>
    <n v="7"/>
    <s v=""/>
    <s v="Printer"/>
    <s v="Computer"/>
    <n v="80000000"/>
    <x v="10"/>
    <x v="0"/>
    <x v="0"/>
    <x v="1"/>
    <x v="1"/>
  </r>
  <r>
    <d v="2020-07-07T00:00:00"/>
    <s v="7"/>
    <s v="Jul"/>
    <n v="7"/>
    <n v="7"/>
    <s v=""/>
    <s v="Office Table"/>
    <s v="Furniture"/>
    <n v="140000000"/>
    <x v="12"/>
    <x v="0"/>
    <x v="0"/>
    <x v="2"/>
    <x v="3"/>
  </r>
  <r>
    <d v="2020-07-07T00:00:00"/>
    <s v="7"/>
    <s v="Jul"/>
    <n v="7"/>
    <n v="7"/>
    <s v=""/>
    <s v="Coffee Mach"/>
    <s v="Kitchen"/>
    <n v="60000000"/>
    <x v="44"/>
    <x v="0"/>
    <x v="0"/>
    <x v="0"/>
    <x v="0"/>
  </r>
  <r>
    <d v="2020-07-07T00:00:00"/>
    <s v="7"/>
    <s v="Jul"/>
    <n v="7"/>
    <n v="7"/>
    <s v=""/>
    <s v="Printer"/>
    <s v="Computer"/>
    <n v="60000000"/>
    <x v="14"/>
    <x v="0"/>
    <x v="0"/>
    <x v="1"/>
    <x v="1"/>
  </r>
  <r>
    <d v="2020-07-07T00:00:00"/>
    <s v="7"/>
    <s v="Jul"/>
    <n v="6"/>
    <n v="6"/>
    <s v=""/>
    <s v="Printer"/>
    <s v="Computer"/>
    <n v="140000000"/>
    <x v="10"/>
    <x v="3"/>
    <x v="0"/>
    <x v="2"/>
    <x v="2"/>
  </r>
  <r>
    <d v="2020-07-07T00:00:00"/>
    <s v="7"/>
    <s v="Jul"/>
    <n v="5"/>
    <n v="5"/>
    <s v=""/>
    <s v="TV"/>
    <s v="Electronic"/>
    <n v="80000000"/>
    <x v="14"/>
    <x v="2"/>
    <x v="0"/>
    <x v="0"/>
    <x v="3"/>
  </r>
  <r>
    <d v="2020-07-07T00:00:00"/>
    <s v="7"/>
    <s v="Jul"/>
    <n v="3"/>
    <n v="3"/>
    <s v=""/>
    <s v="Office Chair"/>
    <s v="Furniture"/>
    <n v="120000000"/>
    <x v="12"/>
    <x v="4"/>
    <x v="0"/>
    <x v="0"/>
    <x v="2"/>
  </r>
  <r>
    <d v="2020-07-08T00:00:00"/>
    <s v="8"/>
    <s v="Jul"/>
    <n v="10"/>
    <n v="10"/>
    <s v=""/>
    <s v="Office Chair"/>
    <s v="Furniture"/>
    <n v="140000000"/>
    <x v="3"/>
    <x v="4"/>
    <x v="0"/>
    <x v="2"/>
    <x v="2"/>
  </r>
  <r>
    <d v="2020-07-08T00:00:00"/>
    <s v="8"/>
    <s v="Jul"/>
    <n v="9"/>
    <n v="9"/>
    <s v=""/>
    <s v="Laptop"/>
    <s v="Computer"/>
    <n v="120000000"/>
    <x v="18"/>
    <x v="0"/>
    <x v="0"/>
    <x v="0"/>
    <x v="2"/>
  </r>
  <r>
    <d v="2020-07-08T00:00:00"/>
    <s v="8"/>
    <s v="Jul"/>
    <n v="8"/>
    <n v="8"/>
    <s v=""/>
    <s v="TV"/>
    <s v="Electronic"/>
    <n v="120000000"/>
    <x v="45"/>
    <x v="2"/>
    <x v="0"/>
    <x v="1"/>
    <x v="2"/>
  </r>
  <r>
    <d v="2020-07-08T00:00:00"/>
    <s v="8"/>
    <s v="Jul"/>
    <n v="6"/>
    <n v="6"/>
    <s v=""/>
    <s v="AC"/>
    <s v="Electronic"/>
    <n v="120000000"/>
    <x v="43"/>
    <x v="3"/>
    <x v="0"/>
    <x v="1"/>
    <x v="3"/>
  </r>
  <r>
    <d v="2020-07-08T00:00:00"/>
    <s v="8"/>
    <s v="Jul"/>
    <n v="5"/>
    <n v="5"/>
    <s v=""/>
    <s v="Printer"/>
    <s v="Computer"/>
    <n v="120000000"/>
    <x v="14"/>
    <x v="0"/>
    <x v="0"/>
    <x v="1"/>
    <x v="2"/>
  </r>
  <r>
    <d v="2020-07-08T00:00:00"/>
    <s v="8"/>
    <s v="Jul"/>
    <n v="3"/>
    <n v="3"/>
    <s v=""/>
    <s v="Office Chair"/>
    <s v="Furniture"/>
    <n v="140000000"/>
    <x v="47"/>
    <x v="2"/>
    <x v="0"/>
    <x v="1"/>
    <x v="0"/>
  </r>
  <r>
    <d v="2020-07-08T00:00:00"/>
    <s v="8"/>
    <s v="Jul"/>
    <n v="3"/>
    <n v="3"/>
    <s v=""/>
    <s v="Office Table"/>
    <s v="Furniture"/>
    <n v="60000000"/>
    <x v="28"/>
    <x v="0"/>
    <x v="0"/>
    <x v="0"/>
    <x v="2"/>
  </r>
  <r>
    <d v="2020-07-08T00:00:00"/>
    <s v="8"/>
    <s v="Jul"/>
    <n v="3"/>
    <n v="3"/>
    <s v=""/>
    <s v="Coffee Mach"/>
    <s v="Kitchen"/>
    <n v="60000000"/>
    <x v="20"/>
    <x v="0"/>
    <x v="0"/>
    <x v="0"/>
    <x v="3"/>
  </r>
  <r>
    <d v="2020-07-08T00:00:00"/>
    <s v="8"/>
    <s v="Jul"/>
    <n v="3"/>
    <n v="3"/>
    <s v=""/>
    <s v="Laptop"/>
    <s v="Computer"/>
    <n v="40000000"/>
    <x v="43"/>
    <x v="3"/>
    <x v="0"/>
    <x v="1"/>
    <x v="2"/>
  </r>
  <r>
    <d v="2020-07-08T00:00:00"/>
    <s v="8"/>
    <s v="Jul"/>
    <n v="3"/>
    <n v="3"/>
    <s v=""/>
    <s v="Cable"/>
    <s v="Networking"/>
    <n v="80000000"/>
    <x v="42"/>
    <x v="0"/>
    <x v="0"/>
    <x v="1"/>
    <x v="1"/>
  </r>
  <r>
    <d v="2020-07-09T00:00:00"/>
    <s v="9"/>
    <s v="Jul"/>
    <n v="10"/>
    <n v="10"/>
    <s v=""/>
    <s v="Coffee Mach"/>
    <s v="Kitchen"/>
    <n v="140000000"/>
    <x v="43"/>
    <x v="0"/>
    <x v="0"/>
    <x v="2"/>
    <x v="1"/>
  </r>
  <r>
    <d v="2020-07-09T00:00:00"/>
    <s v="9"/>
    <s v="Jul"/>
    <n v="10"/>
    <n v="10"/>
    <s v=""/>
    <s v="Laptop"/>
    <s v="Computer"/>
    <n v="100000000"/>
    <x v="21"/>
    <x v="1"/>
    <x v="0"/>
    <x v="0"/>
    <x v="2"/>
  </r>
  <r>
    <d v="2020-07-09T00:00:00"/>
    <s v="9"/>
    <s v="Jul"/>
    <n v="9"/>
    <n v="9"/>
    <s v=""/>
    <s v="Table Lamp"/>
    <s v="Accessories"/>
    <n v="140000000"/>
    <x v="5"/>
    <x v="0"/>
    <x v="0"/>
    <x v="1"/>
    <x v="2"/>
  </r>
  <r>
    <d v="2020-07-09T00:00:00"/>
    <s v="9"/>
    <s v="Jul"/>
    <n v="8"/>
    <n v="8"/>
    <s v=""/>
    <s v="Laptop"/>
    <s v="Computer"/>
    <n v="100000000"/>
    <x v="13"/>
    <x v="2"/>
    <x v="0"/>
    <x v="1"/>
    <x v="0"/>
  </r>
  <r>
    <d v="2020-07-09T00:00:00"/>
    <s v="9"/>
    <s v="Jul"/>
    <n v="8"/>
    <n v="8"/>
    <s v=""/>
    <s v="TV"/>
    <s v="Electronic"/>
    <n v="40000000"/>
    <x v="24"/>
    <x v="0"/>
    <x v="0"/>
    <x v="2"/>
    <x v="3"/>
  </r>
  <r>
    <d v="2020-07-09T00:00:00"/>
    <s v="9"/>
    <s v="Jul"/>
    <n v="7"/>
    <n v="7"/>
    <s v=""/>
    <s v="Table Lamp"/>
    <s v="Accessories"/>
    <n v="60000000"/>
    <x v="36"/>
    <x v="0"/>
    <x v="0"/>
    <x v="2"/>
    <x v="2"/>
  </r>
  <r>
    <d v="2020-07-09T00:00:00"/>
    <s v="9"/>
    <s v="Jul"/>
    <n v="6"/>
    <n v="6"/>
    <s v=""/>
    <s v="TV"/>
    <s v="Electronic"/>
    <n v="120000000"/>
    <x v="30"/>
    <x v="0"/>
    <x v="0"/>
    <x v="1"/>
    <x v="1"/>
  </r>
  <r>
    <d v="2020-07-09T00:00:00"/>
    <s v="9"/>
    <s v="Jul"/>
    <n v="6"/>
    <n v="6"/>
    <s v=""/>
    <s v="Cable"/>
    <s v="Networking"/>
    <n v="40000000"/>
    <x v="7"/>
    <x v="0"/>
    <x v="0"/>
    <x v="2"/>
    <x v="3"/>
  </r>
  <r>
    <d v="2020-07-09T00:00:00"/>
    <s v="9"/>
    <s v="Jul"/>
    <n v="3"/>
    <n v="3"/>
    <s v=""/>
    <s v="Laptop"/>
    <s v="Computer"/>
    <n v="140000000"/>
    <x v="30"/>
    <x v="5"/>
    <x v="0"/>
    <x v="1"/>
    <x v="3"/>
  </r>
  <r>
    <d v="2020-07-09T00:00:00"/>
    <s v="9"/>
    <s v="Jul"/>
    <n v="3"/>
    <n v="3"/>
    <s v=""/>
    <s v="Printer"/>
    <s v="Computer"/>
    <n v="120000000"/>
    <x v="18"/>
    <x v="0"/>
    <x v="0"/>
    <x v="0"/>
    <x v="3"/>
  </r>
  <r>
    <d v="2020-07-10T00:00:00"/>
    <s v="10"/>
    <s v="Jul"/>
    <n v="9"/>
    <n v="9"/>
    <s v=""/>
    <s v="Table Lamp"/>
    <s v="Accessories"/>
    <n v="80000000"/>
    <x v="3"/>
    <x v="2"/>
    <x v="0"/>
    <x v="1"/>
    <x v="2"/>
  </r>
  <r>
    <d v="2020-07-10T00:00:00"/>
    <s v="10"/>
    <s v="Jul"/>
    <n v="9"/>
    <n v="9"/>
    <s v=""/>
    <s v="Laptop"/>
    <s v="Computer"/>
    <n v="60000000"/>
    <x v="19"/>
    <x v="1"/>
    <x v="0"/>
    <x v="0"/>
    <x v="0"/>
  </r>
  <r>
    <d v="2020-07-10T00:00:00"/>
    <s v="10"/>
    <s v="Jul"/>
    <n v="8"/>
    <n v="8"/>
    <s v=""/>
    <s v="TV"/>
    <s v="Electronic"/>
    <n v="80000000"/>
    <x v="33"/>
    <x v="2"/>
    <x v="0"/>
    <x v="2"/>
    <x v="0"/>
  </r>
  <r>
    <d v="2020-07-10T00:00:00"/>
    <s v="10"/>
    <s v="Jul"/>
    <n v="7"/>
    <n v="7"/>
    <s v=""/>
    <s v="Coffee Mach"/>
    <s v="Kitchen"/>
    <n v="40000000"/>
    <x v="48"/>
    <x v="2"/>
    <x v="0"/>
    <x v="2"/>
    <x v="3"/>
  </r>
  <r>
    <d v="2020-07-10T00:00:00"/>
    <s v="10"/>
    <s v="Jul"/>
    <n v="6"/>
    <n v="6"/>
    <s v=""/>
    <s v="TV"/>
    <s v="Electronic"/>
    <n v="40000000"/>
    <x v="14"/>
    <x v="2"/>
    <x v="0"/>
    <x v="2"/>
    <x v="1"/>
  </r>
  <r>
    <d v="2020-07-10T00:00:00"/>
    <s v="10"/>
    <s v="Jul"/>
    <n v="5"/>
    <n v="5"/>
    <s v=""/>
    <s v="Coffee Mach"/>
    <s v="Kitchen"/>
    <n v="120000000"/>
    <x v="30"/>
    <x v="5"/>
    <x v="0"/>
    <x v="2"/>
    <x v="3"/>
  </r>
  <r>
    <d v="2020-07-10T00:00:00"/>
    <s v="10"/>
    <s v="Jul"/>
    <n v="5"/>
    <n v="5"/>
    <s v=""/>
    <s v="Coffee Mach"/>
    <s v="Kitchen"/>
    <n v="140000000"/>
    <x v="48"/>
    <x v="5"/>
    <x v="0"/>
    <x v="1"/>
    <x v="2"/>
  </r>
  <r>
    <d v="2020-07-11T00:00:00"/>
    <s v="11"/>
    <s v="Jul"/>
    <n v="10"/>
    <n v="10"/>
    <s v=""/>
    <s v="Office Table"/>
    <s v="Furniture"/>
    <n v="140000000"/>
    <x v="26"/>
    <x v="0"/>
    <x v="0"/>
    <x v="1"/>
    <x v="2"/>
  </r>
  <r>
    <d v="2020-07-11T00:00:00"/>
    <s v="11"/>
    <s v="Jul"/>
    <n v="10"/>
    <n v="10"/>
    <s v=""/>
    <s v="Office Table"/>
    <s v="Furniture"/>
    <n v="120000000"/>
    <x v="10"/>
    <x v="4"/>
    <x v="0"/>
    <x v="0"/>
    <x v="2"/>
  </r>
  <r>
    <d v="2020-07-11T00:00:00"/>
    <s v="11"/>
    <s v="Jul"/>
    <n v="8"/>
    <n v="8"/>
    <s v=""/>
    <s v="Office Table"/>
    <s v="Furniture"/>
    <n v="100000000"/>
    <x v="44"/>
    <x v="0"/>
    <x v="0"/>
    <x v="2"/>
    <x v="1"/>
  </r>
  <r>
    <d v="2020-07-11T00:00:00"/>
    <s v="11"/>
    <s v="Jul"/>
    <n v="8"/>
    <n v="8"/>
    <s v=""/>
    <s v="AC"/>
    <s v="Electronic"/>
    <n v="100000000"/>
    <x v="0"/>
    <x v="0"/>
    <x v="0"/>
    <x v="1"/>
    <x v="3"/>
  </r>
  <r>
    <d v="2020-07-11T00:00:00"/>
    <s v="11"/>
    <s v="Jul"/>
    <n v="8"/>
    <n v="8"/>
    <s v=""/>
    <s v="Office Chair"/>
    <s v="Furniture"/>
    <n v="100000000"/>
    <x v="33"/>
    <x v="2"/>
    <x v="0"/>
    <x v="1"/>
    <x v="3"/>
  </r>
  <r>
    <d v="2020-07-11T00:00:00"/>
    <s v="11"/>
    <s v="Jul"/>
    <n v="7"/>
    <n v="7"/>
    <s v=""/>
    <s v="Office Table"/>
    <s v="Furniture"/>
    <n v="100000000"/>
    <x v="1"/>
    <x v="2"/>
    <x v="0"/>
    <x v="1"/>
    <x v="1"/>
  </r>
  <r>
    <d v="2020-07-11T00:00:00"/>
    <s v="11"/>
    <s v="Jul"/>
    <n v="7"/>
    <n v="7"/>
    <s v=""/>
    <s v="Coffee Mach"/>
    <s v="Kitchen"/>
    <n v="60000000"/>
    <x v="15"/>
    <x v="0"/>
    <x v="0"/>
    <x v="2"/>
    <x v="2"/>
  </r>
  <r>
    <d v="2020-07-11T00:00:00"/>
    <s v="11"/>
    <s v="Jul"/>
    <n v="6"/>
    <n v="6"/>
    <s v=""/>
    <s v="AC"/>
    <s v="Electronic"/>
    <n v="100000000"/>
    <x v="14"/>
    <x v="2"/>
    <x v="0"/>
    <x v="2"/>
    <x v="1"/>
  </r>
  <r>
    <d v="2020-07-11T00:00:00"/>
    <s v="11"/>
    <s v="Jul"/>
    <n v="5"/>
    <n v="5"/>
    <s v=""/>
    <s v="Printer"/>
    <s v="Computer"/>
    <n v="60000000"/>
    <x v="0"/>
    <x v="0"/>
    <x v="0"/>
    <x v="0"/>
    <x v="2"/>
  </r>
  <r>
    <d v="2020-07-11T00:00:00"/>
    <s v="11"/>
    <s v="Jul"/>
    <n v="4"/>
    <n v="4"/>
    <s v=""/>
    <s v="Laptop"/>
    <s v="Computer"/>
    <n v="80000000"/>
    <x v="42"/>
    <x v="0"/>
    <x v="0"/>
    <x v="0"/>
    <x v="3"/>
  </r>
  <r>
    <d v="2020-07-11T00:00:00"/>
    <s v="11"/>
    <s v="Jul"/>
    <n v="3"/>
    <n v="3"/>
    <s v=""/>
    <s v="Office Table"/>
    <s v="Furniture"/>
    <n v="40000000"/>
    <x v="12"/>
    <x v="2"/>
    <x v="0"/>
    <x v="2"/>
    <x v="0"/>
  </r>
  <r>
    <d v="2020-07-11T00:00:00"/>
    <s v="11"/>
    <s v="Jul"/>
    <n v="3"/>
    <n v="3"/>
    <s v=""/>
    <s v="Table Lamp"/>
    <s v="Accessories"/>
    <n v="60000000"/>
    <x v="24"/>
    <x v="0"/>
    <x v="0"/>
    <x v="2"/>
    <x v="3"/>
  </r>
  <r>
    <d v="2020-07-12T00:00:00"/>
    <s v="12"/>
    <s v="Jul"/>
    <n v="10"/>
    <n v="10"/>
    <s v=""/>
    <s v="Table Lamp"/>
    <s v="Accessories"/>
    <n v="40000000"/>
    <x v="16"/>
    <x v="2"/>
    <x v="0"/>
    <x v="0"/>
    <x v="2"/>
  </r>
  <r>
    <d v="2020-07-12T00:00:00"/>
    <s v="12"/>
    <s v="Jul"/>
    <n v="7"/>
    <n v="7"/>
    <s v=""/>
    <s v="Printer"/>
    <s v="Computer"/>
    <n v="140000000"/>
    <x v="4"/>
    <x v="0"/>
    <x v="0"/>
    <x v="1"/>
    <x v="0"/>
  </r>
  <r>
    <d v="2020-07-12T00:00:00"/>
    <s v="12"/>
    <s v="Jul"/>
    <n v="6"/>
    <n v="6"/>
    <s v=""/>
    <s v="Cable"/>
    <s v="Networking"/>
    <n v="120000000"/>
    <x v="0"/>
    <x v="2"/>
    <x v="0"/>
    <x v="2"/>
    <x v="2"/>
  </r>
  <r>
    <d v="2020-07-12T00:00:00"/>
    <s v="12"/>
    <s v="Jul"/>
    <n v="6"/>
    <n v="6"/>
    <s v=""/>
    <s v="Printer"/>
    <s v="Computer"/>
    <n v="100000000"/>
    <x v="43"/>
    <x v="2"/>
    <x v="0"/>
    <x v="0"/>
    <x v="1"/>
  </r>
  <r>
    <d v="2020-07-12T00:00:00"/>
    <s v="12"/>
    <s v="Jul"/>
    <n v="6"/>
    <n v="6"/>
    <s v=""/>
    <s v="Table Lamp"/>
    <s v="Accessories"/>
    <n v="40000000"/>
    <x v="48"/>
    <x v="4"/>
    <x v="0"/>
    <x v="0"/>
    <x v="1"/>
  </r>
  <r>
    <d v="2020-07-12T00:00:00"/>
    <s v="12"/>
    <s v="Jul"/>
    <n v="4"/>
    <n v="4"/>
    <s v=""/>
    <s v="AC"/>
    <s v="Electronic"/>
    <n v="120000000"/>
    <x v="42"/>
    <x v="4"/>
    <x v="0"/>
    <x v="0"/>
    <x v="3"/>
  </r>
  <r>
    <d v="2020-07-12T00:00:00"/>
    <s v="12"/>
    <s v="Jul"/>
    <n v="3"/>
    <n v="3"/>
    <s v=""/>
    <s v="Office Table"/>
    <s v="Furniture"/>
    <n v="140000000"/>
    <x v="4"/>
    <x v="2"/>
    <x v="0"/>
    <x v="1"/>
    <x v="2"/>
  </r>
  <r>
    <d v="2020-07-12T00:00:00"/>
    <s v="12"/>
    <s v="Jul"/>
    <n v="3"/>
    <n v="3"/>
    <s v=""/>
    <s v="Cable"/>
    <s v="Networking"/>
    <n v="120000000"/>
    <x v="3"/>
    <x v="3"/>
    <x v="0"/>
    <x v="0"/>
    <x v="3"/>
  </r>
  <r>
    <d v="2020-07-12T00:00:00"/>
    <s v="12"/>
    <s v="Jul"/>
    <n v="3"/>
    <n v="3"/>
    <s v=""/>
    <s v="AC"/>
    <s v="Electronic"/>
    <n v="140000000"/>
    <x v="3"/>
    <x v="0"/>
    <x v="0"/>
    <x v="1"/>
    <x v="1"/>
  </r>
  <r>
    <d v="2020-07-13T00:00:00"/>
    <s v="13"/>
    <s v="Jul"/>
    <n v="10"/>
    <n v="10"/>
    <s v=""/>
    <s v="Office Table"/>
    <s v="Furniture"/>
    <n v="120000000"/>
    <x v="22"/>
    <x v="2"/>
    <x v="0"/>
    <x v="0"/>
    <x v="2"/>
  </r>
  <r>
    <d v="2020-07-13T00:00:00"/>
    <s v="13"/>
    <s v="Jul"/>
    <n v="10"/>
    <n v="10"/>
    <s v=""/>
    <s v="Laptop"/>
    <s v="Computer"/>
    <n v="100000000"/>
    <x v="14"/>
    <x v="1"/>
    <x v="0"/>
    <x v="1"/>
    <x v="1"/>
  </r>
  <r>
    <d v="2020-07-13T00:00:00"/>
    <s v="13"/>
    <s v="Jul"/>
    <n v="10"/>
    <n v="10"/>
    <s v=""/>
    <s v="Table Lamp"/>
    <s v="Accessories"/>
    <n v="120000000"/>
    <x v="30"/>
    <x v="0"/>
    <x v="0"/>
    <x v="2"/>
    <x v="3"/>
  </r>
  <r>
    <d v="2020-07-13T00:00:00"/>
    <s v="13"/>
    <s v="Jul"/>
    <n v="9"/>
    <n v="9"/>
    <s v=""/>
    <s v="Cable"/>
    <s v="Networking"/>
    <n v="80000000"/>
    <x v="40"/>
    <x v="4"/>
    <x v="0"/>
    <x v="2"/>
    <x v="0"/>
  </r>
  <r>
    <d v="2020-07-13T00:00:00"/>
    <s v="13"/>
    <s v="Jul"/>
    <n v="8"/>
    <n v="8"/>
    <s v=""/>
    <s v="Printer"/>
    <s v="Computer"/>
    <n v="80000000"/>
    <x v="11"/>
    <x v="0"/>
    <x v="0"/>
    <x v="0"/>
    <x v="1"/>
  </r>
  <r>
    <d v="2020-07-13T00:00:00"/>
    <s v="13"/>
    <s v="Jul"/>
    <n v="6"/>
    <n v="6"/>
    <s v=""/>
    <s v="Cable"/>
    <s v="Networking"/>
    <n v="40000000"/>
    <x v="40"/>
    <x v="2"/>
    <x v="0"/>
    <x v="2"/>
    <x v="2"/>
  </r>
  <r>
    <d v="2020-07-13T00:00:00"/>
    <s v="13"/>
    <s v="Jul"/>
    <n v="6"/>
    <n v="6"/>
    <s v=""/>
    <s v="Office Table"/>
    <s v="Furniture"/>
    <n v="120000000"/>
    <x v="34"/>
    <x v="2"/>
    <x v="0"/>
    <x v="1"/>
    <x v="0"/>
  </r>
  <r>
    <d v="2020-07-13T00:00:00"/>
    <s v="13"/>
    <s v="Jul"/>
    <n v="6"/>
    <n v="6"/>
    <s v=""/>
    <s v="Laptop"/>
    <s v="Computer"/>
    <n v="80000000"/>
    <x v="43"/>
    <x v="0"/>
    <x v="0"/>
    <x v="1"/>
    <x v="0"/>
  </r>
  <r>
    <d v="2020-07-13T00:00:00"/>
    <s v="13"/>
    <s v="Jul"/>
    <n v="5"/>
    <n v="5"/>
    <s v=""/>
    <s v="Office Table"/>
    <s v="Furniture"/>
    <n v="40000000"/>
    <x v="29"/>
    <x v="2"/>
    <x v="0"/>
    <x v="2"/>
    <x v="3"/>
  </r>
  <r>
    <d v="2020-07-14T00:00:00"/>
    <s v="14"/>
    <s v="Jul"/>
    <n v="10"/>
    <n v="10"/>
    <s v=""/>
    <s v="Office Chair"/>
    <s v="Furniture"/>
    <n v="60000000"/>
    <x v="28"/>
    <x v="0"/>
    <x v="0"/>
    <x v="0"/>
    <x v="2"/>
  </r>
  <r>
    <d v="2020-07-14T00:00:00"/>
    <s v="14"/>
    <s v="Jul"/>
    <n v="9"/>
    <n v="9"/>
    <s v=""/>
    <s v="Printer"/>
    <s v="Computer"/>
    <n v="40000000"/>
    <x v="16"/>
    <x v="4"/>
    <x v="0"/>
    <x v="0"/>
    <x v="3"/>
  </r>
  <r>
    <d v="2020-07-14T00:00:00"/>
    <s v="14"/>
    <s v="Jul"/>
    <n v="7"/>
    <n v="7"/>
    <s v=""/>
    <s v="Coffee Mach"/>
    <s v="Kitchen"/>
    <n v="140000000"/>
    <x v="7"/>
    <x v="2"/>
    <x v="0"/>
    <x v="1"/>
    <x v="1"/>
  </r>
  <r>
    <d v="2020-07-14T00:00:00"/>
    <s v="14"/>
    <s v="Jul"/>
    <n v="6"/>
    <n v="6"/>
    <s v=""/>
    <s v="Cable"/>
    <s v="Networking"/>
    <n v="60000000"/>
    <x v="13"/>
    <x v="0"/>
    <x v="0"/>
    <x v="1"/>
    <x v="3"/>
  </r>
  <r>
    <d v="2020-07-14T00:00:00"/>
    <s v="14"/>
    <s v="Jul"/>
    <n v="5"/>
    <n v="5"/>
    <s v=""/>
    <s v="Table Lamp"/>
    <s v="Accessories"/>
    <n v="100000000"/>
    <x v="14"/>
    <x v="2"/>
    <x v="0"/>
    <x v="1"/>
    <x v="1"/>
  </r>
  <r>
    <d v="2020-07-14T00:00:00"/>
    <s v="14"/>
    <s v="Jul"/>
    <n v="5"/>
    <n v="5"/>
    <s v=""/>
    <s v="AC"/>
    <s v="Electronic"/>
    <n v="80000000"/>
    <x v="49"/>
    <x v="2"/>
    <x v="0"/>
    <x v="2"/>
    <x v="1"/>
  </r>
  <r>
    <d v="2020-07-15T00:00:00"/>
    <s v="15"/>
    <s v="Jul"/>
    <n v="10"/>
    <n v="10"/>
    <s v=""/>
    <s v="Laptop"/>
    <s v="Computer"/>
    <n v="40000000"/>
    <x v="10"/>
    <x v="4"/>
    <x v="0"/>
    <x v="2"/>
    <x v="3"/>
  </r>
  <r>
    <d v="2020-07-15T00:00:00"/>
    <s v="15"/>
    <s v="Jul"/>
    <n v="10"/>
    <n v="10"/>
    <s v=""/>
    <s v="Office Table"/>
    <s v="Furniture"/>
    <n v="40000000"/>
    <x v="19"/>
    <x v="0"/>
    <x v="0"/>
    <x v="1"/>
    <x v="1"/>
  </r>
  <r>
    <d v="2020-07-15T00:00:00"/>
    <s v="15"/>
    <s v="Jul"/>
    <n v="9"/>
    <n v="9"/>
    <s v=""/>
    <s v="TV"/>
    <s v="Electronic"/>
    <n v="80000000"/>
    <x v="2"/>
    <x v="3"/>
    <x v="0"/>
    <x v="0"/>
    <x v="0"/>
  </r>
  <r>
    <d v="2020-07-15T00:00:00"/>
    <s v="15"/>
    <s v="Jul"/>
    <n v="7"/>
    <n v="7"/>
    <s v=""/>
    <s v="Coffee Mach"/>
    <s v="Kitchen"/>
    <n v="80000000"/>
    <x v="13"/>
    <x v="0"/>
    <x v="0"/>
    <x v="2"/>
    <x v="3"/>
  </r>
  <r>
    <d v="2020-07-15T00:00:00"/>
    <s v="15"/>
    <s v="Jul"/>
    <n v="7"/>
    <n v="7"/>
    <s v=""/>
    <s v="Laptop"/>
    <s v="Computer"/>
    <n v="80000000"/>
    <x v="7"/>
    <x v="0"/>
    <x v="0"/>
    <x v="1"/>
    <x v="1"/>
  </r>
  <r>
    <d v="2020-07-15T00:00:00"/>
    <s v="15"/>
    <s v="Jul"/>
    <n v="6"/>
    <n v="6"/>
    <s v=""/>
    <s v="Cable"/>
    <s v="Networking"/>
    <n v="40000000"/>
    <x v="49"/>
    <x v="0"/>
    <x v="0"/>
    <x v="0"/>
    <x v="2"/>
  </r>
  <r>
    <d v="2020-07-15T00:00:00"/>
    <s v="15"/>
    <s v="Jul"/>
    <n v="5"/>
    <n v="5"/>
    <s v=""/>
    <s v="Office Table"/>
    <s v="Furniture"/>
    <n v="140000000"/>
    <x v="11"/>
    <x v="5"/>
    <x v="0"/>
    <x v="1"/>
    <x v="3"/>
  </r>
  <r>
    <d v="2020-07-15T00:00:00"/>
    <s v="15"/>
    <s v="Jul"/>
    <n v="5"/>
    <n v="5"/>
    <s v=""/>
    <s v="Cable"/>
    <s v="Networking"/>
    <n v="120000000"/>
    <x v="19"/>
    <x v="2"/>
    <x v="0"/>
    <x v="0"/>
    <x v="1"/>
  </r>
  <r>
    <d v="2020-07-15T00:00:00"/>
    <s v="15"/>
    <s v="Jul"/>
    <n v="3"/>
    <n v="3"/>
    <s v=""/>
    <s v="Printer"/>
    <s v="Computer"/>
    <n v="100000000"/>
    <x v="4"/>
    <x v="0"/>
    <x v="0"/>
    <x v="1"/>
    <x v="1"/>
  </r>
  <r>
    <d v="2020-07-16T00:00:00"/>
    <s v="16"/>
    <s v="Jul"/>
    <n v="10"/>
    <n v="10"/>
    <s v=""/>
    <s v="Office Table"/>
    <s v="Furniture"/>
    <n v="40000000"/>
    <x v="17"/>
    <x v="2"/>
    <x v="0"/>
    <x v="0"/>
    <x v="2"/>
  </r>
  <r>
    <d v="2020-07-16T00:00:00"/>
    <s v="16"/>
    <s v="Jul"/>
    <n v="9"/>
    <n v="9"/>
    <s v=""/>
    <s v="Coffee Mach"/>
    <s v="Kitchen"/>
    <n v="140000000"/>
    <x v="40"/>
    <x v="2"/>
    <x v="0"/>
    <x v="0"/>
    <x v="1"/>
  </r>
  <r>
    <d v="2020-07-16T00:00:00"/>
    <s v="16"/>
    <s v="Jul"/>
    <n v="8"/>
    <n v="8"/>
    <s v=""/>
    <s v="AC"/>
    <s v="Electronic"/>
    <n v="80000000"/>
    <x v="26"/>
    <x v="2"/>
    <x v="0"/>
    <x v="1"/>
    <x v="2"/>
  </r>
  <r>
    <d v="2020-07-16T00:00:00"/>
    <s v="16"/>
    <s v="Jul"/>
    <n v="6"/>
    <n v="6"/>
    <s v=""/>
    <s v="Printer"/>
    <s v="Computer"/>
    <n v="80000000"/>
    <x v="42"/>
    <x v="5"/>
    <x v="0"/>
    <x v="0"/>
    <x v="0"/>
  </r>
  <r>
    <d v="2020-07-16T00:00:00"/>
    <s v="16"/>
    <s v="Jul"/>
    <n v="6"/>
    <n v="6"/>
    <s v=""/>
    <s v="Coffee Mach"/>
    <s v="Kitchen"/>
    <n v="140000000"/>
    <x v="13"/>
    <x v="4"/>
    <x v="0"/>
    <x v="1"/>
    <x v="1"/>
  </r>
  <r>
    <d v="2020-07-16T00:00:00"/>
    <s v="16"/>
    <s v="Jul"/>
    <n v="6"/>
    <n v="6"/>
    <s v=""/>
    <s v="Coffee Mach"/>
    <s v="Kitchen"/>
    <n v="40000000"/>
    <x v="31"/>
    <x v="1"/>
    <x v="0"/>
    <x v="0"/>
    <x v="2"/>
  </r>
  <r>
    <d v="2020-07-16T00:00:00"/>
    <s v="16"/>
    <s v="Jul"/>
    <n v="4"/>
    <n v="4"/>
    <s v=""/>
    <s v="Cable"/>
    <s v="Networking"/>
    <n v="60000000"/>
    <x v="18"/>
    <x v="2"/>
    <x v="0"/>
    <x v="0"/>
    <x v="2"/>
  </r>
  <r>
    <d v="2020-07-17T00:00:00"/>
    <s v="17"/>
    <s v="Jul"/>
    <n v="10"/>
    <n v="10"/>
    <s v=""/>
    <s v="Coffee Mach"/>
    <s v="Kitchen"/>
    <n v="40000000"/>
    <x v="7"/>
    <x v="0"/>
    <x v="0"/>
    <x v="1"/>
    <x v="3"/>
  </r>
  <r>
    <d v="2020-07-17T00:00:00"/>
    <s v="17"/>
    <s v="Jul"/>
    <n v="10"/>
    <n v="10"/>
    <s v=""/>
    <s v="AC"/>
    <s v="Electronic"/>
    <n v="60000000"/>
    <x v="0"/>
    <x v="2"/>
    <x v="0"/>
    <x v="2"/>
    <x v="0"/>
  </r>
  <r>
    <d v="2020-07-17T00:00:00"/>
    <s v="17"/>
    <s v="Jul"/>
    <n v="10"/>
    <n v="10"/>
    <s v=""/>
    <s v="Laptop"/>
    <s v="Computer"/>
    <n v="40000000"/>
    <x v="18"/>
    <x v="0"/>
    <x v="0"/>
    <x v="0"/>
    <x v="0"/>
  </r>
  <r>
    <d v="2020-07-17T00:00:00"/>
    <s v="17"/>
    <s v="Jul"/>
    <n v="10"/>
    <n v="10"/>
    <s v=""/>
    <s v="AC"/>
    <s v="Electronic"/>
    <n v="40000000"/>
    <x v="28"/>
    <x v="2"/>
    <x v="0"/>
    <x v="0"/>
    <x v="1"/>
  </r>
  <r>
    <d v="2020-07-17T00:00:00"/>
    <s v="17"/>
    <s v="Jul"/>
    <n v="8"/>
    <n v="8"/>
    <s v=""/>
    <s v="Office Table"/>
    <s v="Furniture"/>
    <n v="120000000"/>
    <x v="2"/>
    <x v="2"/>
    <x v="0"/>
    <x v="0"/>
    <x v="3"/>
  </r>
  <r>
    <d v="2020-07-17T00:00:00"/>
    <s v="17"/>
    <s v="Jul"/>
    <n v="8"/>
    <n v="8"/>
    <s v=""/>
    <s v="AC"/>
    <s v="Electronic"/>
    <n v="80000000"/>
    <x v="8"/>
    <x v="1"/>
    <x v="0"/>
    <x v="1"/>
    <x v="3"/>
  </r>
  <r>
    <d v="2020-07-17T00:00:00"/>
    <s v="17"/>
    <s v="Jul"/>
    <n v="6"/>
    <n v="6"/>
    <s v=""/>
    <s v="Cable"/>
    <s v="Networking"/>
    <n v="80000000"/>
    <x v="16"/>
    <x v="3"/>
    <x v="0"/>
    <x v="2"/>
    <x v="1"/>
  </r>
  <r>
    <d v="2020-07-17T00:00:00"/>
    <s v="17"/>
    <s v="Jul"/>
    <n v="6"/>
    <n v="6"/>
    <s v=""/>
    <s v="Office Chair"/>
    <s v="Furniture"/>
    <n v="60000000"/>
    <x v="26"/>
    <x v="2"/>
    <x v="0"/>
    <x v="2"/>
    <x v="0"/>
  </r>
  <r>
    <d v="2020-07-17T00:00:00"/>
    <s v="17"/>
    <s v="Jul"/>
    <n v="4"/>
    <n v="4"/>
    <s v=""/>
    <s v="Office Table"/>
    <s v="Furniture"/>
    <n v="100000000"/>
    <x v="13"/>
    <x v="2"/>
    <x v="0"/>
    <x v="0"/>
    <x v="0"/>
  </r>
  <r>
    <d v="2020-07-17T00:00:00"/>
    <s v="17"/>
    <s v="Jul"/>
    <n v="4"/>
    <n v="4"/>
    <s v=""/>
    <s v="TV"/>
    <s v="Electronic"/>
    <n v="100000000"/>
    <x v="42"/>
    <x v="0"/>
    <x v="0"/>
    <x v="1"/>
    <x v="2"/>
  </r>
  <r>
    <d v="2020-07-17T00:00:00"/>
    <s v="17"/>
    <s v="Jul"/>
    <n v="4"/>
    <n v="4"/>
    <s v=""/>
    <s v="Cable"/>
    <s v="Networking"/>
    <n v="120000000"/>
    <x v="33"/>
    <x v="0"/>
    <x v="0"/>
    <x v="2"/>
    <x v="2"/>
  </r>
  <r>
    <d v="2020-07-17T00:00:00"/>
    <s v="17"/>
    <s v="Jul"/>
    <n v="4"/>
    <n v="4"/>
    <s v=""/>
    <s v="TV"/>
    <s v="Electronic"/>
    <n v="40000000"/>
    <x v="6"/>
    <x v="0"/>
    <x v="0"/>
    <x v="2"/>
    <x v="1"/>
  </r>
  <r>
    <d v="2020-07-17T00:00:00"/>
    <s v="17"/>
    <s v="Jul"/>
    <n v="3"/>
    <n v="3"/>
    <s v=""/>
    <s v="AC"/>
    <s v="Electronic"/>
    <n v="40000000"/>
    <x v="12"/>
    <x v="2"/>
    <x v="0"/>
    <x v="1"/>
    <x v="1"/>
  </r>
  <r>
    <d v="2020-07-18T00:00:00"/>
    <s v="18"/>
    <s v="Jul"/>
    <n v="10"/>
    <n v="10"/>
    <s v=""/>
    <s v="Office Table"/>
    <s v="Furniture"/>
    <n v="120000000"/>
    <x v="18"/>
    <x v="5"/>
    <x v="0"/>
    <x v="0"/>
    <x v="1"/>
  </r>
  <r>
    <d v="2020-07-18T00:00:00"/>
    <s v="18"/>
    <s v="Jul"/>
    <n v="10"/>
    <n v="10"/>
    <s v=""/>
    <s v="AC"/>
    <s v="Electronic"/>
    <n v="120000000"/>
    <x v="1"/>
    <x v="2"/>
    <x v="0"/>
    <x v="1"/>
    <x v="3"/>
  </r>
  <r>
    <d v="2020-07-18T00:00:00"/>
    <s v="18"/>
    <s v="Jul"/>
    <n v="10"/>
    <n v="10"/>
    <s v=""/>
    <s v="Coffee Mach"/>
    <s v="Kitchen"/>
    <n v="60000000"/>
    <x v="15"/>
    <x v="0"/>
    <x v="0"/>
    <x v="1"/>
    <x v="1"/>
  </r>
  <r>
    <d v="2020-07-18T00:00:00"/>
    <s v="18"/>
    <s v="Jul"/>
    <n v="9"/>
    <n v="9"/>
    <s v=""/>
    <s v="Table Lamp"/>
    <s v="Accessories"/>
    <n v="60000000"/>
    <x v="36"/>
    <x v="5"/>
    <x v="0"/>
    <x v="2"/>
    <x v="3"/>
  </r>
  <r>
    <d v="2020-07-18T00:00:00"/>
    <s v="18"/>
    <s v="Jul"/>
    <n v="9"/>
    <n v="9"/>
    <s v=""/>
    <s v="Coffee Mach"/>
    <s v="Kitchen"/>
    <n v="80000000"/>
    <x v="35"/>
    <x v="0"/>
    <x v="0"/>
    <x v="1"/>
    <x v="1"/>
  </r>
  <r>
    <d v="2020-07-18T00:00:00"/>
    <s v="18"/>
    <s v="Jul"/>
    <n v="8"/>
    <n v="8"/>
    <s v=""/>
    <s v="Cable"/>
    <s v="Networking"/>
    <n v="40000000"/>
    <x v="34"/>
    <x v="0"/>
    <x v="0"/>
    <x v="1"/>
    <x v="1"/>
  </r>
  <r>
    <d v="2020-07-18T00:00:00"/>
    <s v="18"/>
    <s v="Jul"/>
    <n v="7"/>
    <n v="7"/>
    <s v=""/>
    <s v="Laptop"/>
    <s v="Computer"/>
    <n v="140000000"/>
    <x v="14"/>
    <x v="1"/>
    <x v="0"/>
    <x v="1"/>
    <x v="1"/>
  </r>
  <r>
    <d v="2020-07-18T00:00:00"/>
    <s v="18"/>
    <s v="Jul"/>
    <n v="7"/>
    <n v="7"/>
    <s v=""/>
    <s v="Printer"/>
    <s v="Computer"/>
    <n v="100000000"/>
    <x v="29"/>
    <x v="0"/>
    <x v="0"/>
    <x v="0"/>
    <x v="1"/>
  </r>
  <r>
    <d v="2020-07-18T00:00:00"/>
    <s v="18"/>
    <s v="Jul"/>
    <n v="6"/>
    <n v="6"/>
    <s v=""/>
    <s v="Office Table"/>
    <s v="Furniture"/>
    <n v="120000000"/>
    <x v="30"/>
    <x v="5"/>
    <x v="0"/>
    <x v="1"/>
    <x v="2"/>
  </r>
  <r>
    <d v="2020-07-18T00:00:00"/>
    <s v="18"/>
    <s v="Jul"/>
    <n v="5"/>
    <n v="5"/>
    <s v=""/>
    <s v="Printer"/>
    <s v="Computer"/>
    <n v="80000000"/>
    <x v="10"/>
    <x v="0"/>
    <x v="0"/>
    <x v="1"/>
    <x v="0"/>
  </r>
  <r>
    <d v="2020-07-18T00:00:00"/>
    <s v="18"/>
    <s v="Jul"/>
    <n v="5"/>
    <n v="5"/>
    <s v=""/>
    <s v="Office Chair"/>
    <s v="Furniture"/>
    <n v="100000000"/>
    <x v="14"/>
    <x v="2"/>
    <x v="0"/>
    <x v="1"/>
    <x v="1"/>
  </r>
  <r>
    <d v="2020-07-18T00:00:00"/>
    <s v="18"/>
    <s v="Jul"/>
    <n v="3"/>
    <n v="3"/>
    <s v=""/>
    <s v="Cable"/>
    <s v="Networking"/>
    <n v="40000000"/>
    <x v="46"/>
    <x v="3"/>
    <x v="0"/>
    <x v="1"/>
    <x v="3"/>
  </r>
  <r>
    <d v="2020-07-19T00:00:00"/>
    <s v="19"/>
    <s v="Jul"/>
    <n v="10"/>
    <n v="10"/>
    <s v=""/>
    <s v="Printer"/>
    <s v="Computer"/>
    <n v="140000000"/>
    <x v="32"/>
    <x v="2"/>
    <x v="0"/>
    <x v="0"/>
    <x v="2"/>
  </r>
  <r>
    <d v="2020-07-19T00:00:00"/>
    <s v="19"/>
    <s v="Jul"/>
    <n v="10"/>
    <n v="10"/>
    <s v=""/>
    <s v="Coffee Mach"/>
    <s v="Kitchen"/>
    <n v="120000000"/>
    <x v="23"/>
    <x v="0"/>
    <x v="0"/>
    <x v="2"/>
    <x v="3"/>
  </r>
  <r>
    <d v="2020-07-19T00:00:00"/>
    <s v="19"/>
    <s v="Jul"/>
    <n v="9"/>
    <n v="9"/>
    <s v=""/>
    <s v="Printer"/>
    <s v="Computer"/>
    <n v="60000000"/>
    <x v="48"/>
    <x v="2"/>
    <x v="0"/>
    <x v="0"/>
    <x v="3"/>
  </r>
  <r>
    <d v="2020-07-19T00:00:00"/>
    <s v="19"/>
    <s v="Jul"/>
    <n v="8"/>
    <n v="8"/>
    <s v=""/>
    <s v="Table Lamp"/>
    <s v="Accessories"/>
    <n v="120000000"/>
    <x v="47"/>
    <x v="4"/>
    <x v="0"/>
    <x v="0"/>
    <x v="1"/>
  </r>
  <r>
    <d v="2020-07-19T00:00:00"/>
    <s v="19"/>
    <s v="Jul"/>
    <n v="8"/>
    <n v="8"/>
    <s v=""/>
    <s v="Office Chair"/>
    <s v="Furniture"/>
    <n v="100000000"/>
    <x v="26"/>
    <x v="0"/>
    <x v="0"/>
    <x v="0"/>
    <x v="2"/>
  </r>
  <r>
    <d v="2020-07-19T00:00:00"/>
    <s v="19"/>
    <s v="Jul"/>
    <n v="7"/>
    <n v="7"/>
    <s v=""/>
    <s v="TV"/>
    <s v="Electronic"/>
    <n v="140000000"/>
    <x v="30"/>
    <x v="0"/>
    <x v="0"/>
    <x v="2"/>
    <x v="0"/>
  </r>
  <r>
    <d v="2020-07-19T00:00:00"/>
    <s v="19"/>
    <s v="Jul"/>
    <n v="7"/>
    <n v="7"/>
    <s v=""/>
    <s v="AC"/>
    <s v="Electronic"/>
    <n v="120000000"/>
    <x v="24"/>
    <x v="0"/>
    <x v="0"/>
    <x v="2"/>
    <x v="1"/>
  </r>
  <r>
    <d v="2020-07-19T00:00:00"/>
    <s v="19"/>
    <s v="Jul"/>
    <n v="5"/>
    <n v="5"/>
    <s v=""/>
    <s v="Office Chair"/>
    <s v="Furniture"/>
    <n v="80000000"/>
    <x v="29"/>
    <x v="2"/>
    <x v="0"/>
    <x v="2"/>
    <x v="2"/>
  </r>
  <r>
    <d v="2020-07-19T00:00:00"/>
    <s v="19"/>
    <s v="Jul"/>
    <n v="5"/>
    <n v="5"/>
    <s v=""/>
    <s v="Office Chair"/>
    <s v="Furniture"/>
    <n v="40000000"/>
    <x v="43"/>
    <x v="2"/>
    <x v="0"/>
    <x v="0"/>
    <x v="2"/>
  </r>
  <r>
    <d v="2020-07-19T00:00:00"/>
    <s v="19"/>
    <s v="Jul"/>
    <n v="5"/>
    <n v="5"/>
    <s v=""/>
    <s v="Printer"/>
    <s v="Computer"/>
    <n v="40000000"/>
    <x v="38"/>
    <x v="2"/>
    <x v="0"/>
    <x v="0"/>
    <x v="3"/>
  </r>
  <r>
    <d v="2020-07-19T00:00:00"/>
    <s v="19"/>
    <s v="Jul"/>
    <n v="4"/>
    <n v="4"/>
    <s v=""/>
    <s v="Table Lamp"/>
    <s v="Accessories"/>
    <n v="80000000"/>
    <x v="32"/>
    <x v="4"/>
    <x v="0"/>
    <x v="0"/>
    <x v="1"/>
  </r>
  <r>
    <d v="2020-07-19T00:00:00"/>
    <s v="19"/>
    <s v="Jul"/>
    <n v="4"/>
    <n v="4"/>
    <s v=""/>
    <s v="Coffee Mach"/>
    <s v="Kitchen"/>
    <n v="140000000"/>
    <x v="29"/>
    <x v="0"/>
    <x v="0"/>
    <x v="1"/>
    <x v="2"/>
  </r>
  <r>
    <d v="2020-07-19T00:00:00"/>
    <s v="19"/>
    <s v="Jul"/>
    <n v="3"/>
    <n v="3"/>
    <s v=""/>
    <s v="AC"/>
    <s v="Electronic"/>
    <n v="100000000"/>
    <x v="6"/>
    <x v="0"/>
    <x v="0"/>
    <x v="1"/>
    <x v="3"/>
  </r>
  <r>
    <d v="2020-07-19T00:00:00"/>
    <s v="19"/>
    <s v="Jul"/>
    <n v="3"/>
    <n v="3"/>
    <s v=""/>
    <s v="Table Lamp"/>
    <s v="Accessories"/>
    <n v="120000000"/>
    <x v="2"/>
    <x v="0"/>
    <x v="0"/>
    <x v="0"/>
    <x v="0"/>
  </r>
  <r>
    <d v="2020-07-20T00:00:00"/>
    <s v="20"/>
    <s v="Jul"/>
    <n v="10"/>
    <n v="10"/>
    <s v=""/>
    <s v="Coffee Mach"/>
    <s v="Kitchen"/>
    <n v="40000000"/>
    <x v="46"/>
    <x v="0"/>
    <x v="0"/>
    <x v="0"/>
    <x v="2"/>
  </r>
  <r>
    <d v="2020-07-20T00:00:00"/>
    <s v="20"/>
    <s v="Jul"/>
    <n v="8"/>
    <n v="8"/>
    <s v=""/>
    <s v="Laptop"/>
    <s v="Computer"/>
    <n v="140000000"/>
    <x v="20"/>
    <x v="2"/>
    <x v="0"/>
    <x v="1"/>
    <x v="1"/>
  </r>
  <r>
    <d v="2020-07-20T00:00:00"/>
    <s v="20"/>
    <s v="Jul"/>
    <n v="8"/>
    <n v="8"/>
    <s v=""/>
    <s v="TV"/>
    <s v="Electronic"/>
    <n v="80000000"/>
    <x v="15"/>
    <x v="4"/>
    <x v="0"/>
    <x v="1"/>
    <x v="3"/>
  </r>
  <r>
    <d v="2020-07-20T00:00:00"/>
    <s v="20"/>
    <s v="Jul"/>
    <n v="8"/>
    <n v="8"/>
    <s v=""/>
    <s v="Laptop"/>
    <s v="Computer"/>
    <n v="40000000"/>
    <x v="20"/>
    <x v="0"/>
    <x v="0"/>
    <x v="2"/>
    <x v="3"/>
  </r>
  <r>
    <d v="2020-07-20T00:00:00"/>
    <s v="20"/>
    <s v="Jul"/>
    <n v="6"/>
    <n v="6"/>
    <s v=""/>
    <s v="TV"/>
    <s v="Electronic"/>
    <n v="100000000"/>
    <x v="26"/>
    <x v="0"/>
    <x v="0"/>
    <x v="1"/>
    <x v="2"/>
  </r>
  <r>
    <d v="2020-07-20T00:00:00"/>
    <s v="20"/>
    <s v="Jul"/>
    <n v="6"/>
    <n v="6"/>
    <s v=""/>
    <s v="Office Chair"/>
    <s v="Furniture"/>
    <n v="140000000"/>
    <x v="40"/>
    <x v="2"/>
    <x v="0"/>
    <x v="0"/>
    <x v="0"/>
  </r>
  <r>
    <d v="2020-07-20T00:00:00"/>
    <s v="20"/>
    <s v="Jul"/>
    <n v="5"/>
    <n v="5"/>
    <s v=""/>
    <s v="Laptop"/>
    <s v="Computer"/>
    <n v="100000000"/>
    <x v="45"/>
    <x v="0"/>
    <x v="0"/>
    <x v="1"/>
    <x v="1"/>
  </r>
  <r>
    <d v="2020-07-20T00:00:00"/>
    <s v="20"/>
    <s v="Jul"/>
    <n v="3"/>
    <n v="3"/>
    <s v=""/>
    <s v="Office Chair"/>
    <s v="Furniture"/>
    <n v="60000000"/>
    <x v="44"/>
    <x v="1"/>
    <x v="0"/>
    <x v="2"/>
    <x v="1"/>
  </r>
  <r>
    <d v="2020-07-21T00:00:00"/>
    <s v="21"/>
    <s v="Jul"/>
    <n v="9"/>
    <n v="9"/>
    <s v=""/>
    <s v="Office Chair"/>
    <s v="Furniture"/>
    <n v="100000000"/>
    <x v="26"/>
    <x v="4"/>
    <x v="0"/>
    <x v="1"/>
    <x v="3"/>
  </r>
  <r>
    <d v="2020-07-21T00:00:00"/>
    <s v="21"/>
    <s v="Jul"/>
    <n v="9"/>
    <n v="9"/>
    <s v=""/>
    <s v="Cable"/>
    <s v="Networking"/>
    <n v="60000000"/>
    <x v="44"/>
    <x v="0"/>
    <x v="0"/>
    <x v="0"/>
    <x v="1"/>
  </r>
  <r>
    <d v="2020-07-21T00:00:00"/>
    <s v="21"/>
    <s v="Jul"/>
    <n v="9"/>
    <n v="9"/>
    <s v=""/>
    <s v="Coffee Mach"/>
    <s v="Kitchen"/>
    <n v="120000000"/>
    <x v="35"/>
    <x v="0"/>
    <x v="0"/>
    <x v="0"/>
    <x v="2"/>
  </r>
  <r>
    <d v="2020-07-21T00:00:00"/>
    <s v="21"/>
    <s v="Jul"/>
    <n v="8"/>
    <n v="8"/>
    <s v=""/>
    <s v="Printer"/>
    <s v="Computer"/>
    <n v="40000000"/>
    <x v="37"/>
    <x v="2"/>
    <x v="0"/>
    <x v="0"/>
    <x v="1"/>
  </r>
  <r>
    <d v="2020-07-21T00:00:00"/>
    <s v="21"/>
    <s v="Jul"/>
    <n v="7"/>
    <n v="7"/>
    <s v=""/>
    <s v="Cable"/>
    <s v="Networking"/>
    <n v="40000000"/>
    <x v="3"/>
    <x v="3"/>
    <x v="0"/>
    <x v="0"/>
    <x v="0"/>
  </r>
  <r>
    <d v="2020-07-21T00:00:00"/>
    <s v="21"/>
    <s v="Jul"/>
    <n v="6"/>
    <n v="6"/>
    <s v=""/>
    <s v="Table Lamp"/>
    <s v="Accessories"/>
    <n v="120000000"/>
    <x v="15"/>
    <x v="4"/>
    <x v="0"/>
    <x v="0"/>
    <x v="0"/>
  </r>
  <r>
    <d v="2020-07-21T00:00:00"/>
    <s v="21"/>
    <s v="Jul"/>
    <n v="5"/>
    <n v="5"/>
    <s v=""/>
    <s v="Office Chair"/>
    <s v="Furniture"/>
    <n v="120000000"/>
    <x v="40"/>
    <x v="4"/>
    <x v="0"/>
    <x v="2"/>
    <x v="0"/>
  </r>
  <r>
    <d v="2020-07-21T00:00:00"/>
    <s v="21"/>
    <s v="Jul"/>
    <n v="3"/>
    <n v="3"/>
    <s v=""/>
    <s v="Office Chair"/>
    <s v="Furniture"/>
    <n v="120000000"/>
    <x v="29"/>
    <x v="4"/>
    <x v="0"/>
    <x v="1"/>
    <x v="2"/>
  </r>
  <r>
    <d v="2020-07-21T00:00:00"/>
    <s v="21"/>
    <s v="Jul"/>
    <n v="3"/>
    <n v="3"/>
    <s v=""/>
    <s v="TV"/>
    <s v="Electronic"/>
    <n v="80000000"/>
    <x v="1"/>
    <x v="2"/>
    <x v="0"/>
    <x v="2"/>
    <x v="2"/>
  </r>
  <r>
    <d v="2020-07-22T00:00:00"/>
    <s v="22"/>
    <s v="Jul"/>
    <n v="9"/>
    <n v="9"/>
    <s v=""/>
    <s v="Coffee Mach"/>
    <s v="Kitchen"/>
    <n v="100000000"/>
    <x v="0"/>
    <x v="1"/>
    <x v="0"/>
    <x v="1"/>
    <x v="0"/>
  </r>
  <r>
    <d v="2020-07-22T00:00:00"/>
    <s v="22"/>
    <s v="Jul"/>
    <n v="9"/>
    <n v="9"/>
    <s v=""/>
    <s v="TV"/>
    <s v="Electronic"/>
    <n v="40000000"/>
    <x v="45"/>
    <x v="0"/>
    <x v="0"/>
    <x v="2"/>
    <x v="3"/>
  </r>
  <r>
    <d v="2020-07-22T00:00:00"/>
    <s v="22"/>
    <s v="Jul"/>
    <n v="8"/>
    <n v="8"/>
    <s v=""/>
    <s v="Cable"/>
    <s v="Networking"/>
    <n v="60000000"/>
    <x v="5"/>
    <x v="1"/>
    <x v="0"/>
    <x v="0"/>
    <x v="3"/>
  </r>
  <r>
    <d v="2020-07-22T00:00:00"/>
    <s v="22"/>
    <s v="Jul"/>
    <n v="6"/>
    <n v="6"/>
    <s v=""/>
    <s v="TV"/>
    <s v="Electronic"/>
    <n v="40000000"/>
    <x v="20"/>
    <x v="0"/>
    <x v="0"/>
    <x v="1"/>
    <x v="1"/>
  </r>
  <r>
    <d v="2020-07-22T00:00:00"/>
    <s v="22"/>
    <s v="Jul"/>
    <n v="6"/>
    <n v="6"/>
    <s v=""/>
    <s v="Office Table"/>
    <s v="Furniture"/>
    <n v="120000000"/>
    <x v="47"/>
    <x v="2"/>
    <x v="0"/>
    <x v="1"/>
    <x v="3"/>
  </r>
  <r>
    <d v="2020-07-22T00:00:00"/>
    <s v="22"/>
    <s v="Jul"/>
    <n v="5"/>
    <n v="5"/>
    <s v=""/>
    <s v="Table Lamp"/>
    <s v="Accessories"/>
    <n v="60000000"/>
    <x v="18"/>
    <x v="2"/>
    <x v="0"/>
    <x v="1"/>
    <x v="3"/>
  </r>
  <r>
    <d v="2020-07-23T00:00:00"/>
    <s v="23"/>
    <s v="Jul"/>
    <n v="10"/>
    <n v="10"/>
    <s v=""/>
    <s v="Office Chair"/>
    <s v="Furniture"/>
    <n v="100000000"/>
    <x v="48"/>
    <x v="2"/>
    <x v="0"/>
    <x v="1"/>
    <x v="2"/>
  </r>
  <r>
    <d v="2020-07-23T00:00:00"/>
    <s v="23"/>
    <s v="Jul"/>
    <n v="7"/>
    <n v="7"/>
    <s v=""/>
    <s v="Laptop"/>
    <s v="Computer"/>
    <n v="100000000"/>
    <x v="15"/>
    <x v="2"/>
    <x v="0"/>
    <x v="1"/>
    <x v="3"/>
  </r>
  <r>
    <d v="2020-07-24T00:00:00"/>
    <s v="24"/>
    <s v="Jul"/>
    <n v="9"/>
    <n v="9"/>
    <s v=""/>
    <s v="Office Table"/>
    <s v="Furniture"/>
    <n v="80000000"/>
    <x v="27"/>
    <x v="0"/>
    <x v="0"/>
    <x v="2"/>
    <x v="0"/>
  </r>
  <r>
    <d v="2020-07-24T00:00:00"/>
    <s v="24"/>
    <s v="Jul"/>
    <n v="9"/>
    <n v="9"/>
    <s v=""/>
    <s v="Coffee Mach"/>
    <s v="Kitchen"/>
    <n v="40000000"/>
    <x v="18"/>
    <x v="2"/>
    <x v="0"/>
    <x v="2"/>
    <x v="2"/>
  </r>
  <r>
    <d v="2020-07-24T00:00:00"/>
    <s v="24"/>
    <s v="Jul"/>
    <n v="9"/>
    <n v="9"/>
    <s v=""/>
    <s v="Office Chair"/>
    <s v="Furniture"/>
    <n v="120000000"/>
    <x v="1"/>
    <x v="4"/>
    <x v="0"/>
    <x v="2"/>
    <x v="1"/>
  </r>
  <r>
    <d v="2020-07-24T00:00:00"/>
    <s v="24"/>
    <s v="Jul"/>
    <n v="8"/>
    <n v="8"/>
    <s v=""/>
    <s v="Office Table"/>
    <s v="Furniture"/>
    <n v="120000000"/>
    <x v="13"/>
    <x v="0"/>
    <x v="0"/>
    <x v="1"/>
    <x v="2"/>
  </r>
  <r>
    <d v="2020-07-24T00:00:00"/>
    <s v="24"/>
    <s v="Jul"/>
    <n v="7"/>
    <n v="7"/>
    <s v=""/>
    <s v="Table Lamp"/>
    <s v="Accessories"/>
    <n v="140000000"/>
    <x v="43"/>
    <x v="0"/>
    <x v="0"/>
    <x v="2"/>
    <x v="3"/>
  </r>
  <r>
    <d v="2020-07-24T00:00:00"/>
    <s v="24"/>
    <s v="Jul"/>
    <n v="7"/>
    <n v="7"/>
    <s v=""/>
    <s v="Coffee Mach"/>
    <s v="Kitchen"/>
    <n v="60000000"/>
    <x v="28"/>
    <x v="2"/>
    <x v="0"/>
    <x v="1"/>
    <x v="0"/>
  </r>
  <r>
    <d v="2020-07-24T00:00:00"/>
    <s v="24"/>
    <s v="Jul"/>
    <n v="6"/>
    <n v="6"/>
    <s v=""/>
    <s v="Printer"/>
    <s v="Computer"/>
    <n v="40000000"/>
    <x v="37"/>
    <x v="2"/>
    <x v="0"/>
    <x v="1"/>
    <x v="0"/>
  </r>
  <r>
    <d v="2020-07-24T00:00:00"/>
    <s v="24"/>
    <s v="Jul"/>
    <n v="6"/>
    <n v="6"/>
    <s v=""/>
    <s v="Laptop"/>
    <s v="Computer"/>
    <n v="40000000"/>
    <x v="11"/>
    <x v="1"/>
    <x v="0"/>
    <x v="0"/>
    <x v="3"/>
  </r>
  <r>
    <d v="2020-07-24T00:00:00"/>
    <s v="24"/>
    <s v="Jul"/>
    <n v="5"/>
    <n v="5"/>
    <s v=""/>
    <s v="Table Lamp"/>
    <s v="Accessories"/>
    <n v="40000000"/>
    <x v="45"/>
    <x v="2"/>
    <x v="0"/>
    <x v="0"/>
    <x v="3"/>
  </r>
  <r>
    <d v="2020-07-24T00:00:00"/>
    <s v="24"/>
    <s v="Jul"/>
    <n v="5"/>
    <n v="5"/>
    <s v=""/>
    <s v="Table Lamp"/>
    <s v="Accessories"/>
    <n v="60000000"/>
    <x v="4"/>
    <x v="2"/>
    <x v="0"/>
    <x v="0"/>
    <x v="2"/>
  </r>
  <r>
    <d v="2020-07-24T00:00:00"/>
    <s v="24"/>
    <s v="Jul"/>
    <n v="5"/>
    <n v="5"/>
    <s v=""/>
    <s v="TV"/>
    <s v="Electronic"/>
    <n v="140000000"/>
    <x v="24"/>
    <x v="2"/>
    <x v="0"/>
    <x v="1"/>
    <x v="2"/>
  </r>
  <r>
    <d v="2020-07-24T00:00:00"/>
    <s v="24"/>
    <s v="Jul"/>
    <n v="5"/>
    <n v="5"/>
    <s v=""/>
    <s v="Office Chair"/>
    <s v="Furniture"/>
    <n v="40000000"/>
    <x v="6"/>
    <x v="0"/>
    <x v="0"/>
    <x v="1"/>
    <x v="0"/>
  </r>
  <r>
    <d v="2020-07-24T00:00:00"/>
    <s v="24"/>
    <s v="Jul"/>
    <n v="4"/>
    <n v="4"/>
    <s v=""/>
    <s v="Coffee Mach"/>
    <s v="Kitchen"/>
    <n v="140000000"/>
    <x v="27"/>
    <x v="4"/>
    <x v="0"/>
    <x v="0"/>
    <x v="2"/>
  </r>
  <r>
    <d v="2020-07-24T00:00:00"/>
    <s v="24"/>
    <s v="Jul"/>
    <n v="4"/>
    <n v="4"/>
    <s v=""/>
    <s v="Laptop"/>
    <s v="Computer"/>
    <n v="100000000"/>
    <x v="29"/>
    <x v="5"/>
    <x v="0"/>
    <x v="1"/>
    <x v="0"/>
  </r>
  <r>
    <d v="2020-07-24T00:00:00"/>
    <s v="24"/>
    <s v="Jul"/>
    <n v="3"/>
    <n v="3"/>
    <s v=""/>
    <s v="Coffee Mach"/>
    <s v="Kitchen"/>
    <n v="100000000"/>
    <x v="37"/>
    <x v="0"/>
    <x v="0"/>
    <x v="1"/>
    <x v="1"/>
  </r>
  <r>
    <d v="2020-07-25T00:00:00"/>
    <s v="25"/>
    <s v="Jul"/>
    <n v="10"/>
    <n v="10"/>
    <s v=""/>
    <s v="Laptop"/>
    <s v="Computer"/>
    <n v="140000000"/>
    <x v="1"/>
    <x v="0"/>
    <x v="0"/>
    <x v="1"/>
    <x v="0"/>
  </r>
  <r>
    <d v="2020-07-25T00:00:00"/>
    <s v="25"/>
    <s v="Jul"/>
    <n v="10"/>
    <n v="10"/>
    <s v=""/>
    <s v="TV"/>
    <s v="Electronic"/>
    <n v="140000000"/>
    <x v="17"/>
    <x v="4"/>
    <x v="0"/>
    <x v="2"/>
    <x v="0"/>
  </r>
  <r>
    <d v="2020-07-25T00:00:00"/>
    <s v="25"/>
    <s v="Jul"/>
    <n v="9"/>
    <n v="9"/>
    <s v=""/>
    <s v="TV"/>
    <s v="Electronic"/>
    <n v="100000000"/>
    <x v="13"/>
    <x v="0"/>
    <x v="0"/>
    <x v="1"/>
    <x v="0"/>
  </r>
  <r>
    <d v="2020-07-25T00:00:00"/>
    <s v="25"/>
    <s v="Jul"/>
    <n v="8"/>
    <n v="8"/>
    <s v=""/>
    <s v="AC"/>
    <s v="Electronic"/>
    <n v="100000000"/>
    <x v="5"/>
    <x v="0"/>
    <x v="0"/>
    <x v="1"/>
    <x v="0"/>
  </r>
  <r>
    <d v="2020-07-25T00:00:00"/>
    <s v="25"/>
    <s v="Jul"/>
    <n v="7"/>
    <n v="7"/>
    <s v=""/>
    <s v="AC"/>
    <s v="Electronic"/>
    <n v="80000000"/>
    <x v="32"/>
    <x v="0"/>
    <x v="0"/>
    <x v="1"/>
    <x v="1"/>
  </r>
  <r>
    <d v="2020-07-25T00:00:00"/>
    <s v="25"/>
    <s v="Jul"/>
    <n v="7"/>
    <n v="7"/>
    <s v=""/>
    <s v="Coffee Mach"/>
    <s v="Kitchen"/>
    <n v="120000000"/>
    <x v="16"/>
    <x v="2"/>
    <x v="0"/>
    <x v="1"/>
    <x v="3"/>
  </r>
  <r>
    <d v="2020-07-25T00:00:00"/>
    <s v="25"/>
    <s v="Jul"/>
    <n v="4"/>
    <n v="4"/>
    <s v=""/>
    <s v="Coffee Mach"/>
    <s v="Kitchen"/>
    <n v="60000000"/>
    <x v="45"/>
    <x v="0"/>
    <x v="0"/>
    <x v="2"/>
    <x v="0"/>
  </r>
  <r>
    <d v="2020-07-25T00:00:00"/>
    <s v="25"/>
    <s v="Jul"/>
    <n v="4"/>
    <n v="4"/>
    <s v=""/>
    <s v="TV"/>
    <s v="Electronic"/>
    <n v="120000000"/>
    <x v="46"/>
    <x v="0"/>
    <x v="0"/>
    <x v="2"/>
    <x v="1"/>
  </r>
  <r>
    <d v="2020-07-25T00:00:00"/>
    <s v="25"/>
    <s v="Jul"/>
    <n v="3"/>
    <n v="3"/>
    <s v=""/>
    <s v="Table Lamp"/>
    <s v="Accessories"/>
    <n v="40000000"/>
    <x v="37"/>
    <x v="0"/>
    <x v="0"/>
    <x v="1"/>
    <x v="0"/>
  </r>
  <r>
    <d v="2020-07-25T00:00:00"/>
    <s v="25"/>
    <s v="Jul"/>
    <n v="3"/>
    <n v="3"/>
    <s v=""/>
    <s v="Table Lamp"/>
    <s v="Accessories"/>
    <n v="140000000"/>
    <x v="7"/>
    <x v="2"/>
    <x v="0"/>
    <x v="1"/>
    <x v="3"/>
  </r>
  <r>
    <d v="2020-07-26T00:00:00"/>
    <s v="26"/>
    <s v="Jul"/>
    <n v="10"/>
    <n v="6"/>
    <n v="4"/>
    <s v="AC"/>
    <s v="Electronic"/>
    <n v="100000000"/>
    <x v="10"/>
    <x v="1"/>
    <x v="0"/>
    <x v="2"/>
    <x v="1"/>
  </r>
  <r>
    <d v="2020-07-26T00:00:00"/>
    <s v="26"/>
    <s v="Jul"/>
    <n v="10"/>
    <n v="7"/>
    <n v="3"/>
    <s v="Coffee Mach"/>
    <s v="Kitchen"/>
    <n v="140000000"/>
    <x v="2"/>
    <x v="2"/>
    <x v="0"/>
    <x v="1"/>
    <x v="1"/>
  </r>
  <r>
    <d v="2020-07-26T00:00:00"/>
    <s v="26"/>
    <s v="Jul"/>
    <n v="7"/>
    <n v="4"/>
    <n v="3"/>
    <s v="Printer"/>
    <s v="Computer"/>
    <n v="40000000"/>
    <x v="41"/>
    <x v="0"/>
    <x v="0"/>
    <x v="2"/>
    <x v="1"/>
  </r>
  <r>
    <d v="2020-07-26T00:00:00"/>
    <s v="26"/>
    <s v="Jul"/>
    <n v="5"/>
    <n v="3"/>
    <n v="2"/>
    <s v="Laptop"/>
    <s v="Computer"/>
    <n v="100000000"/>
    <x v="44"/>
    <x v="2"/>
    <x v="0"/>
    <x v="1"/>
    <x v="3"/>
  </r>
  <r>
    <d v="2020-07-26T00:00:00"/>
    <s v="26"/>
    <s v="Jul"/>
    <n v="5"/>
    <n v="3"/>
    <n v="2"/>
    <s v="Office Table"/>
    <s v="Furniture"/>
    <n v="40000000"/>
    <x v="25"/>
    <x v="2"/>
    <x v="0"/>
    <x v="0"/>
    <x v="0"/>
  </r>
  <r>
    <d v="2020-07-26T00:00:00"/>
    <s v="26"/>
    <s v="Jul"/>
    <n v="5"/>
    <n v="4"/>
    <n v="1"/>
    <s v="Office Table"/>
    <s v="Furniture"/>
    <n v="100000000"/>
    <x v="1"/>
    <x v="4"/>
    <x v="0"/>
    <x v="0"/>
    <x v="3"/>
  </r>
  <r>
    <d v="2020-07-26T00:00:00"/>
    <s v="26"/>
    <s v="Jul"/>
    <n v="4"/>
    <n v="2"/>
    <n v="2"/>
    <s v="Office Chair"/>
    <s v="Furniture"/>
    <n v="60000000"/>
    <x v="44"/>
    <x v="3"/>
    <x v="0"/>
    <x v="1"/>
    <x v="3"/>
  </r>
  <r>
    <d v="2020-07-26T00:00:00"/>
    <s v="26"/>
    <s v="Jul"/>
    <n v="3"/>
    <n v="1"/>
    <n v="2"/>
    <s v="TV"/>
    <s v="Electronic"/>
    <n v="40000000"/>
    <x v="45"/>
    <x v="0"/>
    <x v="0"/>
    <x v="2"/>
    <x v="1"/>
  </r>
  <r>
    <d v="2020-07-26T00:00:00"/>
    <s v="26"/>
    <s v="Jul"/>
    <n v="3"/>
    <n v="1"/>
    <n v="2"/>
    <s v="Coffee Mach"/>
    <s v="Kitchen"/>
    <n v="60000000"/>
    <x v="39"/>
    <x v="2"/>
    <x v="0"/>
    <x v="2"/>
    <x v="0"/>
  </r>
  <r>
    <d v="2020-07-27T00:00:00"/>
    <s v="27"/>
    <s v="Jul"/>
    <n v="10"/>
    <n v="6"/>
    <n v="4"/>
    <s v="Office Table"/>
    <s v="Furniture"/>
    <n v="140000000"/>
    <x v="9"/>
    <x v="2"/>
    <x v="0"/>
    <x v="2"/>
    <x v="1"/>
  </r>
  <r>
    <d v="2020-07-27T00:00:00"/>
    <s v="27"/>
    <s v="Jul"/>
    <n v="10"/>
    <n v="8"/>
    <n v="2"/>
    <s v="Printer"/>
    <s v="Computer"/>
    <n v="100000000"/>
    <x v="8"/>
    <x v="0"/>
    <x v="0"/>
    <x v="1"/>
    <x v="3"/>
  </r>
  <r>
    <d v="2020-07-27T00:00:00"/>
    <s v="27"/>
    <s v="Jul"/>
    <n v="10"/>
    <n v="7"/>
    <n v="3"/>
    <s v="Table Lamp"/>
    <s v="Accessories"/>
    <n v="60000000"/>
    <x v="43"/>
    <x v="0"/>
    <x v="0"/>
    <x v="1"/>
    <x v="2"/>
  </r>
  <r>
    <d v="2020-07-27T00:00:00"/>
    <s v="27"/>
    <s v="Jul"/>
    <n v="9"/>
    <n v="6"/>
    <n v="3"/>
    <s v="Office Table"/>
    <s v="Furniture"/>
    <n v="100000000"/>
    <x v="36"/>
    <x v="3"/>
    <x v="0"/>
    <x v="0"/>
    <x v="0"/>
  </r>
  <r>
    <d v="2020-07-27T00:00:00"/>
    <s v="27"/>
    <s v="Jul"/>
    <n v="7"/>
    <n v="5"/>
    <n v="2"/>
    <s v="TV"/>
    <s v="Electronic"/>
    <n v="140000000"/>
    <x v="1"/>
    <x v="0"/>
    <x v="0"/>
    <x v="0"/>
    <x v="2"/>
  </r>
  <r>
    <d v="2020-07-27T00:00:00"/>
    <s v="27"/>
    <s v="Jul"/>
    <n v="7"/>
    <n v="6"/>
    <n v="1"/>
    <s v="Office Table"/>
    <s v="Furniture"/>
    <n v="100000000"/>
    <x v="45"/>
    <x v="1"/>
    <x v="0"/>
    <x v="2"/>
    <x v="3"/>
  </r>
  <r>
    <d v="2020-07-27T00:00:00"/>
    <s v="27"/>
    <s v="Jul"/>
    <n v="7"/>
    <n v="4"/>
    <n v="3"/>
    <s v="Table Lamp"/>
    <s v="Accessories"/>
    <n v="80000000"/>
    <x v="46"/>
    <x v="3"/>
    <x v="0"/>
    <x v="2"/>
    <x v="3"/>
  </r>
  <r>
    <d v="2020-07-27T00:00:00"/>
    <s v="27"/>
    <s v="Jul"/>
    <n v="5"/>
    <n v="4"/>
    <n v="1"/>
    <s v="Table Lamp"/>
    <s v="Accessories"/>
    <n v="40000000"/>
    <x v="38"/>
    <x v="4"/>
    <x v="0"/>
    <x v="0"/>
    <x v="0"/>
  </r>
  <r>
    <d v="2020-07-27T00:00:00"/>
    <s v="27"/>
    <s v="Jul"/>
    <n v="4"/>
    <n v="2"/>
    <n v="2"/>
    <s v="Printer"/>
    <s v="Computer"/>
    <n v="60000000"/>
    <x v="4"/>
    <x v="0"/>
    <x v="0"/>
    <x v="1"/>
    <x v="2"/>
  </r>
  <r>
    <d v="2020-07-28T00:00:00"/>
    <s v="28"/>
    <s v="Jul"/>
    <n v="9"/>
    <n v="7"/>
    <n v="2"/>
    <s v="Table Lamp"/>
    <s v="Accessories"/>
    <n v="140000000"/>
    <x v="5"/>
    <x v="4"/>
    <x v="0"/>
    <x v="1"/>
    <x v="3"/>
  </r>
  <r>
    <d v="2020-07-28T00:00:00"/>
    <s v="28"/>
    <s v="Jul"/>
    <n v="9"/>
    <n v="7"/>
    <n v="2"/>
    <s v="TV"/>
    <s v="Electronic"/>
    <n v="60000000"/>
    <x v="27"/>
    <x v="2"/>
    <x v="0"/>
    <x v="2"/>
    <x v="0"/>
  </r>
  <r>
    <d v="2020-07-28T00:00:00"/>
    <s v="28"/>
    <s v="Jul"/>
    <n v="7"/>
    <n v="4"/>
    <n v="3"/>
    <s v="Coffee Mach"/>
    <s v="Kitchen"/>
    <n v="100000000"/>
    <x v="36"/>
    <x v="2"/>
    <x v="0"/>
    <x v="0"/>
    <x v="3"/>
  </r>
  <r>
    <d v="2020-07-28T00:00:00"/>
    <s v="28"/>
    <s v="Jul"/>
    <n v="6"/>
    <n v="3"/>
    <n v="3"/>
    <s v="Office Chair"/>
    <s v="Furniture"/>
    <n v="40000000"/>
    <x v="24"/>
    <x v="2"/>
    <x v="0"/>
    <x v="1"/>
    <x v="2"/>
  </r>
  <r>
    <d v="2020-07-28T00:00:00"/>
    <s v="28"/>
    <s v="Jul"/>
    <n v="4"/>
    <n v="2"/>
    <n v="2"/>
    <s v="Table Lamp"/>
    <s v="Accessories"/>
    <n v="120000000"/>
    <x v="23"/>
    <x v="4"/>
    <x v="0"/>
    <x v="0"/>
    <x v="0"/>
  </r>
  <r>
    <d v="2020-07-29T00:00:00"/>
    <s v="29"/>
    <s v="Jul"/>
    <n v="10"/>
    <n v="6"/>
    <n v="4"/>
    <s v="Cable"/>
    <s v="Networking"/>
    <n v="60000000"/>
    <x v="20"/>
    <x v="2"/>
    <x v="0"/>
    <x v="1"/>
    <x v="1"/>
  </r>
  <r>
    <d v="2020-07-29T00:00:00"/>
    <s v="29"/>
    <s v="Jul"/>
    <n v="10"/>
    <n v="6"/>
    <n v="4"/>
    <s v="Table Lamp"/>
    <s v="Accessories"/>
    <n v="100000000"/>
    <x v="32"/>
    <x v="2"/>
    <x v="0"/>
    <x v="0"/>
    <x v="3"/>
  </r>
  <r>
    <d v="2020-07-29T00:00:00"/>
    <s v="29"/>
    <s v="Jul"/>
    <n v="9"/>
    <n v="7"/>
    <n v="2"/>
    <s v="Printer"/>
    <s v="Computer"/>
    <n v="120000000"/>
    <x v="32"/>
    <x v="4"/>
    <x v="0"/>
    <x v="2"/>
    <x v="0"/>
  </r>
  <r>
    <d v="2020-07-29T00:00:00"/>
    <s v="29"/>
    <s v="Jul"/>
    <n v="8"/>
    <n v="4"/>
    <n v="4"/>
    <s v="Printer"/>
    <s v="Computer"/>
    <n v="100000000"/>
    <x v="31"/>
    <x v="2"/>
    <x v="0"/>
    <x v="2"/>
    <x v="3"/>
  </r>
  <r>
    <d v="2020-07-29T00:00:00"/>
    <s v="29"/>
    <s v="Jul"/>
    <n v="8"/>
    <n v="7"/>
    <n v="1"/>
    <s v="Office Table"/>
    <s v="Furniture"/>
    <n v="80000000"/>
    <x v="33"/>
    <x v="0"/>
    <x v="0"/>
    <x v="0"/>
    <x v="2"/>
  </r>
  <r>
    <d v="2020-07-29T00:00:00"/>
    <s v="29"/>
    <s v="Jul"/>
    <n v="5"/>
    <n v="4"/>
    <n v="1"/>
    <s v="Office Chair"/>
    <s v="Furniture"/>
    <n v="100000000"/>
    <x v="10"/>
    <x v="0"/>
    <x v="0"/>
    <x v="2"/>
    <x v="3"/>
  </r>
  <r>
    <d v="2020-07-29T00:00:00"/>
    <s v="29"/>
    <s v="Jul"/>
    <n v="5"/>
    <n v="4"/>
    <n v="1"/>
    <s v="AC"/>
    <s v="Electronic"/>
    <n v="60000000"/>
    <x v="10"/>
    <x v="4"/>
    <x v="0"/>
    <x v="2"/>
    <x v="2"/>
  </r>
  <r>
    <d v="2020-07-29T00:00:00"/>
    <s v="29"/>
    <s v="Jul"/>
    <n v="3"/>
    <n v="1"/>
    <n v="2"/>
    <s v="Office Chair"/>
    <s v="Furniture"/>
    <n v="100000000"/>
    <x v="32"/>
    <x v="4"/>
    <x v="0"/>
    <x v="2"/>
    <x v="2"/>
  </r>
  <r>
    <d v="2020-07-29T00:00:00"/>
    <s v="29"/>
    <s v="Jul"/>
    <n v="3"/>
    <n v="1"/>
    <n v="2"/>
    <s v="TV"/>
    <s v="Electronic"/>
    <n v="60000000"/>
    <x v="46"/>
    <x v="0"/>
    <x v="0"/>
    <x v="1"/>
    <x v="1"/>
  </r>
  <r>
    <d v="2020-07-30T00:00:00"/>
    <s v="30"/>
    <s v="Jul"/>
    <n v="10"/>
    <n v="8"/>
    <n v="2"/>
    <s v="Office Table"/>
    <s v="Furniture"/>
    <n v="40000000"/>
    <x v="18"/>
    <x v="0"/>
    <x v="0"/>
    <x v="0"/>
    <x v="2"/>
  </r>
  <r>
    <d v="2020-07-30T00:00:00"/>
    <s v="30"/>
    <s v="Jul"/>
    <n v="10"/>
    <n v="6"/>
    <n v="4"/>
    <s v="Office Table"/>
    <s v="Furniture"/>
    <n v="80000000"/>
    <x v="34"/>
    <x v="0"/>
    <x v="0"/>
    <x v="1"/>
    <x v="3"/>
  </r>
  <r>
    <d v="2020-07-30T00:00:00"/>
    <s v="30"/>
    <s v="Jul"/>
    <n v="8"/>
    <n v="7"/>
    <n v="1"/>
    <s v="AC"/>
    <s v="Electronic"/>
    <n v="140000000"/>
    <x v="5"/>
    <x v="2"/>
    <x v="0"/>
    <x v="0"/>
    <x v="1"/>
  </r>
  <r>
    <d v="2020-07-30T00:00:00"/>
    <s v="30"/>
    <s v="Jul"/>
    <n v="8"/>
    <n v="4"/>
    <n v="4"/>
    <s v="Coffee Mach"/>
    <s v="Kitchen"/>
    <n v="120000000"/>
    <x v="23"/>
    <x v="0"/>
    <x v="0"/>
    <x v="0"/>
    <x v="0"/>
  </r>
  <r>
    <d v="2020-07-30T00:00:00"/>
    <s v="30"/>
    <s v="Jul"/>
    <n v="8"/>
    <n v="6"/>
    <n v="2"/>
    <s v="Coffee Mach"/>
    <s v="Kitchen"/>
    <n v="60000000"/>
    <x v="40"/>
    <x v="2"/>
    <x v="0"/>
    <x v="1"/>
    <x v="2"/>
  </r>
  <r>
    <d v="2020-07-30T00:00:00"/>
    <s v="30"/>
    <s v="Jul"/>
    <n v="7"/>
    <n v="4"/>
    <n v="3"/>
    <s v="Office Chair"/>
    <s v="Furniture"/>
    <n v="120000000"/>
    <x v="31"/>
    <x v="0"/>
    <x v="0"/>
    <x v="0"/>
    <x v="0"/>
  </r>
  <r>
    <d v="2020-07-30T00:00:00"/>
    <s v="30"/>
    <s v="Jul"/>
    <n v="6"/>
    <n v="4"/>
    <n v="2"/>
    <s v="Printer"/>
    <s v="Computer"/>
    <n v="100000000"/>
    <x v="15"/>
    <x v="0"/>
    <x v="0"/>
    <x v="0"/>
    <x v="2"/>
  </r>
  <r>
    <d v="2020-07-30T00:00:00"/>
    <s v="30"/>
    <s v="Jul"/>
    <n v="5"/>
    <n v="4"/>
    <n v="1"/>
    <s v="Laptop"/>
    <s v="Computer"/>
    <n v="120000000"/>
    <x v="46"/>
    <x v="0"/>
    <x v="0"/>
    <x v="1"/>
    <x v="2"/>
  </r>
  <r>
    <d v="2020-07-30T00:00:00"/>
    <s v="30"/>
    <s v="Jul"/>
    <n v="5"/>
    <n v="4"/>
    <n v="1"/>
    <s v="AC"/>
    <s v="Electronic"/>
    <n v="80000000"/>
    <x v="15"/>
    <x v="0"/>
    <x v="0"/>
    <x v="0"/>
    <x v="0"/>
  </r>
  <r>
    <d v="2020-07-30T00:00:00"/>
    <s v="30"/>
    <s v="Jul"/>
    <n v="3"/>
    <n v="2"/>
    <n v="1"/>
    <s v="Office Chair"/>
    <s v="Furniture"/>
    <n v="140000000"/>
    <x v="29"/>
    <x v="0"/>
    <x v="0"/>
    <x v="2"/>
    <x v="0"/>
  </r>
  <r>
    <d v="2020-07-30T00:00:00"/>
    <s v="30"/>
    <s v="Jul"/>
    <n v="3"/>
    <n v="2"/>
    <n v="1"/>
    <s v="Laptop"/>
    <s v="Computer"/>
    <n v="60000000"/>
    <x v="27"/>
    <x v="5"/>
    <x v="0"/>
    <x v="2"/>
    <x v="2"/>
  </r>
  <r>
    <d v="2020-07-30T00:00:00"/>
    <s v="30"/>
    <s v="Jul"/>
    <n v="3"/>
    <n v="1"/>
    <n v="2"/>
    <s v="Office Table"/>
    <s v="Furniture"/>
    <n v="140000000"/>
    <x v="35"/>
    <x v="3"/>
    <x v="0"/>
    <x v="2"/>
    <x v="0"/>
  </r>
  <r>
    <d v="2020-07-31T00:00:00"/>
    <s v="31"/>
    <s v="Jul"/>
    <n v="10"/>
    <n v="8"/>
    <n v="2"/>
    <s v="Laptop"/>
    <s v="Computer"/>
    <n v="40000000"/>
    <x v="14"/>
    <x v="0"/>
    <x v="0"/>
    <x v="0"/>
    <x v="2"/>
  </r>
  <r>
    <d v="2020-07-31T00:00:00"/>
    <s v="31"/>
    <s v="Jul"/>
    <n v="8"/>
    <n v="4"/>
    <n v="4"/>
    <s v="Cable"/>
    <s v="Networking"/>
    <n v="60000000"/>
    <x v="31"/>
    <x v="0"/>
    <x v="0"/>
    <x v="1"/>
    <x v="1"/>
  </r>
  <r>
    <d v="2020-07-31T00:00:00"/>
    <s v="31"/>
    <s v="Jul"/>
    <n v="7"/>
    <n v="5"/>
    <n v="2"/>
    <s v="Office Table"/>
    <s v="Furniture"/>
    <n v="100000000"/>
    <x v="6"/>
    <x v="2"/>
    <x v="0"/>
    <x v="2"/>
    <x v="1"/>
  </r>
  <r>
    <d v="2020-07-31T00:00:00"/>
    <s v="31"/>
    <s v="Jul"/>
    <n v="7"/>
    <n v="4"/>
    <n v="3"/>
    <s v="Office Table"/>
    <s v="Furniture"/>
    <n v="100000000"/>
    <x v="16"/>
    <x v="0"/>
    <x v="0"/>
    <x v="0"/>
    <x v="1"/>
  </r>
  <r>
    <d v="2020-07-31T00:00:00"/>
    <s v="31"/>
    <s v="Jul"/>
    <n v="3"/>
    <n v="1"/>
    <n v="2"/>
    <s v="Laptop"/>
    <s v="Computer"/>
    <n v="100000000"/>
    <x v="46"/>
    <x v="0"/>
    <x v="0"/>
    <x v="1"/>
    <x v="0"/>
  </r>
  <r>
    <d v="2020-08-01T00:00:00"/>
    <s v="1"/>
    <s v="Agu"/>
    <n v="8"/>
    <n v="8"/>
    <s v=""/>
    <s v="AC"/>
    <s v="Electronic"/>
    <n v="140000000"/>
    <x v="6"/>
    <x v="0"/>
    <x v="0"/>
    <x v="0"/>
    <x v="0"/>
  </r>
  <r>
    <d v="2020-08-01T00:00:00"/>
    <s v="1"/>
    <s v="Agu"/>
    <n v="6"/>
    <n v="6"/>
    <s v=""/>
    <s v="Cable"/>
    <s v="Networking"/>
    <n v="40000000"/>
    <x v="46"/>
    <x v="3"/>
    <x v="0"/>
    <x v="0"/>
    <x v="0"/>
  </r>
  <r>
    <d v="2020-08-01T00:00:00"/>
    <s v="1"/>
    <s v="Agu"/>
    <n v="6"/>
    <n v="6"/>
    <s v=""/>
    <s v="Laptop"/>
    <s v="Computer"/>
    <n v="140000000"/>
    <x v="13"/>
    <x v="5"/>
    <x v="0"/>
    <x v="1"/>
    <x v="3"/>
  </r>
  <r>
    <d v="2020-08-01T00:00:00"/>
    <s v="1"/>
    <s v="Agu"/>
    <n v="5"/>
    <n v="5"/>
    <s v=""/>
    <s v="Table Lamp"/>
    <s v="Accessories"/>
    <n v="80000000"/>
    <x v="9"/>
    <x v="2"/>
    <x v="0"/>
    <x v="0"/>
    <x v="3"/>
  </r>
  <r>
    <d v="2020-08-02T00:00:00"/>
    <s v="2"/>
    <s v="Agu"/>
    <n v="10"/>
    <n v="10"/>
    <s v=""/>
    <s v="Table Lamp"/>
    <s v="Accessories"/>
    <n v="40000000"/>
    <x v="19"/>
    <x v="2"/>
    <x v="0"/>
    <x v="1"/>
    <x v="2"/>
  </r>
  <r>
    <d v="2020-08-02T00:00:00"/>
    <s v="2"/>
    <s v="Agu"/>
    <n v="10"/>
    <n v="10"/>
    <s v=""/>
    <s v="Cable"/>
    <s v="Networking"/>
    <n v="40000000"/>
    <x v="17"/>
    <x v="0"/>
    <x v="0"/>
    <x v="0"/>
    <x v="0"/>
  </r>
  <r>
    <d v="2020-08-02T00:00:00"/>
    <s v="2"/>
    <s v="Agu"/>
    <n v="6"/>
    <n v="6"/>
    <s v=""/>
    <s v="TV"/>
    <s v="Electronic"/>
    <n v="100000000"/>
    <x v="27"/>
    <x v="2"/>
    <x v="0"/>
    <x v="2"/>
    <x v="2"/>
  </r>
  <r>
    <d v="2020-08-02T00:00:00"/>
    <s v="2"/>
    <s v="Agu"/>
    <n v="5"/>
    <n v="5"/>
    <s v=""/>
    <s v="TV"/>
    <s v="Electronic"/>
    <n v="120000000"/>
    <x v="21"/>
    <x v="2"/>
    <x v="0"/>
    <x v="0"/>
    <x v="1"/>
  </r>
  <r>
    <d v="2020-08-02T00:00:00"/>
    <s v="2"/>
    <s v="Agu"/>
    <n v="5"/>
    <n v="5"/>
    <s v=""/>
    <s v="Office Chair"/>
    <s v="Furniture"/>
    <n v="100000000"/>
    <x v="40"/>
    <x v="2"/>
    <x v="0"/>
    <x v="2"/>
    <x v="2"/>
  </r>
  <r>
    <d v="2020-08-02T00:00:00"/>
    <s v="2"/>
    <s v="Agu"/>
    <n v="5"/>
    <n v="5"/>
    <s v=""/>
    <s v="TV"/>
    <s v="Electronic"/>
    <n v="80000000"/>
    <x v="25"/>
    <x v="1"/>
    <x v="0"/>
    <x v="1"/>
    <x v="0"/>
  </r>
  <r>
    <d v="2020-08-02T00:00:00"/>
    <s v="2"/>
    <s v="Agu"/>
    <n v="3"/>
    <n v="3"/>
    <s v=""/>
    <s v="Printer"/>
    <s v="Computer"/>
    <n v="140000000"/>
    <x v="32"/>
    <x v="3"/>
    <x v="0"/>
    <x v="1"/>
    <x v="0"/>
  </r>
  <r>
    <d v="2020-08-03T00:00:00"/>
    <s v="3"/>
    <s v="Agu"/>
    <n v="9"/>
    <n v="9"/>
    <s v=""/>
    <s v="Office Chair"/>
    <s v="Furniture"/>
    <n v="120000000"/>
    <x v="12"/>
    <x v="0"/>
    <x v="0"/>
    <x v="1"/>
    <x v="1"/>
  </r>
  <r>
    <d v="2020-08-03T00:00:00"/>
    <s v="3"/>
    <s v="Agu"/>
    <n v="8"/>
    <n v="8"/>
    <s v=""/>
    <s v="Printer"/>
    <s v="Computer"/>
    <n v="140000000"/>
    <x v="45"/>
    <x v="2"/>
    <x v="0"/>
    <x v="1"/>
    <x v="0"/>
  </r>
  <r>
    <d v="2020-08-03T00:00:00"/>
    <s v="3"/>
    <s v="Agu"/>
    <n v="8"/>
    <n v="8"/>
    <s v=""/>
    <s v="TV"/>
    <s v="Electronic"/>
    <n v="60000000"/>
    <x v="1"/>
    <x v="3"/>
    <x v="0"/>
    <x v="1"/>
    <x v="1"/>
  </r>
  <r>
    <d v="2020-08-03T00:00:00"/>
    <s v="3"/>
    <s v="Agu"/>
    <n v="7"/>
    <n v="7"/>
    <s v=""/>
    <s v="Table Lamp"/>
    <s v="Accessories"/>
    <n v="60000000"/>
    <x v="41"/>
    <x v="2"/>
    <x v="0"/>
    <x v="0"/>
    <x v="3"/>
  </r>
  <r>
    <d v="2020-08-03T00:00:00"/>
    <s v="3"/>
    <s v="Agu"/>
    <n v="6"/>
    <n v="6"/>
    <s v=""/>
    <s v="Laptop"/>
    <s v="Computer"/>
    <n v="40000000"/>
    <x v="10"/>
    <x v="3"/>
    <x v="0"/>
    <x v="2"/>
    <x v="2"/>
  </r>
  <r>
    <d v="2020-08-03T00:00:00"/>
    <s v="3"/>
    <s v="Agu"/>
    <n v="6"/>
    <n v="6"/>
    <s v=""/>
    <s v="Office Chair"/>
    <s v="Furniture"/>
    <n v="140000000"/>
    <x v="16"/>
    <x v="2"/>
    <x v="0"/>
    <x v="2"/>
    <x v="3"/>
  </r>
  <r>
    <d v="2020-08-03T00:00:00"/>
    <s v="3"/>
    <s v="Agu"/>
    <n v="5"/>
    <n v="5"/>
    <s v=""/>
    <s v="Laptop"/>
    <s v="Computer"/>
    <n v="140000000"/>
    <x v="46"/>
    <x v="2"/>
    <x v="0"/>
    <x v="0"/>
    <x v="3"/>
  </r>
  <r>
    <d v="2020-08-03T00:00:00"/>
    <s v="3"/>
    <s v="Agu"/>
    <n v="5"/>
    <n v="5"/>
    <s v=""/>
    <s v="Cable"/>
    <s v="Networking"/>
    <n v="120000000"/>
    <x v="29"/>
    <x v="3"/>
    <x v="0"/>
    <x v="2"/>
    <x v="1"/>
  </r>
  <r>
    <d v="2020-08-03T00:00:00"/>
    <s v="3"/>
    <s v="Agu"/>
    <n v="4"/>
    <n v="4"/>
    <s v=""/>
    <s v="Office Table"/>
    <s v="Furniture"/>
    <n v="120000000"/>
    <x v="15"/>
    <x v="2"/>
    <x v="0"/>
    <x v="1"/>
    <x v="3"/>
  </r>
  <r>
    <d v="2020-08-04T00:00:00"/>
    <s v="4"/>
    <s v="Agu"/>
    <n v="9"/>
    <n v="9"/>
    <s v=""/>
    <s v="Cable"/>
    <s v="Networking"/>
    <n v="100000000"/>
    <x v="10"/>
    <x v="3"/>
    <x v="0"/>
    <x v="2"/>
    <x v="2"/>
  </r>
  <r>
    <d v="2020-08-04T00:00:00"/>
    <s v="4"/>
    <s v="Agu"/>
    <n v="9"/>
    <n v="9"/>
    <s v=""/>
    <s v="TV"/>
    <s v="Electronic"/>
    <n v="40000000"/>
    <x v="1"/>
    <x v="0"/>
    <x v="0"/>
    <x v="1"/>
    <x v="1"/>
  </r>
  <r>
    <d v="2020-08-04T00:00:00"/>
    <s v="4"/>
    <s v="Agu"/>
    <n v="6"/>
    <n v="6"/>
    <s v=""/>
    <s v="AC"/>
    <s v="Electronic"/>
    <n v="140000000"/>
    <x v="14"/>
    <x v="0"/>
    <x v="0"/>
    <x v="2"/>
    <x v="3"/>
  </r>
  <r>
    <d v="2020-08-04T00:00:00"/>
    <s v="4"/>
    <s v="Agu"/>
    <n v="6"/>
    <n v="6"/>
    <s v=""/>
    <s v="Office Table"/>
    <s v="Furniture"/>
    <n v="140000000"/>
    <x v="3"/>
    <x v="0"/>
    <x v="0"/>
    <x v="2"/>
    <x v="2"/>
  </r>
  <r>
    <d v="2020-08-04T00:00:00"/>
    <s v="4"/>
    <s v="Agu"/>
    <n v="6"/>
    <n v="6"/>
    <s v=""/>
    <s v="TV"/>
    <s v="Electronic"/>
    <n v="80000000"/>
    <x v="43"/>
    <x v="2"/>
    <x v="0"/>
    <x v="1"/>
    <x v="0"/>
  </r>
  <r>
    <d v="2020-08-04T00:00:00"/>
    <s v="4"/>
    <s v="Agu"/>
    <n v="5"/>
    <n v="5"/>
    <s v=""/>
    <s v="Laptop"/>
    <s v="Computer"/>
    <n v="40000000"/>
    <x v="29"/>
    <x v="0"/>
    <x v="0"/>
    <x v="2"/>
    <x v="2"/>
  </r>
  <r>
    <d v="2020-08-04T00:00:00"/>
    <s v="4"/>
    <s v="Agu"/>
    <n v="5"/>
    <n v="5"/>
    <s v=""/>
    <s v="Cable"/>
    <s v="Networking"/>
    <n v="100000000"/>
    <x v="27"/>
    <x v="4"/>
    <x v="0"/>
    <x v="0"/>
    <x v="1"/>
  </r>
  <r>
    <d v="2020-08-04T00:00:00"/>
    <s v="4"/>
    <s v="Agu"/>
    <n v="4"/>
    <n v="4"/>
    <s v=""/>
    <s v="Laptop"/>
    <s v="Computer"/>
    <n v="40000000"/>
    <x v="5"/>
    <x v="0"/>
    <x v="0"/>
    <x v="2"/>
    <x v="1"/>
  </r>
  <r>
    <d v="2020-08-04T00:00:00"/>
    <s v="4"/>
    <s v="Agu"/>
    <n v="4"/>
    <n v="4"/>
    <s v=""/>
    <s v="TV"/>
    <s v="Electronic"/>
    <n v="100000000"/>
    <x v="23"/>
    <x v="3"/>
    <x v="0"/>
    <x v="0"/>
    <x v="2"/>
  </r>
  <r>
    <d v="2020-08-04T00:00:00"/>
    <s v="4"/>
    <s v="Agu"/>
    <n v="3"/>
    <n v="3"/>
    <s v=""/>
    <s v="AC"/>
    <s v="Electronic"/>
    <n v="140000000"/>
    <x v="12"/>
    <x v="0"/>
    <x v="0"/>
    <x v="2"/>
    <x v="2"/>
  </r>
  <r>
    <d v="2020-08-04T00:00:00"/>
    <s v="4"/>
    <s v="Agu"/>
    <n v="3"/>
    <n v="3"/>
    <s v=""/>
    <s v="Office Chair"/>
    <s v="Furniture"/>
    <n v="100000000"/>
    <x v="31"/>
    <x v="4"/>
    <x v="0"/>
    <x v="1"/>
    <x v="2"/>
  </r>
  <r>
    <d v="2020-08-05T00:00:00"/>
    <s v="5"/>
    <s v="Agu"/>
    <n v="9"/>
    <n v="9"/>
    <s v=""/>
    <s v="Office Chair"/>
    <s v="Furniture"/>
    <n v="120000000"/>
    <x v="2"/>
    <x v="2"/>
    <x v="0"/>
    <x v="0"/>
    <x v="1"/>
  </r>
  <r>
    <d v="2020-08-05T00:00:00"/>
    <s v="5"/>
    <s v="Agu"/>
    <n v="8"/>
    <n v="8"/>
    <s v=""/>
    <s v="Table Lamp"/>
    <s v="Accessories"/>
    <n v="60000000"/>
    <x v="30"/>
    <x v="0"/>
    <x v="0"/>
    <x v="1"/>
    <x v="1"/>
  </r>
  <r>
    <d v="2020-08-05T00:00:00"/>
    <s v="5"/>
    <s v="Agu"/>
    <n v="8"/>
    <n v="8"/>
    <s v=""/>
    <s v="Table Lamp"/>
    <s v="Accessories"/>
    <n v="80000000"/>
    <x v="16"/>
    <x v="0"/>
    <x v="0"/>
    <x v="2"/>
    <x v="1"/>
  </r>
  <r>
    <d v="2020-08-05T00:00:00"/>
    <s v="5"/>
    <s v="Agu"/>
    <n v="6"/>
    <n v="6"/>
    <s v=""/>
    <s v="Table Lamp"/>
    <s v="Accessories"/>
    <n v="60000000"/>
    <x v="43"/>
    <x v="2"/>
    <x v="0"/>
    <x v="2"/>
    <x v="2"/>
  </r>
  <r>
    <d v="2020-08-05T00:00:00"/>
    <s v="5"/>
    <s v="Agu"/>
    <n v="6"/>
    <n v="6"/>
    <s v=""/>
    <s v="Coffee Mach"/>
    <s v="Kitchen"/>
    <n v="80000000"/>
    <x v="26"/>
    <x v="0"/>
    <x v="0"/>
    <x v="0"/>
    <x v="1"/>
  </r>
  <r>
    <d v="2020-08-06T00:00:00"/>
    <s v="6"/>
    <s v="Agu"/>
    <n v="10"/>
    <n v="10"/>
    <s v=""/>
    <s v="Office Table"/>
    <s v="Furniture"/>
    <n v="120000000"/>
    <x v="36"/>
    <x v="2"/>
    <x v="0"/>
    <x v="2"/>
    <x v="1"/>
  </r>
  <r>
    <d v="2020-08-06T00:00:00"/>
    <s v="6"/>
    <s v="Agu"/>
    <n v="8"/>
    <n v="8"/>
    <s v=""/>
    <s v="Printer"/>
    <s v="Computer"/>
    <n v="60000000"/>
    <x v="15"/>
    <x v="5"/>
    <x v="0"/>
    <x v="0"/>
    <x v="1"/>
  </r>
  <r>
    <d v="2020-08-06T00:00:00"/>
    <s v="6"/>
    <s v="Agu"/>
    <n v="8"/>
    <n v="8"/>
    <s v=""/>
    <s v="Table Lamp"/>
    <s v="Accessories"/>
    <n v="120000000"/>
    <x v="43"/>
    <x v="2"/>
    <x v="0"/>
    <x v="1"/>
    <x v="0"/>
  </r>
  <r>
    <d v="2020-08-06T00:00:00"/>
    <s v="6"/>
    <s v="Agu"/>
    <n v="8"/>
    <n v="8"/>
    <s v=""/>
    <s v="Office Chair"/>
    <s v="Furniture"/>
    <n v="120000000"/>
    <x v="17"/>
    <x v="0"/>
    <x v="0"/>
    <x v="1"/>
    <x v="3"/>
  </r>
  <r>
    <d v="2020-08-06T00:00:00"/>
    <s v="6"/>
    <s v="Agu"/>
    <n v="6"/>
    <n v="6"/>
    <s v=""/>
    <s v="Table Lamp"/>
    <s v="Accessories"/>
    <n v="60000000"/>
    <x v="11"/>
    <x v="0"/>
    <x v="0"/>
    <x v="2"/>
    <x v="0"/>
  </r>
  <r>
    <d v="2020-08-06T00:00:00"/>
    <s v="6"/>
    <s v="Agu"/>
    <n v="5"/>
    <n v="5"/>
    <s v=""/>
    <s v="Office Table"/>
    <s v="Furniture"/>
    <n v="120000000"/>
    <x v="33"/>
    <x v="2"/>
    <x v="0"/>
    <x v="2"/>
    <x v="0"/>
  </r>
  <r>
    <d v="2020-08-06T00:00:00"/>
    <s v="6"/>
    <s v="Agu"/>
    <n v="5"/>
    <n v="5"/>
    <s v=""/>
    <s v="Office Table"/>
    <s v="Furniture"/>
    <n v="120000000"/>
    <x v="10"/>
    <x v="0"/>
    <x v="0"/>
    <x v="2"/>
    <x v="2"/>
  </r>
  <r>
    <d v="2020-08-06T00:00:00"/>
    <s v="6"/>
    <s v="Agu"/>
    <n v="4"/>
    <n v="4"/>
    <s v=""/>
    <s v="AC"/>
    <s v="Electronic"/>
    <n v="40000000"/>
    <x v="2"/>
    <x v="3"/>
    <x v="0"/>
    <x v="1"/>
    <x v="1"/>
  </r>
  <r>
    <d v="2020-08-07T00:00:00"/>
    <s v="7"/>
    <s v="Agu"/>
    <n v="10"/>
    <n v="10"/>
    <s v=""/>
    <s v="Office Chair"/>
    <s v="Furniture"/>
    <n v="40000000"/>
    <x v="35"/>
    <x v="2"/>
    <x v="0"/>
    <x v="2"/>
    <x v="3"/>
  </r>
  <r>
    <d v="2020-08-07T00:00:00"/>
    <s v="7"/>
    <s v="Agu"/>
    <n v="8"/>
    <n v="8"/>
    <s v=""/>
    <s v="Printer"/>
    <s v="Computer"/>
    <n v="60000000"/>
    <x v="40"/>
    <x v="5"/>
    <x v="0"/>
    <x v="2"/>
    <x v="0"/>
  </r>
  <r>
    <d v="2020-08-07T00:00:00"/>
    <s v="7"/>
    <s v="Agu"/>
    <n v="7"/>
    <n v="7"/>
    <s v=""/>
    <s v="Coffee Mach"/>
    <s v="Kitchen"/>
    <n v="140000000"/>
    <x v="8"/>
    <x v="5"/>
    <x v="0"/>
    <x v="1"/>
    <x v="2"/>
  </r>
  <r>
    <d v="2020-08-07T00:00:00"/>
    <s v="7"/>
    <s v="Agu"/>
    <n v="6"/>
    <n v="6"/>
    <s v=""/>
    <s v="AC"/>
    <s v="Electronic"/>
    <n v="120000000"/>
    <x v="15"/>
    <x v="0"/>
    <x v="0"/>
    <x v="1"/>
    <x v="0"/>
  </r>
  <r>
    <d v="2020-08-07T00:00:00"/>
    <s v="7"/>
    <s v="Agu"/>
    <n v="5"/>
    <n v="5"/>
    <s v=""/>
    <s v="Table Lamp"/>
    <s v="Accessories"/>
    <n v="60000000"/>
    <x v="18"/>
    <x v="2"/>
    <x v="0"/>
    <x v="1"/>
    <x v="1"/>
  </r>
  <r>
    <d v="2020-08-07T00:00:00"/>
    <s v="7"/>
    <s v="Agu"/>
    <n v="5"/>
    <n v="5"/>
    <s v=""/>
    <s v="Laptop"/>
    <s v="Computer"/>
    <n v="60000000"/>
    <x v="12"/>
    <x v="0"/>
    <x v="0"/>
    <x v="0"/>
    <x v="0"/>
  </r>
  <r>
    <d v="2020-08-07T00:00:00"/>
    <s v="7"/>
    <s v="Agu"/>
    <n v="4"/>
    <n v="4"/>
    <s v=""/>
    <s v="Office Chair"/>
    <s v="Furniture"/>
    <n v="140000000"/>
    <x v="17"/>
    <x v="0"/>
    <x v="0"/>
    <x v="2"/>
    <x v="2"/>
  </r>
  <r>
    <d v="2020-08-07T00:00:00"/>
    <s v="7"/>
    <s v="Agu"/>
    <n v="4"/>
    <n v="4"/>
    <s v=""/>
    <s v="Office Chair"/>
    <s v="Furniture"/>
    <n v="80000000"/>
    <x v="8"/>
    <x v="0"/>
    <x v="0"/>
    <x v="1"/>
    <x v="2"/>
  </r>
  <r>
    <d v="2020-08-07T00:00:00"/>
    <s v="7"/>
    <s v="Agu"/>
    <n v="3"/>
    <n v="3"/>
    <s v=""/>
    <s v="Office Chair"/>
    <s v="Furniture"/>
    <n v="80000000"/>
    <x v="18"/>
    <x v="2"/>
    <x v="0"/>
    <x v="1"/>
    <x v="2"/>
  </r>
  <r>
    <d v="2020-08-08T00:00:00"/>
    <s v="8"/>
    <s v="Agu"/>
    <n v="10"/>
    <n v="10"/>
    <s v=""/>
    <s v="Coffee Mach"/>
    <s v="Kitchen"/>
    <n v="120000000"/>
    <x v="34"/>
    <x v="4"/>
    <x v="0"/>
    <x v="2"/>
    <x v="0"/>
  </r>
  <r>
    <d v="2020-08-08T00:00:00"/>
    <s v="8"/>
    <s v="Agu"/>
    <n v="8"/>
    <n v="8"/>
    <s v=""/>
    <s v="Office Table"/>
    <s v="Furniture"/>
    <n v="100000000"/>
    <x v="4"/>
    <x v="0"/>
    <x v="0"/>
    <x v="1"/>
    <x v="2"/>
  </r>
  <r>
    <d v="2020-08-08T00:00:00"/>
    <s v="8"/>
    <s v="Agu"/>
    <n v="7"/>
    <n v="7"/>
    <s v=""/>
    <s v="Office Chair"/>
    <s v="Furniture"/>
    <n v="80000000"/>
    <x v="1"/>
    <x v="2"/>
    <x v="0"/>
    <x v="0"/>
    <x v="1"/>
  </r>
  <r>
    <d v="2020-08-08T00:00:00"/>
    <s v="8"/>
    <s v="Agu"/>
    <n v="4"/>
    <n v="4"/>
    <s v=""/>
    <s v="Table Lamp"/>
    <s v="Accessories"/>
    <n v="80000000"/>
    <x v="11"/>
    <x v="4"/>
    <x v="0"/>
    <x v="2"/>
    <x v="1"/>
  </r>
  <r>
    <d v="2020-08-08T00:00:00"/>
    <s v="8"/>
    <s v="Agu"/>
    <n v="4"/>
    <n v="4"/>
    <s v=""/>
    <s v="Office Chair"/>
    <s v="Furniture"/>
    <n v="80000000"/>
    <x v="48"/>
    <x v="3"/>
    <x v="0"/>
    <x v="0"/>
    <x v="2"/>
  </r>
  <r>
    <d v="2020-08-08T00:00:00"/>
    <s v="8"/>
    <s v="Agu"/>
    <n v="3"/>
    <n v="3"/>
    <s v=""/>
    <s v="TV"/>
    <s v="Electronic"/>
    <n v="100000000"/>
    <x v="40"/>
    <x v="0"/>
    <x v="0"/>
    <x v="1"/>
    <x v="2"/>
  </r>
  <r>
    <d v="2020-08-08T00:00:00"/>
    <s v="8"/>
    <s v="Agu"/>
    <n v="3"/>
    <n v="3"/>
    <s v=""/>
    <s v="Laptop"/>
    <s v="Computer"/>
    <n v="140000000"/>
    <x v="10"/>
    <x v="4"/>
    <x v="0"/>
    <x v="2"/>
    <x v="3"/>
  </r>
  <r>
    <d v="2020-08-09T00:00:00"/>
    <s v="9"/>
    <s v="Agu"/>
    <n v="10"/>
    <n v="10"/>
    <s v=""/>
    <s v="Coffee Mach"/>
    <s v="Kitchen"/>
    <n v="80000000"/>
    <x v="44"/>
    <x v="0"/>
    <x v="0"/>
    <x v="2"/>
    <x v="3"/>
  </r>
  <r>
    <d v="2020-08-09T00:00:00"/>
    <s v="9"/>
    <s v="Agu"/>
    <n v="8"/>
    <n v="8"/>
    <s v=""/>
    <s v="Office Chair"/>
    <s v="Furniture"/>
    <n v="100000000"/>
    <x v="10"/>
    <x v="2"/>
    <x v="0"/>
    <x v="1"/>
    <x v="1"/>
  </r>
  <r>
    <d v="2020-08-09T00:00:00"/>
    <s v="9"/>
    <s v="Agu"/>
    <n v="6"/>
    <n v="6"/>
    <s v=""/>
    <s v="Laptop"/>
    <s v="Computer"/>
    <n v="40000000"/>
    <x v="11"/>
    <x v="2"/>
    <x v="0"/>
    <x v="1"/>
    <x v="2"/>
  </r>
  <r>
    <d v="2020-08-09T00:00:00"/>
    <s v="9"/>
    <s v="Agu"/>
    <n v="6"/>
    <n v="6"/>
    <s v=""/>
    <s v="Office Chair"/>
    <s v="Furniture"/>
    <n v="40000000"/>
    <x v="37"/>
    <x v="0"/>
    <x v="0"/>
    <x v="0"/>
    <x v="1"/>
  </r>
  <r>
    <d v="2020-08-09T00:00:00"/>
    <s v="9"/>
    <s v="Agu"/>
    <n v="5"/>
    <n v="5"/>
    <s v=""/>
    <s v="Coffee Mach"/>
    <s v="Kitchen"/>
    <n v="80000000"/>
    <x v="27"/>
    <x v="4"/>
    <x v="0"/>
    <x v="2"/>
    <x v="2"/>
  </r>
  <r>
    <d v="2020-08-09T00:00:00"/>
    <s v="9"/>
    <s v="Agu"/>
    <n v="5"/>
    <n v="5"/>
    <s v=""/>
    <s v="Laptop"/>
    <s v="Computer"/>
    <n v="120000000"/>
    <x v="48"/>
    <x v="0"/>
    <x v="0"/>
    <x v="2"/>
    <x v="3"/>
  </r>
  <r>
    <d v="2020-08-09T00:00:00"/>
    <s v="9"/>
    <s v="Agu"/>
    <n v="4"/>
    <n v="4"/>
    <s v=""/>
    <s v="Table Lamp"/>
    <s v="Accessories"/>
    <n v="140000000"/>
    <x v="3"/>
    <x v="0"/>
    <x v="0"/>
    <x v="2"/>
    <x v="0"/>
  </r>
  <r>
    <d v="2020-08-10T00:00:00"/>
    <s v="10"/>
    <s v="Agu"/>
    <n v="8"/>
    <n v="8"/>
    <s v=""/>
    <s v="Printer"/>
    <s v="Computer"/>
    <n v="140000000"/>
    <x v="23"/>
    <x v="3"/>
    <x v="0"/>
    <x v="2"/>
    <x v="3"/>
  </r>
  <r>
    <d v="2020-08-10T00:00:00"/>
    <s v="10"/>
    <s v="Agu"/>
    <n v="7"/>
    <n v="7"/>
    <s v=""/>
    <s v="Table Lamp"/>
    <s v="Accessories"/>
    <n v="60000000"/>
    <x v="40"/>
    <x v="0"/>
    <x v="0"/>
    <x v="1"/>
    <x v="0"/>
  </r>
  <r>
    <d v="2020-08-10T00:00:00"/>
    <s v="10"/>
    <s v="Agu"/>
    <n v="3"/>
    <n v="3"/>
    <s v=""/>
    <s v="Cable"/>
    <s v="Networking"/>
    <n v="120000000"/>
    <x v="30"/>
    <x v="4"/>
    <x v="0"/>
    <x v="2"/>
    <x v="0"/>
  </r>
  <r>
    <d v="2020-08-11T00:00:00"/>
    <s v="11"/>
    <s v="Agu"/>
    <n v="10"/>
    <n v="10"/>
    <s v=""/>
    <s v="Printer"/>
    <s v="Computer"/>
    <n v="100000000"/>
    <x v="19"/>
    <x v="2"/>
    <x v="0"/>
    <x v="2"/>
    <x v="0"/>
  </r>
  <r>
    <d v="2020-08-11T00:00:00"/>
    <s v="11"/>
    <s v="Agu"/>
    <n v="9"/>
    <n v="9"/>
    <s v=""/>
    <s v="Cable"/>
    <s v="Networking"/>
    <n v="100000000"/>
    <x v="15"/>
    <x v="2"/>
    <x v="0"/>
    <x v="2"/>
    <x v="1"/>
  </r>
  <r>
    <d v="2020-08-11T00:00:00"/>
    <s v="11"/>
    <s v="Agu"/>
    <n v="9"/>
    <n v="9"/>
    <s v=""/>
    <s v="Office Chair"/>
    <s v="Furniture"/>
    <n v="40000000"/>
    <x v="32"/>
    <x v="2"/>
    <x v="0"/>
    <x v="1"/>
    <x v="2"/>
  </r>
  <r>
    <d v="2020-08-11T00:00:00"/>
    <s v="11"/>
    <s v="Agu"/>
    <n v="8"/>
    <n v="8"/>
    <s v=""/>
    <s v="AC"/>
    <s v="Electronic"/>
    <n v="40000000"/>
    <x v="35"/>
    <x v="2"/>
    <x v="0"/>
    <x v="0"/>
    <x v="3"/>
  </r>
  <r>
    <d v="2020-08-11T00:00:00"/>
    <s v="11"/>
    <s v="Agu"/>
    <n v="7"/>
    <n v="7"/>
    <s v=""/>
    <s v="Printer"/>
    <s v="Computer"/>
    <n v="80000000"/>
    <x v="39"/>
    <x v="4"/>
    <x v="0"/>
    <x v="1"/>
    <x v="1"/>
  </r>
  <r>
    <d v="2020-08-11T00:00:00"/>
    <s v="11"/>
    <s v="Agu"/>
    <n v="7"/>
    <n v="7"/>
    <s v=""/>
    <s v="Table Lamp"/>
    <s v="Accessories"/>
    <n v="100000000"/>
    <x v="47"/>
    <x v="3"/>
    <x v="0"/>
    <x v="2"/>
    <x v="3"/>
  </r>
  <r>
    <d v="2020-08-11T00:00:00"/>
    <s v="11"/>
    <s v="Agu"/>
    <n v="6"/>
    <n v="6"/>
    <s v=""/>
    <s v="Office Chair"/>
    <s v="Furniture"/>
    <n v="120000000"/>
    <x v="40"/>
    <x v="0"/>
    <x v="0"/>
    <x v="1"/>
    <x v="1"/>
  </r>
  <r>
    <d v="2020-08-11T00:00:00"/>
    <s v="11"/>
    <s v="Agu"/>
    <n v="4"/>
    <n v="4"/>
    <s v=""/>
    <s v="Coffee Mach"/>
    <s v="Kitchen"/>
    <n v="120000000"/>
    <x v="20"/>
    <x v="0"/>
    <x v="0"/>
    <x v="0"/>
    <x v="3"/>
  </r>
  <r>
    <d v="2020-08-11T00:00:00"/>
    <s v="11"/>
    <s v="Agu"/>
    <n v="4"/>
    <n v="4"/>
    <s v=""/>
    <s v="AC"/>
    <s v="Electronic"/>
    <n v="140000000"/>
    <x v="1"/>
    <x v="0"/>
    <x v="0"/>
    <x v="1"/>
    <x v="1"/>
  </r>
  <r>
    <d v="2020-08-11T00:00:00"/>
    <s v="11"/>
    <s v="Agu"/>
    <n v="4"/>
    <n v="4"/>
    <s v=""/>
    <s v="Office Table"/>
    <s v="Furniture"/>
    <n v="100000000"/>
    <x v="31"/>
    <x v="2"/>
    <x v="0"/>
    <x v="2"/>
    <x v="2"/>
  </r>
  <r>
    <d v="2020-08-11T00:00:00"/>
    <s v="11"/>
    <s v="Agu"/>
    <n v="3"/>
    <n v="3"/>
    <s v=""/>
    <s v="Coffee Mach"/>
    <s v="Kitchen"/>
    <n v="120000000"/>
    <x v="43"/>
    <x v="5"/>
    <x v="0"/>
    <x v="1"/>
    <x v="2"/>
  </r>
  <r>
    <d v="2020-08-12T00:00:00"/>
    <s v="12"/>
    <s v="Agu"/>
    <n v="10"/>
    <n v="10"/>
    <s v=""/>
    <s v="Cable"/>
    <s v="Networking"/>
    <n v="40000000"/>
    <x v="35"/>
    <x v="3"/>
    <x v="0"/>
    <x v="0"/>
    <x v="0"/>
  </r>
  <r>
    <d v="2020-08-12T00:00:00"/>
    <s v="12"/>
    <s v="Agu"/>
    <n v="9"/>
    <n v="9"/>
    <s v=""/>
    <s v="Printer"/>
    <s v="Computer"/>
    <n v="60000000"/>
    <x v="26"/>
    <x v="5"/>
    <x v="0"/>
    <x v="2"/>
    <x v="2"/>
  </r>
  <r>
    <d v="2020-08-12T00:00:00"/>
    <s v="12"/>
    <s v="Agu"/>
    <n v="9"/>
    <n v="9"/>
    <s v=""/>
    <s v="TV"/>
    <s v="Electronic"/>
    <n v="80000000"/>
    <x v="15"/>
    <x v="0"/>
    <x v="0"/>
    <x v="0"/>
    <x v="0"/>
  </r>
  <r>
    <d v="2020-08-12T00:00:00"/>
    <s v="12"/>
    <s v="Agu"/>
    <n v="8"/>
    <n v="8"/>
    <s v=""/>
    <s v="AC"/>
    <s v="Electronic"/>
    <n v="60000000"/>
    <x v="40"/>
    <x v="0"/>
    <x v="0"/>
    <x v="1"/>
    <x v="0"/>
  </r>
  <r>
    <d v="2020-08-12T00:00:00"/>
    <s v="12"/>
    <s v="Agu"/>
    <n v="8"/>
    <n v="8"/>
    <s v=""/>
    <s v="Coffee Mach"/>
    <s v="Kitchen"/>
    <n v="80000000"/>
    <x v="27"/>
    <x v="2"/>
    <x v="0"/>
    <x v="1"/>
    <x v="2"/>
  </r>
  <r>
    <d v="2020-08-12T00:00:00"/>
    <s v="12"/>
    <s v="Agu"/>
    <n v="8"/>
    <n v="8"/>
    <s v=""/>
    <s v="Cable"/>
    <s v="Networking"/>
    <n v="120000000"/>
    <x v="18"/>
    <x v="0"/>
    <x v="0"/>
    <x v="0"/>
    <x v="0"/>
  </r>
  <r>
    <d v="2020-08-12T00:00:00"/>
    <s v="12"/>
    <s v="Agu"/>
    <n v="7"/>
    <n v="7"/>
    <s v=""/>
    <s v="Coffee Mach"/>
    <s v="Kitchen"/>
    <n v="80000000"/>
    <x v="10"/>
    <x v="2"/>
    <x v="0"/>
    <x v="0"/>
    <x v="0"/>
  </r>
  <r>
    <d v="2020-08-12T00:00:00"/>
    <s v="12"/>
    <s v="Agu"/>
    <n v="7"/>
    <n v="7"/>
    <s v=""/>
    <s v="AC"/>
    <s v="Electronic"/>
    <n v="60000000"/>
    <x v="25"/>
    <x v="2"/>
    <x v="0"/>
    <x v="0"/>
    <x v="3"/>
  </r>
  <r>
    <d v="2020-08-12T00:00:00"/>
    <s v="12"/>
    <s v="Agu"/>
    <n v="6"/>
    <n v="6"/>
    <s v=""/>
    <s v="Cable"/>
    <s v="Networking"/>
    <n v="140000000"/>
    <x v="12"/>
    <x v="0"/>
    <x v="0"/>
    <x v="0"/>
    <x v="1"/>
  </r>
  <r>
    <d v="2020-08-12T00:00:00"/>
    <s v="12"/>
    <s v="Agu"/>
    <n v="5"/>
    <n v="5"/>
    <s v=""/>
    <s v="TV"/>
    <s v="Electronic"/>
    <n v="60000000"/>
    <x v="44"/>
    <x v="2"/>
    <x v="0"/>
    <x v="0"/>
    <x v="0"/>
  </r>
  <r>
    <d v="2020-08-12T00:00:00"/>
    <s v="12"/>
    <s v="Agu"/>
    <n v="4"/>
    <n v="4"/>
    <s v=""/>
    <s v="Office Chair"/>
    <s v="Furniture"/>
    <n v="100000000"/>
    <x v="7"/>
    <x v="1"/>
    <x v="0"/>
    <x v="1"/>
    <x v="3"/>
  </r>
  <r>
    <d v="2020-08-12T00:00:00"/>
    <s v="12"/>
    <s v="Agu"/>
    <n v="4"/>
    <n v="4"/>
    <s v=""/>
    <s v="Table Lamp"/>
    <s v="Accessories"/>
    <n v="100000000"/>
    <x v="4"/>
    <x v="5"/>
    <x v="0"/>
    <x v="0"/>
    <x v="3"/>
  </r>
  <r>
    <d v="2020-08-13T00:00:00"/>
    <s v="13"/>
    <s v="Agu"/>
    <n v="9"/>
    <n v="9"/>
    <s v=""/>
    <s v="AC"/>
    <s v="Electronic"/>
    <n v="140000000"/>
    <x v="8"/>
    <x v="2"/>
    <x v="0"/>
    <x v="2"/>
    <x v="2"/>
  </r>
  <r>
    <d v="2020-08-13T00:00:00"/>
    <s v="13"/>
    <s v="Agu"/>
    <n v="8"/>
    <n v="8"/>
    <s v=""/>
    <s v="AC"/>
    <s v="Electronic"/>
    <n v="100000000"/>
    <x v="49"/>
    <x v="4"/>
    <x v="0"/>
    <x v="0"/>
    <x v="2"/>
  </r>
  <r>
    <d v="2020-08-13T00:00:00"/>
    <s v="13"/>
    <s v="Agu"/>
    <n v="7"/>
    <n v="7"/>
    <s v=""/>
    <s v="AC"/>
    <s v="Electronic"/>
    <n v="60000000"/>
    <x v="43"/>
    <x v="4"/>
    <x v="0"/>
    <x v="0"/>
    <x v="2"/>
  </r>
  <r>
    <d v="2020-08-13T00:00:00"/>
    <s v="13"/>
    <s v="Agu"/>
    <n v="7"/>
    <n v="7"/>
    <s v=""/>
    <s v="Printer"/>
    <s v="Computer"/>
    <n v="140000000"/>
    <x v="45"/>
    <x v="2"/>
    <x v="0"/>
    <x v="1"/>
    <x v="0"/>
  </r>
  <r>
    <d v="2020-08-13T00:00:00"/>
    <s v="13"/>
    <s v="Agu"/>
    <n v="5"/>
    <n v="5"/>
    <s v=""/>
    <s v="Table Lamp"/>
    <s v="Accessories"/>
    <n v="60000000"/>
    <x v="29"/>
    <x v="0"/>
    <x v="0"/>
    <x v="0"/>
    <x v="3"/>
  </r>
  <r>
    <d v="2020-08-13T00:00:00"/>
    <s v="13"/>
    <s v="Agu"/>
    <n v="4"/>
    <n v="4"/>
    <s v=""/>
    <s v="Cable"/>
    <s v="Networking"/>
    <n v="80000000"/>
    <x v="15"/>
    <x v="0"/>
    <x v="0"/>
    <x v="0"/>
    <x v="0"/>
  </r>
  <r>
    <d v="2020-08-13T00:00:00"/>
    <s v="13"/>
    <s v="Agu"/>
    <n v="4"/>
    <n v="4"/>
    <s v=""/>
    <s v="AC"/>
    <s v="Electronic"/>
    <n v="80000000"/>
    <x v="25"/>
    <x v="2"/>
    <x v="0"/>
    <x v="0"/>
    <x v="0"/>
  </r>
  <r>
    <d v="2020-08-13T00:00:00"/>
    <s v="13"/>
    <s v="Agu"/>
    <n v="4"/>
    <n v="4"/>
    <s v=""/>
    <s v="AC"/>
    <s v="Electronic"/>
    <n v="140000000"/>
    <x v="8"/>
    <x v="0"/>
    <x v="0"/>
    <x v="2"/>
    <x v="2"/>
  </r>
  <r>
    <d v="2020-08-14T00:00:00"/>
    <s v="14"/>
    <s v="Agu"/>
    <n v="7"/>
    <n v="7"/>
    <s v=""/>
    <s v="Cable"/>
    <s v="Networking"/>
    <n v="60000000"/>
    <x v="18"/>
    <x v="2"/>
    <x v="0"/>
    <x v="0"/>
    <x v="0"/>
  </r>
  <r>
    <d v="2020-08-14T00:00:00"/>
    <s v="14"/>
    <s v="Agu"/>
    <n v="7"/>
    <n v="7"/>
    <s v=""/>
    <s v="Printer"/>
    <s v="Computer"/>
    <n v="100000000"/>
    <x v="23"/>
    <x v="2"/>
    <x v="0"/>
    <x v="0"/>
    <x v="3"/>
  </r>
  <r>
    <d v="2020-08-14T00:00:00"/>
    <s v="14"/>
    <s v="Agu"/>
    <n v="6"/>
    <n v="6"/>
    <s v=""/>
    <s v="Cable"/>
    <s v="Networking"/>
    <n v="60000000"/>
    <x v="3"/>
    <x v="0"/>
    <x v="0"/>
    <x v="2"/>
    <x v="0"/>
  </r>
  <r>
    <d v="2020-08-14T00:00:00"/>
    <s v="14"/>
    <s v="Agu"/>
    <n v="6"/>
    <n v="6"/>
    <s v=""/>
    <s v="Office Chair"/>
    <s v="Furniture"/>
    <n v="40000000"/>
    <x v="2"/>
    <x v="2"/>
    <x v="0"/>
    <x v="1"/>
    <x v="3"/>
  </r>
  <r>
    <d v="2020-08-14T00:00:00"/>
    <s v="14"/>
    <s v="Agu"/>
    <n v="3"/>
    <n v="3"/>
    <s v=""/>
    <s v="Laptop"/>
    <s v="Computer"/>
    <n v="120000000"/>
    <x v="1"/>
    <x v="0"/>
    <x v="0"/>
    <x v="0"/>
    <x v="1"/>
  </r>
  <r>
    <d v="2020-08-14T00:00:00"/>
    <s v="14"/>
    <s v="Agu"/>
    <n v="3"/>
    <n v="3"/>
    <s v=""/>
    <s v="AC"/>
    <s v="Electronic"/>
    <n v="120000000"/>
    <x v="7"/>
    <x v="2"/>
    <x v="0"/>
    <x v="0"/>
    <x v="2"/>
  </r>
  <r>
    <d v="2020-08-14T00:00:00"/>
    <s v="14"/>
    <s v="Agu"/>
    <n v="3"/>
    <n v="3"/>
    <s v=""/>
    <s v="Printer"/>
    <s v="Computer"/>
    <n v="100000000"/>
    <x v="12"/>
    <x v="0"/>
    <x v="0"/>
    <x v="2"/>
    <x v="1"/>
  </r>
  <r>
    <d v="2020-08-14T00:00:00"/>
    <s v="14"/>
    <s v="Agu"/>
    <n v="3"/>
    <n v="3"/>
    <s v=""/>
    <s v="TV"/>
    <s v="Electronic"/>
    <n v="40000000"/>
    <x v="29"/>
    <x v="0"/>
    <x v="0"/>
    <x v="0"/>
    <x v="3"/>
  </r>
  <r>
    <d v="2020-08-14T00:00:00"/>
    <s v="14"/>
    <s v="Agu"/>
    <n v="3"/>
    <n v="3"/>
    <s v=""/>
    <s v="Coffee Mach"/>
    <s v="Kitchen"/>
    <n v="40000000"/>
    <x v="15"/>
    <x v="2"/>
    <x v="0"/>
    <x v="0"/>
    <x v="2"/>
  </r>
  <r>
    <d v="2020-08-14T00:00:00"/>
    <s v="14"/>
    <s v="Agu"/>
    <n v="3"/>
    <n v="3"/>
    <s v=""/>
    <s v="Table Lamp"/>
    <s v="Accessories"/>
    <n v="100000000"/>
    <x v="21"/>
    <x v="0"/>
    <x v="0"/>
    <x v="1"/>
    <x v="1"/>
  </r>
  <r>
    <d v="2020-08-15T00:00:00"/>
    <s v="15"/>
    <s v="Agu"/>
    <n v="9"/>
    <n v="9"/>
    <s v=""/>
    <s v="Office Table"/>
    <s v="Furniture"/>
    <n v="120000000"/>
    <x v="43"/>
    <x v="0"/>
    <x v="0"/>
    <x v="0"/>
    <x v="0"/>
  </r>
  <r>
    <d v="2020-08-15T00:00:00"/>
    <s v="15"/>
    <s v="Agu"/>
    <n v="9"/>
    <n v="9"/>
    <s v=""/>
    <s v="Printer"/>
    <s v="Computer"/>
    <n v="120000000"/>
    <x v="19"/>
    <x v="0"/>
    <x v="0"/>
    <x v="1"/>
    <x v="2"/>
  </r>
  <r>
    <d v="2020-08-15T00:00:00"/>
    <s v="15"/>
    <s v="Agu"/>
    <n v="7"/>
    <n v="7"/>
    <s v=""/>
    <s v="Table Lamp"/>
    <s v="Accessories"/>
    <n v="80000000"/>
    <x v="39"/>
    <x v="4"/>
    <x v="0"/>
    <x v="0"/>
    <x v="2"/>
  </r>
  <r>
    <d v="2020-08-15T00:00:00"/>
    <s v="15"/>
    <s v="Agu"/>
    <n v="6"/>
    <n v="6"/>
    <s v=""/>
    <s v="Printer"/>
    <s v="Computer"/>
    <n v="60000000"/>
    <x v="15"/>
    <x v="2"/>
    <x v="0"/>
    <x v="2"/>
    <x v="1"/>
  </r>
  <r>
    <d v="2020-08-15T00:00:00"/>
    <s v="15"/>
    <s v="Agu"/>
    <n v="6"/>
    <n v="6"/>
    <s v=""/>
    <s v="Coffee Mach"/>
    <s v="Kitchen"/>
    <n v="60000000"/>
    <x v="14"/>
    <x v="2"/>
    <x v="0"/>
    <x v="2"/>
    <x v="2"/>
  </r>
  <r>
    <d v="2020-08-15T00:00:00"/>
    <s v="15"/>
    <s v="Agu"/>
    <n v="4"/>
    <n v="4"/>
    <s v=""/>
    <s v="Cable"/>
    <s v="Networking"/>
    <n v="60000000"/>
    <x v="24"/>
    <x v="0"/>
    <x v="0"/>
    <x v="1"/>
    <x v="0"/>
  </r>
  <r>
    <d v="2020-08-15T00:00:00"/>
    <s v="15"/>
    <s v="Agu"/>
    <n v="3"/>
    <n v="3"/>
    <s v=""/>
    <s v="Coffee Mach"/>
    <s v="Kitchen"/>
    <n v="100000000"/>
    <x v="40"/>
    <x v="1"/>
    <x v="0"/>
    <x v="0"/>
    <x v="1"/>
  </r>
  <r>
    <d v="2020-08-15T00:00:00"/>
    <s v="15"/>
    <s v="Agu"/>
    <n v="3"/>
    <n v="3"/>
    <s v=""/>
    <s v="Laptop"/>
    <s v="Computer"/>
    <n v="60000000"/>
    <x v="11"/>
    <x v="4"/>
    <x v="0"/>
    <x v="2"/>
    <x v="1"/>
  </r>
  <r>
    <d v="2020-08-15T00:00:00"/>
    <s v="15"/>
    <s v="Agu"/>
    <n v="3"/>
    <n v="3"/>
    <s v=""/>
    <s v="Cable"/>
    <s v="Networking"/>
    <n v="140000000"/>
    <x v="33"/>
    <x v="1"/>
    <x v="0"/>
    <x v="2"/>
    <x v="3"/>
  </r>
  <r>
    <d v="2020-08-16T00:00:00"/>
    <s v="16"/>
    <s v="Agu"/>
    <n v="10"/>
    <n v="10"/>
    <s v=""/>
    <s v="AC"/>
    <s v="Electronic"/>
    <n v="120000000"/>
    <x v="3"/>
    <x v="0"/>
    <x v="0"/>
    <x v="2"/>
    <x v="1"/>
  </r>
  <r>
    <d v="2020-08-16T00:00:00"/>
    <s v="16"/>
    <s v="Agu"/>
    <n v="9"/>
    <n v="9"/>
    <s v=""/>
    <s v="Cable"/>
    <s v="Networking"/>
    <n v="100000000"/>
    <x v="18"/>
    <x v="0"/>
    <x v="0"/>
    <x v="2"/>
    <x v="1"/>
  </r>
  <r>
    <d v="2020-08-16T00:00:00"/>
    <s v="16"/>
    <s v="Agu"/>
    <n v="8"/>
    <n v="8"/>
    <s v=""/>
    <s v="Coffee Mach"/>
    <s v="Kitchen"/>
    <n v="100000000"/>
    <x v="41"/>
    <x v="2"/>
    <x v="0"/>
    <x v="1"/>
    <x v="0"/>
  </r>
  <r>
    <d v="2020-08-16T00:00:00"/>
    <s v="16"/>
    <s v="Agu"/>
    <n v="4"/>
    <n v="4"/>
    <s v=""/>
    <s v="Office Chair"/>
    <s v="Furniture"/>
    <n v="40000000"/>
    <x v="7"/>
    <x v="0"/>
    <x v="0"/>
    <x v="0"/>
    <x v="3"/>
  </r>
  <r>
    <d v="2020-08-17T00:00:00"/>
    <s v="17"/>
    <s v="Agu"/>
    <n v="10"/>
    <n v="10"/>
    <s v=""/>
    <s v="Cable"/>
    <s v="Networking"/>
    <n v="100000000"/>
    <x v="3"/>
    <x v="5"/>
    <x v="0"/>
    <x v="2"/>
    <x v="3"/>
  </r>
  <r>
    <d v="2020-08-17T00:00:00"/>
    <s v="17"/>
    <s v="Agu"/>
    <n v="9"/>
    <n v="9"/>
    <s v=""/>
    <s v="Printer"/>
    <s v="Computer"/>
    <n v="120000000"/>
    <x v="31"/>
    <x v="0"/>
    <x v="0"/>
    <x v="1"/>
    <x v="1"/>
  </r>
  <r>
    <d v="2020-08-17T00:00:00"/>
    <s v="17"/>
    <s v="Agu"/>
    <n v="8"/>
    <n v="8"/>
    <s v=""/>
    <s v="Table Lamp"/>
    <s v="Accessories"/>
    <n v="40000000"/>
    <x v="18"/>
    <x v="1"/>
    <x v="0"/>
    <x v="1"/>
    <x v="0"/>
  </r>
  <r>
    <d v="2020-08-17T00:00:00"/>
    <s v="17"/>
    <s v="Agu"/>
    <n v="7"/>
    <n v="7"/>
    <s v=""/>
    <s v="AC"/>
    <s v="Electronic"/>
    <n v="40000000"/>
    <x v="33"/>
    <x v="0"/>
    <x v="0"/>
    <x v="2"/>
    <x v="1"/>
  </r>
  <r>
    <d v="2020-08-17T00:00:00"/>
    <s v="17"/>
    <s v="Agu"/>
    <n v="7"/>
    <n v="7"/>
    <s v=""/>
    <s v="Office Chair"/>
    <s v="Furniture"/>
    <n v="100000000"/>
    <x v="1"/>
    <x v="4"/>
    <x v="0"/>
    <x v="1"/>
    <x v="1"/>
  </r>
  <r>
    <d v="2020-08-17T00:00:00"/>
    <s v="17"/>
    <s v="Agu"/>
    <n v="5"/>
    <n v="5"/>
    <s v=""/>
    <s v="Table Lamp"/>
    <s v="Accessories"/>
    <n v="120000000"/>
    <x v="43"/>
    <x v="2"/>
    <x v="0"/>
    <x v="1"/>
    <x v="2"/>
  </r>
  <r>
    <d v="2020-08-17T00:00:00"/>
    <s v="17"/>
    <s v="Agu"/>
    <n v="3"/>
    <n v="3"/>
    <s v=""/>
    <s v="Printer"/>
    <s v="Computer"/>
    <n v="40000000"/>
    <x v="28"/>
    <x v="0"/>
    <x v="0"/>
    <x v="1"/>
    <x v="2"/>
  </r>
  <r>
    <d v="2020-08-17T00:00:00"/>
    <s v="17"/>
    <s v="Agu"/>
    <n v="3"/>
    <n v="3"/>
    <s v=""/>
    <s v="Cable"/>
    <s v="Networking"/>
    <n v="100000000"/>
    <x v="25"/>
    <x v="0"/>
    <x v="0"/>
    <x v="0"/>
    <x v="0"/>
  </r>
  <r>
    <d v="2020-08-18T00:00:00"/>
    <s v="18"/>
    <s v="Agu"/>
    <n v="10"/>
    <n v="10"/>
    <s v=""/>
    <s v="AC"/>
    <s v="Electronic"/>
    <n v="120000000"/>
    <x v="44"/>
    <x v="2"/>
    <x v="0"/>
    <x v="1"/>
    <x v="1"/>
  </r>
  <r>
    <d v="2020-08-18T00:00:00"/>
    <s v="18"/>
    <s v="Agu"/>
    <n v="10"/>
    <n v="10"/>
    <s v=""/>
    <s v="Office Table"/>
    <s v="Furniture"/>
    <n v="120000000"/>
    <x v="35"/>
    <x v="0"/>
    <x v="0"/>
    <x v="2"/>
    <x v="3"/>
  </r>
  <r>
    <d v="2020-08-18T00:00:00"/>
    <s v="18"/>
    <s v="Agu"/>
    <n v="10"/>
    <n v="10"/>
    <s v=""/>
    <s v="Table Lamp"/>
    <s v="Accessories"/>
    <n v="80000000"/>
    <x v="30"/>
    <x v="0"/>
    <x v="0"/>
    <x v="0"/>
    <x v="0"/>
  </r>
  <r>
    <d v="2020-08-18T00:00:00"/>
    <s v="18"/>
    <s v="Agu"/>
    <n v="9"/>
    <n v="9"/>
    <s v=""/>
    <s v="Laptop"/>
    <s v="Computer"/>
    <n v="140000000"/>
    <x v="31"/>
    <x v="0"/>
    <x v="0"/>
    <x v="1"/>
    <x v="3"/>
  </r>
  <r>
    <d v="2020-08-18T00:00:00"/>
    <s v="18"/>
    <s v="Agu"/>
    <n v="9"/>
    <n v="9"/>
    <s v=""/>
    <s v="Printer"/>
    <s v="Computer"/>
    <n v="120000000"/>
    <x v="8"/>
    <x v="2"/>
    <x v="0"/>
    <x v="2"/>
    <x v="1"/>
  </r>
  <r>
    <d v="2020-08-18T00:00:00"/>
    <s v="18"/>
    <s v="Agu"/>
    <n v="5"/>
    <n v="5"/>
    <s v=""/>
    <s v="Table Lamp"/>
    <s v="Accessories"/>
    <n v="100000000"/>
    <x v="0"/>
    <x v="1"/>
    <x v="0"/>
    <x v="2"/>
    <x v="3"/>
  </r>
  <r>
    <d v="2020-08-18T00:00:00"/>
    <s v="18"/>
    <s v="Agu"/>
    <n v="5"/>
    <n v="5"/>
    <s v=""/>
    <s v="Coffee Mach"/>
    <s v="Kitchen"/>
    <n v="120000000"/>
    <x v="30"/>
    <x v="3"/>
    <x v="0"/>
    <x v="1"/>
    <x v="1"/>
  </r>
  <r>
    <d v="2020-08-18T00:00:00"/>
    <s v="18"/>
    <s v="Agu"/>
    <n v="3"/>
    <n v="3"/>
    <s v=""/>
    <s v="AC"/>
    <s v="Electronic"/>
    <n v="140000000"/>
    <x v="2"/>
    <x v="2"/>
    <x v="0"/>
    <x v="1"/>
    <x v="2"/>
  </r>
  <r>
    <d v="2020-08-18T00:00:00"/>
    <s v="18"/>
    <s v="Agu"/>
    <n v="3"/>
    <n v="3"/>
    <s v=""/>
    <s v="Office Chair"/>
    <s v="Furniture"/>
    <n v="80000000"/>
    <x v="32"/>
    <x v="2"/>
    <x v="0"/>
    <x v="0"/>
    <x v="1"/>
  </r>
  <r>
    <d v="2020-08-19T00:00:00"/>
    <s v="19"/>
    <s v="Agu"/>
    <n v="10"/>
    <n v="9"/>
    <n v="1"/>
    <s v="Laptop"/>
    <s v="Computer"/>
    <n v="60000000"/>
    <x v="34"/>
    <x v="2"/>
    <x v="0"/>
    <x v="2"/>
    <x v="1"/>
  </r>
  <r>
    <d v="2020-08-19T00:00:00"/>
    <s v="19"/>
    <s v="Agu"/>
    <n v="10"/>
    <n v="7"/>
    <n v="3"/>
    <s v="Coffee Mach"/>
    <s v="Kitchen"/>
    <n v="80000000"/>
    <x v="31"/>
    <x v="0"/>
    <x v="0"/>
    <x v="1"/>
    <x v="2"/>
  </r>
  <r>
    <d v="2020-08-19T00:00:00"/>
    <s v="19"/>
    <s v="Agu"/>
    <n v="10"/>
    <n v="7"/>
    <n v="3"/>
    <s v="Coffee Mach"/>
    <s v="Kitchen"/>
    <n v="60000000"/>
    <x v="30"/>
    <x v="4"/>
    <x v="0"/>
    <x v="0"/>
    <x v="3"/>
  </r>
  <r>
    <d v="2020-08-19T00:00:00"/>
    <s v="19"/>
    <s v="Agu"/>
    <n v="6"/>
    <n v="4"/>
    <n v="2"/>
    <s v="AC"/>
    <s v="Electronic"/>
    <n v="60000000"/>
    <x v="7"/>
    <x v="0"/>
    <x v="0"/>
    <x v="1"/>
    <x v="0"/>
  </r>
  <r>
    <d v="2020-08-19T00:00:00"/>
    <s v="19"/>
    <s v="Agu"/>
    <n v="6"/>
    <n v="5"/>
    <n v="1"/>
    <s v="Table Lamp"/>
    <s v="Accessories"/>
    <n v="140000000"/>
    <x v="2"/>
    <x v="0"/>
    <x v="0"/>
    <x v="1"/>
    <x v="3"/>
  </r>
  <r>
    <d v="2020-08-20T00:00:00"/>
    <s v="20"/>
    <s v="Agu"/>
    <n v="10"/>
    <n v="6"/>
    <n v="4"/>
    <s v="AC"/>
    <s v="Electronic"/>
    <n v="140000000"/>
    <x v="19"/>
    <x v="0"/>
    <x v="0"/>
    <x v="0"/>
    <x v="1"/>
  </r>
  <r>
    <d v="2020-08-20T00:00:00"/>
    <s v="20"/>
    <s v="Agu"/>
    <n v="10"/>
    <n v="9"/>
    <n v="1"/>
    <s v="Table Lamp"/>
    <s v="Accessories"/>
    <n v="140000000"/>
    <x v="37"/>
    <x v="4"/>
    <x v="0"/>
    <x v="2"/>
    <x v="2"/>
  </r>
  <r>
    <d v="2020-08-20T00:00:00"/>
    <s v="20"/>
    <s v="Agu"/>
    <n v="10"/>
    <n v="6"/>
    <n v="4"/>
    <s v="Laptop"/>
    <s v="Computer"/>
    <n v="100000000"/>
    <x v="31"/>
    <x v="5"/>
    <x v="0"/>
    <x v="2"/>
    <x v="3"/>
  </r>
  <r>
    <d v="2020-08-20T00:00:00"/>
    <s v="20"/>
    <s v="Agu"/>
    <n v="7"/>
    <n v="4"/>
    <n v="3"/>
    <s v="AC"/>
    <s v="Electronic"/>
    <n v="60000000"/>
    <x v="20"/>
    <x v="2"/>
    <x v="0"/>
    <x v="1"/>
    <x v="1"/>
  </r>
  <r>
    <d v="2020-08-20T00:00:00"/>
    <s v="20"/>
    <s v="Agu"/>
    <n v="6"/>
    <n v="5"/>
    <n v="1"/>
    <s v="Printer"/>
    <s v="Computer"/>
    <n v="40000000"/>
    <x v="49"/>
    <x v="0"/>
    <x v="0"/>
    <x v="2"/>
    <x v="2"/>
  </r>
  <r>
    <d v="2020-08-20T00:00:00"/>
    <s v="20"/>
    <s v="Agu"/>
    <n v="5"/>
    <n v="3"/>
    <n v="2"/>
    <s v="Office Chair"/>
    <s v="Furniture"/>
    <n v="140000000"/>
    <x v="17"/>
    <x v="3"/>
    <x v="0"/>
    <x v="2"/>
    <x v="0"/>
  </r>
  <r>
    <d v="2020-08-20T00:00:00"/>
    <s v="20"/>
    <s v="Agu"/>
    <n v="4"/>
    <n v="2"/>
    <n v="2"/>
    <s v="TV"/>
    <s v="Electronic"/>
    <n v="100000000"/>
    <x v="11"/>
    <x v="0"/>
    <x v="0"/>
    <x v="1"/>
    <x v="2"/>
  </r>
  <r>
    <d v="2020-08-20T00:00:00"/>
    <s v="20"/>
    <s v="Agu"/>
    <n v="4"/>
    <n v="3"/>
    <n v="1"/>
    <s v="AC"/>
    <s v="Electronic"/>
    <n v="40000000"/>
    <x v="42"/>
    <x v="0"/>
    <x v="0"/>
    <x v="1"/>
    <x v="0"/>
  </r>
  <r>
    <d v="2020-08-20T00:00:00"/>
    <s v="20"/>
    <s v="Agu"/>
    <n v="3"/>
    <n v="2"/>
    <n v="1"/>
    <s v="Printer"/>
    <s v="Computer"/>
    <n v="120000000"/>
    <x v="6"/>
    <x v="1"/>
    <x v="0"/>
    <x v="2"/>
    <x v="1"/>
  </r>
  <r>
    <d v="2020-08-20T00:00:00"/>
    <s v="20"/>
    <s v="Agu"/>
    <n v="3"/>
    <n v="1"/>
    <n v="2"/>
    <s v="AC"/>
    <s v="Electronic"/>
    <n v="120000000"/>
    <x v="0"/>
    <x v="5"/>
    <x v="0"/>
    <x v="0"/>
    <x v="1"/>
  </r>
  <r>
    <d v="2020-08-21T00:00:00"/>
    <s v="21"/>
    <s v="Agu"/>
    <n v="10"/>
    <n v="9"/>
    <n v="1"/>
    <s v="Printer"/>
    <s v="Computer"/>
    <n v="140000000"/>
    <x v="30"/>
    <x v="5"/>
    <x v="0"/>
    <x v="0"/>
    <x v="2"/>
  </r>
  <r>
    <d v="2020-08-21T00:00:00"/>
    <s v="21"/>
    <s v="Agu"/>
    <n v="10"/>
    <n v="7"/>
    <n v="3"/>
    <s v="Table Lamp"/>
    <s v="Accessories"/>
    <n v="120000000"/>
    <x v="36"/>
    <x v="4"/>
    <x v="0"/>
    <x v="2"/>
    <x v="2"/>
  </r>
  <r>
    <d v="2020-08-21T00:00:00"/>
    <s v="21"/>
    <s v="Agu"/>
    <n v="9"/>
    <n v="8"/>
    <n v="1"/>
    <s v="Cable"/>
    <s v="Networking"/>
    <n v="80000000"/>
    <x v="2"/>
    <x v="1"/>
    <x v="0"/>
    <x v="2"/>
    <x v="3"/>
  </r>
  <r>
    <d v="2020-08-21T00:00:00"/>
    <s v="21"/>
    <s v="Agu"/>
    <n v="9"/>
    <n v="5"/>
    <n v="4"/>
    <s v="Office Chair"/>
    <s v="Furniture"/>
    <n v="60000000"/>
    <x v="34"/>
    <x v="1"/>
    <x v="0"/>
    <x v="0"/>
    <x v="3"/>
  </r>
  <r>
    <d v="2020-08-21T00:00:00"/>
    <s v="21"/>
    <s v="Agu"/>
    <n v="9"/>
    <n v="6"/>
    <n v="3"/>
    <s v="Cable"/>
    <s v="Networking"/>
    <n v="120000000"/>
    <x v="38"/>
    <x v="5"/>
    <x v="0"/>
    <x v="0"/>
    <x v="0"/>
  </r>
  <r>
    <d v="2020-08-21T00:00:00"/>
    <s v="21"/>
    <s v="Agu"/>
    <n v="9"/>
    <n v="8"/>
    <n v="1"/>
    <s v="Table Lamp"/>
    <s v="Accessories"/>
    <n v="60000000"/>
    <x v="17"/>
    <x v="0"/>
    <x v="0"/>
    <x v="2"/>
    <x v="2"/>
  </r>
  <r>
    <d v="2020-08-21T00:00:00"/>
    <s v="21"/>
    <s v="Agu"/>
    <n v="8"/>
    <n v="6"/>
    <n v="2"/>
    <s v="Coffee Mach"/>
    <s v="Kitchen"/>
    <n v="120000000"/>
    <x v="20"/>
    <x v="5"/>
    <x v="0"/>
    <x v="0"/>
    <x v="0"/>
  </r>
  <r>
    <d v="2020-08-21T00:00:00"/>
    <s v="21"/>
    <s v="Agu"/>
    <n v="8"/>
    <n v="4"/>
    <n v="4"/>
    <s v="Cable"/>
    <s v="Networking"/>
    <n v="80000000"/>
    <x v="11"/>
    <x v="2"/>
    <x v="0"/>
    <x v="2"/>
    <x v="3"/>
  </r>
  <r>
    <d v="2020-08-21T00:00:00"/>
    <s v="21"/>
    <s v="Agu"/>
    <n v="6"/>
    <n v="4"/>
    <n v="2"/>
    <s v="Laptop"/>
    <s v="Computer"/>
    <n v="100000000"/>
    <x v="1"/>
    <x v="0"/>
    <x v="0"/>
    <x v="0"/>
    <x v="3"/>
  </r>
  <r>
    <d v="2020-08-21T00:00:00"/>
    <s v="21"/>
    <s v="Agu"/>
    <n v="6"/>
    <n v="4"/>
    <n v="2"/>
    <s v="Table Lamp"/>
    <s v="Accessories"/>
    <n v="120000000"/>
    <x v="15"/>
    <x v="2"/>
    <x v="0"/>
    <x v="0"/>
    <x v="3"/>
  </r>
  <r>
    <d v="2020-08-21T00:00:00"/>
    <s v="21"/>
    <s v="Agu"/>
    <n v="5"/>
    <n v="3"/>
    <n v="2"/>
    <s v="Table Lamp"/>
    <s v="Accessories"/>
    <n v="100000000"/>
    <x v="11"/>
    <x v="2"/>
    <x v="0"/>
    <x v="1"/>
    <x v="1"/>
  </r>
  <r>
    <d v="2020-08-22T00:00:00"/>
    <s v="22"/>
    <s v="Agu"/>
    <n v="6"/>
    <n v="5"/>
    <n v="1"/>
    <s v="Cable"/>
    <s v="Networking"/>
    <n v="120000000"/>
    <x v="39"/>
    <x v="0"/>
    <x v="0"/>
    <x v="0"/>
    <x v="2"/>
  </r>
  <r>
    <d v="2020-08-22T00:00:00"/>
    <s v="22"/>
    <s v="Agu"/>
    <n v="6"/>
    <n v="4"/>
    <n v="2"/>
    <s v="Office Chair"/>
    <s v="Furniture"/>
    <n v="140000000"/>
    <x v="32"/>
    <x v="0"/>
    <x v="0"/>
    <x v="1"/>
    <x v="2"/>
  </r>
  <r>
    <d v="2020-08-22T00:00:00"/>
    <s v="22"/>
    <s v="Agu"/>
    <n v="5"/>
    <n v="4"/>
    <n v="1"/>
    <s v="Laptop"/>
    <s v="Computer"/>
    <n v="120000000"/>
    <x v="29"/>
    <x v="0"/>
    <x v="0"/>
    <x v="1"/>
    <x v="0"/>
  </r>
  <r>
    <d v="2020-08-22T00:00:00"/>
    <s v="22"/>
    <s v="Agu"/>
    <n v="5"/>
    <n v="3"/>
    <n v="2"/>
    <s v="Office Chair"/>
    <s v="Furniture"/>
    <n v="120000000"/>
    <x v="28"/>
    <x v="2"/>
    <x v="0"/>
    <x v="2"/>
    <x v="0"/>
  </r>
  <r>
    <d v="2020-08-22T00:00:00"/>
    <s v="22"/>
    <s v="Agu"/>
    <n v="4"/>
    <n v="3"/>
    <n v="1"/>
    <s v="Office Table"/>
    <s v="Furniture"/>
    <n v="140000000"/>
    <x v="1"/>
    <x v="2"/>
    <x v="0"/>
    <x v="1"/>
    <x v="3"/>
  </r>
  <r>
    <d v="2020-08-22T00:00:00"/>
    <s v="22"/>
    <s v="Agu"/>
    <n v="3"/>
    <n v="2"/>
    <n v="1"/>
    <s v="AC"/>
    <s v="Electronic"/>
    <n v="100000000"/>
    <x v="27"/>
    <x v="0"/>
    <x v="0"/>
    <x v="0"/>
    <x v="2"/>
  </r>
  <r>
    <d v="2020-08-23T00:00:00"/>
    <s v="23"/>
    <s v="Agu"/>
    <n v="10"/>
    <n v="8"/>
    <n v="2"/>
    <s v="Cable"/>
    <s v="Networking"/>
    <n v="100000000"/>
    <x v="8"/>
    <x v="4"/>
    <x v="0"/>
    <x v="0"/>
    <x v="0"/>
  </r>
  <r>
    <d v="2020-08-23T00:00:00"/>
    <s v="23"/>
    <s v="Agu"/>
    <n v="9"/>
    <n v="6"/>
    <n v="3"/>
    <s v="Coffee Mach"/>
    <s v="Kitchen"/>
    <n v="60000000"/>
    <x v="3"/>
    <x v="0"/>
    <x v="0"/>
    <x v="1"/>
    <x v="3"/>
  </r>
  <r>
    <d v="2020-08-23T00:00:00"/>
    <s v="23"/>
    <s v="Agu"/>
    <n v="9"/>
    <n v="5"/>
    <n v="4"/>
    <s v="AC"/>
    <s v="Electronic"/>
    <n v="40000000"/>
    <x v="27"/>
    <x v="0"/>
    <x v="0"/>
    <x v="2"/>
    <x v="1"/>
  </r>
  <r>
    <d v="2020-08-23T00:00:00"/>
    <s v="23"/>
    <s v="Agu"/>
    <n v="6"/>
    <n v="4"/>
    <n v="2"/>
    <s v="Printer"/>
    <s v="Computer"/>
    <n v="140000000"/>
    <x v="39"/>
    <x v="2"/>
    <x v="0"/>
    <x v="2"/>
    <x v="3"/>
  </r>
  <r>
    <d v="2020-08-23T00:00:00"/>
    <s v="23"/>
    <s v="Agu"/>
    <n v="3"/>
    <n v="2"/>
    <n v="1"/>
    <s v="Cable"/>
    <s v="Networking"/>
    <n v="120000000"/>
    <x v="45"/>
    <x v="4"/>
    <x v="0"/>
    <x v="1"/>
    <x v="1"/>
  </r>
  <r>
    <d v="2020-08-23T00:00:00"/>
    <s v="23"/>
    <s v="Agu"/>
    <n v="3"/>
    <n v="2"/>
    <n v="1"/>
    <s v="Printer"/>
    <s v="Computer"/>
    <n v="80000000"/>
    <x v="1"/>
    <x v="2"/>
    <x v="0"/>
    <x v="1"/>
    <x v="3"/>
  </r>
  <r>
    <d v="2020-08-23T00:00:00"/>
    <s v="23"/>
    <s v="Agu"/>
    <n v="3"/>
    <n v="1"/>
    <n v="2"/>
    <s v="Table Lamp"/>
    <s v="Accessories"/>
    <n v="100000000"/>
    <x v="46"/>
    <x v="1"/>
    <x v="0"/>
    <x v="1"/>
    <x v="0"/>
  </r>
  <r>
    <d v="2020-08-23T00:00:00"/>
    <s v="23"/>
    <s v="Agu"/>
    <n v="3"/>
    <n v="1"/>
    <n v="2"/>
    <s v="Table Lamp"/>
    <s v="Accessories"/>
    <n v="80000000"/>
    <x v="38"/>
    <x v="2"/>
    <x v="0"/>
    <x v="1"/>
    <x v="2"/>
  </r>
  <r>
    <d v="2020-08-24T00:00:00"/>
    <s v="24"/>
    <s v="Agu"/>
    <n v="10"/>
    <n v="8"/>
    <n v="2"/>
    <s v="Office Table"/>
    <s v="Furniture"/>
    <n v="80000000"/>
    <x v="15"/>
    <x v="0"/>
    <x v="0"/>
    <x v="2"/>
    <x v="2"/>
  </r>
  <r>
    <d v="2020-08-24T00:00:00"/>
    <s v="24"/>
    <s v="Agu"/>
    <n v="7"/>
    <n v="4"/>
    <n v="3"/>
    <s v="Laptop"/>
    <s v="Computer"/>
    <n v="80000000"/>
    <x v="28"/>
    <x v="1"/>
    <x v="0"/>
    <x v="1"/>
    <x v="3"/>
  </r>
  <r>
    <d v="2020-08-24T00:00:00"/>
    <s v="24"/>
    <s v="Agu"/>
    <n v="7"/>
    <n v="6"/>
    <n v="1"/>
    <s v="Office Table"/>
    <s v="Furniture"/>
    <n v="100000000"/>
    <x v="20"/>
    <x v="2"/>
    <x v="0"/>
    <x v="0"/>
    <x v="0"/>
  </r>
  <r>
    <d v="2020-08-24T00:00:00"/>
    <s v="24"/>
    <s v="Agu"/>
    <n v="6"/>
    <n v="4"/>
    <n v="2"/>
    <s v="Office Chair"/>
    <s v="Furniture"/>
    <n v="100000000"/>
    <x v="32"/>
    <x v="4"/>
    <x v="0"/>
    <x v="1"/>
    <x v="1"/>
  </r>
  <r>
    <d v="2020-08-24T00:00:00"/>
    <s v="24"/>
    <s v="Agu"/>
    <n v="6"/>
    <n v="4"/>
    <n v="2"/>
    <s v="Cable"/>
    <s v="Networking"/>
    <n v="140000000"/>
    <x v="8"/>
    <x v="4"/>
    <x v="0"/>
    <x v="2"/>
    <x v="2"/>
  </r>
  <r>
    <d v="2020-08-24T00:00:00"/>
    <s v="24"/>
    <s v="Agu"/>
    <n v="6"/>
    <n v="4"/>
    <n v="2"/>
    <s v="Printer"/>
    <s v="Computer"/>
    <n v="80000000"/>
    <x v="46"/>
    <x v="2"/>
    <x v="0"/>
    <x v="1"/>
    <x v="1"/>
  </r>
  <r>
    <d v="2020-08-24T00:00:00"/>
    <s v="24"/>
    <s v="Agu"/>
    <n v="6"/>
    <n v="5"/>
    <n v="1"/>
    <s v="Cable"/>
    <s v="Networking"/>
    <n v="100000000"/>
    <x v="10"/>
    <x v="4"/>
    <x v="0"/>
    <x v="2"/>
    <x v="1"/>
  </r>
  <r>
    <d v="2020-08-24T00:00:00"/>
    <s v="24"/>
    <s v="Agu"/>
    <n v="4"/>
    <n v="2"/>
    <n v="2"/>
    <s v="AC"/>
    <s v="Electronic"/>
    <n v="60000000"/>
    <x v="21"/>
    <x v="0"/>
    <x v="0"/>
    <x v="0"/>
    <x v="1"/>
  </r>
  <r>
    <d v="2020-08-24T00:00:00"/>
    <s v="24"/>
    <s v="Agu"/>
    <n v="3"/>
    <n v="1"/>
    <n v="2"/>
    <s v="TV"/>
    <s v="Electronic"/>
    <n v="140000000"/>
    <x v="48"/>
    <x v="4"/>
    <x v="0"/>
    <x v="1"/>
    <x v="2"/>
  </r>
  <r>
    <d v="2020-08-25T00:00:00"/>
    <s v="25"/>
    <s v="Agu"/>
    <n v="10"/>
    <n v="8"/>
    <n v="2"/>
    <s v="Office Chair"/>
    <s v="Furniture"/>
    <n v="80000000"/>
    <x v="33"/>
    <x v="3"/>
    <x v="0"/>
    <x v="1"/>
    <x v="3"/>
  </r>
  <r>
    <d v="2020-08-25T00:00:00"/>
    <s v="25"/>
    <s v="Agu"/>
    <n v="10"/>
    <n v="6"/>
    <n v="4"/>
    <s v="Laptop"/>
    <s v="Computer"/>
    <n v="60000000"/>
    <x v="0"/>
    <x v="2"/>
    <x v="0"/>
    <x v="0"/>
    <x v="2"/>
  </r>
  <r>
    <d v="2020-08-25T00:00:00"/>
    <s v="25"/>
    <s v="Agu"/>
    <n v="9"/>
    <n v="8"/>
    <n v="1"/>
    <s v="Coffee Mach"/>
    <s v="Kitchen"/>
    <n v="100000000"/>
    <x v="38"/>
    <x v="2"/>
    <x v="0"/>
    <x v="1"/>
    <x v="2"/>
  </r>
  <r>
    <d v="2020-08-25T00:00:00"/>
    <s v="25"/>
    <s v="Agu"/>
    <n v="9"/>
    <n v="7"/>
    <n v="2"/>
    <s v="Coffee Mach"/>
    <s v="Kitchen"/>
    <n v="40000000"/>
    <x v="31"/>
    <x v="4"/>
    <x v="0"/>
    <x v="0"/>
    <x v="3"/>
  </r>
  <r>
    <d v="2020-08-25T00:00:00"/>
    <s v="25"/>
    <s v="Agu"/>
    <n v="9"/>
    <n v="8"/>
    <n v="1"/>
    <s v="Office Table"/>
    <s v="Furniture"/>
    <n v="40000000"/>
    <x v="23"/>
    <x v="2"/>
    <x v="0"/>
    <x v="2"/>
    <x v="1"/>
  </r>
  <r>
    <d v="2020-08-25T00:00:00"/>
    <s v="25"/>
    <s v="Agu"/>
    <n v="6"/>
    <n v="3"/>
    <n v="3"/>
    <s v="Coffee Mach"/>
    <s v="Kitchen"/>
    <n v="100000000"/>
    <x v="41"/>
    <x v="0"/>
    <x v="0"/>
    <x v="1"/>
    <x v="2"/>
  </r>
  <r>
    <d v="2020-08-25T00:00:00"/>
    <s v="25"/>
    <s v="Agu"/>
    <n v="6"/>
    <n v="4"/>
    <n v="2"/>
    <s v="Office Chair"/>
    <s v="Furniture"/>
    <n v="140000000"/>
    <x v="42"/>
    <x v="0"/>
    <x v="0"/>
    <x v="1"/>
    <x v="2"/>
  </r>
  <r>
    <d v="2020-08-25T00:00:00"/>
    <s v="25"/>
    <s v="Agu"/>
    <n v="5"/>
    <n v="4"/>
    <n v="1"/>
    <s v="TV"/>
    <s v="Electronic"/>
    <n v="120000000"/>
    <x v="17"/>
    <x v="2"/>
    <x v="0"/>
    <x v="0"/>
    <x v="3"/>
  </r>
  <r>
    <d v="2020-08-25T00:00:00"/>
    <s v="25"/>
    <s v="Agu"/>
    <n v="4"/>
    <n v="3"/>
    <n v="1"/>
    <s v="Cable"/>
    <s v="Networking"/>
    <n v="120000000"/>
    <x v="7"/>
    <x v="0"/>
    <x v="0"/>
    <x v="2"/>
    <x v="2"/>
  </r>
  <r>
    <d v="2020-08-25T00:00:00"/>
    <s v="25"/>
    <s v="Agu"/>
    <n v="3"/>
    <n v="1"/>
    <n v="2"/>
    <s v="TV"/>
    <s v="Electronic"/>
    <n v="60000000"/>
    <x v="17"/>
    <x v="0"/>
    <x v="0"/>
    <x v="1"/>
    <x v="2"/>
  </r>
  <r>
    <d v="2020-08-25T00:00:00"/>
    <s v="25"/>
    <s v="Agu"/>
    <n v="3"/>
    <n v="1"/>
    <n v="2"/>
    <s v="Table Lamp"/>
    <s v="Accessories"/>
    <n v="120000000"/>
    <x v="18"/>
    <x v="5"/>
    <x v="0"/>
    <x v="0"/>
    <x v="3"/>
  </r>
  <r>
    <d v="2020-08-26T00:00:00"/>
    <s v="26"/>
    <s v="Agu"/>
    <n v="10"/>
    <n v="8"/>
    <n v="2"/>
    <s v="Table Lamp"/>
    <s v="Accessories"/>
    <n v="100000000"/>
    <x v="16"/>
    <x v="0"/>
    <x v="0"/>
    <x v="2"/>
    <x v="1"/>
  </r>
  <r>
    <d v="2020-08-26T00:00:00"/>
    <s v="26"/>
    <s v="Agu"/>
    <n v="10"/>
    <n v="7"/>
    <n v="3"/>
    <s v="AC"/>
    <s v="Electronic"/>
    <n v="60000000"/>
    <x v="27"/>
    <x v="4"/>
    <x v="0"/>
    <x v="0"/>
    <x v="1"/>
  </r>
  <r>
    <d v="2020-08-26T00:00:00"/>
    <s v="26"/>
    <s v="Agu"/>
    <n v="8"/>
    <n v="6"/>
    <n v="2"/>
    <s v="Laptop"/>
    <s v="Computer"/>
    <n v="140000000"/>
    <x v="7"/>
    <x v="2"/>
    <x v="0"/>
    <x v="2"/>
    <x v="0"/>
  </r>
  <r>
    <d v="2020-08-26T00:00:00"/>
    <s v="26"/>
    <s v="Agu"/>
    <n v="3"/>
    <n v="1"/>
    <n v="2"/>
    <s v="Office Table"/>
    <s v="Furniture"/>
    <n v="60000000"/>
    <x v="24"/>
    <x v="4"/>
    <x v="0"/>
    <x v="0"/>
    <x v="2"/>
  </r>
  <r>
    <d v="2020-08-27T00:00:00"/>
    <s v="27"/>
    <s v="Agu"/>
    <n v="10"/>
    <n v="7"/>
    <n v="3"/>
    <s v="Laptop"/>
    <s v="Computer"/>
    <n v="80000000"/>
    <x v="41"/>
    <x v="3"/>
    <x v="0"/>
    <x v="0"/>
    <x v="2"/>
  </r>
  <r>
    <d v="2020-08-27T00:00:00"/>
    <s v="27"/>
    <s v="Agu"/>
    <n v="10"/>
    <n v="9"/>
    <n v="1"/>
    <s v="Printer"/>
    <s v="Computer"/>
    <n v="140000000"/>
    <x v="36"/>
    <x v="2"/>
    <x v="0"/>
    <x v="2"/>
    <x v="0"/>
  </r>
  <r>
    <d v="2020-08-27T00:00:00"/>
    <s v="27"/>
    <s v="Agu"/>
    <n v="10"/>
    <n v="8"/>
    <n v="2"/>
    <s v="Coffee Mach"/>
    <s v="Kitchen"/>
    <n v="80000000"/>
    <x v="38"/>
    <x v="2"/>
    <x v="0"/>
    <x v="2"/>
    <x v="2"/>
  </r>
  <r>
    <d v="2020-08-27T00:00:00"/>
    <s v="27"/>
    <s v="Agu"/>
    <n v="10"/>
    <n v="7"/>
    <n v="3"/>
    <s v="Office Table"/>
    <s v="Furniture"/>
    <n v="140000000"/>
    <x v="16"/>
    <x v="4"/>
    <x v="0"/>
    <x v="1"/>
    <x v="2"/>
  </r>
  <r>
    <d v="2020-08-27T00:00:00"/>
    <s v="27"/>
    <s v="Agu"/>
    <n v="9"/>
    <n v="8"/>
    <n v="1"/>
    <s v="Cable"/>
    <s v="Networking"/>
    <n v="40000000"/>
    <x v="16"/>
    <x v="0"/>
    <x v="0"/>
    <x v="1"/>
    <x v="0"/>
  </r>
  <r>
    <d v="2020-08-27T00:00:00"/>
    <s v="27"/>
    <s v="Agu"/>
    <n v="9"/>
    <n v="8"/>
    <n v="1"/>
    <s v="Office Chair"/>
    <s v="Furniture"/>
    <n v="40000000"/>
    <x v="31"/>
    <x v="5"/>
    <x v="0"/>
    <x v="1"/>
    <x v="0"/>
  </r>
  <r>
    <d v="2020-08-27T00:00:00"/>
    <s v="27"/>
    <s v="Agu"/>
    <n v="7"/>
    <n v="6"/>
    <n v="1"/>
    <s v="Coffee Mach"/>
    <s v="Kitchen"/>
    <n v="40000000"/>
    <x v="44"/>
    <x v="0"/>
    <x v="0"/>
    <x v="2"/>
    <x v="3"/>
  </r>
  <r>
    <d v="2020-08-27T00:00:00"/>
    <s v="27"/>
    <s v="Agu"/>
    <n v="6"/>
    <n v="5"/>
    <n v="1"/>
    <s v="AC"/>
    <s v="Electronic"/>
    <n v="40000000"/>
    <x v="20"/>
    <x v="2"/>
    <x v="0"/>
    <x v="0"/>
    <x v="2"/>
  </r>
  <r>
    <d v="2020-08-27T00:00:00"/>
    <s v="27"/>
    <s v="Agu"/>
    <n v="6"/>
    <n v="4"/>
    <n v="2"/>
    <s v="Laptop"/>
    <s v="Computer"/>
    <n v="100000000"/>
    <x v="13"/>
    <x v="2"/>
    <x v="0"/>
    <x v="1"/>
    <x v="0"/>
  </r>
  <r>
    <d v="2020-08-27T00:00:00"/>
    <s v="27"/>
    <s v="Agu"/>
    <n v="5"/>
    <n v="4"/>
    <n v="1"/>
    <s v="Laptop"/>
    <s v="Computer"/>
    <n v="120000000"/>
    <x v="12"/>
    <x v="3"/>
    <x v="0"/>
    <x v="2"/>
    <x v="1"/>
  </r>
  <r>
    <d v="2020-08-27T00:00:00"/>
    <s v="27"/>
    <s v="Agu"/>
    <n v="4"/>
    <n v="2"/>
    <n v="2"/>
    <s v="Office Table"/>
    <s v="Furniture"/>
    <n v="140000000"/>
    <x v="1"/>
    <x v="2"/>
    <x v="0"/>
    <x v="2"/>
    <x v="3"/>
  </r>
  <r>
    <d v="2020-08-27T00:00:00"/>
    <s v="27"/>
    <s v="Agu"/>
    <n v="3"/>
    <n v="2"/>
    <n v="1"/>
    <s v="Cable"/>
    <s v="Networking"/>
    <n v="80000000"/>
    <x v="30"/>
    <x v="2"/>
    <x v="0"/>
    <x v="0"/>
    <x v="3"/>
  </r>
  <r>
    <d v="2020-08-27T00:00:00"/>
    <s v="27"/>
    <s v="Agu"/>
    <n v="3"/>
    <n v="2"/>
    <n v="1"/>
    <s v="TV"/>
    <s v="Electronic"/>
    <n v="100000000"/>
    <x v="6"/>
    <x v="0"/>
    <x v="0"/>
    <x v="0"/>
    <x v="0"/>
  </r>
  <r>
    <d v="2020-08-28T00:00:00"/>
    <s v="28"/>
    <s v="Agu"/>
    <n v="10"/>
    <n v="8"/>
    <n v="2"/>
    <s v="Printer"/>
    <s v="Computer"/>
    <n v="40000000"/>
    <x v="12"/>
    <x v="4"/>
    <x v="0"/>
    <x v="1"/>
    <x v="0"/>
  </r>
  <r>
    <d v="2020-08-28T00:00:00"/>
    <s v="28"/>
    <s v="Agu"/>
    <n v="8"/>
    <n v="7"/>
    <n v="1"/>
    <s v="Coffee Mach"/>
    <s v="Kitchen"/>
    <n v="100000000"/>
    <x v="15"/>
    <x v="0"/>
    <x v="0"/>
    <x v="0"/>
    <x v="1"/>
  </r>
  <r>
    <d v="2020-08-28T00:00:00"/>
    <s v="28"/>
    <s v="Agu"/>
    <n v="6"/>
    <n v="4"/>
    <n v="2"/>
    <s v="Table Lamp"/>
    <s v="Accessories"/>
    <n v="60000000"/>
    <x v="27"/>
    <x v="0"/>
    <x v="0"/>
    <x v="1"/>
    <x v="1"/>
  </r>
  <r>
    <d v="2020-08-29T00:00:00"/>
    <s v="29"/>
    <s v="Agu"/>
    <n v="10"/>
    <n v="9"/>
    <n v="1"/>
    <s v="Office Table"/>
    <s v="Furniture"/>
    <n v="100000000"/>
    <x v="49"/>
    <x v="3"/>
    <x v="0"/>
    <x v="2"/>
    <x v="1"/>
  </r>
  <r>
    <d v="2020-08-29T00:00:00"/>
    <s v="29"/>
    <s v="Agu"/>
    <n v="9"/>
    <n v="6"/>
    <n v="3"/>
    <s v="Table Lamp"/>
    <s v="Accessories"/>
    <n v="100000000"/>
    <x v="4"/>
    <x v="2"/>
    <x v="0"/>
    <x v="2"/>
    <x v="0"/>
  </r>
  <r>
    <d v="2020-08-29T00:00:00"/>
    <s v="29"/>
    <s v="Agu"/>
    <n v="8"/>
    <n v="6"/>
    <n v="2"/>
    <s v="Office Table"/>
    <s v="Furniture"/>
    <n v="80000000"/>
    <x v="5"/>
    <x v="5"/>
    <x v="0"/>
    <x v="2"/>
    <x v="3"/>
  </r>
  <r>
    <d v="2020-08-29T00:00:00"/>
    <s v="29"/>
    <s v="Agu"/>
    <n v="8"/>
    <n v="6"/>
    <n v="2"/>
    <s v="Table Lamp"/>
    <s v="Accessories"/>
    <n v="80000000"/>
    <x v="40"/>
    <x v="0"/>
    <x v="0"/>
    <x v="0"/>
    <x v="2"/>
  </r>
  <r>
    <d v="2020-08-29T00:00:00"/>
    <s v="29"/>
    <s v="Agu"/>
    <n v="6"/>
    <n v="5"/>
    <n v="1"/>
    <s v="Printer"/>
    <s v="Computer"/>
    <n v="140000000"/>
    <x v="30"/>
    <x v="2"/>
    <x v="0"/>
    <x v="2"/>
    <x v="0"/>
  </r>
  <r>
    <d v="2020-08-29T00:00:00"/>
    <s v="29"/>
    <s v="Agu"/>
    <n v="6"/>
    <n v="4"/>
    <n v="2"/>
    <s v="AC"/>
    <s v="Electronic"/>
    <n v="100000000"/>
    <x v="29"/>
    <x v="0"/>
    <x v="0"/>
    <x v="0"/>
    <x v="3"/>
  </r>
  <r>
    <d v="2020-08-29T00:00:00"/>
    <s v="29"/>
    <s v="Agu"/>
    <n v="5"/>
    <n v="3"/>
    <n v="2"/>
    <s v="Printer"/>
    <s v="Computer"/>
    <n v="80000000"/>
    <x v="5"/>
    <x v="2"/>
    <x v="0"/>
    <x v="2"/>
    <x v="2"/>
  </r>
  <r>
    <d v="2020-08-29T00:00:00"/>
    <s v="29"/>
    <s v="Agu"/>
    <n v="5"/>
    <n v="3"/>
    <n v="2"/>
    <s v="AC"/>
    <s v="Electronic"/>
    <n v="120000000"/>
    <x v="4"/>
    <x v="0"/>
    <x v="0"/>
    <x v="1"/>
    <x v="0"/>
  </r>
  <r>
    <d v="2020-08-29T00:00:00"/>
    <s v="29"/>
    <s v="Agu"/>
    <n v="4"/>
    <n v="2"/>
    <n v="2"/>
    <s v="Laptop"/>
    <s v="Computer"/>
    <n v="140000000"/>
    <x v="18"/>
    <x v="5"/>
    <x v="0"/>
    <x v="1"/>
    <x v="1"/>
  </r>
  <r>
    <d v="2020-08-29T00:00:00"/>
    <s v="29"/>
    <s v="Agu"/>
    <n v="3"/>
    <n v="1"/>
    <n v="2"/>
    <s v="Office Chair"/>
    <s v="Furniture"/>
    <n v="140000000"/>
    <x v="14"/>
    <x v="4"/>
    <x v="0"/>
    <x v="1"/>
    <x v="1"/>
  </r>
  <r>
    <d v="2020-08-29T00:00:00"/>
    <s v="29"/>
    <s v="Agu"/>
    <n v="3"/>
    <n v="1"/>
    <n v="2"/>
    <s v="TV"/>
    <s v="Electronic"/>
    <n v="120000000"/>
    <x v="34"/>
    <x v="0"/>
    <x v="0"/>
    <x v="0"/>
    <x v="3"/>
  </r>
  <r>
    <d v="2020-08-30T00:00:00"/>
    <s v="30"/>
    <s v="Agu"/>
    <n v="10"/>
    <n v="9"/>
    <n v="1"/>
    <s v="Office Chair"/>
    <s v="Furniture"/>
    <n v="100000000"/>
    <x v="45"/>
    <x v="0"/>
    <x v="0"/>
    <x v="1"/>
    <x v="2"/>
  </r>
  <r>
    <d v="2020-08-30T00:00:00"/>
    <s v="30"/>
    <s v="Agu"/>
    <n v="9"/>
    <n v="5"/>
    <n v="4"/>
    <s v="Table Lamp"/>
    <s v="Accessories"/>
    <n v="80000000"/>
    <x v="31"/>
    <x v="4"/>
    <x v="0"/>
    <x v="0"/>
    <x v="0"/>
  </r>
  <r>
    <d v="2020-08-30T00:00:00"/>
    <s v="30"/>
    <s v="Agu"/>
    <n v="7"/>
    <n v="5"/>
    <n v="2"/>
    <s v="TV"/>
    <s v="Electronic"/>
    <n v="60000000"/>
    <x v="23"/>
    <x v="0"/>
    <x v="0"/>
    <x v="2"/>
    <x v="3"/>
  </r>
  <r>
    <d v="2020-08-30T00:00:00"/>
    <s v="30"/>
    <s v="Agu"/>
    <n v="5"/>
    <n v="4"/>
    <n v="1"/>
    <s v="TV"/>
    <s v="Electronic"/>
    <n v="100000000"/>
    <x v="36"/>
    <x v="0"/>
    <x v="0"/>
    <x v="1"/>
    <x v="0"/>
  </r>
  <r>
    <d v="2020-08-30T00:00:00"/>
    <s v="30"/>
    <s v="Agu"/>
    <n v="5"/>
    <n v="3"/>
    <n v="2"/>
    <s v="Laptop"/>
    <s v="Computer"/>
    <n v="40000000"/>
    <x v="21"/>
    <x v="0"/>
    <x v="0"/>
    <x v="2"/>
    <x v="0"/>
  </r>
  <r>
    <d v="2020-08-30T00:00:00"/>
    <s v="30"/>
    <s v="Agu"/>
    <n v="3"/>
    <n v="2"/>
    <n v="1"/>
    <s v="Laptop"/>
    <s v="Computer"/>
    <n v="80000000"/>
    <x v="24"/>
    <x v="0"/>
    <x v="0"/>
    <x v="1"/>
    <x v="1"/>
  </r>
  <r>
    <d v="2020-08-30T00:00:00"/>
    <s v="30"/>
    <s v="Agu"/>
    <n v="3"/>
    <n v="1"/>
    <n v="2"/>
    <s v="TV"/>
    <s v="Electronic"/>
    <n v="80000000"/>
    <x v="49"/>
    <x v="0"/>
    <x v="0"/>
    <x v="1"/>
    <x v="1"/>
  </r>
  <r>
    <d v="2020-08-31T00:00:00"/>
    <s v="31"/>
    <s v="Agu"/>
    <n v="10"/>
    <n v="8"/>
    <n v="2"/>
    <s v="Coffee Mach"/>
    <s v="Kitchen"/>
    <n v="60000000"/>
    <x v="36"/>
    <x v="2"/>
    <x v="0"/>
    <x v="0"/>
    <x v="3"/>
  </r>
  <r>
    <d v="2020-08-31T00:00:00"/>
    <s v="31"/>
    <s v="Agu"/>
    <n v="8"/>
    <n v="5"/>
    <n v="3"/>
    <s v="Office Table"/>
    <s v="Furniture"/>
    <n v="140000000"/>
    <x v="34"/>
    <x v="0"/>
    <x v="0"/>
    <x v="2"/>
    <x v="0"/>
  </r>
  <r>
    <d v="2020-08-31T00:00:00"/>
    <s v="31"/>
    <s v="Agu"/>
    <n v="8"/>
    <n v="4"/>
    <n v="4"/>
    <s v="TV"/>
    <s v="Electronic"/>
    <n v="40000000"/>
    <x v="40"/>
    <x v="3"/>
    <x v="0"/>
    <x v="2"/>
    <x v="2"/>
  </r>
  <r>
    <d v="2020-08-31T00:00:00"/>
    <s v="31"/>
    <s v="Agu"/>
    <n v="6"/>
    <n v="4"/>
    <n v="2"/>
    <s v="Cable"/>
    <s v="Networking"/>
    <n v="40000000"/>
    <x v="4"/>
    <x v="0"/>
    <x v="0"/>
    <x v="1"/>
    <x v="3"/>
  </r>
  <r>
    <d v="2020-08-31T00:00:00"/>
    <s v="31"/>
    <s v="Agu"/>
    <n v="6"/>
    <n v="4"/>
    <n v="2"/>
    <s v="Laptop"/>
    <s v="Computer"/>
    <n v="40000000"/>
    <x v="28"/>
    <x v="0"/>
    <x v="0"/>
    <x v="0"/>
    <x v="0"/>
  </r>
  <r>
    <d v="2020-08-31T00:00:00"/>
    <s v="31"/>
    <s v="Agu"/>
    <n v="6"/>
    <n v="5"/>
    <n v="1"/>
    <s v="Laptop"/>
    <s v="Computer"/>
    <n v="120000000"/>
    <x v="44"/>
    <x v="0"/>
    <x v="0"/>
    <x v="0"/>
    <x v="1"/>
  </r>
  <r>
    <d v="2020-08-31T00:00:00"/>
    <s v="31"/>
    <s v="Agu"/>
    <n v="5"/>
    <n v="4"/>
    <n v="1"/>
    <s v="Coffee Mach"/>
    <s v="Kitchen"/>
    <n v="100000000"/>
    <x v="17"/>
    <x v="4"/>
    <x v="0"/>
    <x v="2"/>
    <x v="3"/>
  </r>
  <r>
    <d v="2020-08-31T00:00:00"/>
    <s v="31"/>
    <s v="Agu"/>
    <n v="4"/>
    <n v="3"/>
    <n v="1"/>
    <s v="AC"/>
    <s v="Electronic"/>
    <n v="140000000"/>
    <x v="24"/>
    <x v="0"/>
    <x v="0"/>
    <x v="0"/>
    <x v="1"/>
  </r>
  <r>
    <d v="2020-08-31T00:00:00"/>
    <s v="31"/>
    <s v="Agu"/>
    <n v="3"/>
    <n v="2"/>
    <n v="1"/>
    <s v="Coffee Mach"/>
    <s v="Kitchen"/>
    <n v="80000000"/>
    <x v="45"/>
    <x v="2"/>
    <x v="0"/>
    <x v="2"/>
    <x v="0"/>
  </r>
  <r>
    <d v="2020-08-31T00:00:00"/>
    <s v="31"/>
    <s v="Agu"/>
    <n v="3"/>
    <n v="2"/>
    <n v="1"/>
    <s v="Office Chair"/>
    <s v="Furniture"/>
    <n v="60000000"/>
    <x v="17"/>
    <x v="0"/>
    <x v="0"/>
    <x v="1"/>
    <x v="1"/>
  </r>
  <r>
    <d v="2020-08-31T00:00:00"/>
    <s v="31"/>
    <s v="Agu"/>
    <n v="3"/>
    <n v="1"/>
    <n v="2"/>
    <s v="AC"/>
    <s v="Electronic"/>
    <n v="100000000"/>
    <x v="47"/>
    <x v="5"/>
    <x v="0"/>
    <x v="0"/>
    <x v="1"/>
  </r>
  <r>
    <d v="2020-08-31T00:00:00"/>
    <s v="31"/>
    <s v="Agu"/>
    <n v="3"/>
    <n v="2"/>
    <n v="1"/>
    <s v="Printer"/>
    <s v="Computer"/>
    <n v="120000000"/>
    <x v="14"/>
    <x v="4"/>
    <x v="0"/>
    <x v="2"/>
    <x v="1"/>
  </r>
  <r>
    <d v="2020-09-01T00:00:00"/>
    <s v="1"/>
    <s v="Sep"/>
    <n v="8"/>
    <n v="7"/>
    <n v="1"/>
    <s v="Laptop"/>
    <s v="Computer"/>
    <n v="140000000"/>
    <x v="32"/>
    <x v="1"/>
    <x v="0"/>
    <x v="1"/>
    <x v="3"/>
  </r>
  <r>
    <d v="2020-09-01T00:00:00"/>
    <s v="1"/>
    <s v="Sep"/>
    <n v="7"/>
    <n v="4"/>
    <n v="3"/>
    <s v="Coffee Mach"/>
    <s v="Kitchen"/>
    <n v="60000000"/>
    <x v="30"/>
    <x v="5"/>
    <x v="0"/>
    <x v="2"/>
    <x v="1"/>
  </r>
  <r>
    <d v="2020-09-01T00:00:00"/>
    <s v="1"/>
    <s v="Sep"/>
    <n v="6"/>
    <n v="4"/>
    <n v="2"/>
    <s v="Cable"/>
    <s v="Networking"/>
    <n v="140000000"/>
    <x v="5"/>
    <x v="0"/>
    <x v="0"/>
    <x v="0"/>
    <x v="1"/>
  </r>
  <r>
    <d v="2020-09-01T00:00:00"/>
    <s v="1"/>
    <s v="Sep"/>
    <n v="6"/>
    <n v="4"/>
    <n v="2"/>
    <s v="Office Chair"/>
    <s v="Furniture"/>
    <n v="60000000"/>
    <x v="0"/>
    <x v="2"/>
    <x v="0"/>
    <x v="1"/>
    <x v="3"/>
  </r>
  <r>
    <d v="2020-09-01T00:00:00"/>
    <s v="1"/>
    <s v="Sep"/>
    <n v="4"/>
    <n v="3"/>
    <n v="1"/>
    <s v="Office Chair"/>
    <s v="Furniture"/>
    <n v="140000000"/>
    <x v="45"/>
    <x v="0"/>
    <x v="0"/>
    <x v="1"/>
    <x v="3"/>
  </r>
  <r>
    <d v="2020-09-01T00:00:00"/>
    <s v="1"/>
    <s v="Sep"/>
    <n v="3"/>
    <n v="1"/>
    <n v="2"/>
    <s v="AC"/>
    <s v="Electronic"/>
    <n v="100000000"/>
    <x v="40"/>
    <x v="4"/>
    <x v="0"/>
    <x v="1"/>
    <x v="3"/>
  </r>
  <r>
    <d v="2020-09-02T00:00:00"/>
    <s v="2"/>
    <s v="Sep"/>
    <n v="10"/>
    <n v="9"/>
    <n v="1"/>
    <s v="Laptop"/>
    <s v="Computer"/>
    <n v="60000000"/>
    <x v="27"/>
    <x v="0"/>
    <x v="0"/>
    <x v="0"/>
    <x v="1"/>
  </r>
  <r>
    <d v="2020-09-02T00:00:00"/>
    <s v="2"/>
    <s v="Sep"/>
    <n v="10"/>
    <n v="6"/>
    <n v="4"/>
    <s v="Laptop"/>
    <s v="Computer"/>
    <n v="80000000"/>
    <x v="12"/>
    <x v="0"/>
    <x v="0"/>
    <x v="1"/>
    <x v="3"/>
  </r>
  <r>
    <d v="2020-09-02T00:00:00"/>
    <s v="2"/>
    <s v="Sep"/>
    <n v="8"/>
    <n v="4"/>
    <n v="4"/>
    <s v="Office Chair"/>
    <s v="Furniture"/>
    <n v="140000000"/>
    <x v="16"/>
    <x v="3"/>
    <x v="0"/>
    <x v="1"/>
    <x v="2"/>
  </r>
  <r>
    <d v="2020-09-02T00:00:00"/>
    <s v="2"/>
    <s v="Sep"/>
    <n v="4"/>
    <n v="3"/>
    <n v="1"/>
    <s v="AC"/>
    <s v="Electronic"/>
    <n v="80000000"/>
    <x v="48"/>
    <x v="2"/>
    <x v="0"/>
    <x v="1"/>
    <x v="3"/>
  </r>
  <r>
    <d v="2020-09-02T00:00:00"/>
    <s v="2"/>
    <s v="Sep"/>
    <n v="4"/>
    <n v="2"/>
    <n v="2"/>
    <s v="Office Chair"/>
    <s v="Furniture"/>
    <n v="100000000"/>
    <x v="43"/>
    <x v="2"/>
    <x v="0"/>
    <x v="0"/>
    <x v="1"/>
  </r>
  <r>
    <d v="2020-09-02T00:00:00"/>
    <s v="2"/>
    <s v="Sep"/>
    <n v="4"/>
    <n v="3"/>
    <n v="1"/>
    <s v="TV"/>
    <s v="Electronic"/>
    <n v="100000000"/>
    <x v="11"/>
    <x v="5"/>
    <x v="0"/>
    <x v="2"/>
    <x v="0"/>
  </r>
  <r>
    <d v="2020-09-03T00:00:00"/>
    <s v="3"/>
    <s v="Sep"/>
    <n v="10"/>
    <n v="9"/>
    <n v="1"/>
    <s v="Office Table"/>
    <s v="Furniture"/>
    <n v="60000000"/>
    <x v="18"/>
    <x v="0"/>
    <x v="0"/>
    <x v="2"/>
    <x v="3"/>
  </r>
  <r>
    <d v="2020-09-03T00:00:00"/>
    <s v="3"/>
    <s v="Sep"/>
    <n v="9"/>
    <n v="8"/>
    <n v="1"/>
    <s v="Cable"/>
    <s v="Networking"/>
    <n v="60000000"/>
    <x v="18"/>
    <x v="2"/>
    <x v="0"/>
    <x v="1"/>
    <x v="3"/>
  </r>
  <r>
    <d v="2020-09-03T00:00:00"/>
    <s v="3"/>
    <s v="Sep"/>
    <n v="9"/>
    <n v="5"/>
    <n v="4"/>
    <s v="Cable"/>
    <s v="Networking"/>
    <n v="40000000"/>
    <x v="40"/>
    <x v="0"/>
    <x v="0"/>
    <x v="2"/>
    <x v="0"/>
  </r>
  <r>
    <d v="2020-09-03T00:00:00"/>
    <s v="3"/>
    <s v="Sep"/>
    <n v="7"/>
    <n v="5"/>
    <n v="2"/>
    <s v="Laptop"/>
    <s v="Computer"/>
    <n v="40000000"/>
    <x v="29"/>
    <x v="0"/>
    <x v="0"/>
    <x v="2"/>
    <x v="1"/>
  </r>
  <r>
    <d v="2020-09-03T00:00:00"/>
    <s v="3"/>
    <s v="Sep"/>
    <n v="7"/>
    <n v="4"/>
    <n v="3"/>
    <s v="Office Table"/>
    <s v="Furniture"/>
    <n v="140000000"/>
    <x v="49"/>
    <x v="2"/>
    <x v="0"/>
    <x v="2"/>
    <x v="2"/>
  </r>
  <r>
    <d v="2020-09-03T00:00:00"/>
    <s v="3"/>
    <s v="Sep"/>
    <n v="7"/>
    <n v="5"/>
    <n v="2"/>
    <s v="Office Table"/>
    <s v="Furniture"/>
    <n v="140000000"/>
    <x v="30"/>
    <x v="3"/>
    <x v="0"/>
    <x v="2"/>
    <x v="0"/>
  </r>
  <r>
    <d v="2020-09-03T00:00:00"/>
    <s v="3"/>
    <s v="Sep"/>
    <n v="6"/>
    <n v="5"/>
    <n v="1"/>
    <s v="Coffee Mach"/>
    <s v="Kitchen"/>
    <n v="40000000"/>
    <x v="33"/>
    <x v="2"/>
    <x v="0"/>
    <x v="2"/>
    <x v="2"/>
  </r>
  <r>
    <d v="2020-09-03T00:00:00"/>
    <s v="3"/>
    <s v="Sep"/>
    <n v="4"/>
    <n v="2"/>
    <n v="2"/>
    <s v="Office Chair"/>
    <s v="Furniture"/>
    <n v="100000000"/>
    <x v="34"/>
    <x v="0"/>
    <x v="0"/>
    <x v="2"/>
    <x v="0"/>
  </r>
  <r>
    <d v="2020-09-03T00:00:00"/>
    <s v="3"/>
    <s v="Sep"/>
    <n v="4"/>
    <n v="3"/>
    <n v="1"/>
    <s v="Printer"/>
    <s v="Computer"/>
    <n v="60000000"/>
    <x v="17"/>
    <x v="1"/>
    <x v="0"/>
    <x v="2"/>
    <x v="3"/>
  </r>
  <r>
    <d v="2020-09-04T00:00:00"/>
    <s v="4"/>
    <s v="Sep"/>
    <n v="10"/>
    <n v="8"/>
    <n v="2"/>
    <s v="TV"/>
    <s v="Electronic"/>
    <n v="60000000"/>
    <x v="0"/>
    <x v="2"/>
    <x v="0"/>
    <x v="1"/>
    <x v="3"/>
  </r>
  <r>
    <d v="2020-09-04T00:00:00"/>
    <s v="4"/>
    <s v="Sep"/>
    <n v="10"/>
    <n v="6"/>
    <n v="4"/>
    <s v="Cable"/>
    <s v="Networking"/>
    <n v="120000000"/>
    <x v="12"/>
    <x v="0"/>
    <x v="0"/>
    <x v="2"/>
    <x v="2"/>
  </r>
  <r>
    <d v="2020-09-04T00:00:00"/>
    <s v="4"/>
    <s v="Sep"/>
    <n v="10"/>
    <n v="7"/>
    <n v="3"/>
    <s v="Printer"/>
    <s v="Computer"/>
    <n v="80000000"/>
    <x v="32"/>
    <x v="2"/>
    <x v="0"/>
    <x v="0"/>
    <x v="1"/>
  </r>
  <r>
    <d v="2020-09-04T00:00:00"/>
    <s v="4"/>
    <s v="Sep"/>
    <n v="10"/>
    <n v="6"/>
    <n v="4"/>
    <s v="Coffee Mach"/>
    <s v="Kitchen"/>
    <n v="40000000"/>
    <x v="18"/>
    <x v="4"/>
    <x v="0"/>
    <x v="2"/>
    <x v="2"/>
  </r>
  <r>
    <d v="2020-09-04T00:00:00"/>
    <s v="4"/>
    <s v="Sep"/>
    <n v="9"/>
    <n v="8"/>
    <n v="1"/>
    <s v="Cable"/>
    <s v="Networking"/>
    <n v="80000000"/>
    <x v="37"/>
    <x v="0"/>
    <x v="0"/>
    <x v="0"/>
    <x v="1"/>
  </r>
  <r>
    <d v="2020-09-04T00:00:00"/>
    <s v="4"/>
    <s v="Sep"/>
    <n v="8"/>
    <n v="7"/>
    <n v="1"/>
    <s v="Office Table"/>
    <s v="Furniture"/>
    <n v="120000000"/>
    <x v="24"/>
    <x v="0"/>
    <x v="0"/>
    <x v="0"/>
    <x v="1"/>
  </r>
  <r>
    <d v="2020-09-04T00:00:00"/>
    <s v="4"/>
    <s v="Sep"/>
    <n v="8"/>
    <n v="5"/>
    <n v="3"/>
    <s v="Table Lamp"/>
    <s v="Accessories"/>
    <n v="60000000"/>
    <x v="25"/>
    <x v="2"/>
    <x v="0"/>
    <x v="0"/>
    <x v="0"/>
  </r>
  <r>
    <d v="2020-09-04T00:00:00"/>
    <s v="4"/>
    <s v="Sep"/>
    <n v="7"/>
    <n v="6"/>
    <n v="1"/>
    <s v="TV"/>
    <s v="Electronic"/>
    <n v="100000000"/>
    <x v="26"/>
    <x v="2"/>
    <x v="0"/>
    <x v="1"/>
    <x v="1"/>
  </r>
  <r>
    <d v="2020-09-04T00:00:00"/>
    <s v="4"/>
    <s v="Sep"/>
    <n v="5"/>
    <n v="4"/>
    <n v="1"/>
    <s v="Table Lamp"/>
    <s v="Accessories"/>
    <n v="100000000"/>
    <x v="1"/>
    <x v="0"/>
    <x v="0"/>
    <x v="2"/>
    <x v="2"/>
  </r>
  <r>
    <d v="2020-09-04T00:00:00"/>
    <s v="4"/>
    <s v="Sep"/>
    <n v="4"/>
    <n v="3"/>
    <n v="1"/>
    <s v="Cable"/>
    <s v="Networking"/>
    <n v="60000000"/>
    <x v="35"/>
    <x v="2"/>
    <x v="0"/>
    <x v="0"/>
    <x v="3"/>
  </r>
  <r>
    <d v="2020-09-04T00:00:00"/>
    <s v="4"/>
    <s v="Sep"/>
    <n v="3"/>
    <n v="2"/>
    <n v="1"/>
    <s v="Table Lamp"/>
    <s v="Accessories"/>
    <n v="100000000"/>
    <x v="20"/>
    <x v="5"/>
    <x v="0"/>
    <x v="0"/>
    <x v="1"/>
  </r>
  <r>
    <d v="2020-09-05T00:00:00"/>
    <s v="5"/>
    <s v="Sep"/>
    <n v="10"/>
    <n v="9"/>
    <n v="1"/>
    <s v="Coffee Mach"/>
    <s v="Kitchen"/>
    <n v="120000000"/>
    <x v="14"/>
    <x v="2"/>
    <x v="0"/>
    <x v="1"/>
    <x v="3"/>
  </r>
  <r>
    <d v="2020-09-05T00:00:00"/>
    <s v="5"/>
    <s v="Sep"/>
    <n v="10"/>
    <n v="7"/>
    <n v="3"/>
    <s v="Printer"/>
    <s v="Computer"/>
    <n v="40000000"/>
    <x v="8"/>
    <x v="2"/>
    <x v="0"/>
    <x v="0"/>
    <x v="1"/>
  </r>
  <r>
    <d v="2020-09-05T00:00:00"/>
    <s v="5"/>
    <s v="Sep"/>
    <n v="9"/>
    <n v="8"/>
    <n v="1"/>
    <s v="Coffee Mach"/>
    <s v="Kitchen"/>
    <n v="140000000"/>
    <x v="24"/>
    <x v="2"/>
    <x v="0"/>
    <x v="1"/>
    <x v="3"/>
  </r>
  <r>
    <d v="2020-09-05T00:00:00"/>
    <s v="5"/>
    <s v="Sep"/>
    <n v="9"/>
    <n v="8"/>
    <n v="1"/>
    <s v="Printer"/>
    <s v="Computer"/>
    <n v="60000000"/>
    <x v="39"/>
    <x v="2"/>
    <x v="0"/>
    <x v="1"/>
    <x v="1"/>
  </r>
  <r>
    <d v="2020-09-05T00:00:00"/>
    <s v="5"/>
    <s v="Sep"/>
    <n v="9"/>
    <n v="5"/>
    <n v="4"/>
    <s v="Table Lamp"/>
    <s v="Accessories"/>
    <n v="120000000"/>
    <x v="26"/>
    <x v="0"/>
    <x v="0"/>
    <x v="1"/>
    <x v="1"/>
  </r>
  <r>
    <d v="2020-09-05T00:00:00"/>
    <s v="5"/>
    <s v="Sep"/>
    <n v="8"/>
    <n v="7"/>
    <n v="1"/>
    <s v="Laptop"/>
    <s v="Computer"/>
    <n v="80000000"/>
    <x v="12"/>
    <x v="2"/>
    <x v="0"/>
    <x v="1"/>
    <x v="1"/>
  </r>
  <r>
    <d v="2020-09-05T00:00:00"/>
    <s v="5"/>
    <s v="Sep"/>
    <n v="8"/>
    <n v="4"/>
    <n v="4"/>
    <s v="Laptop"/>
    <s v="Computer"/>
    <n v="80000000"/>
    <x v="41"/>
    <x v="2"/>
    <x v="0"/>
    <x v="2"/>
    <x v="3"/>
  </r>
  <r>
    <d v="2020-09-05T00:00:00"/>
    <s v="5"/>
    <s v="Sep"/>
    <n v="6"/>
    <n v="5"/>
    <n v="1"/>
    <s v="TV"/>
    <s v="Electronic"/>
    <n v="40000000"/>
    <x v="21"/>
    <x v="2"/>
    <x v="0"/>
    <x v="2"/>
    <x v="2"/>
  </r>
  <r>
    <d v="2020-09-05T00:00:00"/>
    <s v="5"/>
    <s v="Sep"/>
    <n v="5"/>
    <n v="4"/>
    <n v="1"/>
    <s v="Table Lamp"/>
    <s v="Accessories"/>
    <n v="40000000"/>
    <x v="36"/>
    <x v="0"/>
    <x v="0"/>
    <x v="0"/>
    <x v="2"/>
  </r>
  <r>
    <d v="2020-09-05T00:00:00"/>
    <s v="5"/>
    <s v="Sep"/>
    <n v="4"/>
    <n v="3"/>
    <n v="1"/>
    <s v="Printer"/>
    <s v="Computer"/>
    <n v="100000000"/>
    <x v="41"/>
    <x v="2"/>
    <x v="0"/>
    <x v="0"/>
    <x v="2"/>
  </r>
  <r>
    <d v="2020-09-06T00:00:00"/>
    <s v="6"/>
    <s v="Sep"/>
    <n v="10"/>
    <n v="9"/>
    <n v="1"/>
    <s v="Laptop"/>
    <s v="Computer"/>
    <n v="40000000"/>
    <x v="14"/>
    <x v="3"/>
    <x v="0"/>
    <x v="1"/>
    <x v="3"/>
  </r>
  <r>
    <d v="2020-09-06T00:00:00"/>
    <s v="6"/>
    <s v="Sep"/>
    <n v="10"/>
    <n v="8"/>
    <n v="2"/>
    <s v="Coffee Mach"/>
    <s v="Kitchen"/>
    <n v="100000000"/>
    <x v="37"/>
    <x v="0"/>
    <x v="0"/>
    <x v="2"/>
    <x v="1"/>
  </r>
  <r>
    <d v="2020-09-06T00:00:00"/>
    <s v="6"/>
    <s v="Sep"/>
    <n v="8"/>
    <n v="5"/>
    <n v="3"/>
    <s v="Office Chair"/>
    <s v="Furniture"/>
    <n v="100000000"/>
    <x v="22"/>
    <x v="0"/>
    <x v="0"/>
    <x v="1"/>
    <x v="0"/>
  </r>
  <r>
    <d v="2020-09-06T00:00:00"/>
    <s v="6"/>
    <s v="Sep"/>
    <n v="7"/>
    <n v="5"/>
    <n v="2"/>
    <s v="Table Lamp"/>
    <s v="Accessories"/>
    <n v="140000000"/>
    <x v="11"/>
    <x v="0"/>
    <x v="0"/>
    <x v="0"/>
    <x v="0"/>
  </r>
  <r>
    <d v="2020-09-06T00:00:00"/>
    <s v="6"/>
    <s v="Sep"/>
    <n v="7"/>
    <n v="4"/>
    <n v="3"/>
    <s v="Cable"/>
    <s v="Networking"/>
    <n v="80000000"/>
    <x v="47"/>
    <x v="2"/>
    <x v="0"/>
    <x v="1"/>
    <x v="2"/>
  </r>
  <r>
    <d v="2020-09-06T00:00:00"/>
    <s v="6"/>
    <s v="Sep"/>
    <n v="4"/>
    <n v="2"/>
    <n v="2"/>
    <s v="Table Lamp"/>
    <s v="Accessories"/>
    <n v="100000000"/>
    <x v="35"/>
    <x v="0"/>
    <x v="0"/>
    <x v="1"/>
    <x v="2"/>
  </r>
  <r>
    <d v="2020-09-06T00:00:00"/>
    <s v="6"/>
    <s v="Sep"/>
    <n v="3"/>
    <n v="1"/>
    <n v="2"/>
    <s v="Office Chair"/>
    <s v="Furniture"/>
    <n v="140000000"/>
    <x v="1"/>
    <x v="2"/>
    <x v="0"/>
    <x v="1"/>
    <x v="1"/>
  </r>
  <r>
    <d v="2020-09-06T00:00:00"/>
    <s v="6"/>
    <s v="Sep"/>
    <n v="3"/>
    <n v="1"/>
    <n v="2"/>
    <s v="Laptop"/>
    <s v="Computer"/>
    <n v="80000000"/>
    <x v="12"/>
    <x v="0"/>
    <x v="0"/>
    <x v="1"/>
    <x v="1"/>
  </r>
  <r>
    <d v="2020-09-07T00:00:00"/>
    <s v="7"/>
    <s v="Sep"/>
    <n v="10"/>
    <n v="9"/>
    <n v="1"/>
    <s v="Coffee Mach"/>
    <s v="Kitchen"/>
    <n v="80000000"/>
    <x v="25"/>
    <x v="2"/>
    <x v="0"/>
    <x v="1"/>
    <x v="1"/>
  </r>
  <r>
    <d v="2020-09-07T00:00:00"/>
    <s v="7"/>
    <s v="Sep"/>
    <n v="9"/>
    <n v="6"/>
    <n v="3"/>
    <s v="Coffee Mach"/>
    <s v="Kitchen"/>
    <n v="120000000"/>
    <x v="39"/>
    <x v="0"/>
    <x v="0"/>
    <x v="1"/>
    <x v="0"/>
  </r>
  <r>
    <d v="2020-09-07T00:00:00"/>
    <s v="7"/>
    <s v="Sep"/>
    <n v="9"/>
    <n v="8"/>
    <n v="1"/>
    <s v="Laptop"/>
    <s v="Computer"/>
    <n v="60000000"/>
    <x v="33"/>
    <x v="1"/>
    <x v="0"/>
    <x v="2"/>
    <x v="1"/>
  </r>
  <r>
    <d v="2020-09-07T00:00:00"/>
    <s v="7"/>
    <s v="Sep"/>
    <n v="8"/>
    <n v="4"/>
    <n v="4"/>
    <s v="Coffee Mach"/>
    <s v="Kitchen"/>
    <n v="80000000"/>
    <x v="2"/>
    <x v="2"/>
    <x v="0"/>
    <x v="2"/>
    <x v="0"/>
  </r>
  <r>
    <d v="2020-09-07T00:00:00"/>
    <s v="7"/>
    <s v="Sep"/>
    <n v="6"/>
    <n v="4"/>
    <n v="2"/>
    <s v="Printer"/>
    <s v="Computer"/>
    <n v="80000000"/>
    <x v="40"/>
    <x v="1"/>
    <x v="0"/>
    <x v="2"/>
    <x v="0"/>
  </r>
  <r>
    <d v="2020-09-07T00:00:00"/>
    <s v="7"/>
    <s v="Sep"/>
    <n v="6"/>
    <n v="3"/>
    <n v="3"/>
    <s v="Laptop"/>
    <s v="Computer"/>
    <n v="80000000"/>
    <x v="34"/>
    <x v="2"/>
    <x v="0"/>
    <x v="1"/>
    <x v="3"/>
  </r>
  <r>
    <d v="2020-09-07T00:00:00"/>
    <s v="7"/>
    <s v="Sep"/>
    <n v="6"/>
    <n v="5"/>
    <n v="1"/>
    <s v="AC"/>
    <s v="Electronic"/>
    <n v="40000000"/>
    <x v="7"/>
    <x v="0"/>
    <x v="0"/>
    <x v="1"/>
    <x v="1"/>
  </r>
  <r>
    <d v="2020-09-07T00:00:00"/>
    <s v="7"/>
    <s v="Sep"/>
    <n v="6"/>
    <n v="3"/>
    <n v="3"/>
    <s v="Printer"/>
    <s v="Computer"/>
    <n v="140000000"/>
    <x v="27"/>
    <x v="0"/>
    <x v="0"/>
    <x v="0"/>
    <x v="2"/>
  </r>
  <r>
    <d v="2020-09-07T00:00:00"/>
    <s v="7"/>
    <s v="Sep"/>
    <n v="5"/>
    <n v="3"/>
    <n v="2"/>
    <s v="TV"/>
    <s v="Electronic"/>
    <n v="40000000"/>
    <x v="38"/>
    <x v="2"/>
    <x v="0"/>
    <x v="1"/>
    <x v="2"/>
  </r>
  <r>
    <d v="2020-09-07T00:00:00"/>
    <s v="7"/>
    <s v="Sep"/>
    <n v="5"/>
    <n v="3"/>
    <n v="2"/>
    <s v="TV"/>
    <s v="Electronic"/>
    <n v="140000000"/>
    <x v="43"/>
    <x v="0"/>
    <x v="0"/>
    <x v="1"/>
    <x v="1"/>
  </r>
  <r>
    <d v="2020-09-07T00:00:00"/>
    <s v="7"/>
    <s v="Sep"/>
    <n v="4"/>
    <n v="3"/>
    <n v="1"/>
    <s v="Office Table"/>
    <s v="Furniture"/>
    <n v="80000000"/>
    <x v="13"/>
    <x v="5"/>
    <x v="0"/>
    <x v="0"/>
    <x v="0"/>
  </r>
  <r>
    <d v="2020-09-07T00:00:00"/>
    <s v="7"/>
    <s v="Sep"/>
    <n v="3"/>
    <n v="1"/>
    <n v="2"/>
    <s v="Laptop"/>
    <s v="Computer"/>
    <n v="60000000"/>
    <x v="8"/>
    <x v="0"/>
    <x v="0"/>
    <x v="1"/>
    <x v="2"/>
  </r>
  <r>
    <d v="2020-09-08T00:00:00"/>
    <s v="8"/>
    <s v="Sep"/>
    <n v="10"/>
    <n v="10"/>
    <s v=""/>
    <s v="Cable"/>
    <s v="Networking"/>
    <n v="40000000"/>
    <x v="27"/>
    <x v="2"/>
    <x v="0"/>
    <x v="0"/>
    <x v="1"/>
  </r>
  <r>
    <d v="2020-09-08T00:00:00"/>
    <s v="8"/>
    <s v="Sep"/>
    <n v="9"/>
    <n v="9"/>
    <s v=""/>
    <s v="Office Chair"/>
    <s v="Furniture"/>
    <n v="140000000"/>
    <x v="30"/>
    <x v="3"/>
    <x v="0"/>
    <x v="2"/>
    <x v="0"/>
  </r>
  <r>
    <d v="2020-09-08T00:00:00"/>
    <s v="8"/>
    <s v="Sep"/>
    <n v="9"/>
    <n v="9"/>
    <s v=""/>
    <s v="Office Table"/>
    <s v="Furniture"/>
    <n v="100000000"/>
    <x v="28"/>
    <x v="2"/>
    <x v="0"/>
    <x v="2"/>
    <x v="2"/>
  </r>
  <r>
    <d v="2020-09-08T00:00:00"/>
    <s v="8"/>
    <s v="Sep"/>
    <n v="8"/>
    <n v="8"/>
    <s v=""/>
    <s v="Laptop"/>
    <s v="Computer"/>
    <n v="40000000"/>
    <x v="7"/>
    <x v="2"/>
    <x v="0"/>
    <x v="2"/>
    <x v="0"/>
  </r>
  <r>
    <d v="2020-09-08T00:00:00"/>
    <s v="8"/>
    <s v="Sep"/>
    <n v="6"/>
    <n v="6"/>
    <s v=""/>
    <s v="Table Lamp"/>
    <s v="Accessories"/>
    <n v="120000000"/>
    <x v="41"/>
    <x v="2"/>
    <x v="0"/>
    <x v="0"/>
    <x v="0"/>
  </r>
  <r>
    <d v="2020-09-08T00:00:00"/>
    <s v="8"/>
    <s v="Sep"/>
    <n v="6"/>
    <n v="6"/>
    <s v=""/>
    <s v="AC"/>
    <s v="Electronic"/>
    <n v="140000000"/>
    <x v="15"/>
    <x v="0"/>
    <x v="0"/>
    <x v="0"/>
    <x v="0"/>
  </r>
  <r>
    <d v="2020-09-08T00:00:00"/>
    <s v="8"/>
    <s v="Sep"/>
    <n v="4"/>
    <n v="4"/>
    <s v=""/>
    <s v="Office Table"/>
    <s v="Furniture"/>
    <n v="140000000"/>
    <x v="39"/>
    <x v="2"/>
    <x v="0"/>
    <x v="0"/>
    <x v="3"/>
  </r>
  <r>
    <d v="2020-09-09T00:00:00"/>
    <s v="9"/>
    <s v="Sep"/>
    <n v="8"/>
    <n v="8"/>
    <s v=""/>
    <s v="Printer"/>
    <s v="Computer"/>
    <n v="40000000"/>
    <x v="6"/>
    <x v="0"/>
    <x v="0"/>
    <x v="1"/>
    <x v="1"/>
  </r>
  <r>
    <d v="2020-09-09T00:00:00"/>
    <s v="9"/>
    <s v="Sep"/>
    <n v="7"/>
    <n v="7"/>
    <s v=""/>
    <s v="Cable"/>
    <s v="Networking"/>
    <n v="60000000"/>
    <x v="39"/>
    <x v="0"/>
    <x v="0"/>
    <x v="1"/>
    <x v="0"/>
  </r>
  <r>
    <d v="2020-09-09T00:00:00"/>
    <s v="9"/>
    <s v="Sep"/>
    <n v="5"/>
    <n v="5"/>
    <s v=""/>
    <s v="Cable"/>
    <s v="Networking"/>
    <n v="80000000"/>
    <x v="23"/>
    <x v="2"/>
    <x v="0"/>
    <x v="0"/>
    <x v="0"/>
  </r>
  <r>
    <d v="2020-09-09T00:00:00"/>
    <s v="9"/>
    <s v="Sep"/>
    <n v="3"/>
    <n v="3"/>
    <s v=""/>
    <s v="Office Table"/>
    <s v="Furniture"/>
    <n v="100000000"/>
    <x v="14"/>
    <x v="0"/>
    <x v="0"/>
    <x v="2"/>
    <x v="1"/>
  </r>
  <r>
    <d v="2020-09-10T00:00:00"/>
    <s v="10"/>
    <s v="Sep"/>
    <n v="10"/>
    <n v="10"/>
    <s v=""/>
    <s v="Table Lamp"/>
    <s v="Accessories"/>
    <n v="140000000"/>
    <x v="37"/>
    <x v="2"/>
    <x v="0"/>
    <x v="1"/>
    <x v="2"/>
  </r>
  <r>
    <d v="2020-09-10T00:00:00"/>
    <s v="10"/>
    <s v="Sep"/>
    <n v="4"/>
    <n v="4"/>
    <s v=""/>
    <s v="Table Lamp"/>
    <s v="Accessories"/>
    <n v="100000000"/>
    <x v="8"/>
    <x v="0"/>
    <x v="0"/>
    <x v="2"/>
    <x v="1"/>
  </r>
  <r>
    <d v="2020-09-10T00:00:00"/>
    <s v="10"/>
    <s v="Sep"/>
    <n v="3"/>
    <n v="3"/>
    <s v=""/>
    <s v="Office Table"/>
    <s v="Furniture"/>
    <n v="140000000"/>
    <x v="37"/>
    <x v="0"/>
    <x v="0"/>
    <x v="0"/>
    <x v="1"/>
  </r>
  <r>
    <d v="2020-09-11T00:00:00"/>
    <s v="11"/>
    <s v="Sep"/>
    <n v="10"/>
    <n v="10"/>
    <s v=""/>
    <s v="Printer"/>
    <s v="Computer"/>
    <n v="120000000"/>
    <x v="35"/>
    <x v="2"/>
    <x v="0"/>
    <x v="1"/>
    <x v="1"/>
  </r>
  <r>
    <d v="2020-09-11T00:00:00"/>
    <s v="11"/>
    <s v="Sep"/>
    <n v="10"/>
    <n v="10"/>
    <s v=""/>
    <s v="Coffee Mach"/>
    <s v="Kitchen"/>
    <n v="100000000"/>
    <x v="24"/>
    <x v="2"/>
    <x v="0"/>
    <x v="2"/>
    <x v="2"/>
  </r>
  <r>
    <d v="2020-09-11T00:00:00"/>
    <s v="11"/>
    <s v="Sep"/>
    <n v="6"/>
    <n v="6"/>
    <s v=""/>
    <s v="Cable"/>
    <s v="Networking"/>
    <n v="120000000"/>
    <x v="20"/>
    <x v="4"/>
    <x v="0"/>
    <x v="2"/>
    <x v="1"/>
  </r>
  <r>
    <d v="2020-09-11T00:00:00"/>
    <s v="11"/>
    <s v="Sep"/>
    <n v="5"/>
    <n v="5"/>
    <s v=""/>
    <s v="TV"/>
    <s v="Electronic"/>
    <n v="40000000"/>
    <x v="28"/>
    <x v="4"/>
    <x v="0"/>
    <x v="1"/>
    <x v="1"/>
  </r>
  <r>
    <d v="2020-09-11T00:00:00"/>
    <s v="11"/>
    <s v="Sep"/>
    <n v="5"/>
    <n v="5"/>
    <s v=""/>
    <s v="Table Lamp"/>
    <s v="Accessories"/>
    <n v="120000000"/>
    <x v="4"/>
    <x v="1"/>
    <x v="0"/>
    <x v="1"/>
    <x v="1"/>
  </r>
  <r>
    <d v="2020-09-11T00:00:00"/>
    <s v="11"/>
    <s v="Sep"/>
    <n v="3"/>
    <n v="3"/>
    <s v=""/>
    <s v="Laptop"/>
    <s v="Computer"/>
    <n v="140000000"/>
    <x v="40"/>
    <x v="3"/>
    <x v="0"/>
    <x v="2"/>
    <x v="3"/>
  </r>
  <r>
    <d v="2020-09-11T00:00:00"/>
    <s v="11"/>
    <s v="Sep"/>
    <n v="3"/>
    <n v="3"/>
    <s v=""/>
    <s v="Office Table"/>
    <s v="Furniture"/>
    <n v="120000000"/>
    <x v="12"/>
    <x v="0"/>
    <x v="0"/>
    <x v="2"/>
    <x v="3"/>
  </r>
  <r>
    <d v="2020-09-12T00:00:00"/>
    <s v="12"/>
    <s v="Sep"/>
    <n v="10"/>
    <n v="10"/>
    <s v=""/>
    <s v="Cable"/>
    <s v="Networking"/>
    <n v="120000000"/>
    <x v="24"/>
    <x v="3"/>
    <x v="0"/>
    <x v="0"/>
    <x v="2"/>
  </r>
  <r>
    <d v="2020-09-12T00:00:00"/>
    <s v="12"/>
    <s v="Sep"/>
    <n v="9"/>
    <n v="9"/>
    <s v=""/>
    <s v="Printer"/>
    <s v="Computer"/>
    <n v="120000000"/>
    <x v="29"/>
    <x v="2"/>
    <x v="0"/>
    <x v="2"/>
    <x v="2"/>
  </r>
  <r>
    <d v="2020-09-12T00:00:00"/>
    <s v="12"/>
    <s v="Sep"/>
    <n v="7"/>
    <n v="7"/>
    <s v=""/>
    <s v="Office Chair"/>
    <s v="Furniture"/>
    <n v="40000000"/>
    <x v="15"/>
    <x v="0"/>
    <x v="0"/>
    <x v="1"/>
    <x v="3"/>
  </r>
  <r>
    <d v="2020-09-12T00:00:00"/>
    <s v="12"/>
    <s v="Sep"/>
    <n v="7"/>
    <n v="7"/>
    <s v=""/>
    <s v="Cable"/>
    <s v="Networking"/>
    <n v="60000000"/>
    <x v="18"/>
    <x v="2"/>
    <x v="0"/>
    <x v="2"/>
    <x v="2"/>
  </r>
  <r>
    <d v="2020-09-12T00:00:00"/>
    <s v="12"/>
    <s v="Sep"/>
    <n v="3"/>
    <n v="3"/>
    <s v=""/>
    <s v="Office Chair"/>
    <s v="Furniture"/>
    <n v="100000000"/>
    <x v="46"/>
    <x v="3"/>
    <x v="0"/>
    <x v="0"/>
    <x v="2"/>
  </r>
  <r>
    <d v="2020-09-13T00:00:00"/>
    <s v="13"/>
    <s v="Sep"/>
    <n v="10"/>
    <n v="10"/>
    <s v=""/>
    <s v="Laptop"/>
    <s v="Computer"/>
    <n v="140000000"/>
    <x v="5"/>
    <x v="0"/>
    <x v="0"/>
    <x v="0"/>
    <x v="0"/>
  </r>
  <r>
    <d v="2020-09-13T00:00:00"/>
    <s v="13"/>
    <s v="Sep"/>
    <n v="10"/>
    <n v="10"/>
    <s v=""/>
    <s v="Coffee Mach"/>
    <s v="Kitchen"/>
    <n v="60000000"/>
    <x v="7"/>
    <x v="0"/>
    <x v="0"/>
    <x v="2"/>
    <x v="0"/>
  </r>
  <r>
    <d v="2020-09-13T00:00:00"/>
    <s v="13"/>
    <s v="Sep"/>
    <n v="10"/>
    <n v="10"/>
    <s v=""/>
    <s v="Office Table"/>
    <s v="Furniture"/>
    <n v="140000000"/>
    <x v="42"/>
    <x v="0"/>
    <x v="0"/>
    <x v="0"/>
    <x v="2"/>
  </r>
  <r>
    <d v="2020-09-13T00:00:00"/>
    <s v="13"/>
    <s v="Sep"/>
    <n v="10"/>
    <n v="10"/>
    <s v=""/>
    <s v="Laptop"/>
    <s v="Computer"/>
    <n v="120000000"/>
    <x v="2"/>
    <x v="0"/>
    <x v="0"/>
    <x v="2"/>
    <x v="2"/>
  </r>
  <r>
    <d v="2020-09-13T00:00:00"/>
    <s v="13"/>
    <s v="Sep"/>
    <n v="9"/>
    <n v="9"/>
    <s v=""/>
    <s v="Coffee Mach"/>
    <s v="Kitchen"/>
    <n v="60000000"/>
    <x v="3"/>
    <x v="2"/>
    <x v="0"/>
    <x v="1"/>
    <x v="2"/>
  </r>
  <r>
    <d v="2020-09-13T00:00:00"/>
    <s v="13"/>
    <s v="Sep"/>
    <n v="9"/>
    <n v="9"/>
    <s v=""/>
    <s v="Laptop"/>
    <s v="Computer"/>
    <n v="140000000"/>
    <x v="26"/>
    <x v="2"/>
    <x v="0"/>
    <x v="1"/>
    <x v="2"/>
  </r>
  <r>
    <d v="2020-09-13T00:00:00"/>
    <s v="13"/>
    <s v="Sep"/>
    <n v="8"/>
    <n v="8"/>
    <s v=""/>
    <s v="Cable"/>
    <s v="Networking"/>
    <n v="100000000"/>
    <x v="20"/>
    <x v="0"/>
    <x v="0"/>
    <x v="2"/>
    <x v="2"/>
  </r>
  <r>
    <d v="2020-09-13T00:00:00"/>
    <s v="13"/>
    <s v="Sep"/>
    <n v="8"/>
    <n v="8"/>
    <s v=""/>
    <s v="Cable"/>
    <s v="Networking"/>
    <n v="80000000"/>
    <x v="34"/>
    <x v="4"/>
    <x v="0"/>
    <x v="2"/>
    <x v="0"/>
  </r>
  <r>
    <d v="2020-09-13T00:00:00"/>
    <s v="13"/>
    <s v="Sep"/>
    <n v="7"/>
    <n v="7"/>
    <s v=""/>
    <s v="Table Lamp"/>
    <s v="Accessories"/>
    <n v="40000000"/>
    <x v="36"/>
    <x v="0"/>
    <x v="0"/>
    <x v="2"/>
    <x v="1"/>
  </r>
  <r>
    <d v="2020-09-13T00:00:00"/>
    <s v="13"/>
    <s v="Sep"/>
    <n v="5"/>
    <n v="5"/>
    <s v=""/>
    <s v="Office Table"/>
    <s v="Furniture"/>
    <n v="80000000"/>
    <x v="4"/>
    <x v="1"/>
    <x v="0"/>
    <x v="2"/>
    <x v="2"/>
  </r>
  <r>
    <d v="2020-09-13T00:00:00"/>
    <s v="13"/>
    <s v="Sep"/>
    <n v="4"/>
    <n v="4"/>
    <s v=""/>
    <s v="AC"/>
    <s v="Electronic"/>
    <n v="140000000"/>
    <x v="39"/>
    <x v="2"/>
    <x v="0"/>
    <x v="1"/>
    <x v="2"/>
  </r>
  <r>
    <d v="2020-09-13T00:00:00"/>
    <s v="13"/>
    <s v="Sep"/>
    <n v="3"/>
    <n v="3"/>
    <s v=""/>
    <s v="Printer"/>
    <s v="Computer"/>
    <n v="100000000"/>
    <x v="41"/>
    <x v="0"/>
    <x v="0"/>
    <x v="0"/>
    <x v="1"/>
  </r>
  <r>
    <d v="2020-09-14T00:00:00"/>
    <s v="14"/>
    <s v="Sep"/>
    <n v="8"/>
    <n v="8"/>
    <s v=""/>
    <s v="Laptop"/>
    <s v="Computer"/>
    <n v="100000000"/>
    <x v="38"/>
    <x v="2"/>
    <x v="0"/>
    <x v="2"/>
    <x v="1"/>
  </r>
  <r>
    <d v="2020-09-14T00:00:00"/>
    <s v="14"/>
    <s v="Sep"/>
    <n v="8"/>
    <n v="8"/>
    <s v=""/>
    <s v="Laptop"/>
    <s v="Computer"/>
    <n v="80000000"/>
    <x v="36"/>
    <x v="2"/>
    <x v="0"/>
    <x v="1"/>
    <x v="0"/>
  </r>
  <r>
    <d v="2020-09-14T00:00:00"/>
    <s v="14"/>
    <s v="Sep"/>
    <n v="6"/>
    <n v="6"/>
    <s v=""/>
    <s v="AC"/>
    <s v="Electronic"/>
    <n v="140000000"/>
    <x v="41"/>
    <x v="2"/>
    <x v="0"/>
    <x v="1"/>
    <x v="1"/>
  </r>
  <r>
    <d v="2020-09-14T00:00:00"/>
    <s v="14"/>
    <s v="Sep"/>
    <n v="5"/>
    <n v="5"/>
    <s v=""/>
    <s v="Printer"/>
    <s v="Computer"/>
    <n v="40000000"/>
    <x v="27"/>
    <x v="3"/>
    <x v="0"/>
    <x v="0"/>
    <x v="1"/>
  </r>
  <r>
    <d v="2020-09-14T00:00:00"/>
    <s v="14"/>
    <s v="Sep"/>
    <n v="5"/>
    <n v="5"/>
    <s v=""/>
    <s v="Cable"/>
    <s v="Networking"/>
    <n v="120000000"/>
    <x v="3"/>
    <x v="2"/>
    <x v="0"/>
    <x v="0"/>
    <x v="1"/>
  </r>
  <r>
    <d v="2020-09-14T00:00:00"/>
    <s v="14"/>
    <s v="Sep"/>
    <n v="5"/>
    <n v="5"/>
    <s v=""/>
    <s v="Printer"/>
    <s v="Computer"/>
    <n v="140000000"/>
    <x v="38"/>
    <x v="0"/>
    <x v="0"/>
    <x v="1"/>
    <x v="2"/>
  </r>
  <r>
    <d v="2020-09-14T00:00:00"/>
    <s v="14"/>
    <s v="Sep"/>
    <n v="4"/>
    <n v="4"/>
    <s v=""/>
    <s v="Cable"/>
    <s v="Networking"/>
    <n v="140000000"/>
    <x v="26"/>
    <x v="0"/>
    <x v="0"/>
    <x v="2"/>
    <x v="3"/>
  </r>
  <r>
    <d v="2020-09-14T00:00:00"/>
    <s v="14"/>
    <s v="Sep"/>
    <n v="4"/>
    <n v="4"/>
    <s v=""/>
    <s v="TV"/>
    <s v="Electronic"/>
    <n v="80000000"/>
    <x v="46"/>
    <x v="4"/>
    <x v="0"/>
    <x v="1"/>
    <x v="1"/>
  </r>
  <r>
    <d v="2020-09-14T00:00:00"/>
    <s v="14"/>
    <s v="Sep"/>
    <n v="3"/>
    <n v="3"/>
    <s v=""/>
    <s v="AC"/>
    <s v="Electronic"/>
    <n v="120000000"/>
    <x v="44"/>
    <x v="2"/>
    <x v="0"/>
    <x v="0"/>
    <x v="2"/>
  </r>
  <r>
    <d v="2020-09-15T00:00:00"/>
    <s v="15"/>
    <s v="Sep"/>
    <n v="10"/>
    <n v="10"/>
    <s v=""/>
    <s v="Coffee Mach"/>
    <s v="Kitchen"/>
    <n v="80000000"/>
    <x v="26"/>
    <x v="2"/>
    <x v="0"/>
    <x v="1"/>
    <x v="0"/>
  </r>
  <r>
    <d v="2020-09-15T00:00:00"/>
    <s v="15"/>
    <s v="Sep"/>
    <n v="10"/>
    <n v="10"/>
    <s v=""/>
    <s v="Laptop"/>
    <s v="Computer"/>
    <n v="80000000"/>
    <x v="4"/>
    <x v="5"/>
    <x v="0"/>
    <x v="1"/>
    <x v="0"/>
  </r>
  <r>
    <d v="2020-09-15T00:00:00"/>
    <s v="15"/>
    <s v="Sep"/>
    <n v="10"/>
    <n v="10"/>
    <s v=""/>
    <s v="TV"/>
    <s v="Electronic"/>
    <n v="100000000"/>
    <x v="41"/>
    <x v="2"/>
    <x v="0"/>
    <x v="0"/>
    <x v="0"/>
  </r>
  <r>
    <d v="2020-09-15T00:00:00"/>
    <s v="15"/>
    <s v="Sep"/>
    <n v="7"/>
    <n v="7"/>
    <s v=""/>
    <s v="Office Chair"/>
    <s v="Furniture"/>
    <n v="100000000"/>
    <x v="46"/>
    <x v="0"/>
    <x v="0"/>
    <x v="2"/>
    <x v="0"/>
  </r>
  <r>
    <d v="2020-09-15T00:00:00"/>
    <s v="15"/>
    <s v="Sep"/>
    <n v="7"/>
    <n v="7"/>
    <s v=""/>
    <s v="Table Lamp"/>
    <s v="Accessories"/>
    <n v="100000000"/>
    <x v="40"/>
    <x v="2"/>
    <x v="0"/>
    <x v="1"/>
    <x v="3"/>
  </r>
  <r>
    <d v="2020-09-15T00:00:00"/>
    <s v="15"/>
    <s v="Sep"/>
    <n v="5"/>
    <n v="5"/>
    <s v=""/>
    <s v="TV"/>
    <s v="Electronic"/>
    <n v="140000000"/>
    <x v="40"/>
    <x v="0"/>
    <x v="0"/>
    <x v="2"/>
    <x v="3"/>
  </r>
  <r>
    <d v="2020-09-15T00:00:00"/>
    <s v="15"/>
    <s v="Sep"/>
    <n v="5"/>
    <n v="5"/>
    <s v=""/>
    <s v="Cable"/>
    <s v="Networking"/>
    <n v="80000000"/>
    <x v="5"/>
    <x v="0"/>
    <x v="0"/>
    <x v="2"/>
    <x v="0"/>
  </r>
  <r>
    <d v="2020-09-15T00:00:00"/>
    <s v="15"/>
    <s v="Sep"/>
    <n v="3"/>
    <n v="3"/>
    <s v=""/>
    <s v="Cable"/>
    <s v="Networking"/>
    <n v="100000000"/>
    <x v="1"/>
    <x v="1"/>
    <x v="0"/>
    <x v="0"/>
    <x v="1"/>
  </r>
  <r>
    <d v="2020-09-15T00:00:00"/>
    <s v="15"/>
    <s v="Sep"/>
    <n v="3"/>
    <n v="3"/>
    <s v=""/>
    <s v="Office Table"/>
    <s v="Furniture"/>
    <n v="120000000"/>
    <x v="25"/>
    <x v="2"/>
    <x v="0"/>
    <x v="0"/>
    <x v="3"/>
  </r>
  <r>
    <d v="2020-09-15T00:00:00"/>
    <s v="15"/>
    <s v="Sep"/>
    <n v="3"/>
    <n v="3"/>
    <s v=""/>
    <s v="TV"/>
    <s v="Electronic"/>
    <n v="40000000"/>
    <x v="1"/>
    <x v="4"/>
    <x v="0"/>
    <x v="1"/>
    <x v="2"/>
  </r>
  <r>
    <d v="2020-09-16T00:00:00"/>
    <s v="16"/>
    <s v="Sep"/>
    <n v="10"/>
    <n v="10"/>
    <s v=""/>
    <s v="TV"/>
    <s v="Electronic"/>
    <n v="40000000"/>
    <x v="35"/>
    <x v="2"/>
    <x v="0"/>
    <x v="1"/>
    <x v="2"/>
  </r>
  <r>
    <d v="2020-09-16T00:00:00"/>
    <s v="16"/>
    <s v="Sep"/>
    <n v="8"/>
    <n v="8"/>
    <s v=""/>
    <s v="Table Lamp"/>
    <s v="Accessories"/>
    <n v="40000000"/>
    <x v="29"/>
    <x v="0"/>
    <x v="0"/>
    <x v="2"/>
    <x v="2"/>
  </r>
  <r>
    <d v="2020-09-16T00:00:00"/>
    <s v="16"/>
    <s v="Sep"/>
    <n v="8"/>
    <n v="8"/>
    <s v=""/>
    <s v="Cable"/>
    <s v="Networking"/>
    <n v="60000000"/>
    <x v="24"/>
    <x v="0"/>
    <x v="0"/>
    <x v="2"/>
    <x v="0"/>
  </r>
  <r>
    <d v="2020-09-16T00:00:00"/>
    <s v="16"/>
    <s v="Sep"/>
    <n v="7"/>
    <n v="7"/>
    <s v=""/>
    <s v="Printer"/>
    <s v="Computer"/>
    <n v="100000000"/>
    <x v="30"/>
    <x v="1"/>
    <x v="0"/>
    <x v="0"/>
    <x v="3"/>
  </r>
  <r>
    <d v="2020-09-16T00:00:00"/>
    <s v="16"/>
    <s v="Sep"/>
    <n v="7"/>
    <n v="7"/>
    <s v=""/>
    <s v="Office Table"/>
    <s v="Furniture"/>
    <n v="140000000"/>
    <x v="12"/>
    <x v="2"/>
    <x v="0"/>
    <x v="1"/>
    <x v="0"/>
  </r>
  <r>
    <d v="2020-09-16T00:00:00"/>
    <s v="16"/>
    <s v="Sep"/>
    <n v="7"/>
    <n v="7"/>
    <s v=""/>
    <s v="Laptop"/>
    <s v="Computer"/>
    <n v="60000000"/>
    <x v="40"/>
    <x v="3"/>
    <x v="0"/>
    <x v="2"/>
    <x v="3"/>
  </r>
  <r>
    <d v="2020-09-16T00:00:00"/>
    <s v="16"/>
    <s v="Sep"/>
    <n v="6"/>
    <n v="6"/>
    <s v=""/>
    <s v="AC"/>
    <s v="Electronic"/>
    <n v="100000000"/>
    <x v="45"/>
    <x v="0"/>
    <x v="0"/>
    <x v="0"/>
    <x v="3"/>
  </r>
  <r>
    <d v="2020-09-16T00:00:00"/>
    <s v="16"/>
    <s v="Sep"/>
    <n v="6"/>
    <n v="6"/>
    <s v=""/>
    <s v="Office Chair"/>
    <s v="Furniture"/>
    <n v="100000000"/>
    <x v="33"/>
    <x v="3"/>
    <x v="0"/>
    <x v="0"/>
    <x v="0"/>
  </r>
  <r>
    <d v="2020-09-16T00:00:00"/>
    <s v="16"/>
    <s v="Sep"/>
    <n v="6"/>
    <n v="6"/>
    <s v=""/>
    <s v="Coffee Mach"/>
    <s v="Kitchen"/>
    <n v="140000000"/>
    <x v="25"/>
    <x v="2"/>
    <x v="0"/>
    <x v="1"/>
    <x v="0"/>
  </r>
  <r>
    <d v="2020-09-16T00:00:00"/>
    <s v="16"/>
    <s v="Sep"/>
    <n v="3"/>
    <n v="3"/>
    <s v=""/>
    <s v="Office Chair"/>
    <s v="Furniture"/>
    <n v="60000000"/>
    <x v="24"/>
    <x v="0"/>
    <x v="0"/>
    <x v="1"/>
    <x v="3"/>
  </r>
  <r>
    <d v="2020-09-16T00:00:00"/>
    <s v="16"/>
    <s v="Sep"/>
    <n v="3"/>
    <n v="3"/>
    <s v=""/>
    <s v="Laptop"/>
    <s v="Computer"/>
    <n v="120000000"/>
    <x v="47"/>
    <x v="2"/>
    <x v="0"/>
    <x v="2"/>
    <x v="3"/>
  </r>
  <r>
    <d v="2020-09-17T00:00:00"/>
    <s v="17"/>
    <s v="Sep"/>
    <n v="10"/>
    <n v="10"/>
    <s v=""/>
    <s v="Table Lamp"/>
    <s v="Accessories"/>
    <n v="40000000"/>
    <x v="15"/>
    <x v="0"/>
    <x v="0"/>
    <x v="1"/>
    <x v="2"/>
  </r>
  <r>
    <d v="2020-09-17T00:00:00"/>
    <s v="17"/>
    <s v="Sep"/>
    <n v="9"/>
    <n v="9"/>
    <s v=""/>
    <s v="TV"/>
    <s v="Electronic"/>
    <n v="60000000"/>
    <x v="11"/>
    <x v="4"/>
    <x v="0"/>
    <x v="0"/>
    <x v="2"/>
  </r>
  <r>
    <d v="2020-09-17T00:00:00"/>
    <s v="17"/>
    <s v="Sep"/>
    <n v="6"/>
    <n v="6"/>
    <s v=""/>
    <s v="Printer"/>
    <s v="Computer"/>
    <n v="120000000"/>
    <x v="14"/>
    <x v="5"/>
    <x v="0"/>
    <x v="2"/>
    <x v="2"/>
  </r>
  <r>
    <d v="2020-09-17T00:00:00"/>
    <s v="17"/>
    <s v="Sep"/>
    <n v="6"/>
    <n v="6"/>
    <s v=""/>
    <s v="Printer"/>
    <s v="Computer"/>
    <n v="140000000"/>
    <x v="21"/>
    <x v="2"/>
    <x v="0"/>
    <x v="1"/>
    <x v="1"/>
  </r>
  <r>
    <d v="2020-09-17T00:00:00"/>
    <s v="17"/>
    <s v="Sep"/>
    <n v="5"/>
    <n v="5"/>
    <s v=""/>
    <s v="Coffee Mach"/>
    <s v="Kitchen"/>
    <n v="120000000"/>
    <x v="5"/>
    <x v="0"/>
    <x v="0"/>
    <x v="2"/>
    <x v="2"/>
  </r>
  <r>
    <d v="2020-09-17T00:00:00"/>
    <s v="17"/>
    <s v="Sep"/>
    <n v="5"/>
    <n v="5"/>
    <s v=""/>
    <s v="Cable"/>
    <s v="Networking"/>
    <n v="100000000"/>
    <x v="20"/>
    <x v="2"/>
    <x v="0"/>
    <x v="1"/>
    <x v="0"/>
  </r>
  <r>
    <d v="2020-09-17T00:00:00"/>
    <s v="17"/>
    <s v="Sep"/>
    <n v="5"/>
    <n v="5"/>
    <s v=""/>
    <s v="TV"/>
    <s v="Electronic"/>
    <n v="60000000"/>
    <x v="42"/>
    <x v="0"/>
    <x v="0"/>
    <x v="0"/>
    <x v="1"/>
  </r>
  <r>
    <d v="2020-09-17T00:00:00"/>
    <s v="17"/>
    <s v="Sep"/>
    <n v="4"/>
    <n v="4"/>
    <s v=""/>
    <s v="Table Lamp"/>
    <s v="Accessories"/>
    <n v="40000000"/>
    <x v="46"/>
    <x v="0"/>
    <x v="0"/>
    <x v="1"/>
    <x v="0"/>
  </r>
  <r>
    <d v="2020-09-17T00:00:00"/>
    <s v="17"/>
    <s v="Sep"/>
    <n v="3"/>
    <n v="3"/>
    <s v=""/>
    <s v="Table Lamp"/>
    <s v="Accessories"/>
    <n v="40000000"/>
    <x v="34"/>
    <x v="3"/>
    <x v="0"/>
    <x v="2"/>
    <x v="1"/>
  </r>
  <r>
    <d v="2020-09-17T00:00:00"/>
    <s v="17"/>
    <s v="Sep"/>
    <n v="3"/>
    <n v="3"/>
    <s v=""/>
    <s v="Cable"/>
    <s v="Networking"/>
    <n v="80000000"/>
    <x v="16"/>
    <x v="2"/>
    <x v="0"/>
    <x v="2"/>
    <x v="2"/>
  </r>
  <r>
    <d v="2020-09-18T00:00:00"/>
    <s v="18"/>
    <s v="Sep"/>
    <n v="10"/>
    <n v="10"/>
    <s v=""/>
    <s v="Office Table"/>
    <s v="Furniture"/>
    <n v="40000000"/>
    <x v="5"/>
    <x v="3"/>
    <x v="0"/>
    <x v="0"/>
    <x v="3"/>
  </r>
  <r>
    <d v="2020-09-18T00:00:00"/>
    <s v="18"/>
    <s v="Sep"/>
    <n v="7"/>
    <n v="7"/>
    <s v=""/>
    <s v="Office Chair"/>
    <s v="Furniture"/>
    <n v="60000000"/>
    <x v="33"/>
    <x v="5"/>
    <x v="0"/>
    <x v="1"/>
    <x v="2"/>
  </r>
  <r>
    <d v="2020-09-18T00:00:00"/>
    <s v="18"/>
    <s v="Sep"/>
    <n v="7"/>
    <n v="7"/>
    <s v=""/>
    <s v="TV"/>
    <s v="Electronic"/>
    <n v="140000000"/>
    <x v="19"/>
    <x v="2"/>
    <x v="0"/>
    <x v="0"/>
    <x v="3"/>
  </r>
  <r>
    <d v="2020-09-18T00:00:00"/>
    <s v="18"/>
    <s v="Sep"/>
    <n v="6"/>
    <n v="6"/>
    <s v=""/>
    <s v="Cable"/>
    <s v="Networking"/>
    <n v="80000000"/>
    <x v="15"/>
    <x v="0"/>
    <x v="0"/>
    <x v="1"/>
    <x v="1"/>
  </r>
  <r>
    <d v="2020-09-18T00:00:00"/>
    <s v="18"/>
    <s v="Sep"/>
    <n v="6"/>
    <n v="6"/>
    <s v=""/>
    <s v="TV"/>
    <s v="Electronic"/>
    <n v="120000000"/>
    <x v="10"/>
    <x v="0"/>
    <x v="0"/>
    <x v="0"/>
    <x v="0"/>
  </r>
  <r>
    <d v="2020-09-18T00:00:00"/>
    <s v="18"/>
    <s v="Sep"/>
    <n v="6"/>
    <n v="6"/>
    <s v=""/>
    <s v="AC"/>
    <s v="Electronic"/>
    <n v="80000000"/>
    <x v="19"/>
    <x v="1"/>
    <x v="0"/>
    <x v="0"/>
    <x v="3"/>
  </r>
  <r>
    <d v="2020-09-18T00:00:00"/>
    <s v="18"/>
    <s v="Sep"/>
    <n v="5"/>
    <n v="5"/>
    <s v=""/>
    <s v="Cable"/>
    <s v="Networking"/>
    <n v="80000000"/>
    <x v="41"/>
    <x v="4"/>
    <x v="0"/>
    <x v="2"/>
    <x v="3"/>
  </r>
  <r>
    <d v="2020-09-18T00:00:00"/>
    <s v="18"/>
    <s v="Sep"/>
    <n v="4"/>
    <n v="4"/>
    <s v=""/>
    <s v="Office Table"/>
    <s v="Furniture"/>
    <n v="100000000"/>
    <x v="36"/>
    <x v="0"/>
    <x v="0"/>
    <x v="1"/>
    <x v="1"/>
  </r>
  <r>
    <d v="2020-09-18T00:00:00"/>
    <s v="18"/>
    <s v="Sep"/>
    <n v="4"/>
    <n v="4"/>
    <s v=""/>
    <s v="Laptop"/>
    <s v="Computer"/>
    <n v="100000000"/>
    <x v="36"/>
    <x v="2"/>
    <x v="0"/>
    <x v="1"/>
    <x v="0"/>
  </r>
  <r>
    <d v="2020-09-18T00:00:00"/>
    <s v="18"/>
    <s v="Sep"/>
    <n v="4"/>
    <n v="4"/>
    <s v=""/>
    <s v="AC"/>
    <s v="Electronic"/>
    <n v="120000000"/>
    <x v="4"/>
    <x v="2"/>
    <x v="0"/>
    <x v="0"/>
    <x v="2"/>
  </r>
  <r>
    <d v="2020-09-18T00:00:00"/>
    <s v="18"/>
    <s v="Sep"/>
    <n v="3"/>
    <n v="3"/>
    <s v=""/>
    <s v="AC"/>
    <s v="Electronic"/>
    <n v="80000000"/>
    <x v="40"/>
    <x v="2"/>
    <x v="0"/>
    <x v="2"/>
    <x v="0"/>
  </r>
  <r>
    <d v="2020-09-19T00:00:00"/>
    <s v="19"/>
    <s v="Sep"/>
    <n v="7"/>
    <n v="7"/>
    <s v=""/>
    <s v="Cable"/>
    <s v="Networking"/>
    <n v="80000000"/>
    <x v="13"/>
    <x v="0"/>
    <x v="0"/>
    <x v="0"/>
    <x v="3"/>
  </r>
  <r>
    <d v="2020-09-19T00:00:00"/>
    <s v="19"/>
    <s v="Sep"/>
    <n v="6"/>
    <n v="6"/>
    <s v=""/>
    <s v="Cable"/>
    <s v="Networking"/>
    <n v="80000000"/>
    <x v="32"/>
    <x v="0"/>
    <x v="0"/>
    <x v="2"/>
    <x v="0"/>
  </r>
  <r>
    <d v="2020-09-19T00:00:00"/>
    <s v="19"/>
    <s v="Sep"/>
    <n v="6"/>
    <n v="6"/>
    <s v=""/>
    <s v="Office Chair"/>
    <s v="Furniture"/>
    <n v="100000000"/>
    <x v="34"/>
    <x v="0"/>
    <x v="0"/>
    <x v="0"/>
    <x v="0"/>
  </r>
  <r>
    <d v="2020-09-19T00:00:00"/>
    <s v="19"/>
    <s v="Sep"/>
    <n v="5"/>
    <n v="5"/>
    <s v=""/>
    <s v="Cable"/>
    <s v="Networking"/>
    <n v="140000000"/>
    <x v="29"/>
    <x v="5"/>
    <x v="0"/>
    <x v="1"/>
    <x v="3"/>
  </r>
  <r>
    <d v="2020-09-19T00:00:00"/>
    <s v="19"/>
    <s v="Sep"/>
    <n v="4"/>
    <n v="4"/>
    <s v=""/>
    <s v="Cable"/>
    <s v="Networking"/>
    <n v="100000000"/>
    <x v="2"/>
    <x v="0"/>
    <x v="0"/>
    <x v="2"/>
    <x v="1"/>
  </r>
  <r>
    <d v="2020-09-19T00:00:00"/>
    <s v="19"/>
    <s v="Sep"/>
    <n v="4"/>
    <n v="4"/>
    <s v=""/>
    <s v="TV"/>
    <s v="Electronic"/>
    <n v="140000000"/>
    <x v="45"/>
    <x v="2"/>
    <x v="0"/>
    <x v="1"/>
    <x v="2"/>
  </r>
  <r>
    <d v="2020-09-19T00:00:00"/>
    <s v="19"/>
    <s v="Sep"/>
    <n v="4"/>
    <n v="4"/>
    <s v=""/>
    <s v="TV"/>
    <s v="Electronic"/>
    <n v="80000000"/>
    <x v="21"/>
    <x v="5"/>
    <x v="0"/>
    <x v="2"/>
    <x v="3"/>
  </r>
  <r>
    <d v="2020-09-19T00:00:00"/>
    <s v="19"/>
    <s v="Sep"/>
    <n v="3"/>
    <n v="3"/>
    <s v=""/>
    <s v="Office Table"/>
    <s v="Furniture"/>
    <n v="140000000"/>
    <x v="0"/>
    <x v="2"/>
    <x v="0"/>
    <x v="2"/>
    <x v="2"/>
  </r>
  <r>
    <d v="2020-09-20T00:00:00"/>
    <s v="20"/>
    <s v="Sep"/>
    <n v="8"/>
    <n v="8"/>
    <s v=""/>
    <s v="Office Table"/>
    <s v="Furniture"/>
    <n v="120000000"/>
    <x v="1"/>
    <x v="2"/>
    <x v="0"/>
    <x v="1"/>
    <x v="0"/>
  </r>
  <r>
    <d v="2020-09-20T00:00:00"/>
    <s v="20"/>
    <s v="Sep"/>
    <n v="7"/>
    <n v="7"/>
    <s v=""/>
    <s v="Coffee Mach"/>
    <s v="Kitchen"/>
    <n v="140000000"/>
    <x v="17"/>
    <x v="0"/>
    <x v="0"/>
    <x v="0"/>
    <x v="0"/>
  </r>
  <r>
    <d v="2020-09-20T00:00:00"/>
    <s v="20"/>
    <s v="Sep"/>
    <n v="6"/>
    <n v="6"/>
    <s v=""/>
    <s v="Printer"/>
    <s v="Computer"/>
    <n v="120000000"/>
    <x v="1"/>
    <x v="0"/>
    <x v="0"/>
    <x v="2"/>
    <x v="2"/>
  </r>
  <r>
    <d v="2020-09-20T00:00:00"/>
    <s v="20"/>
    <s v="Sep"/>
    <n v="6"/>
    <n v="6"/>
    <s v=""/>
    <s v="Cable"/>
    <s v="Networking"/>
    <n v="140000000"/>
    <x v="48"/>
    <x v="0"/>
    <x v="0"/>
    <x v="0"/>
    <x v="3"/>
  </r>
  <r>
    <d v="2020-09-20T00:00:00"/>
    <s v="20"/>
    <s v="Sep"/>
    <n v="6"/>
    <n v="6"/>
    <s v=""/>
    <s v="Coffee Mach"/>
    <s v="Kitchen"/>
    <n v="120000000"/>
    <x v="16"/>
    <x v="2"/>
    <x v="0"/>
    <x v="1"/>
    <x v="1"/>
  </r>
  <r>
    <d v="2020-09-20T00:00:00"/>
    <s v="20"/>
    <s v="Sep"/>
    <n v="5"/>
    <n v="5"/>
    <s v=""/>
    <s v="Office Chair"/>
    <s v="Furniture"/>
    <n v="100000000"/>
    <x v="22"/>
    <x v="2"/>
    <x v="0"/>
    <x v="2"/>
    <x v="1"/>
  </r>
  <r>
    <d v="2020-09-20T00:00:00"/>
    <s v="20"/>
    <s v="Sep"/>
    <n v="5"/>
    <n v="5"/>
    <s v=""/>
    <s v="Office Table"/>
    <s v="Furniture"/>
    <n v="60000000"/>
    <x v="15"/>
    <x v="2"/>
    <x v="0"/>
    <x v="0"/>
    <x v="0"/>
  </r>
  <r>
    <d v="2020-09-20T00:00:00"/>
    <s v="20"/>
    <s v="Sep"/>
    <n v="4"/>
    <n v="4"/>
    <s v=""/>
    <s v="AC"/>
    <s v="Electronic"/>
    <n v="140000000"/>
    <x v="0"/>
    <x v="2"/>
    <x v="0"/>
    <x v="1"/>
    <x v="2"/>
  </r>
  <r>
    <d v="2020-09-20T00:00:00"/>
    <s v="20"/>
    <s v="Sep"/>
    <n v="3"/>
    <n v="3"/>
    <s v=""/>
    <s v="TV"/>
    <s v="Electronic"/>
    <n v="60000000"/>
    <x v="13"/>
    <x v="3"/>
    <x v="0"/>
    <x v="2"/>
    <x v="1"/>
  </r>
  <r>
    <d v="2020-09-20T00:00:00"/>
    <s v="20"/>
    <s v="Sep"/>
    <n v="3"/>
    <n v="3"/>
    <s v=""/>
    <s v="AC"/>
    <s v="Electronic"/>
    <n v="40000000"/>
    <x v="20"/>
    <x v="0"/>
    <x v="0"/>
    <x v="0"/>
    <x v="2"/>
  </r>
  <r>
    <d v="2020-09-20T00:00:00"/>
    <s v="20"/>
    <s v="Sep"/>
    <n v="3"/>
    <n v="3"/>
    <s v=""/>
    <s v="AC"/>
    <s v="Electronic"/>
    <n v="100000000"/>
    <x v="42"/>
    <x v="0"/>
    <x v="0"/>
    <x v="0"/>
    <x v="2"/>
  </r>
  <r>
    <d v="2020-09-21T00:00:00"/>
    <s v="21"/>
    <s v="Sep"/>
    <n v="10"/>
    <n v="10"/>
    <s v=""/>
    <s v="Printer"/>
    <s v="Computer"/>
    <n v="100000000"/>
    <x v="21"/>
    <x v="2"/>
    <x v="0"/>
    <x v="0"/>
    <x v="3"/>
  </r>
  <r>
    <d v="2020-09-21T00:00:00"/>
    <s v="21"/>
    <s v="Sep"/>
    <n v="10"/>
    <n v="10"/>
    <s v=""/>
    <s v="Office Table"/>
    <s v="Furniture"/>
    <n v="120000000"/>
    <x v="14"/>
    <x v="2"/>
    <x v="0"/>
    <x v="1"/>
    <x v="2"/>
  </r>
  <r>
    <d v="2020-09-21T00:00:00"/>
    <s v="21"/>
    <s v="Sep"/>
    <n v="9"/>
    <n v="9"/>
    <s v=""/>
    <s v="TV"/>
    <s v="Electronic"/>
    <n v="60000000"/>
    <x v="27"/>
    <x v="4"/>
    <x v="0"/>
    <x v="1"/>
    <x v="2"/>
  </r>
  <r>
    <d v="2020-09-21T00:00:00"/>
    <s v="21"/>
    <s v="Sep"/>
    <n v="7"/>
    <n v="7"/>
    <s v=""/>
    <s v="Table Lamp"/>
    <s v="Accessories"/>
    <n v="40000000"/>
    <x v="26"/>
    <x v="0"/>
    <x v="0"/>
    <x v="2"/>
    <x v="0"/>
  </r>
  <r>
    <d v="2020-09-21T00:00:00"/>
    <s v="21"/>
    <s v="Sep"/>
    <n v="7"/>
    <n v="7"/>
    <s v=""/>
    <s v="Laptop"/>
    <s v="Computer"/>
    <n v="140000000"/>
    <x v="46"/>
    <x v="0"/>
    <x v="0"/>
    <x v="1"/>
    <x v="3"/>
  </r>
  <r>
    <d v="2020-09-21T00:00:00"/>
    <s v="21"/>
    <s v="Sep"/>
    <n v="6"/>
    <n v="6"/>
    <s v=""/>
    <s v="Office Table"/>
    <s v="Furniture"/>
    <n v="120000000"/>
    <x v="47"/>
    <x v="0"/>
    <x v="0"/>
    <x v="2"/>
    <x v="3"/>
  </r>
  <r>
    <d v="2020-09-21T00:00:00"/>
    <s v="21"/>
    <s v="Sep"/>
    <n v="6"/>
    <n v="6"/>
    <s v=""/>
    <s v="Cable"/>
    <s v="Networking"/>
    <n v="140000000"/>
    <x v="31"/>
    <x v="2"/>
    <x v="0"/>
    <x v="2"/>
    <x v="0"/>
  </r>
  <r>
    <d v="2020-09-21T00:00:00"/>
    <s v="21"/>
    <s v="Sep"/>
    <n v="5"/>
    <n v="5"/>
    <s v=""/>
    <s v="TV"/>
    <s v="Electronic"/>
    <n v="140000000"/>
    <x v="7"/>
    <x v="5"/>
    <x v="0"/>
    <x v="0"/>
    <x v="0"/>
  </r>
  <r>
    <d v="2020-09-21T00:00:00"/>
    <s v="21"/>
    <s v="Sep"/>
    <n v="5"/>
    <n v="5"/>
    <s v=""/>
    <s v="Coffee Mach"/>
    <s v="Kitchen"/>
    <n v="120000000"/>
    <x v="28"/>
    <x v="0"/>
    <x v="0"/>
    <x v="1"/>
    <x v="1"/>
  </r>
  <r>
    <d v="2020-09-21T00:00:00"/>
    <s v="21"/>
    <s v="Sep"/>
    <n v="5"/>
    <n v="5"/>
    <s v=""/>
    <s v="Laptop"/>
    <s v="Computer"/>
    <n v="140000000"/>
    <x v="26"/>
    <x v="3"/>
    <x v="0"/>
    <x v="2"/>
    <x v="3"/>
  </r>
  <r>
    <d v="2020-09-21T00:00:00"/>
    <s v="21"/>
    <s v="Sep"/>
    <n v="4"/>
    <n v="4"/>
    <s v=""/>
    <s v="AC"/>
    <s v="Electronic"/>
    <n v="120000000"/>
    <x v="12"/>
    <x v="0"/>
    <x v="0"/>
    <x v="0"/>
    <x v="2"/>
  </r>
  <r>
    <d v="2020-09-21T00:00:00"/>
    <s v="21"/>
    <s v="Sep"/>
    <n v="4"/>
    <n v="4"/>
    <s v=""/>
    <s v="Office Table"/>
    <s v="Furniture"/>
    <n v="60000000"/>
    <x v="16"/>
    <x v="0"/>
    <x v="0"/>
    <x v="2"/>
    <x v="1"/>
  </r>
  <r>
    <d v="2020-09-21T00:00:00"/>
    <s v="21"/>
    <s v="Sep"/>
    <n v="4"/>
    <n v="4"/>
    <s v=""/>
    <s v="Coffee Mach"/>
    <s v="Kitchen"/>
    <n v="120000000"/>
    <x v="11"/>
    <x v="2"/>
    <x v="0"/>
    <x v="1"/>
    <x v="2"/>
  </r>
  <r>
    <d v="2020-09-21T00:00:00"/>
    <s v="21"/>
    <s v="Sep"/>
    <n v="4"/>
    <n v="4"/>
    <s v=""/>
    <s v="Coffee Mach"/>
    <s v="Kitchen"/>
    <n v="140000000"/>
    <x v="46"/>
    <x v="0"/>
    <x v="0"/>
    <x v="1"/>
    <x v="0"/>
  </r>
  <r>
    <d v="2020-09-21T00:00:00"/>
    <s v="21"/>
    <s v="Sep"/>
    <n v="3"/>
    <n v="3"/>
    <s v=""/>
    <s v="AC"/>
    <s v="Electronic"/>
    <n v="60000000"/>
    <x v="36"/>
    <x v="2"/>
    <x v="0"/>
    <x v="1"/>
    <x v="1"/>
  </r>
  <r>
    <d v="2020-09-21T00:00:00"/>
    <s v="21"/>
    <s v="Sep"/>
    <n v="3"/>
    <n v="3"/>
    <s v=""/>
    <s v="Laptop"/>
    <s v="Computer"/>
    <n v="120000000"/>
    <x v="14"/>
    <x v="2"/>
    <x v="0"/>
    <x v="0"/>
    <x v="2"/>
  </r>
  <r>
    <d v="2020-09-22T00:00:00"/>
    <s v="22"/>
    <s v="Sep"/>
    <n v="9"/>
    <n v="8"/>
    <n v="1"/>
    <s v="Office Chair"/>
    <s v="Furniture"/>
    <n v="60000000"/>
    <x v="23"/>
    <x v="0"/>
    <x v="0"/>
    <x v="0"/>
    <x v="0"/>
  </r>
  <r>
    <d v="2020-09-22T00:00:00"/>
    <s v="22"/>
    <s v="Sep"/>
    <n v="8"/>
    <n v="4"/>
    <n v="4"/>
    <s v="Printer"/>
    <s v="Computer"/>
    <n v="80000000"/>
    <x v="7"/>
    <x v="3"/>
    <x v="0"/>
    <x v="0"/>
    <x v="3"/>
  </r>
  <r>
    <d v="2020-09-22T00:00:00"/>
    <s v="22"/>
    <s v="Sep"/>
    <n v="8"/>
    <n v="5"/>
    <n v="3"/>
    <s v="Laptop"/>
    <s v="Computer"/>
    <n v="140000000"/>
    <x v="14"/>
    <x v="0"/>
    <x v="0"/>
    <x v="1"/>
    <x v="3"/>
  </r>
  <r>
    <d v="2020-09-22T00:00:00"/>
    <s v="22"/>
    <s v="Sep"/>
    <n v="8"/>
    <n v="6"/>
    <n v="2"/>
    <s v="Office Table"/>
    <s v="Furniture"/>
    <n v="120000000"/>
    <x v="48"/>
    <x v="0"/>
    <x v="0"/>
    <x v="0"/>
    <x v="0"/>
  </r>
  <r>
    <d v="2020-09-22T00:00:00"/>
    <s v="22"/>
    <s v="Sep"/>
    <n v="7"/>
    <n v="6"/>
    <n v="1"/>
    <s v="Coffee Mach"/>
    <s v="Kitchen"/>
    <n v="140000000"/>
    <x v="25"/>
    <x v="1"/>
    <x v="0"/>
    <x v="2"/>
    <x v="1"/>
  </r>
  <r>
    <d v="2020-09-22T00:00:00"/>
    <s v="22"/>
    <s v="Sep"/>
    <n v="7"/>
    <n v="4"/>
    <n v="3"/>
    <s v="Cable"/>
    <s v="Networking"/>
    <n v="60000000"/>
    <x v="4"/>
    <x v="0"/>
    <x v="0"/>
    <x v="1"/>
    <x v="3"/>
  </r>
  <r>
    <d v="2020-09-22T00:00:00"/>
    <s v="22"/>
    <s v="Sep"/>
    <n v="5"/>
    <n v="3"/>
    <n v="2"/>
    <s v="Coffee Mach"/>
    <s v="Kitchen"/>
    <n v="100000000"/>
    <x v="0"/>
    <x v="2"/>
    <x v="0"/>
    <x v="1"/>
    <x v="0"/>
  </r>
  <r>
    <d v="2020-09-22T00:00:00"/>
    <s v="22"/>
    <s v="Sep"/>
    <n v="4"/>
    <n v="2"/>
    <n v="2"/>
    <s v="Coffee Mach"/>
    <s v="Kitchen"/>
    <n v="100000000"/>
    <x v="39"/>
    <x v="2"/>
    <x v="0"/>
    <x v="0"/>
    <x v="3"/>
  </r>
  <r>
    <d v="2020-09-22T00:00:00"/>
    <s v="22"/>
    <s v="Sep"/>
    <n v="4"/>
    <n v="3"/>
    <n v="1"/>
    <s v="Coffee Mach"/>
    <s v="Kitchen"/>
    <n v="100000000"/>
    <x v="43"/>
    <x v="0"/>
    <x v="0"/>
    <x v="0"/>
    <x v="1"/>
  </r>
  <r>
    <d v="2020-09-22T00:00:00"/>
    <s v="22"/>
    <s v="Sep"/>
    <n v="4"/>
    <n v="2"/>
    <n v="2"/>
    <s v="Office Table"/>
    <s v="Furniture"/>
    <n v="40000000"/>
    <x v="44"/>
    <x v="2"/>
    <x v="0"/>
    <x v="2"/>
    <x v="3"/>
  </r>
  <r>
    <d v="2020-09-22T00:00:00"/>
    <s v="22"/>
    <s v="Sep"/>
    <n v="3"/>
    <n v="2"/>
    <n v="1"/>
    <s v="TV"/>
    <s v="Electronic"/>
    <n v="40000000"/>
    <x v="37"/>
    <x v="2"/>
    <x v="0"/>
    <x v="2"/>
    <x v="3"/>
  </r>
  <r>
    <d v="2020-09-23T00:00:00"/>
    <s v="23"/>
    <s v="Sep"/>
    <n v="10"/>
    <n v="9"/>
    <n v="1"/>
    <s v="Laptop"/>
    <s v="Computer"/>
    <n v="120000000"/>
    <x v="28"/>
    <x v="2"/>
    <x v="0"/>
    <x v="0"/>
    <x v="1"/>
  </r>
  <r>
    <d v="2020-09-23T00:00:00"/>
    <s v="23"/>
    <s v="Sep"/>
    <n v="10"/>
    <n v="6"/>
    <n v="4"/>
    <s v="Table Lamp"/>
    <s v="Accessories"/>
    <n v="60000000"/>
    <x v="15"/>
    <x v="5"/>
    <x v="0"/>
    <x v="0"/>
    <x v="1"/>
  </r>
  <r>
    <d v="2020-09-23T00:00:00"/>
    <s v="23"/>
    <s v="Sep"/>
    <n v="8"/>
    <n v="5"/>
    <n v="3"/>
    <s v="Office Table"/>
    <s v="Furniture"/>
    <n v="80000000"/>
    <x v="33"/>
    <x v="2"/>
    <x v="0"/>
    <x v="1"/>
    <x v="3"/>
  </r>
  <r>
    <d v="2020-09-23T00:00:00"/>
    <s v="23"/>
    <s v="Sep"/>
    <n v="5"/>
    <n v="3"/>
    <n v="2"/>
    <s v="TV"/>
    <s v="Electronic"/>
    <n v="120000000"/>
    <x v="8"/>
    <x v="4"/>
    <x v="0"/>
    <x v="0"/>
    <x v="2"/>
  </r>
  <r>
    <d v="2020-09-23T00:00:00"/>
    <s v="23"/>
    <s v="Sep"/>
    <n v="3"/>
    <n v="1"/>
    <n v="2"/>
    <s v="Office Table"/>
    <s v="Furniture"/>
    <n v="60000000"/>
    <x v="2"/>
    <x v="2"/>
    <x v="0"/>
    <x v="2"/>
    <x v="1"/>
  </r>
  <r>
    <d v="2020-09-24T00:00:00"/>
    <s v="24"/>
    <s v="Sep"/>
    <n v="8"/>
    <n v="6"/>
    <n v="2"/>
    <s v="Office Table"/>
    <s v="Furniture"/>
    <n v="140000000"/>
    <x v="33"/>
    <x v="0"/>
    <x v="0"/>
    <x v="1"/>
    <x v="2"/>
  </r>
  <r>
    <d v="2020-09-24T00:00:00"/>
    <s v="24"/>
    <s v="Sep"/>
    <n v="7"/>
    <n v="4"/>
    <n v="3"/>
    <s v="TV"/>
    <s v="Electronic"/>
    <n v="100000000"/>
    <x v="5"/>
    <x v="2"/>
    <x v="0"/>
    <x v="1"/>
    <x v="3"/>
  </r>
  <r>
    <d v="2020-09-24T00:00:00"/>
    <s v="24"/>
    <s v="Sep"/>
    <n v="7"/>
    <n v="6"/>
    <n v="1"/>
    <s v="Laptop"/>
    <s v="Computer"/>
    <n v="40000000"/>
    <x v="30"/>
    <x v="0"/>
    <x v="0"/>
    <x v="0"/>
    <x v="2"/>
  </r>
  <r>
    <d v="2020-09-24T00:00:00"/>
    <s v="24"/>
    <s v="Sep"/>
    <n v="6"/>
    <n v="5"/>
    <n v="1"/>
    <s v="Laptop"/>
    <s v="Computer"/>
    <n v="140000000"/>
    <x v="23"/>
    <x v="0"/>
    <x v="0"/>
    <x v="2"/>
    <x v="3"/>
  </r>
  <r>
    <d v="2020-09-24T00:00:00"/>
    <s v="24"/>
    <s v="Sep"/>
    <n v="5"/>
    <n v="3"/>
    <n v="2"/>
    <s v="Office Table"/>
    <s v="Furniture"/>
    <n v="100000000"/>
    <x v="32"/>
    <x v="0"/>
    <x v="0"/>
    <x v="1"/>
    <x v="1"/>
  </r>
  <r>
    <d v="2020-09-24T00:00:00"/>
    <s v="24"/>
    <s v="Sep"/>
    <n v="4"/>
    <n v="3"/>
    <n v="1"/>
    <s v="Office Chair"/>
    <s v="Furniture"/>
    <n v="60000000"/>
    <x v="32"/>
    <x v="0"/>
    <x v="0"/>
    <x v="0"/>
    <x v="1"/>
  </r>
  <r>
    <d v="2020-09-24T00:00:00"/>
    <s v="24"/>
    <s v="Sep"/>
    <n v="3"/>
    <n v="2"/>
    <n v="1"/>
    <s v="Printer"/>
    <s v="Computer"/>
    <n v="140000000"/>
    <x v="47"/>
    <x v="0"/>
    <x v="0"/>
    <x v="2"/>
    <x v="0"/>
  </r>
  <r>
    <d v="2020-09-24T00:00:00"/>
    <s v="24"/>
    <s v="Sep"/>
    <n v="3"/>
    <n v="2"/>
    <n v="1"/>
    <s v="Printer"/>
    <s v="Computer"/>
    <n v="120000000"/>
    <x v="0"/>
    <x v="0"/>
    <x v="0"/>
    <x v="1"/>
    <x v="2"/>
  </r>
  <r>
    <d v="2020-09-24T00:00:00"/>
    <s v="24"/>
    <s v="Sep"/>
    <n v="3"/>
    <n v="1"/>
    <n v="2"/>
    <s v="Cable"/>
    <s v="Networking"/>
    <n v="80000000"/>
    <x v="16"/>
    <x v="2"/>
    <x v="0"/>
    <x v="0"/>
    <x v="0"/>
  </r>
  <r>
    <d v="2020-09-24T00:00:00"/>
    <s v="24"/>
    <s v="Sep"/>
    <n v="3"/>
    <n v="1"/>
    <n v="2"/>
    <s v="Office Table"/>
    <s v="Furniture"/>
    <n v="140000000"/>
    <x v="9"/>
    <x v="5"/>
    <x v="0"/>
    <x v="2"/>
    <x v="2"/>
  </r>
  <r>
    <d v="2020-09-25T00:00:00"/>
    <s v="25"/>
    <s v="Sep"/>
    <n v="10"/>
    <n v="9"/>
    <n v="1"/>
    <s v="TV"/>
    <s v="Electronic"/>
    <n v="120000000"/>
    <x v="15"/>
    <x v="2"/>
    <x v="0"/>
    <x v="2"/>
    <x v="0"/>
  </r>
  <r>
    <d v="2020-09-25T00:00:00"/>
    <s v="25"/>
    <s v="Sep"/>
    <n v="9"/>
    <n v="8"/>
    <n v="1"/>
    <s v="AC"/>
    <s v="Electronic"/>
    <n v="40000000"/>
    <x v="4"/>
    <x v="4"/>
    <x v="0"/>
    <x v="1"/>
    <x v="1"/>
  </r>
  <r>
    <d v="2020-09-25T00:00:00"/>
    <s v="25"/>
    <s v="Sep"/>
    <n v="9"/>
    <n v="5"/>
    <n v="4"/>
    <s v="AC"/>
    <s v="Electronic"/>
    <n v="140000000"/>
    <x v="35"/>
    <x v="2"/>
    <x v="0"/>
    <x v="1"/>
    <x v="0"/>
  </r>
  <r>
    <d v="2020-09-25T00:00:00"/>
    <s v="25"/>
    <s v="Sep"/>
    <n v="9"/>
    <n v="5"/>
    <n v="4"/>
    <s v="AC"/>
    <s v="Electronic"/>
    <n v="60000000"/>
    <x v="47"/>
    <x v="0"/>
    <x v="0"/>
    <x v="0"/>
    <x v="3"/>
  </r>
  <r>
    <d v="2020-09-25T00:00:00"/>
    <s v="25"/>
    <s v="Sep"/>
    <n v="8"/>
    <n v="7"/>
    <n v="1"/>
    <s v="Printer"/>
    <s v="Computer"/>
    <n v="140000000"/>
    <x v="26"/>
    <x v="4"/>
    <x v="0"/>
    <x v="1"/>
    <x v="3"/>
  </r>
  <r>
    <d v="2020-09-25T00:00:00"/>
    <s v="25"/>
    <s v="Sep"/>
    <n v="8"/>
    <n v="6"/>
    <n v="2"/>
    <s v="Coffee Mach"/>
    <s v="Kitchen"/>
    <n v="140000000"/>
    <x v="30"/>
    <x v="2"/>
    <x v="0"/>
    <x v="2"/>
    <x v="2"/>
  </r>
  <r>
    <d v="2020-09-25T00:00:00"/>
    <s v="25"/>
    <s v="Sep"/>
    <n v="8"/>
    <n v="4"/>
    <n v="4"/>
    <s v="Table Lamp"/>
    <s v="Accessories"/>
    <n v="60000000"/>
    <x v="29"/>
    <x v="5"/>
    <x v="0"/>
    <x v="1"/>
    <x v="3"/>
  </r>
  <r>
    <d v="2020-09-25T00:00:00"/>
    <s v="25"/>
    <s v="Sep"/>
    <n v="8"/>
    <n v="7"/>
    <n v="1"/>
    <s v="Laptop"/>
    <s v="Computer"/>
    <n v="40000000"/>
    <x v="14"/>
    <x v="0"/>
    <x v="0"/>
    <x v="0"/>
    <x v="0"/>
  </r>
  <r>
    <d v="2020-09-25T00:00:00"/>
    <s v="25"/>
    <s v="Sep"/>
    <n v="8"/>
    <n v="7"/>
    <n v="1"/>
    <s v="Office Chair"/>
    <s v="Furniture"/>
    <n v="60000000"/>
    <x v="24"/>
    <x v="4"/>
    <x v="0"/>
    <x v="1"/>
    <x v="0"/>
  </r>
  <r>
    <d v="2020-09-25T00:00:00"/>
    <s v="25"/>
    <s v="Sep"/>
    <n v="3"/>
    <n v="1"/>
    <n v="2"/>
    <s v="TV"/>
    <s v="Electronic"/>
    <n v="40000000"/>
    <x v="47"/>
    <x v="0"/>
    <x v="0"/>
    <x v="0"/>
    <x v="3"/>
  </r>
  <r>
    <d v="2020-09-26T00:00:00"/>
    <s v="26"/>
    <s v="Sep"/>
    <n v="8"/>
    <n v="6"/>
    <n v="2"/>
    <s v="Coffee Mach"/>
    <s v="Kitchen"/>
    <n v="40000000"/>
    <x v="13"/>
    <x v="0"/>
    <x v="0"/>
    <x v="1"/>
    <x v="1"/>
  </r>
  <r>
    <d v="2020-09-26T00:00:00"/>
    <s v="26"/>
    <s v="Sep"/>
    <n v="6"/>
    <n v="3"/>
    <n v="3"/>
    <s v="TV"/>
    <s v="Electronic"/>
    <n v="100000000"/>
    <x v="25"/>
    <x v="0"/>
    <x v="0"/>
    <x v="2"/>
    <x v="1"/>
  </r>
  <r>
    <d v="2020-09-26T00:00:00"/>
    <s v="26"/>
    <s v="Sep"/>
    <n v="6"/>
    <n v="3"/>
    <n v="3"/>
    <s v="Office Table"/>
    <s v="Furniture"/>
    <n v="100000000"/>
    <x v="44"/>
    <x v="2"/>
    <x v="0"/>
    <x v="1"/>
    <x v="0"/>
  </r>
  <r>
    <d v="2020-09-26T00:00:00"/>
    <s v="26"/>
    <s v="Sep"/>
    <n v="5"/>
    <n v="3"/>
    <n v="2"/>
    <s v="Cable"/>
    <s v="Networking"/>
    <n v="80000000"/>
    <x v="18"/>
    <x v="4"/>
    <x v="0"/>
    <x v="1"/>
    <x v="1"/>
  </r>
  <r>
    <d v="2020-09-26T00:00:00"/>
    <s v="26"/>
    <s v="Sep"/>
    <n v="5"/>
    <n v="4"/>
    <n v="1"/>
    <s v="Office Chair"/>
    <s v="Furniture"/>
    <n v="40000000"/>
    <x v="15"/>
    <x v="4"/>
    <x v="0"/>
    <x v="0"/>
    <x v="0"/>
  </r>
  <r>
    <d v="2020-09-27T00:00:00"/>
    <s v="27"/>
    <s v="Sep"/>
    <n v="10"/>
    <n v="7"/>
    <n v="3"/>
    <s v="AC"/>
    <s v="Electronic"/>
    <n v="60000000"/>
    <x v="25"/>
    <x v="2"/>
    <x v="0"/>
    <x v="0"/>
    <x v="0"/>
  </r>
  <r>
    <d v="2020-09-27T00:00:00"/>
    <s v="27"/>
    <s v="Sep"/>
    <n v="9"/>
    <n v="7"/>
    <n v="2"/>
    <s v="Printer"/>
    <s v="Computer"/>
    <n v="140000000"/>
    <x v="36"/>
    <x v="4"/>
    <x v="0"/>
    <x v="2"/>
    <x v="0"/>
  </r>
  <r>
    <d v="2020-09-27T00:00:00"/>
    <s v="27"/>
    <s v="Sep"/>
    <n v="8"/>
    <n v="5"/>
    <n v="3"/>
    <s v="Table Lamp"/>
    <s v="Accessories"/>
    <n v="100000000"/>
    <x v="2"/>
    <x v="4"/>
    <x v="0"/>
    <x v="2"/>
    <x v="3"/>
  </r>
  <r>
    <d v="2020-09-27T00:00:00"/>
    <s v="27"/>
    <s v="Sep"/>
    <n v="8"/>
    <n v="6"/>
    <n v="2"/>
    <s v="Coffee Mach"/>
    <s v="Kitchen"/>
    <n v="120000000"/>
    <x v="44"/>
    <x v="4"/>
    <x v="0"/>
    <x v="1"/>
    <x v="2"/>
  </r>
  <r>
    <d v="2020-09-27T00:00:00"/>
    <s v="27"/>
    <s v="Sep"/>
    <n v="7"/>
    <n v="4"/>
    <n v="3"/>
    <s v="Office Table"/>
    <s v="Furniture"/>
    <n v="80000000"/>
    <x v="44"/>
    <x v="2"/>
    <x v="0"/>
    <x v="0"/>
    <x v="2"/>
  </r>
  <r>
    <d v="2020-09-27T00:00:00"/>
    <s v="27"/>
    <s v="Sep"/>
    <n v="7"/>
    <n v="5"/>
    <n v="2"/>
    <s v="Table Lamp"/>
    <s v="Accessories"/>
    <n v="120000000"/>
    <x v="24"/>
    <x v="0"/>
    <x v="0"/>
    <x v="1"/>
    <x v="3"/>
  </r>
  <r>
    <d v="2020-09-27T00:00:00"/>
    <s v="27"/>
    <s v="Sep"/>
    <n v="6"/>
    <n v="5"/>
    <n v="1"/>
    <s v="TV"/>
    <s v="Electronic"/>
    <n v="60000000"/>
    <x v="32"/>
    <x v="2"/>
    <x v="0"/>
    <x v="0"/>
    <x v="2"/>
  </r>
  <r>
    <d v="2020-09-27T00:00:00"/>
    <s v="27"/>
    <s v="Sep"/>
    <n v="5"/>
    <n v="3"/>
    <n v="2"/>
    <s v="Office Chair"/>
    <s v="Furniture"/>
    <n v="80000000"/>
    <x v="36"/>
    <x v="2"/>
    <x v="0"/>
    <x v="2"/>
    <x v="2"/>
  </r>
  <r>
    <d v="2020-09-27T00:00:00"/>
    <s v="27"/>
    <s v="Sep"/>
    <n v="4"/>
    <n v="2"/>
    <n v="2"/>
    <s v="Coffee Mach"/>
    <s v="Kitchen"/>
    <n v="40000000"/>
    <x v="2"/>
    <x v="0"/>
    <x v="0"/>
    <x v="0"/>
    <x v="1"/>
  </r>
  <r>
    <d v="2020-09-27T00:00:00"/>
    <s v="27"/>
    <s v="Sep"/>
    <n v="4"/>
    <n v="2"/>
    <n v="2"/>
    <s v="TV"/>
    <s v="Electronic"/>
    <n v="100000000"/>
    <x v="0"/>
    <x v="0"/>
    <x v="0"/>
    <x v="0"/>
    <x v="0"/>
  </r>
  <r>
    <d v="2020-09-28T00:00:00"/>
    <s v="28"/>
    <s v="Sep"/>
    <n v="10"/>
    <n v="8"/>
    <n v="2"/>
    <s v="AC"/>
    <s v="Electronic"/>
    <n v="100000000"/>
    <x v="32"/>
    <x v="0"/>
    <x v="0"/>
    <x v="2"/>
    <x v="0"/>
  </r>
  <r>
    <d v="2020-09-28T00:00:00"/>
    <s v="28"/>
    <s v="Sep"/>
    <n v="9"/>
    <n v="8"/>
    <n v="1"/>
    <s v="Printer"/>
    <s v="Computer"/>
    <n v="120000000"/>
    <x v="26"/>
    <x v="0"/>
    <x v="0"/>
    <x v="2"/>
    <x v="3"/>
  </r>
  <r>
    <d v="2020-09-28T00:00:00"/>
    <s v="28"/>
    <s v="Sep"/>
    <n v="8"/>
    <n v="5"/>
    <n v="3"/>
    <s v="AC"/>
    <s v="Electronic"/>
    <n v="80000000"/>
    <x v="22"/>
    <x v="0"/>
    <x v="0"/>
    <x v="1"/>
    <x v="0"/>
  </r>
  <r>
    <d v="2020-09-28T00:00:00"/>
    <s v="28"/>
    <s v="Sep"/>
    <n v="6"/>
    <n v="3"/>
    <n v="3"/>
    <s v="Office Chair"/>
    <s v="Furniture"/>
    <n v="40000000"/>
    <x v="20"/>
    <x v="0"/>
    <x v="0"/>
    <x v="1"/>
    <x v="3"/>
  </r>
  <r>
    <d v="2020-09-28T00:00:00"/>
    <s v="28"/>
    <s v="Sep"/>
    <n v="5"/>
    <n v="4"/>
    <n v="1"/>
    <s v="Printer"/>
    <s v="Computer"/>
    <n v="60000000"/>
    <x v="38"/>
    <x v="0"/>
    <x v="0"/>
    <x v="1"/>
    <x v="3"/>
  </r>
  <r>
    <d v="2020-09-28T00:00:00"/>
    <s v="28"/>
    <s v="Sep"/>
    <n v="4"/>
    <n v="2"/>
    <n v="2"/>
    <s v="Cable"/>
    <s v="Networking"/>
    <n v="140000000"/>
    <x v="31"/>
    <x v="0"/>
    <x v="0"/>
    <x v="1"/>
    <x v="1"/>
  </r>
  <r>
    <d v="2020-09-28T00:00:00"/>
    <s v="28"/>
    <s v="Sep"/>
    <n v="4"/>
    <n v="2"/>
    <n v="2"/>
    <s v="Coffee Mach"/>
    <s v="Kitchen"/>
    <n v="100000000"/>
    <x v="35"/>
    <x v="5"/>
    <x v="0"/>
    <x v="1"/>
    <x v="3"/>
  </r>
  <r>
    <d v="2020-09-29T00:00:00"/>
    <s v="29"/>
    <s v="Sep"/>
    <n v="9"/>
    <n v="8"/>
    <n v="1"/>
    <s v="Coffee Mach"/>
    <s v="Kitchen"/>
    <n v="120000000"/>
    <x v="43"/>
    <x v="4"/>
    <x v="0"/>
    <x v="2"/>
    <x v="2"/>
  </r>
  <r>
    <d v="2020-09-29T00:00:00"/>
    <s v="29"/>
    <s v="Sep"/>
    <n v="7"/>
    <n v="6"/>
    <n v="1"/>
    <s v="Office Chair"/>
    <s v="Furniture"/>
    <n v="40000000"/>
    <x v="19"/>
    <x v="0"/>
    <x v="0"/>
    <x v="1"/>
    <x v="0"/>
  </r>
  <r>
    <d v="2020-09-29T00:00:00"/>
    <s v="29"/>
    <s v="Sep"/>
    <n v="5"/>
    <n v="4"/>
    <n v="1"/>
    <s v="Office Chair"/>
    <s v="Furniture"/>
    <n v="100000000"/>
    <x v="39"/>
    <x v="1"/>
    <x v="0"/>
    <x v="0"/>
    <x v="3"/>
  </r>
  <r>
    <d v="2020-09-29T00:00:00"/>
    <s v="29"/>
    <s v="Sep"/>
    <n v="4"/>
    <n v="3"/>
    <n v="1"/>
    <s v="Office Chair"/>
    <s v="Furniture"/>
    <n v="140000000"/>
    <x v="40"/>
    <x v="2"/>
    <x v="0"/>
    <x v="2"/>
    <x v="1"/>
  </r>
  <r>
    <d v="2020-09-29T00:00:00"/>
    <s v="29"/>
    <s v="Sep"/>
    <n v="4"/>
    <n v="3"/>
    <n v="1"/>
    <s v="TV"/>
    <s v="Electronic"/>
    <n v="40000000"/>
    <x v="14"/>
    <x v="0"/>
    <x v="0"/>
    <x v="0"/>
    <x v="1"/>
  </r>
  <r>
    <d v="2020-09-30T00:00:00"/>
    <s v="30"/>
    <s v="Sep"/>
    <n v="8"/>
    <n v="7"/>
    <n v="1"/>
    <s v="AC"/>
    <s v="Electronic"/>
    <n v="100000000"/>
    <x v="6"/>
    <x v="4"/>
    <x v="0"/>
    <x v="2"/>
    <x v="0"/>
  </r>
  <r>
    <d v="2020-09-30T00:00:00"/>
    <s v="30"/>
    <s v="Sep"/>
    <n v="7"/>
    <n v="4"/>
    <n v="3"/>
    <s v="Cable"/>
    <s v="Networking"/>
    <n v="80000000"/>
    <x v="44"/>
    <x v="4"/>
    <x v="0"/>
    <x v="0"/>
    <x v="2"/>
  </r>
  <r>
    <d v="2020-09-30T00:00:00"/>
    <s v="30"/>
    <s v="Sep"/>
    <n v="7"/>
    <n v="5"/>
    <n v="2"/>
    <s v="Office Chair"/>
    <s v="Furniture"/>
    <n v="100000000"/>
    <x v="31"/>
    <x v="2"/>
    <x v="0"/>
    <x v="2"/>
    <x v="1"/>
  </r>
  <r>
    <d v="2020-09-30T00:00:00"/>
    <s v="30"/>
    <s v="Sep"/>
    <n v="7"/>
    <n v="6"/>
    <n v="1"/>
    <s v="Printer"/>
    <s v="Computer"/>
    <n v="40000000"/>
    <x v="20"/>
    <x v="0"/>
    <x v="0"/>
    <x v="1"/>
    <x v="0"/>
  </r>
  <r>
    <d v="2020-09-30T00:00:00"/>
    <s v="30"/>
    <s v="Sep"/>
    <n v="6"/>
    <n v="4"/>
    <n v="2"/>
    <s v="Table Lamp"/>
    <s v="Accessories"/>
    <n v="140000000"/>
    <x v="10"/>
    <x v="2"/>
    <x v="0"/>
    <x v="1"/>
    <x v="0"/>
  </r>
  <r>
    <d v="2020-10-01T00:00:00"/>
    <s v="1"/>
    <s v="Okt"/>
    <n v="10"/>
    <n v="9"/>
    <n v="1"/>
    <s v="Printer"/>
    <s v="Computer"/>
    <n v="80000000"/>
    <x v="49"/>
    <x v="2"/>
    <x v="0"/>
    <x v="2"/>
    <x v="3"/>
  </r>
  <r>
    <d v="2020-10-01T00:00:00"/>
    <s v="1"/>
    <s v="Okt"/>
    <n v="9"/>
    <n v="6"/>
    <n v="3"/>
    <s v="Table Lamp"/>
    <s v="Accessories"/>
    <n v="40000000"/>
    <x v="29"/>
    <x v="4"/>
    <x v="0"/>
    <x v="1"/>
    <x v="3"/>
  </r>
  <r>
    <d v="2020-10-01T00:00:00"/>
    <s v="1"/>
    <s v="Okt"/>
    <n v="9"/>
    <n v="8"/>
    <n v="1"/>
    <s v="Cable"/>
    <s v="Networking"/>
    <n v="120000000"/>
    <x v="18"/>
    <x v="3"/>
    <x v="0"/>
    <x v="2"/>
    <x v="3"/>
  </r>
  <r>
    <d v="2020-10-01T00:00:00"/>
    <s v="1"/>
    <s v="Okt"/>
    <n v="8"/>
    <n v="4"/>
    <n v="4"/>
    <s v="AC"/>
    <s v="Electronic"/>
    <n v="140000000"/>
    <x v="48"/>
    <x v="0"/>
    <x v="0"/>
    <x v="1"/>
    <x v="3"/>
  </r>
  <r>
    <d v="2020-10-01T00:00:00"/>
    <s v="1"/>
    <s v="Okt"/>
    <n v="7"/>
    <n v="4"/>
    <n v="3"/>
    <s v="Coffee Mach"/>
    <s v="Kitchen"/>
    <n v="80000000"/>
    <x v="9"/>
    <x v="5"/>
    <x v="0"/>
    <x v="0"/>
    <x v="3"/>
  </r>
  <r>
    <d v="2020-10-01T00:00:00"/>
    <s v="1"/>
    <s v="Okt"/>
    <n v="7"/>
    <n v="5"/>
    <n v="2"/>
    <s v="Office Table"/>
    <s v="Furniture"/>
    <n v="120000000"/>
    <x v="36"/>
    <x v="2"/>
    <x v="0"/>
    <x v="2"/>
    <x v="1"/>
  </r>
  <r>
    <d v="2020-10-01T00:00:00"/>
    <s v="1"/>
    <s v="Okt"/>
    <n v="7"/>
    <n v="5"/>
    <n v="2"/>
    <s v="TV"/>
    <s v="Electronic"/>
    <n v="100000000"/>
    <x v="1"/>
    <x v="0"/>
    <x v="0"/>
    <x v="2"/>
    <x v="2"/>
  </r>
  <r>
    <d v="2020-10-01T00:00:00"/>
    <s v="1"/>
    <s v="Okt"/>
    <n v="7"/>
    <n v="6"/>
    <n v="1"/>
    <s v="Printer"/>
    <s v="Computer"/>
    <n v="40000000"/>
    <x v="3"/>
    <x v="2"/>
    <x v="0"/>
    <x v="2"/>
    <x v="1"/>
  </r>
  <r>
    <d v="2020-10-01T00:00:00"/>
    <s v="1"/>
    <s v="Okt"/>
    <n v="7"/>
    <n v="4"/>
    <n v="3"/>
    <s v="TV"/>
    <s v="Electronic"/>
    <n v="120000000"/>
    <x v="11"/>
    <x v="4"/>
    <x v="0"/>
    <x v="2"/>
    <x v="0"/>
  </r>
  <r>
    <d v="2020-10-01T00:00:00"/>
    <s v="1"/>
    <s v="Okt"/>
    <n v="5"/>
    <n v="3"/>
    <n v="2"/>
    <s v="TV"/>
    <s v="Electronic"/>
    <n v="100000000"/>
    <x v="35"/>
    <x v="4"/>
    <x v="0"/>
    <x v="2"/>
    <x v="1"/>
  </r>
  <r>
    <d v="2020-10-02T00:00:00"/>
    <s v="2"/>
    <s v="Okt"/>
    <n v="9"/>
    <n v="7"/>
    <n v="2"/>
    <s v="Office Table"/>
    <s v="Furniture"/>
    <n v="40000000"/>
    <x v="33"/>
    <x v="1"/>
    <x v="0"/>
    <x v="2"/>
    <x v="3"/>
  </r>
  <r>
    <d v="2020-10-02T00:00:00"/>
    <s v="2"/>
    <s v="Okt"/>
    <n v="9"/>
    <n v="5"/>
    <n v="4"/>
    <s v="Laptop"/>
    <s v="Computer"/>
    <n v="140000000"/>
    <x v="17"/>
    <x v="2"/>
    <x v="0"/>
    <x v="2"/>
    <x v="2"/>
  </r>
  <r>
    <d v="2020-10-02T00:00:00"/>
    <s v="2"/>
    <s v="Okt"/>
    <n v="9"/>
    <n v="8"/>
    <n v="1"/>
    <s v="Office Table"/>
    <s v="Furniture"/>
    <n v="100000000"/>
    <x v="41"/>
    <x v="3"/>
    <x v="0"/>
    <x v="1"/>
    <x v="3"/>
  </r>
  <r>
    <d v="2020-10-02T00:00:00"/>
    <s v="2"/>
    <s v="Okt"/>
    <n v="8"/>
    <n v="5"/>
    <n v="3"/>
    <s v="TV"/>
    <s v="Electronic"/>
    <n v="40000000"/>
    <x v="42"/>
    <x v="0"/>
    <x v="0"/>
    <x v="0"/>
    <x v="2"/>
  </r>
  <r>
    <d v="2020-10-02T00:00:00"/>
    <s v="2"/>
    <s v="Okt"/>
    <n v="6"/>
    <n v="3"/>
    <n v="3"/>
    <s v="AC"/>
    <s v="Electronic"/>
    <n v="60000000"/>
    <x v="17"/>
    <x v="0"/>
    <x v="0"/>
    <x v="2"/>
    <x v="0"/>
  </r>
  <r>
    <d v="2020-10-02T00:00:00"/>
    <s v="2"/>
    <s v="Okt"/>
    <n v="6"/>
    <n v="4"/>
    <n v="2"/>
    <s v="Office Chair"/>
    <s v="Furniture"/>
    <n v="40000000"/>
    <x v="38"/>
    <x v="2"/>
    <x v="0"/>
    <x v="0"/>
    <x v="2"/>
  </r>
  <r>
    <d v="2020-10-02T00:00:00"/>
    <s v="2"/>
    <s v="Okt"/>
    <n v="5"/>
    <n v="3"/>
    <n v="2"/>
    <s v="Printer"/>
    <s v="Computer"/>
    <n v="80000000"/>
    <x v="6"/>
    <x v="5"/>
    <x v="0"/>
    <x v="1"/>
    <x v="1"/>
  </r>
  <r>
    <d v="2020-10-02T00:00:00"/>
    <s v="2"/>
    <s v="Okt"/>
    <n v="4"/>
    <n v="3"/>
    <n v="1"/>
    <s v="Coffee Mach"/>
    <s v="Kitchen"/>
    <n v="100000000"/>
    <x v="34"/>
    <x v="5"/>
    <x v="0"/>
    <x v="1"/>
    <x v="0"/>
  </r>
  <r>
    <d v="2020-10-02T00:00:00"/>
    <s v="2"/>
    <s v="Okt"/>
    <n v="4"/>
    <n v="3"/>
    <n v="1"/>
    <s v="Cable"/>
    <s v="Networking"/>
    <n v="60000000"/>
    <x v="14"/>
    <x v="2"/>
    <x v="0"/>
    <x v="0"/>
    <x v="1"/>
  </r>
  <r>
    <d v="2020-10-02T00:00:00"/>
    <s v="2"/>
    <s v="Okt"/>
    <n v="4"/>
    <n v="3"/>
    <n v="1"/>
    <s v="Printer"/>
    <s v="Computer"/>
    <n v="60000000"/>
    <x v="12"/>
    <x v="2"/>
    <x v="0"/>
    <x v="2"/>
    <x v="2"/>
  </r>
  <r>
    <d v="2020-10-03T00:00:00"/>
    <s v="3"/>
    <s v="Okt"/>
    <n v="9"/>
    <n v="6"/>
    <n v="3"/>
    <s v="TV"/>
    <s v="Electronic"/>
    <n v="80000000"/>
    <x v="46"/>
    <x v="2"/>
    <x v="0"/>
    <x v="2"/>
    <x v="1"/>
  </r>
  <r>
    <d v="2020-10-03T00:00:00"/>
    <s v="3"/>
    <s v="Okt"/>
    <n v="8"/>
    <n v="6"/>
    <n v="2"/>
    <s v="Printer"/>
    <s v="Computer"/>
    <n v="80000000"/>
    <x v="11"/>
    <x v="3"/>
    <x v="0"/>
    <x v="1"/>
    <x v="0"/>
  </r>
  <r>
    <d v="2020-10-03T00:00:00"/>
    <s v="3"/>
    <s v="Okt"/>
    <n v="8"/>
    <n v="6"/>
    <n v="2"/>
    <s v="Table Lamp"/>
    <s v="Accessories"/>
    <n v="80000000"/>
    <x v="21"/>
    <x v="5"/>
    <x v="0"/>
    <x v="1"/>
    <x v="1"/>
  </r>
  <r>
    <d v="2020-10-03T00:00:00"/>
    <s v="3"/>
    <s v="Okt"/>
    <n v="8"/>
    <n v="6"/>
    <n v="2"/>
    <s v="TV"/>
    <s v="Electronic"/>
    <n v="100000000"/>
    <x v="37"/>
    <x v="2"/>
    <x v="0"/>
    <x v="0"/>
    <x v="2"/>
  </r>
  <r>
    <d v="2020-10-03T00:00:00"/>
    <s v="3"/>
    <s v="Okt"/>
    <n v="7"/>
    <n v="4"/>
    <n v="3"/>
    <s v="Office Chair"/>
    <s v="Furniture"/>
    <n v="100000000"/>
    <x v="21"/>
    <x v="4"/>
    <x v="0"/>
    <x v="0"/>
    <x v="0"/>
  </r>
  <r>
    <d v="2020-10-03T00:00:00"/>
    <s v="3"/>
    <s v="Okt"/>
    <n v="7"/>
    <n v="4"/>
    <n v="3"/>
    <s v="Coffee Mach"/>
    <s v="Kitchen"/>
    <n v="40000000"/>
    <x v="22"/>
    <x v="2"/>
    <x v="0"/>
    <x v="1"/>
    <x v="3"/>
  </r>
  <r>
    <d v="2020-10-03T00:00:00"/>
    <s v="3"/>
    <s v="Okt"/>
    <n v="5"/>
    <n v="4"/>
    <n v="1"/>
    <s v="Office Chair"/>
    <s v="Furniture"/>
    <n v="40000000"/>
    <x v="18"/>
    <x v="2"/>
    <x v="0"/>
    <x v="1"/>
    <x v="1"/>
  </r>
  <r>
    <d v="2020-10-03T00:00:00"/>
    <s v="3"/>
    <s v="Okt"/>
    <n v="4"/>
    <n v="2"/>
    <n v="2"/>
    <s v="AC"/>
    <s v="Electronic"/>
    <n v="100000000"/>
    <x v="1"/>
    <x v="2"/>
    <x v="0"/>
    <x v="1"/>
    <x v="3"/>
  </r>
  <r>
    <d v="2020-10-03T00:00:00"/>
    <s v="3"/>
    <s v="Okt"/>
    <n v="4"/>
    <n v="3"/>
    <n v="1"/>
    <s v="AC"/>
    <s v="Electronic"/>
    <n v="140000000"/>
    <x v="17"/>
    <x v="0"/>
    <x v="0"/>
    <x v="2"/>
    <x v="3"/>
  </r>
  <r>
    <d v="2020-10-03T00:00:00"/>
    <s v="3"/>
    <s v="Okt"/>
    <n v="3"/>
    <n v="2"/>
    <n v="1"/>
    <s v="Table Lamp"/>
    <s v="Accessories"/>
    <n v="60000000"/>
    <x v="12"/>
    <x v="0"/>
    <x v="0"/>
    <x v="1"/>
    <x v="2"/>
  </r>
  <r>
    <d v="2020-10-03T00:00:00"/>
    <s v="3"/>
    <s v="Okt"/>
    <n v="3"/>
    <n v="1"/>
    <n v="2"/>
    <s v="Laptop"/>
    <s v="Computer"/>
    <n v="60000000"/>
    <x v="21"/>
    <x v="2"/>
    <x v="0"/>
    <x v="0"/>
    <x v="0"/>
  </r>
  <r>
    <d v="2020-10-04T00:00:00"/>
    <s v="4"/>
    <s v="Okt"/>
    <n v="9"/>
    <n v="7"/>
    <n v="2"/>
    <s v="Printer"/>
    <s v="Computer"/>
    <n v="100000000"/>
    <x v="39"/>
    <x v="2"/>
    <x v="0"/>
    <x v="2"/>
    <x v="0"/>
  </r>
  <r>
    <d v="2020-10-04T00:00:00"/>
    <s v="4"/>
    <s v="Okt"/>
    <n v="9"/>
    <n v="5"/>
    <n v="4"/>
    <s v="Cable"/>
    <s v="Networking"/>
    <n v="120000000"/>
    <x v="36"/>
    <x v="2"/>
    <x v="0"/>
    <x v="2"/>
    <x v="2"/>
  </r>
  <r>
    <d v="2020-10-04T00:00:00"/>
    <s v="4"/>
    <s v="Okt"/>
    <n v="9"/>
    <n v="8"/>
    <n v="1"/>
    <s v="Cable"/>
    <s v="Networking"/>
    <n v="140000000"/>
    <x v="37"/>
    <x v="3"/>
    <x v="0"/>
    <x v="2"/>
    <x v="0"/>
  </r>
  <r>
    <d v="2020-10-04T00:00:00"/>
    <s v="4"/>
    <s v="Okt"/>
    <n v="7"/>
    <n v="6"/>
    <n v="1"/>
    <s v="Table Lamp"/>
    <s v="Accessories"/>
    <n v="60000000"/>
    <x v="49"/>
    <x v="2"/>
    <x v="0"/>
    <x v="1"/>
    <x v="0"/>
  </r>
  <r>
    <d v="2020-10-04T00:00:00"/>
    <s v="4"/>
    <s v="Okt"/>
    <n v="6"/>
    <n v="5"/>
    <n v="1"/>
    <s v="AC"/>
    <s v="Electronic"/>
    <n v="80000000"/>
    <x v="23"/>
    <x v="0"/>
    <x v="0"/>
    <x v="2"/>
    <x v="2"/>
  </r>
  <r>
    <d v="2020-10-04T00:00:00"/>
    <s v="4"/>
    <s v="Okt"/>
    <n v="6"/>
    <n v="5"/>
    <n v="1"/>
    <s v="Table Lamp"/>
    <s v="Accessories"/>
    <n v="140000000"/>
    <x v="27"/>
    <x v="0"/>
    <x v="0"/>
    <x v="0"/>
    <x v="3"/>
  </r>
  <r>
    <d v="2020-10-04T00:00:00"/>
    <s v="4"/>
    <s v="Okt"/>
    <n v="6"/>
    <n v="4"/>
    <n v="2"/>
    <s v="Table Lamp"/>
    <s v="Accessories"/>
    <n v="120000000"/>
    <x v="41"/>
    <x v="3"/>
    <x v="0"/>
    <x v="1"/>
    <x v="0"/>
  </r>
  <r>
    <d v="2020-10-04T00:00:00"/>
    <s v="4"/>
    <s v="Okt"/>
    <n v="5"/>
    <n v="4"/>
    <n v="1"/>
    <s v="Coffee Mach"/>
    <s v="Kitchen"/>
    <n v="60000000"/>
    <x v="19"/>
    <x v="1"/>
    <x v="0"/>
    <x v="0"/>
    <x v="0"/>
  </r>
  <r>
    <d v="2020-10-04T00:00:00"/>
    <s v="4"/>
    <s v="Okt"/>
    <n v="4"/>
    <n v="3"/>
    <n v="1"/>
    <s v="Office Chair"/>
    <s v="Furniture"/>
    <n v="60000000"/>
    <x v="6"/>
    <x v="3"/>
    <x v="0"/>
    <x v="2"/>
    <x v="1"/>
  </r>
  <r>
    <d v="2020-10-04T00:00:00"/>
    <s v="4"/>
    <s v="Okt"/>
    <n v="3"/>
    <n v="2"/>
    <n v="1"/>
    <s v="TV"/>
    <s v="Electronic"/>
    <n v="100000000"/>
    <x v="26"/>
    <x v="0"/>
    <x v="0"/>
    <x v="0"/>
    <x v="3"/>
  </r>
  <r>
    <d v="2020-10-05T00:00:00"/>
    <s v="5"/>
    <s v="Okt"/>
    <n v="10"/>
    <n v="8"/>
    <n v="2"/>
    <s v="Laptop"/>
    <s v="Computer"/>
    <n v="100000000"/>
    <x v="13"/>
    <x v="4"/>
    <x v="0"/>
    <x v="2"/>
    <x v="2"/>
  </r>
  <r>
    <d v="2020-10-05T00:00:00"/>
    <s v="5"/>
    <s v="Okt"/>
    <n v="10"/>
    <n v="6"/>
    <n v="4"/>
    <s v="Table Lamp"/>
    <s v="Accessories"/>
    <n v="100000000"/>
    <x v="39"/>
    <x v="1"/>
    <x v="0"/>
    <x v="1"/>
    <x v="2"/>
  </r>
  <r>
    <d v="2020-10-05T00:00:00"/>
    <s v="5"/>
    <s v="Okt"/>
    <n v="9"/>
    <n v="5"/>
    <n v="4"/>
    <s v="Laptop"/>
    <s v="Computer"/>
    <n v="40000000"/>
    <x v="44"/>
    <x v="3"/>
    <x v="0"/>
    <x v="2"/>
    <x v="1"/>
  </r>
  <r>
    <d v="2020-10-05T00:00:00"/>
    <s v="5"/>
    <s v="Okt"/>
    <n v="9"/>
    <n v="6"/>
    <n v="3"/>
    <s v="Laptop"/>
    <s v="Computer"/>
    <n v="60000000"/>
    <x v="6"/>
    <x v="2"/>
    <x v="0"/>
    <x v="0"/>
    <x v="3"/>
  </r>
  <r>
    <d v="2020-10-05T00:00:00"/>
    <s v="5"/>
    <s v="Okt"/>
    <n v="9"/>
    <n v="5"/>
    <n v="4"/>
    <s v="Table Lamp"/>
    <s v="Accessories"/>
    <n v="40000000"/>
    <x v="37"/>
    <x v="3"/>
    <x v="0"/>
    <x v="1"/>
    <x v="3"/>
  </r>
  <r>
    <d v="2020-10-05T00:00:00"/>
    <s v="5"/>
    <s v="Okt"/>
    <n v="8"/>
    <n v="5"/>
    <n v="3"/>
    <s v="Cable"/>
    <s v="Networking"/>
    <n v="40000000"/>
    <x v="33"/>
    <x v="0"/>
    <x v="0"/>
    <x v="2"/>
    <x v="1"/>
  </r>
  <r>
    <d v="2020-10-05T00:00:00"/>
    <s v="5"/>
    <s v="Okt"/>
    <n v="6"/>
    <n v="5"/>
    <n v="1"/>
    <s v="TV"/>
    <s v="Electronic"/>
    <n v="40000000"/>
    <x v="29"/>
    <x v="2"/>
    <x v="0"/>
    <x v="2"/>
    <x v="3"/>
  </r>
  <r>
    <d v="2020-10-05T00:00:00"/>
    <s v="5"/>
    <s v="Okt"/>
    <n v="5"/>
    <n v="3"/>
    <n v="2"/>
    <s v="Printer"/>
    <s v="Computer"/>
    <n v="100000000"/>
    <x v="14"/>
    <x v="2"/>
    <x v="0"/>
    <x v="2"/>
    <x v="0"/>
  </r>
  <r>
    <d v="2020-10-06T00:00:00"/>
    <s v="6"/>
    <s v="Okt"/>
    <n v="9"/>
    <n v="8"/>
    <n v="1"/>
    <s v="Table Lamp"/>
    <s v="Accessories"/>
    <n v="140000000"/>
    <x v="32"/>
    <x v="0"/>
    <x v="0"/>
    <x v="1"/>
    <x v="0"/>
  </r>
  <r>
    <d v="2020-10-06T00:00:00"/>
    <s v="6"/>
    <s v="Okt"/>
    <n v="7"/>
    <n v="5"/>
    <n v="2"/>
    <s v="Office Chair"/>
    <s v="Furniture"/>
    <n v="60000000"/>
    <x v="33"/>
    <x v="0"/>
    <x v="0"/>
    <x v="1"/>
    <x v="0"/>
  </r>
  <r>
    <d v="2020-10-06T00:00:00"/>
    <s v="6"/>
    <s v="Okt"/>
    <n v="6"/>
    <n v="3"/>
    <n v="3"/>
    <s v="AC"/>
    <s v="Electronic"/>
    <n v="100000000"/>
    <x v="36"/>
    <x v="2"/>
    <x v="0"/>
    <x v="2"/>
    <x v="3"/>
  </r>
  <r>
    <d v="2020-10-06T00:00:00"/>
    <s v="6"/>
    <s v="Okt"/>
    <n v="4"/>
    <n v="3"/>
    <n v="1"/>
    <s v="Cable"/>
    <s v="Networking"/>
    <n v="120000000"/>
    <x v="5"/>
    <x v="0"/>
    <x v="0"/>
    <x v="2"/>
    <x v="0"/>
  </r>
  <r>
    <d v="2020-10-06T00:00:00"/>
    <s v="6"/>
    <s v="Okt"/>
    <n v="4"/>
    <n v="3"/>
    <n v="1"/>
    <s v="Cable"/>
    <s v="Networking"/>
    <n v="80000000"/>
    <x v="7"/>
    <x v="4"/>
    <x v="0"/>
    <x v="0"/>
    <x v="3"/>
  </r>
  <r>
    <d v="2020-10-06T00:00:00"/>
    <s v="6"/>
    <s v="Okt"/>
    <n v="4"/>
    <n v="2"/>
    <n v="2"/>
    <s v="Printer"/>
    <s v="Computer"/>
    <n v="60000000"/>
    <x v="14"/>
    <x v="3"/>
    <x v="0"/>
    <x v="1"/>
    <x v="2"/>
  </r>
  <r>
    <d v="2020-10-06T00:00:00"/>
    <s v="6"/>
    <s v="Okt"/>
    <n v="4"/>
    <n v="2"/>
    <n v="2"/>
    <s v="Table Lamp"/>
    <s v="Accessories"/>
    <n v="80000000"/>
    <x v="12"/>
    <x v="4"/>
    <x v="0"/>
    <x v="0"/>
    <x v="2"/>
  </r>
  <r>
    <d v="2020-10-06T00:00:00"/>
    <s v="6"/>
    <s v="Okt"/>
    <n v="4"/>
    <n v="2"/>
    <n v="2"/>
    <s v="Office Chair"/>
    <s v="Furniture"/>
    <n v="60000000"/>
    <x v="7"/>
    <x v="3"/>
    <x v="0"/>
    <x v="2"/>
    <x v="2"/>
  </r>
  <r>
    <d v="2020-10-06T00:00:00"/>
    <s v="6"/>
    <s v="Okt"/>
    <n v="3"/>
    <n v="2"/>
    <n v="1"/>
    <s v="Laptop"/>
    <s v="Computer"/>
    <n v="80000000"/>
    <x v="21"/>
    <x v="2"/>
    <x v="0"/>
    <x v="1"/>
    <x v="0"/>
  </r>
  <r>
    <d v="2020-10-07T00:00:00"/>
    <s v="7"/>
    <s v="Okt"/>
    <n v="10"/>
    <n v="8"/>
    <n v="2"/>
    <s v="TV"/>
    <s v="Electronic"/>
    <n v="60000000"/>
    <x v="48"/>
    <x v="0"/>
    <x v="0"/>
    <x v="1"/>
    <x v="2"/>
  </r>
  <r>
    <d v="2020-10-07T00:00:00"/>
    <s v="7"/>
    <s v="Okt"/>
    <n v="9"/>
    <n v="6"/>
    <n v="3"/>
    <s v="Cable"/>
    <s v="Networking"/>
    <n v="40000000"/>
    <x v="38"/>
    <x v="3"/>
    <x v="0"/>
    <x v="2"/>
    <x v="3"/>
  </r>
  <r>
    <d v="2020-10-07T00:00:00"/>
    <s v="7"/>
    <s v="Okt"/>
    <n v="8"/>
    <n v="6"/>
    <n v="2"/>
    <s v="Office Chair"/>
    <s v="Furniture"/>
    <n v="140000000"/>
    <x v="6"/>
    <x v="4"/>
    <x v="0"/>
    <x v="0"/>
    <x v="3"/>
  </r>
  <r>
    <d v="2020-10-07T00:00:00"/>
    <s v="7"/>
    <s v="Okt"/>
    <n v="8"/>
    <n v="5"/>
    <n v="3"/>
    <s v="Printer"/>
    <s v="Computer"/>
    <n v="100000000"/>
    <x v="25"/>
    <x v="0"/>
    <x v="0"/>
    <x v="2"/>
    <x v="0"/>
  </r>
  <r>
    <d v="2020-10-07T00:00:00"/>
    <s v="7"/>
    <s v="Okt"/>
    <n v="7"/>
    <n v="6"/>
    <n v="1"/>
    <s v="Laptop"/>
    <s v="Computer"/>
    <n v="40000000"/>
    <x v="17"/>
    <x v="2"/>
    <x v="0"/>
    <x v="1"/>
    <x v="3"/>
  </r>
  <r>
    <d v="2020-10-07T00:00:00"/>
    <s v="7"/>
    <s v="Okt"/>
    <n v="6"/>
    <n v="5"/>
    <n v="1"/>
    <s v="Office Table"/>
    <s v="Furniture"/>
    <n v="40000000"/>
    <x v="42"/>
    <x v="0"/>
    <x v="0"/>
    <x v="1"/>
    <x v="0"/>
  </r>
  <r>
    <d v="2020-10-07T00:00:00"/>
    <s v="7"/>
    <s v="Okt"/>
    <n v="6"/>
    <n v="5"/>
    <n v="1"/>
    <s v="Coffee Mach"/>
    <s v="Kitchen"/>
    <n v="60000000"/>
    <x v="29"/>
    <x v="5"/>
    <x v="0"/>
    <x v="0"/>
    <x v="1"/>
  </r>
  <r>
    <d v="2020-10-08T00:00:00"/>
    <s v="8"/>
    <s v="Okt"/>
    <n v="9"/>
    <n v="8"/>
    <n v="1"/>
    <s v="Office Chair"/>
    <s v="Furniture"/>
    <n v="80000000"/>
    <x v="3"/>
    <x v="2"/>
    <x v="0"/>
    <x v="2"/>
    <x v="2"/>
  </r>
  <r>
    <d v="2020-10-08T00:00:00"/>
    <s v="8"/>
    <s v="Okt"/>
    <n v="8"/>
    <n v="5"/>
    <n v="3"/>
    <s v="Printer"/>
    <s v="Computer"/>
    <n v="120000000"/>
    <x v="45"/>
    <x v="1"/>
    <x v="0"/>
    <x v="1"/>
    <x v="1"/>
  </r>
  <r>
    <d v="2020-10-08T00:00:00"/>
    <s v="8"/>
    <s v="Okt"/>
    <n v="8"/>
    <n v="6"/>
    <n v="2"/>
    <s v="Office Chair"/>
    <s v="Furniture"/>
    <n v="120000000"/>
    <x v="41"/>
    <x v="2"/>
    <x v="0"/>
    <x v="0"/>
    <x v="0"/>
  </r>
  <r>
    <d v="2020-10-08T00:00:00"/>
    <s v="8"/>
    <s v="Okt"/>
    <n v="7"/>
    <n v="4"/>
    <n v="3"/>
    <s v="Cable"/>
    <s v="Networking"/>
    <n v="80000000"/>
    <x v="0"/>
    <x v="5"/>
    <x v="0"/>
    <x v="0"/>
    <x v="0"/>
  </r>
  <r>
    <d v="2020-10-08T00:00:00"/>
    <s v="8"/>
    <s v="Okt"/>
    <n v="7"/>
    <n v="5"/>
    <n v="2"/>
    <s v="TV"/>
    <s v="Electronic"/>
    <n v="120000000"/>
    <x v="11"/>
    <x v="0"/>
    <x v="0"/>
    <x v="0"/>
    <x v="0"/>
  </r>
  <r>
    <d v="2020-10-08T00:00:00"/>
    <s v="8"/>
    <s v="Okt"/>
    <n v="6"/>
    <n v="5"/>
    <n v="1"/>
    <s v="AC"/>
    <s v="Electronic"/>
    <n v="60000000"/>
    <x v="20"/>
    <x v="2"/>
    <x v="0"/>
    <x v="0"/>
    <x v="0"/>
  </r>
  <r>
    <d v="2020-10-08T00:00:00"/>
    <s v="8"/>
    <s v="Okt"/>
    <n v="6"/>
    <n v="4"/>
    <n v="2"/>
    <s v="AC"/>
    <s v="Electronic"/>
    <n v="100000000"/>
    <x v="37"/>
    <x v="2"/>
    <x v="0"/>
    <x v="1"/>
    <x v="1"/>
  </r>
  <r>
    <d v="2020-10-08T00:00:00"/>
    <s v="8"/>
    <s v="Okt"/>
    <n v="4"/>
    <n v="3"/>
    <n v="1"/>
    <s v="Printer"/>
    <s v="Computer"/>
    <n v="100000000"/>
    <x v="3"/>
    <x v="0"/>
    <x v="0"/>
    <x v="0"/>
    <x v="1"/>
  </r>
  <r>
    <d v="2020-10-08T00:00:00"/>
    <s v="8"/>
    <s v="Okt"/>
    <n v="4"/>
    <n v="3"/>
    <n v="1"/>
    <s v="Cable"/>
    <s v="Networking"/>
    <n v="60000000"/>
    <x v="42"/>
    <x v="4"/>
    <x v="0"/>
    <x v="1"/>
    <x v="3"/>
  </r>
  <r>
    <d v="2020-10-08T00:00:00"/>
    <s v="8"/>
    <s v="Okt"/>
    <n v="3"/>
    <n v="1"/>
    <n v="2"/>
    <s v="TV"/>
    <s v="Electronic"/>
    <n v="120000000"/>
    <x v="33"/>
    <x v="0"/>
    <x v="0"/>
    <x v="0"/>
    <x v="2"/>
  </r>
  <r>
    <d v="2020-10-09T00:00:00"/>
    <s v="9"/>
    <s v="Okt"/>
    <n v="10"/>
    <n v="9"/>
    <n v="1"/>
    <s v="Coffee Mach"/>
    <s v="Kitchen"/>
    <n v="140000000"/>
    <x v="46"/>
    <x v="2"/>
    <x v="0"/>
    <x v="2"/>
    <x v="1"/>
  </r>
  <r>
    <d v="2020-10-09T00:00:00"/>
    <s v="9"/>
    <s v="Okt"/>
    <n v="10"/>
    <n v="7"/>
    <n v="3"/>
    <s v="Table Lamp"/>
    <s v="Accessories"/>
    <n v="120000000"/>
    <x v="8"/>
    <x v="4"/>
    <x v="0"/>
    <x v="1"/>
    <x v="2"/>
  </r>
  <r>
    <d v="2020-10-09T00:00:00"/>
    <s v="9"/>
    <s v="Okt"/>
    <n v="10"/>
    <n v="8"/>
    <n v="2"/>
    <s v="Office Chair"/>
    <s v="Furniture"/>
    <n v="60000000"/>
    <x v="25"/>
    <x v="0"/>
    <x v="0"/>
    <x v="0"/>
    <x v="0"/>
  </r>
  <r>
    <d v="2020-10-09T00:00:00"/>
    <s v="9"/>
    <s v="Okt"/>
    <n v="9"/>
    <n v="6"/>
    <n v="3"/>
    <s v="Printer"/>
    <s v="Computer"/>
    <n v="120000000"/>
    <x v="10"/>
    <x v="0"/>
    <x v="0"/>
    <x v="0"/>
    <x v="1"/>
  </r>
  <r>
    <d v="2020-10-09T00:00:00"/>
    <s v="9"/>
    <s v="Okt"/>
    <n v="8"/>
    <n v="5"/>
    <n v="3"/>
    <s v="Printer"/>
    <s v="Computer"/>
    <n v="100000000"/>
    <x v="37"/>
    <x v="0"/>
    <x v="0"/>
    <x v="2"/>
    <x v="0"/>
  </r>
  <r>
    <d v="2020-10-09T00:00:00"/>
    <s v="9"/>
    <s v="Okt"/>
    <n v="8"/>
    <n v="6"/>
    <n v="2"/>
    <s v="Office Table"/>
    <s v="Furniture"/>
    <n v="100000000"/>
    <x v="37"/>
    <x v="0"/>
    <x v="0"/>
    <x v="2"/>
    <x v="3"/>
  </r>
  <r>
    <d v="2020-10-09T00:00:00"/>
    <s v="9"/>
    <s v="Okt"/>
    <n v="4"/>
    <n v="3"/>
    <n v="1"/>
    <s v="Office Table"/>
    <s v="Furniture"/>
    <n v="80000000"/>
    <x v="25"/>
    <x v="0"/>
    <x v="0"/>
    <x v="1"/>
    <x v="1"/>
  </r>
  <r>
    <d v="2020-10-09T00:00:00"/>
    <s v="9"/>
    <s v="Okt"/>
    <n v="3"/>
    <n v="1"/>
    <n v="2"/>
    <s v="TV"/>
    <s v="Electronic"/>
    <n v="120000000"/>
    <x v="5"/>
    <x v="2"/>
    <x v="0"/>
    <x v="1"/>
    <x v="1"/>
  </r>
  <r>
    <d v="2020-10-10T00:00:00"/>
    <s v="10"/>
    <s v="Okt"/>
    <n v="10"/>
    <n v="10"/>
    <s v=""/>
    <s v="Table Lamp"/>
    <s v="Accessories"/>
    <n v="80000000"/>
    <x v="36"/>
    <x v="2"/>
    <x v="0"/>
    <x v="2"/>
    <x v="2"/>
  </r>
  <r>
    <d v="2020-10-10T00:00:00"/>
    <s v="10"/>
    <s v="Okt"/>
    <n v="10"/>
    <n v="10"/>
    <s v=""/>
    <s v="AC"/>
    <s v="Electronic"/>
    <n v="40000000"/>
    <x v="3"/>
    <x v="2"/>
    <x v="0"/>
    <x v="1"/>
    <x v="3"/>
  </r>
  <r>
    <d v="2020-10-10T00:00:00"/>
    <s v="10"/>
    <s v="Okt"/>
    <n v="9"/>
    <n v="9"/>
    <s v=""/>
    <s v="Laptop"/>
    <s v="Computer"/>
    <n v="40000000"/>
    <x v="10"/>
    <x v="2"/>
    <x v="0"/>
    <x v="0"/>
    <x v="2"/>
  </r>
  <r>
    <d v="2020-10-10T00:00:00"/>
    <s v="10"/>
    <s v="Okt"/>
    <n v="9"/>
    <n v="9"/>
    <s v=""/>
    <s v="Cable"/>
    <s v="Networking"/>
    <n v="40000000"/>
    <x v="17"/>
    <x v="1"/>
    <x v="0"/>
    <x v="0"/>
    <x v="1"/>
  </r>
  <r>
    <d v="2020-10-10T00:00:00"/>
    <s v="10"/>
    <s v="Okt"/>
    <n v="9"/>
    <n v="9"/>
    <s v=""/>
    <s v="AC"/>
    <s v="Electronic"/>
    <n v="60000000"/>
    <x v="1"/>
    <x v="1"/>
    <x v="0"/>
    <x v="0"/>
    <x v="0"/>
  </r>
  <r>
    <d v="2020-10-10T00:00:00"/>
    <s v="10"/>
    <s v="Okt"/>
    <n v="8"/>
    <n v="8"/>
    <s v=""/>
    <s v="Cable"/>
    <s v="Networking"/>
    <n v="100000000"/>
    <x v="41"/>
    <x v="2"/>
    <x v="0"/>
    <x v="0"/>
    <x v="2"/>
  </r>
  <r>
    <d v="2020-10-10T00:00:00"/>
    <s v="10"/>
    <s v="Okt"/>
    <n v="7"/>
    <n v="7"/>
    <s v=""/>
    <s v="Cable"/>
    <s v="Networking"/>
    <n v="80000000"/>
    <x v="28"/>
    <x v="0"/>
    <x v="0"/>
    <x v="1"/>
    <x v="2"/>
  </r>
  <r>
    <d v="2020-10-10T00:00:00"/>
    <s v="10"/>
    <s v="Okt"/>
    <n v="7"/>
    <n v="7"/>
    <s v=""/>
    <s v="Office Table"/>
    <s v="Furniture"/>
    <n v="60000000"/>
    <x v="1"/>
    <x v="4"/>
    <x v="0"/>
    <x v="1"/>
    <x v="2"/>
  </r>
  <r>
    <d v="2020-10-10T00:00:00"/>
    <s v="10"/>
    <s v="Okt"/>
    <n v="6"/>
    <n v="6"/>
    <s v=""/>
    <s v="TV"/>
    <s v="Electronic"/>
    <n v="100000000"/>
    <x v="4"/>
    <x v="4"/>
    <x v="0"/>
    <x v="1"/>
    <x v="1"/>
  </r>
  <r>
    <d v="2020-10-10T00:00:00"/>
    <s v="10"/>
    <s v="Okt"/>
    <n v="4"/>
    <n v="4"/>
    <s v=""/>
    <s v="TV"/>
    <s v="Electronic"/>
    <n v="100000000"/>
    <x v="39"/>
    <x v="2"/>
    <x v="0"/>
    <x v="2"/>
    <x v="3"/>
  </r>
  <r>
    <d v="2020-10-10T00:00:00"/>
    <s v="10"/>
    <s v="Okt"/>
    <n v="4"/>
    <n v="4"/>
    <s v=""/>
    <s v="Cable"/>
    <s v="Networking"/>
    <n v="80000000"/>
    <x v="49"/>
    <x v="0"/>
    <x v="0"/>
    <x v="1"/>
    <x v="0"/>
  </r>
  <r>
    <d v="2020-10-10T00:00:00"/>
    <s v="10"/>
    <s v="Okt"/>
    <n v="4"/>
    <n v="4"/>
    <s v=""/>
    <s v="Table Lamp"/>
    <s v="Accessories"/>
    <n v="80000000"/>
    <x v="0"/>
    <x v="0"/>
    <x v="0"/>
    <x v="0"/>
    <x v="1"/>
  </r>
  <r>
    <d v="2020-10-10T00:00:00"/>
    <s v="10"/>
    <s v="Okt"/>
    <n v="3"/>
    <n v="3"/>
    <s v=""/>
    <s v="Cable"/>
    <s v="Networking"/>
    <n v="120000000"/>
    <x v="29"/>
    <x v="2"/>
    <x v="0"/>
    <x v="1"/>
    <x v="0"/>
  </r>
  <r>
    <d v="2020-10-10T00:00:00"/>
    <s v="10"/>
    <s v="Okt"/>
    <n v="3"/>
    <n v="3"/>
    <s v=""/>
    <s v="Office Chair"/>
    <s v="Furniture"/>
    <n v="80000000"/>
    <x v="3"/>
    <x v="0"/>
    <x v="0"/>
    <x v="2"/>
    <x v="0"/>
  </r>
  <r>
    <d v="2020-10-11T00:00:00"/>
    <s v="11"/>
    <s v="Okt"/>
    <n v="9"/>
    <n v="9"/>
    <s v=""/>
    <s v="Cable"/>
    <s v="Networking"/>
    <n v="100000000"/>
    <x v="5"/>
    <x v="2"/>
    <x v="0"/>
    <x v="1"/>
    <x v="2"/>
  </r>
  <r>
    <d v="2020-10-11T00:00:00"/>
    <s v="11"/>
    <s v="Okt"/>
    <n v="8"/>
    <n v="8"/>
    <s v=""/>
    <s v="TV"/>
    <s v="Electronic"/>
    <n v="40000000"/>
    <x v="17"/>
    <x v="4"/>
    <x v="0"/>
    <x v="2"/>
    <x v="1"/>
  </r>
  <r>
    <d v="2020-10-11T00:00:00"/>
    <s v="11"/>
    <s v="Okt"/>
    <n v="8"/>
    <n v="8"/>
    <s v=""/>
    <s v="Printer"/>
    <s v="Computer"/>
    <n v="40000000"/>
    <x v="20"/>
    <x v="2"/>
    <x v="0"/>
    <x v="1"/>
    <x v="3"/>
  </r>
  <r>
    <d v="2020-10-11T00:00:00"/>
    <s v="11"/>
    <s v="Okt"/>
    <n v="6"/>
    <n v="6"/>
    <s v=""/>
    <s v="Office Chair"/>
    <s v="Furniture"/>
    <n v="60000000"/>
    <x v="29"/>
    <x v="2"/>
    <x v="0"/>
    <x v="0"/>
    <x v="1"/>
  </r>
  <r>
    <d v="2020-10-11T00:00:00"/>
    <s v="11"/>
    <s v="Okt"/>
    <n v="6"/>
    <n v="6"/>
    <s v=""/>
    <s v="Laptop"/>
    <s v="Computer"/>
    <n v="120000000"/>
    <x v="47"/>
    <x v="0"/>
    <x v="0"/>
    <x v="0"/>
    <x v="3"/>
  </r>
  <r>
    <d v="2020-10-11T00:00:00"/>
    <s v="11"/>
    <s v="Okt"/>
    <n v="5"/>
    <n v="5"/>
    <s v=""/>
    <s v="Table Lamp"/>
    <s v="Accessories"/>
    <n v="120000000"/>
    <x v="36"/>
    <x v="0"/>
    <x v="0"/>
    <x v="1"/>
    <x v="1"/>
  </r>
  <r>
    <d v="2020-10-11T00:00:00"/>
    <s v="11"/>
    <s v="Okt"/>
    <n v="4"/>
    <n v="4"/>
    <s v=""/>
    <s v="Printer"/>
    <s v="Computer"/>
    <n v="60000000"/>
    <x v="4"/>
    <x v="0"/>
    <x v="0"/>
    <x v="0"/>
    <x v="0"/>
  </r>
  <r>
    <d v="2020-10-12T00:00:00"/>
    <s v="12"/>
    <s v="Okt"/>
    <n v="7"/>
    <n v="7"/>
    <s v=""/>
    <s v="Cable"/>
    <s v="Networking"/>
    <n v="80000000"/>
    <x v="17"/>
    <x v="0"/>
    <x v="0"/>
    <x v="0"/>
    <x v="0"/>
  </r>
  <r>
    <d v="2020-10-12T00:00:00"/>
    <s v="12"/>
    <s v="Okt"/>
    <n v="7"/>
    <n v="7"/>
    <s v=""/>
    <s v="Cable"/>
    <s v="Networking"/>
    <n v="40000000"/>
    <x v="11"/>
    <x v="2"/>
    <x v="0"/>
    <x v="1"/>
    <x v="2"/>
  </r>
  <r>
    <d v="2020-10-12T00:00:00"/>
    <s v="12"/>
    <s v="Okt"/>
    <n v="3"/>
    <n v="3"/>
    <s v=""/>
    <s v="Office Table"/>
    <s v="Furniture"/>
    <n v="80000000"/>
    <x v="24"/>
    <x v="0"/>
    <x v="0"/>
    <x v="0"/>
    <x v="1"/>
  </r>
  <r>
    <d v="2020-10-13T00:00:00"/>
    <s v="13"/>
    <s v="Okt"/>
    <n v="10"/>
    <n v="10"/>
    <s v=""/>
    <s v="Cable"/>
    <s v="Networking"/>
    <n v="40000000"/>
    <x v="44"/>
    <x v="4"/>
    <x v="0"/>
    <x v="2"/>
    <x v="0"/>
  </r>
  <r>
    <d v="2020-10-13T00:00:00"/>
    <s v="13"/>
    <s v="Okt"/>
    <n v="10"/>
    <n v="10"/>
    <s v=""/>
    <s v="Coffee Mach"/>
    <s v="Kitchen"/>
    <n v="40000000"/>
    <x v="32"/>
    <x v="3"/>
    <x v="0"/>
    <x v="0"/>
    <x v="3"/>
  </r>
  <r>
    <d v="2020-10-13T00:00:00"/>
    <s v="13"/>
    <s v="Okt"/>
    <n v="8"/>
    <n v="8"/>
    <s v=""/>
    <s v="Office Table"/>
    <s v="Furniture"/>
    <n v="100000000"/>
    <x v="37"/>
    <x v="3"/>
    <x v="0"/>
    <x v="0"/>
    <x v="3"/>
  </r>
  <r>
    <d v="2020-10-13T00:00:00"/>
    <s v="13"/>
    <s v="Okt"/>
    <n v="8"/>
    <n v="8"/>
    <s v=""/>
    <s v="Cable"/>
    <s v="Networking"/>
    <n v="100000000"/>
    <x v="4"/>
    <x v="0"/>
    <x v="0"/>
    <x v="2"/>
    <x v="1"/>
  </r>
  <r>
    <d v="2020-10-13T00:00:00"/>
    <s v="13"/>
    <s v="Okt"/>
    <n v="7"/>
    <n v="7"/>
    <s v=""/>
    <s v="Office Chair"/>
    <s v="Furniture"/>
    <n v="120000000"/>
    <x v="0"/>
    <x v="0"/>
    <x v="0"/>
    <x v="1"/>
    <x v="3"/>
  </r>
  <r>
    <d v="2020-10-13T00:00:00"/>
    <s v="13"/>
    <s v="Okt"/>
    <n v="6"/>
    <n v="6"/>
    <s v=""/>
    <s v="Coffee Mach"/>
    <s v="Kitchen"/>
    <n v="40000000"/>
    <x v="35"/>
    <x v="4"/>
    <x v="0"/>
    <x v="0"/>
    <x v="1"/>
  </r>
  <r>
    <d v="2020-10-13T00:00:00"/>
    <s v="13"/>
    <s v="Okt"/>
    <n v="5"/>
    <n v="5"/>
    <s v=""/>
    <s v="Cable"/>
    <s v="Networking"/>
    <n v="120000000"/>
    <x v="29"/>
    <x v="2"/>
    <x v="0"/>
    <x v="1"/>
    <x v="0"/>
  </r>
  <r>
    <d v="2020-10-13T00:00:00"/>
    <s v="13"/>
    <s v="Okt"/>
    <n v="5"/>
    <n v="5"/>
    <s v=""/>
    <s v="Table Lamp"/>
    <s v="Accessories"/>
    <n v="80000000"/>
    <x v="28"/>
    <x v="4"/>
    <x v="0"/>
    <x v="0"/>
    <x v="2"/>
  </r>
  <r>
    <d v="2020-10-13T00:00:00"/>
    <s v="13"/>
    <s v="Okt"/>
    <n v="4"/>
    <n v="4"/>
    <s v=""/>
    <s v="AC"/>
    <s v="Electronic"/>
    <n v="60000000"/>
    <x v="6"/>
    <x v="0"/>
    <x v="0"/>
    <x v="2"/>
    <x v="0"/>
  </r>
  <r>
    <d v="2020-10-13T00:00:00"/>
    <s v="13"/>
    <s v="Okt"/>
    <n v="4"/>
    <n v="4"/>
    <s v=""/>
    <s v="Office Table"/>
    <s v="Furniture"/>
    <n v="40000000"/>
    <x v="39"/>
    <x v="2"/>
    <x v="0"/>
    <x v="0"/>
    <x v="2"/>
  </r>
  <r>
    <d v="2020-10-13T00:00:00"/>
    <s v="13"/>
    <s v="Okt"/>
    <n v="4"/>
    <n v="4"/>
    <s v=""/>
    <s v="Coffee Mach"/>
    <s v="Kitchen"/>
    <n v="80000000"/>
    <x v="32"/>
    <x v="2"/>
    <x v="0"/>
    <x v="1"/>
    <x v="0"/>
  </r>
  <r>
    <d v="2020-10-14T00:00:00"/>
    <s v="14"/>
    <s v="Okt"/>
    <n v="10"/>
    <n v="10"/>
    <s v=""/>
    <s v="Table Lamp"/>
    <s v="Accessories"/>
    <n v="40000000"/>
    <x v="8"/>
    <x v="2"/>
    <x v="0"/>
    <x v="0"/>
    <x v="3"/>
  </r>
  <r>
    <d v="2020-10-14T00:00:00"/>
    <s v="14"/>
    <s v="Okt"/>
    <n v="10"/>
    <n v="10"/>
    <s v=""/>
    <s v="TV"/>
    <s v="Electronic"/>
    <n v="120000000"/>
    <x v="7"/>
    <x v="0"/>
    <x v="0"/>
    <x v="1"/>
    <x v="1"/>
  </r>
  <r>
    <d v="2020-10-14T00:00:00"/>
    <s v="14"/>
    <s v="Okt"/>
    <n v="6"/>
    <n v="6"/>
    <s v=""/>
    <s v="Cable"/>
    <s v="Networking"/>
    <n v="100000000"/>
    <x v="24"/>
    <x v="0"/>
    <x v="0"/>
    <x v="1"/>
    <x v="1"/>
  </r>
  <r>
    <d v="2020-10-14T00:00:00"/>
    <s v="14"/>
    <s v="Okt"/>
    <n v="5"/>
    <n v="5"/>
    <s v=""/>
    <s v="Laptop"/>
    <s v="Computer"/>
    <n v="80000000"/>
    <x v="42"/>
    <x v="2"/>
    <x v="0"/>
    <x v="0"/>
    <x v="1"/>
  </r>
  <r>
    <d v="2020-10-14T00:00:00"/>
    <s v="14"/>
    <s v="Okt"/>
    <n v="4"/>
    <n v="4"/>
    <s v=""/>
    <s v="TV"/>
    <s v="Electronic"/>
    <n v="80000000"/>
    <x v="18"/>
    <x v="2"/>
    <x v="0"/>
    <x v="2"/>
    <x v="3"/>
  </r>
  <r>
    <d v="2020-10-14T00:00:00"/>
    <s v="14"/>
    <s v="Okt"/>
    <n v="3"/>
    <n v="3"/>
    <s v=""/>
    <s v="Laptop"/>
    <s v="Computer"/>
    <n v="140000000"/>
    <x v="0"/>
    <x v="0"/>
    <x v="0"/>
    <x v="1"/>
    <x v="3"/>
  </r>
  <r>
    <d v="2020-10-15T00:00:00"/>
    <s v="15"/>
    <s v="Okt"/>
    <n v="10"/>
    <n v="10"/>
    <s v=""/>
    <s v="Office Chair"/>
    <s v="Furniture"/>
    <n v="60000000"/>
    <x v="32"/>
    <x v="1"/>
    <x v="0"/>
    <x v="1"/>
    <x v="0"/>
  </r>
  <r>
    <d v="2020-10-15T00:00:00"/>
    <s v="15"/>
    <s v="Okt"/>
    <n v="8"/>
    <n v="8"/>
    <s v=""/>
    <s v="Coffee Mach"/>
    <s v="Kitchen"/>
    <n v="120000000"/>
    <x v="43"/>
    <x v="4"/>
    <x v="0"/>
    <x v="2"/>
    <x v="2"/>
  </r>
  <r>
    <d v="2020-10-15T00:00:00"/>
    <s v="15"/>
    <s v="Okt"/>
    <n v="8"/>
    <n v="8"/>
    <s v=""/>
    <s v="Coffee Mach"/>
    <s v="Kitchen"/>
    <n v="140000000"/>
    <x v="47"/>
    <x v="0"/>
    <x v="0"/>
    <x v="2"/>
    <x v="0"/>
  </r>
  <r>
    <d v="2020-10-15T00:00:00"/>
    <s v="15"/>
    <s v="Okt"/>
    <n v="6"/>
    <n v="6"/>
    <s v=""/>
    <s v="Coffee Mach"/>
    <s v="Kitchen"/>
    <n v="60000000"/>
    <x v="43"/>
    <x v="4"/>
    <x v="0"/>
    <x v="0"/>
    <x v="2"/>
  </r>
  <r>
    <d v="2020-10-15T00:00:00"/>
    <s v="15"/>
    <s v="Okt"/>
    <n v="5"/>
    <n v="5"/>
    <s v=""/>
    <s v="AC"/>
    <s v="Electronic"/>
    <n v="60000000"/>
    <x v="18"/>
    <x v="2"/>
    <x v="0"/>
    <x v="2"/>
    <x v="3"/>
  </r>
  <r>
    <d v="2020-10-15T00:00:00"/>
    <s v="15"/>
    <s v="Okt"/>
    <n v="5"/>
    <n v="5"/>
    <s v=""/>
    <s v="Office Table"/>
    <s v="Furniture"/>
    <n v="40000000"/>
    <x v="39"/>
    <x v="2"/>
    <x v="0"/>
    <x v="2"/>
    <x v="2"/>
  </r>
  <r>
    <d v="2020-10-15T00:00:00"/>
    <s v="15"/>
    <s v="Okt"/>
    <n v="5"/>
    <n v="5"/>
    <s v=""/>
    <s v="Cable"/>
    <s v="Networking"/>
    <n v="80000000"/>
    <x v="42"/>
    <x v="2"/>
    <x v="0"/>
    <x v="2"/>
    <x v="2"/>
  </r>
  <r>
    <d v="2020-10-15T00:00:00"/>
    <s v="15"/>
    <s v="Okt"/>
    <n v="5"/>
    <n v="5"/>
    <s v=""/>
    <s v="AC"/>
    <s v="Electronic"/>
    <n v="40000000"/>
    <x v="8"/>
    <x v="0"/>
    <x v="0"/>
    <x v="0"/>
    <x v="2"/>
  </r>
  <r>
    <d v="2020-10-15T00:00:00"/>
    <s v="15"/>
    <s v="Okt"/>
    <n v="4"/>
    <n v="4"/>
    <s v=""/>
    <s v="TV"/>
    <s v="Electronic"/>
    <n v="120000000"/>
    <x v="30"/>
    <x v="0"/>
    <x v="0"/>
    <x v="0"/>
    <x v="0"/>
  </r>
  <r>
    <d v="2020-10-15T00:00:00"/>
    <s v="15"/>
    <s v="Okt"/>
    <n v="4"/>
    <n v="4"/>
    <s v=""/>
    <s v="Coffee Mach"/>
    <s v="Kitchen"/>
    <n v="100000000"/>
    <x v="18"/>
    <x v="3"/>
    <x v="0"/>
    <x v="2"/>
    <x v="0"/>
  </r>
  <r>
    <d v="2020-10-15T00:00:00"/>
    <s v="15"/>
    <s v="Okt"/>
    <n v="3"/>
    <n v="3"/>
    <s v=""/>
    <s v="Coffee Mach"/>
    <s v="Kitchen"/>
    <n v="60000000"/>
    <x v="27"/>
    <x v="2"/>
    <x v="0"/>
    <x v="0"/>
    <x v="1"/>
  </r>
  <r>
    <d v="2020-10-15T00:00:00"/>
    <s v="15"/>
    <s v="Okt"/>
    <n v="3"/>
    <n v="3"/>
    <s v=""/>
    <s v="Table Lamp"/>
    <s v="Accessories"/>
    <n v="80000000"/>
    <x v="37"/>
    <x v="4"/>
    <x v="0"/>
    <x v="1"/>
    <x v="3"/>
  </r>
  <r>
    <d v="2020-10-15T00:00:00"/>
    <s v="15"/>
    <s v="Okt"/>
    <n v="3"/>
    <n v="3"/>
    <s v=""/>
    <s v="Coffee Mach"/>
    <s v="Kitchen"/>
    <n v="40000000"/>
    <x v="40"/>
    <x v="5"/>
    <x v="0"/>
    <x v="2"/>
    <x v="2"/>
  </r>
  <r>
    <d v="2020-10-16T00:00:00"/>
    <s v="16"/>
    <s v="Okt"/>
    <n v="10"/>
    <n v="10"/>
    <s v=""/>
    <s v="Table Lamp"/>
    <s v="Accessories"/>
    <n v="120000000"/>
    <x v="48"/>
    <x v="0"/>
    <x v="0"/>
    <x v="1"/>
    <x v="2"/>
  </r>
  <r>
    <d v="2020-10-16T00:00:00"/>
    <s v="16"/>
    <s v="Okt"/>
    <n v="9"/>
    <n v="9"/>
    <s v=""/>
    <s v="Office Chair"/>
    <s v="Furniture"/>
    <n v="40000000"/>
    <x v="45"/>
    <x v="2"/>
    <x v="0"/>
    <x v="1"/>
    <x v="0"/>
  </r>
  <r>
    <d v="2020-10-16T00:00:00"/>
    <s v="16"/>
    <s v="Okt"/>
    <n v="8"/>
    <n v="8"/>
    <s v=""/>
    <s v="Table Lamp"/>
    <s v="Accessories"/>
    <n v="140000000"/>
    <x v="19"/>
    <x v="2"/>
    <x v="0"/>
    <x v="0"/>
    <x v="1"/>
  </r>
  <r>
    <d v="2020-10-16T00:00:00"/>
    <s v="16"/>
    <s v="Okt"/>
    <n v="6"/>
    <n v="6"/>
    <s v=""/>
    <s v="Table Lamp"/>
    <s v="Accessories"/>
    <n v="60000000"/>
    <x v="40"/>
    <x v="3"/>
    <x v="0"/>
    <x v="1"/>
    <x v="2"/>
  </r>
  <r>
    <d v="2020-10-16T00:00:00"/>
    <s v="16"/>
    <s v="Okt"/>
    <n v="6"/>
    <n v="6"/>
    <s v=""/>
    <s v="Coffee Mach"/>
    <s v="Kitchen"/>
    <n v="40000000"/>
    <x v="18"/>
    <x v="2"/>
    <x v="0"/>
    <x v="1"/>
    <x v="2"/>
  </r>
  <r>
    <d v="2020-10-16T00:00:00"/>
    <s v="16"/>
    <s v="Okt"/>
    <n v="3"/>
    <n v="3"/>
    <s v=""/>
    <s v="Office Chair"/>
    <s v="Furniture"/>
    <n v="80000000"/>
    <x v="28"/>
    <x v="0"/>
    <x v="0"/>
    <x v="0"/>
    <x v="0"/>
  </r>
  <r>
    <d v="2020-10-16T00:00:00"/>
    <s v="16"/>
    <s v="Okt"/>
    <n v="3"/>
    <n v="3"/>
    <s v=""/>
    <s v="Laptop"/>
    <s v="Computer"/>
    <n v="60000000"/>
    <x v="1"/>
    <x v="0"/>
    <x v="0"/>
    <x v="0"/>
    <x v="2"/>
  </r>
  <r>
    <d v="2020-10-17T00:00:00"/>
    <s v="17"/>
    <s v="Okt"/>
    <n v="10"/>
    <n v="10"/>
    <s v=""/>
    <s v="Printer"/>
    <s v="Computer"/>
    <n v="140000000"/>
    <x v="4"/>
    <x v="5"/>
    <x v="0"/>
    <x v="2"/>
    <x v="3"/>
  </r>
  <r>
    <d v="2020-10-17T00:00:00"/>
    <s v="17"/>
    <s v="Okt"/>
    <n v="9"/>
    <n v="9"/>
    <s v=""/>
    <s v="Table Lamp"/>
    <s v="Accessories"/>
    <n v="140000000"/>
    <x v="33"/>
    <x v="0"/>
    <x v="0"/>
    <x v="0"/>
    <x v="1"/>
  </r>
  <r>
    <d v="2020-10-17T00:00:00"/>
    <s v="17"/>
    <s v="Okt"/>
    <n v="6"/>
    <n v="6"/>
    <s v=""/>
    <s v="Table Lamp"/>
    <s v="Accessories"/>
    <n v="60000000"/>
    <x v="8"/>
    <x v="2"/>
    <x v="0"/>
    <x v="2"/>
    <x v="1"/>
  </r>
  <r>
    <d v="2020-10-17T00:00:00"/>
    <s v="17"/>
    <s v="Okt"/>
    <n v="5"/>
    <n v="5"/>
    <s v=""/>
    <s v="Coffee Mach"/>
    <s v="Kitchen"/>
    <n v="60000000"/>
    <x v="35"/>
    <x v="0"/>
    <x v="0"/>
    <x v="0"/>
    <x v="1"/>
  </r>
  <r>
    <d v="2020-10-18T00:00:00"/>
    <s v="18"/>
    <s v="Okt"/>
    <n v="10"/>
    <n v="10"/>
    <s v=""/>
    <s v="Laptop"/>
    <s v="Computer"/>
    <n v="40000000"/>
    <x v="28"/>
    <x v="0"/>
    <x v="0"/>
    <x v="0"/>
    <x v="1"/>
  </r>
  <r>
    <d v="2020-10-18T00:00:00"/>
    <s v="18"/>
    <s v="Okt"/>
    <n v="9"/>
    <n v="9"/>
    <s v=""/>
    <s v="Office Chair"/>
    <s v="Furniture"/>
    <n v="40000000"/>
    <x v="2"/>
    <x v="1"/>
    <x v="0"/>
    <x v="2"/>
    <x v="3"/>
  </r>
  <r>
    <d v="2020-10-18T00:00:00"/>
    <s v="18"/>
    <s v="Okt"/>
    <n v="7"/>
    <n v="7"/>
    <s v=""/>
    <s v="Office Chair"/>
    <s v="Furniture"/>
    <n v="40000000"/>
    <x v="23"/>
    <x v="2"/>
    <x v="0"/>
    <x v="0"/>
    <x v="1"/>
  </r>
  <r>
    <d v="2020-10-18T00:00:00"/>
    <s v="18"/>
    <s v="Okt"/>
    <n v="6"/>
    <n v="6"/>
    <s v=""/>
    <s v="Table Lamp"/>
    <s v="Accessories"/>
    <n v="40000000"/>
    <x v="40"/>
    <x v="2"/>
    <x v="0"/>
    <x v="2"/>
    <x v="0"/>
  </r>
  <r>
    <d v="2020-10-18T00:00:00"/>
    <s v="18"/>
    <s v="Okt"/>
    <n v="6"/>
    <n v="6"/>
    <s v=""/>
    <s v="AC"/>
    <s v="Electronic"/>
    <n v="60000000"/>
    <x v="0"/>
    <x v="0"/>
    <x v="0"/>
    <x v="0"/>
    <x v="3"/>
  </r>
  <r>
    <d v="2020-10-18T00:00:00"/>
    <s v="18"/>
    <s v="Okt"/>
    <n v="5"/>
    <n v="5"/>
    <s v=""/>
    <s v="TV"/>
    <s v="Electronic"/>
    <n v="60000000"/>
    <x v="30"/>
    <x v="0"/>
    <x v="0"/>
    <x v="0"/>
    <x v="2"/>
  </r>
  <r>
    <d v="2020-10-18T00:00:00"/>
    <s v="18"/>
    <s v="Okt"/>
    <n v="5"/>
    <n v="5"/>
    <s v=""/>
    <s v="Cable"/>
    <s v="Networking"/>
    <n v="100000000"/>
    <x v="4"/>
    <x v="3"/>
    <x v="0"/>
    <x v="2"/>
    <x v="0"/>
  </r>
  <r>
    <d v="2020-10-18T00:00:00"/>
    <s v="18"/>
    <s v="Okt"/>
    <n v="4"/>
    <n v="4"/>
    <s v=""/>
    <s v="TV"/>
    <s v="Electronic"/>
    <n v="140000000"/>
    <x v="43"/>
    <x v="2"/>
    <x v="0"/>
    <x v="1"/>
    <x v="0"/>
  </r>
  <r>
    <d v="2020-10-18T00:00:00"/>
    <s v="18"/>
    <s v="Okt"/>
    <n v="4"/>
    <n v="4"/>
    <s v=""/>
    <s v="AC"/>
    <s v="Electronic"/>
    <n v="140000000"/>
    <x v="3"/>
    <x v="2"/>
    <x v="0"/>
    <x v="1"/>
    <x v="0"/>
  </r>
  <r>
    <d v="2020-10-18T00:00:00"/>
    <s v="18"/>
    <s v="Okt"/>
    <n v="3"/>
    <n v="3"/>
    <s v=""/>
    <s v="Laptop"/>
    <s v="Computer"/>
    <n v="120000000"/>
    <x v="20"/>
    <x v="0"/>
    <x v="0"/>
    <x v="1"/>
    <x v="0"/>
  </r>
  <r>
    <d v="2020-10-19T00:00:00"/>
    <s v="19"/>
    <s v="Okt"/>
    <n v="10"/>
    <n v="10"/>
    <s v=""/>
    <s v="Office Table"/>
    <s v="Furniture"/>
    <n v="60000000"/>
    <x v="29"/>
    <x v="2"/>
    <x v="0"/>
    <x v="2"/>
    <x v="2"/>
  </r>
  <r>
    <d v="2020-10-19T00:00:00"/>
    <s v="19"/>
    <s v="Okt"/>
    <n v="8"/>
    <n v="8"/>
    <s v=""/>
    <s v="Cable"/>
    <s v="Networking"/>
    <n v="120000000"/>
    <x v="32"/>
    <x v="0"/>
    <x v="0"/>
    <x v="2"/>
    <x v="1"/>
  </r>
  <r>
    <d v="2020-10-19T00:00:00"/>
    <s v="19"/>
    <s v="Okt"/>
    <n v="7"/>
    <n v="7"/>
    <s v=""/>
    <s v="Laptop"/>
    <s v="Computer"/>
    <n v="100000000"/>
    <x v="36"/>
    <x v="2"/>
    <x v="0"/>
    <x v="0"/>
    <x v="2"/>
  </r>
  <r>
    <d v="2020-10-19T00:00:00"/>
    <s v="19"/>
    <s v="Okt"/>
    <n v="7"/>
    <n v="7"/>
    <s v=""/>
    <s v="Printer"/>
    <s v="Computer"/>
    <n v="80000000"/>
    <x v="47"/>
    <x v="0"/>
    <x v="0"/>
    <x v="1"/>
    <x v="3"/>
  </r>
  <r>
    <d v="2020-10-19T00:00:00"/>
    <s v="19"/>
    <s v="Okt"/>
    <n v="6"/>
    <n v="6"/>
    <s v=""/>
    <s v="Cable"/>
    <s v="Networking"/>
    <n v="40000000"/>
    <x v="20"/>
    <x v="0"/>
    <x v="0"/>
    <x v="2"/>
    <x v="1"/>
  </r>
  <r>
    <d v="2020-10-19T00:00:00"/>
    <s v="19"/>
    <s v="Okt"/>
    <n v="3"/>
    <n v="3"/>
    <s v=""/>
    <s v="Cable"/>
    <s v="Networking"/>
    <n v="120000000"/>
    <x v="49"/>
    <x v="4"/>
    <x v="0"/>
    <x v="1"/>
    <x v="1"/>
  </r>
  <r>
    <d v="2020-10-20T00:00:00"/>
    <s v="20"/>
    <s v="Okt"/>
    <n v="10"/>
    <n v="10"/>
    <s v=""/>
    <s v="TV"/>
    <s v="Electronic"/>
    <n v="100000000"/>
    <x v="39"/>
    <x v="4"/>
    <x v="0"/>
    <x v="0"/>
    <x v="0"/>
  </r>
  <r>
    <d v="2020-10-20T00:00:00"/>
    <s v="20"/>
    <s v="Okt"/>
    <n v="10"/>
    <n v="10"/>
    <s v=""/>
    <s v="Cable"/>
    <s v="Networking"/>
    <n v="40000000"/>
    <x v="28"/>
    <x v="0"/>
    <x v="0"/>
    <x v="0"/>
    <x v="3"/>
  </r>
  <r>
    <d v="2020-10-20T00:00:00"/>
    <s v="20"/>
    <s v="Okt"/>
    <n v="8"/>
    <n v="8"/>
    <s v=""/>
    <s v="Cable"/>
    <s v="Networking"/>
    <n v="40000000"/>
    <x v="0"/>
    <x v="0"/>
    <x v="0"/>
    <x v="1"/>
    <x v="0"/>
  </r>
  <r>
    <d v="2020-10-20T00:00:00"/>
    <s v="20"/>
    <s v="Okt"/>
    <n v="7"/>
    <n v="7"/>
    <s v=""/>
    <s v="Coffee Mach"/>
    <s v="Kitchen"/>
    <n v="40000000"/>
    <x v="49"/>
    <x v="3"/>
    <x v="0"/>
    <x v="1"/>
    <x v="2"/>
  </r>
  <r>
    <d v="2020-10-20T00:00:00"/>
    <s v="20"/>
    <s v="Okt"/>
    <n v="5"/>
    <n v="5"/>
    <s v=""/>
    <s v="TV"/>
    <s v="Electronic"/>
    <n v="40000000"/>
    <x v="17"/>
    <x v="2"/>
    <x v="0"/>
    <x v="2"/>
    <x v="0"/>
  </r>
  <r>
    <d v="2020-10-20T00:00:00"/>
    <s v="20"/>
    <s v="Okt"/>
    <n v="4"/>
    <n v="4"/>
    <s v=""/>
    <s v="AC"/>
    <s v="Electronic"/>
    <n v="80000000"/>
    <x v="19"/>
    <x v="3"/>
    <x v="0"/>
    <x v="1"/>
    <x v="1"/>
  </r>
  <r>
    <d v="2020-10-20T00:00:00"/>
    <s v="20"/>
    <s v="Okt"/>
    <n v="3"/>
    <n v="3"/>
    <s v=""/>
    <s v="Coffee Mach"/>
    <s v="Kitchen"/>
    <n v="60000000"/>
    <x v="23"/>
    <x v="0"/>
    <x v="0"/>
    <x v="2"/>
    <x v="2"/>
  </r>
  <r>
    <d v="2020-10-21T00:00:00"/>
    <s v="21"/>
    <s v="Okt"/>
    <n v="10"/>
    <n v="10"/>
    <s v=""/>
    <s v="Printer"/>
    <s v="Computer"/>
    <n v="100000000"/>
    <x v="9"/>
    <x v="0"/>
    <x v="0"/>
    <x v="0"/>
    <x v="3"/>
  </r>
  <r>
    <d v="2020-10-21T00:00:00"/>
    <s v="21"/>
    <s v="Okt"/>
    <n v="9"/>
    <n v="9"/>
    <s v=""/>
    <s v="Office Table"/>
    <s v="Furniture"/>
    <n v="40000000"/>
    <x v="0"/>
    <x v="2"/>
    <x v="0"/>
    <x v="0"/>
    <x v="3"/>
  </r>
  <r>
    <d v="2020-10-21T00:00:00"/>
    <s v="21"/>
    <s v="Okt"/>
    <n v="9"/>
    <n v="9"/>
    <s v=""/>
    <s v="TV"/>
    <s v="Electronic"/>
    <n v="40000000"/>
    <x v="41"/>
    <x v="0"/>
    <x v="0"/>
    <x v="1"/>
    <x v="0"/>
  </r>
  <r>
    <d v="2020-10-21T00:00:00"/>
    <s v="21"/>
    <s v="Okt"/>
    <n v="8"/>
    <n v="8"/>
    <s v=""/>
    <s v="Printer"/>
    <s v="Computer"/>
    <n v="80000000"/>
    <x v="49"/>
    <x v="2"/>
    <x v="0"/>
    <x v="2"/>
    <x v="0"/>
  </r>
  <r>
    <d v="2020-10-21T00:00:00"/>
    <s v="21"/>
    <s v="Okt"/>
    <n v="7"/>
    <n v="7"/>
    <s v=""/>
    <s v="Coffee Mach"/>
    <s v="Kitchen"/>
    <n v="60000000"/>
    <x v="43"/>
    <x v="0"/>
    <x v="0"/>
    <x v="1"/>
    <x v="0"/>
  </r>
  <r>
    <d v="2020-10-21T00:00:00"/>
    <s v="21"/>
    <s v="Okt"/>
    <n v="7"/>
    <n v="7"/>
    <s v=""/>
    <s v="Coffee Mach"/>
    <s v="Kitchen"/>
    <n v="140000000"/>
    <x v="44"/>
    <x v="0"/>
    <x v="0"/>
    <x v="1"/>
    <x v="3"/>
  </r>
  <r>
    <d v="2020-10-21T00:00:00"/>
    <s v="21"/>
    <s v="Okt"/>
    <n v="5"/>
    <n v="5"/>
    <s v=""/>
    <s v="Office Chair"/>
    <s v="Furniture"/>
    <n v="140000000"/>
    <x v="30"/>
    <x v="2"/>
    <x v="0"/>
    <x v="0"/>
    <x v="0"/>
  </r>
  <r>
    <d v="2020-10-21T00:00:00"/>
    <s v="21"/>
    <s v="Okt"/>
    <n v="5"/>
    <n v="5"/>
    <s v=""/>
    <s v="Coffee Mach"/>
    <s v="Kitchen"/>
    <n v="100000000"/>
    <x v="41"/>
    <x v="5"/>
    <x v="0"/>
    <x v="0"/>
    <x v="2"/>
  </r>
  <r>
    <d v="2020-10-21T00:00:00"/>
    <s v="21"/>
    <s v="Okt"/>
    <n v="3"/>
    <n v="3"/>
    <s v=""/>
    <s v="Cable"/>
    <s v="Networking"/>
    <n v="120000000"/>
    <x v="45"/>
    <x v="0"/>
    <x v="0"/>
    <x v="1"/>
    <x v="1"/>
  </r>
  <r>
    <d v="2020-10-21T00:00:00"/>
    <s v="21"/>
    <s v="Okt"/>
    <n v="3"/>
    <n v="3"/>
    <s v=""/>
    <s v="AC"/>
    <s v="Electronic"/>
    <n v="60000000"/>
    <x v="25"/>
    <x v="2"/>
    <x v="0"/>
    <x v="0"/>
    <x v="3"/>
  </r>
  <r>
    <d v="2020-10-21T00:00:00"/>
    <s v="21"/>
    <s v="Okt"/>
    <n v="3"/>
    <n v="3"/>
    <s v=""/>
    <s v="Office Chair"/>
    <s v="Furniture"/>
    <n v="140000000"/>
    <x v="20"/>
    <x v="2"/>
    <x v="0"/>
    <x v="1"/>
    <x v="1"/>
  </r>
  <r>
    <d v="2020-10-21T00:00:00"/>
    <s v="21"/>
    <s v="Okt"/>
    <n v="3"/>
    <n v="3"/>
    <s v=""/>
    <s v="Cable"/>
    <s v="Networking"/>
    <n v="120000000"/>
    <x v="35"/>
    <x v="4"/>
    <x v="0"/>
    <x v="0"/>
    <x v="2"/>
  </r>
  <r>
    <d v="2020-10-22T00:00:00"/>
    <s v="22"/>
    <s v="Okt"/>
    <n v="10"/>
    <n v="10"/>
    <s v=""/>
    <s v="Table Lamp"/>
    <s v="Accessories"/>
    <n v="40000000"/>
    <x v="9"/>
    <x v="3"/>
    <x v="0"/>
    <x v="2"/>
    <x v="3"/>
  </r>
  <r>
    <d v="2020-10-22T00:00:00"/>
    <s v="22"/>
    <s v="Okt"/>
    <n v="10"/>
    <n v="10"/>
    <s v=""/>
    <s v="Office Table"/>
    <s v="Furniture"/>
    <n v="140000000"/>
    <x v="13"/>
    <x v="4"/>
    <x v="0"/>
    <x v="0"/>
    <x v="2"/>
  </r>
  <r>
    <d v="2020-10-22T00:00:00"/>
    <s v="22"/>
    <s v="Okt"/>
    <n v="7"/>
    <n v="7"/>
    <s v=""/>
    <s v="Printer"/>
    <s v="Computer"/>
    <n v="140000000"/>
    <x v="1"/>
    <x v="4"/>
    <x v="0"/>
    <x v="2"/>
    <x v="1"/>
  </r>
  <r>
    <d v="2020-10-22T00:00:00"/>
    <s v="22"/>
    <s v="Okt"/>
    <n v="7"/>
    <n v="7"/>
    <s v=""/>
    <s v="Cable"/>
    <s v="Networking"/>
    <n v="120000000"/>
    <x v="9"/>
    <x v="0"/>
    <x v="0"/>
    <x v="2"/>
    <x v="3"/>
  </r>
  <r>
    <d v="2020-10-22T00:00:00"/>
    <s v="22"/>
    <s v="Okt"/>
    <n v="6"/>
    <n v="6"/>
    <s v=""/>
    <s v="Laptop"/>
    <s v="Computer"/>
    <n v="120000000"/>
    <x v="4"/>
    <x v="0"/>
    <x v="0"/>
    <x v="2"/>
    <x v="1"/>
  </r>
  <r>
    <d v="2020-10-22T00:00:00"/>
    <s v="22"/>
    <s v="Okt"/>
    <n v="6"/>
    <n v="6"/>
    <s v=""/>
    <s v="TV"/>
    <s v="Electronic"/>
    <n v="80000000"/>
    <x v="13"/>
    <x v="0"/>
    <x v="0"/>
    <x v="0"/>
    <x v="2"/>
  </r>
  <r>
    <d v="2020-10-22T00:00:00"/>
    <s v="22"/>
    <s v="Okt"/>
    <n v="5"/>
    <n v="5"/>
    <s v=""/>
    <s v="Laptop"/>
    <s v="Computer"/>
    <n v="120000000"/>
    <x v="46"/>
    <x v="0"/>
    <x v="0"/>
    <x v="2"/>
    <x v="0"/>
  </r>
  <r>
    <d v="2020-10-22T00:00:00"/>
    <s v="22"/>
    <s v="Okt"/>
    <n v="3"/>
    <n v="3"/>
    <s v=""/>
    <s v="Office Chair"/>
    <s v="Furniture"/>
    <n v="40000000"/>
    <x v="5"/>
    <x v="2"/>
    <x v="0"/>
    <x v="0"/>
    <x v="3"/>
  </r>
  <r>
    <d v="2020-10-23T00:00:00"/>
    <s v="23"/>
    <s v="Okt"/>
    <n v="10"/>
    <n v="10"/>
    <s v=""/>
    <s v="TV"/>
    <s v="Electronic"/>
    <n v="140000000"/>
    <x v="18"/>
    <x v="0"/>
    <x v="0"/>
    <x v="0"/>
    <x v="0"/>
  </r>
  <r>
    <d v="2020-10-23T00:00:00"/>
    <s v="23"/>
    <s v="Okt"/>
    <n v="9"/>
    <n v="9"/>
    <s v=""/>
    <s v="TV"/>
    <s v="Electronic"/>
    <n v="80000000"/>
    <x v="39"/>
    <x v="4"/>
    <x v="0"/>
    <x v="1"/>
    <x v="2"/>
  </r>
  <r>
    <d v="2020-10-23T00:00:00"/>
    <s v="23"/>
    <s v="Okt"/>
    <n v="9"/>
    <n v="9"/>
    <s v=""/>
    <s v="Laptop"/>
    <s v="Computer"/>
    <n v="40000000"/>
    <x v="17"/>
    <x v="0"/>
    <x v="0"/>
    <x v="1"/>
    <x v="0"/>
  </r>
  <r>
    <d v="2020-10-23T00:00:00"/>
    <s v="23"/>
    <s v="Okt"/>
    <n v="9"/>
    <n v="9"/>
    <s v=""/>
    <s v="Table Lamp"/>
    <s v="Accessories"/>
    <n v="80000000"/>
    <x v="14"/>
    <x v="0"/>
    <x v="0"/>
    <x v="2"/>
    <x v="3"/>
  </r>
  <r>
    <d v="2020-10-23T00:00:00"/>
    <s v="23"/>
    <s v="Okt"/>
    <n v="8"/>
    <n v="8"/>
    <s v=""/>
    <s v="Cable"/>
    <s v="Networking"/>
    <n v="80000000"/>
    <x v="41"/>
    <x v="4"/>
    <x v="0"/>
    <x v="1"/>
    <x v="2"/>
  </r>
  <r>
    <d v="2020-10-23T00:00:00"/>
    <s v="23"/>
    <s v="Okt"/>
    <n v="8"/>
    <n v="8"/>
    <s v=""/>
    <s v="Office Table"/>
    <s v="Furniture"/>
    <n v="60000000"/>
    <x v="5"/>
    <x v="0"/>
    <x v="0"/>
    <x v="2"/>
    <x v="2"/>
  </r>
  <r>
    <d v="2020-10-23T00:00:00"/>
    <s v="23"/>
    <s v="Okt"/>
    <n v="8"/>
    <n v="8"/>
    <s v=""/>
    <s v="Office Chair"/>
    <s v="Furniture"/>
    <n v="100000000"/>
    <x v="33"/>
    <x v="4"/>
    <x v="0"/>
    <x v="2"/>
    <x v="1"/>
  </r>
  <r>
    <d v="2020-10-23T00:00:00"/>
    <s v="23"/>
    <s v="Okt"/>
    <n v="8"/>
    <n v="8"/>
    <s v=""/>
    <s v="Coffee Mach"/>
    <s v="Kitchen"/>
    <n v="80000000"/>
    <x v="7"/>
    <x v="0"/>
    <x v="0"/>
    <x v="1"/>
    <x v="0"/>
  </r>
  <r>
    <d v="2020-10-23T00:00:00"/>
    <s v="23"/>
    <s v="Okt"/>
    <n v="7"/>
    <n v="7"/>
    <s v=""/>
    <s v="Coffee Mach"/>
    <s v="Kitchen"/>
    <n v="40000000"/>
    <x v="8"/>
    <x v="2"/>
    <x v="0"/>
    <x v="2"/>
    <x v="3"/>
  </r>
  <r>
    <d v="2020-10-23T00:00:00"/>
    <s v="23"/>
    <s v="Okt"/>
    <n v="5"/>
    <n v="5"/>
    <s v=""/>
    <s v="Coffee Mach"/>
    <s v="Kitchen"/>
    <n v="100000000"/>
    <x v="33"/>
    <x v="3"/>
    <x v="0"/>
    <x v="0"/>
    <x v="1"/>
  </r>
  <r>
    <d v="2020-10-23T00:00:00"/>
    <s v="23"/>
    <s v="Okt"/>
    <n v="5"/>
    <n v="5"/>
    <s v=""/>
    <s v="Coffee Mach"/>
    <s v="Kitchen"/>
    <n v="140000000"/>
    <x v="0"/>
    <x v="0"/>
    <x v="0"/>
    <x v="0"/>
    <x v="2"/>
  </r>
  <r>
    <d v="2020-10-24T00:00:00"/>
    <s v="24"/>
    <s v="Okt"/>
    <n v="6"/>
    <n v="6"/>
    <s v=""/>
    <s v="Laptop"/>
    <s v="Computer"/>
    <n v="120000000"/>
    <x v="43"/>
    <x v="4"/>
    <x v="0"/>
    <x v="0"/>
    <x v="0"/>
  </r>
  <r>
    <d v="2020-10-24T00:00:00"/>
    <s v="24"/>
    <s v="Okt"/>
    <n v="6"/>
    <n v="6"/>
    <s v=""/>
    <s v="Printer"/>
    <s v="Computer"/>
    <n v="140000000"/>
    <x v="15"/>
    <x v="0"/>
    <x v="0"/>
    <x v="0"/>
    <x v="2"/>
  </r>
  <r>
    <d v="2020-10-24T00:00:00"/>
    <s v="24"/>
    <s v="Okt"/>
    <n v="5"/>
    <n v="5"/>
    <s v=""/>
    <s v="Cable"/>
    <s v="Networking"/>
    <n v="100000000"/>
    <x v="42"/>
    <x v="4"/>
    <x v="0"/>
    <x v="0"/>
    <x v="2"/>
  </r>
  <r>
    <d v="2020-10-24T00:00:00"/>
    <s v="24"/>
    <s v="Okt"/>
    <n v="5"/>
    <n v="5"/>
    <s v=""/>
    <s v="Table Lamp"/>
    <s v="Accessories"/>
    <n v="60000000"/>
    <x v="35"/>
    <x v="5"/>
    <x v="0"/>
    <x v="0"/>
    <x v="3"/>
  </r>
  <r>
    <d v="2020-10-24T00:00:00"/>
    <s v="24"/>
    <s v="Okt"/>
    <n v="4"/>
    <n v="4"/>
    <s v=""/>
    <s v="Coffee Mach"/>
    <s v="Kitchen"/>
    <n v="80000000"/>
    <x v="10"/>
    <x v="1"/>
    <x v="0"/>
    <x v="2"/>
    <x v="0"/>
  </r>
  <r>
    <d v="2020-10-24T00:00:00"/>
    <s v="24"/>
    <s v="Okt"/>
    <n v="3"/>
    <n v="3"/>
    <s v=""/>
    <s v="Laptop"/>
    <s v="Computer"/>
    <n v="80000000"/>
    <x v="27"/>
    <x v="2"/>
    <x v="0"/>
    <x v="1"/>
    <x v="0"/>
  </r>
  <r>
    <d v="2020-10-24T00:00:00"/>
    <s v="24"/>
    <s v="Okt"/>
    <n v="3"/>
    <n v="3"/>
    <s v=""/>
    <s v="Laptop"/>
    <s v="Computer"/>
    <n v="100000000"/>
    <x v="45"/>
    <x v="3"/>
    <x v="0"/>
    <x v="2"/>
    <x v="1"/>
  </r>
  <r>
    <d v="2020-10-24T00:00:00"/>
    <s v="24"/>
    <s v="Okt"/>
    <n v="3"/>
    <n v="3"/>
    <s v=""/>
    <s v="Coffee Mach"/>
    <s v="Kitchen"/>
    <n v="80000000"/>
    <x v="47"/>
    <x v="0"/>
    <x v="0"/>
    <x v="0"/>
    <x v="1"/>
  </r>
  <r>
    <d v="2020-10-25T00:00:00"/>
    <s v="25"/>
    <s v="Okt"/>
    <n v="9"/>
    <n v="9"/>
    <s v=""/>
    <s v="Printer"/>
    <s v="Computer"/>
    <n v="100000000"/>
    <x v="26"/>
    <x v="0"/>
    <x v="0"/>
    <x v="1"/>
    <x v="2"/>
  </r>
  <r>
    <d v="2020-10-25T00:00:00"/>
    <s v="25"/>
    <s v="Okt"/>
    <n v="9"/>
    <n v="9"/>
    <s v=""/>
    <s v="AC"/>
    <s v="Electronic"/>
    <n v="100000000"/>
    <x v="47"/>
    <x v="2"/>
    <x v="0"/>
    <x v="0"/>
    <x v="1"/>
  </r>
  <r>
    <d v="2020-10-25T00:00:00"/>
    <s v="25"/>
    <s v="Okt"/>
    <n v="9"/>
    <n v="9"/>
    <s v=""/>
    <s v="Table Lamp"/>
    <s v="Accessories"/>
    <n v="140000000"/>
    <x v="38"/>
    <x v="0"/>
    <x v="0"/>
    <x v="0"/>
    <x v="1"/>
  </r>
  <r>
    <d v="2020-10-25T00:00:00"/>
    <s v="25"/>
    <s v="Okt"/>
    <n v="8"/>
    <n v="8"/>
    <s v=""/>
    <s v="Laptop"/>
    <s v="Computer"/>
    <n v="80000000"/>
    <x v="15"/>
    <x v="5"/>
    <x v="0"/>
    <x v="1"/>
    <x v="0"/>
  </r>
  <r>
    <d v="2020-10-25T00:00:00"/>
    <s v="25"/>
    <s v="Okt"/>
    <n v="7"/>
    <n v="7"/>
    <s v=""/>
    <s v="Table Lamp"/>
    <s v="Accessories"/>
    <n v="80000000"/>
    <x v="28"/>
    <x v="5"/>
    <x v="0"/>
    <x v="0"/>
    <x v="1"/>
  </r>
  <r>
    <d v="2020-10-25T00:00:00"/>
    <s v="25"/>
    <s v="Okt"/>
    <n v="7"/>
    <n v="7"/>
    <s v=""/>
    <s v="TV"/>
    <s v="Electronic"/>
    <n v="80000000"/>
    <x v="33"/>
    <x v="5"/>
    <x v="0"/>
    <x v="1"/>
    <x v="1"/>
  </r>
  <r>
    <d v="2020-10-25T00:00:00"/>
    <s v="25"/>
    <s v="Okt"/>
    <n v="7"/>
    <n v="7"/>
    <s v=""/>
    <s v="Printer"/>
    <s v="Computer"/>
    <n v="60000000"/>
    <x v="49"/>
    <x v="0"/>
    <x v="0"/>
    <x v="0"/>
    <x v="3"/>
  </r>
  <r>
    <d v="2020-10-25T00:00:00"/>
    <s v="25"/>
    <s v="Okt"/>
    <n v="6"/>
    <n v="6"/>
    <s v=""/>
    <s v="Coffee Mach"/>
    <s v="Kitchen"/>
    <n v="140000000"/>
    <x v="33"/>
    <x v="2"/>
    <x v="0"/>
    <x v="0"/>
    <x v="3"/>
  </r>
  <r>
    <d v="2020-10-25T00:00:00"/>
    <s v="25"/>
    <s v="Okt"/>
    <n v="4"/>
    <n v="4"/>
    <s v=""/>
    <s v="AC"/>
    <s v="Electronic"/>
    <n v="120000000"/>
    <x v="15"/>
    <x v="2"/>
    <x v="0"/>
    <x v="1"/>
    <x v="0"/>
  </r>
  <r>
    <d v="2020-10-25T00:00:00"/>
    <s v="25"/>
    <s v="Okt"/>
    <n v="3"/>
    <n v="3"/>
    <s v=""/>
    <s v="Printer"/>
    <s v="Computer"/>
    <n v="60000000"/>
    <x v="26"/>
    <x v="2"/>
    <x v="0"/>
    <x v="1"/>
    <x v="3"/>
  </r>
  <r>
    <d v="2020-10-25T00:00:00"/>
    <s v="25"/>
    <s v="Okt"/>
    <n v="3"/>
    <n v="3"/>
    <s v=""/>
    <s v="TV"/>
    <s v="Electronic"/>
    <n v="140000000"/>
    <x v="45"/>
    <x v="0"/>
    <x v="0"/>
    <x v="2"/>
    <x v="1"/>
  </r>
  <r>
    <d v="2020-10-26T00:00:00"/>
    <s v="26"/>
    <s v="Okt"/>
    <n v="10"/>
    <n v="10"/>
    <s v=""/>
    <s v="Laptop"/>
    <s v="Computer"/>
    <n v="140000000"/>
    <x v="1"/>
    <x v="2"/>
    <x v="0"/>
    <x v="0"/>
    <x v="1"/>
  </r>
  <r>
    <d v="2020-10-26T00:00:00"/>
    <s v="26"/>
    <s v="Okt"/>
    <n v="10"/>
    <n v="10"/>
    <s v=""/>
    <s v="AC"/>
    <s v="Electronic"/>
    <n v="100000000"/>
    <x v="35"/>
    <x v="0"/>
    <x v="0"/>
    <x v="2"/>
    <x v="2"/>
  </r>
  <r>
    <d v="2020-10-26T00:00:00"/>
    <s v="26"/>
    <s v="Okt"/>
    <n v="10"/>
    <n v="10"/>
    <s v=""/>
    <s v="Office Chair"/>
    <s v="Furniture"/>
    <n v="100000000"/>
    <x v="38"/>
    <x v="2"/>
    <x v="0"/>
    <x v="1"/>
    <x v="1"/>
  </r>
  <r>
    <d v="2020-10-26T00:00:00"/>
    <s v="26"/>
    <s v="Okt"/>
    <n v="10"/>
    <n v="10"/>
    <s v=""/>
    <s v="Office Table"/>
    <s v="Furniture"/>
    <n v="120000000"/>
    <x v="47"/>
    <x v="0"/>
    <x v="0"/>
    <x v="0"/>
    <x v="2"/>
  </r>
  <r>
    <d v="2020-10-26T00:00:00"/>
    <s v="26"/>
    <s v="Okt"/>
    <n v="10"/>
    <n v="10"/>
    <s v=""/>
    <s v="TV"/>
    <s v="Electronic"/>
    <n v="100000000"/>
    <x v="39"/>
    <x v="3"/>
    <x v="0"/>
    <x v="1"/>
    <x v="3"/>
  </r>
  <r>
    <d v="2020-10-26T00:00:00"/>
    <s v="26"/>
    <s v="Okt"/>
    <n v="9"/>
    <n v="9"/>
    <s v=""/>
    <s v="Office Chair"/>
    <s v="Furniture"/>
    <n v="140000000"/>
    <x v="3"/>
    <x v="4"/>
    <x v="0"/>
    <x v="1"/>
    <x v="0"/>
  </r>
  <r>
    <d v="2020-10-26T00:00:00"/>
    <s v="26"/>
    <s v="Okt"/>
    <n v="8"/>
    <n v="8"/>
    <s v=""/>
    <s v="Laptop"/>
    <s v="Computer"/>
    <n v="120000000"/>
    <x v="35"/>
    <x v="2"/>
    <x v="0"/>
    <x v="2"/>
    <x v="2"/>
  </r>
  <r>
    <d v="2020-10-26T00:00:00"/>
    <s v="26"/>
    <s v="Okt"/>
    <n v="6"/>
    <n v="6"/>
    <s v=""/>
    <s v="TV"/>
    <s v="Electronic"/>
    <n v="80000000"/>
    <x v="33"/>
    <x v="5"/>
    <x v="0"/>
    <x v="2"/>
    <x v="1"/>
  </r>
  <r>
    <d v="2020-10-26T00:00:00"/>
    <s v="26"/>
    <s v="Okt"/>
    <n v="3"/>
    <n v="3"/>
    <s v=""/>
    <s v="Table Lamp"/>
    <s v="Accessories"/>
    <n v="80000000"/>
    <x v="19"/>
    <x v="0"/>
    <x v="0"/>
    <x v="2"/>
    <x v="3"/>
  </r>
  <r>
    <d v="2020-10-27T00:00:00"/>
    <s v="27"/>
    <s v="Okt"/>
    <n v="10"/>
    <n v="10"/>
    <s v=""/>
    <s v="Cable"/>
    <s v="Networking"/>
    <n v="100000000"/>
    <x v="20"/>
    <x v="3"/>
    <x v="0"/>
    <x v="0"/>
    <x v="1"/>
  </r>
  <r>
    <d v="2020-10-27T00:00:00"/>
    <s v="27"/>
    <s v="Okt"/>
    <n v="10"/>
    <n v="10"/>
    <s v=""/>
    <s v="Cable"/>
    <s v="Networking"/>
    <n v="60000000"/>
    <x v="10"/>
    <x v="4"/>
    <x v="0"/>
    <x v="1"/>
    <x v="1"/>
  </r>
  <r>
    <d v="2020-10-27T00:00:00"/>
    <s v="27"/>
    <s v="Okt"/>
    <n v="8"/>
    <n v="8"/>
    <s v=""/>
    <s v="Laptop"/>
    <s v="Computer"/>
    <n v="80000000"/>
    <x v="14"/>
    <x v="2"/>
    <x v="0"/>
    <x v="0"/>
    <x v="0"/>
  </r>
  <r>
    <d v="2020-10-27T00:00:00"/>
    <s v="27"/>
    <s v="Okt"/>
    <n v="6"/>
    <n v="6"/>
    <s v=""/>
    <s v="AC"/>
    <s v="Electronic"/>
    <n v="40000000"/>
    <x v="48"/>
    <x v="2"/>
    <x v="0"/>
    <x v="0"/>
    <x v="3"/>
  </r>
  <r>
    <d v="2020-10-27T00:00:00"/>
    <s v="27"/>
    <s v="Okt"/>
    <n v="5"/>
    <n v="5"/>
    <s v=""/>
    <s v="Office Chair"/>
    <s v="Furniture"/>
    <n v="120000000"/>
    <x v="20"/>
    <x v="2"/>
    <x v="0"/>
    <x v="0"/>
    <x v="2"/>
  </r>
  <r>
    <d v="2020-10-27T00:00:00"/>
    <s v="27"/>
    <s v="Okt"/>
    <n v="5"/>
    <n v="5"/>
    <s v=""/>
    <s v="Laptop"/>
    <s v="Computer"/>
    <n v="40000000"/>
    <x v="9"/>
    <x v="0"/>
    <x v="0"/>
    <x v="1"/>
    <x v="3"/>
  </r>
  <r>
    <d v="2020-10-27T00:00:00"/>
    <s v="27"/>
    <s v="Okt"/>
    <n v="5"/>
    <n v="5"/>
    <s v=""/>
    <s v="Coffee Mach"/>
    <s v="Kitchen"/>
    <n v="80000000"/>
    <x v="32"/>
    <x v="2"/>
    <x v="0"/>
    <x v="1"/>
    <x v="1"/>
  </r>
  <r>
    <d v="2020-10-27T00:00:00"/>
    <s v="27"/>
    <s v="Okt"/>
    <n v="4"/>
    <n v="4"/>
    <s v=""/>
    <s v="Office Table"/>
    <s v="Furniture"/>
    <n v="60000000"/>
    <x v="20"/>
    <x v="0"/>
    <x v="0"/>
    <x v="1"/>
    <x v="0"/>
  </r>
  <r>
    <d v="2020-10-27T00:00:00"/>
    <s v="27"/>
    <s v="Okt"/>
    <n v="3"/>
    <n v="3"/>
    <s v=""/>
    <s v="Cable"/>
    <s v="Networking"/>
    <n v="120000000"/>
    <x v="24"/>
    <x v="0"/>
    <x v="0"/>
    <x v="0"/>
    <x v="0"/>
  </r>
  <r>
    <d v="2020-10-28T00:00:00"/>
    <s v="28"/>
    <s v="Okt"/>
    <n v="10"/>
    <n v="10"/>
    <s v=""/>
    <s v="Cable"/>
    <s v="Networking"/>
    <n v="100000000"/>
    <x v="39"/>
    <x v="0"/>
    <x v="0"/>
    <x v="0"/>
    <x v="1"/>
  </r>
  <r>
    <d v="2020-10-28T00:00:00"/>
    <s v="28"/>
    <s v="Okt"/>
    <n v="9"/>
    <n v="9"/>
    <s v=""/>
    <s v="Coffee Mach"/>
    <s v="Kitchen"/>
    <n v="120000000"/>
    <x v="12"/>
    <x v="0"/>
    <x v="0"/>
    <x v="0"/>
    <x v="3"/>
  </r>
  <r>
    <d v="2020-10-28T00:00:00"/>
    <s v="28"/>
    <s v="Okt"/>
    <n v="8"/>
    <n v="8"/>
    <s v=""/>
    <s v="Printer"/>
    <s v="Computer"/>
    <n v="60000000"/>
    <x v="37"/>
    <x v="0"/>
    <x v="0"/>
    <x v="2"/>
    <x v="1"/>
  </r>
  <r>
    <d v="2020-10-28T00:00:00"/>
    <s v="28"/>
    <s v="Okt"/>
    <n v="7"/>
    <n v="7"/>
    <s v=""/>
    <s v="Office Chair"/>
    <s v="Furniture"/>
    <n v="100000000"/>
    <x v="30"/>
    <x v="2"/>
    <x v="0"/>
    <x v="0"/>
    <x v="1"/>
  </r>
  <r>
    <d v="2020-10-28T00:00:00"/>
    <s v="28"/>
    <s v="Okt"/>
    <n v="6"/>
    <n v="6"/>
    <s v=""/>
    <s v="Cable"/>
    <s v="Networking"/>
    <n v="140000000"/>
    <x v="42"/>
    <x v="0"/>
    <x v="0"/>
    <x v="1"/>
    <x v="0"/>
  </r>
  <r>
    <d v="2020-10-28T00:00:00"/>
    <s v="28"/>
    <s v="Okt"/>
    <n v="4"/>
    <n v="4"/>
    <s v=""/>
    <s v="Coffee Mach"/>
    <s v="Kitchen"/>
    <n v="40000000"/>
    <x v="14"/>
    <x v="3"/>
    <x v="0"/>
    <x v="0"/>
    <x v="2"/>
  </r>
  <r>
    <d v="2020-10-28T00:00:00"/>
    <s v="28"/>
    <s v="Okt"/>
    <n v="4"/>
    <n v="4"/>
    <s v=""/>
    <s v="Cable"/>
    <s v="Networking"/>
    <n v="80000000"/>
    <x v="39"/>
    <x v="0"/>
    <x v="0"/>
    <x v="2"/>
    <x v="0"/>
  </r>
  <r>
    <d v="2020-10-28T00:00:00"/>
    <s v="28"/>
    <s v="Okt"/>
    <n v="3"/>
    <n v="3"/>
    <s v=""/>
    <s v="Printer"/>
    <s v="Computer"/>
    <n v="100000000"/>
    <x v="4"/>
    <x v="2"/>
    <x v="0"/>
    <x v="1"/>
    <x v="0"/>
  </r>
  <r>
    <d v="2020-10-28T00:00:00"/>
    <s v="28"/>
    <s v="Okt"/>
    <n v="3"/>
    <n v="3"/>
    <s v=""/>
    <s v="Office Table"/>
    <s v="Furniture"/>
    <n v="120000000"/>
    <x v="18"/>
    <x v="4"/>
    <x v="0"/>
    <x v="2"/>
    <x v="1"/>
  </r>
  <r>
    <d v="2020-10-29T00:00:00"/>
    <s v="29"/>
    <s v="Okt"/>
    <n v="9"/>
    <n v="9"/>
    <s v=""/>
    <s v="Laptop"/>
    <s v="Computer"/>
    <n v="100000000"/>
    <x v="16"/>
    <x v="0"/>
    <x v="0"/>
    <x v="2"/>
    <x v="0"/>
  </r>
  <r>
    <d v="2020-10-29T00:00:00"/>
    <s v="29"/>
    <s v="Okt"/>
    <n v="9"/>
    <n v="9"/>
    <s v=""/>
    <s v="Office Chair"/>
    <s v="Furniture"/>
    <n v="100000000"/>
    <x v="40"/>
    <x v="3"/>
    <x v="0"/>
    <x v="1"/>
    <x v="1"/>
  </r>
  <r>
    <d v="2020-10-29T00:00:00"/>
    <s v="29"/>
    <s v="Okt"/>
    <n v="8"/>
    <n v="8"/>
    <s v=""/>
    <s v="Table Lamp"/>
    <s v="Accessories"/>
    <n v="80000000"/>
    <x v="37"/>
    <x v="2"/>
    <x v="0"/>
    <x v="1"/>
    <x v="1"/>
  </r>
  <r>
    <d v="2020-10-29T00:00:00"/>
    <s v="29"/>
    <s v="Okt"/>
    <n v="8"/>
    <n v="8"/>
    <s v=""/>
    <s v="Office Chair"/>
    <s v="Furniture"/>
    <n v="80000000"/>
    <x v="38"/>
    <x v="0"/>
    <x v="0"/>
    <x v="2"/>
    <x v="3"/>
  </r>
  <r>
    <d v="2020-10-29T00:00:00"/>
    <s v="29"/>
    <s v="Okt"/>
    <n v="8"/>
    <n v="8"/>
    <s v=""/>
    <s v="Printer"/>
    <s v="Computer"/>
    <n v="140000000"/>
    <x v="21"/>
    <x v="0"/>
    <x v="0"/>
    <x v="2"/>
    <x v="2"/>
  </r>
  <r>
    <d v="2020-10-29T00:00:00"/>
    <s v="29"/>
    <s v="Okt"/>
    <n v="7"/>
    <n v="7"/>
    <s v=""/>
    <s v="TV"/>
    <s v="Electronic"/>
    <n v="60000000"/>
    <x v="12"/>
    <x v="2"/>
    <x v="0"/>
    <x v="2"/>
    <x v="2"/>
  </r>
  <r>
    <d v="2020-10-29T00:00:00"/>
    <s v="29"/>
    <s v="Okt"/>
    <n v="5"/>
    <n v="5"/>
    <s v=""/>
    <s v="Coffee Mach"/>
    <s v="Kitchen"/>
    <n v="60000000"/>
    <x v="6"/>
    <x v="5"/>
    <x v="0"/>
    <x v="0"/>
    <x v="0"/>
  </r>
  <r>
    <d v="2020-10-29T00:00:00"/>
    <s v="29"/>
    <s v="Okt"/>
    <n v="3"/>
    <n v="3"/>
    <s v=""/>
    <s v="Laptop"/>
    <s v="Computer"/>
    <n v="100000000"/>
    <x v="20"/>
    <x v="3"/>
    <x v="0"/>
    <x v="0"/>
    <x v="2"/>
  </r>
  <r>
    <d v="2020-10-30T00:00:00"/>
    <s v="30"/>
    <s v="Okt"/>
    <n v="9"/>
    <n v="9"/>
    <s v=""/>
    <s v="Table Lamp"/>
    <s v="Accessories"/>
    <n v="60000000"/>
    <x v="48"/>
    <x v="0"/>
    <x v="0"/>
    <x v="1"/>
    <x v="0"/>
  </r>
  <r>
    <d v="2020-10-30T00:00:00"/>
    <s v="30"/>
    <s v="Okt"/>
    <n v="9"/>
    <n v="9"/>
    <s v=""/>
    <s v="Office Table"/>
    <s v="Furniture"/>
    <n v="100000000"/>
    <x v="5"/>
    <x v="0"/>
    <x v="0"/>
    <x v="1"/>
    <x v="2"/>
  </r>
  <r>
    <d v="2020-10-30T00:00:00"/>
    <s v="30"/>
    <s v="Okt"/>
    <n v="8"/>
    <n v="8"/>
    <s v=""/>
    <s v="Office Chair"/>
    <s v="Furniture"/>
    <n v="40000000"/>
    <x v="0"/>
    <x v="0"/>
    <x v="0"/>
    <x v="1"/>
    <x v="2"/>
  </r>
  <r>
    <d v="2020-10-30T00:00:00"/>
    <s v="30"/>
    <s v="Okt"/>
    <n v="7"/>
    <n v="7"/>
    <s v=""/>
    <s v="Cable"/>
    <s v="Networking"/>
    <n v="80000000"/>
    <x v="33"/>
    <x v="0"/>
    <x v="0"/>
    <x v="0"/>
    <x v="2"/>
  </r>
  <r>
    <d v="2020-10-30T00:00:00"/>
    <s v="30"/>
    <s v="Okt"/>
    <n v="7"/>
    <n v="7"/>
    <s v=""/>
    <s v="Table Lamp"/>
    <s v="Accessories"/>
    <n v="100000000"/>
    <x v="12"/>
    <x v="1"/>
    <x v="0"/>
    <x v="1"/>
    <x v="3"/>
  </r>
  <r>
    <d v="2020-10-30T00:00:00"/>
    <s v="30"/>
    <s v="Okt"/>
    <n v="6"/>
    <n v="6"/>
    <s v=""/>
    <s v="Laptop"/>
    <s v="Computer"/>
    <n v="40000000"/>
    <x v="45"/>
    <x v="5"/>
    <x v="0"/>
    <x v="1"/>
    <x v="1"/>
  </r>
  <r>
    <d v="2020-10-30T00:00:00"/>
    <s v="30"/>
    <s v="Okt"/>
    <n v="5"/>
    <n v="5"/>
    <s v=""/>
    <s v="AC"/>
    <s v="Electronic"/>
    <n v="120000000"/>
    <x v="10"/>
    <x v="2"/>
    <x v="0"/>
    <x v="1"/>
    <x v="0"/>
  </r>
  <r>
    <d v="2020-10-30T00:00:00"/>
    <s v="30"/>
    <s v="Okt"/>
    <n v="5"/>
    <n v="5"/>
    <s v=""/>
    <s v="Office Chair"/>
    <s v="Furniture"/>
    <n v="80000000"/>
    <x v="48"/>
    <x v="2"/>
    <x v="0"/>
    <x v="0"/>
    <x v="0"/>
  </r>
  <r>
    <d v="2020-10-30T00:00:00"/>
    <s v="30"/>
    <s v="Okt"/>
    <n v="5"/>
    <n v="5"/>
    <s v=""/>
    <s v="Laptop"/>
    <s v="Computer"/>
    <n v="80000000"/>
    <x v="36"/>
    <x v="0"/>
    <x v="0"/>
    <x v="0"/>
    <x v="0"/>
  </r>
  <r>
    <d v="2020-10-30T00:00:00"/>
    <s v="30"/>
    <s v="Okt"/>
    <n v="5"/>
    <n v="5"/>
    <s v=""/>
    <s v="TV"/>
    <s v="Electronic"/>
    <n v="80000000"/>
    <x v="6"/>
    <x v="2"/>
    <x v="0"/>
    <x v="1"/>
    <x v="0"/>
  </r>
  <r>
    <d v="2020-10-30T00:00:00"/>
    <s v="30"/>
    <s v="Okt"/>
    <n v="4"/>
    <n v="4"/>
    <s v=""/>
    <s v="Coffee Mach"/>
    <s v="Kitchen"/>
    <n v="100000000"/>
    <x v="3"/>
    <x v="4"/>
    <x v="0"/>
    <x v="2"/>
    <x v="3"/>
  </r>
  <r>
    <d v="2020-10-30T00:00:00"/>
    <s v="30"/>
    <s v="Okt"/>
    <n v="4"/>
    <n v="4"/>
    <s v=""/>
    <s v="Office Chair"/>
    <s v="Furniture"/>
    <n v="100000000"/>
    <x v="29"/>
    <x v="2"/>
    <x v="0"/>
    <x v="2"/>
    <x v="2"/>
  </r>
  <r>
    <d v="2020-10-30T00:00:00"/>
    <s v="30"/>
    <s v="Okt"/>
    <n v="4"/>
    <n v="4"/>
    <s v=""/>
    <s v="Office Chair"/>
    <s v="Furniture"/>
    <n v="60000000"/>
    <x v="32"/>
    <x v="0"/>
    <x v="0"/>
    <x v="1"/>
    <x v="0"/>
  </r>
  <r>
    <d v="2020-10-30T00:00:00"/>
    <s v="30"/>
    <s v="Okt"/>
    <n v="3"/>
    <n v="3"/>
    <s v=""/>
    <s v="Table Lamp"/>
    <s v="Accessories"/>
    <n v="100000000"/>
    <x v="16"/>
    <x v="3"/>
    <x v="0"/>
    <x v="1"/>
    <x v="0"/>
  </r>
  <r>
    <d v="2020-10-31T00:00:00"/>
    <s v="31"/>
    <s v="Okt"/>
    <n v="10"/>
    <n v="10"/>
    <s v=""/>
    <s v="Printer"/>
    <s v="Computer"/>
    <n v="80000000"/>
    <x v="14"/>
    <x v="0"/>
    <x v="0"/>
    <x v="2"/>
    <x v="1"/>
  </r>
  <r>
    <d v="2020-10-31T00:00:00"/>
    <s v="31"/>
    <s v="Okt"/>
    <n v="8"/>
    <n v="8"/>
    <s v=""/>
    <s v="AC"/>
    <s v="Electronic"/>
    <n v="40000000"/>
    <x v="19"/>
    <x v="0"/>
    <x v="0"/>
    <x v="2"/>
    <x v="3"/>
  </r>
  <r>
    <d v="2020-10-31T00:00:00"/>
    <s v="31"/>
    <s v="Okt"/>
    <n v="8"/>
    <n v="8"/>
    <s v=""/>
    <s v="Office Chair"/>
    <s v="Furniture"/>
    <n v="40000000"/>
    <x v="35"/>
    <x v="5"/>
    <x v="0"/>
    <x v="2"/>
    <x v="3"/>
  </r>
  <r>
    <d v="2020-10-31T00:00:00"/>
    <s v="31"/>
    <s v="Okt"/>
    <n v="7"/>
    <n v="7"/>
    <s v=""/>
    <s v="TV"/>
    <s v="Electronic"/>
    <n v="40000000"/>
    <x v="12"/>
    <x v="0"/>
    <x v="0"/>
    <x v="0"/>
    <x v="3"/>
  </r>
  <r>
    <d v="2020-10-31T00:00:00"/>
    <s v="31"/>
    <s v="Okt"/>
    <n v="5"/>
    <n v="5"/>
    <s v=""/>
    <s v="Laptop"/>
    <s v="Computer"/>
    <n v="80000000"/>
    <x v="40"/>
    <x v="2"/>
    <x v="0"/>
    <x v="2"/>
    <x v="1"/>
  </r>
  <r>
    <d v="2020-10-31T00:00:00"/>
    <s v="31"/>
    <s v="Okt"/>
    <n v="5"/>
    <n v="5"/>
    <s v=""/>
    <s v="Laptop"/>
    <s v="Computer"/>
    <n v="60000000"/>
    <x v="24"/>
    <x v="5"/>
    <x v="0"/>
    <x v="1"/>
    <x v="1"/>
  </r>
  <r>
    <d v="2020-10-31T00:00:00"/>
    <s v="31"/>
    <s v="Okt"/>
    <n v="5"/>
    <n v="5"/>
    <s v=""/>
    <s v="Laptop"/>
    <s v="Computer"/>
    <n v="60000000"/>
    <x v="12"/>
    <x v="3"/>
    <x v="0"/>
    <x v="2"/>
    <x v="0"/>
  </r>
  <r>
    <d v="2020-10-31T00:00:00"/>
    <s v="31"/>
    <s v="Okt"/>
    <n v="4"/>
    <n v="4"/>
    <s v=""/>
    <s v="Coffee Mach"/>
    <s v="Kitchen"/>
    <n v="120000000"/>
    <x v="9"/>
    <x v="2"/>
    <x v="0"/>
    <x v="0"/>
    <x v="3"/>
  </r>
  <r>
    <d v="2020-10-31T00:00:00"/>
    <s v="31"/>
    <s v="Okt"/>
    <n v="3"/>
    <n v="3"/>
    <s v=""/>
    <s v="AC"/>
    <s v="Electronic"/>
    <n v="80000000"/>
    <x v="9"/>
    <x v="3"/>
    <x v="0"/>
    <x v="0"/>
    <x v="0"/>
  </r>
  <r>
    <d v="2020-10-31T00:00:00"/>
    <s v="31"/>
    <s v="Okt"/>
    <n v="3"/>
    <n v="3"/>
    <s v=""/>
    <s v="Cable"/>
    <s v="Networking"/>
    <n v="140000000"/>
    <x v="9"/>
    <x v="4"/>
    <x v="0"/>
    <x v="0"/>
    <x v="2"/>
  </r>
  <r>
    <d v="2020-10-31T00:00:00"/>
    <s v="31"/>
    <s v="Okt"/>
    <n v="3"/>
    <n v="3"/>
    <s v=""/>
    <s v="Cable"/>
    <s v="Networking"/>
    <n v="100000000"/>
    <x v="33"/>
    <x v="3"/>
    <x v="0"/>
    <x v="0"/>
    <x v="2"/>
  </r>
  <r>
    <d v="2020-10-31T00:00:00"/>
    <s v="31"/>
    <s v="Okt"/>
    <n v="3"/>
    <n v="3"/>
    <s v=""/>
    <s v="TV"/>
    <s v="Electronic"/>
    <n v="80000000"/>
    <x v="26"/>
    <x v="0"/>
    <x v="0"/>
    <x v="0"/>
    <x v="0"/>
  </r>
  <r>
    <d v="2020-11-01T00:00:00"/>
    <s v="1"/>
    <s v="Nov"/>
    <n v="10"/>
    <n v="10"/>
    <s v=""/>
    <s v="Cable"/>
    <s v="Networking"/>
    <n v="100000000"/>
    <x v="12"/>
    <x v="2"/>
    <x v="0"/>
    <x v="0"/>
    <x v="3"/>
  </r>
  <r>
    <d v="2020-11-01T00:00:00"/>
    <s v="1"/>
    <s v="Nov"/>
    <n v="10"/>
    <n v="10"/>
    <s v=""/>
    <s v="AC"/>
    <s v="Electronic"/>
    <n v="80000000"/>
    <x v="41"/>
    <x v="0"/>
    <x v="0"/>
    <x v="1"/>
    <x v="3"/>
  </r>
  <r>
    <d v="2020-11-01T00:00:00"/>
    <s v="1"/>
    <s v="Nov"/>
    <n v="9"/>
    <n v="9"/>
    <s v=""/>
    <s v="TV"/>
    <s v="Electronic"/>
    <n v="80000000"/>
    <x v="6"/>
    <x v="5"/>
    <x v="0"/>
    <x v="1"/>
    <x v="0"/>
  </r>
  <r>
    <d v="2020-11-01T00:00:00"/>
    <s v="1"/>
    <s v="Nov"/>
    <n v="7"/>
    <n v="7"/>
    <s v=""/>
    <s v="Printer"/>
    <s v="Computer"/>
    <n v="140000000"/>
    <x v="29"/>
    <x v="2"/>
    <x v="0"/>
    <x v="2"/>
    <x v="1"/>
  </r>
  <r>
    <d v="2020-11-01T00:00:00"/>
    <s v="1"/>
    <s v="Nov"/>
    <n v="6"/>
    <n v="6"/>
    <s v=""/>
    <s v="TV"/>
    <s v="Electronic"/>
    <n v="80000000"/>
    <x v="12"/>
    <x v="5"/>
    <x v="0"/>
    <x v="0"/>
    <x v="1"/>
  </r>
  <r>
    <d v="2020-11-01T00:00:00"/>
    <s v="1"/>
    <s v="Nov"/>
    <n v="6"/>
    <n v="6"/>
    <s v=""/>
    <s v="Office Table"/>
    <s v="Furniture"/>
    <n v="140000000"/>
    <x v="24"/>
    <x v="0"/>
    <x v="0"/>
    <x v="1"/>
    <x v="1"/>
  </r>
  <r>
    <d v="2020-11-01T00:00:00"/>
    <s v="1"/>
    <s v="Nov"/>
    <n v="6"/>
    <n v="6"/>
    <s v=""/>
    <s v="Printer"/>
    <s v="Computer"/>
    <n v="60000000"/>
    <x v="9"/>
    <x v="2"/>
    <x v="0"/>
    <x v="1"/>
    <x v="0"/>
  </r>
  <r>
    <d v="2020-11-01T00:00:00"/>
    <s v="1"/>
    <s v="Nov"/>
    <n v="5"/>
    <n v="5"/>
    <s v=""/>
    <s v="Coffee Mach"/>
    <s v="Kitchen"/>
    <n v="80000000"/>
    <x v="9"/>
    <x v="5"/>
    <x v="0"/>
    <x v="2"/>
    <x v="1"/>
  </r>
  <r>
    <d v="2020-11-01T00:00:00"/>
    <s v="1"/>
    <s v="Nov"/>
    <n v="5"/>
    <n v="5"/>
    <s v=""/>
    <s v="Office Table"/>
    <s v="Furniture"/>
    <n v="40000000"/>
    <x v="31"/>
    <x v="2"/>
    <x v="0"/>
    <x v="2"/>
    <x v="3"/>
  </r>
  <r>
    <d v="2020-11-01T00:00:00"/>
    <s v="1"/>
    <s v="Nov"/>
    <n v="5"/>
    <n v="5"/>
    <s v=""/>
    <s v="Cable"/>
    <s v="Networking"/>
    <n v="140000000"/>
    <x v="30"/>
    <x v="0"/>
    <x v="0"/>
    <x v="0"/>
    <x v="1"/>
  </r>
  <r>
    <d v="2020-11-01T00:00:00"/>
    <s v="1"/>
    <s v="Nov"/>
    <n v="4"/>
    <n v="4"/>
    <s v=""/>
    <s v="AC"/>
    <s v="Electronic"/>
    <n v="100000000"/>
    <x v="45"/>
    <x v="0"/>
    <x v="0"/>
    <x v="0"/>
    <x v="2"/>
  </r>
  <r>
    <d v="2020-11-01T00:00:00"/>
    <s v="1"/>
    <s v="Nov"/>
    <n v="4"/>
    <n v="4"/>
    <s v=""/>
    <s v="Coffee Mach"/>
    <s v="Kitchen"/>
    <n v="100000000"/>
    <x v="46"/>
    <x v="0"/>
    <x v="0"/>
    <x v="2"/>
    <x v="3"/>
  </r>
  <r>
    <d v="2020-11-01T00:00:00"/>
    <s v="1"/>
    <s v="Nov"/>
    <n v="4"/>
    <n v="4"/>
    <s v=""/>
    <s v="Laptop"/>
    <s v="Computer"/>
    <n v="120000000"/>
    <x v="7"/>
    <x v="0"/>
    <x v="0"/>
    <x v="1"/>
    <x v="1"/>
  </r>
  <r>
    <d v="2020-11-01T00:00:00"/>
    <s v="1"/>
    <s v="Nov"/>
    <n v="3"/>
    <n v="3"/>
    <s v=""/>
    <s v="Office Table"/>
    <s v="Furniture"/>
    <n v="80000000"/>
    <x v="15"/>
    <x v="0"/>
    <x v="0"/>
    <x v="0"/>
    <x v="1"/>
  </r>
  <r>
    <d v="2020-11-02T00:00:00"/>
    <s v="2"/>
    <s v="Nov"/>
    <n v="10"/>
    <n v="10"/>
    <s v=""/>
    <s v="Table Lamp"/>
    <s v="Accessories"/>
    <n v="100000000"/>
    <x v="38"/>
    <x v="2"/>
    <x v="0"/>
    <x v="2"/>
    <x v="1"/>
  </r>
  <r>
    <d v="2020-11-02T00:00:00"/>
    <s v="2"/>
    <s v="Nov"/>
    <n v="7"/>
    <n v="7"/>
    <s v=""/>
    <s v="AC"/>
    <s v="Electronic"/>
    <n v="40000000"/>
    <x v="23"/>
    <x v="0"/>
    <x v="0"/>
    <x v="1"/>
    <x v="3"/>
  </r>
  <r>
    <d v="2020-11-02T00:00:00"/>
    <s v="2"/>
    <s v="Nov"/>
    <n v="6"/>
    <n v="6"/>
    <s v=""/>
    <s v="AC"/>
    <s v="Electronic"/>
    <n v="40000000"/>
    <x v="10"/>
    <x v="5"/>
    <x v="0"/>
    <x v="1"/>
    <x v="1"/>
  </r>
  <r>
    <d v="2020-11-02T00:00:00"/>
    <s v="2"/>
    <s v="Nov"/>
    <n v="6"/>
    <n v="6"/>
    <s v=""/>
    <s v="TV"/>
    <s v="Electronic"/>
    <n v="60000000"/>
    <x v="41"/>
    <x v="3"/>
    <x v="0"/>
    <x v="1"/>
    <x v="0"/>
  </r>
  <r>
    <d v="2020-11-02T00:00:00"/>
    <s v="2"/>
    <s v="Nov"/>
    <n v="4"/>
    <n v="4"/>
    <s v=""/>
    <s v="Office Chair"/>
    <s v="Furniture"/>
    <n v="140000000"/>
    <x v="19"/>
    <x v="2"/>
    <x v="0"/>
    <x v="1"/>
    <x v="2"/>
  </r>
  <r>
    <d v="2020-11-02T00:00:00"/>
    <s v="2"/>
    <s v="Nov"/>
    <n v="3"/>
    <n v="3"/>
    <s v=""/>
    <s v="Coffee Mach"/>
    <s v="Kitchen"/>
    <n v="60000000"/>
    <x v="17"/>
    <x v="4"/>
    <x v="0"/>
    <x v="1"/>
    <x v="0"/>
  </r>
  <r>
    <d v="2020-11-03T00:00:00"/>
    <s v="3"/>
    <s v="Nov"/>
    <n v="8"/>
    <n v="8"/>
    <s v=""/>
    <s v="Office Chair"/>
    <s v="Furniture"/>
    <n v="60000000"/>
    <x v="44"/>
    <x v="4"/>
    <x v="0"/>
    <x v="2"/>
    <x v="1"/>
  </r>
  <r>
    <d v="2020-11-03T00:00:00"/>
    <s v="3"/>
    <s v="Nov"/>
    <n v="7"/>
    <n v="7"/>
    <s v=""/>
    <s v="Coffee Mach"/>
    <s v="Kitchen"/>
    <n v="60000000"/>
    <x v="22"/>
    <x v="0"/>
    <x v="0"/>
    <x v="1"/>
    <x v="0"/>
  </r>
  <r>
    <d v="2020-11-03T00:00:00"/>
    <s v="3"/>
    <s v="Nov"/>
    <n v="7"/>
    <n v="7"/>
    <s v=""/>
    <s v="Table Lamp"/>
    <s v="Accessories"/>
    <n v="120000000"/>
    <x v="0"/>
    <x v="3"/>
    <x v="0"/>
    <x v="2"/>
    <x v="0"/>
  </r>
  <r>
    <d v="2020-11-03T00:00:00"/>
    <s v="3"/>
    <s v="Nov"/>
    <n v="7"/>
    <n v="7"/>
    <s v=""/>
    <s v="AC"/>
    <s v="Electronic"/>
    <n v="120000000"/>
    <x v="18"/>
    <x v="2"/>
    <x v="0"/>
    <x v="2"/>
    <x v="0"/>
  </r>
  <r>
    <d v="2020-11-03T00:00:00"/>
    <s v="3"/>
    <s v="Nov"/>
    <n v="6"/>
    <n v="6"/>
    <s v=""/>
    <s v="TV"/>
    <s v="Electronic"/>
    <n v="60000000"/>
    <x v="33"/>
    <x v="4"/>
    <x v="0"/>
    <x v="1"/>
    <x v="3"/>
  </r>
  <r>
    <d v="2020-11-03T00:00:00"/>
    <s v="3"/>
    <s v="Nov"/>
    <n v="4"/>
    <n v="4"/>
    <s v=""/>
    <s v="Office Chair"/>
    <s v="Furniture"/>
    <n v="60000000"/>
    <x v="17"/>
    <x v="0"/>
    <x v="0"/>
    <x v="2"/>
    <x v="2"/>
  </r>
  <r>
    <d v="2020-11-03T00:00:00"/>
    <s v="3"/>
    <s v="Nov"/>
    <n v="3"/>
    <n v="3"/>
    <s v=""/>
    <s v="Office Chair"/>
    <s v="Furniture"/>
    <n v="100000000"/>
    <x v="8"/>
    <x v="2"/>
    <x v="0"/>
    <x v="2"/>
    <x v="0"/>
  </r>
  <r>
    <d v="2020-11-03T00:00:00"/>
    <s v="3"/>
    <s v="Nov"/>
    <n v="3"/>
    <n v="3"/>
    <s v=""/>
    <s v="AC"/>
    <s v="Electronic"/>
    <n v="80000000"/>
    <x v="21"/>
    <x v="0"/>
    <x v="0"/>
    <x v="1"/>
    <x v="1"/>
  </r>
  <r>
    <d v="2020-11-04T00:00:00"/>
    <s v="4"/>
    <s v="Nov"/>
    <n v="10"/>
    <n v="10"/>
    <s v=""/>
    <s v="Cable"/>
    <s v="Networking"/>
    <n v="40000000"/>
    <x v="5"/>
    <x v="3"/>
    <x v="0"/>
    <x v="1"/>
    <x v="0"/>
  </r>
  <r>
    <d v="2020-11-04T00:00:00"/>
    <s v="4"/>
    <s v="Nov"/>
    <n v="10"/>
    <n v="10"/>
    <s v=""/>
    <s v="Table Lamp"/>
    <s v="Accessories"/>
    <n v="80000000"/>
    <x v="26"/>
    <x v="3"/>
    <x v="0"/>
    <x v="0"/>
    <x v="3"/>
  </r>
  <r>
    <d v="2020-11-04T00:00:00"/>
    <s v="4"/>
    <s v="Nov"/>
    <n v="5"/>
    <n v="5"/>
    <s v=""/>
    <s v="Office Table"/>
    <s v="Furniture"/>
    <n v="120000000"/>
    <x v="28"/>
    <x v="0"/>
    <x v="0"/>
    <x v="1"/>
    <x v="1"/>
  </r>
  <r>
    <d v="2020-11-04T00:00:00"/>
    <s v="4"/>
    <s v="Nov"/>
    <n v="4"/>
    <n v="4"/>
    <s v=""/>
    <s v="Office Chair"/>
    <s v="Furniture"/>
    <n v="120000000"/>
    <x v="49"/>
    <x v="4"/>
    <x v="0"/>
    <x v="0"/>
    <x v="2"/>
  </r>
  <r>
    <d v="2020-11-04T00:00:00"/>
    <s v="4"/>
    <s v="Nov"/>
    <n v="4"/>
    <n v="4"/>
    <s v=""/>
    <s v="Table Lamp"/>
    <s v="Accessories"/>
    <n v="120000000"/>
    <x v="13"/>
    <x v="2"/>
    <x v="0"/>
    <x v="0"/>
    <x v="0"/>
  </r>
  <r>
    <d v="2020-11-04T00:00:00"/>
    <s v="4"/>
    <s v="Nov"/>
    <n v="4"/>
    <n v="4"/>
    <s v=""/>
    <s v="Office Chair"/>
    <s v="Furniture"/>
    <n v="60000000"/>
    <x v="14"/>
    <x v="1"/>
    <x v="0"/>
    <x v="1"/>
    <x v="0"/>
  </r>
  <r>
    <d v="2020-11-04T00:00:00"/>
    <s v="4"/>
    <s v="Nov"/>
    <n v="4"/>
    <n v="4"/>
    <s v=""/>
    <s v="TV"/>
    <s v="Electronic"/>
    <n v="120000000"/>
    <x v="36"/>
    <x v="5"/>
    <x v="0"/>
    <x v="0"/>
    <x v="1"/>
  </r>
  <r>
    <d v="2020-11-05T00:00:00"/>
    <s v="5"/>
    <s v="Nov"/>
    <n v="10"/>
    <n v="10"/>
    <s v=""/>
    <s v="Cable"/>
    <s v="Networking"/>
    <n v="40000000"/>
    <x v="41"/>
    <x v="0"/>
    <x v="0"/>
    <x v="0"/>
    <x v="0"/>
  </r>
  <r>
    <d v="2020-11-05T00:00:00"/>
    <s v="5"/>
    <s v="Nov"/>
    <n v="10"/>
    <n v="10"/>
    <s v=""/>
    <s v="Table Lamp"/>
    <s v="Accessories"/>
    <n v="40000000"/>
    <x v="2"/>
    <x v="0"/>
    <x v="0"/>
    <x v="1"/>
    <x v="3"/>
  </r>
  <r>
    <d v="2020-11-05T00:00:00"/>
    <s v="5"/>
    <s v="Nov"/>
    <n v="9"/>
    <n v="9"/>
    <s v=""/>
    <s v="Office Table"/>
    <s v="Furniture"/>
    <n v="40000000"/>
    <x v="47"/>
    <x v="2"/>
    <x v="0"/>
    <x v="0"/>
    <x v="3"/>
  </r>
  <r>
    <d v="2020-11-05T00:00:00"/>
    <s v="5"/>
    <s v="Nov"/>
    <n v="9"/>
    <n v="9"/>
    <s v=""/>
    <s v="Table Lamp"/>
    <s v="Accessories"/>
    <n v="80000000"/>
    <x v="3"/>
    <x v="2"/>
    <x v="0"/>
    <x v="0"/>
    <x v="2"/>
  </r>
  <r>
    <d v="2020-11-05T00:00:00"/>
    <s v="5"/>
    <s v="Nov"/>
    <n v="6"/>
    <n v="6"/>
    <s v=""/>
    <s v="Office Table"/>
    <s v="Furniture"/>
    <n v="120000000"/>
    <x v="23"/>
    <x v="0"/>
    <x v="0"/>
    <x v="0"/>
    <x v="0"/>
  </r>
  <r>
    <d v="2020-11-05T00:00:00"/>
    <s v="5"/>
    <s v="Nov"/>
    <n v="6"/>
    <n v="6"/>
    <s v=""/>
    <s v="Coffee Mach"/>
    <s v="Kitchen"/>
    <n v="140000000"/>
    <x v="14"/>
    <x v="0"/>
    <x v="0"/>
    <x v="1"/>
    <x v="1"/>
  </r>
  <r>
    <d v="2020-11-05T00:00:00"/>
    <s v="5"/>
    <s v="Nov"/>
    <n v="5"/>
    <n v="5"/>
    <s v=""/>
    <s v="Laptop"/>
    <s v="Computer"/>
    <n v="60000000"/>
    <x v="6"/>
    <x v="2"/>
    <x v="0"/>
    <x v="0"/>
    <x v="0"/>
  </r>
  <r>
    <d v="2020-11-05T00:00:00"/>
    <s v="5"/>
    <s v="Nov"/>
    <n v="5"/>
    <n v="5"/>
    <s v=""/>
    <s v="Cable"/>
    <s v="Networking"/>
    <n v="40000000"/>
    <x v="8"/>
    <x v="0"/>
    <x v="0"/>
    <x v="2"/>
    <x v="1"/>
  </r>
  <r>
    <d v="2020-11-05T00:00:00"/>
    <s v="5"/>
    <s v="Nov"/>
    <n v="3"/>
    <n v="3"/>
    <s v=""/>
    <s v="TV"/>
    <s v="Electronic"/>
    <n v="80000000"/>
    <x v="20"/>
    <x v="0"/>
    <x v="0"/>
    <x v="2"/>
    <x v="0"/>
  </r>
  <r>
    <d v="2020-11-06T00:00:00"/>
    <s v="6"/>
    <s v="Nov"/>
    <n v="10"/>
    <n v="10"/>
    <s v=""/>
    <s v="Table Lamp"/>
    <s v="Accessories"/>
    <n v="80000000"/>
    <x v="34"/>
    <x v="2"/>
    <x v="1"/>
    <x v="3"/>
    <x v="0"/>
  </r>
  <r>
    <d v="2020-11-06T00:00:00"/>
    <s v="6"/>
    <s v="Nov"/>
    <n v="10"/>
    <n v="10"/>
    <s v=""/>
    <s v="Laptop"/>
    <s v="Computer"/>
    <n v="100000000"/>
    <x v="10"/>
    <x v="4"/>
    <x v="1"/>
    <x v="3"/>
    <x v="2"/>
  </r>
  <r>
    <d v="2020-11-06T00:00:00"/>
    <s v="6"/>
    <s v="Nov"/>
    <n v="10"/>
    <n v="10"/>
    <s v=""/>
    <s v="Office Table"/>
    <s v="Furniture"/>
    <n v="80000000"/>
    <x v="1"/>
    <x v="3"/>
    <x v="1"/>
    <x v="3"/>
    <x v="0"/>
  </r>
  <r>
    <d v="2020-11-06T00:00:00"/>
    <s v="6"/>
    <s v="Nov"/>
    <n v="9"/>
    <n v="9"/>
    <s v=""/>
    <s v="Office Chair"/>
    <s v="Furniture"/>
    <n v="100000000"/>
    <x v="44"/>
    <x v="0"/>
    <x v="1"/>
    <x v="3"/>
    <x v="0"/>
  </r>
  <r>
    <d v="2020-11-06T00:00:00"/>
    <s v="6"/>
    <s v="Nov"/>
    <n v="8"/>
    <n v="8"/>
    <s v=""/>
    <s v="Table Lamp"/>
    <s v="Accessories"/>
    <n v="60000000"/>
    <x v="26"/>
    <x v="2"/>
    <x v="1"/>
    <x v="3"/>
    <x v="2"/>
  </r>
  <r>
    <d v="2020-11-06T00:00:00"/>
    <s v="6"/>
    <s v="Nov"/>
    <n v="5"/>
    <n v="5"/>
    <s v=""/>
    <s v="Office Chair"/>
    <s v="Furniture"/>
    <n v="140000000"/>
    <x v="21"/>
    <x v="0"/>
    <x v="0"/>
    <x v="2"/>
    <x v="3"/>
  </r>
  <r>
    <d v="2020-11-06T00:00:00"/>
    <s v="6"/>
    <s v="Nov"/>
    <n v="5"/>
    <n v="5"/>
    <s v=""/>
    <s v="Office Table"/>
    <s v="Furniture"/>
    <n v="120000000"/>
    <x v="46"/>
    <x v="4"/>
    <x v="1"/>
    <x v="3"/>
    <x v="3"/>
  </r>
  <r>
    <d v="2020-11-07T00:00:00"/>
    <s v="7"/>
    <s v="Nov"/>
    <n v="7"/>
    <n v="7"/>
    <s v=""/>
    <s v="TV"/>
    <s v="Electronic"/>
    <n v="120000000"/>
    <x v="7"/>
    <x v="2"/>
    <x v="1"/>
    <x v="3"/>
    <x v="3"/>
  </r>
  <r>
    <d v="2020-11-07T00:00:00"/>
    <s v="7"/>
    <s v="Nov"/>
    <n v="6"/>
    <n v="6"/>
    <s v=""/>
    <s v="Office Chair"/>
    <s v="Furniture"/>
    <n v="100000000"/>
    <x v="22"/>
    <x v="2"/>
    <x v="1"/>
    <x v="3"/>
    <x v="0"/>
  </r>
  <r>
    <d v="2020-11-07T00:00:00"/>
    <s v="7"/>
    <s v="Nov"/>
    <n v="6"/>
    <n v="6"/>
    <s v=""/>
    <s v="Office Table"/>
    <s v="Furniture"/>
    <n v="40000000"/>
    <x v="10"/>
    <x v="4"/>
    <x v="1"/>
    <x v="3"/>
    <x v="2"/>
  </r>
  <r>
    <d v="2020-11-07T00:00:00"/>
    <s v="7"/>
    <s v="Nov"/>
    <n v="6"/>
    <n v="6"/>
    <s v=""/>
    <s v="AC"/>
    <s v="Electronic"/>
    <n v="140000000"/>
    <x v="30"/>
    <x v="4"/>
    <x v="1"/>
    <x v="3"/>
    <x v="2"/>
  </r>
  <r>
    <d v="2020-11-07T00:00:00"/>
    <s v="7"/>
    <s v="Nov"/>
    <n v="4"/>
    <n v="4"/>
    <s v=""/>
    <s v="Cable"/>
    <s v="Networking"/>
    <n v="60000000"/>
    <x v="12"/>
    <x v="4"/>
    <x v="1"/>
    <x v="3"/>
    <x v="1"/>
  </r>
  <r>
    <d v="2020-11-08T00:00:00"/>
    <s v="8"/>
    <s v="Nov"/>
    <n v="10"/>
    <n v="10"/>
    <s v=""/>
    <s v="Laptop"/>
    <s v="Computer"/>
    <n v="40000000"/>
    <x v="0"/>
    <x v="5"/>
    <x v="1"/>
    <x v="3"/>
    <x v="1"/>
  </r>
  <r>
    <d v="2020-11-08T00:00:00"/>
    <s v="8"/>
    <s v="Nov"/>
    <n v="9"/>
    <n v="9"/>
    <s v=""/>
    <s v="Table Lamp"/>
    <s v="Accessories"/>
    <n v="80000000"/>
    <x v="6"/>
    <x v="0"/>
    <x v="1"/>
    <x v="3"/>
    <x v="0"/>
  </r>
  <r>
    <d v="2020-11-08T00:00:00"/>
    <s v="8"/>
    <s v="Nov"/>
    <n v="8"/>
    <n v="8"/>
    <s v=""/>
    <s v="AC"/>
    <s v="Electronic"/>
    <n v="80000000"/>
    <x v="1"/>
    <x v="5"/>
    <x v="1"/>
    <x v="3"/>
    <x v="1"/>
  </r>
  <r>
    <d v="2020-11-08T00:00:00"/>
    <s v="8"/>
    <s v="Nov"/>
    <n v="7"/>
    <n v="7"/>
    <s v=""/>
    <s v="Office Table"/>
    <s v="Furniture"/>
    <n v="120000000"/>
    <x v="9"/>
    <x v="5"/>
    <x v="1"/>
    <x v="3"/>
    <x v="0"/>
  </r>
  <r>
    <d v="2020-11-08T00:00:00"/>
    <s v="8"/>
    <s v="Nov"/>
    <n v="7"/>
    <n v="7"/>
    <s v=""/>
    <s v="Printer"/>
    <s v="Computer"/>
    <n v="60000000"/>
    <x v="15"/>
    <x v="4"/>
    <x v="1"/>
    <x v="3"/>
    <x v="1"/>
  </r>
  <r>
    <d v="2020-11-08T00:00:00"/>
    <s v="8"/>
    <s v="Nov"/>
    <n v="6"/>
    <n v="6"/>
    <s v=""/>
    <s v="Office Chair"/>
    <s v="Furniture"/>
    <n v="140000000"/>
    <x v="18"/>
    <x v="2"/>
    <x v="1"/>
    <x v="3"/>
    <x v="3"/>
  </r>
  <r>
    <d v="2020-11-08T00:00:00"/>
    <s v="8"/>
    <s v="Nov"/>
    <n v="5"/>
    <n v="5"/>
    <s v=""/>
    <s v="Printer"/>
    <s v="Computer"/>
    <n v="80000000"/>
    <x v="42"/>
    <x v="0"/>
    <x v="1"/>
    <x v="3"/>
    <x v="0"/>
  </r>
  <r>
    <d v="2020-11-08T00:00:00"/>
    <s v="8"/>
    <s v="Nov"/>
    <n v="4"/>
    <n v="4"/>
    <s v=""/>
    <s v="Cable"/>
    <s v="Networking"/>
    <n v="140000000"/>
    <x v="19"/>
    <x v="2"/>
    <x v="1"/>
    <x v="3"/>
    <x v="3"/>
  </r>
  <r>
    <d v="2020-11-09T00:00:00"/>
    <s v="9"/>
    <s v="Nov"/>
    <n v="10"/>
    <n v="10"/>
    <s v=""/>
    <s v="Printer"/>
    <s v="Computer"/>
    <n v="120000000"/>
    <x v="20"/>
    <x v="1"/>
    <x v="1"/>
    <x v="3"/>
    <x v="0"/>
  </r>
  <r>
    <d v="2020-11-09T00:00:00"/>
    <s v="9"/>
    <s v="Nov"/>
    <n v="10"/>
    <n v="10"/>
    <s v=""/>
    <s v="Printer"/>
    <s v="Computer"/>
    <n v="40000000"/>
    <x v="6"/>
    <x v="2"/>
    <x v="1"/>
    <x v="3"/>
    <x v="1"/>
  </r>
  <r>
    <d v="2020-11-09T00:00:00"/>
    <s v="9"/>
    <s v="Nov"/>
    <n v="10"/>
    <n v="10"/>
    <s v=""/>
    <s v="TV"/>
    <s v="Electronic"/>
    <n v="140000000"/>
    <x v="48"/>
    <x v="1"/>
    <x v="0"/>
    <x v="0"/>
    <x v="0"/>
  </r>
  <r>
    <d v="2020-11-09T00:00:00"/>
    <s v="9"/>
    <s v="Nov"/>
    <n v="9"/>
    <n v="9"/>
    <s v=""/>
    <s v="TV"/>
    <s v="Electronic"/>
    <n v="100000000"/>
    <x v="22"/>
    <x v="0"/>
    <x v="1"/>
    <x v="3"/>
    <x v="2"/>
  </r>
  <r>
    <d v="2020-11-09T00:00:00"/>
    <s v="9"/>
    <s v="Nov"/>
    <n v="9"/>
    <n v="9"/>
    <s v=""/>
    <s v="AC"/>
    <s v="Electronic"/>
    <n v="140000000"/>
    <x v="44"/>
    <x v="4"/>
    <x v="0"/>
    <x v="0"/>
    <x v="0"/>
  </r>
  <r>
    <d v="2020-11-09T00:00:00"/>
    <s v="9"/>
    <s v="Nov"/>
    <n v="6"/>
    <n v="6"/>
    <s v=""/>
    <s v="Cable"/>
    <s v="Networking"/>
    <n v="60000000"/>
    <x v="14"/>
    <x v="2"/>
    <x v="0"/>
    <x v="2"/>
    <x v="3"/>
  </r>
  <r>
    <d v="2020-11-09T00:00:00"/>
    <s v="9"/>
    <s v="Nov"/>
    <n v="6"/>
    <n v="6"/>
    <s v=""/>
    <s v="Printer"/>
    <s v="Computer"/>
    <n v="60000000"/>
    <x v="16"/>
    <x v="2"/>
    <x v="0"/>
    <x v="1"/>
    <x v="1"/>
  </r>
  <r>
    <d v="2020-11-09T00:00:00"/>
    <s v="9"/>
    <s v="Nov"/>
    <n v="5"/>
    <n v="5"/>
    <s v=""/>
    <s v="TV"/>
    <s v="Electronic"/>
    <n v="40000000"/>
    <x v="7"/>
    <x v="3"/>
    <x v="1"/>
    <x v="3"/>
    <x v="1"/>
  </r>
  <r>
    <d v="2020-11-09T00:00:00"/>
    <s v="9"/>
    <s v="Nov"/>
    <n v="4"/>
    <n v="4"/>
    <s v=""/>
    <s v="Laptop"/>
    <s v="Computer"/>
    <n v="120000000"/>
    <x v="45"/>
    <x v="0"/>
    <x v="1"/>
    <x v="3"/>
    <x v="3"/>
  </r>
  <r>
    <d v="2020-11-10T00:00:00"/>
    <s v="10"/>
    <s v="Nov"/>
    <n v="10"/>
    <n v="10"/>
    <s v=""/>
    <s v="Cable"/>
    <s v="Networking"/>
    <n v="80000000"/>
    <x v="11"/>
    <x v="0"/>
    <x v="0"/>
    <x v="1"/>
    <x v="2"/>
  </r>
  <r>
    <d v="2020-11-10T00:00:00"/>
    <s v="10"/>
    <s v="Nov"/>
    <n v="8"/>
    <n v="8"/>
    <s v=""/>
    <s v="TV"/>
    <s v="Electronic"/>
    <n v="100000000"/>
    <x v="0"/>
    <x v="0"/>
    <x v="0"/>
    <x v="2"/>
    <x v="2"/>
  </r>
  <r>
    <d v="2020-11-10T00:00:00"/>
    <s v="10"/>
    <s v="Nov"/>
    <n v="8"/>
    <n v="8"/>
    <s v=""/>
    <s v="Printer"/>
    <s v="Computer"/>
    <n v="100000000"/>
    <x v="13"/>
    <x v="2"/>
    <x v="0"/>
    <x v="2"/>
    <x v="0"/>
  </r>
  <r>
    <d v="2020-11-10T00:00:00"/>
    <s v="10"/>
    <s v="Nov"/>
    <n v="8"/>
    <n v="8"/>
    <s v=""/>
    <s v="Coffee Mach"/>
    <s v="Kitchen"/>
    <n v="80000000"/>
    <x v="25"/>
    <x v="0"/>
    <x v="0"/>
    <x v="2"/>
    <x v="1"/>
  </r>
  <r>
    <d v="2020-11-10T00:00:00"/>
    <s v="10"/>
    <s v="Nov"/>
    <n v="7"/>
    <n v="7"/>
    <s v=""/>
    <s v="Cable"/>
    <s v="Networking"/>
    <n v="80000000"/>
    <x v="35"/>
    <x v="0"/>
    <x v="0"/>
    <x v="2"/>
    <x v="1"/>
  </r>
  <r>
    <d v="2020-11-10T00:00:00"/>
    <s v="10"/>
    <s v="Nov"/>
    <n v="6"/>
    <n v="6"/>
    <s v=""/>
    <s v="Coffee Mach"/>
    <s v="Kitchen"/>
    <n v="60000000"/>
    <x v="29"/>
    <x v="2"/>
    <x v="0"/>
    <x v="2"/>
    <x v="3"/>
  </r>
  <r>
    <d v="2020-11-10T00:00:00"/>
    <s v="10"/>
    <s v="Nov"/>
    <n v="6"/>
    <n v="6"/>
    <s v=""/>
    <s v="TV"/>
    <s v="Electronic"/>
    <n v="60000000"/>
    <x v="39"/>
    <x v="5"/>
    <x v="0"/>
    <x v="2"/>
    <x v="0"/>
  </r>
  <r>
    <d v="2020-11-10T00:00:00"/>
    <s v="10"/>
    <s v="Nov"/>
    <n v="3"/>
    <n v="3"/>
    <s v=""/>
    <s v="AC"/>
    <s v="Electronic"/>
    <n v="60000000"/>
    <x v="33"/>
    <x v="3"/>
    <x v="0"/>
    <x v="0"/>
    <x v="0"/>
  </r>
  <r>
    <d v="2020-11-11T00:00:00"/>
    <s v="11"/>
    <s v="Nov"/>
    <n v="10"/>
    <n v="10"/>
    <s v=""/>
    <s v="Office Table"/>
    <s v="Furniture"/>
    <n v="60000000"/>
    <x v="47"/>
    <x v="2"/>
    <x v="0"/>
    <x v="0"/>
    <x v="3"/>
  </r>
  <r>
    <d v="2020-11-11T00:00:00"/>
    <s v="11"/>
    <s v="Nov"/>
    <n v="9"/>
    <n v="9"/>
    <s v=""/>
    <s v="Office Table"/>
    <s v="Furniture"/>
    <n v="80000000"/>
    <x v="22"/>
    <x v="4"/>
    <x v="0"/>
    <x v="2"/>
    <x v="1"/>
  </r>
  <r>
    <d v="2020-11-11T00:00:00"/>
    <s v="11"/>
    <s v="Nov"/>
    <n v="8"/>
    <n v="8"/>
    <s v=""/>
    <s v="TV"/>
    <s v="Electronic"/>
    <n v="140000000"/>
    <x v="0"/>
    <x v="2"/>
    <x v="0"/>
    <x v="2"/>
    <x v="1"/>
  </r>
  <r>
    <d v="2020-11-11T00:00:00"/>
    <s v="11"/>
    <s v="Nov"/>
    <n v="8"/>
    <n v="8"/>
    <s v=""/>
    <s v="Table Lamp"/>
    <s v="Accessories"/>
    <n v="140000000"/>
    <x v="3"/>
    <x v="0"/>
    <x v="0"/>
    <x v="2"/>
    <x v="2"/>
  </r>
  <r>
    <d v="2020-11-11T00:00:00"/>
    <s v="11"/>
    <s v="Nov"/>
    <n v="8"/>
    <n v="8"/>
    <s v=""/>
    <s v="Printer"/>
    <s v="Computer"/>
    <n v="100000000"/>
    <x v="36"/>
    <x v="0"/>
    <x v="0"/>
    <x v="2"/>
    <x v="1"/>
  </r>
  <r>
    <d v="2020-11-11T00:00:00"/>
    <s v="11"/>
    <s v="Nov"/>
    <n v="7"/>
    <n v="7"/>
    <s v=""/>
    <s v="Office Chair"/>
    <s v="Furniture"/>
    <n v="100000000"/>
    <x v="38"/>
    <x v="0"/>
    <x v="0"/>
    <x v="0"/>
    <x v="1"/>
  </r>
  <r>
    <d v="2020-11-11T00:00:00"/>
    <s v="11"/>
    <s v="Nov"/>
    <n v="7"/>
    <n v="7"/>
    <s v=""/>
    <s v="Cable"/>
    <s v="Networking"/>
    <n v="40000000"/>
    <x v="8"/>
    <x v="4"/>
    <x v="0"/>
    <x v="2"/>
    <x v="2"/>
  </r>
  <r>
    <d v="2020-11-12T00:00:00"/>
    <s v="12"/>
    <s v="Nov"/>
    <n v="10"/>
    <n v="10"/>
    <s v=""/>
    <s v="TV"/>
    <s v="Electronic"/>
    <n v="100000000"/>
    <x v="44"/>
    <x v="0"/>
    <x v="0"/>
    <x v="0"/>
    <x v="2"/>
  </r>
  <r>
    <d v="2020-11-12T00:00:00"/>
    <s v="12"/>
    <s v="Nov"/>
    <n v="10"/>
    <n v="10"/>
    <s v=""/>
    <s v="Table Lamp"/>
    <s v="Accessories"/>
    <n v="120000000"/>
    <x v="37"/>
    <x v="4"/>
    <x v="0"/>
    <x v="0"/>
    <x v="0"/>
  </r>
  <r>
    <d v="2020-11-12T00:00:00"/>
    <s v="12"/>
    <s v="Nov"/>
    <n v="10"/>
    <n v="10"/>
    <s v=""/>
    <s v="Office Chair"/>
    <s v="Furniture"/>
    <n v="80000000"/>
    <x v="13"/>
    <x v="3"/>
    <x v="0"/>
    <x v="0"/>
    <x v="1"/>
  </r>
  <r>
    <d v="2020-11-12T00:00:00"/>
    <s v="12"/>
    <s v="Nov"/>
    <n v="10"/>
    <n v="10"/>
    <s v=""/>
    <s v="Laptop"/>
    <s v="Computer"/>
    <n v="60000000"/>
    <x v="22"/>
    <x v="0"/>
    <x v="0"/>
    <x v="2"/>
    <x v="3"/>
  </r>
  <r>
    <d v="2020-11-12T00:00:00"/>
    <s v="12"/>
    <s v="Nov"/>
    <n v="9"/>
    <n v="9"/>
    <s v=""/>
    <s v="Printer"/>
    <s v="Computer"/>
    <n v="40000000"/>
    <x v="14"/>
    <x v="2"/>
    <x v="0"/>
    <x v="1"/>
    <x v="2"/>
  </r>
  <r>
    <d v="2020-11-12T00:00:00"/>
    <s v="12"/>
    <s v="Nov"/>
    <n v="9"/>
    <n v="9"/>
    <s v=""/>
    <s v="AC"/>
    <s v="Electronic"/>
    <n v="60000000"/>
    <x v="26"/>
    <x v="0"/>
    <x v="0"/>
    <x v="2"/>
    <x v="0"/>
  </r>
  <r>
    <d v="2020-11-12T00:00:00"/>
    <s v="12"/>
    <s v="Nov"/>
    <n v="7"/>
    <n v="7"/>
    <s v=""/>
    <s v="Table Lamp"/>
    <s v="Accessories"/>
    <n v="100000000"/>
    <x v="43"/>
    <x v="0"/>
    <x v="0"/>
    <x v="2"/>
    <x v="3"/>
  </r>
  <r>
    <d v="2020-11-12T00:00:00"/>
    <s v="12"/>
    <s v="Nov"/>
    <n v="5"/>
    <n v="5"/>
    <s v=""/>
    <s v="Printer"/>
    <s v="Computer"/>
    <n v="60000000"/>
    <x v="11"/>
    <x v="2"/>
    <x v="0"/>
    <x v="1"/>
    <x v="0"/>
  </r>
  <r>
    <d v="2020-11-12T00:00:00"/>
    <s v="12"/>
    <s v="Nov"/>
    <n v="5"/>
    <n v="5"/>
    <s v=""/>
    <s v="Office Table"/>
    <s v="Furniture"/>
    <n v="100000000"/>
    <x v="3"/>
    <x v="3"/>
    <x v="0"/>
    <x v="1"/>
    <x v="3"/>
  </r>
  <r>
    <d v="2020-11-12T00:00:00"/>
    <s v="12"/>
    <s v="Nov"/>
    <n v="4"/>
    <n v="4"/>
    <s v=""/>
    <s v="Office Table"/>
    <s v="Furniture"/>
    <n v="40000000"/>
    <x v="30"/>
    <x v="2"/>
    <x v="0"/>
    <x v="2"/>
    <x v="3"/>
  </r>
  <r>
    <d v="2020-11-12T00:00:00"/>
    <s v="12"/>
    <s v="Nov"/>
    <n v="3"/>
    <n v="3"/>
    <s v=""/>
    <s v="Cable"/>
    <s v="Networking"/>
    <n v="140000000"/>
    <x v="35"/>
    <x v="2"/>
    <x v="0"/>
    <x v="0"/>
    <x v="0"/>
  </r>
  <r>
    <d v="2020-11-13T00:00:00"/>
    <s v="13"/>
    <s v="Nov"/>
    <n v="10"/>
    <n v="10"/>
    <s v=""/>
    <s v="Table Lamp"/>
    <s v="Accessories"/>
    <n v="40000000"/>
    <x v="25"/>
    <x v="4"/>
    <x v="0"/>
    <x v="1"/>
    <x v="0"/>
  </r>
  <r>
    <d v="2020-11-13T00:00:00"/>
    <s v="13"/>
    <s v="Nov"/>
    <n v="10"/>
    <n v="10"/>
    <s v=""/>
    <s v="Laptop"/>
    <s v="Computer"/>
    <n v="40000000"/>
    <x v="46"/>
    <x v="2"/>
    <x v="0"/>
    <x v="2"/>
    <x v="2"/>
  </r>
  <r>
    <d v="2020-11-13T00:00:00"/>
    <s v="13"/>
    <s v="Nov"/>
    <n v="10"/>
    <n v="10"/>
    <s v=""/>
    <s v="Cable"/>
    <s v="Networking"/>
    <n v="100000000"/>
    <x v="45"/>
    <x v="2"/>
    <x v="0"/>
    <x v="2"/>
    <x v="2"/>
  </r>
  <r>
    <d v="2020-11-13T00:00:00"/>
    <s v="13"/>
    <s v="Nov"/>
    <n v="8"/>
    <n v="8"/>
    <s v=""/>
    <s v="Laptop"/>
    <s v="Computer"/>
    <n v="40000000"/>
    <x v="9"/>
    <x v="3"/>
    <x v="0"/>
    <x v="1"/>
    <x v="0"/>
  </r>
  <r>
    <d v="2020-11-13T00:00:00"/>
    <s v="13"/>
    <s v="Nov"/>
    <n v="6"/>
    <n v="6"/>
    <s v=""/>
    <s v="Office Chair"/>
    <s v="Furniture"/>
    <n v="40000000"/>
    <x v="20"/>
    <x v="2"/>
    <x v="0"/>
    <x v="0"/>
    <x v="2"/>
  </r>
  <r>
    <d v="2020-11-13T00:00:00"/>
    <s v="13"/>
    <s v="Nov"/>
    <n v="5"/>
    <n v="5"/>
    <s v=""/>
    <s v="Printer"/>
    <s v="Computer"/>
    <n v="60000000"/>
    <x v="35"/>
    <x v="4"/>
    <x v="0"/>
    <x v="1"/>
    <x v="3"/>
  </r>
  <r>
    <d v="2020-11-13T00:00:00"/>
    <s v="13"/>
    <s v="Nov"/>
    <n v="5"/>
    <n v="5"/>
    <s v=""/>
    <s v="Cable"/>
    <s v="Networking"/>
    <n v="100000000"/>
    <x v="31"/>
    <x v="2"/>
    <x v="0"/>
    <x v="0"/>
    <x v="0"/>
  </r>
  <r>
    <d v="2020-11-14T00:00:00"/>
    <s v="14"/>
    <s v="Nov"/>
    <n v="10"/>
    <n v="10"/>
    <s v=""/>
    <s v="Office Table"/>
    <s v="Furniture"/>
    <n v="120000000"/>
    <x v="22"/>
    <x v="2"/>
    <x v="0"/>
    <x v="1"/>
    <x v="2"/>
  </r>
  <r>
    <d v="2020-11-14T00:00:00"/>
    <s v="14"/>
    <s v="Nov"/>
    <n v="10"/>
    <n v="10"/>
    <s v=""/>
    <s v="Table Lamp"/>
    <s v="Accessories"/>
    <n v="140000000"/>
    <x v="4"/>
    <x v="0"/>
    <x v="0"/>
    <x v="1"/>
    <x v="0"/>
  </r>
  <r>
    <d v="2020-11-14T00:00:00"/>
    <s v="14"/>
    <s v="Nov"/>
    <n v="9"/>
    <n v="9"/>
    <s v=""/>
    <s v="AC"/>
    <s v="Electronic"/>
    <n v="140000000"/>
    <x v="46"/>
    <x v="5"/>
    <x v="0"/>
    <x v="2"/>
    <x v="3"/>
  </r>
  <r>
    <d v="2020-11-14T00:00:00"/>
    <s v="14"/>
    <s v="Nov"/>
    <n v="8"/>
    <n v="8"/>
    <s v=""/>
    <s v="Table Lamp"/>
    <s v="Accessories"/>
    <n v="120000000"/>
    <x v="23"/>
    <x v="2"/>
    <x v="0"/>
    <x v="2"/>
    <x v="3"/>
  </r>
  <r>
    <d v="2020-11-14T00:00:00"/>
    <s v="14"/>
    <s v="Nov"/>
    <n v="8"/>
    <n v="8"/>
    <s v=""/>
    <s v="Table Lamp"/>
    <s v="Accessories"/>
    <n v="60000000"/>
    <x v="45"/>
    <x v="0"/>
    <x v="0"/>
    <x v="1"/>
    <x v="2"/>
  </r>
  <r>
    <d v="2020-11-14T00:00:00"/>
    <s v="14"/>
    <s v="Nov"/>
    <n v="8"/>
    <n v="8"/>
    <s v=""/>
    <s v="Cable"/>
    <s v="Networking"/>
    <n v="80000000"/>
    <x v="8"/>
    <x v="2"/>
    <x v="0"/>
    <x v="1"/>
    <x v="1"/>
  </r>
  <r>
    <d v="2020-11-14T00:00:00"/>
    <s v="14"/>
    <s v="Nov"/>
    <n v="7"/>
    <n v="7"/>
    <s v=""/>
    <s v="Table Lamp"/>
    <s v="Accessories"/>
    <n v="40000000"/>
    <x v="43"/>
    <x v="0"/>
    <x v="0"/>
    <x v="1"/>
    <x v="2"/>
  </r>
  <r>
    <d v="2020-11-14T00:00:00"/>
    <s v="14"/>
    <s v="Nov"/>
    <n v="6"/>
    <n v="6"/>
    <s v=""/>
    <s v="TV"/>
    <s v="Electronic"/>
    <n v="60000000"/>
    <x v="6"/>
    <x v="0"/>
    <x v="0"/>
    <x v="2"/>
    <x v="1"/>
  </r>
  <r>
    <d v="2020-11-14T00:00:00"/>
    <s v="14"/>
    <s v="Nov"/>
    <n v="5"/>
    <n v="5"/>
    <s v=""/>
    <s v="Office Chair"/>
    <s v="Furniture"/>
    <n v="100000000"/>
    <x v="29"/>
    <x v="0"/>
    <x v="0"/>
    <x v="2"/>
    <x v="3"/>
  </r>
  <r>
    <d v="2020-11-14T00:00:00"/>
    <s v="14"/>
    <s v="Nov"/>
    <n v="5"/>
    <n v="5"/>
    <s v=""/>
    <s v="Office Table"/>
    <s v="Furniture"/>
    <n v="60000000"/>
    <x v="6"/>
    <x v="2"/>
    <x v="0"/>
    <x v="1"/>
    <x v="0"/>
  </r>
  <r>
    <d v="2020-11-14T00:00:00"/>
    <s v="14"/>
    <s v="Nov"/>
    <n v="3"/>
    <n v="3"/>
    <s v=""/>
    <s v="Office Chair"/>
    <s v="Furniture"/>
    <n v="60000000"/>
    <x v="43"/>
    <x v="1"/>
    <x v="0"/>
    <x v="0"/>
    <x v="2"/>
  </r>
  <r>
    <d v="2020-11-15T00:00:00"/>
    <s v="15"/>
    <s v="Nov"/>
    <n v="10"/>
    <n v="10"/>
    <s v=""/>
    <s v="TV"/>
    <s v="Electronic"/>
    <n v="80000000"/>
    <x v="22"/>
    <x v="0"/>
    <x v="0"/>
    <x v="2"/>
    <x v="1"/>
  </r>
  <r>
    <d v="2020-11-15T00:00:00"/>
    <s v="15"/>
    <s v="Nov"/>
    <n v="8"/>
    <n v="8"/>
    <s v=""/>
    <s v="AC"/>
    <s v="Electronic"/>
    <n v="60000000"/>
    <x v="38"/>
    <x v="5"/>
    <x v="0"/>
    <x v="0"/>
    <x v="3"/>
  </r>
  <r>
    <d v="2020-11-15T00:00:00"/>
    <s v="15"/>
    <s v="Nov"/>
    <n v="8"/>
    <n v="8"/>
    <s v=""/>
    <s v="Office Chair"/>
    <s v="Furniture"/>
    <n v="40000000"/>
    <x v="19"/>
    <x v="2"/>
    <x v="0"/>
    <x v="1"/>
    <x v="3"/>
  </r>
  <r>
    <d v="2020-11-15T00:00:00"/>
    <s v="15"/>
    <s v="Nov"/>
    <n v="7"/>
    <n v="7"/>
    <s v=""/>
    <s v="Cable"/>
    <s v="Networking"/>
    <n v="100000000"/>
    <x v="18"/>
    <x v="0"/>
    <x v="0"/>
    <x v="0"/>
    <x v="0"/>
  </r>
  <r>
    <d v="2020-11-15T00:00:00"/>
    <s v="15"/>
    <s v="Nov"/>
    <n v="5"/>
    <n v="5"/>
    <s v=""/>
    <s v="Office Chair"/>
    <s v="Furniture"/>
    <n v="120000000"/>
    <x v="49"/>
    <x v="0"/>
    <x v="0"/>
    <x v="1"/>
    <x v="3"/>
  </r>
  <r>
    <d v="2020-11-15T00:00:00"/>
    <s v="15"/>
    <s v="Nov"/>
    <n v="3"/>
    <n v="3"/>
    <s v=""/>
    <s v="Office Table"/>
    <s v="Furniture"/>
    <n v="40000000"/>
    <x v="38"/>
    <x v="3"/>
    <x v="0"/>
    <x v="0"/>
    <x v="0"/>
  </r>
  <r>
    <d v="2020-11-15T00:00:00"/>
    <s v="15"/>
    <s v="Nov"/>
    <n v="3"/>
    <n v="3"/>
    <s v=""/>
    <s v="Printer"/>
    <s v="Computer"/>
    <n v="60000000"/>
    <x v="29"/>
    <x v="0"/>
    <x v="0"/>
    <x v="1"/>
    <x v="2"/>
  </r>
  <r>
    <d v="2020-11-16T00:00:00"/>
    <s v="16"/>
    <s v="Nov"/>
    <n v="9"/>
    <n v="9"/>
    <s v=""/>
    <s v="Table Lamp"/>
    <s v="Accessories"/>
    <n v="60000000"/>
    <x v="0"/>
    <x v="2"/>
    <x v="0"/>
    <x v="1"/>
    <x v="2"/>
  </r>
  <r>
    <d v="2020-11-16T00:00:00"/>
    <s v="16"/>
    <s v="Nov"/>
    <n v="9"/>
    <n v="9"/>
    <s v=""/>
    <s v="Office Chair"/>
    <s v="Furniture"/>
    <n v="60000000"/>
    <x v="16"/>
    <x v="2"/>
    <x v="0"/>
    <x v="2"/>
    <x v="2"/>
  </r>
  <r>
    <d v="2020-11-16T00:00:00"/>
    <s v="16"/>
    <s v="Nov"/>
    <n v="8"/>
    <n v="8"/>
    <s v=""/>
    <s v="Table Lamp"/>
    <s v="Accessories"/>
    <n v="80000000"/>
    <x v="32"/>
    <x v="2"/>
    <x v="0"/>
    <x v="0"/>
    <x v="0"/>
  </r>
  <r>
    <d v="2020-11-16T00:00:00"/>
    <s v="16"/>
    <s v="Nov"/>
    <n v="7"/>
    <n v="7"/>
    <s v=""/>
    <s v="Coffee Mach"/>
    <s v="Kitchen"/>
    <n v="60000000"/>
    <x v="40"/>
    <x v="2"/>
    <x v="0"/>
    <x v="2"/>
    <x v="2"/>
  </r>
  <r>
    <d v="2020-11-16T00:00:00"/>
    <s v="16"/>
    <s v="Nov"/>
    <n v="6"/>
    <n v="6"/>
    <s v=""/>
    <s v="TV"/>
    <s v="Electronic"/>
    <n v="60000000"/>
    <x v="34"/>
    <x v="0"/>
    <x v="0"/>
    <x v="0"/>
    <x v="0"/>
  </r>
  <r>
    <d v="2020-11-16T00:00:00"/>
    <s v="16"/>
    <s v="Nov"/>
    <n v="6"/>
    <n v="6"/>
    <s v=""/>
    <s v="TV"/>
    <s v="Electronic"/>
    <n v="80000000"/>
    <x v="48"/>
    <x v="2"/>
    <x v="0"/>
    <x v="0"/>
    <x v="1"/>
  </r>
  <r>
    <d v="2020-11-16T00:00:00"/>
    <s v="16"/>
    <s v="Nov"/>
    <n v="6"/>
    <n v="6"/>
    <s v=""/>
    <s v="AC"/>
    <s v="Electronic"/>
    <n v="100000000"/>
    <x v="24"/>
    <x v="4"/>
    <x v="0"/>
    <x v="1"/>
    <x v="0"/>
  </r>
  <r>
    <d v="2020-11-16T00:00:00"/>
    <s v="16"/>
    <s v="Nov"/>
    <n v="6"/>
    <n v="6"/>
    <s v=""/>
    <s v="Office Table"/>
    <s v="Furniture"/>
    <n v="140000000"/>
    <x v="49"/>
    <x v="2"/>
    <x v="0"/>
    <x v="2"/>
    <x v="1"/>
  </r>
  <r>
    <d v="2020-11-16T00:00:00"/>
    <s v="16"/>
    <s v="Nov"/>
    <n v="5"/>
    <n v="5"/>
    <s v=""/>
    <s v="Office Chair"/>
    <s v="Furniture"/>
    <n v="100000000"/>
    <x v="16"/>
    <x v="0"/>
    <x v="0"/>
    <x v="0"/>
    <x v="1"/>
  </r>
  <r>
    <d v="2020-11-16T00:00:00"/>
    <s v="16"/>
    <s v="Nov"/>
    <n v="5"/>
    <n v="5"/>
    <s v=""/>
    <s v="Laptop"/>
    <s v="Computer"/>
    <n v="80000000"/>
    <x v="20"/>
    <x v="2"/>
    <x v="0"/>
    <x v="1"/>
    <x v="1"/>
  </r>
  <r>
    <d v="2020-11-16T00:00:00"/>
    <s v="16"/>
    <s v="Nov"/>
    <n v="4"/>
    <n v="4"/>
    <s v=""/>
    <s v="Coffee Mach"/>
    <s v="Kitchen"/>
    <n v="40000000"/>
    <x v="10"/>
    <x v="2"/>
    <x v="0"/>
    <x v="1"/>
    <x v="3"/>
  </r>
  <r>
    <d v="2020-11-16T00:00:00"/>
    <s v="16"/>
    <s v="Nov"/>
    <n v="4"/>
    <n v="4"/>
    <s v=""/>
    <s v="Office Chair"/>
    <s v="Furniture"/>
    <n v="100000000"/>
    <x v="26"/>
    <x v="2"/>
    <x v="0"/>
    <x v="1"/>
    <x v="1"/>
  </r>
  <r>
    <d v="2020-11-16T00:00:00"/>
    <s v="16"/>
    <s v="Nov"/>
    <n v="4"/>
    <n v="4"/>
    <s v=""/>
    <s v="AC"/>
    <s v="Electronic"/>
    <n v="40000000"/>
    <x v="18"/>
    <x v="0"/>
    <x v="0"/>
    <x v="2"/>
    <x v="3"/>
  </r>
  <r>
    <d v="2020-11-16T00:00:00"/>
    <s v="16"/>
    <s v="Nov"/>
    <n v="3"/>
    <n v="3"/>
    <s v=""/>
    <s v="Office Chair"/>
    <s v="Furniture"/>
    <n v="140000000"/>
    <x v="35"/>
    <x v="0"/>
    <x v="0"/>
    <x v="0"/>
    <x v="0"/>
  </r>
  <r>
    <d v="2020-11-16T00:00:00"/>
    <s v="16"/>
    <s v="Nov"/>
    <n v="3"/>
    <n v="3"/>
    <s v=""/>
    <s v="Printer"/>
    <s v="Computer"/>
    <n v="60000000"/>
    <x v="25"/>
    <x v="0"/>
    <x v="0"/>
    <x v="2"/>
    <x v="3"/>
  </r>
  <r>
    <d v="2020-11-17T00:00:00"/>
    <s v="17"/>
    <s v="Nov"/>
    <n v="10"/>
    <n v="10"/>
    <s v=""/>
    <s v="TV"/>
    <s v="Electronic"/>
    <n v="100000000"/>
    <x v="8"/>
    <x v="2"/>
    <x v="0"/>
    <x v="1"/>
    <x v="0"/>
  </r>
  <r>
    <d v="2020-11-17T00:00:00"/>
    <s v="17"/>
    <s v="Nov"/>
    <n v="10"/>
    <n v="10"/>
    <s v=""/>
    <s v="Table Lamp"/>
    <s v="Accessories"/>
    <n v="60000000"/>
    <x v="47"/>
    <x v="0"/>
    <x v="0"/>
    <x v="1"/>
    <x v="2"/>
  </r>
  <r>
    <d v="2020-11-17T00:00:00"/>
    <s v="17"/>
    <s v="Nov"/>
    <n v="10"/>
    <n v="10"/>
    <s v=""/>
    <s v="Cable"/>
    <s v="Networking"/>
    <n v="100000000"/>
    <x v="0"/>
    <x v="2"/>
    <x v="0"/>
    <x v="0"/>
    <x v="3"/>
  </r>
  <r>
    <d v="2020-11-17T00:00:00"/>
    <s v="17"/>
    <s v="Nov"/>
    <n v="9"/>
    <n v="9"/>
    <s v=""/>
    <s v="Laptop"/>
    <s v="Computer"/>
    <n v="100000000"/>
    <x v="45"/>
    <x v="2"/>
    <x v="0"/>
    <x v="2"/>
    <x v="0"/>
  </r>
  <r>
    <d v="2020-11-17T00:00:00"/>
    <s v="17"/>
    <s v="Nov"/>
    <n v="7"/>
    <n v="7"/>
    <s v=""/>
    <s v="Office Chair"/>
    <s v="Furniture"/>
    <n v="80000000"/>
    <x v="28"/>
    <x v="0"/>
    <x v="0"/>
    <x v="1"/>
    <x v="3"/>
  </r>
  <r>
    <d v="2020-11-17T00:00:00"/>
    <s v="17"/>
    <s v="Nov"/>
    <n v="7"/>
    <n v="7"/>
    <s v=""/>
    <s v="Printer"/>
    <s v="Computer"/>
    <n v="140000000"/>
    <x v="43"/>
    <x v="3"/>
    <x v="0"/>
    <x v="0"/>
    <x v="1"/>
  </r>
  <r>
    <d v="2020-11-17T00:00:00"/>
    <s v="17"/>
    <s v="Nov"/>
    <n v="7"/>
    <n v="7"/>
    <s v=""/>
    <s v="Printer"/>
    <s v="Computer"/>
    <n v="140000000"/>
    <x v="38"/>
    <x v="2"/>
    <x v="0"/>
    <x v="0"/>
    <x v="3"/>
  </r>
  <r>
    <d v="2020-11-17T00:00:00"/>
    <s v="17"/>
    <s v="Nov"/>
    <n v="6"/>
    <n v="6"/>
    <s v=""/>
    <s v="Cable"/>
    <s v="Networking"/>
    <n v="60000000"/>
    <x v="7"/>
    <x v="3"/>
    <x v="0"/>
    <x v="1"/>
    <x v="0"/>
  </r>
  <r>
    <d v="2020-11-17T00:00:00"/>
    <s v="17"/>
    <s v="Nov"/>
    <n v="6"/>
    <n v="6"/>
    <s v=""/>
    <s v="Printer"/>
    <s v="Computer"/>
    <n v="120000000"/>
    <x v="12"/>
    <x v="1"/>
    <x v="0"/>
    <x v="2"/>
    <x v="3"/>
  </r>
  <r>
    <d v="2020-11-17T00:00:00"/>
    <s v="17"/>
    <s v="Nov"/>
    <n v="6"/>
    <n v="6"/>
    <s v=""/>
    <s v="Laptop"/>
    <s v="Computer"/>
    <n v="80000000"/>
    <x v="18"/>
    <x v="2"/>
    <x v="0"/>
    <x v="2"/>
    <x v="1"/>
  </r>
  <r>
    <d v="2020-11-17T00:00:00"/>
    <s v="17"/>
    <s v="Nov"/>
    <n v="4"/>
    <n v="4"/>
    <s v=""/>
    <s v="Table Lamp"/>
    <s v="Accessories"/>
    <n v="40000000"/>
    <x v="32"/>
    <x v="0"/>
    <x v="0"/>
    <x v="2"/>
    <x v="2"/>
  </r>
  <r>
    <d v="2020-11-17T00:00:00"/>
    <s v="17"/>
    <s v="Nov"/>
    <n v="4"/>
    <n v="4"/>
    <s v=""/>
    <s v="Office Chair"/>
    <s v="Furniture"/>
    <n v="120000000"/>
    <x v="9"/>
    <x v="2"/>
    <x v="0"/>
    <x v="2"/>
    <x v="0"/>
  </r>
  <r>
    <d v="2020-11-17T00:00:00"/>
    <s v="17"/>
    <s v="Nov"/>
    <n v="3"/>
    <n v="3"/>
    <s v=""/>
    <s v="Laptop"/>
    <s v="Computer"/>
    <n v="60000000"/>
    <x v="6"/>
    <x v="0"/>
    <x v="0"/>
    <x v="2"/>
    <x v="2"/>
  </r>
  <r>
    <d v="2020-11-17T00:00:00"/>
    <s v="17"/>
    <s v="Nov"/>
    <n v="3"/>
    <n v="3"/>
    <s v=""/>
    <s v="TV"/>
    <s v="Electronic"/>
    <n v="40000000"/>
    <x v="16"/>
    <x v="0"/>
    <x v="0"/>
    <x v="1"/>
    <x v="0"/>
  </r>
  <r>
    <d v="2020-11-18T00:00:00"/>
    <s v="18"/>
    <s v="Nov"/>
    <n v="10"/>
    <n v="10"/>
    <s v=""/>
    <s v="Table Lamp"/>
    <s v="Accessories"/>
    <n v="40000000"/>
    <x v="25"/>
    <x v="2"/>
    <x v="1"/>
    <x v="3"/>
    <x v="2"/>
  </r>
  <r>
    <d v="2020-11-18T00:00:00"/>
    <s v="18"/>
    <s v="Nov"/>
    <n v="9"/>
    <n v="9"/>
    <s v=""/>
    <s v="Table Lamp"/>
    <s v="Accessories"/>
    <n v="80000000"/>
    <x v="34"/>
    <x v="2"/>
    <x v="0"/>
    <x v="2"/>
    <x v="1"/>
  </r>
  <r>
    <d v="2020-11-18T00:00:00"/>
    <s v="18"/>
    <s v="Nov"/>
    <n v="9"/>
    <n v="9"/>
    <s v=""/>
    <s v="Coffee Mach"/>
    <s v="Kitchen"/>
    <n v="140000000"/>
    <x v="21"/>
    <x v="4"/>
    <x v="1"/>
    <x v="3"/>
    <x v="0"/>
  </r>
  <r>
    <d v="2020-11-18T00:00:00"/>
    <s v="18"/>
    <s v="Nov"/>
    <n v="5"/>
    <n v="5"/>
    <s v=""/>
    <s v="Cable"/>
    <s v="Networking"/>
    <n v="60000000"/>
    <x v="6"/>
    <x v="5"/>
    <x v="0"/>
    <x v="2"/>
    <x v="0"/>
  </r>
  <r>
    <d v="2020-11-18T00:00:00"/>
    <s v="18"/>
    <s v="Nov"/>
    <n v="3"/>
    <n v="3"/>
    <s v=""/>
    <s v="Coffee Mach"/>
    <s v="Kitchen"/>
    <n v="100000000"/>
    <x v="2"/>
    <x v="2"/>
    <x v="0"/>
    <x v="1"/>
    <x v="3"/>
  </r>
  <r>
    <d v="2020-11-18T00:00:00"/>
    <s v="18"/>
    <s v="Nov"/>
    <n v="3"/>
    <n v="3"/>
    <s v=""/>
    <s v="Office Chair"/>
    <s v="Furniture"/>
    <n v="60000000"/>
    <x v="32"/>
    <x v="4"/>
    <x v="1"/>
    <x v="3"/>
    <x v="1"/>
  </r>
  <r>
    <d v="2020-11-18T00:00:00"/>
    <s v="18"/>
    <s v="Nov"/>
    <n v="3"/>
    <n v="3"/>
    <s v=""/>
    <s v="Office Chair"/>
    <s v="Furniture"/>
    <n v="40000000"/>
    <x v="41"/>
    <x v="3"/>
    <x v="1"/>
    <x v="3"/>
    <x v="2"/>
  </r>
  <r>
    <d v="2020-11-19T00:00:00"/>
    <s v="19"/>
    <s v="Nov"/>
    <n v="8"/>
    <n v="8"/>
    <s v=""/>
    <s v="AC"/>
    <s v="Electronic"/>
    <n v="100000000"/>
    <x v="28"/>
    <x v="2"/>
    <x v="1"/>
    <x v="3"/>
    <x v="3"/>
  </r>
  <r>
    <d v="2020-11-19T00:00:00"/>
    <s v="19"/>
    <s v="Nov"/>
    <n v="8"/>
    <n v="8"/>
    <s v=""/>
    <s v="Table Lamp"/>
    <s v="Accessories"/>
    <n v="60000000"/>
    <x v="11"/>
    <x v="0"/>
    <x v="1"/>
    <x v="3"/>
    <x v="2"/>
  </r>
  <r>
    <d v="2020-11-19T00:00:00"/>
    <s v="19"/>
    <s v="Nov"/>
    <n v="8"/>
    <n v="8"/>
    <s v=""/>
    <s v="Office Chair"/>
    <s v="Furniture"/>
    <n v="40000000"/>
    <x v="26"/>
    <x v="0"/>
    <x v="1"/>
    <x v="3"/>
    <x v="0"/>
  </r>
  <r>
    <d v="2020-11-19T00:00:00"/>
    <s v="19"/>
    <s v="Nov"/>
    <n v="6"/>
    <n v="6"/>
    <s v=""/>
    <s v="TV"/>
    <s v="Electronic"/>
    <n v="120000000"/>
    <x v="34"/>
    <x v="2"/>
    <x v="1"/>
    <x v="3"/>
    <x v="2"/>
  </r>
  <r>
    <d v="2020-11-19T00:00:00"/>
    <s v="19"/>
    <s v="Nov"/>
    <n v="6"/>
    <n v="6"/>
    <s v=""/>
    <s v="AC"/>
    <s v="Electronic"/>
    <n v="120000000"/>
    <x v="30"/>
    <x v="4"/>
    <x v="1"/>
    <x v="3"/>
    <x v="2"/>
  </r>
  <r>
    <d v="2020-11-19T00:00:00"/>
    <s v="19"/>
    <s v="Nov"/>
    <n v="5"/>
    <n v="5"/>
    <s v=""/>
    <s v="Coffee Mach"/>
    <s v="Kitchen"/>
    <n v="100000000"/>
    <x v="40"/>
    <x v="1"/>
    <x v="1"/>
    <x v="3"/>
    <x v="3"/>
  </r>
  <r>
    <d v="2020-11-19T00:00:00"/>
    <s v="19"/>
    <s v="Nov"/>
    <n v="4"/>
    <n v="4"/>
    <s v=""/>
    <s v="Office Chair"/>
    <s v="Furniture"/>
    <n v="80000000"/>
    <x v="39"/>
    <x v="0"/>
    <x v="1"/>
    <x v="3"/>
    <x v="0"/>
  </r>
  <r>
    <d v="2020-11-19T00:00:00"/>
    <s v="19"/>
    <s v="Nov"/>
    <n v="3"/>
    <n v="3"/>
    <s v=""/>
    <s v="Coffee Mach"/>
    <s v="Kitchen"/>
    <n v="140000000"/>
    <x v="6"/>
    <x v="0"/>
    <x v="1"/>
    <x v="3"/>
    <x v="3"/>
  </r>
  <r>
    <d v="2020-11-20T00:00:00"/>
    <s v="20"/>
    <s v="Nov"/>
    <n v="8"/>
    <n v="8"/>
    <s v=""/>
    <s v="TV"/>
    <s v="Electronic"/>
    <n v="120000000"/>
    <x v="5"/>
    <x v="4"/>
    <x v="1"/>
    <x v="3"/>
    <x v="0"/>
  </r>
  <r>
    <d v="2020-11-20T00:00:00"/>
    <s v="20"/>
    <s v="Nov"/>
    <n v="7"/>
    <n v="7"/>
    <s v=""/>
    <s v="Cable"/>
    <s v="Networking"/>
    <n v="120000000"/>
    <x v="26"/>
    <x v="1"/>
    <x v="1"/>
    <x v="3"/>
    <x v="2"/>
  </r>
  <r>
    <d v="2020-11-20T00:00:00"/>
    <s v="20"/>
    <s v="Nov"/>
    <n v="7"/>
    <n v="7"/>
    <s v=""/>
    <s v="Office Chair"/>
    <s v="Furniture"/>
    <n v="100000000"/>
    <x v="15"/>
    <x v="2"/>
    <x v="1"/>
    <x v="3"/>
    <x v="1"/>
  </r>
  <r>
    <d v="2020-11-20T00:00:00"/>
    <s v="20"/>
    <s v="Nov"/>
    <n v="6"/>
    <n v="6"/>
    <s v=""/>
    <s v="AC"/>
    <s v="Electronic"/>
    <n v="60000000"/>
    <x v="44"/>
    <x v="0"/>
    <x v="1"/>
    <x v="3"/>
    <x v="3"/>
  </r>
  <r>
    <d v="2020-11-20T00:00:00"/>
    <s v="20"/>
    <s v="Nov"/>
    <n v="6"/>
    <n v="6"/>
    <s v=""/>
    <s v="Office Table"/>
    <s v="Furniture"/>
    <n v="100000000"/>
    <x v="33"/>
    <x v="2"/>
    <x v="1"/>
    <x v="3"/>
    <x v="3"/>
  </r>
  <r>
    <d v="2020-11-20T00:00:00"/>
    <s v="20"/>
    <s v="Nov"/>
    <n v="6"/>
    <n v="6"/>
    <s v=""/>
    <s v="Coffee Mach"/>
    <s v="Kitchen"/>
    <n v="120000000"/>
    <x v="30"/>
    <x v="2"/>
    <x v="1"/>
    <x v="3"/>
    <x v="2"/>
  </r>
  <r>
    <d v="2020-11-20T00:00:00"/>
    <s v="20"/>
    <s v="Nov"/>
    <n v="3"/>
    <n v="3"/>
    <s v=""/>
    <s v="Laptop"/>
    <s v="Computer"/>
    <n v="120000000"/>
    <x v="27"/>
    <x v="4"/>
    <x v="1"/>
    <x v="3"/>
    <x v="3"/>
  </r>
  <r>
    <d v="2020-11-21T00:00:00"/>
    <s v="21"/>
    <s v="Nov"/>
    <n v="10"/>
    <n v="10"/>
    <s v=""/>
    <s v="Laptop"/>
    <s v="Computer"/>
    <n v="60000000"/>
    <x v="43"/>
    <x v="2"/>
    <x v="1"/>
    <x v="3"/>
    <x v="3"/>
  </r>
  <r>
    <d v="2020-11-21T00:00:00"/>
    <s v="21"/>
    <s v="Nov"/>
    <n v="10"/>
    <n v="10"/>
    <s v=""/>
    <s v="Table Lamp"/>
    <s v="Accessories"/>
    <n v="100000000"/>
    <x v="20"/>
    <x v="1"/>
    <x v="1"/>
    <x v="3"/>
    <x v="0"/>
  </r>
  <r>
    <d v="2020-11-21T00:00:00"/>
    <s v="21"/>
    <s v="Nov"/>
    <n v="10"/>
    <n v="10"/>
    <s v=""/>
    <s v="Table Lamp"/>
    <s v="Accessories"/>
    <n v="40000000"/>
    <x v="15"/>
    <x v="2"/>
    <x v="1"/>
    <x v="3"/>
    <x v="1"/>
  </r>
  <r>
    <d v="2020-11-21T00:00:00"/>
    <s v="21"/>
    <s v="Nov"/>
    <n v="10"/>
    <n v="10"/>
    <s v=""/>
    <s v="Office Table"/>
    <s v="Furniture"/>
    <n v="80000000"/>
    <x v="10"/>
    <x v="0"/>
    <x v="1"/>
    <x v="3"/>
    <x v="0"/>
  </r>
  <r>
    <d v="2020-11-21T00:00:00"/>
    <s v="21"/>
    <s v="Nov"/>
    <n v="9"/>
    <n v="9"/>
    <s v=""/>
    <s v="Cable"/>
    <s v="Networking"/>
    <n v="40000000"/>
    <x v="28"/>
    <x v="0"/>
    <x v="1"/>
    <x v="3"/>
    <x v="0"/>
  </r>
  <r>
    <d v="2020-11-21T00:00:00"/>
    <s v="21"/>
    <s v="Nov"/>
    <n v="8"/>
    <n v="8"/>
    <s v=""/>
    <s v="TV"/>
    <s v="Electronic"/>
    <n v="60000000"/>
    <x v="7"/>
    <x v="0"/>
    <x v="1"/>
    <x v="3"/>
    <x v="1"/>
  </r>
  <r>
    <d v="2020-11-21T00:00:00"/>
    <s v="21"/>
    <s v="Nov"/>
    <n v="7"/>
    <n v="7"/>
    <s v=""/>
    <s v="AC"/>
    <s v="Electronic"/>
    <n v="120000000"/>
    <x v="4"/>
    <x v="2"/>
    <x v="1"/>
    <x v="3"/>
    <x v="2"/>
  </r>
  <r>
    <d v="2020-11-21T00:00:00"/>
    <s v="21"/>
    <s v="Nov"/>
    <n v="7"/>
    <n v="7"/>
    <s v=""/>
    <s v="Printer"/>
    <s v="Computer"/>
    <n v="140000000"/>
    <x v="49"/>
    <x v="2"/>
    <x v="1"/>
    <x v="3"/>
    <x v="1"/>
  </r>
  <r>
    <d v="2020-11-21T00:00:00"/>
    <s v="21"/>
    <s v="Nov"/>
    <n v="7"/>
    <n v="7"/>
    <s v=""/>
    <s v="Printer"/>
    <s v="Computer"/>
    <n v="40000000"/>
    <x v="36"/>
    <x v="0"/>
    <x v="1"/>
    <x v="3"/>
    <x v="2"/>
  </r>
  <r>
    <d v="2020-11-21T00:00:00"/>
    <s v="21"/>
    <s v="Nov"/>
    <n v="6"/>
    <n v="6"/>
    <s v=""/>
    <s v="Office Chair"/>
    <s v="Furniture"/>
    <n v="40000000"/>
    <x v="49"/>
    <x v="0"/>
    <x v="1"/>
    <x v="3"/>
    <x v="3"/>
  </r>
  <r>
    <d v="2020-11-21T00:00:00"/>
    <s v="21"/>
    <s v="Nov"/>
    <n v="4"/>
    <n v="4"/>
    <s v=""/>
    <s v="Office Chair"/>
    <s v="Furniture"/>
    <n v="100000000"/>
    <x v="41"/>
    <x v="0"/>
    <x v="1"/>
    <x v="3"/>
    <x v="2"/>
  </r>
  <r>
    <d v="2020-11-21T00:00:00"/>
    <s v="21"/>
    <s v="Nov"/>
    <n v="4"/>
    <n v="4"/>
    <s v=""/>
    <s v="Laptop"/>
    <s v="Computer"/>
    <n v="100000000"/>
    <x v="49"/>
    <x v="4"/>
    <x v="1"/>
    <x v="3"/>
    <x v="1"/>
  </r>
  <r>
    <d v="2020-11-21T00:00:00"/>
    <s v="21"/>
    <s v="Nov"/>
    <n v="4"/>
    <n v="4"/>
    <s v=""/>
    <s v="Laptop"/>
    <s v="Computer"/>
    <n v="100000000"/>
    <x v="33"/>
    <x v="2"/>
    <x v="1"/>
    <x v="3"/>
    <x v="2"/>
  </r>
  <r>
    <d v="2020-11-22T00:00:00"/>
    <s v="22"/>
    <s v="Nov"/>
    <n v="10"/>
    <n v="10"/>
    <s v=""/>
    <s v="TV"/>
    <s v="Electronic"/>
    <n v="40000000"/>
    <x v="35"/>
    <x v="3"/>
    <x v="1"/>
    <x v="3"/>
    <x v="1"/>
  </r>
  <r>
    <d v="2020-11-22T00:00:00"/>
    <s v="22"/>
    <s v="Nov"/>
    <n v="8"/>
    <n v="8"/>
    <s v=""/>
    <s v="Cable"/>
    <s v="Networking"/>
    <n v="80000000"/>
    <x v="22"/>
    <x v="2"/>
    <x v="1"/>
    <x v="3"/>
    <x v="3"/>
  </r>
  <r>
    <d v="2020-11-22T00:00:00"/>
    <s v="22"/>
    <s v="Nov"/>
    <n v="6"/>
    <n v="6"/>
    <s v=""/>
    <s v="Laptop"/>
    <s v="Computer"/>
    <n v="120000000"/>
    <x v="17"/>
    <x v="2"/>
    <x v="1"/>
    <x v="3"/>
    <x v="0"/>
  </r>
  <r>
    <d v="2020-11-22T00:00:00"/>
    <s v="22"/>
    <s v="Nov"/>
    <n v="6"/>
    <n v="6"/>
    <s v=""/>
    <s v="Office Chair"/>
    <s v="Furniture"/>
    <n v="80000000"/>
    <x v="32"/>
    <x v="0"/>
    <x v="1"/>
    <x v="3"/>
    <x v="2"/>
  </r>
  <r>
    <d v="2020-11-22T00:00:00"/>
    <s v="22"/>
    <s v="Nov"/>
    <n v="6"/>
    <n v="6"/>
    <s v=""/>
    <s v="Office Chair"/>
    <s v="Furniture"/>
    <n v="80000000"/>
    <x v="41"/>
    <x v="0"/>
    <x v="1"/>
    <x v="3"/>
    <x v="3"/>
  </r>
  <r>
    <d v="2020-11-22T00:00:00"/>
    <s v="22"/>
    <s v="Nov"/>
    <n v="3"/>
    <n v="3"/>
    <s v=""/>
    <s v="AC"/>
    <s v="Electronic"/>
    <n v="140000000"/>
    <x v="38"/>
    <x v="0"/>
    <x v="1"/>
    <x v="3"/>
    <x v="2"/>
  </r>
  <r>
    <d v="2020-11-23T00:00:00"/>
    <s v="23"/>
    <s v="Nov"/>
    <n v="10"/>
    <n v="10"/>
    <s v=""/>
    <s v="Cable"/>
    <s v="Networking"/>
    <n v="40000000"/>
    <x v="4"/>
    <x v="0"/>
    <x v="1"/>
    <x v="3"/>
    <x v="0"/>
  </r>
  <r>
    <d v="2020-11-23T00:00:00"/>
    <s v="23"/>
    <s v="Nov"/>
    <n v="10"/>
    <n v="10"/>
    <s v=""/>
    <s v="Laptop"/>
    <s v="Computer"/>
    <n v="120000000"/>
    <x v="2"/>
    <x v="0"/>
    <x v="1"/>
    <x v="3"/>
    <x v="0"/>
  </r>
  <r>
    <d v="2020-11-23T00:00:00"/>
    <s v="23"/>
    <s v="Nov"/>
    <n v="9"/>
    <n v="9"/>
    <s v=""/>
    <s v="Office Table"/>
    <s v="Furniture"/>
    <n v="120000000"/>
    <x v="28"/>
    <x v="0"/>
    <x v="1"/>
    <x v="3"/>
    <x v="2"/>
  </r>
  <r>
    <d v="2020-11-23T00:00:00"/>
    <s v="23"/>
    <s v="Nov"/>
    <n v="8"/>
    <n v="8"/>
    <s v=""/>
    <s v="Laptop"/>
    <s v="Computer"/>
    <n v="120000000"/>
    <x v="21"/>
    <x v="2"/>
    <x v="1"/>
    <x v="3"/>
    <x v="3"/>
  </r>
  <r>
    <d v="2020-11-23T00:00:00"/>
    <s v="23"/>
    <s v="Nov"/>
    <n v="8"/>
    <n v="8"/>
    <s v=""/>
    <s v="Office Table"/>
    <s v="Furniture"/>
    <n v="80000000"/>
    <x v="40"/>
    <x v="0"/>
    <x v="1"/>
    <x v="3"/>
    <x v="0"/>
  </r>
  <r>
    <d v="2020-11-23T00:00:00"/>
    <s v="23"/>
    <s v="Nov"/>
    <n v="8"/>
    <n v="8"/>
    <s v=""/>
    <s v="AC"/>
    <s v="Electronic"/>
    <n v="140000000"/>
    <x v="30"/>
    <x v="2"/>
    <x v="1"/>
    <x v="3"/>
    <x v="0"/>
  </r>
  <r>
    <d v="2020-11-23T00:00:00"/>
    <s v="23"/>
    <s v="Nov"/>
    <n v="7"/>
    <n v="7"/>
    <s v=""/>
    <s v="Laptop"/>
    <s v="Computer"/>
    <n v="100000000"/>
    <x v="12"/>
    <x v="0"/>
    <x v="1"/>
    <x v="3"/>
    <x v="1"/>
  </r>
  <r>
    <d v="2020-11-23T00:00:00"/>
    <s v="23"/>
    <s v="Nov"/>
    <n v="7"/>
    <n v="7"/>
    <s v=""/>
    <s v="Table Lamp"/>
    <s v="Accessories"/>
    <n v="140000000"/>
    <x v="49"/>
    <x v="0"/>
    <x v="1"/>
    <x v="3"/>
    <x v="1"/>
  </r>
  <r>
    <d v="2020-11-23T00:00:00"/>
    <s v="23"/>
    <s v="Nov"/>
    <n v="7"/>
    <n v="7"/>
    <s v=""/>
    <s v="Laptop"/>
    <s v="Computer"/>
    <n v="80000000"/>
    <x v="49"/>
    <x v="2"/>
    <x v="1"/>
    <x v="3"/>
    <x v="3"/>
  </r>
  <r>
    <d v="2020-11-23T00:00:00"/>
    <s v="23"/>
    <s v="Nov"/>
    <n v="5"/>
    <n v="5"/>
    <s v=""/>
    <s v="Office Table"/>
    <s v="Furniture"/>
    <n v="140000000"/>
    <x v="39"/>
    <x v="3"/>
    <x v="1"/>
    <x v="3"/>
    <x v="0"/>
  </r>
  <r>
    <d v="2020-11-23T00:00:00"/>
    <s v="23"/>
    <s v="Nov"/>
    <n v="4"/>
    <n v="4"/>
    <s v=""/>
    <s v="Cable"/>
    <s v="Networking"/>
    <n v="120000000"/>
    <x v="23"/>
    <x v="0"/>
    <x v="1"/>
    <x v="3"/>
    <x v="3"/>
  </r>
  <r>
    <d v="2020-11-24T00:00:00"/>
    <s v="24"/>
    <s v="Nov"/>
    <n v="10"/>
    <n v="10"/>
    <s v=""/>
    <s v="Office Chair"/>
    <s v="Furniture"/>
    <n v="120000000"/>
    <x v="6"/>
    <x v="2"/>
    <x v="1"/>
    <x v="3"/>
    <x v="1"/>
  </r>
  <r>
    <d v="2020-11-24T00:00:00"/>
    <s v="24"/>
    <s v="Nov"/>
    <n v="10"/>
    <n v="10"/>
    <s v=""/>
    <s v="Cable"/>
    <s v="Networking"/>
    <n v="120000000"/>
    <x v="49"/>
    <x v="0"/>
    <x v="1"/>
    <x v="3"/>
    <x v="1"/>
  </r>
  <r>
    <d v="2020-11-24T00:00:00"/>
    <s v="24"/>
    <s v="Nov"/>
    <n v="9"/>
    <n v="9"/>
    <s v=""/>
    <s v="Office Chair"/>
    <s v="Furniture"/>
    <n v="120000000"/>
    <x v="38"/>
    <x v="0"/>
    <x v="1"/>
    <x v="3"/>
    <x v="0"/>
  </r>
  <r>
    <d v="2020-11-24T00:00:00"/>
    <s v="24"/>
    <s v="Nov"/>
    <n v="8"/>
    <n v="8"/>
    <s v=""/>
    <s v="Office Chair"/>
    <s v="Furniture"/>
    <n v="100000000"/>
    <x v="41"/>
    <x v="0"/>
    <x v="1"/>
    <x v="3"/>
    <x v="3"/>
  </r>
  <r>
    <d v="2020-11-24T00:00:00"/>
    <s v="24"/>
    <s v="Nov"/>
    <n v="8"/>
    <n v="8"/>
    <s v=""/>
    <s v="Office Table"/>
    <s v="Furniture"/>
    <n v="100000000"/>
    <x v="49"/>
    <x v="4"/>
    <x v="1"/>
    <x v="3"/>
    <x v="3"/>
  </r>
  <r>
    <d v="2020-11-24T00:00:00"/>
    <s v="24"/>
    <s v="Nov"/>
    <n v="8"/>
    <n v="8"/>
    <s v=""/>
    <s v="Laptop"/>
    <s v="Computer"/>
    <n v="80000000"/>
    <x v="9"/>
    <x v="2"/>
    <x v="1"/>
    <x v="3"/>
    <x v="2"/>
  </r>
  <r>
    <d v="2020-11-24T00:00:00"/>
    <s v="24"/>
    <s v="Nov"/>
    <n v="6"/>
    <n v="6"/>
    <s v=""/>
    <s v="TV"/>
    <s v="Electronic"/>
    <n v="120000000"/>
    <x v="34"/>
    <x v="3"/>
    <x v="1"/>
    <x v="3"/>
    <x v="1"/>
  </r>
  <r>
    <d v="2020-11-24T00:00:00"/>
    <s v="24"/>
    <s v="Nov"/>
    <n v="5"/>
    <n v="5"/>
    <s v=""/>
    <s v="TV"/>
    <s v="Electronic"/>
    <n v="40000000"/>
    <x v="5"/>
    <x v="2"/>
    <x v="1"/>
    <x v="3"/>
    <x v="1"/>
  </r>
  <r>
    <d v="2020-11-24T00:00:00"/>
    <s v="24"/>
    <s v="Nov"/>
    <n v="4"/>
    <n v="4"/>
    <s v=""/>
    <s v="Coffee Mach"/>
    <s v="Kitchen"/>
    <n v="80000000"/>
    <x v="40"/>
    <x v="0"/>
    <x v="1"/>
    <x v="3"/>
    <x v="3"/>
  </r>
  <r>
    <d v="2020-11-24T00:00:00"/>
    <s v="24"/>
    <s v="Nov"/>
    <n v="3"/>
    <n v="3"/>
    <s v=""/>
    <s v="TV"/>
    <s v="Electronic"/>
    <n v="80000000"/>
    <x v="2"/>
    <x v="0"/>
    <x v="1"/>
    <x v="3"/>
    <x v="1"/>
  </r>
  <r>
    <d v="2020-11-24T00:00:00"/>
    <s v="24"/>
    <s v="Nov"/>
    <n v="3"/>
    <n v="3"/>
    <s v=""/>
    <s v="Office Chair"/>
    <s v="Furniture"/>
    <n v="100000000"/>
    <x v="14"/>
    <x v="2"/>
    <x v="1"/>
    <x v="3"/>
    <x v="3"/>
  </r>
  <r>
    <d v="2020-11-25T00:00:00"/>
    <s v="25"/>
    <s v="Nov"/>
    <n v="10"/>
    <n v="10"/>
    <s v=""/>
    <s v="Cable"/>
    <s v="Networking"/>
    <n v="60000000"/>
    <x v="44"/>
    <x v="2"/>
    <x v="1"/>
    <x v="3"/>
    <x v="0"/>
  </r>
  <r>
    <d v="2020-11-25T00:00:00"/>
    <s v="25"/>
    <s v="Nov"/>
    <n v="9"/>
    <n v="9"/>
    <s v=""/>
    <s v="AC"/>
    <s v="Electronic"/>
    <n v="60000000"/>
    <x v="18"/>
    <x v="2"/>
    <x v="1"/>
    <x v="3"/>
    <x v="2"/>
  </r>
  <r>
    <d v="2020-11-25T00:00:00"/>
    <s v="25"/>
    <s v="Nov"/>
    <n v="8"/>
    <n v="8"/>
    <s v=""/>
    <s v="TV"/>
    <s v="Electronic"/>
    <n v="80000000"/>
    <x v="26"/>
    <x v="2"/>
    <x v="1"/>
    <x v="3"/>
    <x v="3"/>
  </r>
  <r>
    <d v="2020-11-25T00:00:00"/>
    <s v="25"/>
    <s v="Nov"/>
    <n v="7"/>
    <n v="7"/>
    <s v=""/>
    <s v="Printer"/>
    <s v="Computer"/>
    <n v="80000000"/>
    <x v="12"/>
    <x v="2"/>
    <x v="1"/>
    <x v="3"/>
    <x v="2"/>
  </r>
  <r>
    <d v="2020-11-25T00:00:00"/>
    <s v="25"/>
    <s v="Nov"/>
    <n v="6"/>
    <n v="6"/>
    <s v=""/>
    <s v="Printer"/>
    <s v="Computer"/>
    <n v="120000000"/>
    <x v="24"/>
    <x v="2"/>
    <x v="1"/>
    <x v="3"/>
    <x v="2"/>
  </r>
  <r>
    <d v="2020-11-25T00:00:00"/>
    <s v="25"/>
    <s v="Nov"/>
    <n v="6"/>
    <n v="6"/>
    <s v=""/>
    <s v="Office Table"/>
    <s v="Furniture"/>
    <n v="60000000"/>
    <x v="43"/>
    <x v="0"/>
    <x v="1"/>
    <x v="3"/>
    <x v="1"/>
  </r>
  <r>
    <d v="2020-11-25T00:00:00"/>
    <s v="25"/>
    <s v="Nov"/>
    <n v="4"/>
    <n v="4"/>
    <s v=""/>
    <s v="AC"/>
    <s v="Electronic"/>
    <n v="120000000"/>
    <x v="32"/>
    <x v="0"/>
    <x v="1"/>
    <x v="3"/>
    <x v="1"/>
  </r>
  <r>
    <d v="2020-11-25T00:00:00"/>
    <s v="25"/>
    <s v="Nov"/>
    <n v="4"/>
    <n v="4"/>
    <s v=""/>
    <s v="TV"/>
    <s v="Electronic"/>
    <n v="100000000"/>
    <x v="21"/>
    <x v="2"/>
    <x v="1"/>
    <x v="3"/>
    <x v="3"/>
  </r>
  <r>
    <d v="2020-11-25T00:00:00"/>
    <s v="25"/>
    <s v="Nov"/>
    <n v="3"/>
    <n v="3"/>
    <s v=""/>
    <s v="Table Lamp"/>
    <s v="Accessories"/>
    <n v="100000000"/>
    <x v="3"/>
    <x v="0"/>
    <x v="1"/>
    <x v="3"/>
    <x v="0"/>
  </r>
  <r>
    <d v="2020-11-26T00:00:00"/>
    <s v="26"/>
    <s v="Nov"/>
    <n v="10"/>
    <n v="10"/>
    <s v=""/>
    <s v="Office Chair"/>
    <s v="Furniture"/>
    <n v="140000000"/>
    <x v="39"/>
    <x v="2"/>
    <x v="1"/>
    <x v="3"/>
    <x v="1"/>
  </r>
  <r>
    <d v="2020-11-26T00:00:00"/>
    <s v="26"/>
    <s v="Nov"/>
    <n v="10"/>
    <n v="10"/>
    <s v=""/>
    <s v="Printer"/>
    <s v="Computer"/>
    <n v="140000000"/>
    <x v="11"/>
    <x v="0"/>
    <x v="1"/>
    <x v="3"/>
    <x v="1"/>
  </r>
  <r>
    <d v="2020-11-26T00:00:00"/>
    <s v="26"/>
    <s v="Nov"/>
    <n v="9"/>
    <n v="9"/>
    <s v=""/>
    <s v="Office Chair"/>
    <s v="Furniture"/>
    <n v="40000000"/>
    <x v="8"/>
    <x v="4"/>
    <x v="1"/>
    <x v="3"/>
    <x v="3"/>
  </r>
  <r>
    <d v="2020-11-26T00:00:00"/>
    <s v="26"/>
    <s v="Nov"/>
    <n v="6"/>
    <n v="6"/>
    <s v=""/>
    <s v="Table Lamp"/>
    <s v="Accessories"/>
    <n v="40000000"/>
    <x v="28"/>
    <x v="0"/>
    <x v="1"/>
    <x v="3"/>
    <x v="2"/>
  </r>
  <r>
    <d v="2020-11-26T00:00:00"/>
    <s v="26"/>
    <s v="Nov"/>
    <n v="4"/>
    <n v="4"/>
    <s v=""/>
    <s v="Printer"/>
    <s v="Computer"/>
    <n v="140000000"/>
    <x v="17"/>
    <x v="0"/>
    <x v="1"/>
    <x v="3"/>
    <x v="1"/>
  </r>
  <r>
    <d v="2020-11-26T00:00:00"/>
    <s v="26"/>
    <s v="Nov"/>
    <n v="3"/>
    <n v="3"/>
    <s v=""/>
    <s v="Cable"/>
    <s v="Networking"/>
    <n v="120000000"/>
    <x v="2"/>
    <x v="0"/>
    <x v="1"/>
    <x v="3"/>
    <x v="3"/>
  </r>
  <r>
    <d v="2020-11-26T00:00:00"/>
    <s v="26"/>
    <s v="Nov"/>
    <n v="3"/>
    <n v="3"/>
    <s v=""/>
    <s v="Office Chair"/>
    <s v="Furniture"/>
    <n v="80000000"/>
    <x v="16"/>
    <x v="5"/>
    <x v="1"/>
    <x v="3"/>
    <x v="2"/>
  </r>
  <r>
    <d v="2020-11-27T00:00:00"/>
    <s v="27"/>
    <s v="Nov"/>
    <n v="4"/>
    <n v="4"/>
    <s v=""/>
    <s v="Printer"/>
    <s v="Computer"/>
    <n v="100000000"/>
    <x v="16"/>
    <x v="0"/>
    <x v="1"/>
    <x v="3"/>
    <x v="0"/>
  </r>
  <r>
    <d v="2020-11-28T00:00:00"/>
    <s v="28"/>
    <s v="Nov"/>
    <n v="10"/>
    <n v="10"/>
    <s v=""/>
    <s v="Printer"/>
    <s v="Computer"/>
    <n v="120000000"/>
    <x v="12"/>
    <x v="2"/>
    <x v="1"/>
    <x v="3"/>
    <x v="2"/>
  </r>
  <r>
    <d v="2020-11-28T00:00:00"/>
    <s v="28"/>
    <s v="Nov"/>
    <n v="10"/>
    <n v="10"/>
    <s v=""/>
    <s v="Cable"/>
    <s v="Networking"/>
    <n v="60000000"/>
    <x v="40"/>
    <x v="5"/>
    <x v="1"/>
    <x v="3"/>
    <x v="2"/>
  </r>
  <r>
    <d v="2020-11-28T00:00:00"/>
    <s v="28"/>
    <s v="Nov"/>
    <n v="9"/>
    <n v="9"/>
    <s v=""/>
    <s v="Cable"/>
    <s v="Networking"/>
    <n v="80000000"/>
    <x v="36"/>
    <x v="4"/>
    <x v="1"/>
    <x v="3"/>
    <x v="0"/>
  </r>
  <r>
    <d v="2020-11-28T00:00:00"/>
    <s v="28"/>
    <s v="Nov"/>
    <n v="7"/>
    <n v="4"/>
    <n v="3"/>
    <s v="Printer"/>
    <s v="Computer"/>
    <n v="80000000"/>
    <x v="45"/>
    <x v="4"/>
    <x v="1"/>
    <x v="3"/>
    <x v="0"/>
  </r>
  <r>
    <d v="2020-11-28T00:00:00"/>
    <s v="28"/>
    <s v="Nov"/>
    <n v="7"/>
    <n v="5"/>
    <n v="2"/>
    <s v="Office Chair"/>
    <s v="Furniture"/>
    <n v="80000000"/>
    <x v="40"/>
    <x v="4"/>
    <x v="1"/>
    <x v="3"/>
    <x v="2"/>
  </r>
  <r>
    <d v="2020-11-28T00:00:00"/>
    <s v="28"/>
    <s v="Nov"/>
    <n v="4"/>
    <n v="3"/>
    <n v="1"/>
    <s v="Laptop"/>
    <s v="Computer"/>
    <n v="60000000"/>
    <x v="2"/>
    <x v="3"/>
    <x v="1"/>
    <x v="3"/>
    <x v="1"/>
  </r>
  <r>
    <d v="2020-11-28T00:00:00"/>
    <s v="28"/>
    <s v="Nov"/>
    <n v="4"/>
    <n v="3"/>
    <n v="1"/>
    <s v="Printer"/>
    <s v="Computer"/>
    <n v="120000000"/>
    <x v="30"/>
    <x v="0"/>
    <x v="1"/>
    <x v="3"/>
    <x v="0"/>
  </r>
  <r>
    <d v="2020-11-28T00:00:00"/>
    <s v="28"/>
    <s v="Nov"/>
    <n v="4"/>
    <n v="3"/>
    <n v="1"/>
    <s v="Coffee Mach"/>
    <s v="Kitchen"/>
    <n v="60000000"/>
    <x v="38"/>
    <x v="2"/>
    <x v="1"/>
    <x v="3"/>
    <x v="2"/>
  </r>
  <r>
    <d v="2020-11-29T00:00:00"/>
    <s v="29"/>
    <s v="Nov"/>
    <n v="10"/>
    <n v="9"/>
    <n v="1"/>
    <s v="Coffee Mach"/>
    <s v="Kitchen"/>
    <n v="40000000"/>
    <x v="42"/>
    <x v="4"/>
    <x v="1"/>
    <x v="3"/>
    <x v="3"/>
  </r>
  <r>
    <d v="2020-11-29T00:00:00"/>
    <s v="29"/>
    <s v="Nov"/>
    <n v="10"/>
    <n v="8"/>
    <n v="2"/>
    <s v="Laptop"/>
    <s v="Computer"/>
    <n v="40000000"/>
    <x v="18"/>
    <x v="0"/>
    <x v="1"/>
    <x v="3"/>
    <x v="3"/>
  </r>
  <r>
    <d v="2020-11-29T00:00:00"/>
    <s v="29"/>
    <s v="Nov"/>
    <n v="10"/>
    <n v="7"/>
    <n v="3"/>
    <s v="Office Table"/>
    <s v="Furniture"/>
    <n v="120000000"/>
    <x v="37"/>
    <x v="5"/>
    <x v="1"/>
    <x v="3"/>
    <x v="3"/>
  </r>
  <r>
    <d v="2020-11-29T00:00:00"/>
    <s v="29"/>
    <s v="Nov"/>
    <n v="9"/>
    <n v="7"/>
    <n v="2"/>
    <s v="Coffee Mach"/>
    <s v="Kitchen"/>
    <n v="60000000"/>
    <x v="36"/>
    <x v="2"/>
    <x v="1"/>
    <x v="3"/>
    <x v="1"/>
  </r>
  <r>
    <d v="2020-11-29T00:00:00"/>
    <s v="29"/>
    <s v="Nov"/>
    <n v="8"/>
    <n v="5"/>
    <n v="3"/>
    <s v="Cable"/>
    <s v="Networking"/>
    <n v="40000000"/>
    <x v="40"/>
    <x v="5"/>
    <x v="1"/>
    <x v="3"/>
    <x v="3"/>
  </r>
  <r>
    <d v="2020-11-29T00:00:00"/>
    <s v="29"/>
    <s v="Nov"/>
    <n v="8"/>
    <n v="6"/>
    <n v="2"/>
    <s v="Table Lamp"/>
    <s v="Accessories"/>
    <n v="140000000"/>
    <x v="41"/>
    <x v="0"/>
    <x v="1"/>
    <x v="3"/>
    <x v="1"/>
  </r>
  <r>
    <d v="2020-11-29T00:00:00"/>
    <s v="29"/>
    <s v="Nov"/>
    <n v="8"/>
    <n v="7"/>
    <n v="1"/>
    <s v="Table Lamp"/>
    <s v="Accessories"/>
    <n v="100000000"/>
    <x v="46"/>
    <x v="0"/>
    <x v="1"/>
    <x v="3"/>
    <x v="1"/>
  </r>
  <r>
    <d v="2020-11-29T00:00:00"/>
    <s v="29"/>
    <s v="Nov"/>
    <n v="7"/>
    <n v="4"/>
    <n v="3"/>
    <s v="Laptop"/>
    <s v="Computer"/>
    <n v="140000000"/>
    <x v="3"/>
    <x v="3"/>
    <x v="1"/>
    <x v="3"/>
    <x v="3"/>
  </r>
  <r>
    <d v="2020-11-29T00:00:00"/>
    <s v="29"/>
    <s v="Nov"/>
    <n v="5"/>
    <n v="3"/>
    <n v="2"/>
    <s v="Printer"/>
    <s v="Computer"/>
    <n v="140000000"/>
    <x v="0"/>
    <x v="1"/>
    <x v="1"/>
    <x v="3"/>
    <x v="1"/>
  </r>
  <r>
    <d v="2020-11-29T00:00:00"/>
    <s v="29"/>
    <s v="Nov"/>
    <n v="4"/>
    <n v="3"/>
    <n v="1"/>
    <s v="Table Lamp"/>
    <s v="Accessories"/>
    <n v="80000000"/>
    <x v="19"/>
    <x v="0"/>
    <x v="1"/>
    <x v="3"/>
    <x v="1"/>
  </r>
  <r>
    <d v="2020-11-29T00:00:00"/>
    <s v="29"/>
    <s v="Nov"/>
    <n v="3"/>
    <n v="2"/>
    <n v="1"/>
    <s v="Coffee Mach"/>
    <s v="Kitchen"/>
    <n v="80000000"/>
    <x v="38"/>
    <x v="3"/>
    <x v="1"/>
    <x v="3"/>
    <x v="1"/>
  </r>
  <r>
    <d v="2020-11-30T00:00:00"/>
    <s v="30"/>
    <s v="Nov"/>
    <n v="10"/>
    <n v="7"/>
    <n v="3"/>
    <s v="Table Lamp"/>
    <s v="Accessories"/>
    <n v="80000000"/>
    <x v="11"/>
    <x v="0"/>
    <x v="1"/>
    <x v="3"/>
    <x v="3"/>
  </r>
  <r>
    <d v="2020-11-30T00:00:00"/>
    <s v="30"/>
    <s v="Nov"/>
    <n v="10"/>
    <n v="6"/>
    <n v="4"/>
    <s v="Table Lamp"/>
    <s v="Accessories"/>
    <n v="120000000"/>
    <x v="8"/>
    <x v="0"/>
    <x v="1"/>
    <x v="3"/>
    <x v="3"/>
  </r>
  <r>
    <d v="2020-11-30T00:00:00"/>
    <s v="30"/>
    <s v="Nov"/>
    <n v="8"/>
    <n v="7"/>
    <n v="1"/>
    <s v="AC"/>
    <s v="Electronic"/>
    <n v="80000000"/>
    <x v="42"/>
    <x v="0"/>
    <x v="1"/>
    <x v="3"/>
    <x v="0"/>
  </r>
  <r>
    <d v="2020-11-30T00:00:00"/>
    <s v="30"/>
    <s v="Nov"/>
    <n v="7"/>
    <n v="6"/>
    <n v="1"/>
    <s v="TV"/>
    <s v="Electronic"/>
    <n v="40000000"/>
    <x v="16"/>
    <x v="2"/>
    <x v="1"/>
    <x v="3"/>
    <x v="1"/>
  </r>
  <r>
    <d v="2020-11-30T00:00:00"/>
    <s v="30"/>
    <s v="Nov"/>
    <n v="7"/>
    <n v="4"/>
    <n v="3"/>
    <s v="TV"/>
    <s v="Electronic"/>
    <n v="80000000"/>
    <x v="41"/>
    <x v="2"/>
    <x v="1"/>
    <x v="3"/>
    <x v="3"/>
  </r>
  <r>
    <d v="2020-11-30T00:00:00"/>
    <s v="30"/>
    <s v="Nov"/>
    <n v="5"/>
    <n v="4"/>
    <n v="1"/>
    <s v="Office Chair"/>
    <s v="Furniture"/>
    <n v="100000000"/>
    <x v="43"/>
    <x v="0"/>
    <x v="1"/>
    <x v="3"/>
    <x v="2"/>
  </r>
  <r>
    <d v="2020-11-30T00:00:00"/>
    <s v="30"/>
    <s v="Nov"/>
    <n v="4"/>
    <n v="3"/>
    <n v="1"/>
    <s v="Office Chair"/>
    <s v="Furniture"/>
    <n v="120000000"/>
    <x v="34"/>
    <x v="2"/>
    <x v="1"/>
    <x v="3"/>
    <x v="1"/>
  </r>
  <r>
    <d v="2020-11-30T00:00:00"/>
    <s v="30"/>
    <s v="Nov"/>
    <n v="3"/>
    <n v="1"/>
    <n v="2"/>
    <s v="Office Chair"/>
    <s v="Furniture"/>
    <n v="40000000"/>
    <x v="3"/>
    <x v="0"/>
    <x v="1"/>
    <x v="3"/>
    <x v="2"/>
  </r>
  <r>
    <d v="2020-11-30T00:00:00"/>
    <s v="30"/>
    <s v="Nov"/>
    <n v="3"/>
    <n v="2"/>
    <n v="1"/>
    <s v="Cable"/>
    <s v="Networking"/>
    <n v="40000000"/>
    <x v="13"/>
    <x v="0"/>
    <x v="1"/>
    <x v="3"/>
    <x v="3"/>
  </r>
  <r>
    <d v="2020-11-30T00:00:00"/>
    <s v="30"/>
    <s v="Nov"/>
    <n v="3"/>
    <n v="2"/>
    <n v="1"/>
    <s v="Table Lamp"/>
    <s v="Accessories"/>
    <n v="40000000"/>
    <x v="33"/>
    <x v="3"/>
    <x v="1"/>
    <x v="3"/>
    <x v="3"/>
  </r>
  <r>
    <d v="2020-12-01T00:00:00"/>
    <s v="1"/>
    <s v="Des"/>
    <n v="10"/>
    <n v="9"/>
    <n v="1"/>
    <s v="Coffee Mach"/>
    <s v="Kitchen"/>
    <n v="120000000"/>
    <x v="13"/>
    <x v="5"/>
    <x v="0"/>
    <x v="1"/>
    <x v="3"/>
  </r>
  <r>
    <d v="2020-12-01T00:00:00"/>
    <s v="1"/>
    <s v="Des"/>
    <n v="8"/>
    <n v="7"/>
    <n v="1"/>
    <s v="Printer"/>
    <s v="Computer"/>
    <n v="80000000"/>
    <x v="6"/>
    <x v="4"/>
    <x v="0"/>
    <x v="2"/>
    <x v="0"/>
  </r>
  <r>
    <d v="2020-12-01T00:00:00"/>
    <s v="1"/>
    <s v="Des"/>
    <n v="5"/>
    <n v="3"/>
    <n v="2"/>
    <s v="Office Chair"/>
    <s v="Furniture"/>
    <n v="60000000"/>
    <x v="15"/>
    <x v="5"/>
    <x v="0"/>
    <x v="1"/>
    <x v="1"/>
  </r>
  <r>
    <d v="2020-12-01T00:00:00"/>
    <s v="1"/>
    <s v="Des"/>
    <n v="3"/>
    <n v="2"/>
    <n v="1"/>
    <s v="Office Chair"/>
    <s v="Furniture"/>
    <n v="40000000"/>
    <x v="3"/>
    <x v="3"/>
    <x v="0"/>
    <x v="1"/>
    <x v="1"/>
  </r>
  <r>
    <d v="2020-12-02T00:00:00"/>
    <s v="2"/>
    <s v="Des"/>
    <n v="10"/>
    <n v="6"/>
    <n v="4"/>
    <s v="Laptop"/>
    <s v="Computer"/>
    <n v="40000000"/>
    <x v="10"/>
    <x v="0"/>
    <x v="0"/>
    <x v="0"/>
    <x v="0"/>
  </r>
  <r>
    <d v="2020-12-02T00:00:00"/>
    <s v="2"/>
    <s v="Des"/>
    <n v="10"/>
    <n v="8"/>
    <n v="2"/>
    <s v="Cable"/>
    <s v="Networking"/>
    <n v="40000000"/>
    <x v="29"/>
    <x v="0"/>
    <x v="0"/>
    <x v="1"/>
    <x v="0"/>
  </r>
  <r>
    <d v="2020-12-02T00:00:00"/>
    <s v="2"/>
    <s v="Des"/>
    <n v="9"/>
    <n v="6"/>
    <n v="3"/>
    <s v="Office Table"/>
    <s v="Furniture"/>
    <n v="60000000"/>
    <x v="11"/>
    <x v="5"/>
    <x v="0"/>
    <x v="0"/>
    <x v="3"/>
  </r>
  <r>
    <d v="2020-12-02T00:00:00"/>
    <s v="2"/>
    <s v="Des"/>
    <n v="9"/>
    <n v="8"/>
    <n v="1"/>
    <s v="Laptop"/>
    <s v="Computer"/>
    <n v="120000000"/>
    <x v="26"/>
    <x v="4"/>
    <x v="0"/>
    <x v="2"/>
    <x v="2"/>
  </r>
  <r>
    <d v="2020-12-02T00:00:00"/>
    <s v="2"/>
    <s v="Des"/>
    <n v="7"/>
    <n v="5"/>
    <n v="2"/>
    <s v="Table Lamp"/>
    <s v="Accessories"/>
    <n v="100000000"/>
    <x v="35"/>
    <x v="0"/>
    <x v="0"/>
    <x v="2"/>
    <x v="2"/>
  </r>
  <r>
    <d v="2020-12-02T00:00:00"/>
    <s v="2"/>
    <s v="Des"/>
    <n v="6"/>
    <n v="4"/>
    <n v="2"/>
    <s v="AC"/>
    <s v="Electronic"/>
    <n v="80000000"/>
    <x v="18"/>
    <x v="0"/>
    <x v="0"/>
    <x v="1"/>
    <x v="2"/>
  </r>
  <r>
    <d v="2020-12-02T00:00:00"/>
    <s v="2"/>
    <s v="Des"/>
    <n v="6"/>
    <n v="5"/>
    <n v="1"/>
    <s v="Printer"/>
    <s v="Computer"/>
    <n v="120000000"/>
    <x v="41"/>
    <x v="2"/>
    <x v="0"/>
    <x v="0"/>
    <x v="2"/>
  </r>
  <r>
    <d v="2020-12-02T00:00:00"/>
    <s v="2"/>
    <s v="Des"/>
    <n v="5"/>
    <n v="4"/>
    <n v="1"/>
    <s v="Table Lamp"/>
    <s v="Accessories"/>
    <n v="60000000"/>
    <x v="42"/>
    <x v="0"/>
    <x v="0"/>
    <x v="1"/>
    <x v="0"/>
  </r>
  <r>
    <d v="2020-12-02T00:00:00"/>
    <s v="2"/>
    <s v="Des"/>
    <n v="5"/>
    <n v="3"/>
    <n v="2"/>
    <s v="Office Chair"/>
    <s v="Furniture"/>
    <n v="100000000"/>
    <x v="11"/>
    <x v="3"/>
    <x v="0"/>
    <x v="0"/>
    <x v="3"/>
  </r>
  <r>
    <d v="2020-12-02T00:00:00"/>
    <s v="2"/>
    <s v="Des"/>
    <n v="4"/>
    <n v="2"/>
    <n v="2"/>
    <s v="Office Chair"/>
    <s v="Furniture"/>
    <n v="40000000"/>
    <x v="30"/>
    <x v="3"/>
    <x v="0"/>
    <x v="0"/>
    <x v="3"/>
  </r>
  <r>
    <d v="2020-12-02T00:00:00"/>
    <s v="2"/>
    <s v="Des"/>
    <n v="4"/>
    <n v="2"/>
    <n v="2"/>
    <s v="Office Chair"/>
    <s v="Furniture"/>
    <n v="100000000"/>
    <x v="45"/>
    <x v="5"/>
    <x v="0"/>
    <x v="0"/>
    <x v="0"/>
  </r>
  <r>
    <d v="2020-12-02T00:00:00"/>
    <s v="2"/>
    <s v="Des"/>
    <n v="3"/>
    <n v="1"/>
    <n v="2"/>
    <s v="Table Lamp"/>
    <s v="Accessories"/>
    <n v="80000000"/>
    <x v="21"/>
    <x v="2"/>
    <x v="0"/>
    <x v="0"/>
    <x v="0"/>
  </r>
  <r>
    <d v="2020-12-03T00:00:00"/>
    <s v="3"/>
    <s v="Des"/>
    <n v="8"/>
    <n v="8"/>
    <s v=""/>
    <s v="TV"/>
    <s v="Electronic"/>
    <n v="40000000"/>
    <x v="1"/>
    <x v="3"/>
    <x v="0"/>
    <x v="1"/>
    <x v="0"/>
  </r>
  <r>
    <d v="2020-12-03T00:00:00"/>
    <s v="3"/>
    <s v="Des"/>
    <n v="7"/>
    <n v="7"/>
    <s v=""/>
    <s v="Office Table"/>
    <s v="Furniture"/>
    <n v="60000000"/>
    <x v="20"/>
    <x v="3"/>
    <x v="0"/>
    <x v="1"/>
    <x v="2"/>
  </r>
  <r>
    <d v="2020-12-03T00:00:00"/>
    <s v="3"/>
    <s v="Des"/>
    <n v="7"/>
    <n v="7"/>
    <s v=""/>
    <s v="Table Lamp"/>
    <s v="Accessories"/>
    <n v="120000000"/>
    <x v="26"/>
    <x v="2"/>
    <x v="0"/>
    <x v="2"/>
    <x v="1"/>
  </r>
  <r>
    <d v="2020-12-03T00:00:00"/>
    <s v="3"/>
    <s v="Des"/>
    <n v="5"/>
    <n v="5"/>
    <s v=""/>
    <s v="Office Table"/>
    <s v="Furniture"/>
    <n v="60000000"/>
    <x v="3"/>
    <x v="2"/>
    <x v="0"/>
    <x v="0"/>
    <x v="0"/>
  </r>
  <r>
    <d v="2020-12-03T00:00:00"/>
    <s v="3"/>
    <s v="Des"/>
    <n v="4"/>
    <n v="4"/>
    <s v=""/>
    <s v="AC"/>
    <s v="Electronic"/>
    <n v="60000000"/>
    <x v="17"/>
    <x v="0"/>
    <x v="0"/>
    <x v="1"/>
    <x v="2"/>
  </r>
  <r>
    <d v="2020-12-04T00:00:00"/>
    <s v="4"/>
    <s v="Des"/>
    <n v="8"/>
    <n v="8"/>
    <s v=""/>
    <s v="Office Table"/>
    <s v="Furniture"/>
    <n v="120000000"/>
    <x v="29"/>
    <x v="2"/>
    <x v="0"/>
    <x v="1"/>
    <x v="2"/>
  </r>
  <r>
    <d v="2020-12-04T00:00:00"/>
    <s v="4"/>
    <s v="Des"/>
    <n v="5"/>
    <n v="5"/>
    <s v=""/>
    <s v="Office Chair"/>
    <s v="Furniture"/>
    <n v="60000000"/>
    <x v="26"/>
    <x v="0"/>
    <x v="0"/>
    <x v="2"/>
    <x v="1"/>
  </r>
  <r>
    <d v="2020-12-04T00:00:00"/>
    <s v="4"/>
    <s v="Des"/>
    <n v="4"/>
    <n v="4"/>
    <s v=""/>
    <s v="Office Chair"/>
    <s v="Furniture"/>
    <n v="60000000"/>
    <x v="38"/>
    <x v="0"/>
    <x v="0"/>
    <x v="1"/>
    <x v="1"/>
  </r>
  <r>
    <d v="2020-12-05T00:00:00"/>
    <s v="5"/>
    <s v="Des"/>
    <n v="10"/>
    <n v="10"/>
    <s v=""/>
    <s v="Office Chair"/>
    <s v="Furniture"/>
    <n v="120000000"/>
    <x v="40"/>
    <x v="0"/>
    <x v="0"/>
    <x v="1"/>
    <x v="1"/>
  </r>
  <r>
    <d v="2020-12-05T00:00:00"/>
    <s v="5"/>
    <s v="Des"/>
    <n v="10"/>
    <n v="10"/>
    <s v=""/>
    <s v="Coffee Mach"/>
    <s v="Kitchen"/>
    <n v="140000000"/>
    <x v="4"/>
    <x v="2"/>
    <x v="0"/>
    <x v="0"/>
    <x v="1"/>
  </r>
  <r>
    <d v="2020-12-05T00:00:00"/>
    <s v="5"/>
    <s v="Des"/>
    <n v="10"/>
    <n v="10"/>
    <s v=""/>
    <s v="TV"/>
    <s v="Electronic"/>
    <n v="60000000"/>
    <x v="40"/>
    <x v="2"/>
    <x v="0"/>
    <x v="1"/>
    <x v="3"/>
  </r>
  <r>
    <d v="2020-12-05T00:00:00"/>
    <s v="5"/>
    <s v="Des"/>
    <n v="8"/>
    <n v="8"/>
    <s v=""/>
    <s v="TV"/>
    <s v="Electronic"/>
    <n v="100000000"/>
    <x v="40"/>
    <x v="5"/>
    <x v="0"/>
    <x v="0"/>
    <x v="1"/>
  </r>
  <r>
    <d v="2020-12-05T00:00:00"/>
    <s v="5"/>
    <s v="Des"/>
    <n v="7"/>
    <n v="7"/>
    <s v=""/>
    <s v="TV"/>
    <s v="Electronic"/>
    <n v="120000000"/>
    <x v="26"/>
    <x v="0"/>
    <x v="0"/>
    <x v="2"/>
    <x v="2"/>
  </r>
  <r>
    <d v="2020-12-05T00:00:00"/>
    <s v="5"/>
    <s v="Des"/>
    <n v="7"/>
    <n v="7"/>
    <s v=""/>
    <s v="TV"/>
    <s v="Electronic"/>
    <n v="140000000"/>
    <x v="13"/>
    <x v="0"/>
    <x v="0"/>
    <x v="2"/>
    <x v="1"/>
  </r>
  <r>
    <d v="2020-12-05T00:00:00"/>
    <s v="5"/>
    <s v="Des"/>
    <n v="7"/>
    <n v="7"/>
    <s v=""/>
    <s v="Printer"/>
    <s v="Computer"/>
    <n v="120000000"/>
    <x v="17"/>
    <x v="2"/>
    <x v="0"/>
    <x v="1"/>
    <x v="2"/>
  </r>
  <r>
    <d v="2020-12-05T00:00:00"/>
    <s v="5"/>
    <s v="Des"/>
    <n v="7"/>
    <n v="7"/>
    <s v=""/>
    <s v="Cable"/>
    <s v="Networking"/>
    <n v="120000000"/>
    <x v="20"/>
    <x v="2"/>
    <x v="0"/>
    <x v="0"/>
    <x v="2"/>
  </r>
  <r>
    <d v="2020-12-05T00:00:00"/>
    <s v="5"/>
    <s v="Des"/>
    <n v="5"/>
    <n v="5"/>
    <s v=""/>
    <s v="Office Chair"/>
    <s v="Furniture"/>
    <n v="40000000"/>
    <x v="39"/>
    <x v="5"/>
    <x v="0"/>
    <x v="1"/>
    <x v="0"/>
  </r>
  <r>
    <d v="2020-12-05T00:00:00"/>
    <s v="5"/>
    <s v="Des"/>
    <n v="4"/>
    <n v="4"/>
    <s v=""/>
    <s v="Laptop"/>
    <s v="Computer"/>
    <n v="140000000"/>
    <x v="5"/>
    <x v="0"/>
    <x v="0"/>
    <x v="0"/>
    <x v="0"/>
  </r>
  <r>
    <d v="2020-12-05T00:00:00"/>
    <s v="5"/>
    <s v="Des"/>
    <n v="3"/>
    <n v="3"/>
    <s v=""/>
    <s v="AC"/>
    <s v="Electronic"/>
    <n v="120000000"/>
    <x v="39"/>
    <x v="0"/>
    <x v="0"/>
    <x v="0"/>
    <x v="0"/>
  </r>
  <r>
    <d v="2020-12-06T00:00:00"/>
    <s v="6"/>
    <s v="Des"/>
    <n v="9"/>
    <n v="9"/>
    <s v=""/>
    <s v="Laptop"/>
    <s v="Computer"/>
    <n v="140000000"/>
    <x v="7"/>
    <x v="0"/>
    <x v="0"/>
    <x v="0"/>
    <x v="2"/>
  </r>
  <r>
    <d v="2020-12-06T00:00:00"/>
    <s v="6"/>
    <s v="Des"/>
    <n v="8"/>
    <n v="8"/>
    <s v=""/>
    <s v="Office Chair"/>
    <s v="Furniture"/>
    <n v="100000000"/>
    <x v="44"/>
    <x v="0"/>
    <x v="0"/>
    <x v="0"/>
    <x v="0"/>
  </r>
  <r>
    <d v="2020-12-06T00:00:00"/>
    <s v="6"/>
    <s v="Des"/>
    <n v="7"/>
    <n v="7"/>
    <s v=""/>
    <s v="Printer"/>
    <s v="Computer"/>
    <n v="140000000"/>
    <x v="9"/>
    <x v="4"/>
    <x v="0"/>
    <x v="1"/>
    <x v="0"/>
  </r>
  <r>
    <d v="2020-12-06T00:00:00"/>
    <s v="6"/>
    <s v="Des"/>
    <n v="5"/>
    <n v="5"/>
    <s v=""/>
    <s v="Cable"/>
    <s v="Networking"/>
    <n v="120000000"/>
    <x v="37"/>
    <x v="2"/>
    <x v="0"/>
    <x v="1"/>
    <x v="2"/>
  </r>
  <r>
    <d v="2020-12-06T00:00:00"/>
    <s v="6"/>
    <s v="Des"/>
    <n v="4"/>
    <n v="4"/>
    <s v=""/>
    <s v="Coffee Mach"/>
    <s v="Kitchen"/>
    <n v="80000000"/>
    <x v="14"/>
    <x v="2"/>
    <x v="0"/>
    <x v="2"/>
    <x v="2"/>
  </r>
  <r>
    <d v="2020-12-06T00:00:00"/>
    <s v="6"/>
    <s v="Des"/>
    <n v="4"/>
    <n v="4"/>
    <s v=""/>
    <s v="Office Table"/>
    <s v="Furniture"/>
    <n v="60000000"/>
    <x v="5"/>
    <x v="2"/>
    <x v="0"/>
    <x v="0"/>
    <x v="2"/>
  </r>
  <r>
    <d v="2020-12-06T00:00:00"/>
    <s v="6"/>
    <s v="Des"/>
    <n v="4"/>
    <n v="4"/>
    <s v=""/>
    <s v="Printer"/>
    <s v="Computer"/>
    <n v="100000000"/>
    <x v="13"/>
    <x v="2"/>
    <x v="0"/>
    <x v="1"/>
    <x v="0"/>
  </r>
  <r>
    <d v="2020-12-06T00:00:00"/>
    <s v="6"/>
    <s v="Des"/>
    <n v="4"/>
    <n v="4"/>
    <s v=""/>
    <s v="TV"/>
    <s v="Electronic"/>
    <n v="140000000"/>
    <x v="6"/>
    <x v="3"/>
    <x v="0"/>
    <x v="1"/>
    <x v="0"/>
  </r>
  <r>
    <d v="2020-12-06T00:00:00"/>
    <s v="6"/>
    <s v="Des"/>
    <n v="3"/>
    <n v="3"/>
    <s v=""/>
    <s v="Office Chair"/>
    <s v="Furniture"/>
    <n v="100000000"/>
    <x v="27"/>
    <x v="2"/>
    <x v="0"/>
    <x v="2"/>
    <x v="1"/>
  </r>
  <r>
    <d v="2020-12-07T00:00:00"/>
    <s v="7"/>
    <s v="Des"/>
    <n v="10"/>
    <n v="10"/>
    <s v=""/>
    <s v="Office Chair"/>
    <s v="Furniture"/>
    <n v="40000000"/>
    <x v="22"/>
    <x v="2"/>
    <x v="0"/>
    <x v="1"/>
    <x v="3"/>
  </r>
  <r>
    <d v="2020-12-07T00:00:00"/>
    <s v="7"/>
    <s v="Des"/>
    <n v="10"/>
    <n v="10"/>
    <s v=""/>
    <s v="TV"/>
    <s v="Electronic"/>
    <n v="80000000"/>
    <x v="15"/>
    <x v="0"/>
    <x v="0"/>
    <x v="1"/>
    <x v="2"/>
  </r>
  <r>
    <d v="2020-12-07T00:00:00"/>
    <s v="7"/>
    <s v="Des"/>
    <n v="10"/>
    <n v="10"/>
    <s v=""/>
    <s v="Table Lamp"/>
    <s v="Accessories"/>
    <n v="80000000"/>
    <x v="11"/>
    <x v="1"/>
    <x v="0"/>
    <x v="0"/>
    <x v="0"/>
  </r>
  <r>
    <d v="2020-12-07T00:00:00"/>
    <s v="7"/>
    <s v="Des"/>
    <n v="9"/>
    <n v="9"/>
    <s v=""/>
    <s v="Table Lamp"/>
    <s v="Accessories"/>
    <n v="60000000"/>
    <x v="16"/>
    <x v="4"/>
    <x v="0"/>
    <x v="1"/>
    <x v="0"/>
  </r>
  <r>
    <d v="2020-12-07T00:00:00"/>
    <s v="7"/>
    <s v="Des"/>
    <n v="7"/>
    <n v="7"/>
    <s v=""/>
    <s v="Office Chair"/>
    <s v="Furniture"/>
    <n v="140000000"/>
    <x v="40"/>
    <x v="5"/>
    <x v="0"/>
    <x v="0"/>
    <x v="0"/>
  </r>
  <r>
    <d v="2020-12-07T00:00:00"/>
    <s v="7"/>
    <s v="Des"/>
    <n v="6"/>
    <n v="6"/>
    <s v=""/>
    <s v="Office Chair"/>
    <s v="Furniture"/>
    <n v="40000000"/>
    <x v="33"/>
    <x v="0"/>
    <x v="0"/>
    <x v="2"/>
    <x v="3"/>
  </r>
  <r>
    <d v="2020-12-07T00:00:00"/>
    <s v="7"/>
    <s v="Des"/>
    <n v="6"/>
    <n v="6"/>
    <s v=""/>
    <s v="Laptop"/>
    <s v="Computer"/>
    <n v="120000000"/>
    <x v="31"/>
    <x v="0"/>
    <x v="0"/>
    <x v="2"/>
    <x v="1"/>
  </r>
  <r>
    <d v="2020-12-07T00:00:00"/>
    <s v="7"/>
    <s v="Des"/>
    <n v="4"/>
    <n v="4"/>
    <s v=""/>
    <s v="Laptop"/>
    <s v="Computer"/>
    <n v="140000000"/>
    <x v="1"/>
    <x v="2"/>
    <x v="0"/>
    <x v="1"/>
    <x v="0"/>
  </r>
  <r>
    <d v="2020-12-08T00:00:00"/>
    <s v="8"/>
    <s v="Des"/>
    <n v="10"/>
    <n v="10"/>
    <s v=""/>
    <s v="Printer"/>
    <s v="Computer"/>
    <n v="60000000"/>
    <x v="15"/>
    <x v="1"/>
    <x v="0"/>
    <x v="0"/>
    <x v="1"/>
  </r>
  <r>
    <d v="2020-12-08T00:00:00"/>
    <s v="8"/>
    <s v="Des"/>
    <n v="10"/>
    <n v="10"/>
    <s v=""/>
    <s v="Table Lamp"/>
    <s v="Accessories"/>
    <n v="120000000"/>
    <x v="46"/>
    <x v="0"/>
    <x v="0"/>
    <x v="1"/>
    <x v="0"/>
  </r>
  <r>
    <d v="2020-12-08T00:00:00"/>
    <s v="8"/>
    <s v="Des"/>
    <n v="9"/>
    <n v="9"/>
    <s v=""/>
    <s v="Coffee Mach"/>
    <s v="Kitchen"/>
    <n v="80000000"/>
    <x v="32"/>
    <x v="2"/>
    <x v="0"/>
    <x v="0"/>
    <x v="1"/>
  </r>
  <r>
    <d v="2020-12-08T00:00:00"/>
    <s v="8"/>
    <s v="Des"/>
    <n v="9"/>
    <n v="9"/>
    <s v=""/>
    <s v="Office Chair"/>
    <s v="Furniture"/>
    <n v="120000000"/>
    <x v="3"/>
    <x v="3"/>
    <x v="0"/>
    <x v="0"/>
    <x v="0"/>
  </r>
  <r>
    <d v="2020-12-08T00:00:00"/>
    <s v="8"/>
    <s v="Des"/>
    <n v="8"/>
    <n v="8"/>
    <s v=""/>
    <s v="Printer"/>
    <s v="Computer"/>
    <n v="60000000"/>
    <x v="35"/>
    <x v="0"/>
    <x v="0"/>
    <x v="0"/>
    <x v="0"/>
  </r>
  <r>
    <d v="2020-12-08T00:00:00"/>
    <s v="8"/>
    <s v="Des"/>
    <n v="7"/>
    <n v="7"/>
    <s v=""/>
    <s v="TV"/>
    <s v="Electronic"/>
    <n v="100000000"/>
    <x v="26"/>
    <x v="2"/>
    <x v="0"/>
    <x v="0"/>
    <x v="2"/>
  </r>
  <r>
    <d v="2020-12-08T00:00:00"/>
    <s v="8"/>
    <s v="Des"/>
    <n v="7"/>
    <n v="7"/>
    <s v=""/>
    <s v="Printer"/>
    <s v="Computer"/>
    <n v="60000000"/>
    <x v="17"/>
    <x v="2"/>
    <x v="0"/>
    <x v="1"/>
    <x v="2"/>
  </r>
  <r>
    <d v="2020-12-08T00:00:00"/>
    <s v="8"/>
    <s v="Des"/>
    <n v="5"/>
    <n v="5"/>
    <s v=""/>
    <s v="TV"/>
    <s v="Electronic"/>
    <n v="40000000"/>
    <x v="23"/>
    <x v="0"/>
    <x v="0"/>
    <x v="1"/>
    <x v="2"/>
  </r>
  <r>
    <d v="2020-12-08T00:00:00"/>
    <s v="8"/>
    <s v="Des"/>
    <n v="5"/>
    <n v="5"/>
    <s v=""/>
    <s v="AC"/>
    <s v="Electronic"/>
    <n v="80000000"/>
    <x v="22"/>
    <x v="0"/>
    <x v="0"/>
    <x v="2"/>
    <x v="2"/>
  </r>
  <r>
    <d v="2020-12-09T00:00:00"/>
    <s v="9"/>
    <s v="Des"/>
    <n v="10"/>
    <n v="10"/>
    <s v=""/>
    <s v="Coffee Mach"/>
    <s v="Kitchen"/>
    <n v="80000000"/>
    <x v="21"/>
    <x v="0"/>
    <x v="0"/>
    <x v="0"/>
    <x v="0"/>
  </r>
  <r>
    <d v="2020-12-09T00:00:00"/>
    <s v="9"/>
    <s v="Des"/>
    <n v="10"/>
    <n v="10"/>
    <s v=""/>
    <s v="Laptop"/>
    <s v="Computer"/>
    <n v="60000000"/>
    <x v="18"/>
    <x v="0"/>
    <x v="0"/>
    <x v="1"/>
    <x v="1"/>
  </r>
  <r>
    <d v="2020-12-09T00:00:00"/>
    <s v="9"/>
    <s v="Des"/>
    <n v="9"/>
    <n v="9"/>
    <s v=""/>
    <s v="Office Table"/>
    <s v="Furniture"/>
    <n v="140000000"/>
    <x v="10"/>
    <x v="0"/>
    <x v="0"/>
    <x v="1"/>
    <x v="2"/>
  </r>
  <r>
    <d v="2020-12-09T00:00:00"/>
    <s v="9"/>
    <s v="Des"/>
    <n v="9"/>
    <n v="9"/>
    <s v=""/>
    <s v="Coffee Mach"/>
    <s v="Kitchen"/>
    <n v="100000000"/>
    <x v="21"/>
    <x v="4"/>
    <x v="0"/>
    <x v="0"/>
    <x v="1"/>
  </r>
  <r>
    <d v="2020-12-09T00:00:00"/>
    <s v="9"/>
    <s v="Des"/>
    <n v="8"/>
    <n v="8"/>
    <s v=""/>
    <s v="TV"/>
    <s v="Electronic"/>
    <n v="140000000"/>
    <x v="9"/>
    <x v="4"/>
    <x v="0"/>
    <x v="2"/>
    <x v="1"/>
  </r>
  <r>
    <d v="2020-12-09T00:00:00"/>
    <s v="9"/>
    <s v="Des"/>
    <n v="8"/>
    <n v="8"/>
    <s v=""/>
    <s v="AC"/>
    <s v="Electronic"/>
    <n v="100000000"/>
    <x v="15"/>
    <x v="2"/>
    <x v="0"/>
    <x v="2"/>
    <x v="0"/>
  </r>
  <r>
    <d v="2020-12-09T00:00:00"/>
    <s v="9"/>
    <s v="Des"/>
    <n v="7"/>
    <n v="7"/>
    <s v=""/>
    <s v="Cable"/>
    <s v="Networking"/>
    <n v="120000000"/>
    <x v="48"/>
    <x v="0"/>
    <x v="0"/>
    <x v="1"/>
    <x v="0"/>
  </r>
  <r>
    <d v="2020-12-09T00:00:00"/>
    <s v="9"/>
    <s v="Des"/>
    <n v="6"/>
    <n v="6"/>
    <s v=""/>
    <s v="Office Table"/>
    <s v="Furniture"/>
    <n v="60000000"/>
    <x v="37"/>
    <x v="1"/>
    <x v="0"/>
    <x v="0"/>
    <x v="0"/>
  </r>
  <r>
    <d v="2020-12-09T00:00:00"/>
    <s v="9"/>
    <s v="Des"/>
    <n v="6"/>
    <n v="6"/>
    <s v=""/>
    <s v="AC"/>
    <s v="Electronic"/>
    <n v="140000000"/>
    <x v="46"/>
    <x v="4"/>
    <x v="0"/>
    <x v="1"/>
    <x v="0"/>
  </r>
  <r>
    <d v="2020-12-09T00:00:00"/>
    <s v="9"/>
    <s v="Des"/>
    <n v="6"/>
    <n v="6"/>
    <s v=""/>
    <s v="Laptop"/>
    <s v="Computer"/>
    <n v="80000000"/>
    <x v="14"/>
    <x v="0"/>
    <x v="0"/>
    <x v="0"/>
    <x v="0"/>
  </r>
  <r>
    <d v="2020-12-09T00:00:00"/>
    <s v="9"/>
    <s v="Des"/>
    <n v="5"/>
    <n v="5"/>
    <s v=""/>
    <s v="AC"/>
    <s v="Electronic"/>
    <n v="60000000"/>
    <x v="48"/>
    <x v="2"/>
    <x v="0"/>
    <x v="0"/>
    <x v="0"/>
  </r>
  <r>
    <d v="2020-12-09T00:00:00"/>
    <s v="9"/>
    <s v="Des"/>
    <n v="3"/>
    <n v="3"/>
    <s v=""/>
    <s v="Coffee Mach"/>
    <s v="Kitchen"/>
    <n v="100000000"/>
    <x v="14"/>
    <x v="0"/>
    <x v="0"/>
    <x v="0"/>
    <x v="1"/>
  </r>
  <r>
    <d v="2020-12-09T00:00:00"/>
    <s v="9"/>
    <s v="Des"/>
    <n v="3"/>
    <n v="3"/>
    <s v=""/>
    <s v="Coffee Mach"/>
    <s v="Kitchen"/>
    <n v="80000000"/>
    <x v="15"/>
    <x v="0"/>
    <x v="0"/>
    <x v="0"/>
    <x v="1"/>
  </r>
  <r>
    <d v="2020-12-10T00:00:00"/>
    <s v="10"/>
    <s v="Des"/>
    <n v="10"/>
    <n v="10"/>
    <s v=""/>
    <s v="AC"/>
    <s v="Electronic"/>
    <n v="60000000"/>
    <x v="37"/>
    <x v="3"/>
    <x v="0"/>
    <x v="1"/>
    <x v="2"/>
  </r>
  <r>
    <d v="2020-12-10T00:00:00"/>
    <s v="10"/>
    <s v="Des"/>
    <n v="8"/>
    <n v="8"/>
    <s v=""/>
    <s v="Office Chair"/>
    <s v="Furniture"/>
    <n v="140000000"/>
    <x v="46"/>
    <x v="2"/>
    <x v="0"/>
    <x v="1"/>
    <x v="1"/>
  </r>
  <r>
    <d v="2020-12-10T00:00:00"/>
    <s v="10"/>
    <s v="Des"/>
    <n v="8"/>
    <n v="8"/>
    <s v=""/>
    <s v="Laptop"/>
    <s v="Computer"/>
    <n v="80000000"/>
    <x v="1"/>
    <x v="0"/>
    <x v="0"/>
    <x v="2"/>
    <x v="3"/>
  </r>
  <r>
    <d v="2020-12-10T00:00:00"/>
    <s v="10"/>
    <s v="Des"/>
    <n v="7"/>
    <n v="7"/>
    <s v=""/>
    <s v="Laptop"/>
    <s v="Computer"/>
    <n v="40000000"/>
    <x v="13"/>
    <x v="3"/>
    <x v="0"/>
    <x v="0"/>
    <x v="3"/>
  </r>
  <r>
    <d v="2020-12-10T00:00:00"/>
    <s v="10"/>
    <s v="Des"/>
    <n v="6"/>
    <n v="6"/>
    <s v=""/>
    <s v="AC"/>
    <s v="Electronic"/>
    <n v="100000000"/>
    <x v="15"/>
    <x v="0"/>
    <x v="0"/>
    <x v="1"/>
    <x v="3"/>
  </r>
  <r>
    <d v="2020-12-11T00:00:00"/>
    <s v="11"/>
    <s v="Des"/>
    <n v="6"/>
    <n v="6"/>
    <s v=""/>
    <s v="Cable"/>
    <s v="Networking"/>
    <n v="140000000"/>
    <x v="13"/>
    <x v="0"/>
    <x v="1"/>
    <x v="3"/>
    <x v="3"/>
  </r>
  <r>
    <d v="2020-12-11T00:00:00"/>
    <s v="11"/>
    <s v="Des"/>
    <n v="6"/>
    <n v="6"/>
    <s v=""/>
    <s v="Laptop"/>
    <s v="Computer"/>
    <n v="60000000"/>
    <x v="3"/>
    <x v="0"/>
    <x v="1"/>
    <x v="3"/>
    <x v="0"/>
  </r>
  <r>
    <d v="2020-12-11T00:00:00"/>
    <s v="11"/>
    <s v="Des"/>
    <n v="5"/>
    <n v="5"/>
    <s v=""/>
    <s v="Table Lamp"/>
    <s v="Accessories"/>
    <n v="80000000"/>
    <x v="28"/>
    <x v="3"/>
    <x v="1"/>
    <x v="3"/>
    <x v="2"/>
  </r>
  <r>
    <d v="2020-12-12T00:00:00"/>
    <s v="12"/>
    <s v="Des"/>
    <n v="10"/>
    <n v="10"/>
    <s v=""/>
    <s v="Office Table"/>
    <s v="Furniture"/>
    <n v="40000000"/>
    <x v="13"/>
    <x v="2"/>
    <x v="1"/>
    <x v="3"/>
    <x v="3"/>
  </r>
  <r>
    <d v="2020-12-12T00:00:00"/>
    <s v="12"/>
    <s v="Des"/>
    <n v="8"/>
    <n v="8"/>
    <s v=""/>
    <s v="Laptop"/>
    <s v="Computer"/>
    <n v="60000000"/>
    <x v="33"/>
    <x v="2"/>
    <x v="1"/>
    <x v="3"/>
    <x v="3"/>
  </r>
  <r>
    <d v="2020-12-12T00:00:00"/>
    <s v="12"/>
    <s v="Des"/>
    <n v="8"/>
    <n v="8"/>
    <s v=""/>
    <s v="Laptop"/>
    <s v="Computer"/>
    <n v="100000000"/>
    <x v="13"/>
    <x v="0"/>
    <x v="1"/>
    <x v="3"/>
    <x v="3"/>
  </r>
  <r>
    <d v="2020-12-12T00:00:00"/>
    <s v="12"/>
    <s v="Des"/>
    <n v="3"/>
    <n v="3"/>
    <s v=""/>
    <s v="Printer"/>
    <s v="Computer"/>
    <n v="120000000"/>
    <x v="41"/>
    <x v="4"/>
    <x v="1"/>
    <x v="3"/>
    <x v="2"/>
  </r>
  <r>
    <d v="2020-12-12T00:00:00"/>
    <s v="12"/>
    <s v="Des"/>
    <n v="3"/>
    <n v="3"/>
    <s v=""/>
    <s v="TV"/>
    <s v="Electronic"/>
    <n v="100000000"/>
    <x v="3"/>
    <x v="4"/>
    <x v="1"/>
    <x v="3"/>
    <x v="2"/>
  </r>
  <r>
    <d v="2020-12-12T00:00:00"/>
    <s v="12"/>
    <s v="Des"/>
    <n v="3"/>
    <n v="3"/>
    <s v=""/>
    <s v="AC"/>
    <s v="Electronic"/>
    <n v="40000000"/>
    <x v="19"/>
    <x v="0"/>
    <x v="1"/>
    <x v="3"/>
    <x v="1"/>
  </r>
  <r>
    <d v="2020-12-13T00:00:00"/>
    <s v="13"/>
    <s v="Des"/>
    <n v="9"/>
    <n v="9"/>
    <s v=""/>
    <s v="Coffee Mach"/>
    <s v="Kitchen"/>
    <n v="60000000"/>
    <x v="15"/>
    <x v="2"/>
    <x v="1"/>
    <x v="3"/>
    <x v="1"/>
  </r>
  <r>
    <d v="2020-12-13T00:00:00"/>
    <s v="13"/>
    <s v="Des"/>
    <n v="8"/>
    <n v="8"/>
    <s v=""/>
    <s v="TV"/>
    <s v="Electronic"/>
    <n v="80000000"/>
    <x v="48"/>
    <x v="2"/>
    <x v="1"/>
    <x v="3"/>
    <x v="2"/>
  </r>
  <r>
    <d v="2020-12-13T00:00:00"/>
    <s v="13"/>
    <s v="Des"/>
    <n v="8"/>
    <n v="8"/>
    <s v=""/>
    <s v="Cable"/>
    <s v="Networking"/>
    <n v="140000000"/>
    <x v="43"/>
    <x v="0"/>
    <x v="1"/>
    <x v="3"/>
    <x v="1"/>
  </r>
  <r>
    <d v="2020-12-13T00:00:00"/>
    <s v="13"/>
    <s v="Des"/>
    <n v="8"/>
    <n v="8"/>
    <s v=""/>
    <s v="Table Lamp"/>
    <s v="Accessories"/>
    <n v="100000000"/>
    <x v="25"/>
    <x v="2"/>
    <x v="1"/>
    <x v="3"/>
    <x v="0"/>
  </r>
  <r>
    <d v="2020-12-13T00:00:00"/>
    <s v="13"/>
    <s v="Des"/>
    <n v="7"/>
    <n v="7"/>
    <s v=""/>
    <s v="Coffee Mach"/>
    <s v="Kitchen"/>
    <n v="60000000"/>
    <x v="16"/>
    <x v="3"/>
    <x v="1"/>
    <x v="3"/>
    <x v="0"/>
  </r>
  <r>
    <d v="2020-12-13T00:00:00"/>
    <s v="13"/>
    <s v="Des"/>
    <n v="7"/>
    <n v="7"/>
    <s v=""/>
    <s v="Coffee Mach"/>
    <s v="Kitchen"/>
    <n v="100000000"/>
    <x v="3"/>
    <x v="0"/>
    <x v="1"/>
    <x v="3"/>
    <x v="2"/>
  </r>
  <r>
    <d v="2020-12-13T00:00:00"/>
    <s v="13"/>
    <s v="Des"/>
    <n v="7"/>
    <n v="7"/>
    <s v=""/>
    <s v="Laptop"/>
    <s v="Computer"/>
    <n v="100000000"/>
    <x v="28"/>
    <x v="2"/>
    <x v="1"/>
    <x v="3"/>
    <x v="2"/>
  </r>
  <r>
    <d v="2020-12-13T00:00:00"/>
    <s v="13"/>
    <s v="Des"/>
    <n v="4"/>
    <n v="4"/>
    <s v=""/>
    <s v="Office Chair"/>
    <s v="Furniture"/>
    <n v="120000000"/>
    <x v="8"/>
    <x v="4"/>
    <x v="1"/>
    <x v="3"/>
    <x v="1"/>
  </r>
  <r>
    <d v="2020-12-13T00:00:00"/>
    <s v="13"/>
    <s v="Des"/>
    <n v="4"/>
    <n v="4"/>
    <s v=""/>
    <s v="Office Table"/>
    <s v="Furniture"/>
    <n v="40000000"/>
    <x v="38"/>
    <x v="2"/>
    <x v="1"/>
    <x v="3"/>
    <x v="0"/>
  </r>
  <r>
    <d v="2020-12-14T00:00:00"/>
    <s v="14"/>
    <s v="Des"/>
    <n v="10"/>
    <n v="10"/>
    <s v=""/>
    <s v="Office Chair"/>
    <s v="Furniture"/>
    <n v="100000000"/>
    <x v="3"/>
    <x v="2"/>
    <x v="1"/>
    <x v="3"/>
    <x v="3"/>
  </r>
  <r>
    <d v="2020-12-14T00:00:00"/>
    <s v="14"/>
    <s v="Des"/>
    <n v="10"/>
    <n v="10"/>
    <s v=""/>
    <s v="TV"/>
    <s v="Electronic"/>
    <n v="40000000"/>
    <x v="3"/>
    <x v="2"/>
    <x v="1"/>
    <x v="3"/>
    <x v="3"/>
  </r>
  <r>
    <d v="2020-12-14T00:00:00"/>
    <s v="14"/>
    <s v="Des"/>
    <n v="9"/>
    <n v="9"/>
    <s v=""/>
    <s v="Laptop"/>
    <s v="Computer"/>
    <n v="40000000"/>
    <x v="22"/>
    <x v="2"/>
    <x v="1"/>
    <x v="3"/>
    <x v="3"/>
  </r>
  <r>
    <d v="2020-12-14T00:00:00"/>
    <s v="14"/>
    <s v="Des"/>
    <n v="9"/>
    <n v="9"/>
    <s v=""/>
    <s v="Laptop"/>
    <s v="Computer"/>
    <n v="60000000"/>
    <x v="38"/>
    <x v="2"/>
    <x v="1"/>
    <x v="3"/>
    <x v="1"/>
  </r>
  <r>
    <d v="2020-12-14T00:00:00"/>
    <s v="14"/>
    <s v="Des"/>
    <n v="9"/>
    <n v="9"/>
    <s v=""/>
    <s v="Coffee Mach"/>
    <s v="Kitchen"/>
    <n v="120000000"/>
    <x v="49"/>
    <x v="0"/>
    <x v="1"/>
    <x v="3"/>
    <x v="0"/>
  </r>
  <r>
    <d v="2020-12-14T00:00:00"/>
    <s v="14"/>
    <s v="Des"/>
    <n v="9"/>
    <n v="9"/>
    <s v=""/>
    <s v="AC"/>
    <s v="Electronic"/>
    <n v="100000000"/>
    <x v="38"/>
    <x v="0"/>
    <x v="1"/>
    <x v="3"/>
    <x v="1"/>
  </r>
  <r>
    <d v="2020-12-14T00:00:00"/>
    <s v="14"/>
    <s v="Des"/>
    <n v="7"/>
    <n v="7"/>
    <s v=""/>
    <s v="AC"/>
    <s v="Electronic"/>
    <n v="80000000"/>
    <x v="12"/>
    <x v="1"/>
    <x v="1"/>
    <x v="3"/>
    <x v="1"/>
  </r>
  <r>
    <d v="2020-12-14T00:00:00"/>
    <s v="14"/>
    <s v="Des"/>
    <n v="6"/>
    <n v="6"/>
    <s v=""/>
    <s v="TV"/>
    <s v="Electronic"/>
    <n v="40000000"/>
    <x v="44"/>
    <x v="2"/>
    <x v="1"/>
    <x v="3"/>
    <x v="0"/>
  </r>
  <r>
    <d v="2020-12-14T00:00:00"/>
    <s v="14"/>
    <s v="Des"/>
    <n v="6"/>
    <n v="6"/>
    <s v=""/>
    <s v="Laptop"/>
    <s v="Computer"/>
    <n v="60000000"/>
    <x v="48"/>
    <x v="4"/>
    <x v="1"/>
    <x v="3"/>
    <x v="0"/>
  </r>
  <r>
    <d v="2020-12-14T00:00:00"/>
    <s v="14"/>
    <s v="Des"/>
    <n v="5"/>
    <n v="5"/>
    <s v=""/>
    <s v="Cable"/>
    <s v="Networking"/>
    <n v="120000000"/>
    <x v="27"/>
    <x v="2"/>
    <x v="1"/>
    <x v="3"/>
    <x v="3"/>
  </r>
  <r>
    <d v="2020-12-14T00:00:00"/>
    <s v="14"/>
    <s v="Des"/>
    <n v="5"/>
    <n v="5"/>
    <s v=""/>
    <s v="Office Table"/>
    <s v="Furniture"/>
    <n v="80000000"/>
    <x v="35"/>
    <x v="0"/>
    <x v="1"/>
    <x v="3"/>
    <x v="1"/>
  </r>
  <r>
    <d v="2020-12-14T00:00:00"/>
    <s v="14"/>
    <s v="Des"/>
    <n v="3"/>
    <n v="3"/>
    <s v=""/>
    <s v="Office Chair"/>
    <s v="Furniture"/>
    <n v="100000000"/>
    <x v="0"/>
    <x v="0"/>
    <x v="1"/>
    <x v="3"/>
    <x v="3"/>
  </r>
  <r>
    <d v="2020-12-15T00:00:00"/>
    <s v="15"/>
    <s v="Des"/>
    <n v="10"/>
    <n v="10"/>
    <s v=""/>
    <s v="AC"/>
    <s v="Electronic"/>
    <n v="120000000"/>
    <x v="40"/>
    <x v="2"/>
    <x v="1"/>
    <x v="3"/>
    <x v="2"/>
  </r>
  <r>
    <d v="2020-12-15T00:00:00"/>
    <s v="15"/>
    <s v="Des"/>
    <n v="9"/>
    <n v="9"/>
    <s v=""/>
    <s v="AC"/>
    <s v="Electronic"/>
    <n v="100000000"/>
    <x v="8"/>
    <x v="0"/>
    <x v="1"/>
    <x v="3"/>
    <x v="1"/>
  </r>
  <r>
    <d v="2020-12-15T00:00:00"/>
    <s v="15"/>
    <s v="Des"/>
    <n v="8"/>
    <n v="8"/>
    <s v=""/>
    <s v="Printer"/>
    <s v="Computer"/>
    <n v="80000000"/>
    <x v="3"/>
    <x v="3"/>
    <x v="1"/>
    <x v="3"/>
    <x v="1"/>
  </r>
  <r>
    <d v="2020-12-15T00:00:00"/>
    <s v="15"/>
    <s v="Des"/>
    <n v="5"/>
    <n v="5"/>
    <s v=""/>
    <s v="Printer"/>
    <s v="Computer"/>
    <n v="100000000"/>
    <x v="43"/>
    <x v="0"/>
    <x v="1"/>
    <x v="3"/>
    <x v="0"/>
  </r>
  <r>
    <d v="2020-12-15T00:00:00"/>
    <s v="15"/>
    <s v="Des"/>
    <n v="4"/>
    <n v="4"/>
    <s v=""/>
    <s v="Table Lamp"/>
    <s v="Accessories"/>
    <n v="100000000"/>
    <x v="34"/>
    <x v="2"/>
    <x v="1"/>
    <x v="3"/>
    <x v="2"/>
  </r>
  <r>
    <d v="2020-12-15T00:00:00"/>
    <s v="15"/>
    <s v="Des"/>
    <n v="4"/>
    <n v="4"/>
    <s v=""/>
    <s v="Table Lamp"/>
    <s v="Accessories"/>
    <n v="100000000"/>
    <x v="3"/>
    <x v="3"/>
    <x v="1"/>
    <x v="3"/>
    <x v="2"/>
  </r>
  <r>
    <d v="2020-12-16T00:00:00"/>
    <s v="16"/>
    <s v="Des"/>
    <n v="8"/>
    <n v="8"/>
    <s v=""/>
    <s v="Cable"/>
    <s v="Networking"/>
    <n v="80000000"/>
    <x v="16"/>
    <x v="2"/>
    <x v="1"/>
    <x v="3"/>
    <x v="3"/>
  </r>
  <r>
    <d v="2020-12-16T00:00:00"/>
    <s v="16"/>
    <s v="Des"/>
    <n v="7"/>
    <n v="7"/>
    <s v=""/>
    <s v="Office Table"/>
    <s v="Furniture"/>
    <n v="80000000"/>
    <x v="5"/>
    <x v="0"/>
    <x v="1"/>
    <x v="3"/>
    <x v="3"/>
  </r>
  <r>
    <d v="2020-12-16T00:00:00"/>
    <s v="16"/>
    <s v="Des"/>
    <n v="5"/>
    <n v="5"/>
    <s v=""/>
    <s v="Laptop"/>
    <s v="Computer"/>
    <n v="80000000"/>
    <x v="15"/>
    <x v="2"/>
    <x v="1"/>
    <x v="3"/>
    <x v="1"/>
  </r>
  <r>
    <d v="2020-12-16T00:00:00"/>
    <s v="16"/>
    <s v="Des"/>
    <n v="5"/>
    <n v="5"/>
    <s v=""/>
    <s v="Coffee Mach"/>
    <s v="Kitchen"/>
    <n v="60000000"/>
    <x v="26"/>
    <x v="2"/>
    <x v="1"/>
    <x v="3"/>
    <x v="3"/>
  </r>
  <r>
    <d v="2020-12-16T00:00:00"/>
    <s v="16"/>
    <s v="Des"/>
    <n v="4"/>
    <n v="4"/>
    <s v=""/>
    <s v="Laptop"/>
    <s v="Computer"/>
    <n v="140000000"/>
    <x v="21"/>
    <x v="2"/>
    <x v="1"/>
    <x v="3"/>
    <x v="1"/>
  </r>
  <r>
    <d v="2020-12-16T00:00:00"/>
    <s v="16"/>
    <s v="Des"/>
    <n v="4"/>
    <n v="4"/>
    <s v=""/>
    <s v="TV"/>
    <s v="Electronic"/>
    <n v="60000000"/>
    <x v="40"/>
    <x v="5"/>
    <x v="1"/>
    <x v="3"/>
    <x v="1"/>
  </r>
  <r>
    <d v="2020-12-17T00:00:00"/>
    <s v="17"/>
    <s v="Des"/>
    <n v="10"/>
    <n v="10"/>
    <s v=""/>
    <s v="Table Lamp"/>
    <s v="Accessories"/>
    <n v="120000000"/>
    <x v="30"/>
    <x v="2"/>
    <x v="1"/>
    <x v="3"/>
    <x v="3"/>
  </r>
  <r>
    <d v="2020-12-17T00:00:00"/>
    <s v="17"/>
    <s v="Des"/>
    <n v="9"/>
    <n v="9"/>
    <s v=""/>
    <s v="Printer"/>
    <s v="Computer"/>
    <n v="40000000"/>
    <x v="1"/>
    <x v="1"/>
    <x v="1"/>
    <x v="3"/>
    <x v="0"/>
  </r>
  <r>
    <d v="2020-12-17T00:00:00"/>
    <s v="17"/>
    <s v="Des"/>
    <n v="8"/>
    <n v="8"/>
    <s v=""/>
    <s v="Office Chair"/>
    <s v="Furniture"/>
    <n v="40000000"/>
    <x v="23"/>
    <x v="0"/>
    <x v="1"/>
    <x v="3"/>
    <x v="1"/>
  </r>
  <r>
    <d v="2020-12-17T00:00:00"/>
    <s v="17"/>
    <s v="Des"/>
    <n v="8"/>
    <n v="8"/>
    <s v=""/>
    <s v="Office Table"/>
    <s v="Furniture"/>
    <n v="40000000"/>
    <x v="43"/>
    <x v="1"/>
    <x v="1"/>
    <x v="3"/>
    <x v="2"/>
  </r>
  <r>
    <d v="2020-12-17T00:00:00"/>
    <s v="17"/>
    <s v="Des"/>
    <n v="7"/>
    <n v="7"/>
    <s v=""/>
    <s v="TV"/>
    <s v="Electronic"/>
    <n v="40000000"/>
    <x v="39"/>
    <x v="4"/>
    <x v="1"/>
    <x v="3"/>
    <x v="0"/>
  </r>
  <r>
    <d v="2020-12-17T00:00:00"/>
    <s v="17"/>
    <s v="Des"/>
    <n v="7"/>
    <n v="7"/>
    <s v=""/>
    <s v="Printer"/>
    <s v="Computer"/>
    <n v="60000000"/>
    <x v="5"/>
    <x v="0"/>
    <x v="1"/>
    <x v="3"/>
    <x v="2"/>
  </r>
  <r>
    <d v="2020-12-17T00:00:00"/>
    <s v="17"/>
    <s v="Des"/>
    <n v="7"/>
    <n v="7"/>
    <s v=""/>
    <s v="Office Table"/>
    <s v="Furniture"/>
    <n v="100000000"/>
    <x v="1"/>
    <x v="2"/>
    <x v="1"/>
    <x v="3"/>
    <x v="0"/>
  </r>
  <r>
    <d v="2020-12-17T00:00:00"/>
    <s v="17"/>
    <s v="Des"/>
    <n v="6"/>
    <n v="6"/>
    <s v=""/>
    <s v="Cable"/>
    <s v="Networking"/>
    <n v="60000000"/>
    <x v="19"/>
    <x v="2"/>
    <x v="1"/>
    <x v="3"/>
    <x v="0"/>
  </r>
  <r>
    <d v="2020-12-17T00:00:00"/>
    <s v="17"/>
    <s v="Des"/>
    <n v="5"/>
    <n v="5"/>
    <s v=""/>
    <s v="Cable"/>
    <s v="Networking"/>
    <n v="140000000"/>
    <x v="35"/>
    <x v="0"/>
    <x v="1"/>
    <x v="3"/>
    <x v="2"/>
  </r>
  <r>
    <d v="2020-12-17T00:00:00"/>
    <s v="17"/>
    <s v="Des"/>
    <n v="5"/>
    <n v="5"/>
    <s v=""/>
    <s v="Cable"/>
    <s v="Networking"/>
    <n v="100000000"/>
    <x v="27"/>
    <x v="2"/>
    <x v="1"/>
    <x v="3"/>
    <x v="2"/>
  </r>
  <r>
    <d v="2020-12-17T00:00:00"/>
    <s v="17"/>
    <s v="Des"/>
    <n v="5"/>
    <n v="5"/>
    <s v=""/>
    <s v="Office Table"/>
    <s v="Furniture"/>
    <n v="120000000"/>
    <x v="4"/>
    <x v="4"/>
    <x v="1"/>
    <x v="3"/>
    <x v="1"/>
  </r>
  <r>
    <d v="2020-12-17T00:00:00"/>
    <s v="17"/>
    <s v="Des"/>
    <n v="4"/>
    <n v="4"/>
    <s v=""/>
    <s v="Office Table"/>
    <s v="Furniture"/>
    <n v="120000000"/>
    <x v="33"/>
    <x v="4"/>
    <x v="1"/>
    <x v="3"/>
    <x v="2"/>
  </r>
  <r>
    <d v="2020-12-18T00:00:00"/>
    <s v="18"/>
    <s v="Des"/>
    <n v="10"/>
    <n v="10"/>
    <s v=""/>
    <s v="Table Lamp"/>
    <s v="Accessories"/>
    <n v="100000000"/>
    <x v="21"/>
    <x v="5"/>
    <x v="1"/>
    <x v="3"/>
    <x v="1"/>
  </r>
  <r>
    <d v="2020-12-18T00:00:00"/>
    <s v="18"/>
    <s v="Des"/>
    <n v="9"/>
    <n v="9"/>
    <s v=""/>
    <s v="Printer"/>
    <s v="Computer"/>
    <n v="40000000"/>
    <x v="34"/>
    <x v="2"/>
    <x v="1"/>
    <x v="3"/>
    <x v="1"/>
  </r>
  <r>
    <d v="2020-12-18T00:00:00"/>
    <s v="18"/>
    <s v="Des"/>
    <n v="9"/>
    <n v="9"/>
    <s v=""/>
    <s v="Cable"/>
    <s v="Networking"/>
    <n v="80000000"/>
    <x v="14"/>
    <x v="4"/>
    <x v="1"/>
    <x v="3"/>
    <x v="1"/>
  </r>
  <r>
    <d v="2020-12-18T00:00:00"/>
    <s v="18"/>
    <s v="Des"/>
    <n v="6"/>
    <n v="6"/>
    <s v=""/>
    <s v="Office Chair"/>
    <s v="Furniture"/>
    <n v="60000000"/>
    <x v="47"/>
    <x v="0"/>
    <x v="1"/>
    <x v="3"/>
    <x v="3"/>
  </r>
  <r>
    <d v="2020-12-18T00:00:00"/>
    <s v="18"/>
    <s v="Des"/>
    <n v="5"/>
    <n v="5"/>
    <s v=""/>
    <s v="TV"/>
    <s v="Electronic"/>
    <n v="140000000"/>
    <x v="5"/>
    <x v="0"/>
    <x v="1"/>
    <x v="3"/>
    <x v="1"/>
  </r>
  <r>
    <d v="2020-12-18T00:00:00"/>
    <s v="18"/>
    <s v="Des"/>
    <n v="3"/>
    <n v="3"/>
    <s v=""/>
    <s v="Table Lamp"/>
    <s v="Accessories"/>
    <n v="140000000"/>
    <x v="10"/>
    <x v="0"/>
    <x v="1"/>
    <x v="3"/>
    <x v="1"/>
  </r>
  <r>
    <d v="2020-12-18T00:00:00"/>
    <s v="18"/>
    <s v="Des"/>
    <n v="3"/>
    <n v="3"/>
    <s v=""/>
    <s v="Cable"/>
    <s v="Networking"/>
    <n v="40000000"/>
    <x v="12"/>
    <x v="2"/>
    <x v="1"/>
    <x v="3"/>
    <x v="1"/>
  </r>
  <r>
    <d v="2020-12-19T00:00:00"/>
    <s v="19"/>
    <s v="Des"/>
    <n v="10"/>
    <n v="10"/>
    <s v=""/>
    <s v="Office Table"/>
    <s v="Furniture"/>
    <n v="100000000"/>
    <x v="3"/>
    <x v="0"/>
    <x v="1"/>
    <x v="3"/>
    <x v="0"/>
  </r>
  <r>
    <d v="2020-12-19T00:00:00"/>
    <s v="19"/>
    <s v="Des"/>
    <n v="9"/>
    <n v="9"/>
    <s v=""/>
    <s v="AC"/>
    <s v="Electronic"/>
    <n v="60000000"/>
    <x v="14"/>
    <x v="1"/>
    <x v="1"/>
    <x v="3"/>
    <x v="2"/>
  </r>
  <r>
    <d v="2020-12-19T00:00:00"/>
    <s v="19"/>
    <s v="Des"/>
    <n v="7"/>
    <n v="7"/>
    <s v=""/>
    <s v="Office Chair"/>
    <s v="Furniture"/>
    <n v="140000000"/>
    <x v="7"/>
    <x v="2"/>
    <x v="1"/>
    <x v="3"/>
    <x v="1"/>
  </r>
  <r>
    <d v="2020-12-19T00:00:00"/>
    <s v="19"/>
    <s v="Des"/>
    <n v="3"/>
    <n v="3"/>
    <s v=""/>
    <s v="Table Lamp"/>
    <s v="Accessories"/>
    <n v="120000000"/>
    <x v="5"/>
    <x v="5"/>
    <x v="1"/>
    <x v="3"/>
    <x v="1"/>
  </r>
  <r>
    <d v="2020-12-19T00:00:00"/>
    <s v="19"/>
    <s v="Des"/>
    <n v="3"/>
    <n v="3"/>
    <s v=""/>
    <s v="Office Table"/>
    <s v="Furniture"/>
    <n v="80000000"/>
    <x v="6"/>
    <x v="5"/>
    <x v="1"/>
    <x v="3"/>
    <x v="1"/>
  </r>
  <r>
    <d v="2020-12-20T00:00:00"/>
    <s v="20"/>
    <s v="Des"/>
    <n v="10"/>
    <n v="10"/>
    <s v=""/>
    <s v="Table Lamp"/>
    <s v="Accessories"/>
    <n v="40000000"/>
    <x v="46"/>
    <x v="0"/>
    <x v="1"/>
    <x v="3"/>
    <x v="0"/>
  </r>
  <r>
    <d v="2020-12-20T00:00:00"/>
    <s v="20"/>
    <s v="Des"/>
    <n v="10"/>
    <n v="10"/>
    <s v=""/>
    <s v="Office Table"/>
    <s v="Furniture"/>
    <n v="140000000"/>
    <x v="5"/>
    <x v="2"/>
    <x v="1"/>
    <x v="3"/>
    <x v="1"/>
  </r>
  <r>
    <d v="2020-12-20T00:00:00"/>
    <s v="20"/>
    <s v="Des"/>
    <n v="10"/>
    <n v="10"/>
    <s v=""/>
    <s v="AC"/>
    <s v="Electronic"/>
    <n v="40000000"/>
    <x v="17"/>
    <x v="0"/>
    <x v="1"/>
    <x v="3"/>
    <x v="2"/>
  </r>
  <r>
    <d v="2020-12-20T00:00:00"/>
    <s v="20"/>
    <s v="Des"/>
    <n v="9"/>
    <n v="9"/>
    <s v=""/>
    <s v="Table Lamp"/>
    <s v="Accessories"/>
    <n v="120000000"/>
    <x v="12"/>
    <x v="2"/>
    <x v="1"/>
    <x v="3"/>
    <x v="3"/>
  </r>
  <r>
    <d v="2020-12-20T00:00:00"/>
    <s v="20"/>
    <s v="Des"/>
    <n v="9"/>
    <n v="9"/>
    <s v=""/>
    <s v="Office Chair"/>
    <s v="Furniture"/>
    <n v="40000000"/>
    <x v="16"/>
    <x v="0"/>
    <x v="1"/>
    <x v="3"/>
    <x v="2"/>
  </r>
  <r>
    <d v="2020-12-20T00:00:00"/>
    <s v="20"/>
    <s v="Des"/>
    <n v="9"/>
    <n v="9"/>
    <s v=""/>
    <s v="Office Table"/>
    <s v="Furniture"/>
    <n v="40000000"/>
    <x v="14"/>
    <x v="1"/>
    <x v="1"/>
    <x v="3"/>
    <x v="1"/>
  </r>
  <r>
    <d v="2020-12-20T00:00:00"/>
    <s v="20"/>
    <s v="Des"/>
    <n v="8"/>
    <n v="8"/>
    <s v=""/>
    <s v="Office Chair"/>
    <s v="Furniture"/>
    <n v="140000000"/>
    <x v="31"/>
    <x v="5"/>
    <x v="1"/>
    <x v="3"/>
    <x v="1"/>
  </r>
  <r>
    <d v="2020-12-20T00:00:00"/>
    <s v="20"/>
    <s v="Des"/>
    <n v="7"/>
    <n v="7"/>
    <s v=""/>
    <s v="Cable"/>
    <s v="Networking"/>
    <n v="120000000"/>
    <x v="23"/>
    <x v="0"/>
    <x v="1"/>
    <x v="3"/>
    <x v="2"/>
  </r>
  <r>
    <d v="2020-12-20T00:00:00"/>
    <s v="20"/>
    <s v="Des"/>
    <n v="6"/>
    <n v="6"/>
    <s v=""/>
    <s v="Cable"/>
    <s v="Networking"/>
    <n v="100000000"/>
    <x v="2"/>
    <x v="0"/>
    <x v="1"/>
    <x v="3"/>
    <x v="1"/>
  </r>
  <r>
    <d v="2020-12-20T00:00:00"/>
    <s v="20"/>
    <s v="Des"/>
    <n v="3"/>
    <n v="3"/>
    <s v=""/>
    <s v="Printer"/>
    <s v="Computer"/>
    <n v="120000000"/>
    <x v="44"/>
    <x v="2"/>
    <x v="1"/>
    <x v="3"/>
    <x v="2"/>
  </r>
  <r>
    <d v="2020-12-21T00:00:00"/>
    <s v="21"/>
    <s v="Des"/>
    <n v="10"/>
    <n v="10"/>
    <s v=""/>
    <s v="Office Table"/>
    <s v="Furniture"/>
    <n v="80000000"/>
    <x v="1"/>
    <x v="2"/>
    <x v="1"/>
    <x v="3"/>
    <x v="2"/>
  </r>
  <r>
    <d v="2020-12-21T00:00:00"/>
    <s v="21"/>
    <s v="Des"/>
    <n v="9"/>
    <n v="9"/>
    <s v=""/>
    <s v="TV"/>
    <s v="Electronic"/>
    <n v="60000000"/>
    <x v="40"/>
    <x v="2"/>
    <x v="1"/>
    <x v="3"/>
    <x v="3"/>
  </r>
  <r>
    <d v="2020-12-21T00:00:00"/>
    <s v="21"/>
    <s v="Des"/>
    <n v="9"/>
    <n v="9"/>
    <s v=""/>
    <s v="Laptop"/>
    <s v="Computer"/>
    <n v="120000000"/>
    <x v="23"/>
    <x v="1"/>
    <x v="1"/>
    <x v="3"/>
    <x v="2"/>
  </r>
  <r>
    <d v="2020-12-21T00:00:00"/>
    <s v="21"/>
    <s v="Des"/>
    <n v="9"/>
    <n v="9"/>
    <s v=""/>
    <s v="Cable"/>
    <s v="Networking"/>
    <n v="140000000"/>
    <x v="6"/>
    <x v="0"/>
    <x v="1"/>
    <x v="3"/>
    <x v="2"/>
  </r>
  <r>
    <d v="2020-12-21T00:00:00"/>
    <s v="21"/>
    <s v="Des"/>
    <n v="8"/>
    <n v="8"/>
    <s v=""/>
    <s v="Cable"/>
    <s v="Networking"/>
    <n v="140000000"/>
    <x v="6"/>
    <x v="3"/>
    <x v="1"/>
    <x v="3"/>
    <x v="1"/>
  </r>
  <r>
    <d v="2020-12-21T00:00:00"/>
    <s v="21"/>
    <s v="Des"/>
    <n v="7"/>
    <n v="7"/>
    <s v=""/>
    <s v="Laptop"/>
    <s v="Computer"/>
    <n v="80000000"/>
    <x v="19"/>
    <x v="0"/>
    <x v="1"/>
    <x v="3"/>
    <x v="1"/>
  </r>
  <r>
    <d v="2020-12-21T00:00:00"/>
    <s v="21"/>
    <s v="Des"/>
    <n v="6"/>
    <n v="6"/>
    <s v=""/>
    <s v="Coffee Mach"/>
    <s v="Kitchen"/>
    <n v="60000000"/>
    <x v="10"/>
    <x v="1"/>
    <x v="1"/>
    <x v="3"/>
    <x v="1"/>
  </r>
  <r>
    <d v="2020-12-21T00:00:00"/>
    <s v="21"/>
    <s v="Des"/>
    <n v="5"/>
    <n v="5"/>
    <s v=""/>
    <s v="Cable"/>
    <s v="Networking"/>
    <n v="80000000"/>
    <x v="32"/>
    <x v="0"/>
    <x v="1"/>
    <x v="3"/>
    <x v="1"/>
  </r>
  <r>
    <d v="2020-12-21T00:00:00"/>
    <s v="21"/>
    <s v="Des"/>
    <n v="5"/>
    <n v="5"/>
    <s v=""/>
    <s v="AC"/>
    <s v="Electronic"/>
    <n v="140000000"/>
    <x v="1"/>
    <x v="2"/>
    <x v="1"/>
    <x v="3"/>
    <x v="3"/>
  </r>
  <r>
    <d v="2020-12-21T00:00:00"/>
    <s v="21"/>
    <s v="Des"/>
    <n v="4"/>
    <n v="4"/>
    <s v=""/>
    <s v="Laptop"/>
    <s v="Computer"/>
    <n v="40000000"/>
    <x v="2"/>
    <x v="1"/>
    <x v="1"/>
    <x v="3"/>
    <x v="0"/>
  </r>
  <r>
    <d v="2020-12-21T00:00:00"/>
    <s v="21"/>
    <s v="Des"/>
    <n v="3"/>
    <n v="3"/>
    <s v=""/>
    <s v="Office Table"/>
    <s v="Furniture"/>
    <n v="100000000"/>
    <x v="23"/>
    <x v="2"/>
    <x v="1"/>
    <x v="3"/>
    <x v="1"/>
  </r>
  <r>
    <d v="2020-12-21T00:00:00"/>
    <s v="21"/>
    <s v="Des"/>
    <n v="3"/>
    <n v="3"/>
    <s v=""/>
    <s v="Office Table"/>
    <s v="Furniture"/>
    <n v="140000000"/>
    <x v="4"/>
    <x v="2"/>
    <x v="1"/>
    <x v="3"/>
    <x v="2"/>
  </r>
  <r>
    <d v="2020-12-22T00:00:00"/>
    <s v="22"/>
    <s v="Des"/>
    <n v="10"/>
    <n v="10"/>
    <s v=""/>
    <s v="Laptop"/>
    <s v="Computer"/>
    <n v="40000000"/>
    <x v="31"/>
    <x v="2"/>
    <x v="1"/>
    <x v="3"/>
    <x v="3"/>
  </r>
  <r>
    <d v="2020-12-22T00:00:00"/>
    <s v="22"/>
    <s v="Des"/>
    <n v="10"/>
    <n v="10"/>
    <s v=""/>
    <s v="TV"/>
    <s v="Electronic"/>
    <n v="100000000"/>
    <x v="34"/>
    <x v="4"/>
    <x v="1"/>
    <x v="3"/>
    <x v="2"/>
  </r>
  <r>
    <d v="2020-12-22T00:00:00"/>
    <s v="22"/>
    <s v="Des"/>
    <n v="9"/>
    <n v="9"/>
    <s v=""/>
    <s v="Office Table"/>
    <s v="Furniture"/>
    <n v="120000000"/>
    <x v="49"/>
    <x v="0"/>
    <x v="1"/>
    <x v="3"/>
    <x v="0"/>
  </r>
  <r>
    <d v="2020-12-22T00:00:00"/>
    <s v="22"/>
    <s v="Des"/>
    <n v="7"/>
    <n v="7"/>
    <s v=""/>
    <s v="TV"/>
    <s v="Electronic"/>
    <n v="40000000"/>
    <x v="34"/>
    <x v="1"/>
    <x v="1"/>
    <x v="3"/>
    <x v="0"/>
  </r>
  <r>
    <d v="2020-12-22T00:00:00"/>
    <s v="22"/>
    <s v="Des"/>
    <n v="6"/>
    <n v="6"/>
    <s v=""/>
    <s v="Laptop"/>
    <s v="Computer"/>
    <n v="140000000"/>
    <x v="40"/>
    <x v="0"/>
    <x v="1"/>
    <x v="3"/>
    <x v="3"/>
  </r>
  <r>
    <d v="2020-12-22T00:00:00"/>
    <s v="22"/>
    <s v="Des"/>
    <n v="5"/>
    <n v="5"/>
    <s v=""/>
    <s v="Cable"/>
    <s v="Networking"/>
    <n v="80000000"/>
    <x v="3"/>
    <x v="2"/>
    <x v="1"/>
    <x v="3"/>
    <x v="0"/>
  </r>
  <r>
    <d v="2020-12-22T00:00:00"/>
    <s v="22"/>
    <s v="Des"/>
    <n v="5"/>
    <n v="5"/>
    <s v=""/>
    <s v="Table Lamp"/>
    <s v="Accessories"/>
    <n v="100000000"/>
    <x v="24"/>
    <x v="2"/>
    <x v="1"/>
    <x v="3"/>
    <x v="2"/>
  </r>
  <r>
    <d v="2020-12-23T00:00:00"/>
    <s v="23"/>
    <s v="Des"/>
    <n v="10"/>
    <n v="10"/>
    <s v=""/>
    <s v="Coffee Mach"/>
    <s v="Kitchen"/>
    <n v="60000000"/>
    <x v="22"/>
    <x v="4"/>
    <x v="1"/>
    <x v="3"/>
    <x v="3"/>
  </r>
  <r>
    <d v="2020-12-23T00:00:00"/>
    <s v="23"/>
    <s v="Des"/>
    <n v="10"/>
    <n v="10"/>
    <s v=""/>
    <s v="Office Chair"/>
    <s v="Furniture"/>
    <n v="120000000"/>
    <x v="41"/>
    <x v="0"/>
    <x v="1"/>
    <x v="3"/>
    <x v="0"/>
  </r>
  <r>
    <d v="2020-12-23T00:00:00"/>
    <s v="23"/>
    <s v="Des"/>
    <n v="9"/>
    <n v="9"/>
    <s v=""/>
    <s v="Printer"/>
    <s v="Computer"/>
    <n v="120000000"/>
    <x v="15"/>
    <x v="5"/>
    <x v="1"/>
    <x v="3"/>
    <x v="1"/>
  </r>
  <r>
    <d v="2020-12-23T00:00:00"/>
    <s v="23"/>
    <s v="Des"/>
    <n v="8"/>
    <n v="8"/>
    <s v=""/>
    <s v="AC"/>
    <s v="Electronic"/>
    <n v="100000000"/>
    <x v="38"/>
    <x v="2"/>
    <x v="1"/>
    <x v="3"/>
    <x v="1"/>
  </r>
  <r>
    <d v="2020-12-23T00:00:00"/>
    <s v="23"/>
    <s v="Des"/>
    <n v="8"/>
    <n v="8"/>
    <s v=""/>
    <s v="Table Lamp"/>
    <s v="Accessories"/>
    <n v="120000000"/>
    <x v="22"/>
    <x v="0"/>
    <x v="1"/>
    <x v="3"/>
    <x v="0"/>
  </r>
  <r>
    <d v="2020-12-23T00:00:00"/>
    <s v="23"/>
    <s v="Des"/>
    <n v="6"/>
    <n v="6"/>
    <s v=""/>
    <s v="Office Table"/>
    <s v="Furniture"/>
    <n v="80000000"/>
    <x v="24"/>
    <x v="4"/>
    <x v="1"/>
    <x v="3"/>
    <x v="1"/>
  </r>
  <r>
    <d v="2020-12-23T00:00:00"/>
    <s v="23"/>
    <s v="Des"/>
    <n v="4"/>
    <n v="4"/>
    <s v=""/>
    <s v="Table Lamp"/>
    <s v="Accessories"/>
    <n v="100000000"/>
    <x v="27"/>
    <x v="0"/>
    <x v="1"/>
    <x v="3"/>
    <x v="2"/>
  </r>
  <r>
    <d v="2020-12-24T00:00:00"/>
    <s v="24"/>
    <s v="Des"/>
    <n v="10"/>
    <n v="10"/>
    <s v=""/>
    <s v="Coffee Mach"/>
    <s v="Kitchen"/>
    <n v="40000000"/>
    <x v="21"/>
    <x v="0"/>
    <x v="1"/>
    <x v="3"/>
    <x v="3"/>
  </r>
  <r>
    <d v="2020-12-24T00:00:00"/>
    <s v="24"/>
    <s v="Des"/>
    <n v="9"/>
    <n v="9"/>
    <s v=""/>
    <s v="AC"/>
    <s v="Electronic"/>
    <n v="40000000"/>
    <x v="25"/>
    <x v="4"/>
    <x v="1"/>
    <x v="3"/>
    <x v="2"/>
  </r>
  <r>
    <d v="2020-12-24T00:00:00"/>
    <s v="24"/>
    <s v="Des"/>
    <n v="8"/>
    <n v="8"/>
    <s v=""/>
    <s v="TV"/>
    <s v="Electronic"/>
    <n v="40000000"/>
    <x v="35"/>
    <x v="0"/>
    <x v="1"/>
    <x v="3"/>
    <x v="0"/>
  </r>
  <r>
    <d v="2020-12-24T00:00:00"/>
    <s v="24"/>
    <s v="Des"/>
    <n v="8"/>
    <n v="8"/>
    <s v=""/>
    <s v="Office Chair"/>
    <s v="Furniture"/>
    <n v="100000000"/>
    <x v="0"/>
    <x v="4"/>
    <x v="1"/>
    <x v="3"/>
    <x v="0"/>
  </r>
  <r>
    <d v="2020-12-24T00:00:00"/>
    <s v="24"/>
    <s v="Des"/>
    <n v="7"/>
    <n v="7"/>
    <s v=""/>
    <s v="Office Table"/>
    <s v="Furniture"/>
    <n v="40000000"/>
    <x v="25"/>
    <x v="5"/>
    <x v="1"/>
    <x v="3"/>
    <x v="0"/>
  </r>
  <r>
    <d v="2020-12-24T00:00:00"/>
    <s v="24"/>
    <s v="Des"/>
    <n v="6"/>
    <n v="6"/>
    <s v=""/>
    <s v="Table Lamp"/>
    <s v="Accessories"/>
    <n v="40000000"/>
    <x v="14"/>
    <x v="2"/>
    <x v="1"/>
    <x v="3"/>
    <x v="1"/>
  </r>
  <r>
    <d v="2020-12-24T00:00:00"/>
    <s v="24"/>
    <s v="Des"/>
    <n v="6"/>
    <n v="6"/>
    <s v=""/>
    <s v="Cable"/>
    <s v="Networking"/>
    <n v="100000000"/>
    <x v="35"/>
    <x v="0"/>
    <x v="1"/>
    <x v="3"/>
    <x v="3"/>
  </r>
  <r>
    <d v="2020-12-24T00:00:00"/>
    <s v="24"/>
    <s v="Des"/>
    <n v="6"/>
    <n v="6"/>
    <s v=""/>
    <s v="Table Lamp"/>
    <s v="Accessories"/>
    <n v="40000000"/>
    <x v="7"/>
    <x v="2"/>
    <x v="1"/>
    <x v="3"/>
    <x v="0"/>
  </r>
  <r>
    <d v="2020-12-24T00:00:00"/>
    <s v="24"/>
    <s v="Des"/>
    <n v="5"/>
    <n v="5"/>
    <s v=""/>
    <s v="Office Chair"/>
    <s v="Furniture"/>
    <n v="100000000"/>
    <x v="23"/>
    <x v="5"/>
    <x v="1"/>
    <x v="3"/>
    <x v="0"/>
  </r>
  <r>
    <d v="2020-12-24T00:00:00"/>
    <s v="24"/>
    <s v="Des"/>
    <n v="5"/>
    <n v="5"/>
    <s v=""/>
    <s v="TV"/>
    <s v="Electronic"/>
    <n v="140000000"/>
    <x v="38"/>
    <x v="4"/>
    <x v="1"/>
    <x v="3"/>
    <x v="1"/>
  </r>
  <r>
    <d v="2020-12-24T00:00:00"/>
    <s v="24"/>
    <s v="Des"/>
    <n v="3"/>
    <n v="3"/>
    <s v=""/>
    <s v="Table Lamp"/>
    <s v="Accessories"/>
    <n v="100000000"/>
    <x v="18"/>
    <x v="2"/>
    <x v="1"/>
    <x v="3"/>
    <x v="0"/>
  </r>
  <r>
    <d v="2020-12-24T00:00:00"/>
    <s v="24"/>
    <s v="Des"/>
    <n v="3"/>
    <n v="3"/>
    <s v=""/>
    <s v="Cable"/>
    <s v="Networking"/>
    <n v="40000000"/>
    <x v="17"/>
    <x v="0"/>
    <x v="1"/>
    <x v="3"/>
    <x v="3"/>
  </r>
  <r>
    <d v="2020-12-25T00:00:00"/>
    <s v="25"/>
    <s v="Des"/>
    <n v="10"/>
    <n v="8"/>
    <n v="2"/>
    <s v="Cable"/>
    <s v="Networking"/>
    <n v="100000000"/>
    <x v="17"/>
    <x v="4"/>
    <x v="1"/>
    <x v="3"/>
    <x v="0"/>
  </r>
  <r>
    <d v="2020-12-25T00:00:00"/>
    <s v="25"/>
    <s v="Des"/>
    <n v="10"/>
    <n v="9"/>
    <n v="1"/>
    <s v="Coffee Mach"/>
    <s v="Kitchen"/>
    <n v="80000000"/>
    <x v="6"/>
    <x v="0"/>
    <x v="1"/>
    <x v="3"/>
    <x v="2"/>
  </r>
  <r>
    <d v="2020-12-25T00:00:00"/>
    <s v="25"/>
    <s v="Des"/>
    <n v="6"/>
    <n v="5"/>
    <n v="1"/>
    <s v="Office Chair"/>
    <s v="Furniture"/>
    <n v="120000000"/>
    <x v="19"/>
    <x v="3"/>
    <x v="1"/>
    <x v="3"/>
    <x v="0"/>
  </r>
  <r>
    <d v="2020-12-25T00:00:00"/>
    <s v="25"/>
    <s v="Des"/>
    <n v="6"/>
    <n v="4"/>
    <n v="2"/>
    <s v="Table Lamp"/>
    <s v="Accessories"/>
    <n v="120000000"/>
    <x v="42"/>
    <x v="0"/>
    <x v="1"/>
    <x v="3"/>
    <x v="2"/>
  </r>
  <r>
    <d v="2020-12-25T00:00:00"/>
    <s v="25"/>
    <s v="Des"/>
    <n v="5"/>
    <n v="3"/>
    <n v="2"/>
    <s v="Cable"/>
    <s v="Networking"/>
    <n v="40000000"/>
    <x v="37"/>
    <x v="4"/>
    <x v="1"/>
    <x v="3"/>
    <x v="2"/>
  </r>
  <r>
    <d v="2020-12-26T00:00:00"/>
    <s v="26"/>
    <s v="Des"/>
    <n v="10"/>
    <n v="8"/>
    <n v="2"/>
    <s v="Office Chair"/>
    <s v="Furniture"/>
    <n v="60000000"/>
    <x v="25"/>
    <x v="2"/>
    <x v="1"/>
    <x v="3"/>
    <x v="2"/>
  </r>
  <r>
    <d v="2020-12-26T00:00:00"/>
    <s v="26"/>
    <s v="Des"/>
    <n v="10"/>
    <n v="8"/>
    <n v="2"/>
    <s v="Office Chair"/>
    <s v="Furniture"/>
    <n v="120000000"/>
    <x v="17"/>
    <x v="0"/>
    <x v="1"/>
    <x v="3"/>
    <x v="2"/>
  </r>
  <r>
    <d v="2020-12-26T00:00:00"/>
    <s v="26"/>
    <s v="Des"/>
    <n v="9"/>
    <n v="8"/>
    <n v="1"/>
    <s v="TV"/>
    <s v="Electronic"/>
    <n v="140000000"/>
    <x v="34"/>
    <x v="4"/>
    <x v="1"/>
    <x v="3"/>
    <x v="0"/>
  </r>
  <r>
    <d v="2020-12-26T00:00:00"/>
    <s v="26"/>
    <s v="Des"/>
    <n v="8"/>
    <n v="7"/>
    <n v="1"/>
    <s v="Coffee Mach"/>
    <s v="Kitchen"/>
    <n v="60000000"/>
    <x v="21"/>
    <x v="2"/>
    <x v="1"/>
    <x v="3"/>
    <x v="2"/>
  </r>
  <r>
    <d v="2020-12-26T00:00:00"/>
    <s v="26"/>
    <s v="Des"/>
    <n v="7"/>
    <n v="6"/>
    <n v="1"/>
    <s v="Laptop"/>
    <s v="Computer"/>
    <n v="120000000"/>
    <x v="14"/>
    <x v="2"/>
    <x v="1"/>
    <x v="3"/>
    <x v="0"/>
  </r>
  <r>
    <d v="2020-12-26T00:00:00"/>
    <s v="26"/>
    <s v="Des"/>
    <n v="6"/>
    <n v="5"/>
    <n v="1"/>
    <s v="Laptop"/>
    <s v="Computer"/>
    <n v="80000000"/>
    <x v="34"/>
    <x v="0"/>
    <x v="1"/>
    <x v="3"/>
    <x v="3"/>
  </r>
  <r>
    <d v="2020-12-26T00:00:00"/>
    <s v="26"/>
    <s v="Des"/>
    <n v="4"/>
    <n v="2"/>
    <n v="2"/>
    <s v="Laptop"/>
    <s v="Computer"/>
    <n v="80000000"/>
    <x v="11"/>
    <x v="1"/>
    <x v="1"/>
    <x v="3"/>
    <x v="2"/>
  </r>
  <r>
    <d v="2020-12-26T00:00:00"/>
    <s v="26"/>
    <s v="Des"/>
    <n v="3"/>
    <n v="1"/>
    <n v="2"/>
    <s v="Laptop"/>
    <s v="Computer"/>
    <n v="120000000"/>
    <x v="25"/>
    <x v="3"/>
    <x v="1"/>
    <x v="3"/>
    <x v="1"/>
  </r>
  <r>
    <d v="2020-12-27T00:00:00"/>
    <s v="27"/>
    <s v="Des"/>
    <n v="10"/>
    <n v="9"/>
    <n v="1"/>
    <s v="Office Table"/>
    <s v="Furniture"/>
    <n v="40000000"/>
    <x v="36"/>
    <x v="0"/>
    <x v="1"/>
    <x v="3"/>
    <x v="0"/>
  </r>
  <r>
    <d v="2020-12-27T00:00:00"/>
    <s v="27"/>
    <s v="Des"/>
    <n v="10"/>
    <n v="8"/>
    <n v="2"/>
    <s v="Laptop"/>
    <s v="Computer"/>
    <n v="80000000"/>
    <x v="19"/>
    <x v="2"/>
    <x v="1"/>
    <x v="3"/>
    <x v="1"/>
  </r>
  <r>
    <d v="2020-12-27T00:00:00"/>
    <s v="27"/>
    <s v="Des"/>
    <n v="7"/>
    <n v="5"/>
    <n v="2"/>
    <s v="AC"/>
    <s v="Electronic"/>
    <n v="60000000"/>
    <x v="28"/>
    <x v="3"/>
    <x v="1"/>
    <x v="3"/>
    <x v="1"/>
  </r>
  <r>
    <d v="2020-12-27T00:00:00"/>
    <s v="27"/>
    <s v="Des"/>
    <n v="7"/>
    <n v="6"/>
    <n v="1"/>
    <s v="Laptop"/>
    <s v="Computer"/>
    <n v="100000000"/>
    <x v="20"/>
    <x v="0"/>
    <x v="1"/>
    <x v="3"/>
    <x v="2"/>
  </r>
  <r>
    <d v="2020-12-27T00:00:00"/>
    <s v="27"/>
    <s v="Des"/>
    <n v="6"/>
    <n v="4"/>
    <n v="2"/>
    <s v="Office Chair"/>
    <s v="Furniture"/>
    <n v="60000000"/>
    <x v="46"/>
    <x v="2"/>
    <x v="1"/>
    <x v="3"/>
    <x v="2"/>
  </r>
  <r>
    <d v="2020-12-27T00:00:00"/>
    <s v="27"/>
    <s v="Des"/>
    <n v="6"/>
    <n v="5"/>
    <n v="1"/>
    <s v="Cable"/>
    <s v="Networking"/>
    <n v="120000000"/>
    <x v="38"/>
    <x v="0"/>
    <x v="1"/>
    <x v="3"/>
    <x v="2"/>
  </r>
  <r>
    <d v="2020-12-27T00:00:00"/>
    <s v="27"/>
    <s v="Des"/>
    <n v="6"/>
    <n v="4"/>
    <n v="2"/>
    <s v="Table Lamp"/>
    <s v="Accessories"/>
    <n v="120000000"/>
    <x v="47"/>
    <x v="0"/>
    <x v="1"/>
    <x v="3"/>
    <x v="0"/>
  </r>
  <r>
    <d v="2020-12-27T00:00:00"/>
    <s v="27"/>
    <s v="Des"/>
    <n v="5"/>
    <n v="3"/>
    <n v="2"/>
    <s v="Laptop"/>
    <s v="Computer"/>
    <n v="100000000"/>
    <x v="15"/>
    <x v="0"/>
    <x v="1"/>
    <x v="3"/>
    <x v="0"/>
  </r>
  <r>
    <d v="2020-12-27T00:00:00"/>
    <s v="27"/>
    <s v="Des"/>
    <n v="5"/>
    <n v="4"/>
    <n v="1"/>
    <s v="Cable"/>
    <s v="Networking"/>
    <n v="80000000"/>
    <x v="47"/>
    <x v="0"/>
    <x v="1"/>
    <x v="3"/>
    <x v="0"/>
  </r>
  <r>
    <d v="2020-12-27T00:00:00"/>
    <s v="27"/>
    <s v="Des"/>
    <n v="4"/>
    <n v="3"/>
    <n v="1"/>
    <s v="TV"/>
    <s v="Electronic"/>
    <n v="140000000"/>
    <x v="5"/>
    <x v="3"/>
    <x v="1"/>
    <x v="3"/>
    <x v="1"/>
  </r>
  <r>
    <d v="2020-12-27T00:00:00"/>
    <s v="27"/>
    <s v="Des"/>
    <n v="4"/>
    <n v="2"/>
    <n v="2"/>
    <s v="Laptop"/>
    <s v="Computer"/>
    <n v="120000000"/>
    <x v="39"/>
    <x v="0"/>
    <x v="1"/>
    <x v="3"/>
    <x v="0"/>
  </r>
  <r>
    <d v="2020-12-28T00:00:00"/>
    <s v="28"/>
    <s v="Des"/>
    <n v="10"/>
    <n v="8"/>
    <n v="2"/>
    <s v="Cable"/>
    <s v="Networking"/>
    <n v="120000000"/>
    <x v="38"/>
    <x v="0"/>
    <x v="1"/>
    <x v="3"/>
    <x v="3"/>
  </r>
  <r>
    <d v="2020-12-28T00:00:00"/>
    <s v="28"/>
    <s v="Des"/>
    <n v="10"/>
    <n v="6"/>
    <n v="4"/>
    <s v="Table Lamp"/>
    <s v="Accessories"/>
    <n v="120000000"/>
    <x v="6"/>
    <x v="2"/>
    <x v="1"/>
    <x v="3"/>
    <x v="3"/>
  </r>
  <r>
    <d v="2020-12-28T00:00:00"/>
    <s v="28"/>
    <s v="Des"/>
    <n v="9"/>
    <n v="7"/>
    <n v="2"/>
    <s v="Office Table"/>
    <s v="Furniture"/>
    <n v="40000000"/>
    <x v="37"/>
    <x v="5"/>
    <x v="1"/>
    <x v="3"/>
    <x v="3"/>
  </r>
  <r>
    <d v="2020-12-28T00:00:00"/>
    <s v="28"/>
    <s v="Des"/>
    <n v="8"/>
    <n v="5"/>
    <n v="3"/>
    <s v="Printer"/>
    <s v="Computer"/>
    <n v="140000000"/>
    <x v="28"/>
    <x v="0"/>
    <x v="1"/>
    <x v="3"/>
    <x v="2"/>
  </r>
  <r>
    <d v="2020-12-28T00:00:00"/>
    <s v="28"/>
    <s v="Des"/>
    <n v="7"/>
    <n v="6"/>
    <n v="1"/>
    <s v="Laptop"/>
    <s v="Computer"/>
    <n v="100000000"/>
    <x v="44"/>
    <x v="3"/>
    <x v="1"/>
    <x v="3"/>
    <x v="1"/>
  </r>
  <r>
    <d v="2020-12-28T00:00:00"/>
    <s v="28"/>
    <s v="Des"/>
    <n v="6"/>
    <n v="4"/>
    <n v="2"/>
    <s v="Laptop"/>
    <s v="Computer"/>
    <n v="80000000"/>
    <x v="48"/>
    <x v="2"/>
    <x v="1"/>
    <x v="3"/>
    <x v="3"/>
  </r>
  <r>
    <d v="2020-12-28T00:00:00"/>
    <s v="28"/>
    <s v="Des"/>
    <n v="6"/>
    <n v="5"/>
    <n v="1"/>
    <s v="Coffee Mach"/>
    <s v="Kitchen"/>
    <n v="140000000"/>
    <x v="15"/>
    <x v="2"/>
    <x v="1"/>
    <x v="3"/>
    <x v="3"/>
  </r>
  <r>
    <d v="2020-12-28T00:00:00"/>
    <s v="28"/>
    <s v="Des"/>
    <n v="6"/>
    <n v="5"/>
    <n v="1"/>
    <s v="Laptop"/>
    <s v="Computer"/>
    <n v="140000000"/>
    <x v="15"/>
    <x v="0"/>
    <x v="1"/>
    <x v="3"/>
    <x v="3"/>
  </r>
  <r>
    <d v="2020-12-28T00:00:00"/>
    <s v="28"/>
    <s v="Des"/>
    <n v="5"/>
    <n v="3"/>
    <n v="2"/>
    <s v="Office Chair"/>
    <s v="Furniture"/>
    <n v="120000000"/>
    <x v="35"/>
    <x v="0"/>
    <x v="1"/>
    <x v="3"/>
    <x v="0"/>
  </r>
  <r>
    <d v="2020-12-28T00:00:00"/>
    <s v="28"/>
    <s v="Des"/>
    <n v="5"/>
    <n v="3"/>
    <n v="2"/>
    <s v="Laptop"/>
    <s v="Computer"/>
    <n v="80000000"/>
    <x v="8"/>
    <x v="2"/>
    <x v="1"/>
    <x v="3"/>
    <x v="3"/>
  </r>
  <r>
    <d v="2020-12-28T00:00:00"/>
    <s v="28"/>
    <s v="Des"/>
    <n v="4"/>
    <n v="2"/>
    <n v="2"/>
    <s v="AC"/>
    <s v="Electronic"/>
    <n v="40000000"/>
    <x v="2"/>
    <x v="0"/>
    <x v="1"/>
    <x v="3"/>
    <x v="0"/>
  </r>
  <r>
    <d v="2020-12-28T00:00:00"/>
    <s v="28"/>
    <s v="Des"/>
    <n v="3"/>
    <n v="1"/>
    <n v="2"/>
    <s v="Cable"/>
    <s v="Networking"/>
    <n v="120000000"/>
    <x v="5"/>
    <x v="0"/>
    <x v="1"/>
    <x v="3"/>
    <x v="0"/>
  </r>
  <r>
    <d v="2020-12-28T00:00:00"/>
    <s v="28"/>
    <s v="Des"/>
    <n v="3"/>
    <n v="1"/>
    <n v="2"/>
    <s v="Laptop"/>
    <s v="Computer"/>
    <m/>
    <x v="29"/>
    <x v="0"/>
    <x v="1"/>
    <x v="3"/>
    <x v="0"/>
  </r>
  <r>
    <d v="2020-12-29T00:00:00"/>
    <s v="29"/>
    <s v="Des"/>
    <n v="9"/>
    <n v="6"/>
    <n v="3"/>
    <s v="Laptop"/>
    <s v="Computer"/>
    <m/>
    <x v="34"/>
    <x v="4"/>
    <x v="1"/>
    <x v="3"/>
    <x v="2"/>
  </r>
  <r>
    <d v="2020-12-29T00:00:00"/>
    <s v="29"/>
    <s v="Des"/>
    <n v="8"/>
    <n v="6"/>
    <n v="2"/>
    <s v="Table Lamp"/>
    <s v="Accessories"/>
    <m/>
    <x v="38"/>
    <x v="0"/>
    <x v="1"/>
    <x v="3"/>
    <x v="0"/>
  </r>
  <r>
    <d v="2020-12-29T00:00:00"/>
    <s v="29"/>
    <s v="Des"/>
    <n v="8"/>
    <n v="5"/>
    <n v="3"/>
    <s v="Table Lamp"/>
    <s v="Accessories"/>
    <m/>
    <x v="49"/>
    <x v="0"/>
    <x v="1"/>
    <x v="3"/>
    <x v="1"/>
  </r>
  <r>
    <d v="2020-12-29T00:00:00"/>
    <s v="29"/>
    <s v="Des"/>
    <n v="7"/>
    <n v="4"/>
    <n v="3"/>
    <s v="AC"/>
    <s v="Electronic"/>
    <m/>
    <x v="11"/>
    <x v="2"/>
    <x v="1"/>
    <x v="3"/>
    <x v="3"/>
  </r>
  <r>
    <d v="2020-12-29T00:00:00"/>
    <s v="29"/>
    <s v="Des"/>
    <n v="7"/>
    <n v="5"/>
    <n v="2"/>
    <s v="AC"/>
    <s v="Electronic"/>
    <m/>
    <x v="13"/>
    <x v="1"/>
    <x v="1"/>
    <x v="3"/>
    <x v="2"/>
  </r>
  <r>
    <d v="2020-12-29T00:00:00"/>
    <s v="29"/>
    <s v="Des"/>
    <n v="6"/>
    <n v="5"/>
    <n v="1"/>
    <s v="Table Lamp"/>
    <s v="Accessories"/>
    <m/>
    <x v="4"/>
    <x v="0"/>
    <x v="1"/>
    <x v="3"/>
    <x v="3"/>
  </r>
  <r>
    <d v="2020-12-29T00:00:00"/>
    <s v="29"/>
    <s v="Des"/>
    <n v="5"/>
    <n v="3"/>
    <n v="2"/>
    <s v="TV"/>
    <s v="Electronic"/>
    <m/>
    <x v="12"/>
    <x v="5"/>
    <x v="1"/>
    <x v="3"/>
    <x v="3"/>
  </r>
  <r>
    <d v="2020-12-29T00:00:00"/>
    <s v="29"/>
    <s v="Des"/>
    <n v="3"/>
    <n v="1"/>
    <n v="2"/>
    <s v="AC"/>
    <s v="Electronic"/>
    <m/>
    <x v="15"/>
    <x v="4"/>
    <x v="1"/>
    <x v="3"/>
    <x v="3"/>
  </r>
  <r>
    <d v="2020-12-30T00:00:00"/>
    <s v="30"/>
    <s v="Des"/>
    <n v="10"/>
    <n v="6"/>
    <n v="4"/>
    <s v="Laptop"/>
    <s v="Computer"/>
    <m/>
    <x v="12"/>
    <x v="2"/>
    <x v="1"/>
    <x v="3"/>
    <x v="3"/>
  </r>
  <r>
    <d v="2020-12-30T00:00:00"/>
    <s v="30"/>
    <s v="Des"/>
    <n v="8"/>
    <n v="7"/>
    <n v="1"/>
    <s v="Printer"/>
    <s v="Computer"/>
    <m/>
    <x v="1"/>
    <x v="2"/>
    <x v="1"/>
    <x v="3"/>
    <x v="0"/>
  </r>
  <r>
    <d v="2020-12-30T00:00:00"/>
    <s v="30"/>
    <s v="Des"/>
    <n v="7"/>
    <n v="4"/>
    <n v="3"/>
    <s v="Printer"/>
    <s v="Computer"/>
    <m/>
    <x v="21"/>
    <x v="4"/>
    <x v="1"/>
    <x v="3"/>
    <x v="0"/>
  </r>
  <r>
    <d v="2020-12-30T00:00:00"/>
    <s v="30"/>
    <s v="Des"/>
    <n v="7"/>
    <n v="6"/>
    <n v="1"/>
    <s v="TV"/>
    <s v="Electronic"/>
    <m/>
    <x v="33"/>
    <x v="4"/>
    <x v="1"/>
    <x v="3"/>
    <x v="0"/>
  </r>
  <r>
    <d v="2020-12-30T00:00:00"/>
    <s v="30"/>
    <s v="Des"/>
    <n v="3"/>
    <n v="2"/>
    <n v="1"/>
    <s v="Cable"/>
    <s v="Networking"/>
    <m/>
    <x v="21"/>
    <x v="0"/>
    <x v="1"/>
    <x v="3"/>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200-00000C000000}" name="PivotTable20" cacheId="0" applyNumberFormats="0" applyBorderFormats="0" applyFontFormats="0" applyPatternFormats="0" applyAlignmentFormats="0" applyWidthHeightFormats="1" dataCaption="Values" updatedVersion="5" minRefreshableVersion="3" rowGrandTotals="0" colGrandTotals="0" itemPrintTitles="1" createdVersion="8" indent="0" multipleFieldFilters="0" chartFormat="34">
  <location ref="DR5" firstHeaderRow="0" firstDataRow="0" firstDataCol="0" rowPageCount="1" colPageCount="1"/>
  <pivotFields count="14">
    <pivotField numFmtId="14" showAll="0" defaultSubtotal="0"/>
    <pivotField showAll="0" defaultSubtotal="0"/>
    <pivotField showAll="0" defaultSubtotal="0"/>
    <pivotField numFmtId="3" showAll="0" defaultSubtotal="0"/>
    <pivotField showAll="0" defaultSubtotal="0"/>
    <pivotField showAll="0" defaultSubtotal="0"/>
    <pivotField showAll="0" defaultSubtotal="0"/>
    <pivotField showAll="0" defaultSubtotal="0"/>
    <pivotField numFmtId="3" showAll="0"/>
    <pivotField showAll="0"/>
    <pivotField showAll="0"/>
    <pivotField axis="axisPage" showAll="0">
      <items count="3">
        <item x="0"/>
        <item x="1"/>
        <item t="default"/>
      </items>
    </pivotField>
    <pivotField showAll="0">
      <items count="5">
        <item x="1"/>
        <item x="2"/>
        <item x="0"/>
        <item x="3"/>
        <item t="default"/>
      </items>
    </pivotField>
    <pivotField showAll="0"/>
  </pivotFields>
  <pageFields count="1">
    <pageField fld="11" hier="-1"/>
  </pageFields>
  <formats count="20">
    <format dxfId="19">
      <pivotArea dataOnly="0" labelOnly="1" outline="0" axis="axisValues" fieldPosition="0"/>
    </format>
    <format dxfId="18">
      <pivotArea dataOnly="0" labelOnly="1" outline="0" axis="axisValues" fieldPosition="0"/>
    </format>
    <format dxfId="17">
      <pivotArea type="all" dataOnly="0" outline="0" fieldPosition="0"/>
    </format>
    <format dxfId="16">
      <pivotArea outline="0" collapsedLevelsAreSubtotals="1" fieldPosition="0"/>
    </format>
    <format dxfId="15">
      <pivotArea dataOnly="0" labelOnly="1" outline="0" axis="axisValues" fieldPosition="0"/>
    </format>
    <format dxfId="14">
      <pivotArea dataOnly="0" labelOnly="1" outline="0" axis="axisValues" fieldPosition="0"/>
    </format>
    <format dxfId="13">
      <pivotArea field="11" type="button" dataOnly="0" labelOnly="1" outline="0" axis="axisPage" fieldPosition="0"/>
    </format>
    <format dxfId="12">
      <pivotArea grandRow="1" outline="0" collapsedLevelsAreSubtotals="1" fieldPosition="0"/>
    </format>
    <format dxfId="11">
      <pivotArea dataOnly="0" labelOnly="1" grandRow="1" outline="0" fieldPosition="0"/>
    </format>
    <format dxfId="10">
      <pivotArea field="11" type="button" dataOnly="0" labelOnly="1" outline="0" axis="axisPage" fieldPosition="0"/>
    </format>
    <format dxfId="9">
      <pivotArea dataOnly="0" labelOnly="1" outline="0" axis="axisValues" fieldPosition="0"/>
    </format>
    <format dxfId="8">
      <pivotArea type="all" dataOnly="0" outline="0" fieldPosition="0"/>
    </format>
    <format dxfId="7">
      <pivotArea outline="0" collapsedLevelsAreSubtotals="1" fieldPosition="0"/>
    </format>
    <format dxfId="6">
      <pivotArea field="11" type="button" dataOnly="0" labelOnly="1" outline="0" axis="axisPage" fieldPosition="0"/>
    </format>
    <format dxfId="5">
      <pivotArea dataOnly="0" labelOnly="1" outline="0" axis="axisValues" fieldPosition="0"/>
    </format>
    <format dxfId="4">
      <pivotArea grandRow="1" outline="0" collapsedLevelsAreSubtotals="1" fieldPosition="0"/>
    </format>
    <format dxfId="3">
      <pivotArea dataOnly="0" labelOnly="1" grandRow="1" outline="0" fieldPosition="0"/>
    </format>
    <format dxfId="2">
      <pivotArea field="12" type="button" dataOnly="0" labelOnly="1" outline="0"/>
    </format>
    <format dxfId="1">
      <pivotArea outline="0" collapsedLevelsAreSubtotals="1" fieldPosition="0"/>
    </format>
    <format dxfId="0">
      <pivotArea dataOnly="0" labelOnly="1" outline="0" fieldPosition="0">
        <references count="1">
          <reference field="11" count="0"/>
        </references>
      </pivotArea>
    </format>
  </formats>
  <pivotTableStyleInfo name="PivotStyleLight16" showRowHeaders="1" showColHeaders="1" showRowStripes="0" showColStripes="0" showLastColumn="1"/>
  <filters count="1">
    <filter fld="12" type="captionNotContains" evalOrder="-1" id="1" stringValue1="Unknown">
      <autoFilter ref="A1">
        <filterColumn colId="0">
          <customFilters>
            <customFilter operator="notEqual" val="*Unknown*"/>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200-000011000000}" name="PivotTable25" cacheId="0" applyNumberFormats="0" applyBorderFormats="0" applyFontFormats="0" applyPatternFormats="0" applyAlignmentFormats="0" applyWidthHeightFormats="1" dataCaption="Values" updatedVersion="5" minRefreshableVersion="3" rowGrandTotals="0" colGrandTotals="0" itemPrintTitles="1" createdVersion="8" indent="0" multipleFieldFilters="0" chartFormat="24">
  <location ref="DD5:DF22" firstHeaderRow="1" firstDataRow="1" firstDataCol="0"/>
  <pivotFields count="14">
    <pivotField numFmtId="14" showAll="0" defaultSubtotal="0"/>
    <pivotField showAll="0" defaultSubtotal="0"/>
    <pivotField showAll="0" defaultSubtotal="0"/>
    <pivotField numFmtId="3" showAll="0" defaultSubtotal="0"/>
    <pivotField showAll="0" defaultSubtotal="0"/>
    <pivotField showAll="0" defaultSubtotal="0"/>
    <pivotField showAll="0" defaultSubtotal="0"/>
    <pivotField showAll="0" defaultSubtotal="0"/>
    <pivotField numFmtId="3" showAll="0"/>
    <pivotField showAll="0"/>
    <pivotField showAll="0"/>
    <pivotField showAll="0">
      <items count="3">
        <item x="0"/>
        <item x="1"/>
        <item t="default"/>
      </items>
    </pivotField>
    <pivotField showAll="0">
      <items count="5">
        <item x="1"/>
        <item x="2"/>
        <item x="0"/>
        <item x="3"/>
        <item t="default"/>
      </items>
    </pivotField>
    <pivotField showAll="0"/>
  </pivotFields>
  <formats count="18">
    <format dxfId="37">
      <pivotArea dataOnly="0" labelOnly="1" outline="0" axis="axisValues" fieldPosition="0"/>
    </format>
    <format dxfId="36">
      <pivotArea dataOnly="0" labelOnly="1" outline="0" axis="axisValues" fieldPosition="0"/>
    </format>
    <format dxfId="35">
      <pivotArea type="all" dataOnly="0" outline="0" fieldPosition="0"/>
    </format>
    <format dxfId="34">
      <pivotArea outline="0" collapsedLevelsAreSubtotals="1" fieldPosition="0"/>
    </format>
    <format dxfId="33">
      <pivotArea dataOnly="0" labelOnly="1" outline="0" axis="axisValues" fieldPosition="0"/>
    </format>
    <format dxfId="32">
      <pivotArea dataOnly="0" labelOnly="1" outline="0" axis="axisValues" fieldPosition="0"/>
    </format>
    <format dxfId="31">
      <pivotArea field="11" type="button" dataOnly="0" labelOnly="1" outline="0"/>
    </format>
    <format dxfId="30">
      <pivotArea grandRow="1" outline="0" collapsedLevelsAreSubtotals="1" fieldPosition="0"/>
    </format>
    <format dxfId="29">
      <pivotArea dataOnly="0" labelOnly="1" grandRow="1" outline="0" fieldPosition="0"/>
    </format>
    <format dxfId="28">
      <pivotArea field="11" type="button" dataOnly="0" labelOnly="1" outline="0"/>
    </format>
    <format dxfId="27">
      <pivotArea dataOnly="0" labelOnly="1" outline="0" axis="axisValues" fieldPosition="0"/>
    </format>
    <format dxfId="26">
      <pivotArea type="all" dataOnly="0" outline="0" fieldPosition="0"/>
    </format>
    <format dxfId="25">
      <pivotArea outline="0" collapsedLevelsAreSubtotals="1" fieldPosition="0"/>
    </format>
    <format dxfId="24">
      <pivotArea field="11" type="button" dataOnly="0" labelOnly="1" outline="0"/>
    </format>
    <format dxfId="23">
      <pivotArea dataOnly="0" labelOnly="1" outline="0" axis="axisValues" fieldPosition="0"/>
    </format>
    <format dxfId="22">
      <pivotArea grandRow="1" outline="0" collapsedLevelsAreSubtotals="1" fieldPosition="0"/>
    </format>
    <format dxfId="21">
      <pivotArea dataOnly="0" labelOnly="1" grandRow="1" outline="0" fieldPosition="0"/>
    </format>
    <format dxfId="20">
      <pivotArea field="12" type="button" dataOnly="0" labelOnly="1" outline="0"/>
    </format>
  </formats>
  <pivotTableStyleInfo name="PivotStyleLight16" showRowHeaders="1" showColHeaders="1" showRowStripes="0" showColStripes="0" showLastColumn="1"/>
  <filters count="1">
    <filter fld="12" type="captionNotContains" evalOrder="-1" id="1" stringValue1="Unknown">
      <autoFilter ref="A1">
        <filterColumn colId="0">
          <customFilters>
            <customFilter operator="notEqual" val="*Unknown*"/>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200-00000D000000}" name="PivotTable21" cacheId="0" applyNumberFormats="0" applyBorderFormats="0" applyFontFormats="0" applyPatternFormats="0" applyAlignmentFormats="0" applyWidthHeightFormats="1" dataCaption="Values" updatedVersion="5" minRefreshableVersion="3" rowGrandTotals="0" colGrandTotals="0" itemPrintTitles="1" createdVersion="8" indent="0" multipleFieldFilters="0" chartFormat="42">
  <location ref="EC5:EC6" firstHeaderRow="1" firstDataRow="1" firstDataCol="0" rowPageCount="1" colPageCount="1"/>
  <pivotFields count="14">
    <pivotField numFmtId="14" showAll="0" defaultSubtotal="0"/>
    <pivotField showAll="0" defaultSubtotal="0"/>
    <pivotField showAll="0" defaultSubtotal="0"/>
    <pivotField numFmtId="3" showAll="0" defaultSubtotal="0"/>
    <pivotField showAll="0" defaultSubtotal="0"/>
    <pivotField showAll="0" defaultSubtotal="0"/>
    <pivotField showAll="0" defaultSubtotal="0"/>
    <pivotField showAll="0" defaultSubtotal="0"/>
    <pivotField dataField="1" numFmtId="3" showAll="0"/>
    <pivotField showAll="0"/>
    <pivotField showAll="0"/>
    <pivotField axis="axisPage" showAll="0">
      <items count="3">
        <item x="0"/>
        <item x="1"/>
        <item t="default"/>
      </items>
    </pivotField>
    <pivotField showAll="0">
      <items count="5">
        <item x="1"/>
        <item x="2"/>
        <item x="0"/>
        <item x="3"/>
        <item t="default"/>
      </items>
    </pivotField>
    <pivotField showAll="0">
      <items count="5">
        <item h="1" x="3"/>
        <item x="0"/>
        <item h="1" x="2"/>
        <item h="1" x="1"/>
        <item t="default"/>
      </items>
    </pivotField>
  </pivotFields>
  <rowItems count="1">
    <i/>
  </rowItems>
  <colItems count="1">
    <i/>
  </colItems>
  <pageFields count="1">
    <pageField fld="11" hier="-1"/>
  </pageFields>
  <dataFields count="1">
    <dataField name="Sum of Amount of Sales" fld="8" baseField="0" baseItem="0" numFmtId="164"/>
  </dataFields>
  <formats count="24">
    <format dxfId="61">
      <pivotArea dataOnly="0" labelOnly="1" outline="0" axis="axisValues" fieldPosition="0"/>
    </format>
    <format dxfId="60">
      <pivotArea dataOnly="0" labelOnly="1" outline="0" axis="axisValues" fieldPosition="0"/>
    </format>
    <format dxfId="59">
      <pivotArea type="all" dataOnly="0" outline="0" fieldPosition="0"/>
    </format>
    <format dxfId="58">
      <pivotArea outline="0" collapsedLevelsAreSubtotals="1" fieldPosition="0"/>
    </format>
    <format dxfId="57">
      <pivotArea dataOnly="0" labelOnly="1" outline="0" axis="axisValues" fieldPosition="0"/>
    </format>
    <format dxfId="56">
      <pivotArea dataOnly="0" labelOnly="1" outline="0" axis="axisValues" fieldPosition="0"/>
    </format>
    <format dxfId="55">
      <pivotArea field="11" type="button" dataOnly="0" labelOnly="1" outline="0" axis="axisPage" fieldPosition="0"/>
    </format>
    <format dxfId="54">
      <pivotArea grandRow="1" outline="0" collapsedLevelsAreSubtotals="1" fieldPosition="0"/>
    </format>
    <format dxfId="53">
      <pivotArea dataOnly="0" labelOnly="1" grandRow="1" outline="0" fieldPosition="0"/>
    </format>
    <format dxfId="52">
      <pivotArea field="11" type="button" dataOnly="0" labelOnly="1" outline="0" axis="axisPage" fieldPosition="0"/>
    </format>
    <format dxfId="51">
      <pivotArea dataOnly="0" labelOnly="1" outline="0" axis="axisValues" fieldPosition="0"/>
    </format>
    <format dxfId="50">
      <pivotArea type="all" dataOnly="0" outline="0" fieldPosition="0"/>
    </format>
    <format dxfId="49">
      <pivotArea outline="0" collapsedLevelsAreSubtotals="1" fieldPosition="0"/>
    </format>
    <format dxfId="48">
      <pivotArea field="11" type="button" dataOnly="0" labelOnly="1" outline="0" axis="axisPage" fieldPosition="0"/>
    </format>
    <format dxfId="47">
      <pivotArea dataOnly="0" labelOnly="1" outline="0" axis="axisValues" fieldPosition="0"/>
    </format>
    <format dxfId="46">
      <pivotArea grandRow="1" outline="0" collapsedLevelsAreSubtotals="1" fieldPosition="0"/>
    </format>
    <format dxfId="45">
      <pivotArea dataOnly="0" labelOnly="1" grandRow="1" outline="0" fieldPosition="0"/>
    </format>
    <format dxfId="44">
      <pivotArea field="12" type="button" dataOnly="0" labelOnly="1" outline="0"/>
    </format>
    <format dxfId="43">
      <pivotArea outline="0" collapsedLevelsAreSubtotals="1" fieldPosition="0"/>
    </format>
    <format dxfId="42">
      <pivotArea dataOnly="0" labelOnly="1" outline="0" fieldPosition="0">
        <references count="1">
          <reference field="11" count="0"/>
        </references>
      </pivotArea>
    </format>
    <format dxfId="41">
      <pivotArea outline="0" collapsedLevelsAreSubtotals="1" fieldPosition="0"/>
    </format>
    <format dxfId="40">
      <pivotArea outline="0" collapsedLevelsAreSubtotals="1" fieldPosition="0"/>
    </format>
    <format dxfId="39">
      <pivotArea type="origin" dataOnly="0" labelOnly="1" outline="0" fieldPosition="0"/>
    </format>
    <format dxfId="38">
      <pivotArea type="topRight" dataOnly="0" labelOnly="1" outline="0" fieldPosition="0"/>
    </format>
  </formats>
  <chartFormats count="1">
    <chartFormat chart="38" format="18"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2" type="captionNotContains" evalOrder="-1" id="1" stringValue1="Unknown">
      <autoFilter ref="A1">
        <filterColumn colId="0">
          <customFilters>
            <customFilter operator="notEqual" val="*Unknown*"/>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200-000019000000}" name="PivotTable9" cacheId="0" applyNumberFormats="0" applyBorderFormats="0" applyFontFormats="0" applyPatternFormats="0" applyAlignmentFormats="0" applyWidthHeightFormats="1" dataCaption="Values" updatedVersion="5" minRefreshableVersion="3" colGrandTotals="0" itemPrintTitles="1" createdVersion="8" indent="0" multipleFieldFilters="0" chartFormat="16">
  <location ref="AQ5:AR12" firstHeaderRow="1" firstDataRow="1" firstDataCol="1"/>
  <pivotFields count="14">
    <pivotField numFmtId="14" showAll="0" defaultSubtotal="0"/>
    <pivotField showAll="0" defaultSubtotal="0"/>
    <pivotField showAll="0" defaultSubtotal="0"/>
    <pivotField numFmtId="3" showAll="0" defaultSubtotal="0"/>
    <pivotField showAll="0" defaultSubtotal="0"/>
    <pivotField showAll="0" defaultSubtotal="0"/>
    <pivotField showAll="0" defaultSubtotal="0"/>
    <pivotField showAll="0" defaultSubtotal="0"/>
    <pivotField numFmtId="3" showAll="0"/>
    <pivotField showAll="0"/>
    <pivotField axis="axisRow" dataField="1" showAll="0">
      <items count="7">
        <item x="1"/>
        <item x="2"/>
        <item x="3"/>
        <item x="5"/>
        <item x="4"/>
        <item x="0"/>
        <item t="default"/>
      </items>
    </pivotField>
    <pivotField showAll="0">
      <items count="3">
        <item x="0"/>
        <item x="1"/>
        <item t="default"/>
      </items>
    </pivotField>
    <pivotField showAll="0"/>
    <pivotField showAll="0">
      <items count="5">
        <item h="1" x="3"/>
        <item x="0"/>
        <item h="1" x="2"/>
        <item h="1" x="1"/>
        <item t="default"/>
      </items>
    </pivotField>
  </pivotFields>
  <rowFields count="1">
    <field x="10"/>
  </rowFields>
  <rowItems count="7">
    <i>
      <x/>
    </i>
    <i>
      <x v="1"/>
    </i>
    <i>
      <x v="2"/>
    </i>
    <i>
      <x v="3"/>
    </i>
    <i>
      <x v="4"/>
    </i>
    <i>
      <x v="5"/>
    </i>
    <i t="grand">
      <x/>
    </i>
  </rowItems>
  <colItems count="1">
    <i/>
  </colItems>
  <dataFields count="1">
    <dataField name="Count of Sales Area" fld="10" subtotal="count" baseField="0" baseItem="0"/>
  </dataFields>
  <formats count="18">
    <format dxfId="79">
      <pivotArea dataOnly="0" labelOnly="1" outline="0" axis="axisValues" fieldPosition="0"/>
    </format>
    <format dxfId="78">
      <pivotArea dataOnly="0" labelOnly="1" outline="0" axis="axisValues" fieldPosition="0"/>
    </format>
    <format dxfId="77">
      <pivotArea type="all" dataOnly="0" outline="0" fieldPosition="0"/>
    </format>
    <format dxfId="76">
      <pivotArea outline="0" collapsedLevelsAreSubtotals="1" fieldPosition="0"/>
    </format>
    <format dxfId="75">
      <pivotArea dataOnly="0" labelOnly="1" outline="0" axis="axisValues" fieldPosition="0"/>
    </format>
    <format dxfId="74">
      <pivotArea dataOnly="0" labelOnly="1" outline="0" axis="axisValues" fieldPosition="0"/>
    </format>
    <format dxfId="73">
      <pivotArea field="11" type="button" dataOnly="0" labelOnly="1" outline="0"/>
    </format>
    <format dxfId="72">
      <pivotArea grandRow="1" outline="0" collapsedLevelsAreSubtotals="1" fieldPosition="0"/>
    </format>
    <format dxfId="71">
      <pivotArea dataOnly="0" labelOnly="1" grandRow="1" outline="0" fieldPosition="0"/>
    </format>
    <format dxfId="70">
      <pivotArea field="11" type="button" dataOnly="0" labelOnly="1" outline="0"/>
    </format>
    <format dxfId="69">
      <pivotArea dataOnly="0" labelOnly="1" outline="0" axis="axisValues" fieldPosition="0"/>
    </format>
    <format dxfId="68">
      <pivotArea type="all" dataOnly="0" outline="0" fieldPosition="0"/>
    </format>
    <format dxfId="67">
      <pivotArea outline="0" collapsedLevelsAreSubtotals="1" fieldPosition="0"/>
    </format>
    <format dxfId="66">
      <pivotArea field="11" type="button" dataOnly="0" labelOnly="1" outline="0"/>
    </format>
    <format dxfId="65">
      <pivotArea dataOnly="0" labelOnly="1" outline="0" axis="axisValues" fieldPosition="0"/>
    </format>
    <format dxfId="64">
      <pivotArea grandRow="1" outline="0" collapsedLevelsAreSubtotals="1" fieldPosition="0"/>
    </format>
    <format dxfId="63">
      <pivotArea dataOnly="0" labelOnly="1" grandRow="1" outline="0" fieldPosition="0"/>
    </format>
    <format dxfId="62">
      <pivotArea field="10" type="button" dataOnly="0" labelOnly="1" outline="0" axis="axisRow" fieldPosition="0"/>
    </format>
  </formats>
  <chartFormats count="1">
    <chartFormat chart="12"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200-000005000000}" name="PivotTable14" cacheId="0" applyNumberFormats="0" applyBorderFormats="0" applyFontFormats="0" applyPatternFormats="0" applyAlignmentFormats="0" applyWidthHeightFormats="1" dataCaption="Values" updatedVersion="5" minRefreshableVersion="3" rowGrandTotals="0" colGrandTotals="0" itemPrintTitles="1" createdVersion="8" indent="0" multipleFieldFilters="0" chartFormat="10">
  <location ref="BQ5:BS22" firstHeaderRow="1" firstDataRow="1" firstDataCol="0"/>
  <pivotFields count="14">
    <pivotField numFmtId="14" showAll="0" defaultSubtotal="0"/>
    <pivotField showAll="0" defaultSubtotal="0"/>
    <pivotField showAll="0" defaultSubtotal="0"/>
    <pivotField numFmtId="3" showAll="0" defaultSubtotal="0"/>
    <pivotField showAll="0" defaultSubtotal="0"/>
    <pivotField showAll="0" defaultSubtotal="0"/>
    <pivotField showAll="0" defaultSubtotal="0"/>
    <pivotField showAll="0" defaultSubtotal="0"/>
    <pivotField numFmtId="3" showAll="0"/>
    <pivotField showAll="0"/>
    <pivotField showAll="0"/>
    <pivotField showAll="0">
      <items count="3">
        <item x="0"/>
        <item x="1"/>
        <item t="default"/>
      </items>
    </pivotField>
    <pivotField showAll="0"/>
    <pivotField showAll="0"/>
  </pivotFields>
  <formats count="17">
    <format dxfId="96">
      <pivotArea dataOnly="0" labelOnly="1" outline="0" axis="axisValues" fieldPosition="0"/>
    </format>
    <format dxfId="95">
      <pivotArea dataOnly="0" labelOnly="1" outline="0" axis="axisValues" fieldPosition="0"/>
    </format>
    <format dxfId="94">
      <pivotArea type="all" dataOnly="0" outline="0" fieldPosition="0"/>
    </format>
    <format dxfId="93">
      <pivotArea outline="0" collapsedLevelsAreSubtotals="1" fieldPosition="0"/>
    </format>
    <format dxfId="92">
      <pivotArea dataOnly="0" labelOnly="1" outline="0" axis="axisValues" fieldPosition="0"/>
    </format>
    <format dxfId="91">
      <pivotArea dataOnly="0" labelOnly="1" outline="0" axis="axisValues" fieldPosition="0"/>
    </format>
    <format dxfId="90">
      <pivotArea field="11" type="button" dataOnly="0" labelOnly="1" outline="0"/>
    </format>
    <format dxfId="89">
      <pivotArea grandRow="1" outline="0" collapsedLevelsAreSubtotals="1" fieldPosition="0"/>
    </format>
    <format dxfId="88">
      <pivotArea dataOnly="0" labelOnly="1" grandRow="1" outline="0" fieldPosition="0"/>
    </format>
    <format dxfId="87">
      <pivotArea field="11" type="button" dataOnly="0" labelOnly="1" outline="0"/>
    </format>
    <format dxfId="86">
      <pivotArea dataOnly="0" labelOnly="1" outline="0" axis="axisValues" fieldPosition="0"/>
    </format>
    <format dxfId="85">
      <pivotArea type="all" dataOnly="0" outline="0" fieldPosition="0"/>
    </format>
    <format dxfId="84">
      <pivotArea outline="0" collapsedLevelsAreSubtotals="1" fieldPosition="0"/>
    </format>
    <format dxfId="83">
      <pivotArea field="11" type="button" dataOnly="0" labelOnly="1" outline="0"/>
    </format>
    <format dxfId="82">
      <pivotArea dataOnly="0" labelOnly="1" outline="0" axis="axisValues" fieldPosition="0"/>
    </format>
    <format dxfId="81">
      <pivotArea grandRow="1" outline="0" collapsedLevelsAreSubtotals="1" fieldPosition="0"/>
    </format>
    <format dxfId="80">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200-00000E000000}" name="PivotTable22" cacheId="0" applyNumberFormats="0" applyBorderFormats="0" applyFontFormats="0" applyPatternFormats="0" applyAlignmentFormats="0" applyWidthHeightFormats="1" dataCaption="Values" updatedVersion="5" minRefreshableVersion="3" colGrandTotals="0" itemPrintTitles="1" createdVersion="8" indent="0" multipleFieldFilters="0" chartFormat="34">
  <location ref="DU5" firstHeaderRow="0" firstDataRow="0" firstDataCol="0" rowPageCount="1" colPageCount="1"/>
  <pivotFields count="14">
    <pivotField numFmtId="14" showAll="0" defaultSubtotal="0"/>
    <pivotField showAll="0" defaultSubtotal="0"/>
    <pivotField showAll="0" defaultSubtotal="0"/>
    <pivotField numFmtId="3" showAll="0" defaultSubtotal="0"/>
    <pivotField showAll="0" defaultSubtotal="0"/>
    <pivotField showAll="0" defaultSubtotal="0"/>
    <pivotField showAll="0" defaultSubtotal="0"/>
    <pivotField showAll="0" defaultSubtotal="0"/>
    <pivotField numFmtId="3" showAll="0"/>
    <pivotField showAll="0"/>
    <pivotField showAll="0"/>
    <pivotField axis="axisPage" showAll="0">
      <items count="3">
        <item x="0"/>
        <item x="1"/>
        <item t="default"/>
      </items>
    </pivotField>
    <pivotField showAll="0">
      <items count="5">
        <item x="1"/>
        <item x="2"/>
        <item x="0"/>
        <item x="3"/>
        <item t="default"/>
      </items>
    </pivotField>
    <pivotField showAll="0">
      <items count="5">
        <item h="1" x="3"/>
        <item x="0"/>
        <item h="1" x="2"/>
        <item h="1" x="1"/>
        <item t="default"/>
      </items>
    </pivotField>
  </pivotFields>
  <pageFields count="1">
    <pageField fld="11" item="1" hier="-1"/>
  </pageFields>
  <formats count="21">
    <format dxfId="117">
      <pivotArea dataOnly="0" labelOnly="1" outline="0" axis="axisValues" fieldPosition="0"/>
    </format>
    <format dxfId="116">
      <pivotArea dataOnly="0" labelOnly="1" outline="0" axis="axisValues" fieldPosition="0"/>
    </format>
    <format dxfId="115">
      <pivotArea type="all" dataOnly="0" outline="0" fieldPosition="0"/>
    </format>
    <format dxfId="114">
      <pivotArea outline="0" collapsedLevelsAreSubtotals="1" fieldPosition="0"/>
    </format>
    <format dxfId="113">
      <pivotArea dataOnly="0" labelOnly="1" outline="0" axis="axisValues" fieldPosition="0"/>
    </format>
    <format dxfId="112">
      <pivotArea dataOnly="0" labelOnly="1" outline="0" axis="axisValues" fieldPosition="0"/>
    </format>
    <format dxfId="111">
      <pivotArea field="11" type="button" dataOnly="0" labelOnly="1" outline="0" axis="axisPage" fieldPosition="0"/>
    </format>
    <format dxfId="110">
      <pivotArea grandRow="1" outline="0" collapsedLevelsAreSubtotals="1" fieldPosition="0"/>
    </format>
    <format dxfId="109">
      <pivotArea dataOnly="0" labelOnly="1" grandRow="1" outline="0" fieldPosition="0"/>
    </format>
    <format dxfId="108">
      <pivotArea field="11" type="button" dataOnly="0" labelOnly="1" outline="0" axis="axisPage" fieldPosition="0"/>
    </format>
    <format dxfId="107">
      <pivotArea dataOnly="0" labelOnly="1" outline="0" axis="axisValues" fieldPosition="0"/>
    </format>
    <format dxfId="106">
      <pivotArea type="all" dataOnly="0" outline="0" fieldPosition="0"/>
    </format>
    <format dxfId="105">
      <pivotArea outline="0" collapsedLevelsAreSubtotals="1" fieldPosition="0"/>
    </format>
    <format dxfId="104">
      <pivotArea field="11" type="button" dataOnly="0" labelOnly="1" outline="0" axis="axisPage" fieldPosition="0"/>
    </format>
    <format dxfId="103">
      <pivotArea dataOnly="0" labelOnly="1" outline="0" axis="axisValues" fieldPosition="0"/>
    </format>
    <format dxfId="102">
      <pivotArea grandRow="1" outline="0" collapsedLevelsAreSubtotals="1" fieldPosition="0"/>
    </format>
    <format dxfId="101">
      <pivotArea dataOnly="0" labelOnly="1" grandRow="1" outline="0" fieldPosition="0"/>
    </format>
    <format dxfId="100">
      <pivotArea field="12" type="button" dataOnly="0" labelOnly="1" outline="0"/>
    </format>
    <format dxfId="99">
      <pivotArea dataOnly="0" labelOnly="1" outline="0" fieldPosition="0">
        <references count="1">
          <reference field="11" count="1">
            <x v="0"/>
          </reference>
        </references>
      </pivotArea>
    </format>
    <format dxfId="98">
      <pivotArea outline="0" collapsedLevelsAreSubtotals="1" fieldPosition="0"/>
    </format>
    <format dxfId="97">
      <pivotArea dataOnly="0" labelOnly="1" outline="0" fieldPosition="0">
        <references count="1">
          <reference field="11" count="1">
            <x v="1"/>
          </reference>
        </references>
      </pivotArea>
    </format>
  </formats>
  <pivotTableStyleInfo name="PivotStyleLight16" showRowHeaders="1" showColHeaders="1" showRowStripes="0" showColStripes="0" showLastColumn="1"/>
  <filters count="1">
    <filter fld="12" type="captionNotContains" evalOrder="-1" id="1" stringValue1="Unknown">
      <autoFilter ref="A1">
        <filterColumn colId="0">
          <customFilters>
            <customFilter operator="notEqual" val="*Unknown*"/>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200-000004000000}" name="PivotTable13" cacheId="0" applyNumberFormats="0" applyBorderFormats="0" applyFontFormats="0" applyPatternFormats="0" applyAlignmentFormats="0" applyWidthHeightFormats="1" dataCaption="Values" updatedVersion="5" minRefreshableVersion="3" colGrandTotals="0" itemPrintTitles="1" createdVersion="8" indent="0" multipleFieldFilters="0" chartFormat="20">
  <location ref="BI5:BI6" firstHeaderRow="1" firstDataRow="1" firstDataCol="0" rowPageCount="1" colPageCount="1"/>
  <pivotFields count="14">
    <pivotField numFmtId="14" showAll="0" defaultSubtotal="0"/>
    <pivotField showAll="0" defaultSubtotal="0"/>
    <pivotField showAll="0" defaultSubtotal="0"/>
    <pivotField numFmtId="3" showAll="0" defaultSubtotal="0"/>
    <pivotField showAll="0" defaultSubtotal="0"/>
    <pivotField showAll="0" defaultSubtotal="0"/>
    <pivotField showAll="0" defaultSubtotal="0"/>
    <pivotField showAll="0" defaultSubtotal="0"/>
    <pivotField dataField="1" numFmtId="3" showAll="0"/>
    <pivotField showAll="0"/>
    <pivotField showAll="0"/>
    <pivotField axis="axisPage" showAll="0">
      <items count="3">
        <item x="0"/>
        <item x="1"/>
        <item t="default"/>
      </items>
    </pivotField>
    <pivotField showAll="0">
      <items count="5">
        <item x="1"/>
        <item x="2"/>
        <item x="0"/>
        <item x="3"/>
        <item t="default"/>
      </items>
    </pivotField>
    <pivotField showAll="0">
      <items count="5">
        <item h="1" x="3"/>
        <item x="0"/>
        <item h="1" x="2"/>
        <item h="1" x="1"/>
        <item t="default"/>
      </items>
    </pivotField>
  </pivotFields>
  <rowItems count="1">
    <i/>
  </rowItems>
  <colItems count="1">
    <i/>
  </colItems>
  <pageFields count="1">
    <pageField fld="11" item="0" hier="-1"/>
  </pageFields>
  <dataFields count="1">
    <dataField name="Sum of Amount of Sales" fld="8" baseField="11" baseItem="0" numFmtId="164"/>
  </dataFields>
  <formats count="20">
    <format dxfId="137">
      <pivotArea dataOnly="0" labelOnly="1" outline="0" axis="axisValues" fieldPosition="0"/>
    </format>
    <format dxfId="136">
      <pivotArea dataOnly="0" labelOnly="1" outline="0" axis="axisValues" fieldPosition="0"/>
    </format>
    <format dxfId="135">
      <pivotArea type="all" dataOnly="0" outline="0" fieldPosition="0"/>
    </format>
    <format dxfId="134">
      <pivotArea outline="0" collapsedLevelsAreSubtotals="1" fieldPosition="0"/>
    </format>
    <format dxfId="133">
      <pivotArea dataOnly="0" labelOnly="1" outline="0" axis="axisValues" fieldPosition="0"/>
    </format>
    <format dxfId="132">
      <pivotArea dataOnly="0" labelOnly="1" outline="0" axis="axisValues" fieldPosition="0"/>
    </format>
    <format dxfId="131">
      <pivotArea field="11" type="button" dataOnly="0" labelOnly="1" outline="0" axis="axisPage" fieldPosition="0"/>
    </format>
    <format dxfId="130">
      <pivotArea grandRow="1" outline="0" collapsedLevelsAreSubtotals="1" fieldPosition="0"/>
    </format>
    <format dxfId="129">
      <pivotArea dataOnly="0" labelOnly="1" grandRow="1" outline="0" fieldPosition="0"/>
    </format>
    <format dxfId="128">
      <pivotArea field="11" type="button" dataOnly="0" labelOnly="1" outline="0" axis="axisPage" fieldPosition="0"/>
    </format>
    <format dxfId="127">
      <pivotArea dataOnly="0" labelOnly="1" outline="0" axis="axisValues" fieldPosition="0"/>
    </format>
    <format dxfId="126">
      <pivotArea type="all" dataOnly="0" outline="0" fieldPosition="0"/>
    </format>
    <format dxfId="125">
      <pivotArea outline="0" collapsedLevelsAreSubtotals="1" fieldPosition="0"/>
    </format>
    <format dxfId="124">
      <pivotArea field="11" type="button" dataOnly="0" labelOnly="1" outline="0" axis="axisPage" fieldPosition="0"/>
    </format>
    <format dxfId="123">
      <pivotArea dataOnly="0" labelOnly="1" outline="0" axis="axisValues" fieldPosition="0"/>
    </format>
    <format dxfId="122">
      <pivotArea grandRow="1" outline="0" collapsedLevelsAreSubtotals="1" fieldPosition="0"/>
    </format>
    <format dxfId="121">
      <pivotArea dataOnly="0" labelOnly="1" grandRow="1" outline="0" fieldPosition="0"/>
    </format>
    <format dxfId="120">
      <pivotArea field="12" type="button" dataOnly="0" labelOnly="1" outline="0"/>
    </format>
    <format dxfId="119">
      <pivotArea outline="0" fieldPosition="0">
        <references count="1">
          <reference field="4294967294" count="1">
            <x v="0"/>
          </reference>
        </references>
      </pivotArea>
    </format>
    <format dxfId="118">
      <pivotArea dataOnly="0" labelOnly="1" outline="0" fieldPosition="0">
        <references count="1">
          <reference field="11" count="1">
            <x v="0"/>
          </reference>
        </references>
      </pivotArea>
    </format>
  </formats>
  <chartFormats count="3">
    <chartFormat chart="13" format="0" series="1">
      <pivotArea type="data" outline="0" fieldPosition="0">
        <references count="1">
          <reference field="4294967294" count="1" selected="0">
            <x v="0"/>
          </reference>
        </references>
      </pivotArea>
    </chartFormat>
    <chartFormat chart="15" format="8"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2" type="captionNotContains" evalOrder="-1" id="1" stringValue1="Unknown">
      <autoFilter ref="A1">
        <filterColumn colId="0">
          <customFilters>
            <customFilter operator="notEqual" val="*Unknown*"/>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200-000008000000}" name="PivotTable17" cacheId="0" applyNumberFormats="0" applyBorderFormats="0" applyFontFormats="0" applyPatternFormats="0" applyAlignmentFormats="0" applyWidthHeightFormats="1" dataCaption="Values" updatedVersion="5" minRefreshableVersion="3" rowGrandTotals="0" colGrandTotals="0" itemPrintTitles="1" createdVersion="8" indent="0" multipleFieldFilters="0" chartFormat="29">
  <location ref="CP5:CP6" firstHeaderRow="1" firstDataRow="1" firstDataCol="0" rowPageCount="1" colPageCount="1"/>
  <pivotFields count="14">
    <pivotField numFmtId="14" showAll="0" defaultSubtotal="0"/>
    <pivotField showAll="0" defaultSubtotal="0"/>
    <pivotField showAll="0" defaultSubtotal="0"/>
    <pivotField numFmtId="3" showAll="0" defaultSubtotal="0"/>
    <pivotField showAll="0" defaultSubtotal="0"/>
    <pivotField showAll="0" defaultSubtotal="0"/>
    <pivotField showAll="0" defaultSubtotal="0"/>
    <pivotField showAll="0" defaultSubtotal="0"/>
    <pivotField dataField="1" numFmtId="3" showAll="0"/>
    <pivotField showAll="0"/>
    <pivotField showAll="0"/>
    <pivotField axis="axisPage" showAll="0">
      <items count="3">
        <item x="0"/>
        <item x="1"/>
        <item t="default"/>
      </items>
    </pivotField>
    <pivotField showAll="0">
      <items count="5">
        <item x="1"/>
        <item x="2"/>
        <item x="0"/>
        <item x="3"/>
        <item t="default"/>
      </items>
    </pivotField>
    <pivotField showAll="0">
      <items count="5">
        <item h="1" x="3"/>
        <item x="0"/>
        <item h="1" x="2"/>
        <item h="1" x="1"/>
        <item t="default"/>
      </items>
    </pivotField>
  </pivotFields>
  <rowItems count="1">
    <i/>
  </rowItems>
  <colItems count="1">
    <i/>
  </colItems>
  <pageFields count="1">
    <pageField fld="11" hier="-1"/>
  </pageFields>
  <dataFields count="1">
    <dataField name="Sum of Amount of Sales" fld="8" baseField="11" baseItem="0" numFmtId="164"/>
  </dataFields>
  <formats count="20">
    <format dxfId="157">
      <pivotArea dataOnly="0" labelOnly="1" outline="0" axis="axisValues" fieldPosition="0"/>
    </format>
    <format dxfId="156">
      <pivotArea dataOnly="0" labelOnly="1" outline="0" axis="axisValues" fieldPosition="0"/>
    </format>
    <format dxfId="155">
      <pivotArea type="all" dataOnly="0" outline="0" fieldPosition="0"/>
    </format>
    <format dxfId="154">
      <pivotArea outline="0" collapsedLevelsAreSubtotals="1" fieldPosition="0"/>
    </format>
    <format dxfId="153">
      <pivotArea dataOnly="0" labelOnly="1" outline="0" axis="axisValues" fieldPosition="0"/>
    </format>
    <format dxfId="152">
      <pivotArea dataOnly="0" labelOnly="1" outline="0" axis="axisValues" fieldPosition="0"/>
    </format>
    <format dxfId="151">
      <pivotArea field="11" type="button" dataOnly="0" labelOnly="1" outline="0" axis="axisPage" fieldPosition="0"/>
    </format>
    <format dxfId="150">
      <pivotArea grandRow="1" outline="0" collapsedLevelsAreSubtotals="1" fieldPosition="0"/>
    </format>
    <format dxfId="149">
      <pivotArea dataOnly="0" labelOnly="1" grandRow="1" outline="0" fieldPosition="0"/>
    </format>
    <format dxfId="148">
      <pivotArea field="11" type="button" dataOnly="0" labelOnly="1" outline="0" axis="axisPage" fieldPosition="0"/>
    </format>
    <format dxfId="147">
      <pivotArea dataOnly="0" labelOnly="1" outline="0" axis="axisValues" fieldPosition="0"/>
    </format>
    <format dxfId="146">
      <pivotArea type="all" dataOnly="0" outline="0" fieldPosition="0"/>
    </format>
    <format dxfId="145">
      <pivotArea outline="0" collapsedLevelsAreSubtotals="1" fieldPosition="0"/>
    </format>
    <format dxfId="144">
      <pivotArea field="11" type="button" dataOnly="0" labelOnly="1" outline="0" axis="axisPage" fieldPosition="0"/>
    </format>
    <format dxfId="143">
      <pivotArea dataOnly="0" labelOnly="1" outline="0" axis="axisValues" fieldPosition="0"/>
    </format>
    <format dxfId="142">
      <pivotArea grandRow="1" outline="0" collapsedLevelsAreSubtotals="1" fieldPosition="0"/>
    </format>
    <format dxfId="141">
      <pivotArea dataOnly="0" labelOnly="1" grandRow="1" outline="0" fieldPosition="0"/>
    </format>
    <format dxfId="140">
      <pivotArea field="12" type="button" dataOnly="0" labelOnly="1" outline="0"/>
    </format>
    <format dxfId="139">
      <pivotArea outline="0" fieldPosition="0">
        <references count="1">
          <reference field="4294967294" count="1">
            <x v="0"/>
          </reference>
        </references>
      </pivotArea>
    </format>
    <format dxfId="138">
      <pivotArea dataOnly="0" labelOnly="1" outline="0" fieldPosition="0">
        <references count="1">
          <reference field="11" count="0"/>
        </references>
      </pivotArea>
    </format>
  </formats>
  <chartFormats count="5">
    <chartFormat chart="13" format="0" series="1">
      <pivotArea type="data" outline="0" fieldPosition="0">
        <references count="1">
          <reference field="4294967294" count="1" selected="0">
            <x v="0"/>
          </reference>
        </references>
      </pivotArea>
    </chartFormat>
    <chartFormat chart="15" format="8"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2" type="captionNotContains" evalOrder="-1" id="1" stringValue1="Unknown">
      <autoFilter ref="A1">
        <filterColumn colId="0">
          <customFilters>
            <customFilter operator="notEqual" val="*Unknown*"/>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200-000002000000}" name="PivotTable11" cacheId="0" applyNumberFormats="0" applyBorderFormats="0" applyFontFormats="0" applyPatternFormats="0" applyAlignmentFormats="0" applyWidthHeightFormats="1" dataCaption="Values" updatedVersion="5" minRefreshableVersion="3" colGrandTotals="0" itemPrintTitles="1" createdVersion="8" indent="0" multipleFieldFilters="0" chartFormat="23">
  <location ref="BA5:BA6" firstHeaderRow="1" firstDataRow="1" firstDataCol="0" rowPageCount="1" colPageCount="1"/>
  <pivotFields count="14">
    <pivotField numFmtId="14" showAll="0" defaultSubtotal="0"/>
    <pivotField showAll="0" defaultSubtotal="0"/>
    <pivotField showAll="0" defaultSubtotal="0"/>
    <pivotField numFmtId="3" showAll="0" defaultSubtotal="0"/>
    <pivotField showAll="0" defaultSubtotal="0"/>
    <pivotField showAll="0" defaultSubtotal="0"/>
    <pivotField showAll="0" defaultSubtotal="0"/>
    <pivotField showAll="0" defaultSubtotal="0"/>
    <pivotField dataField="1" numFmtId="3" showAll="0"/>
    <pivotField showAll="0"/>
    <pivotField showAll="0"/>
    <pivotField axis="axisPage" showAll="0">
      <items count="3">
        <item x="0"/>
        <item x="1"/>
        <item t="default"/>
      </items>
    </pivotField>
    <pivotField showAll="0">
      <items count="5">
        <item x="1"/>
        <item x="2"/>
        <item x="0"/>
        <item x="3"/>
        <item t="default"/>
      </items>
    </pivotField>
    <pivotField showAll="0">
      <items count="5">
        <item h="1" x="3"/>
        <item x="0"/>
        <item h="1" x="2"/>
        <item h="1" x="1"/>
        <item t="default"/>
      </items>
    </pivotField>
  </pivotFields>
  <rowItems count="1">
    <i/>
  </rowItems>
  <colItems count="1">
    <i/>
  </colItems>
  <pageFields count="1">
    <pageField fld="11" item="0" hier="-1"/>
  </pageFields>
  <dataFields count="1">
    <dataField name="Sum of Amount of Sales" fld="8" baseField="11" baseItem="0" numFmtId="164"/>
  </dataFields>
  <formats count="20">
    <format dxfId="177">
      <pivotArea dataOnly="0" labelOnly="1" outline="0" axis="axisValues" fieldPosition="0"/>
    </format>
    <format dxfId="176">
      <pivotArea dataOnly="0" labelOnly="1" outline="0" axis="axisValues" fieldPosition="0"/>
    </format>
    <format dxfId="175">
      <pivotArea type="all" dataOnly="0" outline="0" fieldPosition="0"/>
    </format>
    <format dxfId="174">
      <pivotArea outline="0" collapsedLevelsAreSubtotals="1" fieldPosition="0"/>
    </format>
    <format dxfId="173">
      <pivotArea dataOnly="0" labelOnly="1" outline="0" axis="axisValues" fieldPosition="0"/>
    </format>
    <format dxfId="172">
      <pivotArea dataOnly="0" labelOnly="1" outline="0" axis="axisValues" fieldPosition="0"/>
    </format>
    <format dxfId="171">
      <pivotArea field="11" type="button" dataOnly="0" labelOnly="1" outline="0" axis="axisPage" fieldPosition="0"/>
    </format>
    <format dxfId="170">
      <pivotArea grandRow="1" outline="0" collapsedLevelsAreSubtotals="1" fieldPosition="0"/>
    </format>
    <format dxfId="169">
      <pivotArea dataOnly="0" labelOnly="1" grandRow="1" outline="0" fieldPosition="0"/>
    </format>
    <format dxfId="168">
      <pivotArea field="11" type="button" dataOnly="0" labelOnly="1" outline="0" axis="axisPage" fieldPosition="0"/>
    </format>
    <format dxfId="167">
      <pivotArea dataOnly="0" labelOnly="1" outline="0" axis="axisValues" fieldPosition="0"/>
    </format>
    <format dxfId="166">
      <pivotArea type="all" dataOnly="0" outline="0" fieldPosition="0"/>
    </format>
    <format dxfId="165">
      <pivotArea outline="0" collapsedLevelsAreSubtotals="1" fieldPosition="0"/>
    </format>
    <format dxfId="164">
      <pivotArea field="11" type="button" dataOnly="0" labelOnly="1" outline="0" axis="axisPage" fieldPosition="0"/>
    </format>
    <format dxfId="163">
      <pivotArea dataOnly="0" labelOnly="1" outline="0" axis="axisValues" fieldPosition="0"/>
    </format>
    <format dxfId="162">
      <pivotArea grandRow="1" outline="0" collapsedLevelsAreSubtotals="1" fieldPosition="0"/>
    </format>
    <format dxfId="161">
      <pivotArea dataOnly="0" labelOnly="1" grandRow="1" outline="0" fieldPosition="0"/>
    </format>
    <format dxfId="160">
      <pivotArea field="12" type="button" dataOnly="0" labelOnly="1" outline="0"/>
    </format>
    <format dxfId="159">
      <pivotArea outline="0" fieldPosition="0">
        <references count="1">
          <reference field="4294967294" count="1">
            <x v="0"/>
          </reference>
        </references>
      </pivotArea>
    </format>
    <format dxfId="158">
      <pivotArea dataOnly="0" labelOnly="1" outline="0" fieldPosition="0">
        <references count="1">
          <reference field="11" count="1">
            <x v="0"/>
          </reference>
        </references>
      </pivotArea>
    </format>
  </formats>
  <chartFormats count="3">
    <chartFormat chart="13" format="0" series="1">
      <pivotArea type="data" outline="0" fieldPosition="0">
        <references count="1">
          <reference field="4294967294" count="1" selected="0">
            <x v="0"/>
          </reference>
        </references>
      </pivotArea>
    </chartFormat>
    <chartFormat chart="15" format="8"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2" type="captionNotContains" evalOrder="-1" id="1" stringValue1="Unknown">
      <autoFilter ref="A1">
        <filterColumn colId="0">
          <customFilters>
            <customFilter operator="notEqual" val="*Unknown*"/>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00000000-0007-0000-0200-000015000000}" name="PivotTable5" cacheId="0" applyNumberFormats="0" applyBorderFormats="0" applyFontFormats="0" applyPatternFormats="0" applyAlignmentFormats="0" applyWidthHeightFormats="1" dataCaption="Values" updatedVersion="5" minRefreshableVersion="3" colGrandTotals="0" itemPrintTitles="1" createdVersion="8" indent="0" multipleFieldFilters="0" chartFormat="7">
  <location ref="AL5:AM22" firstHeaderRow="1" firstDataRow="1" firstDataCol="0"/>
  <pivotFields count="14">
    <pivotField numFmtId="14" showAll="0" defaultSubtotal="0"/>
    <pivotField showAll="0" defaultSubtotal="0"/>
    <pivotField showAll="0" defaultSubtotal="0"/>
    <pivotField numFmtId="3" showAll="0" defaultSubtotal="0"/>
    <pivotField showAll="0" defaultSubtotal="0"/>
    <pivotField showAll="0" defaultSubtotal="0"/>
    <pivotField showAll="0" defaultSubtotal="0"/>
    <pivotField showAll="0" defaultSubtotal="0"/>
    <pivotField numFmtId="3" showAll="0"/>
    <pivotField showAll="0"/>
    <pivotField showAll="0"/>
    <pivotField showAll="0">
      <items count="3">
        <item x="0"/>
        <item x="1"/>
        <item t="default"/>
      </items>
    </pivotField>
    <pivotField showAll="0"/>
    <pivotField showAll="0">
      <items count="5">
        <item h="1" x="3"/>
        <item x="0"/>
        <item h="1" x="2"/>
        <item h="1" x="1"/>
        <item t="default"/>
      </items>
    </pivotField>
  </pivotFields>
  <formats count="19">
    <format dxfId="196">
      <pivotArea dataOnly="0" labelOnly="1" outline="0" axis="axisValues" fieldPosition="0"/>
    </format>
    <format dxfId="195">
      <pivotArea dataOnly="0" labelOnly="1" outline="0" axis="axisValues" fieldPosition="0"/>
    </format>
    <format dxfId="194">
      <pivotArea type="all" dataOnly="0" outline="0" fieldPosition="0"/>
    </format>
    <format dxfId="193">
      <pivotArea outline="0" collapsedLevelsAreSubtotals="1" fieldPosition="0"/>
    </format>
    <format dxfId="192">
      <pivotArea dataOnly="0" labelOnly="1" outline="0" axis="axisValues" fieldPosition="0"/>
    </format>
    <format dxfId="191">
      <pivotArea dataOnly="0" labelOnly="1" outline="0" axis="axisValues" fieldPosition="0"/>
    </format>
    <format dxfId="190">
      <pivotArea field="11" type="button" dataOnly="0" labelOnly="1" outline="0"/>
    </format>
    <format dxfId="189">
      <pivotArea grandRow="1" outline="0" collapsedLevelsAreSubtotals="1" fieldPosition="0"/>
    </format>
    <format dxfId="188">
      <pivotArea dataOnly="0" labelOnly="1" grandRow="1" outline="0" fieldPosition="0"/>
    </format>
    <format dxfId="187">
      <pivotArea field="11" type="button" dataOnly="0" labelOnly="1" outline="0"/>
    </format>
    <format dxfId="186">
      <pivotArea dataOnly="0" labelOnly="1" outline="0" axis="axisValues" fieldPosition="0"/>
    </format>
    <format dxfId="185">
      <pivotArea type="all" dataOnly="0" outline="0" fieldPosition="0"/>
    </format>
    <format dxfId="184">
      <pivotArea outline="0" collapsedLevelsAreSubtotals="1" fieldPosition="0"/>
    </format>
    <format dxfId="183">
      <pivotArea field="11" type="button" dataOnly="0" labelOnly="1" outline="0"/>
    </format>
    <format dxfId="182">
      <pivotArea dataOnly="0" labelOnly="1" outline="0" axis="axisValues" fieldPosition="0"/>
    </format>
    <format dxfId="181">
      <pivotArea grandRow="1" outline="0" collapsedLevelsAreSubtotals="1" fieldPosition="0"/>
    </format>
    <format dxfId="180">
      <pivotArea dataOnly="0" labelOnly="1" grandRow="1" outline="0" fieldPosition="0"/>
    </format>
    <format dxfId="179">
      <pivotArea outline="0" collapsedLevelsAreSubtotals="1" fieldPosition="0"/>
    </format>
    <format dxfId="178">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00000000-0007-0000-0200-000006000000}" name="PivotTable15" cacheId="0" applyNumberFormats="0" applyBorderFormats="0" applyFontFormats="0" applyPatternFormats="0" applyAlignmentFormats="0" applyWidthHeightFormats="1" dataCaption="Values" updatedVersion="5" minRefreshableVersion="3" rowGrandTotals="0" colGrandTotals="0" itemPrintTitles="1" createdVersion="8" indent="0" multipleFieldFilters="0" chartFormat="29">
  <location ref="CD5:CF9" firstHeaderRow="0" firstDataRow="1" firstDataCol="1" rowPageCount="1" colPageCount="1"/>
  <pivotFields count="14">
    <pivotField numFmtId="14" showAll="0" defaultSubtotal="0"/>
    <pivotField showAll="0" defaultSubtotal="0"/>
    <pivotField showAll="0" defaultSubtotal="0"/>
    <pivotField numFmtId="3" showAll="0" defaultSubtotal="0"/>
    <pivotField showAll="0" defaultSubtotal="0"/>
    <pivotField showAll="0" defaultSubtotal="0"/>
    <pivotField showAll="0" defaultSubtotal="0"/>
    <pivotField showAll="0" defaultSubtotal="0"/>
    <pivotField dataField="1" numFmtId="3" showAll="0"/>
    <pivotField showAll="0"/>
    <pivotField showAll="0"/>
    <pivotField axis="axisPage" showAll="0">
      <items count="3">
        <item x="0"/>
        <item x="1"/>
        <item t="default"/>
      </items>
    </pivotField>
    <pivotField showAll="0">
      <items count="5">
        <item x="1"/>
        <item x="2"/>
        <item x="0"/>
        <item x="3"/>
        <item t="default"/>
      </items>
    </pivotField>
    <pivotField axis="axisRow" showAll="0">
      <items count="5">
        <item x="3"/>
        <item x="0"/>
        <item x="2"/>
        <item x="1"/>
        <item t="default"/>
      </items>
    </pivotField>
  </pivotFields>
  <rowFields count="1">
    <field x="13"/>
  </rowFields>
  <rowItems count="4">
    <i>
      <x/>
    </i>
    <i>
      <x v="1"/>
    </i>
    <i>
      <x v="2"/>
    </i>
    <i>
      <x v="3"/>
    </i>
  </rowItems>
  <colFields count="1">
    <field x="-2"/>
  </colFields>
  <colItems count="2">
    <i>
      <x/>
    </i>
    <i i="1">
      <x v="1"/>
    </i>
  </colItems>
  <pageFields count="1">
    <pageField fld="11" item="0" hier="-1"/>
  </pageFields>
  <dataFields count="2">
    <dataField name="Sum of Amount of Sales" fld="8" baseField="11" baseItem="0" numFmtId="164"/>
    <dataField name="Sum of Amount of Sales2" fld="8" baseField="13" baseItem="0" numFmtId="164"/>
  </dataFields>
  <formats count="23">
    <format dxfId="219">
      <pivotArea dataOnly="0" labelOnly="1" outline="0" axis="axisValues" fieldPosition="0"/>
    </format>
    <format dxfId="218">
      <pivotArea dataOnly="0" labelOnly="1" outline="0" axis="axisValues" fieldPosition="0"/>
    </format>
    <format dxfId="217">
      <pivotArea type="all" dataOnly="0" outline="0" fieldPosition="0"/>
    </format>
    <format dxfId="216">
      <pivotArea outline="0" collapsedLevelsAreSubtotals="1" fieldPosition="0"/>
    </format>
    <format dxfId="215">
      <pivotArea dataOnly="0" labelOnly="1" outline="0" axis="axisValues" fieldPosition="0"/>
    </format>
    <format dxfId="214">
      <pivotArea dataOnly="0" labelOnly="1" outline="0" axis="axisValues" fieldPosition="0"/>
    </format>
    <format dxfId="213">
      <pivotArea field="11" type="button" dataOnly="0" labelOnly="1" outline="0" axis="axisPage" fieldPosition="0"/>
    </format>
    <format dxfId="212">
      <pivotArea grandRow="1" outline="0" collapsedLevelsAreSubtotals="1" fieldPosition="0"/>
    </format>
    <format dxfId="211">
      <pivotArea dataOnly="0" labelOnly="1" grandRow="1" outline="0" fieldPosition="0"/>
    </format>
    <format dxfId="210">
      <pivotArea field="11" type="button" dataOnly="0" labelOnly="1" outline="0" axis="axisPage" fieldPosition="0"/>
    </format>
    <format dxfId="209">
      <pivotArea dataOnly="0" labelOnly="1" outline="0" axis="axisValues" fieldPosition="0"/>
    </format>
    <format dxfId="208">
      <pivotArea type="all" dataOnly="0" outline="0" fieldPosition="0"/>
    </format>
    <format dxfId="207">
      <pivotArea outline="0" collapsedLevelsAreSubtotals="1" fieldPosition="0"/>
    </format>
    <format dxfId="206">
      <pivotArea field="11" type="button" dataOnly="0" labelOnly="1" outline="0" axis="axisPage" fieldPosition="0"/>
    </format>
    <format dxfId="205">
      <pivotArea dataOnly="0" labelOnly="1" outline="0" axis="axisValues" fieldPosition="0"/>
    </format>
    <format dxfId="204">
      <pivotArea grandRow="1" outline="0" collapsedLevelsAreSubtotals="1" fieldPosition="0"/>
    </format>
    <format dxfId="203">
      <pivotArea dataOnly="0" labelOnly="1" grandRow="1" outline="0" fieldPosition="0"/>
    </format>
    <format dxfId="202">
      <pivotArea field="12" type="button" dataOnly="0" labelOnly="1" outline="0"/>
    </format>
    <format dxfId="201">
      <pivotArea outline="0" fieldPosition="0">
        <references count="1">
          <reference field="4294967294" count="1">
            <x v="0"/>
          </reference>
        </references>
      </pivotArea>
    </format>
    <format dxfId="200">
      <pivotArea dataOnly="0" labelOnly="1" outline="0" fieldPosition="0">
        <references count="1">
          <reference field="11" count="1">
            <x v="0"/>
          </reference>
        </references>
      </pivotArea>
    </format>
    <format dxfId="199">
      <pivotArea field="13" type="button" dataOnly="0" labelOnly="1" outline="0" axis="axisRow" fieldPosition="0"/>
    </format>
    <format dxfId="198">
      <pivotArea dataOnly="0" labelOnly="1" outline="0" fieldPosition="0">
        <references count="1">
          <reference field="4294967294" count="2">
            <x v="0"/>
            <x v="1"/>
          </reference>
        </references>
      </pivotArea>
    </format>
    <format dxfId="197">
      <pivotArea outline="0" fieldPosition="0">
        <references count="1">
          <reference field="4294967294" count="1">
            <x v="1"/>
          </reference>
        </references>
      </pivotArea>
    </format>
  </formats>
  <chartFormats count="10">
    <chartFormat chart="13" format="0" series="1">
      <pivotArea type="data" outline="0" fieldPosition="0">
        <references count="1">
          <reference field="4294967294" count="1" selected="0">
            <x v="0"/>
          </reference>
        </references>
      </pivotArea>
    </chartFormat>
    <chartFormat chart="15" format="8"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3" format="12" series="1">
      <pivotArea type="data" outline="0" fieldPosition="0">
        <references count="1">
          <reference field="4294967294" count="1" selected="0">
            <x v="0"/>
          </reference>
        </references>
      </pivotArea>
    </chartFormat>
    <chartFormat chart="23" format="13">
      <pivotArea type="data" outline="0" fieldPosition="0">
        <references count="2">
          <reference field="4294967294" count="1" selected="0">
            <x v="0"/>
          </reference>
          <reference field="13" count="1" selected="0">
            <x v="0"/>
          </reference>
        </references>
      </pivotArea>
    </chartFormat>
    <chartFormat chart="23" format="14">
      <pivotArea type="data" outline="0" fieldPosition="0">
        <references count="2">
          <reference field="4294967294" count="1" selected="0">
            <x v="0"/>
          </reference>
          <reference field="13" count="1" selected="0">
            <x v="1"/>
          </reference>
        </references>
      </pivotArea>
    </chartFormat>
    <chartFormat chart="23" format="15">
      <pivotArea type="data" outline="0" fieldPosition="0">
        <references count="2">
          <reference field="4294967294" count="1" selected="0">
            <x v="0"/>
          </reference>
          <reference field="13" count="1" selected="0">
            <x v="2"/>
          </reference>
        </references>
      </pivotArea>
    </chartFormat>
    <chartFormat chart="23" format="16">
      <pivotArea type="data" outline="0" fieldPosition="0">
        <references count="2">
          <reference field="4294967294" count="1" selected="0">
            <x v="0"/>
          </reference>
          <reference field="13" count="1" selected="0">
            <x v="3"/>
          </reference>
        </references>
      </pivotArea>
    </chartFormat>
    <chartFormat chart="23" format="17" series="1">
      <pivotArea type="data" outline="0" fieldPosition="0">
        <references count="1">
          <reference field="4294967294" count="1" selected="0">
            <x v="1"/>
          </reference>
        </references>
      </pivotArea>
    </chartFormat>
    <chartFormat chart="23" format="18">
      <pivotArea type="data" outline="0" fieldPosition="0">
        <references count="2">
          <reference field="4294967294" count="1" selected="0">
            <x v="1"/>
          </reference>
          <reference field="13" count="1" selected="0">
            <x v="3"/>
          </reference>
        </references>
      </pivotArea>
    </chartFormat>
  </chartFormats>
  <pivotTableStyleInfo name="PivotStyleLight16" showRowHeaders="1" showColHeaders="1" showRowStripes="0" showColStripes="0" showLastColumn="1"/>
  <filters count="1">
    <filter fld="12" type="captionNotContains" evalOrder="-1" id="1" stringValue1="Unknown">
      <autoFilter ref="A1">
        <filterColumn colId="0">
          <customFilters>
            <customFilter operator="notEqual" val="*Unknown*"/>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ivotTable1" cacheId="0" applyNumberFormats="0" applyBorderFormats="0" applyFontFormats="0" applyPatternFormats="0" applyAlignmentFormats="0" applyWidthHeightFormats="1" dataCaption="Values" updatedVersion="5" minRefreshableVersion="3" itemPrintTitles="1" createdVersion="8" indent="0" multipleFieldFilters="0">
  <location ref="B5:B6" firstHeaderRow="1" firstDataRow="1" firstDataCol="0"/>
  <pivotFields count="14">
    <pivotField numFmtId="14" showAll="0" defaultSubtotal="0"/>
    <pivotField showAll="0" defaultSubtotal="0"/>
    <pivotField showAll="0" defaultSubtotal="0"/>
    <pivotField numFmtId="3" showAll="0" defaultSubtotal="0"/>
    <pivotField showAll="0" defaultSubtotal="0"/>
    <pivotField showAll="0" defaultSubtotal="0"/>
    <pivotField showAll="0" defaultSubtotal="0"/>
    <pivotField showAll="0" defaultSubtotal="0"/>
    <pivotField dataField="1" numFmtId="3" showAll="0"/>
    <pivotField showAll="0"/>
    <pivotField showAll="0"/>
    <pivotField showAll="0"/>
    <pivotField showAll="0"/>
    <pivotField showAll="0">
      <items count="5">
        <item h="1" x="3"/>
        <item x="0"/>
        <item h="1" x="2"/>
        <item h="1" x="1"/>
        <item t="default"/>
      </items>
    </pivotField>
  </pivotFields>
  <rowItems count="1">
    <i/>
  </rowItems>
  <colItems count="1">
    <i/>
  </colItems>
  <dataFields count="1">
    <dataField name="Realisasi Anggaran" fld="8" baseField="0" baseItem="3" numFmtId="164"/>
  </dataFields>
  <formats count="10">
    <format dxfId="229">
      <pivotArea dataOnly="0" labelOnly="1" outline="0" axis="axisValues" fieldPosition="0"/>
    </format>
    <format dxfId="228">
      <pivotArea dataOnly="0" labelOnly="1" outline="0" axis="axisValues" fieldPosition="0"/>
    </format>
    <format dxfId="227">
      <pivotArea type="all" dataOnly="0" outline="0" fieldPosition="0"/>
    </format>
    <format dxfId="226">
      <pivotArea outline="0" collapsedLevelsAreSubtotals="1" fieldPosition="0"/>
    </format>
    <format dxfId="225">
      <pivotArea dataOnly="0" labelOnly="1" outline="0" axis="axisValues" fieldPosition="0"/>
    </format>
    <format dxfId="224">
      <pivotArea dataOnly="0" labelOnly="1" outline="0" axis="axisValues" fieldPosition="0"/>
    </format>
    <format dxfId="223">
      <pivotArea dataOnly="0" labelOnly="1" outline="0" axis="axisValues" fieldPosition="0"/>
    </format>
    <format dxfId="222">
      <pivotArea type="all" dataOnly="0" outline="0" fieldPosition="0"/>
    </format>
    <format dxfId="221">
      <pivotArea outline="0" collapsedLevelsAreSubtotals="1" fieldPosition="0"/>
    </format>
    <format dxfId="22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0000000-0007-0000-0200-000018000000}" name="PivotTable8" cacheId="0" applyNumberFormats="0" applyBorderFormats="0" applyFontFormats="0" applyPatternFormats="0" applyAlignmentFormats="0" applyWidthHeightFormats="1" dataCaption="Values" updatedVersion="5" minRefreshableVersion="3" colGrandTotals="0" itemPrintTitles="1" createdVersion="8" indent="0" multipleFieldFilters="0" chartFormat="7">
  <location ref="AN5:AP22" firstHeaderRow="1" firstDataRow="1" firstDataCol="0"/>
  <pivotFields count="14">
    <pivotField numFmtId="14" showAll="0" defaultSubtotal="0"/>
    <pivotField showAll="0" defaultSubtotal="0"/>
    <pivotField showAll="0" defaultSubtotal="0"/>
    <pivotField numFmtId="3" showAll="0" defaultSubtotal="0"/>
    <pivotField showAll="0" defaultSubtotal="0"/>
    <pivotField showAll="0" defaultSubtotal="0"/>
    <pivotField showAll="0" defaultSubtotal="0"/>
    <pivotField showAll="0" defaultSubtotal="0"/>
    <pivotField numFmtId="3" showAll="0"/>
    <pivotField showAll="0"/>
    <pivotField showAll="0"/>
    <pivotField showAll="0">
      <items count="3">
        <item x="0"/>
        <item x="1"/>
        <item t="default"/>
      </items>
    </pivotField>
    <pivotField showAll="0"/>
    <pivotField showAll="0">
      <items count="5">
        <item h="1" x="3"/>
        <item x="0"/>
        <item h="1" x="2"/>
        <item h="1" x="1"/>
        <item t="default"/>
      </items>
    </pivotField>
  </pivotFields>
  <formats count="19">
    <format dxfId="248">
      <pivotArea dataOnly="0" labelOnly="1" outline="0" axis="axisValues" fieldPosition="0"/>
    </format>
    <format dxfId="247">
      <pivotArea dataOnly="0" labelOnly="1" outline="0" axis="axisValues" fieldPosition="0"/>
    </format>
    <format dxfId="246">
      <pivotArea type="all" dataOnly="0" outline="0" fieldPosition="0"/>
    </format>
    <format dxfId="245">
      <pivotArea outline="0" collapsedLevelsAreSubtotals="1" fieldPosition="0"/>
    </format>
    <format dxfId="244">
      <pivotArea dataOnly="0" labelOnly="1" outline="0" axis="axisValues" fieldPosition="0"/>
    </format>
    <format dxfId="243">
      <pivotArea dataOnly="0" labelOnly="1" outline="0" axis="axisValues" fieldPosition="0"/>
    </format>
    <format dxfId="242">
      <pivotArea field="11" type="button" dataOnly="0" labelOnly="1" outline="0"/>
    </format>
    <format dxfId="241">
      <pivotArea grandRow="1" outline="0" collapsedLevelsAreSubtotals="1" fieldPosition="0"/>
    </format>
    <format dxfId="240">
      <pivotArea dataOnly="0" labelOnly="1" grandRow="1" outline="0" fieldPosition="0"/>
    </format>
    <format dxfId="239">
      <pivotArea field="11" type="button" dataOnly="0" labelOnly="1" outline="0"/>
    </format>
    <format dxfId="238">
      <pivotArea dataOnly="0" labelOnly="1" outline="0" axis="axisValues" fieldPosition="0"/>
    </format>
    <format dxfId="237">
      <pivotArea type="all" dataOnly="0" outline="0" fieldPosition="0"/>
    </format>
    <format dxfId="236">
      <pivotArea outline="0" collapsedLevelsAreSubtotals="1" fieldPosition="0"/>
    </format>
    <format dxfId="235">
      <pivotArea field="11" type="button" dataOnly="0" labelOnly="1" outline="0"/>
    </format>
    <format dxfId="234">
      <pivotArea dataOnly="0" labelOnly="1" outline="0" axis="axisValues" fieldPosition="0"/>
    </format>
    <format dxfId="233">
      <pivotArea grandRow="1" outline="0" collapsedLevelsAreSubtotals="1" fieldPosition="0"/>
    </format>
    <format dxfId="232">
      <pivotArea dataOnly="0" labelOnly="1" grandRow="1" outline="0" fieldPosition="0"/>
    </format>
    <format dxfId="231">
      <pivotArea outline="0" collapsedLevelsAreSubtotals="1" fieldPosition="0"/>
    </format>
    <format dxfId="230">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00000000-0007-0000-0200-000012000000}" name="PivotTable26" cacheId="0" applyNumberFormats="0" applyBorderFormats="0" applyFontFormats="0" applyPatternFormats="0" applyAlignmentFormats="0" applyWidthHeightFormats="1" dataCaption="Values" updatedVersion="5" minRefreshableVersion="3" colGrandTotals="0" itemPrintTitles="1" createdVersion="8" indent="0" multipleFieldFilters="0" chartFormat="32">
  <location ref="EW5:EZ7" firstHeaderRow="1" firstDataRow="2" firstDataCol="1" rowPageCount="1" colPageCount="1"/>
  <pivotFields count="14">
    <pivotField numFmtId="14" showAll="0" defaultSubtotal="0"/>
    <pivotField showAll="0" defaultSubtotal="0"/>
    <pivotField showAll="0" defaultSubtotal="0"/>
    <pivotField numFmtId="3" showAll="0" defaultSubtotal="0"/>
    <pivotField showAll="0" defaultSubtotal="0"/>
    <pivotField showAll="0" defaultSubtotal="0"/>
    <pivotField showAll="0" defaultSubtotal="0"/>
    <pivotField showAll="0" defaultSubtotal="0"/>
    <pivotField dataField="1" numFmtId="3" showAll="0"/>
    <pivotField showAll="0">
      <items count="51">
        <item x="2"/>
        <item x="34"/>
        <item x="17"/>
        <item x="13"/>
        <item x="10"/>
        <item x="12"/>
        <item x="24"/>
        <item x="7"/>
        <item x="19"/>
        <item x="44"/>
        <item x="40"/>
        <item x="35"/>
        <item x="4"/>
        <item x="21"/>
        <item x="29"/>
        <item x="37"/>
        <item x="41"/>
        <item x="43"/>
        <item x="42"/>
        <item x="18"/>
        <item x="32"/>
        <item x="22"/>
        <item x="38"/>
        <item x="46"/>
        <item x="20"/>
        <item x="16"/>
        <item x="31"/>
        <item x="11"/>
        <item x="36"/>
        <item x="39"/>
        <item x="23"/>
        <item x="25"/>
        <item x="3"/>
        <item x="48"/>
        <item x="47"/>
        <item x="49"/>
        <item x="15"/>
        <item x="30"/>
        <item x="28"/>
        <item x="6"/>
        <item x="14"/>
        <item x="1"/>
        <item x="5"/>
        <item x="27"/>
        <item x="33"/>
        <item x="26"/>
        <item x="0"/>
        <item x="8"/>
        <item x="9"/>
        <item x="45"/>
        <item t="default"/>
      </items>
    </pivotField>
    <pivotField showAll="0"/>
    <pivotField axis="axisPage" showAll="0">
      <items count="3">
        <item x="0"/>
        <item x="1"/>
        <item t="default"/>
      </items>
    </pivotField>
    <pivotField axis="axisCol" showAll="0">
      <items count="5">
        <item x="1"/>
        <item x="2"/>
        <item x="0"/>
        <item x="3"/>
        <item t="default"/>
      </items>
    </pivotField>
    <pivotField showAll="0">
      <items count="5">
        <item h="1" x="3"/>
        <item x="0"/>
        <item h="1" x="2"/>
        <item h="1" x="1"/>
        <item t="default"/>
      </items>
    </pivotField>
  </pivotFields>
  <rowItems count="1">
    <i/>
  </rowItems>
  <colFields count="1">
    <field x="12"/>
  </colFields>
  <colItems count="3">
    <i>
      <x/>
    </i>
    <i>
      <x v="1"/>
    </i>
    <i>
      <x v="2"/>
    </i>
  </colItems>
  <pageFields count="1">
    <pageField fld="11" item="0" hier="-1"/>
  </pageFields>
  <dataFields count="1">
    <dataField name="Sum of Amount of Sales" fld="8" baseField="7" baseItem="0" numFmtId="164"/>
  </dataFields>
  <formats count="30">
    <format dxfId="278">
      <pivotArea dataOnly="0" labelOnly="1" outline="0" axis="axisValues" fieldPosition="0"/>
    </format>
    <format dxfId="277">
      <pivotArea dataOnly="0" labelOnly="1" outline="0" axis="axisValues" fieldPosition="0"/>
    </format>
    <format dxfId="276">
      <pivotArea type="all" dataOnly="0" outline="0" fieldPosition="0"/>
    </format>
    <format dxfId="275">
      <pivotArea outline="0" collapsedLevelsAreSubtotals="1" fieldPosition="0"/>
    </format>
    <format dxfId="274">
      <pivotArea dataOnly="0" labelOnly="1" outline="0" axis="axisValues" fieldPosition="0"/>
    </format>
    <format dxfId="273">
      <pivotArea dataOnly="0" labelOnly="1" outline="0" axis="axisValues" fieldPosition="0"/>
    </format>
    <format dxfId="272">
      <pivotArea field="11" type="button" dataOnly="0" labelOnly="1" outline="0" axis="axisPage" fieldPosition="0"/>
    </format>
    <format dxfId="271">
      <pivotArea grandRow="1" outline="0" collapsedLevelsAreSubtotals="1" fieldPosition="0"/>
    </format>
    <format dxfId="270">
      <pivotArea dataOnly="0" labelOnly="1" grandRow="1" outline="0" fieldPosition="0"/>
    </format>
    <format dxfId="269">
      <pivotArea field="11" type="button" dataOnly="0" labelOnly="1" outline="0" axis="axisPage" fieldPosition="0"/>
    </format>
    <format dxfId="268">
      <pivotArea dataOnly="0" labelOnly="1" outline="0" axis="axisValues" fieldPosition="0"/>
    </format>
    <format dxfId="267">
      <pivotArea type="all" dataOnly="0" outline="0" fieldPosition="0"/>
    </format>
    <format dxfId="266">
      <pivotArea outline="0" collapsedLevelsAreSubtotals="1" fieldPosition="0"/>
    </format>
    <format dxfId="265">
      <pivotArea field="11" type="button" dataOnly="0" labelOnly="1" outline="0" axis="axisPage" fieldPosition="0"/>
    </format>
    <format dxfId="264">
      <pivotArea dataOnly="0" labelOnly="1" outline="0" axis="axisValues" fieldPosition="0"/>
    </format>
    <format dxfId="263">
      <pivotArea grandRow="1" outline="0" collapsedLevelsAreSubtotals="1" fieldPosition="0"/>
    </format>
    <format dxfId="262">
      <pivotArea dataOnly="0" labelOnly="1" grandRow="1" outline="0" fieldPosition="0"/>
    </format>
    <format dxfId="261">
      <pivotArea field="13" type="button" dataOnly="0" labelOnly="1" outline="0"/>
    </format>
    <format dxfId="260">
      <pivotArea dataOnly="0" labelOnly="1" outline="0" fieldPosition="0">
        <references count="1">
          <reference field="11" count="0"/>
        </references>
      </pivotArea>
    </format>
    <format dxfId="259">
      <pivotArea type="origin" dataOnly="0" labelOnly="1" outline="0" fieldPosition="0"/>
    </format>
    <format dxfId="258">
      <pivotArea field="12" type="button" dataOnly="0" labelOnly="1" outline="0" axis="axisCol" fieldPosition="0"/>
    </format>
    <format dxfId="257">
      <pivotArea type="topRight" dataOnly="0" labelOnly="1" outline="0" fieldPosition="0"/>
    </format>
    <format dxfId="256">
      <pivotArea field="9" type="button" dataOnly="0" labelOnly="1" outline="0"/>
    </format>
    <format dxfId="255">
      <pivotArea outline="0" collapsedLevelsAreSubtotals="1" fieldPosition="0"/>
    </format>
    <format dxfId="254">
      <pivotArea outline="0" collapsedLevelsAreSubtotals="1" fieldPosition="0"/>
    </format>
    <format dxfId="253">
      <pivotArea dataOnly="0" labelOnly="1" fieldPosition="0">
        <references count="1">
          <reference field="12" count="3">
            <x v="0"/>
            <x v="1"/>
            <x v="2"/>
          </reference>
        </references>
      </pivotArea>
    </format>
    <format dxfId="252">
      <pivotArea outline="0" collapsedLevelsAreSubtotals="1" fieldPosition="0"/>
    </format>
    <format dxfId="251">
      <pivotArea outline="0" collapsedLevelsAreSubtotals="1" fieldPosition="0"/>
    </format>
    <format dxfId="250">
      <pivotArea outline="0" collapsedLevelsAreSubtotals="1" fieldPosition="0"/>
    </format>
    <format dxfId="249">
      <pivotArea outline="0" fieldPosition="0">
        <references count="1">
          <reference field="4294967294" count="1">
            <x v="0"/>
          </reference>
        </references>
      </pivotArea>
    </format>
  </formats>
  <chartFormats count="3">
    <chartFormat chart="28" format="6" series="1">
      <pivotArea type="data" outline="0" fieldPosition="0">
        <references count="2">
          <reference field="4294967294" count="1" selected="0">
            <x v="0"/>
          </reference>
          <reference field="12" count="1" selected="0">
            <x v="0"/>
          </reference>
        </references>
      </pivotArea>
    </chartFormat>
    <chartFormat chart="28" format="7" series="1">
      <pivotArea type="data" outline="0" fieldPosition="0">
        <references count="2">
          <reference field="4294967294" count="1" selected="0">
            <x v="0"/>
          </reference>
          <reference field="12" count="1" selected="0">
            <x v="1"/>
          </reference>
        </references>
      </pivotArea>
    </chartFormat>
    <chartFormat chart="28" format="8" series="1">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filters count="1">
    <filter fld="12" type="captionNotContains" evalOrder="-1" id="1" stringValue1="Unknown">
      <autoFilter ref="A1">
        <filterColumn colId="0">
          <customFilters>
            <customFilter operator="notEqual" val="*Unknown*"/>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00000000-0007-0000-0200-00000F000000}" name="PivotTable23" cacheId="0" applyNumberFormats="0" applyBorderFormats="0" applyFontFormats="0" applyPatternFormats="0" applyAlignmentFormats="0" applyWidthHeightFormats="1" dataCaption="Values" updatedVersion="5" minRefreshableVersion="3" rowGrandTotals="0" colGrandTotals="0" itemPrintTitles="1" createdVersion="8" indent="0" multipleFieldFilters="0" chartFormat="24">
  <location ref="EK5:EM22" firstHeaderRow="1" firstDataRow="1" firstDataCol="0"/>
  <pivotFields count="14">
    <pivotField numFmtId="14" showAll="0" defaultSubtotal="0"/>
    <pivotField showAll="0" defaultSubtotal="0"/>
    <pivotField showAll="0" defaultSubtotal="0"/>
    <pivotField numFmtId="3" showAll="0" defaultSubtotal="0"/>
    <pivotField showAll="0" defaultSubtotal="0"/>
    <pivotField showAll="0" defaultSubtotal="0"/>
    <pivotField showAll="0" defaultSubtotal="0"/>
    <pivotField showAll="0" defaultSubtotal="0"/>
    <pivotField numFmtId="3" showAll="0"/>
    <pivotField showAll="0"/>
    <pivotField showAll="0"/>
    <pivotField showAll="0">
      <items count="3">
        <item x="0"/>
        <item x="1"/>
        <item t="default"/>
      </items>
    </pivotField>
    <pivotField showAll="0">
      <items count="5">
        <item x="1"/>
        <item x="2"/>
        <item x="0"/>
        <item x="3"/>
        <item t="default"/>
      </items>
    </pivotField>
    <pivotField showAll="0">
      <items count="5">
        <item h="1" x="3"/>
        <item x="0"/>
        <item h="1" x="2"/>
        <item h="1" x="1"/>
        <item t="default"/>
      </items>
    </pivotField>
  </pivotFields>
  <formats count="18">
    <format dxfId="296">
      <pivotArea dataOnly="0" labelOnly="1" outline="0" axis="axisValues" fieldPosition="0"/>
    </format>
    <format dxfId="295">
      <pivotArea dataOnly="0" labelOnly="1" outline="0" axis="axisValues" fieldPosition="0"/>
    </format>
    <format dxfId="294">
      <pivotArea type="all" dataOnly="0" outline="0" fieldPosition="0"/>
    </format>
    <format dxfId="293">
      <pivotArea outline="0" collapsedLevelsAreSubtotals="1" fieldPosition="0"/>
    </format>
    <format dxfId="292">
      <pivotArea dataOnly="0" labelOnly="1" outline="0" axis="axisValues" fieldPosition="0"/>
    </format>
    <format dxfId="291">
      <pivotArea dataOnly="0" labelOnly="1" outline="0" axis="axisValues" fieldPosition="0"/>
    </format>
    <format dxfId="290">
      <pivotArea field="11" type="button" dataOnly="0" labelOnly="1" outline="0"/>
    </format>
    <format dxfId="289">
      <pivotArea grandRow="1" outline="0" collapsedLevelsAreSubtotals="1" fieldPosition="0"/>
    </format>
    <format dxfId="288">
      <pivotArea dataOnly="0" labelOnly="1" grandRow="1" outline="0" fieldPosition="0"/>
    </format>
    <format dxfId="287">
      <pivotArea field="11" type="button" dataOnly="0" labelOnly="1" outline="0"/>
    </format>
    <format dxfId="286">
      <pivotArea dataOnly="0" labelOnly="1" outline="0" axis="axisValues" fieldPosition="0"/>
    </format>
    <format dxfId="285">
      <pivotArea type="all" dataOnly="0" outline="0" fieldPosition="0"/>
    </format>
    <format dxfId="284">
      <pivotArea outline="0" collapsedLevelsAreSubtotals="1" fieldPosition="0"/>
    </format>
    <format dxfId="283">
      <pivotArea field="11" type="button" dataOnly="0" labelOnly="1" outline="0"/>
    </format>
    <format dxfId="282">
      <pivotArea dataOnly="0" labelOnly="1" outline="0" axis="axisValues" fieldPosition="0"/>
    </format>
    <format dxfId="281">
      <pivotArea grandRow="1" outline="0" collapsedLevelsAreSubtotals="1" fieldPosition="0"/>
    </format>
    <format dxfId="280">
      <pivotArea dataOnly="0" labelOnly="1" grandRow="1" outline="0" fieldPosition="0"/>
    </format>
    <format dxfId="279">
      <pivotArea field="12" type="button" dataOnly="0" labelOnly="1" outline="0"/>
    </format>
  </formats>
  <pivotTableStyleInfo name="PivotStyleLight16" showRowHeaders="1" showColHeaders="1" showRowStripes="0" showColStripes="0" showLastColumn="1"/>
  <filters count="1">
    <filter fld="12" type="captionNotContains" evalOrder="-1" id="1" stringValue1="Unknown">
      <autoFilter ref="A1">
        <filterColumn colId="0">
          <customFilters>
            <customFilter operator="notEqual" val="*Unknown*"/>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00000000-0007-0000-0200-000010000000}" name="PivotTable24" cacheId="0" applyNumberFormats="0" applyBorderFormats="0" applyFontFormats="0" applyPatternFormats="0" applyAlignmentFormats="0" applyWidthHeightFormats="1" dataCaption="Values" updatedVersion="5" minRefreshableVersion="3" colGrandTotals="0" itemPrintTitles="1" createdVersion="8" indent="0" multipleFieldFilters="0" chartFormat="27">
  <location ref="ER5:ES7" firstHeaderRow="1" firstDataRow="1" firstDataCol="1" rowPageCount="1" colPageCount="1"/>
  <pivotFields count="14">
    <pivotField numFmtId="14" showAll="0" defaultSubtotal="0"/>
    <pivotField showAll="0" defaultSubtotal="0"/>
    <pivotField showAll="0" defaultSubtotal="0"/>
    <pivotField numFmtId="3" showAll="0" defaultSubtotal="0"/>
    <pivotField showAll="0" defaultSubtotal="0"/>
    <pivotField showAll="0" defaultSubtotal="0"/>
    <pivotField showAll="0" defaultSubtotal="0"/>
    <pivotField showAll="0" defaultSubtotal="0"/>
    <pivotField dataField="1" numFmtId="3" showAll="0"/>
    <pivotField showAll="0"/>
    <pivotField showAll="0"/>
    <pivotField axis="axisPage" showAll="0">
      <items count="3">
        <item x="0"/>
        <item x="1"/>
        <item t="default"/>
      </items>
    </pivotField>
    <pivotField showAll="0">
      <items count="5">
        <item x="1"/>
        <item x="2"/>
        <item x="0"/>
        <item x="3"/>
        <item t="default"/>
      </items>
    </pivotField>
    <pivotField axis="axisRow" showAll="0">
      <items count="5">
        <item h="1" x="3"/>
        <item x="0"/>
        <item h="1" x="2"/>
        <item h="1" x="1"/>
        <item t="default"/>
      </items>
    </pivotField>
  </pivotFields>
  <rowFields count="1">
    <field x="13"/>
  </rowFields>
  <rowItems count="2">
    <i>
      <x v="1"/>
    </i>
    <i t="grand">
      <x/>
    </i>
  </rowItems>
  <colItems count="1">
    <i/>
  </colItems>
  <pageFields count="1">
    <pageField fld="11" item="0" hier="-1"/>
  </pageFields>
  <dataFields count="1">
    <dataField name="Sum of Amount of Sales" fld="8" baseField="11" baseItem="0" numFmtId="164"/>
  </dataFields>
  <formats count="21">
    <format dxfId="317">
      <pivotArea dataOnly="0" labelOnly="1" outline="0" axis="axisValues" fieldPosition="0"/>
    </format>
    <format dxfId="316">
      <pivotArea dataOnly="0" labelOnly="1" outline="0" axis="axisValues" fieldPosition="0"/>
    </format>
    <format dxfId="315">
      <pivotArea type="all" dataOnly="0" outline="0" fieldPosition="0"/>
    </format>
    <format dxfId="314">
      <pivotArea outline="0" collapsedLevelsAreSubtotals="1" fieldPosition="0"/>
    </format>
    <format dxfId="313">
      <pivotArea dataOnly="0" labelOnly="1" outline="0" axis="axisValues" fieldPosition="0"/>
    </format>
    <format dxfId="312">
      <pivotArea dataOnly="0" labelOnly="1" outline="0" axis="axisValues" fieldPosition="0"/>
    </format>
    <format dxfId="311">
      <pivotArea field="11" type="button" dataOnly="0" labelOnly="1" outline="0" axis="axisPage" fieldPosition="0"/>
    </format>
    <format dxfId="310">
      <pivotArea grandRow="1" outline="0" collapsedLevelsAreSubtotals="1" fieldPosition="0"/>
    </format>
    <format dxfId="309">
      <pivotArea dataOnly="0" labelOnly="1" grandRow="1" outline="0" fieldPosition="0"/>
    </format>
    <format dxfId="308">
      <pivotArea field="11" type="button" dataOnly="0" labelOnly="1" outline="0" axis="axisPage" fieldPosition="0"/>
    </format>
    <format dxfId="307">
      <pivotArea dataOnly="0" labelOnly="1" outline="0" axis="axisValues" fieldPosition="0"/>
    </format>
    <format dxfId="306">
      <pivotArea type="all" dataOnly="0" outline="0" fieldPosition="0"/>
    </format>
    <format dxfId="305">
      <pivotArea outline="0" collapsedLevelsAreSubtotals="1" fieldPosition="0"/>
    </format>
    <format dxfId="304">
      <pivotArea field="11" type="button" dataOnly="0" labelOnly="1" outline="0" axis="axisPage" fieldPosition="0"/>
    </format>
    <format dxfId="303">
      <pivotArea dataOnly="0" labelOnly="1" outline="0" axis="axisValues" fieldPosition="0"/>
    </format>
    <format dxfId="302">
      <pivotArea grandRow="1" outline="0" collapsedLevelsAreSubtotals="1" fieldPosition="0"/>
    </format>
    <format dxfId="301">
      <pivotArea dataOnly="0" labelOnly="1" grandRow="1" outline="0" fieldPosition="0"/>
    </format>
    <format dxfId="300">
      <pivotArea field="12" type="button" dataOnly="0" labelOnly="1" outline="0"/>
    </format>
    <format dxfId="299">
      <pivotArea outline="0" fieldPosition="0">
        <references count="1">
          <reference field="4294967294" count="1">
            <x v="0"/>
          </reference>
        </references>
      </pivotArea>
    </format>
    <format dxfId="298">
      <pivotArea field="13" type="button" dataOnly="0" labelOnly="1" outline="0" axis="axisRow" fieldPosition="0"/>
    </format>
    <format dxfId="297">
      <pivotArea dataOnly="0" labelOnly="1" outline="0" fieldPosition="0">
        <references count="1">
          <reference field="11" count="0"/>
        </references>
      </pivotArea>
    </format>
  </formats>
  <chartFormats count="4">
    <chartFormat chart="13" format="0" series="1">
      <pivotArea type="data" outline="0" fieldPosition="0">
        <references count="1">
          <reference field="4294967294" count="1" selected="0">
            <x v="0"/>
          </reference>
        </references>
      </pivotArea>
    </chartFormat>
    <chartFormat chart="15" format="8"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2" type="captionNotContains" evalOrder="-1" id="1" stringValue1="Unknown">
      <autoFilter ref="A1">
        <filterColumn colId="0">
          <customFilters>
            <customFilter operator="notEqual" val="*Unknown*"/>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00000000-0007-0000-0200-00000B000000}" name="PivotTable2" cacheId="0" applyNumberFormats="0" applyBorderFormats="0" applyFontFormats="0" applyPatternFormats="0" applyAlignmentFormats="0" applyWidthHeightFormats="1" dataCaption="Values" updatedVersion="5" minRefreshableVersion="3" rowGrandTotals="0" colGrandTotals="0" itemPrintTitles="1" createdVersion="8" indent="0" multipleFieldFilters="0">
  <location ref="E5:F7" firstHeaderRow="1" firstDataRow="1" firstDataCol="1"/>
  <pivotFields count="14">
    <pivotField numFmtId="14" showAll="0" defaultSubtotal="0"/>
    <pivotField showAll="0" defaultSubtotal="0"/>
    <pivotField showAll="0" defaultSubtotal="0"/>
    <pivotField numFmtId="3" showAll="0" defaultSubtotal="0"/>
    <pivotField showAll="0" defaultSubtotal="0"/>
    <pivotField showAll="0" defaultSubtotal="0"/>
    <pivotField showAll="0" defaultSubtotal="0"/>
    <pivotField showAll="0" defaultSubtotal="0"/>
    <pivotField numFmtId="3" showAll="0"/>
    <pivotField showAll="0"/>
    <pivotField showAll="0"/>
    <pivotField axis="axisRow" dataField="1" showAll="0">
      <items count="3">
        <item x="1"/>
        <item x="0"/>
        <item t="default"/>
      </items>
    </pivotField>
    <pivotField showAll="0"/>
    <pivotField showAll="0">
      <items count="5">
        <item h="1" x="3"/>
        <item x="0"/>
        <item h="1" x="2"/>
        <item h="1" x="1"/>
        <item t="default"/>
      </items>
    </pivotField>
  </pivotFields>
  <rowFields count="1">
    <field x="11"/>
  </rowFields>
  <rowItems count="2">
    <i>
      <x/>
    </i>
    <i>
      <x v="1"/>
    </i>
  </rowItems>
  <colItems count="1">
    <i/>
  </colItems>
  <dataFields count="1">
    <dataField name="Anggaran" fld="11" subtotal="count" baseField="11" baseItem="1"/>
  </dataFields>
  <formats count="16">
    <format dxfId="333">
      <pivotArea dataOnly="0" labelOnly="1" outline="0" axis="axisValues" fieldPosition="0"/>
    </format>
    <format dxfId="332">
      <pivotArea dataOnly="0" labelOnly="1" outline="0" axis="axisValues" fieldPosition="0"/>
    </format>
    <format dxfId="331">
      <pivotArea type="all" dataOnly="0" outline="0" fieldPosition="0"/>
    </format>
    <format dxfId="330">
      <pivotArea outline="0" collapsedLevelsAreSubtotals="1" fieldPosition="0"/>
    </format>
    <format dxfId="329">
      <pivotArea dataOnly="0" labelOnly="1" outline="0" axis="axisValues" fieldPosition="0"/>
    </format>
    <format dxfId="328">
      <pivotArea dataOnly="0" labelOnly="1" outline="0" axis="axisValues" fieldPosition="0"/>
    </format>
    <format dxfId="327">
      <pivotArea field="11" type="button" dataOnly="0" labelOnly="1" outline="0" axis="axisRow" fieldPosition="0"/>
    </format>
    <format dxfId="326">
      <pivotArea grandRow="1" outline="0" collapsedLevelsAreSubtotals="1" fieldPosition="0"/>
    </format>
    <format dxfId="325">
      <pivotArea dataOnly="0" labelOnly="1" grandRow="1" outline="0" fieldPosition="0"/>
    </format>
    <format dxfId="324">
      <pivotArea field="11" type="button" dataOnly="0" labelOnly="1" outline="0" axis="axisRow" fieldPosition="0"/>
    </format>
    <format dxfId="323">
      <pivotArea dataOnly="0" labelOnly="1" outline="0" axis="axisValues" fieldPosition="0"/>
    </format>
    <format dxfId="322">
      <pivotArea type="all" dataOnly="0" outline="0" fieldPosition="0"/>
    </format>
    <format dxfId="321">
      <pivotArea outline="0" collapsedLevelsAreSubtotals="1" fieldPosition="0"/>
    </format>
    <format dxfId="320">
      <pivotArea field="11" type="button" dataOnly="0" labelOnly="1" outline="0" axis="axisRow" fieldPosition="0"/>
    </format>
    <format dxfId="319">
      <pivotArea dataOnly="0" labelOnly="1" fieldPosition="0">
        <references count="1">
          <reference field="11" count="0"/>
        </references>
      </pivotArea>
    </format>
    <format dxfId="31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00000000-0007-0000-0200-000017000000}" name="PivotTable7" cacheId="0" applyNumberFormats="0" applyBorderFormats="0" applyFontFormats="0" applyPatternFormats="0" applyAlignmentFormats="0" applyWidthHeightFormats="1" dataCaption="Values" updatedVersion="5" minRefreshableVersion="3" colGrandTotals="0" itemPrintTitles="1" createdVersion="8" indent="0" multipleFieldFilters="0" chartFormat="10">
  <location ref="AI5:AK22" firstHeaderRow="1" firstDataRow="1" firstDataCol="0"/>
  <pivotFields count="14">
    <pivotField numFmtId="14" showAll="0" defaultSubtotal="0"/>
    <pivotField showAll="0" defaultSubtotal="0"/>
    <pivotField showAll="0" defaultSubtotal="0"/>
    <pivotField numFmtId="3" showAll="0" defaultSubtotal="0"/>
    <pivotField showAll="0" defaultSubtotal="0"/>
    <pivotField showAll="0" defaultSubtotal="0"/>
    <pivotField showAll="0" defaultSubtotal="0"/>
    <pivotField showAll="0" defaultSubtotal="0"/>
    <pivotField numFmtId="3" showAll="0"/>
    <pivotField showAll="0"/>
    <pivotField showAll="0"/>
    <pivotField showAll="0">
      <items count="3">
        <item x="0"/>
        <item x="1"/>
        <item t="default"/>
      </items>
    </pivotField>
    <pivotField showAll="0"/>
    <pivotField showAll="0"/>
  </pivotFields>
  <formats count="17">
    <format dxfId="350">
      <pivotArea dataOnly="0" labelOnly="1" outline="0" axis="axisValues" fieldPosition="0"/>
    </format>
    <format dxfId="349">
      <pivotArea dataOnly="0" labelOnly="1" outline="0" axis="axisValues" fieldPosition="0"/>
    </format>
    <format dxfId="348">
      <pivotArea type="all" dataOnly="0" outline="0" fieldPosition="0"/>
    </format>
    <format dxfId="347">
      <pivotArea outline="0" collapsedLevelsAreSubtotals="1" fieldPosition="0"/>
    </format>
    <format dxfId="346">
      <pivotArea dataOnly="0" labelOnly="1" outline="0" axis="axisValues" fieldPosition="0"/>
    </format>
    <format dxfId="345">
      <pivotArea dataOnly="0" labelOnly="1" outline="0" axis="axisValues" fieldPosition="0"/>
    </format>
    <format dxfId="344">
      <pivotArea field="11" type="button" dataOnly="0" labelOnly="1" outline="0"/>
    </format>
    <format dxfId="343">
      <pivotArea grandRow="1" outline="0" collapsedLevelsAreSubtotals="1" fieldPosition="0"/>
    </format>
    <format dxfId="342">
      <pivotArea dataOnly="0" labelOnly="1" grandRow="1" outline="0" fieldPosition="0"/>
    </format>
    <format dxfId="341">
      <pivotArea field="11" type="button" dataOnly="0" labelOnly="1" outline="0"/>
    </format>
    <format dxfId="340">
      <pivotArea dataOnly="0" labelOnly="1" outline="0" axis="axisValues" fieldPosition="0"/>
    </format>
    <format dxfId="339">
      <pivotArea type="all" dataOnly="0" outline="0" fieldPosition="0"/>
    </format>
    <format dxfId="338">
      <pivotArea outline="0" collapsedLevelsAreSubtotals="1" fieldPosition="0"/>
    </format>
    <format dxfId="337">
      <pivotArea field="11" type="button" dataOnly="0" labelOnly="1" outline="0"/>
    </format>
    <format dxfId="336">
      <pivotArea dataOnly="0" labelOnly="1" outline="0" axis="axisValues" fieldPosition="0"/>
    </format>
    <format dxfId="335">
      <pivotArea grandRow="1" outline="0" collapsedLevelsAreSubtotals="1" fieldPosition="0"/>
    </format>
    <format dxfId="334">
      <pivotArea dataOnly="0" labelOnly="1" grandRow="1" outline="0"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00000000-0007-0000-0200-000001000000}" name="PivotTable10" cacheId="0" applyNumberFormats="0" applyBorderFormats="0" applyFontFormats="0" applyPatternFormats="0" applyAlignmentFormats="0" applyWidthHeightFormats="1" dataCaption="Values" updatedVersion="5" minRefreshableVersion="3" colGrandTotals="0" itemPrintTitles="1" createdVersion="8" indent="0" multipleFieldFilters="0" chartFormat="19">
  <location ref="AV5:AW9" firstHeaderRow="1" firstDataRow="1" firstDataCol="1"/>
  <pivotFields count="14">
    <pivotField numFmtId="14" showAll="0" defaultSubtotal="0"/>
    <pivotField showAll="0" defaultSubtotal="0"/>
    <pivotField showAll="0" defaultSubtotal="0"/>
    <pivotField numFmtId="3" showAll="0" defaultSubtotal="0"/>
    <pivotField showAll="0" defaultSubtotal="0"/>
    <pivotField showAll="0" defaultSubtotal="0"/>
    <pivotField showAll="0" defaultSubtotal="0"/>
    <pivotField showAll="0" defaultSubtotal="0"/>
    <pivotField dataField="1" numFmtId="3" showAll="0"/>
    <pivotField showAll="0"/>
    <pivotField showAll="0"/>
    <pivotField showAll="0">
      <items count="3">
        <item x="0"/>
        <item x="1"/>
        <item t="default"/>
      </items>
    </pivotField>
    <pivotField axis="axisRow" showAll="0">
      <items count="5">
        <item x="1"/>
        <item x="2"/>
        <item x="0"/>
        <item x="3"/>
        <item t="default"/>
      </items>
    </pivotField>
    <pivotField showAll="0">
      <items count="5">
        <item h="1" x="3"/>
        <item x="0"/>
        <item h="1" x="2"/>
        <item h="1" x="1"/>
        <item t="default"/>
      </items>
    </pivotField>
  </pivotFields>
  <rowFields count="1">
    <field x="12"/>
  </rowFields>
  <rowItems count="4">
    <i>
      <x/>
    </i>
    <i>
      <x v="1"/>
    </i>
    <i>
      <x v="2"/>
    </i>
    <i t="grand">
      <x/>
    </i>
  </rowItems>
  <colItems count="1">
    <i/>
  </colItems>
  <dataFields count="1">
    <dataField name="Sum of Amount of Sales" fld="8" baseField="11" baseItem="0" numFmtId="164"/>
  </dataFields>
  <formats count="19">
    <format dxfId="369">
      <pivotArea dataOnly="0" labelOnly="1" outline="0" axis="axisValues" fieldPosition="0"/>
    </format>
    <format dxfId="368">
      <pivotArea dataOnly="0" labelOnly="1" outline="0" axis="axisValues" fieldPosition="0"/>
    </format>
    <format dxfId="367">
      <pivotArea type="all" dataOnly="0" outline="0" fieldPosition="0"/>
    </format>
    <format dxfId="366">
      <pivotArea outline="0" collapsedLevelsAreSubtotals="1" fieldPosition="0"/>
    </format>
    <format dxfId="365">
      <pivotArea dataOnly="0" labelOnly="1" outline="0" axis="axisValues" fieldPosition="0"/>
    </format>
    <format dxfId="364">
      <pivotArea dataOnly="0" labelOnly="1" outline="0" axis="axisValues" fieldPosition="0"/>
    </format>
    <format dxfId="363">
      <pivotArea field="11" type="button" dataOnly="0" labelOnly="1" outline="0"/>
    </format>
    <format dxfId="362">
      <pivotArea grandRow="1" outline="0" collapsedLevelsAreSubtotals="1" fieldPosition="0"/>
    </format>
    <format dxfId="361">
      <pivotArea dataOnly="0" labelOnly="1" grandRow="1" outline="0" fieldPosition="0"/>
    </format>
    <format dxfId="360">
      <pivotArea field="11" type="button" dataOnly="0" labelOnly="1" outline="0"/>
    </format>
    <format dxfId="359">
      <pivotArea dataOnly="0" labelOnly="1" outline="0" axis="axisValues" fieldPosition="0"/>
    </format>
    <format dxfId="358">
      <pivotArea type="all" dataOnly="0" outline="0" fieldPosition="0"/>
    </format>
    <format dxfId="357">
      <pivotArea outline="0" collapsedLevelsAreSubtotals="1" fieldPosition="0"/>
    </format>
    <format dxfId="356">
      <pivotArea field="11" type="button" dataOnly="0" labelOnly="1" outline="0"/>
    </format>
    <format dxfId="355">
      <pivotArea dataOnly="0" labelOnly="1" outline="0" axis="axisValues" fieldPosition="0"/>
    </format>
    <format dxfId="354">
      <pivotArea grandRow="1" outline="0" collapsedLevelsAreSubtotals="1" fieldPosition="0"/>
    </format>
    <format dxfId="353">
      <pivotArea dataOnly="0" labelOnly="1" grandRow="1" outline="0" fieldPosition="0"/>
    </format>
    <format dxfId="352">
      <pivotArea field="12" type="button" dataOnly="0" labelOnly="1" outline="0" axis="axisRow" fieldPosition="0"/>
    </format>
    <format dxfId="351">
      <pivotArea outline="0" fieldPosition="0">
        <references count="1">
          <reference field="4294967294" count="1">
            <x v="0"/>
          </reference>
        </references>
      </pivotArea>
    </format>
  </formats>
  <chartFormats count="4">
    <chartFormat chart="15" format="8" series="1">
      <pivotArea type="data" outline="0" fieldPosition="0">
        <references count="1">
          <reference field="4294967294" count="1" selected="0">
            <x v="0"/>
          </reference>
        </references>
      </pivotArea>
    </chartFormat>
    <chartFormat chart="15" format="9">
      <pivotArea type="data" outline="0" fieldPosition="0">
        <references count="2">
          <reference field="4294967294" count="1" selected="0">
            <x v="0"/>
          </reference>
          <reference field="12" count="1" selected="0">
            <x v="0"/>
          </reference>
        </references>
      </pivotArea>
    </chartFormat>
    <chartFormat chart="15" format="10">
      <pivotArea type="data" outline="0" fieldPosition="0">
        <references count="2">
          <reference field="4294967294" count="1" selected="0">
            <x v="0"/>
          </reference>
          <reference field="12" count="1" selected="0">
            <x v="1"/>
          </reference>
        </references>
      </pivotArea>
    </chartFormat>
    <chartFormat chart="15" format="11">
      <pivotArea type="data" outline="0" fieldPosition="0">
        <references count="2">
          <reference field="4294967294" count="1" selected="0">
            <x v="0"/>
          </reference>
          <reference field="12" count="1" selected="0">
            <x v="2"/>
          </reference>
        </references>
      </pivotArea>
    </chartFormat>
  </chartFormats>
  <pivotTableStyleInfo name="PivotStyleLight16" showRowHeaders="1" showColHeaders="1" showRowStripes="0" showColStripes="0" showLastColumn="1"/>
  <filters count="1">
    <filter fld="12" type="captionNotContains" evalOrder="-1" id="1" stringValue1="Unknown">
      <autoFilter ref="A1">
        <filterColumn colId="0">
          <customFilters>
            <customFilter operator="notEqual" val="*Unknown*"/>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00000000-0007-0000-0200-000009000000}" name="PivotTable18" cacheId="0" applyNumberFormats="0" applyBorderFormats="0" applyFontFormats="0" applyPatternFormats="0" applyAlignmentFormats="0" applyWidthHeightFormats="1" dataCaption="Values" updatedVersion="5" minRefreshableVersion="3" rowGrandTotals="0" colGrandTotals="0" itemPrintTitles="1" createdVersion="8" indent="0" multipleFieldFilters="0" chartFormat="24">
  <location ref="CS5:CS6" firstHeaderRow="1" firstDataRow="1" firstDataCol="0" rowPageCount="1" colPageCount="1"/>
  <pivotFields count="14">
    <pivotField numFmtId="14" showAll="0" defaultSubtotal="0"/>
    <pivotField showAll="0" defaultSubtotal="0"/>
    <pivotField showAll="0" defaultSubtotal="0"/>
    <pivotField numFmtId="3" showAll="0" defaultSubtotal="0"/>
    <pivotField showAll="0" defaultSubtotal="0"/>
    <pivotField showAll="0" defaultSubtotal="0"/>
    <pivotField showAll="0" defaultSubtotal="0"/>
    <pivotField showAll="0" defaultSubtotal="0"/>
    <pivotField dataField="1" numFmtId="3" showAll="0"/>
    <pivotField showAll="0"/>
    <pivotField showAll="0"/>
    <pivotField axis="axisPage" showAll="0">
      <items count="3">
        <item x="0"/>
        <item x="1"/>
        <item t="default"/>
      </items>
    </pivotField>
    <pivotField showAll="0">
      <items count="5">
        <item x="1"/>
        <item x="2"/>
        <item x="0"/>
        <item x="3"/>
        <item t="default"/>
      </items>
    </pivotField>
    <pivotField showAll="0">
      <items count="5">
        <item h="1" x="3"/>
        <item x="0"/>
        <item h="1" x="2"/>
        <item h="1" x="1"/>
        <item t="default"/>
      </items>
    </pivotField>
  </pivotFields>
  <rowItems count="1">
    <i/>
  </rowItems>
  <colItems count="1">
    <i/>
  </colItems>
  <pageFields count="1">
    <pageField fld="11" hier="-1"/>
  </pageFields>
  <dataFields count="1">
    <dataField name="Sum of Amount of Sales" fld="8" baseField="11" baseItem="0" numFmtId="164"/>
  </dataFields>
  <formats count="20">
    <format dxfId="389">
      <pivotArea dataOnly="0" labelOnly="1" outline="0" axis="axisValues" fieldPosition="0"/>
    </format>
    <format dxfId="388">
      <pivotArea dataOnly="0" labelOnly="1" outline="0" axis="axisValues" fieldPosition="0"/>
    </format>
    <format dxfId="387">
      <pivotArea type="all" dataOnly="0" outline="0" fieldPosition="0"/>
    </format>
    <format dxfId="386">
      <pivotArea outline="0" collapsedLevelsAreSubtotals="1" fieldPosition="0"/>
    </format>
    <format dxfId="385">
      <pivotArea dataOnly="0" labelOnly="1" outline="0" axis="axisValues" fieldPosition="0"/>
    </format>
    <format dxfId="384">
      <pivotArea dataOnly="0" labelOnly="1" outline="0" axis="axisValues" fieldPosition="0"/>
    </format>
    <format dxfId="383">
      <pivotArea field="11" type="button" dataOnly="0" labelOnly="1" outline="0" axis="axisPage" fieldPosition="0"/>
    </format>
    <format dxfId="382">
      <pivotArea grandRow="1" outline="0" collapsedLevelsAreSubtotals="1" fieldPosition="0"/>
    </format>
    <format dxfId="381">
      <pivotArea dataOnly="0" labelOnly="1" grandRow="1" outline="0" fieldPosition="0"/>
    </format>
    <format dxfId="380">
      <pivotArea field="11" type="button" dataOnly="0" labelOnly="1" outline="0" axis="axisPage" fieldPosition="0"/>
    </format>
    <format dxfId="379">
      <pivotArea dataOnly="0" labelOnly="1" outline="0" axis="axisValues" fieldPosition="0"/>
    </format>
    <format dxfId="378">
      <pivotArea type="all" dataOnly="0" outline="0" fieldPosition="0"/>
    </format>
    <format dxfId="377">
      <pivotArea outline="0" collapsedLevelsAreSubtotals="1" fieldPosition="0"/>
    </format>
    <format dxfId="376">
      <pivotArea field="11" type="button" dataOnly="0" labelOnly="1" outline="0" axis="axisPage" fieldPosition="0"/>
    </format>
    <format dxfId="375">
      <pivotArea dataOnly="0" labelOnly="1" outline="0" axis="axisValues" fieldPosition="0"/>
    </format>
    <format dxfId="374">
      <pivotArea grandRow="1" outline="0" collapsedLevelsAreSubtotals="1" fieldPosition="0"/>
    </format>
    <format dxfId="373">
      <pivotArea dataOnly="0" labelOnly="1" grandRow="1" outline="0" fieldPosition="0"/>
    </format>
    <format dxfId="372">
      <pivotArea field="12" type="button" dataOnly="0" labelOnly="1" outline="0"/>
    </format>
    <format dxfId="371">
      <pivotArea outline="0" fieldPosition="0">
        <references count="1">
          <reference field="4294967294" count="1">
            <x v="0"/>
          </reference>
        </references>
      </pivotArea>
    </format>
    <format dxfId="370">
      <pivotArea dataOnly="0" labelOnly="1" outline="0" fieldPosition="0">
        <references count="1">
          <reference field="11" count="0"/>
        </references>
      </pivotArea>
    </format>
  </formats>
  <chartFormats count="5">
    <chartFormat chart="13" format="0" series="1">
      <pivotArea type="data" outline="0" fieldPosition="0">
        <references count="1">
          <reference field="4294967294" count="1" selected="0">
            <x v="0"/>
          </reference>
        </references>
      </pivotArea>
    </chartFormat>
    <chartFormat chart="15" format="8"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2" type="captionNotContains" evalOrder="-1" id="1" stringValue1="Unknown">
      <autoFilter ref="A1">
        <filterColumn colId="0">
          <customFilters>
            <customFilter operator="notEqual" val="*Unknown*"/>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00000000-0007-0000-0200-000003000000}" name="PivotTable12" cacheId="0" applyNumberFormats="0" applyBorderFormats="0" applyFontFormats="0" applyPatternFormats="0" applyAlignmentFormats="0" applyWidthHeightFormats="1" dataCaption="Values" updatedVersion="5" minRefreshableVersion="3" colGrandTotals="0" itemPrintTitles="1" createdVersion="8" indent="0" multipleFieldFilters="0" chartFormat="23">
  <location ref="BD5:BF22" firstHeaderRow="1" firstDataRow="1" firstDataCol="0"/>
  <pivotFields count="14">
    <pivotField numFmtId="14" showAll="0" defaultSubtotal="0"/>
    <pivotField showAll="0" defaultSubtotal="0"/>
    <pivotField showAll="0" defaultSubtotal="0"/>
    <pivotField numFmtId="3" showAll="0" defaultSubtotal="0"/>
    <pivotField showAll="0" defaultSubtotal="0"/>
    <pivotField showAll="0" defaultSubtotal="0"/>
    <pivotField showAll="0" defaultSubtotal="0"/>
    <pivotField showAll="0" defaultSubtotal="0"/>
    <pivotField numFmtId="3" showAll="0"/>
    <pivotField showAll="0"/>
    <pivotField showAll="0"/>
    <pivotField showAll="0">
      <items count="3">
        <item x="0"/>
        <item x="1"/>
        <item t="default"/>
      </items>
    </pivotField>
    <pivotField showAll="0">
      <items count="5">
        <item x="1"/>
        <item x="2"/>
        <item x="0"/>
        <item x="3"/>
        <item t="default"/>
      </items>
    </pivotField>
    <pivotField showAll="0">
      <items count="5">
        <item h="1" x="3"/>
        <item x="0"/>
        <item h="1" x="2"/>
        <item h="1" x="1"/>
        <item t="default"/>
      </items>
    </pivotField>
  </pivotFields>
  <formats count="18">
    <format dxfId="407">
      <pivotArea dataOnly="0" labelOnly="1" outline="0" axis="axisValues" fieldPosition="0"/>
    </format>
    <format dxfId="406">
      <pivotArea dataOnly="0" labelOnly="1" outline="0" axis="axisValues" fieldPosition="0"/>
    </format>
    <format dxfId="405">
      <pivotArea type="all" dataOnly="0" outline="0" fieldPosition="0"/>
    </format>
    <format dxfId="404">
      <pivotArea outline="0" collapsedLevelsAreSubtotals="1" fieldPosition="0"/>
    </format>
    <format dxfId="403">
      <pivotArea dataOnly="0" labelOnly="1" outline="0" axis="axisValues" fieldPosition="0"/>
    </format>
    <format dxfId="402">
      <pivotArea dataOnly="0" labelOnly="1" outline="0" axis="axisValues" fieldPosition="0"/>
    </format>
    <format dxfId="401">
      <pivotArea field="11" type="button" dataOnly="0" labelOnly="1" outline="0"/>
    </format>
    <format dxfId="400">
      <pivotArea grandRow="1" outline="0" collapsedLevelsAreSubtotals="1" fieldPosition="0"/>
    </format>
    <format dxfId="399">
      <pivotArea dataOnly="0" labelOnly="1" grandRow="1" outline="0" fieldPosition="0"/>
    </format>
    <format dxfId="398">
      <pivotArea field="11" type="button" dataOnly="0" labelOnly="1" outline="0"/>
    </format>
    <format dxfId="397">
      <pivotArea dataOnly="0" labelOnly="1" outline="0" axis="axisValues" fieldPosition="0"/>
    </format>
    <format dxfId="396">
      <pivotArea type="all" dataOnly="0" outline="0" fieldPosition="0"/>
    </format>
    <format dxfId="395">
      <pivotArea outline="0" collapsedLevelsAreSubtotals="1" fieldPosition="0"/>
    </format>
    <format dxfId="394">
      <pivotArea field="11" type="button" dataOnly="0" labelOnly="1" outline="0"/>
    </format>
    <format dxfId="393">
      <pivotArea dataOnly="0" labelOnly="1" outline="0" axis="axisValues" fieldPosition="0"/>
    </format>
    <format dxfId="392">
      <pivotArea grandRow="1" outline="0" collapsedLevelsAreSubtotals="1" fieldPosition="0"/>
    </format>
    <format dxfId="391">
      <pivotArea dataOnly="0" labelOnly="1" grandRow="1" outline="0" fieldPosition="0"/>
    </format>
    <format dxfId="390">
      <pivotArea field="12" type="button" dataOnly="0" labelOnly="1" outline="0"/>
    </format>
  </formats>
  <pivotTableStyleInfo name="PivotStyleLight16" showRowHeaders="1" showColHeaders="1" showRowStripes="0" showColStripes="0" showLastColumn="1"/>
  <filters count="1">
    <filter fld="12" type="captionNotContains" evalOrder="-1" id="1" stringValue1="Unknown">
      <autoFilter ref="A1">
        <filterColumn colId="0">
          <customFilters>
            <customFilter operator="notEqual" val="*Unknown*"/>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00000000-0007-0000-0200-000013000000}" name="PivotTable3" cacheId="0" applyNumberFormats="0" applyBorderFormats="0" applyFontFormats="0" applyPatternFormats="0" applyAlignmentFormats="0" applyWidthHeightFormats="1" dataCaption="Values" updatedVersion="5" minRefreshableVersion="3" rowGrandTotals="0" colGrandTotals="0" itemPrintTitles="1" createdVersion="8" indent="0" multipleFieldFilters="0">
  <location ref="L5:M10" firstHeaderRow="1" firstDataRow="1" firstDataCol="1"/>
  <pivotFields count="14">
    <pivotField numFmtId="14" showAll="0" defaultSubtotal="0"/>
    <pivotField showAll="0" defaultSubtotal="0"/>
    <pivotField showAll="0" defaultSubtotal="0"/>
    <pivotField numFmtId="3" showAll="0" defaultSubtotal="0"/>
    <pivotField showAll="0" defaultSubtotal="0"/>
    <pivotField showAll="0" defaultSubtotal="0"/>
    <pivotField showAll="0" defaultSubtotal="0"/>
    <pivotField showAll="0" defaultSubtotal="0"/>
    <pivotField dataField="1" numFmtId="3" showAll="0"/>
    <pivotField axis="axisRow" showAll="0" measureFilter="1" sortType="descending">
      <items count="51">
        <item sd="0" x="2"/>
        <item sd="0" x="34"/>
        <item sd="0" x="17"/>
        <item sd="0" x="13"/>
        <item sd="0" x="10"/>
        <item sd="0" x="12"/>
        <item sd="0" x="24"/>
        <item sd="0" x="7"/>
        <item sd="0" x="19"/>
        <item sd="0" x="44"/>
        <item sd="0" x="40"/>
        <item sd="0" x="35"/>
        <item sd="0" x="4"/>
        <item sd="0" x="21"/>
        <item sd="0" x="29"/>
        <item sd="0" x="37"/>
        <item sd="0" x="41"/>
        <item sd="0" x="43"/>
        <item sd="0" x="42"/>
        <item sd="0" x="18"/>
        <item sd="0" x="32"/>
        <item sd="0" x="22"/>
        <item sd="0" x="38"/>
        <item sd="0" x="46"/>
        <item sd="0" x="20"/>
        <item sd="0" x="16"/>
        <item sd="0" x="31"/>
        <item sd="0" x="11"/>
        <item sd="0" x="36"/>
        <item sd="0" x="39"/>
        <item sd="0" x="23"/>
        <item sd="0" x="25"/>
        <item sd="0" x="3"/>
        <item sd="0" x="48"/>
        <item sd="0" x="47"/>
        <item sd="0" x="49"/>
        <item sd="0" x="15"/>
        <item sd="0" x="30"/>
        <item sd="0" x="28"/>
        <item sd="0" x="6"/>
        <item sd="0" x="14"/>
        <item sd="0" x="1"/>
        <item sd="0" x="5"/>
        <item sd="0" x="27"/>
        <item sd="0" x="33"/>
        <item sd="0" x="26"/>
        <item sd="0" x="0"/>
        <item sd="0" x="8"/>
        <item sd="0" x="9"/>
        <item sd="0" x="45"/>
        <item t="default" sd="0"/>
      </items>
      <autoSortScope>
        <pivotArea dataOnly="0" outline="0" fieldPosition="0">
          <references count="1">
            <reference field="4294967294" count="1" selected="0">
              <x v="0"/>
            </reference>
          </references>
        </pivotArea>
      </autoSortScope>
    </pivotField>
    <pivotField showAll="0"/>
    <pivotField showAll="0">
      <items count="3">
        <item x="1"/>
        <item x="0"/>
        <item t="default"/>
      </items>
    </pivotField>
    <pivotField showAll="0"/>
    <pivotField axis="axisRow" showAll="0">
      <items count="5">
        <item h="1" x="3"/>
        <item x="0"/>
        <item h="1" x="2"/>
        <item h="1" x="1"/>
        <item t="default"/>
      </items>
    </pivotField>
  </pivotFields>
  <rowFields count="2">
    <field x="9"/>
    <field x="13"/>
  </rowFields>
  <rowItems count="5">
    <i>
      <x v="37"/>
    </i>
    <i>
      <x v="2"/>
    </i>
    <i>
      <x v="32"/>
    </i>
    <i>
      <x v="29"/>
    </i>
    <i>
      <x v="36"/>
    </i>
  </rowItems>
  <colItems count="1">
    <i/>
  </colItems>
  <dataFields count="1">
    <dataField name="Realisasi Anggaran" fld="8" baseField="9" baseItem="25" numFmtId="164"/>
  </dataFields>
  <formats count="13">
    <format dxfId="420">
      <pivotArea type="all" dataOnly="0" outline="0" fieldPosition="0"/>
    </format>
    <format dxfId="419">
      <pivotArea outline="0" collapsedLevelsAreSubtotals="1" fieldPosition="0"/>
    </format>
    <format dxfId="418">
      <pivotArea dataOnly="0" labelOnly="1" outline="0" axis="axisValues" fieldPosition="0"/>
    </format>
    <format dxfId="417">
      <pivotArea field="11" type="button" dataOnly="0" labelOnly="1" outline="0"/>
    </format>
    <format dxfId="416">
      <pivotArea field="11" type="button" dataOnly="0" labelOnly="1" outline="0"/>
    </format>
    <format dxfId="415">
      <pivotArea field="9" type="button" dataOnly="0" labelOnly="1" outline="0" axis="axisRow" fieldPosition="0"/>
    </format>
    <format dxfId="414">
      <pivotArea dataOnly="0" labelOnly="1" outline="0" axis="axisValues" fieldPosition="0"/>
    </format>
    <format dxfId="413">
      <pivotArea outline="0" fieldPosition="0">
        <references count="1">
          <reference field="4294967294" count="1">
            <x v="0"/>
          </reference>
        </references>
      </pivotArea>
    </format>
    <format dxfId="412">
      <pivotArea type="all" dataOnly="0" outline="0" fieldPosition="0"/>
    </format>
    <format dxfId="411">
      <pivotArea outline="0" collapsedLevelsAreSubtotals="1" fieldPosition="0"/>
    </format>
    <format dxfId="410">
      <pivotArea field="9" type="button" dataOnly="0" labelOnly="1" outline="0" axis="axisRow" fieldPosition="0"/>
    </format>
    <format dxfId="409">
      <pivotArea dataOnly="0" labelOnly="1" fieldPosition="0">
        <references count="1">
          <reference field="9" count="5">
            <x v="32"/>
            <x v="36"/>
            <x v="40"/>
            <x v="41"/>
            <x v="45"/>
          </reference>
        </references>
      </pivotArea>
    </format>
    <format dxfId="408">
      <pivotArea dataOnly="0" labelOnly="1" outline="0" axis="axisValues" fieldPosition="0"/>
    </format>
  </formats>
  <pivotTableStyleInfo name="PivotStyleLight16" showRowHeaders="1" showColHeaders="1" showRowStripes="0" showColStripes="0" showLastColumn="1"/>
  <filters count="1">
    <filter fld="9"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00000000-0007-0000-0200-00000A000000}" name="PivotTable19" cacheId="0" applyNumberFormats="0" applyBorderFormats="0" applyFontFormats="0" applyPatternFormats="0" applyAlignmentFormats="0" applyWidthHeightFormats="1" dataCaption="Values" updatedVersion="5" minRefreshableVersion="3" rowGrandTotals="0" colGrandTotals="0" itemPrintTitles="1" createdVersion="8" indent="0" multipleFieldFilters="0" chartFormat="24">
  <location ref="DA5:DA6" firstHeaderRow="1" firstDataRow="1" firstDataCol="0" rowPageCount="1" colPageCount="1"/>
  <pivotFields count="14">
    <pivotField numFmtId="14" showAll="0" defaultSubtotal="0"/>
    <pivotField showAll="0" defaultSubtotal="0"/>
    <pivotField showAll="0" defaultSubtotal="0"/>
    <pivotField numFmtId="3" showAll="0" defaultSubtotal="0"/>
    <pivotField showAll="0" defaultSubtotal="0"/>
    <pivotField showAll="0" defaultSubtotal="0"/>
    <pivotField showAll="0" defaultSubtotal="0"/>
    <pivotField showAll="0" defaultSubtotal="0"/>
    <pivotField dataField="1" numFmtId="3" showAll="0"/>
    <pivotField showAll="0"/>
    <pivotField showAll="0"/>
    <pivotField axis="axisPage" showAll="0">
      <items count="3">
        <item x="0"/>
        <item x="1"/>
        <item t="default"/>
      </items>
    </pivotField>
    <pivotField showAll="0">
      <items count="5">
        <item x="1"/>
        <item x="2"/>
        <item x="0"/>
        <item x="3"/>
        <item t="default"/>
      </items>
    </pivotField>
    <pivotField showAll="0">
      <items count="5">
        <item h="1" x="3"/>
        <item x="0"/>
        <item h="1" x="2"/>
        <item h="1" x="1"/>
        <item t="default"/>
      </items>
    </pivotField>
  </pivotFields>
  <rowItems count="1">
    <i/>
  </rowItems>
  <colItems count="1">
    <i/>
  </colItems>
  <pageFields count="1">
    <pageField fld="11" item="0" hier="-1"/>
  </pageFields>
  <dataFields count="1">
    <dataField name="Sum of Amount of Sales" fld="8" baseField="11" baseItem="0" numFmtId="164"/>
  </dataFields>
  <formats count="20">
    <format dxfId="440">
      <pivotArea dataOnly="0" labelOnly="1" outline="0" axis="axisValues" fieldPosition="0"/>
    </format>
    <format dxfId="439">
      <pivotArea dataOnly="0" labelOnly="1" outline="0" axis="axisValues" fieldPosition="0"/>
    </format>
    <format dxfId="438">
      <pivotArea type="all" dataOnly="0" outline="0" fieldPosition="0"/>
    </format>
    <format dxfId="437">
      <pivotArea outline="0" collapsedLevelsAreSubtotals="1" fieldPosition="0"/>
    </format>
    <format dxfId="436">
      <pivotArea dataOnly="0" labelOnly="1" outline="0" axis="axisValues" fieldPosition="0"/>
    </format>
    <format dxfId="435">
      <pivotArea dataOnly="0" labelOnly="1" outline="0" axis="axisValues" fieldPosition="0"/>
    </format>
    <format dxfId="434">
      <pivotArea field="11" type="button" dataOnly="0" labelOnly="1" outline="0" axis="axisPage" fieldPosition="0"/>
    </format>
    <format dxfId="433">
      <pivotArea grandRow="1" outline="0" collapsedLevelsAreSubtotals="1" fieldPosition="0"/>
    </format>
    <format dxfId="432">
      <pivotArea dataOnly="0" labelOnly="1" grandRow="1" outline="0" fieldPosition="0"/>
    </format>
    <format dxfId="431">
      <pivotArea field="11" type="button" dataOnly="0" labelOnly="1" outline="0" axis="axisPage" fieldPosition="0"/>
    </format>
    <format dxfId="430">
      <pivotArea dataOnly="0" labelOnly="1" outline="0" axis="axisValues" fieldPosition="0"/>
    </format>
    <format dxfId="429">
      <pivotArea type="all" dataOnly="0" outline="0" fieldPosition="0"/>
    </format>
    <format dxfId="428">
      <pivotArea outline="0" collapsedLevelsAreSubtotals="1" fieldPosition="0"/>
    </format>
    <format dxfId="427">
      <pivotArea field="11" type="button" dataOnly="0" labelOnly="1" outline="0" axis="axisPage" fieldPosition="0"/>
    </format>
    <format dxfId="426">
      <pivotArea dataOnly="0" labelOnly="1" outline="0" axis="axisValues" fieldPosition="0"/>
    </format>
    <format dxfId="425">
      <pivotArea grandRow="1" outline="0" collapsedLevelsAreSubtotals="1" fieldPosition="0"/>
    </format>
    <format dxfId="424">
      <pivotArea dataOnly="0" labelOnly="1" grandRow="1" outline="0" fieldPosition="0"/>
    </format>
    <format dxfId="423">
      <pivotArea field="12" type="button" dataOnly="0" labelOnly="1" outline="0"/>
    </format>
    <format dxfId="422">
      <pivotArea outline="0" fieldPosition="0">
        <references count="1">
          <reference field="4294967294" count="1">
            <x v="0"/>
          </reference>
        </references>
      </pivotArea>
    </format>
    <format dxfId="421">
      <pivotArea dataOnly="0" labelOnly="1" outline="0" fieldPosition="0">
        <references count="1">
          <reference field="11" count="1">
            <x v="0"/>
          </reference>
        </references>
      </pivotArea>
    </format>
  </formats>
  <chartFormats count="5">
    <chartFormat chart="13" format="0" series="1">
      <pivotArea type="data" outline="0" fieldPosition="0">
        <references count="1">
          <reference field="4294967294" count="1" selected="0">
            <x v="0"/>
          </reference>
        </references>
      </pivotArea>
    </chartFormat>
    <chartFormat chart="15" format="8"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3"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12" type="captionNotContains" evalOrder="-1" id="1" stringValue1="Unknown">
      <autoFilter ref="A1">
        <filterColumn colId="0">
          <customFilters>
            <customFilter operator="notEqual" val="*Unknown*"/>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00000000-0007-0000-0200-000007000000}" name="PivotTable16" cacheId="0" applyNumberFormats="0" applyBorderFormats="0" applyFontFormats="0" applyPatternFormats="0" applyAlignmentFormats="0" applyWidthHeightFormats="1" dataCaption="Values" updatedVersion="5" minRefreshableVersion="3" rowGrandTotals="0" colGrandTotals="0" itemPrintTitles="1" createdVersion="8" indent="0" multipleFieldFilters="0" chartFormat="24">
  <location ref="CH5:CI6" firstHeaderRow="1" firstDataRow="1" firstDataCol="1" rowPageCount="1" colPageCount="1"/>
  <pivotFields count="14">
    <pivotField numFmtId="14" showAll="0" defaultSubtotal="0"/>
    <pivotField showAll="0" defaultSubtotal="0"/>
    <pivotField showAll="0" defaultSubtotal="0"/>
    <pivotField numFmtId="3" showAll="0" defaultSubtotal="0"/>
    <pivotField showAll="0" defaultSubtotal="0"/>
    <pivotField showAll="0" defaultSubtotal="0"/>
    <pivotField showAll="0" defaultSubtotal="0"/>
    <pivotField showAll="0" defaultSubtotal="0"/>
    <pivotField dataField="1" numFmtId="3" showAll="0"/>
    <pivotField showAll="0"/>
    <pivotField showAll="0"/>
    <pivotField axis="axisPage" showAll="0">
      <items count="3">
        <item x="0"/>
        <item x="1"/>
        <item t="default"/>
      </items>
    </pivotField>
    <pivotField showAll="0">
      <items count="5">
        <item x="1"/>
        <item x="2"/>
        <item x="0"/>
        <item x="3"/>
        <item t="default"/>
      </items>
    </pivotField>
    <pivotField axis="axisRow" showAll="0" sortType="descending">
      <items count="5">
        <item h="1" x="3"/>
        <item x="0"/>
        <item h="1" x="2"/>
        <item h="1" x="1"/>
        <item t="default"/>
      </items>
      <autoSortScope>
        <pivotArea dataOnly="0" outline="0" fieldPosition="0">
          <references count="1">
            <reference field="4294967294" count="1" selected="0">
              <x v="0"/>
            </reference>
          </references>
        </pivotArea>
      </autoSortScope>
    </pivotField>
  </pivotFields>
  <rowFields count="1">
    <field x="13"/>
  </rowFields>
  <rowItems count="1">
    <i>
      <x v="1"/>
    </i>
  </rowItems>
  <colItems count="1">
    <i/>
  </colItems>
  <pageFields count="1">
    <pageField fld="11" item="0" hier="-1"/>
  </pageFields>
  <dataFields count="1">
    <dataField name="Sum of Amount of Sales" fld="8" baseField="11" baseItem="0" numFmtId="164"/>
  </dataFields>
  <formats count="22">
    <format dxfId="462">
      <pivotArea dataOnly="0" labelOnly="1" outline="0" axis="axisValues" fieldPosition="0"/>
    </format>
    <format dxfId="461">
      <pivotArea dataOnly="0" labelOnly="1" outline="0" axis="axisValues" fieldPosition="0"/>
    </format>
    <format dxfId="460">
      <pivotArea type="all" dataOnly="0" outline="0" fieldPosition="0"/>
    </format>
    <format dxfId="459">
      <pivotArea outline="0" collapsedLevelsAreSubtotals="1" fieldPosition="0"/>
    </format>
    <format dxfId="458">
      <pivotArea dataOnly="0" labelOnly="1" outline="0" axis="axisValues" fieldPosition="0"/>
    </format>
    <format dxfId="457">
      <pivotArea dataOnly="0" labelOnly="1" outline="0" axis="axisValues" fieldPosition="0"/>
    </format>
    <format dxfId="456">
      <pivotArea field="11" type="button" dataOnly="0" labelOnly="1" outline="0" axis="axisPage" fieldPosition="0"/>
    </format>
    <format dxfId="455">
      <pivotArea grandRow="1" outline="0" collapsedLevelsAreSubtotals="1" fieldPosition="0"/>
    </format>
    <format dxfId="454">
      <pivotArea dataOnly="0" labelOnly="1" grandRow="1" outline="0" fieldPosition="0"/>
    </format>
    <format dxfId="453">
      <pivotArea field="11" type="button" dataOnly="0" labelOnly="1" outline="0" axis="axisPage" fieldPosition="0"/>
    </format>
    <format dxfId="452">
      <pivotArea dataOnly="0" labelOnly="1" outline="0" axis="axisValues" fieldPosition="0"/>
    </format>
    <format dxfId="451">
      <pivotArea type="all" dataOnly="0" outline="0" fieldPosition="0"/>
    </format>
    <format dxfId="450">
      <pivotArea outline="0" collapsedLevelsAreSubtotals="1" fieldPosition="0"/>
    </format>
    <format dxfId="449">
      <pivotArea field="11" type="button" dataOnly="0" labelOnly="1" outline="0" axis="axisPage" fieldPosition="0"/>
    </format>
    <format dxfId="448">
      <pivotArea dataOnly="0" labelOnly="1" outline="0" axis="axisValues" fieldPosition="0"/>
    </format>
    <format dxfId="447">
      <pivotArea grandRow="1" outline="0" collapsedLevelsAreSubtotals="1" fieldPosition="0"/>
    </format>
    <format dxfId="446">
      <pivotArea dataOnly="0" labelOnly="1" grandRow="1" outline="0" fieldPosition="0"/>
    </format>
    <format dxfId="445">
      <pivotArea field="12" type="button" dataOnly="0" labelOnly="1" outline="0"/>
    </format>
    <format dxfId="444">
      <pivotArea outline="0" fieldPosition="0">
        <references count="1">
          <reference field="4294967294" count="1">
            <x v="0"/>
          </reference>
        </references>
      </pivotArea>
    </format>
    <format dxfId="443">
      <pivotArea dataOnly="0" labelOnly="1" outline="0" fieldPosition="0">
        <references count="1">
          <reference field="11" count="1">
            <x v="0"/>
          </reference>
        </references>
      </pivotArea>
    </format>
    <format dxfId="442">
      <pivotArea field="13" type="button" dataOnly="0" labelOnly="1" outline="0" axis="axisRow" fieldPosition="0"/>
    </format>
    <format dxfId="441">
      <pivotArea dataOnly="0" labelOnly="1" outline="0" fieldPosition="0">
        <references count="1">
          <reference field="4294967294" count="1">
            <x v="0"/>
          </reference>
        </references>
      </pivotArea>
    </format>
  </formats>
  <chartFormats count="13">
    <chartFormat chart="13" format="0" series="1">
      <pivotArea type="data" outline="0" fieldPosition="0">
        <references count="1">
          <reference field="4294967294" count="1" selected="0">
            <x v="0"/>
          </reference>
        </references>
      </pivotArea>
    </chartFormat>
    <chartFormat chart="15" format="8" series="1">
      <pivotArea type="data" outline="0" fieldPosition="0">
        <references count="1">
          <reference field="4294967294" count="1" selected="0">
            <x v="0"/>
          </reference>
        </references>
      </pivotArea>
    </chartFormat>
    <chartFormat chart="19" format="2" series="1">
      <pivotArea type="data" outline="0" fieldPosition="0">
        <references count="1">
          <reference field="4294967294" count="1" selected="0">
            <x v="0"/>
          </reference>
        </references>
      </pivotArea>
    </chartFormat>
    <chartFormat chart="20" format="0" series="1">
      <pivotArea type="data" outline="0" fieldPosition="0">
        <references count="1">
          <reference field="4294967294" count="1" selected="0">
            <x v="0"/>
          </reference>
        </references>
      </pivotArea>
    </chartFormat>
    <chartFormat chart="20" format="2">
      <pivotArea type="data" outline="0" fieldPosition="0">
        <references count="2">
          <reference field="4294967294" count="1" selected="0">
            <x v="0"/>
          </reference>
          <reference field="13" count="1" selected="0">
            <x v="0"/>
          </reference>
        </references>
      </pivotArea>
    </chartFormat>
    <chartFormat chart="20" format="3">
      <pivotArea type="data" outline="0" fieldPosition="0">
        <references count="2">
          <reference field="4294967294" count="1" selected="0">
            <x v="0"/>
          </reference>
          <reference field="13" count="1" selected="0">
            <x v="1"/>
          </reference>
        </references>
      </pivotArea>
    </chartFormat>
    <chartFormat chart="20" format="4">
      <pivotArea type="data" outline="0" fieldPosition="0">
        <references count="2">
          <reference field="4294967294" count="1" selected="0">
            <x v="0"/>
          </reference>
          <reference field="13" count="1" selected="0">
            <x v="2"/>
          </reference>
        </references>
      </pivotArea>
    </chartFormat>
    <chartFormat chart="20" format="5">
      <pivotArea type="data" outline="0" fieldPosition="0">
        <references count="2">
          <reference field="4294967294" count="1" selected="0">
            <x v="0"/>
          </reference>
          <reference field="13" count="1" selected="0">
            <x v="3"/>
          </reference>
        </references>
      </pivotArea>
    </chartFormat>
    <chartFormat chart="23" format="12" series="1">
      <pivotArea type="data" outline="0" fieldPosition="0">
        <references count="1">
          <reference field="4294967294" count="1" selected="0">
            <x v="0"/>
          </reference>
        </references>
      </pivotArea>
    </chartFormat>
    <chartFormat chart="23" format="13">
      <pivotArea type="data" outline="0" fieldPosition="0">
        <references count="2">
          <reference field="4294967294" count="1" selected="0">
            <x v="0"/>
          </reference>
          <reference field="13" count="1" selected="0">
            <x v="0"/>
          </reference>
        </references>
      </pivotArea>
    </chartFormat>
    <chartFormat chart="23" format="14">
      <pivotArea type="data" outline="0" fieldPosition="0">
        <references count="2">
          <reference field="4294967294" count="1" selected="0">
            <x v="0"/>
          </reference>
          <reference field="13" count="1" selected="0">
            <x v="1"/>
          </reference>
        </references>
      </pivotArea>
    </chartFormat>
    <chartFormat chart="23" format="15">
      <pivotArea type="data" outline="0" fieldPosition="0">
        <references count="2">
          <reference field="4294967294" count="1" selected="0">
            <x v="0"/>
          </reference>
          <reference field="13" count="1" selected="0">
            <x v="2"/>
          </reference>
        </references>
      </pivotArea>
    </chartFormat>
    <chartFormat chart="23" format="16">
      <pivotArea type="data" outline="0" fieldPosition="0">
        <references count="2">
          <reference field="4294967294" count="1" selected="0">
            <x v="0"/>
          </reference>
          <reference field="13" count="1" selected="0">
            <x v="3"/>
          </reference>
        </references>
      </pivotArea>
    </chartFormat>
  </chartFormats>
  <pivotTableStyleInfo name="PivotStyleLight16" showRowHeaders="1" showColHeaders="1" showRowStripes="0" showColStripes="0" showLastColumn="1"/>
  <filters count="1">
    <filter fld="12" type="captionNotContains" evalOrder="-1" id="1" stringValue1="Unknown">
      <autoFilter ref="A1">
        <filterColumn colId="0">
          <customFilters>
            <customFilter operator="notEqual" val="*Unknown*"/>
          </customFilters>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00000000-0007-0000-0200-000014000000}" name="PivotTable4" cacheId="0" applyNumberFormats="0" applyBorderFormats="0" applyFontFormats="0" applyPatternFormats="0" applyAlignmentFormats="0" applyWidthHeightFormats="1" dataCaption="Values" updatedVersion="5" minRefreshableVersion="3" rowGrandTotals="0" colGrandTotals="0" itemPrintTitles="1" createdVersion="8" indent="0" multipleFieldFilters="0" chartFormat="7">
  <location ref="S5:T6" firstHeaderRow="0" firstDataRow="1" firstDataCol="0"/>
  <pivotFields count="14">
    <pivotField numFmtId="14" showAll="0" defaultSubtotal="0"/>
    <pivotField showAll="0" defaultSubtotal="0"/>
    <pivotField showAll="0" defaultSubtotal="0"/>
    <pivotField numFmtId="3" showAll="0" defaultSubtotal="0"/>
    <pivotField showAll="0" defaultSubtotal="0"/>
    <pivotField showAll="0" defaultSubtotal="0"/>
    <pivotField showAll="0" defaultSubtotal="0"/>
    <pivotField showAll="0" defaultSubtotal="0"/>
    <pivotField dataField="1" numFmtId="3" showAll="0"/>
    <pivotField showAll="0" measureFilter="1" sortType="descending">
      <items count="51">
        <item x="2"/>
        <item x="34"/>
        <item x="17"/>
        <item x="13"/>
        <item x="10"/>
        <item x="12"/>
        <item x="24"/>
        <item x="7"/>
        <item x="19"/>
        <item x="44"/>
        <item x="40"/>
        <item x="35"/>
        <item x="4"/>
        <item x="21"/>
        <item x="29"/>
        <item x="37"/>
        <item x="41"/>
        <item x="43"/>
        <item x="42"/>
        <item x="18"/>
        <item x="32"/>
        <item x="22"/>
        <item x="38"/>
        <item x="46"/>
        <item x="20"/>
        <item x="16"/>
        <item x="31"/>
        <item x="11"/>
        <item x="36"/>
        <item x="39"/>
        <item x="23"/>
        <item x="25"/>
        <item x="3"/>
        <item x="48"/>
        <item x="47"/>
        <item x="49"/>
        <item x="15"/>
        <item x="30"/>
        <item x="28"/>
        <item x="6"/>
        <item x="14"/>
        <item x="1"/>
        <item x="5"/>
        <item x="27"/>
        <item x="33"/>
        <item x="26"/>
        <item x="0"/>
        <item x="8"/>
        <item x="9"/>
        <item x="45"/>
        <item t="default"/>
      </items>
      <autoSortScope>
        <pivotArea dataOnly="0" outline="0" fieldPosition="0">
          <references count="1">
            <reference field="4294967294" count="1" selected="0">
              <x v="0"/>
            </reference>
          </references>
        </pivotArea>
      </autoSortScope>
    </pivotField>
    <pivotField showAll="0"/>
    <pivotField showAll="0">
      <items count="3">
        <item x="1"/>
        <item x="0"/>
        <item t="default"/>
      </items>
    </pivotField>
    <pivotField showAll="0"/>
    <pivotField showAll="0"/>
  </pivotFields>
  <rowItems count="1">
    <i/>
  </rowItems>
  <colFields count="1">
    <field x="-2"/>
  </colFields>
  <colItems count="2">
    <i>
      <x/>
    </i>
    <i i="1">
      <x v="1"/>
    </i>
  </colItems>
  <dataFields count="2">
    <dataField name="Sum of Amount of Sales" fld="8" baseField="8" baseItem="36" numFmtId="164"/>
    <dataField name="Sum of Amount of Sales2" fld="8" baseField="2" baseItem="0" numFmtId="164"/>
  </dataFields>
  <formats count="14">
    <format dxfId="476">
      <pivotArea type="all" dataOnly="0" outline="0" fieldPosition="0"/>
    </format>
    <format dxfId="475">
      <pivotArea outline="0" collapsedLevelsAreSubtotals="1" fieldPosition="0"/>
    </format>
    <format dxfId="474">
      <pivotArea dataOnly="0" labelOnly="1" outline="0" axis="axisValues" fieldPosition="0"/>
    </format>
    <format dxfId="473">
      <pivotArea field="11" type="button" dataOnly="0" labelOnly="1" outline="0"/>
    </format>
    <format dxfId="472">
      <pivotArea field="11" type="button" dataOnly="0" labelOnly="1" outline="0"/>
    </format>
    <format dxfId="471">
      <pivotArea field="9" type="button" dataOnly="0" labelOnly="1" outline="0"/>
    </format>
    <format dxfId="470">
      <pivotArea dataOnly="0" labelOnly="1" outline="0" axis="axisValues" fieldPosition="0"/>
    </format>
    <format dxfId="469">
      <pivotArea outline="0" fieldPosition="0">
        <references count="1">
          <reference field="4294967294" count="1">
            <x v="0"/>
          </reference>
        </references>
      </pivotArea>
    </format>
    <format dxfId="468">
      <pivotArea type="all" dataOnly="0" outline="0" fieldPosition="0"/>
    </format>
    <format dxfId="467">
      <pivotArea outline="0" collapsedLevelsAreSubtotals="1" fieldPosition="0"/>
    </format>
    <format dxfId="466">
      <pivotArea field="9" type="button" dataOnly="0" labelOnly="1" outline="0"/>
    </format>
    <format dxfId="465">
      <pivotArea dataOnly="0" labelOnly="1" outline="0" axis="axisValues" fieldPosition="0"/>
    </format>
    <format dxfId="464">
      <pivotArea dataOnly="0" labelOnly="1" outline="0" fieldPosition="0">
        <references count="1">
          <reference field="4294967294" count="2">
            <x v="0"/>
            <x v="1"/>
          </reference>
        </references>
      </pivotArea>
    </format>
    <format dxfId="463">
      <pivotArea outline="0" fieldPosition="0">
        <references count="1">
          <reference field="4294967294" count="1">
            <x v="1"/>
          </reference>
        </references>
      </pivotArea>
    </format>
  </formats>
  <chartFormats count="2">
    <chartFormat chart="2" format="4" series="1">
      <pivotArea type="data" outline="0" fieldPosition="0">
        <references count="1">
          <reference field="4294967294" count="1" selected="0">
            <x v="1"/>
          </reference>
        </references>
      </pivotArea>
    </chartFormat>
    <chartFormat chart="2"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9" type="count" evalOrder="-1" id="2"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6.xml><?xml version="1.0" encoding="utf-8"?>
<pivotTableDefinition xmlns="http://schemas.openxmlformats.org/spreadsheetml/2006/main" xmlns:mc="http://schemas.openxmlformats.org/markup-compatibility/2006" xmlns:xr="http://schemas.microsoft.com/office/spreadsheetml/2014/revision" mc:Ignorable="xr" xr:uid="{00000000-0007-0000-0200-000016000000}" name="PivotTable6" cacheId="0" applyNumberFormats="0" applyBorderFormats="0" applyFontFormats="0" applyPatternFormats="0" applyAlignmentFormats="0" applyWidthHeightFormats="1" dataCaption="Values" updatedVersion="5" minRefreshableVersion="3" colGrandTotals="0" itemPrintTitles="1" createdVersion="8" indent="0" multipleFieldFilters="0" chartFormat="15">
  <location ref="AA5:AB8" firstHeaderRow="1" firstDataRow="1" firstDataCol="1"/>
  <pivotFields count="14">
    <pivotField numFmtId="14" showAll="0" defaultSubtotal="0"/>
    <pivotField showAll="0" defaultSubtotal="0"/>
    <pivotField showAll="0" defaultSubtotal="0"/>
    <pivotField numFmtId="3" showAll="0" defaultSubtotal="0"/>
    <pivotField showAll="0" defaultSubtotal="0"/>
    <pivotField showAll="0" defaultSubtotal="0"/>
    <pivotField showAll="0" defaultSubtotal="0"/>
    <pivotField showAll="0" defaultSubtotal="0"/>
    <pivotField numFmtId="3" showAll="0"/>
    <pivotField showAll="0"/>
    <pivotField showAll="0"/>
    <pivotField axis="axisRow" dataField="1" showAll="0">
      <items count="3">
        <item x="0"/>
        <item x="1"/>
        <item t="default"/>
      </items>
    </pivotField>
    <pivotField showAll="0"/>
    <pivotField showAll="0">
      <items count="5">
        <item h="1" x="3"/>
        <item x="0"/>
        <item h="1" x="2"/>
        <item h="1" x="1"/>
        <item t="default"/>
      </items>
    </pivotField>
  </pivotFields>
  <rowFields count="1">
    <field x="11"/>
  </rowFields>
  <rowItems count="3">
    <i>
      <x/>
    </i>
    <i>
      <x v="1"/>
    </i>
    <i t="grand">
      <x/>
    </i>
  </rowItems>
  <colItems count="1">
    <i/>
  </colItems>
  <dataFields count="1">
    <dataField name="Count of Payment Status" fld="11" subtotal="count" baseField="0" baseItem="0"/>
  </dataFields>
  <formats count="18">
    <format dxfId="494">
      <pivotArea dataOnly="0" labelOnly="1" outline="0" axis="axisValues" fieldPosition="0"/>
    </format>
    <format dxfId="493">
      <pivotArea dataOnly="0" labelOnly="1" outline="0" axis="axisValues" fieldPosition="0"/>
    </format>
    <format dxfId="492">
      <pivotArea type="all" dataOnly="0" outline="0" fieldPosition="0"/>
    </format>
    <format dxfId="491">
      <pivotArea outline="0" collapsedLevelsAreSubtotals="1" fieldPosition="0"/>
    </format>
    <format dxfId="490">
      <pivotArea dataOnly="0" labelOnly="1" outline="0" axis="axisValues" fieldPosition="0"/>
    </format>
    <format dxfId="489">
      <pivotArea dataOnly="0" labelOnly="1" outline="0" axis="axisValues" fieldPosition="0"/>
    </format>
    <format dxfId="488">
      <pivotArea field="11" type="button" dataOnly="0" labelOnly="1" outline="0" axis="axisRow" fieldPosition="0"/>
    </format>
    <format dxfId="487">
      <pivotArea grandRow="1" outline="0" collapsedLevelsAreSubtotals="1" fieldPosition="0"/>
    </format>
    <format dxfId="486">
      <pivotArea dataOnly="0" labelOnly="1" grandRow="1" outline="0" fieldPosition="0"/>
    </format>
    <format dxfId="485">
      <pivotArea field="11" type="button" dataOnly="0" labelOnly="1" outline="0" axis="axisRow" fieldPosition="0"/>
    </format>
    <format dxfId="484">
      <pivotArea dataOnly="0" labelOnly="1" outline="0" axis="axisValues" fieldPosition="0"/>
    </format>
    <format dxfId="483">
      <pivotArea type="all" dataOnly="0" outline="0" fieldPosition="0"/>
    </format>
    <format dxfId="482">
      <pivotArea outline="0" collapsedLevelsAreSubtotals="1" fieldPosition="0"/>
    </format>
    <format dxfId="481">
      <pivotArea field="11" type="button" dataOnly="0" labelOnly="1" outline="0" axis="axisRow" fieldPosition="0"/>
    </format>
    <format dxfId="480">
      <pivotArea dataOnly="0" labelOnly="1" fieldPosition="0">
        <references count="1">
          <reference field="11" count="0"/>
        </references>
      </pivotArea>
    </format>
    <format dxfId="479">
      <pivotArea dataOnly="0" labelOnly="1" outline="0" axis="axisValues" fieldPosition="0"/>
    </format>
    <format dxfId="478">
      <pivotArea grandRow="1" outline="0" collapsedLevelsAreSubtotals="1" fieldPosition="0"/>
    </format>
    <format dxfId="477">
      <pivotArea dataOnly="0" labelOnly="1" grandRow="1" outline="0" fieldPosition="0"/>
    </format>
  </formats>
  <chartFormats count="6">
    <chartFormat chart="5" format="6" series="1">
      <pivotArea type="data" outline="0" fieldPosition="0">
        <references count="1">
          <reference field="4294967294" count="1" selected="0">
            <x v="0"/>
          </reference>
        </references>
      </pivotArea>
    </chartFormat>
    <chartFormat chart="5" format="7">
      <pivotArea type="data" outline="0" fieldPosition="0">
        <references count="2">
          <reference field="4294967294" count="1" selected="0">
            <x v="0"/>
          </reference>
          <reference field="11" count="1" selected="0">
            <x v="0"/>
          </reference>
        </references>
      </pivotArea>
    </chartFormat>
    <chartFormat chart="5" format="8">
      <pivotArea type="data" outline="0" fieldPosition="0">
        <references count="2">
          <reference field="4294967294" count="1" selected="0">
            <x v="0"/>
          </reference>
          <reference field="11" count="1" selected="0">
            <x v="1"/>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11" count="1" selected="0">
            <x v="0"/>
          </reference>
        </references>
      </pivotArea>
    </chartFormat>
    <chartFormat chart="6" format="8">
      <pivotArea type="data" outline="0" fieldPosition="0">
        <references count="2">
          <reference field="4294967294" count="1" selected="0">
            <x v="0"/>
          </reference>
          <reference field="1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Team" xr10:uid="{00000000-0013-0000-FFFF-FFFF01000000}" sourceName="Sales Team">
  <pivotTables>
    <pivotTable tabId="3" name="PivotTable24"/>
    <pivotTable tabId="3" name="PivotTable1"/>
    <pivotTable tabId="3" name="PivotTable10"/>
    <pivotTable tabId="3" name="PivotTable11"/>
    <pivotTable tabId="3" name="PivotTable12"/>
    <pivotTable tabId="3" name="PivotTable13"/>
    <pivotTable tabId="3" name="PivotTable16"/>
    <pivotTable tabId="3" name="PivotTable17"/>
    <pivotTable tabId="3" name="PivotTable18"/>
    <pivotTable tabId="3" name="PivotTable19"/>
    <pivotTable tabId="3" name="PivotTable2"/>
    <pivotTable tabId="3" name="PivotTable22"/>
    <pivotTable tabId="3" name="PivotTable23"/>
    <pivotTable tabId="3" name="PivotTable3"/>
    <pivotTable tabId="3" name="PivotTable5"/>
    <pivotTable tabId="3" name="PivotTable6"/>
    <pivotTable tabId="3" name="PivotTable8"/>
    <pivotTable tabId="3" name="PivotTable9"/>
    <pivotTable tabId="3" name="PivotTable21"/>
    <pivotTable tabId="3" name="PivotTable26"/>
  </pivotTables>
  <data>
    <tabular pivotCacheId="578968588">
      <items count="4">
        <i x="3"/>
        <i x="0" s="1"/>
        <i x="2"/>
        <i x="1"/>
      </items>
    </tabular>
  </data>
  <extLst>
    <x:ext xmlns:x15="http://schemas.microsoft.com/office/spreadsheetml/2010/11/main" uri="{470722E0-AACD-4C17-9CDC-17EF765DBC7E}">
      <x15:slicerCacheHideItemsWithNoData/>
    </x:ext>
  </extLst>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ales Team" xr10:uid="{00000000-0014-0000-FFFF-FFFF01000000}" cache="Slicer_Sales_Team" caption="Sales Team" showCaption="0" style="SlicerStyleNavy 2" lockedPosition="1" rowHeight="27432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Sales" displayName="Sales" ref="B2:O3128" totalsRowCount="1" headerRowDxfId="526" dataDxfId="525" totalsRowDxfId="524">
  <autoFilter ref="B2:O3127" xr:uid="{00000000-0009-0000-0100-000001000000}">
    <filterColumn colId="0" hiddenButton="1"/>
    <filterColumn colId="1" hiddenButton="1"/>
    <filterColumn colId="2" hiddenButton="1"/>
    <filterColumn colId="3" hiddenButton="1"/>
    <filterColumn colId="4" hiddenButton="1"/>
    <filterColumn colId="5" hiddenButton="1"/>
    <filterColumn colId="6" hiddenButton="1"/>
    <filterColumn colId="7" hiddenButton="1"/>
    <filterColumn colId="8" hiddenButton="1"/>
    <filterColumn colId="9" hiddenButton="1"/>
    <filterColumn colId="10" hiddenButton="1"/>
    <filterColumn colId="11" hiddenButton="1"/>
    <filterColumn colId="12" hiddenButton="1"/>
    <filterColumn colId="13" hiddenButton="1"/>
  </autoFilter>
  <sortState xmlns:xlrd2="http://schemas.microsoft.com/office/spreadsheetml/2017/richdata2" ref="B3:O3127">
    <sortCondition ref="B2:B3127"/>
  </sortState>
  <tableColumns count="14">
    <tableColumn id="2" xr3:uid="{00000000-0010-0000-0000-000002000000}" name="Kode Program/Kegiatan " dataDxfId="523" totalsRowDxfId="522"/>
    <tableColumn id="9" xr3:uid="{00000000-0010-0000-0000-000009000000}" name="Program/Kegiatan/Sub Kegiatan" dataDxfId="521" totalsRowDxfId="520">
      <calculatedColumnFormula>TEXT(Sales[[#This Row],[Kode Program/Kegiatan ]],"D")</calculatedColumnFormula>
    </tableColumn>
    <tableColumn id="8" xr3:uid="{00000000-0010-0000-0000-000008000000}" name="Lokasi" dataDxfId="519" totalsRowDxfId="518">
      <calculatedColumnFormula>TEXT(Sales[[#This Row],[Kode Program/Kegiatan ]],"mmm")</calculatedColumnFormula>
    </tableColumn>
    <tableColumn id="7" xr3:uid="{00000000-0010-0000-0000-000007000000}" name="Anggaran Murni" dataDxfId="517" totalsRowDxfId="516"/>
    <tableColumn id="30" xr3:uid="{00000000-0010-0000-0000-00001E000000}" name="Target s.d. Januari" dataDxfId="515" totalsRowDxfId="514"/>
    <tableColumn id="1" xr3:uid="{00000000-0010-0000-0000-000001000000}" name="Realisasi s.d. Januari " dataDxfId="513" totalsRowDxfId="512">
      <calculatedColumnFormula>IF(Sales[[#This Row],[Anggaran Murni]]-Sales[[#This Row],[Target s.d. Januari]]=0,"",Sales[[#This Row],[Anggaran Murni]]-Sales[[#This Row],[Target s.d. Januari]])</calculatedColumnFormula>
    </tableColumn>
    <tableColumn id="29" xr3:uid="{00000000-0010-0000-0000-00001D000000}" name="Deviasi s.d. Januari" dataDxfId="511" totalsRowDxfId="510"/>
    <tableColumn id="39" xr3:uid="{00000000-0010-0000-0000-000027000000}" name="Output Kegiatan Yang Telah Selesai Sampai Dengan Januari" totalsRowFunction="custom" dataDxfId="509" totalsRowDxfId="508">
      <totalsRowFormula>SUBTOTAL(9,Sales[Output Kegiatan Yang Telah Selesai Sampai Dengan Januari])</totalsRowFormula>
    </tableColumn>
    <tableColumn id="31" xr3:uid="{00000000-0010-0000-0000-00001F000000}" name="Amount of Sales" dataDxfId="507" totalsRowDxfId="506"/>
    <tableColumn id="4" xr3:uid="{00000000-0010-0000-0000-000004000000}" name="Customer" dataDxfId="505" totalsRowDxfId="504"/>
    <tableColumn id="12" xr3:uid="{00000000-0010-0000-0000-00000C000000}" name="Sales Area" dataDxfId="503" totalsRowDxfId="502"/>
    <tableColumn id="10" xr3:uid="{00000000-0010-0000-0000-00000A000000}" name="Payment Status" dataDxfId="501" totalsRowDxfId="500"/>
    <tableColumn id="5" xr3:uid="{00000000-0010-0000-0000-000005000000}" name="Payment Method" totalsRowFunction="custom" dataDxfId="499" totalsRowDxfId="498">
      <totalsRowFormula>SUBTOTAL(9,Sales[Payment Method])</totalsRowFormula>
    </tableColumn>
    <tableColumn id="6" xr3:uid="{00000000-0010-0000-0000-000006000000}" name="Sales Team" dataDxfId="497" totalsRowDxfId="496"/>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2" displayName="Table2" ref="A1:N3126" totalsRowShown="0">
  <autoFilter ref="A1:N3126" xr:uid="{00000000-0009-0000-0100-000002000000}"/>
  <tableColumns count="14">
    <tableColumn id="1" xr3:uid="{00000000-0010-0000-0100-000001000000}" name="TANGGAL" dataDxfId="495"/>
    <tableColumn id="2" xr3:uid="{00000000-0010-0000-0100-000002000000}" name="HARI"/>
    <tableColumn id="3" xr3:uid="{00000000-0010-0000-0100-000003000000}" name="BULAN"/>
    <tableColumn id="4" xr3:uid="{00000000-0010-0000-0100-000004000000}" name="KODE PROGRAM/KEGIATAN/SUB KEGIATAN"/>
    <tableColumn id="5" xr3:uid="{00000000-0010-0000-0100-000005000000}" name="PROGRAM/KEGIATAN/SUB KEGIATAN"/>
    <tableColumn id="6" xr3:uid="{00000000-0010-0000-0100-000006000000}" name="ANGGARAN MURNI"/>
    <tableColumn id="7" xr3:uid="{00000000-0010-0000-0100-000007000000}" name="TARGET"/>
    <tableColumn id="8" xr3:uid="{00000000-0010-0000-0100-000008000000}" name="%"/>
    <tableColumn id="9" xr3:uid="{00000000-0010-0000-0100-000009000000}" name="REALISASI "/>
    <tableColumn id="10" xr3:uid="{00000000-0010-0000-0100-00000A000000}" name="%2"/>
    <tableColumn id="11" xr3:uid="{00000000-0010-0000-0100-00000B000000}" name="DEVIASI"/>
    <tableColumn id="12" xr3:uid="{00000000-0010-0000-0100-00000C000000}" name="STATUS REALISASI"/>
    <tableColumn id="13" xr3:uid="{00000000-0010-0000-0100-00000D000000}" name="KETERANGAN"/>
    <tableColumn id="14" xr3:uid="{00000000-0010-0000-0100-00000E000000}" name="Sales Team"/>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pivotTable" Target="../pivotTables/pivotTable18.xml"/><Relationship Id="rId26" Type="http://schemas.openxmlformats.org/officeDocument/2006/relationships/pivotTable" Target="../pivotTables/pivotTable26.xml"/><Relationship Id="rId3" Type="http://schemas.openxmlformats.org/officeDocument/2006/relationships/pivotTable" Target="../pivotTables/pivotTable3.xml"/><Relationship Id="rId21" Type="http://schemas.openxmlformats.org/officeDocument/2006/relationships/pivotTable" Target="../pivotTables/pivotTable21.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ivotTable" Target="../pivotTables/pivotTable17.xml"/><Relationship Id="rId25" Type="http://schemas.openxmlformats.org/officeDocument/2006/relationships/pivotTable" Target="../pivotTables/pivotTable25.xml"/><Relationship Id="rId2" Type="http://schemas.openxmlformats.org/officeDocument/2006/relationships/pivotTable" Target="../pivotTables/pivotTable2.xml"/><Relationship Id="rId16" Type="http://schemas.openxmlformats.org/officeDocument/2006/relationships/pivotTable" Target="../pivotTables/pivotTable16.xml"/><Relationship Id="rId20" Type="http://schemas.openxmlformats.org/officeDocument/2006/relationships/pivotTable" Target="../pivotTables/pivotTable20.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24" Type="http://schemas.openxmlformats.org/officeDocument/2006/relationships/pivotTable" Target="../pivotTables/pivotTable24.xml"/><Relationship Id="rId5" Type="http://schemas.openxmlformats.org/officeDocument/2006/relationships/pivotTable" Target="../pivotTables/pivotTable5.xml"/><Relationship Id="rId15" Type="http://schemas.openxmlformats.org/officeDocument/2006/relationships/pivotTable" Target="../pivotTables/pivotTable15.xml"/><Relationship Id="rId23" Type="http://schemas.openxmlformats.org/officeDocument/2006/relationships/pivotTable" Target="../pivotTables/pivotTable23.xml"/><Relationship Id="rId10" Type="http://schemas.openxmlformats.org/officeDocument/2006/relationships/pivotTable" Target="../pivotTables/pivotTable10.xml"/><Relationship Id="rId19" Type="http://schemas.openxmlformats.org/officeDocument/2006/relationships/pivotTable" Target="../pivotTables/pivotTable19.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 Id="rId22" Type="http://schemas.openxmlformats.org/officeDocument/2006/relationships/pivotTable" Target="../pivotTables/pivotTable22.xml"/><Relationship Id="rId27"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5" tint="-0.249977111117893"/>
  </sheetPr>
  <dimension ref="A1:AB7994"/>
  <sheetViews>
    <sheetView showGridLines="0" showRowColHeaders="0" workbookViewId="0">
      <selection activeCell="F3" sqref="F3"/>
    </sheetView>
  </sheetViews>
  <sheetFormatPr defaultColWidth="8.90625" defaultRowHeight="21" customHeight="1" x14ac:dyDescent="0.35"/>
  <cols>
    <col min="1" max="1" width="4.08984375" style="24" customWidth="1"/>
    <col min="2" max="2" width="10.08984375" style="10" customWidth="1"/>
    <col min="3" max="3" width="6.08984375" style="10" customWidth="1"/>
    <col min="4" max="4" width="6.90625" style="10" customWidth="1"/>
    <col min="5" max="5" width="8.453125" style="10" customWidth="1"/>
    <col min="6" max="6" width="9.7265625" style="10" customWidth="1"/>
    <col min="7" max="7" width="9.90625" style="10" customWidth="1"/>
    <col min="8" max="8" width="9.36328125" style="10" bestFit="1" customWidth="1"/>
    <col min="9" max="9" width="8.7265625" style="10" bestFit="1" customWidth="1"/>
    <col min="10" max="10" width="13.26953125" style="10" bestFit="1" customWidth="1"/>
    <col min="11" max="11" width="31.36328125" style="10" bestFit="1" customWidth="1"/>
    <col min="12" max="12" width="11.90625" style="10" bestFit="1" customWidth="1"/>
    <col min="13" max="13" width="12.36328125" style="14" bestFit="1" customWidth="1"/>
    <col min="14" max="14" width="13.90625" style="14" bestFit="1" customWidth="1"/>
    <col min="15" max="15" width="11.08984375" style="10" customWidth="1"/>
    <col min="16" max="16" width="8.26953125" style="11" customWidth="1"/>
    <col min="17" max="20" width="8.90625" style="10"/>
    <col min="21" max="21" width="9.6328125" style="10" bestFit="1" customWidth="1"/>
    <col min="22" max="22" width="9.453125" style="10" customWidth="1"/>
    <col min="23" max="16384" width="8.90625" style="10"/>
  </cols>
  <sheetData>
    <row r="1" spans="1:28" s="8" customFormat="1" ht="33" customHeight="1" x14ac:dyDescent="0.3">
      <c r="A1" s="23"/>
      <c r="B1" s="5"/>
      <c r="P1" s="6" t="s">
        <v>85</v>
      </c>
      <c r="R1" s="6"/>
      <c r="S1" s="6"/>
      <c r="T1" s="6"/>
      <c r="U1" s="6"/>
      <c r="V1" s="6"/>
      <c r="W1" s="6"/>
      <c r="X1" s="6"/>
      <c r="Y1" s="7"/>
      <c r="Z1" s="6"/>
      <c r="AA1" s="7"/>
      <c r="AB1" s="7"/>
    </row>
    <row r="2" spans="1:28" s="9" customFormat="1" ht="37" customHeight="1" x14ac:dyDescent="0.3">
      <c r="A2" s="22"/>
      <c r="B2" s="15" t="s">
        <v>130</v>
      </c>
      <c r="C2" s="15" t="s">
        <v>131</v>
      </c>
      <c r="D2" s="15" t="s">
        <v>132</v>
      </c>
      <c r="E2" s="16" t="s">
        <v>133</v>
      </c>
      <c r="F2" s="17" t="s">
        <v>134</v>
      </c>
      <c r="G2" s="17" t="s">
        <v>135</v>
      </c>
      <c r="H2" s="17" t="s">
        <v>136</v>
      </c>
      <c r="I2" s="16" t="s">
        <v>137</v>
      </c>
      <c r="J2" s="16" t="s">
        <v>0</v>
      </c>
      <c r="K2" s="17" t="s">
        <v>68</v>
      </c>
      <c r="L2" s="17" t="s">
        <v>111</v>
      </c>
      <c r="M2" s="16" t="s">
        <v>66</v>
      </c>
      <c r="N2" s="16" t="s">
        <v>84</v>
      </c>
      <c r="O2" s="71" t="s">
        <v>65</v>
      </c>
      <c r="Q2" s="25"/>
      <c r="R2" s="26"/>
      <c r="S2" s="26"/>
      <c r="T2" s="26"/>
      <c r="U2" s="26"/>
      <c r="V2" s="26"/>
      <c r="W2" s="26"/>
      <c r="X2" s="26"/>
      <c r="Y2" s="26"/>
      <c r="Z2" s="26"/>
      <c r="AA2" s="26"/>
      <c r="AB2" s="26"/>
    </row>
    <row r="3" spans="1:28" ht="21" customHeight="1" x14ac:dyDescent="0.35">
      <c r="B3" s="18">
        <v>43831</v>
      </c>
      <c r="C3" s="18" t="str">
        <f>TEXT(Sales[[#This Row],[Kode Program/Kegiatan ]],"D")</f>
        <v>1</v>
      </c>
      <c r="D3" s="19" t="str">
        <f>TEXT(Sales[[#This Row],[Kode Program/Kegiatan ]],"mmm")</f>
        <v>Jan</v>
      </c>
      <c r="E3" s="20">
        <v>5</v>
      </c>
      <c r="F3" s="19">
        <v>3</v>
      </c>
      <c r="G3" s="20">
        <f>IF(Sales[[#This Row],[Anggaran Murni]]-Sales[[#This Row],[Target s.d. Januari]]=0,"",Sales[[#This Row],[Anggaran Murni]]-Sales[[#This Row],[Target s.d. Januari]])</f>
        <v>2</v>
      </c>
      <c r="H3" s="19" t="s">
        <v>76</v>
      </c>
      <c r="I3" s="20" t="s">
        <v>79</v>
      </c>
      <c r="J3" s="20"/>
      <c r="K3" s="19" t="s">
        <v>15</v>
      </c>
      <c r="L3" s="19" t="s">
        <v>2</v>
      </c>
      <c r="M3" s="21" t="s">
        <v>67</v>
      </c>
      <c r="N3" s="20" t="s">
        <v>80</v>
      </c>
      <c r="O3" s="19" t="s">
        <v>11</v>
      </c>
      <c r="P3" s="10"/>
      <c r="Q3" s="11"/>
    </row>
    <row r="4" spans="1:28" ht="21" customHeight="1" x14ac:dyDescent="0.35">
      <c r="B4" s="1">
        <v>43831</v>
      </c>
      <c r="C4" s="1" t="str">
        <f>TEXT(Sales[[#This Row],[Kode Program/Kegiatan ]],"D")</f>
        <v>1</v>
      </c>
      <c r="D4" s="2" t="str">
        <f>TEXT(Sales[[#This Row],[Kode Program/Kegiatan ]],"mmm")</f>
        <v>Jan</v>
      </c>
      <c r="E4" s="3">
        <v>5</v>
      </c>
      <c r="F4" s="2">
        <v>3</v>
      </c>
      <c r="G4" s="3">
        <f>IF(Sales[[#This Row],[Anggaran Murni]]-Sales[[#This Row],[Target s.d. Januari]]=0,"",Sales[[#This Row],[Anggaran Murni]]-Sales[[#This Row],[Target s.d. Januari]])</f>
        <v>2</v>
      </c>
      <c r="H4" s="2" t="s">
        <v>71</v>
      </c>
      <c r="I4" s="3" t="s">
        <v>6</v>
      </c>
      <c r="J4" s="3"/>
      <c r="K4" s="2" t="s">
        <v>16</v>
      </c>
      <c r="L4" s="2" t="s">
        <v>4</v>
      </c>
      <c r="M4" s="4" t="s">
        <v>67</v>
      </c>
      <c r="N4" s="3" t="s">
        <v>82</v>
      </c>
      <c r="O4" s="2" t="s">
        <v>12</v>
      </c>
      <c r="P4" s="10"/>
      <c r="Q4" s="11"/>
    </row>
    <row r="5" spans="1:28" ht="21" customHeight="1" x14ac:dyDescent="0.35">
      <c r="B5" s="18">
        <v>43831</v>
      </c>
      <c r="C5" s="18" t="str">
        <f>TEXT(Sales[[#This Row],[Kode Program/Kegiatan ]],"D")</f>
        <v>1</v>
      </c>
      <c r="D5" s="19" t="str">
        <f>TEXT(Sales[[#This Row],[Kode Program/Kegiatan ]],"mmm")</f>
        <v>Jan</v>
      </c>
      <c r="E5" s="20">
        <v>4</v>
      </c>
      <c r="F5" s="19">
        <v>2</v>
      </c>
      <c r="G5" s="20">
        <f>IF(Sales[[#This Row],[Anggaran Murni]]-Sales[[#This Row],[Target s.d. Januari]]=0,"",Sales[[#This Row],[Anggaran Murni]]-Sales[[#This Row],[Target s.d. Januari]])</f>
        <v>2</v>
      </c>
      <c r="H5" s="19" t="s">
        <v>73</v>
      </c>
      <c r="I5" s="20" t="s">
        <v>78</v>
      </c>
      <c r="J5" s="20"/>
      <c r="K5" s="19" t="s">
        <v>18</v>
      </c>
      <c r="L5" s="19" t="s">
        <v>5</v>
      </c>
      <c r="M5" s="21" t="s">
        <v>67</v>
      </c>
      <c r="N5" s="20" t="s">
        <v>82</v>
      </c>
      <c r="O5" s="19" t="s">
        <v>14</v>
      </c>
      <c r="P5" s="10"/>
      <c r="Q5" s="11"/>
    </row>
    <row r="6" spans="1:28" ht="21" customHeight="1" x14ac:dyDescent="0.35">
      <c r="B6" s="1">
        <v>43831</v>
      </c>
      <c r="C6" s="1" t="str">
        <f>TEXT(Sales[[#This Row],[Kode Program/Kegiatan ]],"D")</f>
        <v>1</v>
      </c>
      <c r="D6" s="2" t="str">
        <f>TEXT(Sales[[#This Row],[Kode Program/Kegiatan ]],"mmm")</f>
        <v>Jan</v>
      </c>
      <c r="E6" s="3">
        <v>3</v>
      </c>
      <c r="F6" s="2">
        <v>2</v>
      </c>
      <c r="G6" s="3">
        <f>IF(Sales[[#This Row],[Anggaran Murni]]-Sales[[#This Row],[Target s.d. Januari]]=0,"",Sales[[#This Row],[Anggaran Murni]]-Sales[[#This Row],[Target s.d. Januari]])</f>
        <v>1</v>
      </c>
      <c r="H6" s="2" t="s">
        <v>71</v>
      </c>
      <c r="I6" s="3" t="s">
        <v>6</v>
      </c>
      <c r="J6" s="3"/>
      <c r="K6" s="2" t="s">
        <v>17</v>
      </c>
      <c r="L6" s="2" t="s">
        <v>8</v>
      </c>
      <c r="M6" s="4" t="s">
        <v>67</v>
      </c>
      <c r="N6" s="3" t="s">
        <v>82</v>
      </c>
      <c r="O6" s="2" t="s">
        <v>13</v>
      </c>
      <c r="P6" s="10"/>
      <c r="Q6" s="11"/>
    </row>
    <row r="7" spans="1:28" ht="21" customHeight="1" x14ac:dyDescent="0.35">
      <c r="B7" s="18">
        <v>43832</v>
      </c>
      <c r="C7" s="18" t="str">
        <f>TEXT(Sales[[#This Row],[Kode Program/Kegiatan ]],"D")</f>
        <v>2</v>
      </c>
      <c r="D7" s="19" t="str">
        <f>TEXT(Sales[[#This Row],[Kode Program/Kegiatan ]],"mmm")</f>
        <v>Jan</v>
      </c>
      <c r="E7" s="20">
        <v>10</v>
      </c>
      <c r="F7" s="19">
        <v>6</v>
      </c>
      <c r="G7" s="20">
        <f>IF(Sales[[#This Row],[Anggaran Murni]]-Sales[[#This Row],[Target s.d. Januari]]=0,"",Sales[[#This Row],[Anggaran Murni]]-Sales[[#This Row],[Target s.d. Januari]])</f>
        <v>4</v>
      </c>
      <c r="H7" s="19" t="s">
        <v>113</v>
      </c>
      <c r="I7" s="20" t="s">
        <v>77</v>
      </c>
      <c r="J7" s="20"/>
      <c r="K7" s="19" t="s">
        <v>22</v>
      </c>
      <c r="L7" s="19" t="s">
        <v>7</v>
      </c>
      <c r="M7" s="21" t="s">
        <v>67</v>
      </c>
      <c r="N7" s="20" t="s">
        <v>80</v>
      </c>
      <c r="O7" s="19" t="s">
        <v>13</v>
      </c>
      <c r="P7" s="10"/>
      <c r="Q7" s="11"/>
    </row>
    <row r="8" spans="1:28" ht="21" customHeight="1" x14ac:dyDescent="0.35">
      <c r="B8" s="1">
        <v>43832</v>
      </c>
      <c r="C8" s="1" t="str">
        <f>TEXT(Sales[[#This Row],[Kode Program/Kegiatan ]],"D")</f>
        <v>2</v>
      </c>
      <c r="D8" s="2" t="str">
        <f>TEXT(Sales[[#This Row],[Kode Program/Kegiatan ]],"mmm")</f>
        <v>Jan</v>
      </c>
      <c r="E8" s="3">
        <v>9</v>
      </c>
      <c r="F8" s="2">
        <v>8</v>
      </c>
      <c r="G8" s="3">
        <f>IF(Sales[[#This Row],[Anggaran Murni]]-Sales[[#This Row],[Target s.d. Januari]]=0,"",Sales[[#This Row],[Anggaran Murni]]-Sales[[#This Row],[Target s.d. Januari]])</f>
        <v>1</v>
      </c>
      <c r="H8" s="2" t="s">
        <v>70</v>
      </c>
      <c r="I8" s="3" t="s">
        <v>1</v>
      </c>
      <c r="J8" s="3"/>
      <c r="K8" s="2" t="s">
        <v>19</v>
      </c>
      <c r="L8" s="2" t="s">
        <v>5</v>
      </c>
      <c r="M8" s="4" t="s">
        <v>67</v>
      </c>
      <c r="N8" s="3" t="s">
        <v>81</v>
      </c>
      <c r="O8" s="2" t="s">
        <v>12</v>
      </c>
      <c r="P8" s="10"/>
      <c r="Q8" s="11"/>
    </row>
    <row r="9" spans="1:28" ht="21" customHeight="1" x14ac:dyDescent="0.35">
      <c r="B9" s="18">
        <v>43832</v>
      </c>
      <c r="C9" s="18" t="str">
        <f>TEXT(Sales[[#This Row],[Kode Program/Kegiatan ]],"D")</f>
        <v>2</v>
      </c>
      <c r="D9" s="19" t="str">
        <f>TEXT(Sales[[#This Row],[Kode Program/Kegiatan ]],"mmm")</f>
        <v>Jan</v>
      </c>
      <c r="E9" s="20">
        <v>9</v>
      </c>
      <c r="F9" s="19">
        <v>8</v>
      </c>
      <c r="G9" s="20">
        <f>IF(Sales[[#This Row],[Anggaran Murni]]-Sales[[#This Row],[Target s.d. Januari]]=0,"",Sales[[#This Row],[Anggaran Murni]]-Sales[[#This Row],[Target s.d. Januari]])</f>
        <v>1</v>
      </c>
      <c r="H9" s="19" t="s">
        <v>72</v>
      </c>
      <c r="I9" s="20" t="s">
        <v>78</v>
      </c>
      <c r="J9" s="20"/>
      <c r="K9" s="19" t="s">
        <v>23</v>
      </c>
      <c r="L9" s="19" t="s">
        <v>2</v>
      </c>
      <c r="M9" s="21" t="s">
        <v>67</v>
      </c>
      <c r="N9" s="20" t="s">
        <v>80</v>
      </c>
      <c r="O9" s="19" t="s">
        <v>14</v>
      </c>
      <c r="P9" s="10"/>
      <c r="Q9" s="11"/>
    </row>
    <row r="10" spans="1:28" ht="21" customHeight="1" x14ac:dyDescent="0.35">
      <c r="B10" s="1">
        <v>43832</v>
      </c>
      <c r="C10" s="1" t="str">
        <f>TEXT(Sales[[#This Row],[Kode Program/Kegiatan ]],"D")</f>
        <v>2</v>
      </c>
      <c r="D10" s="2" t="str">
        <f>TEXT(Sales[[#This Row],[Kode Program/Kegiatan ]],"mmm")</f>
        <v>Jan</v>
      </c>
      <c r="E10" s="3">
        <v>7</v>
      </c>
      <c r="F10" s="2">
        <v>6</v>
      </c>
      <c r="G10" s="3">
        <f>IF(Sales[[#This Row],[Anggaran Murni]]-Sales[[#This Row],[Target s.d. Januari]]=0,"",Sales[[#This Row],[Anggaran Murni]]-Sales[[#This Row],[Target s.d. Januari]])</f>
        <v>1</v>
      </c>
      <c r="H10" s="2" t="s">
        <v>73</v>
      </c>
      <c r="I10" s="3" t="s">
        <v>78</v>
      </c>
      <c r="J10" s="3"/>
      <c r="K10" s="2" t="s">
        <v>25</v>
      </c>
      <c r="L10" s="2" t="s">
        <v>5</v>
      </c>
      <c r="M10" s="4" t="s">
        <v>67</v>
      </c>
      <c r="N10" s="3" t="s">
        <v>81</v>
      </c>
      <c r="O10" s="2" t="s">
        <v>11</v>
      </c>
      <c r="P10" s="10"/>
      <c r="Q10" s="11"/>
    </row>
    <row r="11" spans="1:28" ht="21" customHeight="1" x14ac:dyDescent="0.35">
      <c r="B11" s="18">
        <v>43832</v>
      </c>
      <c r="C11" s="18" t="str">
        <f>TEXT(Sales[[#This Row],[Kode Program/Kegiatan ]],"D")</f>
        <v>2</v>
      </c>
      <c r="D11" s="19" t="str">
        <f>TEXT(Sales[[#This Row],[Kode Program/Kegiatan ]],"mmm")</f>
        <v>Jan</v>
      </c>
      <c r="E11" s="20">
        <v>5</v>
      </c>
      <c r="F11" s="19">
        <v>4</v>
      </c>
      <c r="G11" s="20">
        <f>IF(Sales[[#This Row],[Anggaran Murni]]-Sales[[#This Row],[Target s.d. Januari]]=0,"",Sales[[#This Row],[Anggaran Murni]]-Sales[[#This Row],[Target s.d. Januari]])</f>
        <v>1</v>
      </c>
      <c r="H11" s="19" t="s">
        <v>74</v>
      </c>
      <c r="I11" s="20" t="s">
        <v>77</v>
      </c>
      <c r="J11" s="20"/>
      <c r="K11" s="19" t="s">
        <v>24</v>
      </c>
      <c r="L11" s="19" t="s">
        <v>2</v>
      </c>
      <c r="M11" s="21" t="s">
        <v>67</v>
      </c>
      <c r="N11" s="20" t="s">
        <v>82</v>
      </c>
      <c r="O11" s="19" t="s">
        <v>14</v>
      </c>
      <c r="P11" s="10"/>
      <c r="Q11" s="11"/>
    </row>
    <row r="12" spans="1:28" ht="21" customHeight="1" x14ac:dyDescent="0.35">
      <c r="B12" s="1">
        <v>43832</v>
      </c>
      <c r="C12" s="1" t="str">
        <f>TEXT(Sales[[#This Row],[Kode Program/Kegiatan ]],"D")</f>
        <v>2</v>
      </c>
      <c r="D12" s="2" t="str">
        <f>TEXT(Sales[[#This Row],[Kode Program/Kegiatan ]],"mmm")</f>
        <v>Jan</v>
      </c>
      <c r="E12" s="3">
        <v>4</v>
      </c>
      <c r="F12" s="2">
        <v>2</v>
      </c>
      <c r="G12" s="3">
        <f>IF(Sales[[#This Row],[Anggaran Murni]]-Sales[[#This Row],[Target s.d. Januari]]=0,"",Sales[[#This Row],[Anggaran Murni]]-Sales[[#This Row],[Target s.d. Januari]])</f>
        <v>2</v>
      </c>
      <c r="H12" s="2" t="s">
        <v>76</v>
      </c>
      <c r="I12" s="3" t="s">
        <v>79</v>
      </c>
      <c r="J12" s="3"/>
      <c r="K12" s="2" t="s">
        <v>26</v>
      </c>
      <c r="L12" s="2" t="s">
        <v>8</v>
      </c>
      <c r="M12" s="4" t="s">
        <v>67</v>
      </c>
      <c r="N12" s="3" t="s">
        <v>81</v>
      </c>
      <c r="O12" s="2" t="s">
        <v>12</v>
      </c>
      <c r="P12" s="10"/>
      <c r="Q12" s="11"/>
    </row>
    <row r="13" spans="1:28" ht="21" customHeight="1" x14ac:dyDescent="0.35">
      <c r="B13" s="18">
        <v>43832</v>
      </c>
      <c r="C13" s="18" t="str">
        <f>TEXT(Sales[[#This Row],[Kode Program/Kegiatan ]],"D")</f>
        <v>2</v>
      </c>
      <c r="D13" s="19" t="str">
        <f>TEXT(Sales[[#This Row],[Kode Program/Kegiatan ]],"mmm")</f>
        <v>Jan</v>
      </c>
      <c r="E13" s="20">
        <v>3</v>
      </c>
      <c r="F13" s="19">
        <v>1</v>
      </c>
      <c r="G13" s="20">
        <f>IF(Sales[[#This Row],[Anggaran Murni]]-Sales[[#This Row],[Target s.d. Januari]]=0,"",Sales[[#This Row],[Anggaran Murni]]-Sales[[#This Row],[Target s.d. Januari]])</f>
        <v>2</v>
      </c>
      <c r="H13" s="19" t="s">
        <v>74</v>
      </c>
      <c r="I13" s="20" t="s">
        <v>77</v>
      </c>
      <c r="J13" s="20"/>
      <c r="K13" s="19" t="s">
        <v>20</v>
      </c>
      <c r="L13" s="19" t="s">
        <v>5</v>
      </c>
      <c r="M13" s="21" t="s">
        <v>67</v>
      </c>
      <c r="N13" s="20" t="s">
        <v>82</v>
      </c>
      <c r="O13" s="19" t="s">
        <v>11</v>
      </c>
      <c r="P13" s="10"/>
      <c r="Q13" s="11"/>
    </row>
    <row r="14" spans="1:28" ht="21" customHeight="1" x14ac:dyDescent="0.35">
      <c r="B14" s="1">
        <v>43832</v>
      </c>
      <c r="C14" s="1" t="str">
        <f>TEXT(Sales[[#This Row],[Kode Program/Kegiatan ]],"D")</f>
        <v>2</v>
      </c>
      <c r="D14" s="2" t="str">
        <f>TEXT(Sales[[#This Row],[Kode Program/Kegiatan ]],"mmm")</f>
        <v>Jan</v>
      </c>
      <c r="E14" s="3">
        <v>3</v>
      </c>
      <c r="F14" s="2">
        <v>1</v>
      </c>
      <c r="G14" s="3">
        <f>IF(Sales[[#This Row],[Anggaran Murni]]-Sales[[#This Row],[Target s.d. Januari]]=0,"",Sales[[#This Row],[Anggaran Murni]]-Sales[[#This Row],[Target s.d. Januari]])</f>
        <v>2</v>
      </c>
      <c r="H14" s="2" t="s">
        <v>71</v>
      </c>
      <c r="I14" s="3" t="s">
        <v>6</v>
      </c>
      <c r="J14" s="3"/>
      <c r="K14" s="2" t="s">
        <v>21</v>
      </c>
      <c r="L14" s="2" t="s">
        <v>4</v>
      </c>
      <c r="M14" s="4" t="s">
        <v>67</v>
      </c>
      <c r="N14" s="3" t="s">
        <v>81</v>
      </c>
      <c r="O14" s="2" t="s">
        <v>12</v>
      </c>
      <c r="P14" s="10"/>
      <c r="Q14" s="11"/>
    </row>
    <row r="15" spans="1:28" ht="21" customHeight="1" x14ac:dyDescent="0.35">
      <c r="B15" s="18">
        <v>43833</v>
      </c>
      <c r="C15" s="18" t="str">
        <f>TEXT(Sales[[#This Row],[Kode Program/Kegiatan ]],"D")</f>
        <v>3</v>
      </c>
      <c r="D15" s="19" t="str">
        <f>TEXT(Sales[[#This Row],[Kode Program/Kegiatan ]],"mmm")</f>
        <v>Jan</v>
      </c>
      <c r="E15" s="20">
        <v>8</v>
      </c>
      <c r="F15" s="19">
        <v>4</v>
      </c>
      <c r="G15" s="20">
        <f>IF(Sales[[#This Row],[Anggaran Murni]]-Sales[[#This Row],[Target s.d. Januari]]=0,"",Sales[[#This Row],[Anggaran Murni]]-Sales[[#This Row],[Target s.d. Januari]])</f>
        <v>4</v>
      </c>
      <c r="H15" s="19" t="s">
        <v>114</v>
      </c>
      <c r="I15" s="20" t="s">
        <v>3</v>
      </c>
      <c r="J15" s="20"/>
      <c r="K15" s="19" t="s">
        <v>25</v>
      </c>
      <c r="L15" s="19" t="s">
        <v>2</v>
      </c>
      <c r="M15" s="21" t="s">
        <v>67</v>
      </c>
      <c r="N15" s="20" t="s">
        <v>80</v>
      </c>
      <c r="O15" s="19" t="s">
        <v>11</v>
      </c>
      <c r="P15" s="10"/>
      <c r="Q15" s="11"/>
    </row>
    <row r="16" spans="1:28" ht="21" customHeight="1" x14ac:dyDescent="0.35">
      <c r="B16" s="1">
        <v>43833</v>
      </c>
      <c r="C16" s="1" t="str">
        <f>TEXT(Sales[[#This Row],[Kode Program/Kegiatan ]],"D")</f>
        <v>3</v>
      </c>
      <c r="D16" s="2" t="str">
        <f>TEXT(Sales[[#This Row],[Kode Program/Kegiatan ]],"mmm")</f>
        <v>Jan</v>
      </c>
      <c r="E16" s="3">
        <v>7</v>
      </c>
      <c r="F16" s="2">
        <v>6</v>
      </c>
      <c r="G16" s="3">
        <f>IF(Sales[[#This Row],[Anggaran Murni]]-Sales[[#This Row],[Target s.d. Januari]]=0,"",Sales[[#This Row],[Anggaran Murni]]-Sales[[#This Row],[Target s.d. Januari]])</f>
        <v>1</v>
      </c>
      <c r="H16" s="2" t="s">
        <v>76</v>
      </c>
      <c r="I16" s="3" t="s">
        <v>79</v>
      </c>
      <c r="J16" s="3"/>
      <c r="K16" s="2" t="s">
        <v>27</v>
      </c>
      <c r="L16" s="2" t="s">
        <v>5</v>
      </c>
      <c r="M16" s="4" t="s">
        <v>67</v>
      </c>
      <c r="N16" s="3" t="s">
        <v>82</v>
      </c>
      <c r="O16" s="2" t="s">
        <v>12</v>
      </c>
      <c r="P16" s="10"/>
      <c r="Q16" s="11"/>
    </row>
    <row r="17" spans="2:17" ht="21" customHeight="1" x14ac:dyDescent="0.35">
      <c r="B17" s="18">
        <v>43833</v>
      </c>
      <c r="C17" s="18" t="str">
        <f>TEXT(Sales[[#This Row],[Kode Program/Kegiatan ]],"D")</f>
        <v>3</v>
      </c>
      <c r="D17" s="19" t="str">
        <f>TEXT(Sales[[#This Row],[Kode Program/Kegiatan ]],"mmm")</f>
        <v>Jan</v>
      </c>
      <c r="E17" s="20">
        <v>7</v>
      </c>
      <c r="F17" s="19">
        <v>4</v>
      </c>
      <c r="G17" s="20">
        <f>IF(Sales[[#This Row],[Anggaran Murni]]-Sales[[#This Row],[Target s.d. Januari]]=0,"",Sales[[#This Row],[Anggaran Murni]]-Sales[[#This Row],[Target s.d. Januari]])</f>
        <v>3</v>
      </c>
      <c r="H17" s="19" t="s">
        <v>75</v>
      </c>
      <c r="I17" s="20" t="s">
        <v>6</v>
      </c>
      <c r="J17" s="20"/>
      <c r="K17" s="19" t="s">
        <v>28</v>
      </c>
      <c r="L17" s="19" t="s">
        <v>2</v>
      </c>
      <c r="M17" s="21" t="s">
        <v>67</v>
      </c>
      <c r="N17" s="20" t="s">
        <v>80</v>
      </c>
      <c r="O17" s="19" t="s">
        <v>13</v>
      </c>
      <c r="P17" s="10"/>
      <c r="Q17" s="11"/>
    </row>
    <row r="18" spans="2:17" ht="21" customHeight="1" x14ac:dyDescent="0.35">
      <c r="B18" s="1">
        <v>43833</v>
      </c>
      <c r="C18" s="1" t="str">
        <f>TEXT(Sales[[#This Row],[Kode Program/Kegiatan ]],"D")</f>
        <v>3</v>
      </c>
      <c r="D18" s="2" t="str">
        <f>TEXT(Sales[[#This Row],[Kode Program/Kegiatan ]],"mmm")</f>
        <v>Jan</v>
      </c>
      <c r="E18" s="3">
        <v>7</v>
      </c>
      <c r="F18" s="2">
        <v>6</v>
      </c>
      <c r="G18" s="3">
        <f>IF(Sales[[#This Row],[Anggaran Murni]]-Sales[[#This Row],[Target s.d. Januari]]=0,"",Sales[[#This Row],[Anggaran Murni]]-Sales[[#This Row],[Target s.d. Januari]])</f>
        <v>1</v>
      </c>
      <c r="H18" s="2" t="s">
        <v>75</v>
      </c>
      <c r="I18" s="3" t="s">
        <v>6</v>
      </c>
      <c r="J18" s="3"/>
      <c r="K18" s="2" t="s">
        <v>23</v>
      </c>
      <c r="L18" s="2" t="s">
        <v>2</v>
      </c>
      <c r="M18" s="4" t="s">
        <v>67</v>
      </c>
      <c r="N18" s="3" t="s">
        <v>81</v>
      </c>
      <c r="O18" s="2" t="s">
        <v>11</v>
      </c>
      <c r="P18" s="10"/>
      <c r="Q18" s="11"/>
    </row>
    <row r="19" spans="2:17" ht="21" customHeight="1" x14ac:dyDescent="0.35">
      <c r="B19" s="18">
        <v>43833</v>
      </c>
      <c r="C19" s="18" t="str">
        <f>TEXT(Sales[[#This Row],[Kode Program/Kegiatan ]],"D")</f>
        <v>3</v>
      </c>
      <c r="D19" s="19" t="str">
        <f>TEXT(Sales[[#This Row],[Kode Program/Kegiatan ]],"mmm")</f>
        <v>Jan</v>
      </c>
      <c r="E19" s="20">
        <v>6</v>
      </c>
      <c r="F19" s="19">
        <v>4</v>
      </c>
      <c r="G19" s="20">
        <f>IF(Sales[[#This Row],[Anggaran Murni]]-Sales[[#This Row],[Target s.d. Januari]]=0,"",Sales[[#This Row],[Anggaran Murni]]-Sales[[#This Row],[Target s.d. Januari]])</f>
        <v>2</v>
      </c>
      <c r="H19" s="19" t="s">
        <v>73</v>
      </c>
      <c r="I19" s="20" t="s">
        <v>78</v>
      </c>
      <c r="J19" s="20"/>
      <c r="K19" s="19" t="s">
        <v>23</v>
      </c>
      <c r="L19" s="19" t="s">
        <v>2</v>
      </c>
      <c r="M19" s="21" t="s">
        <v>67</v>
      </c>
      <c r="N19" s="20" t="s">
        <v>81</v>
      </c>
      <c r="O19" s="19" t="s">
        <v>11</v>
      </c>
      <c r="P19" s="10"/>
      <c r="Q19" s="11"/>
    </row>
    <row r="20" spans="2:17" ht="21" customHeight="1" x14ac:dyDescent="0.35">
      <c r="B20" s="1">
        <v>43833</v>
      </c>
      <c r="C20" s="1" t="str">
        <f>TEXT(Sales[[#This Row],[Kode Program/Kegiatan ]],"D")</f>
        <v>3</v>
      </c>
      <c r="D20" s="2" t="str">
        <f>TEXT(Sales[[#This Row],[Kode Program/Kegiatan ]],"mmm")</f>
        <v>Jan</v>
      </c>
      <c r="E20" s="3">
        <v>5</v>
      </c>
      <c r="F20" s="2">
        <v>3</v>
      </c>
      <c r="G20" s="3">
        <f>IF(Sales[[#This Row],[Anggaran Murni]]-Sales[[#This Row],[Target s.d. Januari]]=0,"",Sales[[#This Row],[Anggaran Murni]]-Sales[[#This Row],[Target s.d. Januari]])</f>
        <v>2</v>
      </c>
      <c r="H20" s="2" t="s">
        <v>113</v>
      </c>
      <c r="I20" s="3" t="s">
        <v>77</v>
      </c>
      <c r="J20" s="3"/>
      <c r="K20" s="2" t="s">
        <v>23</v>
      </c>
      <c r="L20" s="2" t="s">
        <v>5</v>
      </c>
      <c r="M20" s="4" t="s">
        <v>67</v>
      </c>
      <c r="N20" s="3" t="s">
        <v>81</v>
      </c>
      <c r="O20" s="2" t="s">
        <v>14</v>
      </c>
      <c r="P20" s="10"/>
      <c r="Q20" s="11"/>
    </row>
    <row r="21" spans="2:17" ht="21" customHeight="1" x14ac:dyDescent="0.35">
      <c r="B21" s="18">
        <v>43833</v>
      </c>
      <c r="C21" s="18" t="str">
        <f>TEXT(Sales[[#This Row],[Kode Program/Kegiatan ]],"D")</f>
        <v>3</v>
      </c>
      <c r="D21" s="19" t="str">
        <f>TEXT(Sales[[#This Row],[Kode Program/Kegiatan ]],"mmm")</f>
        <v>Jan</v>
      </c>
      <c r="E21" s="20">
        <v>5</v>
      </c>
      <c r="F21" s="19">
        <v>3</v>
      </c>
      <c r="G21" s="20">
        <f>IF(Sales[[#This Row],[Anggaran Murni]]-Sales[[#This Row],[Target s.d. Januari]]=0,"",Sales[[#This Row],[Anggaran Murni]]-Sales[[#This Row],[Target s.d. Januari]])</f>
        <v>2</v>
      </c>
      <c r="H21" s="19" t="s">
        <v>76</v>
      </c>
      <c r="I21" s="20" t="s">
        <v>79</v>
      </c>
      <c r="J21" s="20"/>
      <c r="K21" s="19" t="s">
        <v>29</v>
      </c>
      <c r="L21" s="19" t="s">
        <v>5</v>
      </c>
      <c r="M21" s="21" t="s">
        <v>67</v>
      </c>
      <c r="N21" s="20" t="s">
        <v>81</v>
      </c>
      <c r="O21" s="19" t="s">
        <v>12</v>
      </c>
      <c r="P21" s="10"/>
      <c r="Q21" s="11"/>
    </row>
    <row r="22" spans="2:17" ht="21" customHeight="1" x14ac:dyDescent="0.35">
      <c r="B22" s="1">
        <v>43833</v>
      </c>
      <c r="C22" s="1" t="str">
        <f>TEXT(Sales[[#This Row],[Kode Program/Kegiatan ]],"D")</f>
        <v>3</v>
      </c>
      <c r="D22" s="2" t="str">
        <f>TEXT(Sales[[#This Row],[Kode Program/Kegiatan ]],"mmm")</f>
        <v>Jan</v>
      </c>
      <c r="E22" s="3">
        <v>5</v>
      </c>
      <c r="F22" s="2">
        <v>4</v>
      </c>
      <c r="G22" s="3">
        <f>IF(Sales[[#This Row],[Anggaran Murni]]-Sales[[#This Row],[Target s.d. Januari]]=0,"",Sales[[#This Row],[Anggaran Murni]]-Sales[[#This Row],[Target s.d. Januari]])</f>
        <v>1</v>
      </c>
      <c r="H22" s="2" t="s">
        <v>72</v>
      </c>
      <c r="I22" s="3" t="s">
        <v>78</v>
      </c>
      <c r="J22" s="3"/>
      <c r="K22" s="2" t="s">
        <v>30</v>
      </c>
      <c r="L22" s="2" t="s">
        <v>2</v>
      </c>
      <c r="M22" s="4" t="s">
        <v>67</v>
      </c>
      <c r="N22" s="3" t="s">
        <v>82</v>
      </c>
      <c r="O22" s="2" t="s">
        <v>11</v>
      </c>
      <c r="P22" s="10"/>
      <c r="Q22" s="11"/>
    </row>
    <row r="23" spans="2:17" ht="21" customHeight="1" x14ac:dyDescent="0.35">
      <c r="B23" s="18">
        <v>43833</v>
      </c>
      <c r="C23" s="18" t="str">
        <f>TEXT(Sales[[#This Row],[Kode Program/Kegiatan ]],"D")</f>
        <v>3</v>
      </c>
      <c r="D23" s="19" t="str">
        <f>TEXT(Sales[[#This Row],[Kode Program/Kegiatan ]],"mmm")</f>
        <v>Jan</v>
      </c>
      <c r="E23" s="20">
        <v>3</v>
      </c>
      <c r="F23" s="19">
        <v>2</v>
      </c>
      <c r="G23" s="20">
        <f>IF(Sales[[#This Row],[Anggaran Murni]]-Sales[[#This Row],[Target s.d. Januari]]=0,"",Sales[[#This Row],[Anggaran Murni]]-Sales[[#This Row],[Target s.d. Januari]])</f>
        <v>1</v>
      </c>
      <c r="H23" s="19" t="s">
        <v>74</v>
      </c>
      <c r="I23" s="20" t="s">
        <v>77</v>
      </c>
      <c r="J23" s="20"/>
      <c r="K23" s="19" t="s">
        <v>26</v>
      </c>
      <c r="L23" s="19" t="s">
        <v>2</v>
      </c>
      <c r="M23" s="21" t="s">
        <v>67</v>
      </c>
      <c r="N23" s="20" t="s">
        <v>81</v>
      </c>
      <c r="O23" s="19" t="s">
        <v>14</v>
      </c>
      <c r="P23" s="10"/>
      <c r="Q23" s="11"/>
    </row>
    <row r="24" spans="2:17" ht="21" customHeight="1" x14ac:dyDescent="0.35">
      <c r="B24" s="1">
        <v>43834</v>
      </c>
      <c r="C24" s="1" t="str">
        <f>TEXT(Sales[[#This Row],[Kode Program/Kegiatan ]],"D")</f>
        <v>4</v>
      </c>
      <c r="D24" s="2" t="str">
        <f>TEXT(Sales[[#This Row],[Kode Program/Kegiatan ]],"mmm")</f>
        <v>Jan</v>
      </c>
      <c r="E24" s="3">
        <v>10</v>
      </c>
      <c r="F24" s="2">
        <v>8</v>
      </c>
      <c r="G24" s="3">
        <f>IF(Sales[[#This Row],[Anggaran Murni]]-Sales[[#This Row],[Target s.d. Januari]]=0,"",Sales[[#This Row],[Anggaran Murni]]-Sales[[#This Row],[Target s.d. Januari]])</f>
        <v>2</v>
      </c>
      <c r="H24" s="2" t="s">
        <v>70</v>
      </c>
      <c r="I24" s="3" t="s">
        <v>1</v>
      </c>
      <c r="J24" s="3"/>
      <c r="K24" s="2" t="s">
        <v>30</v>
      </c>
      <c r="L24" s="2" t="s">
        <v>7</v>
      </c>
      <c r="M24" s="4" t="s">
        <v>67</v>
      </c>
      <c r="N24" s="3" t="s">
        <v>82</v>
      </c>
      <c r="O24" s="2" t="s">
        <v>13</v>
      </c>
      <c r="P24" s="10"/>
      <c r="Q24" s="11"/>
    </row>
    <row r="25" spans="2:17" ht="21" customHeight="1" x14ac:dyDescent="0.35">
      <c r="B25" s="18">
        <v>43834</v>
      </c>
      <c r="C25" s="18" t="str">
        <f>TEXT(Sales[[#This Row],[Kode Program/Kegiatan ]],"D")</f>
        <v>4</v>
      </c>
      <c r="D25" s="19" t="str">
        <f>TEXT(Sales[[#This Row],[Kode Program/Kegiatan ]],"mmm")</f>
        <v>Jan</v>
      </c>
      <c r="E25" s="20">
        <v>9</v>
      </c>
      <c r="F25" s="19">
        <v>6</v>
      </c>
      <c r="G25" s="20">
        <f>IF(Sales[[#This Row],[Anggaran Murni]]-Sales[[#This Row],[Target s.d. Januari]]=0,"",Sales[[#This Row],[Anggaran Murni]]-Sales[[#This Row],[Target s.d. Januari]])</f>
        <v>3</v>
      </c>
      <c r="H25" s="19" t="s">
        <v>113</v>
      </c>
      <c r="I25" s="20" t="s">
        <v>77</v>
      </c>
      <c r="J25" s="20"/>
      <c r="K25" s="19" t="s">
        <v>34</v>
      </c>
      <c r="L25" s="19" t="s">
        <v>2</v>
      </c>
      <c r="M25" s="21" t="s">
        <v>67</v>
      </c>
      <c r="N25" s="20" t="s">
        <v>82</v>
      </c>
      <c r="O25" s="19" t="s">
        <v>14</v>
      </c>
      <c r="P25" s="10"/>
      <c r="Q25" s="11"/>
    </row>
    <row r="26" spans="2:17" ht="21" customHeight="1" x14ac:dyDescent="0.35">
      <c r="B26" s="1">
        <v>43834</v>
      </c>
      <c r="C26" s="1" t="str">
        <f>TEXT(Sales[[#This Row],[Kode Program/Kegiatan ]],"D")</f>
        <v>4</v>
      </c>
      <c r="D26" s="2" t="str">
        <f>TEXT(Sales[[#This Row],[Kode Program/Kegiatan ]],"mmm")</f>
        <v>Jan</v>
      </c>
      <c r="E26" s="3">
        <v>7</v>
      </c>
      <c r="F26" s="2">
        <v>5</v>
      </c>
      <c r="G26" s="3">
        <f>IF(Sales[[#This Row],[Anggaran Murni]]-Sales[[#This Row],[Target s.d. Januari]]=0,"",Sales[[#This Row],[Anggaran Murni]]-Sales[[#This Row],[Target s.d. Januari]])</f>
        <v>2</v>
      </c>
      <c r="H26" s="2" t="s">
        <v>73</v>
      </c>
      <c r="I26" s="3" t="s">
        <v>78</v>
      </c>
      <c r="J26" s="3"/>
      <c r="K26" s="2" t="s">
        <v>32</v>
      </c>
      <c r="L26" s="2" t="s">
        <v>5</v>
      </c>
      <c r="M26" s="4" t="s">
        <v>67</v>
      </c>
      <c r="N26" s="3" t="s">
        <v>82</v>
      </c>
      <c r="O26" s="2" t="s">
        <v>11</v>
      </c>
      <c r="P26" s="10"/>
      <c r="Q26" s="11"/>
    </row>
    <row r="27" spans="2:17" ht="21" customHeight="1" x14ac:dyDescent="0.35">
      <c r="B27" s="18">
        <v>43834</v>
      </c>
      <c r="C27" s="18" t="str">
        <f>TEXT(Sales[[#This Row],[Kode Program/Kegiatan ]],"D")</f>
        <v>4</v>
      </c>
      <c r="D27" s="19" t="str">
        <f>TEXT(Sales[[#This Row],[Kode Program/Kegiatan ]],"mmm")</f>
        <v>Jan</v>
      </c>
      <c r="E27" s="20">
        <v>4</v>
      </c>
      <c r="F27" s="19">
        <v>2</v>
      </c>
      <c r="G27" s="20">
        <f>IF(Sales[[#This Row],[Anggaran Murni]]-Sales[[#This Row],[Target s.d. Januari]]=0,"",Sales[[#This Row],[Anggaran Murni]]-Sales[[#This Row],[Target s.d. Januari]])</f>
        <v>2</v>
      </c>
      <c r="H27" s="19" t="s">
        <v>75</v>
      </c>
      <c r="I27" s="20" t="s">
        <v>6</v>
      </c>
      <c r="J27" s="20"/>
      <c r="K27" s="19" t="s">
        <v>31</v>
      </c>
      <c r="L27" s="19" t="s">
        <v>5</v>
      </c>
      <c r="M27" s="21" t="s">
        <v>67</v>
      </c>
      <c r="N27" s="20" t="s">
        <v>81</v>
      </c>
      <c r="O27" s="19" t="s">
        <v>12</v>
      </c>
      <c r="P27" s="10"/>
      <c r="Q27" s="11"/>
    </row>
    <row r="28" spans="2:17" ht="21" customHeight="1" x14ac:dyDescent="0.35">
      <c r="B28" s="1">
        <v>43834</v>
      </c>
      <c r="C28" s="1" t="str">
        <f>TEXT(Sales[[#This Row],[Kode Program/Kegiatan ]],"D")</f>
        <v>4</v>
      </c>
      <c r="D28" s="2" t="str">
        <f>TEXT(Sales[[#This Row],[Kode Program/Kegiatan ]],"mmm")</f>
        <v>Jan</v>
      </c>
      <c r="E28" s="3">
        <v>3</v>
      </c>
      <c r="F28" s="2">
        <v>1</v>
      </c>
      <c r="G28" s="3">
        <f>IF(Sales[[#This Row],[Anggaran Murni]]-Sales[[#This Row],[Target s.d. Januari]]=0,"",Sales[[#This Row],[Anggaran Murni]]-Sales[[#This Row],[Target s.d. Januari]])</f>
        <v>2</v>
      </c>
      <c r="H28" s="2" t="s">
        <v>72</v>
      </c>
      <c r="I28" s="3" t="s">
        <v>78</v>
      </c>
      <c r="J28" s="3"/>
      <c r="K28" s="2" t="s">
        <v>33</v>
      </c>
      <c r="L28" s="2" t="s">
        <v>5</v>
      </c>
      <c r="M28" s="4" t="s">
        <v>67</v>
      </c>
      <c r="N28" s="3" t="s">
        <v>82</v>
      </c>
      <c r="O28" s="2" t="s">
        <v>11</v>
      </c>
      <c r="P28" s="10"/>
      <c r="Q28" s="11"/>
    </row>
    <row r="29" spans="2:17" ht="21" customHeight="1" x14ac:dyDescent="0.35">
      <c r="B29" s="18">
        <v>43835</v>
      </c>
      <c r="C29" s="18" t="str">
        <f>TEXT(Sales[[#This Row],[Kode Program/Kegiatan ]],"D")</f>
        <v>5</v>
      </c>
      <c r="D29" s="19" t="str">
        <f>TEXT(Sales[[#This Row],[Kode Program/Kegiatan ]],"mmm")</f>
        <v>Jan</v>
      </c>
      <c r="E29" s="20">
        <v>10</v>
      </c>
      <c r="F29" s="19">
        <v>8</v>
      </c>
      <c r="G29" s="20">
        <f>IF(Sales[[#This Row],[Anggaran Murni]]-Sales[[#This Row],[Target s.d. Januari]]=0,"",Sales[[#This Row],[Anggaran Murni]]-Sales[[#This Row],[Target s.d. Januari]])</f>
        <v>2</v>
      </c>
      <c r="H29" s="19" t="s">
        <v>72</v>
      </c>
      <c r="I29" s="20" t="s">
        <v>78</v>
      </c>
      <c r="J29" s="20"/>
      <c r="K29" s="19" t="s">
        <v>32</v>
      </c>
      <c r="L29" s="19" t="s">
        <v>7</v>
      </c>
      <c r="M29" s="21" t="s">
        <v>67</v>
      </c>
      <c r="N29" s="20" t="s">
        <v>82</v>
      </c>
      <c r="O29" s="19" t="s">
        <v>14</v>
      </c>
      <c r="P29" s="10"/>
      <c r="Q29" s="11"/>
    </row>
    <row r="30" spans="2:17" ht="21" customHeight="1" x14ac:dyDescent="0.35">
      <c r="B30" s="1">
        <v>43835</v>
      </c>
      <c r="C30" s="1" t="str">
        <f>TEXT(Sales[[#This Row],[Kode Program/Kegiatan ]],"D")</f>
        <v>5</v>
      </c>
      <c r="D30" s="2" t="str">
        <f>TEXT(Sales[[#This Row],[Kode Program/Kegiatan ]],"mmm")</f>
        <v>Jan</v>
      </c>
      <c r="E30" s="3">
        <v>9</v>
      </c>
      <c r="F30" s="2">
        <v>8</v>
      </c>
      <c r="G30" s="3">
        <f>IF(Sales[[#This Row],[Anggaran Murni]]-Sales[[#This Row],[Target s.d. Januari]]=0,"",Sales[[#This Row],[Anggaran Murni]]-Sales[[#This Row],[Target s.d. Januari]])</f>
        <v>1</v>
      </c>
      <c r="H30" s="2" t="s">
        <v>73</v>
      </c>
      <c r="I30" s="3" t="s">
        <v>78</v>
      </c>
      <c r="J30" s="3"/>
      <c r="K30" s="2" t="s">
        <v>35</v>
      </c>
      <c r="L30" s="2" t="s">
        <v>5</v>
      </c>
      <c r="M30" s="4" t="s">
        <v>67</v>
      </c>
      <c r="N30" s="3" t="s">
        <v>81</v>
      </c>
      <c r="O30" s="2" t="s">
        <v>12</v>
      </c>
      <c r="P30" s="10"/>
      <c r="Q30" s="11"/>
    </row>
    <row r="31" spans="2:17" ht="21" customHeight="1" x14ac:dyDescent="0.35">
      <c r="B31" s="18">
        <v>43835</v>
      </c>
      <c r="C31" s="18" t="str">
        <f>TEXT(Sales[[#This Row],[Kode Program/Kegiatan ]],"D")</f>
        <v>5</v>
      </c>
      <c r="D31" s="19" t="str">
        <f>TEXT(Sales[[#This Row],[Kode Program/Kegiatan ]],"mmm")</f>
        <v>Jan</v>
      </c>
      <c r="E31" s="20">
        <v>9</v>
      </c>
      <c r="F31" s="19">
        <v>8</v>
      </c>
      <c r="G31" s="20">
        <f>IF(Sales[[#This Row],[Anggaran Murni]]-Sales[[#This Row],[Target s.d. Januari]]=0,"",Sales[[#This Row],[Anggaran Murni]]-Sales[[#This Row],[Target s.d. Januari]])</f>
        <v>1</v>
      </c>
      <c r="H31" s="19" t="s">
        <v>76</v>
      </c>
      <c r="I31" s="20" t="s">
        <v>79</v>
      </c>
      <c r="J31" s="20"/>
      <c r="K31" s="19" t="s">
        <v>37</v>
      </c>
      <c r="L31" s="19" t="s">
        <v>8</v>
      </c>
      <c r="M31" s="21" t="s">
        <v>67</v>
      </c>
      <c r="N31" s="20" t="s">
        <v>82</v>
      </c>
      <c r="O31" s="19" t="s">
        <v>13</v>
      </c>
      <c r="P31" s="10"/>
      <c r="Q31" s="11"/>
    </row>
    <row r="32" spans="2:17" ht="21" customHeight="1" x14ac:dyDescent="0.35">
      <c r="B32" s="1">
        <v>43835</v>
      </c>
      <c r="C32" s="1" t="str">
        <f>TEXT(Sales[[#This Row],[Kode Program/Kegiatan ]],"D")</f>
        <v>5</v>
      </c>
      <c r="D32" s="2" t="str">
        <f>TEXT(Sales[[#This Row],[Kode Program/Kegiatan ]],"mmm")</f>
        <v>Jan</v>
      </c>
      <c r="E32" s="3">
        <v>8</v>
      </c>
      <c r="F32" s="2">
        <v>7</v>
      </c>
      <c r="G32" s="3">
        <f>IF(Sales[[#This Row],[Anggaran Murni]]-Sales[[#This Row],[Target s.d. Januari]]=0,"",Sales[[#This Row],[Anggaran Murni]]-Sales[[#This Row],[Target s.d. Januari]])</f>
        <v>1</v>
      </c>
      <c r="H32" s="2" t="s">
        <v>71</v>
      </c>
      <c r="I32" s="3" t="s">
        <v>6</v>
      </c>
      <c r="J32" s="3"/>
      <c r="K32" s="2" t="s">
        <v>25</v>
      </c>
      <c r="L32" s="2" t="s">
        <v>4</v>
      </c>
      <c r="M32" s="4" t="s">
        <v>67</v>
      </c>
      <c r="N32" s="3" t="s">
        <v>80</v>
      </c>
      <c r="O32" s="2" t="s">
        <v>11</v>
      </c>
      <c r="P32" s="10"/>
      <c r="Q32" s="11"/>
    </row>
    <row r="33" spans="2:17" ht="21" customHeight="1" x14ac:dyDescent="0.35">
      <c r="B33" s="18">
        <v>43835</v>
      </c>
      <c r="C33" s="18" t="str">
        <f>TEXT(Sales[[#This Row],[Kode Program/Kegiatan ]],"D")</f>
        <v>5</v>
      </c>
      <c r="D33" s="19" t="str">
        <f>TEXT(Sales[[#This Row],[Kode Program/Kegiatan ]],"mmm")</f>
        <v>Jan</v>
      </c>
      <c r="E33" s="20">
        <v>7</v>
      </c>
      <c r="F33" s="19">
        <v>6</v>
      </c>
      <c r="G33" s="20">
        <f>IF(Sales[[#This Row],[Anggaran Murni]]-Sales[[#This Row],[Target s.d. Januari]]=0,"",Sales[[#This Row],[Anggaran Murni]]-Sales[[#This Row],[Target s.d. Januari]])</f>
        <v>1</v>
      </c>
      <c r="H33" s="19" t="s">
        <v>114</v>
      </c>
      <c r="I33" s="20" t="s">
        <v>3</v>
      </c>
      <c r="J33" s="20"/>
      <c r="K33" s="19" t="s">
        <v>24</v>
      </c>
      <c r="L33" s="19" t="s">
        <v>9</v>
      </c>
      <c r="M33" s="21" t="s">
        <v>67</v>
      </c>
      <c r="N33" s="20" t="s">
        <v>81</v>
      </c>
      <c r="O33" s="19" t="s">
        <v>12</v>
      </c>
      <c r="P33" s="10"/>
      <c r="Q33" s="11"/>
    </row>
    <row r="34" spans="2:17" ht="21" customHeight="1" x14ac:dyDescent="0.35">
      <c r="B34" s="1">
        <v>43835</v>
      </c>
      <c r="C34" s="1" t="str">
        <f>TEXT(Sales[[#This Row],[Kode Program/Kegiatan ]],"D")</f>
        <v>5</v>
      </c>
      <c r="D34" s="2" t="str">
        <f>TEXT(Sales[[#This Row],[Kode Program/Kegiatan ]],"mmm")</f>
        <v>Jan</v>
      </c>
      <c r="E34" s="3">
        <v>6</v>
      </c>
      <c r="F34" s="2">
        <v>3</v>
      </c>
      <c r="G34" s="3">
        <f>IF(Sales[[#This Row],[Anggaran Murni]]-Sales[[#This Row],[Target s.d. Januari]]=0,"",Sales[[#This Row],[Anggaran Murni]]-Sales[[#This Row],[Target s.d. Januari]])</f>
        <v>3</v>
      </c>
      <c r="H34" s="2" t="s">
        <v>76</v>
      </c>
      <c r="I34" s="3" t="s">
        <v>79</v>
      </c>
      <c r="J34" s="3"/>
      <c r="K34" s="2" t="s">
        <v>25</v>
      </c>
      <c r="L34" s="2" t="s">
        <v>5</v>
      </c>
      <c r="M34" s="4" t="s">
        <v>67</v>
      </c>
      <c r="N34" s="3" t="s">
        <v>82</v>
      </c>
      <c r="O34" s="2" t="s">
        <v>11</v>
      </c>
      <c r="P34" s="10"/>
      <c r="Q34" s="11"/>
    </row>
    <row r="35" spans="2:17" ht="21" customHeight="1" x14ac:dyDescent="0.35">
      <c r="B35" s="18">
        <v>43835</v>
      </c>
      <c r="C35" s="18" t="str">
        <f>TEXT(Sales[[#This Row],[Kode Program/Kegiatan ]],"D")</f>
        <v>5</v>
      </c>
      <c r="D35" s="19" t="str">
        <f>TEXT(Sales[[#This Row],[Kode Program/Kegiatan ]],"mmm")</f>
        <v>Jan</v>
      </c>
      <c r="E35" s="20">
        <v>6</v>
      </c>
      <c r="F35" s="19">
        <v>5</v>
      </c>
      <c r="G35" s="20">
        <f>IF(Sales[[#This Row],[Anggaran Murni]]-Sales[[#This Row],[Target s.d. Januari]]=0,"",Sales[[#This Row],[Anggaran Murni]]-Sales[[#This Row],[Target s.d. Januari]])</f>
        <v>1</v>
      </c>
      <c r="H35" s="19" t="s">
        <v>113</v>
      </c>
      <c r="I35" s="20" t="s">
        <v>77</v>
      </c>
      <c r="J35" s="20"/>
      <c r="K35" s="19" t="s">
        <v>38</v>
      </c>
      <c r="L35" s="19" t="s">
        <v>5</v>
      </c>
      <c r="M35" s="21" t="s">
        <v>67</v>
      </c>
      <c r="N35" s="20" t="s">
        <v>80</v>
      </c>
      <c r="O35" s="19" t="s">
        <v>14</v>
      </c>
      <c r="P35" s="10"/>
      <c r="Q35" s="11"/>
    </row>
    <row r="36" spans="2:17" ht="21" customHeight="1" x14ac:dyDescent="0.35">
      <c r="B36" s="1">
        <v>43835</v>
      </c>
      <c r="C36" s="1" t="str">
        <f>TEXT(Sales[[#This Row],[Kode Program/Kegiatan ]],"D")</f>
        <v>5</v>
      </c>
      <c r="D36" s="2" t="str">
        <f>TEXT(Sales[[#This Row],[Kode Program/Kegiatan ]],"mmm")</f>
        <v>Jan</v>
      </c>
      <c r="E36" s="3">
        <v>5</v>
      </c>
      <c r="F36" s="2">
        <v>4</v>
      </c>
      <c r="G36" s="3">
        <f>IF(Sales[[#This Row],[Anggaran Murni]]-Sales[[#This Row],[Target s.d. Januari]]=0,"",Sales[[#This Row],[Anggaran Murni]]-Sales[[#This Row],[Target s.d. Januari]])</f>
        <v>1</v>
      </c>
      <c r="H36" s="2" t="s">
        <v>72</v>
      </c>
      <c r="I36" s="3" t="s">
        <v>78</v>
      </c>
      <c r="J36" s="3"/>
      <c r="K36" s="2" t="s">
        <v>21</v>
      </c>
      <c r="L36" s="2" t="s">
        <v>2</v>
      </c>
      <c r="M36" s="4" t="s">
        <v>67</v>
      </c>
      <c r="N36" s="3" t="s">
        <v>81</v>
      </c>
      <c r="O36" s="2" t="s">
        <v>12</v>
      </c>
      <c r="P36" s="10"/>
      <c r="Q36" s="11"/>
    </row>
    <row r="37" spans="2:17" ht="21" customHeight="1" x14ac:dyDescent="0.35">
      <c r="B37" s="18">
        <v>43835</v>
      </c>
      <c r="C37" s="18" t="str">
        <f>TEXT(Sales[[#This Row],[Kode Program/Kegiatan ]],"D")</f>
        <v>5</v>
      </c>
      <c r="D37" s="19" t="str">
        <f>TEXT(Sales[[#This Row],[Kode Program/Kegiatan ]],"mmm")</f>
        <v>Jan</v>
      </c>
      <c r="E37" s="20">
        <v>4</v>
      </c>
      <c r="F37" s="19">
        <v>2</v>
      </c>
      <c r="G37" s="20">
        <f>IF(Sales[[#This Row],[Anggaran Murni]]-Sales[[#This Row],[Target s.d. Januari]]=0,"",Sales[[#This Row],[Anggaran Murni]]-Sales[[#This Row],[Target s.d. Januari]])</f>
        <v>2</v>
      </c>
      <c r="H37" s="19" t="s">
        <v>70</v>
      </c>
      <c r="I37" s="20" t="s">
        <v>1</v>
      </c>
      <c r="J37" s="20"/>
      <c r="K37" s="19" t="s">
        <v>35</v>
      </c>
      <c r="L37" s="19" t="s">
        <v>2</v>
      </c>
      <c r="M37" s="21" t="s">
        <v>67</v>
      </c>
      <c r="N37" s="20" t="s">
        <v>80</v>
      </c>
      <c r="O37" s="19" t="s">
        <v>12</v>
      </c>
      <c r="P37" s="10"/>
      <c r="Q37" s="11"/>
    </row>
    <row r="38" spans="2:17" ht="21" customHeight="1" x14ac:dyDescent="0.35">
      <c r="B38" s="1">
        <v>43835</v>
      </c>
      <c r="C38" s="1" t="str">
        <f>TEXT(Sales[[#This Row],[Kode Program/Kegiatan ]],"D")</f>
        <v>5</v>
      </c>
      <c r="D38" s="2" t="str">
        <f>TEXT(Sales[[#This Row],[Kode Program/Kegiatan ]],"mmm")</f>
        <v>Jan</v>
      </c>
      <c r="E38" s="3">
        <v>4</v>
      </c>
      <c r="F38" s="2">
        <v>2</v>
      </c>
      <c r="G38" s="3">
        <f>IF(Sales[[#This Row],[Anggaran Murni]]-Sales[[#This Row],[Target s.d. Januari]]=0,"",Sales[[#This Row],[Anggaran Murni]]-Sales[[#This Row],[Target s.d. Januari]])</f>
        <v>2</v>
      </c>
      <c r="H38" s="2" t="s">
        <v>114</v>
      </c>
      <c r="I38" s="3" t="s">
        <v>3</v>
      </c>
      <c r="J38" s="3"/>
      <c r="K38" s="2" t="s">
        <v>29</v>
      </c>
      <c r="L38" s="2" t="s">
        <v>5</v>
      </c>
      <c r="M38" s="4" t="s">
        <v>67</v>
      </c>
      <c r="N38" s="3" t="s">
        <v>80</v>
      </c>
      <c r="O38" s="2" t="s">
        <v>12</v>
      </c>
      <c r="P38" s="10"/>
      <c r="Q38" s="11"/>
    </row>
    <row r="39" spans="2:17" ht="21" customHeight="1" x14ac:dyDescent="0.35">
      <c r="B39" s="18">
        <v>43835</v>
      </c>
      <c r="C39" s="18" t="str">
        <f>TEXT(Sales[[#This Row],[Kode Program/Kegiatan ]],"D")</f>
        <v>5</v>
      </c>
      <c r="D39" s="19" t="str">
        <f>TEXT(Sales[[#This Row],[Kode Program/Kegiatan ]],"mmm")</f>
        <v>Jan</v>
      </c>
      <c r="E39" s="20">
        <v>4</v>
      </c>
      <c r="F39" s="19">
        <v>2</v>
      </c>
      <c r="G39" s="20">
        <f>IF(Sales[[#This Row],[Anggaran Murni]]-Sales[[#This Row],[Target s.d. Januari]]=0,"",Sales[[#This Row],[Anggaran Murni]]-Sales[[#This Row],[Target s.d. Januari]])</f>
        <v>2</v>
      </c>
      <c r="H39" s="19" t="s">
        <v>113</v>
      </c>
      <c r="I39" s="20" t="s">
        <v>77</v>
      </c>
      <c r="J39" s="20"/>
      <c r="K39" s="19" t="s">
        <v>35</v>
      </c>
      <c r="L39" s="19" t="s">
        <v>2</v>
      </c>
      <c r="M39" s="21" t="s">
        <v>67</v>
      </c>
      <c r="N39" s="20" t="s">
        <v>80</v>
      </c>
      <c r="O39" s="19" t="s">
        <v>11</v>
      </c>
      <c r="P39" s="10"/>
      <c r="Q39" s="11"/>
    </row>
    <row r="40" spans="2:17" ht="21" customHeight="1" x14ac:dyDescent="0.35">
      <c r="B40" s="1">
        <v>43835</v>
      </c>
      <c r="C40" s="1" t="str">
        <f>TEXT(Sales[[#This Row],[Kode Program/Kegiatan ]],"D")</f>
        <v>5</v>
      </c>
      <c r="D40" s="2" t="str">
        <f>TEXT(Sales[[#This Row],[Kode Program/Kegiatan ]],"mmm")</f>
        <v>Jan</v>
      </c>
      <c r="E40" s="3">
        <v>3</v>
      </c>
      <c r="F40" s="2">
        <v>1</v>
      </c>
      <c r="G40" s="3">
        <f>IF(Sales[[#This Row],[Anggaran Murni]]-Sales[[#This Row],[Target s.d. Januari]]=0,"",Sales[[#This Row],[Anggaran Murni]]-Sales[[#This Row],[Target s.d. Januari]])</f>
        <v>2</v>
      </c>
      <c r="H40" s="2" t="s">
        <v>76</v>
      </c>
      <c r="I40" s="3" t="s">
        <v>79</v>
      </c>
      <c r="J40" s="3"/>
      <c r="K40" s="2" t="s">
        <v>36</v>
      </c>
      <c r="L40" s="2" t="s">
        <v>5</v>
      </c>
      <c r="M40" s="4" t="s">
        <v>67</v>
      </c>
      <c r="N40" s="3" t="s">
        <v>80</v>
      </c>
      <c r="O40" s="2" t="s">
        <v>13</v>
      </c>
      <c r="P40" s="10"/>
      <c r="Q40" s="11"/>
    </row>
    <row r="41" spans="2:17" ht="21" customHeight="1" x14ac:dyDescent="0.35">
      <c r="B41" s="18">
        <v>43836</v>
      </c>
      <c r="C41" s="18" t="str">
        <f>TEXT(Sales[[#This Row],[Kode Program/Kegiatan ]],"D")</f>
        <v>6</v>
      </c>
      <c r="D41" s="19" t="str">
        <f>TEXT(Sales[[#This Row],[Kode Program/Kegiatan ]],"mmm")</f>
        <v>Jan</v>
      </c>
      <c r="E41" s="20">
        <v>10</v>
      </c>
      <c r="F41" s="19">
        <v>6</v>
      </c>
      <c r="G41" s="20">
        <f>IF(Sales[[#This Row],[Anggaran Murni]]-Sales[[#This Row],[Target s.d. Januari]]=0,"",Sales[[#This Row],[Anggaran Murni]]-Sales[[#This Row],[Target s.d. Januari]])</f>
        <v>4</v>
      </c>
      <c r="H41" s="19" t="s">
        <v>72</v>
      </c>
      <c r="I41" s="20" t="s">
        <v>78</v>
      </c>
      <c r="J41" s="20"/>
      <c r="K41" s="19" t="s">
        <v>27</v>
      </c>
      <c r="L41" s="19" t="s">
        <v>5</v>
      </c>
      <c r="M41" s="21" t="s">
        <v>67</v>
      </c>
      <c r="N41" s="20" t="s">
        <v>82</v>
      </c>
      <c r="O41" s="19" t="s">
        <v>14</v>
      </c>
      <c r="P41" s="10"/>
      <c r="Q41" s="11"/>
    </row>
    <row r="42" spans="2:17" ht="21" customHeight="1" x14ac:dyDescent="0.35">
      <c r="B42" s="1">
        <v>43836</v>
      </c>
      <c r="C42" s="1" t="str">
        <f>TEXT(Sales[[#This Row],[Kode Program/Kegiatan ]],"D")</f>
        <v>6</v>
      </c>
      <c r="D42" s="2" t="str">
        <f>TEXT(Sales[[#This Row],[Kode Program/Kegiatan ]],"mmm")</f>
        <v>Jan</v>
      </c>
      <c r="E42" s="3">
        <v>9</v>
      </c>
      <c r="F42" s="2">
        <v>7</v>
      </c>
      <c r="G42" s="3">
        <f>IF(Sales[[#This Row],[Anggaran Murni]]-Sales[[#This Row],[Target s.d. Januari]]=0,"",Sales[[#This Row],[Anggaran Murni]]-Sales[[#This Row],[Target s.d. Januari]])</f>
        <v>2</v>
      </c>
      <c r="H42" s="2" t="s">
        <v>74</v>
      </c>
      <c r="I42" s="3" t="s">
        <v>77</v>
      </c>
      <c r="J42" s="3"/>
      <c r="K42" s="2" t="s">
        <v>43</v>
      </c>
      <c r="L42" s="2" t="s">
        <v>2</v>
      </c>
      <c r="M42" s="4" t="s">
        <v>67</v>
      </c>
      <c r="N42" s="3" t="s">
        <v>82</v>
      </c>
      <c r="O42" s="2" t="s">
        <v>14</v>
      </c>
      <c r="P42" s="10"/>
      <c r="Q42" s="11"/>
    </row>
    <row r="43" spans="2:17" ht="21" customHeight="1" x14ac:dyDescent="0.35">
      <c r="B43" s="18">
        <v>43836</v>
      </c>
      <c r="C43" s="18" t="str">
        <f>TEXT(Sales[[#This Row],[Kode Program/Kegiatan ]],"D")</f>
        <v>6</v>
      </c>
      <c r="D43" s="19" t="str">
        <f>TEXT(Sales[[#This Row],[Kode Program/Kegiatan ]],"mmm")</f>
        <v>Jan</v>
      </c>
      <c r="E43" s="20">
        <v>8</v>
      </c>
      <c r="F43" s="19">
        <v>6</v>
      </c>
      <c r="G43" s="20">
        <f>IF(Sales[[#This Row],[Anggaran Murni]]-Sales[[#This Row],[Target s.d. Januari]]=0,"",Sales[[#This Row],[Anggaran Murni]]-Sales[[#This Row],[Target s.d. Januari]])</f>
        <v>2</v>
      </c>
      <c r="H43" s="19" t="s">
        <v>74</v>
      </c>
      <c r="I43" s="20" t="s">
        <v>77</v>
      </c>
      <c r="J43" s="20"/>
      <c r="K43" s="19" t="s">
        <v>39</v>
      </c>
      <c r="L43" s="19" t="s">
        <v>5</v>
      </c>
      <c r="M43" s="21" t="s">
        <v>67</v>
      </c>
      <c r="N43" s="20" t="s">
        <v>81</v>
      </c>
      <c r="O43" s="19" t="s">
        <v>11</v>
      </c>
      <c r="P43" s="10"/>
      <c r="Q43" s="11"/>
    </row>
    <row r="44" spans="2:17" ht="21" customHeight="1" x14ac:dyDescent="0.35">
      <c r="B44" s="1">
        <v>43836</v>
      </c>
      <c r="C44" s="1" t="str">
        <f>TEXT(Sales[[#This Row],[Kode Program/Kegiatan ]],"D")</f>
        <v>6</v>
      </c>
      <c r="D44" s="2" t="str">
        <f>TEXT(Sales[[#This Row],[Kode Program/Kegiatan ]],"mmm")</f>
        <v>Jan</v>
      </c>
      <c r="E44" s="3">
        <v>8</v>
      </c>
      <c r="F44" s="2">
        <v>4</v>
      </c>
      <c r="G44" s="3">
        <f>IF(Sales[[#This Row],[Anggaran Murni]]-Sales[[#This Row],[Target s.d. Januari]]=0,"",Sales[[#This Row],[Anggaran Murni]]-Sales[[#This Row],[Target s.d. Januari]])</f>
        <v>4</v>
      </c>
      <c r="H44" s="2" t="s">
        <v>73</v>
      </c>
      <c r="I44" s="3" t="s">
        <v>78</v>
      </c>
      <c r="J44" s="3"/>
      <c r="K44" s="2" t="s">
        <v>36</v>
      </c>
      <c r="L44" s="2" t="s">
        <v>8</v>
      </c>
      <c r="M44" s="4" t="s">
        <v>67</v>
      </c>
      <c r="N44" s="3" t="s">
        <v>81</v>
      </c>
      <c r="O44" s="2" t="s">
        <v>13</v>
      </c>
      <c r="P44" s="10"/>
      <c r="Q44" s="11"/>
    </row>
    <row r="45" spans="2:17" ht="21" customHeight="1" x14ac:dyDescent="0.35">
      <c r="B45" s="18">
        <v>43836</v>
      </c>
      <c r="C45" s="18" t="str">
        <f>TEXT(Sales[[#This Row],[Kode Program/Kegiatan ]],"D")</f>
        <v>6</v>
      </c>
      <c r="D45" s="19" t="str">
        <f>TEXT(Sales[[#This Row],[Kode Program/Kegiatan ]],"mmm")</f>
        <v>Jan</v>
      </c>
      <c r="E45" s="20">
        <v>7</v>
      </c>
      <c r="F45" s="19">
        <v>6</v>
      </c>
      <c r="G45" s="20">
        <f>IF(Sales[[#This Row],[Anggaran Murni]]-Sales[[#This Row],[Target s.d. Januari]]=0,"",Sales[[#This Row],[Anggaran Murni]]-Sales[[#This Row],[Target s.d. Januari]])</f>
        <v>1</v>
      </c>
      <c r="H45" s="19" t="s">
        <v>74</v>
      </c>
      <c r="I45" s="20" t="s">
        <v>77</v>
      </c>
      <c r="J45" s="20"/>
      <c r="K45" s="19" t="s">
        <v>26</v>
      </c>
      <c r="L45" s="19" t="s">
        <v>8</v>
      </c>
      <c r="M45" s="21" t="s">
        <v>67</v>
      </c>
      <c r="N45" s="20" t="s">
        <v>80</v>
      </c>
      <c r="O45" s="19" t="s">
        <v>14</v>
      </c>
      <c r="P45" s="10"/>
      <c r="Q45" s="11"/>
    </row>
    <row r="46" spans="2:17" ht="21" customHeight="1" x14ac:dyDescent="0.35">
      <c r="B46" s="1">
        <v>43836</v>
      </c>
      <c r="C46" s="1" t="str">
        <f>TEXT(Sales[[#This Row],[Kode Program/Kegiatan ]],"D")</f>
        <v>6</v>
      </c>
      <c r="D46" s="2" t="str">
        <f>TEXT(Sales[[#This Row],[Kode Program/Kegiatan ]],"mmm")</f>
        <v>Jan</v>
      </c>
      <c r="E46" s="3">
        <v>7</v>
      </c>
      <c r="F46" s="2">
        <v>6</v>
      </c>
      <c r="G46" s="3">
        <f>IF(Sales[[#This Row],[Anggaran Murni]]-Sales[[#This Row],[Target s.d. Januari]]=0,"",Sales[[#This Row],[Anggaran Murni]]-Sales[[#This Row],[Target s.d. Januari]])</f>
        <v>1</v>
      </c>
      <c r="H46" s="2" t="s">
        <v>76</v>
      </c>
      <c r="I46" s="3" t="s">
        <v>79</v>
      </c>
      <c r="J46" s="3"/>
      <c r="K46" s="2" t="s">
        <v>40</v>
      </c>
      <c r="L46" s="2" t="s">
        <v>5</v>
      </c>
      <c r="M46" s="4" t="s">
        <v>67</v>
      </c>
      <c r="N46" s="3" t="s">
        <v>81</v>
      </c>
      <c r="O46" s="2" t="s">
        <v>14</v>
      </c>
      <c r="P46" s="10"/>
      <c r="Q46" s="11"/>
    </row>
    <row r="47" spans="2:17" ht="21" customHeight="1" x14ac:dyDescent="0.35">
      <c r="B47" s="18">
        <v>43836</v>
      </c>
      <c r="C47" s="18" t="str">
        <f>TEXT(Sales[[#This Row],[Kode Program/Kegiatan ]],"D")</f>
        <v>6</v>
      </c>
      <c r="D47" s="19" t="str">
        <f>TEXT(Sales[[#This Row],[Kode Program/Kegiatan ]],"mmm")</f>
        <v>Jan</v>
      </c>
      <c r="E47" s="20">
        <v>7</v>
      </c>
      <c r="F47" s="19">
        <v>6</v>
      </c>
      <c r="G47" s="20">
        <f>IF(Sales[[#This Row],[Anggaran Murni]]-Sales[[#This Row],[Target s.d. Januari]]=0,"",Sales[[#This Row],[Anggaran Murni]]-Sales[[#This Row],[Target s.d. Januari]])</f>
        <v>1</v>
      </c>
      <c r="H47" s="19" t="s">
        <v>73</v>
      </c>
      <c r="I47" s="20" t="s">
        <v>78</v>
      </c>
      <c r="J47" s="20"/>
      <c r="K47" s="19" t="s">
        <v>41</v>
      </c>
      <c r="L47" s="19" t="s">
        <v>5</v>
      </c>
      <c r="M47" s="21" t="s">
        <v>67</v>
      </c>
      <c r="N47" s="20" t="s">
        <v>82</v>
      </c>
      <c r="O47" s="19" t="s">
        <v>13</v>
      </c>
      <c r="P47" s="10"/>
      <c r="Q47" s="11"/>
    </row>
    <row r="48" spans="2:17" ht="21" customHeight="1" x14ac:dyDescent="0.35">
      <c r="B48" s="1">
        <v>43836</v>
      </c>
      <c r="C48" s="1" t="str">
        <f>TEXT(Sales[[#This Row],[Kode Program/Kegiatan ]],"D")</f>
        <v>6</v>
      </c>
      <c r="D48" s="2" t="str">
        <f>TEXT(Sales[[#This Row],[Kode Program/Kegiatan ]],"mmm")</f>
        <v>Jan</v>
      </c>
      <c r="E48" s="3">
        <v>4</v>
      </c>
      <c r="F48" s="2">
        <v>3</v>
      </c>
      <c r="G48" s="3">
        <f>IF(Sales[[#This Row],[Anggaran Murni]]-Sales[[#This Row],[Target s.d. Januari]]=0,"",Sales[[#This Row],[Anggaran Murni]]-Sales[[#This Row],[Target s.d. Januari]])</f>
        <v>1</v>
      </c>
      <c r="H48" s="2" t="s">
        <v>113</v>
      </c>
      <c r="I48" s="3" t="s">
        <v>77</v>
      </c>
      <c r="J48" s="3"/>
      <c r="K48" s="2" t="s">
        <v>31</v>
      </c>
      <c r="L48" s="2" t="s">
        <v>2</v>
      </c>
      <c r="M48" s="4" t="s">
        <v>67</v>
      </c>
      <c r="N48" s="3" t="s">
        <v>80</v>
      </c>
      <c r="O48" s="2" t="s">
        <v>12</v>
      </c>
      <c r="P48" s="10"/>
      <c r="Q48" s="11"/>
    </row>
    <row r="49" spans="2:17" ht="21" customHeight="1" x14ac:dyDescent="0.35">
      <c r="B49" s="18">
        <v>43836</v>
      </c>
      <c r="C49" s="18" t="str">
        <f>TEXT(Sales[[#This Row],[Kode Program/Kegiatan ]],"D")</f>
        <v>6</v>
      </c>
      <c r="D49" s="19" t="str">
        <f>TEXT(Sales[[#This Row],[Kode Program/Kegiatan ]],"mmm")</f>
        <v>Jan</v>
      </c>
      <c r="E49" s="20">
        <v>4</v>
      </c>
      <c r="F49" s="19">
        <v>2</v>
      </c>
      <c r="G49" s="20">
        <f>IF(Sales[[#This Row],[Anggaran Murni]]-Sales[[#This Row],[Target s.d. Januari]]=0,"",Sales[[#This Row],[Anggaran Murni]]-Sales[[#This Row],[Target s.d. Januari]])</f>
        <v>2</v>
      </c>
      <c r="H49" s="19" t="s">
        <v>70</v>
      </c>
      <c r="I49" s="20" t="s">
        <v>1</v>
      </c>
      <c r="J49" s="20"/>
      <c r="K49" s="19" t="s">
        <v>44</v>
      </c>
      <c r="L49" s="19" t="s">
        <v>4</v>
      </c>
      <c r="M49" s="21" t="s">
        <v>67</v>
      </c>
      <c r="N49" s="20" t="s">
        <v>81</v>
      </c>
      <c r="O49" s="19" t="s">
        <v>14</v>
      </c>
      <c r="P49" s="10"/>
      <c r="Q49" s="11"/>
    </row>
    <row r="50" spans="2:17" ht="21" customHeight="1" x14ac:dyDescent="0.35">
      <c r="B50" s="1">
        <v>43836</v>
      </c>
      <c r="C50" s="1" t="str">
        <f>TEXT(Sales[[#This Row],[Kode Program/Kegiatan ]],"D")</f>
        <v>6</v>
      </c>
      <c r="D50" s="2" t="str">
        <f>TEXT(Sales[[#This Row],[Kode Program/Kegiatan ]],"mmm")</f>
        <v>Jan</v>
      </c>
      <c r="E50" s="3">
        <v>3</v>
      </c>
      <c r="F50" s="2">
        <v>2</v>
      </c>
      <c r="G50" s="3">
        <f>IF(Sales[[#This Row],[Anggaran Murni]]-Sales[[#This Row],[Target s.d. Januari]]=0,"",Sales[[#This Row],[Anggaran Murni]]-Sales[[#This Row],[Target s.d. Januari]])</f>
        <v>1</v>
      </c>
      <c r="H50" s="2" t="s">
        <v>73</v>
      </c>
      <c r="I50" s="3" t="s">
        <v>78</v>
      </c>
      <c r="J50" s="3"/>
      <c r="K50" s="2" t="s">
        <v>42</v>
      </c>
      <c r="L50" s="2" t="s">
        <v>2</v>
      </c>
      <c r="M50" s="4" t="s">
        <v>67</v>
      </c>
      <c r="N50" s="3" t="s">
        <v>82</v>
      </c>
      <c r="O50" s="2" t="s">
        <v>11</v>
      </c>
      <c r="P50" s="10"/>
      <c r="Q50" s="11"/>
    </row>
    <row r="51" spans="2:17" ht="21" customHeight="1" x14ac:dyDescent="0.35">
      <c r="B51" s="18">
        <v>43837</v>
      </c>
      <c r="C51" s="18" t="str">
        <f>TEXT(Sales[[#This Row],[Kode Program/Kegiatan ]],"D")</f>
        <v>7</v>
      </c>
      <c r="D51" s="19" t="str">
        <f>TEXT(Sales[[#This Row],[Kode Program/Kegiatan ]],"mmm")</f>
        <v>Jan</v>
      </c>
      <c r="E51" s="20">
        <v>10</v>
      </c>
      <c r="F51" s="19">
        <v>8</v>
      </c>
      <c r="G51" s="20">
        <f>IF(Sales[[#This Row],[Anggaran Murni]]-Sales[[#This Row],[Target s.d. Januari]]=0,"",Sales[[#This Row],[Anggaran Murni]]-Sales[[#This Row],[Target s.d. Januari]])</f>
        <v>2</v>
      </c>
      <c r="H51" s="19" t="s">
        <v>74</v>
      </c>
      <c r="I51" s="20" t="s">
        <v>77</v>
      </c>
      <c r="J51" s="20"/>
      <c r="K51" s="19" t="s">
        <v>40</v>
      </c>
      <c r="L51" s="19" t="s">
        <v>7</v>
      </c>
      <c r="M51" s="21" t="s">
        <v>67</v>
      </c>
      <c r="N51" s="20" t="s">
        <v>80</v>
      </c>
      <c r="O51" s="19" t="s">
        <v>14</v>
      </c>
      <c r="P51" s="10"/>
      <c r="Q51" s="11"/>
    </row>
    <row r="52" spans="2:17" ht="21" customHeight="1" x14ac:dyDescent="0.35">
      <c r="B52" s="1">
        <v>43837</v>
      </c>
      <c r="C52" s="1" t="str">
        <f>TEXT(Sales[[#This Row],[Kode Program/Kegiatan ]],"D")</f>
        <v>7</v>
      </c>
      <c r="D52" s="2" t="str">
        <f>TEXT(Sales[[#This Row],[Kode Program/Kegiatan ]],"mmm")</f>
        <v>Jan</v>
      </c>
      <c r="E52" s="3">
        <v>10</v>
      </c>
      <c r="F52" s="2">
        <v>9</v>
      </c>
      <c r="G52" s="3">
        <f>IF(Sales[[#This Row],[Anggaran Murni]]-Sales[[#This Row],[Target s.d. Januari]]=0,"",Sales[[#This Row],[Anggaran Murni]]-Sales[[#This Row],[Target s.d. Januari]])</f>
        <v>1</v>
      </c>
      <c r="H52" s="2" t="s">
        <v>113</v>
      </c>
      <c r="I52" s="3" t="s">
        <v>77</v>
      </c>
      <c r="J52" s="3"/>
      <c r="K52" s="2" t="s">
        <v>26</v>
      </c>
      <c r="L52" s="2" t="s">
        <v>5</v>
      </c>
      <c r="M52" s="4" t="s">
        <v>67</v>
      </c>
      <c r="N52" s="3" t="s">
        <v>82</v>
      </c>
      <c r="O52" s="2" t="s">
        <v>12</v>
      </c>
      <c r="P52" s="10"/>
      <c r="Q52" s="11"/>
    </row>
    <row r="53" spans="2:17" ht="21" customHeight="1" x14ac:dyDescent="0.35">
      <c r="B53" s="18">
        <v>43837</v>
      </c>
      <c r="C53" s="18" t="str">
        <f>TEXT(Sales[[#This Row],[Kode Program/Kegiatan ]],"D")</f>
        <v>7</v>
      </c>
      <c r="D53" s="19" t="str">
        <f>TEXT(Sales[[#This Row],[Kode Program/Kegiatan ]],"mmm")</f>
        <v>Jan</v>
      </c>
      <c r="E53" s="20">
        <v>9</v>
      </c>
      <c r="F53" s="19">
        <v>8</v>
      </c>
      <c r="G53" s="20">
        <f>IF(Sales[[#This Row],[Anggaran Murni]]-Sales[[#This Row],[Target s.d. Januari]]=0,"",Sales[[#This Row],[Anggaran Murni]]-Sales[[#This Row],[Target s.d. Januari]])</f>
        <v>1</v>
      </c>
      <c r="H53" s="19" t="s">
        <v>76</v>
      </c>
      <c r="I53" s="20" t="s">
        <v>79</v>
      </c>
      <c r="J53" s="20"/>
      <c r="K53" s="19" t="s">
        <v>29</v>
      </c>
      <c r="L53" s="19" t="s">
        <v>7</v>
      </c>
      <c r="M53" s="21" t="s">
        <v>67</v>
      </c>
      <c r="N53" s="20" t="s">
        <v>82</v>
      </c>
      <c r="O53" s="19" t="s">
        <v>11</v>
      </c>
      <c r="P53" s="10"/>
      <c r="Q53" s="11"/>
    </row>
    <row r="54" spans="2:17" ht="21" customHeight="1" x14ac:dyDescent="0.35">
      <c r="B54" s="1">
        <v>43837</v>
      </c>
      <c r="C54" s="1" t="str">
        <f>TEXT(Sales[[#This Row],[Kode Program/Kegiatan ]],"D")</f>
        <v>7</v>
      </c>
      <c r="D54" s="2" t="str">
        <f>TEXT(Sales[[#This Row],[Kode Program/Kegiatan ]],"mmm")</f>
        <v>Jan</v>
      </c>
      <c r="E54" s="3">
        <v>9</v>
      </c>
      <c r="F54" s="2">
        <v>6</v>
      </c>
      <c r="G54" s="3">
        <f>IF(Sales[[#This Row],[Anggaran Murni]]-Sales[[#This Row],[Target s.d. Januari]]=0,"",Sales[[#This Row],[Anggaran Murni]]-Sales[[#This Row],[Target s.d. Januari]])</f>
        <v>3</v>
      </c>
      <c r="H54" s="2" t="s">
        <v>75</v>
      </c>
      <c r="I54" s="3" t="s">
        <v>6</v>
      </c>
      <c r="J54" s="3"/>
      <c r="K54" s="2" t="s">
        <v>26</v>
      </c>
      <c r="L54" s="2" t="s">
        <v>9</v>
      </c>
      <c r="M54" s="4" t="s">
        <v>67</v>
      </c>
      <c r="N54" s="3" t="s">
        <v>82</v>
      </c>
      <c r="O54" s="2" t="s">
        <v>11</v>
      </c>
      <c r="P54" s="10"/>
      <c r="Q54" s="11"/>
    </row>
    <row r="55" spans="2:17" ht="21" customHeight="1" x14ac:dyDescent="0.35">
      <c r="B55" s="18">
        <v>43837</v>
      </c>
      <c r="C55" s="18" t="str">
        <f>TEXT(Sales[[#This Row],[Kode Program/Kegiatan ]],"D")</f>
        <v>7</v>
      </c>
      <c r="D55" s="19" t="str">
        <f>TEXT(Sales[[#This Row],[Kode Program/Kegiatan ]],"mmm")</f>
        <v>Jan</v>
      </c>
      <c r="E55" s="20">
        <v>8</v>
      </c>
      <c r="F55" s="19">
        <v>7</v>
      </c>
      <c r="G55" s="20">
        <f>IF(Sales[[#This Row],[Anggaran Murni]]-Sales[[#This Row],[Target s.d. Januari]]=0,"",Sales[[#This Row],[Anggaran Murni]]-Sales[[#This Row],[Target s.d. Januari]])</f>
        <v>1</v>
      </c>
      <c r="H55" s="19" t="s">
        <v>114</v>
      </c>
      <c r="I55" s="20" t="s">
        <v>3</v>
      </c>
      <c r="J55" s="20"/>
      <c r="K55" s="19" t="s">
        <v>26</v>
      </c>
      <c r="L55" s="19" t="s">
        <v>2</v>
      </c>
      <c r="M55" s="21" t="s">
        <v>67</v>
      </c>
      <c r="N55" s="20" t="s">
        <v>82</v>
      </c>
      <c r="O55" s="19" t="s">
        <v>13</v>
      </c>
      <c r="P55" s="10"/>
      <c r="Q55" s="11"/>
    </row>
    <row r="56" spans="2:17" ht="21" customHeight="1" x14ac:dyDescent="0.35">
      <c r="B56" s="1">
        <v>43837</v>
      </c>
      <c r="C56" s="1" t="str">
        <f>TEXT(Sales[[#This Row],[Kode Program/Kegiatan ]],"D")</f>
        <v>7</v>
      </c>
      <c r="D56" s="2" t="str">
        <f>TEXT(Sales[[#This Row],[Kode Program/Kegiatan ]],"mmm")</f>
        <v>Jan</v>
      </c>
      <c r="E56" s="3">
        <v>8</v>
      </c>
      <c r="F56" s="2">
        <v>6</v>
      </c>
      <c r="G56" s="3">
        <f>IF(Sales[[#This Row],[Anggaran Murni]]-Sales[[#This Row],[Target s.d. Januari]]=0,"",Sales[[#This Row],[Anggaran Murni]]-Sales[[#This Row],[Target s.d. Januari]])</f>
        <v>2</v>
      </c>
      <c r="H56" s="2" t="s">
        <v>74</v>
      </c>
      <c r="I56" s="3" t="s">
        <v>77</v>
      </c>
      <c r="J56" s="3"/>
      <c r="K56" s="2" t="s">
        <v>21</v>
      </c>
      <c r="L56" s="2" t="s">
        <v>5</v>
      </c>
      <c r="M56" s="4" t="s">
        <v>67</v>
      </c>
      <c r="N56" s="3" t="s">
        <v>82</v>
      </c>
      <c r="O56" s="2" t="s">
        <v>14</v>
      </c>
      <c r="P56" s="10"/>
      <c r="Q56" s="11"/>
    </row>
    <row r="57" spans="2:17" ht="21" customHeight="1" x14ac:dyDescent="0.35">
      <c r="B57" s="18">
        <v>43837</v>
      </c>
      <c r="C57" s="18" t="str">
        <f>TEXT(Sales[[#This Row],[Kode Program/Kegiatan ]],"D")</f>
        <v>7</v>
      </c>
      <c r="D57" s="19" t="str">
        <f>TEXT(Sales[[#This Row],[Kode Program/Kegiatan ]],"mmm")</f>
        <v>Jan</v>
      </c>
      <c r="E57" s="20">
        <v>6</v>
      </c>
      <c r="F57" s="19">
        <v>5</v>
      </c>
      <c r="G57" s="20">
        <f>IF(Sales[[#This Row],[Anggaran Murni]]-Sales[[#This Row],[Target s.d. Januari]]=0,"",Sales[[#This Row],[Anggaran Murni]]-Sales[[#This Row],[Target s.d. Januari]])</f>
        <v>1</v>
      </c>
      <c r="H57" s="19" t="s">
        <v>76</v>
      </c>
      <c r="I57" s="20" t="s">
        <v>79</v>
      </c>
      <c r="J57" s="20"/>
      <c r="K57" s="19" t="s">
        <v>46</v>
      </c>
      <c r="L57" s="19" t="s">
        <v>2</v>
      </c>
      <c r="M57" s="21" t="s">
        <v>67</v>
      </c>
      <c r="N57" s="20" t="s">
        <v>81</v>
      </c>
      <c r="O57" s="19" t="s">
        <v>13</v>
      </c>
      <c r="P57" s="10"/>
      <c r="Q57" s="11"/>
    </row>
    <row r="58" spans="2:17" ht="21" customHeight="1" x14ac:dyDescent="0.35">
      <c r="B58" s="1">
        <v>43837</v>
      </c>
      <c r="C58" s="1" t="str">
        <f>TEXT(Sales[[#This Row],[Kode Program/Kegiatan ]],"D")</f>
        <v>7</v>
      </c>
      <c r="D58" s="2" t="str">
        <f>TEXT(Sales[[#This Row],[Kode Program/Kegiatan ]],"mmm")</f>
        <v>Jan</v>
      </c>
      <c r="E58" s="3">
        <v>6</v>
      </c>
      <c r="F58" s="2">
        <v>5</v>
      </c>
      <c r="G58" s="3">
        <f>IF(Sales[[#This Row],[Anggaran Murni]]-Sales[[#This Row],[Target s.d. Januari]]=0,"",Sales[[#This Row],[Anggaran Murni]]-Sales[[#This Row],[Target s.d. Januari]])</f>
        <v>1</v>
      </c>
      <c r="H58" s="2" t="s">
        <v>71</v>
      </c>
      <c r="I58" s="3" t="s">
        <v>6</v>
      </c>
      <c r="J58" s="3"/>
      <c r="K58" s="2" t="s">
        <v>47</v>
      </c>
      <c r="L58" s="2" t="s">
        <v>2</v>
      </c>
      <c r="M58" s="4" t="s">
        <v>67</v>
      </c>
      <c r="N58" s="3" t="s">
        <v>80</v>
      </c>
      <c r="O58" s="2" t="s">
        <v>14</v>
      </c>
      <c r="P58" s="10"/>
      <c r="Q58" s="11"/>
    </row>
    <row r="59" spans="2:17" ht="21" customHeight="1" x14ac:dyDescent="0.35">
      <c r="B59" s="18">
        <v>43837</v>
      </c>
      <c r="C59" s="18" t="str">
        <f>TEXT(Sales[[#This Row],[Kode Program/Kegiatan ]],"D")</f>
        <v>7</v>
      </c>
      <c r="D59" s="19" t="str">
        <f>TEXT(Sales[[#This Row],[Kode Program/Kegiatan ]],"mmm")</f>
        <v>Jan</v>
      </c>
      <c r="E59" s="20">
        <v>5</v>
      </c>
      <c r="F59" s="19">
        <v>4</v>
      </c>
      <c r="G59" s="20">
        <f>IF(Sales[[#This Row],[Anggaran Murni]]-Sales[[#This Row],[Target s.d. Januari]]=0,"",Sales[[#This Row],[Anggaran Murni]]-Sales[[#This Row],[Target s.d. Januari]])</f>
        <v>1</v>
      </c>
      <c r="H59" s="19" t="s">
        <v>76</v>
      </c>
      <c r="I59" s="20" t="s">
        <v>79</v>
      </c>
      <c r="J59" s="20"/>
      <c r="K59" s="19" t="s">
        <v>34</v>
      </c>
      <c r="L59" s="19" t="s">
        <v>2</v>
      </c>
      <c r="M59" s="21" t="s">
        <v>67</v>
      </c>
      <c r="N59" s="20" t="s">
        <v>82</v>
      </c>
      <c r="O59" s="19" t="s">
        <v>12</v>
      </c>
      <c r="P59" s="10"/>
      <c r="Q59" s="11"/>
    </row>
    <row r="60" spans="2:17" ht="21" customHeight="1" x14ac:dyDescent="0.35">
      <c r="B60" s="1">
        <v>43837</v>
      </c>
      <c r="C60" s="1" t="str">
        <f>TEXT(Sales[[#This Row],[Kode Program/Kegiatan ]],"D")</f>
        <v>7</v>
      </c>
      <c r="D60" s="2" t="str">
        <f>TEXT(Sales[[#This Row],[Kode Program/Kegiatan ]],"mmm")</f>
        <v>Jan</v>
      </c>
      <c r="E60" s="3">
        <v>5</v>
      </c>
      <c r="F60" s="2">
        <v>3</v>
      </c>
      <c r="G60" s="3">
        <f>IF(Sales[[#This Row],[Anggaran Murni]]-Sales[[#This Row],[Target s.d. Januari]]=0,"",Sales[[#This Row],[Anggaran Murni]]-Sales[[#This Row],[Target s.d. Januari]])</f>
        <v>2</v>
      </c>
      <c r="H60" s="2" t="s">
        <v>72</v>
      </c>
      <c r="I60" s="3" t="s">
        <v>78</v>
      </c>
      <c r="J60" s="3"/>
      <c r="K60" s="2" t="s">
        <v>30</v>
      </c>
      <c r="L60" s="2" t="s">
        <v>5</v>
      </c>
      <c r="M60" s="4" t="s">
        <v>67</v>
      </c>
      <c r="N60" s="3" t="s">
        <v>80</v>
      </c>
      <c r="O60" s="2" t="s">
        <v>12</v>
      </c>
      <c r="P60" s="10"/>
      <c r="Q60" s="11"/>
    </row>
    <row r="61" spans="2:17" ht="21" customHeight="1" x14ac:dyDescent="0.35">
      <c r="B61" s="18">
        <v>43837</v>
      </c>
      <c r="C61" s="18" t="str">
        <f>TEXT(Sales[[#This Row],[Kode Program/Kegiatan ]],"D")</f>
        <v>7</v>
      </c>
      <c r="D61" s="19" t="str">
        <f>TEXT(Sales[[#This Row],[Kode Program/Kegiatan ]],"mmm")</f>
        <v>Jan</v>
      </c>
      <c r="E61" s="20">
        <v>5</v>
      </c>
      <c r="F61" s="19">
        <v>3</v>
      </c>
      <c r="G61" s="20">
        <f>IF(Sales[[#This Row],[Anggaran Murni]]-Sales[[#This Row],[Target s.d. Januari]]=0,"",Sales[[#This Row],[Anggaran Murni]]-Sales[[#This Row],[Target s.d. Januari]])</f>
        <v>2</v>
      </c>
      <c r="H61" s="19" t="s">
        <v>71</v>
      </c>
      <c r="I61" s="20" t="s">
        <v>6</v>
      </c>
      <c r="J61" s="20"/>
      <c r="K61" s="19" t="s">
        <v>48</v>
      </c>
      <c r="L61" s="19" t="s">
        <v>8</v>
      </c>
      <c r="M61" s="21" t="s">
        <v>67</v>
      </c>
      <c r="N61" s="20" t="s">
        <v>81</v>
      </c>
      <c r="O61" s="19" t="s">
        <v>12</v>
      </c>
      <c r="P61" s="10"/>
      <c r="Q61" s="11"/>
    </row>
    <row r="62" spans="2:17" ht="21" customHeight="1" x14ac:dyDescent="0.35">
      <c r="B62" s="1">
        <v>43837</v>
      </c>
      <c r="C62" s="1" t="str">
        <f>TEXT(Sales[[#This Row],[Kode Program/Kegiatan ]],"D")</f>
        <v>7</v>
      </c>
      <c r="D62" s="2" t="str">
        <f>TEXT(Sales[[#This Row],[Kode Program/Kegiatan ]],"mmm")</f>
        <v>Jan</v>
      </c>
      <c r="E62" s="3">
        <v>4</v>
      </c>
      <c r="F62" s="2">
        <v>2</v>
      </c>
      <c r="G62" s="3">
        <f>IF(Sales[[#This Row],[Anggaran Murni]]-Sales[[#This Row],[Target s.d. Januari]]=0,"",Sales[[#This Row],[Anggaran Murni]]-Sales[[#This Row],[Target s.d. Januari]])</f>
        <v>2</v>
      </c>
      <c r="H62" s="2" t="s">
        <v>71</v>
      </c>
      <c r="I62" s="3" t="s">
        <v>6</v>
      </c>
      <c r="J62" s="3"/>
      <c r="K62" s="2" t="s">
        <v>24</v>
      </c>
      <c r="L62" s="2" t="s">
        <v>2</v>
      </c>
      <c r="M62" s="4" t="s">
        <v>67</v>
      </c>
      <c r="N62" s="3" t="s">
        <v>80</v>
      </c>
      <c r="O62" s="2" t="s">
        <v>12</v>
      </c>
      <c r="P62" s="10"/>
      <c r="Q62" s="11"/>
    </row>
    <row r="63" spans="2:17" ht="21" customHeight="1" x14ac:dyDescent="0.35">
      <c r="B63" s="18">
        <v>43837</v>
      </c>
      <c r="C63" s="18" t="str">
        <f>TEXT(Sales[[#This Row],[Kode Program/Kegiatan ]],"D")</f>
        <v>7</v>
      </c>
      <c r="D63" s="19" t="str">
        <f>TEXT(Sales[[#This Row],[Kode Program/Kegiatan ]],"mmm")</f>
        <v>Jan</v>
      </c>
      <c r="E63" s="20">
        <v>3</v>
      </c>
      <c r="F63" s="19">
        <v>2</v>
      </c>
      <c r="G63" s="20">
        <f>IF(Sales[[#This Row],[Anggaran Murni]]-Sales[[#This Row],[Target s.d. Januari]]=0,"",Sales[[#This Row],[Anggaran Murni]]-Sales[[#This Row],[Target s.d. Januari]])</f>
        <v>1</v>
      </c>
      <c r="H63" s="19" t="s">
        <v>74</v>
      </c>
      <c r="I63" s="20" t="s">
        <v>77</v>
      </c>
      <c r="J63" s="20"/>
      <c r="K63" s="19" t="s">
        <v>45</v>
      </c>
      <c r="L63" s="19" t="s">
        <v>2</v>
      </c>
      <c r="M63" s="21" t="s">
        <v>67</v>
      </c>
      <c r="N63" s="20" t="s">
        <v>81</v>
      </c>
      <c r="O63" s="19" t="s">
        <v>12</v>
      </c>
      <c r="P63" s="10"/>
      <c r="Q63" s="11"/>
    </row>
    <row r="64" spans="2:17" ht="21" customHeight="1" x14ac:dyDescent="0.35">
      <c r="B64" s="1">
        <v>43838</v>
      </c>
      <c r="C64" s="1" t="str">
        <f>TEXT(Sales[[#This Row],[Kode Program/Kegiatan ]],"D")</f>
        <v>8</v>
      </c>
      <c r="D64" s="2" t="str">
        <f>TEXT(Sales[[#This Row],[Kode Program/Kegiatan ]],"mmm")</f>
        <v>Jan</v>
      </c>
      <c r="E64" s="3">
        <v>10</v>
      </c>
      <c r="F64" s="2">
        <v>10</v>
      </c>
      <c r="G64" s="3" t="str">
        <f>IF(Sales[[#This Row],[Anggaran Murni]]-Sales[[#This Row],[Target s.d. Januari]]=0,"",Sales[[#This Row],[Anggaran Murni]]-Sales[[#This Row],[Target s.d. Januari]])</f>
        <v/>
      </c>
      <c r="H64" s="2" t="s">
        <v>73</v>
      </c>
      <c r="I64" s="3" t="s">
        <v>78</v>
      </c>
      <c r="J64" s="3"/>
      <c r="K64" s="2" t="s">
        <v>52</v>
      </c>
      <c r="L64" s="2" t="s">
        <v>2</v>
      </c>
      <c r="M64" s="4" t="s">
        <v>67</v>
      </c>
      <c r="N64" s="3" t="s">
        <v>80</v>
      </c>
      <c r="O64" s="2" t="s">
        <v>12</v>
      </c>
      <c r="P64" s="10"/>
      <c r="Q64" s="11"/>
    </row>
    <row r="65" spans="2:17" ht="21" customHeight="1" x14ac:dyDescent="0.35">
      <c r="B65" s="18">
        <v>43838</v>
      </c>
      <c r="C65" s="18" t="str">
        <f>TEXT(Sales[[#This Row],[Kode Program/Kegiatan ]],"D")</f>
        <v>8</v>
      </c>
      <c r="D65" s="19" t="str">
        <f>TEXT(Sales[[#This Row],[Kode Program/Kegiatan ]],"mmm")</f>
        <v>Jan</v>
      </c>
      <c r="E65" s="20">
        <v>8</v>
      </c>
      <c r="F65" s="19">
        <v>8</v>
      </c>
      <c r="G65" s="20" t="str">
        <f>IF(Sales[[#This Row],[Anggaran Murni]]-Sales[[#This Row],[Target s.d. Januari]]=0,"",Sales[[#This Row],[Anggaran Murni]]-Sales[[#This Row],[Target s.d. Januari]])</f>
        <v/>
      </c>
      <c r="H65" s="19" t="s">
        <v>70</v>
      </c>
      <c r="I65" s="20" t="s">
        <v>1</v>
      </c>
      <c r="J65" s="20"/>
      <c r="K65" s="19" t="s">
        <v>27</v>
      </c>
      <c r="L65" s="19" t="s">
        <v>5</v>
      </c>
      <c r="M65" s="21" t="s">
        <v>67</v>
      </c>
      <c r="N65" s="20" t="s">
        <v>82</v>
      </c>
      <c r="O65" s="19" t="s">
        <v>14</v>
      </c>
      <c r="P65" s="10"/>
      <c r="Q65" s="11"/>
    </row>
    <row r="66" spans="2:17" ht="21" customHeight="1" x14ac:dyDescent="0.35">
      <c r="B66" s="1">
        <v>43838</v>
      </c>
      <c r="C66" s="1" t="str">
        <f>TEXT(Sales[[#This Row],[Kode Program/Kegiatan ]],"D")</f>
        <v>8</v>
      </c>
      <c r="D66" s="2" t="str">
        <f>TEXT(Sales[[#This Row],[Kode Program/Kegiatan ]],"mmm")</f>
        <v>Jan</v>
      </c>
      <c r="E66" s="3">
        <v>8</v>
      </c>
      <c r="F66" s="2">
        <v>8</v>
      </c>
      <c r="G66" s="3" t="str">
        <f>IF(Sales[[#This Row],[Anggaran Murni]]-Sales[[#This Row],[Target s.d. Januari]]=0,"",Sales[[#This Row],[Anggaran Murni]]-Sales[[#This Row],[Target s.d. Januari]])</f>
        <v/>
      </c>
      <c r="H66" s="2" t="s">
        <v>74</v>
      </c>
      <c r="I66" s="3" t="s">
        <v>77</v>
      </c>
      <c r="J66" s="3"/>
      <c r="K66" s="2" t="s">
        <v>30</v>
      </c>
      <c r="L66" s="2" t="s">
        <v>5</v>
      </c>
      <c r="M66" s="4" t="s">
        <v>67</v>
      </c>
      <c r="N66" s="3" t="s">
        <v>80</v>
      </c>
      <c r="O66" s="2" t="s">
        <v>12</v>
      </c>
      <c r="P66" s="10"/>
      <c r="Q66" s="11"/>
    </row>
    <row r="67" spans="2:17" ht="21" customHeight="1" x14ac:dyDescent="0.35">
      <c r="B67" s="18">
        <v>43838</v>
      </c>
      <c r="C67" s="18" t="str">
        <f>TEXT(Sales[[#This Row],[Kode Program/Kegiatan ]],"D")</f>
        <v>8</v>
      </c>
      <c r="D67" s="19" t="str">
        <f>TEXT(Sales[[#This Row],[Kode Program/Kegiatan ]],"mmm")</f>
        <v>Jan</v>
      </c>
      <c r="E67" s="20">
        <v>6</v>
      </c>
      <c r="F67" s="19">
        <v>6</v>
      </c>
      <c r="G67" s="20" t="str">
        <f>IF(Sales[[#This Row],[Anggaran Murni]]-Sales[[#This Row],[Target s.d. Januari]]=0,"",Sales[[#This Row],[Anggaran Murni]]-Sales[[#This Row],[Target s.d. Januari]])</f>
        <v/>
      </c>
      <c r="H67" s="19" t="s">
        <v>73</v>
      </c>
      <c r="I67" s="20" t="s">
        <v>78</v>
      </c>
      <c r="J67" s="20"/>
      <c r="K67" s="19" t="s">
        <v>49</v>
      </c>
      <c r="L67" s="19" t="s">
        <v>4</v>
      </c>
      <c r="M67" s="21" t="s">
        <v>67</v>
      </c>
      <c r="N67" s="20" t="s">
        <v>81</v>
      </c>
      <c r="O67" s="19" t="s">
        <v>13</v>
      </c>
      <c r="P67" s="10"/>
      <c r="Q67" s="11"/>
    </row>
    <row r="68" spans="2:17" ht="21" customHeight="1" x14ac:dyDescent="0.35">
      <c r="B68" s="1">
        <v>43838</v>
      </c>
      <c r="C68" s="1" t="str">
        <f>TEXT(Sales[[#This Row],[Kode Program/Kegiatan ]],"D")</f>
        <v>8</v>
      </c>
      <c r="D68" s="2" t="str">
        <f>TEXT(Sales[[#This Row],[Kode Program/Kegiatan ]],"mmm")</f>
        <v>Jan</v>
      </c>
      <c r="E68" s="3">
        <v>6</v>
      </c>
      <c r="F68" s="2">
        <v>6</v>
      </c>
      <c r="G68" s="3" t="str">
        <f>IF(Sales[[#This Row],[Anggaran Murni]]-Sales[[#This Row],[Target s.d. Januari]]=0,"",Sales[[#This Row],[Anggaran Murni]]-Sales[[#This Row],[Target s.d. Januari]])</f>
        <v/>
      </c>
      <c r="H68" s="2" t="s">
        <v>72</v>
      </c>
      <c r="I68" s="3" t="s">
        <v>78</v>
      </c>
      <c r="J68" s="3"/>
      <c r="K68" s="2" t="s">
        <v>50</v>
      </c>
      <c r="L68" s="2" t="s">
        <v>5</v>
      </c>
      <c r="M68" s="4" t="s">
        <v>67</v>
      </c>
      <c r="N68" s="3" t="s">
        <v>82</v>
      </c>
      <c r="O68" s="2" t="s">
        <v>14</v>
      </c>
      <c r="P68" s="10"/>
      <c r="Q68" s="11"/>
    </row>
    <row r="69" spans="2:17" ht="21" customHeight="1" x14ac:dyDescent="0.35">
      <c r="B69" s="18">
        <v>43838</v>
      </c>
      <c r="C69" s="18" t="str">
        <f>TEXT(Sales[[#This Row],[Kode Program/Kegiatan ]],"D")</f>
        <v>8</v>
      </c>
      <c r="D69" s="19" t="str">
        <f>TEXT(Sales[[#This Row],[Kode Program/Kegiatan ]],"mmm")</f>
        <v>Jan</v>
      </c>
      <c r="E69" s="20">
        <v>6</v>
      </c>
      <c r="F69" s="19">
        <v>6</v>
      </c>
      <c r="G69" s="20" t="str">
        <f>IF(Sales[[#This Row],[Anggaran Murni]]-Sales[[#This Row],[Target s.d. Januari]]=0,"",Sales[[#This Row],[Anggaran Murni]]-Sales[[#This Row],[Target s.d. Januari]])</f>
        <v/>
      </c>
      <c r="H69" s="19" t="s">
        <v>73</v>
      </c>
      <c r="I69" s="20" t="s">
        <v>78</v>
      </c>
      <c r="J69" s="20"/>
      <c r="K69" s="19" t="s">
        <v>51</v>
      </c>
      <c r="L69" s="19" t="s">
        <v>5</v>
      </c>
      <c r="M69" s="21" t="s">
        <v>67</v>
      </c>
      <c r="N69" s="20" t="s">
        <v>81</v>
      </c>
      <c r="O69" s="19" t="s">
        <v>11</v>
      </c>
      <c r="P69" s="10"/>
      <c r="Q69" s="11"/>
    </row>
    <row r="70" spans="2:17" ht="21" customHeight="1" x14ac:dyDescent="0.35">
      <c r="B70" s="1">
        <v>43838</v>
      </c>
      <c r="C70" s="1" t="str">
        <f>TEXT(Sales[[#This Row],[Kode Program/Kegiatan ]],"D")</f>
        <v>8</v>
      </c>
      <c r="D70" s="2" t="str">
        <f>TEXT(Sales[[#This Row],[Kode Program/Kegiatan ]],"mmm")</f>
        <v>Jan</v>
      </c>
      <c r="E70" s="3">
        <v>5</v>
      </c>
      <c r="F70" s="2">
        <v>5</v>
      </c>
      <c r="G70" s="3" t="str">
        <f>IF(Sales[[#This Row],[Anggaran Murni]]-Sales[[#This Row],[Target s.d. Januari]]=0,"",Sales[[#This Row],[Anggaran Murni]]-Sales[[#This Row],[Target s.d. Januari]])</f>
        <v/>
      </c>
      <c r="H70" s="2" t="s">
        <v>72</v>
      </c>
      <c r="I70" s="3" t="s">
        <v>78</v>
      </c>
      <c r="J70" s="3"/>
      <c r="K70" s="2" t="s">
        <v>38</v>
      </c>
      <c r="L70" s="2" t="s">
        <v>2</v>
      </c>
      <c r="M70" s="4" t="s">
        <v>67</v>
      </c>
      <c r="N70" s="3" t="s">
        <v>82</v>
      </c>
      <c r="O70" s="2" t="s">
        <v>13</v>
      </c>
      <c r="P70" s="10"/>
      <c r="Q70" s="11"/>
    </row>
    <row r="71" spans="2:17" ht="21" customHeight="1" x14ac:dyDescent="0.35">
      <c r="B71" s="18">
        <v>43838</v>
      </c>
      <c r="C71" s="18" t="str">
        <f>TEXT(Sales[[#This Row],[Kode Program/Kegiatan ]],"D")</f>
        <v>8</v>
      </c>
      <c r="D71" s="19" t="str">
        <f>TEXT(Sales[[#This Row],[Kode Program/Kegiatan ]],"mmm")</f>
        <v>Jan</v>
      </c>
      <c r="E71" s="20">
        <v>5</v>
      </c>
      <c r="F71" s="19">
        <v>5</v>
      </c>
      <c r="G71" s="20" t="str">
        <f>IF(Sales[[#This Row],[Anggaran Murni]]-Sales[[#This Row],[Target s.d. Januari]]=0,"",Sales[[#This Row],[Anggaran Murni]]-Sales[[#This Row],[Target s.d. Januari]])</f>
        <v/>
      </c>
      <c r="H71" s="19" t="s">
        <v>72</v>
      </c>
      <c r="I71" s="20" t="s">
        <v>78</v>
      </c>
      <c r="J71" s="20"/>
      <c r="K71" s="19" t="s">
        <v>25</v>
      </c>
      <c r="L71" s="19" t="s">
        <v>9</v>
      </c>
      <c r="M71" s="21" t="s">
        <v>67</v>
      </c>
      <c r="N71" s="20" t="s">
        <v>82</v>
      </c>
      <c r="O71" s="19" t="s">
        <v>11</v>
      </c>
      <c r="P71" s="10"/>
      <c r="Q71" s="11"/>
    </row>
    <row r="72" spans="2:17" ht="21" customHeight="1" x14ac:dyDescent="0.35">
      <c r="B72" s="1">
        <v>43838</v>
      </c>
      <c r="C72" s="1" t="str">
        <f>TEXT(Sales[[#This Row],[Kode Program/Kegiatan ]],"D")</f>
        <v>8</v>
      </c>
      <c r="D72" s="2" t="str">
        <f>TEXT(Sales[[#This Row],[Kode Program/Kegiatan ]],"mmm")</f>
        <v>Jan</v>
      </c>
      <c r="E72" s="3">
        <v>5</v>
      </c>
      <c r="F72" s="2">
        <v>5</v>
      </c>
      <c r="G72" s="3" t="str">
        <f>IF(Sales[[#This Row],[Anggaran Murni]]-Sales[[#This Row],[Target s.d. Januari]]=0,"",Sales[[#This Row],[Anggaran Murni]]-Sales[[#This Row],[Target s.d. Januari]])</f>
        <v/>
      </c>
      <c r="H72" s="2" t="s">
        <v>71</v>
      </c>
      <c r="I72" s="3" t="s">
        <v>6</v>
      </c>
      <c r="J72" s="3"/>
      <c r="K72" s="2" t="s">
        <v>30</v>
      </c>
      <c r="L72" s="2" t="s">
        <v>8</v>
      </c>
      <c r="M72" s="4" t="s">
        <v>67</v>
      </c>
      <c r="N72" s="3" t="s">
        <v>82</v>
      </c>
      <c r="O72" s="2" t="s">
        <v>11</v>
      </c>
      <c r="P72" s="10"/>
      <c r="Q72" s="11"/>
    </row>
    <row r="73" spans="2:17" ht="21" customHeight="1" x14ac:dyDescent="0.35">
      <c r="B73" s="18">
        <v>43838</v>
      </c>
      <c r="C73" s="18" t="str">
        <f>TEXT(Sales[[#This Row],[Kode Program/Kegiatan ]],"D")</f>
        <v>8</v>
      </c>
      <c r="D73" s="19" t="str">
        <f>TEXT(Sales[[#This Row],[Kode Program/Kegiatan ]],"mmm")</f>
        <v>Jan</v>
      </c>
      <c r="E73" s="20">
        <v>5</v>
      </c>
      <c r="F73" s="19">
        <v>5</v>
      </c>
      <c r="G73" s="20" t="str">
        <f>IF(Sales[[#This Row],[Anggaran Murni]]-Sales[[#This Row],[Target s.d. Januari]]=0,"",Sales[[#This Row],[Anggaran Murni]]-Sales[[#This Row],[Target s.d. Januari]])</f>
        <v/>
      </c>
      <c r="H73" s="19" t="s">
        <v>114</v>
      </c>
      <c r="I73" s="20" t="s">
        <v>3</v>
      </c>
      <c r="J73" s="20"/>
      <c r="K73" s="19" t="s">
        <v>46</v>
      </c>
      <c r="L73" s="19" t="s">
        <v>2</v>
      </c>
      <c r="M73" s="21" t="s">
        <v>67</v>
      </c>
      <c r="N73" s="20" t="s">
        <v>80</v>
      </c>
      <c r="O73" s="19" t="s">
        <v>14</v>
      </c>
      <c r="P73" s="10"/>
      <c r="Q73" s="11"/>
    </row>
    <row r="74" spans="2:17" ht="21" customHeight="1" x14ac:dyDescent="0.35">
      <c r="B74" s="1">
        <v>43839</v>
      </c>
      <c r="C74" s="1" t="str">
        <f>TEXT(Sales[[#This Row],[Kode Program/Kegiatan ]],"D")</f>
        <v>9</v>
      </c>
      <c r="D74" s="2" t="str">
        <f>TEXT(Sales[[#This Row],[Kode Program/Kegiatan ]],"mmm")</f>
        <v>Jan</v>
      </c>
      <c r="E74" s="3">
        <v>10</v>
      </c>
      <c r="F74" s="2">
        <v>10</v>
      </c>
      <c r="G74" s="3" t="str">
        <f>IF(Sales[[#This Row],[Anggaran Murni]]-Sales[[#This Row],[Target s.d. Januari]]=0,"",Sales[[#This Row],[Anggaran Murni]]-Sales[[#This Row],[Target s.d. Januari]])</f>
        <v/>
      </c>
      <c r="H74" s="2" t="s">
        <v>76</v>
      </c>
      <c r="I74" s="3" t="s">
        <v>79</v>
      </c>
      <c r="J74" s="3"/>
      <c r="K74" s="2" t="s">
        <v>20</v>
      </c>
      <c r="L74" s="2" t="s">
        <v>5</v>
      </c>
      <c r="M74" s="4" t="s">
        <v>67</v>
      </c>
      <c r="N74" s="3" t="s">
        <v>82</v>
      </c>
      <c r="O74" s="2" t="s">
        <v>13</v>
      </c>
      <c r="P74" s="10"/>
      <c r="Q74" s="11"/>
    </row>
    <row r="75" spans="2:17" ht="21" customHeight="1" x14ac:dyDescent="0.35">
      <c r="B75" s="18">
        <v>43839</v>
      </c>
      <c r="C75" s="18" t="str">
        <f>TEXT(Sales[[#This Row],[Kode Program/Kegiatan ]],"D")</f>
        <v>9</v>
      </c>
      <c r="D75" s="19" t="str">
        <f>TEXT(Sales[[#This Row],[Kode Program/Kegiatan ]],"mmm")</f>
        <v>Jan</v>
      </c>
      <c r="E75" s="20">
        <v>9</v>
      </c>
      <c r="F75" s="19">
        <v>9</v>
      </c>
      <c r="G75" s="20" t="str">
        <f>IF(Sales[[#This Row],[Anggaran Murni]]-Sales[[#This Row],[Target s.d. Januari]]=0,"",Sales[[#This Row],[Anggaran Murni]]-Sales[[#This Row],[Target s.d. Januari]])</f>
        <v/>
      </c>
      <c r="H75" s="19" t="s">
        <v>70</v>
      </c>
      <c r="I75" s="20" t="s">
        <v>1</v>
      </c>
      <c r="J75" s="20"/>
      <c r="K75" s="19" t="s">
        <v>39</v>
      </c>
      <c r="L75" s="19" t="s">
        <v>2</v>
      </c>
      <c r="M75" s="21" t="s">
        <v>67</v>
      </c>
      <c r="N75" s="20" t="s">
        <v>81</v>
      </c>
      <c r="O75" s="19" t="s">
        <v>14</v>
      </c>
      <c r="P75" s="10"/>
      <c r="Q75" s="11"/>
    </row>
    <row r="76" spans="2:17" ht="21" customHeight="1" x14ac:dyDescent="0.35">
      <c r="B76" s="1">
        <v>43839</v>
      </c>
      <c r="C76" s="1" t="str">
        <f>TEXT(Sales[[#This Row],[Kode Program/Kegiatan ]],"D")</f>
        <v>9</v>
      </c>
      <c r="D76" s="2" t="str">
        <f>TEXT(Sales[[#This Row],[Kode Program/Kegiatan ]],"mmm")</f>
        <v>Jan</v>
      </c>
      <c r="E76" s="3">
        <v>9</v>
      </c>
      <c r="F76" s="2">
        <v>9</v>
      </c>
      <c r="G76" s="3" t="str">
        <f>IF(Sales[[#This Row],[Anggaran Murni]]-Sales[[#This Row],[Target s.d. Januari]]=0,"",Sales[[#This Row],[Anggaran Murni]]-Sales[[#This Row],[Target s.d. Januari]])</f>
        <v/>
      </c>
      <c r="H76" s="2" t="s">
        <v>113</v>
      </c>
      <c r="I76" s="3" t="s">
        <v>77</v>
      </c>
      <c r="J76" s="3"/>
      <c r="K76" s="2" t="s">
        <v>50</v>
      </c>
      <c r="L76" s="2" t="s">
        <v>5</v>
      </c>
      <c r="M76" s="4" t="s">
        <v>67</v>
      </c>
      <c r="N76" s="3" t="s">
        <v>82</v>
      </c>
      <c r="O76" s="2" t="s">
        <v>12</v>
      </c>
      <c r="P76" s="10"/>
      <c r="Q76" s="11"/>
    </row>
    <row r="77" spans="2:17" ht="21" customHeight="1" x14ac:dyDescent="0.35">
      <c r="B77" s="18">
        <v>43839</v>
      </c>
      <c r="C77" s="18" t="str">
        <f>TEXT(Sales[[#This Row],[Kode Program/Kegiatan ]],"D")</f>
        <v>9</v>
      </c>
      <c r="D77" s="19" t="str">
        <f>TEXT(Sales[[#This Row],[Kode Program/Kegiatan ]],"mmm")</f>
        <v>Jan</v>
      </c>
      <c r="E77" s="20">
        <v>8</v>
      </c>
      <c r="F77" s="19">
        <v>8</v>
      </c>
      <c r="G77" s="20" t="str">
        <f>IF(Sales[[#This Row],[Anggaran Murni]]-Sales[[#This Row],[Target s.d. Januari]]=0,"",Sales[[#This Row],[Anggaran Murni]]-Sales[[#This Row],[Target s.d. Januari]])</f>
        <v/>
      </c>
      <c r="H77" s="19" t="s">
        <v>113</v>
      </c>
      <c r="I77" s="20" t="s">
        <v>77</v>
      </c>
      <c r="J77" s="20"/>
      <c r="K77" s="19" t="s">
        <v>43</v>
      </c>
      <c r="L77" s="19" t="s">
        <v>2</v>
      </c>
      <c r="M77" s="21" t="s">
        <v>67</v>
      </c>
      <c r="N77" s="20" t="s">
        <v>80</v>
      </c>
      <c r="O77" s="19" t="s">
        <v>14</v>
      </c>
      <c r="P77" s="10"/>
      <c r="Q77" s="11"/>
    </row>
    <row r="78" spans="2:17" ht="21" customHeight="1" x14ac:dyDescent="0.35">
      <c r="B78" s="1">
        <v>43839</v>
      </c>
      <c r="C78" s="1" t="str">
        <f>TEXT(Sales[[#This Row],[Kode Program/Kegiatan ]],"D")</f>
        <v>9</v>
      </c>
      <c r="D78" s="2" t="str">
        <f>TEXT(Sales[[#This Row],[Kode Program/Kegiatan ]],"mmm")</f>
        <v>Jan</v>
      </c>
      <c r="E78" s="3">
        <v>7</v>
      </c>
      <c r="F78" s="2">
        <v>7</v>
      </c>
      <c r="G78" s="3" t="str">
        <f>IF(Sales[[#This Row],[Anggaran Murni]]-Sales[[#This Row],[Target s.d. Januari]]=0,"",Sales[[#This Row],[Anggaran Murni]]-Sales[[#This Row],[Target s.d. Januari]])</f>
        <v/>
      </c>
      <c r="H78" s="2" t="s">
        <v>73</v>
      </c>
      <c r="I78" s="3" t="s">
        <v>78</v>
      </c>
      <c r="J78" s="3"/>
      <c r="K78" s="2" t="s">
        <v>39</v>
      </c>
      <c r="L78" s="2" t="s">
        <v>2</v>
      </c>
      <c r="M78" s="4" t="s">
        <v>67</v>
      </c>
      <c r="N78" s="3" t="s">
        <v>80</v>
      </c>
      <c r="O78" s="2" t="s">
        <v>11</v>
      </c>
      <c r="P78" s="10"/>
      <c r="Q78" s="11"/>
    </row>
    <row r="79" spans="2:17" ht="21" customHeight="1" x14ac:dyDescent="0.35">
      <c r="B79" s="18">
        <v>43839</v>
      </c>
      <c r="C79" s="18" t="str">
        <f>TEXT(Sales[[#This Row],[Kode Program/Kegiatan ]],"D")</f>
        <v>9</v>
      </c>
      <c r="D79" s="19" t="str">
        <f>TEXT(Sales[[#This Row],[Kode Program/Kegiatan ]],"mmm")</f>
        <v>Jan</v>
      </c>
      <c r="E79" s="20">
        <v>7</v>
      </c>
      <c r="F79" s="19">
        <v>7</v>
      </c>
      <c r="G79" s="20" t="str">
        <f>IF(Sales[[#This Row],[Anggaran Murni]]-Sales[[#This Row],[Target s.d. Januari]]=0,"",Sales[[#This Row],[Anggaran Murni]]-Sales[[#This Row],[Target s.d. Januari]])</f>
        <v/>
      </c>
      <c r="H79" s="19" t="s">
        <v>113</v>
      </c>
      <c r="I79" s="20" t="s">
        <v>77</v>
      </c>
      <c r="J79" s="20"/>
      <c r="K79" s="19" t="s">
        <v>19</v>
      </c>
      <c r="L79" s="19" t="s">
        <v>9</v>
      </c>
      <c r="M79" s="21" t="s">
        <v>67</v>
      </c>
      <c r="N79" s="20" t="s">
        <v>80</v>
      </c>
      <c r="O79" s="19" t="s">
        <v>12</v>
      </c>
      <c r="P79" s="10"/>
      <c r="Q79" s="11"/>
    </row>
    <row r="80" spans="2:17" ht="21" customHeight="1" x14ac:dyDescent="0.35">
      <c r="B80" s="1">
        <v>43839</v>
      </c>
      <c r="C80" s="1" t="str">
        <f>TEXT(Sales[[#This Row],[Kode Program/Kegiatan ]],"D")</f>
        <v>9</v>
      </c>
      <c r="D80" s="2" t="str">
        <f>TEXT(Sales[[#This Row],[Kode Program/Kegiatan ]],"mmm")</f>
        <v>Jan</v>
      </c>
      <c r="E80" s="3">
        <v>6</v>
      </c>
      <c r="F80" s="2">
        <v>6</v>
      </c>
      <c r="G80" s="3" t="str">
        <f>IF(Sales[[#This Row],[Anggaran Murni]]-Sales[[#This Row],[Target s.d. Januari]]=0,"",Sales[[#This Row],[Anggaran Murni]]-Sales[[#This Row],[Target s.d. Januari]])</f>
        <v/>
      </c>
      <c r="H80" s="2" t="s">
        <v>114</v>
      </c>
      <c r="I80" s="3" t="s">
        <v>3</v>
      </c>
      <c r="J80" s="3"/>
      <c r="K80" s="2" t="s">
        <v>46</v>
      </c>
      <c r="L80" s="2" t="s">
        <v>2</v>
      </c>
      <c r="M80" s="4" t="s">
        <v>67</v>
      </c>
      <c r="N80" s="3" t="s">
        <v>81</v>
      </c>
      <c r="O80" s="2" t="s">
        <v>12</v>
      </c>
      <c r="P80" s="10"/>
      <c r="Q80" s="11"/>
    </row>
    <row r="81" spans="2:17" ht="21" customHeight="1" x14ac:dyDescent="0.35">
      <c r="B81" s="18">
        <v>43839</v>
      </c>
      <c r="C81" s="18" t="str">
        <f>TEXT(Sales[[#This Row],[Kode Program/Kegiatan ]],"D")</f>
        <v>9</v>
      </c>
      <c r="D81" s="19" t="str">
        <f>TEXT(Sales[[#This Row],[Kode Program/Kegiatan ]],"mmm")</f>
        <v>Jan</v>
      </c>
      <c r="E81" s="20">
        <v>5</v>
      </c>
      <c r="F81" s="19">
        <v>5</v>
      </c>
      <c r="G81" s="20" t="str">
        <f>IF(Sales[[#This Row],[Anggaran Murni]]-Sales[[#This Row],[Target s.d. Januari]]=0,"",Sales[[#This Row],[Anggaran Murni]]-Sales[[#This Row],[Target s.d. Januari]])</f>
        <v/>
      </c>
      <c r="H81" s="19" t="s">
        <v>76</v>
      </c>
      <c r="I81" s="20" t="s">
        <v>79</v>
      </c>
      <c r="J81" s="20"/>
      <c r="K81" s="19" t="s">
        <v>35</v>
      </c>
      <c r="L81" s="19" t="s">
        <v>5</v>
      </c>
      <c r="M81" s="21" t="s">
        <v>67</v>
      </c>
      <c r="N81" s="20" t="s">
        <v>81</v>
      </c>
      <c r="O81" s="19" t="s">
        <v>11</v>
      </c>
      <c r="P81" s="10"/>
      <c r="Q81" s="11"/>
    </row>
    <row r="82" spans="2:17" ht="21" customHeight="1" x14ac:dyDescent="0.35">
      <c r="B82" s="1">
        <v>43839</v>
      </c>
      <c r="C82" s="1" t="str">
        <f>TEXT(Sales[[#This Row],[Kode Program/Kegiatan ]],"D")</f>
        <v>9</v>
      </c>
      <c r="D82" s="2" t="str">
        <f>TEXT(Sales[[#This Row],[Kode Program/Kegiatan ]],"mmm")</f>
        <v>Jan</v>
      </c>
      <c r="E82" s="3">
        <v>4</v>
      </c>
      <c r="F82" s="2">
        <v>4</v>
      </c>
      <c r="G82" s="3" t="str">
        <f>IF(Sales[[#This Row],[Anggaran Murni]]-Sales[[#This Row],[Target s.d. Januari]]=0,"",Sales[[#This Row],[Anggaran Murni]]-Sales[[#This Row],[Target s.d. Januari]])</f>
        <v/>
      </c>
      <c r="H82" s="2" t="s">
        <v>113</v>
      </c>
      <c r="I82" s="3" t="s">
        <v>77</v>
      </c>
      <c r="J82" s="3"/>
      <c r="K82" s="2" t="s">
        <v>51</v>
      </c>
      <c r="L82" s="2" t="s">
        <v>9</v>
      </c>
      <c r="M82" s="4" t="s">
        <v>67</v>
      </c>
      <c r="N82" s="3" t="s">
        <v>81</v>
      </c>
      <c r="O82" s="2" t="s">
        <v>13</v>
      </c>
      <c r="P82" s="10"/>
      <c r="Q82" s="11"/>
    </row>
    <row r="83" spans="2:17" ht="21" customHeight="1" x14ac:dyDescent="0.35">
      <c r="B83" s="18">
        <v>43839</v>
      </c>
      <c r="C83" s="18" t="str">
        <f>TEXT(Sales[[#This Row],[Kode Program/Kegiatan ]],"D")</f>
        <v>9</v>
      </c>
      <c r="D83" s="19" t="str">
        <f>TEXT(Sales[[#This Row],[Kode Program/Kegiatan ]],"mmm")</f>
        <v>Jan</v>
      </c>
      <c r="E83" s="20">
        <v>3</v>
      </c>
      <c r="F83" s="19">
        <v>3</v>
      </c>
      <c r="G83" s="20" t="str">
        <f>IF(Sales[[#This Row],[Anggaran Murni]]-Sales[[#This Row],[Target s.d. Januari]]=0,"",Sales[[#This Row],[Anggaran Murni]]-Sales[[#This Row],[Target s.d. Januari]])</f>
        <v/>
      </c>
      <c r="H83" s="19" t="s">
        <v>74</v>
      </c>
      <c r="I83" s="20" t="s">
        <v>77</v>
      </c>
      <c r="J83" s="20"/>
      <c r="K83" s="19" t="s">
        <v>53</v>
      </c>
      <c r="L83" s="19" t="s">
        <v>2</v>
      </c>
      <c r="M83" s="21" t="s">
        <v>67</v>
      </c>
      <c r="N83" s="20" t="s">
        <v>82</v>
      </c>
      <c r="O83" s="19" t="s">
        <v>11</v>
      </c>
      <c r="P83" s="10"/>
      <c r="Q83" s="11"/>
    </row>
    <row r="84" spans="2:17" ht="21" customHeight="1" x14ac:dyDescent="0.35">
      <c r="B84" s="1">
        <v>43840</v>
      </c>
      <c r="C84" s="1" t="str">
        <f>TEXT(Sales[[#This Row],[Kode Program/Kegiatan ]],"D")</f>
        <v>10</v>
      </c>
      <c r="D84" s="2" t="str">
        <f>TEXT(Sales[[#This Row],[Kode Program/Kegiatan ]],"mmm")</f>
        <v>Jan</v>
      </c>
      <c r="E84" s="3">
        <v>10</v>
      </c>
      <c r="F84" s="2">
        <v>10</v>
      </c>
      <c r="G84" s="3" t="str">
        <f>IF(Sales[[#This Row],[Anggaran Murni]]-Sales[[#This Row],[Target s.d. Januari]]=0,"",Sales[[#This Row],[Anggaran Murni]]-Sales[[#This Row],[Target s.d. Januari]])</f>
        <v/>
      </c>
      <c r="H84" s="2" t="s">
        <v>73</v>
      </c>
      <c r="I84" s="3" t="s">
        <v>78</v>
      </c>
      <c r="J84" s="3"/>
      <c r="K84" s="2" t="s">
        <v>44</v>
      </c>
      <c r="L84" s="2" t="s">
        <v>2</v>
      </c>
      <c r="M84" s="4" t="s">
        <v>67</v>
      </c>
      <c r="N84" s="3" t="s">
        <v>80</v>
      </c>
      <c r="O84" s="2" t="s">
        <v>14</v>
      </c>
      <c r="P84" s="10"/>
      <c r="Q84" s="11"/>
    </row>
    <row r="85" spans="2:17" ht="21" customHeight="1" x14ac:dyDescent="0.35">
      <c r="B85" s="18">
        <v>43840</v>
      </c>
      <c r="C85" s="18" t="str">
        <f>TEXT(Sales[[#This Row],[Kode Program/Kegiatan ]],"D")</f>
        <v>10</v>
      </c>
      <c r="D85" s="19" t="str">
        <f>TEXT(Sales[[#This Row],[Kode Program/Kegiatan ]],"mmm")</f>
        <v>Jan</v>
      </c>
      <c r="E85" s="20">
        <v>9</v>
      </c>
      <c r="F85" s="19">
        <v>9</v>
      </c>
      <c r="G85" s="20" t="str">
        <f>IF(Sales[[#This Row],[Anggaran Murni]]-Sales[[#This Row],[Target s.d. Januari]]=0,"",Sales[[#This Row],[Anggaran Murni]]-Sales[[#This Row],[Target s.d. Januari]])</f>
        <v/>
      </c>
      <c r="H85" s="19" t="s">
        <v>114</v>
      </c>
      <c r="I85" s="20" t="s">
        <v>3</v>
      </c>
      <c r="J85" s="20"/>
      <c r="K85" s="19" t="s">
        <v>41</v>
      </c>
      <c r="L85" s="19" t="s">
        <v>5</v>
      </c>
      <c r="M85" s="21" t="s">
        <v>67</v>
      </c>
      <c r="N85" s="20" t="s">
        <v>82</v>
      </c>
      <c r="O85" s="19" t="s">
        <v>11</v>
      </c>
      <c r="P85" s="10"/>
      <c r="Q85" s="11"/>
    </row>
    <row r="86" spans="2:17" ht="21" customHeight="1" x14ac:dyDescent="0.35">
      <c r="B86" s="1">
        <v>43840</v>
      </c>
      <c r="C86" s="1" t="str">
        <f>TEXT(Sales[[#This Row],[Kode Program/Kegiatan ]],"D")</f>
        <v>10</v>
      </c>
      <c r="D86" s="2" t="str">
        <f>TEXT(Sales[[#This Row],[Kode Program/Kegiatan ]],"mmm")</f>
        <v>Jan</v>
      </c>
      <c r="E86" s="3">
        <v>9</v>
      </c>
      <c r="F86" s="2">
        <v>9</v>
      </c>
      <c r="G86" s="3" t="str">
        <f>IF(Sales[[#This Row],[Anggaran Murni]]-Sales[[#This Row],[Target s.d. Januari]]=0,"",Sales[[#This Row],[Anggaran Murni]]-Sales[[#This Row],[Target s.d. Januari]])</f>
        <v/>
      </c>
      <c r="H86" s="2" t="s">
        <v>74</v>
      </c>
      <c r="I86" s="3" t="s">
        <v>77</v>
      </c>
      <c r="J86" s="3"/>
      <c r="K86" s="2" t="s">
        <v>38</v>
      </c>
      <c r="L86" s="2" t="s">
        <v>5</v>
      </c>
      <c r="M86" s="4" t="s">
        <v>67</v>
      </c>
      <c r="N86" s="3" t="s">
        <v>82</v>
      </c>
      <c r="O86" s="2" t="s">
        <v>11</v>
      </c>
      <c r="P86" s="10"/>
      <c r="Q86" s="11"/>
    </row>
    <row r="87" spans="2:17" ht="21" customHeight="1" x14ac:dyDescent="0.35">
      <c r="B87" s="18">
        <v>43840</v>
      </c>
      <c r="C87" s="18" t="str">
        <f>TEXT(Sales[[#This Row],[Kode Program/Kegiatan ]],"D")</f>
        <v>10</v>
      </c>
      <c r="D87" s="19" t="str">
        <f>TEXT(Sales[[#This Row],[Kode Program/Kegiatan ]],"mmm")</f>
        <v>Jan</v>
      </c>
      <c r="E87" s="20">
        <v>9</v>
      </c>
      <c r="F87" s="19">
        <v>9</v>
      </c>
      <c r="G87" s="20" t="str">
        <f>IF(Sales[[#This Row],[Anggaran Murni]]-Sales[[#This Row],[Target s.d. Januari]]=0,"",Sales[[#This Row],[Anggaran Murni]]-Sales[[#This Row],[Target s.d. Januari]])</f>
        <v/>
      </c>
      <c r="H87" s="19" t="s">
        <v>113</v>
      </c>
      <c r="I87" s="20" t="s">
        <v>77</v>
      </c>
      <c r="J87" s="20"/>
      <c r="K87" s="19" t="s">
        <v>17</v>
      </c>
      <c r="L87" s="19" t="s">
        <v>9</v>
      </c>
      <c r="M87" s="21" t="s">
        <v>67</v>
      </c>
      <c r="N87" s="20" t="s">
        <v>82</v>
      </c>
      <c r="O87" s="19" t="s">
        <v>13</v>
      </c>
      <c r="P87" s="10"/>
      <c r="Q87" s="11"/>
    </row>
    <row r="88" spans="2:17" ht="21" customHeight="1" x14ac:dyDescent="0.35">
      <c r="B88" s="1">
        <v>43840</v>
      </c>
      <c r="C88" s="1" t="str">
        <f>TEXT(Sales[[#This Row],[Kode Program/Kegiatan ]],"D")</f>
        <v>10</v>
      </c>
      <c r="D88" s="2" t="str">
        <f>TEXT(Sales[[#This Row],[Kode Program/Kegiatan ]],"mmm")</f>
        <v>Jan</v>
      </c>
      <c r="E88" s="3">
        <v>8</v>
      </c>
      <c r="F88" s="2">
        <v>8</v>
      </c>
      <c r="G88" s="3" t="str">
        <f>IF(Sales[[#This Row],[Anggaran Murni]]-Sales[[#This Row],[Target s.d. Januari]]=0,"",Sales[[#This Row],[Anggaran Murni]]-Sales[[#This Row],[Target s.d. Januari]])</f>
        <v/>
      </c>
      <c r="H88" s="2" t="s">
        <v>74</v>
      </c>
      <c r="I88" s="3" t="s">
        <v>77</v>
      </c>
      <c r="J88" s="3"/>
      <c r="K88" s="2" t="s">
        <v>18</v>
      </c>
      <c r="L88" s="2" t="s">
        <v>5</v>
      </c>
      <c r="M88" s="4" t="s">
        <v>67</v>
      </c>
      <c r="N88" s="3" t="s">
        <v>82</v>
      </c>
      <c r="O88" s="2" t="s">
        <v>11</v>
      </c>
      <c r="P88" s="10"/>
      <c r="Q88" s="11"/>
    </row>
    <row r="89" spans="2:17" ht="21" customHeight="1" x14ac:dyDescent="0.35">
      <c r="B89" s="18">
        <v>43840</v>
      </c>
      <c r="C89" s="18" t="str">
        <f>TEXT(Sales[[#This Row],[Kode Program/Kegiatan ]],"D")</f>
        <v>10</v>
      </c>
      <c r="D89" s="19" t="str">
        <f>TEXT(Sales[[#This Row],[Kode Program/Kegiatan ]],"mmm")</f>
        <v>Jan</v>
      </c>
      <c r="E89" s="20">
        <v>8</v>
      </c>
      <c r="F89" s="19">
        <v>8</v>
      </c>
      <c r="G89" s="20" t="str">
        <f>IF(Sales[[#This Row],[Anggaran Murni]]-Sales[[#This Row],[Target s.d. Januari]]=0,"",Sales[[#This Row],[Anggaran Murni]]-Sales[[#This Row],[Target s.d. Januari]])</f>
        <v/>
      </c>
      <c r="H89" s="19" t="s">
        <v>73</v>
      </c>
      <c r="I89" s="20" t="s">
        <v>78</v>
      </c>
      <c r="J89" s="20"/>
      <c r="K89" s="19" t="s">
        <v>38</v>
      </c>
      <c r="L89" s="19" t="s">
        <v>2</v>
      </c>
      <c r="M89" s="21" t="s">
        <v>67</v>
      </c>
      <c r="N89" s="20" t="s">
        <v>81</v>
      </c>
      <c r="O89" s="19" t="s">
        <v>14</v>
      </c>
      <c r="P89" s="10"/>
      <c r="Q89" s="11"/>
    </row>
    <row r="90" spans="2:17" ht="21" customHeight="1" x14ac:dyDescent="0.35">
      <c r="B90" s="1">
        <v>43840</v>
      </c>
      <c r="C90" s="1" t="str">
        <f>TEXT(Sales[[#This Row],[Kode Program/Kegiatan ]],"D")</f>
        <v>10</v>
      </c>
      <c r="D90" s="2" t="str">
        <f>TEXT(Sales[[#This Row],[Kode Program/Kegiatan ]],"mmm")</f>
        <v>Jan</v>
      </c>
      <c r="E90" s="3">
        <v>7</v>
      </c>
      <c r="F90" s="2">
        <v>7</v>
      </c>
      <c r="G90" s="3" t="str">
        <f>IF(Sales[[#This Row],[Anggaran Murni]]-Sales[[#This Row],[Target s.d. Januari]]=0,"",Sales[[#This Row],[Anggaran Murni]]-Sales[[#This Row],[Target s.d. Januari]])</f>
        <v/>
      </c>
      <c r="H90" s="2" t="s">
        <v>71</v>
      </c>
      <c r="I90" s="3" t="s">
        <v>6</v>
      </c>
      <c r="J90" s="3"/>
      <c r="K90" s="2" t="s">
        <v>48</v>
      </c>
      <c r="L90" s="2" t="s">
        <v>8</v>
      </c>
      <c r="M90" s="4" t="s">
        <v>67</v>
      </c>
      <c r="N90" s="3" t="s">
        <v>82</v>
      </c>
      <c r="O90" s="2" t="s">
        <v>14</v>
      </c>
      <c r="P90" s="10"/>
      <c r="Q90" s="11"/>
    </row>
    <row r="91" spans="2:17" ht="21" customHeight="1" x14ac:dyDescent="0.35">
      <c r="B91" s="18">
        <v>43840</v>
      </c>
      <c r="C91" s="18" t="str">
        <f>TEXT(Sales[[#This Row],[Kode Program/Kegiatan ]],"D")</f>
        <v>10</v>
      </c>
      <c r="D91" s="19" t="str">
        <f>TEXT(Sales[[#This Row],[Kode Program/Kegiatan ]],"mmm")</f>
        <v>Jan</v>
      </c>
      <c r="E91" s="20">
        <v>6</v>
      </c>
      <c r="F91" s="19">
        <v>6</v>
      </c>
      <c r="G91" s="20" t="str">
        <f>IF(Sales[[#This Row],[Anggaran Murni]]-Sales[[#This Row],[Target s.d. Januari]]=0,"",Sales[[#This Row],[Anggaran Murni]]-Sales[[#This Row],[Target s.d. Januari]])</f>
        <v/>
      </c>
      <c r="H91" s="19" t="s">
        <v>113</v>
      </c>
      <c r="I91" s="20" t="s">
        <v>77</v>
      </c>
      <c r="J91" s="20"/>
      <c r="K91" s="19" t="s">
        <v>19</v>
      </c>
      <c r="L91" s="19" t="s">
        <v>5</v>
      </c>
      <c r="M91" s="21" t="s">
        <v>67</v>
      </c>
      <c r="N91" s="20" t="s">
        <v>80</v>
      </c>
      <c r="O91" s="19" t="s">
        <v>14</v>
      </c>
      <c r="P91" s="10"/>
      <c r="Q91" s="11"/>
    </row>
    <row r="92" spans="2:17" ht="21" customHeight="1" x14ac:dyDescent="0.35">
      <c r="B92" s="1">
        <v>43840</v>
      </c>
      <c r="C92" s="1" t="str">
        <f>TEXT(Sales[[#This Row],[Kode Program/Kegiatan ]],"D")</f>
        <v>10</v>
      </c>
      <c r="D92" s="2" t="str">
        <f>TEXT(Sales[[#This Row],[Kode Program/Kegiatan ]],"mmm")</f>
        <v>Jan</v>
      </c>
      <c r="E92" s="3">
        <v>6</v>
      </c>
      <c r="F92" s="2">
        <v>6</v>
      </c>
      <c r="G92" s="3" t="str">
        <f>IF(Sales[[#This Row],[Anggaran Murni]]-Sales[[#This Row],[Target s.d. Januari]]=0,"",Sales[[#This Row],[Anggaran Murni]]-Sales[[#This Row],[Target s.d. Januari]])</f>
        <v/>
      </c>
      <c r="H92" s="2" t="s">
        <v>73</v>
      </c>
      <c r="I92" s="3" t="s">
        <v>78</v>
      </c>
      <c r="J92" s="3"/>
      <c r="K92" s="2" t="s">
        <v>32</v>
      </c>
      <c r="L92" s="2" t="s">
        <v>2</v>
      </c>
      <c r="M92" s="4" t="s">
        <v>67</v>
      </c>
      <c r="N92" s="3" t="s">
        <v>80</v>
      </c>
      <c r="O92" s="2" t="s">
        <v>14</v>
      </c>
      <c r="P92" s="10"/>
      <c r="Q92" s="11"/>
    </row>
    <row r="93" spans="2:17" ht="21" customHeight="1" x14ac:dyDescent="0.35">
      <c r="B93" s="18">
        <v>43840</v>
      </c>
      <c r="C93" s="18" t="str">
        <f>TEXT(Sales[[#This Row],[Kode Program/Kegiatan ]],"D")</f>
        <v>10</v>
      </c>
      <c r="D93" s="19" t="str">
        <f>TEXT(Sales[[#This Row],[Kode Program/Kegiatan ]],"mmm")</f>
        <v>Jan</v>
      </c>
      <c r="E93" s="20">
        <v>4</v>
      </c>
      <c r="F93" s="19">
        <v>4</v>
      </c>
      <c r="G93" s="20" t="str">
        <f>IF(Sales[[#This Row],[Anggaran Murni]]-Sales[[#This Row],[Target s.d. Januari]]=0,"",Sales[[#This Row],[Anggaran Murni]]-Sales[[#This Row],[Target s.d. Januari]])</f>
        <v/>
      </c>
      <c r="H93" s="19" t="s">
        <v>76</v>
      </c>
      <c r="I93" s="20" t="s">
        <v>79</v>
      </c>
      <c r="J93" s="20"/>
      <c r="K93" s="19" t="s">
        <v>31</v>
      </c>
      <c r="L93" s="19" t="s">
        <v>2</v>
      </c>
      <c r="M93" s="21" t="s">
        <v>67</v>
      </c>
      <c r="N93" s="20" t="s">
        <v>82</v>
      </c>
      <c r="O93" s="19" t="s">
        <v>11</v>
      </c>
      <c r="P93" s="10"/>
      <c r="Q93" s="11"/>
    </row>
    <row r="94" spans="2:17" ht="21" customHeight="1" x14ac:dyDescent="0.35">
      <c r="B94" s="1">
        <v>43840</v>
      </c>
      <c r="C94" s="1" t="str">
        <f>TEXT(Sales[[#This Row],[Kode Program/Kegiatan ]],"D")</f>
        <v>10</v>
      </c>
      <c r="D94" s="2" t="str">
        <f>TEXT(Sales[[#This Row],[Kode Program/Kegiatan ]],"mmm")</f>
        <v>Jan</v>
      </c>
      <c r="E94" s="3">
        <v>3</v>
      </c>
      <c r="F94" s="2">
        <v>3</v>
      </c>
      <c r="G94" s="3" t="str">
        <f>IF(Sales[[#This Row],[Anggaran Murni]]-Sales[[#This Row],[Target s.d. Januari]]=0,"",Sales[[#This Row],[Anggaran Murni]]-Sales[[#This Row],[Target s.d. Januari]])</f>
        <v/>
      </c>
      <c r="H94" s="2" t="s">
        <v>72</v>
      </c>
      <c r="I94" s="3" t="s">
        <v>78</v>
      </c>
      <c r="J94" s="3"/>
      <c r="K94" s="2" t="s">
        <v>51</v>
      </c>
      <c r="L94" s="2" t="s">
        <v>2</v>
      </c>
      <c r="M94" s="4" t="s">
        <v>67</v>
      </c>
      <c r="N94" s="3" t="s">
        <v>82</v>
      </c>
      <c r="O94" s="2" t="s">
        <v>12</v>
      </c>
      <c r="P94" s="10"/>
      <c r="Q94" s="11"/>
    </row>
    <row r="95" spans="2:17" ht="21" customHeight="1" x14ac:dyDescent="0.35">
      <c r="B95" s="18">
        <v>43840</v>
      </c>
      <c r="C95" s="18" t="str">
        <f>TEXT(Sales[[#This Row],[Kode Program/Kegiatan ]],"D")</f>
        <v>10</v>
      </c>
      <c r="D95" s="19" t="str">
        <f>TEXT(Sales[[#This Row],[Kode Program/Kegiatan ]],"mmm")</f>
        <v>Jan</v>
      </c>
      <c r="E95" s="20">
        <v>3</v>
      </c>
      <c r="F95" s="19">
        <v>3</v>
      </c>
      <c r="G95" s="20" t="str">
        <f>IF(Sales[[#This Row],[Anggaran Murni]]-Sales[[#This Row],[Target s.d. Januari]]=0,"",Sales[[#This Row],[Anggaran Murni]]-Sales[[#This Row],[Target s.d. Januari]])</f>
        <v/>
      </c>
      <c r="H95" s="19" t="s">
        <v>74</v>
      </c>
      <c r="I95" s="20" t="s">
        <v>77</v>
      </c>
      <c r="J95" s="20"/>
      <c r="K95" s="19" t="s">
        <v>54</v>
      </c>
      <c r="L95" s="19" t="s">
        <v>5</v>
      </c>
      <c r="M95" s="21" t="s">
        <v>67</v>
      </c>
      <c r="N95" s="20" t="s">
        <v>80</v>
      </c>
      <c r="O95" s="19" t="s">
        <v>11</v>
      </c>
      <c r="P95" s="10"/>
      <c r="Q95" s="11"/>
    </row>
    <row r="96" spans="2:17" ht="21" customHeight="1" x14ac:dyDescent="0.35">
      <c r="B96" s="1">
        <v>43841</v>
      </c>
      <c r="C96" s="1" t="str">
        <f>TEXT(Sales[[#This Row],[Kode Program/Kegiatan ]],"D")</f>
        <v>11</v>
      </c>
      <c r="D96" s="2" t="str">
        <f>TEXT(Sales[[#This Row],[Kode Program/Kegiatan ]],"mmm")</f>
        <v>Jan</v>
      </c>
      <c r="E96" s="3">
        <v>10</v>
      </c>
      <c r="F96" s="2">
        <v>10</v>
      </c>
      <c r="G96" s="3" t="str">
        <f>IF(Sales[[#This Row],[Anggaran Murni]]-Sales[[#This Row],[Target s.d. Januari]]=0,"",Sales[[#This Row],[Anggaran Murni]]-Sales[[#This Row],[Target s.d. Januari]])</f>
        <v/>
      </c>
      <c r="H96" s="2" t="s">
        <v>72</v>
      </c>
      <c r="I96" s="3" t="s">
        <v>78</v>
      </c>
      <c r="J96" s="3"/>
      <c r="K96" s="2" t="s">
        <v>30</v>
      </c>
      <c r="L96" s="2" t="s">
        <v>2</v>
      </c>
      <c r="M96" s="4" t="s">
        <v>67</v>
      </c>
      <c r="N96" s="3" t="s">
        <v>82</v>
      </c>
      <c r="O96" s="2" t="s">
        <v>11</v>
      </c>
      <c r="P96" s="10"/>
      <c r="Q96" s="11"/>
    </row>
    <row r="97" spans="2:17" ht="21" customHeight="1" x14ac:dyDescent="0.35">
      <c r="B97" s="18">
        <v>43841</v>
      </c>
      <c r="C97" s="18" t="str">
        <f>TEXT(Sales[[#This Row],[Kode Program/Kegiatan ]],"D")</f>
        <v>11</v>
      </c>
      <c r="D97" s="19" t="str">
        <f>TEXT(Sales[[#This Row],[Kode Program/Kegiatan ]],"mmm")</f>
        <v>Jan</v>
      </c>
      <c r="E97" s="20">
        <v>8</v>
      </c>
      <c r="F97" s="19">
        <v>8</v>
      </c>
      <c r="G97" s="20" t="str">
        <f>IF(Sales[[#This Row],[Anggaran Murni]]-Sales[[#This Row],[Target s.d. Januari]]=0,"",Sales[[#This Row],[Anggaran Murni]]-Sales[[#This Row],[Target s.d. Januari]])</f>
        <v/>
      </c>
      <c r="H97" s="19" t="s">
        <v>71</v>
      </c>
      <c r="I97" s="20" t="s">
        <v>6</v>
      </c>
      <c r="J97" s="20"/>
      <c r="K97" s="19" t="s">
        <v>34</v>
      </c>
      <c r="L97" s="19" t="s">
        <v>8</v>
      </c>
      <c r="M97" s="21" t="s">
        <v>67</v>
      </c>
      <c r="N97" s="20" t="s">
        <v>81</v>
      </c>
      <c r="O97" s="19" t="s">
        <v>12</v>
      </c>
      <c r="P97" s="10"/>
      <c r="Q97" s="11"/>
    </row>
    <row r="98" spans="2:17" ht="21" customHeight="1" x14ac:dyDescent="0.35">
      <c r="B98" s="1">
        <v>43841</v>
      </c>
      <c r="C98" s="1" t="str">
        <f>TEXT(Sales[[#This Row],[Kode Program/Kegiatan ]],"D")</f>
        <v>11</v>
      </c>
      <c r="D98" s="2" t="str">
        <f>TEXT(Sales[[#This Row],[Kode Program/Kegiatan ]],"mmm")</f>
        <v>Jan</v>
      </c>
      <c r="E98" s="3">
        <v>8</v>
      </c>
      <c r="F98" s="2">
        <v>8</v>
      </c>
      <c r="G98" s="3" t="str">
        <f>IF(Sales[[#This Row],[Anggaran Murni]]-Sales[[#This Row],[Target s.d. Januari]]=0,"",Sales[[#This Row],[Anggaran Murni]]-Sales[[#This Row],[Target s.d. Januari]])</f>
        <v/>
      </c>
      <c r="H98" s="2" t="s">
        <v>75</v>
      </c>
      <c r="I98" s="3" t="s">
        <v>6</v>
      </c>
      <c r="J98" s="3"/>
      <c r="K98" s="2" t="s">
        <v>34</v>
      </c>
      <c r="L98" s="2" t="s">
        <v>2</v>
      </c>
      <c r="M98" s="4" t="s">
        <v>67</v>
      </c>
      <c r="N98" s="3" t="s">
        <v>82</v>
      </c>
      <c r="O98" s="2" t="s">
        <v>14</v>
      </c>
      <c r="P98" s="10"/>
      <c r="Q98" s="11"/>
    </row>
    <row r="99" spans="2:17" ht="21" customHeight="1" x14ac:dyDescent="0.35">
      <c r="B99" s="18">
        <v>43841</v>
      </c>
      <c r="C99" s="18" t="str">
        <f>TEXT(Sales[[#This Row],[Kode Program/Kegiatan ]],"D")</f>
        <v>11</v>
      </c>
      <c r="D99" s="19" t="str">
        <f>TEXT(Sales[[#This Row],[Kode Program/Kegiatan ]],"mmm")</f>
        <v>Jan</v>
      </c>
      <c r="E99" s="20">
        <v>8</v>
      </c>
      <c r="F99" s="19">
        <v>8</v>
      </c>
      <c r="G99" s="20" t="str">
        <f>IF(Sales[[#This Row],[Anggaran Murni]]-Sales[[#This Row],[Target s.d. Januari]]=0,"",Sales[[#This Row],[Anggaran Murni]]-Sales[[#This Row],[Target s.d. Januari]])</f>
        <v/>
      </c>
      <c r="H99" s="19" t="s">
        <v>114</v>
      </c>
      <c r="I99" s="20" t="s">
        <v>3</v>
      </c>
      <c r="J99" s="20"/>
      <c r="K99" s="19" t="s">
        <v>32</v>
      </c>
      <c r="L99" s="19" t="s">
        <v>2</v>
      </c>
      <c r="M99" s="21" t="s">
        <v>67</v>
      </c>
      <c r="N99" s="20" t="s">
        <v>80</v>
      </c>
      <c r="O99" s="19" t="s">
        <v>11</v>
      </c>
      <c r="P99" s="10"/>
      <c r="Q99" s="11"/>
    </row>
    <row r="100" spans="2:17" ht="21" customHeight="1" x14ac:dyDescent="0.35">
      <c r="B100" s="1">
        <v>43841</v>
      </c>
      <c r="C100" s="1" t="str">
        <f>TEXT(Sales[[#This Row],[Kode Program/Kegiatan ]],"D")</f>
        <v>11</v>
      </c>
      <c r="D100" s="2" t="str">
        <f>TEXT(Sales[[#This Row],[Kode Program/Kegiatan ]],"mmm")</f>
        <v>Jan</v>
      </c>
      <c r="E100" s="3">
        <v>7</v>
      </c>
      <c r="F100" s="2">
        <v>7</v>
      </c>
      <c r="G100" s="3" t="str">
        <f>IF(Sales[[#This Row],[Anggaran Murni]]-Sales[[#This Row],[Target s.d. Januari]]=0,"",Sales[[#This Row],[Anggaran Murni]]-Sales[[#This Row],[Target s.d. Januari]])</f>
        <v/>
      </c>
      <c r="H100" s="2" t="s">
        <v>75</v>
      </c>
      <c r="I100" s="3" t="s">
        <v>6</v>
      </c>
      <c r="J100" s="3"/>
      <c r="K100" s="2" t="s">
        <v>37</v>
      </c>
      <c r="L100" s="2" t="s">
        <v>5</v>
      </c>
      <c r="M100" s="4" t="s">
        <v>67</v>
      </c>
      <c r="N100" s="3" t="s">
        <v>82</v>
      </c>
      <c r="O100" s="2" t="s">
        <v>11</v>
      </c>
      <c r="P100" s="10"/>
      <c r="Q100" s="11"/>
    </row>
    <row r="101" spans="2:17" ht="21" customHeight="1" x14ac:dyDescent="0.35">
      <c r="B101" s="18">
        <v>43841</v>
      </c>
      <c r="C101" s="18" t="str">
        <f>TEXT(Sales[[#This Row],[Kode Program/Kegiatan ]],"D")</f>
        <v>11</v>
      </c>
      <c r="D101" s="19" t="str">
        <f>TEXT(Sales[[#This Row],[Kode Program/Kegiatan ]],"mmm")</f>
        <v>Jan</v>
      </c>
      <c r="E101" s="20">
        <v>6</v>
      </c>
      <c r="F101" s="19">
        <v>6</v>
      </c>
      <c r="G101" s="20" t="str">
        <f>IF(Sales[[#This Row],[Anggaran Murni]]-Sales[[#This Row],[Target s.d. Januari]]=0,"",Sales[[#This Row],[Anggaran Murni]]-Sales[[#This Row],[Target s.d. Januari]])</f>
        <v/>
      </c>
      <c r="H101" s="19" t="s">
        <v>70</v>
      </c>
      <c r="I101" s="20" t="s">
        <v>1</v>
      </c>
      <c r="J101" s="20"/>
      <c r="K101" s="19" t="s">
        <v>18</v>
      </c>
      <c r="L101" s="19" t="s">
        <v>5</v>
      </c>
      <c r="M101" s="21" t="s">
        <v>67</v>
      </c>
      <c r="N101" s="20" t="s">
        <v>80</v>
      </c>
      <c r="O101" s="19" t="s">
        <v>11</v>
      </c>
      <c r="P101" s="10"/>
      <c r="Q101" s="11"/>
    </row>
    <row r="102" spans="2:17" ht="21" customHeight="1" x14ac:dyDescent="0.35">
      <c r="B102" s="1">
        <v>43841</v>
      </c>
      <c r="C102" s="1" t="str">
        <f>TEXT(Sales[[#This Row],[Kode Program/Kegiatan ]],"D")</f>
        <v>11</v>
      </c>
      <c r="D102" s="2" t="str">
        <f>TEXT(Sales[[#This Row],[Kode Program/Kegiatan ]],"mmm")</f>
        <v>Jan</v>
      </c>
      <c r="E102" s="3">
        <v>4</v>
      </c>
      <c r="F102" s="2">
        <v>4</v>
      </c>
      <c r="G102" s="3" t="str">
        <f>IF(Sales[[#This Row],[Anggaran Murni]]-Sales[[#This Row],[Target s.d. Januari]]=0,"",Sales[[#This Row],[Anggaran Murni]]-Sales[[#This Row],[Target s.d. Januari]])</f>
        <v/>
      </c>
      <c r="H102" s="2" t="s">
        <v>76</v>
      </c>
      <c r="I102" s="3" t="s">
        <v>79</v>
      </c>
      <c r="J102" s="3"/>
      <c r="K102" s="2" t="s">
        <v>18</v>
      </c>
      <c r="L102" s="2" t="s">
        <v>5</v>
      </c>
      <c r="M102" s="4" t="s">
        <v>67</v>
      </c>
      <c r="N102" s="3" t="s">
        <v>82</v>
      </c>
      <c r="O102" s="2" t="s">
        <v>13</v>
      </c>
      <c r="P102" s="10"/>
      <c r="Q102" s="11"/>
    </row>
    <row r="103" spans="2:17" ht="21" customHeight="1" x14ac:dyDescent="0.35">
      <c r="B103" s="18">
        <v>43841</v>
      </c>
      <c r="C103" s="18" t="str">
        <f>TEXT(Sales[[#This Row],[Kode Program/Kegiatan ]],"D")</f>
        <v>11</v>
      </c>
      <c r="D103" s="19" t="str">
        <f>TEXT(Sales[[#This Row],[Kode Program/Kegiatan ]],"mmm")</f>
        <v>Jan</v>
      </c>
      <c r="E103" s="20">
        <v>4</v>
      </c>
      <c r="F103" s="19">
        <v>4</v>
      </c>
      <c r="G103" s="20" t="str">
        <f>IF(Sales[[#This Row],[Anggaran Murni]]-Sales[[#This Row],[Target s.d. Januari]]=0,"",Sales[[#This Row],[Anggaran Murni]]-Sales[[#This Row],[Target s.d. Januari]])</f>
        <v/>
      </c>
      <c r="H103" s="19" t="s">
        <v>75</v>
      </c>
      <c r="I103" s="20" t="s">
        <v>6</v>
      </c>
      <c r="J103" s="20"/>
      <c r="K103" s="19" t="s">
        <v>32</v>
      </c>
      <c r="L103" s="19" t="s">
        <v>2</v>
      </c>
      <c r="M103" s="21" t="s">
        <v>67</v>
      </c>
      <c r="N103" s="20" t="s">
        <v>82</v>
      </c>
      <c r="O103" s="19" t="s">
        <v>14</v>
      </c>
      <c r="P103" s="10"/>
      <c r="Q103" s="11"/>
    </row>
    <row r="104" spans="2:17" ht="21" customHeight="1" x14ac:dyDescent="0.35">
      <c r="B104" s="1">
        <v>43841</v>
      </c>
      <c r="C104" s="1" t="str">
        <f>TEXT(Sales[[#This Row],[Kode Program/Kegiatan ]],"D")</f>
        <v>11</v>
      </c>
      <c r="D104" s="2" t="str">
        <f>TEXT(Sales[[#This Row],[Kode Program/Kegiatan ]],"mmm")</f>
        <v>Jan</v>
      </c>
      <c r="E104" s="3">
        <v>4</v>
      </c>
      <c r="F104" s="2">
        <v>4</v>
      </c>
      <c r="G104" s="3" t="str">
        <f>IF(Sales[[#This Row],[Anggaran Murni]]-Sales[[#This Row],[Target s.d. Januari]]=0,"",Sales[[#This Row],[Anggaran Murni]]-Sales[[#This Row],[Target s.d. Januari]])</f>
        <v/>
      </c>
      <c r="H104" s="2" t="s">
        <v>76</v>
      </c>
      <c r="I104" s="3" t="s">
        <v>79</v>
      </c>
      <c r="J104" s="3"/>
      <c r="K104" s="2" t="s">
        <v>56</v>
      </c>
      <c r="L104" s="2" t="s">
        <v>5</v>
      </c>
      <c r="M104" s="4" t="s">
        <v>67</v>
      </c>
      <c r="N104" s="3" t="s">
        <v>81</v>
      </c>
      <c r="O104" s="2" t="s">
        <v>12</v>
      </c>
      <c r="P104" s="10"/>
      <c r="Q104" s="11"/>
    </row>
    <row r="105" spans="2:17" ht="21" customHeight="1" x14ac:dyDescent="0.35">
      <c r="B105" s="18">
        <v>43841</v>
      </c>
      <c r="C105" s="18" t="str">
        <f>TEXT(Sales[[#This Row],[Kode Program/Kegiatan ]],"D")</f>
        <v>11</v>
      </c>
      <c r="D105" s="19" t="str">
        <f>TEXT(Sales[[#This Row],[Kode Program/Kegiatan ]],"mmm")</f>
        <v>Jan</v>
      </c>
      <c r="E105" s="20">
        <v>3</v>
      </c>
      <c r="F105" s="19">
        <v>3</v>
      </c>
      <c r="G105" s="20" t="str">
        <f>IF(Sales[[#This Row],[Anggaran Murni]]-Sales[[#This Row],[Target s.d. Januari]]=0,"",Sales[[#This Row],[Anggaran Murni]]-Sales[[#This Row],[Target s.d. Januari]])</f>
        <v/>
      </c>
      <c r="H105" s="19" t="s">
        <v>75</v>
      </c>
      <c r="I105" s="20" t="s">
        <v>6</v>
      </c>
      <c r="J105" s="20"/>
      <c r="K105" s="19" t="s">
        <v>52</v>
      </c>
      <c r="L105" s="19" t="s">
        <v>2</v>
      </c>
      <c r="M105" s="21" t="s">
        <v>67</v>
      </c>
      <c r="N105" s="20" t="s">
        <v>82</v>
      </c>
      <c r="O105" s="19" t="s">
        <v>12</v>
      </c>
      <c r="P105" s="10"/>
      <c r="Q105" s="11"/>
    </row>
    <row r="106" spans="2:17" ht="21" customHeight="1" x14ac:dyDescent="0.35">
      <c r="B106" s="1">
        <v>43841</v>
      </c>
      <c r="C106" s="1" t="str">
        <f>TEXT(Sales[[#This Row],[Kode Program/Kegiatan ]],"D")</f>
        <v>11</v>
      </c>
      <c r="D106" s="2" t="str">
        <f>TEXT(Sales[[#This Row],[Kode Program/Kegiatan ]],"mmm")</f>
        <v>Jan</v>
      </c>
      <c r="E106" s="3">
        <v>3</v>
      </c>
      <c r="F106" s="2">
        <v>3</v>
      </c>
      <c r="G106" s="3" t="str">
        <f>IF(Sales[[#This Row],[Anggaran Murni]]-Sales[[#This Row],[Target s.d. Januari]]=0,"",Sales[[#This Row],[Anggaran Murni]]-Sales[[#This Row],[Target s.d. Januari]])</f>
        <v/>
      </c>
      <c r="H106" s="2" t="s">
        <v>73</v>
      </c>
      <c r="I106" s="3" t="s">
        <v>78</v>
      </c>
      <c r="J106" s="3"/>
      <c r="K106" s="2" t="s">
        <v>19</v>
      </c>
      <c r="L106" s="2" t="s">
        <v>7</v>
      </c>
      <c r="M106" s="4" t="s">
        <v>67</v>
      </c>
      <c r="N106" s="3" t="s">
        <v>82</v>
      </c>
      <c r="O106" s="2" t="s">
        <v>13</v>
      </c>
      <c r="P106" s="10"/>
      <c r="Q106" s="11"/>
    </row>
    <row r="107" spans="2:17" ht="21" customHeight="1" x14ac:dyDescent="0.35">
      <c r="B107" s="18">
        <v>43841</v>
      </c>
      <c r="C107" s="18" t="str">
        <f>TEXT(Sales[[#This Row],[Kode Program/Kegiatan ]],"D")</f>
        <v>11</v>
      </c>
      <c r="D107" s="19" t="str">
        <f>TEXT(Sales[[#This Row],[Kode Program/Kegiatan ]],"mmm")</f>
        <v>Jan</v>
      </c>
      <c r="E107" s="20">
        <v>3</v>
      </c>
      <c r="F107" s="19">
        <v>3</v>
      </c>
      <c r="G107" s="20" t="str">
        <f>IF(Sales[[#This Row],[Anggaran Murni]]-Sales[[#This Row],[Target s.d. Januari]]=0,"",Sales[[#This Row],[Anggaran Murni]]-Sales[[#This Row],[Target s.d. Januari]])</f>
        <v/>
      </c>
      <c r="H107" s="19" t="s">
        <v>71</v>
      </c>
      <c r="I107" s="20" t="s">
        <v>6</v>
      </c>
      <c r="J107" s="20"/>
      <c r="K107" s="19" t="s">
        <v>55</v>
      </c>
      <c r="L107" s="19" t="s">
        <v>5</v>
      </c>
      <c r="M107" s="21" t="s">
        <v>67</v>
      </c>
      <c r="N107" s="20" t="s">
        <v>81</v>
      </c>
      <c r="O107" s="19" t="s">
        <v>11</v>
      </c>
      <c r="P107" s="10"/>
      <c r="Q107" s="11"/>
    </row>
    <row r="108" spans="2:17" ht="21" customHeight="1" x14ac:dyDescent="0.35">
      <c r="B108" s="1">
        <v>43841</v>
      </c>
      <c r="C108" s="1" t="str">
        <f>TEXT(Sales[[#This Row],[Kode Program/Kegiatan ]],"D")</f>
        <v>11</v>
      </c>
      <c r="D108" s="2" t="str">
        <f>TEXT(Sales[[#This Row],[Kode Program/Kegiatan ]],"mmm")</f>
        <v>Jan</v>
      </c>
      <c r="E108" s="3">
        <v>3</v>
      </c>
      <c r="F108" s="2">
        <v>3</v>
      </c>
      <c r="G108" s="3" t="str">
        <f>IF(Sales[[#This Row],[Anggaran Murni]]-Sales[[#This Row],[Target s.d. Januari]]=0,"",Sales[[#This Row],[Anggaran Murni]]-Sales[[#This Row],[Target s.d. Januari]])</f>
        <v/>
      </c>
      <c r="H108" s="2" t="s">
        <v>75</v>
      </c>
      <c r="I108" s="3" t="s">
        <v>6</v>
      </c>
      <c r="J108" s="3"/>
      <c r="K108" s="2" t="s">
        <v>34</v>
      </c>
      <c r="L108" s="2" t="s">
        <v>2</v>
      </c>
      <c r="M108" s="4" t="s">
        <v>67</v>
      </c>
      <c r="N108" s="3" t="s">
        <v>80</v>
      </c>
      <c r="O108" s="2" t="s">
        <v>14</v>
      </c>
      <c r="P108" s="10"/>
      <c r="Q108" s="11"/>
    </row>
    <row r="109" spans="2:17" ht="21" customHeight="1" x14ac:dyDescent="0.35">
      <c r="B109" s="18">
        <v>43842</v>
      </c>
      <c r="C109" s="18" t="str">
        <f>TEXT(Sales[[#This Row],[Kode Program/Kegiatan ]],"D")</f>
        <v>12</v>
      </c>
      <c r="D109" s="19" t="str">
        <f>TEXT(Sales[[#This Row],[Kode Program/Kegiatan ]],"mmm")</f>
        <v>Jan</v>
      </c>
      <c r="E109" s="20">
        <v>10</v>
      </c>
      <c r="F109" s="19">
        <v>10</v>
      </c>
      <c r="G109" s="20" t="str">
        <f>IF(Sales[[#This Row],[Anggaran Murni]]-Sales[[#This Row],[Target s.d. Januari]]=0,"",Sales[[#This Row],[Anggaran Murni]]-Sales[[#This Row],[Target s.d. Januari]])</f>
        <v/>
      </c>
      <c r="H109" s="19" t="s">
        <v>72</v>
      </c>
      <c r="I109" s="20" t="s">
        <v>78</v>
      </c>
      <c r="J109" s="20"/>
      <c r="K109" s="19" t="s">
        <v>43</v>
      </c>
      <c r="L109" s="19" t="s">
        <v>5</v>
      </c>
      <c r="M109" s="21" t="s">
        <v>67</v>
      </c>
      <c r="N109" s="20" t="s">
        <v>80</v>
      </c>
      <c r="O109" s="19" t="s">
        <v>11</v>
      </c>
      <c r="P109" s="10"/>
      <c r="Q109" s="11"/>
    </row>
    <row r="110" spans="2:17" ht="21" customHeight="1" x14ac:dyDescent="0.35">
      <c r="B110" s="1">
        <v>43842</v>
      </c>
      <c r="C110" s="1" t="str">
        <f>TEXT(Sales[[#This Row],[Kode Program/Kegiatan ]],"D")</f>
        <v>12</v>
      </c>
      <c r="D110" s="2" t="str">
        <f>TEXT(Sales[[#This Row],[Kode Program/Kegiatan ]],"mmm")</f>
        <v>Jan</v>
      </c>
      <c r="E110" s="3">
        <v>10</v>
      </c>
      <c r="F110" s="2">
        <v>10</v>
      </c>
      <c r="G110" s="3" t="str">
        <f>IF(Sales[[#This Row],[Anggaran Murni]]-Sales[[#This Row],[Target s.d. Januari]]=0,"",Sales[[#This Row],[Anggaran Murni]]-Sales[[#This Row],[Target s.d. Januari]])</f>
        <v/>
      </c>
      <c r="H110" s="2" t="s">
        <v>70</v>
      </c>
      <c r="I110" s="3" t="s">
        <v>1</v>
      </c>
      <c r="J110" s="3"/>
      <c r="K110" s="2" t="s">
        <v>29</v>
      </c>
      <c r="L110" s="2" t="s">
        <v>5</v>
      </c>
      <c r="M110" s="4" t="s">
        <v>67</v>
      </c>
      <c r="N110" s="3" t="s">
        <v>82</v>
      </c>
      <c r="O110" s="2" t="s">
        <v>13</v>
      </c>
      <c r="P110" s="10"/>
      <c r="Q110" s="11"/>
    </row>
    <row r="111" spans="2:17" ht="21" customHeight="1" x14ac:dyDescent="0.35">
      <c r="B111" s="18">
        <v>43842</v>
      </c>
      <c r="C111" s="18" t="str">
        <f>TEXT(Sales[[#This Row],[Kode Program/Kegiatan ]],"D")</f>
        <v>12</v>
      </c>
      <c r="D111" s="19" t="str">
        <f>TEXT(Sales[[#This Row],[Kode Program/Kegiatan ]],"mmm")</f>
        <v>Jan</v>
      </c>
      <c r="E111" s="20">
        <v>10</v>
      </c>
      <c r="F111" s="19">
        <v>10</v>
      </c>
      <c r="G111" s="20" t="str">
        <f>IF(Sales[[#This Row],[Anggaran Murni]]-Sales[[#This Row],[Target s.d. Januari]]=0,"",Sales[[#This Row],[Anggaran Murni]]-Sales[[#This Row],[Target s.d. Januari]])</f>
        <v/>
      </c>
      <c r="H111" s="19" t="s">
        <v>76</v>
      </c>
      <c r="I111" s="20" t="s">
        <v>79</v>
      </c>
      <c r="J111" s="20"/>
      <c r="K111" s="19" t="s">
        <v>19</v>
      </c>
      <c r="L111" s="19" t="s">
        <v>2</v>
      </c>
      <c r="M111" s="21" t="s">
        <v>67</v>
      </c>
      <c r="N111" s="20" t="s">
        <v>82</v>
      </c>
      <c r="O111" s="19" t="s">
        <v>14</v>
      </c>
      <c r="P111" s="10"/>
      <c r="Q111" s="11"/>
    </row>
    <row r="112" spans="2:17" ht="21" customHeight="1" x14ac:dyDescent="0.35">
      <c r="B112" s="1">
        <v>43842</v>
      </c>
      <c r="C112" s="1" t="str">
        <f>TEXT(Sales[[#This Row],[Kode Program/Kegiatan ]],"D")</f>
        <v>12</v>
      </c>
      <c r="D112" s="2" t="str">
        <f>TEXT(Sales[[#This Row],[Kode Program/Kegiatan ]],"mmm")</f>
        <v>Jan</v>
      </c>
      <c r="E112" s="3">
        <v>10</v>
      </c>
      <c r="F112" s="2">
        <v>10</v>
      </c>
      <c r="G112" s="3" t="str">
        <f>IF(Sales[[#This Row],[Anggaran Murni]]-Sales[[#This Row],[Target s.d. Januari]]=0,"",Sales[[#This Row],[Anggaran Murni]]-Sales[[#This Row],[Target s.d. Januari]])</f>
        <v/>
      </c>
      <c r="H112" s="2" t="s">
        <v>75</v>
      </c>
      <c r="I112" s="3" t="s">
        <v>6</v>
      </c>
      <c r="J112" s="3"/>
      <c r="K112" s="2" t="s">
        <v>25</v>
      </c>
      <c r="L112" s="2" t="s">
        <v>5</v>
      </c>
      <c r="M112" s="4" t="s">
        <v>67</v>
      </c>
      <c r="N112" s="3" t="s">
        <v>81</v>
      </c>
      <c r="O112" s="2" t="s">
        <v>11</v>
      </c>
      <c r="P112" s="10"/>
      <c r="Q112" s="11"/>
    </row>
    <row r="113" spans="2:17" ht="21" customHeight="1" x14ac:dyDescent="0.35">
      <c r="B113" s="18">
        <v>43842</v>
      </c>
      <c r="C113" s="18" t="str">
        <f>TEXT(Sales[[#This Row],[Kode Program/Kegiatan ]],"D")</f>
        <v>12</v>
      </c>
      <c r="D113" s="19" t="str">
        <f>TEXT(Sales[[#This Row],[Kode Program/Kegiatan ]],"mmm")</f>
        <v>Jan</v>
      </c>
      <c r="E113" s="20">
        <v>10</v>
      </c>
      <c r="F113" s="19">
        <v>10</v>
      </c>
      <c r="G113" s="20" t="str">
        <f>IF(Sales[[#This Row],[Anggaran Murni]]-Sales[[#This Row],[Target s.d. Januari]]=0,"",Sales[[#This Row],[Anggaran Murni]]-Sales[[#This Row],[Target s.d. Januari]])</f>
        <v/>
      </c>
      <c r="H113" s="19" t="s">
        <v>76</v>
      </c>
      <c r="I113" s="20" t="s">
        <v>79</v>
      </c>
      <c r="J113" s="20"/>
      <c r="K113" s="19" t="s">
        <v>19</v>
      </c>
      <c r="L113" s="19" t="s">
        <v>9</v>
      </c>
      <c r="M113" s="21" t="s">
        <v>67</v>
      </c>
      <c r="N113" s="20" t="s">
        <v>81</v>
      </c>
      <c r="O113" s="19" t="s">
        <v>11</v>
      </c>
      <c r="P113" s="10"/>
      <c r="Q113" s="11"/>
    </row>
    <row r="114" spans="2:17" ht="21" customHeight="1" x14ac:dyDescent="0.35">
      <c r="B114" s="1">
        <v>43842</v>
      </c>
      <c r="C114" s="1" t="str">
        <f>TEXT(Sales[[#This Row],[Kode Program/Kegiatan ]],"D")</f>
        <v>12</v>
      </c>
      <c r="D114" s="2" t="str">
        <f>TEXT(Sales[[#This Row],[Kode Program/Kegiatan ]],"mmm")</f>
        <v>Jan</v>
      </c>
      <c r="E114" s="3">
        <v>10</v>
      </c>
      <c r="F114" s="2">
        <v>10</v>
      </c>
      <c r="G114" s="3" t="str">
        <f>IF(Sales[[#This Row],[Anggaran Murni]]-Sales[[#This Row],[Target s.d. Januari]]=0,"",Sales[[#This Row],[Anggaran Murni]]-Sales[[#This Row],[Target s.d. Januari]])</f>
        <v/>
      </c>
      <c r="H114" s="2" t="s">
        <v>75</v>
      </c>
      <c r="I114" s="3" t="s">
        <v>6</v>
      </c>
      <c r="J114" s="3"/>
      <c r="K114" s="2" t="s">
        <v>55</v>
      </c>
      <c r="L114" s="2" t="s">
        <v>5</v>
      </c>
      <c r="M114" s="4" t="s">
        <v>67</v>
      </c>
      <c r="N114" s="3" t="s">
        <v>82</v>
      </c>
      <c r="O114" s="2" t="s">
        <v>13</v>
      </c>
      <c r="P114" s="10"/>
      <c r="Q114" s="11"/>
    </row>
    <row r="115" spans="2:17" ht="21" customHeight="1" x14ac:dyDescent="0.35">
      <c r="B115" s="18">
        <v>43842</v>
      </c>
      <c r="C115" s="18" t="str">
        <f>TEXT(Sales[[#This Row],[Kode Program/Kegiatan ]],"D")</f>
        <v>12</v>
      </c>
      <c r="D115" s="19" t="str">
        <f>TEXT(Sales[[#This Row],[Kode Program/Kegiatan ]],"mmm")</f>
        <v>Jan</v>
      </c>
      <c r="E115" s="20">
        <v>9</v>
      </c>
      <c r="F115" s="19">
        <v>9</v>
      </c>
      <c r="G115" s="20" t="str">
        <f>IF(Sales[[#This Row],[Anggaran Murni]]-Sales[[#This Row],[Target s.d. Januari]]=0,"",Sales[[#This Row],[Anggaran Murni]]-Sales[[#This Row],[Target s.d. Januari]])</f>
        <v/>
      </c>
      <c r="H115" s="19" t="s">
        <v>76</v>
      </c>
      <c r="I115" s="20" t="s">
        <v>79</v>
      </c>
      <c r="J115" s="20"/>
      <c r="K115" s="19" t="s">
        <v>30</v>
      </c>
      <c r="L115" s="19" t="s">
        <v>8</v>
      </c>
      <c r="M115" s="21" t="s">
        <v>67</v>
      </c>
      <c r="N115" s="20" t="s">
        <v>80</v>
      </c>
      <c r="O115" s="19" t="s">
        <v>12</v>
      </c>
      <c r="P115" s="10"/>
      <c r="Q115" s="11"/>
    </row>
    <row r="116" spans="2:17" ht="21" customHeight="1" x14ac:dyDescent="0.35">
      <c r="B116" s="1">
        <v>43842</v>
      </c>
      <c r="C116" s="1" t="str">
        <f>TEXT(Sales[[#This Row],[Kode Program/Kegiatan ]],"D")</f>
        <v>12</v>
      </c>
      <c r="D116" s="2" t="str">
        <f>TEXT(Sales[[#This Row],[Kode Program/Kegiatan ]],"mmm")</f>
        <v>Jan</v>
      </c>
      <c r="E116" s="3">
        <v>8</v>
      </c>
      <c r="F116" s="2">
        <v>8</v>
      </c>
      <c r="G116" s="3" t="str">
        <f>IF(Sales[[#This Row],[Anggaran Murni]]-Sales[[#This Row],[Target s.d. Januari]]=0,"",Sales[[#This Row],[Anggaran Murni]]-Sales[[#This Row],[Target s.d. Januari]])</f>
        <v/>
      </c>
      <c r="H116" s="2" t="s">
        <v>113</v>
      </c>
      <c r="I116" s="3" t="s">
        <v>77</v>
      </c>
      <c r="J116" s="3"/>
      <c r="K116" s="2" t="s">
        <v>57</v>
      </c>
      <c r="L116" s="2" t="s">
        <v>4</v>
      </c>
      <c r="M116" s="4" t="s">
        <v>67</v>
      </c>
      <c r="N116" s="3" t="s">
        <v>81</v>
      </c>
      <c r="O116" s="2" t="s">
        <v>13</v>
      </c>
      <c r="P116" s="10"/>
      <c r="Q116" s="11"/>
    </row>
    <row r="117" spans="2:17" ht="21" customHeight="1" x14ac:dyDescent="0.35">
      <c r="B117" s="18">
        <v>43842</v>
      </c>
      <c r="C117" s="18" t="str">
        <f>TEXT(Sales[[#This Row],[Kode Program/Kegiatan ]],"D")</f>
        <v>12</v>
      </c>
      <c r="D117" s="19" t="str">
        <f>TEXT(Sales[[#This Row],[Kode Program/Kegiatan ]],"mmm")</f>
        <v>Jan</v>
      </c>
      <c r="E117" s="20">
        <v>7</v>
      </c>
      <c r="F117" s="19">
        <v>7</v>
      </c>
      <c r="G117" s="20" t="str">
        <f>IF(Sales[[#This Row],[Anggaran Murni]]-Sales[[#This Row],[Target s.d. Januari]]=0,"",Sales[[#This Row],[Anggaran Murni]]-Sales[[#This Row],[Target s.d. Januari]])</f>
        <v/>
      </c>
      <c r="H117" s="19" t="s">
        <v>72</v>
      </c>
      <c r="I117" s="20" t="s">
        <v>78</v>
      </c>
      <c r="J117" s="20"/>
      <c r="K117" s="19" t="s">
        <v>38</v>
      </c>
      <c r="L117" s="19" t="s">
        <v>2</v>
      </c>
      <c r="M117" s="21" t="s">
        <v>67</v>
      </c>
      <c r="N117" s="20" t="s">
        <v>81</v>
      </c>
      <c r="O117" s="19" t="s">
        <v>13</v>
      </c>
      <c r="P117" s="10"/>
      <c r="Q117" s="11"/>
    </row>
    <row r="118" spans="2:17" ht="21" customHeight="1" x14ac:dyDescent="0.35">
      <c r="B118" s="1">
        <v>43842</v>
      </c>
      <c r="C118" s="1" t="str">
        <f>TEXT(Sales[[#This Row],[Kode Program/Kegiatan ]],"D")</f>
        <v>12</v>
      </c>
      <c r="D118" s="2" t="str">
        <f>TEXT(Sales[[#This Row],[Kode Program/Kegiatan ]],"mmm")</f>
        <v>Jan</v>
      </c>
      <c r="E118" s="3">
        <v>7</v>
      </c>
      <c r="F118" s="2">
        <v>7</v>
      </c>
      <c r="G118" s="3" t="str">
        <f>IF(Sales[[#This Row],[Anggaran Murni]]-Sales[[#This Row],[Target s.d. Januari]]=0,"",Sales[[#This Row],[Anggaran Murni]]-Sales[[#This Row],[Target s.d. Januari]])</f>
        <v/>
      </c>
      <c r="H118" s="2" t="s">
        <v>73</v>
      </c>
      <c r="I118" s="3" t="s">
        <v>78</v>
      </c>
      <c r="J118" s="3"/>
      <c r="K118" s="2" t="s">
        <v>42</v>
      </c>
      <c r="L118" s="2" t="s">
        <v>2</v>
      </c>
      <c r="M118" s="4" t="s">
        <v>67</v>
      </c>
      <c r="N118" s="3" t="s">
        <v>82</v>
      </c>
      <c r="O118" s="2" t="s">
        <v>11</v>
      </c>
      <c r="P118" s="10"/>
      <c r="Q118" s="11"/>
    </row>
    <row r="119" spans="2:17" ht="21" customHeight="1" x14ac:dyDescent="0.35">
      <c r="B119" s="18">
        <v>43842</v>
      </c>
      <c r="C119" s="18" t="str">
        <f>TEXT(Sales[[#This Row],[Kode Program/Kegiatan ]],"D")</f>
        <v>12</v>
      </c>
      <c r="D119" s="19" t="str">
        <f>TEXT(Sales[[#This Row],[Kode Program/Kegiatan ]],"mmm")</f>
        <v>Jan</v>
      </c>
      <c r="E119" s="20">
        <v>5</v>
      </c>
      <c r="F119" s="19">
        <v>5</v>
      </c>
      <c r="G119" s="20" t="str">
        <f>IF(Sales[[#This Row],[Anggaran Murni]]-Sales[[#This Row],[Target s.d. Januari]]=0,"",Sales[[#This Row],[Anggaran Murni]]-Sales[[#This Row],[Target s.d. Januari]])</f>
        <v/>
      </c>
      <c r="H119" s="19" t="s">
        <v>75</v>
      </c>
      <c r="I119" s="20" t="s">
        <v>6</v>
      </c>
      <c r="J119" s="20"/>
      <c r="K119" s="19" t="s">
        <v>27</v>
      </c>
      <c r="L119" s="19" t="s">
        <v>5</v>
      </c>
      <c r="M119" s="21" t="s">
        <v>67</v>
      </c>
      <c r="N119" s="20" t="s">
        <v>82</v>
      </c>
      <c r="O119" s="19" t="s">
        <v>12</v>
      </c>
      <c r="P119" s="10"/>
      <c r="Q119" s="11"/>
    </row>
    <row r="120" spans="2:17" ht="21" customHeight="1" x14ac:dyDescent="0.35">
      <c r="B120" s="1">
        <v>43842</v>
      </c>
      <c r="C120" s="1" t="str">
        <f>TEXT(Sales[[#This Row],[Kode Program/Kegiatan ]],"D")</f>
        <v>12</v>
      </c>
      <c r="D120" s="2" t="str">
        <f>TEXT(Sales[[#This Row],[Kode Program/Kegiatan ]],"mmm")</f>
        <v>Jan</v>
      </c>
      <c r="E120" s="3">
        <v>3</v>
      </c>
      <c r="F120" s="2">
        <v>3</v>
      </c>
      <c r="G120" s="3" t="str">
        <f>IF(Sales[[#This Row],[Anggaran Murni]]-Sales[[#This Row],[Target s.d. Januari]]=0,"",Sales[[#This Row],[Anggaran Murni]]-Sales[[#This Row],[Target s.d. Januari]])</f>
        <v/>
      </c>
      <c r="H120" s="2" t="s">
        <v>73</v>
      </c>
      <c r="I120" s="3" t="s">
        <v>78</v>
      </c>
      <c r="J120" s="3"/>
      <c r="K120" s="2" t="s">
        <v>36</v>
      </c>
      <c r="L120" s="2" t="s">
        <v>5</v>
      </c>
      <c r="M120" s="4" t="s">
        <v>67</v>
      </c>
      <c r="N120" s="3" t="s">
        <v>82</v>
      </c>
      <c r="O120" s="2" t="s">
        <v>12</v>
      </c>
      <c r="P120" s="10"/>
      <c r="Q120" s="11"/>
    </row>
    <row r="121" spans="2:17" ht="21" customHeight="1" x14ac:dyDescent="0.35">
      <c r="B121" s="18">
        <v>43842</v>
      </c>
      <c r="C121" s="18" t="str">
        <f>TEXT(Sales[[#This Row],[Kode Program/Kegiatan ]],"D")</f>
        <v>12</v>
      </c>
      <c r="D121" s="19" t="str">
        <f>TEXT(Sales[[#This Row],[Kode Program/Kegiatan ]],"mmm")</f>
        <v>Jan</v>
      </c>
      <c r="E121" s="20">
        <v>3</v>
      </c>
      <c r="F121" s="19">
        <v>3</v>
      </c>
      <c r="G121" s="20" t="str">
        <f>IF(Sales[[#This Row],[Anggaran Murni]]-Sales[[#This Row],[Target s.d. Januari]]=0,"",Sales[[#This Row],[Anggaran Murni]]-Sales[[#This Row],[Target s.d. Januari]])</f>
        <v/>
      </c>
      <c r="H121" s="19" t="s">
        <v>114</v>
      </c>
      <c r="I121" s="20" t="s">
        <v>3</v>
      </c>
      <c r="J121" s="20"/>
      <c r="K121" s="19" t="s">
        <v>52</v>
      </c>
      <c r="L121" s="19" t="s">
        <v>2</v>
      </c>
      <c r="M121" s="21" t="s">
        <v>67</v>
      </c>
      <c r="N121" s="20" t="s">
        <v>82</v>
      </c>
      <c r="O121" s="19" t="s">
        <v>13</v>
      </c>
      <c r="P121" s="10"/>
      <c r="Q121" s="11"/>
    </row>
    <row r="122" spans="2:17" ht="21" customHeight="1" x14ac:dyDescent="0.35">
      <c r="B122" s="1">
        <v>43843</v>
      </c>
      <c r="C122" s="1" t="str">
        <f>TEXT(Sales[[#This Row],[Kode Program/Kegiatan ]],"D")</f>
        <v>13</v>
      </c>
      <c r="D122" s="2" t="str">
        <f>TEXT(Sales[[#This Row],[Kode Program/Kegiatan ]],"mmm")</f>
        <v>Jan</v>
      </c>
      <c r="E122" s="3">
        <v>10</v>
      </c>
      <c r="F122" s="2">
        <v>8</v>
      </c>
      <c r="G122" s="3">
        <f>IF(Sales[[#This Row],[Anggaran Murni]]-Sales[[#This Row],[Target s.d. Januari]]=0,"",Sales[[#This Row],[Anggaran Murni]]-Sales[[#This Row],[Target s.d. Januari]])</f>
        <v>2</v>
      </c>
      <c r="H122" s="2" t="s">
        <v>73</v>
      </c>
      <c r="I122" s="3" t="s">
        <v>78</v>
      </c>
      <c r="J122" s="3"/>
      <c r="K122" s="2" t="s">
        <v>41</v>
      </c>
      <c r="L122" s="2" t="s">
        <v>2</v>
      </c>
      <c r="M122" s="4" t="s">
        <v>67</v>
      </c>
      <c r="N122" s="3" t="s">
        <v>80</v>
      </c>
      <c r="O122" s="2" t="s">
        <v>14</v>
      </c>
      <c r="P122" s="10"/>
      <c r="Q122" s="11"/>
    </row>
    <row r="123" spans="2:17" ht="21" customHeight="1" x14ac:dyDescent="0.35">
      <c r="B123" s="18">
        <v>43843</v>
      </c>
      <c r="C123" s="18" t="str">
        <f>TEXT(Sales[[#This Row],[Kode Program/Kegiatan ]],"D")</f>
        <v>13</v>
      </c>
      <c r="D123" s="19" t="str">
        <f>TEXT(Sales[[#This Row],[Kode Program/Kegiatan ]],"mmm")</f>
        <v>Jan</v>
      </c>
      <c r="E123" s="20">
        <v>10</v>
      </c>
      <c r="F123" s="19">
        <v>9</v>
      </c>
      <c r="G123" s="20">
        <f>IF(Sales[[#This Row],[Anggaran Murni]]-Sales[[#This Row],[Target s.d. Januari]]=0,"",Sales[[#This Row],[Anggaran Murni]]-Sales[[#This Row],[Target s.d. Januari]])</f>
        <v>1</v>
      </c>
      <c r="H123" s="19" t="s">
        <v>71</v>
      </c>
      <c r="I123" s="20" t="s">
        <v>6</v>
      </c>
      <c r="J123" s="20"/>
      <c r="K123" s="19" t="s">
        <v>37</v>
      </c>
      <c r="L123" s="19" t="s">
        <v>5</v>
      </c>
      <c r="M123" s="21" t="s">
        <v>67</v>
      </c>
      <c r="N123" s="20" t="s">
        <v>82</v>
      </c>
      <c r="O123" s="19" t="s">
        <v>12</v>
      </c>
      <c r="P123" s="10"/>
      <c r="Q123" s="11"/>
    </row>
    <row r="124" spans="2:17" ht="21" customHeight="1" x14ac:dyDescent="0.35">
      <c r="B124" s="1">
        <v>43843</v>
      </c>
      <c r="C124" s="1" t="str">
        <f>TEXT(Sales[[#This Row],[Kode Program/Kegiatan ]],"D")</f>
        <v>13</v>
      </c>
      <c r="D124" s="2" t="str">
        <f>TEXT(Sales[[#This Row],[Kode Program/Kegiatan ]],"mmm")</f>
        <v>Jan</v>
      </c>
      <c r="E124" s="3">
        <v>9</v>
      </c>
      <c r="F124" s="2">
        <v>7</v>
      </c>
      <c r="G124" s="3">
        <f>IF(Sales[[#This Row],[Anggaran Murni]]-Sales[[#This Row],[Target s.d. Januari]]=0,"",Sales[[#This Row],[Anggaran Murni]]-Sales[[#This Row],[Target s.d. Januari]])</f>
        <v>2</v>
      </c>
      <c r="H124" s="2" t="s">
        <v>113</v>
      </c>
      <c r="I124" s="3" t="s">
        <v>77</v>
      </c>
      <c r="J124" s="3"/>
      <c r="K124" s="2" t="s">
        <v>28</v>
      </c>
      <c r="L124" s="2" t="s">
        <v>7</v>
      </c>
      <c r="M124" s="4" t="s">
        <v>67</v>
      </c>
      <c r="N124" s="3" t="s">
        <v>80</v>
      </c>
      <c r="O124" s="2" t="s">
        <v>11</v>
      </c>
      <c r="P124" s="10"/>
      <c r="Q124" s="11"/>
    </row>
    <row r="125" spans="2:17" ht="21" customHeight="1" x14ac:dyDescent="0.35">
      <c r="B125" s="18">
        <v>43843</v>
      </c>
      <c r="C125" s="18" t="str">
        <f>TEXT(Sales[[#This Row],[Kode Program/Kegiatan ]],"D")</f>
        <v>13</v>
      </c>
      <c r="D125" s="19" t="str">
        <f>TEXT(Sales[[#This Row],[Kode Program/Kegiatan ]],"mmm")</f>
        <v>Jan</v>
      </c>
      <c r="E125" s="20">
        <v>9</v>
      </c>
      <c r="F125" s="19">
        <v>8</v>
      </c>
      <c r="G125" s="20">
        <f>IF(Sales[[#This Row],[Anggaran Murni]]-Sales[[#This Row],[Target s.d. Januari]]=0,"",Sales[[#This Row],[Anggaran Murni]]-Sales[[#This Row],[Target s.d. Januari]])</f>
        <v>1</v>
      </c>
      <c r="H125" s="19" t="s">
        <v>73</v>
      </c>
      <c r="I125" s="20" t="s">
        <v>78</v>
      </c>
      <c r="J125" s="20"/>
      <c r="K125" s="19" t="s">
        <v>52</v>
      </c>
      <c r="L125" s="19" t="s">
        <v>2</v>
      </c>
      <c r="M125" s="21" t="s">
        <v>67</v>
      </c>
      <c r="N125" s="20" t="s">
        <v>81</v>
      </c>
      <c r="O125" s="19" t="s">
        <v>12</v>
      </c>
      <c r="P125" s="10"/>
      <c r="Q125" s="11"/>
    </row>
    <row r="126" spans="2:17" ht="21" customHeight="1" x14ac:dyDescent="0.35">
      <c r="B126" s="1">
        <v>43843</v>
      </c>
      <c r="C126" s="1" t="str">
        <f>TEXT(Sales[[#This Row],[Kode Program/Kegiatan ]],"D")</f>
        <v>13</v>
      </c>
      <c r="D126" s="2" t="str">
        <f>TEXT(Sales[[#This Row],[Kode Program/Kegiatan ]],"mmm")</f>
        <v>Jan</v>
      </c>
      <c r="E126" s="3">
        <v>9</v>
      </c>
      <c r="F126" s="2">
        <v>7</v>
      </c>
      <c r="G126" s="3">
        <f>IF(Sales[[#This Row],[Anggaran Murni]]-Sales[[#This Row],[Target s.d. Januari]]=0,"",Sales[[#This Row],[Anggaran Murni]]-Sales[[#This Row],[Target s.d. Januari]])</f>
        <v>2</v>
      </c>
      <c r="H126" s="2" t="s">
        <v>75</v>
      </c>
      <c r="I126" s="3" t="s">
        <v>6</v>
      </c>
      <c r="J126" s="3"/>
      <c r="K126" s="2" t="s">
        <v>35</v>
      </c>
      <c r="L126" s="2" t="s">
        <v>2</v>
      </c>
      <c r="M126" s="4" t="s">
        <v>67</v>
      </c>
      <c r="N126" s="3" t="s">
        <v>82</v>
      </c>
      <c r="O126" s="2" t="s">
        <v>14</v>
      </c>
      <c r="P126" s="10"/>
      <c r="Q126" s="11"/>
    </row>
    <row r="127" spans="2:17" ht="21" customHeight="1" x14ac:dyDescent="0.35">
      <c r="B127" s="18">
        <v>43843</v>
      </c>
      <c r="C127" s="18" t="str">
        <f>TEXT(Sales[[#This Row],[Kode Program/Kegiatan ]],"D")</f>
        <v>13</v>
      </c>
      <c r="D127" s="19" t="str">
        <f>TEXT(Sales[[#This Row],[Kode Program/Kegiatan ]],"mmm")</f>
        <v>Jan</v>
      </c>
      <c r="E127" s="20">
        <v>9</v>
      </c>
      <c r="F127" s="19">
        <v>7</v>
      </c>
      <c r="G127" s="20">
        <f>IF(Sales[[#This Row],[Anggaran Murni]]-Sales[[#This Row],[Target s.d. Januari]]=0,"",Sales[[#This Row],[Anggaran Murni]]-Sales[[#This Row],[Target s.d. Januari]])</f>
        <v>2</v>
      </c>
      <c r="H127" s="19" t="s">
        <v>114</v>
      </c>
      <c r="I127" s="20" t="s">
        <v>3</v>
      </c>
      <c r="J127" s="20"/>
      <c r="K127" s="19" t="s">
        <v>24</v>
      </c>
      <c r="L127" s="19" t="s">
        <v>5</v>
      </c>
      <c r="M127" s="21" t="s">
        <v>67</v>
      </c>
      <c r="N127" s="20" t="s">
        <v>80</v>
      </c>
      <c r="O127" s="19" t="s">
        <v>13</v>
      </c>
      <c r="P127" s="10"/>
      <c r="Q127" s="11"/>
    </row>
    <row r="128" spans="2:17" ht="21" customHeight="1" x14ac:dyDescent="0.35">
      <c r="B128" s="1">
        <v>43843</v>
      </c>
      <c r="C128" s="1" t="str">
        <f>TEXT(Sales[[#This Row],[Kode Program/Kegiatan ]],"D")</f>
        <v>13</v>
      </c>
      <c r="D128" s="2" t="str">
        <f>TEXT(Sales[[#This Row],[Kode Program/Kegiatan ]],"mmm")</f>
        <v>Jan</v>
      </c>
      <c r="E128" s="3">
        <v>6</v>
      </c>
      <c r="F128" s="2">
        <v>3</v>
      </c>
      <c r="G128" s="3">
        <f>IF(Sales[[#This Row],[Anggaran Murni]]-Sales[[#This Row],[Target s.d. Januari]]=0,"",Sales[[#This Row],[Anggaran Murni]]-Sales[[#This Row],[Target s.d. Januari]])</f>
        <v>3</v>
      </c>
      <c r="H128" s="2" t="s">
        <v>71</v>
      </c>
      <c r="I128" s="3" t="s">
        <v>6</v>
      </c>
      <c r="J128" s="3"/>
      <c r="K128" s="2" t="s">
        <v>25</v>
      </c>
      <c r="L128" s="2" t="s">
        <v>9</v>
      </c>
      <c r="M128" s="4" t="s">
        <v>67</v>
      </c>
      <c r="N128" s="3" t="s">
        <v>80</v>
      </c>
      <c r="O128" s="2" t="s">
        <v>11</v>
      </c>
      <c r="P128" s="10"/>
      <c r="Q128" s="11"/>
    </row>
    <row r="129" spans="2:17" ht="21" customHeight="1" x14ac:dyDescent="0.35">
      <c r="B129" s="18">
        <v>43843</v>
      </c>
      <c r="C129" s="18" t="str">
        <f>TEXT(Sales[[#This Row],[Kode Program/Kegiatan ]],"D")</f>
        <v>13</v>
      </c>
      <c r="D129" s="19" t="str">
        <f>TEXT(Sales[[#This Row],[Kode Program/Kegiatan ]],"mmm")</f>
        <v>Jan</v>
      </c>
      <c r="E129" s="20">
        <v>5</v>
      </c>
      <c r="F129" s="19">
        <v>4</v>
      </c>
      <c r="G129" s="20">
        <f>IF(Sales[[#This Row],[Anggaran Murni]]-Sales[[#This Row],[Target s.d. Januari]]=0,"",Sales[[#This Row],[Anggaran Murni]]-Sales[[#This Row],[Target s.d. Januari]])</f>
        <v>1</v>
      </c>
      <c r="H129" s="19" t="s">
        <v>74</v>
      </c>
      <c r="I129" s="20" t="s">
        <v>77</v>
      </c>
      <c r="J129" s="20"/>
      <c r="K129" s="19" t="s">
        <v>27</v>
      </c>
      <c r="L129" s="19" t="s">
        <v>2</v>
      </c>
      <c r="M129" s="21" t="s">
        <v>67</v>
      </c>
      <c r="N129" s="20" t="s">
        <v>80</v>
      </c>
      <c r="O129" s="19" t="s">
        <v>12</v>
      </c>
      <c r="P129" s="10"/>
      <c r="Q129" s="11"/>
    </row>
    <row r="130" spans="2:17" ht="21" customHeight="1" x14ac:dyDescent="0.35">
      <c r="B130" s="1">
        <v>43843</v>
      </c>
      <c r="C130" s="1" t="str">
        <f>TEXT(Sales[[#This Row],[Kode Program/Kegiatan ]],"D")</f>
        <v>13</v>
      </c>
      <c r="D130" s="2" t="str">
        <f>TEXT(Sales[[#This Row],[Kode Program/Kegiatan ]],"mmm")</f>
        <v>Jan</v>
      </c>
      <c r="E130" s="3">
        <v>5</v>
      </c>
      <c r="F130" s="2">
        <v>4</v>
      </c>
      <c r="G130" s="3">
        <f>IF(Sales[[#This Row],[Anggaran Murni]]-Sales[[#This Row],[Target s.d. Januari]]=0,"",Sales[[#This Row],[Anggaran Murni]]-Sales[[#This Row],[Target s.d. Januari]])</f>
        <v>1</v>
      </c>
      <c r="H130" s="2" t="s">
        <v>74</v>
      </c>
      <c r="I130" s="3" t="s">
        <v>77</v>
      </c>
      <c r="J130" s="3"/>
      <c r="K130" s="2" t="s">
        <v>48</v>
      </c>
      <c r="L130" s="2" t="s">
        <v>5</v>
      </c>
      <c r="M130" s="4" t="s">
        <v>67</v>
      </c>
      <c r="N130" s="3" t="s">
        <v>82</v>
      </c>
      <c r="O130" s="2" t="s">
        <v>13</v>
      </c>
      <c r="P130" s="10"/>
      <c r="Q130" s="11"/>
    </row>
    <row r="131" spans="2:17" ht="21" customHeight="1" x14ac:dyDescent="0.35">
      <c r="B131" s="18">
        <v>43844</v>
      </c>
      <c r="C131" s="18" t="str">
        <f>TEXT(Sales[[#This Row],[Kode Program/Kegiatan ]],"D")</f>
        <v>14</v>
      </c>
      <c r="D131" s="19" t="str">
        <f>TEXT(Sales[[#This Row],[Kode Program/Kegiatan ]],"mmm")</f>
        <v>Jan</v>
      </c>
      <c r="E131" s="20">
        <v>9</v>
      </c>
      <c r="F131" s="19">
        <v>8</v>
      </c>
      <c r="G131" s="20">
        <f>IF(Sales[[#This Row],[Anggaran Murni]]-Sales[[#This Row],[Target s.d. Januari]]=0,"",Sales[[#This Row],[Anggaran Murni]]-Sales[[#This Row],[Target s.d. Januari]])</f>
        <v>1</v>
      </c>
      <c r="H131" s="19" t="s">
        <v>71</v>
      </c>
      <c r="I131" s="20" t="s">
        <v>6</v>
      </c>
      <c r="J131" s="20"/>
      <c r="K131" s="19" t="s">
        <v>60</v>
      </c>
      <c r="L131" s="19" t="s">
        <v>5</v>
      </c>
      <c r="M131" s="21" t="s">
        <v>67</v>
      </c>
      <c r="N131" s="20" t="s">
        <v>82</v>
      </c>
      <c r="O131" s="19" t="s">
        <v>12</v>
      </c>
      <c r="P131" s="10"/>
      <c r="Q131" s="11"/>
    </row>
    <row r="132" spans="2:17" ht="21" customHeight="1" x14ac:dyDescent="0.35">
      <c r="B132" s="1">
        <v>43844</v>
      </c>
      <c r="C132" s="1" t="str">
        <f>TEXT(Sales[[#This Row],[Kode Program/Kegiatan ]],"D")</f>
        <v>14</v>
      </c>
      <c r="D132" s="2" t="str">
        <f>TEXT(Sales[[#This Row],[Kode Program/Kegiatan ]],"mmm")</f>
        <v>Jan</v>
      </c>
      <c r="E132" s="3">
        <v>8</v>
      </c>
      <c r="F132" s="2">
        <v>7</v>
      </c>
      <c r="G132" s="3">
        <f>IF(Sales[[#This Row],[Anggaran Murni]]-Sales[[#This Row],[Target s.d. Januari]]=0,"",Sales[[#This Row],[Anggaran Murni]]-Sales[[#This Row],[Target s.d. Januari]])</f>
        <v>1</v>
      </c>
      <c r="H132" s="2" t="s">
        <v>114</v>
      </c>
      <c r="I132" s="3" t="s">
        <v>3</v>
      </c>
      <c r="J132" s="3"/>
      <c r="K132" s="2" t="s">
        <v>54</v>
      </c>
      <c r="L132" s="2" t="s">
        <v>9</v>
      </c>
      <c r="M132" s="4" t="s">
        <v>67</v>
      </c>
      <c r="N132" s="3" t="s">
        <v>82</v>
      </c>
      <c r="O132" s="2" t="s">
        <v>13</v>
      </c>
      <c r="P132" s="10"/>
      <c r="Q132" s="11"/>
    </row>
    <row r="133" spans="2:17" ht="21" customHeight="1" x14ac:dyDescent="0.35">
      <c r="B133" s="18">
        <v>43844</v>
      </c>
      <c r="C133" s="18" t="str">
        <f>TEXT(Sales[[#This Row],[Kode Program/Kegiatan ]],"D")</f>
        <v>14</v>
      </c>
      <c r="D133" s="19" t="str">
        <f>TEXT(Sales[[#This Row],[Kode Program/Kegiatan ]],"mmm")</f>
        <v>Jan</v>
      </c>
      <c r="E133" s="20">
        <v>7</v>
      </c>
      <c r="F133" s="19">
        <v>4</v>
      </c>
      <c r="G133" s="20">
        <f>IF(Sales[[#This Row],[Anggaran Murni]]-Sales[[#This Row],[Target s.d. Januari]]=0,"",Sales[[#This Row],[Anggaran Murni]]-Sales[[#This Row],[Target s.d. Januari]])</f>
        <v>3</v>
      </c>
      <c r="H133" s="19" t="s">
        <v>73</v>
      </c>
      <c r="I133" s="20" t="s">
        <v>78</v>
      </c>
      <c r="J133" s="20"/>
      <c r="K133" s="19" t="s">
        <v>59</v>
      </c>
      <c r="L133" s="19" t="s">
        <v>2</v>
      </c>
      <c r="M133" s="21" t="s">
        <v>67</v>
      </c>
      <c r="N133" s="20" t="s">
        <v>80</v>
      </c>
      <c r="O133" s="19" t="s">
        <v>13</v>
      </c>
      <c r="P133" s="10"/>
      <c r="Q133" s="11"/>
    </row>
    <row r="134" spans="2:17" ht="21" customHeight="1" x14ac:dyDescent="0.35">
      <c r="B134" s="1">
        <v>43844</v>
      </c>
      <c r="C134" s="1" t="str">
        <f>TEXT(Sales[[#This Row],[Kode Program/Kegiatan ]],"D")</f>
        <v>14</v>
      </c>
      <c r="D134" s="2" t="str">
        <f>TEXT(Sales[[#This Row],[Kode Program/Kegiatan ]],"mmm")</f>
        <v>Jan</v>
      </c>
      <c r="E134" s="3">
        <v>7</v>
      </c>
      <c r="F134" s="2">
        <v>4</v>
      </c>
      <c r="G134" s="3">
        <f>IF(Sales[[#This Row],[Anggaran Murni]]-Sales[[#This Row],[Target s.d. Januari]]=0,"",Sales[[#This Row],[Anggaran Murni]]-Sales[[#This Row],[Target s.d. Januari]])</f>
        <v>3</v>
      </c>
      <c r="H134" s="2" t="s">
        <v>114</v>
      </c>
      <c r="I134" s="3" t="s">
        <v>3</v>
      </c>
      <c r="J134" s="3"/>
      <c r="K134" s="2" t="s">
        <v>15</v>
      </c>
      <c r="L134" s="2" t="s">
        <v>2</v>
      </c>
      <c r="M134" s="4" t="s">
        <v>67</v>
      </c>
      <c r="N134" s="3" t="s">
        <v>82</v>
      </c>
      <c r="O134" s="2" t="s">
        <v>13</v>
      </c>
      <c r="P134" s="10"/>
      <c r="Q134" s="11"/>
    </row>
    <row r="135" spans="2:17" ht="21" customHeight="1" x14ac:dyDescent="0.35">
      <c r="B135" s="18">
        <v>43844</v>
      </c>
      <c r="C135" s="18" t="str">
        <f>TEXT(Sales[[#This Row],[Kode Program/Kegiatan ]],"D")</f>
        <v>14</v>
      </c>
      <c r="D135" s="19" t="str">
        <f>TEXT(Sales[[#This Row],[Kode Program/Kegiatan ]],"mmm")</f>
        <v>Jan</v>
      </c>
      <c r="E135" s="20">
        <v>6</v>
      </c>
      <c r="F135" s="19">
        <v>5</v>
      </c>
      <c r="G135" s="20">
        <f>IF(Sales[[#This Row],[Anggaran Murni]]-Sales[[#This Row],[Target s.d. Januari]]=0,"",Sales[[#This Row],[Anggaran Murni]]-Sales[[#This Row],[Target s.d. Januari]])</f>
        <v>1</v>
      </c>
      <c r="H135" s="19" t="s">
        <v>113</v>
      </c>
      <c r="I135" s="20" t="s">
        <v>77</v>
      </c>
      <c r="J135" s="20"/>
      <c r="K135" s="19" t="s">
        <v>30</v>
      </c>
      <c r="L135" s="19" t="s">
        <v>7</v>
      </c>
      <c r="M135" s="21" t="s">
        <v>67</v>
      </c>
      <c r="N135" s="20" t="s">
        <v>82</v>
      </c>
      <c r="O135" s="19" t="s">
        <v>14</v>
      </c>
      <c r="P135" s="10"/>
      <c r="Q135" s="11"/>
    </row>
    <row r="136" spans="2:17" ht="21" customHeight="1" x14ac:dyDescent="0.35">
      <c r="B136" s="1">
        <v>43844</v>
      </c>
      <c r="C136" s="1" t="str">
        <f>TEXT(Sales[[#This Row],[Kode Program/Kegiatan ]],"D")</f>
        <v>14</v>
      </c>
      <c r="D136" s="2" t="str">
        <f>TEXT(Sales[[#This Row],[Kode Program/Kegiatan ]],"mmm")</f>
        <v>Jan</v>
      </c>
      <c r="E136" s="3">
        <v>6</v>
      </c>
      <c r="F136" s="2">
        <v>3</v>
      </c>
      <c r="G136" s="3">
        <f>IF(Sales[[#This Row],[Anggaran Murni]]-Sales[[#This Row],[Target s.d. Januari]]=0,"",Sales[[#This Row],[Anggaran Murni]]-Sales[[#This Row],[Target s.d. Januari]])</f>
        <v>3</v>
      </c>
      <c r="H136" s="2" t="s">
        <v>114</v>
      </c>
      <c r="I136" s="3" t="s">
        <v>3</v>
      </c>
      <c r="J136" s="3"/>
      <c r="K136" s="2" t="s">
        <v>53</v>
      </c>
      <c r="L136" s="2" t="s">
        <v>2</v>
      </c>
      <c r="M136" s="4" t="s">
        <v>67</v>
      </c>
      <c r="N136" s="3" t="s">
        <v>82</v>
      </c>
      <c r="O136" s="2" t="s">
        <v>11</v>
      </c>
      <c r="P136" s="10"/>
      <c r="Q136" s="11"/>
    </row>
    <row r="137" spans="2:17" ht="21" customHeight="1" x14ac:dyDescent="0.35">
      <c r="B137" s="18">
        <v>43844</v>
      </c>
      <c r="C137" s="18" t="str">
        <f>TEXT(Sales[[#This Row],[Kode Program/Kegiatan ]],"D")</f>
        <v>14</v>
      </c>
      <c r="D137" s="19" t="str">
        <f>TEXT(Sales[[#This Row],[Kode Program/Kegiatan ]],"mmm")</f>
        <v>Jan</v>
      </c>
      <c r="E137" s="20">
        <v>6</v>
      </c>
      <c r="F137" s="19">
        <v>3</v>
      </c>
      <c r="G137" s="20">
        <f>IF(Sales[[#This Row],[Anggaran Murni]]-Sales[[#This Row],[Target s.d. Januari]]=0,"",Sales[[#This Row],[Anggaran Murni]]-Sales[[#This Row],[Target s.d. Januari]])</f>
        <v>3</v>
      </c>
      <c r="H137" s="19" t="s">
        <v>73</v>
      </c>
      <c r="I137" s="20" t="s">
        <v>78</v>
      </c>
      <c r="J137" s="20"/>
      <c r="K137" s="19" t="s">
        <v>32</v>
      </c>
      <c r="L137" s="19" t="s">
        <v>7</v>
      </c>
      <c r="M137" s="21" t="s">
        <v>67</v>
      </c>
      <c r="N137" s="20" t="s">
        <v>81</v>
      </c>
      <c r="O137" s="19" t="s">
        <v>11</v>
      </c>
      <c r="P137" s="10"/>
      <c r="Q137" s="11"/>
    </row>
    <row r="138" spans="2:17" ht="21" customHeight="1" x14ac:dyDescent="0.35">
      <c r="B138" s="1">
        <v>43844</v>
      </c>
      <c r="C138" s="1" t="str">
        <f>TEXT(Sales[[#This Row],[Kode Program/Kegiatan ]],"D")</f>
        <v>14</v>
      </c>
      <c r="D138" s="2" t="str">
        <f>TEXT(Sales[[#This Row],[Kode Program/Kegiatan ]],"mmm")</f>
        <v>Jan</v>
      </c>
      <c r="E138" s="3">
        <v>5</v>
      </c>
      <c r="F138" s="2">
        <v>3</v>
      </c>
      <c r="G138" s="3">
        <f>IF(Sales[[#This Row],[Anggaran Murni]]-Sales[[#This Row],[Target s.d. Januari]]=0,"",Sales[[#This Row],[Anggaran Murni]]-Sales[[#This Row],[Target s.d. Januari]])</f>
        <v>2</v>
      </c>
      <c r="H138" s="2" t="s">
        <v>74</v>
      </c>
      <c r="I138" s="3" t="s">
        <v>77</v>
      </c>
      <c r="J138" s="3"/>
      <c r="K138" s="2" t="s">
        <v>53</v>
      </c>
      <c r="L138" s="2" t="s">
        <v>2</v>
      </c>
      <c r="M138" s="4" t="s">
        <v>67</v>
      </c>
      <c r="N138" s="3" t="s">
        <v>82</v>
      </c>
      <c r="O138" s="2" t="s">
        <v>11</v>
      </c>
      <c r="P138" s="10"/>
      <c r="Q138" s="11"/>
    </row>
    <row r="139" spans="2:17" ht="21" customHeight="1" x14ac:dyDescent="0.35">
      <c r="B139" s="18">
        <v>43844</v>
      </c>
      <c r="C139" s="18" t="str">
        <f>TEXT(Sales[[#This Row],[Kode Program/Kegiatan ]],"D")</f>
        <v>14</v>
      </c>
      <c r="D139" s="19" t="str">
        <f>TEXT(Sales[[#This Row],[Kode Program/Kegiatan ]],"mmm")</f>
        <v>Jan</v>
      </c>
      <c r="E139" s="20">
        <v>4</v>
      </c>
      <c r="F139" s="19">
        <v>3</v>
      </c>
      <c r="G139" s="20">
        <f>IF(Sales[[#This Row],[Anggaran Murni]]-Sales[[#This Row],[Target s.d. Januari]]=0,"",Sales[[#This Row],[Anggaran Murni]]-Sales[[#This Row],[Target s.d. Januari]])</f>
        <v>1</v>
      </c>
      <c r="H139" s="19" t="s">
        <v>75</v>
      </c>
      <c r="I139" s="20" t="s">
        <v>6</v>
      </c>
      <c r="J139" s="20"/>
      <c r="K139" s="19" t="s">
        <v>58</v>
      </c>
      <c r="L139" s="19" t="s">
        <v>2</v>
      </c>
      <c r="M139" s="21" t="s">
        <v>67</v>
      </c>
      <c r="N139" s="20" t="s">
        <v>80</v>
      </c>
      <c r="O139" s="19" t="s">
        <v>12</v>
      </c>
      <c r="P139" s="10"/>
      <c r="Q139" s="11"/>
    </row>
    <row r="140" spans="2:17" ht="21" customHeight="1" x14ac:dyDescent="0.35">
      <c r="B140" s="1">
        <v>43844</v>
      </c>
      <c r="C140" s="1" t="str">
        <f>TEXT(Sales[[#This Row],[Kode Program/Kegiatan ]],"D")</f>
        <v>14</v>
      </c>
      <c r="D140" s="2" t="str">
        <f>TEXT(Sales[[#This Row],[Kode Program/Kegiatan ]],"mmm")</f>
        <v>Jan</v>
      </c>
      <c r="E140" s="3">
        <v>3</v>
      </c>
      <c r="F140" s="2">
        <v>1</v>
      </c>
      <c r="G140" s="3">
        <f>IF(Sales[[#This Row],[Anggaran Murni]]-Sales[[#This Row],[Target s.d. Januari]]=0,"",Sales[[#This Row],[Anggaran Murni]]-Sales[[#This Row],[Target s.d. Januari]])</f>
        <v>2</v>
      </c>
      <c r="H140" s="2" t="s">
        <v>113</v>
      </c>
      <c r="I140" s="3" t="s">
        <v>77</v>
      </c>
      <c r="J140" s="3"/>
      <c r="K140" s="2" t="s">
        <v>43</v>
      </c>
      <c r="L140" s="2" t="s">
        <v>2</v>
      </c>
      <c r="M140" s="4" t="s">
        <v>67</v>
      </c>
      <c r="N140" s="3" t="s">
        <v>82</v>
      </c>
      <c r="O140" s="2" t="s">
        <v>13</v>
      </c>
      <c r="P140" s="10"/>
      <c r="Q140" s="11"/>
    </row>
    <row r="141" spans="2:17" ht="21" customHeight="1" x14ac:dyDescent="0.35">
      <c r="B141" s="18">
        <v>43845</v>
      </c>
      <c r="C141" s="18" t="str">
        <f>TEXT(Sales[[#This Row],[Kode Program/Kegiatan ]],"D")</f>
        <v>15</v>
      </c>
      <c r="D141" s="19" t="str">
        <f>TEXT(Sales[[#This Row],[Kode Program/Kegiatan ]],"mmm")</f>
        <v>Jan</v>
      </c>
      <c r="E141" s="20">
        <v>10</v>
      </c>
      <c r="F141" s="19">
        <v>10</v>
      </c>
      <c r="G141" s="20" t="str">
        <f>IF(Sales[[#This Row],[Anggaran Murni]]-Sales[[#This Row],[Target s.d. Januari]]=0,"",Sales[[#This Row],[Anggaran Murni]]-Sales[[#This Row],[Target s.d. Januari]])</f>
        <v/>
      </c>
      <c r="H141" s="19" t="s">
        <v>75</v>
      </c>
      <c r="I141" s="20" t="s">
        <v>6</v>
      </c>
      <c r="J141" s="20"/>
      <c r="K141" s="19" t="s">
        <v>50</v>
      </c>
      <c r="L141" s="19" t="s">
        <v>5</v>
      </c>
      <c r="M141" s="21" t="s">
        <v>67</v>
      </c>
      <c r="N141" s="20" t="s">
        <v>80</v>
      </c>
      <c r="O141" s="19" t="s">
        <v>14</v>
      </c>
      <c r="P141" s="10"/>
      <c r="Q141" s="11"/>
    </row>
    <row r="142" spans="2:17" ht="21" customHeight="1" x14ac:dyDescent="0.35">
      <c r="B142" s="1">
        <v>43845</v>
      </c>
      <c r="C142" s="1" t="str">
        <f>TEXT(Sales[[#This Row],[Kode Program/Kegiatan ]],"D")</f>
        <v>15</v>
      </c>
      <c r="D142" s="2" t="str">
        <f>TEXT(Sales[[#This Row],[Kode Program/Kegiatan ]],"mmm")</f>
        <v>Jan</v>
      </c>
      <c r="E142" s="3">
        <v>9</v>
      </c>
      <c r="F142" s="2">
        <v>9</v>
      </c>
      <c r="G142" s="3" t="str">
        <f>IF(Sales[[#This Row],[Anggaran Murni]]-Sales[[#This Row],[Target s.d. Januari]]=0,"",Sales[[#This Row],[Anggaran Murni]]-Sales[[#This Row],[Target s.d. Januari]])</f>
        <v/>
      </c>
      <c r="H142" s="2" t="s">
        <v>72</v>
      </c>
      <c r="I142" s="3" t="s">
        <v>78</v>
      </c>
      <c r="J142" s="3"/>
      <c r="K142" s="2" t="s">
        <v>60</v>
      </c>
      <c r="L142" s="2" t="s">
        <v>5</v>
      </c>
      <c r="M142" s="4" t="s">
        <v>67</v>
      </c>
      <c r="N142" s="3" t="s">
        <v>80</v>
      </c>
      <c r="O142" s="2" t="s">
        <v>13</v>
      </c>
      <c r="P142" s="10"/>
      <c r="Q142" s="11"/>
    </row>
    <row r="143" spans="2:17" ht="21" customHeight="1" x14ac:dyDescent="0.35">
      <c r="B143" s="18">
        <v>43845</v>
      </c>
      <c r="C143" s="18" t="str">
        <f>TEXT(Sales[[#This Row],[Kode Program/Kegiatan ]],"D")</f>
        <v>15</v>
      </c>
      <c r="D143" s="19" t="str">
        <f>TEXT(Sales[[#This Row],[Kode Program/Kegiatan ]],"mmm")</f>
        <v>Jan</v>
      </c>
      <c r="E143" s="20">
        <v>7</v>
      </c>
      <c r="F143" s="19">
        <v>7</v>
      </c>
      <c r="G143" s="20" t="str">
        <f>IF(Sales[[#This Row],[Anggaran Murni]]-Sales[[#This Row],[Target s.d. Januari]]=0,"",Sales[[#This Row],[Anggaran Murni]]-Sales[[#This Row],[Target s.d. Januari]])</f>
        <v/>
      </c>
      <c r="H143" s="19" t="s">
        <v>114</v>
      </c>
      <c r="I143" s="20" t="s">
        <v>3</v>
      </c>
      <c r="J143" s="20"/>
      <c r="K143" s="19" t="s">
        <v>27</v>
      </c>
      <c r="L143" s="19" t="s">
        <v>2</v>
      </c>
      <c r="M143" s="21" t="s">
        <v>67</v>
      </c>
      <c r="N143" s="20" t="s">
        <v>81</v>
      </c>
      <c r="O143" s="19" t="s">
        <v>13</v>
      </c>
      <c r="P143" s="10"/>
      <c r="Q143" s="11"/>
    </row>
    <row r="144" spans="2:17" ht="21" customHeight="1" x14ac:dyDescent="0.35">
      <c r="B144" s="1">
        <v>43845</v>
      </c>
      <c r="C144" s="1" t="str">
        <f>TEXT(Sales[[#This Row],[Kode Program/Kegiatan ]],"D")</f>
        <v>15</v>
      </c>
      <c r="D144" s="2" t="str">
        <f>TEXT(Sales[[#This Row],[Kode Program/Kegiatan ]],"mmm")</f>
        <v>Jan</v>
      </c>
      <c r="E144" s="3">
        <v>7</v>
      </c>
      <c r="F144" s="2">
        <v>7</v>
      </c>
      <c r="G144" s="3" t="str">
        <f>IF(Sales[[#This Row],[Anggaran Murni]]-Sales[[#This Row],[Target s.d. Januari]]=0,"",Sales[[#This Row],[Anggaran Murni]]-Sales[[#This Row],[Target s.d. Januari]])</f>
        <v/>
      </c>
      <c r="H144" s="2" t="s">
        <v>72</v>
      </c>
      <c r="I144" s="3" t="s">
        <v>78</v>
      </c>
      <c r="J144" s="3"/>
      <c r="K144" s="2" t="s">
        <v>34</v>
      </c>
      <c r="L144" s="2" t="s">
        <v>5</v>
      </c>
      <c r="M144" s="4" t="s">
        <v>67</v>
      </c>
      <c r="N144" s="3" t="s">
        <v>80</v>
      </c>
      <c r="O144" s="2" t="s">
        <v>12</v>
      </c>
      <c r="P144" s="10"/>
      <c r="Q144" s="11"/>
    </row>
    <row r="145" spans="2:17" ht="21" customHeight="1" x14ac:dyDescent="0.35">
      <c r="B145" s="18">
        <v>43845</v>
      </c>
      <c r="C145" s="18" t="str">
        <f>TEXT(Sales[[#This Row],[Kode Program/Kegiatan ]],"D")</f>
        <v>15</v>
      </c>
      <c r="D145" s="19" t="str">
        <f>TEXT(Sales[[#This Row],[Kode Program/Kegiatan ]],"mmm")</f>
        <v>Jan</v>
      </c>
      <c r="E145" s="20">
        <v>5</v>
      </c>
      <c r="F145" s="19">
        <v>5</v>
      </c>
      <c r="G145" s="20" t="str">
        <f>IF(Sales[[#This Row],[Anggaran Murni]]-Sales[[#This Row],[Target s.d. Januari]]=0,"",Sales[[#This Row],[Anggaran Murni]]-Sales[[#This Row],[Target s.d. Januari]])</f>
        <v/>
      </c>
      <c r="H145" s="19" t="s">
        <v>113</v>
      </c>
      <c r="I145" s="20" t="s">
        <v>77</v>
      </c>
      <c r="J145" s="20"/>
      <c r="K145" s="19" t="s">
        <v>52</v>
      </c>
      <c r="L145" s="19" t="s">
        <v>7</v>
      </c>
      <c r="M145" s="21" t="s">
        <v>67</v>
      </c>
      <c r="N145" s="20" t="s">
        <v>81</v>
      </c>
      <c r="O145" s="19" t="s">
        <v>13</v>
      </c>
      <c r="P145" s="10"/>
      <c r="Q145" s="11"/>
    </row>
    <row r="146" spans="2:17" ht="21" customHeight="1" x14ac:dyDescent="0.35">
      <c r="B146" s="1">
        <v>43845</v>
      </c>
      <c r="C146" s="1" t="str">
        <f>TEXT(Sales[[#This Row],[Kode Program/Kegiatan ]],"D")</f>
        <v>15</v>
      </c>
      <c r="D146" s="2" t="str">
        <f>TEXT(Sales[[#This Row],[Kode Program/Kegiatan ]],"mmm")</f>
        <v>Jan</v>
      </c>
      <c r="E146" s="3">
        <v>4</v>
      </c>
      <c r="F146" s="2">
        <v>4</v>
      </c>
      <c r="G146" s="3" t="str">
        <f>IF(Sales[[#This Row],[Anggaran Murni]]-Sales[[#This Row],[Target s.d. Januari]]=0,"",Sales[[#This Row],[Anggaran Murni]]-Sales[[#This Row],[Target s.d. Januari]])</f>
        <v/>
      </c>
      <c r="H146" s="2" t="s">
        <v>113</v>
      </c>
      <c r="I146" s="3" t="s">
        <v>77</v>
      </c>
      <c r="J146" s="3"/>
      <c r="K146" s="2" t="s">
        <v>26</v>
      </c>
      <c r="L146" s="2" t="s">
        <v>2</v>
      </c>
      <c r="M146" s="4" t="s">
        <v>67</v>
      </c>
      <c r="N146" s="3" t="s">
        <v>80</v>
      </c>
      <c r="O146" s="2" t="s">
        <v>11</v>
      </c>
      <c r="P146" s="10"/>
      <c r="Q146" s="11"/>
    </row>
    <row r="147" spans="2:17" ht="21" customHeight="1" x14ac:dyDescent="0.35">
      <c r="B147" s="18">
        <v>43845</v>
      </c>
      <c r="C147" s="18" t="str">
        <f>TEXT(Sales[[#This Row],[Kode Program/Kegiatan ]],"D")</f>
        <v>15</v>
      </c>
      <c r="D147" s="19" t="str">
        <f>TEXT(Sales[[#This Row],[Kode Program/Kegiatan ]],"mmm")</f>
        <v>Jan</v>
      </c>
      <c r="E147" s="20">
        <v>4</v>
      </c>
      <c r="F147" s="19">
        <v>4</v>
      </c>
      <c r="G147" s="20" t="str">
        <f>IF(Sales[[#This Row],[Anggaran Murni]]-Sales[[#This Row],[Target s.d. Januari]]=0,"",Sales[[#This Row],[Anggaran Murni]]-Sales[[#This Row],[Target s.d. Januari]])</f>
        <v/>
      </c>
      <c r="H147" s="19" t="s">
        <v>72</v>
      </c>
      <c r="I147" s="20" t="s">
        <v>78</v>
      </c>
      <c r="J147" s="20"/>
      <c r="K147" s="19" t="s">
        <v>25</v>
      </c>
      <c r="L147" s="19" t="s">
        <v>7</v>
      </c>
      <c r="M147" s="21" t="s">
        <v>67</v>
      </c>
      <c r="N147" s="20" t="s">
        <v>80</v>
      </c>
      <c r="O147" s="19" t="s">
        <v>11</v>
      </c>
      <c r="P147" s="10"/>
      <c r="Q147" s="11"/>
    </row>
    <row r="148" spans="2:17" ht="21" customHeight="1" x14ac:dyDescent="0.35">
      <c r="B148" s="1">
        <v>43845</v>
      </c>
      <c r="C148" s="1" t="str">
        <f>TEXT(Sales[[#This Row],[Kode Program/Kegiatan ]],"D")</f>
        <v>15</v>
      </c>
      <c r="D148" s="2" t="str">
        <f>TEXT(Sales[[#This Row],[Kode Program/Kegiatan ]],"mmm")</f>
        <v>Jan</v>
      </c>
      <c r="E148" s="3">
        <v>3</v>
      </c>
      <c r="F148" s="2">
        <v>3</v>
      </c>
      <c r="G148" s="3" t="str">
        <f>IF(Sales[[#This Row],[Anggaran Murni]]-Sales[[#This Row],[Target s.d. Januari]]=0,"",Sales[[#This Row],[Anggaran Murni]]-Sales[[#This Row],[Target s.d. Januari]])</f>
        <v/>
      </c>
      <c r="H148" s="2" t="s">
        <v>75</v>
      </c>
      <c r="I148" s="3" t="s">
        <v>6</v>
      </c>
      <c r="J148" s="3"/>
      <c r="K148" s="2" t="s">
        <v>29</v>
      </c>
      <c r="L148" s="2" t="s">
        <v>7</v>
      </c>
      <c r="M148" s="4" t="s">
        <v>67</v>
      </c>
      <c r="N148" s="3" t="s">
        <v>82</v>
      </c>
      <c r="O148" s="2" t="s">
        <v>12</v>
      </c>
      <c r="P148" s="10"/>
      <c r="Q148" s="11"/>
    </row>
    <row r="149" spans="2:17" ht="21" customHeight="1" x14ac:dyDescent="0.35">
      <c r="B149" s="18">
        <v>43846</v>
      </c>
      <c r="C149" s="18" t="str">
        <f>TEXT(Sales[[#This Row],[Kode Program/Kegiatan ]],"D")</f>
        <v>16</v>
      </c>
      <c r="D149" s="19" t="str">
        <f>TEXT(Sales[[#This Row],[Kode Program/Kegiatan ]],"mmm")</f>
        <v>Jan</v>
      </c>
      <c r="E149" s="20">
        <v>10</v>
      </c>
      <c r="F149" s="19">
        <v>10</v>
      </c>
      <c r="G149" s="20" t="str">
        <f>IF(Sales[[#This Row],[Anggaran Murni]]-Sales[[#This Row],[Target s.d. Januari]]=0,"",Sales[[#This Row],[Anggaran Murni]]-Sales[[#This Row],[Target s.d. Januari]])</f>
        <v/>
      </c>
      <c r="H149" s="19" t="s">
        <v>113</v>
      </c>
      <c r="I149" s="20" t="s">
        <v>77</v>
      </c>
      <c r="J149" s="20"/>
      <c r="K149" s="19" t="s">
        <v>41</v>
      </c>
      <c r="L149" s="19" t="s">
        <v>2</v>
      </c>
      <c r="M149" s="21" t="s">
        <v>67</v>
      </c>
      <c r="N149" s="20" t="s">
        <v>82</v>
      </c>
      <c r="O149" s="19" t="s">
        <v>11</v>
      </c>
      <c r="P149" s="10"/>
      <c r="Q149" s="11"/>
    </row>
    <row r="150" spans="2:17" ht="21" customHeight="1" x14ac:dyDescent="0.35">
      <c r="B150" s="1">
        <v>43846</v>
      </c>
      <c r="C150" s="1" t="str">
        <f>TEXT(Sales[[#This Row],[Kode Program/Kegiatan ]],"D")</f>
        <v>16</v>
      </c>
      <c r="D150" s="2" t="str">
        <f>TEXT(Sales[[#This Row],[Kode Program/Kegiatan ]],"mmm")</f>
        <v>Jan</v>
      </c>
      <c r="E150" s="3">
        <v>10</v>
      </c>
      <c r="F150" s="2">
        <v>10</v>
      </c>
      <c r="G150" s="3" t="str">
        <f>IF(Sales[[#This Row],[Anggaran Murni]]-Sales[[#This Row],[Target s.d. Januari]]=0,"",Sales[[#This Row],[Anggaran Murni]]-Sales[[#This Row],[Target s.d. Januari]])</f>
        <v/>
      </c>
      <c r="H150" s="2" t="s">
        <v>76</v>
      </c>
      <c r="I150" s="3" t="s">
        <v>79</v>
      </c>
      <c r="J150" s="3"/>
      <c r="K150" s="2" t="s">
        <v>37</v>
      </c>
      <c r="L150" s="2" t="s">
        <v>5</v>
      </c>
      <c r="M150" s="4" t="s">
        <v>67</v>
      </c>
      <c r="N150" s="3" t="s">
        <v>81</v>
      </c>
      <c r="O150" s="2" t="s">
        <v>14</v>
      </c>
      <c r="P150" s="10"/>
      <c r="Q150" s="11"/>
    </row>
    <row r="151" spans="2:17" ht="21" customHeight="1" x14ac:dyDescent="0.35">
      <c r="B151" s="18">
        <v>43846</v>
      </c>
      <c r="C151" s="18" t="str">
        <f>TEXT(Sales[[#This Row],[Kode Program/Kegiatan ]],"D")</f>
        <v>16</v>
      </c>
      <c r="D151" s="19" t="str">
        <f>TEXT(Sales[[#This Row],[Kode Program/Kegiatan ]],"mmm")</f>
        <v>Jan</v>
      </c>
      <c r="E151" s="20">
        <v>10</v>
      </c>
      <c r="F151" s="19">
        <v>10</v>
      </c>
      <c r="G151" s="20" t="str">
        <f>IF(Sales[[#This Row],[Anggaran Murni]]-Sales[[#This Row],[Target s.d. Januari]]=0,"",Sales[[#This Row],[Anggaran Murni]]-Sales[[#This Row],[Target s.d. Januari]])</f>
        <v/>
      </c>
      <c r="H151" s="19" t="s">
        <v>76</v>
      </c>
      <c r="I151" s="20" t="s">
        <v>79</v>
      </c>
      <c r="J151" s="20"/>
      <c r="K151" s="19" t="s">
        <v>41</v>
      </c>
      <c r="L151" s="19" t="s">
        <v>5</v>
      </c>
      <c r="M151" s="21" t="s">
        <v>67</v>
      </c>
      <c r="N151" s="20" t="s">
        <v>82</v>
      </c>
      <c r="O151" s="19" t="s">
        <v>14</v>
      </c>
      <c r="P151" s="10"/>
      <c r="Q151" s="11"/>
    </row>
    <row r="152" spans="2:17" ht="21" customHeight="1" x14ac:dyDescent="0.35">
      <c r="B152" s="1">
        <v>43846</v>
      </c>
      <c r="C152" s="1" t="str">
        <f>TEXT(Sales[[#This Row],[Kode Program/Kegiatan ]],"D")</f>
        <v>16</v>
      </c>
      <c r="D152" s="2" t="str">
        <f>TEXT(Sales[[#This Row],[Kode Program/Kegiatan ]],"mmm")</f>
        <v>Jan</v>
      </c>
      <c r="E152" s="3">
        <v>9</v>
      </c>
      <c r="F152" s="2">
        <v>9</v>
      </c>
      <c r="G152" s="3" t="str">
        <f>IF(Sales[[#This Row],[Anggaran Murni]]-Sales[[#This Row],[Target s.d. Januari]]=0,"",Sales[[#This Row],[Anggaran Murni]]-Sales[[#This Row],[Target s.d. Januari]])</f>
        <v/>
      </c>
      <c r="H152" s="2" t="s">
        <v>73</v>
      </c>
      <c r="I152" s="3" t="s">
        <v>78</v>
      </c>
      <c r="J152" s="3"/>
      <c r="K152" s="2" t="s">
        <v>58</v>
      </c>
      <c r="L152" s="2" t="s">
        <v>5</v>
      </c>
      <c r="M152" s="4" t="s">
        <v>67</v>
      </c>
      <c r="N152" s="3" t="s">
        <v>82</v>
      </c>
      <c r="O152" s="2" t="s">
        <v>12</v>
      </c>
      <c r="P152" s="10"/>
      <c r="Q152" s="11"/>
    </row>
    <row r="153" spans="2:17" ht="21" customHeight="1" x14ac:dyDescent="0.35">
      <c r="B153" s="18">
        <v>43846</v>
      </c>
      <c r="C153" s="18" t="str">
        <f>TEXT(Sales[[#This Row],[Kode Program/Kegiatan ]],"D")</f>
        <v>16</v>
      </c>
      <c r="D153" s="19" t="str">
        <f>TEXT(Sales[[#This Row],[Kode Program/Kegiatan ]],"mmm")</f>
        <v>Jan</v>
      </c>
      <c r="E153" s="20">
        <v>8</v>
      </c>
      <c r="F153" s="19">
        <v>8</v>
      </c>
      <c r="G153" s="20" t="str">
        <f>IF(Sales[[#This Row],[Anggaran Murni]]-Sales[[#This Row],[Target s.d. Januari]]=0,"",Sales[[#This Row],[Anggaran Murni]]-Sales[[#This Row],[Target s.d. Januari]])</f>
        <v/>
      </c>
      <c r="H153" s="19" t="s">
        <v>71</v>
      </c>
      <c r="I153" s="20" t="s">
        <v>6</v>
      </c>
      <c r="J153" s="20"/>
      <c r="K153" s="19" t="s">
        <v>15</v>
      </c>
      <c r="L153" s="19" t="s">
        <v>7</v>
      </c>
      <c r="M153" s="21" t="s">
        <v>67</v>
      </c>
      <c r="N153" s="20" t="s">
        <v>82</v>
      </c>
      <c r="O153" s="19" t="s">
        <v>14</v>
      </c>
      <c r="P153" s="10"/>
      <c r="Q153" s="11"/>
    </row>
    <row r="154" spans="2:17" ht="21" customHeight="1" x14ac:dyDescent="0.35">
      <c r="B154" s="1">
        <v>43846</v>
      </c>
      <c r="C154" s="1" t="str">
        <f>TEXT(Sales[[#This Row],[Kode Program/Kegiatan ]],"D")</f>
        <v>16</v>
      </c>
      <c r="D154" s="2" t="str">
        <f>TEXT(Sales[[#This Row],[Kode Program/Kegiatan ]],"mmm")</f>
        <v>Jan</v>
      </c>
      <c r="E154" s="3">
        <v>8</v>
      </c>
      <c r="F154" s="2">
        <v>8</v>
      </c>
      <c r="G154" s="3" t="str">
        <f>IF(Sales[[#This Row],[Anggaran Murni]]-Sales[[#This Row],[Target s.d. Januari]]=0,"",Sales[[#This Row],[Anggaran Murni]]-Sales[[#This Row],[Target s.d. Januari]])</f>
        <v/>
      </c>
      <c r="H154" s="2" t="s">
        <v>71</v>
      </c>
      <c r="I154" s="3" t="s">
        <v>6</v>
      </c>
      <c r="J154" s="3"/>
      <c r="K154" s="2" t="s">
        <v>23</v>
      </c>
      <c r="L154" s="2" t="s">
        <v>2</v>
      </c>
      <c r="M154" s="4" t="s">
        <v>67</v>
      </c>
      <c r="N154" s="3" t="s">
        <v>80</v>
      </c>
      <c r="O154" s="2" t="s">
        <v>13</v>
      </c>
      <c r="P154" s="10"/>
      <c r="Q154" s="11"/>
    </row>
    <row r="155" spans="2:17" ht="21" customHeight="1" x14ac:dyDescent="0.35">
      <c r="B155" s="18">
        <v>43846</v>
      </c>
      <c r="C155" s="18" t="str">
        <f>TEXT(Sales[[#This Row],[Kode Program/Kegiatan ]],"D")</f>
        <v>16</v>
      </c>
      <c r="D155" s="19" t="str">
        <f>TEXT(Sales[[#This Row],[Kode Program/Kegiatan ]],"mmm")</f>
        <v>Jan</v>
      </c>
      <c r="E155" s="20">
        <v>8</v>
      </c>
      <c r="F155" s="19">
        <v>8</v>
      </c>
      <c r="G155" s="20" t="str">
        <f>IF(Sales[[#This Row],[Anggaran Murni]]-Sales[[#This Row],[Target s.d. Januari]]=0,"",Sales[[#This Row],[Anggaran Murni]]-Sales[[#This Row],[Target s.d. Januari]])</f>
        <v/>
      </c>
      <c r="H155" s="19" t="s">
        <v>114</v>
      </c>
      <c r="I155" s="20" t="s">
        <v>3</v>
      </c>
      <c r="J155" s="20"/>
      <c r="K155" s="19" t="s">
        <v>37</v>
      </c>
      <c r="L155" s="19" t="s">
        <v>2</v>
      </c>
      <c r="M155" s="21" t="s">
        <v>67</v>
      </c>
      <c r="N155" s="20" t="s">
        <v>81</v>
      </c>
      <c r="O155" s="19" t="s">
        <v>11</v>
      </c>
      <c r="P155" s="10"/>
      <c r="Q155" s="11"/>
    </row>
    <row r="156" spans="2:17" ht="21" customHeight="1" x14ac:dyDescent="0.35">
      <c r="B156" s="1">
        <v>43846</v>
      </c>
      <c r="C156" s="1" t="str">
        <f>TEXT(Sales[[#This Row],[Kode Program/Kegiatan ]],"D")</f>
        <v>16</v>
      </c>
      <c r="D156" s="2" t="str">
        <f>TEXT(Sales[[#This Row],[Kode Program/Kegiatan ]],"mmm")</f>
        <v>Jan</v>
      </c>
      <c r="E156" s="3">
        <v>7</v>
      </c>
      <c r="F156" s="2">
        <v>7</v>
      </c>
      <c r="G156" s="3" t="str">
        <f>IF(Sales[[#This Row],[Anggaran Murni]]-Sales[[#This Row],[Target s.d. Januari]]=0,"",Sales[[#This Row],[Anggaran Murni]]-Sales[[#This Row],[Target s.d. Januari]])</f>
        <v/>
      </c>
      <c r="H156" s="2" t="s">
        <v>76</v>
      </c>
      <c r="I156" s="3" t="s">
        <v>79</v>
      </c>
      <c r="J156" s="3"/>
      <c r="K156" s="2" t="s">
        <v>49</v>
      </c>
      <c r="L156" s="2" t="s">
        <v>7</v>
      </c>
      <c r="M156" s="4" t="s">
        <v>67</v>
      </c>
      <c r="N156" s="3" t="s">
        <v>82</v>
      </c>
      <c r="O156" s="2" t="s">
        <v>13</v>
      </c>
      <c r="P156" s="10"/>
      <c r="Q156" s="11"/>
    </row>
    <row r="157" spans="2:17" ht="21" customHeight="1" x14ac:dyDescent="0.35">
      <c r="B157" s="18">
        <v>43846</v>
      </c>
      <c r="C157" s="18" t="str">
        <f>TEXT(Sales[[#This Row],[Kode Program/Kegiatan ]],"D")</f>
        <v>16</v>
      </c>
      <c r="D157" s="19" t="str">
        <f>TEXT(Sales[[#This Row],[Kode Program/Kegiatan ]],"mmm")</f>
        <v>Jan</v>
      </c>
      <c r="E157" s="20">
        <v>5</v>
      </c>
      <c r="F157" s="19">
        <v>5</v>
      </c>
      <c r="G157" s="20" t="str">
        <f>IF(Sales[[#This Row],[Anggaran Murni]]-Sales[[#This Row],[Target s.d. Januari]]=0,"",Sales[[#This Row],[Anggaran Murni]]-Sales[[#This Row],[Target s.d. Januari]])</f>
        <v/>
      </c>
      <c r="H157" s="19" t="s">
        <v>114</v>
      </c>
      <c r="I157" s="20" t="s">
        <v>3</v>
      </c>
      <c r="J157" s="20"/>
      <c r="K157" s="19" t="s">
        <v>58</v>
      </c>
      <c r="L157" s="19" t="s">
        <v>7</v>
      </c>
      <c r="M157" s="21" t="s">
        <v>67</v>
      </c>
      <c r="N157" s="20" t="s">
        <v>80</v>
      </c>
      <c r="O157" s="19" t="s">
        <v>14</v>
      </c>
      <c r="P157" s="10"/>
      <c r="Q157" s="11"/>
    </row>
    <row r="158" spans="2:17" ht="21" customHeight="1" x14ac:dyDescent="0.35">
      <c r="B158" s="1">
        <v>43846</v>
      </c>
      <c r="C158" s="1" t="str">
        <f>TEXT(Sales[[#This Row],[Kode Program/Kegiatan ]],"D")</f>
        <v>16</v>
      </c>
      <c r="D158" s="2" t="str">
        <f>TEXT(Sales[[#This Row],[Kode Program/Kegiatan ]],"mmm")</f>
        <v>Jan</v>
      </c>
      <c r="E158" s="3">
        <v>4</v>
      </c>
      <c r="F158" s="2">
        <v>4</v>
      </c>
      <c r="G158" s="3" t="str">
        <f>IF(Sales[[#This Row],[Anggaran Murni]]-Sales[[#This Row],[Target s.d. Januari]]=0,"",Sales[[#This Row],[Anggaran Murni]]-Sales[[#This Row],[Target s.d. Januari]])</f>
        <v/>
      </c>
      <c r="H158" s="2" t="s">
        <v>71</v>
      </c>
      <c r="I158" s="3" t="s">
        <v>6</v>
      </c>
      <c r="J158" s="3"/>
      <c r="K158" s="2" t="s">
        <v>15</v>
      </c>
      <c r="L158" s="2" t="s">
        <v>2</v>
      </c>
      <c r="M158" s="4" t="s">
        <v>67</v>
      </c>
      <c r="N158" s="3" t="s">
        <v>82</v>
      </c>
      <c r="O158" s="2" t="s">
        <v>14</v>
      </c>
      <c r="P158" s="10"/>
      <c r="Q158" s="11"/>
    </row>
    <row r="159" spans="2:17" ht="21" customHeight="1" x14ac:dyDescent="0.35">
      <c r="B159" s="18">
        <v>43846</v>
      </c>
      <c r="C159" s="18" t="str">
        <f>TEXT(Sales[[#This Row],[Kode Program/Kegiatan ]],"D")</f>
        <v>16</v>
      </c>
      <c r="D159" s="19" t="str">
        <f>TEXT(Sales[[#This Row],[Kode Program/Kegiatan ]],"mmm")</f>
        <v>Jan</v>
      </c>
      <c r="E159" s="20">
        <v>3</v>
      </c>
      <c r="F159" s="19">
        <v>3</v>
      </c>
      <c r="G159" s="20" t="str">
        <f>IF(Sales[[#This Row],[Anggaran Murni]]-Sales[[#This Row],[Target s.d. Januari]]=0,"",Sales[[#This Row],[Anggaran Murni]]-Sales[[#This Row],[Target s.d. Januari]])</f>
        <v/>
      </c>
      <c r="H159" s="19" t="s">
        <v>70</v>
      </c>
      <c r="I159" s="20" t="s">
        <v>1</v>
      </c>
      <c r="J159" s="20"/>
      <c r="K159" s="19" t="s">
        <v>30</v>
      </c>
      <c r="L159" s="19" t="s">
        <v>5</v>
      </c>
      <c r="M159" s="21" t="s">
        <v>67</v>
      </c>
      <c r="N159" s="20" t="s">
        <v>81</v>
      </c>
      <c r="O159" s="19" t="s">
        <v>11</v>
      </c>
      <c r="P159" s="10"/>
      <c r="Q159" s="11"/>
    </row>
    <row r="160" spans="2:17" ht="21" customHeight="1" x14ac:dyDescent="0.35">
      <c r="B160" s="1">
        <v>43847</v>
      </c>
      <c r="C160" s="1" t="str">
        <f>TEXT(Sales[[#This Row],[Kode Program/Kegiatan ]],"D")</f>
        <v>17</v>
      </c>
      <c r="D160" s="2" t="str">
        <f>TEXT(Sales[[#This Row],[Kode Program/Kegiatan ]],"mmm")</f>
        <v>Jan</v>
      </c>
      <c r="E160" s="3">
        <v>8</v>
      </c>
      <c r="F160" s="2">
        <v>8</v>
      </c>
      <c r="G160" s="3" t="str">
        <f>IF(Sales[[#This Row],[Anggaran Murni]]-Sales[[#This Row],[Target s.d. Januari]]=0,"",Sales[[#This Row],[Anggaran Murni]]-Sales[[#This Row],[Target s.d. Januari]])</f>
        <v/>
      </c>
      <c r="H160" s="2" t="s">
        <v>75</v>
      </c>
      <c r="I160" s="3" t="s">
        <v>6</v>
      </c>
      <c r="J160" s="3"/>
      <c r="K160" s="2" t="s">
        <v>18</v>
      </c>
      <c r="L160" s="2" t="s">
        <v>4</v>
      </c>
      <c r="M160" s="4" t="s">
        <v>67</v>
      </c>
      <c r="N160" s="3" t="s">
        <v>80</v>
      </c>
      <c r="O160" s="2" t="s">
        <v>14</v>
      </c>
      <c r="P160" s="10"/>
      <c r="Q160" s="11"/>
    </row>
    <row r="161" spans="2:17" ht="21" customHeight="1" x14ac:dyDescent="0.35">
      <c r="B161" s="18">
        <v>43847</v>
      </c>
      <c r="C161" s="18" t="str">
        <f>TEXT(Sales[[#This Row],[Kode Program/Kegiatan ]],"D")</f>
        <v>17</v>
      </c>
      <c r="D161" s="19" t="str">
        <f>TEXT(Sales[[#This Row],[Kode Program/Kegiatan ]],"mmm")</f>
        <v>Jan</v>
      </c>
      <c r="E161" s="20">
        <v>7</v>
      </c>
      <c r="F161" s="19">
        <v>7</v>
      </c>
      <c r="G161" s="20" t="str">
        <f>IF(Sales[[#This Row],[Anggaran Murni]]-Sales[[#This Row],[Target s.d. Januari]]=0,"",Sales[[#This Row],[Anggaran Murni]]-Sales[[#This Row],[Target s.d. Januari]])</f>
        <v/>
      </c>
      <c r="H161" s="19" t="s">
        <v>73</v>
      </c>
      <c r="I161" s="20" t="s">
        <v>78</v>
      </c>
      <c r="J161" s="20"/>
      <c r="K161" s="19" t="s">
        <v>59</v>
      </c>
      <c r="L161" s="19" t="s">
        <v>7</v>
      </c>
      <c r="M161" s="21" t="s">
        <v>67</v>
      </c>
      <c r="N161" s="20" t="s">
        <v>82</v>
      </c>
      <c r="O161" s="19" t="s">
        <v>13</v>
      </c>
      <c r="P161" s="10"/>
      <c r="Q161" s="11"/>
    </row>
    <row r="162" spans="2:17" ht="21" customHeight="1" x14ac:dyDescent="0.35">
      <c r="B162" s="1">
        <v>43847</v>
      </c>
      <c r="C162" s="1" t="str">
        <f>TEXT(Sales[[#This Row],[Kode Program/Kegiatan ]],"D")</f>
        <v>17</v>
      </c>
      <c r="D162" s="2" t="str">
        <f>TEXT(Sales[[#This Row],[Kode Program/Kegiatan ]],"mmm")</f>
        <v>Jan</v>
      </c>
      <c r="E162" s="3">
        <v>6</v>
      </c>
      <c r="F162" s="2">
        <v>6</v>
      </c>
      <c r="G162" s="3" t="str">
        <f>IF(Sales[[#This Row],[Anggaran Murni]]-Sales[[#This Row],[Target s.d. Januari]]=0,"",Sales[[#This Row],[Anggaran Murni]]-Sales[[#This Row],[Target s.d. Januari]])</f>
        <v/>
      </c>
      <c r="H162" s="2" t="s">
        <v>76</v>
      </c>
      <c r="I162" s="3" t="s">
        <v>79</v>
      </c>
      <c r="J162" s="3"/>
      <c r="K162" s="2" t="s">
        <v>58</v>
      </c>
      <c r="L162" s="2" t="s">
        <v>9</v>
      </c>
      <c r="M162" s="4" t="s">
        <v>67</v>
      </c>
      <c r="N162" s="3" t="s">
        <v>80</v>
      </c>
      <c r="O162" s="2" t="s">
        <v>12</v>
      </c>
      <c r="P162" s="10"/>
      <c r="Q162" s="11"/>
    </row>
    <row r="163" spans="2:17" ht="21" customHeight="1" x14ac:dyDescent="0.35">
      <c r="B163" s="18">
        <v>43847</v>
      </c>
      <c r="C163" s="18" t="str">
        <f>TEXT(Sales[[#This Row],[Kode Program/Kegiatan ]],"D")</f>
        <v>17</v>
      </c>
      <c r="D163" s="19" t="str">
        <f>TEXT(Sales[[#This Row],[Kode Program/Kegiatan ]],"mmm")</f>
        <v>Jan</v>
      </c>
      <c r="E163" s="20">
        <v>6</v>
      </c>
      <c r="F163" s="19">
        <v>6</v>
      </c>
      <c r="G163" s="20" t="str">
        <f>IF(Sales[[#This Row],[Anggaran Murni]]-Sales[[#This Row],[Target s.d. Januari]]=0,"",Sales[[#This Row],[Anggaran Murni]]-Sales[[#This Row],[Target s.d. Januari]])</f>
        <v/>
      </c>
      <c r="H163" s="19" t="s">
        <v>75</v>
      </c>
      <c r="I163" s="20" t="s">
        <v>6</v>
      </c>
      <c r="J163" s="20"/>
      <c r="K163" s="19" t="s">
        <v>54</v>
      </c>
      <c r="L163" s="19" t="s">
        <v>2</v>
      </c>
      <c r="M163" s="21" t="s">
        <v>67</v>
      </c>
      <c r="N163" s="20" t="s">
        <v>82</v>
      </c>
      <c r="O163" s="19" t="s">
        <v>12</v>
      </c>
      <c r="P163" s="10"/>
      <c r="Q163" s="11"/>
    </row>
    <row r="164" spans="2:17" ht="21" customHeight="1" x14ac:dyDescent="0.35">
      <c r="B164" s="1">
        <v>43847</v>
      </c>
      <c r="C164" s="1" t="str">
        <f>TEXT(Sales[[#This Row],[Kode Program/Kegiatan ]],"D")</f>
        <v>17</v>
      </c>
      <c r="D164" s="2" t="str">
        <f>TEXT(Sales[[#This Row],[Kode Program/Kegiatan ]],"mmm")</f>
        <v>Jan</v>
      </c>
      <c r="E164" s="3">
        <v>6</v>
      </c>
      <c r="F164" s="2">
        <v>6</v>
      </c>
      <c r="G164" s="3" t="str">
        <f>IF(Sales[[#This Row],[Anggaran Murni]]-Sales[[#This Row],[Target s.d. Januari]]=0,"",Sales[[#This Row],[Anggaran Murni]]-Sales[[#This Row],[Target s.d. Januari]])</f>
        <v/>
      </c>
      <c r="H164" s="2" t="s">
        <v>113</v>
      </c>
      <c r="I164" s="3" t="s">
        <v>77</v>
      </c>
      <c r="J164" s="3"/>
      <c r="K164" s="2" t="s">
        <v>25</v>
      </c>
      <c r="L164" s="2" t="s">
        <v>2</v>
      </c>
      <c r="M164" s="4" t="s">
        <v>67</v>
      </c>
      <c r="N164" s="3" t="s">
        <v>81</v>
      </c>
      <c r="O164" s="2" t="s">
        <v>11</v>
      </c>
      <c r="P164" s="10"/>
      <c r="Q164" s="11"/>
    </row>
    <row r="165" spans="2:17" ht="21" customHeight="1" x14ac:dyDescent="0.35">
      <c r="B165" s="18">
        <v>43847</v>
      </c>
      <c r="C165" s="18" t="str">
        <f>TEXT(Sales[[#This Row],[Kode Program/Kegiatan ]],"D")</f>
        <v>17</v>
      </c>
      <c r="D165" s="19" t="str">
        <f>TEXT(Sales[[#This Row],[Kode Program/Kegiatan ]],"mmm")</f>
        <v>Jan</v>
      </c>
      <c r="E165" s="20">
        <v>5</v>
      </c>
      <c r="F165" s="19">
        <v>5</v>
      </c>
      <c r="G165" s="20" t="str">
        <f>IF(Sales[[#This Row],[Anggaran Murni]]-Sales[[#This Row],[Target s.d. Januari]]=0,"",Sales[[#This Row],[Anggaran Murni]]-Sales[[#This Row],[Target s.d. Januari]])</f>
        <v/>
      </c>
      <c r="H165" s="19" t="s">
        <v>71</v>
      </c>
      <c r="I165" s="20" t="s">
        <v>6</v>
      </c>
      <c r="J165" s="20"/>
      <c r="K165" s="19" t="s">
        <v>16</v>
      </c>
      <c r="L165" s="19" t="s">
        <v>5</v>
      </c>
      <c r="M165" s="21" t="s">
        <v>67</v>
      </c>
      <c r="N165" s="20" t="s">
        <v>82</v>
      </c>
      <c r="O165" s="19" t="s">
        <v>11</v>
      </c>
      <c r="P165" s="10"/>
      <c r="Q165" s="11"/>
    </row>
    <row r="166" spans="2:17" ht="21" customHeight="1" x14ac:dyDescent="0.35">
      <c r="B166" s="1">
        <v>43847</v>
      </c>
      <c r="C166" s="1" t="str">
        <f>TEXT(Sales[[#This Row],[Kode Program/Kegiatan ]],"D")</f>
        <v>17</v>
      </c>
      <c r="D166" s="2" t="str">
        <f>TEXT(Sales[[#This Row],[Kode Program/Kegiatan ]],"mmm")</f>
        <v>Jan</v>
      </c>
      <c r="E166" s="3">
        <v>4</v>
      </c>
      <c r="F166" s="2">
        <v>4</v>
      </c>
      <c r="G166" s="3" t="str">
        <f>IF(Sales[[#This Row],[Anggaran Murni]]-Sales[[#This Row],[Target s.d. Januari]]=0,"",Sales[[#This Row],[Anggaran Murni]]-Sales[[#This Row],[Target s.d. Januari]])</f>
        <v/>
      </c>
      <c r="H166" s="2" t="s">
        <v>75</v>
      </c>
      <c r="I166" s="3" t="s">
        <v>6</v>
      </c>
      <c r="J166" s="3"/>
      <c r="K166" s="2" t="s">
        <v>61</v>
      </c>
      <c r="L166" s="2" t="s">
        <v>2</v>
      </c>
      <c r="M166" s="4" t="s">
        <v>67</v>
      </c>
      <c r="N166" s="3" t="s">
        <v>80</v>
      </c>
      <c r="O166" s="2" t="s">
        <v>11</v>
      </c>
      <c r="P166" s="10"/>
      <c r="Q166" s="11"/>
    </row>
    <row r="167" spans="2:17" ht="21" customHeight="1" x14ac:dyDescent="0.35">
      <c r="B167" s="18">
        <v>43847</v>
      </c>
      <c r="C167" s="18" t="str">
        <f>TEXT(Sales[[#This Row],[Kode Program/Kegiatan ]],"D")</f>
        <v>17</v>
      </c>
      <c r="D167" s="19" t="str">
        <f>TEXT(Sales[[#This Row],[Kode Program/Kegiatan ]],"mmm")</f>
        <v>Jan</v>
      </c>
      <c r="E167" s="20">
        <v>4</v>
      </c>
      <c r="F167" s="19">
        <v>4</v>
      </c>
      <c r="G167" s="20" t="str">
        <f>IF(Sales[[#This Row],[Anggaran Murni]]-Sales[[#This Row],[Target s.d. Januari]]=0,"",Sales[[#This Row],[Anggaran Murni]]-Sales[[#This Row],[Target s.d. Januari]])</f>
        <v/>
      </c>
      <c r="H167" s="19" t="s">
        <v>75</v>
      </c>
      <c r="I167" s="20" t="s">
        <v>6</v>
      </c>
      <c r="J167" s="20"/>
      <c r="K167" s="19" t="s">
        <v>58</v>
      </c>
      <c r="L167" s="19" t="s">
        <v>2</v>
      </c>
      <c r="M167" s="21" t="s">
        <v>67</v>
      </c>
      <c r="N167" s="20" t="s">
        <v>82</v>
      </c>
      <c r="O167" s="19" t="s">
        <v>14</v>
      </c>
      <c r="P167" s="10"/>
      <c r="Q167" s="11"/>
    </row>
    <row r="168" spans="2:17" ht="21" customHeight="1" x14ac:dyDescent="0.35">
      <c r="B168" s="1">
        <v>43847</v>
      </c>
      <c r="C168" s="1" t="str">
        <f>TEXT(Sales[[#This Row],[Kode Program/Kegiatan ]],"D")</f>
        <v>17</v>
      </c>
      <c r="D168" s="2" t="str">
        <f>TEXT(Sales[[#This Row],[Kode Program/Kegiatan ]],"mmm")</f>
        <v>Jan</v>
      </c>
      <c r="E168" s="3">
        <v>3</v>
      </c>
      <c r="F168" s="2">
        <v>3</v>
      </c>
      <c r="G168" s="3" t="str">
        <f>IF(Sales[[#This Row],[Anggaran Murni]]-Sales[[#This Row],[Target s.d. Januari]]=0,"",Sales[[#This Row],[Anggaran Murni]]-Sales[[#This Row],[Target s.d. Januari]])</f>
        <v/>
      </c>
      <c r="H168" s="2" t="s">
        <v>72</v>
      </c>
      <c r="I168" s="3" t="s">
        <v>78</v>
      </c>
      <c r="J168" s="3"/>
      <c r="K168" s="2" t="s">
        <v>61</v>
      </c>
      <c r="L168" s="2" t="s">
        <v>2</v>
      </c>
      <c r="M168" s="4" t="s">
        <v>67</v>
      </c>
      <c r="N168" s="3" t="s">
        <v>82</v>
      </c>
      <c r="O168" s="2" t="s">
        <v>11</v>
      </c>
      <c r="P168" s="10"/>
      <c r="Q168" s="11"/>
    </row>
    <row r="169" spans="2:17" ht="21" customHeight="1" x14ac:dyDescent="0.35">
      <c r="B169" s="18">
        <v>43848</v>
      </c>
      <c r="C169" s="18" t="str">
        <f>TEXT(Sales[[#This Row],[Kode Program/Kegiatan ]],"D")</f>
        <v>18</v>
      </c>
      <c r="D169" s="19" t="str">
        <f>TEXT(Sales[[#This Row],[Kode Program/Kegiatan ]],"mmm")</f>
        <v>Jan</v>
      </c>
      <c r="E169" s="20">
        <v>9</v>
      </c>
      <c r="F169" s="19">
        <v>9</v>
      </c>
      <c r="G169" s="20" t="str">
        <f>IF(Sales[[#This Row],[Anggaran Murni]]-Sales[[#This Row],[Target s.d. Januari]]=0,"",Sales[[#This Row],[Anggaran Murni]]-Sales[[#This Row],[Target s.d. Januari]])</f>
        <v/>
      </c>
      <c r="H169" s="19" t="s">
        <v>114</v>
      </c>
      <c r="I169" s="20" t="s">
        <v>3</v>
      </c>
      <c r="J169" s="20"/>
      <c r="K169" s="19" t="s">
        <v>16</v>
      </c>
      <c r="L169" s="19" t="s">
        <v>2</v>
      </c>
      <c r="M169" s="21" t="s">
        <v>67</v>
      </c>
      <c r="N169" s="20" t="s">
        <v>81</v>
      </c>
      <c r="O169" s="19" t="s">
        <v>12</v>
      </c>
      <c r="P169" s="10"/>
      <c r="Q169" s="11"/>
    </row>
    <row r="170" spans="2:17" ht="21" customHeight="1" x14ac:dyDescent="0.35">
      <c r="B170" s="1">
        <v>43848</v>
      </c>
      <c r="C170" s="1" t="str">
        <f>TEXT(Sales[[#This Row],[Kode Program/Kegiatan ]],"D")</f>
        <v>18</v>
      </c>
      <c r="D170" s="2" t="str">
        <f>TEXT(Sales[[#This Row],[Kode Program/Kegiatan ]],"mmm")</f>
        <v>Jan</v>
      </c>
      <c r="E170" s="3">
        <v>6</v>
      </c>
      <c r="F170" s="2">
        <v>6</v>
      </c>
      <c r="G170" s="3" t="str">
        <f>IF(Sales[[#This Row],[Anggaran Murni]]-Sales[[#This Row],[Target s.d. Januari]]=0,"",Sales[[#This Row],[Anggaran Murni]]-Sales[[#This Row],[Target s.d. Januari]])</f>
        <v/>
      </c>
      <c r="H170" s="2" t="s">
        <v>73</v>
      </c>
      <c r="I170" s="3" t="s">
        <v>78</v>
      </c>
      <c r="J170" s="3"/>
      <c r="K170" s="2" t="s">
        <v>30</v>
      </c>
      <c r="L170" s="2" t="s">
        <v>7</v>
      </c>
      <c r="M170" s="4" t="s">
        <v>67</v>
      </c>
      <c r="N170" s="3" t="s">
        <v>80</v>
      </c>
      <c r="O170" s="2" t="s">
        <v>13</v>
      </c>
      <c r="P170" s="10"/>
      <c r="Q170" s="11"/>
    </row>
    <row r="171" spans="2:17" ht="21" customHeight="1" x14ac:dyDescent="0.35">
      <c r="B171" s="18">
        <v>43848</v>
      </c>
      <c r="C171" s="18" t="str">
        <f>TEXT(Sales[[#This Row],[Kode Program/Kegiatan ]],"D")</f>
        <v>18</v>
      </c>
      <c r="D171" s="19" t="str">
        <f>TEXT(Sales[[#This Row],[Kode Program/Kegiatan ]],"mmm")</f>
        <v>Jan</v>
      </c>
      <c r="E171" s="20">
        <v>5</v>
      </c>
      <c r="F171" s="19">
        <v>5</v>
      </c>
      <c r="G171" s="20" t="str">
        <f>IF(Sales[[#This Row],[Anggaran Murni]]-Sales[[#This Row],[Target s.d. Januari]]=0,"",Sales[[#This Row],[Anggaran Murni]]-Sales[[#This Row],[Target s.d. Januari]])</f>
        <v/>
      </c>
      <c r="H171" s="19" t="s">
        <v>113</v>
      </c>
      <c r="I171" s="20" t="s">
        <v>77</v>
      </c>
      <c r="J171" s="20"/>
      <c r="K171" s="19" t="s">
        <v>29</v>
      </c>
      <c r="L171" s="19" t="s">
        <v>2</v>
      </c>
      <c r="M171" s="21" t="s">
        <v>67</v>
      </c>
      <c r="N171" s="20" t="s">
        <v>82</v>
      </c>
      <c r="O171" s="19" t="s">
        <v>12</v>
      </c>
      <c r="P171" s="10"/>
      <c r="Q171" s="11"/>
    </row>
    <row r="172" spans="2:17" ht="21" customHeight="1" x14ac:dyDescent="0.35">
      <c r="B172" s="1">
        <v>43848</v>
      </c>
      <c r="C172" s="1" t="str">
        <f>TEXT(Sales[[#This Row],[Kode Program/Kegiatan ]],"D")</f>
        <v>18</v>
      </c>
      <c r="D172" s="2" t="str">
        <f>TEXT(Sales[[#This Row],[Kode Program/Kegiatan ]],"mmm")</f>
        <v>Jan</v>
      </c>
      <c r="E172" s="3">
        <v>5</v>
      </c>
      <c r="F172" s="2">
        <v>5</v>
      </c>
      <c r="G172" s="3" t="str">
        <f>IF(Sales[[#This Row],[Anggaran Murni]]-Sales[[#This Row],[Target s.d. Januari]]=0,"",Sales[[#This Row],[Anggaran Murni]]-Sales[[#This Row],[Target s.d. Januari]])</f>
        <v/>
      </c>
      <c r="H172" s="2" t="s">
        <v>114</v>
      </c>
      <c r="I172" s="3" t="s">
        <v>3</v>
      </c>
      <c r="J172" s="3"/>
      <c r="K172" s="2" t="s">
        <v>21</v>
      </c>
      <c r="L172" s="2" t="s">
        <v>5</v>
      </c>
      <c r="M172" s="4" t="s">
        <v>67</v>
      </c>
      <c r="N172" s="3" t="s">
        <v>81</v>
      </c>
      <c r="O172" s="2" t="s">
        <v>13</v>
      </c>
      <c r="P172" s="10"/>
      <c r="Q172" s="11"/>
    </row>
    <row r="173" spans="2:17" ht="21" customHeight="1" x14ac:dyDescent="0.35">
      <c r="B173" s="18">
        <v>43848</v>
      </c>
      <c r="C173" s="18" t="str">
        <f>TEXT(Sales[[#This Row],[Kode Program/Kegiatan ]],"D")</f>
        <v>18</v>
      </c>
      <c r="D173" s="19" t="str">
        <f>TEXT(Sales[[#This Row],[Kode Program/Kegiatan ]],"mmm")</f>
        <v>Jan</v>
      </c>
      <c r="E173" s="20">
        <v>5</v>
      </c>
      <c r="F173" s="19">
        <v>5</v>
      </c>
      <c r="G173" s="20" t="str">
        <f>IF(Sales[[#This Row],[Anggaran Murni]]-Sales[[#This Row],[Target s.d. Januari]]=0,"",Sales[[#This Row],[Anggaran Murni]]-Sales[[#This Row],[Target s.d. Januari]])</f>
        <v/>
      </c>
      <c r="H173" s="19" t="s">
        <v>74</v>
      </c>
      <c r="I173" s="20" t="s">
        <v>77</v>
      </c>
      <c r="J173" s="20"/>
      <c r="K173" s="19" t="s">
        <v>57</v>
      </c>
      <c r="L173" s="19" t="s">
        <v>2</v>
      </c>
      <c r="M173" s="21" t="s">
        <v>67</v>
      </c>
      <c r="N173" s="20" t="s">
        <v>82</v>
      </c>
      <c r="O173" s="19" t="s">
        <v>12</v>
      </c>
      <c r="P173" s="10"/>
      <c r="Q173" s="11"/>
    </row>
    <row r="174" spans="2:17" ht="21" customHeight="1" x14ac:dyDescent="0.35">
      <c r="B174" s="1">
        <v>43849</v>
      </c>
      <c r="C174" s="1" t="str">
        <f>TEXT(Sales[[#This Row],[Kode Program/Kegiatan ]],"D")</f>
        <v>19</v>
      </c>
      <c r="D174" s="2" t="str">
        <f>TEXT(Sales[[#This Row],[Kode Program/Kegiatan ]],"mmm")</f>
        <v>Jan</v>
      </c>
      <c r="E174" s="3">
        <v>10</v>
      </c>
      <c r="F174" s="2">
        <v>10</v>
      </c>
      <c r="G174" s="3" t="str">
        <f>IF(Sales[[#This Row],[Anggaran Murni]]-Sales[[#This Row],[Target s.d. Januari]]=0,"",Sales[[#This Row],[Anggaran Murni]]-Sales[[#This Row],[Target s.d. Januari]])</f>
        <v/>
      </c>
      <c r="H174" s="2" t="s">
        <v>74</v>
      </c>
      <c r="I174" s="3" t="s">
        <v>77</v>
      </c>
      <c r="J174" s="3"/>
      <c r="K174" s="2" t="s">
        <v>58</v>
      </c>
      <c r="L174" s="2" t="s">
        <v>5</v>
      </c>
      <c r="M174" s="4" t="s">
        <v>67</v>
      </c>
      <c r="N174" s="3" t="s">
        <v>81</v>
      </c>
      <c r="O174" s="2" t="s">
        <v>13</v>
      </c>
      <c r="P174" s="10"/>
      <c r="Q174" s="11"/>
    </row>
    <row r="175" spans="2:17" ht="21" customHeight="1" x14ac:dyDescent="0.35">
      <c r="B175" s="18">
        <v>43849</v>
      </c>
      <c r="C175" s="18" t="str">
        <f>TEXT(Sales[[#This Row],[Kode Program/Kegiatan ]],"D")</f>
        <v>19</v>
      </c>
      <c r="D175" s="19" t="str">
        <f>TEXT(Sales[[#This Row],[Kode Program/Kegiatan ]],"mmm")</f>
        <v>Jan</v>
      </c>
      <c r="E175" s="20">
        <v>10</v>
      </c>
      <c r="F175" s="19">
        <v>10</v>
      </c>
      <c r="G175" s="20" t="str">
        <f>IF(Sales[[#This Row],[Anggaran Murni]]-Sales[[#This Row],[Target s.d. Januari]]=0,"",Sales[[#This Row],[Anggaran Murni]]-Sales[[#This Row],[Target s.d. Januari]])</f>
        <v/>
      </c>
      <c r="H175" s="19" t="s">
        <v>72</v>
      </c>
      <c r="I175" s="20" t="s">
        <v>78</v>
      </c>
      <c r="J175" s="20"/>
      <c r="K175" s="19" t="s">
        <v>37</v>
      </c>
      <c r="L175" s="19" t="s">
        <v>5</v>
      </c>
      <c r="M175" s="21" t="s">
        <v>67</v>
      </c>
      <c r="N175" s="20" t="s">
        <v>82</v>
      </c>
      <c r="O175" s="19" t="s">
        <v>13</v>
      </c>
      <c r="P175" s="10"/>
      <c r="Q175" s="11"/>
    </row>
    <row r="176" spans="2:17" ht="21" customHeight="1" x14ac:dyDescent="0.35">
      <c r="B176" s="1">
        <v>43849</v>
      </c>
      <c r="C176" s="1" t="str">
        <f>TEXT(Sales[[#This Row],[Kode Program/Kegiatan ]],"D")</f>
        <v>19</v>
      </c>
      <c r="D176" s="2" t="str">
        <f>TEXT(Sales[[#This Row],[Kode Program/Kegiatan ]],"mmm")</f>
        <v>Jan</v>
      </c>
      <c r="E176" s="3">
        <v>9</v>
      </c>
      <c r="F176" s="2">
        <v>9</v>
      </c>
      <c r="G176" s="3" t="str">
        <f>IF(Sales[[#This Row],[Anggaran Murni]]-Sales[[#This Row],[Target s.d. Januari]]=0,"",Sales[[#This Row],[Anggaran Murni]]-Sales[[#This Row],[Target s.d. Januari]])</f>
        <v/>
      </c>
      <c r="H176" s="2" t="s">
        <v>113</v>
      </c>
      <c r="I176" s="3" t="s">
        <v>77</v>
      </c>
      <c r="J176" s="3"/>
      <c r="K176" s="2" t="s">
        <v>50</v>
      </c>
      <c r="L176" s="2" t="s">
        <v>5</v>
      </c>
      <c r="M176" s="4" t="s">
        <v>67</v>
      </c>
      <c r="N176" s="3" t="s">
        <v>81</v>
      </c>
      <c r="O176" s="2" t="s">
        <v>14</v>
      </c>
      <c r="P176" s="10"/>
      <c r="Q176" s="11"/>
    </row>
    <row r="177" spans="2:17" ht="21" customHeight="1" x14ac:dyDescent="0.35">
      <c r="B177" s="18">
        <v>43849</v>
      </c>
      <c r="C177" s="18" t="str">
        <f>TEXT(Sales[[#This Row],[Kode Program/Kegiatan ]],"D")</f>
        <v>19</v>
      </c>
      <c r="D177" s="19" t="str">
        <f>TEXT(Sales[[#This Row],[Kode Program/Kegiatan ]],"mmm")</f>
        <v>Jan</v>
      </c>
      <c r="E177" s="20">
        <v>8</v>
      </c>
      <c r="F177" s="19">
        <v>8</v>
      </c>
      <c r="G177" s="20" t="str">
        <f>IF(Sales[[#This Row],[Anggaran Murni]]-Sales[[#This Row],[Target s.d. Januari]]=0,"",Sales[[#This Row],[Anggaran Murni]]-Sales[[#This Row],[Target s.d. Januari]])</f>
        <v/>
      </c>
      <c r="H177" s="19" t="s">
        <v>73</v>
      </c>
      <c r="I177" s="20" t="s">
        <v>78</v>
      </c>
      <c r="J177" s="20"/>
      <c r="K177" s="19" t="s">
        <v>60</v>
      </c>
      <c r="L177" s="19" t="s">
        <v>5</v>
      </c>
      <c r="M177" s="21" t="s">
        <v>67</v>
      </c>
      <c r="N177" s="20" t="s">
        <v>82</v>
      </c>
      <c r="O177" s="19" t="s">
        <v>13</v>
      </c>
      <c r="P177" s="10"/>
      <c r="Q177" s="11"/>
    </row>
    <row r="178" spans="2:17" ht="21" customHeight="1" x14ac:dyDescent="0.35">
      <c r="B178" s="1">
        <v>43849</v>
      </c>
      <c r="C178" s="1" t="str">
        <f>TEXT(Sales[[#This Row],[Kode Program/Kegiatan ]],"D")</f>
        <v>19</v>
      </c>
      <c r="D178" s="2" t="str">
        <f>TEXT(Sales[[#This Row],[Kode Program/Kegiatan ]],"mmm")</f>
        <v>Jan</v>
      </c>
      <c r="E178" s="3">
        <v>8</v>
      </c>
      <c r="F178" s="2">
        <v>8</v>
      </c>
      <c r="G178" s="3" t="str">
        <f>IF(Sales[[#This Row],[Anggaran Murni]]-Sales[[#This Row],[Target s.d. Januari]]=0,"",Sales[[#This Row],[Anggaran Murni]]-Sales[[#This Row],[Target s.d. Januari]])</f>
        <v/>
      </c>
      <c r="H178" s="2" t="s">
        <v>113</v>
      </c>
      <c r="I178" s="3" t="s">
        <v>77</v>
      </c>
      <c r="J178" s="3"/>
      <c r="K178" s="2" t="s">
        <v>29</v>
      </c>
      <c r="L178" s="2" t="s">
        <v>9</v>
      </c>
      <c r="M178" s="4" t="s">
        <v>67</v>
      </c>
      <c r="N178" s="3" t="s">
        <v>80</v>
      </c>
      <c r="O178" s="2" t="s">
        <v>11</v>
      </c>
      <c r="P178" s="10"/>
      <c r="Q178" s="11"/>
    </row>
    <row r="179" spans="2:17" ht="21" customHeight="1" x14ac:dyDescent="0.35">
      <c r="B179" s="18">
        <v>43849</v>
      </c>
      <c r="C179" s="18" t="str">
        <f>TEXT(Sales[[#This Row],[Kode Program/Kegiatan ]],"D")</f>
        <v>19</v>
      </c>
      <c r="D179" s="19" t="str">
        <f>TEXT(Sales[[#This Row],[Kode Program/Kegiatan ]],"mmm")</f>
        <v>Jan</v>
      </c>
      <c r="E179" s="20">
        <v>7</v>
      </c>
      <c r="F179" s="19">
        <v>7</v>
      </c>
      <c r="G179" s="20" t="str">
        <f>IF(Sales[[#This Row],[Anggaran Murni]]-Sales[[#This Row],[Target s.d. Januari]]=0,"",Sales[[#This Row],[Anggaran Murni]]-Sales[[#This Row],[Target s.d. Januari]])</f>
        <v/>
      </c>
      <c r="H179" s="19" t="s">
        <v>70</v>
      </c>
      <c r="I179" s="20" t="s">
        <v>1</v>
      </c>
      <c r="J179" s="20"/>
      <c r="K179" s="19" t="s">
        <v>24</v>
      </c>
      <c r="L179" s="19" t="s">
        <v>7</v>
      </c>
      <c r="M179" s="21" t="s">
        <v>67</v>
      </c>
      <c r="N179" s="20" t="s">
        <v>82</v>
      </c>
      <c r="O179" s="19" t="s">
        <v>14</v>
      </c>
      <c r="P179" s="10"/>
      <c r="Q179" s="11"/>
    </row>
    <row r="180" spans="2:17" ht="21" customHeight="1" x14ac:dyDescent="0.35">
      <c r="B180" s="1">
        <v>43849</v>
      </c>
      <c r="C180" s="1" t="str">
        <f>TEXT(Sales[[#This Row],[Kode Program/Kegiatan ]],"D")</f>
        <v>19</v>
      </c>
      <c r="D180" s="2" t="str">
        <f>TEXT(Sales[[#This Row],[Kode Program/Kegiatan ]],"mmm")</f>
        <v>Jan</v>
      </c>
      <c r="E180" s="3">
        <v>5</v>
      </c>
      <c r="F180" s="2">
        <v>5</v>
      </c>
      <c r="G180" s="3" t="str">
        <f>IF(Sales[[#This Row],[Anggaran Murni]]-Sales[[#This Row],[Target s.d. Januari]]=0,"",Sales[[#This Row],[Anggaran Murni]]-Sales[[#This Row],[Target s.d. Januari]])</f>
        <v/>
      </c>
      <c r="H180" s="2" t="s">
        <v>73</v>
      </c>
      <c r="I180" s="3" t="s">
        <v>78</v>
      </c>
      <c r="J180" s="3"/>
      <c r="K180" s="2" t="s">
        <v>62</v>
      </c>
      <c r="L180" s="2" t="s">
        <v>7</v>
      </c>
      <c r="M180" s="4" t="s">
        <v>67</v>
      </c>
      <c r="N180" s="3" t="s">
        <v>82</v>
      </c>
      <c r="O180" s="2" t="s">
        <v>13</v>
      </c>
      <c r="P180" s="10"/>
      <c r="Q180" s="11"/>
    </row>
    <row r="181" spans="2:17" ht="21" customHeight="1" x14ac:dyDescent="0.35">
      <c r="B181" s="18">
        <v>43849</v>
      </c>
      <c r="C181" s="18" t="str">
        <f>TEXT(Sales[[#This Row],[Kode Program/Kegiatan ]],"D")</f>
        <v>19</v>
      </c>
      <c r="D181" s="19" t="str">
        <f>TEXT(Sales[[#This Row],[Kode Program/Kegiatan ]],"mmm")</f>
        <v>Jan</v>
      </c>
      <c r="E181" s="20">
        <v>5</v>
      </c>
      <c r="F181" s="19">
        <v>5</v>
      </c>
      <c r="G181" s="20" t="str">
        <f>IF(Sales[[#This Row],[Anggaran Murni]]-Sales[[#This Row],[Target s.d. Januari]]=0,"",Sales[[#This Row],[Anggaran Murni]]-Sales[[#This Row],[Target s.d. Januari]])</f>
        <v/>
      </c>
      <c r="H181" s="19" t="s">
        <v>72</v>
      </c>
      <c r="I181" s="20" t="s">
        <v>78</v>
      </c>
      <c r="J181" s="20"/>
      <c r="K181" s="19" t="s">
        <v>48</v>
      </c>
      <c r="L181" s="19" t="s">
        <v>8</v>
      </c>
      <c r="M181" s="21" t="s">
        <v>67</v>
      </c>
      <c r="N181" s="20" t="s">
        <v>82</v>
      </c>
      <c r="O181" s="19" t="s">
        <v>14</v>
      </c>
      <c r="P181" s="10"/>
      <c r="Q181" s="11"/>
    </row>
    <row r="182" spans="2:17" ht="21" customHeight="1" x14ac:dyDescent="0.35">
      <c r="B182" s="1">
        <v>43849</v>
      </c>
      <c r="C182" s="1" t="str">
        <f>TEXT(Sales[[#This Row],[Kode Program/Kegiatan ]],"D")</f>
        <v>19</v>
      </c>
      <c r="D182" s="2" t="str">
        <f>TEXT(Sales[[#This Row],[Kode Program/Kegiatan ]],"mmm")</f>
        <v>Jan</v>
      </c>
      <c r="E182" s="3">
        <v>4</v>
      </c>
      <c r="F182" s="2">
        <v>4</v>
      </c>
      <c r="G182" s="3" t="str">
        <f>IF(Sales[[#This Row],[Anggaran Murni]]-Sales[[#This Row],[Target s.d. Januari]]=0,"",Sales[[#This Row],[Anggaran Murni]]-Sales[[#This Row],[Target s.d. Januari]])</f>
        <v/>
      </c>
      <c r="H182" s="2" t="s">
        <v>113</v>
      </c>
      <c r="I182" s="3" t="s">
        <v>77</v>
      </c>
      <c r="J182" s="3"/>
      <c r="K182" s="2" t="s">
        <v>30</v>
      </c>
      <c r="L182" s="2" t="s">
        <v>7</v>
      </c>
      <c r="M182" s="4" t="s">
        <v>67</v>
      </c>
      <c r="N182" s="3" t="s">
        <v>82</v>
      </c>
      <c r="O182" s="2" t="s">
        <v>13</v>
      </c>
      <c r="P182" s="10"/>
      <c r="Q182" s="11"/>
    </row>
    <row r="183" spans="2:17" ht="21" customHeight="1" x14ac:dyDescent="0.35">
      <c r="B183" s="18">
        <v>43849</v>
      </c>
      <c r="C183" s="18" t="str">
        <f>TEXT(Sales[[#This Row],[Kode Program/Kegiatan ]],"D")</f>
        <v>19</v>
      </c>
      <c r="D183" s="19" t="str">
        <f>TEXT(Sales[[#This Row],[Kode Program/Kegiatan ]],"mmm")</f>
        <v>Jan</v>
      </c>
      <c r="E183" s="20">
        <v>3</v>
      </c>
      <c r="F183" s="19">
        <v>3</v>
      </c>
      <c r="G183" s="20" t="str">
        <f>IF(Sales[[#This Row],[Anggaran Murni]]-Sales[[#This Row],[Target s.d. Januari]]=0,"",Sales[[#This Row],[Anggaran Murni]]-Sales[[#This Row],[Target s.d. Januari]])</f>
        <v/>
      </c>
      <c r="H183" s="19" t="s">
        <v>113</v>
      </c>
      <c r="I183" s="20" t="s">
        <v>77</v>
      </c>
      <c r="J183" s="20"/>
      <c r="K183" s="19" t="s">
        <v>25</v>
      </c>
      <c r="L183" s="19" t="s">
        <v>7</v>
      </c>
      <c r="M183" s="21" t="s">
        <v>67</v>
      </c>
      <c r="N183" s="20" t="s">
        <v>80</v>
      </c>
      <c r="O183" s="19" t="s">
        <v>13</v>
      </c>
      <c r="P183" s="10"/>
      <c r="Q183" s="11"/>
    </row>
    <row r="184" spans="2:17" ht="21" customHeight="1" x14ac:dyDescent="0.35">
      <c r="B184" s="1">
        <v>43849</v>
      </c>
      <c r="C184" s="1" t="str">
        <f>TEXT(Sales[[#This Row],[Kode Program/Kegiatan ]],"D")</f>
        <v>19</v>
      </c>
      <c r="D184" s="2" t="str">
        <f>TEXT(Sales[[#This Row],[Kode Program/Kegiatan ]],"mmm")</f>
        <v>Jan</v>
      </c>
      <c r="E184" s="3">
        <v>3</v>
      </c>
      <c r="F184" s="2">
        <v>3</v>
      </c>
      <c r="G184" s="3" t="str">
        <f>IF(Sales[[#This Row],[Anggaran Murni]]-Sales[[#This Row],[Target s.d. Januari]]=0,"",Sales[[#This Row],[Anggaran Murni]]-Sales[[#This Row],[Target s.d. Januari]])</f>
        <v/>
      </c>
      <c r="H184" s="2" t="s">
        <v>73</v>
      </c>
      <c r="I184" s="3" t="s">
        <v>78</v>
      </c>
      <c r="J184" s="3"/>
      <c r="K184" s="2" t="s">
        <v>56</v>
      </c>
      <c r="L184" s="2" t="s">
        <v>2</v>
      </c>
      <c r="M184" s="4" t="s">
        <v>67</v>
      </c>
      <c r="N184" s="3" t="s">
        <v>80</v>
      </c>
      <c r="O184" s="2" t="s">
        <v>13</v>
      </c>
      <c r="P184" s="10"/>
      <c r="Q184" s="11"/>
    </row>
    <row r="185" spans="2:17" ht="21" customHeight="1" x14ac:dyDescent="0.35">
      <c r="B185" s="18">
        <v>43850</v>
      </c>
      <c r="C185" s="18" t="str">
        <f>TEXT(Sales[[#This Row],[Kode Program/Kegiatan ]],"D")</f>
        <v>20</v>
      </c>
      <c r="D185" s="19" t="str">
        <f>TEXT(Sales[[#This Row],[Kode Program/Kegiatan ]],"mmm")</f>
        <v>Jan</v>
      </c>
      <c r="E185" s="20">
        <v>10</v>
      </c>
      <c r="F185" s="19">
        <v>10</v>
      </c>
      <c r="G185" s="20" t="str">
        <f>IF(Sales[[#This Row],[Anggaran Murni]]-Sales[[#This Row],[Target s.d. Januari]]=0,"",Sales[[#This Row],[Anggaran Murni]]-Sales[[#This Row],[Target s.d. Januari]])</f>
        <v/>
      </c>
      <c r="H185" s="19" t="s">
        <v>76</v>
      </c>
      <c r="I185" s="20" t="s">
        <v>79</v>
      </c>
      <c r="J185" s="20"/>
      <c r="K185" s="19" t="s">
        <v>46</v>
      </c>
      <c r="L185" s="19" t="s">
        <v>8</v>
      </c>
      <c r="M185" s="21" t="s">
        <v>67</v>
      </c>
      <c r="N185" s="20" t="s">
        <v>81</v>
      </c>
      <c r="O185" s="19" t="s">
        <v>13</v>
      </c>
      <c r="P185" s="10"/>
      <c r="Q185" s="11"/>
    </row>
    <row r="186" spans="2:17" ht="21" customHeight="1" x14ac:dyDescent="0.35">
      <c r="B186" s="1">
        <v>43850</v>
      </c>
      <c r="C186" s="1" t="str">
        <f>TEXT(Sales[[#This Row],[Kode Program/Kegiatan ]],"D")</f>
        <v>20</v>
      </c>
      <c r="D186" s="2" t="str">
        <f>TEXT(Sales[[#This Row],[Kode Program/Kegiatan ]],"mmm")</f>
        <v>Jan</v>
      </c>
      <c r="E186" s="3">
        <v>8</v>
      </c>
      <c r="F186" s="2">
        <v>8</v>
      </c>
      <c r="G186" s="3" t="str">
        <f>IF(Sales[[#This Row],[Anggaran Murni]]-Sales[[#This Row],[Target s.d. Januari]]=0,"",Sales[[#This Row],[Anggaran Murni]]-Sales[[#This Row],[Target s.d. Januari]])</f>
        <v/>
      </c>
      <c r="H186" s="2" t="s">
        <v>113</v>
      </c>
      <c r="I186" s="3" t="s">
        <v>77</v>
      </c>
      <c r="J186" s="3"/>
      <c r="K186" s="2" t="s">
        <v>40</v>
      </c>
      <c r="L186" s="2" t="s">
        <v>4</v>
      </c>
      <c r="M186" s="4" t="s">
        <v>67</v>
      </c>
      <c r="N186" s="3" t="s">
        <v>81</v>
      </c>
      <c r="O186" s="2" t="s">
        <v>13</v>
      </c>
      <c r="P186" s="10"/>
      <c r="Q186" s="11"/>
    </row>
    <row r="187" spans="2:17" ht="21" customHeight="1" x14ac:dyDescent="0.35">
      <c r="B187" s="18">
        <v>43850</v>
      </c>
      <c r="C187" s="18" t="str">
        <f>TEXT(Sales[[#This Row],[Kode Program/Kegiatan ]],"D")</f>
        <v>20</v>
      </c>
      <c r="D187" s="19" t="str">
        <f>TEXT(Sales[[#This Row],[Kode Program/Kegiatan ]],"mmm")</f>
        <v>Jan</v>
      </c>
      <c r="E187" s="20">
        <v>8</v>
      </c>
      <c r="F187" s="19">
        <v>8</v>
      </c>
      <c r="G187" s="20" t="str">
        <f>IF(Sales[[#This Row],[Anggaran Murni]]-Sales[[#This Row],[Target s.d. Januari]]=0,"",Sales[[#This Row],[Anggaran Murni]]-Sales[[#This Row],[Target s.d. Januari]])</f>
        <v/>
      </c>
      <c r="H187" s="19" t="s">
        <v>75</v>
      </c>
      <c r="I187" s="20" t="s">
        <v>6</v>
      </c>
      <c r="J187" s="20"/>
      <c r="K187" s="19" t="s">
        <v>41</v>
      </c>
      <c r="L187" s="19" t="s">
        <v>2</v>
      </c>
      <c r="M187" s="21" t="s">
        <v>67</v>
      </c>
      <c r="N187" s="20" t="s">
        <v>80</v>
      </c>
      <c r="O187" s="19" t="s">
        <v>14</v>
      </c>
      <c r="P187" s="10"/>
      <c r="Q187" s="11"/>
    </row>
    <row r="188" spans="2:17" ht="21" customHeight="1" x14ac:dyDescent="0.35">
      <c r="B188" s="1">
        <v>43850</v>
      </c>
      <c r="C188" s="1" t="str">
        <f>TEXT(Sales[[#This Row],[Kode Program/Kegiatan ]],"D")</f>
        <v>20</v>
      </c>
      <c r="D188" s="2" t="str">
        <f>TEXT(Sales[[#This Row],[Kode Program/Kegiatan ]],"mmm")</f>
        <v>Jan</v>
      </c>
      <c r="E188" s="3">
        <v>6</v>
      </c>
      <c r="F188" s="2">
        <v>6</v>
      </c>
      <c r="G188" s="3" t="str">
        <f>IF(Sales[[#This Row],[Anggaran Murni]]-Sales[[#This Row],[Target s.d. Januari]]=0,"",Sales[[#This Row],[Anggaran Murni]]-Sales[[#This Row],[Target s.d. Januari]])</f>
        <v/>
      </c>
      <c r="H188" s="2" t="s">
        <v>113</v>
      </c>
      <c r="I188" s="3" t="s">
        <v>77</v>
      </c>
      <c r="J188" s="3"/>
      <c r="K188" s="2" t="s">
        <v>34</v>
      </c>
      <c r="L188" s="2" t="s">
        <v>2</v>
      </c>
      <c r="M188" s="4" t="s">
        <v>67</v>
      </c>
      <c r="N188" s="3" t="s">
        <v>82</v>
      </c>
      <c r="O188" s="2" t="s">
        <v>11</v>
      </c>
      <c r="P188" s="10"/>
      <c r="Q188" s="11"/>
    </row>
    <row r="189" spans="2:17" ht="21" customHeight="1" x14ac:dyDescent="0.35">
      <c r="B189" s="18">
        <v>43850</v>
      </c>
      <c r="C189" s="18" t="str">
        <f>TEXT(Sales[[#This Row],[Kode Program/Kegiatan ]],"D")</f>
        <v>20</v>
      </c>
      <c r="D189" s="19" t="str">
        <f>TEXT(Sales[[#This Row],[Kode Program/Kegiatan ]],"mmm")</f>
        <v>Jan</v>
      </c>
      <c r="E189" s="20">
        <v>3</v>
      </c>
      <c r="F189" s="19">
        <v>3</v>
      </c>
      <c r="G189" s="20" t="str">
        <f>IF(Sales[[#This Row],[Anggaran Murni]]-Sales[[#This Row],[Target s.d. Januari]]=0,"",Sales[[#This Row],[Anggaran Murni]]-Sales[[#This Row],[Target s.d. Januari]])</f>
        <v/>
      </c>
      <c r="H189" s="19" t="s">
        <v>74</v>
      </c>
      <c r="I189" s="20" t="s">
        <v>77</v>
      </c>
      <c r="J189" s="20"/>
      <c r="K189" s="19" t="s">
        <v>36</v>
      </c>
      <c r="L189" s="19" t="s">
        <v>5</v>
      </c>
      <c r="M189" s="21" t="s">
        <v>67</v>
      </c>
      <c r="N189" s="20" t="s">
        <v>80</v>
      </c>
      <c r="O189" s="19" t="s">
        <v>12</v>
      </c>
      <c r="P189" s="10"/>
      <c r="Q189" s="11"/>
    </row>
    <row r="190" spans="2:17" ht="21" customHeight="1" x14ac:dyDescent="0.35">
      <c r="B190" s="1">
        <v>43851</v>
      </c>
      <c r="C190" s="1" t="str">
        <f>TEXT(Sales[[#This Row],[Kode Program/Kegiatan ]],"D")</f>
        <v>21</v>
      </c>
      <c r="D190" s="2" t="str">
        <f>TEXT(Sales[[#This Row],[Kode Program/Kegiatan ]],"mmm")</f>
        <v>Jan</v>
      </c>
      <c r="E190" s="3">
        <v>10</v>
      </c>
      <c r="F190" s="2">
        <v>10</v>
      </c>
      <c r="G190" s="3" t="str">
        <f>IF(Sales[[#This Row],[Anggaran Murni]]-Sales[[#This Row],[Target s.d. Januari]]=0,"",Sales[[#This Row],[Anggaran Murni]]-Sales[[#This Row],[Target s.d. Januari]])</f>
        <v/>
      </c>
      <c r="H190" s="2" t="s">
        <v>75</v>
      </c>
      <c r="I190" s="3" t="s">
        <v>6</v>
      </c>
      <c r="J190" s="3"/>
      <c r="K190" s="2" t="s">
        <v>24</v>
      </c>
      <c r="L190" s="2" t="s">
        <v>9</v>
      </c>
      <c r="M190" s="4" t="s">
        <v>67</v>
      </c>
      <c r="N190" s="3" t="s">
        <v>82</v>
      </c>
      <c r="O190" s="2" t="s">
        <v>12</v>
      </c>
      <c r="P190" s="10"/>
      <c r="Q190" s="11"/>
    </row>
    <row r="191" spans="2:17" ht="21" customHeight="1" x14ac:dyDescent="0.35">
      <c r="B191" s="18">
        <v>43851</v>
      </c>
      <c r="C191" s="18" t="str">
        <f>TEXT(Sales[[#This Row],[Kode Program/Kegiatan ]],"D")</f>
        <v>21</v>
      </c>
      <c r="D191" s="19" t="str">
        <f>TEXT(Sales[[#This Row],[Kode Program/Kegiatan ]],"mmm")</f>
        <v>Jan</v>
      </c>
      <c r="E191" s="20">
        <v>10</v>
      </c>
      <c r="F191" s="19">
        <v>10</v>
      </c>
      <c r="G191" s="20" t="str">
        <f>IF(Sales[[#This Row],[Anggaran Murni]]-Sales[[#This Row],[Target s.d. Januari]]=0,"",Sales[[#This Row],[Anggaran Murni]]-Sales[[#This Row],[Target s.d. Januari]])</f>
        <v/>
      </c>
      <c r="H191" s="19" t="s">
        <v>76</v>
      </c>
      <c r="I191" s="20" t="s">
        <v>79</v>
      </c>
      <c r="J191" s="20"/>
      <c r="K191" s="19" t="s">
        <v>47</v>
      </c>
      <c r="L191" s="19" t="s">
        <v>5</v>
      </c>
      <c r="M191" s="21" t="s">
        <v>67</v>
      </c>
      <c r="N191" s="20" t="s">
        <v>81</v>
      </c>
      <c r="O191" s="19" t="s">
        <v>11</v>
      </c>
      <c r="P191" s="10"/>
      <c r="Q191" s="11"/>
    </row>
    <row r="192" spans="2:17" ht="21" customHeight="1" x14ac:dyDescent="0.35">
      <c r="B192" s="1">
        <v>43851</v>
      </c>
      <c r="C192" s="1" t="str">
        <f>TEXT(Sales[[#This Row],[Kode Program/Kegiatan ]],"D")</f>
        <v>21</v>
      </c>
      <c r="D192" s="2" t="str">
        <f>TEXT(Sales[[#This Row],[Kode Program/Kegiatan ]],"mmm")</f>
        <v>Jan</v>
      </c>
      <c r="E192" s="3">
        <v>9</v>
      </c>
      <c r="F192" s="2">
        <v>9</v>
      </c>
      <c r="G192" s="3" t="str">
        <f>IF(Sales[[#This Row],[Anggaran Murni]]-Sales[[#This Row],[Target s.d. Januari]]=0,"",Sales[[#This Row],[Anggaran Murni]]-Sales[[#This Row],[Target s.d. Januari]])</f>
        <v/>
      </c>
      <c r="H192" s="2" t="s">
        <v>74</v>
      </c>
      <c r="I192" s="3" t="s">
        <v>77</v>
      </c>
      <c r="J192" s="3"/>
      <c r="K192" s="2" t="s">
        <v>55</v>
      </c>
      <c r="L192" s="2" t="s">
        <v>5</v>
      </c>
      <c r="M192" s="4" t="s">
        <v>67</v>
      </c>
      <c r="N192" s="3" t="s">
        <v>81</v>
      </c>
      <c r="O192" s="2" t="s">
        <v>14</v>
      </c>
      <c r="P192" s="10"/>
      <c r="Q192" s="11"/>
    </row>
    <row r="193" spans="2:17" ht="21" customHeight="1" x14ac:dyDescent="0.35">
      <c r="B193" s="18">
        <v>43851</v>
      </c>
      <c r="C193" s="18" t="str">
        <f>TEXT(Sales[[#This Row],[Kode Program/Kegiatan ]],"D")</f>
        <v>21</v>
      </c>
      <c r="D193" s="19" t="str">
        <f>TEXT(Sales[[#This Row],[Kode Program/Kegiatan ]],"mmm")</f>
        <v>Jan</v>
      </c>
      <c r="E193" s="20">
        <v>9</v>
      </c>
      <c r="F193" s="19">
        <v>9</v>
      </c>
      <c r="G193" s="20" t="str">
        <f>IF(Sales[[#This Row],[Anggaran Murni]]-Sales[[#This Row],[Target s.d. Januari]]=0,"",Sales[[#This Row],[Anggaran Murni]]-Sales[[#This Row],[Target s.d. Januari]])</f>
        <v/>
      </c>
      <c r="H193" s="19" t="s">
        <v>71</v>
      </c>
      <c r="I193" s="20" t="s">
        <v>6</v>
      </c>
      <c r="J193" s="20"/>
      <c r="K193" s="19" t="s">
        <v>41</v>
      </c>
      <c r="L193" s="19" t="s">
        <v>2</v>
      </c>
      <c r="M193" s="21" t="s">
        <v>67</v>
      </c>
      <c r="N193" s="20" t="s">
        <v>82</v>
      </c>
      <c r="O193" s="19" t="s">
        <v>11</v>
      </c>
      <c r="P193" s="10"/>
      <c r="Q193" s="11"/>
    </row>
    <row r="194" spans="2:17" ht="21" customHeight="1" x14ac:dyDescent="0.35">
      <c r="B194" s="1">
        <v>43851</v>
      </c>
      <c r="C194" s="1" t="str">
        <f>TEXT(Sales[[#This Row],[Kode Program/Kegiatan ]],"D")</f>
        <v>21</v>
      </c>
      <c r="D194" s="2" t="str">
        <f>TEXT(Sales[[#This Row],[Kode Program/Kegiatan ]],"mmm")</f>
        <v>Jan</v>
      </c>
      <c r="E194" s="3">
        <v>8</v>
      </c>
      <c r="F194" s="2">
        <v>8</v>
      </c>
      <c r="G194" s="3" t="str">
        <f>IF(Sales[[#This Row],[Anggaran Murni]]-Sales[[#This Row],[Target s.d. Januari]]=0,"",Sales[[#This Row],[Anggaran Murni]]-Sales[[#This Row],[Target s.d. Januari]])</f>
        <v/>
      </c>
      <c r="H194" s="2" t="s">
        <v>72</v>
      </c>
      <c r="I194" s="3" t="s">
        <v>78</v>
      </c>
      <c r="J194" s="3"/>
      <c r="K194" s="2" t="s">
        <v>28</v>
      </c>
      <c r="L194" s="2" t="s">
        <v>2</v>
      </c>
      <c r="M194" s="4" t="s">
        <v>67</v>
      </c>
      <c r="N194" s="3" t="s">
        <v>80</v>
      </c>
      <c r="O194" s="2" t="s">
        <v>13</v>
      </c>
      <c r="P194" s="10"/>
      <c r="Q194" s="11"/>
    </row>
    <row r="195" spans="2:17" ht="21" customHeight="1" x14ac:dyDescent="0.35">
      <c r="B195" s="18">
        <v>43851</v>
      </c>
      <c r="C195" s="18" t="str">
        <f>TEXT(Sales[[#This Row],[Kode Program/Kegiatan ]],"D")</f>
        <v>21</v>
      </c>
      <c r="D195" s="19" t="str">
        <f>TEXT(Sales[[#This Row],[Kode Program/Kegiatan ]],"mmm")</f>
        <v>Jan</v>
      </c>
      <c r="E195" s="20">
        <v>7</v>
      </c>
      <c r="F195" s="19">
        <v>7</v>
      </c>
      <c r="G195" s="20" t="str">
        <f>IF(Sales[[#This Row],[Anggaran Murni]]-Sales[[#This Row],[Target s.d. Januari]]=0,"",Sales[[#This Row],[Anggaran Murni]]-Sales[[#This Row],[Target s.d. Januari]])</f>
        <v/>
      </c>
      <c r="H195" s="19" t="s">
        <v>70</v>
      </c>
      <c r="I195" s="20" t="s">
        <v>1</v>
      </c>
      <c r="J195" s="20"/>
      <c r="K195" s="19" t="s">
        <v>46</v>
      </c>
      <c r="L195" s="19" t="s">
        <v>5</v>
      </c>
      <c r="M195" s="21" t="s">
        <v>67</v>
      </c>
      <c r="N195" s="20" t="s">
        <v>80</v>
      </c>
      <c r="O195" s="19" t="s">
        <v>14</v>
      </c>
      <c r="P195" s="10"/>
      <c r="Q195" s="11"/>
    </row>
    <row r="196" spans="2:17" ht="21" customHeight="1" x14ac:dyDescent="0.35">
      <c r="B196" s="1">
        <v>43851</v>
      </c>
      <c r="C196" s="1" t="str">
        <f>TEXT(Sales[[#This Row],[Kode Program/Kegiatan ]],"D")</f>
        <v>21</v>
      </c>
      <c r="D196" s="2" t="str">
        <f>TEXT(Sales[[#This Row],[Kode Program/Kegiatan ]],"mmm")</f>
        <v>Jan</v>
      </c>
      <c r="E196" s="3">
        <v>7</v>
      </c>
      <c r="F196" s="2">
        <v>7</v>
      </c>
      <c r="G196" s="3" t="str">
        <f>IF(Sales[[#This Row],[Anggaran Murni]]-Sales[[#This Row],[Target s.d. Januari]]=0,"",Sales[[#This Row],[Anggaran Murni]]-Sales[[#This Row],[Target s.d. Januari]])</f>
        <v/>
      </c>
      <c r="H196" s="2" t="s">
        <v>73</v>
      </c>
      <c r="I196" s="3" t="s">
        <v>78</v>
      </c>
      <c r="J196" s="3"/>
      <c r="K196" s="2" t="s">
        <v>41</v>
      </c>
      <c r="L196" s="2" t="s">
        <v>5</v>
      </c>
      <c r="M196" s="4" t="s">
        <v>67</v>
      </c>
      <c r="N196" s="3" t="s">
        <v>80</v>
      </c>
      <c r="O196" s="2" t="s">
        <v>11</v>
      </c>
      <c r="P196" s="10"/>
      <c r="Q196" s="11"/>
    </row>
    <row r="197" spans="2:17" ht="21" customHeight="1" x14ac:dyDescent="0.35">
      <c r="B197" s="18">
        <v>43851</v>
      </c>
      <c r="C197" s="18" t="str">
        <f>TEXT(Sales[[#This Row],[Kode Program/Kegiatan ]],"D")</f>
        <v>21</v>
      </c>
      <c r="D197" s="19" t="str">
        <f>TEXT(Sales[[#This Row],[Kode Program/Kegiatan ]],"mmm")</f>
        <v>Jan</v>
      </c>
      <c r="E197" s="20">
        <v>6</v>
      </c>
      <c r="F197" s="19">
        <v>6</v>
      </c>
      <c r="G197" s="20" t="str">
        <f>IF(Sales[[#This Row],[Anggaran Murni]]-Sales[[#This Row],[Target s.d. Januari]]=0,"",Sales[[#This Row],[Anggaran Murni]]-Sales[[#This Row],[Target s.d. Januari]])</f>
        <v/>
      </c>
      <c r="H197" s="19" t="s">
        <v>113</v>
      </c>
      <c r="I197" s="20" t="s">
        <v>77</v>
      </c>
      <c r="J197" s="20"/>
      <c r="K197" s="19" t="s">
        <v>31</v>
      </c>
      <c r="L197" s="19" t="s">
        <v>5</v>
      </c>
      <c r="M197" s="21" t="s">
        <v>67</v>
      </c>
      <c r="N197" s="20" t="s">
        <v>82</v>
      </c>
      <c r="O197" s="19" t="s">
        <v>11</v>
      </c>
      <c r="P197" s="10"/>
      <c r="Q197" s="11"/>
    </row>
    <row r="198" spans="2:17" ht="21" customHeight="1" x14ac:dyDescent="0.35">
      <c r="B198" s="1">
        <v>43851</v>
      </c>
      <c r="C198" s="1" t="str">
        <f>TEXT(Sales[[#This Row],[Kode Program/Kegiatan ]],"D")</f>
        <v>21</v>
      </c>
      <c r="D198" s="2" t="str">
        <f>TEXT(Sales[[#This Row],[Kode Program/Kegiatan ]],"mmm")</f>
        <v>Jan</v>
      </c>
      <c r="E198" s="3">
        <v>5</v>
      </c>
      <c r="F198" s="2">
        <v>5</v>
      </c>
      <c r="G198" s="3" t="str">
        <f>IF(Sales[[#This Row],[Anggaran Murni]]-Sales[[#This Row],[Target s.d. Januari]]=0,"",Sales[[#This Row],[Anggaran Murni]]-Sales[[#This Row],[Target s.d. Januari]])</f>
        <v/>
      </c>
      <c r="H198" s="2" t="s">
        <v>73</v>
      </c>
      <c r="I198" s="3" t="s">
        <v>78</v>
      </c>
      <c r="J198" s="3"/>
      <c r="K198" s="2" t="s">
        <v>58</v>
      </c>
      <c r="L198" s="2" t="s">
        <v>5</v>
      </c>
      <c r="M198" s="4" t="s">
        <v>67</v>
      </c>
      <c r="N198" s="3" t="s">
        <v>80</v>
      </c>
      <c r="O198" s="2" t="s">
        <v>11</v>
      </c>
      <c r="P198" s="10"/>
      <c r="Q198" s="11"/>
    </row>
    <row r="199" spans="2:17" ht="21" customHeight="1" x14ac:dyDescent="0.35">
      <c r="B199" s="18">
        <v>43851</v>
      </c>
      <c r="C199" s="18" t="str">
        <f>TEXT(Sales[[#This Row],[Kode Program/Kegiatan ]],"D")</f>
        <v>21</v>
      </c>
      <c r="D199" s="19" t="str">
        <f>TEXT(Sales[[#This Row],[Kode Program/Kegiatan ]],"mmm")</f>
        <v>Jan</v>
      </c>
      <c r="E199" s="20">
        <v>4</v>
      </c>
      <c r="F199" s="19">
        <v>4</v>
      </c>
      <c r="G199" s="20" t="str">
        <f>IF(Sales[[#This Row],[Anggaran Murni]]-Sales[[#This Row],[Target s.d. Januari]]=0,"",Sales[[#This Row],[Anggaran Murni]]-Sales[[#This Row],[Target s.d. Januari]])</f>
        <v/>
      </c>
      <c r="H199" s="19" t="s">
        <v>71</v>
      </c>
      <c r="I199" s="20" t="s">
        <v>6</v>
      </c>
      <c r="J199" s="20"/>
      <c r="K199" s="19" t="s">
        <v>21</v>
      </c>
      <c r="L199" s="19" t="s">
        <v>5</v>
      </c>
      <c r="M199" s="21" t="s">
        <v>67</v>
      </c>
      <c r="N199" s="20" t="s">
        <v>80</v>
      </c>
      <c r="O199" s="19" t="s">
        <v>12</v>
      </c>
      <c r="P199" s="10"/>
      <c r="Q199" s="11"/>
    </row>
    <row r="200" spans="2:17" ht="21" customHeight="1" x14ac:dyDescent="0.35">
      <c r="B200" s="1">
        <v>43851</v>
      </c>
      <c r="C200" s="1" t="str">
        <f>TEXT(Sales[[#This Row],[Kode Program/Kegiatan ]],"D")</f>
        <v>21</v>
      </c>
      <c r="D200" s="2" t="str">
        <f>TEXT(Sales[[#This Row],[Kode Program/Kegiatan ]],"mmm")</f>
        <v>Jan</v>
      </c>
      <c r="E200" s="3">
        <v>4</v>
      </c>
      <c r="F200" s="2">
        <v>4</v>
      </c>
      <c r="G200" s="3" t="str">
        <f>IF(Sales[[#This Row],[Anggaran Murni]]-Sales[[#This Row],[Target s.d. Januari]]=0,"",Sales[[#This Row],[Anggaran Murni]]-Sales[[#This Row],[Target s.d. Januari]])</f>
        <v/>
      </c>
      <c r="H200" s="2" t="s">
        <v>71</v>
      </c>
      <c r="I200" s="3" t="s">
        <v>6</v>
      </c>
      <c r="J200" s="3"/>
      <c r="K200" s="2" t="s">
        <v>30</v>
      </c>
      <c r="L200" s="2" t="s">
        <v>9</v>
      </c>
      <c r="M200" s="4" t="s">
        <v>67</v>
      </c>
      <c r="N200" s="3" t="s">
        <v>80</v>
      </c>
      <c r="O200" s="2" t="s">
        <v>12</v>
      </c>
      <c r="P200" s="10"/>
      <c r="Q200" s="11"/>
    </row>
    <row r="201" spans="2:17" ht="21" customHeight="1" x14ac:dyDescent="0.35">
      <c r="B201" s="18">
        <v>43851</v>
      </c>
      <c r="C201" s="18" t="str">
        <f>TEXT(Sales[[#This Row],[Kode Program/Kegiatan ]],"D")</f>
        <v>21</v>
      </c>
      <c r="D201" s="19" t="str">
        <f>TEXT(Sales[[#This Row],[Kode Program/Kegiatan ]],"mmm")</f>
        <v>Jan</v>
      </c>
      <c r="E201" s="20">
        <v>3</v>
      </c>
      <c r="F201" s="19">
        <v>3</v>
      </c>
      <c r="G201" s="20" t="str">
        <f>IF(Sales[[#This Row],[Anggaran Murni]]-Sales[[#This Row],[Target s.d. Januari]]=0,"",Sales[[#This Row],[Anggaran Murni]]-Sales[[#This Row],[Target s.d. Januari]])</f>
        <v/>
      </c>
      <c r="H201" s="19" t="s">
        <v>75</v>
      </c>
      <c r="I201" s="20" t="s">
        <v>6</v>
      </c>
      <c r="J201" s="20"/>
      <c r="K201" s="19" t="s">
        <v>49</v>
      </c>
      <c r="L201" s="19" t="s">
        <v>9</v>
      </c>
      <c r="M201" s="21" t="s">
        <v>67</v>
      </c>
      <c r="N201" s="20" t="s">
        <v>81</v>
      </c>
      <c r="O201" s="19" t="s">
        <v>13</v>
      </c>
      <c r="P201" s="10"/>
      <c r="Q201" s="11"/>
    </row>
    <row r="202" spans="2:17" ht="21" customHeight="1" x14ac:dyDescent="0.35">
      <c r="B202" s="1">
        <v>43852</v>
      </c>
      <c r="C202" s="1" t="str">
        <f>TEXT(Sales[[#This Row],[Kode Program/Kegiatan ]],"D")</f>
        <v>22</v>
      </c>
      <c r="D202" s="2" t="str">
        <f>TEXT(Sales[[#This Row],[Kode Program/Kegiatan ]],"mmm")</f>
        <v>Jan</v>
      </c>
      <c r="E202" s="3">
        <v>9</v>
      </c>
      <c r="F202" s="2">
        <v>9</v>
      </c>
      <c r="G202" s="3" t="str">
        <f>IF(Sales[[#This Row],[Anggaran Murni]]-Sales[[#This Row],[Target s.d. Januari]]=0,"",Sales[[#This Row],[Anggaran Murni]]-Sales[[#This Row],[Target s.d. Januari]])</f>
        <v/>
      </c>
      <c r="H202" s="2" t="s">
        <v>76</v>
      </c>
      <c r="I202" s="3" t="s">
        <v>79</v>
      </c>
      <c r="J202" s="3"/>
      <c r="K202" s="2" t="s">
        <v>48</v>
      </c>
      <c r="L202" s="2" t="s">
        <v>5</v>
      </c>
      <c r="M202" s="4" t="s">
        <v>67</v>
      </c>
      <c r="N202" s="3" t="s">
        <v>82</v>
      </c>
      <c r="O202" s="2" t="s">
        <v>13</v>
      </c>
      <c r="P202" s="10"/>
      <c r="Q202" s="11"/>
    </row>
    <row r="203" spans="2:17" ht="21" customHeight="1" x14ac:dyDescent="0.35">
      <c r="B203" s="18">
        <v>43852</v>
      </c>
      <c r="C203" s="18" t="str">
        <f>TEXT(Sales[[#This Row],[Kode Program/Kegiatan ]],"D")</f>
        <v>22</v>
      </c>
      <c r="D203" s="19" t="str">
        <f>TEXT(Sales[[#This Row],[Kode Program/Kegiatan ]],"mmm")</f>
        <v>Jan</v>
      </c>
      <c r="E203" s="20">
        <v>7</v>
      </c>
      <c r="F203" s="19">
        <v>7</v>
      </c>
      <c r="G203" s="20" t="str">
        <f>IF(Sales[[#This Row],[Anggaran Murni]]-Sales[[#This Row],[Target s.d. Januari]]=0,"",Sales[[#This Row],[Anggaran Murni]]-Sales[[#This Row],[Target s.d. Januari]])</f>
        <v/>
      </c>
      <c r="H203" s="19" t="s">
        <v>75</v>
      </c>
      <c r="I203" s="20" t="s">
        <v>6</v>
      </c>
      <c r="J203" s="20"/>
      <c r="K203" s="19" t="s">
        <v>52</v>
      </c>
      <c r="L203" s="19" t="s">
        <v>2</v>
      </c>
      <c r="M203" s="21" t="s">
        <v>67</v>
      </c>
      <c r="N203" s="20" t="s">
        <v>82</v>
      </c>
      <c r="O203" s="19" t="s">
        <v>11</v>
      </c>
      <c r="P203" s="10"/>
      <c r="Q203" s="11"/>
    </row>
    <row r="204" spans="2:17" ht="21" customHeight="1" x14ac:dyDescent="0.35">
      <c r="B204" s="1">
        <v>43852</v>
      </c>
      <c r="C204" s="1" t="str">
        <f>TEXT(Sales[[#This Row],[Kode Program/Kegiatan ]],"D")</f>
        <v>22</v>
      </c>
      <c r="D204" s="2" t="str">
        <f>TEXT(Sales[[#This Row],[Kode Program/Kegiatan ]],"mmm")</f>
        <v>Jan</v>
      </c>
      <c r="E204" s="3">
        <v>6</v>
      </c>
      <c r="F204" s="2">
        <v>6</v>
      </c>
      <c r="G204" s="3" t="str">
        <f>IF(Sales[[#This Row],[Anggaran Murni]]-Sales[[#This Row],[Target s.d. Januari]]=0,"",Sales[[#This Row],[Anggaran Murni]]-Sales[[#This Row],[Target s.d. Januari]])</f>
        <v/>
      </c>
      <c r="H204" s="2" t="s">
        <v>72</v>
      </c>
      <c r="I204" s="3" t="s">
        <v>78</v>
      </c>
      <c r="J204" s="3"/>
      <c r="K204" s="2" t="s">
        <v>59</v>
      </c>
      <c r="L204" s="2" t="s">
        <v>8</v>
      </c>
      <c r="M204" s="4" t="s">
        <v>67</v>
      </c>
      <c r="N204" s="3" t="s">
        <v>82</v>
      </c>
      <c r="O204" s="2" t="s">
        <v>11</v>
      </c>
      <c r="P204" s="10"/>
      <c r="Q204" s="11"/>
    </row>
    <row r="205" spans="2:17" ht="21" customHeight="1" x14ac:dyDescent="0.35">
      <c r="B205" s="18">
        <v>43852</v>
      </c>
      <c r="C205" s="18" t="str">
        <f>TEXT(Sales[[#This Row],[Kode Program/Kegiatan ]],"D")</f>
        <v>22</v>
      </c>
      <c r="D205" s="19" t="str">
        <f>TEXT(Sales[[#This Row],[Kode Program/Kegiatan ]],"mmm")</f>
        <v>Jan</v>
      </c>
      <c r="E205" s="20">
        <v>6</v>
      </c>
      <c r="F205" s="19">
        <v>6</v>
      </c>
      <c r="G205" s="20" t="str">
        <f>IF(Sales[[#This Row],[Anggaran Murni]]-Sales[[#This Row],[Target s.d. Januari]]=0,"",Sales[[#This Row],[Anggaran Murni]]-Sales[[#This Row],[Target s.d. Januari]])</f>
        <v/>
      </c>
      <c r="H205" s="19" t="s">
        <v>72</v>
      </c>
      <c r="I205" s="20" t="s">
        <v>78</v>
      </c>
      <c r="J205" s="20"/>
      <c r="K205" s="19" t="s">
        <v>58</v>
      </c>
      <c r="L205" s="19" t="s">
        <v>2</v>
      </c>
      <c r="M205" s="21" t="s">
        <v>67</v>
      </c>
      <c r="N205" s="20" t="s">
        <v>82</v>
      </c>
      <c r="O205" s="19" t="s">
        <v>13</v>
      </c>
      <c r="P205" s="10"/>
      <c r="Q205" s="11"/>
    </row>
    <row r="206" spans="2:17" ht="21" customHeight="1" x14ac:dyDescent="0.35">
      <c r="B206" s="1">
        <v>43852</v>
      </c>
      <c r="C206" s="1" t="str">
        <f>TEXT(Sales[[#This Row],[Kode Program/Kegiatan ]],"D")</f>
        <v>22</v>
      </c>
      <c r="D206" s="2" t="str">
        <f>TEXT(Sales[[#This Row],[Kode Program/Kegiatan ]],"mmm")</f>
        <v>Jan</v>
      </c>
      <c r="E206" s="3">
        <v>6</v>
      </c>
      <c r="F206" s="2">
        <v>6</v>
      </c>
      <c r="G206" s="3" t="str">
        <f>IF(Sales[[#This Row],[Anggaran Murni]]-Sales[[#This Row],[Target s.d. Januari]]=0,"",Sales[[#This Row],[Anggaran Murni]]-Sales[[#This Row],[Target s.d. Januari]])</f>
        <v/>
      </c>
      <c r="H206" s="2" t="s">
        <v>70</v>
      </c>
      <c r="I206" s="3" t="s">
        <v>1</v>
      </c>
      <c r="J206" s="3"/>
      <c r="K206" s="2" t="s">
        <v>52</v>
      </c>
      <c r="L206" s="2" t="s">
        <v>7</v>
      </c>
      <c r="M206" s="4" t="s">
        <v>67</v>
      </c>
      <c r="N206" s="3" t="s">
        <v>82</v>
      </c>
      <c r="O206" s="2" t="s">
        <v>13</v>
      </c>
      <c r="P206" s="10"/>
      <c r="Q206" s="11"/>
    </row>
    <row r="207" spans="2:17" ht="21" customHeight="1" x14ac:dyDescent="0.35">
      <c r="B207" s="18">
        <v>43852</v>
      </c>
      <c r="C207" s="18" t="str">
        <f>TEXT(Sales[[#This Row],[Kode Program/Kegiatan ]],"D")</f>
        <v>22</v>
      </c>
      <c r="D207" s="19" t="str">
        <f>TEXT(Sales[[#This Row],[Kode Program/Kegiatan ]],"mmm")</f>
        <v>Jan</v>
      </c>
      <c r="E207" s="20">
        <v>6</v>
      </c>
      <c r="F207" s="19">
        <v>6</v>
      </c>
      <c r="G207" s="20" t="str">
        <f>IF(Sales[[#This Row],[Anggaran Murni]]-Sales[[#This Row],[Target s.d. Januari]]=0,"",Sales[[#This Row],[Anggaran Murni]]-Sales[[#This Row],[Target s.d. Januari]])</f>
        <v/>
      </c>
      <c r="H207" s="19" t="s">
        <v>114</v>
      </c>
      <c r="I207" s="20" t="s">
        <v>3</v>
      </c>
      <c r="J207" s="20"/>
      <c r="K207" s="19" t="s">
        <v>28</v>
      </c>
      <c r="L207" s="19" t="s">
        <v>5</v>
      </c>
      <c r="M207" s="21" t="s">
        <v>67</v>
      </c>
      <c r="N207" s="20" t="s">
        <v>82</v>
      </c>
      <c r="O207" s="19" t="s">
        <v>11</v>
      </c>
      <c r="P207" s="10"/>
      <c r="Q207" s="11"/>
    </row>
    <row r="208" spans="2:17" ht="21" customHeight="1" x14ac:dyDescent="0.35">
      <c r="B208" s="1">
        <v>43852</v>
      </c>
      <c r="C208" s="1" t="str">
        <f>TEXT(Sales[[#This Row],[Kode Program/Kegiatan ]],"D")</f>
        <v>22</v>
      </c>
      <c r="D208" s="2" t="str">
        <f>TEXT(Sales[[#This Row],[Kode Program/Kegiatan ]],"mmm")</f>
        <v>Jan</v>
      </c>
      <c r="E208" s="3">
        <v>5</v>
      </c>
      <c r="F208" s="2">
        <v>5</v>
      </c>
      <c r="G208" s="3" t="str">
        <f>IF(Sales[[#This Row],[Anggaran Murni]]-Sales[[#This Row],[Target s.d. Januari]]=0,"",Sales[[#This Row],[Anggaran Murni]]-Sales[[#This Row],[Target s.d. Januari]])</f>
        <v/>
      </c>
      <c r="H208" s="2" t="s">
        <v>75</v>
      </c>
      <c r="I208" s="3" t="s">
        <v>6</v>
      </c>
      <c r="J208" s="3"/>
      <c r="K208" s="2" t="s">
        <v>48</v>
      </c>
      <c r="L208" s="2" t="s">
        <v>5</v>
      </c>
      <c r="M208" s="4" t="s">
        <v>67</v>
      </c>
      <c r="N208" s="3" t="s">
        <v>82</v>
      </c>
      <c r="O208" s="2" t="s">
        <v>13</v>
      </c>
      <c r="P208" s="10"/>
      <c r="Q208" s="11"/>
    </row>
    <row r="209" spans="2:17" ht="21" customHeight="1" x14ac:dyDescent="0.35">
      <c r="B209" s="18">
        <v>43852</v>
      </c>
      <c r="C209" s="18" t="str">
        <f>TEXT(Sales[[#This Row],[Kode Program/Kegiatan ]],"D")</f>
        <v>22</v>
      </c>
      <c r="D209" s="19" t="str">
        <f>TEXT(Sales[[#This Row],[Kode Program/Kegiatan ]],"mmm")</f>
        <v>Jan</v>
      </c>
      <c r="E209" s="20">
        <v>4</v>
      </c>
      <c r="F209" s="19">
        <v>4</v>
      </c>
      <c r="G209" s="20" t="str">
        <f>IF(Sales[[#This Row],[Anggaran Murni]]-Sales[[#This Row],[Target s.d. Januari]]=0,"",Sales[[#This Row],[Anggaran Murni]]-Sales[[#This Row],[Target s.d. Januari]])</f>
        <v/>
      </c>
      <c r="H209" s="19" t="s">
        <v>76</v>
      </c>
      <c r="I209" s="20" t="s">
        <v>79</v>
      </c>
      <c r="J209" s="20"/>
      <c r="K209" s="19" t="s">
        <v>29</v>
      </c>
      <c r="L209" s="19" t="s">
        <v>4</v>
      </c>
      <c r="M209" s="21" t="s">
        <v>67</v>
      </c>
      <c r="N209" s="20" t="s">
        <v>82</v>
      </c>
      <c r="O209" s="19" t="s">
        <v>14</v>
      </c>
      <c r="P209" s="10"/>
      <c r="Q209" s="11"/>
    </row>
    <row r="210" spans="2:17" ht="21" customHeight="1" x14ac:dyDescent="0.35">
      <c r="B210" s="1">
        <v>43852</v>
      </c>
      <c r="C210" s="1" t="str">
        <f>TEXT(Sales[[#This Row],[Kode Program/Kegiatan ]],"D")</f>
        <v>22</v>
      </c>
      <c r="D210" s="2" t="str">
        <f>TEXT(Sales[[#This Row],[Kode Program/Kegiatan ]],"mmm")</f>
        <v>Jan</v>
      </c>
      <c r="E210" s="3">
        <v>3</v>
      </c>
      <c r="F210" s="2">
        <v>3</v>
      </c>
      <c r="G210" s="3" t="str">
        <f>IF(Sales[[#This Row],[Anggaran Murni]]-Sales[[#This Row],[Target s.d. Januari]]=0,"",Sales[[#This Row],[Anggaran Murni]]-Sales[[#This Row],[Target s.d. Januari]])</f>
        <v/>
      </c>
      <c r="H210" s="2" t="s">
        <v>114</v>
      </c>
      <c r="I210" s="3" t="s">
        <v>3</v>
      </c>
      <c r="J210" s="3"/>
      <c r="K210" s="2" t="s">
        <v>19</v>
      </c>
      <c r="L210" s="2" t="s">
        <v>8</v>
      </c>
      <c r="M210" s="4" t="s">
        <v>67</v>
      </c>
      <c r="N210" s="3" t="s">
        <v>80</v>
      </c>
      <c r="O210" s="2" t="s">
        <v>14</v>
      </c>
      <c r="P210" s="10"/>
      <c r="Q210" s="11"/>
    </row>
    <row r="211" spans="2:17" ht="21" customHeight="1" x14ac:dyDescent="0.35">
      <c r="B211" s="18">
        <v>43853</v>
      </c>
      <c r="C211" s="18" t="str">
        <f>TEXT(Sales[[#This Row],[Kode Program/Kegiatan ]],"D")</f>
        <v>23</v>
      </c>
      <c r="D211" s="19" t="str">
        <f>TEXT(Sales[[#This Row],[Kode Program/Kegiatan ]],"mmm")</f>
        <v>Jan</v>
      </c>
      <c r="E211" s="20">
        <v>10</v>
      </c>
      <c r="F211" s="19">
        <v>10</v>
      </c>
      <c r="G211" s="20" t="str">
        <f>IF(Sales[[#This Row],[Anggaran Murni]]-Sales[[#This Row],[Target s.d. Januari]]=0,"",Sales[[#This Row],[Anggaran Murni]]-Sales[[#This Row],[Target s.d. Januari]])</f>
        <v/>
      </c>
      <c r="H211" s="19" t="s">
        <v>76</v>
      </c>
      <c r="I211" s="20" t="s">
        <v>79</v>
      </c>
      <c r="J211" s="20"/>
      <c r="K211" s="19" t="s">
        <v>28</v>
      </c>
      <c r="L211" s="19" t="s">
        <v>5</v>
      </c>
      <c r="M211" s="21" t="s">
        <v>67</v>
      </c>
      <c r="N211" s="20" t="s">
        <v>81</v>
      </c>
      <c r="O211" s="19" t="s">
        <v>13</v>
      </c>
      <c r="P211" s="10"/>
      <c r="Q211" s="11"/>
    </row>
    <row r="212" spans="2:17" ht="21" customHeight="1" x14ac:dyDescent="0.35">
      <c r="B212" s="1">
        <v>43853</v>
      </c>
      <c r="C212" s="1" t="str">
        <f>TEXT(Sales[[#This Row],[Kode Program/Kegiatan ]],"D")</f>
        <v>23</v>
      </c>
      <c r="D212" s="2" t="str">
        <f>TEXT(Sales[[#This Row],[Kode Program/Kegiatan ]],"mmm")</f>
        <v>Jan</v>
      </c>
      <c r="E212" s="3">
        <v>10</v>
      </c>
      <c r="F212" s="2">
        <v>10</v>
      </c>
      <c r="G212" s="3" t="str">
        <f>IF(Sales[[#This Row],[Anggaran Murni]]-Sales[[#This Row],[Target s.d. Januari]]=0,"",Sales[[#This Row],[Anggaran Murni]]-Sales[[#This Row],[Target s.d. Januari]])</f>
        <v/>
      </c>
      <c r="H212" s="2" t="s">
        <v>75</v>
      </c>
      <c r="I212" s="3" t="s">
        <v>6</v>
      </c>
      <c r="J212" s="3"/>
      <c r="K212" s="2" t="s">
        <v>46</v>
      </c>
      <c r="L212" s="2" t="s">
        <v>5</v>
      </c>
      <c r="M212" s="4" t="s">
        <v>67</v>
      </c>
      <c r="N212" s="3" t="s">
        <v>80</v>
      </c>
      <c r="O212" s="2" t="s">
        <v>12</v>
      </c>
      <c r="P212" s="10"/>
      <c r="Q212" s="11"/>
    </row>
    <row r="213" spans="2:17" ht="21" customHeight="1" x14ac:dyDescent="0.35">
      <c r="B213" s="18">
        <v>43853</v>
      </c>
      <c r="C213" s="18" t="str">
        <f>TEXT(Sales[[#This Row],[Kode Program/Kegiatan ]],"D")</f>
        <v>23</v>
      </c>
      <c r="D213" s="19" t="str">
        <f>TEXT(Sales[[#This Row],[Kode Program/Kegiatan ]],"mmm")</f>
        <v>Jan</v>
      </c>
      <c r="E213" s="20">
        <v>9</v>
      </c>
      <c r="F213" s="19">
        <v>9</v>
      </c>
      <c r="G213" s="20" t="str">
        <f>IF(Sales[[#This Row],[Anggaran Murni]]-Sales[[#This Row],[Target s.d. Januari]]=0,"",Sales[[#This Row],[Anggaran Murni]]-Sales[[#This Row],[Target s.d. Januari]])</f>
        <v/>
      </c>
      <c r="H213" s="19" t="s">
        <v>72</v>
      </c>
      <c r="I213" s="20" t="s">
        <v>78</v>
      </c>
      <c r="J213" s="20"/>
      <c r="K213" s="19" t="s">
        <v>33</v>
      </c>
      <c r="L213" s="19" t="s">
        <v>8</v>
      </c>
      <c r="M213" s="21" t="s">
        <v>67</v>
      </c>
      <c r="N213" s="20" t="s">
        <v>82</v>
      </c>
      <c r="O213" s="19" t="s">
        <v>13</v>
      </c>
      <c r="P213" s="10"/>
      <c r="Q213" s="11"/>
    </row>
    <row r="214" spans="2:17" ht="21" customHeight="1" x14ac:dyDescent="0.35">
      <c r="B214" s="1">
        <v>43853</v>
      </c>
      <c r="C214" s="1" t="str">
        <f>TEXT(Sales[[#This Row],[Kode Program/Kegiatan ]],"D")</f>
        <v>23</v>
      </c>
      <c r="D214" s="2" t="str">
        <f>TEXT(Sales[[#This Row],[Kode Program/Kegiatan ]],"mmm")</f>
        <v>Jan</v>
      </c>
      <c r="E214" s="3">
        <v>8</v>
      </c>
      <c r="F214" s="2">
        <v>8</v>
      </c>
      <c r="G214" s="3" t="str">
        <f>IF(Sales[[#This Row],[Anggaran Murni]]-Sales[[#This Row],[Target s.d. Januari]]=0,"",Sales[[#This Row],[Anggaran Murni]]-Sales[[#This Row],[Target s.d. Januari]])</f>
        <v/>
      </c>
      <c r="H214" s="2" t="s">
        <v>75</v>
      </c>
      <c r="I214" s="3" t="s">
        <v>6</v>
      </c>
      <c r="J214" s="3"/>
      <c r="K214" s="2" t="s">
        <v>36</v>
      </c>
      <c r="L214" s="2" t="s">
        <v>8</v>
      </c>
      <c r="M214" s="4" t="s">
        <v>67</v>
      </c>
      <c r="N214" s="3" t="s">
        <v>82</v>
      </c>
      <c r="O214" s="2" t="s">
        <v>13</v>
      </c>
      <c r="P214" s="10"/>
      <c r="Q214" s="11"/>
    </row>
    <row r="215" spans="2:17" ht="21" customHeight="1" x14ac:dyDescent="0.35">
      <c r="B215" s="18">
        <v>43853</v>
      </c>
      <c r="C215" s="18" t="str">
        <f>TEXT(Sales[[#This Row],[Kode Program/Kegiatan ]],"D")</f>
        <v>23</v>
      </c>
      <c r="D215" s="19" t="str">
        <f>TEXT(Sales[[#This Row],[Kode Program/Kegiatan ]],"mmm")</f>
        <v>Jan</v>
      </c>
      <c r="E215" s="20">
        <v>6</v>
      </c>
      <c r="F215" s="19">
        <v>6</v>
      </c>
      <c r="G215" s="20" t="str">
        <f>IF(Sales[[#This Row],[Anggaran Murni]]-Sales[[#This Row],[Target s.d. Januari]]=0,"",Sales[[#This Row],[Anggaran Murni]]-Sales[[#This Row],[Target s.d. Januari]])</f>
        <v/>
      </c>
      <c r="H215" s="19" t="s">
        <v>72</v>
      </c>
      <c r="I215" s="20" t="s">
        <v>78</v>
      </c>
      <c r="J215" s="20"/>
      <c r="K215" s="19" t="s">
        <v>47</v>
      </c>
      <c r="L215" s="19" t="s">
        <v>2</v>
      </c>
      <c r="M215" s="21" t="s">
        <v>67</v>
      </c>
      <c r="N215" s="20" t="s">
        <v>81</v>
      </c>
      <c r="O215" s="19" t="s">
        <v>14</v>
      </c>
      <c r="P215" s="10"/>
      <c r="Q215" s="11"/>
    </row>
    <row r="216" spans="2:17" ht="21" customHeight="1" x14ac:dyDescent="0.35">
      <c r="B216" s="1">
        <v>43853</v>
      </c>
      <c r="C216" s="1" t="str">
        <f>TEXT(Sales[[#This Row],[Kode Program/Kegiatan ]],"D")</f>
        <v>23</v>
      </c>
      <c r="D216" s="2" t="str">
        <f>TEXT(Sales[[#This Row],[Kode Program/Kegiatan ]],"mmm")</f>
        <v>Jan</v>
      </c>
      <c r="E216" s="3">
        <v>5</v>
      </c>
      <c r="F216" s="2">
        <v>5</v>
      </c>
      <c r="G216" s="3" t="str">
        <f>IF(Sales[[#This Row],[Anggaran Murni]]-Sales[[#This Row],[Target s.d. Januari]]=0,"",Sales[[#This Row],[Anggaran Murni]]-Sales[[#This Row],[Target s.d. Januari]])</f>
        <v/>
      </c>
      <c r="H216" s="2" t="s">
        <v>113</v>
      </c>
      <c r="I216" s="3" t="s">
        <v>77</v>
      </c>
      <c r="J216" s="3"/>
      <c r="K216" s="2" t="s">
        <v>25</v>
      </c>
      <c r="L216" s="2" t="s">
        <v>8</v>
      </c>
      <c r="M216" s="4" t="s">
        <v>67</v>
      </c>
      <c r="N216" s="3" t="s">
        <v>81</v>
      </c>
      <c r="O216" s="2" t="s">
        <v>12</v>
      </c>
      <c r="P216" s="10"/>
      <c r="Q216" s="11"/>
    </row>
    <row r="217" spans="2:17" ht="21" customHeight="1" x14ac:dyDescent="0.35">
      <c r="B217" s="18">
        <v>43853</v>
      </c>
      <c r="C217" s="18" t="str">
        <f>TEXT(Sales[[#This Row],[Kode Program/Kegiatan ]],"D")</f>
        <v>23</v>
      </c>
      <c r="D217" s="19" t="str">
        <f>TEXT(Sales[[#This Row],[Kode Program/Kegiatan ]],"mmm")</f>
        <v>Jan</v>
      </c>
      <c r="E217" s="20">
        <v>5</v>
      </c>
      <c r="F217" s="19">
        <v>5</v>
      </c>
      <c r="G217" s="20" t="str">
        <f>IF(Sales[[#This Row],[Anggaran Murni]]-Sales[[#This Row],[Target s.d. Januari]]=0,"",Sales[[#This Row],[Anggaran Murni]]-Sales[[#This Row],[Target s.d. Januari]])</f>
        <v/>
      </c>
      <c r="H217" s="19" t="s">
        <v>71</v>
      </c>
      <c r="I217" s="20" t="s">
        <v>6</v>
      </c>
      <c r="J217" s="20"/>
      <c r="K217" s="19" t="s">
        <v>26</v>
      </c>
      <c r="L217" s="19" t="s">
        <v>4</v>
      </c>
      <c r="M217" s="21" t="s">
        <v>67</v>
      </c>
      <c r="N217" s="20" t="s">
        <v>80</v>
      </c>
      <c r="O217" s="19" t="s">
        <v>14</v>
      </c>
      <c r="P217" s="10"/>
      <c r="Q217" s="11"/>
    </row>
    <row r="218" spans="2:17" ht="21" customHeight="1" x14ac:dyDescent="0.35">
      <c r="B218" s="1">
        <v>43853</v>
      </c>
      <c r="C218" s="1" t="str">
        <f>TEXT(Sales[[#This Row],[Kode Program/Kegiatan ]],"D")</f>
        <v>23</v>
      </c>
      <c r="D218" s="2" t="str">
        <f>TEXT(Sales[[#This Row],[Kode Program/Kegiatan ]],"mmm")</f>
        <v>Jan</v>
      </c>
      <c r="E218" s="3">
        <v>5</v>
      </c>
      <c r="F218" s="2">
        <v>5</v>
      </c>
      <c r="G218" s="3" t="str">
        <f>IF(Sales[[#This Row],[Anggaran Murni]]-Sales[[#This Row],[Target s.d. Januari]]=0,"",Sales[[#This Row],[Anggaran Murni]]-Sales[[#This Row],[Target s.d. Januari]])</f>
        <v/>
      </c>
      <c r="H218" s="2" t="s">
        <v>73</v>
      </c>
      <c r="I218" s="3" t="s">
        <v>78</v>
      </c>
      <c r="J218" s="3"/>
      <c r="K218" s="2" t="s">
        <v>62</v>
      </c>
      <c r="L218" s="2" t="s">
        <v>2</v>
      </c>
      <c r="M218" s="4" t="s">
        <v>67</v>
      </c>
      <c r="N218" s="3" t="s">
        <v>80</v>
      </c>
      <c r="O218" s="2" t="s">
        <v>11</v>
      </c>
      <c r="P218" s="10"/>
      <c r="Q218" s="11"/>
    </row>
    <row r="219" spans="2:17" ht="21" customHeight="1" x14ac:dyDescent="0.35">
      <c r="B219" s="18">
        <v>43853</v>
      </c>
      <c r="C219" s="18" t="str">
        <f>TEXT(Sales[[#This Row],[Kode Program/Kegiatan ]],"D")</f>
        <v>23</v>
      </c>
      <c r="D219" s="19" t="str">
        <f>TEXT(Sales[[#This Row],[Kode Program/Kegiatan ]],"mmm")</f>
        <v>Jan</v>
      </c>
      <c r="E219" s="20">
        <v>3</v>
      </c>
      <c r="F219" s="19">
        <v>3</v>
      </c>
      <c r="G219" s="20" t="str">
        <f>IF(Sales[[#This Row],[Anggaran Murni]]-Sales[[#This Row],[Target s.d. Januari]]=0,"",Sales[[#This Row],[Anggaran Murni]]-Sales[[#This Row],[Target s.d. Januari]])</f>
        <v/>
      </c>
      <c r="H219" s="19" t="s">
        <v>114</v>
      </c>
      <c r="I219" s="20" t="s">
        <v>3</v>
      </c>
      <c r="J219" s="20"/>
      <c r="K219" s="19" t="s">
        <v>63</v>
      </c>
      <c r="L219" s="19" t="s">
        <v>2</v>
      </c>
      <c r="M219" s="21" t="s">
        <v>67</v>
      </c>
      <c r="N219" s="20" t="s">
        <v>81</v>
      </c>
      <c r="O219" s="19" t="s">
        <v>11</v>
      </c>
      <c r="P219" s="10"/>
      <c r="Q219" s="11"/>
    </row>
    <row r="220" spans="2:17" ht="21" customHeight="1" x14ac:dyDescent="0.35">
      <c r="B220" s="1">
        <v>43854</v>
      </c>
      <c r="C220" s="1" t="str">
        <f>TEXT(Sales[[#This Row],[Kode Program/Kegiatan ]],"D")</f>
        <v>24</v>
      </c>
      <c r="D220" s="2" t="str">
        <f>TEXT(Sales[[#This Row],[Kode Program/Kegiatan ]],"mmm")</f>
        <v>Jan</v>
      </c>
      <c r="E220" s="3">
        <v>9</v>
      </c>
      <c r="F220" s="2">
        <v>9</v>
      </c>
      <c r="G220" s="3" t="str">
        <f>IF(Sales[[#This Row],[Anggaran Murni]]-Sales[[#This Row],[Target s.d. Januari]]=0,"",Sales[[#This Row],[Anggaran Murni]]-Sales[[#This Row],[Target s.d. Januari]])</f>
        <v/>
      </c>
      <c r="H220" s="2" t="s">
        <v>70</v>
      </c>
      <c r="I220" s="3" t="s">
        <v>1</v>
      </c>
      <c r="J220" s="3"/>
      <c r="K220" s="2" t="s">
        <v>48</v>
      </c>
      <c r="L220" s="2" t="s">
        <v>2</v>
      </c>
      <c r="M220" s="4" t="s">
        <v>67</v>
      </c>
      <c r="N220" s="3" t="s">
        <v>81</v>
      </c>
      <c r="O220" s="2" t="s">
        <v>14</v>
      </c>
      <c r="P220" s="10"/>
      <c r="Q220" s="11"/>
    </row>
    <row r="221" spans="2:17" ht="21" customHeight="1" x14ac:dyDescent="0.35">
      <c r="B221" s="18">
        <v>43854</v>
      </c>
      <c r="C221" s="18" t="str">
        <f>TEXT(Sales[[#This Row],[Kode Program/Kegiatan ]],"D")</f>
        <v>24</v>
      </c>
      <c r="D221" s="19" t="str">
        <f>TEXT(Sales[[#This Row],[Kode Program/Kegiatan ]],"mmm")</f>
        <v>Jan</v>
      </c>
      <c r="E221" s="20">
        <v>7</v>
      </c>
      <c r="F221" s="19">
        <v>7</v>
      </c>
      <c r="G221" s="20" t="str">
        <f>IF(Sales[[#This Row],[Anggaran Murni]]-Sales[[#This Row],[Target s.d. Januari]]=0,"",Sales[[#This Row],[Anggaran Murni]]-Sales[[#This Row],[Target s.d. Januari]])</f>
        <v/>
      </c>
      <c r="H221" s="19" t="s">
        <v>72</v>
      </c>
      <c r="I221" s="20" t="s">
        <v>78</v>
      </c>
      <c r="J221" s="20"/>
      <c r="K221" s="19" t="s">
        <v>64</v>
      </c>
      <c r="L221" s="19" t="s">
        <v>5</v>
      </c>
      <c r="M221" s="21" t="s">
        <v>67</v>
      </c>
      <c r="N221" s="20" t="s">
        <v>80</v>
      </c>
      <c r="O221" s="19" t="s">
        <v>11</v>
      </c>
      <c r="P221" s="10"/>
      <c r="Q221" s="11"/>
    </row>
    <row r="222" spans="2:17" ht="21" customHeight="1" x14ac:dyDescent="0.35">
      <c r="B222" s="1">
        <v>43854</v>
      </c>
      <c r="C222" s="1" t="str">
        <f>TEXT(Sales[[#This Row],[Kode Program/Kegiatan ]],"D")</f>
        <v>24</v>
      </c>
      <c r="D222" s="2" t="str">
        <f>TEXT(Sales[[#This Row],[Kode Program/Kegiatan ]],"mmm")</f>
        <v>Jan</v>
      </c>
      <c r="E222" s="3">
        <v>5</v>
      </c>
      <c r="F222" s="2">
        <v>5</v>
      </c>
      <c r="G222" s="3" t="str">
        <f>IF(Sales[[#This Row],[Anggaran Murni]]-Sales[[#This Row],[Target s.d. Januari]]=0,"",Sales[[#This Row],[Anggaran Murni]]-Sales[[#This Row],[Target s.d. Januari]])</f>
        <v/>
      </c>
      <c r="H222" s="2" t="s">
        <v>74</v>
      </c>
      <c r="I222" s="3" t="s">
        <v>77</v>
      </c>
      <c r="J222" s="3"/>
      <c r="K222" s="2" t="s">
        <v>30</v>
      </c>
      <c r="L222" s="2" t="s">
        <v>7</v>
      </c>
      <c r="M222" s="4" t="s">
        <v>67</v>
      </c>
      <c r="N222" s="3" t="s">
        <v>81</v>
      </c>
      <c r="O222" s="2" t="s">
        <v>13</v>
      </c>
      <c r="P222" s="10"/>
      <c r="Q222" s="11"/>
    </row>
    <row r="223" spans="2:17" ht="21" customHeight="1" x14ac:dyDescent="0.35">
      <c r="B223" s="18">
        <v>43854</v>
      </c>
      <c r="C223" s="18" t="str">
        <f>TEXT(Sales[[#This Row],[Kode Program/Kegiatan ]],"D")</f>
        <v>24</v>
      </c>
      <c r="D223" s="19" t="str">
        <f>TEXT(Sales[[#This Row],[Kode Program/Kegiatan ]],"mmm")</f>
        <v>Jan</v>
      </c>
      <c r="E223" s="20">
        <v>5</v>
      </c>
      <c r="F223" s="19">
        <v>5</v>
      </c>
      <c r="G223" s="20" t="str">
        <f>IF(Sales[[#This Row],[Anggaran Murni]]-Sales[[#This Row],[Target s.d. Januari]]=0,"",Sales[[#This Row],[Anggaran Murni]]-Sales[[#This Row],[Target s.d. Januari]])</f>
        <v/>
      </c>
      <c r="H223" s="19" t="s">
        <v>75</v>
      </c>
      <c r="I223" s="20" t="s">
        <v>6</v>
      </c>
      <c r="J223" s="20"/>
      <c r="K223" s="19" t="s">
        <v>58</v>
      </c>
      <c r="L223" s="19" t="s">
        <v>5</v>
      </c>
      <c r="M223" s="21" t="s">
        <v>67</v>
      </c>
      <c r="N223" s="20" t="s">
        <v>80</v>
      </c>
      <c r="O223" s="19" t="s">
        <v>14</v>
      </c>
      <c r="P223" s="10"/>
      <c r="Q223" s="11"/>
    </row>
    <row r="224" spans="2:17" ht="21" customHeight="1" x14ac:dyDescent="0.35">
      <c r="B224" s="1">
        <v>43854</v>
      </c>
      <c r="C224" s="1" t="str">
        <f>TEXT(Sales[[#This Row],[Kode Program/Kegiatan ]],"D")</f>
        <v>24</v>
      </c>
      <c r="D224" s="2" t="str">
        <f>TEXT(Sales[[#This Row],[Kode Program/Kegiatan ]],"mmm")</f>
        <v>Jan</v>
      </c>
      <c r="E224" s="3">
        <v>5</v>
      </c>
      <c r="F224" s="2">
        <v>5</v>
      </c>
      <c r="G224" s="3" t="str">
        <f>IF(Sales[[#This Row],[Anggaran Murni]]-Sales[[#This Row],[Target s.d. Januari]]=0,"",Sales[[#This Row],[Anggaran Murni]]-Sales[[#This Row],[Target s.d. Januari]])</f>
        <v/>
      </c>
      <c r="H224" s="2" t="s">
        <v>114</v>
      </c>
      <c r="I224" s="3" t="s">
        <v>3</v>
      </c>
      <c r="J224" s="3"/>
      <c r="K224" s="2" t="s">
        <v>20</v>
      </c>
      <c r="L224" s="2" t="s">
        <v>5</v>
      </c>
      <c r="M224" s="4" t="s">
        <v>67</v>
      </c>
      <c r="N224" s="3" t="s">
        <v>82</v>
      </c>
      <c r="O224" s="2" t="s">
        <v>14</v>
      </c>
      <c r="P224" s="10"/>
      <c r="Q224" s="11"/>
    </row>
    <row r="225" spans="2:17" ht="21" customHeight="1" x14ac:dyDescent="0.35">
      <c r="B225" s="18">
        <v>43854</v>
      </c>
      <c r="C225" s="18" t="str">
        <f>TEXT(Sales[[#This Row],[Kode Program/Kegiatan ]],"D")</f>
        <v>24</v>
      </c>
      <c r="D225" s="19" t="str">
        <f>TEXT(Sales[[#This Row],[Kode Program/Kegiatan ]],"mmm")</f>
        <v>Jan</v>
      </c>
      <c r="E225" s="20">
        <v>5</v>
      </c>
      <c r="F225" s="19">
        <v>5</v>
      </c>
      <c r="G225" s="20" t="str">
        <f>IF(Sales[[#This Row],[Anggaran Murni]]-Sales[[#This Row],[Target s.d. Januari]]=0,"",Sales[[#This Row],[Anggaran Murni]]-Sales[[#This Row],[Target s.d. Januari]])</f>
        <v/>
      </c>
      <c r="H225" s="19" t="s">
        <v>73</v>
      </c>
      <c r="I225" s="20" t="s">
        <v>78</v>
      </c>
      <c r="J225" s="20"/>
      <c r="K225" s="19" t="s">
        <v>40</v>
      </c>
      <c r="L225" s="19" t="s">
        <v>8</v>
      </c>
      <c r="M225" s="21" t="s">
        <v>67</v>
      </c>
      <c r="N225" s="20" t="s">
        <v>82</v>
      </c>
      <c r="O225" s="19" t="s">
        <v>11</v>
      </c>
      <c r="P225" s="10"/>
      <c r="Q225" s="11"/>
    </row>
    <row r="226" spans="2:17" ht="21" customHeight="1" x14ac:dyDescent="0.35">
      <c r="B226" s="1">
        <v>43854</v>
      </c>
      <c r="C226" s="1" t="str">
        <f>TEXT(Sales[[#This Row],[Kode Program/Kegiatan ]],"D")</f>
        <v>24</v>
      </c>
      <c r="D226" s="2" t="str">
        <f>TEXT(Sales[[#This Row],[Kode Program/Kegiatan ]],"mmm")</f>
        <v>Jan</v>
      </c>
      <c r="E226" s="3">
        <v>4</v>
      </c>
      <c r="F226" s="2">
        <v>4</v>
      </c>
      <c r="G226" s="3" t="str">
        <f>IF(Sales[[#This Row],[Anggaran Murni]]-Sales[[#This Row],[Target s.d. Januari]]=0,"",Sales[[#This Row],[Anggaran Murni]]-Sales[[#This Row],[Target s.d. Januari]])</f>
        <v/>
      </c>
      <c r="H226" s="2" t="s">
        <v>70</v>
      </c>
      <c r="I226" s="3" t="s">
        <v>1</v>
      </c>
      <c r="J226" s="3"/>
      <c r="K226" s="2" t="s">
        <v>15</v>
      </c>
      <c r="L226" s="2" t="s">
        <v>5</v>
      </c>
      <c r="M226" s="4" t="s">
        <v>67</v>
      </c>
      <c r="N226" s="3" t="s">
        <v>81</v>
      </c>
      <c r="O226" s="2" t="s">
        <v>12</v>
      </c>
      <c r="P226" s="10"/>
      <c r="Q226" s="11"/>
    </row>
    <row r="227" spans="2:17" ht="21" customHeight="1" x14ac:dyDescent="0.35">
      <c r="B227" s="18">
        <v>43854</v>
      </c>
      <c r="C227" s="18" t="str">
        <f>TEXT(Sales[[#This Row],[Kode Program/Kegiatan ]],"D")</f>
        <v>24</v>
      </c>
      <c r="D227" s="19" t="str">
        <f>TEXT(Sales[[#This Row],[Kode Program/Kegiatan ]],"mmm")</f>
        <v>Jan</v>
      </c>
      <c r="E227" s="20">
        <v>3</v>
      </c>
      <c r="F227" s="19">
        <v>3</v>
      </c>
      <c r="G227" s="20" t="str">
        <f>IF(Sales[[#This Row],[Anggaran Murni]]-Sales[[#This Row],[Target s.d. Januari]]=0,"",Sales[[#This Row],[Anggaran Murni]]-Sales[[#This Row],[Target s.d. Januari]])</f>
        <v/>
      </c>
      <c r="H227" s="19" t="s">
        <v>76</v>
      </c>
      <c r="I227" s="20" t="s">
        <v>79</v>
      </c>
      <c r="J227" s="20"/>
      <c r="K227" s="19" t="s">
        <v>60</v>
      </c>
      <c r="L227" s="19" t="s">
        <v>5</v>
      </c>
      <c r="M227" s="21" t="s">
        <v>67</v>
      </c>
      <c r="N227" s="20" t="s">
        <v>81</v>
      </c>
      <c r="O227" s="19" t="s">
        <v>14</v>
      </c>
      <c r="P227" s="10"/>
      <c r="Q227" s="11"/>
    </row>
    <row r="228" spans="2:17" ht="21" customHeight="1" x14ac:dyDescent="0.35">
      <c r="B228" s="1">
        <v>43855</v>
      </c>
      <c r="C228" s="1" t="str">
        <f>TEXT(Sales[[#This Row],[Kode Program/Kegiatan ]],"D")</f>
        <v>25</v>
      </c>
      <c r="D228" s="2" t="str">
        <f>TEXT(Sales[[#This Row],[Kode Program/Kegiatan ]],"mmm")</f>
        <v>Jan</v>
      </c>
      <c r="E228" s="3">
        <v>10</v>
      </c>
      <c r="F228" s="2">
        <v>10</v>
      </c>
      <c r="G228" s="3" t="str">
        <f>IF(Sales[[#This Row],[Anggaran Murni]]-Sales[[#This Row],[Target s.d. Januari]]=0,"",Sales[[#This Row],[Anggaran Murni]]-Sales[[#This Row],[Target s.d. Januari]])</f>
        <v/>
      </c>
      <c r="H228" s="2" t="s">
        <v>70</v>
      </c>
      <c r="I228" s="3" t="s">
        <v>1</v>
      </c>
      <c r="J228" s="3"/>
      <c r="K228" s="2" t="s">
        <v>17</v>
      </c>
      <c r="L228" s="2" t="s">
        <v>7</v>
      </c>
      <c r="M228" s="4" t="s">
        <v>67</v>
      </c>
      <c r="N228" s="3" t="s">
        <v>80</v>
      </c>
      <c r="O228" s="2" t="s">
        <v>11</v>
      </c>
      <c r="P228" s="10"/>
      <c r="Q228" s="11"/>
    </row>
    <row r="229" spans="2:17" ht="21" customHeight="1" x14ac:dyDescent="0.35">
      <c r="B229" s="18">
        <v>43855</v>
      </c>
      <c r="C229" s="18" t="str">
        <f>TEXT(Sales[[#This Row],[Kode Program/Kegiatan ]],"D")</f>
        <v>25</v>
      </c>
      <c r="D229" s="19" t="str">
        <f>TEXT(Sales[[#This Row],[Kode Program/Kegiatan ]],"mmm")</f>
        <v>Jan</v>
      </c>
      <c r="E229" s="20">
        <v>9</v>
      </c>
      <c r="F229" s="19">
        <v>9</v>
      </c>
      <c r="G229" s="20" t="str">
        <f>IF(Sales[[#This Row],[Anggaran Murni]]-Sales[[#This Row],[Target s.d. Januari]]=0,"",Sales[[#This Row],[Anggaran Murni]]-Sales[[#This Row],[Target s.d. Januari]])</f>
        <v/>
      </c>
      <c r="H229" s="19" t="s">
        <v>113</v>
      </c>
      <c r="I229" s="20" t="s">
        <v>77</v>
      </c>
      <c r="J229" s="20"/>
      <c r="K229" s="19" t="s">
        <v>59</v>
      </c>
      <c r="L229" s="19" t="s">
        <v>8</v>
      </c>
      <c r="M229" s="21" t="s">
        <v>67</v>
      </c>
      <c r="N229" s="20" t="s">
        <v>82</v>
      </c>
      <c r="O229" s="19" t="s">
        <v>13</v>
      </c>
      <c r="P229" s="10"/>
      <c r="Q229" s="11"/>
    </row>
    <row r="230" spans="2:17" ht="21" customHeight="1" x14ac:dyDescent="0.35">
      <c r="B230" s="1">
        <v>43855</v>
      </c>
      <c r="C230" s="1" t="str">
        <f>TEXT(Sales[[#This Row],[Kode Program/Kegiatan ]],"D")</f>
        <v>25</v>
      </c>
      <c r="D230" s="2" t="str">
        <f>TEXT(Sales[[#This Row],[Kode Program/Kegiatan ]],"mmm")</f>
        <v>Jan</v>
      </c>
      <c r="E230" s="3">
        <v>8</v>
      </c>
      <c r="F230" s="2">
        <v>8</v>
      </c>
      <c r="G230" s="3" t="str">
        <f>IF(Sales[[#This Row],[Anggaran Murni]]-Sales[[#This Row],[Target s.d. Januari]]=0,"",Sales[[#This Row],[Anggaran Murni]]-Sales[[#This Row],[Target s.d. Januari]])</f>
        <v/>
      </c>
      <c r="H230" s="2" t="s">
        <v>70</v>
      </c>
      <c r="I230" s="3" t="s">
        <v>1</v>
      </c>
      <c r="J230" s="3"/>
      <c r="K230" s="2" t="s">
        <v>53</v>
      </c>
      <c r="L230" s="2" t="s">
        <v>2</v>
      </c>
      <c r="M230" s="4" t="s">
        <v>67</v>
      </c>
      <c r="N230" s="3" t="s">
        <v>82</v>
      </c>
      <c r="O230" s="2" t="s">
        <v>13</v>
      </c>
      <c r="P230" s="10"/>
      <c r="Q230" s="11"/>
    </row>
    <row r="231" spans="2:17" ht="21" customHeight="1" x14ac:dyDescent="0.35">
      <c r="B231" s="18">
        <v>43855</v>
      </c>
      <c r="C231" s="18" t="str">
        <f>TEXT(Sales[[#This Row],[Kode Program/Kegiatan ]],"D")</f>
        <v>25</v>
      </c>
      <c r="D231" s="19" t="str">
        <f>TEXT(Sales[[#This Row],[Kode Program/Kegiatan ]],"mmm")</f>
        <v>Jan</v>
      </c>
      <c r="E231" s="20">
        <v>7</v>
      </c>
      <c r="F231" s="19">
        <v>7</v>
      </c>
      <c r="G231" s="20" t="str">
        <f>IF(Sales[[#This Row],[Anggaran Murni]]-Sales[[#This Row],[Target s.d. Januari]]=0,"",Sales[[#This Row],[Anggaran Murni]]-Sales[[#This Row],[Target s.d. Januari]])</f>
        <v/>
      </c>
      <c r="H231" s="19" t="s">
        <v>71</v>
      </c>
      <c r="I231" s="20" t="s">
        <v>6</v>
      </c>
      <c r="J231" s="20"/>
      <c r="K231" s="19" t="s">
        <v>29</v>
      </c>
      <c r="L231" s="19" t="s">
        <v>7</v>
      </c>
      <c r="M231" s="21" t="s">
        <v>67</v>
      </c>
      <c r="N231" s="20" t="s">
        <v>81</v>
      </c>
      <c r="O231" s="19" t="s">
        <v>13</v>
      </c>
      <c r="P231" s="10"/>
      <c r="Q231" s="11"/>
    </row>
    <row r="232" spans="2:17" ht="21" customHeight="1" x14ac:dyDescent="0.35">
      <c r="B232" s="1">
        <v>43855</v>
      </c>
      <c r="C232" s="1" t="str">
        <f>TEXT(Sales[[#This Row],[Kode Program/Kegiatan ]],"D")</f>
        <v>25</v>
      </c>
      <c r="D232" s="2" t="str">
        <f>TEXT(Sales[[#This Row],[Kode Program/Kegiatan ]],"mmm")</f>
        <v>Jan</v>
      </c>
      <c r="E232" s="3">
        <v>7</v>
      </c>
      <c r="F232" s="2">
        <v>7</v>
      </c>
      <c r="G232" s="3" t="str">
        <f>IF(Sales[[#This Row],[Anggaran Murni]]-Sales[[#This Row],[Target s.d. Januari]]=0,"",Sales[[#This Row],[Anggaran Murni]]-Sales[[#This Row],[Target s.d. Januari]])</f>
        <v/>
      </c>
      <c r="H232" s="2" t="s">
        <v>72</v>
      </c>
      <c r="I232" s="3" t="s">
        <v>78</v>
      </c>
      <c r="J232" s="3"/>
      <c r="K232" s="2" t="s">
        <v>20</v>
      </c>
      <c r="L232" s="2" t="s">
        <v>2</v>
      </c>
      <c r="M232" s="4" t="s">
        <v>67</v>
      </c>
      <c r="N232" s="3" t="s">
        <v>82</v>
      </c>
      <c r="O232" s="2" t="s">
        <v>11</v>
      </c>
      <c r="P232" s="10"/>
      <c r="Q232" s="11"/>
    </row>
    <row r="233" spans="2:17" ht="21" customHeight="1" x14ac:dyDescent="0.35">
      <c r="B233" s="18">
        <v>43855</v>
      </c>
      <c r="C233" s="18" t="str">
        <f>TEXT(Sales[[#This Row],[Kode Program/Kegiatan ]],"D")</f>
        <v>25</v>
      </c>
      <c r="D233" s="19" t="str">
        <f>TEXT(Sales[[#This Row],[Kode Program/Kegiatan ]],"mmm")</f>
        <v>Jan</v>
      </c>
      <c r="E233" s="20">
        <v>5</v>
      </c>
      <c r="F233" s="19">
        <v>5</v>
      </c>
      <c r="G233" s="20" t="str">
        <f>IF(Sales[[#This Row],[Anggaran Murni]]-Sales[[#This Row],[Target s.d. Januari]]=0,"",Sales[[#This Row],[Anggaran Murni]]-Sales[[#This Row],[Target s.d. Januari]])</f>
        <v/>
      </c>
      <c r="H233" s="19" t="s">
        <v>71</v>
      </c>
      <c r="I233" s="20" t="s">
        <v>6</v>
      </c>
      <c r="J233" s="20"/>
      <c r="K233" s="19" t="s">
        <v>42</v>
      </c>
      <c r="L233" s="19" t="s">
        <v>8</v>
      </c>
      <c r="M233" s="21" t="s">
        <v>67</v>
      </c>
      <c r="N233" s="20" t="s">
        <v>81</v>
      </c>
      <c r="O233" s="19" t="s">
        <v>13</v>
      </c>
      <c r="P233" s="10"/>
      <c r="Q233" s="11"/>
    </row>
    <row r="234" spans="2:17" ht="21" customHeight="1" x14ac:dyDescent="0.35">
      <c r="B234" s="1">
        <v>43856</v>
      </c>
      <c r="C234" s="1" t="str">
        <f>TEXT(Sales[[#This Row],[Kode Program/Kegiatan ]],"D")</f>
        <v>26</v>
      </c>
      <c r="D234" s="2" t="str">
        <f>TEXT(Sales[[#This Row],[Kode Program/Kegiatan ]],"mmm")</f>
        <v>Jan</v>
      </c>
      <c r="E234" s="3">
        <v>9</v>
      </c>
      <c r="F234" s="2">
        <v>9</v>
      </c>
      <c r="G234" s="3" t="str">
        <f>IF(Sales[[#This Row],[Anggaran Murni]]-Sales[[#This Row],[Target s.d. Januari]]=0,"",Sales[[#This Row],[Anggaran Murni]]-Sales[[#This Row],[Target s.d. Januari]])</f>
        <v/>
      </c>
      <c r="H234" s="2" t="s">
        <v>71</v>
      </c>
      <c r="I234" s="3" t="s">
        <v>6</v>
      </c>
      <c r="J234" s="3"/>
      <c r="K234" s="2" t="s">
        <v>17</v>
      </c>
      <c r="L234" s="2" t="s">
        <v>9</v>
      </c>
      <c r="M234" s="4" t="s">
        <v>67</v>
      </c>
      <c r="N234" s="3" t="s">
        <v>80</v>
      </c>
      <c r="O234" s="2" t="s">
        <v>12</v>
      </c>
      <c r="P234" s="10"/>
      <c r="Q234" s="11"/>
    </row>
    <row r="235" spans="2:17" ht="21" customHeight="1" x14ac:dyDescent="0.35">
      <c r="B235" s="18">
        <v>43856</v>
      </c>
      <c r="C235" s="18" t="str">
        <f>TEXT(Sales[[#This Row],[Kode Program/Kegiatan ]],"D")</f>
        <v>26</v>
      </c>
      <c r="D235" s="19" t="str">
        <f>TEXT(Sales[[#This Row],[Kode Program/Kegiatan ]],"mmm")</f>
        <v>Jan</v>
      </c>
      <c r="E235" s="20">
        <v>8</v>
      </c>
      <c r="F235" s="19">
        <v>8</v>
      </c>
      <c r="G235" s="20" t="str">
        <f>IF(Sales[[#This Row],[Anggaran Murni]]-Sales[[#This Row],[Target s.d. Januari]]=0,"",Sales[[#This Row],[Anggaran Murni]]-Sales[[#This Row],[Target s.d. Januari]])</f>
        <v/>
      </c>
      <c r="H235" s="19" t="s">
        <v>72</v>
      </c>
      <c r="I235" s="20" t="s">
        <v>78</v>
      </c>
      <c r="J235" s="20"/>
      <c r="K235" s="19" t="s">
        <v>16</v>
      </c>
      <c r="L235" s="19" t="s">
        <v>8</v>
      </c>
      <c r="M235" s="21" t="s">
        <v>67</v>
      </c>
      <c r="N235" s="20" t="s">
        <v>81</v>
      </c>
      <c r="O235" s="19" t="s">
        <v>11</v>
      </c>
      <c r="P235" s="10"/>
      <c r="Q235" s="11"/>
    </row>
    <row r="236" spans="2:17" ht="21" customHeight="1" x14ac:dyDescent="0.35">
      <c r="B236" s="1">
        <v>43856</v>
      </c>
      <c r="C236" s="1" t="str">
        <f>TEXT(Sales[[#This Row],[Kode Program/Kegiatan ]],"D")</f>
        <v>26</v>
      </c>
      <c r="D236" s="2" t="str">
        <f>TEXT(Sales[[#This Row],[Kode Program/Kegiatan ]],"mmm")</f>
        <v>Jan</v>
      </c>
      <c r="E236" s="3">
        <v>7</v>
      </c>
      <c r="F236" s="2">
        <v>7</v>
      </c>
      <c r="G236" s="3" t="str">
        <f>IF(Sales[[#This Row],[Anggaran Murni]]-Sales[[#This Row],[Target s.d. Januari]]=0,"",Sales[[#This Row],[Anggaran Murni]]-Sales[[#This Row],[Target s.d. Januari]])</f>
        <v/>
      </c>
      <c r="H236" s="2" t="s">
        <v>75</v>
      </c>
      <c r="I236" s="3" t="s">
        <v>6</v>
      </c>
      <c r="J236" s="3"/>
      <c r="K236" s="2" t="s">
        <v>63</v>
      </c>
      <c r="L236" s="2" t="s">
        <v>2</v>
      </c>
      <c r="M236" s="4" t="s">
        <v>67</v>
      </c>
      <c r="N236" s="3" t="s">
        <v>82</v>
      </c>
      <c r="O236" s="2" t="s">
        <v>11</v>
      </c>
      <c r="P236" s="10"/>
      <c r="Q236" s="11"/>
    </row>
    <row r="237" spans="2:17" ht="21" customHeight="1" x14ac:dyDescent="0.35">
      <c r="B237" s="18">
        <v>43856</v>
      </c>
      <c r="C237" s="18" t="str">
        <f>TEXT(Sales[[#This Row],[Kode Program/Kegiatan ]],"D")</f>
        <v>26</v>
      </c>
      <c r="D237" s="19" t="str">
        <f>TEXT(Sales[[#This Row],[Kode Program/Kegiatan ]],"mmm")</f>
        <v>Jan</v>
      </c>
      <c r="E237" s="20">
        <v>7</v>
      </c>
      <c r="F237" s="19">
        <v>7</v>
      </c>
      <c r="G237" s="20" t="str">
        <f>IF(Sales[[#This Row],[Anggaran Murni]]-Sales[[#This Row],[Target s.d. Januari]]=0,"",Sales[[#This Row],[Anggaran Murni]]-Sales[[#This Row],[Target s.d. Januari]])</f>
        <v/>
      </c>
      <c r="H237" s="19" t="s">
        <v>75</v>
      </c>
      <c r="I237" s="20" t="s">
        <v>6</v>
      </c>
      <c r="J237" s="20"/>
      <c r="K237" s="19" t="s">
        <v>33</v>
      </c>
      <c r="L237" s="19" t="s">
        <v>5</v>
      </c>
      <c r="M237" s="21" t="s">
        <v>67</v>
      </c>
      <c r="N237" s="20" t="s">
        <v>82</v>
      </c>
      <c r="O237" s="19" t="s">
        <v>11</v>
      </c>
      <c r="P237" s="10"/>
      <c r="Q237" s="11"/>
    </row>
    <row r="238" spans="2:17" ht="21" customHeight="1" x14ac:dyDescent="0.35">
      <c r="B238" s="1">
        <v>43856</v>
      </c>
      <c r="C238" s="1" t="str">
        <f>TEXT(Sales[[#This Row],[Kode Program/Kegiatan ]],"D")</f>
        <v>26</v>
      </c>
      <c r="D238" s="2" t="str">
        <f>TEXT(Sales[[#This Row],[Kode Program/Kegiatan ]],"mmm")</f>
        <v>Jan</v>
      </c>
      <c r="E238" s="3">
        <v>7</v>
      </c>
      <c r="F238" s="2">
        <v>7</v>
      </c>
      <c r="G238" s="3" t="str">
        <f>IF(Sales[[#This Row],[Anggaran Murni]]-Sales[[#This Row],[Target s.d. Januari]]=0,"",Sales[[#This Row],[Anggaran Murni]]-Sales[[#This Row],[Target s.d. Januari]])</f>
        <v/>
      </c>
      <c r="H238" s="2" t="s">
        <v>113</v>
      </c>
      <c r="I238" s="3" t="s">
        <v>77</v>
      </c>
      <c r="J238" s="3"/>
      <c r="K238" s="2" t="s">
        <v>44</v>
      </c>
      <c r="L238" s="2" t="s">
        <v>7</v>
      </c>
      <c r="M238" s="4" t="s">
        <v>67</v>
      </c>
      <c r="N238" s="3" t="s">
        <v>81</v>
      </c>
      <c r="O238" s="2" t="s">
        <v>11</v>
      </c>
      <c r="P238" s="10"/>
      <c r="Q238" s="11"/>
    </row>
    <row r="239" spans="2:17" ht="21" customHeight="1" x14ac:dyDescent="0.35">
      <c r="B239" s="18">
        <v>43856</v>
      </c>
      <c r="C239" s="18" t="str">
        <f>TEXT(Sales[[#This Row],[Kode Program/Kegiatan ]],"D")</f>
        <v>26</v>
      </c>
      <c r="D239" s="19" t="str">
        <f>TEXT(Sales[[#This Row],[Kode Program/Kegiatan ]],"mmm")</f>
        <v>Jan</v>
      </c>
      <c r="E239" s="20">
        <v>5</v>
      </c>
      <c r="F239" s="19">
        <v>5</v>
      </c>
      <c r="G239" s="20" t="str">
        <f>IF(Sales[[#This Row],[Anggaran Murni]]-Sales[[#This Row],[Target s.d. Januari]]=0,"",Sales[[#This Row],[Anggaran Murni]]-Sales[[#This Row],[Target s.d. Januari]])</f>
        <v/>
      </c>
      <c r="H239" s="19" t="s">
        <v>113</v>
      </c>
      <c r="I239" s="20" t="s">
        <v>77</v>
      </c>
      <c r="J239" s="20"/>
      <c r="K239" s="19" t="s">
        <v>55</v>
      </c>
      <c r="L239" s="19" t="s">
        <v>2</v>
      </c>
      <c r="M239" s="21" t="s">
        <v>67</v>
      </c>
      <c r="N239" s="20" t="s">
        <v>80</v>
      </c>
      <c r="O239" s="19" t="s">
        <v>14</v>
      </c>
      <c r="P239" s="10"/>
      <c r="Q239" s="11"/>
    </row>
    <row r="240" spans="2:17" ht="21" customHeight="1" x14ac:dyDescent="0.35">
      <c r="B240" s="1">
        <v>43856</v>
      </c>
      <c r="C240" s="1" t="str">
        <f>TEXT(Sales[[#This Row],[Kode Program/Kegiatan ]],"D")</f>
        <v>26</v>
      </c>
      <c r="D240" s="2" t="str">
        <f>TEXT(Sales[[#This Row],[Kode Program/Kegiatan ]],"mmm")</f>
        <v>Jan</v>
      </c>
      <c r="E240" s="3">
        <v>3</v>
      </c>
      <c r="F240" s="2">
        <v>3</v>
      </c>
      <c r="G240" s="3" t="str">
        <f>IF(Sales[[#This Row],[Anggaran Murni]]-Sales[[#This Row],[Target s.d. Januari]]=0,"",Sales[[#This Row],[Anggaran Murni]]-Sales[[#This Row],[Target s.d. Januari]])</f>
        <v/>
      </c>
      <c r="H240" s="2" t="s">
        <v>73</v>
      </c>
      <c r="I240" s="3" t="s">
        <v>78</v>
      </c>
      <c r="J240" s="3"/>
      <c r="K240" s="2" t="s">
        <v>46</v>
      </c>
      <c r="L240" s="2" t="s">
        <v>2</v>
      </c>
      <c r="M240" s="4" t="s">
        <v>67</v>
      </c>
      <c r="N240" s="3" t="s">
        <v>80</v>
      </c>
      <c r="O240" s="2" t="s">
        <v>12</v>
      </c>
      <c r="P240" s="10"/>
      <c r="Q240" s="11"/>
    </row>
    <row r="241" spans="2:17" ht="21" customHeight="1" x14ac:dyDescent="0.35">
      <c r="B241" s="18">
        <v>43857</v>
      </c>
      <c r="C241" s="18" t="str">
        <f>TEXT(Sales[[#This Row],[Kode Program/Kegiatan ]],"D")</f>
        <v>27</v>
      </c>
      <c r="D241" s="19" t="str">
        <f>TEXT(Sales[[#This Row],[Kode Program/Kegiatan ]],"mmm")</f>
        <v>Jan</v>
      </c>
      <c r="E241" s="20">
        <v>10</v>
      </c>
      <c r="F241" s="19">
        <v>10</v>
      </c>
      <c r="G241" s="20" t="str">
        <f>IF(Sales[[#This Row],[Anggaran Murni]]-Sales[[#This Row],[Target s.d. Januari]]=0,"",Sales[[#This Row],[Anggaran Murni]]-Sales[[#This Row],[Target s.d. Januari]])</f>
        <v/>
      </c>
      <c r="H241" s="19" t="s">
        <v>71</v>
      </c>
      <c r="I241" s="20" t="s">
        <v>6</v>
      </c>
      <c r="J241" s="20"/>
      <c r="K241" s="19" t="s">
        <v>51</v>
      </c>
      <c r="L241" s="19" t="s">
        <v>5</v>
      </c>
      <c r="M241" s="21" t="s">
        <v>67</v>
      </c>
      <c r="N241" s="20" t="s">
        <v>81</v>
      </c>
      <c r="O241" s="19" t="s">
        <v>12</v>
      </c>
      <c r="P241" s="10"/>
      <c r="Q241" s="11"/>
    </row>
    <row r="242" spans="2:17" ht="21" customHeight="1" x14ac:dyDescent="0.35">
      <c r="B242" s="1">
        <v>43857</v>
      </c>
      <c r="C242" s="1" t="str">
        <f>TEXT(Sales[[#This Row],[Kode Program/Kegiatan ]],"D")</f>
        <v>27</v>
      </c>
      <c r="D242" s="2" t="str">
        <f>TEXT(Sales[[#This Row],[Kode Program/Kegiatan ]],"mmm")</f>
        <v>Jan</v>
      </c>
      <c r="E242" s="3">
        <v>9</v>
      </c>
      <c r="F242" s="2">
        <v>9</v>
      </c>
      <c r="G242" s="3" t="str">
        <f>IF(Sales[[#This Row],[Anggaran Murni]]-Sales[[#This Row],[Target s.d. Januari]]=0,"",Sales[[#This Row],[Anggaran Murni]]-Sales[[#This Row],[Target s.d. Januari]])</f>
        <v/>
      </c>
      <c r="H242" s="2" t="s">
        <v>74</v>
      </c>
      <c r="I242" s="3" t="s">
        <v>77</v>
      </c>
      <c r="J242" s="3"/>
      <c r="K242" s="2" t="s">
        <v>17</v>
      </c>
      <c r="L242" s="2" t="s">
        <v>9</v>
      </c>
      <c r="M242" s="4" t="s">
        <v>67</v>
      </c>
      <c r="N242" s="3" t="s">
        <v>80</v>
      </c>
      <c r="O242" s="2" t="s">
        <v>14</v>
      </c>
      <c r="P242" s="10"/>
      <c r="Q242" s="11"/>
    </row>
    <row r="243" spans="2:17" ht="21" customHeight="1" x14ac:dyDescent="0.35">
      <c r="B243" s="18">
        <v>43857</v>
      </c>
      <c r="C243" s="18" t="str">
        <f>TEXT(Sales[[#This Row],[Kode Program/Kegiatan ]],"D")</f>
        <v>27</v>
      </c>
      <c r="D243" s="19" t="str">
        <f>TEXT(Sales[[#This Row],[Kode Program/Kegiatan ]],"mmm")</f>
        <v>Jan</v>
      </c>
      <c r="E243" s="20">
        <v>8</v>
      </c>
      <c r="F243" s="19">
        <v>8</v>
      </c>
      <c r="G243" s="20" t="str">
        <f>IF(Sales[[#This Row],[Anggaran Murni]]-Sales[[#This Row],[Target s.d. Januari]]=0,"",Sales[[#This Row],[Anggaran Murni]]-Sales[[#This Row],[Target s.d. Januari]])</f>
        <v/>
      </c>
      <c r="H243" s="19" t="s">
        <v>75</v>
      </c>
      <c r="I243" s="20" t="s">
        <v>6</v>
      </c>
      <c r="J243" s="20"/>
      <c r="K243" s="19" t="s">
        <v>41</v>
      </c>
      <c r="L243" s="19" t="s">
        <v>5</v>
      </c>
      <c r="M243" s="21" t="s">
        <v>67</v>
      </c>
      <c r="N243" s="20" t="s">
        <v>82</v>
      </c>
      <c r="O243" s="19" t="s">
        <v>12</v>
      </c>
      <c r="P243" s="10"/>
      <c r="Q243" s="11"/>
    </row>
    <row r="244" spans="2:17" ht="21" customHeight="1" x14ac:dyDescent="0.35">
      <c r="B244" s="1">
        <v>43857</v>
      </c>
      <c r="C244" s="1" t="str">
        <f>TEXT(Sales[[#This Row],[Kode Program/Kegiatan ]],"D")</f>
        <v>27</v>
      </c>
      <c r="D244" s="2" t="str">
        <f>TEXT(Sales[[#This Row],[Kode Program/Kegiatan ]],"mmm")</f>
        <v>Jan</v>
      </c>
      <c r="E244" s="3">
        <v>7</v>
      </c>
      <c r="F244" s="2">
        <v>7</v>
      </c>
      <c r="G244" s="3" t="str">
        <f>IF(Sales[[#This Row],[Anggaran Murni]]-Sales[[#This Row],[Target s.d. Januari]]=0,"",Sales[[#This Row],[Anggaran Murni]]-Sales[[#This Row],[Target s.d. Januari]])</f>
        <v/>
      </c>
      <c r="H244" s="2" t="s">
        <v>70</v>
      </c>
      <c r="I244" s="3" t="s">
        <v>1</v>
      </c>
      <c r="J244" s="3"/>
      <c r="K244" s="2" t="s">
        <v>32</v>
      </c>
      <c r="L244" s="2" t="s">
        <v>2</v>
      </c>
      <c r="M244" s="4" t="s">
        <v>67</v>
      </c>
      <c r="N244" s="3" t="s">
        <v>82</v>
      </c>
      <c r="O244" s="2" t="s">
        <v>11</v>
      </c>
      <c r="P244" s="10"/>
      <c r="Q244" s="11"/>
    </row>
    <row r="245" spans="2:17" ht="21" customHeight="1" x14ac:dyDescent="0.35">
      <c r="B245" s="18">
        <v>43857</v>
      </c>
      <c r="C245" s="18" t="str">
        <f>TEXT(Sales[[#This Row],[Kode Program/Kegiatan ]],"D")</f>
        <v>27</v>
      </c>
      <c r="D245" s="19" t="str">
        <f>TEXT(Sales[[#This Row],[Kode Program/Kegiatan ]],"mmm")</f>
        <v>Jan</v>
      </c>
      <c r="E245" s="20">
        <v>7</v>
      </c>
      <c r="F245" s="19">
        <v>7</v>
      </c>
      <c r="G245" s="20" t="str">
        <f>IF(Sales[[#This Row],[Anggaran Murni]]-Sales[[#This Row],[Target s.d. Januari]]=0,"",Sales[[#This Row],[Anggaran Murni]]-Sales[[#This Row],[Target s.d. Januari]])</f>
        <v/>
      </c>
      <c r="H245" s="19" t="s">
        <v>113</v>
      </c>
      <c r="I245" s="20" t="s">
        <v>77</v>
      </c>
      <c r="J245" s="20"/>
      <c r="K245" s="19" t="s">
        <v>54</v>
      </c>
      <c r="L245" s="19" t="s">
        <v>7</v>
      </c>
      <c r="M245" s="21" t="s">
        <v>67</v>
      </c>
      <c r="N245" s="20" t="s">
        <v>81</v>
      </c>
      <c r="O245" s="19" t="s">
        <v>11</v>
      </c>
      <c r="P245" s="10"/>
      <c r="Q245" s="11"/>
    </row>
    <row r="246" spans="2:17" ht="21" customHeight="1" x14ac:dyDescent="0.35">
      <c r="B246" s="1">
        <v>43857</v>
      </c>
      <c r="C246" s="1" t="str">
        <f>TEXT(Sales[[#This Row],[Kode Program/Kegiatan ]],"D")</f>
        <v>27</v>
      </c>
      <c r="D246" s="2" t="str">
        <f>TEXT(Sales[[#This Row],[Kode Program/Kegiatan ]],"mmm")</f>
        <v>Jan</v>
      </c>
      <c r="E246" s="3">
        <v>6</v>
      </c>
      <c r="F246" s="2">
        <v>6</v>
      </c>
      <c r="G246" s="3" t="str">
        <f>IF(Sales[[#This Row],[Anggaran Murni]]-Sales[[#This Row],[Target s.d. Januari]]=0,"",Sales[[#This Row],[Anggaran Murni]]-Sales[[#This Row],[Target s.d. Januari]])</f>
        <v/>
      </c>
      <c r="H246" s="2" t="s">
        <v>73</v>
      </c>
      <c r="I246" s="3" t="s">
        <v>78</v>
      </c>
      <c r="J246" s="3"/>
      <c r="K246" s="2" t="s">
        <v>23</v>
      </c>
      <c r="L246" s="2" t="s">
        <v>4</v>
      </c>
      <c r="M246" s="4" t="s">
        <v>67</v>
      </c>
      <c r="N246" s="3" t="s">
        <v>81</v>
      </c>
      <c r="O246" s="2" t="s">
        <v>12</v>
      </c>
      <c r="P246" s="10"/>
      <c r="Q246" s="11"/>
    </row>
    <row r="247" spans="2:17" ht="21" customHeight="1" x14ac:dyDescent="0.35">
      <c r="B247" s="18">
        <v>43857</v>
      </c>
      <c r="C247" s="18" t="str">
        <f>TEXT(Sales[[#This Row],[Kode Program/Kegiatan ]],"D")</f>
        <v>27</v>
      </c>
      <c r="D247" s="19" t="str">
        <f>TEXT(Sales[[#This Row],[Kode Program/Kegiatan ]],"mmm")</f>
        <v>Jan</v>
      </c>
      <c r="E247" s="20">
        <v>5</v>
      </c>
      <c r="F247" s="19">
        <v>5</v>
      </c>
      <c r="G247" s="20" t="str">
        <f>IF(Sales[[#This Row],[Anggaran Murni]]-Sales[[#This Row],[Target s.d. Januari]]=0,"",Sales[[#This Row],[Anggaran Murni]]-Sales[[#This Row],[Target s.d. Januari]])</f>
        <v/>
      </c>
      <c r="H247" s="19" t="s">
        <v>71</v>
      </c>
      <c r="I247" s="20" t="s">
        <v>6</v>
      </c>
      <c r="J247" s="20"/>
      <c r="K247" s="19" t="s">
        <v>23</v>
      </c>
      <c r="L247" s="19" t="s">
        <v>2</v>
      </c>
      <c r="M247" s="21" t="s">
        <v>67</v>
      </c>
      <c r="N247" s="20" t="s">
        <v>82</v>
      </c>
      <c r="O247" s="19" t="s">
        <v>12</v>
      </c>
      <c r="P247" s="10"/>
      <c r="Q247" s="11"/>
    </row>
    <row r="248" spans="2:17" ht="21" customHeight="1" x14ac:dyDescent="0.35">
      <c r="B248" s="1">
        <v>43857</v>
      </c>
      <c r="C248" s="1" t="str">
        <f>TEXT(Sales[[#This Row],[Kode Program/Kegiatan ]],"D")</f>
        <v>27</v>
      </c>
      <c r="D248" s="2" t="str">
        <f>TEXT(Sales[[#This Row],[Kode Program/Kegiatan ]],"mmm")</f>
        <v>Jan</v>
      </c>
      <c r="E248" s="3">
        <v>3</v>
      </c>
      <c r="F248" s="2">
        <v>3</v>
      </c>
      <c r="G248" s="3" t="str">
        <f>IF(Sales[[#This Row],[Anggaran Murni]]-Sales[[#This Row],[Target s.d. Januari]]=0,"",Sales[[#This Row],[Anggaran Murni]]-Sales[[#This Row],[Target s.d. Januari]])</f>
        <v/>
      </c>
      <c r="H248" s="2" t="s">
        <v>70</v>
      </c>
      <c r="I248" s="3" t="s">
        <v>1</v>
      </c>
      <c r="J248" s="3"/>
      <c r="K248" s="2" t="s">
        <v>45</v>
      </c>
      <c r="L248" s="2" t="s">
        <v>2</v>
      </c>
      <c r="M248" s="4" t="s">
        <v>67</v>
      </c>
      <c r="N248" s="3" t="s">
        <v>82</v>
      </c>
      <c r="O248" s="2" t="s">
        <v>11</v>
      </c>
      <c r="P248" s="10"/>
      <c r="Q248" s="11"/>
    </row>
    <row r="249" spans="2:17" ht="21" customHeight="1" x14ac:dyDescent="0.35">
      <c r="B249" s="18">
        <v>43858</v>
      </c>
      <c r="C249" s="18" t="str">
        <f>TEXT(Sales[[#This Row],[Kode Program/Kegiatan ]],"D")</f>
        <v>28</v>
      </c>
      <c r="D249" s="19" t="str">
        <f>TEXT(Sales[[#This Row],[Kode Program/Kegiatan ]],"mmm")</f>
        <v>Jan</v>
      </c>
      <c r="E249" s="20">
        <v>10</v>
      </c>
      <c r="F249" s="19">
        <v>10</v>
      </c>
      <c r="G249" s="20" t="str">
        <f>IF(Sales[[#This Row],[Anggaran Murni]]-Sales[[#This Row],[Target s.d. Januari]]=0,"",Sales[[#This Row],[Anggaran Murni]]-Sales[[#This Row],[Target s.d. Januari]])</f>
        <v/>
      </c>
      <c r="H249" s="19" t="s">
        <v>75</v>
      </c>
      <c r="I249" s="20" t="s">
        <v>6</v>
      </c>
      <c r="J249" s="20"/>
      <c r="K249" s="19" t="s">
        <v>60</v>
      </c>
      <c r="L249" s="19" t="s">
        <v>5</v>
      </c>
      <c r="M249" s="21" t="s">
        <v>67</v>
      </c>
      <c r="N249" s="20" t="s">
        <v>80</v>
      </c>
      <c r="O249" s="19" t="s">
        <v>14</v>
      </c>
      <c r="P249" s="10"/>
      <c r="Q249" s="11"/>
    </row>
    <row r="250" spans="2:17" ht="21" customHeight="1" x14ac:dyDescent="0.35">
      <c r="B250" s="1">
        <v>43858</v>
      </c>
      <c r="C250" s="1" t="str">
        <f>TEXT(Sales[[#This Row],[Kode Program/Kegiatan ]],"D")</f>
        <v>28</v>
      </c>
      <c r="D250" s="2" t="str">
        <f>TEXT(Sales[[#This Row],[Kode Program/Kegiatan ]],"mmm")</f>
        <v>Jan</v>
      </c>
      <c r="E250" s="3">
        <v>8</v>
      </c>
      <c r="F250" s="2">
        <v>8</v>
      </c>
      <c r="G250" s="3" t="str">
        <f>IF(Sales[[#This Row],[Anggaran Murni]]-Sales[[#This Row],[Target s.d. Januari]]=0,"",Sales[[#This Row],[Anggaran Murni]]-Sales[[#This Row],[Target s.d. Januari]])</f>
        <v/>
      </c>
      <c r="H250" s="2" t="s">
        <v>70</v>
      </c>
      <c r="I250" s="3" t="s">
        <v>1</v>
      </c>
      <c r="J250" s="3"/>
      <c r="K250" s="2" t="s">
        <v>52</v>
      </c>
      <c r="L250" s="2" t="s">
        <v>7</v>
      </c>
      <c r="M250" s="4" t="s">
        <v>67</v>
      </c>
      <c r="N250" s="3" t="s">
        <v>82</v>
      </c>
      <c r="O250" s="2" t="s">
        <v>13</v>
      </c>
      <c r="P250" s="10"/>
      <c r="Q250" s="11"/>
    </row>
    <row r="251" spans="2:17" ht="21" customHeight="1" x14ac:dyDescent="0.35">
      <c r="B251" s="18">
        <v>43858</v>
      </c>
      <c r="C251" s="18" t="str">
        <f>TEXT(Sales[[#This Row],[Kode Program/Kegiatan ]],"D")</f>
        <v>28</v>
      </c>
      <c r="D251" s="19" t="str">
        <f>TEXT(Sales[[#This Row],[Kode Program/Kegiatan ]],"mmm")</f>
        <v>Jan</v>
      </c>
      <c r="E251" s="20">
        <v>7</v>
      </c>
      <c r="F251" s="19">
        <v>7</v>
      </c>
      <c r="G251" s="20" t="str">
        <f>IF(Sales[[#This Row],[Anggaran Murni]]-Sales[[#This Row],[Target s.d. Januari]]=0,"",Sales[[#This Row],[Anggaran Murni]]-Sales[[#This Row],[Target s.d. Januari]])</f>
        <v/>
      </c>
      <c r="H251" s="19" t="s">
        <v>72</v>
      </c>
      <c r="I251" s="20" t="s">
        <v>78</v>
      </c>
      <c r="J251" s="20"/>
      <c r="K251" s="19" t="s">
        <v>54</v>
      </c>
      <c r="L251" s="19" t="s">
        <v>5</v>
      </c>
      <c r="M251" s="21" t="s">
        <v>67</v>
      </c>
      <c r="N251" s="20" t="s">
        <v>81</v>
      </c>
      <c r="O251" s="19" t="s">
        <v>13</v>
      </c>
      <c r="P251" s="10"/>
      <c r="Q251" s="11"/>
    </row>
    <row r="252" spans="2:17" ht="21" customHeight="1" x14ac:dyDescent="0.35">
      <c r="B252" s="1">
        <v>43858</v>
      </c>
      <c r="C252" s="1" t="str">
        <f>TEXT(Sales[[#This Row],[Kode Program/Kegiatan ]],"D")</f>
        <v>28</v>
      </c>
      <c r="D252" s="2" t="str">
        <f>TEXT(Sales[[#This Row],[Kode Program/Kegiatan ]],"mmm")</f>
        <v>Jan</v>
      </c>
      <c r="E252" s="3">
        <v>7</v>
      </c>
      <c r="F252" s="2">
        <v>7</v>
      </c>
      <c r="G252" s="3" t="str">
        <f>IF(Sales[[#This Row],[Anggaran Murni]]-Sales[[#This Row],[Target s.d. Januari]]=0,"",Sales[[#This Row],[Anggaran Murni]]-Sales[[#This Row],[Target s.d. Januari]])</f>
        <v/>
      </c>
      <c r="H252" s="2" t="s">
        <v>114</v>
      </c>
      <c r="I252" s="3" t="s">
        <v>3</v>
      </c>
      <c r="J252" s="3"/>
      <c r="K252" s="2" t="s">
        <v>16</v>
      </c>
      <c r="L252" s="2" t="s">
        <v>5</v>
      </c>
      <c r="M252" s="4" t="s">
        <v>67</v>
      </c>
      <c r="N252" s="3" t="s">
        <v>82</v>
      </c>
      <c r="O252" s="2" t="s">
        <v>14</v>
      </c>
      <c r="P252" s="10"/>
      <c r="Q252" s="11"/>
    </row>
    <row r="253" spans="2:17" ht="21" customHeight="1" x14ac:dyDescent="0.35">
      <c r="B253" s="18">
        <v>43858</v>
      </c>
      <c r="C253" s="18" t="str">
        <f>TEXT(Sales[[#This Row],[Kode Program/Kegiatan ]],"D")</f>
        <v>28</v>
      </c>
      <c r="D253" s="19" t="str">
        <f>TEXT(Sales[[#This Row],[Kode Program/Kegiatan ]],"mmm")</f>
        <v>Jan</v>
      </c>
      <c r="E253" s="20">
        <v>7</v>
      </c>
      <c r="F253" s="19">
        <v>7</v>
      </c>
      <c r="G253" s="20" t="str">
        <f>IF(Sales[[#This Row],[Anggaran Murni]]-Sales[[#This Row],[Target s.d. Januari]]=0,"",Sales[[#This Row],[Anggaran Murni]]-Sales[[#This Row],[Target s.d. Januari]])</f>
        <v/>
      </c>
      <c r="H253" s="19" t="s">
        <v>70</v>
      </c>
      <c r="I253" s="20" t="s">
        <v>1</v>
      </c>
      <c r="J253" s="20"/>
      <c r="K253" s="19" t="s">
        <v>50</v>
      </c>
      <c r="L253" s="19" t="s">
        <v>2</v>
      </c>
      <c r="M253" s="21" t="s">
        <v>67</v>
      </c>
      <c r="N253" s="20" t="s">
        <v>80</v>
      </c>
      <c r="O253" s="19" t="s">
        <v>11</v>
      </c>
      <c r="P253" s="10"/>
      <c r="Q253" s="11"/>
    </row>
    <row r="254" spans="2:17" ht="21" customHeight="1" x14ac:dyDescent="0.35">
      <c r="B254" s="1">
        <v>43858</v>
      </c>
      <c r="C254" s="1" t="str">
        <f>TEXT(Sales[[#This Row],[Kode Program/Kegiatan ]],"D")</f>
        <v>28</v>
      </c>
      <c r="D254" s="2" t="str">
        <f>TEXT(Sales[[#This Row],[Kode Program/Kegiatan ]],"mmm")</f>
        <v>Jan</v>
      </c>
      <c r="E254" s="3">
        <v>6</v>
      </c>
      <c r="F254" s="2">
        <v>6</v>
      </c>
      <c r="G254" s="3" t="str">
        <f>IF(Sales[[#This Row],[Anggaran Murni]]-Sales[[#This Row],[Target s.d. Januari]]=0,"",Sales[[#This Row],[Anggaran Murni]]-Sales[[#This Row],[Target s.d. Januari]])</f>
        <v/>
      </c>
      <c r="H254" s="2" t="s">
        <v>74</v>
      </c>
      <c r="I254" s="3" t="s">
        <v>77</v>
      </c>
      <c r="J254" s="3"/>
      <c r="K254" s="2" t="s">
        <v>48</v>
      </c>
      <c r="L254" s="2" t="s">
        <v>2</v>
      </c>
      <c r="M254" s="4" t="s">
        <v>67</v>
      </c>
      <c r="N254" s="3" t="s">
        <v>82</v>
      </c>
      <c r="O254" s="2" t="s">
        <v>13</v>
      </c>
      <c r="P254" s="10"/>
      <c r="Q254" s="11"/>
    </row>
    <row r="255" spans="2:17" ht="21" customHeight="1" x14ac:dyDescent="0.35">
      <c r="B255" s="18">
        <v>43858</v>
      </c>
      <c r="C255" s="18" t="str">
        <f>TEXT(Sales[[#This Row],[Kode Program/Kegiatan ]],"D")</f>
        <v>28</v>
      </c>
      <c r="D255" s="19" t="str">
        <f>TEXT(Sales[[#This Row],[Kode Program/Kegiatan ]],"mmm")</f>
        <v>Jan</v>
      </c>
      <c r="E255" s="20">
        <v>4</v>
      </c>
      <c r="F255" s="19">
        <v>4</v>
      </c>
      <c r="G255" s="20" t="str">
        <f>IF(Sales[[#This Row],[Anggaran Murni]]-Sales[[#This Row],[Target s.d. Januari]]=0,"",Sales[[#This Row],[Anggaran Murni]]-Sales[[#This Row],[Target s.d. Januari]])</f>
        <v/>
      </c>
      <c r="H255" s="19" t="s">
        <v>74</v>
      </c>
      <c r="I255" s="20" t="s">
        <v>77</v>
      </c>
      <c r="J255" s="20"/>
      <c r="K255" s="19" t="s">
        <v>37</v>
      </c>
      <c r="L255" s="19" t="s">
        <v>2</v>
      </c>
      <c r="M255" s="21" t="s">
        <v>67</v>
      </c>
      <c r="N255" s="20" t="s">
        <v>80</v>
      </c>
      <c r="O255" s="19" t="s">
        <v>12</v>
      </c>
      <c r="P255" s="10"/>
      <c r="Q255" s="11"/>
    </row>
    <row r="256" spans="2:17" ht="21" customHeight="1" x14ac:dyDescent="0.35">
      <c r="B256" s="1">
        <v>43859</v>
      </c>
      <c r="C256" s="1" t="str">
        <f>TEXT(Sales[[#This Row],[Kode Program/Kegiatan ]],"D")</f>
        <v>29</v>
      </c>
      <c r="D256" s="2" t="str">
        <f>TEXT(Sales[[#This Row],[Kode Program/Kegiatan ]],"mmm")</f>
        <v>Jan</v>
      </c>
      <c r="E256" s="3">
        <v>10</v>
      </c>
      <c r="F256" s="2">
        <v>10</v>
      </c>
      <c r="G256" s="3" t="str">
        <f>IF(Sales[[#This Row],[Anggaran Murni]]-Sales[[#This Row],[Target s.d. Januari]]=0,"",Sales[[#This Row],[Anggaran Murni]]-Sales[[#This Row],[Target s.d. Januari]])</f>
        <v/>
      </c>
      <c r="H256" s="2" t="s">
        <v>113</v>
      </c>
      <c r="I256" s="3" t="s">
        <v>77</v>
      </c>
      <c r="J256" s="3"/>
      <c r="K256" s="2" t="s">
        <v>31</v>
      </c>
      <c r="L256" s="2" t="s">
        <v>5</v>
      </c>
      <c r="M256" s="4" t="s">
        <v>67</v>
      </c>
      <c r="N256" s="3" t="s">
        <v>81</v>
      </c>
      <c r="O256" s="2" t="s">
        <v>14</v>
      </c>
      <c r="P256" s="10"/>
      <c r="Q256" s="11"/>
    </row>
    <row r="257" spans="2:17" ht="21" customHeight="1" x14ac:dyDescent="0.35">
      <c r="B257" s="18">
        <v>43859</v>
      </c>
      <c r="C257" s="18" t="str">
        <f>TEXT(Sales[[#This Row],[Kode Program/Kegiatan ]],"D")</f>
        <v>29</v>
      </c>
      <c r="D257" s="19" t="str">
        <f>TEXT(Sales[[#This Row],[Kode Program/Kegiatan ]],"mmm")</f>
        <v>Jan</v>
      </c>
      <c r="E257" s="20">
        <v>8</v>
      </c>
      <c r="F257" s="19">
        <v>8</v>
      </c>
      <c r="G257" s="20" t="str">
        <f>IF(Sales[[#This Row],[Anggaran Murni]]-Sales[[#This Row],[Target s.d. Januari]]=0,"",Sales[[#This Row],[Anggaran Murni]]-Sales[[#This Row],[Target s.d. Januari]])</f>
        <v/>
      </c>
      <c r="H257" s="19" t="s">
        <v>76</v>
      </c>
      <c r="I257" s="20" t="s">
        <v>79</v>
      </c>
      <c r="J257" s="20"/>
      <c r="K257" s="19" t="s">
        <v>31</v>
      </c>
      <c r="L257" s="19" t="s">
        <v>5</v>
      </c>
      <c r="M257" s="21" t="s">
        <v>67</v>
      </c>
      <c r="N257" s="20" t="s">
        <v>81</v>
      </c>
      <c r="O257" s="19" t="s">
        <v>14</v>
      </c>
      <c r="P257" s="10"/>
      <c r="Q257" s="11"/>
    </row>
    <row r="258" spans="2:17" ht="21" customHeight="1" x14ac:dyDescent="0.35">
      <c r="B258" s="1">
        <v>43859</v>
      </c>
      <c r="C258" s="1" t="str">
        <f>TEXT(Sales[[#This Row],[Kode Program/Kegiatan ]],"D")</f>
        <v>29</v>
      </c>
      <c r="D258" s="2" t="str">
        <f>TEXT(Sales[[#This Row],[Kode Program/Kegiatan ]],"mmm")</f>
        <v>Jan</v>
      </c>
      <c r="E258" s="3">
        <v>7</v>
      </c>
      <c r="F258" s="2">
        <v>7</v>
      </c>
      <c r="G258" s="3" t="str">
        <f>IF(Sales[[#This Row],[Anggaran Murni]]-Sales[[#This Row],[Target s.d. Januari]]=0,"",Sales[[#This Row],[Anggaran Murni]]-Sales[[#This Row],[Target s.d. Januari]])</f>
        <v/>
      </c>
      <c r="H258" s="2" t="s">
        <v>75</v>
      </c>
      <c r="I258" s="3" t="s">
        <v>6</v>
      </c>
      <c r="J258" s="3"/>
      <c r="K258" s="2" t="s">
        <v>30</v>
      </c>
      <c r="L258" s="2" t="s">
        <v>2</v>
      </c>
      <c r="M258" s="4" t="s">
        <v>67</v>
      </c>
      <c r="N258" s="3" t="s">
        <v>81</v>
      </c>
      <c r="O258" s="2" t="s">
        <v>11</v>
      </c>
      <c r="P258" s="10"/>
      <c r="Q258" s="11"/>
    </row>
    <row r="259" spans="2:17" ht="21" customHeight="1" x14ac:dyDescent="0.35">
      <c r="B259" s="18">
        <v>43859</v>
      </c>
      <c r="C259" s="18" t="str">
        <f>TEXT(Sales[[#This Row],[Kode Program/Kegiatan ]],"D")</f>
        <v>29</v>
      </c>
      <c r="D259" s="19" t="str">
        <f>TEXT(Sales[[#This Row],[Kode Program/Kegiatan ]],"mmm")</f>
        <v>Jan</v>
      </c>
      <c r="E259" s="20">
        <v>6</v>
      </c>
      <c r="F259" s="19">
        <v>6</v>
      </c>
      <c r="G259" s="20" t="str">
        <f>IF(Sales[[#This Row],[Anggaran Murni]]-Sales[[#This Row],[Target s.d. Januari]]=0,"",Sales[[#This Row],[Anggaran Murni]]-Sales[[#This Row],[Target s.d. Januari]])</f>
        <v/>
      </c>
      <c r="H259" s="19" t="s">
        <v>71</v>
      </c>
      <c r="I259" s="20" t="s">
        <v>6</v>
      </c>
      <c r="J259" s="20"/>
      <c r="K259" s="19" t="s">
        <v>36</v>
      </c>
      <c r="L259" s="19" t="s">
        <v>5</v>
      </c>
      <c r="M259" s="21" t="s">
        <v>67</v>
      </c>
      <c r="N259" s="20" t="s">
        <v>80</v>
      </c>
      <c r="O259" s="19" t="s">
        <v>13</v>
      </c>
      <c r="P259" s="10"/>
      <c r="Q259" s="11"/>
    </row>
    <row r="260" spans="2:17" ht="21" customHeight="1" x14ac:dyDescent="0.35">
      <c r="B260" s="1">
        <v>43859</v>
      </c>
      <c r="C260" s="1" t="str">
        <f>TEXT(Sales[[#This Row],[Kode Program/Kegiatan ]],"D")</f>
        <v>29</v>
      </c>
      <c r="D260" s="2" t="str">
        <f>TEXT(Sales[[#This Row],[Kode Program/Kegiatan ]],"mmm")</f>
        <v>Jan</v>
      </c>
      <c r="E260" s="3">
        <v>6</v>
      </c>
      <c r="F260" s="2">
        <v>6</v>
      </c>
      <c r="G260" s="3" t="str">
        <f>IF(Sales[[#This Row],[Anggaran Murni]]-Sales[[#This Row],[Target s.d. Januari]]=0,"",Sales[[#This Row],[Anggaran Murni]]-Sales[[#This Row],[Target s.d. Januari]])</f>
        <v/>
      </c>
      <c r="H260" s="2" t="s">
        <v>114</v>
      </c>
      <c r="I260" s="3" t="s">
        <v>3</v>
      </c>
      <c r="J260" s="3"/>
      <c r="K260" s="2" t="s">
        <v>18</v>
      </c>
      <c r="L260" s="2" t="s">
        <v>5</v>
      </c>
      <c r="M260" s="4" t="s">
        <v>67</v>
      </c>
      <c r="N260" s="3" t="s">
        <v>81</v>
      </c>
      <c r="O260" s="2" t="s">
        <v>12</v>
      </c>
      <c r="P260" s="10"/>
      <c r="Q260" s="11"/>
    </row>
    <row r="261" spans="2:17" ht="21" customHeight="1" x14ac:dyDescent="0.35">
      <c r="B261" s="18">
        <v>43859</v>
      </c>
      <c r="C261" s="18" t="str">
        <f>TEXT(Sales[[#This Row],[Kode Program/Kegiatan ]],"D")</f>
        <v>29</v>
      </c>
      <c r="D261" s="19" t="str">
        <f>TEXT(Sales[[#This Row],[Kode Program/Kegiatan ]],"mmm")</f>
        <v>Jan</v>
      </c>
      <c r="E261" s="20">
        <v>6</v>
      </c>
      <c r="F261" s="19">
        <v>6</v>
      </c>
      <c r="G261" s="20" t="str">
        <f>IF(Sales[[#This Row],[Anggaran Murni]]-Sales[[#This Row],[Target s.d. Januari]]=0,"",Sales[[#This Row],[Anggaran Murni]]-Sales[[#This Row],[Target s.d. Januari]])</f>
        <v/>
      </c>
      <c r="H261" s="19" t="s">
        <v>114</v>
      </c>
      <c r="I261" s="20" t="s">
        <v>3</v>
      </c>
      <c r="J261" s="20"/>
      <c r="K261" s="19" t="s">
        <v>15</v>
      </c>
      <c r="L261" s="19" t="s">
        <v>5</v>
      </c>
      <c r="M261" s="21" t="s">
        <v>67</v>
      </c>
      <c r="N261" s="20" t="s">
        <v>80</v>
      </c>
      <c r="O261" s="19" t="s">
        <v>14</v>
      </c>
      <c r="P261" s="10"/>
      <c r="Q261" s="11"/>
    </row>
    <row r="262" spans="2:17" ht="21" customHeight="1" x14ac:dyDescent="0.35">
      <c r="B262" s="1">
        <v>43859</v>
      </c>
      <c r="C262" s="1" t="str">
        <f>TEXT(Sales[[#This Row],[Kode Program/Kegiatan ]],"D")</f>
        <v>29</v>
      </c>
      <c r="D262" s="2" t="str">
        <f>TEXT(Sales[[#This Row],[Kode Program/Kegiatan ]],"mmm")</f>
        <v>Jan</v>
      </c>
      <c r="E262" s="3">
        <v>5</v>
      </c>
      <c r="F262" s="2">
        <v>5</v>
      </c>
      <c r="G262" s="3" t="str">
        <f>IF(Sales[[#This Row],[Anggaran Murni]]-Sales[[#This Row],[Target s.d. Januari]]=0,"",Sales[[#This Row],[Anggaran Murni]]-Sales[[#This Row],[Target s.d. Januari]])</f>
        <v/>
      </c>
      <c r="H262" s="2" t="s">
        <v>76</v>
      </c>
      <c r="I262" s="3" t="s">
        <v>79</v>
      </c>
      <c r="J262" s="3"/>
      <c r="K262" s="2" t="s">
        <v>17</v>
      </c>
      <c r="L262" s="2" t="s">
        <v>2</v>
      </c>
      <c r="M262" s="4" t="s">
        <v>67</v>
      </c>
      <c r="N262" s="3" t="s">
        <v>82</v>
      </c>
      <c r="O262" s="2" t="s">
        <v>12</v>
      </c>
      <c r="P262" s="10"/>
      <c r="Q262" s="11"/>
    </row>
    <row r="263" spans="2:17" ht="21" customHeight="1" x14ac:dyDescent="0.35">
      <c r="B263" s="18">
        <v>43859</v>
      </c>
      <c r="C263" s="18" t="str">
        <f>TEXT(Sales[[#This Row],[Kode Program/Kegiatan ]],"D")</f>
        <v>29</v>
      </c>
      <c r="D263" s="19" t="str">
        <f>TEXT(Sales[[#This Row],[Kode Program/Kegiatan ]],"mmm")</f>
        <v>Jan</v>
      </c>
      <c r="E263" s="20">
        <v>4</v>
      </c>
      <c r="F263" s="19">
        <v>4</v>
      </c>
      <c r="G263" s="20" t="str">
        <f>IF(Sales[[#This Row],[Anggaran Murni]]-Sales[[#This Row],[Target s.d. Januari]]=0,"",Sales[[#This Row],[Anggaran Murni]]-Sales[[#This Row],[Target s.d. Januari]])</f>
        <v/>
      </c>
      <c r="H263" s="19" t="s">
        <v>76</v>
      </c>
      <c r="I263" s="20" t="s">
        <v>79</v>
      </c>
      <c r="J263" s="20"/>
      <c r="K263" s="19" t="s">
        <v>49</v>
      </c>
      <c r="L263" s="19" t="s">
        <v>7</v>
      </c>
      <c r="M263" s="21" t="s">
        <v>67</v>
      </c>
      <c r="N263" s="20" t="s">
        <v>82</v>
      </c>
      <c r="O263" s="19" t="s">
        <v>11</v>
      </c>
      <c r="P263" s="10"/>
      <c r="Q263" s="11"/>
    </row>
    <row r="264" spans="2:17" ht="21" customHeight="1" x14ac:dyDescent="0.35">
      <c r="B264" s="1">
        <v>43860</v>
      </c>
      <c r="C264" s="1" t="str">
        <f>TEXT(Sales[[#This Row],[Kode Program/Kegiatan ]],"D")</f>
        <v>30</v>
      </c>
      <c r="D264" s="2" t="str">
        <f>TEXT(Sales[[#This Row],[Kode Program/Kegiatan ]],"mmm")</f>
        <v>Jan</v>
      </c>
      <c r="E264" s="3">
        <v>10</v>
      </c>
      <c r="F264" s="2">
        <v>10</v>
      </c>
      <c r="G264" s="3" t="str">
        <f>IF(Sales[[#This Row],[Anggaran Murni]]-Sales[[#This Row],[Target s.d. Januari]]=0,"",Sales[[#This Row],[Anggaran Murni]]-Sales[[#This Row],[Target s.d. Januari]])</f>
        <v/>
      </c>
      <c r="H264" s="2" t="s">
        <v>70</v>
      </c>
      <c r="I264" s="3" t="s">
        <v>1</v>
      </c>
      <c r="J264" s="3"/>
      <c r="K264" s="2" t="s">
        <v>45</v>
      </c>
      <c r="L264" s="2" t="s">
        <v>5</v>
      </c>
      <c r="M264" s="4" t="s">
        <v>67</v>
      </c>
      <c r="N264" s="3" t="s">
        <v>81</v>
      </c>
      <c r="O264" s="2" t="s">
        <v>13</v>
      </c>
      <c r="P264" s="10"/>
      <c r="Q264" s="11"/>
    </row>
    <row r="265" spans="2:17" ht="21" customHeight="1" x14ac:dyDescent="0.35">
      <c r="B265" s="18">
        <v>43860</v>
      </c>
      <c r="C265" s="18" t="str">
        <f>TEXT(Sales[[#This Row],[Kode Program/Kegiatan ]],"D")</f>
        <v>30</v>
      </c>
      <c r="D265" s="19" t="str">
        <f>TEXT(Sales[[#This Row],[Kode Program/Kegiatan ]],"mmm")</f>
        <v>Jan</v>
      </c>
      <c r="E265" s="20">
        <v>10</v>
      </c>
      <c r="F265" s="19">
        <v>10</v>
      </c>
      <c r="G265" s="20" t="str">
        <f>IF(Sales[[#This Row],[Anggaran Murni]]-Sales[[#This Row],[Target s.d. Januari]]=0,"",Sales[[#This Row],[Anggaran Murni]]-Sales[[#This Row],[Target s.d. Januari]])</f>
        <v/>
      </c>
      <c r="H265" s="19" t="s">
        <v>76</v>
      </c>
      <c r="I265" s="20" t="s">
        <v>79</v>
      </c>
      <c r="J265" s="20"/>
      <c r="K265" s="19" t="s">
        <v>32</v>
      </c>
      <c r="L265" s="19" t="s">
        <v>7</v>
      </c>
      <c r="M265" s="21" t="s">
        <v>67</v>
      </c>
      <c r="N265" s="20" t="s">
        <v>81</v>
      </c>
      <c r="O265" s="19" t="s">
        <v>13</v>
      </c>
      <c r="P265" s="10"/>
      <c r="Q265" s="11"/>
    </row>
    <row r="266" spans="2:17" ht="21" customHeight="1" x14ac:dyDescent="0.35">
      <c r="B266" s="1">
        <v>43860</v>
      </c>
      <c r="C266" s="1" t="str">
        <f>TEXT(Sales[[#This Row],[Kode Program/Kegiatan ]],"D")</f>
        <v>30</v>
      </c>
      <c r="D266" s="2" t="str">
        <f>TEXT(Sales[[#This Row],[Kode Program/Kegiatan ]],"mmm")</f>
        <v>Jan</v>
      </c>
      <c r="E266" s="3">
        <v>9</v>
      </c>
      <c r="F266" s="2">
        <v>9</v>
      </c>
      <c r="G266" s="3" t="str">
        <f>IF(Sales[[#This Row],[Anggaran Murni]]-Sales[[#This Row],[Target s.d. Januari]]=0,"",Sales[[#This Row],[Anggaran Murni]]-Sales[[#This Row],[Target s.d. Januari]])</f>
        <v/>
      </c>
      <c r="H266" s="2" t="s">
        <v>74</v>
      </c>
      <c r="I266" s="3" t="s">
        <v>77</v>
      </c>
      <c r="J266" s="3"/>
      <c r="K266" s="2" t="s">
        <v>50</v>
      </c>
      <c r="L266" s="2" t="s">
        <v>2</v>
      </c>
      <c r="M266" s="4" t="s">
        <v>67</v>
      </c>
      <c r="N266" s="3" t="s">
        <v>80</v>
      </c>
      <c r="O266" s="2" t="s">
        <v>12</v>
      </c>
      <c r="P266" s="10"/>
      <c r="Q266" s="11"/>
    </row>
    <row r="267" spans="2:17" ht="21" customHeight="1" x14ac:dyDescent="0.35">
      <c r="B267" s="18">
        <v>43860</v>
      </c>
      <c r="C267" s="18" t="str">
        <f>TEXT(Sales[[#This Row],[Kode Program/Kegiatan ]],"D")</f>
        <v>30</v>
      </c>
      <c r="D267" s="19" t="str">
        <f>TEXT(Sales[[#This Row],[Kode Program/Kegiatan ]],"mmm")</f>
        <v>Jan</v>
      </c>
      <c r="E267" s="20">
        <v>8</v>
      </c>
      <c r="F267" s="19">
        <v>8</v>
      </c>
      <c r="G267" s="20" t="str">
        <f>IF(Sales[[#This Row],[Anggaran Murni]]-Sales[[#This Row],[Target s.d. Januari]]=0,"",Sales[[#This Row],[Anggaran Murni]]-Sales[[#This Row],[Target s.d. Januari]])</f>
        <v/>
      </c>
      <c r="H267" s="19" t="s">
        <v>71</v>
      </c>
      <c r="I267" s="20" t="s">
        <v>6</v>
      </c>
      <c r="J267" s="20"/>
      <c r="K267" s="19" t="s">
        <v>25</v>
      </c>
      <c r="L267" s="19" t="s">
        <v>5</v>
      </c>
      <c r="M267" s="21" t="s">
        <v>67</v>
      </c>
      <c r="N267" s="20" t="s">
        <v>82</v>
      </c>
      <c r="O267" s="19" t="s">
        <v>11</v>
      </c>
      <c r="P267" s="10"/>
      <c r="Q267" s="11"/>
    </row>
    <row r="268" spans="2:17" ht="21" customHeight="1" x14ac:dyDescent="0.35">
      <c r="B268" s="1">
        <v>43860</v>
      </c>
      <c r="C268" s="1" t="str">
        <f>TEXT(Sales[[#This Row],[Kode Program/Kegiatan ]],"D")</f>
        <v>30</v>
      </c>
      <c r="D268" s="2" t="str">
        <f>TEXT(Sales[[#This Row],[Kode Program/Kegiatan ]],"mmm")</f>
        <v>Jan</v>
      </c>
      <c r="E268" s="3">
        <v>7</v>
      </c>
      <c r="F268" s="2">
        <v>7</v>
      </c>
      <c r="G268" s="3" t="str">
        <f>IF(Sales[[#This Row],[Anggaran Murni]]-Sales[[#This Row],[Target s.d. Januari]]=0,"",Sales[[#This Row],[Anggaran Murni]]-Sales[[#This Row],[Target s.d. Januari]])</f>
        <v/>
      </c>
      <c r="H268" s="2" t="s">
        <v>75</v>
      </c>
      <c r="I268" s="3" t="s">
        <v>6</v>
      </c>
      <c r="J268" s="3"/>
      <c r="K268" s="2" t="s">
        <v>16</v>
      </c>
      <c r="L268" s="2" t="s">
        <v>2</v>
      </c>
      <c r="M268" s="4" t="s">
        <v>67</v>
      </c>
      <c r="N268" s="3" t="s">
        <v>82</v>
      </c>
      <c r="O268" s="2" t="s">
        <v>12</v>
      </c>
      <c r="P268" s="10"/>
      <c r="Q268" s="11"/>
    </row>
    <row r="269" spans="2:17" ht="21" customHeight="1" x14ac:dyDescent="0.35">
      <c r="B269" s="18">
        <v>43860</v>
      </c>
      <c r="C269" s="18" t="str">
        <f>TEXT(Sales[[#This Row],[Kode Program/Kegiatan ]],"D")</f>
        <v>30</v>
      </c>
      <c r="D269" s="19" t="str">
        <f>TEXT(Sales[[#This Row],[Kode Program/Kegiatan ]],"mmm")</f>
        <v>Jan</v>
      </c>
      <c r="E269" s="20">
        <v>6</v>
      </c>
      <c r="F269" s="19">
        <v>6</v>
      </c>
      <c r="G269" s="20" t="str">
        <f>IF(Sales[[#This Row],[Anggaran Murni]]-Sales[[#This Row],[Target s.d. Januari]]=0,"",Sales[[#This Row],[Anggaran Murni]]-Sales[[#This Row],[Target s.d. Januari]])</f>
        <v/>
      </c>
      <c r="H269" s="19" t="s">
        <v>74</v>
      </c>
      <c r="I269" s="20" t="s">
        <v>77</v>
      </c>
      <c r="J269" s="20"/>
      <c r="K269" s="19" t="s">
        <v>45</v>
      </c>
      <c r="L269" s="19" t="s">
        <v>2</v>
      </c>
      <c r="M269" s="21" t="s">
        <v>67</v>
      </c>
      <c r="N269" s="20" t="s">
        <v>82</v>
      </c>
      <c r="O269" s="19" t="s">
        <v>12</v>
      </c>
      <c r="P269" s="10"/>
      <c r="Q269" s="11"/>
    </row>
    <row r="270" spans="2:17" ht="21" customHeight="1" x14ac:dyDescent="0.35">
      <c r="B270" s="1">
        <v>43860</v>
      </c>
      <c r="C270" s="1" t="str">
        <f>TEXT(Sales[[#This Row],[Kode Program/Kegiatan ]],"D")</f>
        <v>30</v>
      </c>
      <c r="D270" s="2" t="str">
        <f>TEXT(Sales[[#This Row],[Kode Program/Kegiatan ]],"mmm")</f>
        <v>Jan</v>
      </c>
      <c r="E270" s="3">
        <v>5</v>
      </c>
      <c r="F270" s="2">
        <v>5</v>
      </c>
      <c r="G270" s="3" t="str">
        <f>IF(Sales[[#This Row],[Anggaran Murni]]-Sales[[#This Row],[Target s.d. Januari]]=0,"",Sales[[#This Row],[Anggaran Murni]]-Sales[[#This Row],[Target s.d. Januari]])</f>
        <v/>
      </c>
      <c r="H270" s="2" t="s">
        <v>73</v>
      </c>
      <c r="I270" s="3" t="s">
        <v>78</v>
      </c>
      <c r="J270" s="3"/>
      <c r="K270" s="2" t="s">
        <v>40</v>
      </c>
      <c r="L270" s="2" t="s">
        <v>4</v>
      </c>
      <c r="M270" s="4" t="s">
        <v>67</v>
      </c>
      <c r="N270" s="3" t="s">
        <v>82</v>
      </c>
      <c r="O270" s="2" t="s">
        <v>11</v>
      </c>
      <c r="P270" s="10"/>
      <c r="Q270" s="11"/>
    </row>
    <row r="271" spans="2:17" ht="21" customHeight="1" x14ac:dyDescent="0.35">
      <c r="B271" s="18">
        <v>43860</v>
      </c>
      <c r="C271" s="18" t="str">
        <f>TEXT(Sales[[#This Row],[Kode Program/Kegiatan ]],"D")</f>
        <v>30</v>
      </c>
      <c r="D271" s="19" t="str">
        <f>TEXT(Sales[[#This Row],[Kode Program/Kegiatan ]],"mmm")</f>
        <v>Jan</v>
      </c>
      <c r="E271" s="20">
        <v>3</v>
      </c>
      <c r="F271" s="19">
        <v>3</v>
      </c>
      <c r="G271" s="20" t="str">
        <f>IF(Sales[[#This Row],[Anggaran Murni]]-Sales[[#This Row],[Target s.d. Januari]]=0,"",Sales[[#This Row],[Anggaran Murni]]-Sales[[#This Row],[Target s.d. Januari]])</f>
        <v/>
      </c>
      <c r="H271" s="19" t="s">
        <v>74</v>
      </c>
      <c r="I271" s="20" t="s">
        <v>77</v>
      </c>
      <c r="J271" s="20"/>
      <c r="K271" s="19" t="s">
        <v>64</v>
      </c>
      <c r="L271" s="19" t="s">
        <v>4</v>
      </c>
      <c r="M271" s="21" t="s">
        <v>67</v>
      </c>
      <c r="N271" s="20" t="s">
        <v>80</v>
      </c>
      <c r="O271" s="19" t="s">
        <v>13</v>
      </c>
      <c r="P271" s="10"/>
      <c r="Q271" s="11"/>
    </row>
    <row r="272" spans="2:17" ht="21" customHeight="1" x14ac:dyDescent="0.35">
      <c r="B272" s="1">
        <v>43861</v>
      </c>
      <c r="C272" s="1" t="str">
        <f>TEXT(Sales[[#This Row],[Kode Program/Kegiatan ]],"D")</f>
        <v>31</v>
      </c>
      <c r="D272" s="2" t="str">
        <f>TEXT(Sales[[#This Row],[Kode Program/Kegiatan ]],"mmm")</f>
        <v>Jan</v>
      </c>
      <c r="E272" s="3">
        <v>10</v>
      </c>
      <c r="F272" s="2">
        <v>10</v>
      </c>
      <c r="G272" s="3" t="str">
        <f>IF(Sales[[#This Row],[Anggaran Murni]]-Sales[[#This Row],[Target s.d. Januari]]=0,"",Sales[[#This Row],[Anggaran Murni]]-Sales[[#This Row],[Target s.d. Januari]])</f>
        <v/>
      </c>
      <c r="H272" s="2" t="s">
        <v>74</v>
      </c>
      <c r="I272" s="3" t="s">
        <v>77</v>
      </c>
      <c r="J272" s="3"/>
      <c r="K272" s="2" t="s">
        <v>28</v>
      </c>
      <c r="L272" s="2" t="s">
        <v>5</v>
      </c>
      <c r="M272" s="4" t="s">
        <v>67</v>
      </c>
      <c r="N272" s="3" t="s">
        <v>81</v>
      </c>
      <c r="O272" s="2" t="s">
        <v>12</v>
      </c>
      <c r="P272" s="10"/>
      <c r="Q272" s="11"/>
    </row>
    <row r="273" spans="2:17" ht="21" customHeight="1" x14ac:dyDescent="0.35">
      <c r="B273" s="18">
        <v>43861</v>
      </c>
      <c r="C273" s="18" t="str">
        <f>TEXT(Sales[[#This Row],[Kode Program/Kegiatan ]],"D")</f>
        <v>31</v>
      </c>
      <c r="D273" s="19" t="str">
        <f>TEXT(Sales[[#This Row],[Kode Program/Kegiatan ]],"mmm")</f>
        <v>Jan</v>
      </c>
      <c r="E273" s="20">
        <v>8</v>
      </c>
      <c r="F273" s="19">
        <v>8</v>
      </c>
      <c r="G273" s="20" t="str">
        <f>IF(Sales[[#This Row],[Anggaran Murni]]-Sales[[#This Row],[Target s.d. Januari]]=0,"",Sales[[#This Row],[Anggaran Murni]]-Sales[[#This Row],[Target s.d. Januari]])</f>
        <v/>
      </c>
      <c r="H273" s="19" t="s">
        <v>75</v>
      </c>
      <c r="I273" s="20" t="s">
        <v>6</v>
      </c>
      <c r="J273" s="20"/>
      <c r="K273" s="19" t="s">
        <v>45</v>
      </c>
      <c r="L273" s="19" t="s">
        <v>5</v>
      </c>
      <c r="M273" s="21" t="s">
        <v>67</v>
      </c>
      <c r="N273" s="20" t="s">
        <v>81</v>
      </c>
      <c r="O273" s="19" t="s">
        <v>11</v>
      </c>
      <c r="P273" s="10"/>
      <c r="Q273" s="11"/>
    </row>
    <row r="274" spans="2:17" ht="21" customHeight="1" x14ac:dyDescent="0.35">
      <c r="B274" s="1">
        <v>43861</v>
      </c>
      <c r="C274" s="1" t="str">
        <f>TEXT(Sales[[#This Row],[Kode Program/Kegiatan ]],"D")</f>
        <v>31</v>
      </c>
      <c r="D274" s="2" t="str">
        <f>TEXT(Sales[[#This Row],[Kode Program/Kegiatan ]],"mmm")</f>
        <v>Jan</v>
      </c>
      <c r="E274" s="3">
        <v>7</v>
      </c>
      <c r="F274" s="2">
        <v>7</v>
      </c>
      <c r="G274" s="3" t="str">
        <f>IF(Sales[[#This Row],[Anggaran Murni]]-Sales[[#This Row],[Target s.d. Januari]]=0,"",Sales[[#This Row],[Anggaran Murni]]-Sales[[#This Row],[Target s.d. Januari]])</f>
        <v/>
      </c>
      <c r="H274" s="2" t="s">
        <v>114</v>
      </c>
      <c r="I274" s="3" t="s">
        <v>3</v>
      </c>
      <c r="J274" s="3"/>
      <c r="K274" s="2" t="s">
        <v>51</v>
      </c>
      <c r="L274" s="2" t="s">
        <v>2</v>
      </c>
      <c r="M274" s="4" t="s">
        <v>67</v>
      </c>
      <c r="N274" s="3" t="s">
        <v>81</v>
      </c>
      <c r="O274" s="2" t="s">
        <v>14</v>
      </c>
      <c r="P274" s="10"/>
      <c r="Q274" s="11"/>
    </row>
    <row r="275" spans="2:17" ht="21" customHeight="1" x14ac:dyDescent="0.35">
      <c r="B275" s="18">
        <v>43861</v>
      </c>
      <c r="C275" s="18" t="str">
        <f>TEXT(Sales[[#This Row],[Kode Program/Kegiatan ]],"D")</f>
        <v>31</v>
      </c>
      <c r="D275" s="19" t="str">
        <f>TEXT(Sales[[#This Row],[Kode Program/Kegiatan ]],"mmm")</f>
        <v>Jan</v>
      </c>
      <c r="E275" s="20">
        <v>7</v>
      </c>
      <c r="F275" s="19">
        <v>7</v>
      </c>
      <c r="G275" s="20" t="str">
        <f>IF(Sales[[#This Row],[Anggaran Murni]]-Sales[[#This Row],[Target s.d. Januari]]=0,"",Sales[[#This Row],[Anggaran Murni]]-Sales[[#This Row],[Target s.d. Januari]])</f>
        <v/>
      </c>
      <c r="H275" s="19" t="s">
        <v>113</v>
      </c>
      <c r="I275" s="20" t="s">
        <v>77</v>
      </c>
      <c r="J275" s="20"/>
      <c r="K275" s="19" t="s">
        <v>38</v>
      </c>
      <c r="L275" s="19" t="s">
        <v>5</v>
      </c>
      <c r="M275" s="21" t="s">
        <v>67</v>
      </c>
      <c r="N275" s="20" t="s">
        <v>80</v>
      </c>
      <c r="O275" s="19" t="s">
        <v>14</v>
      </c>
      <c r="P275" s="10"/>
      <c r="Q275" s="11"/>
    </row>
    <row r="276" spans="2:17" ht="21" customHeight="1" x14ac:dyDescent="0.35">
      <c r="B276" s="1">
        <v>43861</v>
      </c>
      <c r="C276" s="1" t="str">
        <f>TEXT(Sales[[#This Row],[Kode Program/Kegiatan ]],"D")</f>
        <v>31</v>
      </c>
      <c r="D276" s="2" t="str">
        <f>TEXT(Sales[[#This Row],[Kode Program/Kegiatan ]],"mmm")</f>
        <v>Jan</v>
      </c>
      <c r="E276" s="3">
        <v>6</v>
      </c>
      <c r="F276" s="2">
        <v>6</v>
      </c>
      <c r="G276" s="3" t="str">
        <f>IF(Sales[[#This Row],[Anggaran Murni]]-Sales[[#This Row],[Target s.d. Januari]]=0,"",Sales[[#This Row],[Anggaran Murni]]-Sales[[#This Row],[Target s.d. Januari]])</f>
        <v/>
      </c>
      <c r="H276" s="2" t="s">
        <v>113</v>
      </c>
      <c r="I276" s="3" t="s">
        <v>77</v>
      </c>
      <c r="J276" s="3"/>
      <c r="K276" s="2" t="s">
        <v>37</v>
      </c>
      <c r="L276" s="2" t="s">
        <v>7</v>
      </c>
      <c r="M276" s="4" t="s">
        <v>67</v>
      </c>
      <c r="N276" s="3" t="s">
        <v>82</v>
      </c>
      <c r="O276" s="2" t="s">
        <v>13</v>
      </c>
      <c r="P276" s="10"/>
      <c r="Q276" s="11"/>
    </row>
    <row r="277" spans="2:17" ht="21" customHeight="1" x14ac:dyDescent="0.35">
      <c r="B277" s="18">
        <v>43861</v>
      </c>
      <c r="C277" s="18" t="str">
        <f>TEXT(Sales[[#This Row],[Kode Program/Kegiatan ]],"D")</f>
        <v>31</v>
      </c>
      <c r="D277" s="19" t="str">
        <f>TEXT(Sales[[#This Row],[Kode Program/Kegiatan ]],"mmm")</f>
        <v>Jan</v>
      </c>
      <c r="E277" s="20">
        <v>5</v>
      </c>
      <c r="F277" s="19">
        <v>5</v>
      </c>
      <c r="G277" s="20" t="str">
        <f>IF(Sales[[#This Row],[Anggaran Murni]]-Sales[[#This Row],[Target s.d. Januari]]=0,"",Sales[[#This Row],[Anggaran Murni]]-Sales[[#This Row],[Target s.d. Januari]])</f>
        <v/>
      </c>
      <c r="H277" s="19" t="s">
        <v>76</v>
      </c>
      <c r="I277" s="20" t="s">
        <v>79</v>
      </c>
      <c r="J277" s="20"/>
      <c r="K277" s="19" t="s">
        <v>44</v>
      </c>
      <c r="L277" s="19" t="s">
        <v>2</v>
      </c>
      <c r="M277" s="21" t="s">
        <v>67</v>
      </c>
      <c r="N277" s="20" t="s">
        <v>80</v>
      </c>
      <c r="O277" s="19" t="s">
        <v>12</v>
      </c>
      <c r="P277" s="10"/>
      <c r="Q277" s="11"/>
    </row>
    <row r="278" spans="2:17" ht="21" customHeight="1" x14ac:dyDescent="0.35">
      <c r="B278" s="1">
        <v>43861</v>
      </c>
      <c r="C278" s="1" t="str">
        <f>TEXT(Sales[[#This Row],[Kode Program/Kegiatan ]],"D")</f>
        <v>31</v>
      </c>
      <c r="D278" s="2" t="str">
        <f>TEXT(Sales[[#This Row],[Kode Program/Kegiatan ]],"mmm")</f>
        <v>Jan</v>
      </c>
      <c r="E278" s="3">
        <v>3</v>
      </c>
      <c r="F278" s="2">
        <v>3</v>
      </c>
      <c r="G278" s="3" t="str">
        <f>IF(Sales[[#This Row],[Anggaran Murni]]-Sales[[#This Row],[Target s.d. Januari]]=0,"",Sales[[#This Row],[Anggaran Murni]]-Sales[[#This Row],[Target s.d. Januari]])</f>
        <v/>
      </c>
      <c r="H278" s="2" t="s">
        <v>74</v>
      </c>
      <c r="I278" s="3" t="s">
        <v>77</v>
      </c>
      <c r="J278" s="3"/>
      <c r="K278" s="2" t="s">
        <v>26</v>
      </c>
      <c r="L278" s="2" t="s">
        <v>2</v>
      </c>
      <c r="M278" s="4" t="s">
        <v>67</v>
      </c>
      <c r="N278" s="3" t="s">
        <v>81</v>
      </c>
      <c r="O278" s="2" t="s">
        <v>13</v>
      </c>
      <c r="P278" s="10"/>
      <c r="Q278" s="11"/>
    </row>
    <row r="279" spans="2:17" ht="21" customHeight="1" x14ac:dyDescent="0.35">
      <c r="B279" s="18">
        <v>43862</v>
      </c>
      <c r="C279" s="18" t="str">
        <f>TEXT(Sales[[#This Row],[Kode Program/Kegiatan ]],"D")</f>
        <v>1</v>
      </c>
      <c r="D279" s="19" t="str">
        <f>TEXT(Sales[[#This Row],[Kode Program/Kegiatan ]],"mmm")</f>
        <v>Feb</v>
      </c>
      <c r="E279" s="20">
        <v>10</v>
      </c>
      <c r="F279" s="19">
        <v>9</v>
      </c>
      <c r="G279" s="20">
        <f>IF(Sales[[#This Row],[Anggaran Murni]]-Sales[[#This Row],[Target s.d. Januari]]=0,"",Sales[[#This Row],[Anggaran Murni]]-Sales[[#This Row],[Target s.d. Januari]])</f>
        <v>1</v>
      </c>
      <c r="H279" s="19" t="s">
        <v>76</v>
      </c>
      <c r="I279" s="20" t="s">
        <v>79</v>
      </c>
      <c r="J279" s="20"/>
      <c r="K279" s="19" t="s">
        <v>60</v>
      </c>
      <c r="L279" s="19" t="s">
        <v>2</v>
      </c>
      <c r="M279" s="21" t="s">
        <v>67</v>
      </c>
      <c r="N279" s="20" t="s">
        <v>81</v>
      </c>
      <c r="O279" s="19" t="s">
        <v>11</v>
      </c>
      <c r="P279" s="10"/>
      <c r="Q279" s="11"/>
    </row>
    <row r="280" spans="2:17" ht="21" customHeight="1" x14ac:dyDescent="0.35">
      <c r="B280" s="1">
        <v>43862</v>
      </c>
      <c r="C280" s="1" t="str">
        <f>TEXT(Sales[[#This Row],[Kode Program/Kegiatan ]],"D")</f>
        <v>1</v>
      </c>
      <c r="D280" s="2" t="str">
        <f>TEXT(Sales[[#This Row],[Kode Program/Kegiatan ]],"mmm")</f>
        <v>Feb</v>
      </c>
      <c r="E280" s="3">
        <v>7</v>
      </c>
      <c r="F280" s="2">
        <v>6</v>
      </c>
      <c r="G280" s="3">
        <f>IF(Sales[[#This Row],[Anggaran Murni]]-Sales[[#This Row],[Target s.d. Januari]]=0,"",Sales[[#This Row],[Anggaran Murni]]-Sales[[#This Row],[Target s.d. Januari]])</f>
        <v>1</v>
      </c>
      <c r="H280" s="2" t="s">
        <v>75</v>
      </c>
      <c r="I280" s="3" t="s">
        <v>6</v>
      </c>
      <c r="J280" s="3"/>
      <c r="K280" s="2" t="s">
        <v>44</v>
      </c>
      <c r="L280" s="2" t="s">
        <v>2</v>
      </c>
      <c r="M280" s="4" t="s">
        <v>67</v>
      </c>
      <c r="N280" s="3" t="s">
        <v>81</v>
      </c>
      <c r="O280" s="2" t="s">
        <v>13</v>
      </c>
      <c r="P280" s="10"/>
      <c r="Q280" s="11"/>
    </row>
    <row r="281" spans="2:17" ht="21" customHeight="1" x14ac:dyDescent="0.35">
      <c r="B281" s="18">
        <v>43862</v>
      </c>
      <c r="C281" s="18" t="str">
        <f>TEXT(Sales[[#This Row],[Kode Program/Kegiatan ]],"D")</f>
        <v>1</v>
      </c>
      <c r="D281" s="19" t="str">
        <f>TEXT(Sales[[#This Row],[Kode Program/Kegiatan ]],"mmm")</f>
        <v>Feb</v>
      </c>
      <c r="E281" s="20">
        <v>7</v>
      </c>
      <c r="F281" s="19">
        <v>4</v>
      </c>
      <c r="G281" s="20">
        <f>IF(Sales[[#This Row],[Anggaran Murni]]-Sales[[#This Row],[Target s.d. Januari]]=0,"",Sales[[#This Row],[Anggaran Murni]]-Sales[[#This Row],[Target s.d. Januari]])</f>
        <v>3</v>
      </c>
      <c r="H281" s="19" t="s">
        <v>113</v>
      </c>
      <c r="I281" s="20" t="s">
        <v>77</v>
      </c>
      <c r="J281" s="20"/>
      <c r="K281" s="19" t="s">
        <v>33</v>
      </c>
      <c r="L281" s="19" t="s">
        <v>2</v>
      </c>
      <c r="M281" s="21" t="s">
        <v>67</v>
      </c>
      <c r="N281" s="20" t="s">
        <v>80</v>
      </c>
      <c r="O281" s="19" t="s">
        <v>12</v>
      </c>
      <c r="P281" s="10"/>
      <c r="Q281" s="11"/>
    </row>
    <row r="282" spans="2:17" ht="21" customHeight="1" x14ac:dyDescent="0.35">
      <c r="B282" s="1">
        <v>43862</v>
      </c>
      <c r="C282" s="1" t="str">
        <f>TEXT(Sales[[#This Row],[Kode Program/Kegiatan ]],"D")</f>
        <v>1</v>
      </c>
      <c r="D282" s="2" t="str">
        <f>TEXT(Sales[[#This Row],[Kode Program/Kegiatan ]],"mmm")</f>
        <v>Feb</v>
      </c>
      <c r="E282" s="3">
        <v>6</v>
      </c>
      <c r="F282" s="2">
        <v>4</v>
      </c>
      <c r="G282" s="3">
        <f>IF(Sales[[#This Row],[Anggaran Murni]]-Sales[[#This Row],[Target s.d. Januari]]=0,"",Sales[[#This Row],[Anggaran Murni]]-Sales[[#This Row],[Target s.d. Januari]])</f>
        <v>2</v>
      </c>
      <c r="H282" s="2" t="s">
        <v>76</v>
      </c>
      <c r="I282" s="3" t="s">
        <v>79</v>
      </c>
      <c r="J282" s="3"/>
      <c r="K282" s="2" t="s">
        <v>24</v>
      </c>
      <c r="L282" s="2" t="s">
        <v>5</v>
      </c>
      <c r="M282" s="4" t="s">
        <v>67</v>
      </c>
      <c r="N282" s="3" t="s">
        <v>82</v>
      </c>
      <c r="O282" s="2" t="s">
        <v>12</v>
      </c>
      <c r="P282" s="10"/>
      <c r="Q282" s="11"/>
    </row>
    <row r="283" spans="2:17" ht="21" customHeight="1" x14ac:dyDescent="0.35">
      <c r="B283" s="18">
        <v>43862</v>
      </c>
      <c r="C283" s="18" t="str">
        <f>TEXT(Sales[[#This Row],[Kode Program/Kegiatan ]],"D")</f>
        <v>1</v>
      </c>
      <c r="D283" s="19" t="str">
        <f>TEXT(Sales[[#This Row],[Kode Program/Kegiatan ]],"mmm")</f>
        <v>Feb</v>
      </c>
      <c r="E283" s="20">
        <v>5</v>
      </c>
      <c r="F283" s="19">
        <v>4</v>
      </c>
      <c r="G283" s="20">
        <f>IF(Sales[[#This Row],[Anggaran Murni]]-Sales[[#This Row],[Target s.d. Januari]]=0,"",Sales[[#This Row],[Anggaran Murni]]-Sales[[#This Row],[Target s.d. Januari]])</f>
        <v>1</v>
      </c>
      <c r="H283" s="19" t="s">
        <v>73</v>
      </c>
      <c r="I283" s="20" t="s">
        <v>78</v>
      </c>
      <c r="J283" s="20"/>
      <c r="K283" s="19" t="s">
        <v>54</v>
      </c>
      <c r="L283" s="19" t="s">
        <v>5</v>
      </c>
      <c r="M283" s="21" t="s">
        <v>67</v>
      </c>
      <c r="N283" s="20" t="s">
        <v>81</v>
      </c>
      <c r="O283" s="19" t="s">
        <v>14</v>
      </c>
      <c r="P283" s="10"/>
      <c r="Q283" s="11"/>
    </row>
    <row r="284" spans="2:17" ht="21" customHeight="1" x14ac:dyDescent="0.35">
      <c r="B284" s="1">
        <v>43862</v>
      </c>
      <c r="C284" s="1" t="str">
        <f>TEXT(Sales[[#This Row],[Kode Program/Kegiatan ]],"D")</f>
        <v>1</v>
      </c>
      <c r="D284" s="2" t="str">
        <f>TEXT(Sales[[#This Row],[Kode Program/Kegiatan ]],"mmm")</f>
        <v>Feb</v>
      </c>
      <c r="E284" s="3">
        <v>5</v>
      </c>
      <c r="F284" s="2">
        <v>4</v>
      </c>
      <c r="G284" s="3">
        <f>IF(Sales[[#This Row],[Anggaran Murni]]-Sales[[#This Row],[Target s.d. Januari]]=0,"",Sales[[#This Row],[Anggaran Murni]]-Sales[[#This Row],[Target s.d. Januari]])</f>
        <v>1</v>
      </c>
      <c r="H284" s="2" t="s">
        <v>113</v>
      </c>
      <c r="I284" s="3" t="s">
        <v>77</v>
      </c>
      <c r="J284" s="3"/>
      <c r="K284" s="2" t="s">
        <v>39</v>
      </c>
      <c r="L284" s="2" t="s">
        <v>7</v>
      </c>
      <c r="M284" s="4" t="s">
        <v>67</v>
      </c>
      <c r="N284" s="3" t="s">
        <v>82</v>
      </c>
      <c r="O284" s="2" t="s">
        <v>13</v>
      </c>
      <c r="P284" s="10"/>
      <c r="Q284" s="11"/>
    </row>
    <row r="285" spans="2:17" ht="21" customHeight="1" x14ac:dyDescent="0.35">
      <c r="B285" s="18">
        <v>43863</v>
      </c>
      <c r="C285" s="18" t="str">
        <f>TEXT(Sales[[#This Row],[Kode Program/Kegiatan ]],"D")</f>
        <v>2</v>
      </c>
      <c r="D285" s="19" t="str">
        <f>TEXT(Sales[[#This Row],[Kode Program/Kegiatan ]],"mmm")</f>
        <v>Feb</v>
      </c>
      <c r="E285" s="20">
        <v>10</v>
      </c>
      <c r="F285" s="19">
        <v>7</v>
      </c>
      <c r="G285" s="20">
        <f>IF(Sales[[#This Row],[Anggaran Murni]]-Sales[[#This Row],[Target s.d. Januari]]=0,"",Sales[[#This Row],[Anggaran Murni]]-Sales[[#This Row],[Target s.d. Januari]])</f>
        <v>3</v>
      </c>
      <c r="H285" s="19" t="s">
        <v>70</v>
      </c>
      <c r="I285" s="20" t="s">
        <v>1</v>
      </c>
      <c r="J285" s="20"/>
      <c r="K285" s="19" t="s">
        <v>44</v>
      </c>
      <c r="L285" s="19" t="s">
        <v>5</v>
      </c>
      <c r="M285" s="21" t="s">
        <v>67</v>
      </c>
      <c r="N285" s="20" t="s">
        <v>82</v>
      </c>
      <c r="O285" s="19" t="s">
        <v>11</v>
      </c>
      <c r="P285" s="10"/>
      <c r="Q285" s="11"/>
    </row>
    <row r="286" spans="2:17" ht="21" customHeight="1" x14ac:dyDescent="0.35">
      <c r="B286" s="1">
        <v>43863</v>
      </c>
      <c r="C286" s="1" t="str">
        <f>TEXT(Sales[[#This Row],[Kode Program/Kegiatan ]],"D")</f>
        <v>2</v>
      </c>
      <c r="D286" s="2" t="str">
        <f>TEXT(Sales[[#This Row],[Kode Program/Kegiatan ]],"mmm")</f>
        <v>Feb</v>
      </c>
      <c r="E286" s="3">
        <v>10</v>
      </c>
      <c r="F286" s="2">
        <v>9</v>
      </c>
      <c r="G286" s="3">
        <f>IF(Sales[[#This Row],[Anggaran Murni]]-Sales[[#This Row],[Target s.d. Januari]]=0,"",Sales[[#This Row],[Anggaran Murni]]-Sales[[#This Row],[Target s.d. Januari]])</f>
        <v>1</v>
      </c>
      <c r="H286" s="2" t="s">
        <v>73</v>
      </c>
      <c r="I286" s="3" t="s">
        <v>78</v>
      </c>
      <c r="J286" s="3"/>
      <c r="K286" s="2" t="s">
        <v>56</v>
      </c>
      <c r="L286" s="2" t="s">
        <v>5</v>
      </c>
      <c r="M286" s="4" t="s">
        <v>67</v>
      </c>
      <c r="N286" s="3" t="s">
        <v>81</v>
      </c>
      <c r="O286" s="2" t="s">
        <v>13</v>
      </c>
      <c r="P286" s="10"/>
      <c r="Q286" s="11"/>
    </row>
    <row r="287" spans="2:17" ht="21" customHeight="1" x14ac:dyDescent="0.35">
      <c r="B287" s="18">
        <v>43863</v>
      </c>
      <c r="C287" s="18" t="str">
        <f>TEXT(Sales[[#This Row],[Kode Program/Kegiatan ]],"D")</f>
        <v>2</v>
      </c>
      <c r="D287" s="19" t="str">
        <f>TEXT(Sales[[#This Row],[Kode Program/Kegiatan ]],"mmm")</f>
        <v>Feb</v>
      </c>
      <c r="E287" s="20">
        <v>9</v>
      </c>
      <c r="F287" s="19">
        <v>5</v>
      </c>
      <c r="G287" s="20">
        <f>IF(Sales[[#This Row],[Anggaran Murni]]-Sales[[#This Row],[Target s.d. Januari]]=0,"",Sales[[#This Row],[Anggaran Murni]]-Sales[[#This Row],[Target s.d. Januari]])</f>
        <v>4</v>
      </c>
      <c r="H287" s="19" t="s">
        <v>71</v>
      </c>
      <c r="I287" s="20" t="s">
        <v>6</v>
      </c>
      <c r="J287" s="20"/>
      <c r="K287" s="19" t="s">
        <v>43</v>
      </c>
      <c r="L287" s="19" t="s">
        <v>7</v>
      </c>
      <c r="M287" s="21" t="s">
        <v>67</v>
      </c>
      <c r="N287" s="20" t="s">
        <v>80</v>
      </c>
      <c r="O287" s="19" t="s">
        <v>11</v>
      </c>
      <c r="P287" s="10"/>
      <c r="Q287" s="11"/>
    </row>
    <row r="288" spans="2:17" ht="21" customHeight="1" x14ac:dyDescent="0.35">
      <c r="B288" s="1">
        <v>43863</v>
      </c>
      <c r="C288" s="1" t="str">
        <f>TEXT(Sales[[#This Row],[Kode Program/Kegiatan ]],"D")</f>
        <v>2</v>
      </c>
      <c r="D288" s="2" t="str">
        <f>TEXT(Sales[[#This Row],[Kode Program/Kegiatan ]],"mmm")</f>
        <v>Feb</v>
      </c>
      <c r="E288" s="3">
        <v>9</v>
      </c>
      <c r="F288" s="2">
        <v>7</v>
      </c>
      <c r="G288" s="3">
        <f>IF(Sales[[#This Row],[Anggaran Murni]]-Sales[[#This Row],[Target s.d. Januari]]=0,"",Sales[[#This Row],[Anggaran Murni]]-Sales[[#This Row],[Target s.d. Januari]])</f>
        <v>2</v>
      </c>
      <c r="H288" s="2" t="s">
        <v>114</v>
      </c>
      <c r="I288" s="3" t="s">
        <v>3</v>
      </c>
      <c r="J288" s="3"/>
      <c r="K288" s="2" t="s">
        <v>35</v>
      </c>
      <c r="L288" s="2" t="s">
        <v>2</v>
      </c>
      <c r="M288" s="4" t="s">
        <v>67</v>
      </c>
      <c r="N288" s="3" t="s">
        <v>81</v>
      </c>
      <c r="O288" s="2" t="s">
        <v>12</v>
      </c>
      <c r="P288" s="10"/>
      <c r="Q288" s="11"/>
    </row>
    <row r="289" spans="2:17" ht="21" customHeight="1" x14ac:dyDescent="0.35">
      <c r="B289" s="18">
        <v>43863</v>
      </c>
      <c r="C289" s="18" t="str">
        <f>TEXT(Sales[[#This Row],[Kode Program/Kegiatan ]],"D")</f>
        <v>2</v>
      </c>
      <c r="D289" s="19" t="str">
        <f>TEXT(Sales[[#This Row],[Kode Program/Kegiatan ]],"mmm")</f>
        <v>Feb</v>
      </c>
      <c r="E289" s="20">
        <v>9</v>
      </c>
      <c r="F289" s="19">
        <v>7</v>
      </c>
      <c r="G289" s="20">
        <f>IF(Sales[[#This Row],[Anggaran Murni]]-Sales[[#This Row],[Target s.d. Januari]]=0,"",Sales[[#This Row],[Anggaran Murni]]-Sales[[#This Row],[Target s.d. Januari]])</f>
        <v>2</v>
      </c>
      <c r="H289" s="19" t="s">
        <v>73</v>
      </c>
      <c r="I289" s="20" t="s">
        <v>78</v>
      </c>
      <c r="J289" s="20"/>
      <c r="K289" s="19" t="s">
        <v>49</v>
      </c>
      <c r="L289" s="19" t="s">
        <v>7</v>
      </c>
      <c r="M289" s="21" t="s">
        <v>67</v>
      </c>
      <c r="N289" s="20" t="s">
        <v>80</v>
      </c>
      <c r="O289" s="19" t="s">
        <v>13</v>
      </c>
      <c r="P289" s="10"/>
      <c r="Q289" s="11"/>
    </row>
    <row r="290" spans="2:17" ht="21" customHeight="1" x14ac:dyDescent="0.35">
      <c r="B290" s="1">
        <v>43863</v>
      </c>
      <c r="C290" s="1" t="str">
        <f>TEXT(Sales[[#This Row],[Kode Program/Kegiatan ]],"D")</f>
        <v>2</v>
      </c>
      <c r="D290" s="2" t="str">
        <f>TEXT(Sales[[#This Row],[Kode Program/Kegiatan ]],"mmm")</f>
        <v>Feb</v>
      </c>
      <c r="E290" s="3">
        <v>5</v>
      </c>
      <c r="F290" s="2">
        <v>4</v>
      </c>
      <c r="G290" s="3">
        <f>IF(Sales[[#This Row],[Anggaran Murni]]-Sales[[#This Row],[Target s.d. Januari]]=0,"",Sales[[#This Row],[Anggaran Murni]]-Sales[[#This Row],[Target s.d. Januari]])</f>
        <v>1</v>
      </c>
      <c r="H290" s="2" t="s">
        <v>74</v>
      </c>
      <c r="I290" s="3" t="s">
        <v>77</v>
      </c>
      <c r="J290" s="3"/>
      <c r="K290" s="2" t="s">
        <v>47</v>
      </c>
      <c r="L290" s="2" t="s">
        <v>8</v>
      </c>
      <c r="M290" s="4" t="s">
        <v>67</v>
      </c>
      <c r="N290" s="3" t="s">
        <v>80</v>
      </c>
      <c r="O290" s="2" t="s">
        <v>12</v>
      </c>
      <c r="P290" s="10"/>
      <c r="Q290" s="11"/>
    </row>
    <row r="291" spans="2:17" ht="21" customHeight="1" x14ac:dyDescent="0.35">
      <c r="B291" s="18">
        <v>43863</v>
      </c>
      <c r="C291" s="18" t="str">
        <f>TEXT(Sales[[#This Row],[Kode Program/Kegiatan ]],"D")</f>
        <v>2</v>
      </c>
      <c r="D291" s="19" t="str">
        <f>TEXT(Sales[[#This Row],[Kode Program/Kegiatan ]],"mmm")</f>
        <v>Feb</v>
      </c>
      <c r="E291" s="20">
        <v>5</v>
      </c>
      <c r="F291" s="19">
        <v>4</v>
      </c>
      <c r="G291" s="20">
        <f>IF(Sales[[#This Row],[Anggaran Murni]]-Sales[[#This Row],[Target s.d. Januari]]=0,"",Sales[[#This Row],[Anggaran Murni]]-Sales[[#This Row],[Target s.d. Januari]])</f>
        <v>1</v>
      </c>
      <c r="H291" s="19" t="s">
        <v>72</v>
      </c>
      <c r="I291" s="20" t="s">
        <v>78</v>
      </c>
      <c r="J291" s="20"/>
      <c r="K291" s="19" t="s">
        <v>61</v>
      </c>
      <c r="L291" s="19" t="s">
        <v>5</v>
      </c>
      <c r="M291" s="21" t="s">
        <v>67</v>
      </c>
      <c r="N291" s="20" t="s">
        <v>81</v>
      </c>
      <c r="O291" s="19" t="s">
        <v>11</v>
      </c>
      <c r="P291" s="10"/>
      <c r="Q291" s="11"/>
    </row>
    <row r="292" spans="2:17" ht="21" customHeight="1" x14ac:dyDescent="0.35">
      <c r="B292" s="1">
        <v>43863</v>
      </c>
      <c r="C292" s="1" t="str">
        <f>TEXT(Sales[[#This Row],[Kode Program/Kegiatan ]],"D")</f>
        <v>2</v>
      </c>
      <c r="D292" s="2" t="str">
        <f>TEXT(Sales[[#This Row],[Kode Program/Kegiatan ]],"mmm")</f>
        <v>Feb</v>
      </c>
      <c r="E292" s="3">
        <v>5</v>
      </c>
      <c r="F292" s="2">
        <v>4</v>
      </c>
      <c r="G292" s="3">
        <f>IF(Sales[[#This Row],[Anggaran Murni]]-Sales[[#This Row],[Target s.d. Januari]]=0,"",Sales[[#This Row],[Anggaran Murni]]-Sales[[#This Row],[Target s.d. Januari]])</f>
        <v>1</v>
      </c>
      <c r="H292" s="2" t="s">
        <v>114</v>
      </c>
      <c r="I292" s="3" t="s">
        <v>3</v>
      </c>
      <c r="J292" s="3"/>
      <c r="K292" s="2" t="s">
        <v>15</v>
      </c>
      <c r="L292" s="2" t="s">
        <v>2</v>
      </c>
      <c r="M292" s="4" t="s">
        <v>67</v>
      </c>
      <c r="N292" s="3" t="s">
        <v>80</v>
      </c>
      <c r="O292" s="2" t="s">
        <v>12</v>
      </c>
      <c r="P292" s="10"/>
      <c r="Q292" s="11"/>
    </row>
    <row r="293" spans="2:17" ht="21" customHeight="1" x14ac:dyDescent="0.35">
      <c r="B293" s="18">
        <v>43863</v>
      </c>
      <c r="C293" s="18" t="str">
        <f>TEXT(Sales[[#This Row],[Kode Program/Kegiatan ]],"D")</f>
        <v>2</v>
      </c>
      <c r="D293" s="19" t="str">
        <f>TEXT(Sales[[#This Row],[Kode Program/Kegiatan ]],"mmm")</f>
        <v>Feb</v>
      </c>
      <c r="E293" s="20">
        <v>4</v>
      </c>
      <c r="F293" s="19">
        <v>3</v>
      </c>
      <c r="G293" s="20">
        <f>IF(Sales[[#This Row],[Anggaran Murni]]-Sales[[#This Row],[Target s.d. Januari]]=0,"",Sales[[#This Row],[Anggaran Murni]]-Sales[[#This Row],[Target s.d. Januari]])</f>
        <v>1</v>
      </c>
      <c r="H293" s="19" t="s">
        <v>113</v>
      </c>
      <c r="I293" s="20" t="s">
        <v>77</v>
      </c>
      <c r="J293" s="20"/>
      <c r="K293" s="19" t="s">
        <v>21</v>
      </c>
      <c r="L293" s="19" t="s">
        <v>8</v>
      </c>
      <c r="M293" s="21" t="s">
        <v>67</v>
      </c>
      <c r="N293" s="20" t="s">
        <v>82</v>
      </c>
      <c r="O293" s="19" t="s">
        <v>11</v>
      </c>
      <c r="P293" s="10"/>
      <c r="Q293" s="11"/>
    </row>
    <row r="294" spans="2:17" ht="21" customHeight="1" x14ac:dyDescent="0.35">
      <c r="B294" s="1">
        <v>43863</v>
      </c>
      <c r="C294" s="1" t="str">
        <f>TEXT(Sales[[#This Row],[Kode Program/Kegiatan ]],"D")</f>
        <v>2</v>
      </c>
      <c r="D294" s="2" t="str">
        <f>TEXT(Sales[[#This Row],[Kode Program/Kegiatan ]],"mmm")</f>
        <v>Feb</v>
      </c>
      <c r="E294" s="3">
        <v>4</v>
      </c>
      <c r="F294" s="2">
        <v>2</v>
      </c>
      <c r="G294" s="3">
        <f>IF(Sales[[#This Row],[Anggaran Murni]]-Sales[[#This Row],[Target s.d. Januari]]=0,"",Sales[[#This Row],[Anggaran Murni]]-Sales[[#This Row],[Target s.d. Januari]])</f>
        <v>2</v>
      </c>
      <c r="H294" s="2" t="s">
        <v>70</v>
      </c>
      <c r="I294" s="3" t="s">
        <v>1</v>
      </c>
      <c r="J294" s="3"/>
      <c r="K294" s="2" t="s">
        <v>19</v>
      </c>
      <c r="L294" s="2" t="s">
        <v>2</v>
      </c>
      <c r="M294" s="4" t="s">
        <v>67</v>
      </c>
      <c r="N294" s="3" t="s">
        <v>82</v>
      </c>
      <c r="O294" s="2" t="s">
        <v>13</v>
      </c>
      <c r="P294" s="10"/>
      <c r="Q294" s="11"/>
    </row>
    <row r="295" spans="2:17" ht="21" customHeight="1" x14ac:dyDescent="0.35">
      <c r="B295" s="18">
        <v>43863</v>
      </c>
      <c r="C295" s="18" t="str">
        <f>TEXT(Sales[[#This Row],[Kode Program/Kegiatan ]],"D")</f>
        <v>2</v>
      </c>
      <c r="D295" s="19" t="str">
        <f>TEXT(Sales[[#This Row],[Kode Program/Kegiatan ]],"mmm")</f>
        <v>Feb</v>
      </c>
      <c r="E295" s="20">
        <v>3</v>
      </c>
      <c r="F295" s="19">
        <v>1</v>
      </c>
      <c r="G295" s="20">
        <f>IF(Sales[[#This Row],[Anggaran Murni]]-Sales[[#This Row],[Target s.d. Januari]]=0,"",Sales[[#This Row],[Anggaran Murni]]-Sales[[#This Row],[Target s.d. Januari]])</f>
        <v>2</v>
      </c>
      <c r="H295" s="19" t="s">
        <v>75</v>
      </c>
      <c r="I295" s="20" t="s">
        <v>6</v>
      </c>
      <c r="J295" s="20"/>
      <c r="K295" s="19" t="s">
        <v>49</v>
      </c>
      <c r="L295" s="19" t="s">
        <v>5</v>
      </c>
      <c r="M295" s="21" t="s">
        <v>67</v>
      </c>
      <c r="N295" s="20" t="s">
        <v>80</v>
      </c>
      <c r="O295" s="19" t="s">
        <v>11</v>
      </c>
      <c r="P295" s="10"/>
      <c r="Q295" s="11"/>
    </row>
    <row r="296" spans="2:17" ht="21" customHeight="1" x14ac:dyDescent="0.35">
      <c r="B296" s="1">
        <v>43864</v>
      </c>
      <c r="C296" s="1" t="str">
        <f>TEXT(Sales[[#This Row],[Kode Program/Kegiatan ]],"D")</f>
        <v>3</v>
      </c>
      <c r="D296" s="2" t="str">
        <f>TEXT(Sales[[#This Row],[Kode Program/Kegiatan ]],"mmm")</f>
        <v>Feb</v>
      </c>
      <c r="E296" s="3">
        <v>9</v>
      </c>
      <c r="F296" s="2">
        <v>6</v>
      </c>
      <c r="G296" s="3">
        <f>IF(Sales[[#This Row],[Anggaran Murni]]-Sales[[#This Row],[Target s.d. Januari]]=0,"",Sales[[#This Row],[Anggaran Murni]]-Sales[[#This Row],[Target s.d. Januari]])</f>
        <v>3</v>
      </c>
      <c r="H296" s="2" t="s">
        <v>70</v>
      </c>
      <c r="I296" s="3" t="s">
        <v>1</v>
      </c>
      <c r="J296" s="3"/>
      <c r="K296" s="2" t="s">
        <v>17</v>
      </c>
      <c r="L296" s="2" t="s">
        <v>5</v>
      </c>
      <c r="M296" s="4" t="s">
        <v>67</v>
      </c>
      <c r="N296" s="3" t="s">
        <v>82</v>
      </c>
      <c r="O296" s="2" t="s">
        <v>13</v>
      </c>
      <c r="P296" s="10"/>
      <c r="Q296" s="11"/>
    </row>
    <row r="297" spans="2:17" ht="21" customHeight="1" x14ac:dyDescent="0.35">
      <c r="B297" s="18">
        <v>43864</v>
      </c>
      <c r="C297" s="18" t="str">
        <f>TEXT(Sales[[#This Row],[Kode Program/Kegiatan ]],"D")</f>
        <v>3</v>
      </c>
      <c r="D297" s="19" t="str">
        <f>TEXT(Sales[[#This Row],[Kode Program/Kegiatan ]],"mmm")</f>
        <v>Feb</v>
      </c>
      <c r="E297" s="20">
        <v>9</v>
      </c>
      <c r="F297" s="19">
        <v>6</v>
      </c>
      <c r="G297" s="20">
        <f>IF(Sales[[#This Row],[Anggaran Murni]]-Sales[[#This Row],[Target s.d. Januari]]=0,"",Sales[[#This Row],[Anggaran Murni]]-Sales[[#This Row],[Target s.d. Januari]])</f>
        <v>3</v>
      </c>
      <c r="H297" s="19" t="s">
        <v>114</v>
      </c>
      <c r="I297" s="20" t="s">
        <v>3</v>
      </c>
      <c r="J297" s="20"/>
      <c r="K297" s="19" t="s">
        <v>30</v>
      </c>
      <c r="L297" s="19" t="s">
        <v>2</v>
      </c>
      <c r="M297" s="21" t="s">
        <v>67</v>
      </c>
      <c r="N297" s="20" t="s">
        <v>81</v>
      </c>
      <c r="O297" s="19" t="s">
        <v>12</v>
      </c>
      <c r="P297" s="10"/>
      <c r="Q297" s="11"/>
    </row>
    <row r="298" spans="2:17" ht="21" customHeight="1" x14ac:dyDescent="0.35">
      <c r="B298" s="1">
        <v>43864</v>
      </c>
      <c r="C298" s="1" t="str">
        <f>TEXT(Sales[[#This Row],[Kode Program/Kegiatan ]],"D")</f>
        <v>3</v>
      </c>
      <c r="D298" s="2" t="str">
        <f>TEXT(Sales[[#This Row],[Kode Program/Kegiatan ]],"mmm")</f>
        <v>Feb</v>
      </c>
      <c r="E298" s="3">
        <v>8</v>
      </c>
      <c r="F298" s="2">
        <v>6</v>
      </c>
      <c r="G298" s="3">
        <f>IF(Sales[[#This Row],[Anggaran Murni]]-Sales[[#This Row],[Target s.d. Januari]]=0,"",Sales[[#This Row],[Anggaran Murni]]-Sales[[#This Row],[Target s.d. Januari]])</f>
        <v>2</v>
      </c>
      <c r="H298" s="2" t="s">
        <v>70</v>
      </c>
      <c r="I298" s="3" t="s">
        <v>1</v>
      </c>
      <c r="J298" s="3"/>
      <c r="K298" s="2" t="s">
        <v>18</v>
      </c>
      <c r="L298" s="2" t="s">
        <v>5</v>
      </c>
      <c r="M298" s="4" t="s">
        <v>67</v>
      </c>
      <c r="N298" s="3" t="s">
        <v>81</v>
      </c>
      <c r="O298" s="2" t="s">
        <v>11</v>
      </c>
      <c r="P298" s="10"/>
      <c r="Q298" s="11"/>
    </row>
    <row r="299" spans="2:17" ht="21" customHeight="1" x14ac:dyDescent="0.35">
      <c r="B299" s="18">
        <v>43864</v>
      </c>
      <c r="C299" s="18" t="str">
        <f>TEXT(Sales[[#This Row],[Kode Program/Kegiatan ]],"D")</f>
        <v>3</v>
      </c>
      <c r="D299" s="19" t="str">
        <f>TEXT(Sales[[#This Row],[Kode Program/Kegiatan ]],"mmm")</f>
        <v>Feb</v>
      </c>
      <c r="E299" s="20">
        <v>8</v>
      </c>
      <c r="F299" s="19">
        <v>7</v>
      </c>
      <c r="G299" s="20">
        <f>IF(Sales[[#This Row],[Anggaran Murni]]-Sales[[#This Row],[Target s.d. Januari]]=0,"",Sales[[#This Row],[Anggaran Murni]]-Sales[[#This Row],[Target s.d. Januari]])</f>
        <v>1</v>
      </c>
      <c r="H299" s="19" t="s">
        <v>72</v>
      </c>
      <c r="I299" s="20" t="s">
        <v>78</v>
      </c>
      <c r="J299" s="20"/>
      <c r="K299" s="19" t="s">
        <v>34</v>
      </c>
      <c r="L299" s="19" t="s">
        <v>2</v>
      </c>
      <c r="M299" s="21" t="s">
        <v>67</v>
      </c>
      <c r="N299" s="20" t="s">
        <v>82</v>
      </c>
      <c r="O299" s="19" t="s">
        <v>12</v>
      </c>
      <c r="P299" s="10"/>
      <c r="Q299" s="11"/>
    </row>
    <row r="300" spans="2:17" ht="21" customHeight="1" x14ac:dyDescent="0.35">
      <c r="B300" s="1">
        <v>43864</v>
      </c>
      <c r="C300" s="1" t="str">
        <f>TEXT(Sales[[#This Row],[Kode Program/Kegiatan ]],"D")</f>
        <v>3</v>
      </c>
      <c r="D300" s="2" t="str">
        <f>TEXT(Sales[[#This Row],[Kode Program/Kegiatan ]],"mmm")</f>
        <v>Feb</v>
      </c>
      <c r="E300" s="3">
        <v>7</v>
      </c>
      <c r="F300" s="2">
        <v>4</v>
      </c>
      <c r="G300" s="3">
        <f>IF(Sales[[#This Row],[Anggaran Murni]]-Sales[[#This Row],[Target s.d. Januari]]=0,"",Sales[[#This Row],[Anggaran Murni]]-Sales[[#This Row],[Target s.d. Januari]])</f>
        <v>3</v>
      </c>
      <c r="H300" s="2" t="s">
        <v>72</v>
      </c>
      <c r="I300" s="3" t="s">
        <v>78</v>
      </c>
      <c r="J300" s="3"/>
      <c r="K300" s="2" t="s">
        <v>49</v>
      </c>
      <c r="L300" s="2" t="s">
        <v>2</v>
      </c>
      <c r="M300" s="4" t="s">
        <v>67</v>
      </c>
      <c r="N300" s="3" t="s">
        <v>81</v>
      </c>
      <c r="O300" s="2" t="s">
        <v>12</v>
      </c>
      <c r="P300" s="10"/>
      <c r="Q300" s="11"/>
    </row>
    <row r="301" spans="2:17" ht="21" customHeight="1" x14ac:dyDescent="0.35">
      <c r="B301" s="18">
        <v>43864</v>
      </c>
      <c r="C301" s="18" t="str">
        <f>TEXT(Sales[[#This Row],[Kode Program/Kegiatan ]],"D")</f>
        <v>3</v>
      </c>
      <c r="D301" s="19" t="str">
        <f>TEXT(Sales[[#This Row],[Kode Program/Kegiatan ]],"mmm")</f>
        <v>Feb</v>
      </c>
      <c r="E301" s="20">
        <v>6</v>
      </c>
      <c r="F301" s="19">
        <v>4</v>
      </c>
      <c r="G301" s="20">
        <f>IF(Sales[[#This Row],[Anggaran Murni]]-Sales[[#This Row],[Target s.d. Januari]]=0,"",Sales[[#This Row],[Anggaran Murni]]-Sales[[#This Row],[Target s.d. Januari]])</f>
        <v>2</v>
      </c>
      <c r="H301" s="19" t="s">
        <v>74</v>
      </c>
      <c r="I301" s="20" t="s">
        <v>77</v>
      </c>
      <c r="J301" s="20"/>
      <c r="K301" s="19" t="s">
        <v>52</v>
      </c>
      <c r="L301" s="19" t="s">
        <v>2</v>
      </c>
      <c r="M301" s="21" t="s">
        <v>67</v>
      </c>
      <c r="N301" s="20" t="s">
        <v>82</v>
      </c>
      <c r="O301" s="19" t="s">
        <v>13</v>
      </c>
      <c r="P301" s="10"/>
      <c r="Q301" s="11"/>
    </row>
    <row r="302" spans="2:17" ht="21" customHeight="1" x14ac:dyDescent="0.35">
      <c r="B302" s="1">
        <v>43864</v>
      </c>
      <c r="C302" s="1" t="str">
        <f>TEXT(Sales[[#This Row],[Kode Program/Kegiatan ]],"D")</f>
        <v>3</v>
      </c>
      <c r="D302" s="2" t="str">
        <f>TEXT(Sales[[#This Row],[Kode Program/Kegiatan ]],"mmm")</f>
        <v>Feb</v>
      </c>
      <c r="E302" s="3">
        <v>5</v>
      </c>
      <c r="F302" s="2">
        <v>4</v>
      </c>
      <c r="G302" s="3">
        <f>IF(Sales[[#This Row],[Anggaran Murni]]-Sales[[#This Row],[Target s.d. Januari]]=0,"",Sales[[#This Row],[Anggaran Murni]]-Sales[[#This Row],[Target s.d. Januari]])</f>
        <v>1</v>
      </c>
      <c r="H302" s="2" t="s">
        <v>114</v>
      </c>
      <c r="I302" s="3" t="s">
        <v>3</v>
      </c>
      <c r="J302" s="3"/>
      <c r="K302" s="2" t="s">
        <v>34</v>
      </c>
      <c r="L302" s="2" t="s">
        <v>5</v>
      </c>
      <c r="M302" s="4" t="s">
        <v>67</v>
      </c>
      <c r="N302" s="3" t="s">
        <v>82</v>
      </c>
      <c r="O302" s="2" t="s">
        <v>12</v>
      </c>
      <c r="P302" s="10"/>
      <c r="Q302" s="11"/>
    </row>
    <row r="303" spans="2:17" ht="21" customHeight="1" x14ac:dyDescent="0.35">
      <c r="B303" s="18">
        <v>43864</v>
      </c>
      <c r="C303" s="18" t="str">
        <f>TEXT(Sales[[#This Row],[Kode Program/Kegiatan ]],"D")</f>
        <v>3</v>
      </c>
      <c r="D303" s="19" t="str">
        <f>TEXT(Sales[[#This Row],[Kode Program/Kegiatan ]],"mmm")</f>
        <v>Feb</v>
      </c>
      <c r="E303" s="20">
        <v>5</v>
      </c>
      <c r="F303" s="19">
        <v>4</v>
      </c>
      <c r="G303" s="20">
        <f>IF(Sales[[#This Row],[Anggaran Murni]]-Sales[[#This Row],[Target s.d. Januari]]=0,"",Sales[[#This Row],[Anggaran Murni]]-Sales[[#This Row],[Target s.d. Januari]])</f>
        <v>1</v>
      </c>
      <c r="H303" s="19" t="s">
        <v>73</v>
      </c>
      <c r="I303" s="20" t="s">
        <v>78</v>
      </c>
      <c r="J303" s="20"/>
      <c r="K303" s="19" t="s">
        <v>21</v>
      </c>
      <c r="L303" s="19" t="s">
        <v>5</v>
      </c>
      <c r="M303" s="21" t="s">
        <v>67</v>
      </c>
      <c r="N303" s="20" t="s">
        <v>80</v>
      </c>
      <c r="O303" s="19" t="s">
        <v>12</v>
      </c>
      <c r="P303" s="10"/>
      <c r="Q303" s="11"/>
    </row>
    <row r="304" spans="2:17" ht="21" customHeight="1" x14ac:dyDescent="0.35">
      <c r="B304" s="1">
        <v>43864</v>
      </c>
      <c r="C304" s="1" t="str">
        <f>TEXT(Sales[[#This Row],[Kode Program/Kegiatan ]],"D")</f>
        <v>3</v>
      </c>
      <c r="D304" s="2" t="str">
        <f>TEXT(Sales[[#This Row],[Kode Program/Kegiatan ]],"mmm")</f>
        <v>Feb</v>
      </c>
      <c r="E304" s="3">
        <v>3</v>
      </c>
      <c r="F304" s="2">
        <v>1</v>
      </c>
      <c r="G304" s="3">
        <f>IF(Sales[[#This Row],[Anggaran Murni]]-Sales[[#This Row],[Target s.d. Januari]]=0,"",Sales[[#This Row],[Anggaran Murni]]-Sales[[#This Row],[Target s.d. Januari]])</f>
        <v>2</v>
      </c>
      <c r="H304" s="2" t="s">
        <v>72</v>
      </c>
      <c r="I304" s="3" t="s">
        <v>78</v>
      </c>
      <c r="J304" s="3"/>
      <c r="K304" s="2" t="s">
        <v>60</v>
      </c>
      <c r="L304" s="2" t="s">
        <v>5</v>
      </c>
      <c r="M304" s="4" t="s">
        <v>67</v>
      </c>
      <c r="N304" s="3" t="s">
        <v>82</v>
      </c>
      <c r="O304" s="2" t="s">
        <v>14</v>
      </c>
      <c r="P304" s="10"/>
      <c r="Q304" s="11"/>
    </row>
    <row r="305" spans="2:17" ht="21" customHeight="1" x14ac:dyDescent="0.35">
      <c r="B305" s="18">
        <v>43865</v>
      </c>
      <c r="C305" s="18" t="str">
        <f>TEXT(Sales[[#This Row],[Kode Program/Kegiatan ]],"D")</f>
        <v>4</v>
      </c>
      <c r="D305" s="19" t="str">
        <f>TEXT(Sales[[#This Row],[Kode Program/Kegiatan ]],"mmm")</f>
        <v>Feb</v>
      </c>
      <c r="E305" s="20">
        <v>10</v>
      </c>
      <c r="F305" s="19">
        <v>9</v>
      </c>
      <c r="G305" s="20">
        <f>IF(Sales[[#This Row],[Anggaran Murni]]-Sales[[#This Row],[Target s.d. Januari]]=0,"",Sales[[#This Row],[Anggaran Murni]]-Sales[[#This Row],[Target s.d. Januari]])</f>
        <v>1</v>
      </c>
      <c r="H305" s="19" t="s">
        <v>71</v>
      </c>
      <c r="I305" s="20" t="s">
        <v>6</v>
      </c>
      <c r="J305" s="20"/>
      <c r="K305" s="19" t="s">
        <v>22</v>
      </c>
      <c r="L305" s="19" t="s">
        <v>2</v>
      </c>
      <c r="M305" s="21" t="s">
        <v>67</v>
      </c>
      <c r="N305" s="20" t="s">
        <v>80</v>
      </c>
      <c r="O305" s="19" t="s">
        <v>14</v>
      </c>
      <c r="P305" s="10"/>
      <c r="Q305" s="11"/>
    </row>
    <row r="306" spans="2:17" ht="21" customHeight="1" x14ac:dyDescent="0.35">
      <c r="B306" s="1">
        <v>43865</v>
      </c>
      <c r="C306" s="1" t="str">
        <f>TEXT(Sales[[#This Row],[Kode Program/Kegiatan ]],"D")</f>
        <v>4</v>
      </c>
      <c r="D306" s="2" t="str">
        <f>TEXT(Sales[[#This Row],[Kode Program/Kegiatan ]],"mmm")</f>
        <v>Feb</v>
      </c>
      <c r="E306" s="3">
        <v>10</v>
      </c>
      <c r="F306" s="2">
        <v>6</v>
      </c>
      <c r="G306" s="3">
        <f>IF(Sales[[#This Row],[Anggaran Murni]]-Sales[[#This Row],[Target s.d. Januari]]=0,"",Sales[[#This Row],[Anggaran Murni]]-Sales[[#This Row],[Target s.d. Januari]])</f>
        <v>4</v>
      </c>
      <c r="H306" s="2" t="s">
        <v>72</v>
      </c>
      <c r="I306" s="3" t="s">
        <v>78</v>
      </c>
      <c r="J306" s="3"/>
      <c r="K306" s="2" t="s">
        <v>62</v>
      </c>
      <c r="L306" s="2" t="s">
        <v>7</v>
      </c>
      <c r="M306" s="4" t="s">
        <v>67</v>
      </c>
      <c r="N306" s="3" t="s">
        <v>80</v>
      </c>
      <c r="O306" s="2" t="s">
        <v>14</v>
      </c>
      <c r="P306" s="10"/>
      <c r="Q306" s="11"/>
    </row>
    <row r="307" spans="2:17" ht="21" customHeight="1" x14ac:dyDescent="0.35">
      <c r="B307" s="18">
        <v>43865</v>
      </c>
      <c r="C307" s="18" t="str">
        <f>TEXT(Sales[[#This Row],[Kode Program/Kegiatan ]],"D")</f>
        <v>4</v>
      </c>
      <c r="D307" s="19" t="str">
        <f>TEXT(Sales[[#This Row],[Kode Program/Kegiatan ]],"mmm")</f>
        <v>Feb</v>
      </c>
      <c r="E307" s="20">
        <v>9</v>
      </c>
      <c r="F307" s="19">
        <v>8</v>
      </c>
      <c r="G307" s="20">
        <f>IF(Sales[[#This Row],[Anggaran Murni]]-Sales[[#This Row],[Target s.d. Januari]]=0,"",Sales[[#This Row],[Anggaran Murni]]-Sales[[#This Row],[Target s.d. Januari]])</f>
        <v>1</v>
      </c>
      <c r="H307" s="19" t="s">
        <v>75</v>
      </c>
      <c r="I307" s="20" t="s">
        <v>6</v>
      </c>
      <c r="J307" s="20"/>
      <c r="K307" s="19" t="s">
        <v>39</v>
      </c>
      <c r="L307" s="19" t="s">
        <v>7</v>
      </c>
      <c r="M307" s="21" t="s">
        <v>67</v>
      </c>
      <c r="N307" s="20" t="s">
        <v>81</v>
      </c>
      <c r="O307" s="19" t="s">
        <v>14</v>
      </c>
      <c r="P307" s="10"/>
      <c r="Q307" s="11"/>
    </row>
    <row r="308" spans="2:17" ht="21" customHeight="1" x14ac:dyDescent="0.35">
      <c r="B308" s="1">
        <v>43865</v>
      </c>
      <c r="C308" s="1" t="str">
        <f>TEXT(Sales[[#This Row],[Kode Program/Kegiatan ]],"D")</f>
        <v>4</v>
      </c>
      <c r="D308" s="2" t="str">
        <f>TEXT(Sales[[#This Row],[Kode Program/Kegiatan ]],"mmm")</f>
        <v>Feb</v>
      </c>
      <c r="E308" s="3">
        <v>7</v>
      </c>
      <c r="F308" s="2">
        <v>5</v>
      </c>
      <c r="G308" s="3">
        <f>IF(Sales[[#This Row],[Anggaran Murni]]-Sales[[#This Row],[Target s.d. Januari]]=0,"",Sales[[#This Row],[Anggaran Murni]]-Sales[[#This Row],[Target s.d. Januari]])</f>
        <v>2</v>
      </c>
      <c r="H308" s="2" t="s">
        <v>113</v>
      </c>
      <c r="I308" s="3" t="s">
        <v>77</v>
      </c>
      <c r="J308" s="3"/>
      <c r="K308" s="2" t="s">
        <v>64</v>
      </c>
      <c r="L308" s="2" t="s">
        <v>2</v>
      </c>
      <c r="M308" s="4" t="s">
        <v>67</v>
      </c>
      <c r="N308" s="3" t="s">
        <v>82</v>
      </c>
      <c r="O308" s="2" t="s">
        <v>12</v>
      </c>
      <c r="P308" s="10"/>
      <c r="Q308" s="11"/>
    </row>
    <row r="309" spans="2:17" ht="21" customHeight="1" x14ac:dyDescent="0.35">
      <c r="B309" s="18">
        <v>43865</v>
      </c>
      <c r="C309" s="18" t="str">
        <f>TEXT(Sales[[#This Row],[Kode Program/Kegiatan ]],"D")</f>
        <v>4</v>
      </c>
      <c r="D309" s="19" t="str">
        <f>TEXT(Sales[[#This Row],[Kode Program/Kegiatan ]],"mmm")</f>
        <v>Feb</v>
      </c>
      <c r="E309" s="20">
        <v>6</v>
      </c>
      <c r="F309" s="19">
        <v>4</v>
      </c>
      <c r="G309" s="20">
        <f>IF(Sales[[#This Row],[Anggaran Murni]]-Sales[[#This Row],[Target s.d. Januari]]=0,"",Sales[[#This Row],[Anggaran Murni]]-Sales[[#This Row],[Target s.d. Januari]])</f>
        <v>2</v>
      </c>
      <c r="H309" s="19" t="s">
        <v>114</v>
      </c>
      <c r="I309" s="20" t="s">
        <v>3</v>
      </c>
      <c r="J309" s="20"/>
      <c r="K309" s="19" t="s">
        <v>17</v>
      </c>
      <c r="L309" s="19" t="s">
        <v>8</v>
      </c>
      <c r="M309" s="21" t="s">
        <v>67</v>
      </c>
      <c r="N309" s="20" t="s">
        <v>81</v>
      </c>
      <c r="O309" s="19" t="s">
        <v>12</v>
      </c>
      <c r="P309" s="10"/>
      <c r="Q309" s="11"/>
    </row>
    <row r="310" spans="2:17" ht="21" customHeight="1" x14ac:dyDescent="0.35">
      <c r="B310" s="1">
        <v>43865</v>
      </c>
      <c r="C310" s="1" t="str">
        <f>TEXT(Sales[[#This Row],[Kode Program/Kegiatan ]],"D")</f>
        <v>4</v>
      </c>
      <c r="D310" s="2" t="str">
        <f>TEXT(Sales[[#This Row],[Kode Program/Kegiatan ]],"mmm")</f>
        <v>Feb</v>
      </c>
      <c r="E310" s="3">
        <v>6</v>
      </c>
      <c r="F310" s="2">
        <v>3</v>
      </c>
      <c r="G310" s="3">
        <f>IF(Sales[[#This Row],[Anggaran Murni]]-Sales[[#This Row],[Target s.d. Januari]]=0,"",Sales[[#This Row],[Anggaran Murni]]-Sales[[#This Row],[Target s.d. Januari]])</f>
        <v>3</v>
      </c>
      <c r="H310" s="2" t="s">
        <v>113</v>
      </c>
      <c r="I310" s="3" t="s">
        <v>77</v>
      </c>
      <c r="J310" s="3"/>
      <c r="K310" s="2" t="s">
        <v>62</v>
      </c>
      <c r="L310" s="2" t="s">
        <v>7</v>
      </c>
      <c r="M310" s="4" t="s">
        <v>67</v>
      </c>
      <c r="N310" s="3" t="s">
        <v>82</v>
      </c>
      <c r="O310" s="2" t="s">
        <v>14</v>
      </c>
      <c r="P310" s="10"/>
      <c r="Q310" s="11"/>
    </row>
    <row r="311" spans="2:17" ht="21" customHeight="1" x14ac:dyDescent="0.35">
      <c r="B311" s="18">
        <v>43866</v>
      </c>
      <c r="C311" s="18" t="str">
        <f>TEXT(Sales[[#This Row],[Kode Program/Kegiatan ]],"D")</f>
        <v>5</v>
      </c>
      <c r="D311" s="19" t="str">
        <f>TEXT(Sales[[#This Row],[Kode Program/Kegiatan ]],"mmm")</f>
        <v>Feb</v>
      </c>
      <c r="E311" s="20">
        <v>10</v>
      </c>
      <c r="F311" s="19">
        <v>7</v>
      </c>
      <c r="G311" s="20">
        <f>IF(Sales[[#This Row],[Anggaran Murni]]-Sales[[#This Row],[Target s.d. Januari]]=0,"",Sales[[#This Row],[Anggaran Murni]]-Sales[[#This Row],[Target s.d. Januari]])</f>
        <v>3</v>
      </c>
      <c r="H311" s="19" t="s">
        <v>70</v>
      </c>
      <c r="I311" s="20" t="s">
        <v>1</v>
      </c>
      <c r="J311" s="20"/>
      <c r="K311" s="19" t="s">
        <v>54</v>
      </c>
      <c r="L311" s="19" t="s">
        <v>4</v>
      </c>
      <c r="M311" s="21" t="s">
        <v>67</v>
      </c>
      <c r="N311" s="20" t="s">
        <v>80</v>
      </c>
      <c r="O311" s="19" t="s">
        <v>13</v>
      </c>
      <c r="P311" s="10"/>
      <c r="Q311" s="11"/>
    </row>
    <row r="312" spans="2:17" ht="21" customHeight="1" x14ac:dyDescent="0.35">
      <c r="B312" s="1">
        <v>43866</v>
      </c>
      <c r="C312" s="1" t="str">
        <f>TEXT(Sales[[#This Row],[Kode Program/Kegiatan ]],"D")</f>
        <v>5</v>
      </c>
      <c r="D312" s="2" t="str">
        <f>TEXT(Sales[[#This Row],[Kode Program/Kegiatan ]],"mmm")</f>
        <v>Feb</v>
      </c>
      <c r="E312" s="3">
        <v>9</v>
      </c>
      <c r="F312" s="2">
        <v>8</v>
      </c>
      <c r="G312" s="3">
        <f>IF(Sales[[#This Row],[Anggaran Murni]]-Sales[[#This Row],[Target s.d. Januari]]=0,"",Sales[[#This Row],[Anggaran Murni]]-Sales[[#This Row],[Target s.d. Januari]])</f>
        <v>1</v>
      </c>
      <c r="H312" s="2" t="s">
        <v>70</v>
      </c>
      <c r="I312" s="3" t="s">
        <v>1</v>
      </c>
      <c r="J312" s="3"/>
      <c r="K312" s="2" t="s">
        <v>29</v>
      </c>
      <c r="L312" s="2" t="s">
        <v>2</v>
      </c>
      <c r="M312" s="4" t="s">
        <v>67</v>
      </c>
      <c r="N312" s="3" t="s">
        <v>80</v>
      </c>
      <c r="O312" s="2" t="s">
        <v>12</v>
      </c>
      <c r="P312" s="10"/>
      <c r="Q312" s="11"/>
    </row>
    <row r="313" spans="2:17" ht="21" customHeight="1" x14ac:dyDescent="0.35">
      <c r="B313" s="18">
        <v>43866</v>
      </c>
      <c r="C313" s="18" t="str">
        <f>TEXT(Sales[[#This Row],[Kode Program/Kegiatan ]],"D")</f>
        <v>5</v>
      </c>
      <c r="D313" s="19" t="str">
        <f>TEXT(Sales[[#This Row],[Kode Program/Kegiatan ]],"mmm")</f>
        <v>Feb</v>
      </c>
      <c r="E313" s="20">
        <v>8</v>
      </c>
      <c r="F313" s="19">
        <v>5</v>
      </c>
      <c r="G313" s="20">
        <f>IF(Sales[[#This Row],[Anggaran Murni]]-Sales[[#This Row],[Target s.d. Januari]]=0,"",Sales[[#This Row],[Anggaran Murni]]-Sales[[#This Row],[Target s.d. Januari]])</f>
        <v>3</v>
      </c>
      <c r="H313" s="19" t="s">
        <v>114</v>
      </c>
      <c r="I313" s="20" t="s">
        <v>3</v>
      </c>
      <c r="J313" s="20"/>
      <c r="K313" s="19" t="s">
        <v>31</v>
      </c>
      <c r="L313" s="19" t="s">
        <v>5</v>
      </c>
      <c r="M313" s="21" t="s">
        <v>67</v>
      </c>
      <c r="N313" s="20" t="s">
        <v>82</v>
      </c>
      <c r="O313" s="19" t="s">
        <v>13</v>
      </c>
      <c r="P313" s="10"/>
      <c r="Q313" s="11"/>
    </row>
    <row r="314" spans="2:17" ht="21" customHeight="1" x14ac:dyDescent="0.35">
      <c r="B314" s="1">
        <v>43866</v>
      </c>
      <c r="C314" s="1" t="str">
        <f>TEXT(Sales[[#This Row],[Kode Program/Kegiatan ]],"D")</f>
        <v>5</v>
      </c>
      <c r="D314" s="2" t="str">
        <f>TEXT(Sales[[#This Row],[Kode Program/Kegiatan ]],"mmm")</f>
        <v>Feb</v>
      </c>
      <c r="E314" s="3">
        <v>8</v>
      </c>
      <c r="F314" s="2">
        <v>7</v>
      </c>
      <c r="G314" s="3">
        <f>IF(Sales[[#This Row],[Anggaran Murni]]-Sales[[#This Row],[Target s.d. Januari]]=0,"",Sales[[#This Row],[Anggaran Murni]]-Sales[[#This Row],[Target s.d. Januari]])</f>
        <v>1</v>
      </c>
      <c r="H314" s="2" t="s">
        <v>70</v>
      </c>
      <c r="I314" s="3" t="s">
        <v>1</v>
      </c>
      <c r="J314" s="3"/>
      <c r="K314" s="2" t="s">
        <v>28</v>
      </c>
      <c r="L314" s="2" t="s">
        <v>9</v>
      </c>
      <c r="M314" s="4" t="s">
        <v>67</v>
      </c>
      <c r="N314" s="3" t="s">
        <v>80</v>
      </c>
      <c r="O314" s="2" t="s">
        <v>13</v>
      </c>
      <c r="P314" s="10"/>
      <c r="Q314" s="11"/>
    </row>
    <row r="315" spans="2:17" ht="21" customHeight="1" x14ac:dyDescent="0.35">
      <c r="B315" s="18">
        <v>43866</v>
      </c>
      <c r="C315" s="18" t="str">
        <f>TEXT(Sales[[#This Row],[Kode Program/Kegiatan ]],"D")</f>
        <v>5</v>
      </c>
      <c r="D315" s="19" t="str">
        <f>TEXT(Sales[[#This Row],[Kode Program/Kegiatan ]],"mmm")</f>
        <v>Feb</v>
      </c>
      <c r="E315" s="20">
        <v>3</v>
      </c>
      <c r="F315" s="19">
        <v>1</v>
      </c>
      <c r="G315" s="20">
        <f>IF(Sales[[#This Row],[Anggaran Murni]]-Sales[[#This Row],[Target s.d. Januari]]=0,"",Sales[[#This Row],[Anggaran Murni]]-Sales[[#This Row],[Target s.d. Januari]])</f>
        <v>2</v>
      </c>
      <c r="H315" s="19" t="s">
        <v>75</v>
      </c>
      <c r="I315" s="20" t="s">
        <v>6</v>
      </c>
      <c r="J315" s="20"/>
      <c r="K315" s="19" t="s">
        <v>31</v>
      </c>
      <c r="L315" s="19" t="s">
        <v>5</v>
      </c>
      <c r="M315" s="21" t="s">
        <v>67</v>
      </c>
      <c r="N315" s="20" t="s">
        <v>81</v>
      </c>
      <c r="O315" s="19" t="s">
        <v>14</v>
      </c>
      <c r="P315" s="10"/>
      <c r="Q315" s="11"/>
    </row>
    <row r="316" spans="2:17" ht="21" customHeight="1" x14ac:dyDescent="0.35">
      <c r="B316" s="1">
        <v>43867</v>
      </c>
      <c r="C316" s="1" t="str">
        <f>TEXT(Sales[[#This Row],[Kode Program/Kegiatan ]],"D")</f>
        <v>6</v>
      </c>
      <c r="D316" s="2" t="str">
        <f>TEXT(Sales[[#This Row],[Kode Program/Kegiatan ]],"mmm")</f>
        <v>Feb</v>
      </c>
      <c r="E316" s="3">
        <v>9</v>
      </c>
      <c r="F316" s="2">
        <v>6</v>
      </c>
      <c r="G316" s="3">
        <f>IF(Sales[[#This Row],[Anggaran Murni]]-Sales[[#This Row],[Target s.d. Januari]]=0,"",Sales[[#This Row],[Anggaran Murni]]-Sales[[#This Row],[Target s.d. Januari]])</f>
        <v>3</v>
      </c>
      <c r="H316" s="2" t="s">
        <v>113</v>
      </c>
      <c r="I316" s="3" t="s">
        <v>77</v>
      </c>
      <c r="J316" s="3"/>
      <c r="K316" s="2" t="s">
        <v>30</v>
      </c>
      <c r="L316" s="2" t="s">
        <v>8</v>
      </c>
      <c r="M316" s="4" t="s">
        <v>67</v>
      </c>
      <c r="N316" s="3" t="s">
        <v>82</v>
      </c>
      <c r="O316" s="2" t="s">
        <v>13</v>
      </c>
      <c r="P316" s="10"/>
      <c r="Q316" s="11"/>
    </row>
    <row r="317" spans="2:17" ht="21" customHeight="1" x14ac:dyDescent="0.35">
      <c r="B317" s="18">
        <v>43867</v>
      </c>
      <c r="C317" s="18" t="str">
        <f>TEXT(Sales[[#This Row],[Kode Program/Kegiatan ]],"D")</f>
        <v>6</v>
      </c>
      <c r="D317" s="19" t="str">
        <f>TEXT(Sales[[#This Row],[Kode Program/Kegiatan ]],"mmm")</f>
        <v>Feb</v>
      </c>
      <c r="E317" s="20">
        <v>9</v>
      </c>
      <c r="F317" s="19">
        <v>8</v>
      </c>
      <c r="G317" s="20">
        <f>IF(Sales[[#This Row],[Anggaran Murni]]-Sales[[#This Row],[Target s.d. Januari]]=0,"",Sales[[#This Row],[Anggaran Murni]]-Sales[[#This Row],[Target s.d. Januari]])</f>
        <v>1</v>
      </c>
      <c r="H317" s="19" t="s">
        <v>70</v>
      </c>
      <c r="I317" s="20" t="s">
        <v>1</v>
      </c>
      <c r="J317" s="20"/>
      <c r="K317" s="19" t="s">
        <v>39</v>
      </c>
      <c r="L317" s="19" t="s">
        <v>5</v>
      </c>
      <c r="M317" s="21" t="s">
        <v>67</v>
      </c>
      <c r="N317" s="20" t="s">
        <v>82</v>
      </c>
      <c r="O317" s="19" t="s">
        <v>13</v>
      </c>
      <c r="P317" s="10"/>
      <c r="Q317" s="11"/>
    </row>
    <row r="318" spans="2:17" ht="21" customHeight="1" x14ac:dyDescent="0.35">
      <c r="B318" s="1">
        <v>43867</v>
      </c>
      <c r="C318" s="1" t="str">
        <f>TEXT(Sales[[#This Row],[Kode Program/Kegiatan ]],"D")</f>
        <v>6</v>
      </c>
      <c r="D318" s="2" t="str">
        <f>TEXT(Sales[[#This Row],[Kode Program/Kegiatan ]],"mmm")</f>
        <v>Feb</v>
      </c>
      <c r="E318" s="3">
        <v>8</v>
      </c>
      <c r="F318" s="2">
        <v>6</v>
      </c>
      <c r="G318" s="3">
        <f>IF(Sales[[#This Row],[Anggaran Murni]]-Sales[[#This Row],[Target s.d. Januari]]=0,"",Sales[[#This Row],[Anggaran Murni]]-Sales[[#This Row],[Target s.d. Januari]])</f>
        <v>2</v>
      </c>
      <c r="H318" s="2" t="s">
        <v>72</v>
      </c>
      <c r="I318" s="3" t="s">
        <v>78</v>
      </c>
      <c r="J318" s="3"/>
      <c r="K318" s="2" t="s">
        <v>44</v>
      </c>
      <c r="L318" s="2" t="s">
        <v>2</v>
      </c>
      <c r="M318" s="4" t="s">
        <v>67</v>
      </c>
      <c r="N318" s="3" t="s">
        <v>80</v>
      </c>
      <c r="O318" s="2" t="s">
        <v>12</v>
      </c>
      <c r="P318" s="10"/>
      <c r="Q318" s="11"/>
    </row>
    <row r="319" spans="2:17" ht="21" customHeight="1" x14ac:dyDescent="0.35">
      <c r="B319" s="18">
        <v>43867</v>
      </c>
      <c r="C319" s="18" t="str">
        <f>TEXT(Sales[[#This Row],[Kode Program/Kegiatan ]],"D")</f>
        <v>6</v>
      </c>
      <c r="D319" s="19" t="str">
        <f>TEXT(Sales[[#This Row],[Kode Program/Kegiatan ]],"mmm")</f>
        <v>Feb</v>
      </c>
      <c r="E319" s="20">
        <v>8</v>
      </c>
      <c r="F319" s="19">
        <v>4</v>
      </c>
      <c r="G319" s="20">
        <f>IF(Sales[[#This Row],[Anggaran Murni]]-Sales[[#This Row],[Target s.d. Januari]]=0,"",Sales[[#This Row],[Anggaran Murni]]-Sales[[#This Row],[Target s.d. Januari]])</f>
        <v>4</v>
      </c>
      <c r="H319" s="19" t="s">
        <v>113</v>
      </c>
      <c r="I319" s="20" t="s">
        <v>77</v>
      </c>
      <c r="J319" s="20"/>
      <c r="K319" s="19" t="s">
        <v>45</v>
      </c>
      <c r="L319" s="19" t="s">
        <v>9</v>
      </c>
      <c r="M319" s="21" t="s">
        <v>67</v>
      </c>
      <c r="N319" s="20" t="s">
        <v>82</v>
      </c>
      <c r="O319" s="19" t="s">
        <v>11</v>
      </c>
      <c r="P319" s="10"/>
      <c r="Q319" s="11"/>
    </row>
    <row r="320" spans="2:17" ht="21" customHeight="1" x14ac:dyDescent="0.35">
      <c r="B320" s="1">
        <v>43867</v>
      </c>
      <c r="C320" s="1" t="str">
        <f>TEXT(Sales[[#This Row],[Kode Program/Kegiatan ]],"D")</f>
        <v>6</v>
      </c>
      <c r="D320" s="2" t="str">
        <f>TEXT(Sales[[#This Row],[Kode Program/Kegiatan ]],"mmm")</f>
        <v>Feb</v>
      </c>
      <c r="E320" s="3">
        <v>7</v>
      </c>
      <c r="F320" s="2">
        <v>4</v>
      </c>
      <c r="G320" s="3">
        <f>IF(Sales[[#This Row],[Anggaran Murni]]-Sales[[#This Row],[Target s.d. Januari]]=0,"",Sales[[#This Row],[Anggaran Murni]]-Sales[[#This Row],[Target s.d. Januari]])</f>
        <v>3</v>
      </c>
      <c r="H320" s="2" t="s">
        <v>114</v>
      </c>
      <c r="I320" s="3" t="s">
        <v>3</v>
      </c>
      <c r="J320" s="3"/>
      <c r="K320" s="2" t="s">
        <v>47</v>
      </c>
      <c r="L320" s="2" t="s">
        <v>2</v>
      </c>
      <c r="M320" s="4" t="s">
        <v>67</v>
      </c>
      <c r="N320" s="3" t="s">
        <v>81</v>
      </c>
      <c r="O320" s="2" t="s">
        <v>13</v>
      </c>
      <c r="P320" s="10"/>
      <c r="Q320" s="11"/>
    </row>
    <row r="321" spans="2:17" ht="21" customHeight="1" x14ac:dyDescent="0.35">
      <c r="B321" s="18">
        <v>43867</v>
      </c>
      <c r="C321" s="18" t="str">
        <f>TEXT(Sales[[#This Row],[Kode Program/Kegiatan ]],"D")</f>
        <v>6</v>
      </c>
      <c r="D321" s="19" t="str">
        <f>TEXT(Sales[[#This Row],[Kode Program/Kegiatan ]],"mmm")</f>
        <v>Feb</v>
      </c>
      <c r="E321" s="20">
        <v>6</v>
      </c>
      <c r="F321" s="19">
        <v>4</v>
      </c>
      <c r="G321" s="20">
        <f>IF(Sales[[#This Row],[Anggaran Murni]]-Sales[[#This Row],[Target s.d. Januari]]=0,"",Sales[[#This Row],[Anggaran Murni]]-Sales[[#This Row],[Target s.d. Januari]])</f>
        <v>2</v>
      </c>
      <c r="H321" s="19" t="s">
        <v>74</v>
      </c>
      <c r="I321" s="20" t="s">
        <v>77</v>
      </c>
      <c r="J321" s="20"/>
      <c r="K321" s="19" t="s">
        <v>20</v>
      </c>
      <c r="L321" s="19" t="s">
        <v>2</v>
      </c>
      <c r="M321" s="21" t="s">
        <v>67</v>
      </c>
      <c r="N321" s="20" t="s">
        <v>80</v>
      </c>
      <c r="O321" s="19" t="s">
        <v>14</v>
      </c>
      <c r="P321" s="10"/>
      <c r="Q321" s="11"/>
    </row>
    <row r="322" spans="2:17" ht="21" customHeight="1" x14ac:dyDescent="0.35">
      <c r="B322" s="1">
        <v>43867</v>
      </c>
      <c r="C322" s="1" t="str">
        <f>TEXT(Sales[[#This Row],[Kode Program/Kegiatan ]],"D")</f>
        <v>6</v>
      </c>
      <c r="D322" s="2" t="str">
        <f>TEXT(Sales[[#This Row],[Kode Program/Kegiatan ]],"mmm")</f>
        <v>Feb</v>
      </c>
      <c r="E322" s="3">
        <v>4</v>
      </c>
      <c r="F322" s="2">
        <v>2</v>
      </c>
      <c r="G322" s="3">
        <f>IF(Sales[[#This Row],[Anggaran Murni]]-Sales[[#This Row],[Target s.d. Januari]]=0,"",Sales[[#This Row],[Anggaran Murni]]-Sales[[#This Row],[Target s.d. Januari]])</f>
        <v>2</v>
      </c>
      <c r="H322" s="2" t="s">
        <v>75</v>
      </c>
      <c r="I322" s="3" t="s">
        <v>6</v>
      </c>
      <c r="J322" s="3"/>
      <c r="K322" s="2" t="s">
        <v>30</v>
      </c>
      <c r="L322" s="2" t="s">
        <v>5</v>
      </c>
      <c r="M322" s="4" t="s">
        <v>67</v>
      </c>
      <c r="N322" s="3" t="s">
        <v>80</v>
      </c>
      <c r="O322" s="2" t="s">
        <v>11</v>
      </c>
      <c r="P322" s="10"/>
      <c r="Q322" s="11"/>
    </row>
    <row r="323" spans="2:17" ht="21" customHeight="1" x14ac:dyDescent="0.35">
      <c r="B323" s="18">
        <v>43867</v>
      </c>
      <c r="C323" s="18" t="str">
        <f>TEXT(Sales[[#This Row],[Kode Program/Kegiatan ]],"D")</f>
        <v>6</v>
      </c>
      <c r="D323" s="19" t="str">
        <f>TEXT(Sales[[#This Row],[Kode Program/Kegiatan ]],"mmm")</f>
        <v>Feb</v>
      </c>
      <c r="E323" s="20">
        <v>4</v>
      </c>
      <c r="F323" s="19">
        <v>3</v>
      </c>
      <c r="G323" s="20">
        <f>IF(Sales[[#This Row],[Anggaran Murni]]-Sales[[#This Row],[Target s.d. Januari]]=0,"",Sales[[#This Row],[Anggaran Murni]]-Sales[[#This Row],[Target s.d. Januari]])</f>
        <v>1</v>
      </c>
      <c r="H323" s="19" t="s">
        <v>72</v>
      </c>
      <c r="I323" s="20" t="s">
        <v>78</v>
      </c>
      <c r="J323" s="20"/>
      <c r="K323" s="19" t="s">
        <v>40</v>
      </c>
      <c r="L323" s="19" t="s">
        <v>5</v>
      </c>
      <c r="M323" s="21" t="s">
        <v>67</v>
      </c>
      <c r="N323" s="20" t="s">
        <v>82</v>
      </c>
      <c r="O323" s="19" t="s">
        <v>12</v>
      </c>
      <c r="P323" s="10"/>
      <c r="Q323" s="11"/>
    </row>
    <row r="324" spans="2:17" ht="21" customHeight="1" x14ac:dyDescent="0.35">
      <c r="B324" s="1">
        <v>43867</v>
      </c>
      <c r="C324" s="1" t="str">
        <f>TEXT(Sales[[#This Row],[Kode Program/Kegiatan ]],"D")</f>
        <v>6</v>
      </c>
      <c r="D324" s="2" t="str">
        <f>TEXT(Sales[[#This Row],[Kode Program/Kegiatan ]],"mmm")</f>
        <v>Feb</v>
      </c>
      <c r="E324" s="3">
        <v>4</v>
      </c>
      <c r="F324" s="2">
        <v>3</v>
      </c>
      <c r="G324" s="3">
        <f>IF(Sales[[#This Row],[Anggaran Murni]]-Sales[[#This Row],[Target s.d. Januari]]=0,"",Sales[[#This Row],[Anggaran Murni]]-Sales[[#This Row],[Target s.d. Januari]])</f>
        <v>1</v>
      </c>
      <c r="H324" s="2" t="s">
        <v>74</v>
      </c>
      <c r="I324" s="3" t="s">
        <v>77</v>
      </c>
      <c r="J324" s="3"/>
      <c r="K324" s="2" t="s">
        <v>31</v>
      </c>
      <c r="L324" s="2" t="s">
        <v>2</v>
      </c>
      <c r="M324" s="4" t="s">
        <v>67</v>
      </c>
      <c r="N324" s="3" t="s">
        <v>80</v>
      </c>
      <c r="O324" s="2" t="s">
        <v>13</v>
      </c>
      <c r="P324" s="10"/>
      <c r="Q324" s="11"/>
    </row>
    <row r="325" spans="2:17" ht="21" customHeight="1" x14ac:dyDescent="0.35">
      <c r="B325" s="18">
        <v>43868</v>
      </c>
      <c r="C325" s="18" t="str">
        <f>TEXT(Sales[[#This Row],[Kode Program/Kegiatan ]],"D")</f>
        <v>7</v>
      </c>
      <c r="D325" s="19" t="str">
        <f>TEXT(Sales[[#This Row],[Kode Program/Kegiatan ]],"mmm")</f>
        <v>Feb</v>
      </c>
      <c r="E325" s="20">
        <v>10</v>
      </c>
      <c r="F325" s="19">
        <v>7</v>
      </c>
      <c r="G325" s="20">
        <f>IF(Sales[[#This Row],[Anggaran Murni]]-Sales[[#This Row],[Target s.d. Januari]]=0,"",Sales[[#This Row],[Anggaran Murni]]-Sales[[#This Row],[Target s.d. Januari]])</f>
        <v>3</v>
      </c>
      <c r="H325" s="19" t="s">
        <v>76</v>
      </c>
      <c r="I325" s="20" t="s">
        <v>79</v>
      </c>
      <c r="J325" s="20"/>
      <c r="K325" s="19" t="s">
        <v>58</v>
      </c>
      <c r="L325" s="19" t="s">
        <v>5</v>
      </c>
      <c r="M325" s="21" t="s">
        <v>67</v>
      </c>
      <c r="N325" s="20" t="s">
        <v>80</v>
      </c>
      <c r="O325" s="19" t="s">
        <v>13</v>
      </c>
      <c r="P325" s="10"/>
      <c r="Q325" s="11"/>
    </row>
    <row r="326" spans="2:17" ht="21" customHeight="1" x14ac:dyDescent="0.35">
      <c r="B326" s="1">
        <v>43868</v>
      </c>
      <c r="C326" s="1" t="str">
        <f>TEXT(Sales[[#This Row],[Kode Program/Kegiatan ]],"D")</f>
        <v>7</v>
      </c>
      <c r="D326" s="2" t="str">
        <f>TEXT(Sales[[#This Row],[Kode Program/Kegiatan ]],"mmm")</f>
        <v>Feb</v>
      </c>
      <c r="E326" s="3">
        <v>9</v>
      </c>
      <c r="F326" s="2">
        <v>8</v>
      </c>
      <c r="G326" s="3">
        <f>IF(Sales[[#This Row],[Anggaran Murni]]-Sales[[#This Row],[Target s.d. Januari]]=0,"",Sales[[#This Row],[Anggaran Murni]]-Sales[[#This Row],[Target s.d. Januari]])</f>
        <v>1</v>
      </c>
      <c r="H326" s="2" t="s">
        <v>72</v>
      </c>
      <c r="I326" s="3" t="s">
        <v>78</v>
      </c>
      <c r="J326" s="3"/>
      <c r="K326" s="2" t="s">
        <v>24</v>
      </c>
      <c r="L326" s="2" t="s">
        <v>2</v>
      </c>
      <c r="M326" s="4" t="s">
        <v>67</v>
      </c>
      <c r="N326" s="3" t="s">
        <v>80</v>
      </c>
      <c r="O326" s="2" t="s">
        <v>11</v>
      </c>
      <c r="P326" s="10"/>
      <c r="Q326" s="11"/>
    </row>
    <row r="327" spans="2:17" ht="21" customHeight="1" x14ac:dyDescent="0.35">
      <c r="B327" s="18">
        <v>43868</v>
      </c>
      <c r="C327" s="18" t="str">
        <f>TEXT(Sales[[#This Row],[Kode Program/Kegiatan ]],"D")</f>
        <v>7</v>
      </c>
      <c r="D327" s="19" t="str">
        <f>TEXT(Sales[[#This Row],[Kode Program/Kegiatan ]],"mmm")</f>
        <v>Feb</v>
      </c>
      <c r="E327" s="20">
        <v>7</v>
      </c>
      <c r="F327" s="19">
        <v>5</v>
      </c>
      <c r="G327" s="20">
        <f>IF(Sales[[#This Row],[Anggaran Murni]]-Sales[[#This Row],[Target s.d. Januari]]=0,"",Sales[[#This Row],[Anggaran Murni]]-Sales[[#This Row],[Target s.d. Januari]])</f>
        <v>2</v>
      </c>
      <c r="H327" s="19" t="s">
        <v>113</v>
      </c>
      <c r="I327" s="20" t="s">
        <v>77</v>
      </c>
      <c r="J327" s="20"/>
      <c r="K327" s="19" t="s">
        <v>47</v>
      </c>
      <c r="L327" s="19" t="s">
        <v>4</v>
      </c>
      <c r="M327" s="21" t="s">
        <v>67</v>
      </c>
      <c r="N327" s="20" t="s">
        <v>82</v>
      </c>
      <c r="O327" s="19" t="s">
        <v>13</v>
      </c>
      <c r="P327" s="10"/>
      <c r="Q327" s="11"/>
    </row>
    <row r="328" spans="2:17" ht="21" customHeight="1" x14ac:dyDescent="0.35">
      <c r="B328" s="1">
        <v>43868</v>
      </c>
      <c r="C328" s="1" t="str">
        <f>TEXT(Sales[[#This Row],[Kode Program/Kegiatan ]],"D")</f>
        <v>7</v>
      </c>
      <c r="D328" s="2" t="str">
        <f>TEXT(Sales[[#This Row],[Kode Program/Kegiatan ]],"mmm")</f>
        <v>Feb</v>
      </c>
      <c r="E328" s="3">
        <v>6</v>
      </c>
      <c r="F328" s="2">
        <v>5</v>
      </c>
      <c r="G328" s="3">
        <f>IF(Sales[[#This Row],[Anggaran Murni]]-Sales[[#This Row],[Target s.d. Januari]]=0,"",Sales[[#This Row],[Anggaran Murni]]-Sales[[#This Row],[Target s.d. Januari]])</f>
        <v>1</v>
      </c>
      <c r="H328" s="2" t="s">
        <v>73</v>
      </c>
      <c r="I328" s="3" t="s">
        <v>78</v>
      </c>
      <c r="J328" s="3"/>
      <c r="K328" s="2" t="s">
        <v>36</v>
      </c>
      <c r="L328" s="2" t="s">
        <v>2</v>
      </c>
      <c r="M328" s="4" t="s">
        <v>67</v>
      </c>
      <c r="N328" s="3" t="s">
        <v>81</v>
      </c>
      <c r="O328" s="2" t="s">
        <v>11</v>
      </c>
      <c r="P328" s="10"/>
      <c r="Q328" s="11"/>
    </row>
    <row r="329" spans="2:17" ht="21" customHeight="1" x14ac:dyDescent="0.35">
      <c r="B329" s="18">
        <v>43868</v>
      </c>
      <c r="C329" s="18" t="str">
        <f>TEXT(Sales[[#This Row],[Kode Program/Kegiatan ]],"D")</f>
        <v>7</v>
      </c>
      <c r="D329" s="19" t="str">
        <f>TEXT(Sales[[#This Row],[Kode Program/Kegiatan ]],"mmm")</f>
        <v>Feb</v>
      </c>
      <c r="E329" s="20">
        <v>4</v>
      </c>
      <c r="F329" s="19">
        <v>3</v>
      </c>
      <c r="G329" s="20">
        <f>IF(Sales[[#This Row],[Anggaran Murni]]-Sales[[#This Row],[Target s.d. Januari]]=0,"",Sales[[#This Row],[Anggaran Murni]]-Sales[[#This Row],[Target s.d. Januari]])</f>
        <v>1</v>
      </c>
      <c r="H329" s="19" t="s">
        <v>113</v>
      </c>
      <c r="I329" s="20" t="s">
        <v>77</v>
      </c>
      <c r="J329" s="20"/>
      <c r="K329" s="19" t="s">
        <v>61</v>
      </c>
      <c r="L329" s="19" t="s">
        <v>2</v>
      </c>
      <c r="M329" s="21" t="s">
        <v>67</v>
      </c>
      <c r="N329" s="20" t="s">
        <v>81</v>
      </c>
      <c r="O329" s="19" t="s">
        <v>13</v>
      </c>
      <c r="P329" s="10"/>
      <c r="Q329" s="11"/>
    </row>
    <row r="330" spans="2:17" ht="21" customHeight="1" x14ac:dyDescent="0.35">
      <c r="B330" s="1">
        <v>43868</v>
      </c>
      <c r="C330" s="1" t="str">
        <f>TEXT(Sales[[#This Row],[Kode Program/Kegiatan ]],"D")</f>
        <v>7</v>
      </c>
      <c r="D330" s="2" t="str">
        <f>TEXT(Sales[[#This Row],[Kode Program/Kegiatan ]],"mmm")</f>
        <v>Feb</v>
      </c>
      <c r="E330" s="3">
        <v>3</v>
      </c>
      <c r="F330" s="2">
        <v>1</v>
      </c>
      <c r="G330" s="3">
        <f>IF(Sales[[#This Row],[Anggaran Murni]]-Sales[[#This Row],[Target s.d. Januari]]=0,"",Sales[[#This Row],[Anggaran Murni]]-Sales[[#This Row],[Target s.d. Januari]])</f>
        <v>2</v>
      </c>
      <c r="H330" s="2" t="s">
        <v>113</v>
      </c>
      <c r="I330" s="3" t="s">
        <v>77</v>
      </c>
      <c r="J330" s="3"/>
      <c r="K330" s="2" t="s">
        <v>54</v>
      </c>
      <c r="L330" s="2" t="s">
        <v>2</v>
      </c>
      <c r="M330" s="4" t="s">
        <v>67</v>
      </c>
      <c r="N330" s="3" t="s">
        <v>80</v>
      </c>
      <c r="O330" s="2" t="s">
        <v>13</v>
      </c>
      <c r="P330" s="10"/>
      <c r="Q330" s="11"/>
    </row>
    <row r="331" spans="2:17" ht="21" customHeight="1" x14ac:dyDescent="0.35">
      <c r="B331" s="18">
        <v>43869</v>
      </c>
      <c r="C331" s="18" t="str">
        <f>TEXT(Sales[[#This Row],[Kode Program/Kegiatan ]],"D")</f>
        <v>8</v>
      </c>
      <c r="D331" s="19" t="str">
        <f>TEXT(Sales[[#This Row],[Kode Program/Kegiatan ]],"mmm")</f>
        <v>Feb</v>
      </c>
      <c r="E331" s="20">
        <v>10</v>
      </c>
      <c r="F331" s="19">
        <v>9</v>
      </c>
      <c r="G331" s="20">
        <f>IF(Sales[[#This Row],[Anggaran Murni]]-Sales[[#This Row],[Target s.d. Januari]]=0,"",Sales[[#This Row],[Anggaran Murni]]-Sales[[#This Row],[Target s.d. Januari]])</f>
        <v>1</v>
      </c>
      <c r="H331" s="19" t="s">
        <v>114</v>
      </c>
      <c r="I331" s="20" t="s">
        <v>3</v>
      </c>
      <c r="J331" s="20"/>
      <c r="K331" s="19" t="s">
        <v>31</v>
      </c>
      <c r="L331" s="19" t="s">
        <v>5</v>
      </c>
      <c r="M331" s="21" t="s">
        <v>67</v>
      </c>
      <c r="N331" s="20" t="s">
        <v>81</v>
      </c>
      <c r="O331" s="19" t="s">
        <v>14</v>
      </c>
      <c r="P331" s="10"/>
      <c r="Q331" s="11"/>
    </row>
    <row r="332" spans="2:17" ht="21" customHeight="1" x14ac:dyDescent="0.35">
      <c r="B332" s="1">
        <v>43869</v>
      </c>
      <c r="C332" s="1" t="str">
        <f>TEXT(Sales[[#This Row],[Kode Program/Kegiatan ]],"D")</f>
        <v>8</v>
      </c>
      <c r="D332" s="2" t="str">
        <f>TEXT(Sales[[#This Row],[Kode Program/Kegiatan ]],"mmm")</f>
        <v>Feb</v>
      </c>
      <c r="E332" s="3">
        <v>8</v>
      </c>
      <c r="F332" s="2">
        <v>4</v>
      </c>
      <c r="G332" s="3">
        <f>IF(Sales[[#This Row],[Anggaran Murni]]-Sales[[#This Row],[Target s.d. Januari]]=0,"",Sales[[#This Row],[Anggaran Murni]]-Sales[[#This Row],[Target s.d. Januari]])</f>
        <v>4</v>
      </c>
      <c r="H332" s="2" t="s">
        <v>76</v>
      </c>
      <c r="I332" s="3" t="s">
        <v>79</v>
      </c>
      <c r="J332" s="3"/>
      <c r="K332" s="2" t="s">
        <v>22</v>
      </c>
      <c r="L332" s="2" t="s">
        <v>5</v>
      </c>
      <c r="M332" s="4" t="s">
        <v>67</v>
      </c>
      <c r="N332" s="3" t="s">
        <v>80</v>
      </c>
      <c r="O332" s="2" t="s">
        <v>14</v>
      </c>
      <c r="P332" s="10"/>
      <c r="Q332" s="11"/>
    </row>
    <row r="333" spans="2:17" ht="21" customHeight="1" x14ac:dyDescent="0.35">
      <c r="B333" s="18">
        <v>43869</v>
      </c>
      <c r="C333" s="18" t="str">
        <f>TEXT(Sales[[#This Row],[Kode Program/Kegiatan ]],"D")</f>
        <v>8</v>
      </c>
      <c r="D333" s="19" t="str">
        <f>TEXT(Sales[[#This Row],[Kode Program/Kegiatan ]],"mmm")</f>
        <v>Feb</v>
      </c>
      <c r="E333" s="20">
        <v>8</v>
      </c>
      <c r="F333" s="19">
        <v>6</v>
      </c>
      <c r="G333" s="20">
        <f>IF(Sales[[#This Row],[Anggaran Murni]]-Sales[[#This Row],[Target s.d. Januari]]=0,"",Sales[[#This Row],[Anggaran Murni]]-Sales[[#This Row],[Target s.d. Januari]])</f>
        <v>2</v>
      </c>
      <c r="H333" s="19" t="s">
        <v>75</v>
      </c>
      <c r="I333" s="20" t="s">
        <v>6</v>
      </c>
      <c r="J333" s="20"/>
      <c r="K333" s="19" t="s">
        <v>46</v>
      </c>
      <c r="L333" s="19" t="s">
        <v>5</v>
      </c>
      <c r="M333" s="21" t="s">
        <v>67</v>
      </c>
      <c r="N333" s="20" t="s">
        <v>82</v>
      </c>
      <c r="O333" s="19" t="s">
        <v>12</v>
      </c>
      <c r="P333" s="10"/>
      <c r="Q333" s="11"/>
    </row>
    <row r="334" spans="2:17" ht="21" customHeight="1" x14ac:dyDescent="0.35">
      <c r="B334" s="1">
        <v>43869</v>
      </c>
      <c r="C334" s="1" t="str">
        <f>TEXT(Sales[[#This Row],[Kode Program/Kegiatan ]],"D")</f>
        <v>8</v>
      </c>
      <c r="D334" s="2" t="str">
        <f>TEXT(Sales[[#This Row],[Kode Program/Kegiatan ]],"mmm")</f>
        <v>Feb</v>
      </c>
      <c r="E334" s="3">
        <v>5</v>
      </c>
      <c r="F334" s="2">
        <v>3</v>
      </c>
      <c r="G334" s="3">
        <f>IF(Sales[[#This Row],[Anggaran Murni]]-Sales[[#This Row],[Target s.d. Januari]]=0,"",Sales[[#This Row],[Anggaran Murni]]-Sales[[#This Row],[Target s.d. Januari]])</f>
        <v>2</v>
      </c>
      <c r="H334" s="2" t="s">
        <v>73</v>
      </c>
      <c r="I334" s="3" t="s">
        <v>78</v>
      </c>
      <c r="J334" s="3"/>
      <c r="K334" s="2" t="s">
        <v>26</v>
      </c>
      <c r="L334" s="2" t="s">
        <v>8</v>
      </c>
      <c r="M334" s="4" t="s">
        <v>67</v>
      </c>
      <c r="N334" s="3" t="s">
        <v>80</v>
      </c>
      <c r="O334" s="2" t="s">
        <v>12</v>
      </c>
      <c r="P334" s="10"/>
      <c r="Q334" s="11"/>
    </row>
    <row r="335" spans="2:17" ht="21" customHeight="1" x14ac:dyDescent="0.35">
      <c r="B335" s="18">
        <v>43869</v>
      </c>
      <c r="C335" s="18" t="str">
        <f>TEXT(Sales[[#This Row],[Kode Program/Kegiatan ]],"D")</f>
        <v>8</v>
      </c>
      <c r="D335" s="19" t="str">
        <f>TEXT(Sales[[#This Row],[Kode Program/Kegiatan ]],"mmm")</f>
        <v>Feb</v>
      </c>
      <c r="E335" s="20">
        <v>4</v>
      </c>
      <c r="F335" s="19">
        <v>3</v>
      </c>
      <c r="G335" s="20">
        <f>IF(Sales[[#This Row],[Anggaran Murni]]-Sales[[#This Row],[Target s.d. Januari]]=0,"",Sales[[#This Row],[Anggaran Murni]]-Sales[[#This Row],[Target s.d. Januari]])</f>
        <v>1</v>
      </c>
      <c r="H335" s="19" t="s">
        <v>70</v>
      </c>
      <c r="I335" s="20" t="s">
        <v>1</v>
      </c>
      <c r="J335" s="20"/>
      <c r="K335" s="19" t="s">
        <v>62</v>
      </c>
      <c r="L335" s="19" t="s">
        <v>2</v>
      </c>
      <c r="M335" s="21" t="s">
        <v>67</v>
      </c>
      <c r="N335" s="20" t="s">
        <v>82</v>
      </c>
      <c r="O335" s="19" t="s">
        <v>12</v>
      </c>
      <c r="P335" s="10"/>
      <c r="Q335" s="11"/>
    </row>
    <row r="336" spans="2:17" ht="21" customHeight="1" x14ac:dyDescent="0.35">
      <c r="B336" s="1">
        <v>43869</v>
      </c>
      <c r="C336" s="1" t="str">
        <f>TEXT(Sales[[#This Row],[Kode Program/Kegiatan ]],"D")</f>
        <v>8</v>
      </c>
      <c r="D336" s="2" t="str">
        <f>TEXT(Sales[[#This Row],[Kode Program/Kegiatan ]],"mmm")</f>
        <v>Feb</v>
      </c>
      <c r="E336" s="3">
        <v>4</v>
      </c>
      <c r="F336" s="2">
        <v>2</v>
      </c>
      <c r="G336" s="3">
        <f>IF(Sales[[#This Row],[Anggaran Murni]]-Sales[[#This Row],[Target s.d. Januari]]=0,"",Sales[[#This Row],[Anggaran Murni]]-Sales[[#This Row],[Target s.d. Januari]])</f>
        <v>2</v>
      </c>
      <c r="H336" s="2" t="s">
        <v>76</v>
      </c>
      <c r="I336" s="3" t="s">
        <v>79</v>
      </c>
      <c r="J336" s="3"/>
      <c r="K336" s="2" t="s">
        <v>55</v>
      </c>
      <c r="L336" s="2" t="s">
        <v>2</v>
      </c>
      <c r="M336" s="4" t="s">
        <v>67</v>
      </c>
      <c r="N336" s="3" t="s">
        <v>82</v>
      </c>
      <c r="O336" s="2" t="s">
        <v>12</v>
      </c>
      <c r="P336" s="10"/>
      <c r="Q336" s="11"/>
    </row>
    <row r="337" spans="2:17" ht="21" customHeight="1" x14ac:dyDescent="0.35">
      <c r="B337" s="18">
        <v>43870</v>
      </c>
      <c r="C337" s="18" t="str">
        <f>TEXT(Sales[[#This Row],[Kode Program/Kegiatan ]],"D")</f>
        <v>9</v>
      </c>
      <c r="D337" s="19" t="str">
        <f>TEXT(Sales[[#This Row],[Kode Program/Kegiatan ]],"mmm")</f>
        <v>Feb</v>
      </c>
      <c r="E337" s="20">
        <v>8</v>
      </c>
      <c r="F337" s="19">
        <v>5</v>
      </c>
      <c r="G337" s="20">
        <f>IF(Sales[[#This Row],[Anggaran Murni]]-Sales[[#This Row],[Target s.d. Januari]]=0,"",Sales[[#This Row],[Anggaran Murni]]-Sales[[#This Row],[Target s.d. Januari]])</f>
        <v>3</v>
      </c>
      <c r="H337" s="19" t="s">
        <v>75</v>
      </c>
      <c r="I337" s="20" t="s">
        <v>6</v>
      </c>
      <c r="J337" s="20"/>
      <c r="K337" s="19" t="s">
        <v>63</v>
      </c>
      <c r="L337" s="19" t="s">
        <v>7</v>
      </c>
      <c r="M337" s="21" t="s">
        <v>67</v>
      </c>
      <c r="N337" s="20" t="s">
        <v>81</v>
      </c>
      <c r="O337" s="19" t="s">
        <v>12</v>
      </c>
      <c r="P337" s="10"/>
      <c r="Q337" s="11"/>
    </row>
    <row r="338" spans="2:17" ht="21" customHeight="1" x14ac:dyDescent="0.35">
      <c r="B338" s="1">
        <v>43870</v>
      </c>
      <c r="C338" s="1" t="str">
        <f>TEXT(Sales[[#This Row],[Kode Program/Kegiatan ]],"D")</f>
        <v>9</v>
      </c>
      <c r="D338" s="2" t="str">
        <f>TEXT(Sales[[#This Row],[Kode Program/Kegiatan ]],"mmm")</f>
        <v>Feb</v>
      </c>
      <c r="E338" s="3">
        <v>7</v>
      </c>
      <c r="F338" s="2">
        <v>4</v>
      </c>
      <c r="G338" s="3">
        <f>IF(Sales[[#This Row],[Anggaran Murni]]-Sales[[#This Row],[Target s.d. Januari]]=0,"",Sales[[#This Row],[Anggaran Murni]]-Sales[[#This Row],[Target s.d. Januari]])</f>
        <v>3</v>
      </c>
      <c r="H338" s="2" t="s">
        <v>75</v>
      </c>
      <c r="I338" s="3" t="s">
        <v>6</v>
      </c>
      <c r="J338" s="3"/>
      <c r="K338" s="2" t="s">
        <v>43</v>
      </c>
      <c r="L338" s="2" t="s">
        <v>2</v>
      </c>
      <c r="M338" s="4" t="s">
        <v>67</v>
      </c>
      <c r="N338" s="3" t="s">
        <v>81</v>
      </c>
      <c r="O338" s="2" t="s">
        <v>12</v>
      </c>
      <c r="P338" s="10"/>
      <c r="Q338" s="11"/>
    </row>
    <row r="339" spans="2:17" ht="21" customHeight="1" x14ac:dyDescent="0.35">
      <c r="B339" s="18">
        <v>43870</v>
      </c>
      <c r="C339" s="18" t="str">
        <f>TEXT(Sales[[#This Row],[Kode Program/Kegiatan ]],"D")</f>
        <v>9</v>
      </c>
      <c r="D339" s="19" t="str">
        <f>TEXT(Sales[[#This Row],[Kode Program/Kegiatan ]],"mmm")</f>
        <v>Feb</v>
      </c>
      <c r="E339" s="20">
        <v>7</v>
      </c>
      <c r="F339" s="19">
        <v>5</v>
      </c>
      <c r="G339" s="20">
        <f>IF(Sales[[#This Row],[Anggaran Murni]]-Sales[[#This Row],[Target s.d. Januari]]=0,"",Sales[[#This Row],[Anggaran Murni]]-Sales[[#This Row],[Target s.d. Januari]])</f>
        <v>2</v>
      </c>
      <c r="H339" s="19" t="s">
        <v>75</v>
      </c>
      <c r="I339" s="20" t="s">
        <v>6</v>
      </c>
      <c r="J339" s="20"/>
      <c r="K339" s="19" t="s">
        <v>34</v>
      </c>
      <c r="L339" s="19" t="s">
        <v>2</v>
      </c>
      <c r="M339" s="21" t="s">
        <v>67</v>
      </c>
      <c r="N339" s="20" t="s">
        <v>81</v>
      </c>
      <c r="O339" s="19" t="s">
        <v>12</v>
      </c>
      <c r="P339" s="10"/>
      <c r="Q339" s="11"/>
    </row>
    <row r="340" spans="2:17" ht="21" customHeight="1" x14ac:dyDescent="0.35">
      <c r="B340" s="1">
        <v>43870</v>
      </c>
      <c r="C340" s="1" t="str">
        <f>TEXT(Sales[[#This Row],[Kode Program/Kegiatan ]],"D")</f>
        <v>9</v>
      </c>
      <c r="D340" s="2" t="str">
        <f>TEXT(Sales[[#This Row],[Kode Program/Kegiatan ]],"mmm")</f>
        <v>Feb</v>
      </c>
      <c r="E340" s="3">
        <v>6</v>
      </c>
      <c r="F340" s="2">
        <v>5</v>
      </c>
      <c r="G340" s="3">
        <f>IF(Sales[[#This Row],[Anggaran Murni]]-Sales[[#This Row],[Target s.d. Januari]]=0,"",Sales[[#This Row],[Anggaran Murni]]-Sales[[#This Row],[Target s.d. Januari]])</f>
        <v>1</v>
      </c>
      <c r="H340" s="2" t="s">
        <v>76</v>
      </c>
      <c r="I340" s="3" t="s">
        <v>79</v>
      </c>
      <c r="J340" s="3"/>
      <c r="K340" s="2" t="s">
        <v>19</v>
      </c>
      <c r="L340" s="2" t="s">
        <v>7</v>
      </c>
      <c r="M340" s="4" t="s">
        <v>67</v>
      </c>
      <c r="N340" s="3" t="s">
        <v>82</v>
      </c>
      <c r="O340" s="2" t="s">
        <v>11</v>
      </c>
      <c r="P340" s="10"/>
      <c r="Q340" s="11"/>
    </row>
    <row r="341" spans="2:17" ht="21" customHeight="1" x14ac:dyDescent="0.35">
      <c r="B341" s="18">
        <v>43870</v>
      </c>
      <c r="C341" s="18" t="str">
        <f>TEXT(Sales[[#This Row],[Kode Program/Kegiatan ]],"D")</f>
        <v>9</v>
      </c>
      <c r="D341" s="19" t="str">
        <f>TEXT(Sales[[#This Row],[Kode Program/Kegiatan ]],"mmm")</f>
        <v>Feb</v>
      </c>
      <c r="E341" s="20">
        <v>5</v>
      </c>
      <c r="F341" s="19">
        <v>3</v>
      </c>
      <c r="G341" s="20">
        <f>IF(Sales[[#This Row],[Anggaran Murni]]-Sales[[#This Row],[Target s.d. Januari]]=0,"",Sales[[#This Row],[Anggaran Murni]]-Sales[[#This Row],[Target s.d. Januari]])</f>
        <v>2</v>
      </c>
      <c r="H341" s="19" t="s">
        <v>71</v>
      </c>
      <c r="I341" s="20" t="s">
        <v>6</v>
      </c>
      <c r="J341" s="20"/>
      <c r="K341" s="19" t="s">
        <v>51</v>
      </c>
      <c r="L341" s="19" t="s">
        <v>2</v>
      </c>
      <c r="M341" s="21" t="s">
        <v>67</v>
      </c>
      <c r="N341" s="20" t="s">
        <v>80</v>
      </c>
      <c r="O341" s="19" t="s">
        <v>12</v>
      </c>
      <c r="P341" s="10"/>
      <c r="Q341" s="11"/>
    </row>
    <row r="342" spans="2:17" ht="21" customHeight="1" x14ac:dyDescent="0.35">
      <c r="B342" s="1">
        <v>43870</v>
      </c>
      <c r="C342" s="1" t="str">
        <f>TEXT(Sales[[#This Row],[Kode Program/Kegiatan ]],"D")</f>
        <v>9</v>
      </c>
      <c r="D342" s="2" t="str">
        <f>TEXT(Sales[[#This Row],[Kode Program/Kegiatan ]],"mmm")</f>
        <v>Feb</v>
      </c>
      <c r="E342" s="3">
        <v>5</v>
      </c>
      <c r="F342" s="2">
        <v>3</v>
      </c>
      <c r="G342" s="3">
        <f>IF(Sales[[#This Row],[Anggaran Murni]]-Sales[[#This Row],[Target s.d. Januari]]=0,"",Sales[[#This Row],[Anggaran Murni]]-Sales[[#This Row],[Target s.d. Januari]])</f>
        <v>2</v>
      </c>
      <c r="H342" s="2" t="s">
        <v>114</v>
      </c>
      <c r="I342" s="3" t="s">
        <v>3</v>
      </c>
      <c r="J342" s="3"/>
      <c r="K342" s="2" t="s">
        <v>42</v>
      </c>
      <c r="L342" s="2" t="s">
        <v>5</v>
      </c>
      <c r="M342" s="4" t="s">
        <v>67</v>
      </c>
      <c r="N342" s="3" t="s">
        <v>80</v>
      </c>
      <c r="O342" s="2" t="s">
        <v>13</v>
      </c>
      <c r="P342" s="10"/>
      <c r="Q342" s="11"/>
    </row>
    <row r="343" spans="2:17" ht="21" customHeight="1" x14ac:dyDescent="0.35">
      <c r="B343" s="18">
        <v>43870</v>
      </c>
      <c r="C343" s="18" t="str">
        <f>TEXT(Sales[[#This Row],[Kode Program/Kegiatan ]],"D")</f>
        <v>9</v>
      </c>
      <c r="D343" s="19" t="str">
        <f>TEXT(Sales[[#This Row],[Kode Program/Kegiatan ]],"mmm")</f>
        <v>Feb</v>
      </c>
      <c r="E343" s="20">
        <v>5</v>
      </c>
      <c r="F343" s="19">
        <v>3</v>
      </c>
      <c r="G343" s="20">
        <f>IF(Sales[[#This Row],[Anggaran Murni]]-Sales[[#This Row],[Target s.d. Januari]]=0,"",Sales[[#This Row],[Anggaran Murni]]-Sales[[#This Row],[Target s.d. Januari]])</f>
        <v>2</v>
      </c>
      <c r="H343" s="19" t="s">
        <v>72</v>
      </c>
      <c r="I343" s="20" t="s">
        <v>78</v>
      </c>
      <c r="J343" s="20"/>
      <c r="K343" s="19" t="s">
        <v>64</v>
      </c>
      <c r="L343" s="19" t="s">
        <v>8</v>
      </c>
      <c r="M343" s="21" t="s">
        <v>67</v>
      </c>
      <c r="N343" s="20" t="s">
        <v>81</v>
      </c>
      <c r="O343" s="19" t="s">
        <v>12</v>
      </c>
      <c r="P343" s="10"/>
      <c r="Q343" s="11"/>
    </row>
    <row r="344" spans="2:17" ht="21" customHeight="1" x14ac:dyDescent="0.35">
      <c r="B344" s="1">
        <v>43870</v>
      </c>
      <c r="C344" s="1" t="str">
        <f>TEXT(Sales[[#This Row],[Kode Program/Kegiatan ]],"D")</f>
        <v>9</v>
      </c>
      <c r="D344" s="2" t="str">
        <f>TEXT(Sales[[#This Row],[Kode Program/Kegiatan ]],"mmm")</f>
        <v>Feb</v>
      </c>
      <c r="E344" s="3">
        <v>4</v>
      </c>
      <c r="F344" s="2">
        <v>2</v>
      </c>
      <c r="G344" s="3">
        <f>IF(Sales[[#This Row],[Anggaran Murni]]-Sales[[#This Row],[Target s.d. Januari]]=0,"",Sales[[#This Row],[Anggaran Murni]]-Sales[[#This Row],[Target s.d. Januari]])</f>
        <v>2</v>
      </c>
      <c r="H344" s="2" t="s">
        <v>113</v>
      </c>
      <c r="I344" s="3" t="s">
        <v>77</v>
      </c>
      <c r="J344" s="3"/>
      <c r="K344" s="2" t="s">
        <v>20</v>
      </c>
      <c r="L344" s="2" t="s">
        <v>8</v>
      </c>
      <c r="M344" s="4" t="s">
        <v>67</v>
      </c>
      <c r="N344" s="3" t="s">
        <v>82</v>
      </c>
      <c r="O344" s="2" t="s">
        <v>14</v>
      </c>
      <c r="P344" s="10"/>
      <c r="Q344" s="11"/>
    </row>
    <row r="345" spans="2:17" ht="21" customHeight="1" x14ac:dyDescent="0.35">
      <c r="B345" s="18">
        <v>43870</v>
      </c>
      <c r="C345" s="18" t="str">
        <f>TEXT(Sales[[#This Row],[Kode Program/Kegiatan ]],"D")</f>
        <v>9</v>
      </c>
      <c r="D345" s="19" t="str">
        <f>TEXT(Sales[[#This Row],[Kode Program/Kegiatan ]],"mmm")</f>
        <v>Feb</v>
      </c>
      <c r="E345" s="20">
        <v>4</v>
      </c>
      <c r="F345" s="19">
        <v>2</v>
      </c>
      <c r="G345" s="20">
        <f>IF(Sales[[#This Row],[Anggaran Murni]]-Sales[[#This Row],[Target s.d. Januari]]=0,"",Sales[[#This Row],[Anggaran Murni]]-Sales[[#This Row],[Target s.d. Januari]])</f>
        <v>2</v>
      </c>
      <c r="H345" s="19" t="s">
        <v>73</v>
      </c>
      <c r="I345" s="20" t="s">
        <v>78</v>
      </c>
      <c r="J345" s="20"/>
      <c r="K345" s="19" t="s">
        <v>26</v>
      </c>
      <c r="L345" s="19" t="s">
        <v>2</v>
      </c>
      <c r="M345" s="21" t="s">
        <v>67</v>
      </c>
      <c r="N345" s="20" t="s">
        <v>82</v>
      </c>
      <c r="O345" s="19" t="s">
        <v>14</v>
      </c>
      <c r="P345" s="10"/>
      <c r="Q345" s="11"/>
    </row>
    <row r="346" spans="2:17" ht="21" customHeight="1" x14ac:dyDescent="0.35">
      <c r="B346" s="1">
        <v>43870</v>
      </c>
      <c r="C346" s="1" t="str">
        <f>TEXT(Sales[[#This Row],[Kode Program/Kegiatan ]],"D")</f>
        <v>9</v>
      </c>
      <c r="D346" s="2" t="str">
        <f>TEXT(Sales[[#This Row],[Kode Program/Kegiatan ]],"mmm")</f>
        <v>Feb</v>
      </c>
      <c r="E346" s="3">
        <v>3</v>
      </c>
      <c r="F346" s="2">
        <v>2</v>
      </c>
      <c r="G346" s="3">
        <f>IF(Sales[[#This Row],[Anggaran Murni]]-Sales[[#This Row],[Target s.d. Januari]]=0,"",Sales[[#This Row],[Anggaran Murni]]-Sales[[#This Row],[Target s.d. Januari]])</f>
        <v>1</v>
      </c>
      <c r="H346" s="2" t="s">
        <v>73</v>
      </c>
      <c r="I346" s="3" t="s">
        <v>78</v>
      </c>
      <c r="J346" s="3"/>
      <c r="K346" s="2" t="s">
        <v>51</v>
      </c>
      <c r="L346" s="2" t="s">
        <v>5</v>
      </c>
      <c r="M346" s="4" t="s">
        <v>67</v>
      </c>
      <c r="N346" s="3" t="s">
        <v>81</v>
      </c>
      <c r="O346" s="2" t="s">
        <v>13</v>
      </c>
      <c r="P346" s="10"/>
      <c r="Q346" s="11"/>
    </row>
    <row r="347" spans="2:17" ht="21" customHeight="1" x14ac:dyDescent="0.35">
      <c r="B347" s="18">
        <v>43871</v>
      </c>
      <c r="C347" s="18" t="str">
        <f>TEXT(Sales[[#This Row],[Kode Program/Kegiatan ]],"D")</f>
        <v>10</v>
      </c>
      <c r="D347" s="19" t="str">
        <f>TEXT(Sales[[#This Row],[Kode Program/Kegiatan ]],"mmm")</f>
        <v>Feb</v>
      </c>
      <c r="E347" s="20">
        <v>10</v>
      </c>
      <c r="F347" s="19">
        <v>9</v>
      </c>
      <c r="G347" s="20">
        <f>IF(Sales[[#This Row],[Anggaran Murni]]-Sales[[#This Row],[Target s.d. Januari]]=0,"",Sales[[#This Row],[Anggaran Murni]]-Sales[[#This Row],[Target s.d. Januari]])</f>
        <v>1</v>
      </c>
      <c r="H347" s="19" t="s">
        <v>70</v>
      </c>
      <c r="I347" s="20" t="s">
        <v>1</v>
      </c>
      <c r="J347" s="20"/>
      <c r="K347" s="19" t="s">
        <v>50</v>
      </c>
      <c r="L347" s="19" t="s">
        <v>2</v>
      </c>
      <c r="M347" s="21" t="s">
        <v>67</v>
      </c>
      <c r="N347" s="20" t="s">
        <v>81</v>
      </c>
      <c r="O347" s="19" t="s">
        <v>12</v>
      </c>
      <c r="P347" s="10"/>
      <c r="Q347" s="11"/>
    </row>
    <row r="348" spans="2:17" ht="21" customHeight="1" x14ac:dyDescent="0.35">
      <c r="B348" s="1">
        <v>43871</v>
      </c>
      <c r="C348" s="1" t="str">
        <f>TEXT(Sales[[#This Row],[Kode Program/Kegiatan ]],"D")</f>
        <v>10</v>
      </c>
      <c r="D348" s="2" t="str">
        <f>TEXT(Sales[[#This Row],[Kode Program/Kegiatan ]],"mmm")</f>
        <v>Feb</v>
      </c>
      <c r="E348" s="3">
        <v>9</v>
      </c>
      <c r="F348" s="2">
        <v>5</v>
      </c>
      <c r="G348" s="3">
        <f>IF(Sales[[#This Row],[Anggaran Murni]]-Sales[[#This Row],[Target s.d. Januari]]=0,"",Sales[[#This Row],[Anggaran Murni]]-Sales[[#This Row],[Target s.d. Januari]])</f>
        <v>4</v>
      </c>
      <c r="H348" s="2" t="s">
        <v>74</v>
      </c>
      <c r="I348" s="3" t="s">
        <v>77</v>
      </c>
      <c r="J348" s="3"/>
      <c r="K348" s="2" t="s">
        <v>41</v>
      </c>
      <c r="L348" s="2" t="s">
        <v>2</v>
      </c>
      <c r="M348" s="4" t="s">
        <v>67</v>
      </c>
      <c r="N348" s="3" t="s">
        <v>82</v>
      </c>
      <c r="O348" s="2" t="s">
        <v>12</v>
      </c>
      <c r="P348" s="10"/>
      <c r="Q348" s="11"/>
    </row>
    <row r="349" spans="2:17" ht="21" customHeight="1" x14ac:dyDescent="0.35">
      <c r="B349" s="18">
        <v>43871</v>
      </c>
      <c r="C349" s="18" t="str">
        <f>TEXT(Sales[[#This Row],[Kode Program/Kegiatan ]],"D")</f>
        <v>10</v>
      </c>
      <c r="D349" s="19" t="str">
        <f>TEXT(Sales[[#This Row],[Kode Program/Kegiatan ]],"mmm")</f>
        <v>Feb</v>
      </c>
      <c r="E349" s="20">
        <v>9</v>
      </c>
      <c r="F349" s="19">
        <v>5</v>
      </c>
      <c r="G349" s="20">
        <f>IF(Sales[[#This Row],[Anggaran Murni]]-Sales[[#This Row],[Target s.d. Januari]]=0,"",Sales[[#This Row],[Anggaran Murni]]-Sales[[#This Row],[Target s.d. Januari]])</f>
        <v>4</v>
      </c>
      <c r="H349" s="19" t="s">
        <v>74</v>
      </c>
      <c r="I349" s="20" t="s">
        <v>77</v>
      </c>
      <c r="J349" s="20"/>
      <c r="K349" s="19" t="s">
        <v>36</v>
      </c>
      <c r="L349" s="19" t="s">
        <v>7</v>
      </c>
      <c r="M349" s="21" t="s">
        <v>67</v>
      </c>
      <c r="N349" s="20" t="s">
        <v>82</v>
      </c>
      <c r="O349" s="19" t="s">
        <v>13</v>
      </c>
      <c r="P349" s="10"/>
      <c r="Q349" s="11"/>
    </row>
    <row r="350" spans="2:17" ht="21" customHeight="1" x14ac:dyDescent="0.35">
      <c r="B350" s="1">
        <v>43871</v>
      </c>
      <c r="C350" s="1" t="str">
        <f>TEXT(Sales[[#This Row],[Kode Program/Kegiatan ]],"D")</f>
        <v>10</v>
      </c>
      <c r="D350" s="2" t="str">
        <f>TEXT(Sales[[#This Row],[Kode Program/Kegiatan ]],"mmm")</f>
        <v>Feb</v>
      </c>
      <c r="E350" s="3">
        <v>9</v>
      </c>
      <c r="F350" s="2">
        <v>6</v>
      </c>
      <c r="G350" s="3">
        <f>IF(Sales[[#This Row],[Anggaran Murni]]-Sales[[#This Row],[Target s.d. Januari]]=0,"",Sales[[#This Row],[Anggaran Murni]]-Sales[[#This Row],[Target s.d. Januari]])</f>
        <v>3</v>
      </c>
      <c r="H350" s="2" t="s">
        <v>70</v>
      </c>
      <c r="I350" s="3" t="s">
        <v>1</v>
      </c>
      <c r="J350" s="3"/>
      <c r="K350" s="2" t="s">
        <v>15</v>
      </c>
      <c r="L350" s="2" t="s">
        <v>2</v>
      </c>
      <c r="M350" s="4" t="s">
        <v>67</v>
      </c>
      <c r="N350" s="3" t="s">
        <v>81</v>
      </c>
      <c r="O350" s="2" t="s">
        <v>12</v>
      </c>
      <c r="P350" s="10"/>
      <c r="Q350" s="11"/>
    </row>
    <row r="351" spans="2:17" ht="21" customHeight="1" x14ac:dyDescent="0.35">
      <c r="B351" s="18">
        <v>43871</v>
      </c>
      <c r="C351" s="18" t="str">
        <f>TEXT(Sales[[#This Row],[Kode Program/Kegiatan ]],"D")</f>
        <v>10</v>
      </c>
      <c r="D351" s="19" t="str">
        <f>TEXT(Sales[[#This Row],[Kode Program/Kegiatan ]],"mmm")</f>
        <v>Feb</v>
      </c>
      <c r="E351" s="20">
        <v>8</v>
      </c>
      <c r="F351" s="19">
        <v>6</v>
      </c>
      <c r="G351" s="20">
        <f>IF(Sales[[#This Row],[Anggaran Murni]]-Sales[[#This Row],[Target s.d. Januari]]=0,"",Sales[[#This Row],[Anggaran Murni]]-Sales[[#This Row],[Target s.d. Januari]])</f>
        <v>2</v>
      </c>
      <c r="H351" s="19" t="s">
        <v>72</v>
      </c>
      <c r="I351" s="20" t="s">
        <v>78</v>
      </c>
      <c r="J351" s="20"/>
      <c r="K351" s="19" t="s">
        <v>57</v>
      </c>
      <c r="L351" s="19" t="s">
        <v>7</v>
      </c>
      <c r="M351" s="21" t="s">
        <v>67</v>
      </c>
      <c r="N351" s="20" t="s">
        <v>81</v>
      </c>
      <c r="O351" s="19" t="s">
        <v>11</v>
      </c>
      <c r="P351" s="10"/>
      <c r="Q351" s="11"/>
    </row>
    <row r="352" spans="2:17" ht="21" customHeight="1" x14ac:dyDescent="0.35">
      <c r="B352" s="1">
        <v>43871</v>
      </c>
      <c r="C352" s="1" t="str">
        <f>TEXT(Sales[[#This Row],[Kode Program/Kegiatan ]],"D")</f>
        <v>10</v>
      </c>
      <c r="D352" s="2" t="str">
        <f>TEXT(Sales[[#This Row],[Kode Program/Kegiatan ]],"mmm")</f>
        <v>Feb</v>
      </c>
      <c r="E352" s="3">
        <v>7</v>
      </c>
      <c r="F352" s="2">
        <v>6</v>
      </c>
      <c r="G352" s="3">
        <f>IF(Sales[[#This Row],[Anggaran Murni]]-Sales[[#This Row],[Target s.d. Januari]]=0,"",Sales[[#This Row],[Anggaran Murni]]-Sales[[#This Row],[Target s.d. Januari]])</f>
        <v>1</v>
      </c>
      <c r="H352" s="2" t="s">
        <v>70</v>
      </c>
      <c r="I352" s="3" t="s">
        <v>1</v>
      </c>
      <c r="J352" s="3"/>
      <c r="K352" s="2" t="s">
        <v>31</v>
      </c>
      <c r="L352" s="2" t="s">
        <v>5</v>
      </c>
      <c r="M352" s="4" t="s">
        <v>67</v>
      </c>
      <c r="N352" s="3" t="s">
        <v>82</v>
      </c>
      <c r="O352" s="2" t="s">
        <v>14</v>
      </c>
      <c r="P352" s="10"/>
      <c r="Q352" s="11"/>
    </row>
    <row r="353" spans="2:17" ht="21" customHeight="1" x14ac:dyDescent="0.35">
      <c r="B353" s="18">
        <v>43871</v>
      </c>
      <c r="C353" s="18" t="str">
        <f>TEXT(Sales[[#This Row],[Kode Program/Kegiatan ]],"D")</f>
        <v>10</v>
      </c>
      <c r="D353" s="19" t="str">
        <f>TEXT(Sales[[#This Row],[Kode Program/Kegiatan ]],"mmm")</f>
        <v>Feb</v>
      </c>
      <c r="E353" s="20">
        <v>7</v>
      </c>
      <c r="F353" s="19">
        <v>4</v>
      </c>
      <c r="G353" s="20">
        <f>IF(Sales[[#This Row],[Anggaran Murni]]-Sales[[#This Row],[Target s.d. Januari]]=0,"",Sales[[#This Row],[Anggaran Murni]]-Sales[[#This Row],[Target s.d. Januari]])</f>
        <v>3</v>
      </c>
      <c r="H353" s="19" t="s">
        <v>71</v>
      </c>
      <c r="I353" s="20" t="s">
        <v>6</v>
      </c>
      <c r="J353" s="20"/>
      <c r="K353" s="19" t="s">
        <v>20</v>
      </c>
      <c r="L353" s="19" t="s">
        <v>2</v>
      </c>
      <c r="M353" s="21" t="s">
        <v>67</v>
      </c>
      <c r="N353" s="20" t="s">
        <v>80</v>
      </c>
      <c r="O353" s="19" t="s">
        <v>13</v>
      </c>
      <c r="P353" s="10"/>
      <c r="Q353" s="11"/>
    </row>
    <row r="354" spans="2:17" ht="21" customHeight="1" x14ac:dyDescent="0.35">
      <c r="B354" s="1">
        <v>43871</v>
      </c>
      <c r="C354" s="1" t="str">
        <f>TEXT(Sales[[#This Row],[Kode Program/Kegiatan ]],"D")</f>
        <v>10</v>
      </c>
      <c r="D354" s="2" t="str">
        <f>TEXT(Sales[[#This Row],[Kode Program/Kegiatan ]],"mmm")</f>
        <v>Feb</v>
      </c>
      <c r="E354" s="3">
        <v>6</v>
      </c>
      <c r="F354" s="2">
        <v>4</v>
      </c>
      <c r="G354" s="3">
        <f>IF(Sales[[#This Row],[Anggaran Murni]]-Sales[[#This Row],[Target s.d. Januari]]=0,"",Sales[[#This Row],[Anggaran Murni]]-Sales[[#This Row],[Target s.d. Januari]])</f>
        <v>2</v>
      </c>
      <c r="H354" s="2" t="s">
        <v>72</v>
      </c>
      <c r="I354" s="3" t="s">
        <v>78</v>
      </c>
      <c r="J354" s="3"/>
      <c r="K354" s="2" t="s">
        <v>53</v>
      </c>
      <c r="L354" s="2" t="s">
        <v>5</v>
      </c>
      <c r="M354" s="4" t="s">
        <v>67</v>
      </c>
      <c r="N354" s="3" t="s">
        <v>80</v>
      </c>
      <c r="O354" s="2" t="s">
        <v>14</v>
      </c>
      <c r="P354" s="10"/>
      <c r="Q354" s="11"/>
    </row>
    <row r="355" spans="2:17" ht="21" customHeight="1" x14ac:dyDescent="0.35">
      <c r="B355" s="18">
        <v>43871</v>
      </c>
      <c r="C355" s="18" t="str">
        <f>TEXT(Sales[[#This Row],[Kode Program/Kegiatan ]],"D")</f>
        <v>10</v>
      </c>
      <c r="D355" s="19" t="str">
        <f>TEXT(Sales[[#This Row],[Kode Program/Kegiatan ]],"mmm")</f>
        <v>Feb</v>
      </c>
      <c r="E355" s="20">
        <v>6</v>
      </c>
      <c r="F355" s="19">
        <v>4</v>
      </c>
      <c r="G355" s="20">
        <f>IF(Sales[[#This Row],[Anggaran Murni]]-Sales[[#This Row],[Target s.d. Januari]]=0,"",Sales[[#This Row],[Anggaran Murni]]-Sales[[#This Row],[Target s.d. Januari]])</f>
        <v>2</v>
      </c>
      <c r="H355" s="19" t="s">
        <v>74</v>
      </c>
      <c r="I355" s="20" t="s">
        <v>77</v>
      </c>
      <c r="J355" s="20"/>
      <c r="K355" s="19" t="s">
        <v>30</v>
      </c>
      <c r="L355" s="19" t="s">
        <v>5</v>
      </c>
      <c r="M355" s="21" t="s">
        <v>67</v>
      </c>
      <c r="N355" s="20" t="s">
        <v>80</v>
      </c>
      <c r="O355" s="19" t="s">
        <v>11</v>
      </c>
      <c r="P355" s="10"/>
      <c r="Q355" s="11"/>
    </row>
    <row r="356" spans="2:17" ht="21" customHeight="1" x14ac:dyDescent="0.35">
      <c r="B356" s="1">
        <v>43871</v>
      </c>
      <c r="C356" s="1" t="str">
        <f>TEXT(Sales[[#This Row],[Kode Program/Kegiatan ]],"D")</f>
        <v>10</v>
      </c>
      <c r="D356" s="2" t="str">
        <f>TEXT(Sales[[#This Row],[Kode Program/Kegiatan ]],"mmm")</f>
        <v>Feb</v>
      </c>
      <c r="E356" s="3">
        <v>5</v>
      </c>
      <c r="F356" s="2">
        <v>3</v>
      </c>
      <c r="G356" s="3">
        <f>IF(Sales[[#This Row],[Anggaran Murni]]-Sales[[#This Row],[Target s.d. Januari]]=0,"",Sales[[#This Row],[Anggaran Murni]]-Sales[[#This Row],[Target s.d. Januari]])</f>
        <v>2</v>
      </c>
      <c r="H356" s="2" t="s">
        <v>114</v>
      </c>
      <c r="I356" s="3" t="s">
        <v>3</v>
      </c>
      <c r="J356" s="3"/>
      <c r="K356" s="2" t="s">
        <v>24</v>
      </c>
      <c r="L356" s="2" t="s">
        <v>5</v>
      </c>
      <c r="M356" s="4" t="s">
        <v>67</v>
      </c>
      <c r="N356" s="3" t="s">
        <v>81</v>
      </c>
      <c r="O356" s="2" t="s">
        <v>14</v>
      </c>
      <c r="P356" s="10"/>
      <c r="Q356" s="11"/>
    </row>
    <row r="357" spans="2:17" ht="21" customHeight="1" x14ac:dyDescent="0.35">
      <c r="B357" s="18">
        <v>43871</v>
      </c>
      <c r="C357" s="18" t="str">
        <f>TEXT(Sales[[#This Row],[Kode Program/Kegiatan ]],"D")</f>
        <v>10</v>
      </c>
      <c r="D357" s="19" t="str">
        <f>TEXT(Sales[[#This Row],[Kode Program/Kegiatan ]],"mmm")</f>
        <v>Feb</v>
      </c>
      <c r="E357" s="20">
        <v>5</v>
      </c>
      <c r="F357" s="19">
        <v>4</v>
      </c>
      <c r="G357" s="20">
        <f>IF(Sales[[#This Row],[Anggaran Murni]]-Sales[[#This Row],[Target s.d. Januari]]=0,"",Sales[[#This Row],[Anggaran Murni]]-Sales[[#This Row],[Target s.d. Januari]])</f>
        <v>1</v>
      </c>
      <c r="H357" s="19" t="s">
        <v>71</v>
      </c>
      <c r="I357" s="20" t="s">
        <v>6</v>
      </c>
      <c r="J357" s="20"/>
      <c r="K357" s="19" t="s">
        <v>61</v>
      </c>
      <c r="L357" s="19" t="s">
        <v>5</v>
      </c>
      <c r="M357" s="21" t="s">
        <v>67</v>
      </c>
      <c r="N357" s="20" t="s">
        <v>81</v>
      </c>
      <c r="O357" s="19" t="s">
        <v>14</v>
      </c>
      <c r="P357" s="10"/>
      <c r="Q357" s="11"/>
    </row>
    <row r="358" spans="2:17" ht="21" customHeight="1" x14ac:dyDescent="0.35">
      <c r="B358" s="1">
        <v>43871</v>
      </c>
      <c r="C358" s="1" t="str">
        <f>TEXT(Sales[[#This Row],[Kode Program/Kegiatan ]],"D")</f>
        <v>10</v>
      </c>
      <c r="D358" s="2" t="str">
        <f>TEXT(Sales[[#This Row],[Kode Program/Kegiatan ]],"mmm")</f>
        <v>Feb</v>
      </c>
      <c r="E358" s="3">
        <v>4</v>
      </c>
      <c r="F358" s="2">
        <v>2</v>
      </c>
      <c r="G358" s="3">
        <f>IF(Sales[[#This Row],[Anggaran Murni]]-Sales[[#This Row],[Target s.d. Januari]]=0,"",Sales[[#This Row],[Anggaran Murni]]-Sales[[#This Row],[Target s.d. Januari]])</f>
        <v>2</v>
      </c>
      <c r="H358" s="2" t="s">
        <v>114</v>
      </c>
      <c r="I358" s="3" t="s">
        <v>3</v>
      </c>
      <c r="J358" s="3"/>
      <c r="K358" s="2" t="s">
        <v>23</v>
      </c>
      <c r="L358" s="2" t="s">
        <v>2</v>
      </c>
      <c r="M358" s="4" t="s">
        <v>67</v>
      </c>
      <c r="N358" s="3" t="s">
        <v>81</v>
      </c>
      <c r="O358" s="2" t="s">
        <v>14</v>
      </c>
      <c r="P358" s="10"/>
      <c r="Q358" s="11"/>
    </row>
    <row r="359" spans="2:17" ht="21" customHeight="1" x14ac:dyDescent="0.35">
      <c r="B359" s="18">
        <v>43871</v>
      </c>
      <c r="C359" s="18" t="str">
        <f>TEXT(Sales[[#This Row],[Kode Program/Kegiatan ]],"D")</f>
        <v>10</v>
      </c>
      <c r="D359" s="19" t="str">
        <f>TEXT(Sales[[#This Row],[Kode Program/Kegiatan ]],"mmm")</f>
        <v>Feb</v>
      </c>
      <c r="E359" s="20">
        <v>3</v>
      </c>
      <c r="F359" s="19">
        <v>1</v>
      </c>
      <c r="G359" s="20">
        <f>IF(Sales[[#This Row],[Anggaran Murni]]-Sales[[#This Row],[Target s.d. Januari]]=0,"",Sales[[#This Row],[Anggaran Murni]]-Sales[[#This Row],[Target s.d. Januari]])</f>
        <v>2</v>
      </c>
      <c r="H359" s="19" t="s">
        <v>113</v>
      </c>
      <c r="I359" s="20" t="s">
        <v>77</v>
      </c>
      <c r="J359" s="20"/>
      <c r="K359" s="19" t="s">
        <v>31</v>
      </c>
      <c r="L359" s="19" t="s">
        <v>9</v>
      </c>
      <c r="M359" s="21" t="s">
        <v>67</v>
      </c>
      <c r="N359" s="20" t="s">
        <v>82</v>
      </c>
      <c r="O359" s="19" t="s">
        <v>14</v>
      </c>
      <c r="P359" s="10"/>
      <c r="Q359" s="11"/>
    </row>
    <row r="360" spans="2:17" ht="21" customHeight="1" x14ac:dyDescent="0.35">
      <c r="B360" s="1">
        <v>43872</v>
      </c>
      <c r="C360" s="1" t="str">
        <f>TEXT(Sales[[#This Row],[Kode Program/Kegiatan ]],"D")</f>
        <v>11</v>
      </c>
      <c r="D360" s="2" t="str">
        <f>TEXT(Sales[[#This Row],[Kode Program/Kegiatan ]],"mmm")</f>
        <v>Feb</v>
      </c>
      <c r="E360" s="3">
        <v>10</v>
      </c>
      <c r="F360" s="2">
        <v>8</v>
      </c>
      <c r="G360" s="3">
        <f>IF(Sales[[#This Row],[Anggaran Murni]]-Sales[[#This Row],[Target s.d. Januari]]=0,"",Sales[[#This Row],[Anggaran Murni]]-Sales[[#This Row],[Target s.d. Januari]])</f>
        <v>2</v>
      </c>
      <c r="H360" s="2" t="s">
        <v>71</v>
      </c>
      <c r="I360" s="3" t="s">
        <v>6</v>
      </c>
      <c r="J360" s="3"/>
      <c r="K360" s="2" t="s">
        <v>31</v>
      </c>
      <c r="L360" s="2" t="s">
        <v>2</v>
      </c>
      <c r="M360" s="4" t="s">
        <v>67</v>
      </c>
      <c r="N360" s="3" t="s">
        <v>82</v>
      </c>
      <c r="O360" s="2" t="s">
        <v>14</v>
      </c>
      <c r="P360" s="10"/>
      <c r="Q360" s="11"/>
    </row>
    <row r="361" spans="2:17" ht="21" customHeight="1" x14ac:dyDescent="0.35">
      <c r="B361" s="18">
        <v>43872</v>
      </c>
      <c r="C361" s="18" t="str">
        <f>TEXT(Sales[[#This Row],[Kode Program/Kegiatan ]],"D")</f>
        <v>11</v>
      </c>
      <c r="D361" s="19" t="str">
        <f>TEXT(Sales[[#This Row],[Kode Program/Kegiatan ]],"mmm")</f>
        <v>Feb</v>
      </c>
      <c r="E361" s="20">
        <v>9</v>
      </c>
      <c r="F361" s="19">
        <v>8</v>
      </c>
      <c r="G361" s="20">
        <f>IF(Sales[[#This Row],[Anggaran Murni]]-Sales[[#This Row],[Target s.d. Januari]]=0,"",Sales[[#This Row],[Anggaran Murni]]-Sales[[#This Row],[Target s.d. Januari]])</f>
        <v>1</v>
      </c>
      <c r="H361" s="19" t="s">
        <v>70</v>
      </c>
      <c r="I361" s="20" t="s">
        <v>1</v>
      </c>
      <c r="J361" s="20"/>
      <c r="K361" s="19" t="s">
        <v>57</v>
      </c>
      <c r="L361" s="19" t="s">
        <v>8</v>
      </c>
      <c r="M361" s="21" t="s">
        <v>67</v>
      </c>
      <c r="N361" s="20" t="s">
        <v>82</v>
      </c>
      <c r="O361" s="19" t="s">
        <v>14</v>
      </c>
      <c r="P361" s="10"/>
      <c r="Q361" s="11"/>
    </row>
    <row r="362" spans="2:17" ht="21" customHeight="1" x14ac:dyDescent="0.35">
      <c r="B362" s="1">
        <v>43872</v>
      </c>
      <c r="C362" s="1" t="str">
        <f>TEXT(Sales[[#This Row],[Kode Program/Kegiatan ]],"D")</f>
        <v>11</v>
      </c>
      <c r="D362" s="2" t="str">
        <f>TEXT(Sales[[#This Row],[Kode Program/Kegiatan ]],"mmm")</f>
        <v>Feb</v>
      </c>
      <c r="E362" s="3">
        <v>8</v>
      </c>
      <c r="F362" s="2">
        <v>4</v>
      </c>
      <c r="G362" s="3">
        <f>IF(Sales[[#This Row],[Anggaran Murni]]-Sales[[#This Row],[Target s.d. Januari]]=0,"",Sales[[#This Row],[Anggaran Murni]]-Sales[[#This Row],[Target s.d. Januari]])</f>
        <v>4</v>
      </c>
      <c r="H362" s="2" t="s">
        <v>70</v>
      </c>
      <c r="I362" s="3" t="s">
        <v>1</v>
      </c>
      <c r="J362" s="3"/>
      <c r="K362" s="2" t="s">
        <v>22</v>
      </c>
      <c r="L362" s="2" t="s">
        <v>2</v>
      </c>
      <c r="M362" s="4" t="s">
        <v>67</v>
      </c>
      <c r="N362" s="3" t="s">
        <v>80</v>
      </c>
      <c r="O362" s="2" t="s">
        <v>13</v>
      </c>
      <c r="P362" s="10"/>
      <c r="Q362" s="11"/>
    </row>
    <row r="363" spans="2:17" ht="21" customHeight="1" x14ac:dyDescent="0.35">
      <c r="B363" s="18">
        <v>43872</v>
      </c>
      <c r="C363" s="18" t="str">
        <f>TEXT(Sales[[#This Row],[Kode Program/Kegiatan ]],"D")</f>
        <v>11</v>
      </c>
      <c r="D363" s="19" t="str">
        <f>TEXT(Sales[[#This Row],[Kode Program/Kegiatan ]],"mmm")</f>
        <v>Feb</v>
      </c>
      <c r="E363" s="20">
        <v>8</v>
      </c>
      <c r="F363" s="19">
        <v>4</v>
      </c>
      <c r="G363" s="20">
        <f>IF(Sales[[#This Row],[Anggaran Murni]]-Sales[[#This Row],[Target s.d. Januari]]=0,"",Sales[[#This Row],[Anggaran Murni]]-Sales[[#This Row],[Target s.d. Januari]])</f>
        <v>4</v>
      </c>
      <c r="H363" s="19" t="s">
        <v>114</v>
      </c>
      <c r="I363" s="20" t="s">
        <v>3</v>
      </c>
      <c r="J363" s="20"/>
      <c r="K363" s="19" t="s">
        <v>40</v>
      </c>
      <c r="L363" s="19" t="s">
        <v>2</v>
      </c>
      <c r="M363" s="21" t="s">
        <v>67</v>
      </c>
      <c r="N363" s="20" t="s">
        <v>82</v>
      </c>
      <c r="O363" s="19" t="s">
        <v>11</v>
      </c>
      <c r="P363" s="10"/>
      <c r="Q363" s="11"/>
    </row>
    <row r="364" spans="2:17" ht="21" customHeight="1" x14ac:dyDescent="0.35">
      <c r="B364" s="1">
        <v>43872</v>
      </c>
      <c r="C364" s="1" t="str">
        <f>TEXT(Sales[[#This Row],[Kode Program/Kegiatan ]],"D")</f>
        <v>11</v>
      </c>
      <c r="D364" s="2" t="str">
        <f>TEXT(Sales[[#This Row],[Kode Program/Kegiatan ]],"mmm")</f>
        <v>Feb</v>
      </c>
      <c r="E364" s="3">
        <v>5</v>
      </c>
      <c r="F364" s="2">
        <v>3</v>
      </c>
      <c r="G364" s="3">
        <f>IF(Sales[[#This Row],[Anggaran Murni]]-Sales[[#This Row],[Target s.d. Januari]]=0,"",Sales[[#This Row],[Anggaran Murni]]-Sales[[#This Row],[Target s.d. Januari]])</f>
        <v>2</v>
      </c>
      <c r="H364" s="2" t="s">
        <v>76</v>
      </c>
      <c r="I364" s="3" t="s">
        <v>79</v>
      </c>
      <c r="J364" s="3"/>
      <c r="K364" s="2" t="s">
        <v>44</v>
      </c>
      <c r="L364" s="2" t="s">
        <v>2</v>
      </c>
      <c r="M364" s="4" t="s">
        <v>67</v>
      </c>
      <c r="N364" s="3" t="s">
        <v>82</v>
      </c>
      <c r="O364" s="2" t="s">
        <v>11</v>
      </c>
      <c r="P364" s="10"/>
      <c r="Q364" s="11"/>
    </row>
    <row r="365" spans="2:17" ht="21" customHeight="1" x14ac:dyDescent="0.35">
      <c r="B365" s="18">
        <v>43872</v>
      </c>
      <c r="C365" s="18" t="str">
        <f>TEXT(Sales[[#This Row],[Kode Program/Kegiatan ]],"D")</f>
        <v>11</v>
      </c>
      <c r="D365" s="19" t="str">
        <f>TEXT(Sales[[#This Row],[Kode Program/Kegiatan ]],"mmm")</f>
        <v>Feb</v>
      </c>
      <c r="E365" s="20">
        <v>4</v>
      </c>
      <c r="F365" s="19">
        <v>2</v>
      </c>
      <c r="G365" s="20">
        <f>IF(Sales[[#This Row],[Anggaran Murni]]-Sales[[#This Row],[Target s.d. Januari]]=0,"",Sales[[#This Row],[Anggaran Murni]]-Sales[[#This Row],[Target s.d. Januari]])</f>
        <v>2</v>
      </c>
      <c r="H365" s="19" t="s">
        <v>75</v>
      </c>
      <c r="I365" s="20" t="s">
        <v>6</v>
      </c>
      <c r="J365" s="20"/>
      <c r="K365" s="19" t="s">
        <v>42</v>
      </c>
      <c r="L365" s="19" t="s">
        <v>5</v>
      </c>
      <c r="M365" s="21" t="s">
        <v>67</v>
      </c>
      <c r="N365" s="20" t="s">
        <v>81</v>
      </c>
      <c r="O365" s="19" t="s">
        <v>13</v>
      </c>
      <c r="P365" s="10"/>
      <c r="Q365" s="11"/>
    </row>
    <row r="366" spans="2:17" ht="21" customHeight="1" x14ac:dyDescent="0.35">
      <c r="B366" s="1">
        <v>43872</v>
      </c>
      <c r="C366" s="1" t="str">
        <f>TEXT(Sales[[#This Row],[Kode Program/Kegiatan ]],"D")</f>
        <v>11</v>
      </c>
      <c r="D366" s="2" t="str">
        <f>TEXT(Sales[[#This Row],[Kode Program/Kegiatan ]],"mmm")</f>
        <v>Feb</v>
      </c>
      <c r="E366" s="3">
        <v>3</v>
      </c>
      <c r="F366" s="2">
        <v>2</v>
      </c>
      <c r="G366" s="3">
        <f>IF(Sales[[#This Row],[Anggaran Murni]]-Sales[[#This Row],[Target s.d. Januari]]=0,"",Sales[[#This Row],[Anggaran Murni]]-Sales[[#This Row],[Target s.d. Januari]])</f>
        <v>1</v>
      </c>
      <c r="H366" s="2" t="s">
        <v>74</v>
      </c>
      <c r="I366" s="3" t="s">
        <v>77</v>
      </c>
      <c r="J366" s="3"/>
      <c r="K366" s="2" t="s">
        <v>42</v>
      </c>
      <c r="L366" s="2" t="s">
        <v>7</v>
      </c>
      <c r="M366" s="4" t="s">
        <v>67</v>
      </c>
      <c r="N366" s="3" t="s">
        <v>80</v>
      </c>
      <c r="O366" s="2" t="s">
        <v>12</v>
      </c>
      <c r="P366" s="10"/>
      <c r="Q366" s="11"/>
    </row>
    <row r="367" spans="2:17" ht="21" customHeight="1" x14ac:dyDescent="0.35">
      <c r="B367" s="18">
        <v>43872</v>
      </c>
      <c r="C367" s="18" t="str">
        <f>TEXT(Sales[[#This Row],[Kode Program/Kegiatan ]],"D")</f>
        <v>11</v>
      </c>
      <c r="D367" s="19" t="str">
        <f>TEXT(Sales[[#This Row],[Kode Program/Kegiatan ]],"mmm")</f>
        <v>Feb</v>
      </c>
      <c r="E367" s="20">
        <v>3</v>
      </c>
      <c r="F367" s="19">
        <v>2</v>
      </c>
      <c r="G367" s="20">
        <f>IF(Sales[[#This Row],[Anggaran Murni]]-Sales[[#This Row],[Target s.d. Januari]]=0,"",Sales[[#This Row],[Anggaran Murni]]-Sales[[#This Row],[Target s.d. Januari]])</f>
        <v>1</v>
      </c>
      <c r="H367" s="19" t="s">
        <v>72</v>
      </c>
      <c r="I367" s="20" t="s">
        <v>78</v>
      </c>
      <c r="J367" s="20"/>
      <c r="K367" s="19" t="s">
        <v>51</v>
      </c>
      <c r="L367" s="19" t="s">
        <v>2</v>
      </c>
      <c r="M367" s="21" t="s">
        <v>67</v>
      </c>
      <c r="N367" s="20" t="s">
        <v>80</v>
      </c>
      <c r="O367" s="19" t="s">
        <v>12</v>
      </c>
      <c r="P367" s="10"/>
      <c r="Q367" s="11"/>
    </row>
    <row r="368" spans="2:17" ht="21" customHeight="1" x14ac:dyDescent="0.35">
      <c r="B368" s="1">
        <v>43873</v>
      </c>
      <c r="C368" s="1" t="str">
        <f>TEXT(Sales[[#This Row],[Kode Program/Kegiatan ]],"D")</f>
        <v>12</v>
      </c>
      <c r="D368" s="2" t="str">
        <f>TEXT(Sales[[#This Row],[Kode Program/Kegiatan ]],"mmm")</f>
        <v>Feb</v>
      </c>
      <c r="E368" s="3">
        <v>10</v>
      </c>
      <c r="F368" s="2">
        <v>10</v>
      </c>
      <c r="G368" s="3" t="str">
        <f>IF(Sales[[#This Row],[Anggaran Murni]]-Sales[[#This Row],[Target s.d. Januari]]=0,"",Sales[[#This Row],[Anggaran Murni]]-Sales[[#This Row],[Target s.d. Januari]])</f>
        <v/>
      </c>
      <c r="H368" s="2" t="s">
        <v>73</v>
      </c>
      <c r="I368" s="3" t="s">
        <v>78</v>
      </c>
      <c r="J368" s="3"/>
      <c r="K368" s="2" t="s">
        <v>49</v>
      </c>
      <c r="L368" s="2" t="s">
        <v>8</v>
      </c>
      <c r="M368" s="4" t="s">
        <v>67</v>
      </c>
      <c r="N368" s="3" t="s">
        <v>81</v>
      </c>
      <c r="O368" s="2" t="s">
        <v>13</v>
      </c>
      <c r="P368" s="10"/>
      <c r="Q368" s="11"/>
    </row>
    <row r="369" spans="2:17" ht="21" customHeight="1" x14ac:dyDescent="0.35">
      <c r="B369" s="18">
        <v>43873</v>
      </c>
      <c r="C369" s="18" t="str">
        <f>TEXT(Sales[[#This Row],[Kode Program/Kegiatan ]],"D")</f>
        <v>12</v>
      </c>
      <c r="D369" s="19" t="str">
        <f>TEXT(Sales[[#This Row],[Kode Program/Kegiatan ]],"mmm")</f>
        <v>Feb</v>
      </c>
      <c r="E369" s="20">
        <v>10</v>
      </c>
      <c r="F369" s="19">
        <v>10</v>
      </c>
      <c r="G369" s="20" t="str">
        <f>IF(Sales[[#This Row],[Anggaran Murni]]-Sales[[#This Row],[Target s.d. Januari]]=0,"",Sales[[#This Row],[Anggaran Murni]]-Sales[[#This Row],[Target s.d. Januari]])</f>
        <v/>
      </c>
      <c r="H369" s="19" t="s">
        <v>71</v>
      </c>
      <c r="I369" s="20" t="s">
        <v>6</v>
      </c>
      <c r="J369" s="20"/>
      <c r="K369" s="19" t="s">
        <v>34</v>
      </c>
      <c r="L369" s="19" t="s">
        <v>2</v>
      </c>
      <c r="M369" s="21" t="s">
        <v>67</v>
      </c>
      <c r="N369" s="20" t="s">
        <v>80</v>
      </c>
      <c r="O369" s="19" t="s">
        <v>14</v>
      </c>
      <c r="P369" s="10"/>
      <c r="Q369" s="11"/>
    </row>
    <row r="370" spans="2:17" ht="21" customHeight="1" x14ac:dyDescent="0.35">
      <c r="B370" s="1">
        <v>43873</v>
      </c>
      <c r="C370" s="1" t="str">
        <f>TEXT(Sales[[#This Row],[Kode Program/Kegiatan ]],"D")</f>
        <v>12</v>
      </c>
      <c r="D370" s="2" t="str">
        <f>TEXT(Sales[[#This Row],[Kode Program/Kegiatan ]],"mmm")</f>
        <v>Feb</v>
      </c>
      <c r="E370" s="3">
        <v>9</v>
      </c>
      <c r="F370" s="2">
        <v>9</v>
      </c>
      <c r="G370" s="3" t="str">
        <f>IF(Sales[[#This Row],[Anggaran Murni]]-Sales[[#This Row],[Target s.d. Januari]]=0,"",Sales[[#This Row],[Anggaran Murni]]-Sales[[#This Row],[Target s.d. Januari]])</f>
        <v/>
      </c>
      <c r="H370" s="2" t="s">
        <v>74</v>
      </c>
      <c r="I370" s="3" t="s">
        <v>77</v>
      </c>
      <c r="J370" s="3"/>
      <c r="K370" s="2" t="s">
        <v>21</v>
      </c>
      <c r="L370" s="2" t="s">
        <v>2</v>
      </c>
      <c r="M370" s="4" t="s">
        <v>67</v>
      </c>
      <c r="N370" s="3" t="s">
        <v>80</v>
      </c>
      <c r="O370" s="2" t="s">
        <v>12</v>
      </c>
      <c r="P370" s="10"/>
      <c r="Q370" s="11"/>
    </row>
    <row r="371" spans="2:17" ht="21" customHeight="1" x14ac:dyDescent="0.35">
      <c r="B371" s="18">
        <v>43873</v>
      </c>
      <c r="C371" s="18" t="str">
        <f>TEXT(Sales[[#This Row],[Kode Program/Kegiatan ]],"D")</f>
        <v>12</v>
      </c>
      <c r="D371" s="19" t="str">
        <f>TEXT(Sales[[#This Row],[Kode Program/Kegiatan ]],"mmm")</f>
        <v>Feb</v>
      </c>
      <c r="E371" s="20">
        <v>9</v>
      </c>
      <c r="F371" s="19">
        <v>9</v>
      </c>
      <c r="G371" s="20" t="str">
        <f>IF(Sales[[#This Row],[Anggaran Murni]]-Sales[[#This Row],[Target s.d. Januari]]=0,"",Sales[[#This Row],[Anggaran Murni]]-Sales[[#This Row],[Target s.d. Januari]])</f>
        <v/>
      </c>
      <c r="H371" s="19" t="s">
        <v>75</v>
      </c>
      <c r="I371" s="20" t="s">
        <v>6</v>
      </c>
      <c r="J371" s="20"/>
      <c r="K371" s="19" t="s">
        <v>44</v>
      </c>
      <c r="L371" s="19" t="s">
        <v>2</v>
      </c>
      <c r="M371" s="21" t="s">
        <v>67</v>
      </c>
      <c r="N371" s="20" t="s">
        <v>82</v>
      </c>
      <c r="O371" s="19" t="s">
        <v>11</v>
      </c>
      <c r="P371" s="10"/>
      <c r="Q371" s="11"/>
    </row>
    <row r="372" spans="2:17" ht="21" customHeight="1" x14ac:dyDescent="0.35">
      <c r="B372" s="1">
        <v>43873</v>
      </c>
      <c r="C372" s="1" t="str">
        <f>TEXT(Sales[[#This Row],[Kode Program/Kegiatan ]],"D")</f>
        <v>12</v>
      </c>
      <c r="D372" s="2" t="str">
        <f>TEXT(Sales[[#This Row],[Kode Program/Kegiatan ]],"mmm")</f>
        <v>Feb</v>
      </c>
      <c r="E372" s="3">
        <v>8</v>
      </c>
      <c r="F372" s="2">
        <v>8</v>
      </c>
      <c r="G372" s="3" t="str">
        <f>IF(Sales[[#This Row],[Anggaran Murni]]-Sales[[#This Row],[Target s.d. Januari]]=0,"",Sales[[#This Row],[Anggaran Murni]]-Sales[[#This Row],[Target s.d. Januari]])</f>
        <v/>
      </c>
      <c r="H372" s="2" t="s">
        <v>73</v>
      </c>
      <c r="I372" s="3" t="s">
        <v>78</v>
      </c>
      <c r="J372" s="3"/>
      <c r="K372" s="2" t="s">
        <v>39</v>
      </c>
      <c r="L372" s="2" t="s">
        <v>5</v>
      </c>
      <c r="M372" s="4" t="s">
        <v>67</v>
      </c>
      <c r="N372" s="3" t="s">
        <v>82</v>
      </c>
      <c r="O372" s="2" t="s">
        <v>12</v>
      </c>
      <c r="P372" s="10"/>
      <c r="Q372" s="11"/>
    </row>
    <row r="373" spans="2:17" ht="21" customHeight="1" x14ac:dyDescent="0.35">
      <c r="B373" s="18">
        <v>43873</v>
      </c>
      <c r="C373" s="18" t="str">
        <f>TEXT(Sales[[#This Row],[Kode Program/Kegiatan ]],"D")</f>
        <v>12</v>
      </c>
      <c r="D373" s="19" t="str">
        <f>TEXT(Sales[[#This Row],[Kode Program/Kegiatan ]],"mmm")</f>
        <v>Feb</v>
      </c>
      <c r="E373" s="20">
        <v>4</v>
      </c>
      <c r="F373" s="19">
        <v>4</v>
      </c>
      <c r="G373" s="20" t="str">
        <f>IF(Sales[[#This Row],[Anggaran Murni]]-Sales[[#This Row],[Target s.d. Januari]]=0,"",Sales[[#This Row],[Anggaran Murni]]-Sales[[#This Row],[Target s.d. Januari]])</f>
        <v/>
      </c>
      <c r="H373" s="19" t="s">
        <v>76</v>
      </c>
      <c r="I373" s="20" t="s">
        <v>79</v>
      </c>
      <c r="J373" s="20"/>
      <c r="K373" s="19" t="s">
        <v>18</v>
      </c>
      <c r="L373" s="19" t="s">
        <v>7</v>
      </c>
      <c r="M373" s="21" t="s">
        <v>67</v>
      </c>
      <c r="N373" s="20" t="s">
        <v>81</v>
      </c>
      <c r="O373" s="19" t="s">
        <v>13</v>
      </c>
      <c r="P373" s="10"/>
      <c r="Q373" s="11"/>
    </row>
    <row r="374" spans="2:17" ht="21" customHeight="1" x14ac:dyDescent="0.35">
      <c r="B374" s="1">
        <v>43873</v>
      </c>
      <c r="C374" s="1" t="str">
        <f>TEXT(Sales[[#This Row],[Kode Program/Kegiatan ]],"D")</f>
        <v>12</v>
      </c>
      <c r="D374" s="2" t="str">
        <f>TEXT(Sales[[#This Row],[Kode Program/Kegiatan ]],"mmm")</f>
        <v>Feb</v>
      </c>
      <c r="E374" s="3">
        <v>3</v>
      </c>
      <c r="F374" s="2">
        <v>3</v>
      </c>
      <c r="G374" s="3" t="str">
        <f>IF(Sales[[#This Row],[Anggaran Murni]]-Sales[[#This Row],[Target s.d. Januari]]=0,"",Sales[[#This Row],[Anggaran Murni]]-Sales[[#This Row],[Target s.d. Januari]])</f>
        <v/>
      </c>
      <c r="H374" s="2" t="s">
        <v>114</v>
      </c>
      <c r="I374" s="3" t="s">
        <v>3</v>
      </c>
      <c r="J374" s="3"/>
      <c r="K374" s="2" t="s">
        <v>41</v>
      </c>
      <c r="L374" s="2" t="s">
        <v>2</v>
      </c>
      <c r="M374" s="4" t="s">
        <v>67</v>
      </c>
      <c r="N374" s="3" t="s">
        <v>82</v>
      </c>
      <c r="O374" s="2" t="s">
        <v>12</v>
      </c>
      <c r="P374" s="10"/>
      <c r="Q374" s="11"/>
    </row>
    <row r="375" spans="2:17" ht="21" customHeight="1" x14ac:dyDescent="0.35">
      <c r="B375" s="18">
        <v>43873</v>
      </c>
      <c r="C375" s="18" t="str">
        <f>TEXT(Sales[[#This Row],[Kode Program/Kegiatan ]],"D")</f>
        <v>12</v>
      </c>
      <c r="D375" s="19" t="str">
        <f>TEXT(Sales[[#This Row],[Kode Program/Kegiatan ]],"mmm")</f>
        <v>Feb</v>
      </c>
      <c r="E375" s="20">
        <v>3</v>
      </c>
      <c r="F375" s="19">
        <v>3</v>
      </c>
      <c r="G375" s="20" t="str">
        <f>IF(Sales[[#This Row],[Anggaran Murni]]-Sales[[#This Row],[Target s.d. Januari]]=0,"",Sales[[#This Row],[Anggaran Murni]]-Sales[[#This Row],[Target s.d. Januari]])</f>
        <v/>
      </c>
      <c r="H375" s="19" t="s">
        <v>74</v>
      </c>
      <c r="I375" s="20" t="s">
        <v>77</v>
      </c>
      <c r="J375" s="20"/>
      <c r="K375" s="19" t="s">
        <v>62</v>
      </c>
      <c r="L375" s="19" t="s">
        <v>2</v>
      </c>
      <c r="M375" s="21" t="s">
        <v>67</v>
      </c>
      <c r="N375" s="20" t="s">
        <v>82</v>
      </c>
      <c r="O375" s="19" t="s">
        <v>14</v>
      </c>
      <c r="P375" s="10"/>
      <c r="Q375" s="11"/>
    </row>
    <row r="376" spans="2:17" ht="21" customHeight="1" x14ac:dyDescent="0.35">
      <c r="B376" s="1">
        <v>43873</v>
      </c>
      <c r="C376" s="1" t="str">
        <f>TEXT(Sales[[#This Row],[Kode Program/Kegiatan ]],"D")</f>
        <v>12</v>
      </c>
      <c r="D376" s="2" t="str">
        <f>TEXT(Sales[[#This Row],[Kode Program/Kegiatan ]],"mmm")</f>
        <v>Feb</v>
      </c>
      <c r="E376" s="3">
        <v>3</v>
      </c>
      <c r="F376" s="2">
        <v>3</v>
      </c>
      <c r="G376" s="3" t="str">
        <f>IF(Sales[[#This Row],[Anggaran Murni]]-Sales[[#This Row],[Target s.d. Januari]]=0,"",Sales[[#This Row],[Anggaran Murni]]-Sales[[#This Row],[Target s.d. Januari]])</f>
        <v/>
      </c>
      <c r="H376" s="2" t="s">
        <v>76</v>
      </c>
      <c r="I376" s="3" t="s">
        <v>79</v>
      </c>
      <c r="J376" s="3"/>
      <c r="K376" s="2" t="s">
        <v>41</v>
      </c>
      <c r="L376" s="2" t="s">
        <v>7</v>
      </c>
      <c r="M376" s="4" t="s">
        <v>67</v>
      </c>
      <c r="N376" s="3" t="s">
        <v>82</v>
      </c>
      <c r="O376" s="2" t="s">
        <v>14</v>
      </c>
      <c r="P376" s="10"/>
      <c r="Q376" s="11"/>
    </row>
    <row r="377" spans="2:17" ht="21" customHeight="1" x14ac:dyDescent="0.35">
      <c r="B377" s="18">
        <v>43874</v>
      </c>
      <c r="C377" s="18" t="str">
        <f>TEXT(Sales[[#This Row],[Kode Program/Kegiatan ]],"D")</f>
        <v>13</v>
      </c>
      <c r="D377" s="19" t="str">
        <f>TEXT(Sales[[#This Row],[Kode Program/Kegiatan ]],"mmm")</f>
        <v>Feb</v>
      </c>
      <c r="E377" s="20">
        <v>9</v>
      </c>
      <c r="F377" s="19">
        <v>9</v>
      </c>
      <c r="G377" s="20" t="str">
        <f>IF(Sales[[#This Row],[Anggaran Murni]]-Sales[[#This Row],[Target s.d. Januari]]=0,"",Sales[[#This Row],[Anggaran Murni]]-Sales[[#This Row],[Target s.d. Januari]])</f>
        <v/>
      </c>
      <c r="H377" s="19" t="s">
        <v>74</v>
      </c>
      <c r="I377" s="20" t="s">
        <v>77</v>
      </c>
      <c r="J377" s="20"/>
      <c r="K377" s="19" t="s">
        <v>46</v>
      </c>
      <c r="L377" s="19" t="s">
        <v>7</v>
      </c>
      <c r="M377" s="21" t="s">
        <v>67</v>
      </c>
      <c r="N377" s="20" t="s">
        <v>80</v>
      </c>
      <c r="O377" s="19" t="s">
        <v>13</v>
      </c>
      <c r="P377" s="10"/>
      <c r="Q377" s="11"/>
    </row>
    <row r="378" spans="2:17" ht="21" customHeight="1" x14ac:dyDescent="0.35">
      <c r="B378" s="1">
        <v>43874</v>
      </c>
      <c r="C378" s="1" t="str">
        <f>TEXT(Sales[[#This Row],[Kode Program/Kegiatan ]],"D")</f>
        <v>13</v>
      </c>
      <c r="D378" s="2" t="str">
        <f>TEXT(Sales[[#This Row],[Kode Program/Kegiatan ]],"mmm")</f>
        <v>Feb</v>
      </c>
      <c r="E378" s="3">
        <v>9</v>
      </c>
      <c r="F378" s="2">
        <v>9</v>
      </c>
      <c r="G378" s="3" t="str">
        <f>IF(Sales[[#This Row],[Anggaran Murni]]-Sales[[#This Row],[Target s.d. Januari]]=0,"",Sales[[#This Row],[Anggaran Murni]]-Sales[[#This Row],[Target s.d. Januari]])</f>
        <v/>
      </c>
      <c r="H378" s="2" t="s">
        <v>73</v>
      </c>
      <c r="I378" s="3" t="s">
        <v>78</v>
      </c>
      <c r="J378" s="3"/>
      <c r="K378" s="2" t="s">
        <v>58</v>
      </c>
      <c r="L378" s="2" t="s">
        <v>5</v>
      </c>
      <c r="M378" s="4" t="s">
        <v>67</v>
      </c>
      <c r="N378" s="3" t="s">
        <v>82</v>
      </c>
      <c r="O378" s="2" t="s">
        <v>13</v>
      </c>
      <c r="P378" s="10"/>
      <c r="Q378" s="11"/>
    </row>
    <row r="379" spans="2:17" ht="21" customHeight="1" x14ac:dyDescent="0.35">
      <c r="B379" s="18">
        <v>43874</v>
      </c>
      <c r="C379" s="18" t="str">
        <f>TEXT(Sales[[#This Row],[Kode Program/Kegiatan ]],"D")</f>
        <v>13</v>
      </c>
      <c r="D379" s="19" t="str">
        <f>TEXT(Sales[[#This Row],[Kode Program/Kegiatan ]],"mmm")</f>
        <v>Feb</v>
      </c>
      <c r="E379" s="20">
        <v>9</v>
      </c>
      <c r="F379" s="19">
        <v>9</v>
      </c>
      <c r="G379" s="20" t="str">
        <f>IF(Sales[[#This Row],[Anggaran Murni]]-Sales[[#This Row],[Target s.d. Januari]]=0,"",Sales[[#This Row],[Anggaran Murni]]-Sales[[#This Row],[Target s.d. Januari]])</f>
        <v/>
      </c>
      <c r="H379" s="19" t="s">
        <v>70</v>
      </c>
      <c r="I379" s="20" t="s">
        <v>1</v>
      </c>
      <c r="J379" s="20"/>
      <c r="K379" s="19" t="s">
        <v>22</v>
      </c>
      <c r="L379" s="19" t="s">
        <v>7</v>
      </c>
      <c r="M379" s="21" t="s">
        <v>67</v>
      </c>
      <c r="N379" s="20" t="s">
        <v>80</v>
      </c>
      <c r="O379" s="19" t="s">
        <v>12</v>
      </c>
      <c r="P379" s="10"/>
      <c r="Q379" s="11"/>
    </row>
    <row r="380" spans="2:17" ht="21" customHeight="1" x14ac:dyDescent="0.35">
      <c r="B380" s="1">
        <v>43874</v>
      </c>
      <c r="C380" s="1" t="str">
        <f>TEXT(Sales[[#This Row],[Kode Program/Kegiatan ]],"D")</f>
        <v>13</v>
      </c>
      <c r="D380" s="2" t="str">
        <f>TEXT(Sales[[#This Row],[Kode Program/Kegiatan ]],"mmm")</f>
        <v>Feb</v>
      </c>
      <c r="E380" s="3">
        <v>7</v>
      </c>
      <c r="F380" s="2">
        <v>7</v>
      </c>
      <c r="G380" s="3" t="str">
        <f>IF(Sales[[#This Row],[Anggaran Murni]]-Sales[[#This Row],[Target s.d. Januari]]=0,"",Sales[[#This Row],[Anggaran Murni]]-Sales[[#This Row],[Target s.d. Januari]])</f>
        <v/>
      </c>
      <c r="H380" s="2" t="s">
        <v>114</v>
      </c>
      <c r="I380" s="3" t="s">
        <v>3</v>
      </c>
      <c r="J380" s="3"/>
      <c r="K380" s="2" t="s">
        <v>57</v>
      </c>
      <c r="L380" s="2" t="s">
        <v>2</v>
      </c>
      <c r="M380" s="4" t="s">
        <v>67</v>
      </c>
      <c r="N380" s="3" t="s">
        <v>82</v>
      </c>
      <c r="O380" s="2" t="s">
        <v>13</v>
      </c>
      <c r="P380" s="10"/>
      <c r="Q380" s="11"/>
    </row>
    <row r="381" spans="2:17" ht="21" customHeight="1" x14ac:dyDescent="0.35">
      <c r="B381" s="18">
        <v>43874</v>
      </c>
      <c r="C381" s="18" t="str">
        <f>TEXT(Sales[[#This Row],[Kode Program/Kegiatan ]],"D")</f>
        <v>13</v>
      </c>
      <c r="D381" s="19" t="str">
        <f>TEXT(Sales[[#This Row],[Kode Program/Kegiatan ]],"mmm")</f>
        <v>Feb</v>
      </c>
      <c r="E381" s="20">
        <v>6</v>
      </c>
      <c r="F381" s="19">
        <v>6</v>
      </c>
      <c r="G381" s="20" t="str">
        <f>IF(Sales[[#This Row],[Anggaran Murni]]-Sales[[#This Row],[Target s.d. Januari]]=0,"",Sales[[#This Row],[Anggaran Murni]]-Sales[[#This Row],[Target s.d. Januari]])</f>
        <v/>
      </c>
      <c r="H381" s="19" t="s">
        <v>74</v>
      </c>
      <c r="I381" s="20" t="s">
        <v>77</v>
      </c>
      <c r="J381" s="20"/>
      <c r="K381" s="19" t="s">
        <v>57</v>
      </c>
      <c r="L381" s="19" t="s">
        <v>9</v>
      </c>
      <c r="M381" s="21" t="s">
        <v>67</v>
      </c>
      <c r="N381" s="20" t="s">
        <v>82</v>
      </c>
      <c r="O381" s="19" t="s">
        <v>13</v>
      </c>
      <c r="P381" s="10"/>
      <c r="Q381" s="11"/>
    </row>
    <row r="382" spans="2:17" ht="21" customHeight="1" x14ac:dyDescent="0.35">
      <c r="B382" s="1">
        <v>43874</v>
      </c>
      <c r="C382" s="1" t="str">
        <f>TEXT(Sales[[#This Row],[Kode Program/Kegiatan ]],"D")</f>
        <v>13</v>
      </c>
      <c r="D382" s="2" t="str">
        <f>TEXT(Sales[[#This Row],[Kode Program/Kegiatan ]],"mmm")</f>
        <v>Feb</v>
      </c>
      <c r="E382" s="3">
        <v>6</v>
      </c>
      <c r="F382" s="2">
        <v>6</v>
      </c>
      <c r="G382" s="3" t="str">
        <f>IF(Sales[[#This Row],[Anggaran Murni]]-Sales[[#This Row],[Target s.d. Januari]]=0,"",Sales[[#This Row],[Anggaran Murni]]-Sales[[#This Row],[Target s.d. Januari]])</f>
        <v/>
      </c>
      <c r="H382" s="2" t="s">
        <v>114</v>
      </c>
      <c r="I382" s="3" t="s">
        <v>3</v>
      </c>
      <c r="J382" s="3"/>
      <c r="K382" s="2" t="s">
        <v>59</v>
      </c>
      <c r="L382" s="2" t="s">
        <v>4</v>
      </c>
      <c r="M382" s="4" t="s">
        <v>67</v>
      </c>
      <c r="N382" s="3" t="s">
        <v>81</v>
      </c>
      <c r="O382" s="2" t="s">
        <v>14</v>
      </c>
      <c r="P382" s="10"/>
      <c r="Q382" s="11"/>
    </row>
    <row r="383" spans="2:17" ht="21" customHeight="1" x14ac:dyDescent="0.35">
      <c r="B383" s="18">
        <v>43874</v>
      </c>
      <c r="C383" s="18" t="str">
        <f>TEXT(Sales[[#This Row],[Kode Program/Kegiatan ]],"D")</f>
        <v>13</v>
      </c>
      <c r="D383" s="19" t="str">
        <f>TEXT(Sales[[#This Row],[Kode Program/Kegiatan ]],"mmm")</f>
        <v>Feb</v>
      </c>
      <c r="E383" s="20">
        <v>4</v>
      </c>
      <c r="F383" s="19">
        <v>4</v>
      </c>
      <c r="G383" s="20" t="str">
        <f>IF(Sales[[#This Row],[Anggaran Murni]]-Sales[[#This Row],[Target s.d. Januari]]=0,"",Sales[[#This Row],[Anggaran Murni]]-Sales[[#This Row],[Target s.d. Januari]])</f>
        <v/>
      </c>
      <c r="H383" s="19" t="s">
        <v>72</v>
      </c>
      <c r="I383" s="20" t="s">
        <v>78</v>
      </c>
      <c r="J383" s="20"/>
      <c r="K383" s="19" t="s">
        <v>30</v>
      </c>
      <c r="L383" s="19" t="s">
        <v>2</v>
      </c>
      <c r="M383" s="21" t="s">
        <v>67</v>
      </c>
      <c r="N383" s="20" t="s">
        <v>80</v>
      </c>
      <c r="O383" s="19" t="s">
        <v>14</v>
      </c>
      <c r="P383" s="10"/>
      <c r="Q383" s="11"/>
    </row>
    <row r="384" spans="2:17" ht="21" customHeight="1" x14ac:dyDescent="0.35">
      <c r="B384" s="1">
        <v>43875</v>
      </c>
      <c r="C384" s="1" t="str">
        <f>TEXT(Sales[[#This Row],[Kode Program/Kegiatan ]],"D")</f>
        <v>14</v>
      </c>
      <c r="D384" s="2" t="str">
        <f>TEXT(Sales[[#This Row],[Kode Program/Kegiatan ]],"mmm")</f>
        <v>Feb</v>
      </c>
      <c r="E384" s="3">
        <v>10</v>
      </c>
      <c r="F384" s="2">
        <v>10</v>
      </c>
      <c r="G384" s="3" t="str">
        <f>IF(Sales[[#This Row],[Anggaran Murni]]-Sales[[#This Row],[Target s.d. Januari]]=0,"",Sales[[#This Row],[Anggaran Murni]]-Sales[[#This Row],[Target s.d. Januari]])</f>
        <v/>
      </c>
      <c r="H384" s="2" t="s">
        <v>72</v>
      </c>
      <c r="I384" s="3" t="s">
        <v>78</v>
      </c>
      <c r="J384" s="3"/>
      <c r="K384" s="2" t="s">
        <v>64</v>
      </c>
      <c r="L384" s="2" t="s">
        <v>2</v>
      </c>
      <c r="M384" s="4" t="s">
        <v>67</v>
      </c>
      <c r="N384" s="3" t="s">
        <v>80</v>
      </c>
      <c r="O384" s="2" t="s">
        <v>13</v>
      </c>
      <c r="P384" s="10"/>
      <c r="Q384" s="11"/>
    </row>
    <row r="385" spans="2:17" ht="21" customHeight="1" x14ac:dyDescent="0.35">
      <c r="B385" s="18">
        <v>43875</v>
      </c>
      <c r="C385" s="18" t="str">
        <f>TEXT(Sales[[#This Row],[Kode Program/Kegiatan ]],"D")</f>
        <v>14</v>
      </c>
      <c r="D385" s="19" t="str">
        <f>TEXT(Sales[[#This Row],[Kode Program/Kegiatan ]],"mmm")</f>
        <v>Feb</v>
      </c>
      <c r="E385" s="20">
        <v>9</v>
      </c>
      <c r="F385" s="19">
        <v>9</v>
      </c>
      <c r="G385" s="20" t="str">
        <f>IF(Sales[[#This Row],[Anggaran Murni]]-Sales[[#This Row],[Target s.d. Januari]]=0,"",Sales[[#This Row],[Anggaran Murni]]-Sales[[#This Row],[Target s.d. Januari]])</f>
        <v/>
      </c>
      <c r="H385" s="19" t="s">
        <v>75</v>
      </c>
      <c r="I385" s="20" t="s">
        <v>6</v>
      </c>
      <c r="J385" s="20"/>
      <c r="K385" s="19" t="s">
        <v>45</v>
      </c>
      <c r="L385" s="19" t="s">
        <v>7</v>
      </c>
      <c r="M385" s="21" t="s">
        <v>67</v>
      </c>
      <c r="N385" s="20" t="s">
        <v>81</v>
      </c>
      <c r="O385" s="19" t="s">
        <v>12</v>
      </c>
      <c r="P385" s="10"/>
      <c r="Q385" s="11"/>
    </row>
    <row r="386" spans="2:17" ht="21" customHeight="1" x14ac:dyDescent="0.35">
      <c r="B386" s="1">
        <v>43875</v>
      </c>
      <c r="C386" s="1" t="str">
        <f>TEXT(Sales[[#This Row],[Kode Program/Kegiatan ]],"D")</f>
        <v>14</v>
      </c>
      <c r="D386" s="2" t="str">
        <f>TEXT(Sales[[#This Row],[Kode Program/Kegiatan ]],"mmm")</f>
        <v>Feb</v>
      </c>
      <c r="E386" s="3">
        <v>8</v>
      </c>
      <c r="F386" s="2">
        <v>8</v>
      </c>
      <c r="G386" s="3" t="str">
        <f>IF(Sales[[#This Row],[Anggaran Murni]]-Sales[[#This Row],[Target s.d. Januari]]=0,"",Sales[[#This Row],[Anggaran Murni]]-Sales[[#This Row],[Target s.d. Januari]])</f>
        <v/>
      </c>
      <c r="H386" s="2" t="s">
        <v>73</v>
      </c>
      <c r="I386" s="3" t="s">
        <v>78</v>
      </c>
      <c r="J386" s="3"/>
      <c r="K386" s="2" t="s">
        <v>60</v>
      </c>
      <c r="L386" s="2" t="s">
        <v>9</v>
      </c>
      <c r="M386" s="4" t="s">
        <v>67</v>
      </c>
      <c r="N386" s="3" t="s">
        <v>81</v>
      </c>
      <c r="O386" s="2" t="s">
        <v>13</v>
      </c>
      <c r="P386" s="10"/>
      <c r="Q386" s="11"/>
    </row>
    <row r="387" spans="2:17" ht="21" customHeight="1" x14ac:dyDescent="0.35">
      <c r="B387" s="18">
        <v>43875</v>
      </c>
      <c r="C387" s="18" t="str">
        <f>TEXT(Sales[[#This Row],[Kode Program/Kegiatan ]],"D")</f>
        <v>14</v>
      </c>
      <c r="D387" s="19" t="str">
        <f>TEXT(Sales[[#This Row],[Kode Program/Kegiatan ]],"mmm")</f>
        <v>Feb</v>
      </c>
      <c r="E387" s="20">
        <v>7</v>
      </c>
      <c r="F387" s="19">
        <v>7</v>
      </c>
      <c r="G387" s="20" t="str">
        <f>IF(Sales[[#This Row],[Anggaran Murni]]-Sales[[#This Row],[Target s.d. Januari]]=0,"",Sales[[#This Row],[Anggaran Murni]]-Sales[[#This Row],[Target s.d. Januari]])</f>
        <v/>
      </c>
      <c r="H387" s="19" t="s">
        <v>114</v>
      </c>
      <c r="I387" s="20" t="s">
        <v>3</v>
      </c>
      <c r="J387" s="20"/>
      <c r="K387" s="19" t="s">
        <v>50</v>
      </c>
      <c r="L387" s="19" t="s">
        <v>5</v>
      </c>
      <c r="M387" s="21" t="s">
        <v>67</v>
      </c>
      <c r="N387" s="20" t="s">
        <v>81</v>
      </c>
      <c r="O387" s="19" t="s">
        <v>11</v>
      </c>
      <c r="P387" s="10"/>
      <c r="Q387" s="11"/>
    </row>
    <row r="388" spans="2:17" ht="21" customHeight="1" x14ac:dyDescent="0.35">
      <c r="B388" s="1">
        <v>43875</v>
      </c>
      <c r="C388" s="1" t="str">
        <f>TEXT(Sales[[#This Row],[Kode Program/Kegiatan ]],"D")</f>
        <v>14</v>
      </c>
      <c r="D388" s="2" t="str">
        <f>TEXT(Sales[[#This Row],[Kode Program/Kegiatan ]],"mmm")</f>
        <v>Feb</v>
      </c>
      <c r="E388" s="3">
        <v>7</v>
      </c>
      <c r="F388" s="2">
        <v>7</v>
      </c>
      <c r="G388" s="3" t="str">
        <f>IF(Sales[[#This Row],[Anggaran Murni]]-Sales[[#This Row],[Target s.d. Januari]]=0,"",Sales[[#This Row],[Anggaran Murni]]-Sales[[#This Row],[Target s.d. Januari]])</f>
        <v/>
      </c>
      <c r="H388" s="2" t="s">
        <v>74</v>
      </c>
      <c r="I388" s="3" t="s">
        <v>77</v>
      </c>
      <c r="J388" s="3"/>
      <c r="K388" s="2" t="s">
        <v>28</v>
      </c>
      <c r="L388" s="2" t="s">
        <v>5</v>
      </c>
      <c r="M388" s="4" t="s">
        <v>67</v>
      </c>
      <c r="N388" s="3" t="s">
        <v>81</v>
      </c>
      <c r="O388" s="2" t="s">
        <v>13</v>
      </c>
      <c r="P388" s="10"/>
      <c r="Q388" s="11"/>
    </row>
    <row r="389" spans="2:17" ht="21" customHeight="1" x14ac:dyDescent="0.35">
      <c r="B389" s="18">
        <v>43875</v>
      </c>
      <c r="C389" s="18" t="str">
        <f>TEXT(Sales[[#This Row],[Kode Program/Kegiatan ]],"D")</f>
        <v>14</v>
      </c>
      <c r="D389" s="19" t="str">
        <f>TEXT(Sales[[#This Row],[Kode Program/Kegiatan ]],"mmm")</f>
        <v>Feb</v>
      </c>
      <c r="E389" s="20">
        <v>7</v>
      </c>
      <c r="F389" s="19">
        <v>7</v>
      </c>
      <c r="G389" s="20" t="str">
        <f>IF(Sales[[#This Row],[Anggaran Murni]]-Sales[[#This Row],[Target s.d. Januari]]=0,"",Sales[[#This Row],[Anggaran Murni]]-Sales[[#This Row],[Target s.d. Januari]])</f>
        <v/>
      </c>
      <c r="H389" s="19" t="s">
        <v>113</v>
      </c>
      <c r="I389" s="20" t="s">
        <v>77</v>
      </c>
      <c r="J389" s="20"/>
      <c r="K389" s="19" t="s">
        <v>45</v>
      </c>
      <c r="L389" s="19" t="s">
        <v>8</v>
      </c>
      <c r="M389" s="21" t="s">
        <v>67</v>
      </c>
      <c r="N389" s="20" t="s">
        <v>80</v>
      </c>
      <c r="O389" s="19" t="s">
        <v>14</v>
      </c>
      <c r="P389" s="10"/>
      <c r="Q389" s="11"/>
    </row>
    <row r="390" spans="2:17" ht="21" customHeight="1" x14ac:dyDescent="0.35">
      <c r="B390" s="1">
        <v>43875</v>
      </c>
      <c r="C390" s="1" t="str">
        <f>TEXT(Sales[[#This Row],[Kode Program/Kegiatan ]],"D")</f>
        <v>14</v>
      </c>
      <c r="D390" s="2" t="str">
        <f>TEXT(Sales[[#This Row],[Kode Program/Kegiatan ]],"mmm")</f>
        <v>Feb</v>
      </c>
      <c r="E390" s="3">
        <v>6</v>
      </c>
      <c r="F390" s="2">
        <v>6</v>
      </c>
      <c r="G390" s="3" t="str">
        <f>IF(Sales[[#This Row],[Anggaran Murni]]-Sales[[#This Row],[Target s.d. Januari]]=0,"",Sales[[#This Row],[Anggaran Murni]]-Sales[[#This Row],[Target s.d. Januari]])</f>
        <v/>
      </c>
      <c r="H390" s="2" t="s">
        <v>113</v>
      </c>
      <c r="I390" s="3" t="s">
        <v>77</v>
      </c>
      <c r="J390" s="3"/>
      <c r="K390" s="2" t="s">
        <v>41</v>
      </c>
      <c r="L390" s="2" t="s">
        <v>9</v>
      </c>
      <c r="M390" s="4" t="s">
        <v>67</v>
      </c>
      <c r="N390" s="3" t="s">
        <v>80</v>
      </c>
      <c r="O390" s="2" t="s">
        <v>12</v>
      </c>
      <c r="P390" s="10"/>
      <c r="Q390" s="11"/>
    </row>
    <row r="391" spans="2:17" ht="21" customHeight="1" x14ac:dyDescent="0.35">
      <c r="B391" s="18">
        <v>43876</v>
      </c>
      <c r="C391" s="18" t="str">
        <f>TEXT(Sales[[#This Row],[Kode Program/Kegiatan ]],"D")</f>
        <v>15</v>
      </c>
      <c r="D391" s="19" t="str">
        <f>TEXT(Sales[[#This Row],[Kode Program/Kegiatan ]],"mmm")</f>
        <v>Feb</v>
      </c>
      <c r="E391" s="20">
        <v>9</v>
      </c>
      <c r="F391" s="19">
        <v>9</v>
      </c>
      <c r="G391" s="20" t="str">
        <f>IF(Sales[[#This Row],[Anggaran Murni]]-Sales[[#This Row],[Target s.d. Januari]]=0,"",Sales[[#This Row],[Anggaran Murni]]-Sales[[#This Row],[Target s.d. Januari]])</f>
        <v/>
      </c>
      <c r="H391" s="19" t="s">
        <v>74</v>
      </c>
      <c r="I391" s="20" t="s">
        <v>77</v>
      </c>
      <c r="J391" s="20"/>
      <c r="K391" s="19" t="s">
        <v>17</v>
      </c>
      <c r="L391" s="19" t="s">
        <v>2</v>
      </c>
      <c r="M391" s="21" t="s">
        <v>67</v>
      </c>
      <c r="N391" s="20" t="s">
        <v>82</v>
      </c>
      <c r="O391" s="19" t="s">
        <v>13</v>
      </c>
      <c r="P391" s="10"/>
      <c r="Q391" s="11"/>
    </row>
    <row r="392" spans="2:17" ht="21" customHeight="1" x14ac:dyDescent="0.35">
      <c r="B392" s="1">
        <v>43876</v>
      </c>
      <c r="C392" s="1" t="str">
        <f>TEXT(Sales[[#This Row],[Kode Program/Kegiatan ]],"D")</f>
        <v>15</v>
      </c>
      <c r="D392" s="2" t="str">
        <f>TEXT(Sales[[#This Row],[Kode Program/Kegiatan ]],"mmm")</f>
        <v>Feb</v>
      </c>
      <c r="E392" s="3">
        <v>7</v>
      </c>
      <c r="F392" s="2">
        <v>7</v>
      </c>
      <c r="G392" s="3" t="str">
        <f>IF(Sales[[#This Row],[Anggaran Murni]]-Sales[[#This Row],[Target s.d. Januari]]=0,"",Sales[[#This Row],[Anggaran Murni]]-Sales[[#This Row],[Target s.d. Januari]])</f>
        <v/>
      </c>
      <c r="H392" s="2" t="s">
        <v>75</v>
      </c>
      <c r="I392" s="3" t="s">
        <v>6</v>
      </c>
      <c r="J392" s="3"/>
      <c r="K392" s="2" t="s">
        <v>36</v>
      </c>
      <c r="L392" s="2" t="s">
        <v>2</v>
      </c>
      <c r="M392" s="4" t="s">
        <v>67</v>
      </c>
      <c r="N392" s="3" t="s">
        <v>81</v>
      </c>
      <c r="O392" s="2" t="s">
        <v>13</v>
      </c>
      <c r="P392" s="10"/>
      <c r="Q392" s="11"/>
    </row>
    <row r="393" spans="2:17" ht="21" customHeight="1" x14ac:dyDescent="0.35">
      <c r="B393" s="18">
        <v>43876</v>
      </c>
      <c r="C393" s="18" t="str">
        <f>TEXT(Sales[[#This Row],[Kode Program/Kegiatan ]],"D")</f>
        <v>15</v>
      </c>
      <c r="D393" s="19" t="str">
        <f>TEXT(Sales[[#This Row],[Kode Program/Kegiatan ]],"mmm")</f>
        <v>Feb</v>
      </c>
      <c r="E393" s="20">
        <v>5</v>
      </c>
      <c r="F393" s="19">
        <v>5</v>
      </c>
      <c r="G393" s="20" t="str">
        <f>IF(Sales[[#This Row],[Anggaran Murni]]-Sales[[#This Row],[Target s.d. Januari]]=0,"",Sales[[#This Row],[Anggaran Murni]]-Sales[[#This Row],[Target s.d. Januari]])</f>
        <v/>
      </c>
      <c r="H393" s="19" t="s">
        <v>71</v>
      </c>
      <c r="I393" s="20" t="s">
        <v>6</v>
      </c>
      <c r="J393" s="20"/>
      <c r="K393" s="19" t="s">
        <v>51</v>
      </c>
      <c r="L393" s="19" t="s">
        <v>8</v>
      </c>
      <c r="M393" s="21" t="s">
        <v>67</v>
      </c>
      <c r="N393" s="20" t="s">
        <v>81</v>
      </c>
      <c r="O393" s="19" t="s">
        <v>13</v>
      </c>
      <c r="P393" s="10"/>
      <c r="Q393" s="11"/>
    </row>
    <row r="394" spans="2:17" ht="21" customHeight="1" x14ac:dyDescent="0.35">
      <c r="B394" s="1">
        <v>43876</v>
      </c>
      <c r="C394" s="1" t="str">
        <f>TEXT(Sales[[#This Row],[Kode Program/Kegiatan ]],"D")</f>
        <v>15</v>
      </c>
      <c r="D394" s="2" t="str">
        <f>TEXT(Sales[[#This Row],[Kode Program/Kegiatan ]],"mmm")</f>
        <v>Feb</v>
      </c>
      <c r="E394" s="3">
        <v>5</v>
      </c>
      <c r="F394" s="2">
        <v>5</v>
      </c>
      <c r="G394" s="3" t="str">
        <f>IF(Sales[[#This Row],[Anggaran Murni]]-Sales[[#This Row],[Target s.d. Januari]]=0,"",Sales[[#This Row],[Anggaran Murni]]-Sales[[#This Row],[Target s.d. Januari]])</f>
        <v/>
      </c>
      <c r="H394" s="2" t="s">
        <v>113</v>
      </c>
      <c r="I394" s="3" t="s">
        <v>77</v>
      </c>
      <c r="J394" s="3"/>
      <c r="K394" s="2" t="s">
        <v>60</v>
      </c>
      <c r="L394" s="2" t="s">
        <v>5</v>
      </c>
      <c r="M394" s="4" t="s">
        <v>67</v>
      </c>
      <c r="N394" s="3" t="s">
        <v>82</v>
      </c>
      <c r="O394" s="2" t="s">
        <v>11</v>
      </c>
      <c r="P394" s="10"/>
      <c r="Q394" s="11"/>
    </row>
    <row r="395" spans="2:17" ht="21" customHeight="1" x14ac:dyDescent="0.35">
      <c r="B395" s="18">
        <v>43876</v>
      </c>
      <c r="C395" s="18" t="str">
        <f>TEXT(Sales[[#This Row],[Kode Program/Kegiatan ]],"D")</f>
        <v>15</v>
      </c>
      <c r="D395" s="19" t="str">
        <f>TEXT(Sales[[#This Row],[Kode Program/Kegiatan ]],"mmm")</f>
        <v>Feb</v>
      </c>
      <c r="E395" s="20">
        <v>3</v>
      </c>
      <c r="F395" s="19">
        <v>3</v>
      </c>
      <c r="G395" s="20" t="str">
        <f>IF(Sales[[#This Row],[Anggaran Murni]]-Sales[[#This Row],[Target s.d. Januari]]=0,"",Sales[[#This Row],[Anggaran Murni]]-Sales[[#This Row],[Target s.d. Januari]])</f>
        <v/>
      </c>
      <c r="H395" s="19" t="s">
        <v>70</v>
      </c>
      <c r="I395" s="20" t="s">
        <v>1</v>
      </c>
      <c r="J395" s="20"/>
      <c r="K395" s="19" t="s">
        <v>37</v>
      </c>
      <c r="L395" s="19" t="s">
        <v>2</v>
      </c>
      <c r="M395" s="21" t="s">
        <v>67</v>
      </c>
      <c r="N395" s="20" t="s">
        <v>81</v>
      </c>
      <c r="O395" s="19" t="s">
        <v>14</v>
      </c>
      <c r="P395" s="10"/>
      <c r="Q395" s="11"/>
    </row>
    <row r="396" spans="2:17" ht="21" customHeight="1" x14ac:dyDescent="0.35">
      <c r="B396" s="1">
        <v>43876</v>
      </c>
      <c r="C396" s="1" t="str">
        <f>TEXT(Sales[[#This Row],[Kode Program/Kegiatan ]],"D")</f>
        <v>15</v>
      </c>
      <c r="D396" s="2" t="str">
        <f>TEXT(Sales[[#This Row],[Kode Program/Kegiatan ]],"mmm")</f>
        <v>Feb</v>
      </c>
      <c r="E396" s="3">
        <v>3</v>
      </c>
      <c r="F396" s="2">
        <v>3</v>
      </c>
      <c r="G396" s="3" t="str">
        <f>IF(Sales[[#This Row],[Anggaran Murni]]-Sales[[#This Row],[Target s.d. Januari]]=0,"",Sales[[#This Row],[Anggaran Murni]]-Sales[[#This Row],[Target s.d. Januari]])</f>
        <v/>
      </c>
      <c r="H396" s="2" t="s">
        <v>70</v>
      </c>
      <c r="I396" s="3" t="s">
        <v>1</v>
      </c>
      <c r="J396" s="3"/>
      <c r="K396" s="2" t="s">
        <v>20</v>
      </c>
      <c r="L396" s="2" t="s">
        <v>5</v>
      </c>
      <c r="M396" s="4" t="s">
        <v>67</v>
      </c>
      <c r="N396" s="3" t="s">
        <v>80</v>
      </c>
      <c r="O396" s="2" t="s">
        <v>12</v>
      </c>
      <c r="P396" s="10"/>
      <c r="Q396" s="11"/>
    </row>
    <row r="397" spans="2:17" ht="21" customHeight="1" x14ac:dyDescent="0.35">
      <c r="B397" s="18">
        <v>43876</v>
      </c>
      <c r="C397" s="18" t="str">
        <f>TEXT(Sales[[#This Row],[Kode Program/Kegiatan ]],"D")</f>
        <v>15</v>
      </c>
      <c r="D397" s="19" t="str">
        <f>TEXT(Sales[[#This Row],[Kode Program/Kegiatan ]],"mmm")</f>
        <v>Feb</v>
      </c>
      <c r="E397" s="20">
        <v>3</v>
      </c>
      <c r="F397" s="19">
        <v>3</v>
      </c>
      <c r="G397" s="20" t="str">
        <f>IF(Sales[[#This Row],[Anggaran Murni]]-Sales[[#This Row],[Target s.d. Januari]]=0,"",Sales[[#This Row],[Anggaran Murni]]-Sales[[#This Row],[Target s.d. Januari]])</f>
        <v/>
      </c>
      <c r="H397" s="19" t="s">
        <v>72</v>
      </c>
      <c r="I397" s="20" t="s">
        <v>78</v>
      </c>
      <c r="J397" s="20"/>
      <c r="K397" s="19" t="s">
        <v>53</v>
      </c>
      <c r="L397" s="19" t="s">
        <v>2</v>
      </c>
      <c r="M397" s="21" t="s">
        <v>67</v>
      </c>
      <c r="N397" s="20" t="s">
        <v>80</v>
      </c>
      <c r="O397" s="19" t="s">
        <v>11</v>
      </c>
      <c r="P397" s="10"/>
      <c r="Q397" s="11"/>
    </row>
    <row r="398" spans="2:17" ht="21" customHeight="1" x14ac:dyDescent="0.35">
      <c r="B398" s="1">
        <v>43876</v>
      </c>
      <c r="C398" s="1" t="str">
        <f>TEXT(Sales[[#This Row],[Kode Program/Kegiatan ]],"D")</f>
        <v>15</v>
      </c>
      <c r="D398" s="2" t="str">
        <f>TEXT(Sales[[#This Row],[Kode Program/Kegiatan ]],"mmm")</f>
        <v>Feb</v>
      </c>
      <c r="E398" s="3">
        <v>3</v>
      </c>
      <c r="F398" s="2">
        <v>3</v>
      </c>
      <c r="G398" s="3" t="str">
        <f>IF(Sales[[#This Row],[Anggaran Murni]]-Sales[[#This Row],[Target s.d. Januari]]=0,"",Sales[[#This Row],[Anggaran Murni]]-Sales[[#This Row],[Target s.d. Januari]])</f>
        <v/>
      </c>
      <c r="H398" s="2" t="s">
        <v>114</v>
      </c>
      <c r="I398" s="3" t="s">
        <v>3</v>
      </c>
      <c r="J398" s="3"/>
      <c r="K398" s="2" t="s">
        <v>23</v>
      </c>
      <c r="L398" s="2" t="s">
        <v>5</v>
      </c>
      <c r="M398" s="4" t="s">
        <v>67</v>
      </c>
      <c r="N398" s="3" t="s">
        <v>82</v>
      </c>
      <c r="O398" s="2" t="s">
        <v>13</v>
      </c>
      <c r="P398" s="10"/>
      <c r="Q398" s="11"/>
    </row>
    <row r="399" spans="2:17" ht="21" customHeight="1" x14ac:dyDescent="0.35">
      <c r="B399" s="18">
        <v>43876</v>
      </c>
      <c r="C399" s="18" t="str">
        <f>TEXT(Sales[[#This Row],[Kode Program/Kegiatan ]],"D")</f>
        <v>15</v>
      </c>
      <c r="D399" s="19" t="str">
        <f>TEXT(Sales[[#This Row],[Kode Program/Kegiatan ]],"mmm")</f>
        <v>Feb</v>
      </c>
      <c r="E399" s="20">
        <v>3</v>
      </c>
      <c r="F399" s="19">
        <v>3</v>
      </c>
      <c r="G399" s="20" t="str">
        <f>IF(Sales[[#This Row],[Anggaran Murni]]-Sales[[#This Row],[Target s.d. Januari]]=0,"",Sales[[#This Row],[Anggaran Murni]]-Sales[[#This Row],[Target s.d. Januari]])</f>
        <v/>
      </c>
      <c r="H399" s="19" t="s">
        <v>75</v>
      </c>
      <c r="I399" s="20" t="s">
        <v>6</v>
      </c>
      <c r="J399" s="20"/>
      <c r="K399" s="19" t="s">
        <v>40</v>
      </c>
      <c r="L399" s="19" t="s">
        <v>9</v>
      </c>
      <c r="M399" s="21" t="s">
        <v>67</v>
      </c>
      <c r="N399" s="20" t="s">
        <v>80</v>
      </c>
      <c r="O399" s="19" t="s">
        <v>11</v>
      </c>
      <c r="P399" s="10"/>
      <c r="Q399" s="11"/>
    </row>
    <row r="400" spans="2:17" ht="21" customHeight="1" x14ac:dyDescent="0.35">
      <c r="B400" s="1">
        <v>43877</v>
      </c>
      <c r="C400" s="1" t="str">
        <f>TEXT(Sales[[#This Row],[Kode Program/Kegiatan ]],"D")</f>
        <v>16</v>
      </c>
      <c r="D400" s="2" t="str">
        <f>TEXT(Sales[[#This Row],[Kode Program/Kegiatan ]],"mmm")</f>
        <v>Feb</v>
      </c>
      <c r="E400" s="3">
        <v>10</v>
      </c>
      <c r="F400" s="2">
        <v>10</v>
      </c>
      <c r="G400" s="3" t="str">
        <f>IF(Sales[[#This Row],[Anggaran Murni]]-Sales[[#This Row],[Target s.d. Januari]]=0,"",Sales[[#This Row],[Anggaran Murni]]-Sales[[#This Row],[Target s.d. Januari]])</f>
        <v/>
      </c>
      <c r="H400" s="2" t="s">
        <v>75</v>
      </c>
      <c r="I400" s="3" t="s">
        <v>6</v>
      </c>
      <c r="J400" s="3"/>
      <c r="K400" s="2" t="s">
        <v>28</v>
      </c>
      <c r="L400" s="2" t="s">
        <v>5</v>
      </c>
      <c r="M400" s="4" t="s">
        <v>67</v>
      </c>
      <c r="N400" s="3" t="s">
        <v>82</v>
      </c>
      <c r="O400" s="2" t="s">
        <v>13</v>
      </c>
      <c r="P400" s="10"/>
      <c r="Q400" s="11"/>
    </row>
    <row r="401" spans="2:17" ht="21" customHeight="1" x14ac:dyDescent="0.35">
      <c r="B401" s="18">
        <v>43877</v>
      </c>
      <c r="C401" s="18" t="str">
        <f>TEXT(Sales[[#This Row],[Kode Program/Kegiatan ]],"D")</f>
        <v>16</v>
      </c>
      <c r="D401" s="19" t="str">
        <f>TEXT(Sales[[#This Row],[Kode Program/Kegiatan ]],"mmm")</f>
        <v>Feb</v>
      </c>
      <c r="E401" s="20">
        <v>10</v>
      </c>
      <c r="F401" s="19">
        <v>10</v>
      </c>
      <c r="G401" s="20" t="str">
        <f>IF(Sales[[#This Row],[Anggaran Murni]]-Sales[[#This Row],[Target s.d. Januari]]=0,"",Sales[[#This Row],[Anggaran Murni]]-Sales[[#This Row],[Target s.d. Januari]])</f>
        <v/>
      </c>
      <c r="H401" s="19" t="s">
        <v>113</v>
      </c>
      <c r="I401" s="20" t="s">
        <v>77</v>
      </c>
      <c r="J401" s="20"/>
      <c r="K401" s="19" t="s">
        <v>42</v>
      </c>
      <c r="L401" s="19" t="s">
        <v>2</v>
      </c>
      <c r="M401" s="21" t="s">
        <v>67</v>
      </c>
      <c r="N401" s="20" t="s">
        <v>82</v>
      </c>
      <c r="O401" s="19" t="s">
        <v>14</v>
      </c>
      <c r="P401" s="10"/>
      <c r="Q401" s="11"/>
    </row>
    <row r="402" spans="2:17" ht="21" customHeight="1" x14ac:dyDescent="0.35">
      <c r="B402" s="1">
        <v>43877</v>
      </c>
      <c r="C402" s="1" t="str">
        <f>TEXT(Sales[[#This Row],[Kode Program/Kegiatan ]],"D")</f>
        <v>16</v>
      </c>
      <c r="D402" s="2" t="str">
        <f>TEXT(Sales[[#This Row],[Kode Program/Kegiatan ]],"mmm")</f>
        <v>Feb</v>
      </c>
      <c r="E402" s="3">
        <v>10</v>
      </c>
      <c r="F402" s="2">
        <v>10</v>
      </c>
      <c r="G402" s="3" t="str">
        <f>IF(Sales[[#This Row],[Anggaran Murni]]-Sales[[#This Row],[Target s.d. Januari]]=0,"",Sales[[#This Row],[Anggaran Murni]]-Sales[[#This Row],[Target s.d. Januari]])</f>
        <v/>
      </c>
      <c r="H402" s="2" t="s">
        <v>73</v>
      </c>
      <c r="I402" s="3" t="s">
        <v>78</v>
      </c>
      <c r="J402" s="3"/>
      <c r="K402" s="2" t="s">
        <v>17</v>
      </c>
      <c r="L402" s="2" t="s">
        <v>2</v>
      </c>
      <c r="M402" s="4" t="s">
        <v>67</v>
      </c>
      <c r="N402" s="3" t="s">
        <v>80</v>
      </c>
      <c r="O402" s="2" t="s">
        <v>11</v>
      </c>
      <c r="P402" s="10"/>
      <c r="Q402" s="11"/>
    </row>
    <row r="403" spans="2:17" ht="21" customHeight="1" x14ac:dyDescent="0.35">
      <c r="B403" s="18">
        <v>43877</v>
      </c>
      <c r="C403" s="18" t="str">
        <f>TEXT(Sales[[#This Row],[Kode Program/Kegiatan ]],"D")</f>
        <v>16</v>
      </c>
      <c r="D403" s="19" t="str">
        <f>TEXT(Sales[[#This Row],[Kode Program/Kegiatan ]],"mmm")</f>
        <v>Feb</v>
      </c>
      <c r="E403" s="20">
        <v>10</v>
      </c>
      <c r="F403" s="19">
        <v>10</v>
      </c>
      <c r="G403" s="20" t="str">
        <f>IF(Sales[[#This Row],[Anggaran Murni]]-Sales[[#This Row],[Target s.d. Januari]]=0,"",Sales[[#This Row],[Anggaran Murni]]-Sales[[#This Row],[Target s.d. Januari]])</f>
        <v/>
      </c>
      <c r="H403" s="19" t="s">
        <v>71</v>
      </c>
      <c r="I403" s="20" t="s">
        <v>6</v>
      </c>
      <c r="J403" s="20"/>
      <c r="K403" s="19" t="s">
        <v>43</v>
      </c>
      <c r="L403" s="19" t="s">
        <v>7</v>
      </c>
      <c r="M403" s="21" t="s">
        <v>67</v>
      </c>
      <c r="N403" s="20" t="s">
        <v>81</v>
      </c>
      <c r="O403" s="19" t="s">
        <v>14</v>
      </c>
      <c r="P403" s="10"/>
      <c r="Q403" s="11"/>
    </row>
    <row r="404" spans="2:17" ht="21" customHeight="1" x14ac:dyDescent="0.35">
      <c r="B404" s="1">
        <v>43877</v>
      </c>
      <c r="C404" s="1" t="str">
        <f>TEXT(Sales[[#This Row],[Kode Program/Kegiatan ]],"D")</f>
        <v>16</v>
      </c>
      <c r="D404" s="2" t="str">
        <f>TEXT(Sales[[#This Row],[Kode Program/Kegiatan ]],"mmm")</f>
        <v>Feb</v>
      </c>
      <c r="E404" s="3">
        <v>10</v>
      </c>
      <c r="F404" s="2">
        <v>10</v>
      </c>
      <c r="G404" s="3" t="str">
        <f>IF(Sales[[#This Row],[Anggaran Murni]]-Sales[[#This Row],[Target s.d. Januari]]=0,"",Sales[[#This Row],[Anggaran Murni]]-Sales[[#This Row],[Target s.d. Januari]])</f>
        <v/>
      </c>
      <c r="H404" s="2" t="s">
        <v>75</v>
      </c>
      <c r="I404" s="3" t="s">
        <v>6</v>
      </c>
      <c r="J404" s="3"/>
      <c r="K404" s="2" t="s">
        <v>57</v>
      </c>
      <c r="L404" s="2" t="s">
        <v>5</v>
      </c>
      <c r="M404" s="4" t="s">
        <v>67</v>
      </c>
      <c r="N404" s="3" t="s">
        <v>80</v>
      </c>
      <c r="O404" s="2" t="s">
        <v>14</v>
      </c>
      <c r="P404" s="10"/>
      <c r="Q404" s="11"/>
    </row>
    <row r="405" spans="2:17" ht="21" customHeight="1" x14ac:dyDescent="0.35">
      <c r="B405" s="18">
        <v>43877</v>
      </c>
      <c r="C405" s="18" t="str">
        <f>TEXT(Sales[[#This Row],[Kode Program/Kegiatan ]],"D")</f>
        <v>16</v>
      </c>
      <c r="D405" s="19" t="str">
        <f>TEXT(Sales[[#This Row],[Kode Program/Kegiatan ]],"mmm")</f>
        <v>Feb</v>
      </c>
      <c r="E405" s="20">
        <v>8</v>
      </c>
      <c r="F405" s="19">
        <v>8</v>
      </c>
      <c r="G405" s="20" t="str">
        <f>IF(Sales[[#This Row],[Anggaran Murni]]-Sales[[#This Row],[Target s.d. Januari]]=0,"",Sales[[#This Row],[Anggaran Murni]]-Sales[[#This Row],[Target s.d. Januari]])</f>
        <v/>
      </c>
      <c r="H405" s="19" t="s">
        <v>113</v>
      </c>
      <c r="I405" s="20" t="s">
        <v>77</v>
      </c>
      <c r="J405" s="20"/>
      <c r="K405" s="19" t="s">
        <v>31</v>
      </c>
      <c r="L405" s="19" t="s">
        <v>2</v>
      </c>
      <c r="M405" s="21" t="s">
        <v>67</v>
      </c>
      <c r="N405" s="20" t="s">
        <v>80</v>
      </c>
      <c r="O405" s="19" t="s">
        <v>13</v>
      </c>
      <c r="P405" s="10"/>
      <c r="Q405" s="11"/>
    </row>
    <row r="406" spans="2:17" ht="21" customHeight="1" x14ac:dyDescent="0.35">
      <c r="B406" s="1">
        <v>43877</v>
      </c>
      <c r="C406" s="1" t="str">
        <f>TEXT(Sales[[#This Row],[Kode Program/Kegiatan ]],"D")</f>
        <v>16</v>
      </c>
      <c r="D406" s="2" t="str">
        <f>TEXT(Sales[[#This Row],[Kode Program/Kegiatan ]],"mmm")</f>
        <v>Feb</v>
      </c>
      <c r="E406" s="3">
        <v>8</v>
      </c>
      <c r="F406" s="2">
        <v>8</v>
      </c>
      <c r="G406" s="3" t="str">
        <f>IF(Sales[[#This Row],[Anggaran Murni]]-Sales[[#This Row],[Target s.d. Januari]]=0,"",Sales[[#This Row],[Anggaran Murni]]-Sales[[#This Row],[Target s.d. Januari]])</f>
        <v/>
      </c>
      <c r="H406" s="2" t="s">
        <v>74</v>
      </c>
      <c r="I406" s="3" t="s">
        <v>77</v>
      </c>
      <c r="J406" s="3"/>
      <c r="K406" s="2" t="s">
        <v>54</v>
      </c>
      <c r="L406" s="2" t="s">
        <v>8</v>
      </c>
      <c r="M406" s="4" t="s">
        <v>67</v>
      </c>
      <c r="N406" s="3" t="s">
        <v>82</v>
      </c>
      <c r="O406" s="2" t="s">
        <v>12</v>
      </c>
      <c r="P406" s="10"/>
      <c r="Q406" s="11"/>
    </row>
    <row r="407" spans="2:17" ht="21" customHeight="1" x14ac:dyDescent="0.35">
      <c r="B407" s="18">
        <v>43877</v>
      </c>
      <c r="C407" s="18" t="str">
        <f>TEXT(Sales[[#This Row],[Kode Program/Kegiatan ]],"D")</f>
        <v>16</v>
      </c>
      <c r="D407" s="19" t="str">
        <f>TEXT(Sales[[#This Row],[Kode Program/Kegiatan ]],"mmm")</f>
        <v>Feb</v>
      </c>
      <c r="E407" s="20">
        <v>5</v>
      </c>
      <c r="F407" s="19">
        <v>5</v>
      </c>
      <c r="G407" s="20" t="str">
        <f>IF(Sales[[#This Row],[Anggaran Murni]]-Sales[[#This Row],[Target s.d. Januari]]=0,"",Sales[[#This Row],[Anggaran Murni]]-Sales[[#This Row],[Target s.d. Januari]])</f>
        <v/>
      </c>
      <c r="H407" s="19" t="s">
        <v>74</v>
      </c>
      <c r="I407" s="20" t="s">
        <v>77</v>
      </c>
      <c r="J407" s="20"/>
      <c r="K407" s="19" t="s">
        <v>33</v>
      </c>
      <c r="L407" s="19" t="s">
        <v>7</v>
      </c>
      <c r="M407" s="21" t="s">
        <v>67</v>
      </c>
      <c r="N407" s="20" t="s">
        <v>81</v>
      </c>
      <c r="O407" s="19" t="s">
        <v>14</v>
      </c>
      <c r="P407" s="10"/>
      <c r="Q407" s="11"/>
    </row>
    <row r="408" spans="2:17" ht="21" customHeight="1" x14ac:dyDescent="0.35">
      <c r="B408" s="1">
        <v>43877</v>
      </c>
      <c r="C408" s="1" t="str">
        <f>TEXT(Sales[[#This Row],[Kode Program/Kegiatan ]],"D")</f>
        <v>16</v>
      </c>
      <c r="D408" s="2" t="str">
        <f>TEXT(Sales[[#This Row],[Kode Program/Kegiatan ]],"mmm")</f>
        <v>Feb</v>
      </c>
      <c r="E408" s="3">
        <v>5</v>
      </c>
      <c r="F408" s="2">
        <v>5</v>
      </c>
      <c r="G408" s="3" t="str">
        <f>IF(Sales[[#This Row],[Anggaran Murni]]-Sales[[#This Row],[Target s.d. Januari]]=0,"",Sales[[#This Row],[Anggaran Murni]]-Sales[[#This Row],[Target s.d. Januari]])</f>
        <v/>
      </c>
      <c r="H408" s="2" t="s">
        <v>74</v>
      </c>
      <c r="I408" s="3" t="s">
        <v>77</v>
      </c>
      <c r="J408" s="3"/>
      <c r="K408" s="2" t="s">
        <v>53</v>
      </c>
      <c r="L408" s="2" t="s">
        <v>9</v>
      </c>
      <c r="M408" s="4" t="s">
        <v>67</v>
      </c>
      <c r="N408" s="3" t="s">
        <v>81</v>
      </c>
      <c r="O408" s="2" t="s">
        <v>14</v>
      </c>
      <c r="P408" s="10"/>
      <c r="Q408" s="11"/>
    </row>
    <row r="409" spans="2:17" ht="21" customHeight="1" x14ac:dyDescent="0.35">
      <c r="B409" s="18">
        <v>43878</v>
      </c>
      <c r="C409" s="18" t="str">
        <f>TEXT(Sales[[#This Row],[Kode Program/Kegiatan ]],"D")</f>
        <v>17</v>
      </c>
      <c r="D409" s="19" t="str">
        <f>TEXT(Sales[[#This Row],[Kode Program/Kegiatan ]],"mmm")</f>
        <v>Feb</v>
      </c>
      <c r="E409" s="20">
        <v>10</v>
      </c>
      <c r="F409" s="19">
        <v>10</v>
      </c>
      <c r="G409" s="20" t="str">
        <f>IF(Sales[[#This Row],[Anggaran Murni]]-Sales[[#This Row],[Target s.d. Januari]]=0,"",Sales[[#This Row],[Anggaran Murni]]-Sales[[#This Row],[Target s.d. Januari]])</f>
        <v/>
      </c>
      <c r="H409" s="19" t="s">
        <v>76</v>
      </c>
      <c r="I409" s="20" t="s">
        <v>79</v>
      </c>
      <c r="J409" s="20"/>
      <c r="K409" s="19" t="s">
        <v>15</v>
      </c>
      <c r="L409" s="19" t="s">
        <v>2</v>
      </c>
      <c r="M409" s="21" t="s">
        <v>67</v>
      </c>
      <c r="N409" s="20" t="s">
        <v>80</v>
      </c>
      <c r="O409" s="19" t="s">
        <v>11</v>
      </c>
      <c r="P409" s="10"/>
      <c r="Q409" s="11"/>
    </row>
    <row r="410" spans="2:17" ht="21" customHeight="1" x14ac:dyDescent="0.35">
      <c r="B410" s="1">
        <v>43878</v>
      </c>
      <c r="C410" s="1" t="str">
        <f>TEXT(Sales[[#This Row],[Kode Program/Kegiatan ]],"D")</f>
        <v>17</v>
      </c>
      <c r="D410" s="2" t="str">
        <f>TEXT(Sales[[#This Row],[Kode Program/Kegiatan ]],"mmm")</f>
        <v>Feb</v>
      </c>
      <c r="E410" s="3">
        <v>10</v>
      </c>
      <c r="F410" s="2">
        <v>10</v>
      </c>
      <c r="G410" s="3" t="str">
        <f>IF(Sales[[#This Row],[Anggaran Murni]]-Sales[[#This Row],[Target s.d. Januari]]=0,"",Sales[[#This Row],[Anggaran Murni]]-Sales[[#This Row],[Target s.d. Januari]])</f>
        <v/>
      </c>
      <c r="H410" s="2" t="s">
        <v>74</v>
      </c>
      <c r="I410" s="3" t="s">
        <v>77</v>
      </c>
      <c r="J410" s="3"/>
      <c r="K410" s="2" t="s">
        <v>15</v>
      </c>
      <c r="L410" s="2" t="s">
        <v>2</v>
      </c>
      <c r="M410" s="4" t="s">
        <v>67</v>
      </c>
      <c r="N410" s="3" t="s">
        <v>81</v>
      </c>
      <c r="O410" s="2" t="s">
        <v>13</v>
      </c>
      <c r="P410" s="10"/>
      <c r="Q410" s="11"/>
    </row>
    <row r="411" spans="2:17" ht="21" customHeight="1" x14ac:dyDescent="0.35">
      <c r="B411" s="18">
        <v>43878</v>
      </c>
      <c r="C411" s="18" t="str">
        <f>TEXT(Sales[[#This Row],[Kode Program/Kegiatan ]],"D")</f>
        <v>17</v>
      </c>
      <c r="D411" s="19" t="str">
        <f>TEXT(Sales[[#This Row],[Kode Program/Kegiatan ]],"mmm")</f>
        <v>Feb</v>
      </c>
      <c r="E411" s="20">
        <v>9</v>
      </c>
      <c r="F411" s="19">
        <v>9</v>
      </c>
      <c r="G411" s="20" t="str">
        <f>IF(Sales[[#This Row],[Anggaran Murni]]-Sales[[#This Row],[Target s.d. Januari]]=0,"",Sales[[#This Row],[Anggaran Murni]]-Sales[[#This Row],[Target s.d. Januari]])</f>
        <v/>
      </c>
      <c r="H411" s="19" t="s">
        <v>70</v>
      </c>
      <c r="I411" s="20" t="s">
        <v>1</v>
      </c>
      <c r="J411" s="20"/>
      <c r="K411" s="19" t="s">
        <v>61</v>
      </c>
      <c r="L411" s="19" t="s">
        <v>5</v>
      </c>
      <c r="M411" s="21" t="s">
        <v>67</v>
      </c>
      <c r="N411" s="20" t="s">
        <v>80</v>
      </c>
      <c r="O411" s="19" t="s">
        <v>13</v>
      </c>
      <c r="P411" s="10"/>
      <c r="Q411" s="11"/>
    </row>
    <row r="412" spans="2:17" ht="21" customHeight="1" x14ac:dyDescent="0.35">
      <c r="B412" s="1">
        <v>43878</v>
      </c>
      <c r="C412" s="1" t="str">
        <f>TEXT(Sales[[#This Row],[Kode Program/Kegiatan ]],"D")</f>
        <v>17</v>
      </c>
      <c r="D412" s="2" t="str">
        <f>TEXT(Sales[[#This Row],[Kode Program/Kegiatan ]],"mmm")</f>
        <v>Feb</v>
      </c>
      <c r="E412" s="3">
        <v>7</v>
      </c>
      <c r="F412" s="2">
        <v>7</v>
      </c>
      <c r="G412" s="3" t="str">
        <f>IF(Sales[[#This Row],[Anggaran Murni]]-Sales[[#This Row],[Target s.d. Januari]]=0,"",Sales[[#This Row],[Anggaran Murni]]-Sales[[#This Row],[Target s.d. Januari]])</f>
        <v/>
      </c>
      <c r="H412" s="2" t="s">
        <v>113</v>
      </c>
      <c r="I412" s="3" t="s">
        <v>77</v>
      </c>
      <c r="J412" s="3"/>
      <c r="K412" s="2" t="s">
        <v>27</v>
      </c>
      <c r="L412" s="2" t="s">
        <v>2</v>
      </c>
      <c r="M412" s="4" t="s">
        <v>67</v>
      </c>
      <c r="N412" s="3" t="s">
        <v>80</v>
      </c>
      <c r="O412" s="2" t="s">
        <v>14</v>
      </c>
      <c r="P412" s="10"/>
      <c r="Q412" s="11"/>
    </row>
    <row r="413" spans="2:17" ht="21" customHeight="1" x14ac:dyDescent="0.35">
      <c r="B413" s="18">
        <v>43878</v>
      </c>
      <c r="C413" s="18" t="str">
        <f>TEXT(Sales[[#This Row],[Kode Program/Kegiatan ]],"D")</f>
        <v>17</v>
      </c>
      <c r="D413" s="19" t="str">
        <f>TEXT(Sales[[#This Row],[Kode Program/Kegiatan ]],"mmm")</f>
        <v>Feb</v>
      </c>
      <c r="E413" s="20">
        <v>5</v>
      </c>
      <c r="F413" s="19">
        <v>5</v>
      </c>
      <c r="G413" s="20" t="str">
        <f>IF(Sales[[#This Row],[Anggaran Murni]]-Sales[[#This Row],[Target s.d. Januari]]=0,"",Sales[[#This Row],[Anggaran Murni]]-Sales[[#This Row],[Target s.d. Januari]])</f>
        <v/>
      </c>
      <c r="H413" s="19" t="s">
        <v>114</v>
      </c>
      <c r="I413" s="20" t="s">
        <v>3</v>
      </c>
      <c r="J413" s="20"/>
      <c r="K413" s="19" t="s">
        <v>48</v>
      </c>
      <c r="L413" s="19" t="s">
        <v>7</v>
      </c>
      <c r="M413" s="21" t="s">
        <v>67</v>
      </c>
      <c r="N413" s="20" t="s">
        <v>80</v>
      </c>
      <c r="O413" s="19" t="s">
        <v>12</v>
      </c>
      <c r="P413" s="10"/>
      <c r="Q413" s="11"/>
    </row>
    <row r="414" spans="2:17" ht="21" customHeight="1" x14ac:dyDescent="0.35">
      <c r="B414" s="1">
        <v>43878</v>
      </c>
      <c r="C414" s="1" t="str">
        <f>TEXT(Sales[[#This Row],[Kode Program/Kegiatan ]],"D")</f>
        <v>17</v>
      </c>
      <c r="D414" s="2" t="str">
        <f>TEXT(Sales[[#This Row],[Kode Program/Kegiatan ]],"mmm")</f>
        <v>Feb</v>
      </c>
      <c r="E414" s="3">
        <v>5</v>
      </c>
      <c r="F414" s="2">
        <v>5</v>
      </c>
      <c r="G414" s="3" t="str">
        <f>IF(Sales[[#This Row],[Anggaran Murni]]-Sales[[#This Row],[Target s.d. Januari]]=0,"",Sales[[#This Row],[Anggaran Murni]]-Sales[[#This Row],[Target s.d. Januari]])</f>
        <v/>
      </c>
      <c r="H414" s="2" t="s">
        <v>71</v>
      </c>
      <c r="I414" s="3" t="s">
        <v>6</v>
      </c>
      <c r="J414" s="3"/>
      <c r="K414" s="2" t="s">
        <v>51</v>
      </c>
      <c r="L414" s="2" t="s">
        <v>5</v>
      </c>
      <c r="M414" s="4" t="s">
        <v>67</v>
      </c>
      <c r="N414" s="3" t="s">
        <v>80</v>
      </c>
      <c r="O414" s="2" t="s">
        <v>12</v>
      </c>
      <c r="P414" s="10"/>
      <c r="Q414" s="11"/>
    </row>
    <row r="415" spans="2:17" ht="21" customHeight="1" x14ac:dyDescent="0.35">
      <c r="B415" s="18">
        <v>43878</v>
      </c>
      <c r="C415" s="18" t="str">
        <f>TEXT(Sales[[#This Row],[Kode Program/Kegiatan ]],"D")</f>
        <v>17</v>
      </c>
      <c r="D415" s="19" t="str">
        <f>TEXT(Sales[[#This Row],[Kode Program/Kegiatan ]],"mmm")</f>
        <v>Feb</v>
      </c>
      <c r="E415" s="20">
        <v>4</v>
      </c>
      <c r="F415" s="19">
        <v>4</v>
      </c>
      <c r="G415" s="20" t="str">
        <f>IF(Sales[[#This Row],[Anggaran Murni]]-Sales[[#This Row],[Target s.d. Januari]]=0,"",Sales[[#This Row],[Anggaran Murni]]-Sales[[#This Row],[Target s.d. Januari]])</f>
        <v/>
      </c>
      <c r="H415" s="19" t="s">
        <v>74</v>
      </c>
      <c r="I415" s="20" t="s">
        <v>77</v>
      </c>
      <c r="J415" s="20"/>
      <c r="K415" s="19" t="s">
        <v>58</v>
      </c>
      <c r="L415" s="19" t="s">
        <v>5</v>
      </c>
      <c r="M415" s="21" t="s">
        <v>67</v>
      </c>
      <c r="N415" s="20" t="s">
        <v>80</v>
      </c>
      <c r="O415" s="19" t="s">
        <v>11</v>
      </c>
      <c r="P415" s="10"/>
      <c r="Q415" s="11"/>
    </row>
    <row r="416" spans="2:17" ht="21" customHeight="1" x14ac:dyDescent="0.35">
      <c r="B416" s="1">
        <v>43878</v>
      </c>
      <c r="C416" s="1" t="str">
        <f>TEXT(Sales[[#This Row],[Kode Program/Kegiatan ]],"D")</f>
        <v>17</v>
      </c>
      <c r="D416" s="2" t="str">
        <f>TEXT(Sales[[#This Row],[Kode Program/Kegiatan ]],"mmm")</f>
        <v>Feb</v>
      </c>
      <c r="E416" s="3">
        <v>3</v>
      </c>
      <c r="F416" s="2">
        <v>3</v>
      </c>
      <c r="G416" s="3" t="str">
        <f>IF(Sales[[#This Row],[Anggaran Murni]]-Sales[[#This Row],[Target s.d. Januari]]=0,"",Sales[[#This Row],[Anggaran Murni]]-Sales[[#This Row],[Target s.d. Januari]])</f>
        <v/>
      </c>
      <c r="H416" s="2" t="s">
        <v>76</v>
      </c>
      <c r="I416" s="3" t="s">
        <v>79</v>
      </c>
      <c r="J416" s="3"/>
      <c r="K416" s="2" t="s">
        <v>33</v>
      </c>
      <c r="L416" s="2" t="s">
        <v>5</v>
      </c>
      <c r="M416" s="4" t="s">
        <v>67</v>
      </c>
      <c r="N416" s="3" t="s">
        <v>81</v>
      </c>
      <c r="O416" s="2" t="s">
        <v>13</v>
      </c>
      <c r="P416" s="10"/>
      <c r="Q416" s="11"/>
    </row>
    <row r="417" spans="2:17" ht="21" customHeight="1" x14ac:dyDescent="0.35">
      <c r="B417" s="18">
        <v>43879</v>
      </c>
      <c r="C417" s="18" t="str">
        <f>TEXT(Sales[[#This Row],[Kode Program/Kegiatan ]],"D")</f>
        <v>18</v>
      </c>
      <c r="D417" s="19" t="str">
        <f>TEXT(Sales[[#This Row],[Kode Program/Kegiatan ]],"mmm")</f>
        <v>Feb</v>
      </c>
      <c r="E417" s="20">
        <v>10</v>
      </c>
      <c r="F417" s="19">
        <v>10</v>
      </c>
      <c r="G417" s="20" t="str">
        <f>IF(Sales[[#This Row],[Anggaran Murni]]-Sales[[#This Row],[Target s.d. Januari]]=0,"",Sales[[#This Row],[Anggaran Murni]]-Sales[[#This Row],[Target s.d. Januari]])</f>
        <v/>
      </c>
      <c r="H417" s="19" t="s">
        <v>75</v>
      </c>
      <c r="I417" s="20" t="s">
        <v>6</v>
      </c>
      <c r="J417" s="20"/>
      <c r="K417" s="19" t="s">
        <v>30</v>
      </c>
      <c r="L417" s="19" t="s">
        <v>8</v>
      </c>
      <c r="M417" s="21" t="s">
        <v>67</v>
      </c>
      <c r="N417" s="20" t="s">
        <v>82</v>
      </c>
      <c r="O417" s="19" t="s">
        <v>13</v>
      </c>
      <c r="P417" s="10"/>
      <c r="Q417" s="11"/>
    </row>
    <row r="418" spans="2:17" ht="21" customHeight="1" x14ac:dyDescent="0.35">
      <c r="B418" s="1">
        <v>43879</v>
      </c>
      <c r="C418" s="1" t="str">
        <f>TEXT(Sales[[#This Row],[Kode Program/Kegiatan ]],"D")</f>
        <v>18</v>
      </c>
      <c r="D418" s="2" t="str">
        <f>TEXT(Sales[[#This Row],[Kode Program/Kegiatan ]],"mmm")</f>
        <v>Feb</v>
      </c>
      <c r="E418" s="3">
        <v>8</v>
      </c>
      <c r="F418" s="2">
        <v>8</v>
      </c>
      <c r="G418" s="3" t="str">
        <f>IF(Sales[[#This Row],[Anggaran Murni]]-Sales[[#This Row],[Target s.d. Januari]]=0,"",Sales[[#This Row],[Anggaran Murni]]-Sales[[#This Row],[Target s.d. Januari]])</f>
        <v/>
      </c>
      <c r="H418" s="2" t="s">
        <v>71</v>
      </c>
      <c r="I418" s="3" t="s">
        <v>6</v>
      </c>
      <c r="J418" s="3"/>
      <c r="K418" s="2" t="s">
        <v>50</v>
      </c>
      <c r="L418" s="2" t="s">
        <v>5</v>
      </c>
      <c r="M418" s="4" t="s">
        <v>67</v>
      </c>
      <c r="N418" s="3" t="s">
        <v>82</v>
      </c>
      <c r="O418" s="2" t="s">
        <v>11</v>
      </c>
      <c r="P418" s="10"/>
      <c r="Q418" s="11"/>
    </row>
    <row r="419" spans="2:17" ht="21" customHeight="1" x14ac:dyDescent="0.35">
      <c r="B419" s="18">
        <v>43879</v>
      </c>
      <c r="C419" s="18" t="str">
        <f>TEXT(Sales[[#This Row],[Kode Program/Kegiatan ]],"D")</f>
        <v>18</v>
      </c>
      <c r="D419" s="19" t="str">
        <f>TEXT(Sales[[#This Row],[Kode Program/Kegiatan ]],"mmm")</f>
        <v>Feb</v>
      </c>
      <c r="E419" s="20">
        <v>8</v>
      </c>
      <c r="F419" s="19">
        <v>8</v>
      </c>
      <c r="G419" s="20" t="str">
        <f>IF(Sales[[#This Row],[Anggaran Murni]]-Sales[[#This Row],[Target s.d. Januari]]=0,"",Sales[[#This Row],[Anggaran Murni]]-Sales[[#This Row],[Target s.d. Januari]])</f>
        <v/>
      </c>
      <c r="H419" s="19" t="s">
        <v>71</v>
      </c>
      <c r="I419" s="20" t="s">
        <v>6</v>
      </c>
      <c r="J419" s="20"/>
      <c r="K419" s="19" t="s">
        <v>31</v>
      </c>
      <c r="L419" s="19" t="s">
        <v>2</v>
      </c>
      <c r="M419" s="21" t="s">
        <v>67</v>
      </c>
      <c r="N419" s="20" t="s">
        <v>80</v>
      </c>
      <c r="O419" s="19" t="s">
        <v>12</v>
      </c>
      <c r="P419" s="10"/>
      <c r="Q419" s="11"/>
    </row>
    <row r="420" spans="2:17" ht="21" customHeight="1" x14ac:dyDescent="0.35">
      <c r="B420" s="1">
        <v>43879</v>
      </c>
      <c r="C420" s="1" t="str">
        <f>TEXT(Sales[[#This Row],[Kode Program/Kegiatan ]],"D")</f>
        <v>18</v>
      </c>
      <c r="D420" s="2" t="str">
        <f>TEXT(Sales[[#This Row],[Kode Program/Kegiatan ]],"mmm")</f>
        <v>Feb</v>
      </c>
      <c r="E420" s="3">
        <v>8</v>
      </c>
      <c r="F420" s="2">
        <v>8</v>
      </c>
      <c r="G420" s="3" t="str">
        <f>IF(Sales[[#This Row],[Anggaran Murni]]-Sales[[#This Row],[Target s.d. Januari]]=0,"",Sales[[#This Row],[Anggaran Murni]]-Sales[[#This Row],[Target s.d. Januari]])</f>
        <v/>
      </c>
      <c r="H420" s="2" t="s">
        <v>74</v>
      </c>
      <c r="I420" s="3" t="s">
        <v>77</v>
      </c>
      <c r="J420" s="3"/>
      <c r="K420" s="2" t="s">
        <v>22</v>
      </c>
      <c r="L420" s="2" t="s">
        <v>2</v>
      </c>
      <c r="M420" s="4" t="s">
        <v>67</v>
      </c>
      <c r="N420" s="3" t="s">
        <v>82</v>
      </c>
      <c r="O420" s="2" t="s">
        <v>14</v>
      </c>
      <c r="P420" s="10"/>
      <c r="Q420" s="11"/>
    </row>
    <row r="421" spans="2:17" ht="21" customHeight="1" x14ac:dyDescent="0.35">
      <c r="B421" s="18">
        <v>43879</v>
      </c>
      <c r="C421" s="18" t="str">
        <f>TEXT(Sales[[#This Row],[Kode Program/Kegiatan ]],"D")</f>
        <v>18</v>
      </c>
      <c r="D421" s="19" t="str">
        <f>TEXT(Sales[[#This Row],[Kode Program/Kegiatan ]],"mmm")</f>
        <v>Feb</v>
      </c>
      <c r="E421" s="20">
        <v>7</v>
      </c>
      <c r="F421" s="19">
        <v>7</v>
      </c>
      <c r="G421" s="20" t="str">
        <f>IF(Sales[[#This Row],[Anggaran Murni]]-Sales[[#This Row],[Target s.d. Januari]]=0,"",Sales[[#This Row],[Anggaran Murni]]-Sales[[#This Row],[Target s.d. Januari]])</f>
        <v/>
      </c>
      <c r="H421" s="19" t="s">
        <v>113</v>
      </c>
      <c r="I421" s="20" t="s">
        <v>77</v>
      </c>
      <c r="J421" s="20"/>
      <c r="K421" s="19" t="s">
        <v>60</v>
      </c>
      <c r="L421" s="19" t="s">
        <v>2</v>
      </c>
      <c r="M421" s="21" t="s">
        <v>67</v>
      </c>
      <c r="N421" s="20" t="s">
        <v>81</v>
      </c>
      <c r="O421" s="19" t="s">
        <v>13</v>
      </c>
      <c r="P421" s="10"/>
      <c r="Q421" s="11"/>
    </row>
    <row r="422" spans="2:17" ht="21" customHeight="1" x14ac:dyDescent="0.35">
      <c r="B422" s="1">
        <v>43879</v>
      </c>
      <c r="C422" s="1" t="str">
        <f>TEXT(Sales[[#This Row],[Kode Program/Kegiatan ]],"D")</f>
        <v>18</v>
      </c>
      <c r="D422" s="2" t="str">
        <f>TEXT(Sales[[#This Row],[Kode Program/Kegiatan ]],"mmm")</f>
        <v>Feb</v>
      </c>
      <c r="E422" s="3">
        <v>5</v>
      </c>
      <c r="F422" s="2">
        <v>5</v>
      </c>
      <c r="G422" s="3" t="str">
        <f>IF(Sales[[#This Row],[Anggaran Murni]]-Sales[[#This Row],[Target s.d. Januari]]=0,"",Sales[[#This Row],[Anggaran Murni]]-Sales[[#This Row],[Target s.d. Januari]])</f>
        <v/>
      </c>
      <c r="H422" s="2" t="s">
        <v>72</v>
      </c>
      <c r="I422" s="3" t="s">
        <v>78</v>
      </c>
      <c r="J422" s="3"/>
      <c r="K422" s="2" t="s">
        <v>17</v>
      </c>
      <c r="L422" s="2" t="s">
        <v>8</v>
      </c>
      <c r="M422" s="4" t="s">
        <v>67</v>
      </c>
      <c r="N422" s="3" t="s">
        <v>81</v>
      </c>
      <c r="O422" s="2" t="s">
        <v>14</v>
      </c>
      <c r="P422" s="10"/>
      <c r="Q422" s="11"/>
    </row>
    <row r="423" spans="2:17" ht="21" customHeight="1" x14ac:dyDescent="0.35">
      <c r="B423" s="18">
        <v>43879</v>
      </c>
      <c r="C423" s="18" t="str">
        <f>TEXT(Sales[[#This Row],[Kode Program/Kegiatan ]],"D")</f>
        <v>18</v>
      </c>
      <c r="D423" s="19" t="str">
        <f>TEXT(Sales[[#This Row],[Kode Program/Kegiatan ]],"mmm")</f>
        <v>Feb</v>
      </c>
      <c r="E423" s="20">
        <v>5</v>
      </c>
      <c r="F423" s="19">
        <v>5</v>
      </c>
      <c r="G423" s="20" t="str">
        <f>IF(Sales[[#This Row],[Anggaran Murni]]-Sales[[#This Row],[Target s.d. Januari]]=0,"",Sales[[#This Row],[Anggaran Murni]]-Sales[[#This Row],[Target s.d. Januari]])</f>
        <v/>
      </c>
      <c r="H423" s="19" t="s">
        <v>70</v>
      </c>
      <c r="I423" s="20" t="s">
        <v>1</v>
      </c>
      <c r="J423" s="20"/>
      <c r="K423" s="19" t="s">
        <v>26</v>
      </c>
      <c r="L423" s="19" t="s">
        <v>5</v>
      </c>
      <c r="M423" s="21" t="s">
        <v>67</v>
      </c>
      <c r="N423" s="20" t="s">
        <v>81</v>
      </c>
      <c r="O423" s="19" t="s">
        <v>13</v>
      </c>
      <c r="P423" s="10"/>
      <c r="Q423" s="11"/>
    </row>
    <row r="424" spans="2:17" ht="21" customHeight="1" x14ac:dyDescent="0.35">
      <c r="B424" s="1">
        <v>43879</v>
      </c>
      <c r="C424" s="1" t="str">
        <f>TEXT(Sales[[#This Row],[Kode Program/Kegiatan ]],"D")</f>
        <v>18</v>
      </c>
      <c r="D424" s="2" t="str">
        <f>TEXT(Sales[[#This Row],[Kode Program/Kegiatan ]],"mmm")</f>
        <v>Feb</v>
      </c>
      <c r="E424" s="3">
        <v>4</v>
      </c>
      <c r="F424" s="2">
        <v>4</v>
      </c>
      <c r="G424" s="3" t="str">
        <f>IF(Sales[[#This Row],[Anggaran Murni]]-Sales[[#This Row],[Target s.d. Januari]]=0,"",Sales[[#This Row],[Anggaran Murni]]-Sales[[#This Row],[Target s.d. Januari]])</f>
        <v/>
      </c>
      <c r="H424" s="2" t="s">
        <v>75</v>
      </c>
      <c r="I424" s="3" t="s">
        <v>6</v>
      </c>
      <c r="J424" s="3"/>
      <c r="K424" s="2" t="s">
        <v>55</v>
      </c>
      <c r="L424" s="2" t="s">
        <v>2</v>
      </c>
      <c r="M424" s="4" t="s">
        <v>67</v>
      </c>
      <c r="N424" s="3" t="s">
        <v>82</v>
      </c>
      <c r="O424" s="2" t="s">
        <v>13</v>
      </c>
      <c r="P424" s="10"/>
      <c r="Q424" s="11"/>
    </row>
    <row r="425" spans="2:17" ht="21" customHeight="1" x14ac:dyDescent="0.35">
      <c r="B425" s="18">
        <v>43879</v>
      </c>
      <c r="C425" s="18" t="str">
        <f>TEXT(Sales[[#This Row],[Kode Program/Kegiatan ]],"D")</f>
        <v>18</v>
      </c>
      <c r="D425" s="19" t="str">
        <f>TEXT(Sales[[#This Row],[Kode Program/Kegiatan ]],"mmm")</f>
        <v>Feb</v>
      </c>
      <c r="E425" s="20">
        <v>4</v>
      </c>
      <c r="F425" s="19">
        <v>4</v>
      </c>
      <c r="G425" s="20" t="str">
        <f>IF(Sales[[#This Row],[Anggaran Murni]]-Sales[[#This Row],[Target s.d. Januari]]=0,"",Sales[[#This Row],[Anggaran Murni]]-Sales[[#This Row],[Target s.d. Januari]])</f>
        <v/>
      </c>
      <c r="H425" s="19" t="s">
        <v>113</v>
      </c>
      <c r="I425" s="20" t="s">
        <v>77</v>
      </c>
      <c r="J425" s="20"/>
      <c r="K425" s="19" t="s">
        <v>36</v>
      </c>
      <c r="L425" s="19" t="s">
        <v>2</v>
      </c>
      <c r="M425" s="21" t="s">
        <v>67</v>
      </c>
      <c r="N425" s="20" t="s">
        <v>81</v>
      </c>
      <c r="O425" s="19" t="s">
        <v>11</v>
      </c>
      <c r="P425" s="10"/>
      <c r="Q425" s="11"/>
    </row>
    <row r="426" spans="2:17" ht="21" customHeight="1" x14ac:dyDescent="0.35">
      <c r="B426" s="1">
        <v>43879</v>
      </c>
      <c r="C426" s="1" t="str">
        <f>TEXT(Sales[[#This Row],[Kode Program/Kegiatan ]],"D")</f>
        <v>18</v>
      </c>
      <c r="D426" s="2" t="str">
        <f>TEXT(Sales[[#This Row],[Kode Program/Kegiatan ]],"mmm")</f>
        <v>Feb</v>
      </c>
      <c r="E426" s="3">
        <v>3</v>
      </c>
      <c r="F426" s="2">
        <v>3</v>
      </c>
      <c r="G426" s="3" t="str">
        <f>IF(Sales[[#This Row],[Anggaran Murni]]-Sales[[#This Row],[Target s.d. Januari]]=0,"",Sales[[#This Row],[Anggaran Murni]]-Sales[[#This Row],[Target s.d. Januari]])</f>
        <v/>
      </c>
      <c r="H426" s="2" t="s">
        <v>114</v>
      </c>
      <c r="I426" s="3" t="s">
        <v>3</v>
      </c>
      <c r="J426" s="3"/>
      <c r="K426" s="2" t="s">
        <v>35</v>
      </c>
      <c r="L426" s="2" t="s">
        <v>5</v>
      </c>
      <c r="M426" s="4" t="s">
        <v>67</v>
      </c>
      <c r="N426" s="3" t="s">
        <v>82</v>
      </c>
      <c r="O426" s="2" t="s">
        <v>13</v>
      </c>
      <c r="P426" s="10"/>
      <c r="Q426" s="11"/>
    </row>
    <row r="427" spans="2:17" ht="21" customHeight="1" x14ac:dyDescent="0.35">
      <c r="B427" s="18">
        <v>43879</v>
      </c>
      <c r="C427" s="18" t="str">
        <f>TEXT(Sales[[#This Row],[Kode Program/Kegiatan ]],"D")</f>
        <v>18</v>
      </c>
      <c r="D427" s="19" t="str">
        <f>TEXT(Sales[[#This Row],[Kode Program/Kegiatan ]],"mmm")</f>
        <v>Feb</v>
      </c>
      <c r="E427" s="20">
        <v>3</v>
      </c>
      <c r="F427" s="19">
        <v>3</v>
      </c>
      <c r="G427" s="20" t="str">
        <f>IF(Sales[[#This Row],[Anggaran Murni]]-Sales[[#This Row],[Target s.d. Januari]]=0,"",Sales[[#This Row],[Anggaran Murni]]-Sales[[#This Row],[Target s.d. Januari]])</f>
        <v/>
      </c>
      <c r="H427" s="19" t="s">
        <v>72</v>
      </c>
      <c r="I427" s="20" t="s">
        <v>78</v>
      </c>
      <c r="J427" s="20"/>
      <c r="K427" s="19" t="s">
        <v>32</v>
      </c>
      <c r="L427" s="19" t="s">
        <v>8</v>
      </c>
      <c r="M427" s="21" t="s">
        <v>67</v>
      </c>
      <c r="N427" s="20" t="s">
        <v>81</v>
      </c>
      <c r="O427" s="19" t="s">
        <v>13</v>
      </c>
      <c r="P427" s="10"/>
      <c r="Q427" s="11"/>
    </row>
    <row r="428" spans="2:17" ht="21" customHeight="1" x14ac:dyDescent="0.35">
      <c r="B428" s="1">
        <v>43879</v>
      </c>
      <c r="C428" s="1" t="str">
        <f>TEXT(Sales[[#This Row],[Kode Program/Kegiatan ]],"D")</f>
        <v>18</v>
      </c>
      <c r="D428" s="2" t="str">
        <f>TEXT(Sales[[#This Row],[Kode Program/Kegiatan ]],"mmm")</f>
        <v>Feb</v>
      </c>
      <c r="E428" s="3">
        <v>3</v>
      </c>
      <c r="F428" s="2">
        <v>3</v>
      </c>
      <c r="G428" s="3" t="str">
        <f>IF(Sales[[#This Row],[Anggaran Murni]]-Sales[[#This Row],[Target s.d. Januari]]=0,"",Sales[[#This Row],[Anggaran Murni]]-Sales[[#This Row],[Target s.d. Januari]])</f>
        <v/>
      </c>
      <c r="H428" s="2" t="s">
        <v>71</v>
      </c>
      <c r="I428" s="3" t="s">
        <v>6</v>
      </c>
      <c r="J428" s="3"/>
      <c r="K428" s="2" t="s">
        <v>40</v>
      </c>
      <c r="L428" s="2" t="s">
        <v>2</v>
      </c>
      <c r="M428" s="4" t="s">
        <v>67</v>
      </c>
      <c r="N428" s="3" t="s">
        <v>81</v>
      </c>
      <c r="O428" s="2" t="s">
        <v>13</v>
      </c>
      <c r="P428" s="10"/>
      <c r="Q428" s="11"/>
    </row>
    <row r="429" spans="2:17" ht="21" customHeight="1" x14ac:dyDescent="0.35">
      <c r="B429" s="18">
        <v>43880</v>
      </c>
      <c r="C429" s="18" t="str">
        <f>TEXT(Sales[[#This Row],[Kode Program/Kegiatan ]],"D")</f>
        <v>19</v>
      </c>
      <c r="D429" s="19" t="str">
        <f>TEXT(Sales[[#This Row],[Kode Program/Kegiatan ]],"mmm")</f>
        <v>Feb</v>
      </c>
      <c r="E429" s="20">
        <v>10</v>
      </c>
      <c r="F429" s="19">
        <v>10</v>
      </c>
      <c r="G429" s="20" t="str">
        <f>IF(Sales[[#This Row],[Anggaran Murni]]-Sales[[#This Row],[Target s.d. Januari]]=0,"",Sales[[#This Row],[Anggaran Murni]]-Sales[[#This Row],[Target s.d. Januari]])</f>
        <v/>
      </c>
      <c r="H429" s="19" t="s">
        <v>72</v>
      </c>
      <c r="I429" s="20" t="s">
        <v>78</v>
      </c>
      <c r="J429" s="20"/>
      <c r="K429" s="19" t="s">
        <v>48</v>
      </c>
      <c r="L429" s="19" t="s">
        <v>5</v>
      </c>
      <c r="M429" s="21" t="s">
        <v>67</v>
      </c>
      <c r="N429" s="20" t="s">
        <v>81</v>
      </c>
      <c r="O429" s="19" t="s">
        <v>14</v>
      </c>
      <c r="P429" s="10"/>
      <c r="Q429" s="11"/>
    </row>
    <row r="430" spans="2:17" ht="21" customHeight="1" x14ac:dyDescent="0.35">
      <c r="B430" s="1">
        <v>43880</v>
      </c>
      <c r="C430" s="1" t="str">
        <f>TEXT(Sales[[#This Row],[Kode Program/Kegiatan ]],"D")</f>
        <v>19</v>
      </c>
      <c r="D430" s="2" t="str">
        <f>TEXT(Sales[[#This Row],[Kode Program/Kegiatan ]],"mmm")</f>
        <v>Feb</v>
      </c>
      <c r="E430" s="3">
        <v>10</v>
      </c>
      <c r="F430" s="2">
        <v>10</v>
      </c>
      <c r="G430" s="3" t="str">
        <f>IF(Sales[[#This Row],[Anggaran Murni]]-Sales[[#This Row],[Target s.d. Januari]]=0,"",Sales[[#This Row],[Anggaran Murni]]-Sales[[#This Row],[Target s.d. Januari]])</f>
        <v/>
      </c>
      <c r="H430" s="2" t="s">
        <v>74</v>
      </c>
      <c r="I430" s="3" t="s">
        <v>77</v>
      </c>
      <c r="J430" s="3"/>
      <c r="K430" s="2" t="s">
        <v>44</v>
      </c>
      <c r="L430" s="2" t="s">
        <v>5</v>
      </c>
      <c r="M430" s="4" t="s">
        <v>67</v>
      </c>
      <c r="N430" s="3" t="s">
        <v>80</v>
      </c>
      <c r="O430" s="2" t="s">
        <v>14</v>
      </c>
      <c r="P430" s="10"/>
      <c r="Q430" s="11"/>
    </row>
    <row r="431" spans="2:17" ht="21" customHeight="1" x14ac:dyDescent="0.35">
      <c r="B431" s="18">
        <v>43880</v>
      </c>
      <c r="C431" s="18" t="str">
        <f>TEXT(Sales[[#This Row],[Kode Program/Kegiatan ]],"D")</f>
        <v>19</v>
      </c>
      <c r="D431" s="19" t="str">
        <f>TEXT(Sales[[#This Row],[Kode Program/Kegiatan ]],"mmm")</f>
        <v>Feb</v>
      </c>
      <c r="E431" s="20">
        <v>10</v>
      </c>
      <c r="F431" s="19">
        <v>10</v>
      </c>
      <c r="G431" s="20" t="str">
        <f>IF(Sales[[#This Row],[Anggaran Murni]]-Sales[[#This Row],[Target s.d. Januari]]=0,"",Sales[[#This Row],[Anggaran Murni]]-Sales[[#This Row],[Target s.d. Januari]])</f>
        <v/>
      </c>
      <c r="H431" s="19" t="s">
        <v>113</v>
      </c>
      <c r="I431" s="20" t="s">
        <v>77</v>
      </c>
      <c r="J431" s="20"/>
      <c r="K431" s="19" t="s">
        <v>56</v>
      </c>
      <c r="L431" s="19" t="s">
        <v>2</v>
      </c>
      <c r="M431" s="21" t="s">
        <v>67</v>
      </c>
      <c r="N431" s="20" t="s">
        <v>80</v>
      </c>
      <c r="O431" s="19" t="s">
        <v>11</v>
      </c>
      <c r="P431" s="10"/>
      <c r="Q431" s="11"/>
    </row>
    <row r="432" spans="2:17" ht="21" customHeight="1" x14ac:dyDescent="0.35">
      <c r="B432" s="1">
        <v>43880</v>
      </c>
      <c r="C432" s="1" t="str">
        <f>TEXT(Sales[[#This Row],[Kode Program/Kegiatan ]],"D")</f>
        <v>19</v>
      </c>
      <c r="D432" s="2" t="str">
        <f>TEXT(Sales[[#This Row],[Kode Program/Kegiatan ]],"mmm")</f>
        <v>Feb</v>
      </c>
      <c r="E432" s="3">
        <v>8</v>
      </c>
      <c r="F432" s="2">
        <v>8</v>
      </c>
      <c r="G432" s="3" t="str">
        <f>IF(Sales[[#This Row],[Anggaran Murni]]-Sales[[#This Row],[Target s.d. Januari]]=0,"",Sales[[#This Row],[Anggaran Murni]]-Sales[[#This Row],[Target s.d. Januari]])</f>
        <v/>
      </c>
      <c r="H432" s="2" t="s">
        <v>114</v>
      </c>
      <c r="I432" s="3" t="s">
        <v>3</v>
      </c>
      <c r="J432" s="3"/>
      <c r="K432" s="2" t="s">
        <v>38</v>
      </c>
      <c r="L432" s="2" t="s">
        <v>7</v>
      </c>
      <c r="M432" s="4" t="s">
        <v>67</v>
      </c>
      <c r="N432" s="3" t="s">
        <v>82</v>
      </c>
      <c r="O432" s="2" t="s">
        <v>11</v>
      </c>
      <c r="P432" s="10"/>
      <c r="Q432" s="11"/>
    </row>
    <row r="433" spans="2:17" ht="21" customHeight="1" x14ac:dyDescent="0.35">
      <c r="B433" s="18">
        <v>43880</v>
      </c>
      <c r="C433" s="18" t="str">
        <f>TEXT(Sales[[#This Row],[Kode Program/Kegiatan ]],"D")</f>
        <v>19</v>
      </c>
      <c r="D433" s="19" t="str">
        <f>TEXT(Sales[[#This Row],[Kode Program/Kegiatan ]],"mmm")</f>
        <v>Feb</v>
      </c>
      <c r="E433" s="20">
        <v>7</v>
      </c>
      <c r="F433" s="19">
        <v>7</v>
      </c>
      <c r="G433" s="20" t="str">
        <f>IF(Sales[[#This Row],[Anggaran Murni]]-Sales[[#This Row],[Target s.d. Januari]]=0,"",Sales[[#This Row],[Anggaran Murni]]-Sales[[#This Row],[Target s.d. Januari]])</f>
        <v/>
      </c>
      <c r="H433" s="19" t="s">
        <v>74</v>
      </c>
      <c r="I433" s="20" t="s">
        <v>77</v>
      </c>
      <c r="J433" s="20"/>
      <c r="K433" s="19" t="s">
        <v>47</v>
      </c>
      <c r="L433" s="19" t="s">
        <v>2</v>
      </c>
      <c r="M433" s="21" t="s">
        <v>67</v>
      </c>
      <c r="N433" s="20" t="s">
        <v>82</v>
      </c>
      <c r="O433" s="19" t="s">
        <v>12</v>
      </c>
      <c r="P433" s="10"/>
      <c r="Q433" s="11"/>
    </row>
    <row r="434" spans="2:17" ht="21" customHeight="1" x14ac:dyDescent="0.35">
      <c r="B434" s="1">
        <v>43880</v>
      </c>
      <c r="C434" s="1" t="str">
        <f>TEXT(Sales[[#This Row],[Kode Program/Kegiatan ]],"D")</f>
        <v>19</v>
      </c>
      <c r="D434" s="2" t="str">
        <f>TEXT(Sales[[#This Row],[Kode Program/Kegiatan ]],"mmm")</f>
        <v>Feb</v>
      </c>
      <c r="E434" s="3">
        <v>6</v>
      </c>
      <c r="F434" s="2">
        <v>6</v>
      </c>
      <c r="G434" s="3" t="str">
        <f>IF(Sales[[#This Row],[Anggaran Murni]]-Sales[[#This Row],[Target s.d. Januari]]=0,"",Sales[[#This Row],[Anggaran Murni]]-Sales[[#This Row],[Target s.d. Januari]])</f>
        <v/>
      </c>
      <c r="H434" s="2" t="s">
        <v>73</v>
      </c>
      <c r="I434" s="3" t="s">
        <v>78</v>
      </c>
      <c r="J434" s="3"/>
      <c r="K434" s="2" t="s">
        <v>59</v>
      </c>
      <c r="L434" s="2" t="s">
        <v>2</v>
      </c>
      <c r="M434" s="4" t="s">
        <v>67</v>
      </c>
      <c r="N434" s="3" t="s">
        <v>82</v>
      </c>
      <c r="O434" s="2" t="s">
        <v>11</v>
      </c>
      <c r="P434" s="10"/>
      <c r="Q434" s="11"/>
    </row>
    <row r="435" spans="2:17" ht="21" customHeight="1" x14ac:dyDescent="0.35">
      <c r="B435" s="18">
        <v>43880</v>
      </c>
      <c r="C435" s="18" t="str">
        <f>TEXT(Sales[[#This Row],[Kode Program/Kegiatan ]],"D")</f>
        <v>19</v>
      </c>
      <c r="D435" s="19" t="str">
        <f>TEXT(Sales[[#This Row],[Kode Program/Kegiatan ]],"mmm")</f>
        <v>Feb</v>
      </c>
      <c r="E435" s="20">
        <v>6</v>
      </c>
      <c r="F435" s="19">
        <v>6</v>
      </c>
      <c r="G435" s="20" t="str">
        <f>IF(Sales[[#This Row],[Anggaran Murni]]-Sales[[#This Row],[Target s.d. Januari]]=0,"",Sales[[#This Row],[Anggaran Murni]]-Sales[[#This Row],[Target s.d. Januari]])</f>
        <v/>
      </c>
      <c r="H435" s="19" t="s">
        <v>70</v>
      </c>
      <c r="I435" s="20" t="s">
        <v>1</v>
      </c>
      <c r="J435" s="20"/>
      <c r="K435" s="19" t="s">
        <v>44</v>
      </c>
      <c r="L435" s="19" t="s">
        <v>2</v>
      </c>
      <c r="M435" s="21" t="s">
        <v>67</v>
      </c>
      <c r="N435" s="20" t="s">
        <v>81</v>
      </c>
      <c r="O435" s="19" t="s">
        <v>14</v>
      </c>
      <c r="P435" s="10"/>
      <c r="Q435" s="11"/>
    </row>
    <row r="436" spans="2:17" ht="21" customHeight="1" x14ac:dyDescent="0.35">
      <c r="B436" s="1">
        <v>43880</v>
      </c>
      <c r="C436" s="1" t="str">
        <f>TEXT(Sales[[#This Row],[Kode Program/Kegiatan ]],"D")</f>
        <v>19</v>
      </c>
      <c r="D436" s="2" t="str">
        <f>TEXT(Sales[[#This Row],[Kode Program/Kegiatan ]],"mmm")</f>
        <v>Feb</v>
      </c>
      <c r="E436" s="3">
        <v>5</v>
      </c>
      <c r="F436" s="2">
        <v>5</v>
      </c>
      <c r="G436" s="3" t="str">
        <f>IF(Sales[[#This Row],[Anggaran Murni]]-Sales[[#This Row],[Target s.d. Januari]]=0,"",Sales[[#This Row],[Anggaran Murni]]-Sales[[#This Row],[Target s.d. Januari]])</f>
        <v/>
      </c>
      <c r="H436" s="2" t="s">
        <v>71</v>
      </c>
      <c r="I436" s="3" t="s">
        <v>6</v>
      </c>
      <c r="J436" s="3"/>
      <c r="K436" s="2" t="s">
        <v>61</v>
      </c>
      <c r="L436" s="2" t="s">
        <v>5</v>
      </c>
      <c r="M436" s="4" t="s">
        <v>67</v>
      </c>
      <c r="N436" s="3" t="s">
        <v>81</v>
      </c>
      <c r="O436" s="2" t="s">
        <v>14</v>
      </c>
      <c r="P436" s="10"/>
      <c r="Q436" s="11"/>
    </row>
    <row r="437" spans="2:17" ht="21" customHeight="1" x14ac:dyDescent="0.35">
      <c r="B437" s="18">
        <v>43880</v>
      </c>
      <c r="C437" s="18" t="str">
        <f>TEXT(Sales[[#This Row],[Kode Program/Kegiatan ]],"D")</f>
        <v>19</v>
      </c>
      <c r="D437" s="19" t="str">
        <f>TEXT(Sales[[#This Row],[Kode Program/Kegiatan ]],"mmm")</f>
        <v>Feb</v>
      </c>
      <c r="E437" s="20">
        <v>5</v>
      </c>
      <c r="F437" s="19">
        <v>5</v>
      </c>
      <c r="G437" s="20" t="str">
        <f>IF(Sales[[#This Row],[Anggaran Murni]]-Sales[[#This Row],[Target s.d. Januari]]=0,"",Sales[[#This Row],[Anggaran Murni]]-Sales[[#This Row],[Target s.d. Januari]])</f>
        <v/>
      </c>
      <c r="H437" s="19" t="s">
        <v>75</v>
      </c>
      <c r="I437" s="20" t="s">
        <v>6</v>
      </c>
      <c r="J437" s="20"/>
      <c r="K437" s="19" t="s">
        <v>32</v>
      </c>
      <c r="L437" s="19" t="s">
        <v>2</v>
      </c>
      <c r="M437" s="21" t="s">
        <v>67</v>
      </c>
      <c r="N437" s="20" t="s">
        <v>82</v>
      </c>
      <c r="O437" s="19" t="s">
        <v>13</v>
      </c>
      <c r="P437" s="10"/>
      <c r="Q437" s="11"/>
    </row>
    <row r="438" spans="2:17" ht="21" customHeight="1" x14ac:dyDescent="0.35">
      <c r="B438" s="1">
        <v>43880</v>
      </c>
      <c r="C438" s="1" t="str">
        <f>TEXT(Sales[[#This Row],[Kode Program/Kegiatan ]],"D")</f>
        <v>19</v>
      </c>
      <c r="D438" s="2" t="str">
        <f>TEXT(Sales[[#This Row],[Kode Program/Kegiatan ]],"mmm")</f>
        <v>Feb</v>
      </c>
      <c r="E438" s="3">
        <v>4</v>
      </c>
      <c r="F438" s="2">
        <v>4</v>
      </c>
      <c r="G438" s="3" t="str">
        <f>IF(Sales[[#This Row],[Anggaran Murni]]-Sales[[#This Row],[Target s.d. Januari]]=0,"",Sales[[#This Row],[Anggaran Murni]]-Sales[[#This Row],[Target s.d. Januari]])</f>
        <v/>
      </c>
      <c r="H438" s="2" t="s">
        <v>114</v>
      </c>
      <c r="I438" s="3" t="s">
        <v>3</v>
      </c>
      <c r="J438" s="3"/>
      <c r="K438" s="2" t="s">
        <v>28</v>
      </c>
      <c r="L438" s="2" t="s">
        <v>2</v>
      </c>
      <c r="M438" s="4" t="s">
        <v>67</v>
      </c>
      <c r="N438" s="3" t="s">
        <v>81</v>
      </c>
      <c r="O438" s="2" t="s">
        <v>13</v>
      </c>
      <c r="P438" s="10"/>
      <c r="Q438" s="11"/>
    </row>
    <row r="439" spans="2:17" ht="21" customHeight="1" x14ac:dyDescent="0.35">
      <c r="B439" s="18">
        <v>43880</v>
      </c>
      <c r="C439" s="18" t="str">
        <f>TEXT(Sales[[#This Row],[Kode Program/Kegiatan ]],"D")</f>
        <v>19</v>
      </c>
      <c r="D439" s="19" t="str">
        <f>TEXT(Sales[[#This Row],[Kode Program/Kegiatan ]],"mmm")</f>
        <v>Feb</v>
      </c>
      <c r="E439" s="20">
        <v>4</v>
      </c>
      <c r="F439" s="19">
        <v>4</v>
      </c>
      <c r="G439" s="20" t="str">
        <f>IF(Sales[[#This Row],[Anggaran Murni]]-Sales[[#This Row],[Target s.d. Januari]]=0,"",Sales[[#This Row],[Anggaran Murni]]-Sales[[#This Row],[Target s.d. Januari]])</f>
        <v/>
      </c>
      <c r="H439" s="19" t="s">
        <v>113</v>
      </c>
      <c r="I439" s="20" t="s">
        <v>77</v>
      </c>
      <c r="J439" s="20"/>
      <c r="K439" s="19" t="s">
        <v>62</v>
      </c>
      <c r="L439" s="19" t="s">
        <v>5</v>
      </c>
      <c r="M439" s="21" t="s">
        <v>67</v>
      </c>
      <c r="N439" s="20" t="s">
        <v>81</v>
      </c>
      <c r="O439" s="19" t="s">
        <v>13</v>
      </c>
      <c r="P439" s="10"/>
      <c r="Q439" s="11"/>
    </row>
    <row r="440" spans="2:17" ht="21" customHeight="1" x14ac:dyDescent="0.35">
      <c r="B440" s="1">
        <v>43880</v>
      </c>
      <c r="C440" s="1" t="str">
        <f>TEXT(Sales[[#This Row],[Kode Program/Kegiatan ]],"D")</f>
        <v>19</v>
      </c>
      <c r="D440" s="2" t="str">
        <f>TEXT(Sales[[#This Row],[Kode Program/Kegiatan ]],"mmm")</f>
        <v>Feb</v>
      </c>
      <c r="E440" s="3">
        <v>3</v>
      </c>
      <c r="F440" s="2">
        <v>3</v>
      </c>
      <c r="G440" s="3" t="str">
        <f>IF(Sales[[#This Row],[Anggaran Murni]]-Sales[[#This Row],[Target s.d. Januari]]=0,"",Sales[[#This Row],[Anggaran Murni]]-Sales[[#This Row],[Target s.d. Januari]])</f>
        <v/>
      </c>
      <c r="H440" s="2" t="s">
        <v>72</v>
      </c>
      <c r="I440" s="3" t="s">
        <v>78</v>
      </c>
      <c r="J440" s="3"/>
      <c r="K440" s="2" t="s">
        <v>57</v>
      </c>
      <c r="L440" s="2" t="s">
        <v>5</v>
      </c>
      <c r="M440" s="4" t="s">
        <v>67</v>
      </c>
      <c r="N440" s="3" t="s">
        <v>82</v>
      </c>
      <c r="O440" s="2" t="s">
        <v>14</v>
      </c>
      <c r="P440" s="10"/>
      <c r="Q440" s="11"/>
    </row>
    <row r="441" spans="2:17" ht="21" customHeight="1" x14ac:dyDescent="0.35">
      <c r="B441" s="18">
        <v>43880</v>
      </c>
      <c r="C441" s="18" t="str">
        <f>TEXT(Sales[[#This Row],[Kode Program/Kegiatan ]],"D")</f>
        <v>19</v>
      </c>
      <c r="D441" s="19" t="str">
        <f>TEXT(Sales[[#This Row],[Kode Program/Kegiatan ]],"mmm")</f>
        <v>Feb</v>
      </c>
      <c r="E441" s="20">
        <v>3</v>
      </c>
      <c r="F441" s="19">
        <v>3</v>
      </c>
      <c r="G441" s="20" t="str">
        <f>IF(Sales[[#This Row],[Anggaran Murni]]-Sales[[#This Row],[Target s.d. Januari]]=0,"",Sales[[#This Row],[Anggaran Murni]]-Sales[[#This Row],[Target s.d. Januari]])</f>
        <v/>
      </c>
      <c r="H441" s="19" t="s">
        <v>70</v>
      </c>
      <c r="I441" s="20" t="s">
        <v>1</v>
      </c>
      <c r="J441" s="20"/>
      <c r="K441" s="19" t="s">
        <v>32</v>
      </c>
      <c r="L441" s="19" t="s">
        <v>9</v>
      </c>
      <c r="M441" s="21" t="s">
        <v>67</v>
      </c>
      <c r="N441" s="20" t="s">
        <v>80</v>
      </c>
      <c r="O441" s="19" t="s">
        <v>14</v>
      </c>
      <c r="P441" s="10"/>
      <c r="Q441" s="11"/>
    </row>
    <row r="442" spans="2:17" ht="21" customHeight="1" x14ac:dyDescent="0.35">
      <c r="B442" s="1">
        <v>43881</v>
      </c>
      <c r="C442" s="1" t="str">
        <f>TEXT(Sales[[#This Row],[Kode Program/Kegiatan ]],"D")</f>
        <v>20</v>
      </c>
      <c r="D442" s="2" t="str">
        <f>TEXT(Sales[[#This Row],[Kode Program/Kegiatan ]],"mmm")</f>
        <v>Feb</v>
      </c>
      <c r="E442" s="3">
        <v>10</v>
      </c>
      <c r="F442" s="2">
        <v>10</v>
      </c>
      <c r="G442" s="3" t="str">
        <f>IF(Sales[[#This Row],[Anggaran Murni]]-Sales[[#This Row],[Target s.d. Januari]]=0,"",Sales[[#This Row],[Anggaran Murni]]-Sales[[#This Row],[Target s.d. Januari]])</f>
        <v/>
      </c>
      <c r="H442" s="2" t="s">
        <v>70</v>
      </c>
      <c r="I442" s="3" t="s">
        <v>1</v>
      </c>
      <c r="J442" s="3"/>
      <c r="K442" s="2" t="s">
        <v>64</v>
      </c>
      <c r="L442" s="2" t="s">
        <v>9</v>
      </c>
      <c r="M442" s="4" t="s">
        <v>67</v>
      </c>
      <c r="N442" s="3" t="s">
        <v>80</v>
      </c>
      <c r="O442" s="2" t="s">
        <v>14</v>
      </c>
      <c r="P442" s="10"/>
      <c r="Q442" s="11"/>
    </row>
    <row r="443" spans="2:17" ht="21" customHeight="1" x14ac:dyDescent="0.35">
      <c r="B443" s="18">
        <v>43881</v>
      </c>
      <c r="C443" s="18" t="str">
        <f>TEXT(Sales[[#This Row],[Kode Program/Kegiatan ]],"D")</f>
        <v>20</v>
      </c>
      <c r="D443" s="19" t="str">
        <f>TEXT(Sales[[#This Row],[Kode Program/Kegiatan ]],"mmm")</f>
        <v>Feb</v>
      </c>
      <c r="E443" s="20">
        <v>10</v>
      </c>
      <c r="F443" s="19">
        <v>10</v>
      </c>
      <c r="G443" s="20" t="str">
        <f>IF(Sales[[#This Row],[Anggaran Murni]]-Sales[[#This Row],[Target s.d. Januari]]=0,"",Sales[[#This Row],[Anggaran Murni]]-Sales[[#This Row],[Target s.d. Januari]])</f>
        <v/>
      </c>
      <c r="H443" s="19" t="s">
        <v>72</v>
      </c>
      <c r="I443" s="20" t="s">
        <v>78</v>
      </c>
      <c r="J443" s="20"/>
      <c r="K443" s="19" t="s">
        <v>60</v>
      </c>
      <c r="L443" s="19" t="s">
        <v>8</v>
      </c>
      <c r="M443" s="21" t="s">
        <v>67</v>
      </c>
      <c r="N443" s="20" t="s">
        <v>82</v>
      </c>
      <c r="O443" s="19" t="s">
        <v>11</v>
      </c>
      <c r="P443" s="10"/>
      <c r="Q443" s="11"/>
    </row>
    <row r="444" spans="2:17" ht="21" customHeight="1" x14ac:dyDescent="0.35">
      <c r="B444" s="1">
        <v>43881</v>
      </c>
      <c r="C444" s="1" t="str">
        <f>TEXT(Sales[[#This Row],[Kode Program/Kegiatan ]],"D")</f>
        <v>20</v>
      </c>
      <c r="D444" s="2" t="str">
        <f>TEXT(Sales[[#This Row],[Kode Program/Kegiatan ]],"mmm")</f>
        <v>Feb</v>
      </c>
      <c r="E444" s="3">
        <v>10</v>
      </c>
      <c r="F444" s="2">
        <v>10</v>
      </c>
      <c r="G444" s="3" t="str">
        <f>IF(Sales[[#This Row],[Anggaran Murni]]-Sales[[#This Row],[Target s.d. Januari]]=0,"",Sales[[#This Row],[Anggaran Murni]]-Sales[[#This Row],[Target s.d. Januari]])</f>
        <v/>
      </c>
      <c r="H444" s="2" t="s">
        <v>70</v>
      </c>
      <c r="I444" s="3" t="s">
        <v>1</v>
      </c>
      <c r="J444" s="3"/>
      <c r="K444" s="2" t="s">
        <v>21</v>
      </c>
      <c r="L444" s="2" t="s">
        <v>2</v>
      </c>
      <c r="M444" s="4" t="s">
        <v>67</v>
      </c>
      <c r="N444" s="3" t="s">
        <v>82</v>
      </c>
      <c r="O444" s="2" t="s">
        <v>13</v>
      </c>
      <c r="P444" s="10"/>
      <c r="Q444" s="11"/>
    </row>
    <row r="445" spans="2:17" ht="21" customHeight="1" x14ac:dyDescent="0.35">
      <c r="B445" s="18">
        <v>43881</v>
      </c>
      <c r="C445" s="18" t="str">
        <f>TEXT(Sales[[#This Row],[Kode Program/Kegiatan ]],"D")</f>
        <v>20</v>
      </c>
      <c r="D445" s="19" t="str">
        <f>TEXT(Sales[[#This Row],[Kode Program/Kegiatan ]],"mmm")</f>
        <v>Feb</v>
      </c>
      <c r="E445" s="20">
        <v>9</v>
      </c>
      <c r="F445" s="19">
        <v>9</v>
      </c>
      <c r="G445" s="20" t="str">
        <f>IF(Sales[[#This Row],[Anggaran Murni]]-Sales[[#This Row],[Target s.d. Januari]]=0,"",Sales[[#This Row],[Anggaran Murni]]-Sales[[#This Row],[Target s.d. Januari]])</f>
        <v/>
      </c>
      <c r="H445" s="19" t="s">
        <v>113</v>
      </c>
      <c r="I445" s="20" t="s">
        <v>77</v>
      </c>
      <c r="J445" s="20"/>
      <c r="K445" s="19" t="s">
        <v>46</v>
      </c>
      <c r="L445" s="19" t="s">
        <v>2</v>
      </c>
      <c r="M445" s="21" t="s">
        <v>67</v>
      </c>
      <c r="N445" s="20" t="s">
        <v>82</v>
      </c>
      <c r="O445" s="19" t="s">
        <v>14</v>
      </c>
      <c r="P445" s="10"/>
      <c r="Q445" s="11"/>
    </row>
    <row r="446" spans="2:17" ht="21" customHeight="1" x14ac:dyDescent="0.35">
      <c r="B446" s="1">
        <v>43881</v>
      </c>
      <c r="C446" s="1" t="str">
        <f>TEXT(Sales[[#This Row],[Kode Program/Kegiatan ]],"D")</f>
        <v>20</v>
      </c>
      <c r="D446" s="2" t="str">
        <f>TEXT(Sales[[#This Row],[Kode Program/Kegiatan ]],"mmm")</f>
        <v>Feb</v>
      </c>
      <c r="E446" s="3">
        <v>8</v>
      </c>
      <c r="F446" s="2">
        <v>8</v>
      </c>
      <c r="G446" s="3" t="str">
        <f>IF(Sales[[#This Row],[Anggaran Murni]]-Sales[[#This Row],[Target s.d. Januari]]=0,"",Sales[[#This Row],[Anggaran Murni]]-Sales[[#This Row],[Target s.d. Januari]])</f>
        <v/>
      </c>
      <c r="H446" s="2" t="s">
        <v>114</v>
      </c>
      <c r="I446" s="3" t="s">
        <v>3</v>
      </c>
      <c r="J446" s="3"/>
      <c r="K446" s="2" t="s">
        <v>51</v>
      </c>
      <c r="L446" s="2" t="s">
        <v>2</v>
      </c>
      <c r="M446" s="4" t="s">
        <v>67</v>
      </c>
      <c r="N446" s="3" t="s">
        <v>81</v>
      </c>
      <c r="O446" s="2" t="s">
        <v>13</v>
      </c>
      <c r="P446" s="10"/>
      <c r="Q446" s="11"/>
    </row>
    <row r="447" spans="2:17" ht="21" customHeight="1" x14ac:dyDescent="0.35">
      <c r="B447" s="18">
        <v>43881</v>
      </c>
      <c r="C447" s="18" t="str">
        <f>TEXT(Sales[[#This Row],[Kode Program/Kegiatan ]],"D")</f>
        <v>20</v>
      </c>
      <c r="D447" s="19" t="str">
        <f>TEXT(Sales[[#This Row],[Kode Program/Kegiatan ]],"mmm")</f>
        <v>Feb</v>
      </c>
      <c r="E447" s="20">
        <v>7</v>
      </c>
      <c r="F447" s="19">
        <v>7</v>
      </c>
      <c r="G447" s="20" t="str">
        <f>IF(Sales[[#This Row],[Anggaran Murni]]-Sales[[#This Row],[Target s.d. Januari]]=0,"",Sales[[#This Row],[Anggaran Murni]]-Sales[[#This Row],[Target s.d. Januari]])</f>
        <v/>
      </c>
      <c r="H447" s="19" t="s">
        <v>113</v>
      </c>
      <c r="I447" s="20" t="s">
        <v>77</v>
      </c>
      <c r="J447" s="20"/>
      <c r="K447" s="19" t="s">
        <v>59</v>
      </c>
      <c r="L447" s="19" t="s">
        <v>4</v>
      </c>
      <c r="M447" s="21" t="s">
        <v>67</v>
      </c>
      <c r="N447" s="20" t="s">
        <v>80</v>
      </c>
      <c r="O447" s="19" t="s">
        <v>11</v>
      </c>
      <c r="P447" s="10"/>
      <c r="Q447" s="11"/>
    </row>
    <row r="448" spans="2:17" ht="21" customHeight="1" x14ac:dyDescent="0.35">
      <c r="B448" s="1">
        <v>43881</v>
      </c>
      <c r="C448" s="1" t="str">
        <f>TEXT(Sales[[#This Row],[Kode Program/Kegiatan ]],"D")</f>
        <v>20</v>
      </c>
      <c r="D448" s="2" t="str">
        <f>TEXT(Sales[[#This Row],[Kode Program/Kegiatan ]],"mmm")</f>
        <v>Feb</v>
      </c>
      <c r="E448" s="3">
        <v>7</v>
      </c>
      <c r="F448" s="2">
        <v>7</v>
      </c>
      <c r="G448" s="3" t="str">
        <f>IF(Sales[[#This Row],[Anggaran Murni]]-Sales[[#This Row],[Target s.d. Januari]]=0,"",Sales[[#This Row],[Anggaran Murni]]-Sales[[#This Row],[Target s.d. Januari]])</f>
        <v/>
      </c>
      <c r="H448" s="2" t="s">
        <v>74</v>
      </c>
      <c r="I448" s="3" t="s">
        <v>77</v>
      </c>
      <c r="J448" s="3"/>
      <c r="K448" s="2" t="s">
        <v>23</v>
      </c>
      <c r="L448" s="2" t="s">
        <v>8</v>
      </c>
      <c r="M448" s="4" t="s">
        <v>67</v>
      </c>
      <c r="N448" s="3" t="s">
        <v>80</v>
      </c>
      <c r="O448" s="2" t="s">
        <v>14</v>
      </c>
      <c r="P448" s="10"/>
      <c r="Q448" s="11"/>
    </row>
    <row r="449" spans="2:17" ht="21" customHeight="1" x14ac:dyDescent="0.35">
      <c r="B449" s="18">
        <v>43881</v>
      </c>
      <c r="C449" s="18" t="str">
        <f>TEXT(Sales[[#This Row],[Kode Program/Kegiatan ]],"D")</f>
        <v>20</v>
      </c>
      <c r="D449" s="19" t="str">
        <f>TEXT(Sales[[#This Row],[Kode Program/Kegiatan ]],"mmm")</f>
        <v>Feb</v>
      </c>
      <c r="E449" s="20">
        <v>7</v>
      </c>
      <c r="F449" s="19">
        <v>7</v>
      </c>
      <c r="G449" s="20" t="str">
        <f>IF(Sales[[#This Row],[Anggaran Murni]]-Sales[[#This Row],[Target s.d. Januari]]=0,"",Sales[[#This Row],[Anggaran Murni]]-Sales[[#This Row],[Target s.d. Januari]])</f>
        <v/>
      </c>
      <c r="H449" s="19" t="s">
        <v>114</v>
      </c>
      <c r="I449" s="20" t="s">
        <v>3</v>
      </c>
      <c r="J449" s="20"/>
      <c r="K449" s="19" t="s">
        <v>35</v>
      </c>
      <c r="L449" s="19" t="s">
        <v>5</v>
      </c>
      <c r="M449" s="21" t="s">
        <v>67</v>
      </c>
      <c r="N449" s="20" t="s">
        <v>82</v>
      </c>
      <c r="O449" s="19" t="s">
        <v>11</v>
      </c>
      <c r="P449" s="10"/>
      <c r="Q449" s="11"/>
    </row>
    <row r="450" spans="2:17" ht="21" customHeight="1" x14ac:dyDescent="0.35">
      <c r="B450" s="1">
        <v>43881</v>
      </c>
      <c r="C450" s="1" t="str">
        <f>TEXT(Sales[[#This Row],[Kode Program/Kegiatan ]],"D")</f>
        <v>20</v>
      </c>
      <c r="D450" s="2" t="str">
        <f>TEXT(Sales[[#This Row],[Kode Program/Kegiatan ]],"mmm")</f>
        <v>Feb</v>
      </c>
      <c r="E450" s="3">
        <v>6</v>
      </c>
      <c r="F450" s="2">
        <v>6</v>
      </c>
      <c r="G450" s="3" t="str">
        <f>IF(Sales[[#This Row],[Anggaran Murni]]-Sales[[#This Row],[Target s.d. Januari]]=0,"",Sales[[#This Row],[Anggaran Murni]]-Sales[[#This Row],[Target s.d. Januari]])</f>
        <v/>
      </c>
      <c r="H450" s="2" t="s">
        <v>76</v>
      </c>
      <c r="I450" s="3" t="s">
        <v>79</v>
      </c>
      <c r="J450" s="3"/>
      <c r="K450" s="2" t="s">
        <v>25</v>
      </c>
      <c r="L450" s="2" t="s">
        <v>2</v>
      </c>
      <c r="M450" s="4" t="s">
        <v>67</v>
      </c>
      <c r="N450" s="3" t="s">
        <v>81</v>
      </c>
      <c r="O450" s="2" t="s">
        <v>14</v>
      </c>
      <c r="P450" s="10"/>
      <c r="Q450" s="11"/>
    </row>
    <row r="451" spans="2:17" ht="21" customHeight="1" x14ac:dyDescent="0.35">
      <c r="B451" s="18">
        <v>43881</v>
      </c>
      <c r="C451" s="18" t="str">
        <f>TEXT(Sales[[#This Row],[Kode Program/Kegiatan ]],"D")</f>
        <v>20</v>
      </c>
      <c r="D451" s="19" t="str">
        <f>TEXT(Sales[[#This Row],[Kode Program/Kegiatan ]],"mmm")</f>
        <v>Feb</v>
      </c>
      <c r="E451" s="20">
        <v>5</v>
      </c>
      <c r="F451" s="19">
        <v>5</v>
      </c>
      <c r="G451" s="20" t="str">
        <f>IF(Sales[[#This Row],[Anggaran Murni]]-Sales[[#This Row],[Target s.d. Januari]]=0,"",Sales[[#This Row],[Anggaran Murni]]-Sales[[#This Row],[Target s.d. Januari]])</f>
        <v/>
      </c>
      <c r="H451" s="19" t="s">
        <v>71</v>
      </c>
      <c r="I451" s="20" t="s">
        <v>6</v>
      </c>
      <c r="J451" s="20"/>
      <c r="K451" s="19" t="s">
        <v>59</v>
      </c>
      <c r="L451" s="19" t="s">
        <v>7</v>
      </c>
      <c r="M451" s="21" t="s">
        <v>67</v>
      </c>
      <c r="N451" s="20" t="s">
        <v>81</v>
      </c>
      <c r="O451" s="19" t="s">
        <v>14</v>
      </c>
      <c r="P451" s="10"/>
      <c r="Q451" s="11"/>
    </row>
    <row r="452" spans="2:17" ht="21" customHeight="1" x14ac:dyDescent="0.35">
      <c r="B452" s="1">
        <v>43881</v>
      </c>
      <c r="C452" s="1" t="str">
        <f>TEXT(Sales[[#This Row],[Kode Program/Kegiatan ]],"D")</f>
        <v>20</v>
      </c>
      <c r="D452" s="2" t="str">
        <f>TEXT(Sales[[#This Row],[Kode Program/Kegiatan ]],"mmm")</f>
        <v>Feb</v>
      </c>
      <c r="E452" s="3">
        <v>3</v>
      </c>
      <c r="F452" s="2">
        <v>3</v>
      </c>
      <c r="G452" s="3" t="str">
        <f>IF(Sales[[#This Row],[Anggaran Murni]]-Sales[[#This Row],[Target s.d. Januari]]=0,"",Sales[[#This Row],[Anggaran Murni]]-Sales[[#This Row],[Target s.d. Januari]])</f>
        <v/>
      </c>
      <c r="H452" s="2" t="s">
        <v>113</v>
      </c>
      <c r="I452" s="3" t="s">
        <v>77</v>
      </c>
      <c r="J452" s="3"/>
      <c r="K452" s="2" t="s">
        <v>38</v>
      </c>
      <c r="L452" s="2" t="s">
        <v>8</v>
      </c>
      <c r="M452" s="4" t="s">
        <v>67</v>
      </c>
      <c r="N452" s="3" t="s">
        <v>80</v>
      </c>
      <c r="O452" s="2" t="s">
        <v>12</v>
      </c>
      <c r="P452" s="10"/>
      <c r="Q452" s="11"/>
    </row>
    <row r="453" spans="2:17" ht="21" customHeight="1" x14ac:dyDescent="0.35">
      <c r="B453" s="18">
        <v>43882</v>
      </c>
      <c r="C453" s="18" t="str">
        <f>TEXT(Sales[[#This Row],[Kode Program/Kegiatan ]],"D")</f>
        <v>21</v>
      </c>
      <c r="D453" s="19" t="str">
        <f>TEXT(Sales[[#This Row],[Kode Program/Kegiatan ]],"mmm")</f>
        <v>Feb</v>
      </c>
      <c r="E453" s="20">
        <v>10</v>
      </c>
      <c r="F453" s="19">
        <v>10</v>
      </c>
      <c r="G453" s="20" t="str">
        <f>IF(Sales[[#This Row],[Anggaran Murni]]-Sales[[#This Row],[Target s.d. Januari]]=0,"",Sales[[#This Row],[Anggaran Murni]]-Sales[[#This Row],[Target s.d. Januari]])</f>
        <v/>
      </c>
      <c r="H453" s="19" t="s">
        <v>113</v>
      </c>
      <c r="I453" s="20" t="s">
        <v>77</v>
      </c>
      <c r="J453" s="20"/>
      <c r="K453" s="19" t="s">
        <v>46</v>
      </c>
      <c r="L453" s="19" t="s">
        <v>8</v>
      </c>
      <c r="M453" s="21" t="s">
        <v>67</v>
      </c>
      <c r="N453" s="20" t="s">
        <v>81</v>
      </c>
      <c r="O453" s="19" t="s">
        <v>12</v>
      </c>
      <c r="P453" s="10"/>
      <c r="Q453" s="11"/>
    </row>
    <row r="454" spans="2:17" ht="21" customHeight="1" x14ac:dyDescent="0.35">
      <c r="B454" s="1">
        <v>43882</v>
      </c>
      <c r="C454" s="1" t="str">
        <f>TEXT(Sales[[#This Row],[Kode Program/Kegiatan ]],"D")</f>
        <v>21</v>
      </c>
      <c r="D454" s="2" t="str">
        <f>TEXT(Sales[[#This Row],[Kode Program/Kegiatan ]],"mmm")</f>
        <v>Feb</v>
      </c>
      <c r="E454" s="3">
        <v>10</v>
      </c>
      <c r="F454" s="2">
        <v>10</v>
      </c>
      <c r="G454" s="3" t="str">
        <f>IF(Sales[[#This Row],[Anggaran Murni]]-Sales[[#This Row],[Target s.d. Januari]]=0,"",Sales[[#This Row],[Anggaran Murni]]-Sales[[#This Row],[Target s.d. Januari]])</f>
        <v/>
      </c>
      <c r="H454" s="2" t="s">
        <v>71</v>
      </c>
      <c r="I454" s="3" t="s">
        <v>6</v>
      </c>
      <c r="J454" s="3"/>
      <c r="K454" s="2" t="s">
        <v>59</v>
      </c>
      <c r="L454" s="2" t="s">
        <v>2</v>
      </c>
      <c r="M454" s="4" t="s">
        <v>67</v>
      </c>
      <c r="N454" s="3" t="s">
        <v>82</v>
      </c>
      <c r="O454" s="2" t="s">
        <v>12</v>
      </c>
      <c r="P454" s="10"/>
      <c r="Q454" s="11"/>
    </row>
    <row r="455" spans="2:17" ht="21" customHeight="1" x14ac:dyDescent="0.35">
      <c r="B455" s="18">
        <v>43882</v>
      </c>
      <c r="C455" s="18" t="str">
        <f>TEXT(Sales[[#This Row],[Kode Program/Kegiatan ]],"D")</f>
        <v>21</v>
      </c>
      <c r="D455" s="19" t="str">
        <f>TEXT(Sales[[#This Row],[Kode Program/Kegiatan ]],"mmm")</f>
        <v>Feb</v>
      </c>
      <c r="E455" s="20">
        <v>10</v>
      </c>
      <c r="F455" s="19">
        <v>10</v>
      </c>
      <c r="G455" s="20" t="str">
        <f>IF(Sales[[#This Row],[Anggaran Murni]]-Sales[[#This Row],[Target s.d. Januari]]=0,"",Sales[[#This Row],[Anggaran Murni]]-Sales[[#This Row],[Target s.d. Januari]])</f>
        <v/>
      </c>
      <c r="H455" s="19" t="s">
        <v>114</v>
      </c>
      <c r="I455" s="20" t="s">
        <v>3</v>
      </c>
      <c r="J455" s="20"/>
      <c r="K455" s="19" t="s">
        <v>38</v>
      </c>
      <c r="L455" s="19" t="s">
        <v>5</v>
      </c>
      <c r="M455" s="21" t="s">
        <v>67</v>
      </c>
      <c r="N455" s="20" t="s">
        <v>82</v>
      </c>
      <c r="O455" s="19" t="s">
        <v>11</v>
      </c>
      <c r="P455" s="10"/>
      <c r="Q455" s="11"/>
    </row>
    <row r="456" spans="2:17" ht="21" customHeight="1" x14ac:dyDescent="0.35">
      <c r="B456" s="1">
        <v>43882</v>
      </c>
      <c r="C456" s="1" t="str">
        <f>TEXT(Sales[[#This Row],[Kode Program/Kegiatan ]],"D")</f>
        <v>21</v>
      </c>
      <c r="D456" s="2" t="str">
        <f>TEXT(Sales[[#This Row],[Kode Program/Kegiatan ]],"mmm")</f>
        <v>Feb</v>
      </c>
      <c r="E456" s="3">
        <v>7</v>
      </c>
      <c r="F456" s="2">
        <v>7</v>
      </c>
      <c r="G456" s="3" t="str">
        <f>IF(Sales[[#This Row],[Anggaran Murni]]-Sales[[#This Row],[Target s.d. Januari]]=0,"",Sales[[#This Row],[Anggaran Murni]]-Sales[[#This Row],[Target s.d. Januari]])</f>
        <v/>
      </c>
      <c r="H456" s="2" t="s">
        <v>72</v>
      </c>
      <c r="I456" s="3" t="s">
        <v>78</v>
      </c>
      <c r="J456" s="3"/>
      <c r="K456" s="2" t="s">
        <v>40</v>
      </c>
      <c r="L456" s="2" t="s">
        <v>2</v>
      </c>
      <c r="M456" s="4" t="s">
        <v>67</v>
      </c>
      <c r="N456" s="3" t="s">
        <v>81</v>
      </c>
      <c r="O456" s="2" t="s">
        <v>12</v>
      </c>
      <c r="P456" s="10"/>
      <c r="Q456" s="11"/>
    </row>
    <row r="457" spans="2:17" ht="21" customHeight="1" x14ac:dyDescent="0.35">
      <c r="B457" s="18">
        <v>43882</v>
      </c>
      <c r="C457" s="18" t="str">
        <f>TEXT(Sales[[#This Row],[Kode Program/Kegiatan ]],"D")</f>
        <v>21</v>
      </c>
      <c r="D457" s="19" t="str">
        <f>TEXT(Sales[[#This Row],[Kode Program/Kegiatan ]],"mmm")</f>
        <v>Feb</v>
      </c>
      <c r="E457" s="20">
        <v>7</v>
      </c>
      <c r="F457" s="19">
        <v>7</v>
      </c>
      <c r="G457" s="20" t="str">
        <f>IF(Sales[[#This Row],[Anggaran Murni]]-Sales[[#This Row],[Target s.d. Januari]]=0,"",Sales[[#This Row],[Anggaran Murni]]-Sales[[#This Row],[Target s.d. Januari]])</f>
        <v/>
      </c>
      <c r="H457" s="19" t="s">
        <v>114</v>
      </c>
      <c r="I457" s="20" t="s">
        <v>3</v>
      </c>
      <c r="J457" s="20"/>
      <c r="K457" s="19" t="s">
        <v>31</v>
      </c>
      <c r="L457" s="19" t="s">
        <v>2</v>
      </c>
      <c r="M457" s="21" t="s">
        <v>67</v>
      </c>
      <c r="N457" s="20" t="s">
        <v>82</v>
      </c>
      <c r="O457" s="19" t="s">
        <v>14</v>
      </c>
      <c r="P457" s="10"/>
      <c r="Q457" s="11"/>
    </row>
    <row r="458" spans="2:17" ht="21" customHeight="1" x14ac:dyDescent="0.35">
      <c r="B458" s="1">
        <v>43882</v>
      </c>
      <c r="C458" s="1" t="str">
        <f>TEXT(Sales[[#This Row],[Kode Program/Kegiatan ]],"D")</f>
        <v>21</v>
      </c>
      <c r="D458" s="2" t="str">
        <f>TEXT(Sales[[#This Row],[Kode Program/Kegiatan ]],"mmm")</f>
        <v>Feb</v>
      </c>
      <c r="E458" s="3">
        <v>7</v>
      </c>
      <c r="F458" s="2">
        <v>7</v>
      </c>
      <c r="G458" s="3" t="str">
        <f>IF(Sales[[#This Row],[Anggaran Murni]]-Sales[[#This Row],[Target s.d. Januari]]=0,"",Sales[[#This Row],[Anggaran Murni]]-Sales[[#This Row],[Target s.d. Januari]])</f>
        <v/>
      </c>
      <c r="H458" s="2" t="s">
        <v>113</v>
      </c>
      <c r="I458" s="3" t="s">
        <v>77</v>
      </c>
      <c r="J458" s="3"/>
      <c r="K458" s="2" t="s">
        <v>26</v>
      </c>
      <c r="L458" s="2" t="s">
        <v>9</v>
      </c>
      <c r="M458" s="4" t="s">
        <v>67</v>
      </c>
      <c r="N458" s="3" t="s">
        <v>81</v>
      </c>
      <c r="O458" s="2" t="s">
        <v>14</v>
      </c>
      <c r="P458" s="10"/>
      <c r="Q458" s="11"/>
    </row>
    <row r="459" spans="2:17" ht="21" customHeight="1" x14ac:dyDescent="0.35">
      <c r="B459" s="18">
        <v>43882</v>
      </c>
      <c r="C459" s="18" t="str">
        <f>TEXT(Sales[[#This Row],[Kode Program/Kegiatan ]],"D")</f>
        <v>21</v>
      </c>
      <c r="D459" s="19" t="str">
        <f>TEXT(Sales[[#This Row],[Kode Program/Kegiatan ]],"mmm")</f>
        <v>Feb</v>
      </c>
      <c r="E459" s="20">
        <v>6</v>
      </c>
      <c r="F459" s="19">
        <v>6</v>
      </c>
      <c r="G459" s="20" t="str">
        <f>IF(Sales[[#This Row],[Anggaran Murni]]-Sales[[#This Row],[Target s.d. Januari]]=0,"",Sales[[#This Row],[Anggaran Murni]]-Sales[[#This Row],[Target s.d. Januari]])</f>
        <v/>
      </c>
      <c r="H459" s="19" t="s">
        <v>75</v>
      </c>
      <c r="I459" s="20" t="s">
        <v>6</v>
      </c>
      <c r="J459" s="20"/>
      <c r="K459" s="19" t="s">
        <v>51</v>
      </c>
      <c r="L459" s="19" t="s">
        <v>5</v>
      </c>
      <c r="M459" s="21" t="s">
        <v>67</v>
      </c>
      <c r="N459" s="20" t="s">
        <v>82</v>
      </c>
      <c r="O459" s="19" t="s">
        <v>12</v>
      </c>
      <c r="P459" s="10"/>
      <c r="Q459" s="11"/>
    </row>
    <row r="460" spans="2:17" ht="21" customHeight="1" x14ac:dyDescent="0.35">
      <c r="B460" s="1">
        <v>43882</v>
      </c>
      <c r="C460" s="1" t="str">
        <f>TEXT(Sales[[#This Row],[Kode Program/Kegiatan ]],"D")</f>
        <v>21</v>
      </c>
      <c r="D460" s="2" t="str">
        <f>TEXT(Sales[[#This Row],[Kode Program/Kegiatan ]],"mmm")</f>
        <v>Feb</v>
      </c>
      <c r="E460" s="3">
        <v>6</v>
      </c>
      <c r="F460" s="2">
        <v>6</v>
      </c>
      <c r="G460" s="3" t="str">
        <f>IF(Sales[[#This Row],[Anggaran Murni]]-Sales[[#This Row],[Target s.d. Januari]]=0,"",Sales[[#This Row],[Anggaran Murni]]-Sales[[#This Row],[Target s.d. Januari]])</f>
        <v/>
      </c>
      <c r="H460" s="2" t="s">
        <v>73</v>
      </c>
      <c r="I460" s="3" t="s">
        <v>78</v>
      </c>
      <c r="J460" s="3"/>
      <c r="K460" s="2" t="s">
        <v>16</v>
      </c>
      <c r="L460" s="2" t="s">
        <v>5</v>
      </c>
      <c r="M460" s="4" t="s">
        <v>67</v>
      </c>
      <c r="N460" s="3" t="s">
        <v>80</v>
      </c>
      <c r="O460" s="2" t="s">
        <v>14</v>
      </c>
      <c r="P460" s="10"/>
      <c r="Q460" s="11"/>
    </row>
    <row r="461" spans="2:17" ht="21" customHeight="1" x14ac:dyDescent="0.35">
      <c r="B461" s="18">
        <v>43882</v>
      </c>
      <c r="C461" s="18" t="str">
        <f>TEXT(Sales[[#This Row],[Kode Program/Kegiatan ]],"D")</f>
        <v>21</v>
      </c>
      <c r="D461" s="19" t="str">
        <f>TEXT(Sales[[#This Row],[Kode Program/Kegiatan ]],"mmm")</f>
        <v>Feb</v>
      </c>
      <c r="E461" s="20">
        <v>6</v>
      </c>
      <c r="F461" s="19">
        <v>6</v>
      </c>
      <c r="G461" s="20" t="str">
        <f>IF(Sales[[#This Row],[Anggaran Murni]]-Sales[[#This Row],[Target s.d. Januari]]=0,"",Sales[[#This Row],[Anggaran Murni]]-Sales[[#This Row],[Target s.d. Januari]])</f>
        <v/>
      </c>
      <c r="H461" s="19" t="s">
        <v>73</v>
      </c>
      <c r="I461" s="20" t="s">
        <v>78</v>
      </c>
      <c r="J461" s="20"/>
      <c r="K461" s="19" t="s">
        <v>15</v>
      </c>
      <c r="L461" s="19" t="s">
        <v>2</v>
      </c>
      <c r="M461" s="21" t="s">
        <v>67</v>
      </c>
      <c r="N461" s="20" t="s">
        <v>81</v>
      </c>
      <c r="O461" s="19" t="s">
        <v>13</v>
      </c>
      <c r="P461" s="10"/>
      <c r="Q461" s="11"/>
    </row>
    <row r="462" spans="2:17" ht="21" customHeight="1" x14ac:dyDescent="0.35">
      <c r="B462" s="1">
        <v>43882</v>
      </c>
      <c r="C462" s="1" t="str">
        <f>TEXT(Sales[[#This Row],[Kode Program/Kegiatan ]],"D")</f>
        <v>21</v>
      </c>
      <c r="D462" s="2" t="str">
        <f>TEXT(Sales[[#This Row],[Kode Program/Kegiatan ]],"mmm")</f>
        <v>Feb</v>
      </c>
      <c r="E462" s="3">
        <v>4</v>
      </c>
      <c r="F462" s="2">
        <v>4</v>
      </c>
      <c r="G462" s="3" t="str">
        <f>IF(Sales[[#This Row],[Anggaran Murni]]-Sales[[#This Row],[Target s.d. Januari]]=0,"",Sales[[#This Row],[Anggaran Murni]]-Sales[[#This Row],[Target s.d. Januari]])</f>
        <v/>
      </c>
      <c r="H462" s="2" t="s">
        <v>73</v>
      </c>
      <c r="I462" s="3" t="s">
        <v>78</v>
      </c>
      <c r="J462" s="3"/>
      <c r="K462" s="2" t="s">
        <v>51</v>
      </c>
      <c r="L462" s="2" t="s">
        <v>9</v>
      </c>
      <c r="M462" s="4" t="s">
        <v>67</v>
      </c>
      <c r="N462" s="3" t="s">
        <v>81</v>
      </c>
      <c r="O462" s="2" t="s">
        <v>13</v>
      </c>
      <c r="P462" s="10"/>
      <c r="Q462" s="11"/>
    </row>
    <row r="463" spans="2:17" ht="21" customHeight="1" x14ac:dyDescent="0.35">
      <c r="B463" s="18">
        <v>43883</v>
      </c>
      <c r="C463" s="18" t="str">
        <f>TEXT(Sales[[#This Row],[Kode Program/Kegiatan ]],"D")</f>
        <v>22</v>
      </c>
      <c r="D463" s="19" t="str">
        <f>TEXT(Sales[[#This Row],[Kode Program/Kegiatan ]],"mmm")</f>
        <v>Feb</v>
      </c>
      <c r="E463" s="20">
        <v>9</v>
      </c>
      <c r="F463" s="19">
        <v>9</v>
      </c>
      <c r="G463" s="20" t="str">
        <f>IF(Sales[[#This Row],[Anggaran Murni]]-Sales[[#This Row],[Target s.d. Januari]]=0,"",Sales[[#This Row],[Anggaran Murni]]-Sales[[#This Row],[Target s.d. Januari]])</f>
        <v/>
      </c>
      <c r="H463" s="19" t="s">
        <v>73</v>
      </c>
      <c r="I463" s="20" t="s">
        <v>78</v>
      </c>
      <c r="J463" s="20"/>
      <c r="K463" s="19" t="s">
        <v>22</v>
      </c>
      <c r="L463" s="19" t="s">
        <v>8</v>
      </c>
      <c r="M463" s="21" t="s">
        <v>67</v>
      </c>
      <c r="N463" s="20" t="s">
        <v>80</v>
      </c>
      <c r="O463" s="19" t="s">
        <v>13</v>
      </c>
      <c r="P463" s="10"/>
      <c r="Q463" s="11"/>
    </row>
    <row r="464" spans="2:17" ht="21" customHeight="1" x14ac:dyDescent="0.35">
      <c r="B464" s="1">
        <v>43883</v>
      </c>
      <c r="C464" s="1" t="str">
        <f>TEXT(Sales[[#This Row],[Kode Program/Kegiatan ]],"D")</f>
        <v>22</v>
      </c>
      <c r="D464" s="2" t="str">
        <f>TEXT(Sales[[#This Row],[Kode Program/Kegiatan ]],"mmm")</f>
        <v>Feb</v>
      </c>
      <c r="E464" s="3">
        <v>9</v>
      </c>
      <c r="F464" s="2">
        <v>9</v>
      </c>
      <c r="G464" s="3" t="str">
        <f>IF(Sales[[#This Row],[Anggaran Murni]]-Sales[[#This Row],[Target s.d. Januari]]=0,"",Sales[[#This Row],[Anggaran Murni]]-Sales[[#This Row],[Target s.d. Januari]])</f>
        <v/>
      </c>
      <c r="H464" s="2" t="s">
        <v>75</v>
      </c>
      <c r="I464" s="3" t="s">
        <v>6</v>
      </c>
      <c r="J464" s="3"/>
      <c r="K464" s="2" t="s">
        <v>48</v>
      </c>
      <c r="L464" s="2" t="s">
        <v>9</v>
      </c>
      <c r="M464" s="4" t="s">
        <v>67</v>
      </c>
      <c r="N464" s="3" t="s">
        <v>80</v>
      </c>
      <c r="O464" s="2" t="s">
        <v>11</v>
      </c>
      <c r="P464" s="10"/>
      <c r="Q464" s="11"/>
    </row>
    <row r="465" spans="2:17" ht="21" customHeight="1" x14ac:dyDescent="0.35">
      <c r="B465" s="18">
        <v>43883</v>
      </c>
      <c r="C465" s="18" t="str">
        <f>TEXT(Sales[[#This Row],[Kode Program/Kegiatan ]],"D")</f>
        <v>22</v>
      </c>
      <c r="D465" s="19" t="str">
        <f>TEXT(Sales[[#This Row],[Kode Program/Kegiatan ]],"mmm")</f>
        <v>Feb</v>
      </c>
      <c r="E465" s="20">
        <v>8</v>
      </c>
      <c r="F465" s="19">
        <v>8</v>
      </c>
      <c r="G465" s="20" t="str">
        <f>IF(Sales[[#This Row],[Anggaran Murni]]-Sales[[#This Row],[Target s.d. Januari]]=0,"",Sales[[#This Row],[Anggaran Murni]]-Sales[[#This Row],[Target s.d. Januari]])</f>
        <v/>
      </c>
      <c r="H465" s="19" t="s">
        <v>76</v>
      </c>
      <c r="I465" s="20" t="s">
        <v>79</v>
      </c>
      <c r="J465" s="20"/>
      <c r="K465" s="19" t="s">
        <v>18</v>
      </c>
      <c r="L465" s="19" t="s">
        <v>2</v>
      </c>
      <c r="M465" s="21" t="s">
        <v>67</v>
      </c>
      <c r="N465" s="20" t="s">
        <v>80</v>
      </c>
      <c r="O465" s="19" t="s">
        <v>14</v>
      </c>
      <c r="P465" s="10"/>
      <c r="Q465" s="11"/>
    </row>
    <row r="466" spans="2:17" ht="21" customHeight="1" x14ac:dyDescent="0.35">
      <c r="B466" s="1">
        <v>43883</v>
      </c>
      <c r="C466" s="1" t="str">
        <f>TEXT(Sales[[#This Row],[Kode Program/Kegiatan ]],"D")</f>
        <v>22</v>
      </c>
      <c r="D466" s="2" t="str">
        <f>TEXT(Sales[[#This Row],[Kode Program/Kegiatan ]],"mmm")</f>
        <v>Feb</v>
      </c>
      <c r="E466" s="3">
        <v>8</v>
      </c>
      <c r="F466" s="2">
        <v>8</v>
      </c>
      <c r="G466" s="3" t="str">
        <f>IF(Sales[[#This Row],[Anggaran Murni]]-Sales[[#This Row],[Target s.d. Januari]]=0,"",Sales[[#This Row],[Anggaran Murni]]-Sales[[#This Row],[Target s.d. Januari]])</f>
        <v/>
      </c>
      <c r="H466" s="2" t="s">
        <v>74</v>
      </c>
      <c r="I466" s="3" t="s">
        <v>77</v>
      </c>
      <c r="J466" s="3"/>
      <c r="K466" s="2" t="s">
        <v>40</v>
      </c>
      <c r="L466" s="2" t="s">
        <v>9</v>
      </c>
      <c r="M466" s="4" t="s">
        <v>67</v>
      </c>
      <c r="N466" s="3" t="s">
        <v>81</v>
      </c>
      <c r="O466" s="2" t="s">
        <v>14</v>
      </c>
      <c r="P466" s="10"/>
      <c r="Q466" s="11"/>
    </row>
    <row r="467" spans="2:17" ht="21" customHeight="1" x14ac:dyDescent="0.35">
      <c r="B467" s="18">
        <v>43883</v>
      </c>
      <c r="C467" s="18" t="str">
        <f>TEXT(Sales[[#This Row],[Kode Program/Kegiatan ]],"D")</f>
        <v>22</v>
      </c>
      <c r="D467" s="19" t="str">
        <f>TEXT(Sales[[#This Row],[Kode Program/Kegiatan ]],"mmm")</f>
        <v>Feb</v>
      </c>
      <c r="E467" s="20">
        <v>8</v>
      </c>
      <c r="F467" s="19">
        <v>8</v>
      </c>
      <c r="G467" s="20" t="str">
        <f>IF(Sales[[#This Row],[Anggaran Murni]]-Sales[[#This Row],[Target s.d. Januari]]=0,"",Sales[[#This Row],[Anggaran Murni]]-Sales[[#This Row],[Target s.d. Januari]])</f>
        <v/>
      </c>
      <c r="H467" s="19" t="s">
        <v>72</v>
      </c>
      <c r="I467" s="20" t="s">
        <v>78</v>
      </c>
      <c r="J467" s="20"/>
      <c r="K467" s="19" t="s">
        <v>17</v>
      </c>
      <c r="L467" s="19" t="s">
        <v>2</v>
      </c>
      <c r="M467" s="21" t="s">
        <v>67</v>
      </c>
      <c r="N467" s="20" t="s">
        <v>80</v>
      </c>
      <c r="O467" s="19" t="s">
        <v>11</v>
      </c>
      <c r="P467" s="10"/>
      <c r="Q467" s="11"/>
    </row>
    <row r="468" spans="2:17" ht="21" customHeight="1" x14ac:dyDescent="0.35">
      <c r="B468" s="1">
        <v>43883</v>
      </c>
      <c r="C468" s="1" t="str">
        <f>TEXT(Sales[[#This Row],[Kode Program/Kegiatan ]],"D")</f>
        <v>22</v>
      </c>
      <c r="D468" s="2" t="str">
        <f>TEXT(Sales[[#This Row],[Kode Program/Kegiatan ]],"mmm")</f>
        <v>Feb</v>
      </c>
      <c r="E468" s="3">
        <v>7</v>
      </c>
      <c r="F468" s="2">
        <v>7</v>
      </c>
      <c r="G468" s="3" t="str">
        <f>IF(Sales[[#This Row],[Anggaran Murni]]-Sales[[#This Row],[Target s.d. Januari]]=0,"",Sales[[#This Row],[Anggaran Murni]]-Sales[[#This Row],[Target s.d. Januari]])</f>
        <v/>
      </c>
      <c r="H468" s="2" t="s">
        <v>72</v>
      </c>
      <c r="I468" s="3" t="s">
        <v>78</v>
      </c>
      <c r="J468" s="3"/>
      <c r="K468" s="2" t="s">
        <v>35</v>
      </c>
      <c r="L468" s="2" t="s">
        <v>2</v>
      </c>
      <c r="M468" s="4" t="s">
        <v>67</v>
      </c>
      <c r="N468" s="3" t="s">
        <v>82</v>
      </c>
      <c r="O468" s="2" t="s">
        <v>14</v>
      </c>
      <c r="P468" s="10"/>
      <c r="Q468" s="11"/>
    </row>
    <row r="469" spans="2:17" ht="21" customHeight="1" x14ac:dyDescent="0.35">
      <c r="B469" s="18">
        <v>43883</v>
      </c>
      <c r="C469" s="18" t="str">
        <f>TEXT(Sales[[#This Row],[Kode Program/Kegiatan ]],"D")</f>
        <v>22</v>
      </c>
      <c r="D469" s="19" t="str">
        <f>TEXT(Sales[[#This Row],[Kode Program/Kegiatan ]],"mmm")</f>
        <v>Feb</v>
      </c>
      <c r="E469" s="20">
        <v>7</v>
      </c>
      <c r="F469" s="19">
        <v>7</v>
      </c>
      <c r="G469" s="20" t="str">
        <f>IF(Sales[[#This Row],[Anggaran Murni]]-Sales[[#This Row],[Target s.d. Januari]]=0,"",Sales[[#This Row],[Anggaran Murni]]-Sales[[#This Row],[Target s.d. Januari]])</f>
        <v/>
      </c>
      <c r="H469" s="19" t="s">
        <v>113</v>
      </c>
      <c r="I469" s="20" t="s">
        <v>77</v>
      </c>
      <c r="J469" s="20"/>
      <c r="K469" s="19" t="s">
        <v>44</v>
      </c>
      <c r="L469" s="19" t="s">
        <v>7</v>
      </c>
      <c r="M469" s="21" t="s">
        <v>67</v>
      </c>
      <c r="N469" s="20" t="s">
        <v>82</v>
      </c>
      <c r="O469" s="19" t="s">
        <v>11</v>
      </c>
      <c r="P469" s="10"/>
      <c r="Q469" s="11"/>
    </row>
    <row r="470" spans="2:17" ht="21" customHeight="1" x14ac:dyDescent="0.35">
      <c r="B470" s="1">
        <v>43883</v>
      </c>
      <c r="C470" s="1" t="str">
        <f>TEXT(Sales[[#This Row],[Kode Program/Kegiatan ]],"D")</f>
        <v>22</v>
      </c>
      <c r="D470" s="2" t="str">
        <f>TEXT(Sales[[#This Row],[Kode Program/Kegiatan ]],"mmm")</f>
        <v>Feb</v>
      </c>
      <c r="E470" s="3">
        <v>5</v>
      </c>
      <c r="F470" s="2">
        <v>5</v>
      </c>
      <c r="G470" s="3" t="str">
        <f>IF(Sales[[#This Row],[Anggaran Murni]]-Sales[[#This Row],[Target s.d. Januari]]=0,"",Sales[[#This Row],[Anggaran Murni]]-Sales[[#This Row],[Target s.d. Januari]])</f>
        <v/>
      </c>
      <c r="H470" s="2" t="s">
        <v>114</v>
      </c>
      <c r="I470" s="3" t="s">
        <v>3</v>
      </c>
      <c r="J470" s="3"/>
      <c r="K470" s="2" t="s">
        <v>35</v>
      </c>
      <c r="L470" s="2" t="s">
        <v>9</v>
      </c>
      <c r="M470" s="4" t="s">
        <v>67</v>
      </c>
      <c r="N470" s="3" t="s">
        <v>81</v>
      </c>
      <c r="O470" s="2" t="s">
        <v>14</v>
      </c>
      <c r="P470" s="10"/>
      <c r="Q470" s="11"/>
    </row>
    <row r="471" spans="2:17" ht="21" customHeight="1" x14ac:dyDescent="0.35">
      <c r="B471" s="18">
        <v>43883</v>
      </c>
      <c r="C471" s="18" t="str">
        <f>TEXT(Sales[[#This Row],[Kode Program/Kegiatan ]],"D")</f>
        <v>22</v>
      </c>
      <c r="D471" s="19" t="str">
        <f>TEXT(Sales[[#This Row],[Kode Program/Kegiatan ]],"mmm")</f>
        <v>Feb</v>
      </c>
      <c r="E471" s="20">
        <v>5</v>
      </c>
      <c r="F471" s="19">
        <v>5</v>
      </c>
      <c r="G471" s="20" t="str">
        <f>IF(Sales[[#This Row],[Anggaran Murni]]-Sales[[#This Row],[Target s.d. Januari]]=0,"",Sales[[#This Row],[Anggaran Murni]]-Sales[[#This Row],[Target s.d. Januari]])</f>
        <v/>
      </c>
      <c r="H471" s="19" t="s">
        <v>74</v>
      </c>
      <c r="I471" s="20" t="s">
        <v>77</v>
      </c>
      <c r="J471" s="20"/>
      <c r="K471" s="19" t="s">
        <v>22</v>
      </c>
      <c r="L471" s="19" t="s">
        <v>2</v>
      </c>
      <c r="M471" s="21" t="s">
        <v>67</v>
      </c>
      <c r="N471" s="20" t="s">
        <v>81</v>
      </c>
      <c r="O471" s="19" t="s">
        <v>14</v>
      </c>
      <c r="P471" s="10"/>
      <c r="Q471" s="11"/>
    </row>
    <row r="472" spans="2:17" ht="21" customHeight="1" x14ac:dyDescent="0.35">
      <c r="B472" s="1">
        <v>43883</v>
      </c>
      <c r="C472" s="1" t="str">
        <f>TEXT(Sales[[#This Row],[Kode Program/Kegiatan ]],"D")</f>
        <v>22</v>
      </c>
      <c r="D472" s="2" t="str">
        <f>TEXT(Sales[[#This Row],[Kode Program/Kegiatan ]],"mmm")</f>
        <v>Feb</v>
      </c>
      <c r="E472" s="3">
        <v>5</v>
      </c>
      <c r="F472" s="2">
        <v>5</v>
      </c>
      <c r="G472" s="3" t="str">
        <f>IF(Sales[[#This Row],[Anggaran Murni]]-Sales[[#This Row],[Target s.d. Januari]]=0,"",Sales[[#This Row],[Anggaran Murni]]-Sales[[#This Row],[Target s.d. Januari]])</f>
        <v/>
      </c>
      <c r="H472" s="2" t="s">
        <v>113</v>
      </c>
      <c r="I472" s="3" t="s">
        <v>77</v>
      </c>
      <c r="J472" s="3"/>
      <c r="K472" s="2" t="s">
        <v>57</v>
      </c>
      <c r="L472" s="2" t="s">
        <v>9</v>
      </c>
      <c r="M472" s="4" t="s">
        <v>67</v>
      </c>
      <c r="N472" s="3" t="s">
        <v>81</v>
      </c>
      <c r="O472" s="2" t="s">
        <v>14</v>
      </c>
      <c r="P472" s="10"/>
      <c r="Q472" s="11"/>
    </row>
    <row r="473" spans="2:17" ht="21" customHeight="1" x14ac:dyDescent="0.35">
      <c r="B473" s="18">
        <v>43883</v>
      </c>
      <c r="C473" s="18" t="str">
        <f>TEXT(Sales[[#This Row],[Kode Program/Kegiatan ]],"D")</f>
        <v>22</v>
      </c>
      <c r="D473" s="19" t="str">
        <f>TEXT(Sales[[#This Row],[Kode Program/Kegiatan ]],"mmm")</f>
        <v>Feb</v>
      </c>
      <c r="E473" s="20">
        <v>3</v>
      </c>
      <c r="F473" s="19">
        <v>3</v>
      </c>
      <c r="G473" s="20" t="str">
        <f>IF(Sales[[#This Row],[Anggaran Murni]]-Sales[[#This Row],[Target s.d. Januari]]=0,"",Sales[[#This Row],[Anggaran Murni]]-Sales[[#This Row],[Target s.d. Januari]])</f>
        <v/>
      </c>
      <c r="H473" s="19" t="s">
        <v>70</v>
      </c>
      <c r="I473" s="20" t="s">
        <v>1</v>
      </c>
      <c r="J473" s="20"/>
      <c r="K473" s="19" t="s">
        <v>20</v>
      </c>
      <c r="L473" s="19" t="s">
        <v>2</v>
      </c>
      <c r="M473" s="21" t="s">
        <v>67</v>
      </c>
      <c r="N473" s="20" t="s">
        <v>80</v>
      </c>
      <c r="O473" s="19" t="s">
        <v>11</v>
      </c>
      <c r="P473" s="10"/>
      <c r="Q473" s="11"/>
    </row>
    <row r="474" spans="2:17" ht="21" customHeight="1" x14ac:dyDescent="0.35">
      <c r="B474" s="1">
        <v>43883</v>
      </c>
      <c r="C474" s="1" t="str">
        <f>TEXT(Sales[[#This Row],[Kode Program/Kegiatan ]],"D")</f>
        <v>22</v>
      </c>
      <c r="D474" s="2" t="str">
        <f>TEXT(Sales[[#This Row],[Kode Program/Kegiatan ]],"mmm")</f>
        <v>Feb</v>
      </c>
      <c r="E474" s="3">
        <v>3</v>
      </c>
      <c r="F474" s="2">
        <v>3</v>
      </c>
      <c r="G474" s="3" t="str">
        <f>IF(Sales[[#This Row],[Anggaran Murni]]-Sales[[#This Row],[Target s.d. Januari]]=0,"",Sales[[#This Row],[Anggaran Murni]]-Sales[[#This Row],[Target s.d. Januari]])</f>
        <v/>
      </c>
      <c r="H474" s="2" t="s">
        <v>113</v>
      </c>
      <c r="I474" s="3" t="s">
        <v>77</v>
      </c>
      <c r="J474" s="3"/>
      <c r="K474" s="2" t="s">
        <v>25</v>
      </c>
      <c r="L474" s="2" t="s">
        <v>5</v>
      </c>
      <c r="M474" s="4" t="s">
        <v>67</v>
      </c>
      <c r="N474" s="3" t="s">
        <v>80</v>
      </c>
      <c r="O474" s="2" t="s">
        <v>13</v>
      </c>
      <c r="P474" s="10"/>
      <c r="Q474" s="11"/>
    </row>
    <row r="475" spans="2:17" ht="21" customHeight="1" x14ac:dyDescent="0.35">
      <c r="B475" s="18">
        <v>43883</v>
      </c>
      <c r="C475" s="18" t="str">
        <f>TEXT(Sales[[#This Row],[Kode Program/Kegiatan ]],"D")</f>
        <v>22</v>
      </c>
      <c r="D475" s="19" t="str">
        <f>TEXT(Sales[[#This Row],[Kode Program/Kegiatan ]],"mmm")</f>
        <v>Feb</v>
      </c>
      <c r="E475" s="20">
        <v>3</v>
      </c>
      <c r="F475" s="19">
        <v>3</v>
      </c>
      <c r="G475" s="20" t="str">
        <f>IF(Sales[[#This Row],[Anggaran Murni]]-Sales[[#This Row],[Target s.d. Januari]]=0,"",Sales[[#This Row],[Anggaran Murni]]-Sales[[#This Row],[Target s.d. Januari]])</f>
        <v/>
      </c>
      <c r="H475" s="19" t="s">
        <v>75</v>
      </c>
      <c r="I475" s="20" t="s">
        <v>6</v>
      </c>
      <c r="J475" s="20"/>
      <c r="K475" s="19" t="s">
        <v>42</v>
      </c>
      <c r="L475" s="19" t="s">
        <v>5</v>
      </c>
      <c r="M475" s="21" t="s">
        <v>67</v>
      </c>
      <c r="N475" s="20" t="s">
        <v>80</v>
      </c>
      <c r="O475" s="19" t="s">
        <v>14</v>
      </c>
      <c r="P475" s="10"/>
      <c r="Q475" s="11"/>
    </row>
    <row r="476" spans="2:17" ht="21" customHeight="1" x14ac:dyDescent="0.35">
      <c r="B476" s="1">
        <v>43884</v>
      </c>
      <c r="C476" s="1" t="str">
        <f>TEXT(Sales[[#This Row],[Kode Program/Kegiatan ]],"D")</f>
        <v>23</v>
      </c>
      <c r="D476" s="2" t="str">
        <f>TEXT(Sales[[#This Row],[Kode Program/Kegiatan ]],"mmm")</f>
        <v>Feb</v>
      </c>
      <c r="E476" s="3">
        <v>10</v>
      </c>
      <c r="F476" s="2">
        <v>10</v>
      </c>
      <c r="G476" s="3" t="str">
        <f>IF(Sales[[#This Row],[Anggaran Murni]]-Sales[[#This Row],[Target s.d. Januari]]=0,"",Sales[[#This Row],[Anggaran Murni]]-Sales[[#This Row],[Target s.d. Januari]])</f>
        <v/>
      </c>
      <c r="H476" s="2" t="s">
        <v>113</v>
      </c>
      <c r="I476" s="3" t="s">
        <v>77</v>
      </c>
      <c r="J476" s="3"/>
      <c r="K476" s="2" t="s">
        <v>60</v>
      </c>
      <c r="L476" s="2" t="s">
        <v>7</v>
      </c>
      <c r="M476" s="4" t="s">
        <v>67</v>
      </c>
      <c r="N476" s="3" t="s">
        <v>81</v>
      </c>
      <c r="O476" s="2" t="s">
        <v>12</v>
      </c>
      <c r="P476" s="10"/>
      <c r="Q476" s="11"/>
    </row>
    <row r="477" spans="2:17" ht="21" customHeight="1" x14ac:dyDescent="0.35">
      <c r="B477" s="18">
        <v>43884</v>
      </c>
      <c r="C477" s="18" t="str">
        <f>TEXT(Sales[[#This Row],[Kode Program/Kegiatan ]],"D")</f>
        <v>23</v>
      </c>
      <c r="D477" s="19" t="str">
        <f>TEXT(Sales[[#This Row],[Kode Program/Kegiatan ]],"mmm")</f>
        <v>Feb</v>
      </c>
      <c r="E477" s="20">
        <v>10</v>
      </c>
      <c r="F477" s="19">
        <v>10</v>
      </c>
      <c r="G477" s="20" t="str">
        <f>IF(Sales[[#This Row],[Anggaran Murni]]-Sales[[#This Row],[Target s.d. Januari]]=0,"",Sales[[#This Row],[Anggaran Murni]]-Sales[[#This Row],[Target s.d. Januari]])</f>
        <v/>
      </c>
      <c r="H477" s="19" t="s">
        <v>70</v>
      </c>
      <c r="I477" s="20" t="s">
        <v>1</v>
      </c>
      <c r="J477" s="20"/>
      <c r="K477" s="19" t="s">
        <v>26</v>
      </c>
      <c r="L477" s="19" t="s">
        <v>7</v>
      </c>
      <c r="M477" s="21" t="s">
        <v>67</v>
      </c>
      <c r="N477" s="20" t="s">
        <v>80</v>
      </c>
      <c r="O477" s="19" t="s">
        <v>14</v>
      </c>
      <c r="P477" s="10"/>
      <c r="Q477" s="11"/>
    </row>
    <row r="478" spans="2:17" ht="21" customHeight="1" x14ac:dyDescent="0.35">
      <c r="B478" s="1">
        <v>43884</v>
      </c>
      <c r="C478" s="1" t="str">
        <f>TEXT(Sales[[#This Row],[Kode Program/Kegiatan ]],"D")</f>
        <v>23</v>
      </c>
      <c r="D478" s="2" t="str">
        <f>TEXT(Sales[[#This Row],[Kode Program/Kegiatan ]],"mmm")</f>
        <v>Feb</v>
      </c>
      <c r="E478" s="3">
        <v>9</v>
      </c>
      <c r="F478" s="2">
        <v>9</v>
      </c>
      <c r="G478" s="3" t="str">
        <f>IF(Sales[[#This Row],[Anggaran Murni]]-Sales[[#This Row],[Target s.d. Januari]]=0,"",Sales[[#This Row],[Anggaran Murni]]-Sales[[#This Row],[Target s.d. Januari]])</f>
        <v/>
      </c>
      <c r="H478" s="2" t="s">
        <v>70</v>
      </c>
      <c r="I478" s="3" t="s">
        <v>1</v>
      </c>
      <c r="J478" s="3"/>
      <c r="K478" s="2" t="s">
        <v>63</v>
      </c>
      <c r="L478" s="2" t="s">
        <v>2</v>
      </c>
      <c r="M478" s="4" t="s">
        <v>67</v>
      </c>
      <c r="N478" s="3" t="s">
        <v>82</v>
      </c>
      <c r="O478" s="2" t="s">
        <v>11</v>
      </c>
      <c r="P478" s="10"/>
      <c r="Q478" s="11"/>
    </row>
    <row r="479" spans="2:17" ht="21" customHeight="1" x14ac:dyDescent="0.35">
      <c r="B479" s="18">
        <v>43884</v>
      </c>
      <c r="C479" s="18" t="str">
        <f>TEXT(Sales[[#This Row],[Kode Program/Kegiatan ]],"D")</f>
        <v>23</v>
      </c>
      <c r="D479" s="19" t="str">
        <f>TEXT(Sales[[#This Row],[Kode Program/Kegiatan ]],"mmm")</f>
        <v>Feb</v>
      </c>
      <c r="E479" s="20">
        <v>8</v>
      </c>
      <c r="F479" s="19">
        <v>8</v>
      </c>
      <c r="G479" s="20" t="str">
        <f>IF(Sales[[#This Row],[Anggaran Murni]]-Sales[[#This Row],[Target s.d. Januari]]=0,"",Sales[[#This Row],[Anggaran Murni]]-Sales[[#This Row],[Target s.d. Januari]])</f>
        <v/>
      </c>
      <c r="H479" s="19" t="s">
        <v>114</v>
      </c>
      <c r="I479" s="20" t="s">
        <v>3</v>
      </c>
      <c r="J479" s="20"/>
      <c r="K479" s="19" t="s">
        <v>35</v>
      </c>
      <c r="L479" s="19" t="s">
        <v>5</v>
      </c>
      <c r="M479" s="21" t="s">
        <v>67</v>
      </c>
      <c r="N479" s="20" t="s">
        <v>82</v>
      </c>
      <c r="O479" s="19" t="s">
        <v>13</v>
      </c>
      <c r="P479" s="10"/>
      <c r="Q479" s="11"/>
    </row>
    <row r="480" spans="2:17" ht="21" customHeight="1" x14ac:dyDescent="0.35">
      <c r="B480" s="1">
        <v>43884</v>
      </c>
      <c r="C480" s="1" t="str">
        <f>TEXT(Sales[[#This Row],[Kode Program/Kegiatan ]],"D")</f>
        <v>23</v>
      </c>
      <c r="D480" s="2" t="str">
        <f>TEXT(Sales[[#This Row],[Kode Program/Kegiatan ]],"mmm")</f>
        <v>Feb</v>
      </c>
      <c r="E480" s="3">
        <v>7</v>
      </c>
      <c r="F480" s="2">
        <v>7</v>
      </c>
      <c r="G480" s="3" t="str">
        <f>IF(Sales[[#This Row],[Anggaran Murni]]-Sales[[#This Row],[Target s.d. Januari]]=0,"",Sales[[#This Row],[Anggaran Murni]]-Sales[[#This Row],[Target s.d. Januari]])</f>
        <v/>
      </c>
      <c r="H480" s="2" t="s">
        <v>73</v>
      </c>
      <c r="I480" s="3" t="s">
        <v>78</v>
      </c>
      <c r="J480" s="3"/>
      <c r="K480" s="2" t="s">
        <v>46</v>
      </c>
      <c r="L480" s="2" t="s">
        <v>5</v>
      </c>
      <c r="M480" s="4" t="s">
        <v>67</v>
      </c>
      <c r="N480" s="3" t="s">
        <v>82</v>
      </c>
      <c r="O480" s="2" t="s">
        <v>13</v>
      </c>
      <c r="P480" s="10"/>
      <c r="Q480" s="11"/>
    </row>
    <row r="481" spans="2:17" ht="21" customHeight="1" x14ac:dyDescent="0.35">
      <c r="B481" s="18">
        <v>43884</v>
      </c>
      <c r="C481" s="18" t="str">
        <f>TEXT(Sales[[#This Row],[Kode Program/Kegiatan ]],"D")</f>
        <v>23</v>
      </c>
      <c r="D481" s="19" t="str">
        <f>TEXT(Sales[[#This Row],[Kode Program/Kegiatan ]],"mmm")</f>
        <v>Feb</v>
      </c>
      <c r="E481" s="20">
        <v>7</v>
      </c>
      <c r="F481" s="19">
        <v>7</v>
      </c>
      <c r="G481" s="20" t="str">
        <f>IF(Sales[[#This Row],[Anggaran Murni]]-Sales[[#This Row],[Target s.d. Januari]]=0,"",Sales[[#This Row],[Anggaran Murni]]-Sales[[#This Row],[Target s.d. Januari]])</f>
        <v/>
      </c>
      <c r="H481" s="19" t="s">
        <v>72</v>
      </c>
      <c r="I481" s="20" t="s">
        <v>78</v>
      </c>
      <c r="J481" s="20"/>
      <c r="K481" s="19" t="s">
        <v>23</v>
      </c>
      <c r="L481" s="19" t="s">
        <v>8</v>
      </c>
      <c r="M481" s="21" t="s">
        <v>67</v>
      </c>
      <c r="N481" s="20" t="s">
        <v>80</v>
      </c>
      <c r="O481" s="19" t="s">
        <v>14</v>
      </c>
      <c r="P481" s="10"/>
      <c r="Q481" s="11"/>
    </row>
    <row r="482" spans="2:17" ht="21" customHeight="1" x14ac:dyDescent="0.35">
      <c r="B482" s="1">
        <v>43884</v>
      </c>
      <c r="C482" s="1" t="str">
        <f>TEXT(Sales[[#This Row],[Kode Program/Kegiatan ]],"D")</f>
        <v>23</v>
      </c>
      <c r="D482" s="2" t="str">
        <f>TEXT(Sales[[#This Row],[Kode Program/Kegiatan ]],"mmm")</f>
        <v>Feb</v>
      </c>
      <c r="E482" s="3">
        <v>5</v>
      </c>
      <c r="F482" s="2">
        <v>5</v>
      </c>
      <c r="G482" s="3" t="str">
        <f>IF(Sales[[#This Row],[Anggaran Murni]]-Sales[[#This Row],[Target s.d. Januari]]=0,"",Sales[[#This Row],[Anggaran Murni]]-Sales[[#This Row],[Target s.d. Januari]])</f>
        <v/>
      </c>
      <c r="H482" s="2" t="s">
        <v>75</v>
      </c>
      <c r="I482" s="3" t="s">
        <v>6</v>
      </c>
      <c r="J482" s="3"/>
      <c r="K482" s="2" t="s">
        <v>25</v>
      </c>
      <c r="L482" s="2" t="s">
        <v>5</v>
      </c>
      <c r="M482" s="4" t="s">
        <v>67</v>
      </c>
      <c r="N482" s="3" t="s">
        <v>82</v>
      </c>
      <c r="O482" s="2" t="s">
        <v>14</v>
      </c>
      <c r="P482" s="10"/>
      <c r="Q482" s="11"/>
    </row>
    <row r="483" spans="2:17" ht="21" customHeight="1" x14ac:dyDescent="0.35">
      <c r="B483" s="18">
        <v>43884</v>
      </c>
      <c r="C483" s="18" t="str">
        <f>TEXT(Sales[[#This Row],[Kode Program/Kegiatan ]],"D")</f>
        <v>23</v>
      </c>
      <c r="D483" s="19" t="str">
        <f>TEXT(Sales[[#This Row],[Kode Program/Kegiatan ]],"mmm")</f>
        <v>Feb</v>
      </c>
      <c r="E483" s="20">
        <v>4</v>
      </c>
      <c r="F483" s="19">
        <v>4</v>
      </c>
      <c r="G483" s="20" t="str">
        <f>IF(Sales[[#This Row],[Anggaran Murni]]-Sales[[#This Row],[Target s.d. Januari]]=0,"",Sales[[#This Row],[Anggaran Murni]]-Sales[[#This Row],[Target s.d. Januari]])</f>
        <v/>
      </c>
      <c r="H483" s="19" t="s">
        <v>75</v>
      </c>
      <c r="I483" s="20" t="s">
        <v>6</v>
      </c>
      <c r="J483" s="20"/>
      <c r="K483" s="19" t="s">
        <v>15</v>
      </c>
      <c r="L483" s="19" t="s">
        <v>2</v>
      </c>
      <c r="M483" s="21" t="s">
        <v>67</v>
      </c>
      <c r="N483" s="20" t="s">
        <v>82</v>
      </c>
      <c r="O483" s="19" t="s">
        <v>14</v>
      </c>
      <c r="P483" s="10"/>
      <c r="Q483" s="11"/>
    </row>
    <row r="484" spans="2:17" ht="21" customHeight="1" x14ac:dyDescent="0.35">
      <c r="B484" s="1">
        <v>43884</v>
      </c>
      <c r="C484" s="1" t="str">
        <f>TEXT(Sales[[#This Row],[Kode Program/Kegiatan ]],"D")</f>
        <v>23</v>
      </c>
      <c r="D484" s="2" t="str">
        <f>TEXT(Sales[[#This Row],[Kode Program/Kegiatan ]],"mmm")</f>
        <v>Feb</v>
      </c>
      <c r="E484" s="3">
        <v>3</v>
      </c>
      <c r="F484" s="2">
        <v>3</v>
      </c>
      <c r="G484" s="3" t="str">
        <f>IF(Sales[[#This Row],[Anggaran Murni]]-Sales[[#This Row],[Target s.d. Januari]]=0,"",Sales[[#This Row],[Anggaran Murni]]-Sales[[#This Row],[Target s.d. Januari]])</f>
        <v/>
      </c>
      <c r="H484" s="2" t="s">
        <v>113</v>
      </c>
      <c r="I484" s="3" t="s">
        <v>77</v>
      </c>
      <c r="J484" s="3"/>
      <c r="K484" s="2" t="s">
        <v>45</v>
      </c>
      <c r="L484" s="2" t="s">
        <v>5</v>
      </c>
      <c r="M484" s="4" t="s">
        <v>67</v>
      </c>
      <c r="N484" s="3" t="s">
        <v>81</v>
      </c>
      <c r="O484" s="2" t="s">
        <v>11</v>
      </c>
      <c r="P484" s="10"/>
      <c r="Q484" s="11"/>
    </row>
    <row r="485" spans="2:17" ht="21" customHeight="1" x14ac:dyDescent="0.35">
      <c r="B485" s="18">
        <v>43884</v>
      </c>
      <c r="C485" s="18" t="str">
        <f>TEXT(Sales[[#This Row],[Kode Program/Kegiatan ]],"D")</f>
        <v>23</v>
      </c>
      <c r="D485" s="19" t="str">
        <f>TEXT(Sales[[#This Row],[Kode Program/Kegiatan ]],"mmm")</f>
        <v>Feb</v>
      </c>
      <c r="E485" s="20">
        <v>3</v>
      </c>
      <c r="F485" s="19">
        <v>3</v>
      </c>
      <c r="G485" s="20" t="str">
        <f>IF(Sales[[#This Row],[Anggaran Murni]]-Sales[[#This Row],[Target s.d. Januari]]=0,"",Sales[[#This Row],[Anggaran Murni]]-Sales[[#This Row],[Target s.d. Januari]])</f>
        <v/>
      </c>
      <c r="H485" s="19" t="s">
        <v>74</v>
      </c>
      <c r="I485" s="20" t="s">
        <v>77</v>
      </c>
      <c r="J485" s="20"/>
      <c r="K485" s="19" t="s">
        <v>40</v>
      </c>
      <c r="L485" s="19" t="s">
        <v>5</v>
      </c>
      <c r="M485" s="21" t="s">
        <v>67</v>
      </c>
      <c r="N485" s="20" t="s">
        <v>80</v>
      </c>
      <c r="O485" s="19" t="s">
        <v>11</v>
      </c>
      <c r="P485" s="10"/>
      <c r="Q485" s="11"/>
    </row>
    <row r="486" spans="2:17" ht="21" customHeight="1" x14ac:dyDescent="0.35">
      <c r="B486" s="1">
        <v>43884</v>
      </c>
      <c r="C486" s="1" t="str">
        <f>TEXT(Sales[[#This Row],[Kode Program/Kegiatan ]],"D")</f>
        <v>23</v>
      </c>
      <c r="D486" s="2" t="str">
        <f>TEXT(Sales[[#This Row],[Kode Program/Kegiatan ]],"mmm")</f>
        <v>Feb</v>
      </c>
      <c r="E486" s="3">
        <v>3</v>
      </c>
      <c r="F486" s="2">
        <v>3</v>
      </c>
      <c r="G486" s="3" t="str">
        <f>IF(Sales[[#This Row],[Anggaran Murni]]-Sales[[#This Row],[Target s.d. Januari]]=0,"",Sales[[#This Row],[Anggaran Murni]]-Sales[[#This Row],[Target s.d. Januari]])</f>
        <v/>
      </c>
      <c r="H486" s="2" t="s">
        <v>70</v>
      </c>
      <c r="I486" s="3" t="s">
        <v>1</v>
      </c>
      <c r="J486" s="3"/>
      <c r="K486" s="2" t="s">
        <v>54</v>
      </c>
      <c r="L486" s="2" t="s">
        <v>2</v>
      </c>
      <c r="M486" s="4" t="s">
        <v>67</v>
      </c>
      <c r="N486" s="3" t="s">
        <v>81</v>
      </c>
      <c r="O486" s="2" t="s">
        <v>13</v>
      </c>
      <c r="P486" s="10"/>
      <c r="Q486" s="11"/>
    </row>
    <row r="487" spans="2:17" ht="21" customHeight="1" x14ac:dyDescent="0.35">
      <c r="B487" s="18">
        <v>43885</v>
      </c>
      <c r="C487" s="18" t="str">
        <f>TEXT(Sales[[#This Row],[Kode Program/Kegiatan ]],"D")</f>
        <v>24</v>
      </c>
      <c r="D487" s="19" t="str">
        <f>TEXT(Sales[[#This Row],[Kode Program/Kegiatan ]],"mmm")</f>
        <v>Feb</v>
      </c>
      <c r="E487" s="20">
        <v>10</v>
      </c>
      <c r="F487" s="19">
        <v>10</v>
      </c>
      <c r="G487" s="20" t="str">
        <f>IF(Sales[[#This Row],[Anggaran Murni]]-Sales[[#This Row],[Target s.d. Januari]]=0,"",Sales[[#This Row],[Anggaran Murni]]-Sales[[#This Row],[Target s.d. Januari]])</f>
        <v/>
      </c>
      <c r="H487" s="19" t="s">
        <v>76</v>
      </c>
      <c r="I487" s="20" t="s">
        <v>79</v>
      </c>
      <c r="J487" s="20"/>
      <c r="K487" s="19" t="s">
        <v>49</v>
      </c>
      <c r="L487" s="19" t="s">
        <v>7</v>
      </c>
      <c r="M487" s="21" t="s">
        <v>67</v>
      </c>
      <c r="N487" s="20" t="s">
        <v>80</v>
      </c>
      <c r="O487" s="19" t="s">
        <v>14</v>
      </c>
      <c r="P487" s="10"/>
      <c r="Q487" s="11"/>
    </row>
    <row r="488" spans="2:17" ht="21" customHeight="1" x14ac:dyDescent="0.35">
      <c r="B488" s="1">
        <v>43885</v>
      </c>
      <c r="C488" s="1" t="str">
        <f>TEXT(Sales[[#This Row],[Kode Program/Kegiatan ]],"D")</f>
        <v>24</v>
      </c>
      <c r="D488" s="2" t="str">
        <f>TEXT(Sales[[#This Row],[Kode Program/Kegiatan ]],"mmm")</f>
        <v>Feb</v>
      </c>
      <c r="E488" s="3">
        <v>10</v>
      </c>
      <c r="F488" s="2">
        <v>8</v>
      </c>
      <c r="G488" s="3">
        <f>IF(Sales[[#This Row],[Anggaran Murni]]-Sales[[#This Row],[Target s.d. Januari]]=0,"",Sales[[#This Row],[Anggaran Murni]]-Sales[[#This Row],[Target s.d. Januari]])</f>
        <v>2</v>
      </c>
      <c r="H488" s="2" t="s">
        <v>75</v>
      </c>
      <c r="I488" s="3" t="s">
        <v>6</v>
      </c>
      <c r="J488" s="3"/>
      <c r="K488" s="2" t="s">
        <v>16</v>
      </c>
      <c r="L488" s="2" t="s">
        <v>8</v>
      </c>
      <c r="M488" s="4" t="s">
        <v>67</v>
      </c>
      <c r="N488" s="3" t="s">
        <v>81</v>
      </c>
      <c r="O488" s="2" t="s">
        <v>13</v>
      </c>
      <c r="P488" s="10"/>
      <c r="Q488" s="11"/>
    </row>
    <row r="489" spans="2:17" ht="21" customHeight="1" x14ac:dyDescent="0.35">
      <c r="B489" s="18">
        <v>43885</v>
      </c>
      <c r="C489" s="18" t="str">
        <f>TEXT(Sales[[#This Row],[Kode Program/Kegiatan ]],"D")</f>
        <v>24</v>
      </c>
      <c r="D489" s="19" t="str">
        <f>TEXT(Sales[[#This Row],[Kode Program/Kegiatan ]],"mmm")</f>
        <v>Feb</v>
      </c>
      <c r="E489" s="20">
        <v>8</v>
      </c>
      <c r="F489" s="19">
        <v>7</v>
      </c>
      <c r="G489" s="20">
        <f>IF(Sales[[#This Row],[Anggaran Murni]]-Sales[[#This Row],[Target s.d. Januari]]=0,"",Sales[[#This Row],[Anggaran Murni]]-Sales[[#This Row],[Target s.d. Januari]])</f>
        <v>1</v>
      </c>
      <c r="H489" s="19" t="s">
        <v>75</v>
      </c>
      <c r="I489" s="20" t="s">
        <v>6</v>
      </c>
      <c r="J489" s="20"/>
      <c r="K489" s="19" t="s">
        <v>40</v>
      </c>
      <c r="L489" s="19" t="s">
        <v>4</v>
      </c>
      <c r="M489" s="21" t="s">
        <v>67</v>
      </c>
      <c r="N489" s="20" t="s">
        <v>82</v>
      </c>
      <c r="O489" s="19" t="s">
        <v>12</v>
      </c>
      <c r="P489" s="10"/>
      <c r="Q489" s="11"/>
    </row>
    <row r="490" spans="2:17" ht="21" customHeight="1" x14ac:dyDescent="0.35">
      <c r="B490" s="1">
        <v>43885</v>
      </c>
      <c r="C490" s="1" t="str">
        <f>TEXT(Sales[[#This Row],[Kode Program/Kegiatan ]],"D")</f>
        <v>24</v>
      </c>
      <c r="D490" s="2" t="str">
        <f>TEXT(Sales[[#This Row],[Kode Program/Kegiatan ]],"mmm")</f>
        <v>Feb</v>
      </c>
      <c r="E490" s="3">
        <v>8</v>
      </c>
      <c r="F490" s="2">
        <v>5</v>
      </c>
      <c r="G490" s="3">
        <f>IF(Sales[[#This Row],[Anggaran Murni]]-Sales[[#This Row],[Target s.d. Januari]]=0,"",Sales[[#This Row],[Anggaran Murni]]-Sales[[#This Row],[Target s.d. Januari]])</f>
        <v>3</v>
      </c>
      <c r="H490" s="2" t="s">
        <v>75</v>
      </c>
      <c r="I490" s="3" t="s">
        <v>6</v>
      </c>
      <c r="J490" s="3"/>
      <c r="K490" s="2" t="s">
        <v>18</v>
      </c>
      <c r="L490" s="2" t="s">
        <v>5</v>
      </c>
      <c r="M490" s="4" t="s">
        <v>67</v>
      </c>
      <c r="N490" s="3" t="s">
        <v>81</v>
      </c>
      <c r="O490" s="2" t="s">
        <v>12</v>
      </c>
      <c r="P490" s="10"/>
      <c r="Q490" s="11"/>
    </row>
    <row r="491" spans="2:17" ht="21" customHeight="1" x14ac:dyDescent="0.35">
      <c r="B491" s="18">
        <v>43885</v>
      </c>
      <c r="C491" s="18" t="str">
        <f>TEXT(Sales[[#This Row],[Kode Program/Kegiatan ]],"D")</f>
        <v>24</v>
      </c>
      <c r="D491" s="19" t="str">
        <f>TEXT(Sales[[#This Row],[Kode Program/Kegiatan ]],"mmm")</f>
        <v>Feb</v>
      </c>
      <c r="E491" s="20">
        <v>8</v>
      </c>
      <c r="F491" s="19">
        <v>5</v>
      </c>
      <c r="G491" s="20">
        <f>IF(Sales[[#This Row],[Anggaran Murni]]-Sales[[#This Row],[Target s.d. Januari]]=0,"",Sales[[#This Row],[Anggaran Murni]]-Sales[[#This Row],[Target s.d. Januari]])</f>
        <v>3</v>
      </c>
      <c r="H491" s="19" t="s">
        <v>71</v>
      </c>
      <c r="I491" s="20" t="s">
        <v>6</v>
      </c>
      <c r="J491" s="20"/>
      <c r="K491" s="19" t="s">
        <v>60</v>
      </c>
      <c r="L491" s="19" t="s">
        <v>2</v>
      </c>
      <c r="M491" s="21" t="s">
        <v>67</v>
      </c>
      <c r="N491" s="20" t="s">
        <v>82</v>
      </c>
      <c r="O491" s="19" t="s">
        <v>13</v>
      </c>
      <c r="P491" s="10"/>
      <c r="Q491" s="11"/>
    </row>
    <row r="492" spans="2:17" ht="21" customHeight="1" x14ac:dyDescent="0.35">
      <c r="B492" s="1">
        <v>43885</v>
      </c>
      <c r="C492" s="1" t="str">
        <f>TEXT(Sales[[#This Row],[Kode Program/Kegiatan ]],"D")</f>
        <v>24</v>
      </c>
      <c r="D492" s="2" t="str">
        <f>TEXT(Sales[[#This Row],[Kode Program/Kegiatan ]],"mmm")</f>
        <v>Feb</v>
      </c>
      <c r="E492" s="3">
        <v>7</v>
      </c>
      <c r="F492" s="2">
        <v>5</v>
      </c>
      <c r="G492" s="3">
        <f>IF(Sales[[#This Row],[Anggaran Murni]]-Sales[[#This Row],[Target s.d. Januari]]=0,"",Sales[[#This Row],[Anggaran Murni]]-Sales[[#This Row],[Target s.d. Januari]])</f>
        <v>2</v>
      </c>
      <c r="H492" s="2" t="s">
        <v>75</v>
      </c>
      <c r="I492" s="3" t="s">
        <v>6</v>
      </c>
      <c r="J492" s="3"/>
      <c r="K492" s="2" t="s">
        <v>55</v>
      </c>
      <c r="L492" s="2" t="s">
        <v>2</v>
      </c>
      <c r="M492" s="4" t="s">
        <v>67</v>
      </c>
      <c r="N492" s="3" t="s">
        <v>82</v>
      </c>
      <c r="O492" s="2" t="s">
        <v>13</v>
      </c>
      <c r="P492" s="10"/>
      <c r="Q492" s="11"/>
    </row>
    <row r="493" spans="2:17" ht="21" customHeight="1" x14ac:dyDescent="0.35">
      <c r="B493" s="18">
        <v>43885</v>
      </c>
      <c r="C493" s="18" t="str">
        <f>TEXT(Sales[[#This Row],[Kode Program/Kegiatan ]],"D")</f>
        <v>24</v>
      </c>
      <c r="D493" s="19" t="str">
        <f>TEXT(Sales[[#This Row],[Kode Program/Kegiatan ]],"mmm")</f>
        <v>Feb</v>
      </c>
      <c r="E493" s="20">
        <v>6</v>
      </c>
      <c r="F493" s="19">
        <v>6</v>
      </c>
      <c r="G493" s="20" t="str">
        <f>IF(Sales[[#This Row],[Anggaran Murni]]-Sales[[#This Row],[Target s.d. Januari]]=0,"",Sales[[#This Row],[Anggaran Murni]]-Sales[[#This Row],[Target s.d. Januari]])</f>
        <v/>
      </c>
      <c r="H493" s="19" t="s">
        <v>74</v>
      </c>
      <c r="I493" s="20" t="s">
        <v>77</v>
      </c>
      <c r="J493" s="20"/>
      <c r="K493" s="19" t="s">
        <v>22</v>
      </c>
      <c r="L493" s="19" t="s">
        <v>2</v>
      </c>
      <c r="M493" s="21" t="s">
        <v>67</v>
      </c>
      <c r="N493" s="20" t="s">
        <v>82</v>
      </c>
      <c r="O493" s="19" t="s">
        <v>12</v>
      </c>
      <c r="P493" s="10"/>
      <c r="Q493" s="11"/>
    </row>
    <row r="494" spans="2:17" ht="21" customHeight="1" x14ac:dyDescent="0.35">
      <c r="B494" s="1">
        <v>43885</v>
      </c>
      <c r="C494" s="1" t="str">
        <f>TEXT(Sales[[#This Row],[Kode Program/Kegiatan ]],"D")</f>
        <v>24</v>
      </c>
      <c r="D494" s="2" t="str">
        <f>TEXT(Sales[[#This Row],[Kode Program/Kegiatan ]],"mmm")</f>
        <v>Feb</v>
      </c>
      <c r="E494" s="3">
        <v>6</v>
      </c>
      <c r="F494" s="2">
        <v>4</v>
      </c>
      <c r="G494" s="3">
        <f>IF(Sales[[#This Row],[Anggaran Murni]]-Sales[[#This Row],[Target s.d. Januari]]=0,"",Sales[[#This Row],[Anggaran Murni]]-Sales[[#This Row],[Target s.d. Januari]])</f>
        <v>2</v>
      </c>
      <c r="H494" s="2" t="s">
        <v>114</v>
      </c>
      <c r="I494" s="3" t="s">
        <v>3</v>
      </c>
      <c r="J494" s="3"/>
      <c r="K494" s="2" t="s">
        <v>33</v>
      </c>
      <c r="L494" s="2" t="s">
        <v>9</v>
      </c>
      <c r="M494" s="4" t="s">
        <v>67</v>
      </c>
      <c r="N494" s="3" t="s">
        <v>82</v>
      </c>
      <c r="O494" s="2" t="s">
        <v>13</v>
      </c>
      <c r="P494" s="10"/>
      <c r="Q494" s="11"/>
    </row>
    <row r="495" spans="2:17" ht="21" customHeight="1" x14ac:dyDescent="0.35">
      <c r="B495" s="18">
        <v>43885</v>
      </c>
      <c r="C495" s="18" t="str">
        <f>TEXT(Sales[[#This Row],[Kode Program/Kegiatan ]],"D")</f>
        <v>24</v>
      </c>
      <c r="D495" s="19" t="str">
        <f>TEXT(Sales[[#This Row],[Kode Program/Kegiatan ]],"mmm")</f>
        <v>Feb</v>
      </c>
      <c r="E495" s="20">
        <v>5</v>
      </c>
      <c r="F495" s="19">
        <v>4</v>
      </c>
      <c r="G495" s="20">
        <f>IF(Sales[[#This Row],[Anggaran Murni]]-Sales[[#This Row],[Target s.d. Januari]]=0,"",Sales[[#This Row],[Anggaran Murni]]-Sales[[#This Row],[Target s.d. Januari]])</f>
        <v>1</v>
      </c>
      <c r="H495" s="19" t="s">
        <v>73</v>
      </c>
      <c r="I495" s="20" t="s">
        <v>78</v>
      </c>
      <c r="J495" s="20"/>
      <c r="K495" s="19" t="s">
        <v>38</v>
      </c>
      <c r="L495" s="19" t="s">
        <v>2</v>
      </c>
      <c r="M495" s="21" t="s">
        <v>67</v>
      </c>
      <c r="N495" s="20" t="s">
        <v>80</v>
      </c>
      <c r="O495" s="19" t="s">
        <v>11</v>
      </c>
      <c r="P495" s="10"/>
      <c r="Q495" s="11"/>
    </row>
    <row r="496" spans="2:17" ht="21" customHeight="1" x14ac:dyDescent="0.35">
      <c r="B496" s="1">
        <v>43885</v>
      </c>
      <c r="C496" s="1" t="str">
        <f>TEXT(Sales[[#This Row],[Kode Program/Kegiatan ]],"D")</f>
        <v>24</v>
      </c>
      <c r="D496" s="2" t="str">
        <f>TEXT(Sales[[#This Row],[Kode Program/Kegiatan ]],"mmm")</f>
        <v>Feb</v>
      </c>
      <c r="E496" s="3">
        <v>5</v>
      </c>
      <c r="F496" s="2">
        <v>3</v>
      </c>
      <c r="G496" s="3">
        <f>IF(Sales[[#This Row],[Anggaran Murni]]-Sales[[#This Row],[Target s.d. Januari]]=0,"",Sales[[#This Row],[Anggaran Murni]]-Sales[[#This Row],[Target s.d. Januari]])</f>
        <v>2</v>
      </c>
      <c r="H496" s="2" t="s">
        <v>71</v>
      </c>
      <c r="I496" s="3" t="s">
        <v>6</v>
      </c>
      <c r="J496" s="3"/>
      <c r="K496" s="2" t="s">
        <v>23</v>
      </c>
      <c r="L496" s="2" t="s">
        <v>2</v>
      </c>
      <c r="M496" s="4" t="s">
        <v>67</v>
      </c>
      <c r="N496" s="3" t="s">
        <v>81</v>
      </c>
      <c r="O496" s="2" t="s">
        <v>12</v>
      </c>
      <c r="P496" s="10"/>
      <c r="Q496" s="11"/>
    </row>
    <row r="497" spans="2:17" ht="21" customHeight="1" x14ac:dyDescent="0.35">
      <c r="B497" s="18">
        <v>43885</v>
      </c>
      <c r="C497" s="18" t="str">
        <f>TEXT(Sales[[#This Row],[Kode Program/Kegiatan ]],"D")</f>
        <v>24</v>
      </c>
      <c r="D497" s="19" t="str">
        <f>TEXT(Sales[[#This Row],[Kode Program/Kegiatan ]],"mmm")</f>
        <v>Feb</v>
      </c>
      <c r="E497" s="20">
        <v>4</v>
      </c>
      <c r="F497" s="19">
        <v>2</v>
      </c>
      <c r="G497" s="20">
        <f>IF(Sales[[#This Row],[Anggaran Murni]]-Sales[[#This Row],[Target s.d. Januari]]=0,"",Sales[[#This Row],[Anggaran Murni]]-Sales[[#This Row],[Target s.d. Januari]])</f>
        <v>2</v>
      </c>
      <c r="H497" s="19" t="s">
        <v>114</v>
      </c>
      <c r="I497" s="20" t="s">
        <v>3</v>
      </c>
      <c r="J497" s="20"/>
      <c r="K497" s="19" t="s">
        <v>35</v>
      </c>
      <c r="L497" s="19" t="s">
        <v>8</v>
      </c>
      <c r="M497" s="21" t="s">
        <v>67</v>
      </c>
      <c r="N497" s="20" t="s">
        <v>82</v>
      </c>
      <c r="O497" s="19" t="s">
        <v>12</v>
      </c>
      <c r="P497" s="10"/>
      <c r="Q497" s="11"/>
    </row>
    <row r="498" spans="2:17" ht="21" customHeight="1" x14ac:dyDescent="0.35">
      <c r="B498" s="1">
        <v>43886</v>
      </c>
      <c r="C498" s="1" t="str">
        <f>TEXT(Sales[[#This Row],[Kode Program/Kegiatan ]],"D")</f>
        <v>25</v>
      </c>
      <c r="D498" s="2" t="str">
        <f>TEXT(Sales[[#This Row],[Kode Program/Kegiatan ]],"mmm")</f>
        <v>Feb</v>
      </c>
      <c r="E498" s="3">
        <v>8</v>
      </c>
      <c r="F498" s="2">
        <v>4</v>
      </c>
      <c r="G498" s="3">
        <f>IF(Sales[[#This Row],[Anggaran Murni]]-Sales[[#This Row],[Target s.d. Januari]]=0,"",Sales[[#This Row],[Anggaran Murni]]-Sales[[#This Row],[Target s.d. Januari]])</f>
        <v>4</v>
      </c>
      <c r="H498" s="2" t="s">
        <v>71</v>
      </c>
      <c r="I498" s="3" t="s">
        <v>6</v>
      </c>
      <c r="J498" s="3"/>
      <c r="K498" s="2" t="s">
        <v>42</v>
      </c>
      <c r="L498" s="2" t="s">
        <v>5</v>
      </c>
      <c r="M498" s="4" t="s">
        <v>67</v>
      </c>
      <c r="N498" s="3" t="s">
        <v>80</v>
      </c>
      <c r="O498" s="2" t="s">
        <v>13</v>
      </c>
      <c r="P498" s="10"/>
      <c r="Q498" s="11"/>
    </row>
    <row r="499" spans="2:17" ht="21" customHeight="1" x14ac:dyDescent="0.35">
      <c r="B499" s="18">
        <v>43886</v>
      </c>
      <c r="C499" s="18" t="str">
        <f>TEXT(Sales[[#This Row],[Kode Program/Kegiatan ]],"D")</f>
        <v>25</v>
      </c>
      <c r="D499" s="19" t="str">
        <f>TEXT(Sales[[#This Row],[Kode Program/Kegiatan ]],"mmm")</f>
        <v>Feb</v>
      </c>
      <c r="E499" s="20">
        <v>8</v>
      </c>
      <c r="F499" s="19">
        <v>4</v>
      </c>
      <c r="G499" s="20">
        <f>IF(Sales[[#This Row],[Anggaran Murni]]-Sales[[#This Row],[Target s.d. Januari]]=0,"",Sales[[#This Row],[Anggaran Murni]]-Sales[[#This Row],[Target s.d. Januari]])</f>
        <v>4</v>
      </c>
      <c r="H499" s="19" t="s">
        <v>71</v>
      </c>
      <c r="I499" s="20" t="s">
        <v>6</v>
      </c>
      <c r="J499" s="20"/>
      <c r="K499" s="19" t="s">
        <v>32</v>
      </c>
      <c r="L499" s="19" t="s">
        <v>7</v>
      </c>
      <c r="M499" s="21" t="s">
        <v>67</v>
      </c>
      <c r="N499" s="20" t="s">
        <v>82</v>
      </c>
      <c r="O499" s="19" t="s">
        <v>12</v>
      </c>
      <c r="P499" s="10"/>
      <c r="Q499" s="11"/>
    </row>
    <row r="500" spans="2:17" ht="21" customHeight="1" x14ac:dyDescent="0.35">
      <c r="B500" s="1">
        <v>43886</v>
      </c>
      <c r="C500" s="1" t="str">
        <f>TEXT(Sales[[#This Row],[Kode Program/Kegiatan ]],"D")</f>
        <v>25</v>
      </c>
      <c r="D500" s="2" t="str">
        <f>TEXT(Sales[[#This Row],[Kode Program/Kegiatan ]],"mmm")</f>
        <v>Feb</v>
      </c>
      <c r="E500" s="3">
        <v>7</v>
      </c>
      <c r="F500" s="2">
        <v>5</v>
      </c>
      <c r="G500" s="3">
        <f>IF(Sales[[#This Row],[Anggaran Murni]]-Sales[[#This Row],[Target s.d. Januari]]=0,"",Sales[[#This Row],[Anggaran Murni]]-Sales[[#This Row],[Target s.d. Januari]])</f>
        <v>2</v>
      </c>
      <c r="H500" s="2" t="s">
        <v>73</v>
      </c>
      <c r="I500" s="3" t="s">
        <v>78</v>
      </c>
      <c r="J500" s="3"/>
      <c r="K500" s="2" t="s">
        <v>45</v>
      </c>
      <c r="L500" s="2" t="s">
        <v>5</v>
      </c>
      <c r="M500" s="4" t="s">
        <v>67</v>
      </c>
      <c r="N500" s="3" t="s">
        <v>80</v>
      </c>
      <c r="O500" s="2" t="s">
        <v>14</v>
      </c>
      <c r="P500" s="10"/>
      <c r="Q500" s="11"/>
    </row>
    <row r="501" spans="2:17" ht="21" customHeight="1" x14ac:dyDescent="0.35">
      <c r="B501" s="18">
        <v>43886</v>
      </c>
      <c r="C501" s="18" t="str">
        <f>TEXT(Sales[[#This Row],[Kode Program/Kegiatan ]],"D")</f>
        <v>25</v>
      </c>
      <c r="D501" s="19" t="str">
        <f>TEXT(Sales[[#This Row],[Kode Program/Kegiatan ]],"mmm")</f>
        <v>Feb</v>
      </c>
      <c r="E501" s="20">
        <v>7</v>
      </c>
      <c r="F501" s="19">
        <v>5</v>
      </c>
      <c r="G501" s="20">
        <f>IF(Sales[[#This Row],[Anggaran Murni]]-Sales[[#This Row],[Target s.d. Januari]]=0,"",Sales[[#This Row],[Anggaran Murni]]-Sales[[#This Row],[Target s.d. Januari]])</f>
        <v>2</v>
      </c>
      <c r="H501" s="19" t="s">
        <v>70</v>
      </c>
      <c r="I501" s="20" t="s">
        <v>1</v>
      </c>
      <c r="J501" s="20"/>
      <c r="K501" s="19" t="s">
        <v>25</v>
      </c>
      <c r="L501" s="19" t="s">
        <v>2</v>
      </c>
      <c r="M501" s="21" t="s">
        <v>67</v>
      </c>
      <c r="N501" s="20" t="s">
        <v>82</v>
      </c>
      <c r="O501" s="19" t="s">
        <v>12</v>
      </c>
      <c r="P501" s="10"/>
      <c r="Q501" s="11"/>
    </row>
    <row r="502" spans="2:17" ht="21" customHeight="1" x14ac:dyDescent="0.35">
      <c r="B502" s="1">
        <v>43886</v>
      </c>
      <c r="C502" s="1" t="str">
        <f>TEXT(Sales[[#This Row],[Kode Program/Kegiatan ]],"D")</f>
        <v>25</v>
      </c>
      <c r="D502" s="2" t="str">
        <f>TEXT(Sales[[#This Row],[Kode Program/Kegiatan ]],"mmm")</f>
        <v>Feb</v>
      </c>
      <c r="E502" s="3">
        <v>7</v>
      </c>
      <c r="F502" s="2">
        <v>5</v>
      </c>
      <c r="G502" s="3">
        <f>IF(Sales[[#This Row],[Anggaran Murni]]-Sales[[#This Row],[Target s.d. Januari]]=0,"",Sales[[#This Row],[Anggaran Murni]]-Sales[[#This Row],[Target s.d. Januari]])</f>
        <v>2</v>
      </c>
      <c r="H502" s="2" t="s">
        <v>74</v>
      </c>
      <c r="I502" s="3" t="s">
        <v>77</v>
      </c>
      <c r="J502" s="3"/>
      <c r="K502" s="2" t="s">
        <v>39</v>
      </c>
      <c r="L502" s="2" t="s">
        <v>7</v>
      </c>
      <c r="M502" s="4" t="s">
        <v>67</v>
      </c>
      <c r="N502" s="3" t="s">
        <v>81</v>
      </c>
      <c r="O502" s="2" t="s">
        <v>11</v>
      </c>
      <c r="P502" s="10"/>
      <c r="Q502" s="11"/>
    </row>
    <row r="503" spans="2:17" ht="21" customHeight="1" x14ac:dyDescent="0.35">
      <c r="B503" s="18">
        <v>43886</v>
      </c>
      <c r="C503" s="18" t="str">
        <f>TEXT(Sales[[#This Row],[Kode Program/Kegiatan ]],"D")</f>
        <v>25</v>
      </c>
      <c r="D503" s="19" t="str">
        <f>TEXT(Sales[[#This Row],[Kode Program/Kegiatan ]],"mmm")</f>
        <v>Feb</v>
      </c>
      <c r="E503" s="20">
        <v>7</v>
      </c>
      <c r="F503" s="19">
        <v>6</v>
      </c>
      <c r="G503" s="20">
        <f>IF(Sales[[#This Row],[Anggaran Murni]]-Sales[[#This Row],[Target s.d. Januari]]=0,"",Sales[[#This Row],[Anggaran Murni]]-Sales[[#This Row],[Target s.d. Januari]])</f>
        <v>1</v>
      </c>
      <c r="H503" s="19" t="s">
        <v>114</v>
      </c>
      <c r="I503" s="20" t="s">
        <v>3</v>
      </c>
      <c r="J503" s="20"/>
      <c r="K503" s="19" t="s">
        <v>19</v>
      </c>
      <c r="L503" s="19" t="s">
        <v>5</v>
      </c>
      <c r="M503" s="21" t="s">
        <v>67</v>
      </c>
      <c r="N503" s="20" t="s">
        <v>81</v>
      </c>
      <c r="O503" s="19" t="s">
        <v>14</v>
      </c>
      <c r="P503" s="10"/>
      <c r="Q503" s="11"/>
    </row>
    <row r="504" spans="2:17" ht="21" customHeight="1" x14ac:dyDescent="0.35">
      <c r="B504" s="1">
        <v>43886</v>
      </c>
      <c r="C504" s="1" t="str">
        <f>TEXT(Sales[[#This Row],[Kode Program/Kegiatan ]],"D")</f>
        <v>25</v>
      </c>
      <c r="D504" s="2" t="str">
        <f>TEXT(Sales[[#This Row],[Kode Program/Kegiatan ]],"mmm")</f>
        <v>Feb</v>
      </c>
      <c r="E504" s="3">
        <v>6</v>
      </c>
      <c r="F504" s="2">
        <v>5</v>
      </c>
      <c r="G504" s="3">
        <f>IF(Sales[[#This Row],[Anggaran Murni]]-Sales[[#This Row],[Target s.d. Januari]]=0,"",Sales[[#This Row],[Anggaran Murni]]-Sales[[#This Row],[Target s.d. Januari]])</f>
        <v>1</v>
      </c>
      <c r="H504" s="2" t="s">
        <v>114</v>
      </c>
      <c r="I504" s="3" t="s">
        <v>3</v>
      </c>
      <c r="J504" s="3"/>
      <c r="K504" s="2" t="s">
        <v>34</v>
      </c>
      <c r="L504" s="2" t="s">
        <v>8</v>
      </c>
      <c r="M504" s="4" t="s">
        <v>67</v>
      </c>
      <c r="N504" s="3" t="s">
        <v>81</v>
      </c>
      <c r="O504" s="2" t="s">
        <v>13</v>
      </c>
      <c r="P504" s="10"/>
      <c r="Q504" s="11"/>
    </row>
    <row r="505" spans="2:17" ht="21" customHeight="1" x14ac:dyDescent="0.35">
      <c r="B505" s="18">
        <v>43886</v>
      </c>
      <c r="C505" s="18" t="str">
        <f>TEXT(Sales[[#This Row],[Kode Program/Kegiatan ]],"D")</f>
        <v>25</v>
      </c>
      <c r="D505" s="19" t="str">
        <f>TEXT(Sales[[#This Row],[Kode Program/Kegiatan ]],"mmm")</f>
        <v>Feb</v>
      </c>
      <c r="E505" s="20">
        <v>6</v>
      </c>
      <c r="F505" s="19">
        <v>4</v>
      </c>
      <c r="G505" s="20">
        <f>IF(Sales[[#This Row],[Anggaran Murni]]-Sales[[#This Row],[Target s.d. Januari]]=0,"",Sales[[#This Row],[Anggaran Murni]]-Sales[[#This Row],[Target s.d. Januari]])</f>
        <v>2</v>
      </c>
      <c r="H505" s="19" t="s">
        <v>74</v>
      </c>
      <c r="I505" s="20" t="s">
        <v>77</v>
      </c>
      <c r="J505" s="20"/>
      <c r="K505" s="19" t="s">
        <v>42</v>
      </c>
      <c r="L505" s="19" t="s">
        <v>7</v>
      </c>
      <c r="M505" s="21" t="s">
        <v>67</v>
      </c>
      <c r="N505" s="20" t="s">
        <v>80</v>
      </c>
      <c r="O505" s="19" t="s">
        <v>14</v>
      </c>
      <c r="P505" s="10"/>
      <c r="Q505" s="11"/>
    </row>
    <row r="506" spans="2:17" ht="21" customHeight="1" x14ac:dyDescent="0.35">
      <c r="B506" s="1">
        <v>43886</v>
      </c>
      <c r="C506" s="1" t="str">
        <f>TEXT(Sales[[#This Row],[Kode Program/Kegiatan ]],"D")</f>
        <v>25</v>
      </c>
      <c r="D506" s="2" t="str">
        <f>TEXT(Sales[[#This Row],[Kode Program/Kegiatan ]],"mmm")</f>
        <v>Feb</v>
      </c>
      <c r="E506" s="3">
        <v>6</v>
      </c>
      <c r="F506" s="2">
        <v>3</v>
      </c>
      <c r="G506" s="3">
        <f>IF(Sales[[#This Row],[Anggaran Murni]]-Sales[[#This Row],[Target s.d. Januari]]=0,"",Sales[[#This Row],[Anggaran Murni]]-Sales[[#This Row],[Target s.d. Januari]])</f>
        <v>3</v>
      </c>
      <c r="H506" s="2" t="s">
        <v>76</v>
      </c>
      <c r="I506" s="3" t="s">
        <v>79</v>
      </c>
      <c r="J506" s="3"/>
      <c r="K506" s="2" t="s">
        <v>64</v>
      </c>
      <c r="L506" s="2" t="s">
        <v>2</v>
      </c>
      <c r="M506" s="4" t="s">
        <v>67</v>
      </c>
      <c r="N506" s="3" t="s">
        <v>80</v>
      </c>
      <c r="O506" s="2" t="s">
        <v>14</v>
      </c>
      <c r="P506" s="10"/>
      <c r="Q506" s="11"/>
    </row>
    <row r="507" spans="2:17" ht="21" customHeight="1" x14ac:dyDescent="0.35">
      <c r="B507" s="18">
        <v>43886</v>
      </c>
      <c r="C507" s="18" t="str">
        <f>TEXT(Sales[[#This Row],[Kode Program/Kegiatan ]],"D")</f>
        <v>25</v>
      </c>
      <c r="D507" s="19" t="str">
        <f>TEXT(Sales[[#This Row],[Kode Program/Kegiatan ]],"mmm")</f>
        <v>Feb</v>
      </c>
      <c r="E507" s="20">
        <v>6</v>
      </c>
      <c r="F507" s="19">
        <v>4</v>
      </c>
      <c r="G507" s="20">
        <f>IF(Sales[[#This Row],[Anggaran Murni]]-Sales[[#This Row],[Target s.d. Januari]]=0,"",Sales[[#This Row],[Anggaran Murni]]-Sales[[#This Row],[Target s.d. Januari]])</f>
        <v>2</v>
      </c>
      <c r="H507" s="19" t="s">
        <v>72</v>
      </c>
      <c r="I507" s="20" t="s">
        <v>78</v>
      </c>
      <c r="J507" s="20"/>
      <c r="K507" s="19" t="s">
        <v>63</v>
      </c>
      <c r="L507" s="19" t="s">
        <v>7</v>
      </c>
      <c r="M507" s="21" t="s">
        <v>67</v>
      </c>
      <c r="N507" s="20" t="s">
        <v>81</v>
      </c>
      <c r="O507" s="19" t="s">
        <v>12</v>
      </c>
      <c r="P507" s="10"/>
      <c r="Q507" s="11"/>
    </row>
    <row r="508" spans="2:17" ht="21" customHeight="1" x14ac:dyDescent="0.35">
      <c r="B508" s="1">
        <v>43886</v>
      </c>
      <c r="C508" s="1" t="str">
        <f>TEXT(Sales[[#This Row],[Kode Program/Kegiatan ]],"D")</f>
        <v>25</v>
      </c>
      <c r="D508" s="2" t="str">
        <f>TEXT(Sales[[#This Row],[Kode Program/Kegiatan ]],"mmm")</f>
        <v>Feb</v>
      </c>
      <c r="E508" s="3">
        <v>4</v>
      </c>
      <c r="F508" s="2">
        <v>2</v>
      </c>
      <c r="G508" s="3">
        <f>IF(Sales[[#This Row],[Anggaran Murni]]-Sales[[#This Row],[Target s.d. Januari]]=0,"",Sales[[#This Row],[Anggaran Murni]]-Sales[[#This Row],[Target s.d. Januari]])</f>
        <v>2</v>
      </c>
      <c r="H508" s="2" t="s">
        <v>74</v>
      </c>
      <c r="I508" s="3" t="s">
        <v>77</v>
      </c>
      <c r="J508" s="3"/>
      <c r="K508" s="2" t="s">
        <v>25</v>
      </c>
      <c r="L508" s="2" t="s">
        <v>2</v>
      </c>
      <c r="M508" s="4" t="s">
        <v>67</v>
      </c>
      <c r="N508" s="3" t="s">
        <v>82</v>
      </c>
      <c r="O508" s="2" t="s">
        <v>11</v>
      </c>
      <c r="P508" s="10"/>
      <c r="Q508" s="11"/>
    </row>
    <row r="509" spans="2:17" ht="21" customHeight="1" x14ac:dyDescent="0.35">
      <c r="B509" s="18">
        <v>43886</v>
      </c>
      <c r="C509" s="18" t="str">
        <f>TEXT(Sales[[#This Row],[Kode Program/Kegiatan ]],"D")</f>
        <v>25</v>
      </c>
      <c r="D509" s="19" t="str">
        <f>TEXT(Sales[[#This Row],[Kode Program/Kegiatan ]],"mmm")</f>
        <v>Feb</v>
      </c>
      <c r="E509" s="20">
        <v>4</v>
      </c>
      <c r="F509" s="19">
        <v>3</v>
      </c>
      <c r="G509" s="20">
        <f>IF(Sales[[#This Row],[Anggaran Murni]]-Sales[[#This Row],[Target s.d. Januari]]=0,"",Sales[[#This Row],[Anggaran Murni]]-Sales[[#This Row],[Target s.d. Januari]])</f>
        <v>1</v>
      </c>
      <c r="H509" s="19" t="s">
        <v>73</v>
      </c>
      <c r="I509" s="20" t="s">
        <v>78</v>
      </c>
      <c r="J509" s="20"/>
      <c r="K509" s="19" t="s">
        <v>58</v>
      </c>
      <c r="L509" s="19" t="s">
        <v>2</v>
      </c>
      <c r="M509" s="21" t="s">
        <v>67</v>
      </c>
      <c r="N509" s="20" t="s">
        <v>82</v>
      </c>
      <c r="O509" s="19" t="s">
        <v>13</v>
      </c>
      <c r="P509" s="10"/>
      <c r="Q509" s="11"/>
    </row>
    <row r="510" spans="2:17" ht="21" customHeight="1" x14ac:dyDescent="0.35">
      <c r="B510" s="1">
        <v>43886</v>
      </c>
      <c r="C510" s="1" t="str">
        <f>TEXT(Sales[[#This Row],[Kode Program/Kegiatan ]],"D")</f>
        <v>25</v>
      </c>
      <c r="D510" s="2" t="str">
        <f>TEXT(Sales[[#This Row],[Kode Program/Kegiatan ]],"mmm")</f>
        <v>Feb</v>
      </c>
      <c r="E510" s="3">
        <v>4</v>
      </c>
      <c r="F510" s="2">
        <v>2</v>
      </c>
      <c r="G510" s="3">
        <f>IF(Sales[[#This Row],[Anggaran Murni]]-Sales[[#This Row],[Target s.d. Januari]]=0,"",Sales[[#This Row],[Anggaran Murni]]-Sales[[#This Row],[Target s.d. Januari]])</f>
        <v>2</v>
      </c>
      <c r="H510" s="2" t="s">
        <v>113</v>
      </c>
      <c r="I510" s="3" t="s">
        <v>77</v>
      </c>
      <c r="J510" s="3"/>
      <c r="K510" s="2" t="s">
        <v>32</v>
      </c>
      <c r="L510" s="2" t="s">
        <v>5</v>
      </c>
      <c r="M510" s="4" t="s">
        <v>67</v>
      </c>
      <c r="N510" s="3" t="s">
        <v>80</v>
      </c>
      <c r="O510" s="2" t="s">
        <v>11</v>
      </c>
      <c r="P510" s="10"/>
      <c r="Q510" s="11"/>
    </row>
    <row r="511" spans="2:17" ht="21" customHeight="1" x14ac:dyDescent="0.35">
      <c r="B511" s="18">
        <v>43886</v>
      </c>
      <c r="C511" s="18" t="str">
        <f>TEXT(Sales[[#This Row],[Kode Program/Kegiatan ]],"D")</f>
        <v>25</v>
      </c>
      <c r="D511" s="19" t="str">
        <f>TEXT(Sales[[#This Row],[Kode Program/Kegiatan ]],"mmm")</f>
        <v>Feb</v>
      </c>
      <c r="E511" s="20">
        <v>3</v>
      </c>
      <c r="F511" s="19">
        <v>1</v>
      </c>
      <c r="G511" s="20">
        <f>IF(Sales[[#This Row],[Anggaran Murni]]-Sales[[#This Row],[Target s.d. Januari]]=0,"",Sales[[#This Row],[Anggaran Murni]]-Sales[[#This Row],[Target s.d. Januari]])</f>
        <v>2</v>
      </c>
      <c r="H511" s="19" t="s">
        <v>74</v>
      </c>
      <c r="I511" s="20" t="s">
        <v>77</v>
      </c>
      <c r="J511" s="20"/>
      <c r="K511" s="19" t="s">
        <v>29</v>
      </c>
      <c r="L511" s="19" t="s">
        <v>5</v>
      </c>
      <c r="M511" s="21" t="s">
        <v>67</v>
      </c>
      <c r="N511" s="20" t="s">
        <v>80</v>
      </c>
      <c r="O511" s="19" t="s">
        <v>11</v>
      </c>
      <c r="P511" s="10"/>
      <c r="Q511" s="11"/>
    </row>
    <row r="512" spans="2:17" ht="21" customHeight="1" x14ac:dyDescent="0.35">
      <c r="B512" s="1">
        <v>43887</v>
      </c>
      <c r="C512" s="1" t="str">
        <f>TEXT(Sales[[#This Row],[Kode Program/Kegiatan ]],"D")</f>
        <v>26</v>
      </c>
      <c r="D512" s="2" t="str">
        <f>TEXT(Sales[[#This Row],[Kode Program/Kegiatan ]],"mmm")</f>
        <v>Feb</v>
      </c>
      <c r="E512" s="3">
        <v>10</v>
      </c>
      <c r="F512" s="2">
        <v>6</v>
      </c>
      <c r="G512" s="3">
        <f>IF(Sales[[#This Row],[Anggaran Murni]]-Sales[[#This Row],[Target s.d. Januari]]=0,"",Sales[[#This Row],[Anggaran Murni]]-Sales[[#This Row],[Target s.d. Januari]])</f>
        <v>4</v>
      </c>
      <c r="H512" s="2" t="s">
        <v>74</v>
      </c>
      <c r="I512" s="3" t="s">
        <v>77</v>
      </c>
      <c r="J512" s="3"/>
      <c r="K512" s="2" t="s">
        <v>39</v>
      </c>
      <c r="L512" s="2" t="s">
        <v>7</v>
      </c>
      <c r="M512" s="4" t="s">
        <v>67</v>
      </c>
      <c r="N512" s="3" t="s">
        <v>80</v>
      </c>
      <c r="O512" s="2" t="s">
        <v>13</v>
      </c>
      <c r="P512" s="10"/>
      <c r="Q512" s="11"/>
    </row>
    <row r="513" spans="2:17" ht="21" customHeight="1" x14ac:dyDescent="0.35">
      <c r="B513" s="18">
        <v>43887</v>
      </c>
      <c r="C513" s="18" t="str">
        <f>TEXT(Sales[[#This Row],[Kode Program/Kegiatan ]],"D")</f>
        <v>26</v>
      </c>
      <c r="D513" s="19" t="str">
        <f>TEXT(Sales[[#This Row],[Kode Program/Kegiatan ]],"mmm")</f>
        <v>Feb</v>
      </c>
      <c r="E513" s="20">
        <v>10</v>
      </c>
      <c r="F513" s="19">
        <v>8</v>
      </c>
      <c r="G513" s="20">
        <f>IF(Sales[[#This Row],[Anggaran Murni]]-Sales[[#This Row],[Target s.d. Januari]]=0,"",Sales[[#This Row],[Anggaran Murni]]-Sales[[#This Row],[Target s.d. Januari]])</f>
        <v>2</v>
      </c>
      <c r="H513" s="19" t="s">
        <v>70</v>
      </c>
      <c r="I513" s="20" t="s">
        <v>1</v>
      </c>
      <c r="J513" s="20"/>
      <c r="K513" s="19" t="s">
        <v>62</v>
      </c>
      <c r="L513" s="19" t="s">
        <v>5</v>
      </c>
      <c r="M513" s="21" t="s">
        <v>67</v>
      </c>
      <c r="N513" s="20" t="s">
        <v>81</v>
      </c>
      <c r="O513" s="19" t="s">
        <v>11</v>
      </c>
      <c r="P513" s="10"/>
      <c r="Q513" s="11"/>
    </row>
    <row r="514" spans="2:17" ht="21" customHeight="1" x14ac:dyDescent="0.35">
      <c r="B514" s="1">
        <v>43887</v>
      </c>
      <c r="C514" s="1" t="str">
        <f>TEXT(Sales[[#This Row],[Kode Program/Kegiatan ]],"D")</f>
        <v>26</v>
      </c>
      <c r="D514" s="2" t="str">
        <f>TEXT(Sales[[#This Row],[Kode Program/Kegiatan ]],"mmm")</f>
        <v>Feb</v>
      </c>
      <c r="E514" s="3">
        <v>8</v>
      </c>
      <c r="F514" s="2">
        <v>5</v>
      </c>
      <c r="G514" s="3">
        <f>IF(Sales[[#This Row],[Anggaran Murni]]-Sales[[#This Row],[Target s.d. Januari]]=0,"",Sales[[#This Row],[Anggaran Murni]]-Sales[[#This Row],[Target s.d. Januari]])</f>
        <v>3</v>
      </c>
      <c r="H514" s="2" t="s">
        <v>71</v>
      </c>
      <c r="I514" s="3" t="s">
        <v>6</v>
      </c>
      <c r="J514" s="3"/>
      <c r="K514" s="2" t="s">
        <v>63</v>
      </c>
      <c r="L514" s="2" t="s">
        <v>9</v>
      </c>
      <c r="M514" s="4" t="s">
        <v>67</v>
      </c>
      <c r="N514" s="3" t="s">
        <v>81</v>
      </c>
      <c r="O514" s="2" t="s">
        <v>13</v>
      </c>
      <c r="P514" s="10"/>
      <c r="Q514" s="11"/>
    </row>
    <row r="515" spans="2:17" ht="21" customHeight="1" x14ac:dyDescent="0.35">
      <c r="B515" s="18">
        <v>43887</v>
      </c>
      <c r="C515" s="18" t="str">
        <f>TEXT(Sales[[#This Row],[Kode Program/Kegiatan ]],"D")</f>
        <v>26</v>
      </c>
      <c r="D515" s="19" t="str">
        <f>TEXT(Sales[[#This Row],[Kode Program/Kegiatan ]],"mmm")</f>
        <v>Feb</v>
      </c>
      <c r="E515" s="20">
        <v>8</v>
      </c>
      <c r="F515" s="19">
        <v>5</v>
      </c>
      <c r="G515" s="20">
        <f>IF(Sales[[#This Row],[Anggaran Murni]]-Sales[[#This Row],[Target s.d. Januari]]=0,"",Sales[[#This Row],[Anggaran Murni]]-Sales[[#This Row],[Target s.d. Januari]])</f>
        <v>3</v>
      </c>
      <c r="H515" s="19" t="s">
        <v>72</v>
      </c>
      <c r="I515" s="20" t="s">
        <v>78</v>
      </c>
      <c r="J515" s="20"/>
      <c r="K515" s="19" t="s">
        <v>16</v>
      </c>
      <c r="L515" s="19" t="s">
        <v>5</v>
      </c>
      <c r="M515" s="21" t="s">
        <v>67</v>
      </c>
      <c r="N515" s="20" t="s">
        <v>82</v>
      </c>
      <c r="O515" s="19" t="s">
        <v>14</v>
      </c>
      <c r="P515" s="10"/>
      <c r="Q515" s="11"/>
    </row>
    <row r="516" spans="2:17" ht="21" customHeight="1" x14ac:dyDescent="0.35">
      <c r="B516" s="1">
        <v>43887</v>
      </c>
      <c r="C516" s="1" t="str">
        <f>TEXT(Sales[[#This Row],[Kode Program/Kegiatan ]],"D")</f>
        <v>26</v>
      </c>
      <c r="D516" s="2" t="str">
        <f>TEXT(Sales[[#This Row],[Kode Program/Kegiatan ]],"mmm")</f>
        <v>Feb</v>
      </c>
      <c r="E516" s="3">
        <v>5</v>
      </c>
      <c r="F516" s="2">
        <v>3</v>
      </c>
      <c r="G516" s="3">
        <f>IF(Sales[[#This Row],[Anggaran Murni]]-Sales[[#This Row],[Target s.d. Januari]]=0,"",Sales[[#This Row],[Anggaran Murni]]-Sales[[#This Row],[Target s.d. Januari]])</f>
        <v>2</v>
      </c>
      <c r="H516" s="2" t="s">
        <v>113</v>
      </c>
      <c r="I516" s="3" t="s">
        <v>77</v>
      </c>
      <c r="J516" s="3"/>
      <c r="K516" s="2" t="s">
        <v>60</v>
      </c>
      <c r="L516" s="2" t="s">
        <v>2</v>
      </c>
      <c r="M516" s="4" t="s">
        <v>67</v>
      </c>
      <c r="N516" s="3" t="s">
        <v>82</v>
      </c>
      <c r="O516" s="2" t="s">
        <v>13</v>
      </c>
      <c r="P516" s="10"/>
      <c r="Q516" s="11"/>
    </row>
    <row r="517" spans="2:17" ht="21" customHeight="1" x14ac:dyDescent="0.35">
      <c r="B517" s="18">
        <v>43887</v>
      </c>
      <c r="C517" s="18" t="str">
        <f>TEXT(Sales[[#This Row],[Kode Program/Kegiatan ]],"D")</f>
        <v>26</v>
      </c>
      <c r="D517" s="19" t="str">
        <f>TEXT(Sales[[#This Row],[Kode Program/Kegiatan ]],"mmm")</f>
        <v>Feb</v>
      </c>
      <c r="E517" s="20">
        <v>3</v>
      </c>
      <c r="F517" s="19">
        <v>2</v>
      </c>
      <c r="G517" s="20">
        <f>IF(Sales[[#This Row],[Anggaran Murni]]-Sales[[#This Row],[Target s.d. Januari]]=0,"",Sales[[#This Row],[Anggaran Murni]]-Sales[[#This Row],[Target s.d. Januari]])</f>
        <v>1</v>
      </c>
      <c r="H517" s="19" t="s">
        <v>72</v>
      </c>
      <c r="I517" s="20" t="s">
        <v>78</v>
      </c>
      <c r="J517" s="20"/>
      <c r="K517" s="19" t="s">
        <v>52</v>
      </c>
      <c r="L517" s="19" t="s">
        <v>9</v>
      </c>
      <c r="M517" s="21" t="s">
        <v>67</v>
      </c>
      <c r="N517" s="20" t="s">
        <v>80</v>
      </c>
      <c r="O517" s="19" t="s">
        <v>13</v>
      </c>
      <c r="P517" s="10"/>
      <c r="Q517" s="11"/>
    </row>
    <row r="518" spans="2:17" ht="21" customHeight="1" x14ac:dyDescent="0.35">
      <c r="B518" s="1">
        <v>43887</v>
      </c>
      <c r="C518" s="1" t="str">
        <f>TEXT(Sales[[#This Row],[Kode Program/Kegiatan ]],"D")</f>
        <v>26</v>
      </c>
      <c r="D518" s="2" t="str">
        <f>TEXT(Sales[[#This Row],[Kode Program/Kegiatan ]],"mmm")</f>
        <v>Feb</v>
      </c>
      <c r="E518" s="3">
        <v>3</v>
      </c>
      <c r="F518" s="2">
        <v>1</v>
      </c>
      <c r="G518" s="3">
        <f>IF(Sales[[#This Row],[Anggaran Murni]]-Sales[[#This Row],[Target s.d. Januari]]=0,"",Sales[[#This Row],[Anggaran Murni]]-Sales[[#This Row],[Target s.d. Januari]])</f>
        <v>2</v>
      </c>
      <c r="H518" s="2" t="s">
        <v>70</v>
      </c>
      <c r="I518" s="3" t="s">
        <v>1</v>
      </c>
      <c r="J518" s="3"/>
      <c r="K518" s="2" t="s">
        <v>37</v>
      </c>
      <c r="L518" s="2" t="s">
        <v>5</v>
      </c>
      <c r="M518" s="4" t="s">
        <v>67</v>
      </c>
      <c r="N518" s="3" t="s">
        <v>80</v>
      </c>
      <c r="O518" s="2" t="s">
        <v>14</v>
      </c>
      <c r="P518" s="10"/>
      <c r="Q518" s="11"/>
    </row>
    <row r="519" spans="2:17" ht="21" customHeight="1" x14ac:dyDescent="0.35">
      <c r="B519" s="18">
        <v>43887</v>
      </c>
      <c r="C519" s="18" t="str">
        <f>TEXT(Sales[[#This Row],[Kode Program/Kegiatan ]],"D")</f>
        <v>26</v>
      </c>
      <c r="D519" s="19" t="str">
        <f>TEXT(Sales[[#This Row],[Kode Program/Kegiatan ]],"mmm")</f>
        <v>Feb</v>
      </c>
      <c r="E519" s="20">
        <v>3</v>
      </c>
      <c r="F519" s="19">
        <v>2</v>
      </c>
      <c r="G519" s="20">
        <f>IF(Sales[[#This Row],[Anggaran Murni]]-Sales[[#This Row],[Target s.d. Januari]]=0,"",Sales[[#This Row],[Anggaran Murni]]-Sales[[#This Row],[Target s.d. Januari]])</f>
        <v>1</v>
      </c>
      <c r="H519" s="19" t="s">
        <v>114</v>
      </c>
      <c r="I519" s="20" t="s">
        <v>3</v>
      </c>
      <c r="J519" s="20"/>
      <c r="K519" s="19" t="s">
        <v>15</v>
      </c>
      <c r="L519" s="19" t="s">
        <v>7</v>
      </c>
      <c r="M519" s="21" t="s">
        <v>67</v>
      </c>
      <c r="N519" s="20" t="s">
        <v>82</v>
      </c>
      <c r="O519" s="19" t="s">
        <v>12</v>
      </c>
      <c r="P519" s="10"/>
      <c r="Q519" s="11"/>
    </row>
    <row r="520" spans="2:17" ht="21" customHeight="1" x14ac:dyDescent="0.35">
      <c r="B520" s="1">
        <v>43888</v>
      </c>
      <c r="C520" s="1" t="str">
        <f>TEXT(Sales[[#This Row],[Kode Program/Kegiatan ]],"D")</f>
        <v>27</v>
      </c>
      <c r="D520" s="2" t="str">
        <f>TEXT(Sales[[#This Row],[Kode Program/Kegiatan ]],"mmm")</f>
        <v>Feb</v>
      </c>
      <c r="E520" s="3">
        <v>10</v>
      </c>
      <c r="F520" s="2">
        <v>6</v>
      </c>
      <c r="G520" s="3">
        <f>IF(Sales[[#This Row],[Anggaran Murni]]-Sales[[#This Row],[Target s.d. Januari]]=0,"",Sales[[#This Row],[Anggaran Murni]]-Sales[[#This Row],[Target s.d. Januari]])</f>
        <v>4</v>
      </c>
      <c r="H520" s="2" t="s">
        <v>113</v>
      </c>
      <c r="I520" s="3" t="s">
        <v>77</v>
      </c>
      <c r="J520" s="3"/>
      <c r="K520" s="2" t="s">
        <v>20</v>
      </c>
      <c r="L520" s="2" t="s">
        <v>8</v>
      </c>
      <c r="M520" s="4" t="s">
        <v>67</v>
      </c>
      <c r="N520" s="3" t="s">
        <v>81</v>
      </c>
      <c r="O520" s="2" t="s">
        <v>14</v>
      </c>
      <c r="P520" s="10"/>
      <c r="Q520" s="11"/>
    </row>
    <row r="521" spans="2:17" ht="21" customHeight="1" x14ac:dyDescent="0.35">
      <c r="B521" s="18">
        <v>43888</v>
      </c>
      <c r="C521" s="18" t="str">
        <f>TEXT(Sales[[#This Row],[Kode Program/Kegiatan ]],"D")</f>
        <v>27</v>
      </c>
      <c r="D521" s="19" t="str">
        <f>TEXT(Sales[[#This Row],[Kode Program/Kegiatan ]],"mmm")</f>
        <v>Feb</v>
      </c>
      <c r="E521" s="20">
        <v>10</v>
      </c>
      <c r="F521" s="19">
        <v>6</v>
      </c>
      <c r="G521" s="20">
        <f>IF(Sales[[#This Row],[Anggaran Murni]]-Sales[[#This Row],[Target s.d. Januari]]=0,"",Sales[[#This Row],[Anggaran Murni]]-Sales[[#This Row],[Target s.d. Januari]])</f>
        <v>4</v>
      </c>
      <c r="H521" s="19" t="s">
        <v>113</v>
      </c>
      <c r="I521" s="20" t="s">
        <v>77</v>
      </c>
      <c r="J521" s="20"/>
      <c r="K521" s="19" t="s">
        <v>39</v>
      </c>
      <c r="L521" s="19" t="s">
        <v>7</v>
      </c>
      <c r="M521" s="21" t="s">
        <v>67</v>
      </c>
      <c r="N521" s="20" t="s">
        <v>80</v>
      </c>
      <c r="O521" s="19" t="s">
        <v>14</v>
      </c>
      <c r="P521" s="10"/>
      <c r="Q521" s="11"/>
    </row>
    <row r="522" spans="2:17" ht="21" customHeight="1" x14ac:dyDescent="0.35">
      <c r="B522" s="1">
        <v>43888</v>
      </c>
      <c r="C522" s="1" t="str">
        <f>TEXT(Sales[[#This Row],[Kode Program/Kegiatan ]],"D")</f>
        <v>27</v>
      </c>
      <c r="D522" s="2" t="str">
        <f>TEXT(Sales[[#This Row],[Kode Program/Kegiatan ]],"mmm")</f>
        <v>Feb</v>
      </c>
      <c r="E522" s="3">
        <v>8</v>
      </c>
      <c r="F522" s="2">
        <v>5</v>
      </c>
      <c r="G522" s="3">
        <f>IF(Sales[[#This Row],[Anggaran Murni]]-Sales[[#This Row],[Target s.d. Januari]]=0,"",Sales[[#This Row],[Anggaran Murni]]-Sales[[#This Row],[Target s.d. Januari]])</f>
        <v>3</v>
      </c>
      <c r="H522" s="2" t="s">
        <v>70</v>
      </c>
      <c r="I522" s="3" t="s">
        <v>1</v>
      </c>
      <c r="J522" s="3"/>
      <c r="K522" s="2" t="s">
        <v>38</v>
      </c>
      <c r="L522" s="2" t="s">
        <v>2</v>
      </c>
      <c r="M522" s="4" t="s">
        <v>67</v>
      </c>
      <c r="N522" s="3" t="s">
        <v>81</v>
      </c>
      <c r="O522" s="2" t="s">
        <v>13</v>
      </c>
      <c r="P522" s="10"/>
      <c r="Q522" s="11"/>
    </row>
    <row r="523" spans="2:17" ht="21" customHeight="1" x14ac:dyDescent="0.35">
      <c r="B523" s="18">
        <v>43888</v>
      </c>
      <c r="C523" s="18" t="str">
        <f>TEXT(Sales[[#This Row],[Kode Program/Kegiatan ]],"D")</f>
        <v>27</v>
      </c>
      <c r="D523" s="19" t="str">
        <f>TEXT(Sales[[#This Row],[Kode Program/Kegiatan ]],"mmm")</f>
        <v>Feb</v>
      </c>
      <c r="E523" s="20">
        <v>6</v>
      </c>
      <c r="F523" s="19">
        <v>5</v>
      </c>
      <c r="G523" s="20">
        <f>IF(Sales[[#This Row],[Anggaran Murni]]-Sales[[#This Row],[Target s.d. Januari]]=0,"",Sales[[#This Row],[Anggaran Murni]]-Sales[[#This Row],[Target s.d. Januari]])</f>
        <v>1</v>
      </c>
      <c r="H523" s="19" t="s">
        <v>75</v>
      </c>
      <c r="I523" s="20" t="s">
        <v>6</v>
      </c>
      <c r="J523" s="20"/>
      <c r="K523" s="19" t="s">
        <v>27</v>
      </c>
      <c r="L523" s="19" t="s">
        <v>4</v>
      </c>
      <c r="M523" s="21" t="s">
        <v>67</v>
      </c>
      <c r="N523" s="20" t="s">
        <v>82</v>
      </c>
      <c r="O523" s="19" t="s">
        <v>14</v>
      </c>
      <c r="P523" s="10"/>
      <c r="Q523" s="11"/>
    </row>
    <row r="524" spans="2:17" ht="21" customHeight="1" x14ac:dyDescent="0.35">
      <c r="B524" s="1">
        <v>43888</v>
      </c>
      <c r="C524" s="1" t="str">
        <f>TEXT(Sales[[#This Row],[Kode Program/Kegiatan ]],"D")</f>
        <v>27</v>
      </c>
      <c r="D524" s="2" t="str">
        <f>TEXT(Sales[[#This Row],[Kode Program/Kegiatan ]],"mmm")</f>
        <v>Feb</v>
      </c>
      <c r="E524" s="3">
        <v>6</v>
      </c>
      <c r="F524" s="2">
        <v>4</v>
      </c>
      <c r="G524" s="3">
        <f>IF(Sales[[#This Row],[Anggaran Murni]]-Sales[[#This Row],[Target s.d. Januari]]=0,"",Sales[[#This Row],[Anggaran Murni]]-Sales[[#This Row],[Target s.d. Januari]])</f>
        <v>2</v>
      </c>
      <c r="H524" s="2" t="s">
        <v>74</v>
      </c>
      <c r="I524" s="3" t="s">
        <v>77</v>
      </c>
      <c r="J524" s="3"/>
      <c r="K524" s="2" t="s">
        <v>33</v>
      </c>
      <c r="L524" s="2" t="s">
        <v>2</v>
      </c>
      <c r="M524" s="4" t="s">
        <v>67</v>
      </c>
      <c r="N524" s="3" t="s">
        <v>82</v>
      </c>
      <c r="O524" s="2" t="s">
        <v>14</v>
      </c>
      <c r="P524" s="10"/>
      <c r="Q524" s="11"/>
    </row>
    <row r="525" spans="2:17" ht="21" customHeight="1" x14ac:dyDescent="0.35">
      <c r="B525" s="18">
        <v>43888</v>
      </c>
      <c r="C525" s="18" t="str">
        <f>TEXT(Sales[[#This Row],[Kode Program/Kegiatan ]],"D")</f>
        <v>27</v>
      </c>
      <c r="D525" s="19" t="str">
        <f>TEXT(Sales[[#This Row],[Kode Program/Kegiatan ]],"mmm")</f>
        <v>Feb</v>
      </c>
      <c r="E525" s="20">
        <v>5</v>
      </c>
      <c r="F525" s="19">
        <v>3</v>
      </c>
      <c r="G525" s="20">
        <f>IF(Sales[[#This Row],[Anggaran Murni]]-Sales[[#This Row],[Target s.d. Januari]]=0,"",Sales[[#This Row],[Anggaran Murni]]-Sales[[#This Row],[Target s.d. Januari]])</f>
        <v>2</v>
      </c>
      <c r="H525" s="19" t="s">
        <v>73</v>
      </c>
      <c r="I525" s="20" t="s">
        <v>78</v>
      </c>
      <c r="J525" s="20"/>
      <c r="K525" s="19" t="s">
        <v>19</v>
      </c>
      <c r="L525" s="19" t="s">
        <v>5</v>
      </c>
      <c r="M525" s="21" t="s">
        <v>67</v>
      </c>
      <c r="N525" s="20" t="s">
        <v>82</v>
      </c>
      <c r="O525" s="19" t="s">
        <v>11</v>
      </c>
      <c r="P525" s="10"/>
      <c r="Q525" s="11"/>
    </row>
    <row r="526" spans="2:17" ht="21" customHeight="1" x14ac:dyDescent="0.35">
      <c r="B526" s="1">
        <v>43888</v>
      </c>
      <c r="C526" s="1" t="str">
        <f>TEXT(Sales[[#This Row],[Kode Program/Kegiatan ]],"D")</f>
        <v>27</v>
      </c>
      <c r="D526" s="2" t="str">
        <f>TEXT(Sales[[#This Row],[Kode Program/Kegiatan ]],"mmm")</f>
        <v>Feb</v>
      </c>
      <c r="E526" s="3">
        <v>5</v>
      </c>
      <c r="F526" s="2">
        <v>4</v>
      </c>
      <c r="G526" s="3">
        <f>IF(Sales[[#This Row],[Anggaran Murni]]-Sales[[#This Row],[Target s.d. Januari]]=0,"",Sales[[#This Row],[Anggaran Murni]]-Sales[[#This Row],[Target s.d. Januari]])</f>
        <v>1</v>
      </c>
      <c r="H526" s="2" t="s">
        <v>113</v>
      </c>
      <c r="I526" s="3" t="s">
        <v>77</v>
      </c>
      <c r="J526" s="3"/>
      <c r="K526" s="2" t="s">
        <v>20</v>
      </c>
      <c r="L526" s="2" t="s">
        <v>9</v>
      </c>
      <c r="M526" s="4" t="s">
        <v>67</v>
      </c>
      <c r="N526" s="3" t="s">
        <v>82</v>
      </c>
      <c r="O526" s="2" t="s">
        <v>11</v>
      </c>
      <c r="P526" s="10"/>
      <c r="Q526" s="11"/>
    </row>
    <row r="527" spans="2:17" ht="21" customHeight="1" x14ac:dyDescent="0.35">
      <c r="B527" s="18">
        <v>43888</v>
      </c>
      <c r="C527" s="18" t="str">
        <f>TEXT(Sales[[#This Row],[Kode Program/Kegiatan ]],"D")</f>
        <v>27</v>
      </c>
      <c r="D527" s="19" t="str">
        <f>TEXT(Sales[[#This Row],[Kode Program/Kegiatan ]],"mmm")</f>
        <v>Feb</v>
      </c>
      <c r="E527" s="20">
        <v>4</v>
      </c>
      <c r="F527" s="19">
        <v>2</v>
      </c>
      <c r="G527" s="20">
        <f>IF(Sales[[#This Row],[Anggaran Murni]]-Sales[[#This Row],[Target s.d. Januari]]=0,"",Sales[[#This Row],[Anggaran Murni]]-Sales[[#This Row],[Target s.d. Januari]])</f>
        <v>2</v>
      </c>
      <c r="H527" s="19" t="s">
        <v>70</v>
      </c>
      <c r="I527" s="20" t="s">
        <v>1</v>
      </c>
      <c r="J527" s="20"/>
      <c r="K527" s="19" t="s">
        <v>59</v>
      </c>
      <c r="L527" s="19" t="s">
        <v>2</v>
      </c>
      <c r="M527" s="21" t="s">
        <v>67</v>
      </c>
      <c r="N527" s="20" t="s">
        <v>81</v>
      </c>
      <c r="O527" s="19" t="s">
        <v>11</v>
      </c>
      <c r="P527" s="10"/>
      <c r="Q527" s="11"/>
    </row>
    <row r="528" spans="2:17" ht="21" customHeight="1" x14ac:dyDescent="0.35">
      <c r="B528" s="1">
        <v>43889</v>
      </c>
      <c r="C528" s="1" t="str">
        <f>TEXT(Sales[[#This Row],[Kode Program/Kegiatan ]],"D")</f>
        <v>28</v>
      </c>
      <c r="D528" s="2" t="str">
        <f>TEXT(Sales[[#This Row],[Kode Program/Kegiatan ]],"mmm")</f>
        <v>Feb</v>
      </c>
      <c r="E528" s="3">
        <v>10</v>
      </c>
      <c r="F528" s="2">
        <v>9</v>
      </c>
      <c r="G528" s="3">
        <f>IF(Sales[[#This Row],[Anggaran Murni]]-Sales[[#This Row],[Target s.d. Januari]]=0,"",Sales[[#This Row],[Anggaran Murni]]-Sales[[#This Row],[Target s.d. Januari]])</f>
        <v>1</v>
      </c>
      <c r="H528" s="2" t="s">
        <v>70</v>
      </c>
      <c r="I528" s="3" t="s">
        <v>1</v>
      </c>
      <c r="J528" s="3"/>
      <c r="K528" s="2" t="s">
        <v>64</v>
      </c>
      <c r="L528" s="2" t="s">
        <v>5</v>
      </c>
      <c r="M528" s="4" t="s">
        <v>67</v>
      </c>
      <c r="N528" s="3" t="s">
        <v>82</v>
      </c>
      <c r="O528" s="2" t="s">
        <v>11</v>
      </c>
      <c r="P528" s="10"/>
      <c r="Q528" s="11"/>
    </row>
    <row r="529" spans="2:17" ht="21" customHeight="1" x14ac:dyDescent="0.35">
      <c r="B529" s="18">
        <v>43889</v>
      </c>
      <c r="C529" s="18" t="str">
        <f>TEXT(Sales[[#This Row],[Kode Program/Kegiatan ]],"D")</f>
        <v>28</v>
      </c>
      <c r="D529" s="19" t="str">
        <f>TEXT(Sales[[#This Row],[Kode Program/Kegiatan ]],"mmm")</f>
        <v>Feb</v>
      </c>
      <c r="E529" s="20">
        <v>9</v>
      </c>
      <c r="F529" s="19">
        <v>7</v>
      </c>
      <c r="G529" s="20">
        <f>IF(Sales[[#This Row],[Anggaran Murni]]-Sales[[#This Row],[Target s.d. Januari]]=0,"",Sales[[#This Row],[Anggaran Murni]]-Sales[[#This Row],[Target s.d. Januari]])</f>
        <v>2</v>
      </c>
      <c r="H529" s="19" t="s">
        <v>73</v>
      </c>
      <c r="I529" s="20" t="s">
        <v>78</v>
      </c>
      <c r="J529" s="20"/>
      <c r="K529" s="19" t="s">
        <v>27</v>
      </c>
      <c r="L529" s="19" t="s">
        <v>2</v>
      </c>
      <c r="M529" s="21" t="s">
        <v>67</v>
      </c>
      <c r="N529" s="20" t="s">
        <v>81</v>
      </c>
      <c r="O529" s="19" t="s">
        <v>11</v>
      </c>
      <c r="P529" s="10"/>
      <c r="Q529" s="11"/>
    </row>
    <row r="530" spans="2:17" ht="21" customHeight="1" x14ac:dyDescent="0.35">
      <c r="B530" s="1">
        <v>43889</v>
      </c>
      <c r="C530" s="1" t="str">
        <f>TEXT(Sales[[#This Row],[Kode Program/Kegiatan ]],"D")</f>
        <v>28</v>
      </c>
      <c r="D530" s="2" t="str">
        <f>TEXT(Sales[[#This Row],[Kode Program/Kegiatan ]],"mmm")</f>
        <v>Feb</v>
      </c>
      <c r="E530" s="3">
        <v>8</v>
      </c>
      <c r="F530" s="2">
        <v>4</v>
      </c>
      <c r="G530" s="3">
        <f>IF(Sales[[#This Row],[Anggaran Murni]]-Sales[[#This Row],[Target s.d. Januari]]=0,"",Sales[[#This Row],[Anggaran Murni]]-Sales[[#This Row],[Target s.d. Januari]])</f>
        <v>4</v>
      </c>
      <c r="H530" s="2" t="s">
        <v>71</v>
      </c>
      <c r="I530" s="3" t="s">
        <v>6</v>
      </c>
      <c r="J530" s="3"/>
      <c r="K530" s="2" t="s">
        <v>22</v>
      </c>
      <c r="L530" s="2" t="s">
        <v>2</v>
      </c>
      <c r="M530" s="4" t="s">
        <v>67</v>
      </c>
      <c r="N530" s="3" t="s">
        <v>80</v>
      </c>
      <c r="O530" s="2" t="s">
        <v>13</v>
      </c>
      <c r="P530" s="10"/>
      <c r="Q530" s="11"/>
    </row>
    <row r="531" spans="2:17" ht="21" customHeight="1" x14ac:dyDescent="0.35">
      <c r="B531" s="18">
        <v>43889</v>
      </c>
      <c r="C531" s="18" t="str">
        <f>TEXT(Sales[[#This Row],[Kode Program/Kegiatan ]],"D")</f>
        <v>28</v>
      </c>
      <c r="D531" s="19" t="str">
        <f>TEXT(Sales[[#This Row],[Kode Program/Kegiatan ]],"mmm")</f>
        <v>Feb</v>
      </c>
      <c r="E531" s="20">
        <v>8</v>
      </c>
      <c r="F531" s="19">
        <v>6</v>
      </c>
      <c r="G531" s="20">
        <f>IF(Sales[[#This Row],[Anggaran Murni]]-Sales[[#This Row],[Target s.d. Januari]]=0,"",Sales[[#This Row],[Anggaran Murni]]-Sales[[#This Row],[Target s.d. Januari]])</f>
        <v>2</v>
      </c>
      <c r="H531" s="19" t="s">
        <v>113</v>
      </c>
      <c r="I531" s="20" t="s">
        <v>77</v>
      </c>
      <c r="J531" s="20"/>
      <c r="K531" s="19" t="s">
        <v>55</v>
      </c>
      <c r="L531" s="19" t="s">
        <v>4</v>
      </c>
      <c r="M531" s="21" t="s">
        <v>67</v>
      </c>
      <c r="N531" s="20" t="s">
        <v>80</v>
      </c>
      <c r="O531" s="19" t="s">
        <v>12</v>
      </c>
      <c r="P531" s="10"/>
      <c r="Q531" s="11"/>
    </row>
    <row r="532" spans="2:17" ht="21" customHeight="1" x14ac:dyDescent="0.35">
      <c r="B532" s="1">
        <v>43889</v>
      </c>
      <c r="C532" s="1" t="str">
        <f>TEXT(Sales[[#This Row],[Kode Program/Kegiatan ]],"D")</f>
        <v>28</v>
      </c>
      <c r="D532" s="2" t="str">
        <f>TEXT(Sales[[#This Row],[Kode Program/Kegiatan ]],"mmm")</f>
        <v>Feb</v>
      </c>
      <c r="E532" s="3">
        <v>6</v>
      </c>
      <c r="F532" s="2">
        <v>5</v>
      </c>
      <c r="G532" s="3">
        <f>IF(Sales[[#This Row],[Anggaran Murni]]-Sales[[#This Row],[Target s.d. Januari]]=0,"",Sales[[#This Row],[Anggaran Murni]]-Sales[[#This Row],[Target s.d. Januari]])</f>
        <v>1</v>
      </c>
      <c r="H532" s="2" t="s">
        <v>73</v>
      </c>
      <c r="I532" s="3" t="s">
        <v>78</v>
      </c>
      <c r="J532" s="3"/>
      <c r="K532" s="2" t="s">
        <v>52</v>
      </c>
      <c r="L532" s="2" t="s">
        <v>9</v>
      </c>
      <c r="M532" s="4" t="s">
        <v>67</v>
      </c>
      <c r="N532" s="3" t="s">
        <v>81</v>
      </c>
      <c r="O532" s="2" t="s">
        <v>14</v>
      </c>
      <c r="P532" s="10"/>
      <c r="Q532" s="11"/>
    </row>
    <row r="533" spans="2:17" ht="21" customHeight="1" x14ac:dyDescent="0.35">
      <c r="B533" s="18">
        <v>43889</v>
      </c>
      <c r="C533" s="18" t="str">
        <f>TEXT(Sales[[#This Row],[Kode Program/Kegiatan ]],"D")</f>
        <v>28</v>
      </c>
      <c r="D533" s="19" t="str">
        <f>TEXT(Sales[[#This Row],[Kode Program/Kegiatan ]],"mmm")</f>
        <v>Feb</v>
      </c>
      <c r="E533" s="20">
        <v>4</v>
      </c>
      <c r="F533" s="19">
        <v>3</v>
      </c>
      <c r="G533" s="20">
        <f>IF(Sales[[#This Row],[Anggaran Murni]]-Sales[[#This Row],[Target s.d. Januari]]=0,"",Sales[[#This Row],[Anggaran Murni]]-Sales[[#This Row],[Target s.d. Januari]])</f>
        <v>1</v>
      </c>
      <c r="H533" s="19" t="s">
        <v>73</v>
      </c>
      <c r="I533" s="20" t="s">
        <v>78</v>
      </c>
      <c r="J533" s="20"/>
      <c r="K533" s="19" t="s">
        <v>55</v>
      </c>
      <c r="L533" s="19" t="s">
        <v>5</v>
      </c>
      <c r="M533" s="21" t="s">
        <v>67</v>
      </c>
      <c r="N533" s="20" t="s">
        <v>82</v>
      </c>
      <c r="O533" s="19" t="s">
        <v>12</v>
      </c>
      <c r="P533" s="10"/>
      <c r="Q533" s="11"/>
    </row>
    <row r="534" spans="2:17" ht="21" customHeight="1" x14ac:dyDescent="0.35">
      <c r="B534" s="1">
        <v>43889</v>
      </c>
      <c r="C534" s="1" t="str">
        <f>TEXT(Sales[[#This Row],[Kode Program/Kegiatan ]],"D")</f>
        <v>28</v>
      </c>
      <c r="D534" s="2" t="str">
        <f>TEXT(Sales[[#This Row],[Kode Program/Kegiatan ]],"mmm")</f>
        <v>Feb</v>
      </c>
      <c r="E534" s="3">
        <v>3</v>
      </c>
      <c r="F534" s="2">
        <v>2</v>
      </c>
      <c r="G534" s="3">
        <f>IF(Sales[[#This Row],[Anggaran Murni]]-Sales[[#This Row],[Target s.d. Januari]]=0,"",Sales[[#This Row],[Anggaran Murni]]-Sales[[#This Row],[Target s.d. Januari]])</f>
        <v>1</v>
      </c>
      <c r="H534" s="2" t="s">
        <v>114</v>
      </c>
      <c r="I534" s="3" t="s">
        <v>3</v>
      </c>
      <c r="J534" s="3"/>
      <c r="K534" s="2" t="s">
        <v>31</v>
      </c>
      <c r="L534" s="2" t="s">
        <v>5</v>
      </c>
      <c r="M534" s="4" t="s">
        <v>67</v>
      </c>
      <c r="N534" s="3" t="s">
        <v>81</v>
      </c>
      <c r="O534" s="2" t="s">
        <v>11</v>
      </c>
      <c r="P534" s="10"/>
      <c r="Q534" s="11"/>
    </row>
    <row r="535" spans="2:17" ht="21" customHeight="1" x14ac:dyDescent="0.35">
      <c r="B535" s="18">
        <v>43889</v>
      </c>
      <c r="C535" s="18" t="str">
        <f>TEXT(Sales[[#This Row],[Kode Program/Kegiatan ]],"D")</f>
        <v>28</v>
      </c>
      <c r="D535" s="19" t="str">
        <f>TEXT(Sales[[#This Row],[Kode Program/Kegiatan ]],"mmm")</f>
        <v>Feb</v>
      </c>
      <c r="E535" s="20">
        <v>3</v>
      </c>
      <c r="F535" s="19">
        <v>1</v>
      </c>
      <c r="G535" s="20">
        <f>IF(Sales[[#This Row],[Anggaran Murni]]-Sales[[#This Row],[Target s.d. Januari]]=0,"",Sales[[#This Row],[Anggaran Murni]]-Sales[[#This Row],[Target s.d. Januari]])</f>
        <v>2</v>
      </c>
      <c r="H535" s="19" t="s">
        <v>113</v>
      </c>
      <c r="I535" s="20" t="s">
        <v>77</v>
      </c>
      <c r="J535" s="20"/>
      <c r="K535" s="19" t="s">
        <v>42</v>
      </c>
      <c r="L535" s="19" t="s">
        <v>8</v>
      </c>
      <c r="M535" s="21" t="s">
        <v>67</v>
      </c>
      <c r="N535" s="20" t="s">
        <v>82</v>
      </c>
      <c r="O535" s="19" t="s">
        <v>11</v>
      </c>
      <c r="P535" s="10"/>
      <c r="Q535" s="11"/>
    </row>
    <row r="536" spans="2:17" ht="21" customHeight="1" x14ac:dyDescent="0.35">
      <c r="B536" s="1">
        <v>43890</v>
      </c>
      <c r="C536" s="1" t="str">
        <f>TEXT(Sales[[#This Row],[Kode Program/Kegiatan ]],"D")</f>
        <v>29</v>
      </c>
      <c r="D536" s="2" t="str">
        <f>TEXT(Sales[[#This Row],[Kode Program/Kegiatan ]],"mmm")</f>
        <v>Feb</v>
      </c>
      <c r="E536" s="3">
        <v>10</v>
      </c>
      <c r="F536" s="2">
        <v>7</v>
      </c>
      <c r="G536" s="3">
        <f>IF(Sales[[#This Row],[Anggaran Murni]]-Sales[[#This Row],[Target s.d. Januari]]=0,"",Sales[[#This Row],[Anggaran Murni]]-Sales[[#This Row],[Target s.d. Januari]])</f>
        <v>3</v>
      </c>
      <c r="H536" s="2" t="s">
        <v>73</v>
      </c>
      <c r="I536" s="3" t="s">
        <v>78</v>
      </c>
      <c r="J536" s="3"/>
      <c r="K536" s="2" t="s">
        <v>45</v>
      </c>
      <c r="L536" s="2" t="s">
        <v>2</v>
      </c>
      <c r="M536" s="4" t="s">
        <v>67</v>
      </c>
      <c r="N536" s="3" t="s">
        <v>81</v>
      </c>
      <c r="O536" s="2" t="s">
        <v>14</v>
      </c>
      <c r="P536" s="10"/>
      <c r="Q536" s="11"/>
    </row>
    <row r="537" spans="2:17" ht="21" customHeight="1" x14ac:dyDescent="0.35">
      <c r="B537" s="18">
        <v>43890</v>
      </c>
      <c r="C537" s="18" t="str">
        <f>TEXT(Sales[[#This Row],[Kode Program/Kegiatan ]],"D")</f>
        <v>29</v>
      </c>
      <c r="D537" s="19" t="str">
        <f>TEXT(Sales[[#This Row],[Kode Program/Kegiatan ]],"mmm")</f>
        <v>Feb</v>
      </c>
      <c r="E537" s="20">
        <v>10</v>
      </c>
      <c r="F537" s="19">
        <v>7</v>
      </c>
      <c r="G537" s="20">
        <f>IF(Sales[[#This Row],[Anggaran Murni]]-Sales[[#This Row],[Target s.d. Januari]]=0,"",Sales[[#This Row],[Anggaran Murni]]-Sales[[#This Row],[Target s.d. Januari]])</f>
        <v>3</v>
      </c>
      <c r="H537" s="19" t="s">
        <v>76</v>
      </c>
      <c r="I537" s="20" t="s">
        <v>79</v>
      </c>
      <c r="J537" s="20"/>
      <c r="K537" s="19" t="s">
        <v>44</v>
      </c>
      <c r="L537" s="19" t="s">
        <v>5</v>
      </c>
      <c r="M537" s="21" t="s">
        <v>67</v>
      </c>
      <c r="N537" s="20" t="s">
        <v>82</v>
      </c>
      <c r="O537" s="19" t="s">
        <v>12</v>
      </c>
      <c r="P537" s="10"/>
      <c r="Q537" s="11"/>
    </row>
    <row r="538" spans="2:17" ht="21" customHeight="1" x14ac:dyDescent="0.35">
      <c r="B538" s="1">
        <v>43890</v>
      </c>
      <c r="C538" s="1" t="str">
        <f>TEXT(Sales[[#This Row],[Kode Program/Kegiatan ]],"D")</f>
        <v>29</v>
      </c>
      <c r="D538" s="2" t="str">
        <f>TEXT(Sales[[#This Row],[Kode Program/Kegiatan ]],"mmm")</f>
        <v>Feb</v>
      </c>
      <c r="E538" s="3">
        <v>10</v>
      </c>
      <c r="F538" s="2">
        <v>7</v>
      </c>
      <c r="G538" s="3">
        <f>IF(Sales[[#This Row],[Anggaran Murni]]-Sales[[#This Row],[Target s.d. Januari]]=0,"",Sales[[#This Row],[Anggaran Murni]]-Sales[[#This Row],[Target s.d. Januari]])</f>
        <v>3</v>
      </c>
      <c r="H538" s="2" t="s">
        <v>74</v>
      </c>
      <c r="I538" s="3" t="s">
        <v>77</v>
      </c>
      <c r="J538" s="3"/>
      <c r="K538" s="2" t="s">
        <v>42</v>
      </c>
      <c r="L538" s="2" t="s">
        <v>5</v>
      </c>
      <c r="M538" s="4" t="s">
        <v>67</v>
      </c>
      <c r="N538" s="3" t="s">
        <v>82</v>
      </c>
      <c r="O538" s="2" t="s">
        <v>14</v>
      </c>
      <c r="P538" s="10"/>
      <c r="Q538" s="11"/>
    </row>
    <row r="539" spans="2:17" ht="21" customHeight="1" x14ac:dyDescent="0.35">
      <c r="B539" s="18">
        <v>43890</v>
      </c>
      <c r="C539" s="18" t="str">
        <f>TEXT(Sales[[#This Row],[Kode Program/Kegiatan ]],"D")</f>
        <v>29</v>
      </c>
      <c r="D539" s="19" t="str">
        <f>TEXT(Sales[[#This Row],[Kode Program/Kegiatan ]],"mmm")</f>
        <v>Feb</v>
      </c>
      <c r="E539" s="20">
        <v>10</v>
      </c>
      <c r="F539" s="19">
        <v>9</v>
      </c>
      <c r="G539" s="20">
        <f>IF(Sales[[#This Row],[Anggaran Murni]]-Sales[[#This Row],[Target s.d. Januari]]=0,"",Sales[[#This Row],[Anggaran Murni]]-Sales[[#This Row],[Target s.d. Januari]])</f>
        <v>1</v>
      </c>
      <c r="H539" s="19" t="s">
        <v>76</v>
      </c>
      <c r="I539" s="20" t="s">
        <v>79</v>
      </c>
      <c r="J539" s="20"/>
      <c r="K539" s="19" t="s">
        <v>35</v>
      </c>
      <c r="L539" s="19" t="s">
        <v>2</v>
      </c>
      <c r="M539" s="21" t="s">
        <v>67</v>
      </c>
      <c r="N539" s="20" t="s">
        <v>80</v>
      </c>
      <c r="O539" s="19" t="s">
        <v>11</v>
      </c>
      <c r="P539" s="10"/>
      <c r="Q539" s="11"/>
    </row>
    <row r="540" spans="2:17" ht="21" customHeight="1" x14ac:dyDescent="0.35">
      <c r="B540" s="1">
        <v>43890</v>
      </c>
      <c r="C540" s="1" t="str">
        <f>TEXT(Sales[[#This Row],[Kode Program/Kegiatan ]],"D")</f>
        <v>29</v>
      </c>
      <c r="D540" s="2" t="str">
        <f>TEXT(Sales[[#This Row],[Kode Program/Kegiatan ]],"mmm")</f>
        <v>Feb</v>
      </c>
      <c r="E540" s="3">
        <v>9</v>
      </c>
      <c r="F540" s="2">
        <v>5</v>
      </c>
      <c r="G540" s="3">
        <f>IF(Sales[[#This Row],[Anggaran Murni]]-Sales[[#This Row],[Target s.d. Januari]]=0,"",Sales[[#This Row],[Anggaran Murni]]-Sales[[#This Row],[Target s.d. Januari]])</f>
        <v>4</v>
      </c>
      <c r="H540" s="2" t="s">
        <v>72</v>
      </c>
      <c r="I540" s="3" t="s">
        <v>78</v>
      </c>
      <c r="J540" s="3"/>
      <c r="K540" s="2" t="s">
        <v>40</v>
      </c>
      <c r="L540" s="2" t="s">
        <v>7</v>
      </c>
      <c r="M540" s="4" t="s">
        <v>67</v>
      </c>
      <c r="N540" s="3" t="s">
        <v>82</v>
      </c>
      <c r="O540" s="2" t="s">
        <v>14</v>
      </c>
      <c r="P540" s="10"/>
      <c r="Q540" s="11"/>
    </row>
    <row r="541" spans="2:17" ht="21" customHeight="1" x14ac:dyDescent="0.35">
      <c r="B541" s="18">
        <v>43890</v>
      </c>
      <c r="C541" s="18" t="str">
        <f>TEXT(Sales[[#This Row],[Kode Program/Kegiatan ]],"D")</f>
        <v>29</v>
      </c>
      <c r="D541" s="19" t="str">
        <f>TEXT(Sales[[#This Row],[Kode Program/Kegiatan ]],"mmm")</f>
        <v>Feb</v>
      </c>
      <c r="E541" s="20">
        <v>9</v>
      </c>
      <c r="F541" s="19">
        <v>7</v>
      </c>
      <c r="G541" s="20">
        <f>IF(Sales[[#This Row],[Anggaran Murni]]-Sales[[#This Row],[Target s.d. Januari]]=0,"",Sales[[#This Row],[Anggaran Murni]]-Sales[[#This Row],[Target s.d. Januari]])</f>
        <v>2</v>
      </c>
      <c r="H541" s="19" t="s">
        <v>114</v>
      </c>
      <c r="I541" s="20" t="s">
        <v>3</v>
      </c>
      <c r="J541" s="20"/>
      <c r="K541" s="19" t="s">
        <v>52</v>
      </c>
      <c r="L541" s="19" t="s">
        <v>5</v>
      </c>
      <c r="M541" s="21" t="s">
        <v>67</v>
      </c>
      <c r="N541" s="20" t="s">
        <v>82</v>
      </c>
      <c r="O541" s="19" t="s">
        <v>11</v>
      </c>
      <c r="P541" s="10"/>
      <c r="Q541" s="11"/>
    </row>
    <row r="542" spans="2:17" ht="21" customHeight="1" x14ac:dyDescent="0.35">
      <c r="B542" s="1">
        <v>43890</v>
      </c>
      <c r="C542" s="1" t="str">
        <f>TEXT(Sales[[#This Row],[Kode Program/Kegiatan ]],"D")</f>
        <v>29</v>
      </c>
      <c r="D542" s="2" t="str">
        <f>TEXT(Sales[[#This Row],[Kode Program/Kegiatan ]],"mmm")</f>
        <v>Feb</v>
      </c>
      <c r="E542" s="3">
        <v>8</v>
      </c>
      <c r="F542" s="2">
        <v>4</v>
      </c>
      <c r="G542" s="3">
        <f>IF(Sales[[#This Row],[Anggaran Murni]]-Sales[[#This Row],[Target s.d. Januari]]=0,"",Sales[[#This Row],[Anggaran Murni]]-Sales[[#This Row],[Target s.d. Januari]])</f>
        <v>4</v>
      </c>
      <c r="H542" s="2" t="s">
        <v>70</v>
      </c>
      <c r="I542" s="3" t="s">
        <v>1</v>
      </c>
      <c r="J542" s="3"/>
      <c r="K542" s="2" t="s">
        <v>54</v>
      </c>
      <c r="L542" s="2" t="s">
        <v>2</v>
      </c>
      <c r="M542" s="4" t="s">
        <v>67</v>
      </c>
      <c r="N542" s="3" t="s">
        <v>82</v>
      </c>
      <c r="O542" s="2" t="s">
        <v>14</v>
      </c>
      <c r="P542" s="10"/>
      <c r="Q542" s="11"/>
    </row>
    <row r="543" spans="2:17" ht="21" customHeight="1" x14ac:dyDescent="0.35">
      <c r="B543" s="18">
        <v>43890</v>
      </c>
      <c r="C543" s="18" t="str">
        <f>TEXT(Sales[[#This Row],[Kode Program/Kegiatan ]],"D")</f>
        <v>29</v>
      </c>
      <c r="D543" s="19" t="str">
        <f>TEXT(Sales[[#This Row],[Kode Program/Kegiatan ]],"mmm")</f>
        <v>Feb</v>
      </c>
      <c r="E543" s="20">
        <v>6</v>
      </c>
      <c r="F543" s="19">
        <v>3</v>
      </c>
      <c r="G543" s="20">
        <f>IF(Sales[[#This Row],[Anggaran Murni]]-Sales[[#This Row],[Target s.d. Januari]]=0,"",Sales[[#This Row],[Anggaran Murni]]-Sales[[#This Row],[Target s.d. Januari]])</f>
        <v>3</v>
      </c>
      <c r="H543" s="19" t="s">
        <v>70</v>
      </c>
      <c r="I543" s="20" t="s">
        <v>1</v>
      </c>
      <c r="J543" s="20"/>
      <c r="K543" s="19" t="s">
        <v>42</v>
      </c>
      <c r="L543" s="19" t="s">
        <v>5</v>
      </c>
      <c r="M543" s="21" t="s">
        <v>67</v>
      </c>
      <c r="N543" s="20" t="s">
        <v>81</v>
      </c>
      <c r="O543" s="19" t="s">
        <v>14</v>
      </c>
      <c r="P543" s="10"/>
      <c r="Q543" s="11"/>
    </row>
    <row r="544" spans="2:17" ht="21" customHeight="1" x14ac:dyDescent="0.35">
      <c r="B544" s="1">
        <v>43890</v>
      </c>
      <c r="C544" s="1" t="str">
        <f>TEXT(Sales[[#This Row],[Kode Program/Kegiatan ]],"D")</f>
        <v>29</v>
      </c>
      <c r="D544" s="2" t="str">
        <f>TEXT(Sales[[#This Row],[Kode Program/Kegiatan ]],"mmm")</f>
        <v>Feb</v>
      </c>
      <c r="E544" s="3">
        <v>6</v>
      </c>
      <c r="F544" s="2">
        <v>4</v>
      </c>
      <c r="G544" s="3">
        <f>IF(Sales[[#This Row],[Anggaran Murni]]-Sales[[#This Row],[Target s.d. Januari]]=0,"",Sales[[#This Row],[Anggaran Murni]]-Sales[[#This Row],[Target s.d. Januari]])</f>
        <v>2</v>
      </c>
      <c r="H544" s="2" t="s">
        <v>73</v>
      </c>
      <c r="I544" s="3" t="s">
        <v>78</v>
      </c>
      <c r="J544" s="3"/>
      <c r="K544" s="2" t="s">
        <v>30</v>
      </c>
      <c r="L544" s="2" t="s">
        <v>2</v>
      </c>
      <c r="M544" s="4" t="s">
        <v>67</v>
      </c>
      <c r="N544" s="3" t="s">
        <v>80</v>
      </c>
      <c r="O544" s="2" t="s">
        <v>11</v>
      </c>
      <c r="P544" s="10"/>
      <c r="Q544" s="11"/>
    </row>
    <row r="545" spans="2:17" ht="21" customHeight="1" x14ac:dyDescent="0.35">
      <c r="B545" s="18">
        <v>43890</v>
      </c>
      <c r="C545" s="18" t="str">
        <f>TEXT(Sales[[#This Row],[Kode Program/Kegiatan ]],"D")</f>
        <v>29</v>
      </c>
      <c r="D545" s="19" t="str">
        <f>TEXT(Sales[[#This Row],[Kode Program/Kegiatan ]],"mmm")</f>
        <v>Feb</v>
      </c>
      <c r="E545" s="20">
        <v>6</v>
      </c>
      <c r="F545" s="19">
        <v>5</v>
      </c>
      <c r="G545" s="20">
        <f>IF(Sales[[#This Row],[Anggaran Murni]]-Sales[[#This Row],[Target s.d. Januari]]=0,"",Sales[[#This Row],[Anggaran Murni]]-Sales[[#This Row],[Target s.d. Januari]])</f>
        <v>1</v>
      </c>
      <c r="H545" s="19" t="s">
        <v>70</v>
      </c>
      <c r="I545" s="20" t="s">
        <v>1</v>
      </c>
      <c r="J545" s="20"/>
      <c r="K545" s="19" t="s">
        <v>55</v>
      </c>
      <c r="L545" s="19" t="s">
        <v>2</v>
      </c>
      <c r="M545" s="21" t="s">
        <v>67</v>
      </c>
      <c r="N545" s="20" t="s">
        <v>80</v>
      </c>
      <c r="O545" s="19" t="s">
        <v>14</v>
      </c>
      <c r="P545" s="10"/>
      <c r="Q545" s="11"/>
    </row>
    <row r="546" spans="2:17" ht="21" customHeight="1" x14ac:dyDescent="0.35">
      <c r="B546" s="1">
        <v>43890</v>
      </c>
      <c r="C546" s="1" t="str">
        <f>TEXT(Sales[[#This Row],[Kode Program/Kegiatan ]],"D")</f>
        <v>29</v>
      </c>
      <c r="D546" s="2" t="str">
        <f>TEXT(Sales[[#This Row],[Kode Program/Kegiatan ]],"mmm")</f>
        <v>Feb</v>
      </c>
      <c r="E546" s="3">
        <v>4</v>
      </c>
      <c r="F546" s="2">
        <v>3</v>
      </c>
      <c r="G546" s="3">
        <f>IF(Sales[[#This Row],[Anggaran Murni]]-Sales[[#This Row],[Target s.d. Januari]]=0,"",Sales[[#This Row],[Anggaran Murni]]-Sales[[#This Row],[Target s.d. Januari]])</f>
        <v>1</v>
      </c>
      <c r="H546" s="2" t="s">
        <v>76</v>
      </c>
      <c r="I546" s="3" t="s">
        <v>79</v>
      </c>
      <c r="J546" s="3"/>
      <c r="K546" s="2" t="s">
        <v>23</v>
      </c>
      <c r="L546" s="2" t="s">
        <v>2</v>
      </c>
      <c r="M546" s="4" t="s">
        <v>67</v>
      </c>
      <c r="N546" s="3" t="s">
        <v>81</v>
      </c>
      <c r="O546" s="2" t="s">
        <v>13</v>
      </c>
      <c r="P546" s="10"/>
      <c r="Q546" s="11"/>
    </row>
    <row r="547" spans="2:17" ht="21" customHeight="1" x14ac:dyDescent="0.35">
      <c r="B547" s="18">
        <v>43890</v>
      </c>
      <c r="C547" s="18" t="str">
        <f>TEXT(Sales[[#This Row],[Kode Program/Kegiatan ]],"D")</f>
        <v>29</v>
      </c>
      <c r="D547" s="19" t="str">
        <f>TEXT(Sales[[#This Row],[Kode Program/Kegiatan ]],"mmm")</f>
        <v>Feb</v>
      </c>
      <c r="E547" s="20">
        <v>4</v>
      </c>
      <c r="F547" s="19">
        <v>3</v>
      </c>
      <c r="G547" s="20">
        <f>IF(Sales[[#This Row],[Anggaran Murni]]-Sales[[#This Row],[Target s.d. Januari]]=0,"",Sales[[#This Row],[Anggaran Murni]]-Sales[[#This Row],[Target s.d. Januari]])</f>
        <v>1</v>
      </c>
      <c r="H547" s="19" t="s">
        <v>114</v>
      </c>
      <c r="I547" s="20" t="s">
        <v>3</v>
      </c>
      <c r="J547" s="20"/>
      <c r="K547" s="19" t="s">
        <v>28</v>
      </c>
      <c r="L547" s="19" t="s">
        <v>7</v>
      </c>
      <c r="M547" s="21" t="s">
        <v>67</v>
      </c>
      <c r="N547" s="20" t="s">
        <v>80</v>
      </c>
      <c r="O547" s="19" t="s">
        <v>13</v>
      </c>
      <c r="P547" s="10"/>
      <c r="Q547" s="11"/>
    </row>
    <row r="548" spans="2:17" ht="21" customHeight="1" x14ac:dyDescent="0.35">
      <c r="B548" s="1">
        <v>43890</v>
      </c>
      <c r="C548" s="1" t="str">
        <f>TEXT(Sales[[#This Row],[Kode Program/Kegiatan ]],"D")</f>
        <v>29</v>
      </c>
      <c r="D548" s="2" t="str">
        <f>TEXT(Sales[[#This Row],[Kode Program/Kegiatan ]],"mmm")</f>
        <v>Feb</v>
      </c>
      <c r="E548" s="3">
        <v>3</v>
      </c>
      <c r="F548" s="2">
        <v>1</v>
      </c>
      <c r="G548" s="3">
        <f>IF(Sales[[#This Row],[Anggaran Murni]]-Sales[[#This Row],[Target s.d. Januari]]=0,"",Sales[[#This Row],[Anggaran Murni]]-Sales[[#This Row],[Target s.d. Januari]])</f>
        <v>2</v>
      </c>
      <c r="H548" s="2" t="s">
        <v>76</v>
      </c>
      <c r="I548" s="3" t="s">
        <v>79</v>
      </c>
      <c r="J548" s="3"/>
      <c r="K548" s="2" t="s">
        <v>25</v>
      </c>
      <c r="L548" s="2" t="s">
        <v>5</v>
      </c>
      <c r="M548" s="4" t="s">
        <v>67</v>
      </c>
      <c r="N548" s="3" t="s">
        <v>81</v>
      </c>
      <c r="O548" s="2" t="s">
        <v>14</v>
      </c>
      <c r="P548" s="10"/>
      <c r="Q548" s="11"/>
    </row>
    <row r="549" spans="2:17" ht="21" customHeight="1" x14ac:dyDescent="0.35">
      <c r="B549" s="18">
        <v>43891</v>
      </c>
      <c r="C549" s="18" t="str">
        <f>TEXT(Sales[[#This Row],[Kode Program/Kegiatan ]],"D")</f>
        <v>1</v>
      </c>
      <c r="D549" s="19" t="str">
        <f>TEXT(Sales[[#This Row],[Kode Program/Kegiatan ]],"mmm")</f>
        <v>Mar</v>
      </c>
      <c r="E549" s="20">
        <v>10</v>
      </c>
      <c r="F549" s="19">
        <v>10</v>
      </c>
      <c r="G549" s="20" t="str">
        <f>IF(Sales[[#This Row],[Anggaran Murni]]-Sales[[#This Row],[Target s.d. Januari]]=0,"",Sales[[#This Row],[Anggaran Murni]]-Sales[[#This Row],[Target s.d. Januari]])</f>
        <v/>
      </c>
      <c r="H549" s="19" t="s">
        <v>73</v>
      </c>
      <c r="I549" s="20" t="s">
        <v>78</v>
      </c>
      <c r="J549" s="20"/>
      <c r="K549" s="19" t="s">
        <v>17</v>
      </c>
      <c r="L549" s="19" t="s">
        <v>8</v>
      </c>
      <c r="M549" s="21" t="s">
        <v>67</v>
      </c>
      <c r="N549" s="20" t="s">
        <v>80</v>
      </c>
      <c r="O549" s="19" t="s">
        <v>13</v>
      </c>
      <c r="P549" s="10"/>
      <c r="Q549" s="11"/>
    </row>
    <row r="550" spans="2:17" ht="21" customHeight="1" x14ac:dyDescent="0.35">
      <c r="B550" s="1">
        <v>43891</v>
      </c>
      <c r="C550" s="1" t="str">
        <f>TEXT(Sales[[#This Row],[Kode Program/Kegiatan ]],"D")</f>
        <v>1</v>
      </c>
      <c r="D550" s="2" t="str">
        <f>TEXT(Sales[[#This Row],[Kode Program/Kegiatan ]],"mmm")</f>
        <v>Mar</v>
      </c>
      <c r="E550" s="3">
        <v>8</v>
      </c>
      <c r="F550" s="2">
        <v>8</v>
      </c>
      <c r="G550" s="3" t="str">
        <f>IF(Sales[[#This Row],[Anggaran Murni]]-Sales[[#This Row],[Target s.d. Januari]]=0,"",Sales[[#This Row],[Anggaran Murni]]-Sales[[#This Row],[Target s.d. Januari]])</f>
        <v/>
      </c>
      <c r="H550" s="2" t="s">
        <v>74</v>
      </c>
      <c r="I550" s="3" t="s">
        <v>77</v>
      </c>
      <c r="J550" s="3"/>
      <c r="K550" s="2" t="s">
        <v>50</v>
      </c>
      <c r="L550" s="2" t="s">
        <v>5</v>
      </c>
      <c r="M550" s="4" t="s">
        <v>67</v>
      </c>
      <c r="N550" s="3" t="s">
        <v>80</v>
      </c>
      <c r="O550" s="2" t="s">
        <v>13</v>
      </c>
      <c r="P550" s="10"/>
      <c r="Q550" s="11"/>
    </row>
    <row r="551" spans="2:17" ht="21" customHeight="1" x14ac:dyDescent="0.35">
      <c r="B551" s="18">
        <v>43891</v>
      </c>
      <c r="C551" s="18" t="str">
        <f>TEXT(Sales[[#This Row],[Kode Program/Kegiatan ]],"D")</f>
        <v>1</v>
      </c>
      <c r="D551" s="19" t="str">
        <f>TEXT(Sales[[#This Row],[Kode Program/Kegiatan ]],"mmm")</f>
        <v>Mar</v>
      </c>
      <c r="E551" s="20">
        <v>8</v>
      </c>
      <c r="F551" s="19">
        <v>8</v>
      </c>
      <c r="G551" s="20" t="str">
        <f>IF(Sales[[#This Row],[Anggaran Murni]]-Sales[[#This Row],[Target s.d. Januari]]=0,"",Sales[[#This Row],[Anggaran Murni]]-Sales[[#This Row],[Target s.d. Januari]])</f>
        <v/>
      </c>
      <c r="H551" s="19" t="s">
        <v>72</v>
      </c>
      <c r="I551" s="20" t="s">
        <v>78</v>
      </c>
      <c r="J551" s="20"/>
      <c r="K551" s="19" t="s">
        <v>48</v>
      </c>
      <c r="L551" s="19" t="s">
        <v>2</v>
      </c>
      <c r="M551" s="21" t="s">
        <v>67</v>
      </c>
      <c r="N551" s="20" t="s">
        <v>81</v>
      </c>
      <c r="O551" s="19" t="s">
        <v>12</v>
      </c>
      <c r="P551" s="10"/>
      <c r="Q551" s="11"/>
    </row>
    <row r="552" spans="2:17" ht="21" customHeight="1" x14ac:dyDescent="0.35">
      <c r="B552" s="1">
        <v>43891</v>
      </c>
      <c r="C552" s="1" t="str">
        <f>TEXT(Sales[[#This Row],[Kode Program/Kegiatan ]],"D")</f>
        <v>1</v>
      </c>
      <c r="D552" s="2" t="str">
        <f>TEXT(Sales[[#This Row],[Kode Program/Kegiatan ]],"mmm")</f>
        <v>Mar</v>
      </c>
      <c r="E552" s="3">
        <v>6</v>
      </c>
      <c r="F552" s="2">
        <v>6</v>
      </c>
      <c r="G552" s="3" t="str">
        <f>IF(Sales[[#This Row],[Anggaran Murni]]-Sales[[#This Row],[Target s.d. Januari]]=0,"",Sales[[#This Row],[Anggaran Murni]]-Sales[[#This Row],[Target s.d. Januari]])</f>
        <v/>
      </c>
      <c r="H552" s="2" t="s">
        <v>114</v>
      </c>
      <c r="I552" s="3" t="s">
        <v>3</v>
      </c>
      <c r="J552" s="3"/>
      <c r="K552" s="2" t="s">
        <v>34</v>
      </c>
      <c r="L552" s="2" t="s">
        <v>2</v>
      </c>
      <c r="M552" s="4" t="s">
        <v>67</v>
      </c>
      <c r="N552" s="3" t="s">
        <v>80</v>
      </c>
      <c r="O552" s="2" t="s">
        <v>13</v>
      </c>
      <c r="P552" s="10"/>
      <c r="Q552" s="11"/>
    </row>
    <row r="553" spans="2:17" ht="21" customHeight="1" x14ac:dyDescent="0.35">
      <c r="B553" s="18">
        <v>43892</v>
      </c>
      <c r="C553" s="18" t="str">
        <f>TEXT(Sales[[#This Row],[Kode Program/Kegiatan ]],"D")</f>
        <v>2</v>
      </c>
      <c r="D553" s="19" t="str">
        <f>TEXT(Sales[[#This Row],[Kode Program/Kegiatan ]],"mmm")</f>
        <v>Mar</v>
      </c>
      <c r="E553" s="20">
        <v>10</v>
      </c>
      <c r="F553" s="19">
        <v>10</v>
      </c>
      <c r="G553" s="20" t="str">
        <f>IF(Sales[[#This Row],[Anggaran Murni]]-Sales[[#This Row],[Target s.d. Januari]]=0,"",Sales[[#This Row],[Anggaran Murni]]-Sales[[#This Row],[Target s.d. Januari]])</f>
        <v/>
      </c>
      <c r="H553" s="19" t="s">
        <v>76</v>
      </c>
      <c r="I553" s="20" t="s">
        <v>79</v>
      </c>
      <c r="J553" s="20"/>
      <c r="K553" s="19" t="s">
        <v>32</v>
      </c>
      <c r="L553" s="19" t="s">
        <v>7</v>
      </c>
      <c r="M553" s="21" t="s">
        <v>67</v>
      </c>
      <c r="N553" s="20" t="s">
        <v>82</v>
      </c>
      <c r="O553" s="19" t="s">
        <v>11</v>
      </c>
      <c r="P553" s="10"/>
      <c r="Q553" s="11"/>
    </row>
    <row r="554" spans="2:17" ht="21" customHeight="1" x14ac:dyDescent="0.35">
      <c r="B554" s="1">
        <v>43892</v>
      </c>
      <c r="C554" s="1" t="str">
        <f>TEXT(Sales[[#This Row],[Kode Program/Kegiatan ]],"D")</f>
        <v>2</v>
      </c>
      <c r="D554" s="2" t="str">
        <f>TEXT(Sales[[#This Row],[Kode Program/Kegiatan ]],"mmm")</f>
        <v>Mar</v>
      </c>
      <c r="E554" s="3">
        <v>9</v>
      </c>
      <c r="F554" s="2">
        <v>9</v>
      </c>
      <c r="G554" s="3" t="str">
        <f>IF(Sales[[#This Row],[Anggaran Murni]]-Sales[[#This Row],[Target s.d. Januari]]=0,"",Sales[[#This Row],[Anggaran Murni]]-Sales[[#This Row],[Target s.d. Januari]])</f>
        <v/>
      </c>
      <c r="H554" s="2" t="s">
        <v>114</v>
      </c>
      <c r="I554" s="3" t="s">
        <v>3</v>
      </c>
      <c r="J554" s="3"/>
      <c r="K554" s="2" t="s">
        <v>36</v>
      </c>
      <c r="L554" s="2" t="s">
        <v>8</v>
      </c>
      <c r="M554" s="4" t="s">
        <v>67</v>
      </c>
      <c r="N554" s="3" t="s">
        <v>82</v>
      </c>
      <c r="O554" s="2" t="s">
        <v>14</v>
      </c>
      <c r="P554" s="10"/>
      <c r="Q554" s="11"/>
    </row>
    <row r="555" spans="2:17" ht="21" customHeight="1" x14ac:dyDescent="0.35">
      <c r="B555" s="18">
        <v>43892</v>
      </c>
      <c r="C555" s="18" t="str">
        <f>TEXT(Sales[[#This Row],[Kode Program/Kegiatan ]],"D")</f>
        <v>2</v>
      </c>
      <c r="D555" s="19" t="str">
        <f>TEXT(Sales[[#This Row],[Kode Program/Kegiatan ]],"mmm")</f>
        <v>Mar</v>
      </c>
      <c r="E555" s="20">
        <v>7</v>
      </c>
      <c r="F555" s="19">
        <v>7</v>
      </c>
      <c r="G555" s="20" t="str">
        <f>IF(Sales[[#This Row],[Anggaran Murni]]-Sales[[#This Row],[Target s.d. Januari]]=0,"",Sales[[#This Row],[Anggaran Murni]]-Sales[[#This Row],[Target s.d. Januari]])</f>
        <v/>
      </c>
      <c r="H555" s="19" t="s">
        <v>113</v>
      </c>
      <c r="I555" s="20" t="s">
        <v>77</v>
      </c>
      <c r="J555" s="20"/>
      <c r="K555" s="19" t="s">
        <v>24</v>
      </c>
      <c r="L555" s="19" t="s">
        <v>2</v>
      </c>
      <c r="M555" s="21" t="s">
        <v>67</v>
      </c>
      <c r="N555" s="20" t="s">
        <v>82</v>
      </c>
      <c r="O555" s="19" t="s">
        <v>14</v>
      </c>
      <c r="P555" s="10"/>
      <c r="Q555" s="11"/>
    </row>
    <row r="556" spans="2:17" ht="21" customHeight="1" x14ac:dyDescent="0.35">
      <c r="B556" s="1">
        <v>43892</v>
      </c>
      <c r="C556" s="1" t="str">
        <f>TEXT(Sales[[#This Row],[Kode Program/Kegiatan ]],"D")</f>
        <v>2</v>
      </c>
      <c r="D556" s="2" t="str">
        <f>TEXT(Sales[[#This Row],[Kode Program/Kegiatan ]],"mmm")</f>
        <v>Mar</v>
      </c>
      <c r="E556" s="3">
        <v>7</v>
      </c>
      <c r="F556" s="2">
        <v>7</v>
      </c>
      <c r="G556" s="3" t="str">
        <f>IF(Sales[[#This Row],[Anggaran Murni]]-Sales[[#This Row],[Target s.d. Januari]]=0,"",Sales[[#This Row],[Anggaran Murni]]-Sales[[#This Row],[Target s.d. Januari]])</f>
        <v/>
      </c>
      <c r="H556" s="2" t="s">
        <v>74</v>
      </c>
      <c r="I556" s="3" t="s">
        <v>77</v>
      </c>
      <c r="J556" s="3"/>
      <c r="K556" s="2" t="s">
        <v>33</v>
      </c>
      <c r="L556" s="2" t="s">
        <v>5</v>
      </c>
      <c r="M556" s="4" t="s">
        <v>67</v>
      </c>
      <c r="N556" s="3" t="s">
        <v>82</v>
      </c>
      <c r="O556" s="2" t="s">
        <v>13</v>
      </c>
      <c r="P556" s="10"/>
      <c r="Q556" s="11"/>
    </row>
    <row r="557" spans="2:17" ht="21" customHeight="1" x14ac:dyDescent="0.35">
      <c r="B557" s="18">
        <v>43892</v>
      </c>
      <c r="C557" s="18" t="str">
        <f>TEXT(Sales[[#This Row],[Kode Program/Kegiatan ]],"D")</f>
        <v>2</v>
      </c>
      <c r="D557" s="19" t="str">
        <f>TEXT(Sales[[#This Row],[Kode Program/Kegiatan ]],"mmm")</f>
        <v>Mar</v>
      </c>
      <c r="E557" s="20">
        <v>5</v>
      </c>
      <c r="F557" s="19">
        <v>5</v>
      </c>
      <c r="G557" s="20" t="str">
        <f>IF(Sales[[#This Row],[Anggaran Murni]]-Sales[[#This Row],[Target s.d. Januari]]=0,"",Sales[[#This Row],[Anggaran Murni]]-Sales[[#This Row],[Target s.d. Januari]])</f>
        <v/>
      </c>
      <c r="H557" s="19" t="s">
        <v>71</v>
      </c>
      <c r="I557" s="20" t="s">
        <v>6</v>
      </c>
      <c r="J557" s="20"/>
      <c r="K557" s="19" t="s">
        <v>48</v>
      </c>
      <c r="L557" s="19" t="s">
        <v>5</v>
      </c>
      <c r="M557" s="21" t="s">
        <v>67</v>
      </c>
      <c r="N557" s="20" t="s">
        <v>80</v>
      </c>
      <c r="O557" s="19" t="s">
        <v>12</v>
      </c>
      <c r="P557" s="10"/>
      <c r="Q557" s="11"/>
    </row>
    <row r="558" spans="2:17" ht="21" customHeight="1" x14ac:dyDescent="0.35">
      <c r="B558" s="1">
        <v>43892</v>
      </c>
      <c r="C558" s="1" t="str">
        <f>TEXT(Sales[[#This Row],[Kode Program/Kegiatan ]],"D")</f>
        <v>2</v>
      </c>
      <c r="D558" s="2" t="str">
        <f>TEXT(Sales[[#This Row],[Kode Program/Kegiatan ]],"mmm")</f>
        <v>Mar</v>
      </c>
      <c r="E558" s="3">
        <v>4</v>
      </c>
      <c r="F558" s="2">
        <v>4</v>
      </c>
      <c r="G558" s="3" t="str">
        <f>IF(Sales[[#This Row],[Anggaran Murni]]-Sales[[#This Row],[Target s.d. Januari]]=0,"",Sales[[#This Row],[Anggaran Murni]]-Sales[[#This Row],[Target s.d. Januari]])</f>
        <v/>
      </c>
      <c r="H558" s="2" t="s">
        <v>75</v>
      </c>
      <c r="I558" s="3" t="s">
        <v>6</v>
      </c>
      <c r="J558" s="3"/>
      <c r="K558" s="2" t="s">
        <v>41</v>
      </c>
      <c r="L558" s="2" t="s">
        <v>8</v>
      </c>
      <c r="M558" s="4" t="s">
        <v>67</v>
      </c>
      <c r="N558" s="3" t="s">
        <v>80</v>
      </c>
      <c r="O558" s="2" t="s">
        <v>14</v>
      </c>
      <c r="P558" s="10"/>
      <c r="Q558" s="11"/>
    </row>
    <row r="559" spans="2:17" ht="21" customHeight="1" x14ac:dyDescent="0.35">
      <c r="B559" s="18">
        <v>43892</v>
      </c>
      <c r="C559" s="18" t="str">
        <f>TEXT(Sales[[#This Row],[Kode Program/Kegiatan ]],"D")</f>
        <v>2</v>
      </c>
      <c r="D559" s="19" t="str">
        <f>TEXT(Sales[[#This Row],[Kode Program/Kegiatan ]],"mmm")</f>
        <v>Mar</v>
      </c>
      <c r="E559" s="20">
        <v>4</v>
      </c>
      <c r="F559" s="19">
        <v>4</v>
      </c>
      <c r="G559" s="20" t="str">
        <f>IF(Sales[[#This Row],[Anggaran Murni]]-Sales[[#This Row],[Target s.d. Januari]]=0,"",Sales[[#This Row],[Anggaran Murni]]-Sales[[#This Row],[Target s.d. Januari]])</f>
        <v/>
      </c>
      <c r="H559" s="19" t="s">
        <v>72</v>
      </c>
      <c r="I559" s="20" t="s">
        <v>78</v>
      </c>
      <c r="J559" s="20"/>
      <c r="K559" s="19" t="s">
        <v>56</v>
      </c>
      <c r="L559" s="19" t="s">
        <v>7</v>
      </c>
      <c r="M559" s="21" t="s">
        <v>67</v>
      </c>
      <c r="N559" s="20" t="s">
        <v>81</v>
      </c>
      <c r="O559" s="19" t="s">
        <v>12</v>
      </c>
      <c r="P559" s="10"/>
      <c r="Q559" s="11"/>
    </row>
    <row r="560" spans="2:17" ht="21" customHeight="1" x14ac:dyDescent="0.35">
      <c r="B560" s="1">
        <v>43893</v>
      </c>
      <c r="C560" s="1" t="str">
        <f>TEXT(Sales[[#This Row],[Kode Program/Kegiatan ]],"D")</f>
        <v>3</v>
      </c>
      <c r="D560" s="2" t="str">
        <f>TEXT(Sales[[#This Row],[Kode Program/Kegiatan ]],"mmm")</f>
        <v>Mar</v>
      </c>
      <c r="E560" s="3">
        <v>10</v>
      </c>
      <c r="F560" s="2">
        <v>10</v>
      </c>
      <c r="G560" s="3" t="str">
        <f>IF(Sales[[#This Row],[Anggaran Murni]]-Sales[[#This Row],[Target s.d. Januari]]=0,"",Sales[[#This Row],[Anggaran Murni]]-Sales[[#This Row],[Target s.d. Januari]])</f>
        <v/>
      </c>
      <c r="H560" s="2" t="s">
        <v>114</v>
      </c>
      <c r="I560" s="3" t="s">
        <v>3</v>
      </c>
      <c r="J560" s="3"/>
      <c r="K560" s="2" t="s">
        <v>15</v>
      </c>
      <c r="L560" s="2" t="s">
        <v>5</v>
      </c>
      <c r="M560" s="4" t="s">
        <v>67</v>
      </c>
      <c r="N560" s="3" t="s">
        <v>81</v>
      </c>
      <c r="O560" s="2" t="s">
        <v>12</v>
      </c>
      <c r="P560" s="10"/>
      <c r="Q560" s="11"/>
    </row>
    <row r="561" spans="2:17" ht="21" customHeight="1" x14ac:dyDescent="0.35">
      <c r="B561" s="18">
        <v>43893</v>
      </c>
      <c r="C561" s="18" t="str">
        <f>TEXT(Sales[[#This Row],[Kode Program/Kegiatan ]],"D")</f>
        <v>3</v>
      </c>
      <c r="D561" s="19" t="str">
        <f>TEXT(Sales[[#This Row],[Kode Program/Kegiatan ]],"mmm")</f>
        <v>Mar</v>
      </c>
      <c r="E561" s="20">
        <v>10</v>
      </c>
      <c r="F561" s="19">
        <v>10</v>
      </c>
      <c r="G561" s="20" t="str">
        <f>IF(Sales[[#This Row],[Anggaran Murni]]-Sales[[#This Row],[Target s.d. Januari]]=0,"",Sales[[#This Row],[Anggaran Murni]]-Sales[[#This Row],[Target s.d. Januari]])</f>
        <v/>
      </c>
      <c r="H561" s="19" t="s">
        <v>75</v>
      </c>
      <c r="I561" s="20" t="s">
        <v>6</v>
      </c>
      <c r="J561" s="20"/>
      <c r="K561" s="19" t="s">
        <v>62</v>
      </c>
      <c r="L561" s="19" t="s">
        <v>5</v>
      </c>
      <c r="M561" s="21" t="s">
        <v>67</v>
      </c>
      <c r="N561" s="20" t="s">
        <v>82</v>
      </c>
      <c r="O561" s="19" t="s">
        <v>12</v>
      </c>
      <c r="P561" s="10"/>
      <c r="Q561" s="11"/>
    </row>
    <row r="562" spans="2:17" ht="21" customHeight="1" x14ac:dyDescent="0.35">
      <c r="B562" s="1">
        <v>43893</v>
      </c>
      <c r="C562" s="1" t="str">
        <f>TEXT(Sales[[#This Row],[Kode Program/Kegiatan ]],"D")</f>
        <v>3</v>
      </c>
      <c r="D562" s="2" t="str">
        <f>TEXT(Sales[[#This Row],[Kode Program/Kegiatan ]],"mmm")</f>
        <v>Mar</v>
      </c>
      <c r="E562" s="3">
        <v>9</v>
      </c>
      <c r="F562" s="2">
        <v>9</v>
      </c>
      <c r="G562" s="3" t="str">
        <f>IF(Sales[[#This Row],[Anggaran Murni]]-Sales[[#This Row],[Target s.d. Januari]]=0,"",Sales[[#This Row],[Anggaran Murni]]-Sales[[#This Row],[Target s.d. Januari]])</f>
        <v/>
      </c>
      <c r="H562" s="2" t="s">
        <v>70</v>
      </c>
      <c r="I562" s="3" t="s">
        <v>1</v>
      </c>
      <c r="J562" s="3"/>
      <c r="K562" s="2" t="s">
        <v>15</v>
      </c>
      <c r="L562" s="2" t="s">
        <v>5</v>
      </c>
      <c r="M562" s="4" t="s">
        <v>67</v>
      </c>
      <c r="N562" s="3" t="s">
        <v>80</v>
      </c>
      <c r="O562" s="2" t="s">
        <v>12</v>
      </c>
      <c r="P562" s="10"/>
      <c r="Q562" s="11"/>
    </row>
    <row r="563" spans="2:17" ht="21" customHeight="1" x14ac:dyDescent="0.35">
      <c r="B563" s="18">
        <v>43893</v>
      </c>
      <c r="C563" s="18" t="str">
        <f>TEXT(Sales[[#This Row],[Kode Program/Kegiatan ]],"D")</f>
        <v>3</v>
      </c>
      <c r="D563" s="19" t="str">
        <f>TEXT(Sales[[#This Row],[Kode Program/Kegiatan ]],"mmm")</f>
        <v>Mar</v>
      </c>
      <c r="E563" s="20">
        <v>8</v>
      </c>
      <c r="F563" s="19">
        <v>8</v>
      </c>
      <c r="G563" s="20" t="str">
        <f>IF(Sales[[#This Row],[Anggaran Murni]]-Sales[[#This Row],[Target s.d. Januari]]=0,"",Sales[[#This Row],[Anggaran Murni]]-Sales[[#This Row],[Target s.d. Januari]])</f>
        <v/>
      </c>
      <c r="H563" s="19" t="s">
        <v>113</v>
      </c>
      <c r="I563" s="20" t="s">
        <v>77</v>
      </c>
      <c r="J563" s="20"/>
      <c r="K563" s="19" t="s">
        <v>15</v>
      </c>
      <c r="L563" s="19" t="s">
        <v>5</v>
      </c>
      <c r="M563" s="21" t="s">
        <v>67</v>
      </c>
      <c r="N563" s="20" t="s">
        <v>80</v>
      </c>
      <c r="O563" s="19" t="s">
        <v>12</v>
      </c>
      <c r="P563" s="10"/>
      <c r="Q563" s="11"/>
    </row>
    <row r="564" spans="2:17" ht="21" customHeight="1" x14ac:dyDescent="0.35">
      <c r="B564" s="1">
        <v>43893</v>
      </c>
      <c r="C564" s="1" t="str">
        <f>TEXT(Sales[[#This Row],[Kode Program/Kegiatan ]],"D")</f>
        <v>3</v>
      </c>
      <c r="D564" s="2" t="str">
        <f>TEXT(Sales[[#This Row],[Kode Program/Kegiatan ]],"mmm")</f>
        <v>Mar</v>
      </c>
      <c r="E564" s="3">
        <v>7</v>
      </c>
      <c r="F564" s="2">
        <v>7</v>
      </c>
      <c r="G564" s="3" t="str">
        <f>IF(Sales[[#This Row],[Anggaran Murni]]-Sales[[#This Row],[Target s.d. Januari]]=0,"",Sales[[#This Row],[Anggaran Murni]]-Sales[[#This Row],[Target s.d. Januari]])</f>
        <v/>
      </c>
      <c r="H564" s="2" t="s">
        <v>114</v>
      </c>
      <c r="I564" s="3" t="s">
        <v>3</v>
      </c>
      <c r="J564" s="3"/>
      <c r="K564" s="2" t="s">
        <v>17</v>
      </c>
      <c r="L564" s="2" t="s">
        <v>9</v>
      </c>
      <c r="M564" s="4" t="s">
        <v>67</v>
      </c>
      <c r="N564" s="3" t="s">
        <v>81</v>
      </c>
      <c r="O564" s="2" t="s">
        <v>12</v>
      </c>
      <c r="P564" s="10"/>
      <c r="Q564" s="11"/>
    </row>
    <row r="565" spans="2:17" ht="21" customHeight="1" x14ac:dyDescent="0.35">
      <c r="B565" s="18">
        <v>43893</v>
      </c>
      <c r="C565" s="18" t="str">
        <f>TEXT(Sales[[#This Row],[Kode Program/Kegiatan ]],"D")</f>
        <v>3</v>
      </c>
      <c r="D565" s="19" t="str">
        <f>TEXT(Sales[[#This Row],[Kode Program/Kegiatan ]],"mmm")</f>
        <v>Mar</v>
      </c>
      <c r="E565" s="20">
        <v>6</v>
      </c>
      <c r="F565" s="19">
        <v>6</v>
      </c>
      <c r="G565" s="20" t="str">
        <f>IF(Sales[[#This Row],[Anggaran Murni]]-Sales[[#This Row],[Target s.d. Januari]]=0,"",Sales[[#This Row],[Anggaran Murni]]-Sales[[#This Row],[Target s.d. Januari]])</f>
        <v/>
      </c>
      <c r="H565" s="19" t="s">
        <v>72</v>
      </c>
      <c r="I565" s="20" t="s">
        <v>78</v>
      </c>
      <c r="J565" s="20"/>
      <c r="K565" s="19" t="s">
        <v>27</v>
      </c>
      <c r="L565" s="19" t="s">
        <v>5</v>
      </c>
      <c r="M565" s="21" t="s">
        <v>67</v>
      </c>
      <c r="N565" s="20" t="s">
        <v>81</v>
      </c>
      <c r="O565" s="19" t="s">
        <v>13</v>
      </c>
      <c r="P565" s="10"/>
      <c r="Q565" s="11"/>
    </row>
    <row r="566" spans="2:17" ht="21" customHeight="1" x14ac:dyDescent="0.35">
      <c r="B566" s="1">
        <v>43893</v>
      </c>
      <c r="C566" s="1" t="str">
        <f>TEXT(Sales[[#This Row],[Kode Program/Kegiatan ]],"D")</f>
        <v>3</v>
      </c>
      <c r="D566" s="2" t="str">
        <f>TEXT(Sales[[#This Row],[Kode Program/Kegiatan ]],"mmm")</f>
        <v>Mar</v>
      </c>
      <c r="E566" s="3">
        <v>5</v>
      </c>
      <c r="F566" s="2">
        <v>5</v>
      </c>
      <c r="G566" s="3" t="str">
        <f>IF(Sales[[#This Row],[Anggaran Murni]]-Sales[[#This Row],[Target s.d. Januari]]=0,"",Sales[[#This Row],[Anggaran Murni]]-Sales[[#This Row],[Target s.d. Januari]])</f>
        <v/>
      </c>
      <c r="H566" s="2" t="s">
        <v>73</v>
      </c>
      <c r="I566" s="3" t="s">
        <v>78</v>
      </c>
      <c r="J566" s="3"/>
      <c r="K566" s="2" t="s">
        <v>53</v>
      </c>
      <c r="L566" s="2" t="s">
        <v>7</v>
      </c>
      <c r="M566" s="4" t="s">
        <v>67</v>
      </c>
      <c r="N566" s="3" t="s">
        <v>82</v>
      </c>
      <c r="O566" s="2" t="s">
        <v>12</v>
      </c>
      <c r="P566" s="10"/>
      <c r="Q566" s="11"/>
    </row>
    <row r="567" spans="2:17" ht="21" customHeight="1" x14ac:dyDescent="0.35">
      <c r="B567" s="18">
        <v>43894</v>
      </c>
      <c r="C567" s="18" t="str">
        <f>TEXT(Sales[[#This Row],[Kode Program/Kegiatan ]],"D")</f>
        <v>4</v>
      </c>
      <c r="D567" s="19" t="str">
        <f>TEXT(Sales[[#This Row],[Kode Program/Kegiatan ]],"mmm")</f>
        <v>Mar</v>
      </c>
      <c r="E567" s="20">
        <v>10</v>
      </c>
      <c r="F567" s="19">
        <v>10</v>
      </c>
      <c r="G567" s="20" t="str">
        <f>IF(Sales[[#This Row],[Anggaran Murni]]-Sales[[#This Row],[Target s.d. Januari]]=0,"",Sales[[#This Row],[Anggaran Murni]]-Sales[[#This Row],[Target s.d. Januari]])</f>
        <v/>
      </c>
      <c r="H567" s="19" t="s">
        <v>74</v>
      </c>
      <c r="I567" s="20" t="s">
        <v>77</v>
      </c>
      <c r="J567" s="20"/>
      <c r="K567" s="19" t="s">
        <v>33</v>
      </c>
      <c r="L567" s="19" t="s">
        <v>2</v>
      </c>
      <c r="M567" s="21" t="s">
        <v>67</v>
      </c>
      <c r="N567" s="20" t="s">
        <v>81</v>
      </c>
      <c r="O567" s="19" t="s">
        <v>12</v>
      </c>
      <c r="P567" s="10"/>
      <c r="Q567" s="11"/>
    </row>
    <row r="568" spans="2:17" ht="21" customHeight="1" x14ac:dyDescent="0.35">
      <c r="B568" s="1">
        <v>43894</v>
      </c>
      <c r="C568" s="1" t="str">
        <f>TEXT(Sales[[#This Row],[Kode Program/Kegiatan ]],"D")</f>
        <v>4</v>
      </c>
      <c r="D568" s="2" t="str">
        <f>TEXT(Sales[[#This Row],[Kode Program/Kegiatan ]],"mmm")</f>
        <v>Mar</v>
      </c>
      <c r="E568" s="3">
        <v>9</v>
      </c>
      <c r="F568" s="2">
        <v>9</v>
      </c>
      <c r="G568" s="3" t="str">
        <f>IF(Sales[[#This Row],[Anggaran Murni]]-Sales[[#This Row],[Target s.d. Januari]]=0,"",Sales[[#This Row],[Anggaran Murni]]-Sales[[#This Row],[Target s.d. Januari]])</f>
        <v/>
      </c>
      <c r="H568" s="2" t="s">
        <v>113</v>
      </c>
      <c r="I568" s="3" t="s">
        <v>77</v>
      </c>
      <c r="J568" s="3"/>
      <c r="K568" s="2" t="s">
        <v>36</v>
      </c>
      <c r="L568" s="2" t="s">
        <v>5</v>
      </c>
      <c r="M568" s="4" t="s">
        <v>67</v>
      </c>
      <c r="N568" s="3" t="s">
        <v>80</v>
      </c>
      <c r="O568" s="2" t="s">
        <v>13</v>
      </c>
      <c r="P568" s="10"/>
      <c r="Q568" s="11"/>
    </row>
    <row r="569" spans="2:17" ht="21" customHeight="1" x14ac:dyDescent="0.35">
      <c r="B569" s="18">
        <v>43894</v>
      </c>
      <c r="C569" s="18" t="str">
        <f>TEXT(Sales[[#This Row],[Kode Program/Kegiatan ]],"D")</f>
        <v>4</v>
      </c>
      <c r="D569" s="19" t="str">
        <f>TEXT(Sales[[#This Row],[Kode Program/Kegiatan ]],"mmm")</f>
        <v>Mar</v>
      </c>
      <c r="E569" s="20">
        <v>8</v>
      </c>
      <c r="F569" s="19">
        <v>8</v>
      </c>
      <c r="G569" s="20" t="str">
        <f>IF(Sales[[#This Row],[Anggaran Murni]]-Sales[[#This Row],[Target s.d. Januari]]=0,"",Sales[[#This Row],[Anggaran Murni]]-Sales[[#This Row],[Target s.d. Januari]])</f>
        <v/>
      </c>
      <c r="H569" s="19" t="s">
        <v>75</v>
      </c>
      <c r="I569" s="20" t="s">
        <v>6</v>
      </c>
      <c r="J569" s="20"/>
      <c r="K569" s="19" t="s">
        <v>23</v>
      </c>
      <c r="L569" s="19" t="s">
        <v>2</v>
      </c>
      <c r="M569" s="21" t="s">
        <v>67</v>
      </c>
      <c r="N569" s="20" t="s">
        <v>82</v>
      </c>
      <c r="O569" s="19" t="s">
        <v>11</v>
      </c>
      <c r="P569" s="10"/>
      <c r="Q569" s="11"/>
    </row>
    <row r="570" spans="2:17" ht="21" customHeight="1" x14ac:dyDescent="0.35">
      <c r="B570" s="1">
        <v>43894</v>
      </c>
      <c r="C570" s="1" t="str">
        <f>TEXT(Sales[[#This Row],[Kode Program/Kegiatan ]],"D")</f>
        <v>4</v>
      </c>
      <c r="D570" s="2" t="str">
        <f>TEXT(Sales[[#This Row],[Kode Program/Kegiatan ]],"mmm")</f>
        <v>Mar</v>
      </c>
      <c r="E570" s="3">
        <v>6</v>
      </c>
      <c r="F570" s="2">
        <v>6</v>
      </c>
      <c r="G570" s="3" t="str">
        <f>IF(Sales[[#This Row],[Anggaran Murni]]-Sales[[#This Row],[Target s.d. Januari]]=0,"",Sales[[#This Row],[Anggaran Murni]]-Sales[[#This Row],[Target s.d. Januari]])</f>
        <v/>
      </c>
      <c r="H570" s="2" t="s">
        <v>75</v>
      </c>
      <c r="I570" s="3" t="s">
        <v>6</v>
      </c>
      <c r="J570" s="3"/>
      <c r="K570" s="2" t="s">
        <v>47</v>
      </c>
      <c r="L570" s="2" t="s">
        <v>2</v>
      </c>
      <c r="M570" s="4" t="s">
        <v>67</v>
      </c>
      <c r="N570" s="3" t="s">
        <v>80</v>
      </c>
      <c r="O570" s="2" t="s">
        <v>13</v>
      </c>
      <c r="P570" s="10"/>
      <c r="Q570" s="11"/>
    </row>
    <row r="571" spans="2:17" ht="21" customHeight="1" x14ac:dyDescent="0.35">
      <c r="B571" s="18">
        <v>43894</v>
      </c>
      <c r="C571" s="18" t="str">
        <f>TEXT(Sales[[#This Row],[Kode Program/Kegiatan ]],"D")</f>
        <v>4</v>
      </c>
      <c r="D571" s="19" t="str">
        <f>TEXT(Sales[[#This Row],[Kode Program/Kegiatan ]],"mmm")</f>
        <v>Mar</v>
      </c>
      <c r="E571" s="20">
        <v>6</v>
      </c>
      <c r="F571" s="19">
        <v>6</v>
      </c>
      <c r="G571" s="20" t="str">
        <f>IF(Sales[[#This Row],[Anggaran Murni]]-Sales[[#This Row],[Target s.d. Januari]]=0,"",Sales[[#This Row],[Anggaran Murni]]-Sales[[#This Row],[Target s.d. Januari]])</f>
        <v/>
      </c>
      <c r="H571" s="19" t="s">
        <v>71</v>
      </c>
      <c r="I571" s="20" t="s">
        <v>6</v>
      </c>
      <c r="J571" s="20"/>
      <c r="K571" s="19" t="s">
        <v>51</v>
      </c>
      <c r="L571" s="19" t="s">
        <v>5</v>
      </c>
      <c r="M571" s="21" t="s">
        <v>67</v>
      </c>
      <c r="N571" s="20" t="s">
        <v>82</v>
      </c>
      <c r="O571" s="19" t="s">
        <v>13</v>
      </c>
      <c r="P571" s="10"/>
      <c r="Q571" s="11"/>
    </row>
    <row r="572" spans="2:17" ht="21" customHeight="1" x14ac:dyDescent="0.35">
      <c r="B572" s="1">
        <v>43894</v>
      </c>
      <c r="C572" s="1" t="str">
        <f>TEXT(Sales[[#This Row],[Kode Program/Kegiatan ]],"D")</f>
        <v>4</v>
      </c>
      <c r="D572" s="2" t="str">
        <f>TEXT(Sales[[#This Row],[Kode Program/Kegiatan ]],"mmm")</f>
        <v>Mar</v>
      </c>
      <c r="E572" s="3">
        <v>4</v>
      </c>
      <c r="F572" s="2">
        <v>4</v>
      </c>
      <c r="G572" s="3" t="str">
        <f>IF(Sales[[#This Row],[Anggaran Murni]]-Sales[[#This Row],[Target s.d. Januari]]=0,"",Sales[[#This Row],[Anggaran Murni]]-Sales[[#This Row],[Target s.d. Januari]])</f>
        <v/>
      </c>
      <c r="H572" s="2" t="s">
        <v>113</v>
      </c>
      <c r="I572" s="3" t="s">
        <v>77</v>
      </c>
      <c r="J572" s="3"/>
      <c r="K572" s="2" t="s">
        <v>15</v>
      </c>
      <c r="L572" s="2" t="s">
        <v>4</v>
      </c>
      <c r="M572" s="4" t="s">
        <v>67</v>
      </c>
      <c r="N572" s="3" t="s">
        <v>80</v>
      </c>
      <c r="O572" s="2" t="s">
        <v>14</v>
      </c>
      <c r="P572" s="10"/>
      <c r="Q572" s="11"/>
    </row>
    <row r="573" spans="2:17" ht="21" customHeight="1" x14ac:dyDescent="0.35">
      <c r="B573" s="18">
        <v>43894</v>
      </c>
      <c r="C573" s="18" t="str">
        <f>TEXT(Sales[[#This Row],[Kode Program/Kegiatan ]],"D")</f>
        <v>4</v>
      </c>
      <c r="D573" s="19" t="str">
        <f>TEXT(Sales[[#This Row],[Kode Program/Kegiatan ]],"mmm")</f>
        <v>Mar</v>
      </c>
      <c r="E573" s="20">
        <v>3</v>
      </c>
      <c r="F573" s="19">
        <v>3</v>
      </c>
      <c r="G573" s="20" t="str">
        <f>IF(Sales[[#This Row],[Anggaran Murni]]-Sales[[#This Row],[Target s.d. Januari]]=0,"",Sales[[#This Row],[Anggaran Murni]]-Sales[[#This Row],[Target s.d. Januari]])</f>
        <v/>
      </c>
      <c r="H573" s="19" t="s">
        <v>114</v>
      </c>
      <c r="I573" s="20" t="s">
        <v>3</v>
      </c>
      <c r="J573" s="20"/>
      <c r="K573" s="19" t="s">
        <v>20</v>
      </c>
      <c r="L573" s="19" t="s">
        <v>2</v>
      </c>
      <c r="M573" s="21" t="s">
        <v>67</v>
      </c>
      <c r="N573" s="20" t="s">
        <v>81</v>
      </c>
      <c r="O573" s="19" t="s">
        <v>13</v>
      </c>
      <c r="P573" s="10"/>
      <c r="Q573" s="11"/>
    </row>
    <row r="574" spans="2:17" ht="21" customHeight="1" x14ac:dyDescent="0.35">
      <c r="B574" s="1">
        <v>43894</v>
      </c>
      <c r="C574" s="1" t="str">
        <f>TEXT(Sales[[#This Row],[Kode Program/Kegiatan ]],"D")</f>
        <v>4</v>
      </c>
      <c r="D574" s="2" t="str">
        <f>TEXT(Sales[[#This Row],[Kode Program/Kegiatan ]],"mmm")</f>
        <v>Mar</v>
      </c>
      <c r="E574" s="3">
        <v>3</v>
      </c>
      <c r="F574" s="2">
        <v>3</v>
      </c>
      <c r="G574" s="3" t="str">
        <f>IF(Sales[[#This Row],[Anggaran Murni]]-Sales[[#This Row],[Target s.d. Januari]]=0,"",Sales[[#This Row],[Anggaran Murni]]-Sales[[#This Row],[Target s.d. Januari]])</f>
        <v/>
      </c>
      <c r="H574" s="2" t="s">
        <v>74</v>
      </c>
      <c r="I574" s="3" t="s">
        <v>77</v>
      </c>
      <c r="J574" s="3"/>
      <c r="K574" s="2" t="s">
        <v>43</v>
      </c>
      <c r="L574" s="2" t="s">
        <v>2</v>
      </c>
      <c r="M574" s="4" t="s">
        <v>67</v>
      </c>
      <c r="N574" s="3" t="s">
        <v>80</v>
      </c>
      <c r="O574" s="2" t="s">
        <v>12</v>
      </c>
      <c r="P574" s="10"/>
      <c r="Q574" s="11"/>
    </row>
    <row r="575" spans="2:17" ht="21" customHeight="1" x14ac:dyDescent="0.35">
      <c r="B575" s="18">
        <v>43895</v>
      </c>
      <c r="C575" s="18" t="str">
        <f>TEXT(Sales[[#This Row],[Kode Program/Kegiatan ]],"D")</f>
        <v>5</v>
      </c>
      <c r="D575" s="19" t="str">
        <f>TEXT(Sales[[#This Row],[Kode Program/Kegiatan ]],"mmm")</f>
        <v>Mar</v>
      </c>
      <c r="E575" s="20">
        <v>9</v>
      </c>
      <c r="F575" s="19">
        <v>9</v>
      </c>
      <c r="G575" s="20" t="str">
        <f>IF(Sales[[#This Row],[Anggaran Murni]]-Sales[[#This Row],[Target s.d. Januari]]=0,"",Sales[[#This Row],[Anggaran Murni]]-Sales[[#This Row],[Target s.d. Januari]])</f>
        <v/>
      </c>
      <c r="H575" s="19" t="s">
        <v>74</v>
      </c>
      <c r="I575" s="20" t="s">
        <v>77</v>
      </c>
      <c r="J575" s="20"/>
      <c r="K575" s="19" t="s">
        <v>28</v>
      </c>
      <c r="L575" s="19" t="s">
        <v>8</v>
      </c>
      <c r="M575" s="21" t="s">
        <v>67</v>
      </c>
      <c r="N575" s="20" t="s">
        <v>81</v>
      </c>
      <c r="O575" s="19" t="s">
        <v>13</v>
      </c>
      <c r="P575" s="10"/>
      <c r="Q575" s="11"/>
    </row>
    <row r="576" spans="2:17" ht="21" customHeight="1" x14ac:dyDescent="0.35">
      <c r="B576" s="1">
        <v>43895</v>
      </c>
      <c r="C576" s="1" t="str">
        <f>TEXT(Sales[[#This Row],[Kode Program/Kegiatan ]],"D")</f>
        <v>5</v>
      </c>
      <c r="D576" s="2" t="str">
        <f>TEXT(Sales[[#This Row],[Kode Program/Kegiatan ]],"mmm")</f>
        <v>Mar</v>
      </c>
      <c r="E576" s="3">
        <v>9</v>
      </c>
      <c r="F576" s="2">
        <v>9</v>
      </c>
      <c r="G576" s="3" t="str">
        <f>IF(Sales[[#This Row],[Anggaran Murni]]-Sales[[#This Row],[Target s.d. Januari]]=0,"",Sales[[#This Row],[Anggaran Murni]]-Sales[[#This Row],[Target s.d. Januari]])</f>
        <v/>
      </c>
      <c r="H576" s="2" t="s">
        <v>76</v>
      </c>
      <c r="I576" s="3" t="s">
        <v>79</v>
      </c>
      <c r="J576" s="3"/>
      <c r="K576" s="2" t="s">
        <v>34</v>
      </c>
      <c r="L576" s="2" t="s">
        <v>2</v>
      </c>
      <c r="M576" s="4" t="s">
        <v>67</v>
      </c>
      <c r="N576" s="3" t="s">
        <v>80</v>
      </c>
      <c r="O576" s="2" t="s">
        <v>14</v>
      </c>
      <c r="P576" s="10"/>
      <c r="Q576" s="11"/>
    </row>
    <row r="577" spans="2:17" ht="21" customHeight="1" x14ac:dyDescent="0.35">
      <c r="B577" s="18">
        <v>43895</v>
      </c>
      <c r="C577" s="18" t="str">
        <f>TEXT(Sales[[#This Row],[Kode Program/Kegiatan ]],"D")</f>
        <v>5</v>
      </c>
      <c r="D577" s="19" t="str">
        <f>TEXT(Sales[[#This Row],[Kode Program/Kegiatan ]],"mmm")</f>
        <v>Mar</v>
      </c>
      <c r="E577" s="20">
        <v>8</v>
      </c>
      <c r="F577" s="19">
        <v>8</v>
      </c>
      <c r="G577" s="20" t="str">
        <f>IF(Sales[[#This Row],[Anggaran Murni]]-Sales[[#This Row],[Target s.d. Januari]]=0,"",Sales[[#This Row],[Anggaran Murni]]-Sales[[#This Row],[Target s.d. Januari]])</f>
        <v/>
      </c>
      <c r="H577" s="19" t="s">
        <v>76</v>
      </c>
      <c r="I577" s="20" t="s">
        <v>79</v>
      </c>
      <c r="J577" s="20"/>
      <c r="K577" s="19" t="s">
        <v>20</v>
      </c>
      <c r="L577" s="19" t="s">
        <v>9</v>
      </c>
      <c r="M577" s="21" t="s">
        <v>67</v>
      </c>
      <c r="N577" s="20" t="s">
        <v>82</v>
      </c>
      <c r="O577" s="19" t="s">
        <v>14</v>
      </c>
      <c r="P577" s="10"/>
      <c r="Q577" s="11"/>
    </row>
    <row r="578" spans="2:17" ht="21" customHeight="1" x14ac:dyDescent="0.35">
      <c r="B578" s="1">
        <v>43895</v>
      </c>
      <c r="C578" s="1" t="str">
        <f>TEXT(Sales[[#This Row],[Kode Program/Kegiatan ]],"D")</f>
        <v>5</v>
      </c>
      <c r="D578" s="2" t="str">
        <f>TEXT(Sales[[#This Row],[Kode Program/Kegiatan ]],"mmm")</f>
        <v>Mar</v>
      </c>
      <c r="E578" s="3">
        <v>8</v>
      </c>
      <c r="F578" s="2">
        <v>8</v>
      </c>
      <c r="G578" s="3" t="str">
        <f>IF(Sales[[#This Row],[Anggaran Murni]]-Sales[[#This Row],[Target s.d. Januari]]=0,"",Sales[[#This Row],[Anggaran Murni]]-Sales[[#This Row],[Target s.d. Januari]])</f>
        <v/>
      </c>
      <c r="H578" s="2" t="s">
        <v>75</v>
      </c>
      <c r="I578" s="3" t="s">
        <v>6</v>
      </c>
      <c r="J578" s="3"/>
      <c r="K578" s="2" t="s">
        <v>25</v>
      </c>
      <c r="L578" s="2" t="s">
        <v>5</v>
      </c>
      <c r="M578" s="4" t="s">
        <v>67</v>
      </c>
      <c r="N578" s="3" t="s">
        <v>81</v>
      </c>
      <c r="O578" s="2" t="s">
        <v>14</v>
      </c>
      <c r="P578" s="10"/>
      <c r="Q578" s="11"/>
    </row>
    <row r="579" spans="2:17" ht="21" customHeight="1" x14ac:dyDescent="0.35">
      <c r="B579" s="18">
        <v>43895</v>
      </c>
      <c r="C579" s="18" t="str">
        <f>TEXT(Sales[[#This Row],[Kode Program/Kegiatan ]],"D")</f>
        <v>5</v>
      </c>
      <c r="D579" s="19" t="str">
        <f>TEXT(Sales[[#This Row],[Kode Program/Kegiatan ]],"mmm")</f>
        <v>Mar</v>
      </c>
      <c r="E579" s="20">
        <v>7</v>
      </c>
      <c r="F579" s="19">
        <v>7</v>
      </c>
      <c r="G579" s="20" t="str">
        <f>IF(Sales[[#This Row],[Anggaran Murni]]-Sales[[#This Row],[Target s.d. Januari]]=0,"",Sales[[#This Row],[Anggaran Murni]]-Sales[[#This Row],[Target s.d. Januari]])</f>
        <v/>
      </c>
      <c r="H579" s="19" t="s">
        <v>70</v>
      </c>
      <c r="I579" s="20" t="s">
        <v>1</v>
      </c>
      <c r="J579" s="20"/>
      <c r="K579" s="19" t="s">
        <v>52</v>
      </c>
      <c r="L579" s="19" t="s">
        <v>2</v>
      </c>
      <c r="M579" s="21" t="s">
        <v>67</v>
      </c>
      <c r="N579" s="20" t="s">
        <v>82</v>
      </c>
      <c r="O579" s="19" t="s">
        <v>12</v>
      </c>
      <c r="P579" s="10"/>
      <c r="Q579" s="11"/>
    </row>
    <row r="580" spans="2:17" ht="21" customHeight="1" x14ac:dyDescent="0.35">
      <c r="B580" s="1">
        <v>43895</v>
      </c>
      <c r="C580" s="1" t="str">
        <f>TEXT(Sales[[#This Row],[Kode Program/Kegiatan ]],"D")</f>
        <v>5</v>
      </c>
      <c r="D580" s="2" t="str">
        <f>TEXT(Sales[[#This Row],[Kode Program/Kegiatan ]],"mmm")</f>
        <v>Mar</v>
      </c>
      <c r="E580" s="3">
        <v>5</v>
      </c>
      <c r="F580" s="2">
        <v>5</v>
      </c>
      <c r="G580" s="3" t="str">
        <f>IF(Sales[[#This Row],[Anggaran Murni]]-Sales[[#This Row],[Target s.d. Januari]]=0,"",Sales[[#This Row],[Anggaran Murni]]-Sales[[#This Row],[Target s.d. Januari]])</f>
        <v/>
      </c>
      <c r="H580" s="2" t="s">
        <v>113</v>
      </c>
      <c r="I580" s="3" t="s">
        <v>77</v>
      </c>
      <c r="J580" s="3"/>
      <c r="K580" s="2" t="s">
        <v>28</v>
      </c>
      <c r="L580" s="2" t="s">
        <v>2</v>
      </c>
      <c r="M580" s="4" t="s">
        <v>67</v>
      </c>
      <c r="N580" s="3" t="s">
        <v>82</v>
      </c>
      <c r="O580" s="2" t="s">
        <v>11</v>
      </c>
      <c r="P580" s="10"/>
      <c r="Q580" s="11"/>
    </row>
    <row r="581" spans="2:17" ht="21" customHeight="1" x14ac:dyDescent="0.35">
      <c r="B581" s="18">
        <v>43896</v>
      </c>
      <c r="C581" s="18" t="str">
        <f>TEXT(Sales[[#This Row],[Kode Program/Kegiatan ]],"D")</f>
        <v>6</v>
      </c>
      <c r="D581" s="19" t="str">
        <f>TEXT(Sales[[#This Row],[Kode Program/Kegiatan ]],"mmm")</f>
        <v>Mar</v>
      </c>
      <c r="E581" s="20">
        <v>9</v>
      </c>
      <c r="F581" s="19">
        <v>9</v>
      </c>
      <c r="G581" s="20" t="str">
        <f>IF(Sales[[#This Row],[Anggaran Murni]]-Sales[[#This Row],[Target s.d. Januari]]=0,"",Sales[[#This Row],[Anggaran Murni]]-Sales[[#This Row],[Target s.d. Januari]])</f>
        <v/>
      </c>
      <c r="H581" s="19" t="s">
        <v>75</v>
      </c>
      <c r="I581" s="20" t="s">
        <v>6</v>
      </c>
      <c r="J581" s="20"/>
      <c r="K581" s="19" t="s">
        <v>29</v>
      </c>
      <c r="L581" s="19" t="s">
        <v>5</v>
      </c>
      <c r="M581" s="21" t="s">
        <v>67</v>
      </c>
      <c r="N581" s="20" t="s">
        <v>82</v>
      </c>
      <c r="O581" s="19" t="s">
        <v>11</v>
      </c>
      <c r="P581" s="10"/>
      <c r="Q581" s="11"/>
    </row>
    <row r="582" spans="2:17" ht="21" customHeight="1" x14ac:dyDescent="0.35">
      <c r="B582" s="1">
        <v>43896</v>
      </c>
      <c r="C582" s="1" t="str">
        <f>TEXT(Sales[[#This Row],[Kode Program/Kegiatan ]],"D")</f>
        <v>6</v>
      </c>
      <c r="D582" s="2" t="str">
        <f>TEXT(Sales[[#This Row],[Kode Program/Kegiatan ]],"mmm")</f>
        <v>Mar</v>
      </c>
      <c r="E582" s="3">
        <v>8</v>
      </c>
      <c r="F582" s="2">
        <v>8</v>
      </c>
      <c r="G582" s="3" t="str">
        <f>IF(Sales[[#This Row],[Anggaran Murni]]-Sales[[#This Row],[Target s.d. Januari]]=0,"",Sales[[#This Row],[Anggaran Murni]]-Sales[[#This Row],[Target s.d. Januari]])</f>
        <v/>
      </c>
      <c r="H582" s="2" t="s">
        <v>70</v>
      </c>
      <c r="I582" s="3" t="s">
        <v>1</v>
      </c>
      <c r="J582" s="3"/>
      <c r="K582" s="2" t="s">
        <v>28</v>
      </c>
      <c r="L582" s="2" t="s">
        <v>5</v>
      </c>
      <c r="M582" s="4" t="s">
        <v>67</v>
      </c>
      <c r="N582" s="3" t="s">
        <v>82</v>
      </c>
      <c r="O582" s="2" t="s">
        <v>12</v>
      </c>
      <c r="P582" s="10"/>
      <c r="Q582" s="11"/>
    </row>
    <row r="583" spans="2:17" ht="21" customHeight="1" x14ac:dyDescent="0.35">
      <c r="B583" s="18">
        <v>43896</v>
      </c>
      <c r="C583" s="18" t="str">
        <f>TEXT(Sales[[#This Row],[Kode Program/Kegiatan ]],"D")</f>
        <v>6</v>
      </c>
      <c r="D583" s="19" t="str">
        <f>TEXT(Sales[[#This Row],[Kode Program/Kegiatan ]],"mmm")</f>
        <v>Mar</v>
      </c>
      <c r="E583" s="20">
        <v>7</v>
      </c>
      <c r="F583" s="19">
        <v>7</v>
      </c>
      <c r="G583" s="20" t="str">
        <f>IF(Sales[[#This Row],[Anggaran Murni]]-Sales[[#This Row],[Target s.d. Januari]]=0,"",Sales[[#This Row],[Anggaran Murni]]-Sales[[#This Row],[Target s.d. Januari]])</f>
        <v/>
      </c>
      <c r="H583" s="19" t="s">
        <v>74</v>
      </c>
      <c r="I583" s="20" t="s">
        <v>77</v>
      </c>
      <c r="J583" s="20"/>
      <c r="K583" s="19" t="s">
        <v>30</v>
      </c>
      <c r="L583" s="19" t="s">
        <v>2</v>
      </c>
      <c r="M583" s="21" t="s">
        <v>67</v>
      </c>
      <c r="N583" s="20" t="s">
        <v>80</v>
      </c>
      <c r="O583" s="19" t="s">
        <v>11</v>
      </c>
      <c r="P583" s="10"/>
      <c r="Q583" s="11"/>
    </row>
    <row r="584" spans="2:17" ht="21" customHeight="1" x14ac:dyDescent="0.35">
      <c r="B584" s="1">
        <v>43897</v>
      </c>
      <c r="C584" s="1" t="str">
        <f>TEXT(Sales[[#This Row],[Kode Program/Kegiatan ]],"D")</f>
        <v>7</v>
      </c>
      <c r="D584" s="2" t="str">
        <f>TEXT(Sales[[#This Row],[Kode Program/Kegiatan ]],"mmm")</f>
        <v>Mar</v>
      </c>
      <c r="E584" s="3">
        <v>10</v>
      </c>
      <c r="F584" s="2">
        <v>10</v>
      </c>
      <c r="G584" s="3" t="str">
        <f>IF(Sales[[#This Row],[Anggaran Murni]]-Sales[[#This Row],[Target s.d. Januari]]=0,"",Sales[[#This Row],[Anggaran Murni]]-Sales[[#This Row],[Target s.d. Januari]])</f>
        <v/>
      </c>
      <c r="H584" s="2" t="s">
        <v>114</v>
      </c>
      <c r="I584" s="3" t="s">
        <v>3</v>
      </c>
      <c r="J584" s="3"/>
      <c r="K584" s="2" t="s">
        <v>42</v>
      </c>
      <c r="L584" s="2" t="s">
        <v>2</v>
      </c>
      <c r="M584" s="4" t="s">
        <v>67</v>
      </c>
      <c r="N584" s="3" t="s">
        <v>80</v>
      </c>
      <c r="O584" s="2" t="s">
        <v>11</v>
      </c>
      <c r="P584" s="10"/>
      <c r="Q584" s="11"/>
    </row>
    <row r="585" spans="2:17" ht="21" customHeight="1" x14ac:dyDescent="0.35">
      <c r="B585" s="18">
        <v>43897</v>
      </c>
      <c r="C585" s="18" t="str">
        <f>TEXT(Sales[[#This Row],[Kode Program/Kegiatan ]],"D")</f>
        <v>7</v>
      </c>
      <c r="D585" s="19" t="str">
        <f>TEXT(Sales[[#This Row],[Kode Program/Kegiatan ]],"mmm")</f>
        <v>Mar</v>
      </c>
      <c r="E585" s="20">
        <v>9</v>
      </c>
      <c r="F585" s="19">
        <v>9</v>
      </c>
      <c r="G585" s="20" t="str">
        <f>IF(Sales[[#This Row],[Anggaran Murni]]-Sales[[#This Row],[Target s.d. Januari]]=0,"",Sales[[#This Row],[Anggaran Murni]]-Sales[[#This Row],[Target s.d. Januari]])</f>
        <v/>
      </c>
      <c r="H585" s="19" t="s">
        <v>70</v>
      </c>
      <c r="I585" s="20" t="s">
        <v>1</v>
      </c>
      <c r="J585" s="20"/>
      <c r="K585" s="19" t="s">
        <v>28</v>
      </c>
      <c r="L585" s="19" t="s">
        <v>7</v>
      </c>
      <c r="M585" s="21" t="s">
        <v>67</v>
      </c>
      <c r="N585" s="20" t="s">
        <v>80</v>
      </c>
      <c r="O585" s="19" t="s">
        <v>11</v>
      </c>
      <c r="P585" s="10"/>
      <c r="Q585" s="11"/>
    </row>
    <row r="586" spans="2:17" ht="21" customHeight="1" x14ac:dyDescent="0.35">
      <c r="B586" s="1">
        <v>43897</v>
      </c>
      <c r="C586" s="1" t="str">
        <f>TEXT(Sales[[#This Row],[Kode Program/Kegiatan ]],"D")</f>
        <v>7</v>
      </c>
      <c r="D586" s="2" t="str">
        <f>TEXT(Sales[[#This Row],[Kode Program/Kegiatan ]],"mmm")</f>
        <v>Mar</v>
      </c>
      <c r="E586" s="3">
        <v>8</v>
      </c>
      <c r="F586" s="2">
        <v>8</v>
      </c>
      <c r="G586" s="3" t="str">
        <f>IF(Sales[[#This Row],[Anggaran Murni]]-Sales[[#This Row],[Target s.d. Januari]]=0,"",Sales[[#This Row],[Anggaran Murni]]-Sales[[#This Row],[Target s.d. Januari]])</f>
        <v/>
      </c>
      <c r="H586" s="2" t="s">
        <v>75</v>
      </c>
      <c r="I586" s="3" t="s">
        <v>6</v>
      </c>
      <c r="J586" s="3"/>
      <c r="K586" s="2" t="s">
        <v>40</v>
      </c>
      <c r="L586" s="2" t="s">
        <v>5</v>
      </c>
      <c r="M586" s="4" t="s">
        <v>67</v>
      </c>
      <c r="N586" s="3" t="s">
        <v>81</v>
      </c>
      <c r="O586" s="2" t="s">
        <v>14</v>
      </c>
      <c r="P586" s="10"/>
      <c r="Q586" s="11"/>
    </row>
    <row r="587" spans="2:17" ht="21" customHeight="1" x14ac:dyDescent="0.35">
      <c r="B587" s="18">
        <v>43897</v>
      </c>
      <c r="C587" s="18" t="str">
        <f>TEXT(Sales[[#This Row],[Kode Program/Kegiatan ]],"D")</f>
        <v>7</v>
      </c>
      <c r="D587" s="19" t="str">
        <f>TEXT(Sales[[#This Row],[Kode Program/Kegiatan ]],"mmm")</f>
        <v>Mar</v>
      </c>
      <c r="E587" s="20">
        <v>8</v>
      </c>
      <c r="F587" s="19">
        <v>8</v>
      </c>
      <c r="G587" s="20" t="str">
        <f>IF(Sales[[#This Row],[Anggaran Murni]]-Sales[[#This Row],[Target s.d. Januari]]=0,"",Sales[[#This Row],[Anggaran Murni]]-Sales[[#This Row],[Target s.d. Januari]])</f>
        <v/>
      </c>
      <c r="H587" s="19" t="s">
        <v>113</v>
      </c>
      <c r="I587" s="20" t="s">
        <v>77</v>
      </c>
      <c r="J587" s="20"/>
      <c r="K587" s="19" t="s">
        <v>53</v>
      </c>
      <c r="L587" s="19" t="s">
        <v>2</v>
      </c>
      <c r="M587" s="21" t="s">
        <v>67</v>
      </c>
      <c r="N587" s="20" t="s">
        <v>82</v>
      </c>
      <c r="O587" s="19" t="s">
        <v>11</v>
      </c>
      <c r="P587" s="10"/>
      <c r="Q587" s="11"/>
    </row>
    <row r="588" spans="2:17" ht="21" customHeight="1" x14ac:dyDescent="0.35">
      <c r="B588" s="1">
        <v>43897</v>
      </c>
      <c r="C588" s="1" t="str">
        <f>TEXT(Sales[[#This Row],[Kode Program/Kegiatan ]],"D")</f>
        <v>7</v>
      </c>
      <c r="D588" s="2" t="str">
        <f>TEXT(Sales[[#This Row],[Kode Program/Kegiatan ]],"mmm")</f>
        <v>Mar</v>
      </c>
      <c r="E588" s="3">
        <v>7</v>
      </c>
      <c r="F588" s="2">
        <v>7</v>
      </c>
      <c r="G588" s="3" t="str">
        <f>IF(Sales[[#This Row],[Anggaran Murni]]-Sales[[#This Row],[Target s.d. Januari]]=0,"",Sales[[#This Row],[Anggaran Murni]]-Sales[[#This Row],[Target s.d. Januari]])</f>
        <v/>
      </c>
      <c r="H588" s="2" t="s">
        <v>113</v>
      </c>
      <c r="I588" s="3" t="s">
        <v>77</v>
      </c>
      <c r="J588" s="3"/>
      <c r="K588" s="2" t="s">
        <v>59</v>
      </c>
      <c r="L588" s="2" t="s">
        <v>2</v>
      </c>
      <c r="M588" s="4" t="s">
        <v>67</v>
      </c>
      <c r="N588" s="3" t="s">
        <v>80</v>
      </c>
      <c r="O588" s="2" t="s">
        <v>11</v>
      </c>
      <c r="P588" s="10"/>
      <c r="Q588" s="11"/>
    </row>
    <row r="589" spans="2:17" ht="21" customHeight="1" x14ac:dyDescent="0.35">
      <c r="B589" s="18">
        <v>43897</v>
      </c>
      <c r="C589" s="18" t="str">
        <f>TEXT(Sales[[#This Row],[Kode Program/Kegiatan ]],"D")</f>
        <v>7</v>
      </c>
      <c r="D589" s="19" t="str">
        <f>TEXT(Sales[[#This Row],[Kode Program/Kegiatan ]],"mmm")</f>
        <v>Mar</v>
      </c>
      <c r="E589" s="20">
        <v>7</v>
      </c>
      <c r="F589" s="19">
        <v>7</v>
      </c>
      <c r="G589" s="20" t="str">
        <f>IF(Sales[[#This Row],[Anggaran Murni]]-Sales[[#This Row],[Target s.d. Januari]]=0,"",Sales[[#This Row],[Anggaran Murni]]-Sales[[#This Row],[Target s.d. Januari]])</f>
        <v/>
      </c>
      <c r="H589" s="19" t="s">
        <v>114</v>
      </c>
      <c r="I589" s="20" t="s">
        <v>3</v>
      </c>
      <c r="J589" s="20"/>
      <c r="K589" s="19" t="s">
        <v>30</v>
      </c>
      <c r="L589" s="19" t="s">
        <v>5</v>
      </c>
      <c r="M589" s="21" t="s">
        <v>67</v>
      </c>
      <c r="N589" s="20" t="s">
        <v>80</v>
      </c>
      <c r="O589" s="19" t="s">
        <v>12</v>
      </c>
      <c r="P589" s="10"/>
      <c r="Q589" s="11"/>
    </row>
    <row r="590" spans="2:17" ht="21" customHeight="1" x14ac:dyDescent="0.35">
      <c r="B590" s="1">
        <v>43897</v>
      </c>
      <c r="C590" s="1" t="str">
        <f>TEXT(Sales[[#This Row],[Kode Program/Kegiatan ]],"D")</f>
        <v>7</v>
      </c>
      <c r="D590" s="2" t="str">
        <f>TEXT(Sales[[#This Row],[Kode Program/Kegiatan ]],"mmm")</f>
        <v>Mar</v>
      </c>
      <c r="E590" s="3">
        <v>5</v>
      </c>
      <c r="F590" s="2">
        <v>5</v>
      </c>
      <c r="G590" s="3" t="str">
        <f>IF(Sales[[#This Row],[Anggaran Murni]]-Sales[[#This Row],[Target s.d. Januari]]=0,"",Sales[[#This Row],[Anggaran Murni]]-Sales[[#This Row],[Target s.d. Januari]])</f>
        <v/>
      </c>
      <c r="H590" s="2" t="s">
        <v>74</v>
      </c>
      <c r="I590" s="3" t="s">
        <v>77</v>
      </c>
      <c r="J590" s="3"/>
      <c r="K590" s="2" t="s">
        <v>48</v>
      </c>
      <c r="L590" s="2" t="s">
        <v>5</v>
      </c>
      <c r="M590" s="4" t="s">
        <v>67</v>
      </c>
      <c r="N590" s="3" t="s">
        <v>81</v>
      </c>
      <c r="O590" s="2" t="s">
        <v>12</v>
      </c>
      <c r="P590" s="10"/>
      <c r="Q590" s="11"/>
    </row>
    <row r="591" spans="2:17" ht="21" customHeight="1" x14ac:dyDescent="0.35">
      <c r="B591" s="18">
        <v>43897</v>
      </c>
      <c r="C591" s="18" t="str">
        <f>TEXT(Sales[[#This Row],[Kode Program/Kegiatan ]],"D")</f>
        <v>7</v>
      </c>
      <c r="D591" s="19" t="str">
        <f>TEXT(Sales[[#This Row],[Kode Program/Kegiatan ]],"mmm")</f>
        <v>Mar</v>
      </c>
      <c r="E591" s="20">
        <v>5</v>
      </c>
      <c r="F591" s="19">
        <v>5</v>
      </c>
      <c r="G591" s="20" t="str">
        <f>IF(Sales[[#This Row],[Anggaran Murni]]-Sales[[#This Row],[Target s.d. Januari]]=0,"",Sales[[#This Row],[Anggaran Murni]]-Sales[[#This Row],[Target s.d. Januari]])</f>
        <v/>
      </c>
      <c r="H591" s="19" t="s">
        <v>75</v>
      </c>
      <c r="I591" s="20" t="s">
        <v>6</v>
      </c>
      <c r="J591" s="20"/>
      <c r="K591" s="19" t="s">
        <v>59</v>
      </c>
      <c r="L591" s="19" t="s">
        <v>5</v>
      </c>
      <c r="M591" s="21" t="s">
        <v>67</v>
      </c>
      <c r="N591" s="20" t="s">
        <v>81</v>
      </c>
      <c r="O591" s="19" t="s">
        <v>13</v>
      </c>
      <c r="P591" s="10"/>
      <c r="Q591" s="11"/>
    </row>
    <row r="592" spans="2:17" ht="21" customHeight="1" x14ac:dyDescent="0.35">
      <c r="B592" s="1">
        <v>43897</v>
      </c>
      <c r="C592" s="1" t="str">
        <f>TEXT(Sales[[#This Row],[Kode Program/Kegiatan ]],"D")</f>
        <v>7</v>
      </c>
      <c r="D592" s="2" t="str">
        <f>TEXT(Sales[[#This Row],[Kode Program/Kegiatan ]],"mmm")</f>
        <v>Mar</v>
      </c>
      <c r="E592" s="3">
        <v>5</v>
      </c>
      <c r="F592" s="2">
        <v>5</v>
      </c>
      <c r="G592" s="3" t="str">
        <f>IF(Sales[[#This Row],[Anggaran Murni]]-Sales[[#This Row],[Target s.d. Januari]]=0,"",Sales[[#This Row],[Anggaran Murni]]-Sales[[#This Row],[Target s.d. Januari]])</f>
        <v/>
      </c>
      <c r="H592" s="2" t="s">
        <v>73</v>
      </c>
      <c r="I592" s="3" t="s">
        <v>78</v>
      </c>
      <c r="J592" s="3"/>
      <c r="K592" s="2" t="s">
        <v>18</v>
      </c>
      <c r="L592" s="2" t="s">
        <v>5</v>
      </c>
      <c r="M592" s="4" t="s">
        <v>67</v>
      </c>
      <c r="N592" s="3" t="s">
        <v>80</v>
      </c>
      <c r="O592" s="2" t="s">
        <v>12</v>
      </c>
      <c r="P592" s="10"/>
      <c r="Q592" s="11"/>
    </row>
    <row r="593" spans="2:17" ht="21" customHeight="1" x14ac:dyDescent="0.35">
      <c r="B593" s="18">
        <v>43897</v>
      </c>
      <c r="C593" s="18" t="str">
        <f>TEXT(Sales[[#This Row],[Kode Program/Kegiatan ]],"D")</f>
        <v>7</v>
      </c>
      <c r="D593" s="19" t="str">
        <f>TEXT(Sales[[#This Row],[Kode Program/Kegiatan ]],"mmm")</f>
        <v>Mar</v>
      </c>
      <c r="E593" s="20">
        <v>5</v>
      </c>
      <c r="F593" s="19">
        <v>5</v>
      </c>
      <c r="G593" s="20" t="str">
        <f>IF(Sales[[#This Row],[Anggaran Murni]]-Sales[[#This Row],[Target s.d. Januari]]=0,"",Sales[[#This Row],[Anggaran Murni]]-Sales[[#This Row],[Target s.d. Januari]])</f>
        <v/>
      </c>
      <c r="H593" s="19" t="s">
        <v>73</v>
      </c>
      <c r="I593" s="20" t="s">
        <v>78</v>
      </c>
      <c r="J593" s="20"/>
      <c r="K593" s="19" t="s">
        <v>30</v>
      </c>
      <c r="L593" s="19" t="s">
        <v>8</v>
      </c>
      <c r="M593" s="21" t="s">
        <v>67</v>
      </c>
      <c r="N593" s="20" t="s">
        <v>81</v>
      </c>
      <c r="O593" s="19" t="s">
        <v>12</v>
      </c>
      <c r="P593" s="10"/>
      <c r="Q593" s="11"/>
    </row>
    <row r="594" spans="2:17" ht="21" customHeight="1" x14ac:dyDescent="0.35">
      <c r="B594" s="1">
        <v>43897</v>
      </c>
      <c r="C594" s="1" t="str">
        <f>TEXT(Sales[[#This Row],[Kode Program/Kegiatan ]],"D")</f>
        <v>7</v>
      </c>
      <c r="D594" s="2" t="str">
        <f>TEXT(Sales[[#This Row],[Kode Program/Kegiatan ]],"mmm")</f>
        <v>Mar</v>
      </c>
      <c r="E594" s="3">
        <v>4</v>
      </c>
      <c r="F594" s="2">
        <v>4</v>
      </c>
      <c r="G594" s="3" t="str">
        <f>IF(Sales[[#This Row],[Anggaran Murni]]-Sales[[#This Row],[Target s.d. Januari]]=0,"",Sales[[#This Row],[Anggaran Murni]]-Sales[[#This Row],[Target s.d. Januari]])</f>
        <v/>
      </c>
      <c r="H594" s="2" t="s">
        <v>74</v>
      </c>
      <c r="I594" s="3" t="s">
        <v>77</v>
      </c>
      <c r="J594" s="3"/>
      <c r="K594" s="2" t="s">
        <v>43</v>
      </c>
      <c r="L594" s="2" t="s">
        <v>5</v>
      </c>
      <c r="M594" s="4" t="s">
        <v>67</v>
      </c>
      <c r="N594" s="3" t="s">
        <v>82</v>
      </c>
      <c r="O594" s="2" t="s">
        <v>13</v>
      </c>
      <c r="P594" s="10"/>
      <c r="Q594" s="11"/>
    </row>
    <row r="595" spans="2:17" ht="21" customHeight="1" x14ac:dyDescent="0.35">
      <c r="B595" s="18">
        <v>43897</v>
      </c>
      <c r="C595" s="18" t="str">
        <f>TEXT(Sales[[#This Row],[Kode Program/Kegiatan ]],"D")</f>
        <v>7</v>
      </c>
      <c r="D595" s="19" t="str">
        <f>TEXT(Sales[[#This Row],[Kode Program/Kegiatan ]],"mmm")</f>
        <v>Mar</v>
      </c>
      <c r="E595" s="20">
        <v>4</v>
      </c>
      <c r="F595" s="19">
        <v>4</v>
      </c>
      <c r="G595" s="20" t="str">
        <f>IF(Sales[[#This Row],[Anggaran Murni]]-Sales[[#This Row],[Target s.d. Januari]]=0,"",Sales[[#This Row],[Anggaran Murni]]-Sales[[#This Row],[Target s.d. Januari]])</f>
        <v/>
      </c>
      <c r="H595" s="19" t="s">
        <v>73</v>
      </c>
      <c r="I595" s="20" t="s">
        <v>78</v>
      </c>
      <c r="J595" s="20"/>
      <c r="K595" s="19" t="s">
        <v>29</v>
      </c>
      <c r="L595" s="19" t="s">
        <v>5</v>
      </c>
      <c r="M595" s="21" t="s">
        <v>67</v>
      </c>
      <c r="N595" s="20" t="s">
        <v>80</v>
      </c>
      <c r="O595" s="19" t="s">
        <v>11</v>
      </c>
      <c r="P595" s="10"/>
      <c r="Q595" s="11"/>
    </row>
    <row r="596" spans="2:17" ht="21" customHeight="1" x14ac:dyDescent="0.35">
      <c r="B596" s="1">
        <v>43897</v>
      </c>
      <c r="C596" s="1" t="str">
        <f>TEXT(Sales[[#This Row],[Kode Program/Kegiatan ]],"D")</f>
        <v>7</v>
      </c>
      <c r="D596" s="2" t="str">
        <f>TEXT(Sales[[#This Row],[Kode Program/Kegiatan ]],"mmm")</f>
        <v>Mar</v>
      </c>
      <c r="E596" s="3">
        <v>4</v>
      </c>
      <c r="F596" s="2">
        <v>4</v>
      </c>
      <c r="G596" s="3" t="str">
        <f>IF(Sales[[#This Row],[Anggaran Murni]]-Sales[[#This Row],[Target s.d. Januari]]=0,"",Sales[[#This Row],[Anggaran Murni]]-Sales[[#This Row],[Target s.d. Januari]])</f>
        <v/>
      </c>
      <c r="H596" s="2" t="s">
        <v>74</v>
      </c>
      <c r="I596" s="3" t="s">
        <v>77</v>
      </c>
      <c r="J596" s="3"/>
      <c r="K596" s="2" t="s">
        <v>52</v>
      </c>
      <c r="L596" s="2" t="s">
        <v>2</v>
      </c>
      <c r="M596" s="4" t="s">
        <v>67</v>
      </c>
      <c r="N596" s="3" t="s">
        <v>82</v>
      </c>
      <c r="O596" s="2" t="s">
        <v>14</v>
      </c>
      <c r="P596" s="10"/>
      <c r="Q596" s="11"/>
    </row>
    <row r="597" spans="2:17" ht="21" customHeight="1" x14ac:dyDescent="0.35">
      <c r="B597" s="18">
        <v>43897</v>
      </c>
      <c r="C597" s="18" t="str">
        <f>TEXT(Sales[[#This Row],[Kode Program/Kegiatan ]],"D")</f>
        <v>7</v>
      </c>
      <c r="D597" s="19" t="str">
        <f>TEXT(Sales[[#This Row],[Kode Program/Kegiatan ]],"mmm")</f>
        <v>Mar</v>
      </c>
      <c r="E597" s="20">
        <v>3</v>
      </c>
      <c r="F597" s="19">
        <v>3</v>
      </c>
      <c r="G597" s="20" t="str">
        <f>IF(Sales[[#This Row],[Anggaran Murni]]-Sales[[#This Row],[Target s.d. Januari]]=0,"",Sales[[#This Row],[Anggaran Murni]]-Sales[[#This Row],[Target s.d. Januari]])</f>
        <v/>
      </c>
      <c r="H597" s="19" t="s">
        <v>114</v>
      </c>
      <c r="I597" s="20" t="s">
        <v>3</v>
      </c>
      <c r="J597" s="20"/>
      <c r="K597" s="19" t="s">
        <v>63</v>
      </c>
      <c r="L597" s="19" t="s">
        <v>2</v>
      </c>
      <c r="M597" s="21" t="s">
        <v>67</v>
      </c>
      <c r="N597" s="20" t="s">
        <v>82</v>
      </c>
      <c r="O597" s="19" t="s">
        <v>12</v>
      </c>
      <c r="P597" s="10"/>
      <c r="Q597" s="11"/>
    </row>
    <row r="598" spans="2:17" ht="21" customHeight="1" x14ac:dyDescent="0.35">
      <c r="B598" s="1">
        <v>43898</v>
      </c>
      <c r="C598" s="1" t="str">
        <f>TEXT(Sales[[#This Row],[Kode Program/Kegiatan ]],"D")</f>
        <v>8</v>
      </c>
      <c r="D598" s="2" t="str">
        <f>TEXT(Sales[[#This Row],[Kode Program/Kegiatan ]],"mmm")</f>
        <v>Mar</v>
      </c>
      <c r="E598" s="3">
        <v>10</v>
      </c>
      <c r="F598" s="2">
        <v>10</v>
      </c>
      <c r="G598" s="3" t="str">
        <f>IF(Sales[[#This Row],[Anggaran Murni]]-Sales[[#This Row],[Target s.d. Januari]]=0,"",Sales[[#This Row],[Anggaran Murni]]-Sales[[#This Row],[Target s.d. Januari]])</f>
        <v/>
      </c>
      <c r="H598" s="2" t="s">
        <v>73</v>
      </c>
      <c r="I598" s="3" t="s">
        <v>78</v>
      </c>
      <c r="J598" s="3"/>
      <c r="K598" s="2" t="s">
        <v>30</v>
      </c>
      <c r="L598" s="2" t="s">
        <v>8</v>
      </c>
      <c r="M598" s="4" t="s">
        <v>67</v>
      </c>
      <c r="N598" s="3" t="s">
        <v>82</v>
      </c>
      <c r="O598" s="2" t="s">
        <v>12</v>
      </c>
      <c r="P598" s="10"/>
      <c r="Q598" s="11"/>
    </row>
    <row r="599" spans="2:17" ht="21" customHeight="1" x14ac:dyDescent="0.35">
      <c r="B599" s="18">
        <v>43898</v>
      </c>
      <c r="C599" s="18" t="str">
        <f>TEXT(Sales[[#This Row],[Kode Program/Kegiatan ]],"D")</f>
        <v>8</v>
      </c>
      <c r="D599" s="19" t="str">
        <f>TEXT(Sales[[#This Row],[Kode Program/Kegiatan ]],"mmm")</f>
        <v>Mar</v>
      </c>
      <c r="E599" s="20">
        <v>10</v>
      </c>
      <c r="F599" s="19">
        <v>10</v>
      </c>
      <c r="G599" s="20" t="str">
        <f>IF(Sales[[#This Row],[Anggaran Murni]]-Sales[[#This Row],[Target s.d. Januari]]=0,"",Sales[[#This Row],[Anggaran Murni]]-Sales[[#This Row],[Target s.d. Januari]])</f>
        <v/>
      </c>
      <c r="H599" s="19" t="s">
        <v>71</v>
      </c>
      <c r="I599" s="20" t="s">
        <v>6</v>
      </c>
      <c r="J599" s="20"/>
      <c r="K599" s="19" t="s">
        <v>50</v>
      </c>
      <c r="L599" s="19" t="s">
        <v>2</v>
      </c>
      <c r="M599" s="21" t="s">
        <v>67</v>
      </c>
      <c r="N599" s="20" t="s">
        <v>81</v>
      </c>
      <c r="O599" s="19" t="s">
        <v>13</v>
      </c>
      <c r="P599" s="10"/>
      <c r="Q599" s="11"/>
    </row>
    <row r="600" spans="2:17" ht="21" customHeight="1" x14ac:dyDescent="0.35">
      <c r="B600" s="1">
        <v>43898</v>
      </c>
      <c r="C600" s="1" t="str">
        <f>TEXT(Sales[[#This Row],[Kode Program/Kegiatan ]],"D")</f>
        <v>8</v>
      </c>
      <c r="D600" s="2" t="str">
        <f>TEXT(Sales[[#This Row],[Kode Program/Kegiatan ]],"mmm")</f>
        <v>Mar</v>
      </c>
      <c r="E600" s="3">
        <v>10</v>
      </c>
      <c r="F600" s="2">
        <v>10</v>
      </c>
      <c r="G600" s="3" t="str">
        <f>IF(Sales[[#This Row],[Anggaran Murni]]-Sales[[#This Row],[Target s.d. Januari]]=0,"",Sales[[#This Row],[Anggaran Murni]]-Sales[[#This Row],[Target s.d. Januari]])</f>
        <v/>
      </c>
      <c r="H600" s="2" t="s">
        <v>113</v>
      </c>
      <c r="I600" s="3" t="s">
        <v>77</v>
      </c>
      <c r="J600" s="3"/>
      <c r="K600" s="2" t="s">
        <v>43</v>
      </c>
      <c r="L600" s="2" t="s">
        <v>5</v>
      </c>
      <c r="M600" s="4" t="s">
        <v>67</v>
      </c>
      <c r="N600" s="3" t="s">
        <v>82</v>
      </c>
      <c r="O600" s="2" t="s">
        <v>12</v>
      </c>
      <c r="P600" s="10"/>
      <c r="Q600" s="11"/>
    </row>
    <row r="601" spans="2:17" ht="21" customHeight="1" x14ac:dyDescent="0.35">
      <c r="B601" s="18">
        <v>43898</v>
      </c>
      <c r="C601" s="18" t="str">
        <f>TEXT(Sales[[#This Row],[Kode Program/Kegiatan ]],"D")</f>
        <v>8</v>
      </c>
      <c r="D601" s="19" t="str">
        <f>TEXT(Sales[[#This Row],[Kode Program/Kegiatan ]],"mmm")</f>
        <v>Mar</v>
      </c>
      <c r="E601" s="20">
        <v>9</v>
      </c>
      <c r="F601" s="19">
        <v>9</v>
      </c>
      <c r="G601" s="20" t="str">
        <f>IF(Sales[[#This Row],[Anggaran Murni]]-Sales[[#This Row],[Target s.d. Januari]]=0,"",Sales[[#This Row],[Anggaran Murni]]-Sales[[#This Row],[Target s.d. Januari]])</f>
        <v/>
      </c>
      <c r="H601" s="19" t="s">
        <v>72</v>
      </c>
      <c r="I601" s="20" t="s">
        <v>78</v>
      </c>
      <c r="J601" s="20"/>
      <c r="K601" s="19" t="s">
        <v>43</v>
      </c>
      <c r="L601" s="19" t="s">
        <v>5</v>
      </c>
      <c r="M601" s="21" t="s">
        <v>67</v>
      </c>
      <c r="N601" s="20" t="s">
        <v>80</v>
      </c>
      <c r="O601" s="19" t="s">
        <v>14</v>
      </c>
      <c r="P601" s="10"/>
      <c r="Q601" s="11"/>
    </row>
    <row r="602" spans="2:17" ht="21" customHeight="1" x14ac:dyDescent="0.35">
      <c r="B602" s="1">
        <v>43898</v>
      </c>
      <c r="C602" s="1" t="str">
        <f>TEXT(Sales[[#This Row],[Kode Program/Kegiatan ]],"D")</f>
        <v>8</v>
      </c>
      <c r="D602" s="2" t="str">
        <f>TEXT(Sales[[#This Row],[Kode Program/Kegiatan ]],"mmm")</f>
        <v>Mar</v>
      </c>
      <c r="E602" s="3">
        <v>9</v>
      </c>
      <c r="F602" s="2">
        <v>9</v>
      </c>
      <c r="G602" s="3" t="str">
        <f>IF(Sales[[#This Row],[Anggaran Murni]]-Sales[[#This Row],[Target s.d. Januari]]=0,"",Sales[[#This Row],[Anggaran Murni]]-Sales[[#This Row],[Target s.d. Januari]])</f>
        <v/>
      </c>
      <c r="H602" s="2" t="s">
        <v>71</v>
      </c>
      <c r="I602" s="3" t="s">
        <v>6</v>
      </c>
      <c r="J602" s="3"/>
      <c r="K602" s="2" t="s">
        <v>16</v>
      </c>
      <c r="L602" s="2" t="s">
        <v>4</v>
      </c>
      <c r="M602" s="4" t="s">
        <v>67</v>
      </c>
      <c r="N602" s="3" t="s">
        <v>81</v>
      </c>
      <c r="O602" s="2" t="s">
        <v>11</v>
      </c>
      <c r="P602" s="10"/>
      <c r="Q602" s="11"/>
    </row>
    <row r="603" spans="2:17" ht="21" customHeight="1" x14ac:dyDescent="0.35">
      <c r="B603" s="18">
        <v>43898</v>
      </c>
      <c r="C603" s="18" t="str">
        <f>TEXT(Sales[[#This Row],[Kode Program/Kegiatan ]],"D")</f>
        <v>8</v>
      </c>
      <c r="D603" s="19" t="str">
        <f>TEXT(Sales[[#This Row],[Kode Program/Kegiatan ]],"mmm")</f>
        <v>Mar</v>
      </c>
      <c r="E603" s="20">
        <v>8</v>
      </c>
      <c r="F603" s="19">
        <v>8</v>
      </c>
      <c r="G603" s="20" t="str">
        <f>IF(Sales[[#This Row],[Anggaran Murni]]-Sales[[#This Row],[Target s.d. Januari]]=0,"",Sales[[#This Row],[Anggaran Murni]]-Sales[[#This Row],[Target s.d. Januari]])</f>
        <v/>
      </c>
      <c r="H603" s="19" t="s">
        <v>70</v>
      </c>
      <c r="I603" s="20" t="s">
        <v>1</v>
      </c>
      <c r="J603" s="20"/>
      <c r="K603" s="19" t="s">
        <v>43</v>
      </c>
      <c r="L603" s="19" t="s">
        <v>2</v>
      </c>
      <c r="M603" s="21" t="s">
        <v>67</v>
      </c>
      <c r="N603" s="20" t="s">
        <v>80</v>
      </c>
      <c r="O603" s="19" t="s">
        <v>13</v>
      </c>
      <c r="P603" s="10"/>
      <c r="Q603" s="11"/>
    </row>
    <row r="604" spans="2:17" ht="21" customHeight="1" x14ac:dyDescent="0.35">
      <c r="B604" s="1">
        <v>43898</v>
      </c>
      <c r="C604" s="1" t="str">
        <f>TEXT(Sales[[#This Row],[Kode Program/Kegiatan ]],"D")</f>
        <v>8</v>
      </c>
      <c r="D604" s="2" t="str">
        <f>TEXT(Sales[[#This Row],[Kode Program/Kegiatan ]],"mmm")</f>
        <v>Mar</v>
      </c>
      <c r="E604" s="3">
        <v>7</v>
      </c>
      <c r="F604" s="2">
        <v>7</v>
      </c>
      <c r="G604" s="3" t="str">
        <f>IF(Sales[[#This Row],[Anggaran Murni]]-Sales[[#This Row],[Target s.d. Januari]]=0,"",Sales[[#This Row],[Anggaran Murni]]-Sales[[#This Row],[Target s.d. Januari]])</f>
        <v/>
      </c>
      <c r="H604" s="2" t="s">
        <v>76</v>
      </c>
      <c r="I604" s="3" t="s">
        <v>79</v>
      </c>
      <c r="J604" s="3"/>
      <c r="K604" s="2" t="s">
        <v>50</v>
      </c>
      <c r="L604" s="2" t="s">
        <v>5</v>
      </c>
      <c r="M604" s="4" t="s">
        <v>67</v>
      </c>
      <c r="N604" s="3" t="s">
        <v>81</v>
      </c>
      <c r="O604" s="2" t="s">
        <v>12</v>
      </c>
      <c r="P604" s="10"/>
      <c r="Q604" s="11"/>
    </row>
    <row r="605" spans="2:17" ht="21" customHeight="1" x14ac:dyDescent="0.35">
      <c r="B605" s="18">
        <v>43899</v>
      </c>
      <c r="C605" s="18" t="str">
        <f>TEXT(Sales[[#This Row],[Kode Program/Kegiatan ]],"D")</f>
        <v>9</v>
      </c>
      <c r="D605" s="19" t="str">
        <f>TEXT(Sales[[#This Row],[Kode Program/Kegiatan ]],"mmm")</f>
        <v>Mar</v>
      </c>
      <c r="E605" s="20">
        <v>9</v>
      </c>
      <c r="F605" s="19">
        <v>9</v>
      </c>
      <c r="G605" s="20" t="str">
        <f>IF(Sales[[#This Row],[Anggaran Murni]]-Sales[[#This Row],[Target s.d. Januari]]=0,"",Sales[[#This Row],[Anggaran Murni]]-Sales[[#This Row],[Target s.d. Januari]])</f>
        <v/>
      </c>
      <c r="H605" s="19" t="s">
        <v>76</v>
      </c>
      <c r="I605" s="20" t="s">
        <v>79</v>
      </c>
      <c r="J605" s="20"/>
      <c r="K605" s="19" t="s">
        <v>30</v>
      </c>
      <c r="L605" s="19" t="s">
        <v>5</v>
      </c>
      <c r="M605" s="21" t="s">
        <v>67</v>
      </c>
      <c r="N605" s="20" t="s">
        <v>80</v>
      </c>
      <c r="O605" s="19" t="s">
        <v>12</v>
      </c>
      <c r="P605" s="10"/>
      <c r="Q605" s="11"/>
    </row>
    <row r="606" spans="2:17" ht="21" customHeight="1" x14ac:dyDescent="0.35">
      <c r="B606" s="1">
        <v>43899</v>
      </c>
      <c r="C606" s="1" t="str">
        <f>TEXT(Sales[[#This Row],[Kode Program/Kegiatan ]],"D")</f>
        <v>9</v>
      </c>
      <c r="D606" s="2" t="str">
        <f>TEXT(Sales[[#This Row],[Kode Program/Kegiatan ]],"mmm")</f>
        <v>Mar</v>
      </c>
      <c r="E606" s="3">
        <v>8</v>
      </c>
      <c r="F606" s="2">
        <v>8</v>
      </c>
      <c r="G606" s="3" t="str">
        <f>IF(Sales[[#This Row],[Anggaran Murni]]-Sales[[#This Row],[Target s.d. Januari]]=0,"",Sales[[#This Row],[Anggaran Murni]]-Sales[[#This Row],[Target s.d. Januari]])</f>
        <v/>
      </c>
      <c r="H606" s="2" t="s">
        <v>73</v>
      </c>
      <c r="I606" s="3" t="s">
        <v>78</v>
      </c>
      <c r="J606" s="3"/>
      <c r="K606" s="2" t="s">
        <v>36</v>
      </c>
      <c r="L606" s="2" t="s">
        <v>5</v>
      </c>
      <c r="M606" s="4" t="s">
        <v>67</v>
      </c>
      <c r="N606" s="3" t="s">
        <v>81</v>
      </c>
      <c r="O606" s="2" t="s">
        <v>13</v>
      </c>
      <c r="P606" s="10"/>
      <c r="Q606" s="11"/>
    </row>
    <row r="607" spans="2:17" ht="21" customHeight="1" x14ac:dyDescent="0.35">
      <c r="B607" s="18">
        <v>43899</v>
      </c>
      <c r="C607" s="18" t="str">
        <f>TEXT(Sales[[#This Row],[Kode Program/Kegiatan ]],"D")</f>
        <v>9</v>
      </c>
      <c r="D607" s="19" t="str">
        <f>TEXT(Sales[[#This Row],[Kode Program/Kegiatan ]],"mmm")</f>
        <v>Mar</v>
      </c>
      <c r="E607" s="20">
        <v>7</v>
      </c>
      <c r="F607" s="19">
        <v>7</v>
      </c>
      <c r="G607" s="20" t="str">
        <f>IF(Sales[[#This Row],[Anggaran Murni]]-Sales[[#This Row],[Target s.d. Januari]]=0,"",Sales[[#This Row],[Anggaran Murni]]-Sales[[#This Row],[Target s.d. Januari]])</f>
        <v/>
      </c>
      <c r="H607" s="19" t="s">
        <v>74</v>
      </c>
      <c r="I607" s="20" t="s">
        <v>77</v>
      </c>
      <c r="J607" s="20"/>
      <c r="K607" s="19" t="s">
        <v>42</v>
      </c>
      <c r="L607" s="19" t="s">
        <v>2</v>
      </c>
      <c r="M607" s="21" t="s">
        <v>67</v>
      </c>
      <c r="N607" s="20" t="s">
        <v>81</v>
      </c>
      <c r="O607" s="19" t="s">
        <v>13</v>
      </c>
      <c r="P607" s="10"/>
      <c r="Q607" s="11"/>
    </row>
    <row r="608" spans="2:17" ht="21" customHeight="1" x14ac:dyDescent="0.35">
      <c r="B608" s="1">
        <v>43899</v>
      </c>
      <c r="C608" s="1" t="str">
        <f>TEXT(Sales[[#This Row],[Kode Program/Kegiatan ]],"D")</f>
        <v>9</v>
      </c>
      <c r="D608" s="2" t="str">
        <f>TEXT(Sales[[#This Row],[Kode Program/Kegiatan ]],"mmm")</f>
        <v>Mar</v>
      </c>
      <c r="E608" s="3">
        <v>7</v>
      </c>
      <c r="F608" s="2">
        <v>7</v>
      </c>
      <c r="G608" s="3" t="str">
        <f>IF(Sales[[#This Row],[Anggaran Murni]]-Sales[[#This Row],[Target s.d. Januari]]=0,"",Sales[[#This Row],[Anggaran Murni]]-Sales[[#This Row],[Target s.d. Januari]])</f>
        <v/>
      </c>
      <c r="H608" s="2" t="s">
        <v>113</v>
      </c>
      <c r="I608" s="3" t="s">
        <v>77</v>
      </c>
      <c r="J608" s="3"/>
      <c r="K608" s="2" t="s">
        <v>44</v>
      </c>
      <c r="L608" s="2" t="s">
        <v>5</v>
      </c>
      <c r="M608" s="4" t="s">
        <v>67</v>
      </c>
      <c r="N608" s="3" t="s">
        <v>82</v>
      </c>
      <c r="O608" s="2" t="s">
        <v>14</v>
      </c>
      <c r="P608" s="10"/>
      <c r="Q608" s="11"/>
    </row>
    <row r="609" spans="2:17" ht="21" customHeight="1" x14ac:dyDescent="0.35">
      <c r="B609" s="18">
        <v>43899</v>
      </c>
      <c r="C609" s="18" t="str">
        <f>TEXT(Sales[[#This Row],[Kode Program/Kegiatan ]],"D")</f>
        <v>9</v>
      </c>
      <c r="D609" s="19" t="str">
        <f>TEXT(Sales[[#This Row],[Kode Program/Kegiatan ]],"mmm")</f>
        <v>Mar</v>
      </c>
      <c r="E609" s="20">
        <v>5</v>
      </c>
      <c r="F609" s="19">
        <v>5</v>
      </c>
      <c r="G609" s="20" t="str">
        <f>IF(Sales[[#This Row],[Anggaran Murni]]-Sales[[#This Row],[Target s.d. Januari]]=0,"",Sales[[#This Row],[Anggaran Murni]]-Sales[[#This Row],[Target s.d. Januari]])</f>
        <v/>
      </c>
      <c r="H609" s="19" t="s">
        <v>75</v>
      </c>
      <c r="I609" s="20" t="s">
        <v>6</v>
      </c>
      <c r="J609" s="20"/>
      <c r="K609" s="19" t="s">
        <v>25</v>
      </c>
      <c r="L609" s="19" t="s">
        <v>5</v>
      </c>
      <c r="M609" s="21" t="s">
        <v>67</v>
      </c>
      <c r="N609" s="20" t="s">
        <v>82</v>
      </c>
      <c r="O609" s="19" t="s">
        <v>11</v>
      </c>
      <c r="P609" s="10"/>
      <c r="Q609" s="11"/>
    </row>
    <row r="610" spans="2:17" ht="21" customHeight="1" x14ac:dyDescent="0.35">
      <c r="B610" s="1">
        <v>43899</v>
      </c>
      <c r="C610" s="1" t="str">
        <f>TEXT(Sales[[#This Row],[Kode Program/Kegiatan ]],"D")</f>
        <v>9</v>
      </c>
      <c r="D610" s="2" t="str">
        <f>TEXT(Sales[[#This Row],[Kode Program/Kegiatan ]],"mmm")</f>
        <v>Mar</v>
      </c>
      <c r="E610" s="3">
        <v>5</v>
      </c>
      <c r="F610" s="2">
        <v>5</v>
      </c>
      <c r="G610" s="3" t="str">
        <f>IF(Sales[[#This Row],[Anggaran Murni]]-Sales[[#This Row],[Target s.d. Januari]]=0,"",Sales[[#This Row],[Anggaran Murni]]-Sales[[#This Row],[Target s.d. Januari]])</f>
        <v/>
      </c>
      <c r="H610" s="2" t="s">
        <v>72</v>
      </c>
      <c r="I610" s="3" t="s">
        <v>78</v>
      </c>
      <c r="J610" s="3"/>
      <c r="K610" s="2" t="s">
        <v>33</v>
      </c>
      <c r="L610" s="2" t="s">
        <v>5</v>
      </c>
      <c r="M610" s="4" t="s">
        <v>67</v>
      </c>
      <c r="N610" s="3" t="s">
        <v>82</v>
      </c>
      <c r="O610" s="2" t="s">
        <v>14</v>
      </c>
      <c r="P610" s="10"/>
      <c r="Q610" s="11"/>
    </row>
    <row r="611" spans="2:17" ht="21" customHeight="1" x14ac:dyDescent="0.35">
      <c r="B611" s="18">
        <v>43899</v>
      </c>
      <c r="C611" s="18" t="str">
        <f>TEXT(Sales[[#This Row],[Kode Program/Kegiatan ]],"D")</f>
        <v>9</v>
      </c>
      <c r="D611" s="19" t="str">
        <f>TEXT(Sales[[#This Row],[Kode Program/Kegiatan ]],"mmm")</f>
        <v>Mar</v>
      </c>
      <c r="E611" s="20">
        <v>5</v>
      </c>
      <c r="F611" s="19">
        <v>5</v>
      </c>
      <c r="G611" s="20" t="str">
        <f>IF(Sales[[#This Row],[Anggaran Murni]]-Sales[[#This Row],[Target s.d. Januari]]=0,"",Sales[[#This Row],[Anggaran Murni]]-Sales[[#This Row],[Target s.d. Januari]])</f>
        <v/>
      </c>
      <c r="H611" s="19" t="s">
        <v>70</v>
      </c>
      <c r="I611" s="20" t="s">
        <v>1</v>
      </c>
      <c r="J611" s="20"/>
      <c r="K611" s="19" t="s">
        <v>23</v>
      </c>
      <c r="L611" s="19" t="s">
        <v>5</v>
      </c>
      <c r="M611" s="21" t="s">
        <v>67</v>
      </c>
      <c r="N611" s="20" t="s">
        <v>80</v>
      </c>
      <c r="O611" s="19" t="s">
        <v>11</v>
      </c>
      <c r="P611" s="10"/>
      <c r="Q611" s="11"/>
    </row>
    <row r="612" spans="2:17" ht="21" customHeight="1" x14ac:dyDescent="0.35">
      <c r="B612" s="1">
        <v>43899</v>
      </c>
      <c r="C612" s="1" t="str">
        <f>TEXT(Sales[[#This Row],[Kode Program/Kegiatan ]],"D")</f>
        <v>9</v>
      </c>
      <c r="D612" s="2" t="str">
        <f>TEXT(Sales[[#This Row],[Kode Program/Kegiatan ]],"mmm")</f>
        <v>Mar</v>
      </c>
      <c r="E612" s="3">
        <v>4</v>
      </c>
      <c r="F612" s="2">
        <v>4</v>
      </c>
      <c r="G612" s="3" t="str">
        <f>IF(Sales[[#This Row],[Anggaran Murni]]-Sales[[#This Row],[Target s.d. Januari]]=0,"",Sales[[#This Row],[Anggaran Murni]]-Sales[[#This Row],[Target s.d. Januari]])</f>
        <v/>
      </c>
      <c r="H612" s="2" t="s">
        <v>113</v>
      </c>
      <c r="I612" s="3" t="s">
        <v>77</v>
      </c>
      <c r="J612" s="3"/>
      <c r="K612" s="2" t="s">
        <v>44</v>
      </c>
      <c r="L612" s="2" t="s">
        <v>7</v>
      </c>
      <c r="M612" s="4" t="s">
        <v>67</v>
      </c>
      <c r="N612" s="3" t="s">
        <v>80</v>
      </c>
      <c r="O612" s="2" t="s">
        <v>13</v>
      </c>
      <c r="P612" s="10"/>
      <c r="Q612" s="11"/>
    </row>
    <row r="613" spans="2:17" ht="21" customHeight="1" x14ac:dyDescent="0.35">
      <c r="B613" s="18">
        <v>43899</v>
      </c>
      <c r="C613" s="18" t="str">
        <f>TEXT(Sales[[#This Row],[Kode Program/Kegiatan ]],"D")</f>
        <v>9</v>
      </c>
      <c r="D613" s="19" t="str">
        <f>TEXT(Sales[[#This Row],[Kode Program/Kegiatan ]],"mmm")</f>
        <v>Mar</v>
      </c>
      <c r="E613" s="20">
        <v>4</v>
      </c>
      <c r="F613" s="19">
        <v>4</v>
      </c>
      <c r="G613" s="20" t="str">
        <f>IF(Sales[[#This Row],[Anggaran Murni]]-Sales[[#This Row],[Target s.d. Januari]]=0,"",Sales[[#This Row],[Anggaran Murni]]-Sales[[#This Row],[Target s.d. Januari]])</f>
        <v/>
      </c>
      <c r="H613" s="19" t="s">
        <v>70</v>
      </c>
      <c r="I613" s="20" t="s">
        <v>1</v>
      </c>
      <c r="J613" s="20"/>
      <c r="K613" s="19" t="s">
        <v>56</v>
      </c>
      <c r="L613" s="19" t="s">
        <v>7</v>
      </c>
      <c r="M613" s="21" t="s">
        <v>67</v>
      </c>
      <c r="N613" s="20" t="s">
        <v>82</v>
      </c>
      <c r="O613" s="19" t="s">
        <v>14</v>
      </c>
      <c r="P613" s="10"/>
      <c r="Q613" s="11"/>
    </row>
    <row r="614" spans="2:17" ht="21" customHeight="1" x14ac:dyDescent="0.35">
      <c r="B614" s="1">
        <v>43899</v>
      </c>
      <c r="C614" s="1" t="str">
        <f>TEXT(Sales[[#This Row],[Kode Program/Kegiatan ]],"D")</f>
        <v>9</v>
      </c>
      <c r="D614" s="2" t="str">
        <f>TEXT(Sales[[#This Row],[Kode Program/Kegiatan ]],"mmm")</f>
        <v>Mar</v>
      </c>
      <c r="E614" s="3">
        <v>3</v>
      </c>
      <c r="F614" s="2">
        <v>3</v>
      </c>
      <c r="G614" s="3" t="str">
        <f>IF(Sales[[#This Row],[Anggaran Murni]]-Sales[[#This Row],[Target s.d. Januari]]=0,"",Sales[[#This Row],[Anggaran Murni]]-Sales[[#This Row],[Target s.d. Januari]])</f>
        <v/>
      </c>
      <c r="H614" s="2" t="s">
        <v>71</v>
      </c>
      <c r="I614" s="3" t="s">
        <v>6</v>
      </c>
      <c r="J614" s="3"/>
      <c r="K614" s="2" t="s">
        <v>59</v>
      </c>
      <c r="L614" s="2" t="s">
        <v>2</v>
      </c>
      <c r="M614" s="4" t="s">
        <v>67</v>
      </c>
      <c r="N614" s="3" t="s">
        <v>82</v>
      </c>
      <c r="O614" s="2" t="s">
        <v>11</v>
      </c>
      <c r="P614" s="10"/>
      <c r="Q614" s="11"/>
    </row>
    <row r="615" spans="2:17" ht="21" customHeight="1" x14ac:dyDescent="0.35">
      <c r="B615" s="18">
        <v>43899</v>
      </c>
      <c r="C615" s="18" t="str">
        <f>TEXT(Sales[[#This Row],[Kode Program/Kegiatan ]],"D")</f>
        <v>9</v>
      </c>
      <c r="D615" s="19" t="str">
        <f>TEXT(Sales[[#This Row],[Kode Program/Kegiatan ]],"mmm")</f>
        <v>Mar</v>
      </c>
      <c r="E615" s="20">
        <v>3</v>
      </c>
      <c r="F615" s="19">
        <v>3</v>
      </c>
      <c r="G615" s="20" t="str">
        <f>IF(Sales[[#This Row],[Anggaran Murni]]-Sales[[#This Row],[Target s.d. Januari]]=0,"",Sales[[#This Row],[Anggaran Murni]]-Sales[[#This Row],[Target s.d. Januari]])</f>
        <v/>
      </c>
      <c r="H615" s="19" t="s">
        <v>114</v>
      </c>
      <c r="I615" s="20" t="s">
        <v>3</v>
      </c>
      <c r="J615" s="20"/>
      <c r="K615" s="19" t="s">
        <v>44</v>
      </c>
      <c r="L615" s="19" t="s">
        <v>2</v>
      </c>
      <c r="M615" s="21" t="s">
        <v>67</v>
      </c>
      <c r="N615" s="20" t="s">
        <v>80</v>
      </c>
      <c r="O615" s="19" t="s">
        <v>11</v>
      </c>
      <c r="P615" s="10"/>
      <c r="Q615" s="11"/>
    </row>
    <row r="616" spans="2:17" ht="21" customHeight="1" x14ac:dyDescent="0.35">
      <c r="B616" s="1">
        <v>43900</v>
      </c>
      <c r="C616" s="1" t="str">
        <f>TEXT(Sales[[#This Row],[Kode Program/Kegiatan ]],"D")</f>
        <v>10</v>
      </c>
      <c r="D616" s="2" t="str">
        <f>TEXT(Sales[[#This Row],[Kode Program/Kegiatan ]],"mmm")</f>
        <v>Mar</v>
      </c>
      <c r="E616" s="3">
        <v>10</v>
      </c>
      <c r="F616" s="2">
        <v>10</v>
      </c>
      <c r="G616" s="3" t="str">
        <f>IF(Sales[[#This Row],[Anggaran Murni]]-Sales[[#This Row],[Target s.d. Januari]]=0,"",Sales[[#This Row],[Anggaran Murni]]-Sales[[#This Row],[Target s.d. Januari]])</f>
        <v/>
      </c>
      <c r="H616" s="2" t="s">
        <v>75</v>
      </c>
      <c r="I616" s="3" t="s">
        <v>6</v>
      </c>
      <c r="J616" s="3"/>
      <c r="K616" s="2" t="s">
        <v>39</v>
      </c>
      <c r="L616" s="2" t="s">
        <v>2</v>
      </c>
      <c r="M616" s="4" t="s">
        <v>67</v>
      </c>
      <c r="N616" s="3" t="s">
        <v>80</v>
      </c>
      <c r="O616" s="2" t="s">
        <v>14</v>
      </c>
      <c r="P616" s="10"/>
      <c r="Q616" s="11"/>
    </row>
    <row r="617" spans="2:17" ht="21" customHeight="1" x14ac:dyDescent="0.35">
      <c r="B617" s="18">
        <v>43900</v>
      </c>
      <c r="C617" s="18" t="str">
        <f>TEXT(Sales[[#This Row],[Kode Program/Kegiatan ]],"D")</f>
        <v>10</v>
      </c>
      <c r="D617" s="19" t="str">
        <f>TEXT(Sales[[#This Row],[Kode Program/Kegiatan ]],"mmm")</f>
        <v>Mar</v>
      </c>
      <c r="E617" s="20">
        <v>6</v>
      </c>
      <c r="F617" s="19">
        <v>6</v>
      </c>
      <c r="G617" s="20" t="str">
        <f>IF(Sales[[#This Row],[Anggaran Murni]]-Sales[[#This Row],[Target s.d. Januari]]=0,"",Sales[[#This Row],[Anggaran Murni]]-Sales[[#This Row],[Target s.d. Januari]])</f>
        <v/>
      </c>
      <c r="H617" s="19" t="s">
        <v>71</v>
      </c>
      <c r="I617" s="20" t="s">
        <v>6</v>
      </c>
      <c r="J617" s="20"/>
      <c r="K617" s="19" t="s">
        <v>30</v>
      </c>
      <c r="L617" s="19" t="s">
        <v>5</v>
      </c>
      <c r="M617" s="21" t="s">
        <v>67</v>
      </c>
      <c r="N617" s="20" t="s">
        <v>80</v>
      </c>
      <c r="O617" s="19" t="s">
        <v>14</v>
      </c>
      <c r="P617" s="10"/>
      <c r="Q617" s="11"/>
    </row>
    <row r="618" spans="2:17" ht="21" customHeight="1" x14ac:dyDescent="0.35">
      <c r="B618" s="1">
        <v>43900</v>
      </c>
      <c r="C618" s="1" t="str">
        <f>TEXT(Sales[[#This Row],[Kode Program/Kegiatan ]],"D")</f>
        <v>10</v>
      </c>
      <c r="D618" s="2" t="str">
        <f>TEXT(Sales[[#This Row],[Kode Program/Kegiatan ]],"mmm")</f>
        <v>Mar</v>
      </c>
      <c r="E618" s="3">
        <v>6</v>
      </c>
      <c r="F618" s="2">
        <v>6</v>
      </c>
      <c r="G618" s="3" t="str">
        <f>IF(Sales[[#This Row],[Anggaran Murni]]-Sales[[#This Row],[Target s.d. Januari]]=0,"",Sales[[#This Row],[Anggaran Murni]]-Sales[[#This Row],[Target s.d. Januari]])</f>
        <v/>
      </c>
      <c r="H618" s="2" t="s">
        <v>72</v>
      </c>
      <c r="I618" s="3" t="s">
        <v>78</v>
      </c>
      <c r="J618" s="3"/>
      <c r="K618" s="2" t="s">
        <v>33</v>
      </c>
      <c r="L618" s="2" t="s">
        <v>9</v>
      </c>
      <c r="M618" s="4" t="s">
        <v>67</v>
      </c>
      <c r="N618" s="3" t="s">
        <v>81</v>
      </c>
      <c r="O618" s="2" t="s">
        <v>14</v>
      </c>
      <c r="P618" s="10"/>
      <c r="Q618" s="11"/>
    </row>
    <row r="619" spans="2:17" ht="21" customHeight="1" x14ac:dyDescent="0.35">
      <c r="B619" s="18">
        <v>43900</v>
      </c>
      <c r="C619" s="18" t="str">
        <f>TEXT(Sales[[#This Row],[Kode Program/Kegiatan ]],"D")</f>
        <v>10</v>
      </c>
      <c r="D619" s="19" t="str">
        <f>TEXT(Sales[[#This Row],[Kode Program/Kegiatan ]],"mmm")</f>
        <v>Mar</v>
      </c>
      <c r="E619" s="20">
        <v>6</v>
      </c>
      <c r="F619" s="19">
        <v>6</v>
      </c>
      <c r="G619" s="20" t="str">
        <f>IF(Sales[[#This Row],[Anggaran Murni]]-Sales[[#This Row],[Target s.d. Januari]]=0,"",Sales[[#This Row],[Anggaran Murni]]-Sales[[#This Row],[Target s.d. Januari]])</f>
        <v/>
      </c>
      <c r="H619" s="19" t="s">
        <v>76</v>
      </c>
      <c r="I619" s="20" t="s">
        <v>79</v>
      </c>
      <c r="J619" s="20"/>
      <c r="K619" s="19" t="s">
        <v>53</v>
      </c>
      <c r="L619" s="19" t="s">
        <v>2</v>
      </c>
      <c r="M619" s="21" t="s">
        <v>67</v>
      </c>
      <c r="N619" s="20" t="s">
        <v>82</v>
      </c>
      <c r="O619" s="19" t="s">
        <v>12</v>
      </c>
      <c r="P619" s="10"/>
      <c r="Q619" s="11"/>
    </row>
    <row r="620" spans="2:17" ht="21" customHeight="1" x14ac:dyDescent="0.35">
      <c r="B620" s="1">
        <v>43900</v>
      </c>
      <c r="C620" s="1" t="str">
        <f>TEXT(Sales[[#This Row],[Kode Program/Kegiatan ]],"D")</f>
        <v>10</v>
      </c>
      <c r="D620" s="2" t="str">
        <f>TEXT(Sales[[#This Row],[Kode Program/Kegiatan ]],"mmm")</f>
        <v>Mar</v>
      </c>
      <c r="E620" s="3">
        <v>4</v>
      </c>
      <c r="F620" s="2">
        <v>4</v>
      </c>
      <c r="G620" s="3" t="str">
        <f>IF(Sales[[#This Row],[Anggaran Murni]]-Sales[[#This Row],[Target s.d. Januari]]=0,"",Sales[[#This Row],[Anggaran Murni]]-Sales[[#This Row],[Target s.d. Januari]])</f>
        <v/>
      </c>
      <c r="H620" s="2" t="s">
        <v>114</v>
      </c>
      <c r="I620" s="3" t="s">
        <v>3</v>
      </c>
      <c r="J620" s="3"/>
      <c r="K620" s="2" t="s">
        <v>57</v>
      </c>
      <c r="L620" s="2" t="s">
        <v>7</v>
      </c>
      <c r="M620" s="4" t="s">
        <v>67</v>
      </c>
      <c r="N620" s="3" t="s">
        <v>81</v>
      </c>
      <c r="O620" s="2" t="s">
        <v>12</v>
      </c>
      <c r="P620" s="10"/>
      <c r="Q620" s="11"/>
    </row>
    <row r="621" spans="2:17" ht="21" customHeight="1" x14ac:dyDescent="0.35">
      <c r="B621" s="18">
        <v>43900</v>
      </c>
      <c r="C621" s="18" t="str">
        <f>TEXT(Sales[[#This Row],[Kode Program/Kegiatan ]],"D")</f>
        <v>10</v>
      </c>
      <c r="D621" s="19" t="str">
        <f>TEXT(Sales[[#This Row],[Kode Program/Kegiatan ]],"mmm")</f>
        <v>Mar</v>
      </c>
      <c r="E621" s="20">
        <v>3</v>
      </c>
      <c r="F621" s="19">
        <v>3</v>
      </c>
      <c r="G621" s="20" t="str">
        <f>IF(Sales[[#This Row],[Anggaran Murni]]-Sales[[#This Row],[Target s.d. Januari]]=0,"",Sales[[#This Row],[Anggaran Murni]]-Sales[[#This Row],[Target s.d. Januari]])</f>
        <v/>
      </c>
      <c r="H621" s="19" t="s">
        <v>114</v>
      </c>
      <c r="I621" s="20" t="s">
        <v>3</v>
      </c>
      <c r="J621" s="20"/>
      <c r="K621" s="19" t="s">
        <v>36</v>
      </c>
      <c r="L621" s="19" t="s">
        <v>2</v>
      </c>
      <c r="M621" s="21" t="s">
        <v>67</v>
      </c>
      <c r="N621" s="20" t="s">
        <v>81</v>
      </c>
      <c r="O621" s="19" t="s">
        <v>14</v>
      </c>
      <c r="P621" s="10"/>
      <c r="Q621" s="11"/>
    </row>
    <row r="622" spans="2:17" ht="21" customHeight="1" x14ac:dyDescent="0.35">
      <c r="B622" s="1">
        <v>43900</v>
      </c>
      <c r="C622" s="1" t="str">
        <f>TEXT(Sales[[#This Row],[Kode Program/Kegiatan ]],"D")</f>
        <v>10</v>
      </c>
      <c r="D622" s="2" t="str">
        <f>TEXT(Sales[[#This Row],[Kode Program/Kegiatan ]],"mmm")</f>
        <v>Mar</v>
      </c>
      <c r="E622" s="3">
        <v>3</v>
      </c>
      <c r="F622" s="2">
        <v>3</v>
      </c>
      <c r="G622" s="3" t="str">
        <f>IF(Sales[[#This Row],[Anggaran Murni]]-Sales[[#This Row],[Target s.d. Januari]]=0,"",Sales[[#This Row],[Anggaran Murni]]-Sales[[#This Row],[Target s.d. Januari]])</f>
        <v/>
      </c>
      <c r="H622" s="2" t="s">
        <v>75</v>
      </c>
      <c r="I622" s="3" t="s">
        <v>6</v>
      </c>
      <c r="J622" s="3"/>
      <c r="K622" s="2" t="s">
        <v>41</v>
      </c>
      <c r="L622" s="2" t="s">
        <v>8</v>
      </c>
      <c r="M622" s="4" t="s">
        <v>67</v>
      </c>
      <c r="N622" s="3" t="s">
        <v>82</v>
      </c>
      <c r="O622" s="2" t="s">
        <v>14</v>
      </c>
      <c r="P622" s="10"/>
      <c r="Q622" s="11"/>
    </row>
    <row r="623" spans="2:17" ht="21" customHeight="1" x14ac:dyDescent="0.35">
      <c r="B623" s="18">
        <v>43901</v>
      </c>
      <c r="C623" s="18" t="str">
        <f>TEXT(Sales[[#This Row],[Kode Program/Kegiatan ]],"D")</f>
        <v>11</v>
      </c>
      <c r="D623" s="19" t="str">
        <f>TEXT(Sales[[#This Row],[Kode Program/Kegiatan ]],"mmm")</f>
        <v>Mar</v>
      </c>
      <c r="E623" s="20">
        <v>9</v>
      </c>
      <c r="F623" s="19">
        <v>9</v>
      </c>
      <c r="G623" s="20" t="str">
        <f>IF(Sales[[#This Row],[Anggaran Murni]]-Sales[[#This Row],[Target s.d. Januari]]=0,"",Sales[[#This Row],[Anggaran Murni]]-Sales[[#This Row],[Target s.d. Januari]])</f>
        <v/>
      </c>
      <c r="H623" s="19" t="s">
        <v>71</v>
      </c>
      <c r="I623" s="20" t="s">
        <v>6</v>
      </c>
      <c r="J623" s="20"/>
      <c r="K623" s="19" t="s">
        <v>21</v>
      </c>
      <c r="L623" s="19" t="s">
        <v>2</v>
      </c>
      <c r="M623" s="21" t="s">
        <v>67</v>
      </c>
      <c r="N623" s="20" t="s">
        <v>82</v>
      </c>
      <c r="O623" s="19" t="s">
        <v>13</v>
      </c>
      <c r="P623" s="10"/>
      <c r="Q623" s="11"/>
    </row>
    <row r="624" spans="2:17" ht="21" customHeight="1" x14ac:dyDescent="0.35">
      <c r="B624" s="1">
        <v>43901</v>
      </c>
      <c r="C624" s="1" t="str">
        <f>TEXT(Sales[[#This Row],[Kode Program/Kegiatan ]],"D")</f>
        <v>11</v>
      </c>
      <c r="D624" s="2" t="str">
        <f>TEXT(Sales[[#This Row],[Kode Program/Kegiatan ]],"mmm")</f>
        <v>Mar</v>
      </c>
      <c r="E624" s="3">
        <v>7</v>
      </c>
      <c r="F624" s="2">
        <v>7</v>
      </c>
      <c r="G624" s="3" t="str">
        <f>IF(Sales[[#This Row],[Anggaran Murni]]-Sales[[#This Row],[Target s.d. Januari]]=0,"",Sales[[#This Row],[Anggaran Murni]]-Sales[[#This Row],[Target s.d. Januari]])</f>
        <v/>
      </c>
      <c r="H624" s="2" t="s">
        <v>75</v>
      </c>
      <c r="I624" s="3" t="s">
        <v>6</v>
      </c>
      <c r="J624" s="3"/>
      <c r="K624" s="2" t="s">
        <v>17</v>
      </c>
      <c r="L624" s="2" t="s">
        <v>2</v>
      </c>
      <c r="M624" s="4" t="s">
        <v>67</v>
      </c>
      <c r="N624" s="3" t="s">
        <v>82</v>
      </c>
      <c r="O624" s="2" t="s">
        <v>13</v>
      </c>
      <c r="P624" s="10"/>
      <c r="Q624" s="11"/>
    </row>
    <row r="625" spans="2:17" ht="21" customHeight="1" x14ac:dyDescent="0.35">
      <c r="B625" s="18">
        <v>43901</v>
      </c>
      <c r="C625" s="18" t="str">
        <f>TEXT(Sales[[#This Row],[Kode Program/Kegiatan ]],"D")</f>
        <v>11</v>
      </c>
      <c r="D625" s="19" t="str">
        <f>TEXT(Sales[[#This Row],[Kode Program/Kegiatan ]],"mmm")</f>
        <v>Mar</v>
      </c>
      <c r="E625" s="20">
        <v>7</v>
      </c>
      <c r="F625" s="19">
        <v>7</v>
      </c>
      <c r="G625" s="20" t="str">
        <f>IF(Sales[[#This Row],[Anggaran Murni]]-Sales[[#This Row],[Target s.d. Januari]]=0,"",Sales[[#This Row],[Anggaran Murni]]-Sales[[#This Row],[Target s.d. Januari]])</f>
        <v/>
      </c>
      <c r="H625" s="19" t="s">
        <v>72</v>
      </c>
      <c r="I625" s="20" t="s">
        <v>78</v>
      </c>
      <c r="J625" s="20"/>
      <c r="K625" s="19" t="s">
        <v>47</v>
      </c>
      <c r="L625" s="19" t="s">
        <v>5</v>
      </c>
      <c r="M625" s="21" t="s">
        <v>67</v>
      </c>
      <c r="N625" s="20" t="s">
        <v>81</v>
      </c>
      <c r="O625" s="19" t="s">
        <v>12</v>
      </c>
      <c r="P625" s="10"/>
      <c r="Q625" s="11"/>
    </row>
    <row r="626" spans="2:17" ht="21" customHeight="1" x14ac:dyDescent="0.35">
      <c r="B626" s="1">
        <v>43901</v>
      </c>
      <c r="C626" s="1" t="str">
        <f>TEXT(Sales[[#This Row],[Kode Program/Kegiatan ]],"D")</f>
        <v>11</v>
      </c>
      <c r="D626" s="2" t="str">
        <f>TEXT(Sales[[#This Row],[Kode Program/Kegiatan ]],"mmm")</f>
        <v>Mar</v>
      </c>
      <c r="E626" s="3">
        <v>6</v>
      </c>
      <c r="F626" s="2">
        <v>6</v>
      </c>
      <c r="G626" s="3" t="str">
        <f>IF(Sales[[#This Row],[Anggaran Murni]]-Sales[[#This Row],[Target s.d. Januari]]=0,"",Sales[[#This Row],[Anggaran Murni]]-Sales[[#This Row],[Target s.d. Januari]])</f>
        <v/>
      </c>
      <c r="H626" s="2" t="s">
        <v>71</v>
      </c>
      <c r="I626" s="3" t="s">
        <v>6</v>
      </c>
      <c r="J626" s="3"/>
      <c r="K626" s="2" t="s">
        <v>15</v>
      </c>
      <c r="L626" s="2" t="s">
        <v>7</v>
      </c>
      <c r="M626" s="4" t="s">
        <v>67</v>
      </c>
      <c r="N626" s="3" t="s">
        <v>82</v>
      </c>
      <c r="O626" s="2" t="s">
        <v>14</v>
      </c>
      <c r="P626" s="10"/>
      <c r="Q626" s="11"/>
    </row>
    <row r="627" spans="2:17" ht="21" customHeight="1" x14ac:dyDescent="0.35">
      <c r="B627" s="18">
        <v>43901</v>
      </c>
      <c r="C627" s="18" t="str">
        <f>TEXT(Sales[[#This Row],[Kode Program/Kegiatan ]],"D")</f>
        <v>11</v>
      </c>
      <c r="D627" s="19" t="str">
        <f>TEXT(Sales[[#This Row],[Kode Program/Kegiatan ]],"mmm")</f>
        <v>Mar</v>
      </c>
      <c r="E627" s="20">
        <v>6</v>
      </c>
      <c r="F627" s="19">
        <v>6</v>
      </c>
      <c r="G627" s="20" t="str">
        <f>IF(Sales[[#This Row],[Anggaran Murni]]-Sales[[#This Row],[Target s.d. Januari]]=0,"",Sales[[#This Row],[Anggaran Murni]]-Sales[[#This Row],[Target s.d. Januari]])</f>
        <v/>
      </c>
      <c r="H627" s="19" t="s">
        <v>76</v>
      </c>
      <c r="I627" s="20" t="s">
        <v>79</v>
      </c>
      <c r="J627" s="20"/>
      <c r="K627" s="19" t="s">
        <v>64</v>
      </c>
      <c r="L627" s="19" t="s">
        <v>5</v>
      </c>
      <c r="M627" s="21" t="s">
        <v>67</v>
      </c>
      <c r="N627" s="20" t="s">
        <v>81</v>
      </c>
      <c r="O627" s="19" t="s">
        <v>11</v>
      </c>
      <c r="P627" s="10"/>
      <c r="Q627" s="11"/>
    </row>
    <row r="628" spans="2:17" ht="21" customHeight="1" x14ac:dyDescent="0.35">
      <c r="B628" s="1">
        <v>43901</v>
      </c>
      <c r="C628" s="1" t="str">
        <f>TEXT(Sales[[#This Row],[Kode Program/Kegiatan ]],"D")</f>
        <v>11</v>
      </c>
      <c r="D628" s="2" t="str">
        <f>TEXT(Sales[[#This Row],[Kode Program/Kegiatan ]],"mmm")</f>
        <v>Mar</v>
      </c>
      <c r="E628" s="3">
        <v>6</v>
      </c>
      <c r="F628" s="2">
        <v>6</v>
      </c>
      <c r="G628" s="3" t="str">
        <f>IF(Sales[[#This Row],[Anggaran Murni]]-Sales[[#This Row],[Target s.d. Januari]]=0,"",Sales[[#This Row],[Anggaran Murni]]-Sales[[#This Row],[Target s.d. Januari]])</f>
        <v/>
      </c>
      <c r="H628" s="2" t="s">
        <v>75</v>
      </c>
      <c r="I628" s="3" t="s">
        <v>6</v>
      </c>
      <c r="J628" s="3"/>
      <c r="K628" s="2" t="s">
        <v>57</v>
      </c>
      <c r="L628" s="2" t="s">
        <v>4</v>
      </c>
      <c r="M628" s="4" t="s">
        <v>67</v>
      </c>
      <c r="N628" s="3" t="s">
        <v>81</v>
      </c>
      <c r="O628" s="2" t="s">
        <v>12</v>
      </c>
      <c r="P628" s="10"/>
      <c r="Q628" s="11"/>
    </row>
    <row r="629" spans="2:17" ht="21" customHeight="1" x14ac:dyDescent="0.35">
      <c r="B629" s="18">
        <v>43901</v>
      </c>
      <c r="C629" s="18" t="str">
        <f>TEXT(Sales[[#This Row],[Kode Program/Kegiatan ]],"D")</f>
        <v>11</v>
      </c>
      <c r="D629" s="19" t="str">
        <f>TEXT(Sales[[#This Row],[Kode Program/Kegiatan ]],"mmm")</f>
        <v>Mar</v>
      </c>
      <c r="E629" s="20">
        <v>3</v>
      </c>
      <c r="F629" s="19">
        <v>3</v>
      </c>
      <c r="G629" s="20" t="str">
        <f>IF(Sales[[#This Row],[Anggaran Murni]]-Sales[[#This Row],[Target s.d. Januari]]=0,"",Sales[[#This Row],[Anggaran Murni]]-Sales[[#This Row],[Target s.d. Januari]])</f>
        <v/>
      </c>
      <c r="H629" s="19" t="s">
        <v>74</v>
      </c>
      <c r="I629" s="20" t="s">
        <v>77</v>
      </c>
      <c r="J629" s="20"/>
      <c r="K629" s="19" t="s">
        <v>23</v>
      </c>
      <c r="L629" s="19" t="s">
        <v>7</v>
      </c>
      <c r="M629" s="21" t="s">
        <v>67</v>
      </c>
      <c r="N629" s="20" t="s">
        <v>80</v>
      </c>
      <c r="O629" s="19" t="s">
        <v>11</v>
      </c>
      <c r="P629" s="10"/>
      <c r="Q629" s="11"/>
    </row>
    <row r="630" spans="2:17" ht="21" customHeight="1" x14ac:dyDescent="0.35">
      <c r="B630" s="1">
        <v>43901</v>
      </c>
      <c r="C630" s="1" t="str">
        <f>TEXT(Sales[[#This Row],[Kode Program/Kegiatan ]],"D")</f>
        <v>11</v>
      </c>
      <c r="D630" s="2" t="str">
        <f>TEXT(Sales[[#This Row],[Kode Program/Kegiatan ]],"mmm")</f>
        <v>Mar</v>
      </c>
      <c r="E630" s="3">
        <v>3</v>
      </c>
      <c r="F630" s="2">
        <v>3</v>
      </c>
      <c r="G630" s="3" t="str">
        <f>IF(Sales[[#This Row],[Anggaran Murni]]-Sales[[#This Row],[Target s.d. Januari]]=0,"",Sales[[#This Row],[Anggaran Murni]]-Sales[[#This Row],[Target s.d. Januari]])</f>
        <v/>
      </c>
      <c r="H630" s="2" t="s">
        <v>70</v>
      </c>
      <c r="I630" s="3" t="s">
        <v>1</v>
      </c>
      <c r="J630" s="3"/>
      <c r="K630" s="2" t="s">
        <v>59</v>
      </c>
      <c r="L630" s="2" t="s">
        <v>4</v>
      </c>
      <c r="M630" s="4" t="s">
        <v>67</v>
      </c>
      <c r="N630" s="3" t="s">
        <v>82</v>
      </c>
      <c r="O630" s="2" t="s">
        <v>12</v>
      </c>
      <c r="P630" s="10"/>
      <c r="Q630" s="11"/>
    </row>
    <row r="631" spans="2:17" ht="21" customHeight="1" x14ac:dyDescent="0.35">
      <c r="B631" s="18">
        <v>43902</v>
      </c>
      <c r="C631" s="18" t="str">
        <f>TEXT(Sales[[#This Row],[Kode Program/Kegiatan ]],"D")</f>
        <v>12</v>
      </c>
      <c r="D631" s="19" t="str">
        <f>TEXT(Sales[[#This Row],[Kode Program/Kegiatan ]],"mmm")</f>
        <v>Mar</v>
      </c>
      <c r="E631" s="20">
        <v>9</v>
      </c>
      <c r="F631" s="19">
        <v>9</v>
      </c>
      <c r="G631" s="20" t="str">
        <f>IF(Sales[[#This Row],[Anggaran Murni]]-Sales[[#This Row],[Target s.d. Januari]]=0,"",Sales[[#This Row],[Anggaran Murni]]-Sales[[#This Row],[Target s.d. Januari]])</f>
        <v/>
      </c>
      <c r="H631" s="19" t="s">
        <v>73</v>
      </c>
      <c r="I631" s="20" t="s">
        <v>78</v>
      </c>
      <c r="J631" s="20"/>
      <c r="K631" s="19" t="s">
        <v>56</v>
      </c>
      <c r="L631" s="19" t="s">
        <v>5</v>
      </c>
      <c r="M631" s="21" t="s">
        <v>67</v>
      </c>
      <c r="N631" s="20" t="s">
        <v>82</v>
      </c>
      <c r="O631" s="19" t="s">
        <v>13</v>
      </c>
      <c r="P631" s="10"/>
      <c r="Q631" s="11"/>
    </row>
    <row r="632" spans="2:17" ht="21" customHeight="1" x14ac:dyDescent="0.35">
      <c r="B632" s="1">
        <v>43902</v>
      </c>
      <c r="C632" s="1" t="str">
        <f>TEXT(Sales[[#This Row],[Kode Program/Kegiatan ]],"D")</f>
        <v>12</v>
      </c>
      <c r="D632" s="2" t="str">
        <f>TEXT(Sales[[#This Row],[Kode Program/Kegiatan ]],"mmm")</f>
        <v>Mar</v>
      </c>
      <c r="E632" s="3">
        <v>8</v>
      </c>
      <c r="F632" s="2">
        <v>8</v>
      </c>
      <c r="G632" s="3" t="str">
        <f>IF(Sales[[#This Row],[Anggaran Murni]]-Sales[[#This Row],[Target s.d. Januari]]=0,"",Sales[[#This Row],[Anggaran Murni]]-Sales[[#This Row],[Target s.d. Januari]])</f>
        <v/>
      </c>
      <c r="H632" s="2" t="s">
        <v>75</v>
      </c>
      <c r="I632" s="3" t="s">
        <v>6</v>
      </c>
      <c r="J632" s="3"/>
      <c r="K632" s="2" t="s">
        <v>61</v>
      </c>
      <c r="L632" s="2" t="s">
        <v>4</v>
      </c>
      <c r="M632" s="4" t="s">
        <v>67</v>
      </c>
      <c r="N632" s="3" t="s">
        <v>81</v>
      </c>
      <c r="O632" s="2" t="s">
        <v>13</v>
      </c>
      <c r="P632" s="10"/>
      <c r="Q632" s="11"/>
    </row>
    <row r="633" spans="2:17" ht="21" customHeight="1" x14ac:dyDescent="0.35">
      <c r="B633" s="18">
        <v>43902</v>
      </c>
      <c r="C633" s="18" t="str">
        <f>TEXT(Sales[[#This Row],[Kode Program/Kegiatan ]],"D")</f>
        <v>12</v>
      </c>
      <c r="D633" s="19" t="str">
        <f>TEXT(Sales[[#This Row],[Kode Program/Kegiatan ]],"mmm")</f>
        <v>Mar</v>
      </c>
      <c r="E633" s="20">
        <v>8</v>
      </c>
      <c r="F633" s="19">
        <v>8</v>
      </c>
      <c r="G633" s="20" t="str">
        <f>IF(Sales[[#This Row],[Anggaran Murni]]-Sales[[#This Row],[Target s.d. Januari]]=0,"",Sales[[#This Row],[Anggaran Murni]]-Sales[[#This Row],[Target s.d. Januari]])</f>
        <v/>
      </c>
      <c r="H633" s="19" t="s">
        <v>71</v>
      </c>
      <c r="I633" s="20" t="s">
        <v>6</v>
      </c>
      <c r="J633" s="20"/>
      <c r="K633" s="19" t="s">
        <v>51</v>
      </c>
      <c r="L633" s="19" t="s">
        <v>2</v>
      </c>
      <c r="M633" s="21" t="s">
        <v>67</v>
      </c>
      <c r="N633" s="20" t="s">
        <v>81</v>
      </c>
      <c r="O633" s="19" t="s">
        <v>13</v>
      </c>
      <c r="P633" s="10"/>
      <c r="Q633" s="11"/>
    </row>
    <row r="634" spans="2:17" ht="21" customHeight="1" x14ac:dyDescent="0.35">
      <c r="B634" s="1">
        <v>43902</v>
      </c>
      <c r="C634" s="1" t="str">
        <f>TEXT(Sales[[#This Row],[Kode Program/Kegiatan ]],"D")</f>
        <v>12</v>
      </c>
      <c r="D634" s="2" t="str">
        <f>TEXT(Sales[[#This Row],[Kode Program/Kegiatan ]],"mmm")</f>
        <v>Mar</v>
      </c>
      <c r="E634" s="3">
        <v>7</v>
      </c>
      <c r="F634" s="2">
        <v>7</v>
      </c>
      <c r="G634" s="3" t="str">
        <f>IF(Sales[[#This Row],[Anggaran Murni]]-Sales[[#This Row],[Target s.d. Januari]]=0,"",Sales[[#This Row],[Anggaran Murni]]-Sales[[#This Row],[Target s.d. Januari]])</f>
        <v/>
      </c>
      <c r="H634" s="2" t="s">
        <v>113</v>
      </c>
      <c r="I634" s="3" t="s">
        <v>77</v>
      </c>
      <c r="J634" s="3"/>
      <c r="K634" s="2" t="s">
        <v>52</v>
      </c>
      <c r="L634" s="2" t="s">
        <v>5</v>
      </c>
      <c r="M634" s="4" t="s">
        <v>67</v>
      </c>
      <c r="N634" s="3" t="s">
        <v>81</v>
      </c>
      <c r="O634" s="2" t="s">
        <v>13</v>
      </c>
      <c r="P634" s="10"/>
      <c r="Q634" s="11"/>
    </row>
    <row r="635" spans="2:17" ht="21" customHeight="1" x14ac:dyDescent="0.35">
      <c r="B635" s="18">
        <v>43902</v>
      </c>
      <c r="C635" s="18" t="str">
        <f>TEXT(Sales[[#This Row],[Kode Program/Kegiatan ]],"D")</f>
        <v>12</v>
      </c>
      <c r="D635" s="19" t="str">
        <f>TEXT(Sales[[#This Row],[Kode Program/Kegiatan ]],"mmm")</f>
        <v>Mar</v>
      </c>
      <c r="E635" s="20">
        <v>5</v>
      </c>
      <c r="F635" s="19">
        <v>5</v>
      </c>
      <c r="G635" s="20" t="str">
        <f>IF(Sales[[#This Row],[Anggaran Murni]]-Sales[[#This Row],[Target s.d. Januari]]=0,"",Sales[[#This Row],[Anggaran Murni]]-Sales[[#This Row],[Target s.d. Januari]])</f>
        <v/>
      </c>
      <c r="H635" s="19" t="s">
        <v>75</v>
      </c>
      <c r="I635" s="20" t="s">
        <v>6</v>
      </c>
      <c r="J635" s="20"/>
      <c r="K635" s="19" t="s">
        <v>47</v>
      </c>
      <c r="L635" s="19" t="s">
        <v>5</v>
      </c>
      <c r="M635" s="21" t="s">
        <v>67</v>
      </c>
      <c r="N635" s="20" t="s">
        <v>82</v>
      </c>
      <c r="O635" s="19" t="s">
        <v>12</v>
      </c>
      <c r="P635" s="10"/>
      <c r="Q635" s="11"/>
    </row>
    <row r="636" spans="2:17" ht="21" customHeight="1" x14ac:dyDescent="0.35">
      <c r="B636" s="1">
        <v>43902</v>
      </c>
      <c r="C636" s="1" t="str">
        <f>TEXT(Sales[[#This Row],[Kode Program/Kegiatan ]],"D")</f>
        <v>12</v>
      </c>
      <c r="D636" s="2" t="str">
        <f>TEXT(Sales[[#This Row],[Kode Program/Kegiatan ]],"mmm")</f>
        <v>Mar</v>
      </c>
      <c r="E636" s="3">
        <v>4</v>
      </c>
      <c r="F636" s="2">
        <v>4</v>
      </c>
      <c r="G636" s="3" t="str">
        <f>IF(Sales[[#This Row],[Anggaran Murni]]-Sales[[#This Row],[Target s.d. Januari]]=0,"",Sales[[#This Row],[Anggaran Murni]]-Sales[[#This Row],[Target s.d. Januari]])</f>
        <v/>
      </c>
      <c r="H636" s="2" t="s">
        <v>70</v>
      </c>
      <c r="I636" s="3" t="s">
        <v>1</v>
      </c>
      <c r="J636" s="3"/>
      <c r="K636" s="2" t="s">
        <v>26</v>
      </c>
      <c r="L636" s="2" t="s">
        <v>7</v>
      </c>
      <c r="M636" s="4" t="s">
        <v>67</v>
      </c>
      <c r="N636" s="3" t="s">
        <v>81</v>
      </c>
      <c r="O636" s="2" t="s">
        <v>14</v>
      </c>
      <c r="P636" s="10"/>
      <c r="Q636" s="11"/>
    </row>
    <row r="637" spans="2:17" ht="21" customHeight="1" x14ac:dyDescent="0.35">
      <c r="B637" s="18">
        <v>43902</v>
      </c>
      <c r="C637" s="18" t="str">
        <f>TEXT(Sales[[#This Row],[Kode Program/Kegiatan ]],"D")</f>
        <v>12</v>
      </c>
      <c r="D637" s="19" t="str">
        <f>TEXT(Sales[[#This Row],[Kode Program/Kegiatan ]],"mmm")</f>
        <v>Mar</v>
      </c>
      <c r="E637" s="20">
        <v>4</v>
      </c>
      <c r="F637" s="19">
        <v>4</v>
      </c>
      <c r="G637" s="20" t="str">
        <f>IF(Sales[[#This Row],[Anggaran Murni]]-Sales[[#This Row],[Target s.d. Januari]]=0,"",Sales[[#This Row],[Anggaran Murni]]-Sales[[#This Row],[Target s.d. Januari]])</f>
        <v/>
      </c>
      <c r="H637" s="19" t="s">
        <v>76</v>
      </c>
      <c r="I637" s="20" t="s">
        <v>79</v>
      </c>
      <c r="J637" s="20"/>
      <c r="K637" s="19" t="s">
        <v>30</v>
      </c>
      <c r="L637" s="19" t="s">
        <v>5</v>
      </c>
      <c r="M637" s="21" t="s">
        <v>67</v>
      </c>
      <c r="N637" s="20" t="s">
        <v>81</v>
      </c>
      <c r="O637" s="19" t="s">
        <v>12</v>
      </c>
      <c r="P637" s="10"/>
      <c r="Q637" s="11"/>
    </row>
    <row r="638" spans="2:17" ht="21" customHeight="1" x14ac:dyDescent="0.35">
      <c r="B638" s="1">
        <v>43903</v>
      </c>
      <c r="C638" s="1" t="str">
        <f>TEXT(Sales[[#This Row],[Kode Program/Kegiatan ]],"D")</f>
        <v>13</v>
      </c>
      <c r="D638" s="2" t="str">
        <f>TEXT(Sales[[#This Row],[Kode Program/Kegiatan ]],"mmm")</f>
        <v>Mar</v>
      </c>
      <c r="E638" s="3">
        <v>9</v>
      </c>
      <c r="F638" s="2">
        <v>9</v>
      </c>
      <c r="G638" s="3" t="str">
        <f>IF(Sales[[#This Row],[Anggaran Murni]]-Sales[[#This Row],[Target s.d. Januari]]=0,"",Sales[[#This Row],[Anggaran Murni]]-Sales[[#This Row],[Target s.d. Januari]])</f>
        <v/>
      </c>
      <c r="H638" s="2" t="s">
        <v>73</v>
      </c>
      <c r="I638" s="3" t="s">
        <v>78</v>
      </c>
      <c r="J638" s="3"/>
      <c r="K638" s="2" t="s">
        <v>37</v>
      </c>
      <c r="L638" s="2" t="s">
        <v>2</v>
      </c>
      <c r="M638" s="4" t="s">
        <v>67</v>
      </c>
      <c r="N638" s="3" t="s">
        <v>81</v>
      </c>
      <c r="O638" s="2" t="s">
        <v>12</v>
      </c>
      <c r="P638" s="10"/>
      <c r="Q638" s="11"/>
    </row>
    <row r="639" spans="2:17" ht="21" customHeight="1" x14ac:dyDescent="0.35">
      <c r="B639" s="18">
        <v>43903</v>
      </c>
      <c r="C639" s="18" t="str">
        <f>TEXT(Sales[[#This Row],[Kode Program/Kegiatan ]],"D")</f>
        <v>13</v>
      </c>
      <c r="D639" s="19" t="str">
        <f>TEXT(Sales[[#This Row],[Kode Program/Kegiatan ]],"mmm")</f>
        <v>Mar</v>
      </c>
      <c r="E639" s="20">
        <v>9</v>
      </c>
      <c r="F639" s="19">
        <v>9</v>
      </c>
      <c r="G639" s="20" t="str">
        <f>IF(Sales[[#This Row],[Anggaran Murni]]-Sales[[#This Row],[Target s.d. Januari]]=0,"",Sales[[#This Row],[Anggaran Murni]]-Sales[[#This Row],[Target s.d. Januari]])</f>
        <v/>
      </c>
      <c r="H639" s="19" t="s">
        <v>72</v>
      </c>
      <c r="I639" s="20" t="s">
        <v>78</v>
      </c>
      <c r="J639" s="20"/>
      <c r="K639" s="19" t="s">
        <v>26</v>
      </c>
      <c r="L639" s="19" t="s">
        <v>2</v>
      </c>
      <c r="M639" s="21" t="s">
        <v>67</v>
      </c>
      <c r="N639" s="20" t="s">
        <v>82</v>
      </c>
      <c r="O639" s="19" t="s">
        <v>13</v>
      </c>
      <c r="P639" s="10"/>
      <c r="Q639" s="11"/>
    </row>
    <row r="640" spans="2:17" ht="21" customHeight="1" x14ac:dyDescent="0.35">
      <c r="B640" s="1">
        <v>43903</v>
      </c>
      <c r="C640" s="1" t="str">
        <f>TEXT(Sales[[#This Row],[Kode Program/Kegiatan ]],"D")</f>
        <v>13</v>
      </c>
      <c r="D640" s="2" t="str">
        <f>TEXT(Sales[[#This Row],[Kode Program/Kegiatan ]],"mmm")</f>
        <v>Mar</v>
      </c>
      <c r="E640" s="3">
        <v>8</v>
      </c>
      <c r="F640" s="2">
        <v>8</v>
      </c>
      <c r="G640" s="3" t="str">
        <f>IF(Sales[[#This Row],[Anggaran Murni]]-Sales[[#This Row],[Target s.d. Januari]]=0,"",Sales[[#This Row],[Anggaran Murni]]-Sales[[#This Row],[Target s.d. Januari]])</f>
        <v/>
      </c>
      <c r="H640" s="2" t="s">
        <v>113</v>
      </c>
      <c r="I640" s="3" t="s">
        <v>77</v>
      </c>
      <c r="J640" s="3"/>
      <c r="K640" s="2" t="s">
        <v>15</v>
      </c>
      <c r="L640" s="2" t="s">
        <v>5</v>
      </c>
      <c r="M640" s="4" t="s">
        <v>67</v>
      </c>
      <c r="N640" s="3" t="s">
        <v>80</v>
      </c>
      <c r="O640" s="2" t="s">
        <v>13</v>
      </c>
      <c r="P640" s="10"/>
      <c r="Q640" s="11"/>
    </row>
    <row r="641" spans="2:17" ht="21" customHeight="1" x14ac:dyDescent="0.35">
      <c r="B641" s="18">
        <v>43903</v>
      </c>
      <c r="C641" s="18" t="str">
        <f>TEXT(Sales[[#This Row],[Kode Program/Kegiatan ]],"D")</f>
        <v>13</v>
      </c>
      <c r="D641" s="19" t="str">
        <f>TEXT(Sales[[#This Row],[Kode Program/Kegiatan ]],"mmm")</f>
        <v>Mar</v>
      </c>
      <c r="E641" s="20">
        <v>7</v>
      </c>
      <c r="F641" s="19">
        <v>7</v>
      </c>
      <c r="G641" s="20" t="str">
        <f>IF(Sales[[#This Row],[Anggaran Murni]]-Sales[[#This Row],[Target s.d. Januari]]=0,"",Sales[[#This Row],[Anggaran Murni]]-Sales[[#This Row],[Target s.d. Januari]])</f>
        <v/>
      </c>
      <c r="H641" s="19" t="s">
        <v>74</v>
      </c>
      <c r="I641" s="20" t="s">
        <v>77</v>
      </c>
      <c r="J641" s="20"/>
      <c r="K641" s="19" t="s">
        <v>31</v>
      </c>
      <c r="L641" s="19" t="s">
        <v>2</v>
      </c>
      <c r="M641" s="21" t="s">
        <v>67</v>
      </c>
      <c r="N641" s="20" t="s">
        <v>80</v>
      </c>
      <c r="O641" s="19" t="s">
        <v>11</v>
      </c>
      <c r="P641" s="10"/>
      <c r="Q641" s="11"/>
    </row>
    <row r="642" spans="2:17" ht="21" customHeight="1" x14ac:dyDescent="0.35">
      <c r="B642" s="1">
        <v>43903</v>
      </c>
      <c r="C642" s="1" t="str">
        <f>TEXT(Sales[[#This Row],[Kode Program/Kegiatan ]],"D")</f>
        <v>13</v>
      </c>
      <c r="D642" s="2" t="str">
        <f>TEXT(Sales[[#This Row],[Kode Program/Kegiatan ]],"mmm")</f>
        <v>Mar</v>
      </c>
      <c r="E642" s="3">
        <v>6</v>
      </c>
      <c r="F642" s="2">
        <v>6</v>
      </c>
      <c r="G642" s="3" t="str">
        <f>IF(Sales[[#This Row],[Anggaran Murni]]-Sales[[#This Row],[Target s.d. Januari]]=0,"",Sales[[#This Row],[Anggaran Murni]]-Sales[[#This Row],[Target s.d. Januari]])</f>
        <v/>
      </c>
      <c r="H642" s="2" t="s">
        <v>113</v>
      </c>
      <c r="I642" s="3" t="s">
        <v>77</v>
      </c>
      <c r="J642" s="3"/>
      <c r="K642" s="2" t="s">
        <v>58</v>
      </c>
      <c r="L642" s="2" t="s">
        <v>5</v>
      </c>
      <c r="M642" s="4" t="s">
        <v>67</v>
      </c>
      <c r="N642" s="3" t="s">
        <v>81</v>
      </c>
      <c r="O642" s="2" t="s">
        <v>14</v>
      </c>
      <c r="P642" s="10"/>
      <c r="Q642" s="11"/>
    </row>
    <row r="643" spans="2:17" ht="21" customHeight="1" x14ac:dyDescent="0.35">
      <c r="B643" s="18">
        <v>43903</v>
      </c>
      <c r="C643" s="18" t="str">
        <f>TEXT(Sales[[#This Row],[Kode Program/Kegiatan ]],"D")</f>
        <v>13</v>
      </c>
      <c r="D643" s="19" t="str">
        <f>TEXT(Sales[[#This Row],[Kode Program/Kegiatan ]],"mmm")</f>
        <v>Mar</v>
      </c>
      <c r="E643" s="20">
        <v>4</v>
      </c>
      <c r="F643" s="19">
        <v>4</v>
      </c>
      <c r="G643" s="20" t="str">
        <f>IF(Sales[[#This Row],[Anggaran Murni]]-Sales[[#This Row],[Target s.d. Januari]]=0,"",Sales[[#This Row],[Anggaran Murni]]-Sales[[#This Row],[Target s.d. Januari]])</f>
        <v/>
      </c>
      <c r="H643" s="19" t="s">
        <v>75</v>
      </c>
      <c r="I643" s="20" t="s">
        <v>6</v>
      </c>
      <c r="J643" s="20"/>
      <c r="K643" s="19" t="s">
        <v>50</v>
      </c>
      <c r="L643" s="19" t="s">
        <v>2</v>
      </c>
      <c r="M643" s="21" t="s">
        <v>67</v>
      </c>
      <c r="N643" s="20" t="s">
        <v>80</v>
      </c>
      <c r="O643" s="19" t="s">
        <v>14</v>
      </c>
      <c r="P643" s="10"/>
      <c r="Q643" s="11"/>
    </row>
    <row r="644" spans="2:17" ht="21" customHeight="1" x14ac:dyDescent="0.35">
      <c r="B644" s="1">
        <v>43904</v>
      </c>
      <c r="C644" s="1" t="str">
        <f>TEXT(Sales[[#This Row],[Kode Program/Kegiatan ]],"D")</f>
        <v>14</v>
      </c>
      <c r="D644" s="2" t="str">
        <f>TEXT(Sales[[#This Row],[Kode Program/Kegiatan ]],"mmm")</f>
        <v>Mar</v>
      </c>
      <c r="E644" s="3">
        <v>10</v>
      </c>
      <c r="F644" s="2">
        <v>10</v>
      </c>
      <c r="G644" s="3" t="str">
        <f>IF(Sales[[#This Row],[Anggaran Murni]]-Sales[[#This Row],[Target s.d. Januari]]=0,"",Sales[[#This Row],[Anggaran Murni]]-Sales[[#This Row],[Target s.d. Januari]])</f>
        <v/>
      </c>
      <c r="H644" s="2" t="s">
        <v>76</v>
      </c>
      <c r="I644" s="3" t="s">
        <v>79</v>
      </c>
      <c r="J644" s="3"/>
      <c r="K644" s="2" t="s">
        <v>63</v>
      </c>
      <c r="L644" s="2" t="s">
        <v>2</v>
      </c>
      <c r="M644" s="4" t="s">
        <v>67</v>
      </c>
      <c r="N644" s="3" t="s">
        <v>82</v>
      </c>
      <c r="O644" s="2" t="s">
        <v>13</v>
      </c>
      <c r="P644" s="10"/>
      <c r="Q644" s="11"/>
    </row>
    <row r="645" spans="2:17" ht="21" customHeight="1" x14ac:dyDescent="0.35">
      <c r="B645" s="18">
        <v>43904</v>
      </c>
      <c r="C645" s="18" t="str">
        <f>TEXT(Sales[[#This Row],[Kode Program/Kegiatan ]],"D")</f>
        <v>14</v>
      </c>
      <c r="D645" s="19" t="str">
        <f>TEXT(Sales[[#This Row],[Kode Program/Kegiatan ]],"mmm")</f>
        <v>Mar</v>
      </c>
      <c r="E645" s="20">
        <v>9</v>
      </c>
      <c r="F645" s="19">
        <v>9</v>
      </c>
      <c r="G645" s="20" t="str">
        <f>IF(Sales[[#This Row],[Anggaran Murni]]-Sales[[#This Row],[Target s.d. Januari]]=0,"",Sales[[#This Row],[Anggaran Murni]]-Sales[[#This Row],[Target s.d. Januari]])</f>
        <v/>
      </c>
      <c r="H645" s="19" t="s">
        <v>72</v>
      </c>
      <c r="I645" s="20" t="s">
        <v>78</v>
      </c>
      <c r="J645" s="20"/>
      <c r="K645" s="19" t="s">
        <v>38</v>
      </c>
      <c r="L645" s="19" t="s">
        <v>5</v>
      </c>
      <c r="M645" s="21" t="s">
        <v>67</v>
      </c>
      <c r="N645" s="20" t="s">
        <v>82</v>
      </c>
      <c r="O645" s="19" t="s">
        <v>13</v>
      </c>
      <c r="P645" s="10"/>
      <c r="Q645" s="11"/>
    </row>
    <row r="646" spans="2:17" ht="21" customHeight="1" x14ac:dyDescent="0.35">
      <c r="B646" s="1">
        <v>43904</v>
      </c>
      <c r="C646" s="1" t="str">
        <f>TEXT(Sales[[#This Row],[Kode Program/Kegiatan ]],"D")</f>
        <v>14</v>
      </c>
      <c r="D646" s="2" t="str">
        <f>TEXT(Sales[[#This Row],[Kode Program/Kegiatan ]],"mmm")</f>
        <v>Mar</v>
      </c>
      <c r="E646" s="3">
        <v>8</v>
      </c>
      <c r="F646" s="2">
        <v>8</v>
      </c>
      <c r="G646" s="3" t="str">
        <f>IF(Sales[[#This Row],[Anggaran Murni]]-Sales[[#This Row],[Target s.d. Januari]]=0,"",Sales[[#This Row],[Anggaran Murni]]-Sales[[#This Row],[Target s.d. Januari]])</f>
        <v/>
      </c>
      <c r="H646" s="2" t="s">
        <v>71</v>
      </c>
      <c r="I646" s="3" t="s">
        <v>6</v>
      </c>
      <c r="J646" s="3"/>
      <c r="K646" s="2" t="s">
        <v>47</v>
      </c>
      <c r="L646" s="2" t="s">
        <v>8</v>
      </c>
      <c r="M646" s="4" t="s">
        <v>67</v>
      </c>
      <c r="N646" s="3" t="s">
        <v>80</v>
      </c>
      <c r="O646" s="2" t="s">
        <v>13</v>
      </c>
      <c r="P646" s="10"/>
      <c r="Q646" s="11"/>
    </row>
    <row r="647" spans="2:17" ht="21" customHeight="1" x14ac:dyDescent="0.35">
      <c r="B647" s="18">
        <v>43904</v>
      </c>
      <c r="C647" s="18" t="str">
        <f>TEXT(Sales[[#This Row],[Kode Program/Kegiatan ]],"D")</f>
        <v>14</v>
      </c>
      <c r="D647" s="19" t="str">
        <f>TEXT(Sales[[#This Row],[Kode Program/Kegiatan ]],"mmm")</f>
        <v>Mar</v>
      </c>
      <c r="E647" s="20">
        <v>7</v>
      </c>
      <c r="F647" s="19">
        <v>7</v>
      </c>
      <c r="G647" s="20" t="str">
        <f>IF(Sales[[#This Row],[Anggaran Murni]]-Sales[[#This Row],[Target s.d. Januari]]=0,"",Sales[[#This Row],[Anggaran Murni]]-Sales[[#This Row],[Target s.d. Januari]])</f>
        <v/>
      </c>
      <c r="H647" s="19" t="s">
        <v>71</v>
      </c>
      <c r="I647" s="20" t="s">
        <v>6</v>
      </c>
      <c r="J647" s="20"/>
      <c r="K647" s="19" t="s">
        <v>25</v>
      </c>
      <c r="L647" s="19" t="s">
        <v>2</v>
      </c>
      <c r="M647" s="21" t="s">
        <v>67</v>
      </c>
      <c r="N647" s="20" t="s">
        <v>80</v>
      </c>
      <c r="O647" s="19" t="s">
        <v>13</v>
      </c>
      <c r="P647" s="10"/>
      <c r="Q647" s="11"/>
    </row>
    <row r="648" spans="2:17" ht="21" customHeight="1" x14ac:dyDescent="0.35">
      <c r="B648" s="1">
        <v>43904</v>
      </c>
      <c r="C648" s="1" t="str">
        <f>TEXT(Sales[[#This Row],[Kode Program/Kegiatan ]],"D")</f>
        <v>14</v>
      </c>
      <c r="D648" s="2" t="str">
        <f>TEXT(Sales[[#This Row],[Kode Program/Kegiatan ]],"mmm")</f>
        <v>Mar</v>
      </c>
      <c r="E648" s="3">
        <v>5</v>
      </c>
      <c r="F648" s="2">
        <v>5</v>
      </c>
      <c r="G648" s="3" t="str">
        <f>IF(Sales[[#This Row],[Anggaran Murni]]-Sales[[#This Row],[Target s.d. Januari]]=0,"",Sales[[#This Row],[Anggaran Murni]]-Sales[[#This Row],[Target s.d. Januari]])</f>
        <v/>
      </c>
      <c r="H648" s="2" t="s">
        <v>72</v>
      </c>
      <c r="I648" s="3" t="s">
        <v>78</v>
      </c>
      <c r="J648" s="3"/>
      <c r="K648" s="2" t="s">
        <v>32</v>
      </c>
      <c r="L648" s="2" t="s">
        <v>2</v>
      </c>
      <c r="M648" s="4" t="s">
        <v>67</v>
      </c>
      <c r="N648" s="3" t="s">
        <v>82</v>
      </c>
      <c r="O648" s="2" t="s">
        <v>13</v>
      </c>
      <c r="P648" s="10"/>
      <c r="Q648" s="11"/>
    </row>
    <row r="649" spans="2:17" ht="21" customHeight="1" x14ac:dyDescent="0.35">
      <c r="B649" s="18">
        <v>43904</v>
      </c>
      <c r="C649" s="18" t="str">
        <f>TEXT(Sales[[#This Row],[Kode Program/Kegiatan ]],"D")</f>
        <v>14</v>
      </c>
      <c r="D649" s="19" t="str">
        <f>TEXT(Sales[[#This Row],[Kode Program/Kegiatan ]],"mmm")</f>
        <v>Mar</v>
      </c>
      <c r="E649" s="20">
        <v>4</v>
      </c>
      <c r="F649" s="19">
        <v>4</v>
      </c>
      <c r="G649" s="20" t="str">
        <f>IF(Sales[[#This Row],[Anggaran Murni]]-Sales[[#This Row],[Target s.d. Januari]]=0,"",Sales[[#This Row],[Anggaran Murni]]-Sales[[#This Row],[Target s.d. Januari]])</f>
        <v/>
      </c>
      <c r="H649" s="19" t="s">
        <v>73</v>
      </c>
      <c r="I649" s="20" t="s">
        <v>78</v>
      </c>
      <c r="J649" s="20"/>
      <c r="K649" s="19" t="s">
        <v>45</v>
      </c>
      <c r="L649" s="19" t="s">
        <v>5</v>
      </c>
      <c r="M649" s="21" t="s">
        <v>67</v>
      </c>
      <c r="N649" s="20" t="s">
        <v>82</v>
      </c>
      <c r="O649" s="19" t="s">
        <v>13</v>
      </c>
      <c r="P649" s="10"/>
      <c r="Q649" s="11"/>
    </row>
    <row r="650" spans="2:17" ht="21" customHeight="1" x14ac:dyDescent="0.35">
      <c r="B650" s="1">
        <v>43904</v>
      </c>
      <c r="C650" s="1" t="str">
        <f>TEXT(Sales[[#This Row],[Kode Program/Kegiatan ]],"D")</f>
        <v>14</v>
      </c>
      <c r="D650" s="2" t="str">
        <f>TEXT(Sales[[#This Row],[Kode Program/Kegiatan ]],"mmm")</f>
        <v>Mar</v>
      </c>
      <c r="E650" s="3">
        <v>4</v>
      </c>
      <c r="F650" s="2">
        <v>4</v>
      </c>
      <c r="G650" s="3" t="str">
        <f>IF(Sales[[#This Row],[Anggaran Murni]]-Sales[[#This Row],[Target s.d. Januari]]=0,"",Sales[[#This Row],[Anggaran Murni]]-Sales[[#This Row],[Target s.d. Januari]])</f>
        <v/>
      </c>
      <c r="H650" s="2" t="s">
        <v>70</v>
      </c>
      <c r="I650" s="3" t="s">
        <v>1</v>
      </c>
      <c r="J650" s="3"/>
      <c r="K650" s="2" t="s">
        <v>64</v>
      </c>
      <c r="L650" s="2" t="s">
        <v>2</v>
      </c>
      <c r="M650" s="4" t="s">
        <v>67</v>
      </c>
      <c r="N650" s="3" t="s">
        <v>81</v>
      </c>
      <c r="O650" s="2" t="s">
        <v>12</v>
      </c>
      <c r="P650" s="10"/>
      <c r="Q650" s="11"/>
    </row>
    <row r="651" spans="2:17" ht="21" customHeight="1" x14ac:dyDescent="0.35">
      <c r="B651" s="18">
        <v>43904</v>
      </c>
      <c r="C651" s="18" t="str">
        <f>TEXT(Sales[[#This Row],[Kode Program/Kegiatan ]],"D")</f>
        <v>14</v>
      </c>
      <c r="D651" s="19" t="str">
        <f>TEXT(Sales[[#This Row],[Kode Program/Kegiatan ]],"mmm")</f>
        <v>Mar</v>
      </c>
      <c r="E651" s="20">
        <v>3</v>
      </c>
      <c r="F651" s="19">
        <v>3</v>
      </c>
      <c r="G651" s="20" t="str">
        <f>IF(Sales[[#This Row],[Anggaran Murni]]-Sales[[#This Row],[Target s.d. Januari]]=0,"",Sales[[#This Row],[Anggaran Murni]]-Sales[[#This Row],[Target s.d. Januari]])</f>
        <v/>
      </c>
      <c r="H651" s="19" t="s">
        <v>113</v>
      </c>
      <c r="I651" s="20" t="s">
        <v>77</v>
      </c>
      <c r="J651" s="20"/>
      <c r="K651" s="19" t="s">
        <v>15</v>
      </c>
      <c r="L651" s="19" t="s">
        <v>5</v>
      </c>
      <c r="M651" s="21" t="s">
        <v>67</v>
      </c>
      <c r="N651" s="20" t="s">
        <v>80</v>
      </c>
      <c r="O651" s="19" t="s">
        <v>13</v>
      </c>
      <c r="P651" s="10"/>
      <c r="Q651" s="11"/>
    </row>
    <row r="652" spans="2:17" ht="21" customHeight="1" x14ac:dyDescent="0.35">
      <c r="B652" s="1">
        <v>43905</v>
      </c>
      <c r="C652" s="1" t="str">
        <f>TEXT(Sales[[#This Row],[Kode Program/Kegiatan ]],"D")</f>
        <v>15</v>
      </c>
      <c r="D652" s="2" t="str">
        <f>TEXT(Sales[[#This Row],[Kode Program/Kegiatan ]],"mmm")</f>
        <v>Mar</v>
      </c>
      <c r="E652" s="3">
        <v>6</v>
      </c>
      <c r="F652" s="2">
        <v>6</v>
      </c>
      <c r="G652" s="3" t="str">
        <f>IF(Sales[[#This Row],[Anggaran Murni]]-Sales[[#This Row],[Target s.d. Januari]]=0,"",Sales[[#This Row],[Anggaran Murni]]-Sales[[#This Row],[Target s.d. Januari]])</f>
        <v/>
      </c>
      <c r="H652" s="2" t="s">
        <v>75</v>
      </c>
      <c r="I652" s="3" t="s">
        <v>6</v>
      </c>
      <c r="J652" s="3"/>
      <c r="K652" s="2" t="s">
        <v>18</v>
      </c>
      <c r="L652" s="2" t="s">
        <v>2</v>
      </c>
      <c r="M652" s="4" t="s">
        <v>67</v>
      </c>
      <c r="N652" s="3" t="s">
        <v>82</v>
      </c>
      <c r="O652" s="2" t="s">
        <v>11</v>
      </c>
      <c r="P652" s="10"/>
      <c r="Q652" s="11"/>
    </row>
    <row r="653" spans="2:17" ht="21" customHeight="1" x14ac:dyDescent="0.35">
      <c r="B653" s="18">
        <v>43905</v>
      </c>
      <c r="C653" s="18" t="str">
        <f>TEXT(Sales[[#This Row],[Kode Program/Kegiatan ]],"D")</f>
        <v>15</v>
      </c>
      <c r="D653" s="19" t="str">
        <f>TEXT(Sales[[#This Row],[Kode Program/Kegiatan ]],"mmm")</f>
        <v>Mar</v>
      </c>
      <c r="E653" s="20">
        <v>5</v>
      </c>
      <c r="F653" s="19">
        <v>5</v>
      </c>
      <c r="G653" s="20" t="str">
        <f>IF(Sales[[#This Row],[Anggaran Murni]]-Sales[[#This Row],[Target s.d. Januari]]=0,"",Sales[[#This Row],[Anggaran Murni]]-Sales[[#This Row],[Target s.d. Januari]])</f>
        <v/>
      </c>
      <c r="H653" s="19" t="s">
        <v>72</v>
      </c>
      <c r="I653" s="20" t="s">
        <v>78</v>
      </c>
      <c r="J653" s="20"/>
      <c r="K653" s="19" t="s">
        <v>20</v>
      </c>
      <c r="L653" s="19" t="s">
        <v>2</v>
      </c>
      <c r="M653" s="21" t="s">
        <v>67</v>
      </c>
      <c r="N653" s="20" t="s">
        <v>80</v>
      </c>
      <c r="O653" s="19" t="s">
        <v>13</v>
      </c>
      <c r="P653" s="10"/>
      <c r="Q653" s="11"/>
    </row>
    <row r="654" spans="2:17" ht="21" customHeight="1" x14ac:dyDescent="0.35">
      <c r="B654" s="1">
        <v>43905</v>
      </c>
      <c r="C654" s="1" t="str">
        <f>TEXT(Sales[[#This Row],[Kode Program/Kegiatan ]],"D")</f>
        <v>15</v>
      </c>
      <c r="D654" s="2" t="str">
        <f>TEXT(Sales[[#This Row],[Kode Program/Kegiatan ]],"mmm")</f>
        <v>Mar</v>
      </c>
      <c r="E654" s="3">
        <v>4</v>
      </c>
      <c r="F654" s="2">
        <v>4</v>
      </c>
      <c r="G654" s="3" t="str">
        <f>IF(Sales[[#This Row],[Anggaran Murni]]-Sales[[#This Row],[Target s.d. Januari]]=0,"",Sales[[#This Row],[Anggaran Murni]]-Sales[[#This Row],[Target s.d. Januari]])</f>
        <v/>
      </c>
      <c r="H654" s="2" t="s">
        <v>71</v>
      </c>
      <c r="I654" s="3" t="s">
        <v>6</v>
      </c>
      <c r="J654" s="3"/>
      <c r="K654" s="2" t="s">
        <v>40</v>
      </c>
      <c r="L654" s="2" t="s">
        <v>5</v>
      </c>
      <c r="M654" s="4" t="s">
        <v>67</v>
      </c>
      <c r="N654" s="3" t="s">
        <v>81</v>
      </c>
      <c r="O654" s="2" t="s">
        <v>14</v>
      </c>
      <c r="P654" s="10"/>
      <c r="Q654" s="11"/>
    </row>
    <row r="655" spans="2:17" ht="21" customHeight="1" x14ac:dyDescent="0.35">
      <c r="B655" s="18">
        <v>43905</v>
      </c>
      <c r="C655" s="18" t="str">
        <f>TEXT(Sales[[#This Row],[Kode Program/Kegiatan ]],"D")</f>
        <v>15</v>
      </c>
      <c r="D655" s="19" t="str">
        <f>TEXT(Sales[[#This Row],[Kode Program/Kegiatan ]],"mmm")</f>
        <v>Mar</v>
      </c>
      <c r="E655" s="20">
        <v>3</v>
      </c>
      <c r="F655" s="19">
        <v>3</v>
      </c>
      <c r="G655" s="20" t="str">
        <f>IF(Sales[[#This Row],[Anggaran Murni]]-Sales[[#This Row],[Target s.d. Januari]]=0,"",Sales[[#This Row],[Anggaran Murni]]-Sales[[#This Row],[Target s.d. Januari]])</f>
        <v/>
      </c>
      <c r="H655" s="19" t="s">
        <v>71</v>
      </c>
      <c r="I655" s="20" t="s">
        <v>6</v>
      </c>
      <c r="J655" s="20"/>
      <c r="K655" s="19" t="s">
        <v>60</v>
      </c>
      <c r="L655" s="19" t="s">
        <v>5</v>
      </c>
      <c r="M655" s="21" t="s">
        <v>67</v>
      </c>
      <c r="N655" s="20" t="s">
        <v>80</v>
      </c>
      <c r="O655" s="19" t="s">
        <v>12</v>
      </c>
      <c r="P655" s="10"/>
      <c r="Q655" s="11"/>
    </row>
    <row r="656" spans="2:17" ht="21" customHeight="1" x14ac:dyDescent="0.35">
      <c r="B656" s="1">
        <v>43906</v>
      </c>
      <c r="C656" s="1" t="str">
        <f>TEXT(Sales[[#This Row],[Kode Program/Kegiatan ]],"D")</f>
        <v>16</v>
      </c>
      <c r="D656" s="2" t="str">
        <f>TEXT(Sales[[#This Row],[Kode Program/Kegiatan ]],"mmm")</f>
        <v>Mar</v>
      </c>
      <c r="E656" s="3">
        <v>8</v>
      </c>
      <c r="F656" s="2">
        <v>8</v>
      </c>
      <c r="G656" s="3" t="str">
        <f>IF(Sales[[#This Row],[Anggaran Murni]]-Sales[[#This Row],[Target s.d. Januari]]=0,"",Sales[[#This Row],[Anggaran Murni]]-Sales[[#This Row],[Target s.d. Januari]])</f>
        <v/>
      </c>
      <c r="H656" s="2" t="s">
        <v>76</v>
      </c>
      <c r="I656" s="3" t="s">
        <v>79</v>
      </c>
      <c r="J656" s="3"/>
      <c r="K656" s="2" t="s">
        <v>46</v>
      </c>
      <c r="L656" s="2" t="s">
        <v>2</v>
      </c>
      <c r="M656" s="4" t="s">
        <v>67</v>
      </c>
      <c r="N656" s="3" t="s">
        <v>81</v>
      </c>
      <c r="O656" s="2" t="s">
        <v>12</v>
      </c>
      <c r="P656" s="10"/>
      <c r="Q656" s="11"/>
    </row>
    <row r="657" spans="2:17" ht="21" customHeight="1" x14ac:dyDescent="0.35">
      <c r="B657" s="18">
        <v>43906</v>
      </c>
      <c r="C657" s="18" t="str">
        <f>TEXT(Sales[[#This Row],[Kode Program/Kegiatan ]],"D")</f>
        <v>16</v>
      </c>
      <c r="D657" s="19" t="str">
        <f>TEXT(Sales[[#This Row],[Kode Program/Kegiatan ]],"mmm")</f>
        <v>Mar</v>
      </c>
      <c r="E657" s="20">
        <v>7</v>
      </c>
      <c r="F657" s="19">
        <v>7</v>
      </c>
      <c r="G657" s="20" t="str">
        <f>IF(Sales[[#This Row],[Anggaran Murni]]-Sales[[#This Row],[Target s.d. Januari]]=0,"",Sales[[#This Row],[Anggaran Murni]]-Sales[[#This Row],[Target s.d. Januari]])</f>
        <v/>
      </c>
      <c r="H657" s="19" t="s">
        <v>70</v>
      </c>
      <c r="I657" s="20" t="s">
        <v>1</v>
      </c>
      <c r="J657" s="20"/>
      <c r="K657" s="19" t="s">
        <v>57</v>
      </c>
      <c r="L657" s="19" t="s">
        <v>5</v>
      </c>
      <c r="M657" s="21" t="s">
        <v>67</v>
      </c>
      <c r="N657" s="20" t="s">
        <v>81</v>
      </c>
      <c r="O657" s="19" t="s">
        <v>11</v>
      </c>
      <c r="P657" s="10"/>
      <c r="Q657" s="11"/>
    </row>
    <row r="658" spans="2:17" ht="21" customHeight="1" x14ac:dyDescent="0.35">
      <c r="B658" s="1">
        <v>43906</v>
      </c>
      <c r="C658" s="1" t="str">
        <f>TEXT(Sales[[#This Row],[Kode Program/Kegiatan ]],"D")</f>
        <v>16</v>
      </c>
      <c r="D658" s="2" t="str">
        <f>TEXT(Sales[[#This Row],[Kode Program/Kegiatan ]],"mmm")</f>
        <v>Mar</v>
      </c>
      <c r="E658" s="3">
        <v>6</v>
      </c>
      <c r="F658" s="2">
        <v>6</v>
      </c>
      <c r="G658" s="3" t="str">
        <f>IF(Sales[[#This Row],[Anggaran Murni]]-Sales[[#This Row],[Target s.d. Januari]]=0,"",Sales[[#This Row],[Anggaran Murni]]-Sales[[#This Row],[Target s.d. Januari]])</f>
        <v/>
      </c>
      <c r="H658" s="2" t="s">
        <v>70</v>
      </c>
      <c r="I658" s="3" t="s">
        <v>1</v>
      </c>
      <c r="J658" s="3"/>
      <c r="K658" s="2" t="s">
        <v>53</v>
      </c>
      <c r="L658" s="2" t="s">
        <v>8</v>
      </c>
      <c r="M658" s="4" t="s">
        <v>67</v>
      </c>
      <c r="N658" s="3" t="s">
        <v>80</v>
      </c>
      <c r="O658" s="2" t="s">
        <v>13</v>
      </c>
      <c r="P658" s="10"/>
      <c r="Q658" s="11"/>
    </row>
    <row r="659" spans="2:17" ht="21" customHeight="1" x14ac:dyDescent="0.35">
      <c r="B659" s="18">
        <v>43906</v>
      </c>
      <c r="C659" s="18" t="str">
        <f>TEXT(Sales[[#This Row],[Kode Program/Kegiatan ]],"D")</f>
        <v>16</v>
      </c>
      <c r="D659" s="19" t="str">
        <f>TEXT(Sales[[#This Row],[Kode Program/Kegiatan ]],"mmm")</f>
        <v>Mar</v>
      </c>
      <c r="E659" s="20">
        <v>5</v>
      </c>
      <c r="F659" s="19">
        <v>5</v>
      </c>
      <c r="G659" s="20" t="str">
        <f>IF(Sales[[#This Row],[Anggaran Murni]]-Sales[[#This Row],[Target s.d. Januari]]=0,"",Sales[[#This Row],[Anggaran Murni]]-Sales[[#This Row],[Target s.d. Januari]])</f>
        <v/>
      </c>
      <c r="H659" s="19" t="s">
        <v>76</v>
      </c>
      <c r="I659" s="20" t="s">
        <v>79</v>
      </c>
      <c r="J659" s="20"/>
      <c r="K659" s="19" t="s">
        <v>60</v>
      </c>
      <c r="L659" s="19" t="s">
        <v>2</v>
      </c>
      <c r="M659" s="21" t="s">
        <v>67</v>
      </c>
      <c r="N659" s="20" t="s">
        <v>81</v>
      </c>
      <c r="O659" s="19" t="s">
        <v>11</v>
      </c>
      <c r="P659" s="10"/>
      <c r="Q659" s="11"/>
    </row>
    <row r="660" spans="2:17" ht="21" customHeight="1" x14ac:dyDescent="0.35">
      <c r="B660" s="1">
        <v>43906</v>
      </c>
      <c r="C660" s="1" t="str">
        <f>TEXT(Sales[[#This Row],[Kode Program/Kegiatan ]],"D")</f>
        <v>16</v>
      </c>
      <c r="D660" s="2" t="str">
        <f>TEXT(Sales[[#This Row],[Kode Program/Kegiatan ]],"mmm")</f>
        <v>Mar</v>
      </c>
      <c r="E660" s="3">
        <v>5</v>
      </c>
      <c r="F660" s="2">
        <v>5</v>
      </c>
      <c r="G660" s="3" t="str">
        <f>IF(Sales[[#This Row],[Anggaran Murni]]-Sales[[#This Row],[Target s.d. Januari]]=0,"",Sales[[#This Row],[Anggaran Murni]]-Sales[[#This Row],[Target s.d. Januari]])</f>
        <v/>
      </c>
      <c r="H660" s="2" t="s">
        <v>74</v>
      </c>
      <c r="I660" s="3" t="s">
        <v>77</v>
      </c>
      <c r="J660" s="3"/>
      <c r="K660" s="2" t="s">
        <v>29</v>
      </c>
      <c r="L660" s="2" t="s">
        <v>2</v>
      </c>
      <c r="M660" s="4" t="s">
        <v>67</v>
      </c>
      <c r="N660" s="3" t="s">
        <v>82</v>
      </c>
      <c r="O660" s="2" t="s">
        <v>13</v>
      </c>
      <c r="P660" s="10"/>
      <c r="Q660" s="11"/>
    </row>
    <row r="661" spans="2:17" ht="21" customHeight="1" x14ac:dyDescent="0.35">
      <c r="B661" s="18">
        <v>43906</v>
      </c>
      <c r="C661" s="18" t="str">
        <f>TEXT(Sales[[#This Row],[Kode Program/Kegiatan ]],"D")</f>
        <v>16</v>
      </c>
      <c r="D661" s="19" t="str">
        <f>TEXT(Sales[[#This Row],[Kode Program/Kegiatan ]],"mmm")</f>
        <v>Mar</v>
      </c>
      <c r="E661" s="20">
        <v>4</v>
      </c>
      <c r="F661" s="19">
        <v>4</v>
      </c>
      <c r="G661" s="20" t="str">
        <f>IF(Sales[[#This Row],[Anggaran Murni]]-Sales[[#This Row],[Target s.d. Januari]]=0,"",Sales[[#This Row],[Anggaran Murni]]-Sales[[#This Row],[Target s.d. Januari]])</f>
        <v/>
      </c>
      <c r="H661" s="19" t="s">
        <v>73</v>
      </c>
      <c r="I661" s="20" t="s">
        <v>78</v>
      </c>
      <c r="J661" s="20"/>
      <c r="K661" s="19" t="s">
        <v>22</v>
      </c>
      <c r="L661" s="19" t="s">
        <v>2</v>
      </c>
      <c r="M661" s="21" t="s">
        <v>67</v>
      </c>
      <c r="N661" s="20" t="s">
        <v>82</v>
      </c>
      <c r="O661" s="19" t="s">
        <v>14</v>
      </c>
      <c r="P661" s="10"/>
      <c r="Q661" s="11"/>
    </row>
    <row r="662" spans="2:17" ht="21" customHeight="1" x14ac:dyDescent="0.35">
      <c r="B662" s="1">
        <v>43907</v>
      </c>
      <c r="C662" s="1" t="str">
        <f>TEXT(Sales[[#This Row],[Kode Program/Kegiatan ]],"D")</f>
        <v>17</v>
      </c>
      <c r="D662" s="2" t="str">
        <f>TEXT(Sales[[#This Row],[Kode Program/Kegiatan ]],"mmm")</f>
        <v>Mar</v>
      </c>
      <c r="E662" s="3">
        <v>10</v>
      </c>
      <c r="F662" s="2">
        <v>10</v>
      </c>
      <c r="G662" s="3" t="str">
        <f>IF(Sales[[#This Row],[Anggaran Murni]]-Sales[[#This Row],[Target s.d. Januari]]=0,"",Sales[[#This Row],[Anggaran Murni]]-Sales[[#This Row],[Target s.d. Januari]])</f>
        <v/>
      </c>
      <c r="H662" s="2" t="s">
        <v>113</v>
      </c>
      <c r="I662" s="3" t="s">
        <v>77</v>
      </c>
      <c r="J662" s="3"/>
      <c r="K662" s="2" t="s">
        <v>38</v>
      </c>
      <c r="L662" s="2" t="s">
        <v>2</v>
      </c>
      <c r="M662" s="4" t="s">
        <v>67</v>
      </c>
      <c r="N662" s="3" t="s">
        <v>82</v>
      </c>
      <c r="O662" s="2" t="s">
        <v>12</v>
      </c>
      <c r="P662" s="10"/>
      <c r="Q662" s="11"/>
    </row>
    <row r="663" spans="2:17" ht="21" customHeight="1" x14ac:dyDescent="0.35">
      <c r="B663" s="18">
        <v>43907</v>
      </c>
      <c r="C663" s="18" t="str">
        <f>TEXT(Sales[[#This Row],[Kode Program/Kegiatan ]],"D")</f>
        <v>17</v>
      </c>
      <c r="D663" s="19" t="str">
        <f>TEXT(Sales[[#This Row],[Kode Program/Kegiatan ]],"mmm")</f>
        <v>Mar</v>
      </c>
      <c r="E663" s="20">
        <v>9</v>
      </c>
      <c r="F663" s="19">
        <v>9</v>
      </c>
      <c r="G663" s="20" t="str">
        <f>IF(Sales[[#This Row],[Anggaran Murni]]-Sales[[#This Row],[Target s.d. Januari]]=0,"",Sales[[#This Row],[Anggaran Murni]]-Sales[[#This Row],[Target s.d. Januari]])</f>
        <v/>
      </c>
      <c r="H663" s="19" t="s">
        <v>75</v>
      </c>
      <c r="I663" s="20" t="s">
        <v>6</v>
      </c>
      <c r="J663" s="20"/>
      <c r="K663" s="19" t="s">
        <v>27</v>
      </c>
      <c r="L663" s="19" t="s">
        <v>7</v>
      </c>
      <c r="M663" s="21" t="s">
        <v>67</v>
      </c>
      <c r="N663" s="20" t="s">
        <v>80</v>
      </c>
      <c r="O663" s="19" t="s">
        <v>11</v>
      </c>
      <c r="P663" s="10"/>
      <c r="Q663" s="11"/>
    </row>
    <row r="664" spans="2:17" ht="21" customHeight="1" x14ac:dyDescent="0.35">
      <c r="B664" s="1">
        <v>43907</v>
      </c>
      <c r="C664" s="1" t="str">
        <f>TEXT(Sales[[#This Row],[Kode Program/Kegiatan ]],"D")</f>
        <v>17</v>
      </c>
      <c r="D664" s="2" t="str">
        <f>TEXT(Sales[[#This Row],[Kode Program/Kegiatan ]],"mmm")</f>
        <v>Mar</v>
      </c>
      <c r="E664" s="3">
        <v>9</v>
      </c>
      <c r="F664" s="2">
        <v>9</v>
      </c>
      <c r="G664" s="3" t="str">
        <f>IF(Sales[[#This Row],[Anggaran Murni]]-Sales[[#This Row],[Target s.d. Januari]]=0,"",Sales[[#This Row],[Anggaran Murni]]-Sales[[#This Row],[Target s.d. Januari]])</f>
        <v/>
      </c>
      <c r="H664" s="2" t="s">
        <v>114</v>
      </c>
      <c r="I664" s="3" t="s">
        <v>3</v>
      </c>
      <c r="J664" s="3"/>
      <c r="K664" s="2" t="s">
        <v>49</v>
      </c>
      <c r="L664" s="2" t="s">
        <v>8</v>
      </c>
      <c r="M664" s="4" t="s">
        <v>67</v>
      </c>
      <c r="N664" s="3" t="s">
        <v>81</v>
      </c>
      <c r="O664" s="2" t="s">
        <v>13</v>
      </c>
      <c r="P664" s="10"/>
      <c r="Q664" s="11"/>
    </row>
    <row r="665" spans="2:17" ht="21" customHeight="1" x14ac:dyDescent="0.35">
      <c r="B665" s="18">
        <v>43907</v>
      </c>
      <c r="C665" s="18" t="str">
        <f>TEXT(Sales[[#This Row],[Kode Program/Kegiatan ]],"D")</f>
        <v>17</v>
      </c>
      <c r="D665" s="19" t="str">
        <f>TEXT(Sales[[#This Row],[Kode Program/Kegiatan ]],"mmm")</f>
        <v>Mar</v>
      </c>
      <c r="E665" s="20">
        <v>5</v>
      </c>
      <c r="F665" s="19">
        <v>5</v>
      </c>
      <c r="G665" s="20" t="str">
        <f>IF(Sales[[#This Row],[Anggaran Murni]]-Sales[[#This Row],[Target s.d. Januari]]=0,"",Sales[[#This Row],[Anggaran Murni]]-Sales[[#This Row],[Target s.d. Januari]])</f>
        <v/>
      </c>
      <c r="H665" s="19" t="s">
        <v>76</v>
      </c>
      <c r="I665" s="20" t="s">
        <v>79</v>
      </c>
      <c r="J665" s="20"/>
      <c r="K665" s="19" t="s">
        <v>42</v>
      </c>
      <c r="L665" s="19" t="s">
        <v>5</v>
      </c>
      <c r="M665" s="21" t="s">
        <v>67</v>
      </c>
      <c r="N665" s="20" t="s">
        <v>82</v>
      </c>
      <c r="O665" s="19" t="s">
        <v>13</v>
      </c>
      <c r="P665" s="10"/>
      <c r="Q665" s="11"/>
    </row>
    <row r="666" spans="2:17" ht="21" customHeight="1" x14ac:dyDescent="0.35">
      <c r="B666" s="1">
        <v>43907</v>
      </c>
      <c r="C666" s="1" t="str">
        <f>TEXT(Sales[[#This Row],[Kode Program/Kegiatan ]],"D")</f>
        <v>17</v>
      </c>
      <c r="D666" s="2" t="str">
        <f>TEXT(Sales[[#This Row],[Kode Program/Kegiatan ]],"mmm")</f>
        <v>Mar</v>
      </c>
      <c r="E666" s="3">
        <v>4</v>
      </c>
      <c r="F666" s="2">
        <v>4</v>
      </c>
      <c r="G666" s="3" t="str">
        <f>IF(Sales[[#This Row],[Anggaran Murni]]-Sales[[#This Row],[Target s.d. Januari]]=0,"",Sales[[#This Row],[Anggaran Murni]]-Sales[[#This Row],[Target s.d. Januari]])</f>
        <v/>
      </c>
      <c r="H666" s="2" t="s">
        <v>114</v>
      </c>
      <c r="I666" s="3" t="s">
        <v>3</v>
      </c>
      <c r="J666" s="3"/>
      <c r="K666" s="2" t="s">
        <v>42</v>
      </c>
      <c r="L666" s="2" t="s">
        <v>5</v>
      </c>
      <c r="M666" s="4" t="s">
        <v>67</v>
      </c>
      <c r="N666" s="3" t="s">
        <v>82</v>
      </c>
      <c r="O666" s="2" t="s">
        <v>14</v>
      </c>
      <c r="P666" s="10"/>
      <c r="Q666" s="11"/>
    </row>
    <row r="667" spans="2:17" ht="21" customHeight="1" x14ac:dyDescent="0.35">
      <c r="B667" s="18">
        <v>43907</v>
      </c>
      <c r="C667" s="18" t="str">
        <f>TEXT(Sales[[#This Row],[Kode Program/Kegiatan ]],"D")</f>
        <v>17</v>
      </c>
      <c r="D667" s="19" t="str">
        <f>TEXT(Sales[[#This Row],[Kode Program/Kegiatan ]],"mmm")</f>
        <v>Mar</v>
      </c>
      <c r="E667" s="20">
        <v>4</v>
      </c>
      <c r="F667" s="19">
        <v>4</v>
      </c>
      <c r="G667" s="20" t="str">
        <f>IF(Sales[[#This Row],[Anggaran Murni]]-Sales[[#This Row],[Target s.d. Januari]]=0,"",Sales[[#This Row],[Anggaran Murni]]-Sales[[#This Row],[Target s.d. Januari]])</f>
        <v/>
      </c>
      <c r="H667" s="19" t="s">
        <v>72</v>
      </c>
      <c r="I667" s="20" t="s">
        <v>78</v>
      </c>
      <c r="J667" s="20"/>
      <c r="K667" s="19" t="s">
        <v>31</v>
      </c>
      <c r="L667" s="19" t="s">
        <v>2</v>
      </c>
      <c r="M667" s="21" t="s">
        <v>67</v>
      </c>
      <c r="N667" s="20" t="s">
        <v>82</v>
      </c>
      <c r="O667" s="19" t="s">
        <v>11</v>
      </c>
      <c r="P667" s="10"/>
      <c r="Q667" s="11"/>
    </row>
    <row r="668" spans="2:17" ht="21" customHeight="1" x14ac:dyDescent="0.35">
      <c r="B668" s="1">
        <v>43907</v>
      </c>
      <c r="C668" s="1" t="str">
        <f>TEXT(Sales[[#This Row],[Kode Program/Kegiatan ]],"D")</f>
        <v>17</v>
      </c>
      <c r="D668" s="2" t="str">
        <f>TEXT(Sales[[#This Row],[Kode Program/Kegiatan ]],"mmm")</f>
        <v>Mar</v>
      </c>
      <c r="E668" s="3">
        <v>4</v>
      </c>
      <c r="F668" s="2">
        <v>4</v>
      </c>
      <c r="G668" s="3" t="str">
        <f>IF(Sales[[#This Row],[Anggaran Murni]]-Sales[[#This Row],[Target s.d. Januari]]=0,"",Sales[[#This Row],[Anggaran Murni]]-Sales[[#This Row],[Target s.d. Januari]])</f>
        <v/>
      </c>
      <c r="H668" s="2" t="s">
        <v>114</v>
      </c>
      <c r="I668" s="3" t="s">
        <v>3</v>
      </c>
      <c r="J668" s="3"/>
      <c r="K668" s="2" t="s">
        <v>21</v>
      </c>
      <c r="L668" s="2" t="s">
        <v>5</v>
      </c>
      <c r="M668" s="4" t="s">
        <v>67</v>
      </c>
      <c r="N668" s="3" t="s">
        <v>82</v>
      </c>
      <c r="O668" s="2" t="s">
        <v>11</v>
      </c>
      <c r="P668" s="10"/>
      <c r="Q668" s="11"/>
    </row>
    <row r="669" spans="2:17" ht="21" customHeight="1" x14ac:dyDescent="0.35">
      <c r="B669" s="18">
        <v>43907</v>
      </c>
      <c r="C669" s="18" t="str">
        <f>TEXT(Sales[[#This Row],[Kode Program/Kegiatan ]],"D")</f>
        <v>17</v>
      </c>
      <c r="D669" s="19" t="str">
        <f>TEXT(Sales[[#This Row],[Kode Program/Kegiatan ]],"mmm")</f>
        <v>Mar</v>
      </c>
      <c r="E669" s="20">
        <v>4</v>
      </c>
      <c r="F669" s="19">
        <v>4</v>
      </c>
      <c r="G669" s="20" t="str">
        <f>IF(Sales[[#This Row],[Anggaran Murni]]-Sales[[#This Row],[Target s.d. Januari]]=0,"",Sales[[#This Row],[Anggaran Murni]]-Sales[[#This Row],[Target s.d. Januari]])</f>
        <v/>
      </c>
      <c r="H669" s="19" t="s">
        <v>114</v>
      </c>
      <c r="I669" s="20" t="s">
        <v>3</v>
      </c>
      <c r="J669" s="20"/>
      <c r="K669" s="19" t="s">
        <v>64</v>
      </c>
      <c r="L669" s="19" t="s">
        <v>2</v>
      </c>
      <c r="M669" s="21" t="s">
        <v>67</v>
      </c>
      <c r="N669" s="20" t="s">
        <v>82</v>
      </c>
      <c r="O669" s="19" t="s">
        <v>11</v>
      </c>
      <c r="P669" s="10"/>
      <c r="Q669" s="11"/>
    </row>
    <row r="670" spans="2:17" ht="21" customHeight="1" x14ac:dyDescent="0.35">
      <c r="B670" s="1">
        <v>43907</v>
      </c>
      <c r="C670" s="1" t="str">
        <f>TEXT(Sales[[#This Row],[Kode Program/Kegiatan ]],"D")</f>
        <v>17</v>
      </c>
      <c r="D670" s="2" t="str">
        <f>TEXT(Sales[[#This Row],[Kode Program/Kegiatan ]],"mmm")</f>
        <v>Mar</v>
      </c>
      <c r="E670" s="3">
        <v>3</v>
      </c>
      <c r="F670" s="2">
        <v>3</v>
      </c>
      <c r="G670" s="3" t="str">
        <f>IF(Sales[[#This Row],[Anggaran Murni]]-Sales[[#This Row],[Target s.d. Januari]]=0,"",Sales[[#This Row],[Anggaran Murni]]-Sales[[#This Row],[Target s.d. Januari]])</f>
        <v/>
      </c>
      <c r="H670" s="2" t="s">
        <v>73</v>
      </c>
      <c r="I670" s="3" t="s">
        <v>78</v>
      </c>
      <c r="J670" s="3"/>
      <c r="K670" s="2" t="s">
        <v>38</v>
      </c>
      <c r="L670" s="2" t="s">
        <v>2</v>
      </c>
      <c r="M670" s="4" t="s">
        <v>67</v>
      </c>
      <c r="N670" s="3" t="s">
        <v>81</v>
      </c>
      <c r="O670" s="2" t="s">
        <v>13</v>
      </c>
      <c r="P670" s="10"/>
      <c r="Q670" s="11"/>
    </row>
    <row r="671" spans="2:17" ht="21" customHeight="1" x14ac:dyDescent="0.35">
      <c r="B671" s="18">
        <v>43907</v>
      </c>
      <c r="C671" s="18" t="str">
        <f>TEXT(Sales[[#This Row],[Kode Program/Kegiatan ]],"D")</f>
        <v>17</v>
      </c>
      <c r="D671" s="19" t="str">
        <f>TEXT(Sales[[#This Row],[Kode Program/Kegiatan ]],"mmm")</f>
        <v>Mar</v>
      </c>
      <c r="E671" s="20">
        <v>3</v>
      </c>
      <c r="F671" s="19">
        <v>3</v>
      </c>
      <c r="G671" s="20" t="str">
        <f>IF(Sales[[#This Row],[Anggaran Murni]]-Sales[[#This Row],[Target s.d. Januari]]=0,"",Sales[[#This Row],[Anggaran Murni]]-Sales[[#This Row],[Target s.d. Januari]])</f>
        <v/>
      </c>
      <c r="H671" s="19" t="s">
        <v>71</v>
      </c>
      <c r="I671" s="20" t="s">
        <v>6</v>
      </c>
      <c r="J671" s="20"/>
      <c r="K671" s="19" t="s">
        <v>64</v>
      </c>
      <c r="L671" s="19" t="s">
        <v>2</v>
      </c>
      <c r="M671" s="21" t="s">
        <v>67</v>
      </c>
      <c r="N671" s="20" t="s">
        <v>82</v>
      </c>
      <c r="O671" s="19" t="s">
        <v>11</v>
      </c>
      <c r="P671" s="10"/>
      <c r="Q671" s="11"/>
    </row>
    <row r="672" spans="2:17" ht="21" customHeight="1" x14ac:dyDescent="0.35">
      <c r="B672" s="1">
        <v>43908</v>
      </c>
      <c r="C672" s="1" t="str">
        <f>TEXT(Sales[[#This Row],[Kode Program/Kegiatan ]],"D")</f>
        <v>18</v>
      </c>
      <c r="D672" s="2" t="str">
        <f>TEXT(Sales[[#This Row],[Kode Program/Kegiatan ]],"mmm")</f>
        <v>Mar</v>
      </c>
      <c r="E672" s="3">
        <v>9</v>
      </c>
      <c r="F672" s="2">
        <v>9</v>
      </c>
      <c r="G672" s="3" t="str">
        <f>IF(Sales[[#This Row],[Anggaran Murni]]-Sales[[#This Row],[Target s.d. Januari]]=0,"",Sales[[#This Row],[Anggaran Murni]]-Sales[[#This Row],[Target s.d. Januari]])</f>
        <v/>
      </c>
      <c r="H672" s="2" t="s">
        <v>114</v>
      </c>
      <c r="I672" s="3" t="s">
        <v>3</v>
      </c>
      <c r="J672" s="3"/>
      <c r="K672" s="2" t="s">
        <v>30</v>
      </c>
      <c r="L672" s="2" t="s">
        <v>5</v>
      </c>
      <c r="M672" s="4" t="s">
        <v>67</v>
      </c>
      <c r="N672" s="3" t="s">
        <v>82</v>
      </c>
      <c r="O672" s="2" t="s">
        <v>14</v>
      </c>
      <c r="P672" s="10"/>
      <c r="Q672" s="11"/>
    </row>
    <row r="673" spans="2:17" ht="21" customHeight="1" x14ac:dyDescent="0.35">
      <c r="B673" s="18">
        <v>43908</v>
      </c>
      <c r="C673" s="18" t="str">
        <f>TEXT(Sales[[#This Row],[Kode Program/Kegiatan ]],"D")</f>
        <v>18</v>
      </c>
      <c r="D673" s="19" t="str">
        <f>TEXT(Sales[[#This Row],[Kode Program/Kegiatan ]],"mmm")</f>
        <v>Mar</v>
      </c>
      <c r="E673" s="20">
        <v>7</v>
      </c>
      <c r="F673" s="19">
        <v>7</v>
      </c>
      <c r="G673" s="20" t="str">
        <f>IF(Sales[[#This Row],[Anggaran Murni]]-Sales[[#This Row],[Target s.d. Januari]]=0,"",Sales[[#This Row],[Anggaran Murni]]-Sales[[#This Row],[Target s.d. Januari]])</f>
        <v/>
      </c>
      <c r="H673" s="19" t="s">
        <v>70</v>
      </c>
      <c r="I673" s="20" t="s">
        <v>1</v>
      </c>
      <c r="J673" s="20"/>
      <c r="K673" s="19" t="s">
        <v>16</v>
      </c>
      <c r="L673" s="19" t="s">
        <v>5</v>
      </c>
      <c r="M673" s="21" t="s">
        <v>67</v>
      </c>
      <c r="N673" s="20" t="s">
        <v>82</v>
      </c>
      <c r="O673" s="19" t="s">
        <v>14</v>
      </c>
      <c r="P673" s="10"/>
      <c r="Q673" s="11"/>
    </row>
    <row r="674" spans="2:17" ht="21" customHeight="1" x14ac:dyDescent="0.35">
      <c r="B674" s="1">
        <v>43908</v>
      </c>
      <c r="C674" s="1" t="str">
        <f>TEXT(Sales[[#This Row],[Kode Program/Kegiatan ]],"D")</f>
        <v>18</v>
      </c>
      <c r="D674" s="2" t="str">
        <f>TEXT(Sales[[#This Row],[Kode Program/Kegiatan ]],"mmm")</f>
        <v>Mar</v>
      </c>
      <c r="E674" s="3">
        <v>7</v>
      </c>
      <c r="F674" s="2">
        <v>7</v>
      </c>
      <c r="G674" s="3" t="str">
        <f>IF(Sales[[#This Row],[Anggaran Murni]]-Sales[[#This Row],[Target s.d. Januari]]=0,"",Sales[[#This Row],[Anggaran Murni]]-Sales[[#This Row],[Target s.d. Januari]])</f>
        <v/>
      </c>
      <c r="H674" s="2" t="s">
        <v>113</v>
      </c>
      <c r="I674" s="3" t="s">
        <v>77</v>
      </c>
      <c r="J674" s="3"/>
      <c r="K674" s="2" t="s">
        <v>45</v>
      </c>
      <c r="L674" s="2" t="s">
        <v>5</v>
      </c>
      <c r="M674" s="4" t="s">
        <v>67</v>
      </c>
      <c r="N674" s="3" t="s">
        <v>82</v>
      </c>
      <c r="O674" s="2" t="s">
        <v>13</v>
      </c>
      <c r="P674" s="10"/>
      <c r="Q674" s="11"/>
    </row>
    <row r="675" spans="2:17" ht="21" customHeight="1" x14ac:dyDescent="0.35">
      <c r="B675" s="18">
        <v>43908</v>
      </c>
      <c r="C675" s="18" t="str">
        <f>TEXT(Sales[[#This Row],[Kode Program/Kegiatan ]],"D")</f>
        <v>18</v>
      </c>
      <c r="D675" s="19" t="str">
        <f>TEXT(Sales[[#This Row],[Kode Program/Kegiatan ]],"mmm")</f>
        <v>Mar</v>
      </c>
      <c r="E675" s="20">
        <v>6</v>
      </c>
      <c r="F675" s="19">
        <v>6</v>
      </c>
      <c r="G675" s="20" t="str">
        <f>IF(Sales[[#This Row],[Anggaran Murni]]-Sales[[#This Row],[Target s.d. Januari]]=0,"",Sales[[#This Row],[Anggaran Murni]]-Sales[[#This Row],[Target s.d. Januari]])</f>
        <v/>
      </c>
      <c r="H675" s="19" t="s">
        <v>114</v>
      </c>
      <c r="I675" s="20" t="s">
        <v>3</v>
      </c>
      <c r="J675" s="20"/>
      <c r="K675" s="19" t="s">
        <v>36</v>
      </c>
      <c r="L675" s="19" t="s">
        <v>2</v>
      </c>
      <c r="M675" s="21" t="s">
        <v>67</v>
      </c>
      <c r="N675" s="20" t="s">
        <v>81</v>
      </c>
      <c r="O675" s="19" t="s">
        <v>14</v>
      </c>
      <c r="P675" s="10"/>
      <c r="Q675" s="11"/>
    </row>
    <row r="676" spans="2:17" ht="21" customHeight="1" x14ac:dyDescent="0.35">
      <c r="B676" s="1">
        <v>43908</v>
      </c>
      <c r="C676" s="1" t="str">
        <f>TEXT(Sales[[#This Row],[Kode Program/Kegiatan ]],"D")</f>
        <v>18</v>
      </c>
      <c r="D676" s="2" t="str">
        <f>TEXT(Sales[[#This Row],[Kode Program/Kegiatan ]],"mmm")</f>
        <v>Mar</v>
      </c>
      <c r="E676" s="3">
        <v>5</v>
      </c>
      <c r="F676" s="2">
        <v>5</v>
      </c>
      <c r="G676" s="3" t="str">
        <f>IF(Sales[[#This Row],[Anggaran Murni]]-Sales[[#This Row],[Target s.d. Januari]]=0,"",Sales[[#This Row],[Anggaran Murni]]-Sales[[#This Row],[Target s.d. Januari]])</f>
        <v/>
      </c>
      <c r="H676" s="2" t="s">
        <v>74</v>
      </c>
      <c r="I676" s="3" t="s">
        <v>77</v>
      </c>
      <c r="J676" s="3"/>
      <c r="K676" s="2" t="s">
        <v>61</v>
      </c>
      <c r="L676" s="2" t="s">
        <v>5</v>
      </c>
      <c r="M676" s="4" t="s">
        <v>67</v>
      </c>
      <c r="N676" s="3" t="s">
        <v>82</v>
      </c>
      <c r="O676" s="2" t="s">
        <v>13</v>
      </c>
      <c r="P676" s="10"/>
      <c r="Q676" s="11"/>
    </row>
    <row r="677" spans="2:17" ht="21" customHeight="1" x14ac:dyDescent="0.35">
      <c r="B677" s="18">
        <v>43908</v>
      </c>
      <c r="C677" s="18" t="str">
        <f>TEXT(Sales[[#This Row],[Kode Program/Kegiatan ]],"D")</f>
        <v>18</v>
      </c>
      <c r="D677" s="19" t="str">
        <f>TEXT(Sales[[#This Row],[Kode Program/Kegiatan ]],"mmm")</f>
        <v>Mar</v>
      </c>
      <c r="E677" s="20">
        <v>4</v>
      </c>
      <c r="F677" s="19">
        <v>4</v>
      </c>
      <c r="G677" s="20" t="str">
        <f>IF(Sales[[#This Row],[Anggaran Murni]]-Sales[[#This Row],[Target s.d. Januari]]=0,"",Sales[[#This Row],[Anggaran Murni]]-Sales[[#This Row],[Target s.d. Januari]])</f>
        <v/>
      </c>
      <c r="H677" s="19" t="s">
        <v>72</v>
      </c>
      <c r="I677" s="20" t="s">
        <v>78</v>
      </c>
      <c r="J677" s="20"/>
      <c r="K677" s="19" t="s">
        <v>51</v>
      </c>
      <c r="L677" s="19" t="s">
        <v>2</v>
      </c>
      <c r="M677" s="21" t="s">
        <v>67</v>
      </c>
      <c r="N677" s="20" t="s">
        <v>82</v>
      </c>
      <c r="O677" s="19" t="s">
        <v>12</v>
      </c>
      <c r="P677" s="10"/>
      <c r="Q677" s="11"/>
    </row>
    <row r="678" spans="2:17" ht="21" customHeight="1" x14ac:dyDescent="0.35">
      <c r="B678" s="1">
        <v>43908</v>
      </c>
      <c r="C678" s="1" t="str">
        <f>TEXT(Sales[[#This Row],[Kode Program/Kegiatan ]],"D")</f>
        <v>18</v>
      </c>
      <c r="D678" s="2" t="str">
        <f>TEXT(Sales[[#This Row],[Kode Program/Kegiatan ]],"mmm")</f>
        <v>Mar</v>
      </c>
      <c r="E678" s="3">
        <v>4</v>
      </c>
      <c r="F678" s="2">
        <v>4</v>
      </c>
      <c r="G678" s="3" t="str">
        <f>IF(Sales[[#This Row],[Anggaran Murni]]-Sales[[#This Row],[Target s.d. Januari]]=0,"",Sales[[#This Row],[Anggaran Murni]]-Sales[[#This Row],[Target s.d. Januari]])</f>
        <v/>
      </c>
      <c r="H678" s="2" t="s">
        <v>71</v>
      </c>
      <c r="I678" s="3" t="s">
        <v>6</v>
      </c>
      <c r="J678" s="3"/>
      <c r="K678" s="2" t="s">
        <v>54</v>
      </c>
      <c r="L678" s="2" t="s">
        <v>2</v>
      </c>
      <c r="M678" s="4" t="s">
        <v>67</v>
      </c>
      <c r="N678" s="3" t="s">
        <v>81</v>
      </c>
      <c r="O678" s="2" t="s">
        <v>12</v>
      </c>
      <c r="P678" s="10"/>
      <c r="Q678" s="11"/>
    </row>
    <row r="679" spans="2:17" ht="21" customHeight="1" x14ac:dyDescent="0.35">
      <c r="B679" s="18">
        <v>43908</v>
      </c>
      <c r="C679" s="18" t="str">
        <f>TEXT(Sales[[#This Row],[Kode Program/Kegiatan ]],"D")</f>
        <v>18</v>
      </c>
      <c r="D679" s="19" t="str">
        <f>TEXT(Sales[[#This Row],[Kode Program/Kegiatan ]],"mmm")</f>
        <v>Mar</v>
      </c>
      <c r="E679" s="20">
        <v>4</v>
      </c>
      <c r="F679" s="19">
        <v>4</v>
      </c>
      <c r="G679" s="20" t="str">
        <f>IF(Sales[[#This Row],[Anggaran Murni]]-Sales[[#This Row],[Target s.d. Januari]]=0,"",Sales[[#This Row],[Anggaran Murni]]-Sales[[#This Row],[Target s.d. Januari]])</f>
        <v/>
      </c>
      <c r="H679" s="19" t="s">
        <v>71</v>
      </c>
      <c r="I679" s="20" t="s">
        <v>6</v>
      </c>
      <c r="J679" s="20"/>
      <c r="K679" s="19" t="s">
        <v>43</v>
      </c>
      <c r="L679" s="19" t="s">
        <v>2</v>
      </c>
      <c r="M679" s="21" t="s">
        <v>67</v>
      </c>
      <c r="N679" s="20" t="s">
        <v>82</v>
      </c>
      <c r="O679" s="19" t="s">
        <v>14</v>
      </c>
      <c r="P679" s="10"/>
      <c r="Q679" s="11"/>
    </row>
    <row r="680" spans="2:17" ht="21" customHeight="1" x14ac:dyDescent="0.35">
      <c r="B680" s="1">
        <v>43908</v>
      </c>
      <c r="C680" s="1" t="str">
        <f>TEXT(Sales[[#This Row],[Kode Program/Kegiatan ]],"D")</f>
        <v>18</v>
      </c>
      <c r="D680" s="2" t="str">
        <f>TEXT(Sales[[#This Row],[Kode Program/Kegiatan ]],"mmm")</f>
        <v>Mar</v>
      </c>
      <c r="E680" s="3">
        <v>3</v>
      </c>
      <c r="F680" s="2">
        <v>3</v>
      </c>
      <c r="G680" s="3" t="str">
        <f>IF(Sales[[#This Row],[Anggaran Murni]]-Sales[[#This Row],[Target s.d. Januari]]=0,"",Sales[[#This Row],[Anggaran Murni]]-Sales[[#This Row],[Target s.d. Januari]])</f>
        <v/>
      </c>
      <c r="H680" s="2" t="s">
        <v>71</v>
      </c>
      <c r="I680" s="3" t="s">
        <v>6</v>
      </c>
      <c r="J680" s="3"/>
      <c r="K680" s="2" t="s">
        <v>33</v>
      </c>
      <c r="L680" s="2" t="s">
        <v>5</v>
      </c>
      <c r="M680" s="4" t="s">
        <v>67</v>
      </c>
      <c r="N680" s="3" t="s">
        <v>82</v>
      </c>
      <c r="O680" s="2" t="s">
        <v>11</v>
      </c>
      <c r="P680" s="10"/>
      <c r="Q680" s="11"/>
    </row>
    <row r="681" spans="2:17" ht="21" customHeight="1" x14ac:dyDescent="0.35">
      <c r="B681" s="18">
        <v>43909</v>
      </c>
      <c r="C681" s="18" t="str">
        <f>TEXT(Sales[[#This Row],[Kode Program/Kegiatan ]],"D")</f>
        <v>19</v>
      </c>
      <c r="D681" s="19" t="str">
        <f>TEXT(Sales[[#This Row],[Kode Program/Kegiatan ]],"mmm")</f>
        <v>Mar</v>
      </c>
      <c r="E681" s="20">
        <v>9</v>
      </c>
      <c r="F681" s="19">
        <v>9</v>
      </c>
      <c r="G681" s="20" t="str">
        <f>IF(Sales[[#This Row],[Anggaran Murni]]-Sales[[#This Row],[Target s.d. Januari]]=0,"",Sales[[#This Row],[Anggaran Murni]]-Sales[[#This Row],[Target s.d. Januari]])</f>
        <v/>
      </c>
      <c r="H681" s="19" t="s">
        <v>72</v>
      </c>
      <c r="I681" s="20" t="s">
        <v>78</v>
      </c>
      <c r="J681" s="20"/>
      <c r="K681" s="19" t="s">
        <v>47</v>
      </c>
      <c r="L681" s="19" t="s">
        <v>5</v>
      </c>
      <c r="M681" s="21" t="s">
        <v>67</v>
      </c>
      <c r="N681" s="20" t="s">
        <v>80</v>
      </c>
      <c r="O681" s="19" t="s">
        <v>13</v>
      </c>
      <c r="P681" s="10"/>
      <c r="Q681" s="11"/>
    </row>
    <row r="682" spans="2:17" ht="21" customHeight="1" x14ac:dyDescent="0.35">
      <c r="B682" s="1">
        <v>43909</v>
      </c>
      <c r="C682" s="1" t="str">
        <f>TEXT(Sales[[#This Row],[Kode Program/Kegiatan ]],"D")</f>
        <v>19</v>
      </c>
      <c r="D682" s="2" t="str">
        <f>TEXT(Sales[[#This Row],[Kode Program/Kegiatan ]],"mmm")</f>
        <v>Mar</v>
      </c>
      <c r="E682" s="3">
        <v>9</v>
      </c>
      <c r="F682" s="2">
        <v>9</v>
      </c>
      <c r="G682" s="3" t="str">
        <f>IF(Sales[[#This Row],[Anggaran Murni]]-Sales[[#This Row],[Target s.d. Januari]]=0,"",Sales[[#This Row],[Anggaran Murni]]-Sales[[#This Row],[Target s.d. Januari]])</f>
        <v/>
      </c>
      <c r="H682" s="2" t="s">
        <v>113</v>
      </c>
      <c r="I682" s="3" t="s">
        <v>77</v>
      </c>
      <c r="J682" s="3"/>
      <c r="K682" s="2" t="s">
        <v>42</v>
      </c>
      <c r="L682" s="2" t="s">
        <v>5</v>
      </c>
      <c r="M682" s="4" t="s">
        <v>67</v>
      </c>
      <c r="N682" s="3" t="s">
        <v>81</v>
      </c>
      <c r="O682" s="2" t="s">
        <v>11</v>
      </c>
      <c r="P682" s="10"/>
      <c r="Q682" s="11"/>
    </row>
    <row r="683" spans="2:17" ht="21" customHeight="1" x14ac:dyDescent="0.35">
      <c r="B683" s="18">
        <v>43909</v>
      </c>
      <c r="C683" s="18" t="str">
        <f>TEXT(Sales[[#This Row],[Kode Program/Kegiatan ]],"D")</f>
        <v>19</v>
      </c>
      <c r="D683" s="19" t="str">
        <f>TEXT(Sales[[#This Row],[Kode Program/Kegiatan ]],"mmm")</f>
        <v>Mar</v>
      </c>
      <c r="E683" s="20">
        <v>9</v>
      </c>
      <c r="F683" s="19">
        <v>9</v>
      </c>
      <c r="G683" s="20" t="str">
        <f>IF(Sales[[#This Row],[Anggaran Murni]]-Sales[[#This Row],[Target s.d. Januari]]=0,"",Sales[[#This Row],[Anggaran Murni]]-Sales[[#This Row],[Target s.d. Januari]])</f>
        <v/>
      </c>
      <c r="H683" s="19" t="s">
        <v>73</v>
      </c>
      <c r="I683" s="20" t="s">
        <v>78</v>
      </c>
      <c r="J683" s="20"/>
      <c r="K683" s="19" t="s">
        <v>51</v>
      </c>
      <c r="L683" s="19" t="s">
        <v>2</v>
      </c>
      <c r="M683" s="21" t="s">
        <v>67</v>
      </c>
      <c r="N683" s="20" t="s">
        <v>81</v>
      </c>
      <c r="O683" s="19" t="s">
        <v>13</v>
      </c>
      <c r="P683" s="10"/>
      <c r="Q683" s="11"/>
    </row>
    <row r="684" spans="2:17" ht="21" customHeight="1" x14ac:dyDescent="0.35">
      <c r="B684" s="1">
        <v>43909</v>
      </c>
      <c r="C684" s="1" t="str">
        <f>TEXT(Sales[[#This Row],[Kode Program/Kegiatan ]],"D")</f>
        <v>19</v>
      </c>
      <c r="D684" s="2" t="str">
        <f>TEXT(Sales[[#This Row],[Kode Program/Kegiatan ]],"mmm")</f>
        <v>Mar</v>
      </c>
      <c r="E684" s="3">
        <v>7</v>
      </c>
      <c r="F684" s="2">
        <v>7</v>
      </c>
      <c r="G684" s="3" t="str">
        <f>IF(Sales[[#This Row],[Anggaran Murni]]-Sales[[#This Row],[Target s.d. Januari]]=0,"",Sales[[#This Row],[Anggaran Murni]]-Sales[[#This Row],[Target s.d. Januari]])</f>
        <v/>
      </c>
      <c r="H684" s="2" t="s">
        <v>113</v>
      </c>
      <c r="I684" s="3" t="s">
        <v>77</v>
      </c>
      <c r="J684" s="3"/>
      <c r="K684" s="2" t="s">
        <v>55</v>
      </c>
      <c r="L684" s="2" t="s">
        <v>9</v>
      </c>
      <c r="M684" s="4" t="s">
        <v>67</v>
      </c>
      <c r="N684" s="3" t="s">
        <v>82</v>
      </c>
      <c r="O684" s="2" t="s">
        <v>11</v>
      </c>
      <c r="P684" s="10"/>
      <c r="Q684" s="11"/>
    </row>
    <row r="685" spans="2:17" ht="21" customHeight="1" x14ac:dyDescent="0.35">
      <c r="B685" s="18">
        <v>43909</v>
      </c>
      <c r="C685" s="18" t="str">
        <f>TEXT(Sales[[#This Row],[Kode Program/Kegiatan ]],"D")</f>
        <v>19</v>
      </c>
      <c r="D685" s="19" t="str">
        <f>TEXT(Sales[[#This Row],[Kode Program/Kegiatan ]],"mmm")</f>
        <v>Mar</v>
      </c>
      <c r="E685" s="20">
        <v>6</v>
      </c>
      <c r="F685" s="19">
        <v>6</v>
      </c>
      <c r="G685" s="20" t="str">
        <f>IF(Sales[[#This Row],[Anggaran Murni]]-Sales[[#This Row],[Target s.d. Januari]]=0,"",Sales[[#This Row],[Anggaran Murni]]-Sales[[#This Row],[Target s.d. Januari]])</f>
        <v/>
      </c>
      <c r="H685" s="19" t="s">
        <v>76</v>
      </c>
      <c r="I685" s="20" t="s">
        <v>79</v>
      </c>
      <c r="J685" s="20"/>
      <c r="K685" s="19" t="s">
        <v>54</v>
      </c>
      <c r="L685" s="19" t="s">
        <v>2</v>
      </c>
      <c r="M685" s="21" t="s">
        <v>67</v>
      </c>
      <c r="N685" s="20" t="s">
        <v>82</v>
      </c>
      <c r="O685" s="19" t="s">
        <v>13</v>
      </c>
      <c r="P685" s="10"/>
      <c r="Q685" s="11"/>
    </row>
    <row r="686" spans="2:17" ht="21" customHeight="1" x14ac:dyDescent="0.35">
      <c r="B686" s="1">
        <v>43909</v>
      </c>
      <c r="C686" s="1" t="str">
        <f>TEXT(Sales[[#This Row],[Kode Program/Kegiatan ]],"D")</f>
        <v>19</v>
      </c>
      <c r="D686" s="2" t="str">
        <f>TEXT(Sales[[#This Row],[Kode Program/Kegiatan ]],"mmm")</f>
        <v>Mar</v>
      </c>
      <c r="E686" s="3">
        <v>5</v>
      </c>
      <c r="F686" s="2">
        <v>5</v>
      </c>
      <c r="G686" s="3" t="str">
        <f>IF(Sales[[#This Row],[Anggaran Murni]]-Sales[[#This Row],[Target s.d. Januari]]=0,"",Sales[[#This Row],[Anggaran Murni]]-Sales[[#This Row],[Target s.d. Januari]])</f>
        <v/>
      </c>
      <c r="H686" s="2" t="s">
        <v>73</v>
      </c>
      <c r="I686" s="3" t="s">
        <v>78</v>
      </c>
      <c r="J686" s="3"/>
      <c r="K686" s="2" t="s">
        <v>44</v>
      </c>
      <c r="L686" s="2" t="s">
        <v>7</v>
      </c>
      <c r="M686" s="4" t="s">
        <v>67</v>
      </c>
      <c r="N686" s="3" t="s">
        <v>81</v>
      </c>
      <c r="O686" s="2" t="s">
        <v>13</v>
      </c>
      <c r="P686" s="10"/>
      <c r="Q686" s="11"/>
    </row>
    <row r="687" spans="2:17" ht="21" customHeight="1" x14ac:dyDescent="0.35">
      <c r="B687" s="18">
        <v>43909</v>
      </c>
      <c r="C687" s="18" t="str">
        <f>TEXT(Sales[[#This Row],[Kode Program/Kegiatan ]],"D")</f>
        <v>19</v>
      </c>
      <c r="D687" s="19" t="str">
        <f>TEXT(Sales[[#This Row],[Kode Program/Kegiatan ]],"mmm")</f>
        <v>Mar</v>
      </c>
      <c r="E687" s="20">
        <v>5</v>
      </c>
      <c r="F687" s="19">
        <v>5</v>
      </c>
      <c r="G687" s="20" t="str">
        <f>IF(Sales[[#This Row],[Anggaran Murni]]-Sales[[#This Row],[Target s.d. Januari]]=0,"",Sales[[#This Row],[Anggaran Murni]]-Sales[[#This Row],[Target s.d. Januari]])</f>
        <v/>
      </c>
      <c r="H687" s="19" t="s">
        <v>71</v>
      </c>
      <c r="I687" s="20" t="s">
        <v>6</v>
      </c>
      <c r="J687" s="20"/>
      <c r="K687" s="19" t="s">
        <v>38</v>
      </c>
      <c r="L687" s="19" t="s">
        <v>5</v>
      </c>
      <c r="M687" s="21" t="s">
        <v>67</v>
      </c>
      <c r="N687" s="20" t="s">
        <v>81</v>
      </c>
      <c r="O687" s="19" t="s">
        <v>14</v>
      </c>
      <c r="P687" s="10"/>
      <c r="Q687" s="11"/>
    </row>
    <row r="688" spans="2:17" ht="21" customHeight="1" x14ac:dyDescent="0.35">
      <c r="B688" s="1">
        <v>43910</v>
      </c>
      <c r="C688" s="1" t="str">
        <f>TEXT(Sales[[#This Row],[Kode Program/Kegiatan ]],"D")</f>
        <v>20</v>
      </c>
      <c r="D688" s="2" t="str">
        <f>TEXT(Sales[[#This Row],[Kode Program/Kegiatan ]],"mmm")</f>
        <v>Mar</v>
      </c>
      <c r="E688" s="3">
        <v>8</v>
      </c>
      <c r="F688" s="2">
        <v>8</v>
      </c>
      <c r="G688" s="3" t="str">
        <f>IF(Sales[[#This Row],[Anggaran Murni]]-Sales[[#This Row],[Target s.d. Januari]]=0,"",Sales[[#This Row],[Anggaran Murni]]-Sales[[#This Row],[Target s.d. Januari]])</f>
        <v/>
      </c>
      <c r="H688" s="2" t="s">
        <v>71</v>
      </c>
      <c r="I688" s="3" t="s">
        <v>6</v>
      </c>
      <c r="J688" s="3"/>
      <c r="K688" s="2" t="s">
        <v>47</v>
      </c>
      <c r="L688" s="2" t="s">
        <v>2</v>
      </c>
      <c r="M688" s="4" t="s">
        <v>67</v>
      </c>
      <c r="N688" s="3" t="s">
        <v>82</v>
      </c>
      <c r="O688" s="2" t="s">
        <v>12</v>
      </c>
      <c r="P688" s="10"/>
      <c r="Q688" s="11"/>
    </row>
    <row r="689" spans="2:17" ht="21" customHeight="1" x14ac:dyDescent="0.35">
      <c r="B689" s="18">
        <v>43911</v>
      </c>
      <c r="C689" s="18" t="str">
        <f>TEXT(Sales[[#This Row],[Kode Program/Kegiatan ]],"D")</f>
        <v>21</v>
      </c>
      <c r="D689" s="19" t="str">
        <f>TEXT(Sales[[#This Row],[Kode Program/Kegiatan ]],"mmm")</f>
        <v>Mar</v>
      </c>
      <c r="E689" s="20">
        <v>10</v>
      </c>
      <c r="F689" s="19">
        <v>10</v>
      </c>
      <c r="G689" s="20" t="str">
        <f>IF(Sales[[#This Row],[Anggaran Murni]]-Sales[[#This Row],[Target s.d. Januari]]=0,"",Sales[[#This Row],[Anggaran Murni]]-Sales[[#This Row],[Target s.d. Januari]])</f>
        <v/>
      </c>
      <c r="H689" s="19" t="s">
        <v>74</v>
      </c>
      <c r="I689" s="20" t="s">
        <v>77</v>
      </c>
      <c r="J689" s="20"/>
      <c r="K689" s="19" t="s">
        <v>45</v>
      </c>
      <c r="L689" s="19" t="s">
        <v>7</v>
      </c>
      <c r="M689" s="21" t="s">
        <v>67</v>
      </c>
      <c r="N689" s="20" t="s">
        <v>82</v>
      </c>
      <c r="O689" s="19" t="s">
        <v>11</v>
      </c>
      <c r="P689" s="10"/>
      <c r="Q689" s="11"/>
    </row>
    <row r="690" spans="2:17" ht="21" customHeight="1" x14ac:dyDescent="0.35">
      <c r="B690" s="1">
        <v>43911</v>
      </c>
      <c r="C690" s="1" t="str">
        <f>TEXT(Sales[[#This Row],[Kode Program/Kegiatan ]],"D")</f>
        <v>21</v>
      </c>
      <c r="D690" s="2" t="str">
        <f>TEXT(Sales[[#This Row],[Kode Program/Kegiatan ]],"mmm")</f>
        <v>Mar</v>
      </c>
      <c r="E690" s="3">
        <v>10</v>
      </c>
      <c r="F690" s="2">
        <v>10</v>
      </c>
      <c r="G690" s="3" t="str">
        <f>IF(Sales[[#This Row],[Anggaran Murni]]-Sales[[#This Row],[Target s.d. Januari]]=0,"",Sales[[#This Row],[Anggaran Murni]]-Sales[[#This Row],[Target s.d. Januari]])</f>
        <v/>
      </c>
      <c r="H690" s="2" t="s">
        <v>76</v>
      </c>
      <c r="I690" s="3" t="s">
        <v>79</v>
      </c>
      <c r="J690" s="3"/>
      <c r="K690" s="2" t="s">
        <v>55</v>
      </c>
      <c r="L690" s="2" t="s">
        <v>2</v>
      </c>
      <c r="M690" s="4" t="s">
        <v>67</v>
      </c>
      <c r="N690" s="3" t="s">
        <v>80</v>
      </c>
      <c r="O690" s="2" t="s">
        <v>13</v>
      </c>
      <c r="P690" s="10"/>
      <c r="Q690" s="11"/>
    </row>
    <row r="691" spans="2:17" ht="21" customHeight="1" x14ac:dyDescent="0.35">
      <c r="B691" s="18">
        <v>43911</v>
      </c>
      <c r="C691" s="18" t="str">
        <f>TEXT(Sales[[#This Row],[Kode Program/Kegiatan ]],"D")</f>
        <v>21</v>
      </c>
      <c r="D691" s="19" t="str">
        <f>TEXT(Sales[[#This Row],[Kode Program/Kegiatan ]],"mmm")</f>
        <v>Mar</v>
      </c>
      <c r="E691" s="20">
        <v>9</v>
      </c>
      <c r="F691" s="19">
        <v>9</v>
      </c>
      <c r="G691" s="20" t="str">
        <f>IF(Sales[[#This Row],[Anggaran Murni]]-Sales[[#This Row],[Target s.d. Januari]]=0,"",Sales[[#This Row],[Anggaran Murni]]-Sales[[#This Row],[Target s.d. Januari]])</f>
        <v/>
      </c>
      <c r="H691" s="19" t="s">
        <v>74</v>
      </c>
      <c r="I691" s="20" t="s">
        <v>77</v>
      </c>
      <c r="J691" s="20"/>
      <c r="K691" s="19" t="s">
        <v>60</v>
      </c>
      <c r="L691" s="19" t="s">
        <v>7</v>
      </c>
      <c r="M691" s="21" t="s">
        <v>67</v>
      </c>
      <c r="N691" s="20" t="s">
        <v>82</v>
      </c>
      <c r="O691" s="19" t="s">
        <v>11</v>
      </c>
      <c r="P691" s="10"/>
      <c r="Q691" s="11"/>
    </row>
    <row r="692" spans="2:17" ht="21" customHeight="1" x14ac:dyDescent="0.35">
      <c r="B692" s="1">
        <v>43911</v>
      </c>
      <c r="C692" s="1" t="str">
        <f>TEXT(Sales[[#This Row],[Kode Program/Kegiatan ]],"D")</f>
        <v>21</v>
      </c>
      <c r="D692" s="2" t="str">
        <f>TEXT(Sales[[#This Row],[Kode Program/Kegiatan ]],"mmm")</f>
        <v>Mar</v>
      </c>
      <c r="E692" s="3">
        <v>8</v>
      </c>
      <c r="F692" s="2">
        <v>8</v>
      </c>
      <c r="G692" s="3" t="str">
        <f>IF(Sales[[#This Row],[Anggaran Murni]]-Sales[[#This Row],[Target s.d. Januari]]=0,"",Sales[[#This Row],[Anggaran Murni]]-Sales[[#This Row],[Target s.d. Januari]])</f>
        <v/>
      </c>
      <c r="H692" s="2" t="s">
        <v>73</v>
      </c>
      <c r="I692" s="3" t="s">
        <v>78</v>
      </c>
      <c r="J692" s="3"/>
      <c r="K692" s="2" t="s">
        <v>21</v>
      </c>
      <c r="L692" s="2" t="s">
        <v>5</v>
      </c>
      <c r="M692" s="4" t="s">
        <v>67</v>
      </c>
      <c r="N692" s="3" t="s">
        <v>82</v>
      </c>
      <c r="O692" s="2" t="s">
        <v>14</v>
      </c>
      <c r="P692" s="10"/>
      <c r="Q692" s="11"/>
    </row>
    <row r="693" spans="2:17" ht="21" customHeight="1" x14ac:dyDescent="0.35">
      <c r="B693" s="18">
        <v>43911</v>
      </c>
      <c r="C693" s="18" t="str">
        <f>TEXT(Sales[[#This Row],[Kode Program/Kegiatan ]],"D")</f>
        <v>21</v>
      </c>
      <c r="D693" s="19" t="str">
        <f>TEXT(Sales[[#This Row],[Kode Program/Kegiatan ]],"mmm")</f>
        <v>Mar</v>
      </c>
      <c r="E693" s="20">
        <v>7</v>
      </c>
      <c r="F693" s="19">
        <v>7</v>
      </c>
      <c r="G693" s="20" t="str">
        <f>IF(Sales[[#This Row],[Anggaran Murni]]-Sales[[#This Row],[Target s.d. Januari]]=0,"",Sales[[#This Row],[Anggaran Murni]]-Sales[[#This Row],[Target s.d. Januari]])</f>
        <v/>
      </c>
      <c r="H693" s="19" t="s">
        <v>75</v>
      </c>
      <c r="I693" s="20" t="s">
        <v>6</v>
      </c>
      <c r="J693" s="20"/>
      <c r="K693" s="19" t="s">
        <v>36</v>
      </c>
      <c r="L693" s="19" t="s">
        <v>9</v>
      </c>
      <c r="M693" s="21" t="s">
        <v>67</v>
      </c>
      <c r="N693" s="20" t="s">
        <v>81</v>
      </c>
      <c r="O693" s="19" t="s">
        <v>12</v>
      </c>
      <c r="P693" s="10"/>
      <c r="Q693" s="11"/>
    </row>
    <row r="694" spans="2:17" ht="21" customHeight="1" x14ac:dyDescent="0.35">
      <c r="B694" s="1">
        <v>43911</v>
      </c>
      <c r="C694" s="1" t="str">
        <f>TEXT(Sales[[#This Row],[Kode Program/Kegiatan ]],"D")</f>
        <v>21</v>
      </c>
      <c r="D694" s="2" t="str">
        <f>TEXT(Sales[[#This Row],[Kode Program/Kegiatan ]],"mmm")</f>
        <v>Mar</v>
      </c>
      <c r="E694" s="3">
        <v>7</v>
      </c>
      <c r="F694" s="2">
        <v>7</v>
      </c>
      <c r="G694" s="3" t="str">
        <f>IF(Sales[[#This Row],[Anggaran Murni]]-Sales[[#This Row],[Target s.d. Januari]]=0,"",Sales[[#This Row],[Anggaran Murni]]-Sales[[#This Row],[Target s.d. Januari]])</f>
        <v/>
      </c>
      <c r="H694" s="2" t="s">
        <v>74</v>
      </c>
      <c r="I694" s="3" t="s">
        <v>77</v>
      </c>
      <c r="J694" s="3"/>
      <c r="K694" s="2" t="s">
        <v>23</v>
      </c>
      <c r="L694" s="2" t="s">
        <v>8</v>
      </c>
      <c r="M694" s="4" t="s">
        <v>67</v>
      </c>
      <c r="N694" s="3" t="s">
        <v>82</v>
      </c>
      <c r="O694" s="2" t="s">
        <v>13</v>
      </c>
      <c r="P694" s="10"/>
      <c r="Q694" s="11"/>
    </row>
    <row r="695" spans="2:17" ht="21" customHeight="1" x14ac:dyDescent="0.35">
      <c r="B695" s="18">
        <v>43911</v>
      </c>
      <c r="C695" s="18" t="str">
        <f>TEXT(Sales[[#This Row],[Kode Program/Kegiatan ]],"D")</f>
        <v>21</v>
      </c>
      <c r="D695" s="19" t="str">
        <f>TEXT(Sales[[#This Row],[Kode Program/Kegiatan ]],"mmm")</f>
        <v>Mar</v>
      </c>
      <c r="E695" s="20">
        <v>6</v>
      </c>
      <c r="F695" s="19">
        <v>6</v>
      </c>
      <c r="G695" s="20" t="str">
        <f>IF(Sales[[#This Row],[Anggaran Murni]]-Sales[[#This Row],[Target s.d. Januari]]=0,"",Sales[[#This Row],[Anggaran Murni]]-Sales[[#This Row],[Target s.d. Januari]])</f>
        <v/>
      </c>
      <c r="H695" s="19" t="s">
        <v>70</v>
      </c>
      <c r="I695" s="20" t="s">
        <v>1</v>
      </c>
      <c r="J695" s="20"/>
      <c r="K695" s="19" t="s">
        <v>44</v>
      </c>
      <c r="L695" s="19" t="s">
        <v>2</v>
      </c>
      <c r="M695" s="21" t="s">
        <v>67</v>
      </c>
      <c r="N695" s="20" t="s">
        <v>81</v>
      </c>
      <c r="O695" s="19" t="s">
        <v>11</v>
      </c>
      <c r="P695" s="10"/>
      <c r="Q695" s="11"/>
    </row>
    <row r="696" spans="2:17" ht="21" customHeight="1" x14ac:dyDescent="0.35">
      <c r="B696" s="1">
        <v>43911</v>
      </c>
      <c r="C696" s="1" t="str">
        <f>TEXT(Sales[[#This Row],[Kode Program/Kegiatan ]],"D")</f>
        <v>21</v>
      </c>
      <c r="D696" s="2" t="str">
        <f>TEXT(Sales[[#This Row],[Kode Program/Kegiatan ]],"mmm")</f>
        <v>Mar</v>
      </c>
      <c r="E696" s="3">
        <v>6</v>
      </c>
      <c r="F696" s="2">
        <v>6</v>
      </c>
      <c r="G696" s="3" t="str">
        <f>IF(Sales[[#This Row],[Anggaran Murni]]-Sales[[#This Row],[Target s.d. Januari]]=0,"",Sales[[#This Row],[Anggaran Murni]]-Sales[[#This Row],[Target s.d. Januari]])</f>
        <v/>
      </c>
      <c r="H696" s="2" t="s">
        <v>75</v>
      </c>
      <c r="I696" s="3" t="s">
        <v>6</v>
      </c>
      <c r="J696" s="3"/>
      <c r="K696" s="2" t="s">
        <v>36</v>
      </c>
      <c r="L696" s="2" t="s">
        <v>8</v>
      </c>
      <c r="M696" s="4" t="s">
        <v>67</v>
      </c>
      <c r="N696" s="3" t="s">
        <v>82</v>
      </c>
      <c r="O696" s="2" t="s">
        <v>11</v>
      </c>
      <c r="P696" s="10"/>
      <c r="Q696" s="11"/>
    </row>
    <row r="697" spans="2:17" ht="21" customHeight="1" x14ac:dyDescent="0.35">
      <c r="B697" s="18">
        <v>43911</v>
      </c>
      <c r="C697" s="18" t="str">
        <f>TEXT(Sales[[#This Row],[Kode Program/Kegiatan ]],"D")</f>
        <v>21</v>
      </c>
      <c r="D697" s="19" t="str">
        <f>TEXT(Sales[[#This Row],[Kode Program/Kegiatan ]],"mmm")</f>
        <v>Mar</v>
      </c>
      <c r="E697" s="20">
        <v>6</v>
      </c>
      <c r="F697" s="19">
        <v>6</v>
      </c>
      <c r="G697" s="20" t="str">
        <f>IF(Sales[[#This Row],[Anggaran Murni]]-Sales[[#This Row],[Target s.d. Januari]]=0,"",Sales[[#This Row],[Anggaran Murni]]-Sales[[#This Row],[Target s.d. Januari]])</f>
        <v/>
      </c>
      <c r="H697" s="19" t="s">
        <v>76</v>
      </c>
      <c r="I697" s="20" t="s">
        <v>79</v>
      </c>
      <c r="J697" s="20"/>
      <c r="K697" s="19" t="s">
        <v>43</v>
      </c>
      <c r="L697" s="19" t="s">
        <v>7</v>
      </c>
      <c r="M697" s="21" t="s">
        <v>67</v>
      </c>
      <c r="N697" s="20" t="s">
        <v>80</v>
      </c>
      <c r="O697" s="19" t="s">
        <v>12</v>
      </c>
      <c r="P697" s="10"/>
      <c r="Q697" s="11"/>
    </row>
    <row r="698" spans="2:17" ht="21" customHeight="1" x14ac:dyDescent="0.35">
      <c r="B698" s="1">
        <v>43911</v>
      </c>
      <c r="C698" s="1" t="str">
        <f>TEXT(Sales[[#This Row],[Kode Program/Kegiatan ]],"D")</f>
        <v>21</v>
      </c>
      <c r="D698" s="2" t="str">
        <f>TEXT(Sales[[#This Row],[Kode Program/Kegiatan ]],"mmm")</f>
        <v>Mar</v>
      </c>
      <c r="E698" s="3">
        <v>5</v>
      </c>
      <c r="F698" s="2">
        <v>5</v>
      </c>
      <c r="G698" s="3" t="str">
        <f>IF(Sales[[#This Row],[Anggaran Murni]]-Sales[[#This Row],[Target s.d. Januari]]=0,"",Sales[[#This Row],[Anggaran Murni]]-Sales[[#This Row],[Target s.d. Januari]])</f>
        <v/>
      </c>
      <c r="H698" s="2" t="s">
        <v>74</v>
      </c>
      <c r="I698" s="3" t="s">
        <v>77</v>
      </c>
      <c r="J698" s="3"/>
      <c r="K698" s="2" t="s">
        <v>25</v>
      </c>
      <c r="L698" s="2" t="s">
        <v>2</v>
      </c>
      <c r="M698" s="4" t="s">
        <v>67</v>
      </c>
      <c r="N698" s="3" t="s">
        <v>81</v>
      </c>
      <c r="O698" s="2" t="s">
        <v>14</v>
      </c>
      <c r="P698" s="10"/>
      <c r="Q698" s="11"/>
    </row>
    <row r="699" spans="2:17" ht="21" customHeight="1" x14ac:dyDescent="0.35">
      <c r="B699" s="18">
        <v>43911</v>
      </c>
      <c r="C699" s="18" t="str">
        <f>TEXT(Sales[[#This Row],[Kode Program/Kegiatan ]],"D")</f>
        <v>21</v>
      </c>
      <c r="D699" s="19" t="str">
        <f>TEXT(Sales[[#This Row],[Kode Program/Kegiatan ]],"mmm")</f>
        <v>Mar</v>
      </c>
      <c r="E699" s="20">
        <v>5</v>
      </c>
      <c r="F699" s="19">
        <v>5</v>
      </c>
      <c r="G699" s="20" t="str">
        <f>IF(Sales[[#This Row],[Anggaran Murni]]-Sales[[#This Row],[Target s.d. Januari]]=0,"",Sales[[#This Row],[Anggaran Murni]]-Sales[[#This Row],[Target s.d. Januari]])</f>
        <v/>
      </c>
      <c r="H699" s="19" t="s">
        <v>70</v>
      </c>
      <c r="I699" s="20" t="s">
        <v>1</v>
      </c>
      <c r="J699" s="20"/>
      <c r="K699" s="19" t="s">
        <v>32</v>
      </c>
      <c r="L699" s="19" t="s">
        <v>8</v>
      </c>
      <c r="M699" s="21" t="s">
        <v>67</v>
      </c>
      <c r="N699" s="20" t="s">
        <v>82</v>
      </c>
      <c r="O699" s="19" t="s">
        <v>13</v>
      </c>
      <c r="P699" s="10"/>
      <c r="Q699" s="11"/>
    </row>
    <row r="700" spans="2:17" ht="21" customHeight="1" x14ac:dyDescent="0.35">
      <c r="B700" s="1">
        <v>43911</v>
      </c>
      <c r="C700" s="1" t="str">
        <f>TEXT(Sales[[#This Row],[Kode Program/Kegiatan ]],"D")</f>
        <v>21</v>
      </c>
      <c r="D700" s="2" t="str">
        <f>TEXT(Sales[[#This Row],[Kode Program/Kegiatan ]],"mmm")</f>
        <v>Mar</v>
      </c>
      <c r="E700" s="3">
        <v>4</v>
      </c>
      <c r="F700" s="2">
        <v>4</v>
      </c>
      <c r="G700" s="3" t="str">
        <f>IF(Sales[[#This Row],[Anggaran Murni]]-Sales[[#This Row],[Target s.d. Januari]]=0,"",Sales[[#This Row],[Anggaran Murni]]-Sales[[#This Row],[Target s.d. Januari]])</f>
        <v/>
      </c>
      <c r="H700" s="2" t="s">
        <v>113</v>
      </c>
      <c r="I700" s="3" t="s">
        <v>77</v>
      </c>
      <c r="J700" s="3"/>
      <c r="K700" s="2" t="s">
        <v>58</v>
      </c>
      <c r="L700" s="2" t="s">
        <v>5</v>
      </c>
      <c r="M700" s="4" t="s">
        <v>67</v>
      </c>
      <c r="N700" s="3" t="s">
        <v>81</v>
      </c>
      <c r="O700" s="2" t="s">
        <v>12</v>
      </c>
      <c r="P700" s="10"/>
      <c r="Q700" s="11"/>
    </row>
    <row r="701" spans="2:17" ht="21" customHeight="1" x14ac:dyDescent="0.35">
      <c r="B701" s="18">
        <v>43911</v>
      </c>
      <c r="C701" s="18" t="str">
        <f>TEXT(Sales[[#This Row],[Kode Program/Kegiatan ]],"D")</f>
        <v>21</v>
      </c>
      <c r="D701" s="19" t="str">
        <f>TEXT(Sales[[#This Row],[Kode Program/Kegiatan ]],"mmm")</f>
        <v>Mar</v>
      </c>
      <c r="E701" s="20">
        <v>4</v>
      </c>
      <c r="F701" s="19">
        <v>4</v>
      </c>
      <c r="G701" s="20" t="str">
        <f>IF(Sales[[#This Row],[Anggaran Murni]]-Sales[[#This Row],[Target s.d. Januari]]=0,"",Sales[[#This Row],[Anggaran Murni]]-Sales[[#This Row],[Target s.d. Januari]])</f>
        <v/>
      </c>
      <c r="H701" s="19" t="s">
        <v>74</v>
      </c>
      <c r="I701" s="20" t="s">
        <v>77</v>
      </c>
      <c r="J701" s="20"/>
      <c r="K701" s="19" t="s">
        <v>60</v>
      </c>
      <c r="L701" s="19" t="s">
        <v>2</v>
      </c>
      <c r="M701" s="21" t="s">
        <v>67</v>
      </c>
      <c r="N701" s="20" t="s">
        <v>80</v>
      </c>
      <c r="O701" s="19" t="s">
        <v>13</v>
      </c>
      <c r="P701" s="10"/>
      <c r="Q701" s="11"/>
    </row>
    <row r="702" spans="2:17" ht="21" customHeight="1" x14ac:dyDescent="0.35">
      <c r="B702" s="1">
        <v>43911</v>
      </c>
      <c r="C702" s="1" t="str">
        <f>TEXT(Sales[[#This Row],[Kode Program/Kegiatan ]],"D")</f>
        <v>21</v>
      </c>
      <c r="D702" s="2" t="str">
        <f>TEXT(Sales[[#This Row],[Kode Program/Kegiatan ]],"mmm")</f>
        <v>Mar</v>
      </c>
      <c r="E702" s="3">
        <v>3</v>
      </c>
      <c r="F702" s="2">
        <v>3</v>
      </c>
      <c r="G702" s="3" t="str">
        <f>IF(Sales[[#This Row],[Anggaran Murni]]-Sales[[#This Row],[Target s.d. Januari]]=0,"",Sales[[#This Row],[Anggaran Murni]]-Sales[[#This Row],[Target s.d. Januari]])</f>
        <v/>
      </c>
      <c r="H702" s="2" t="s">
        <v>74</v>
      </c>
      <c r="I702" s="3" t="s">
        <v>77</v>
      </c>
      <c r="J702" s="3"/>
      <c r="K702" s="2" t="s">
        <v>48</v>
      </c>
      <c r="L702" s="2" t="s">
        <v>7</v>
      </c>
      <c r="M702" s="4" t="s">
        <v>67</v>
      </c>
      <c r="N702" s="3" t="s">
        <v>81</v>
      </c>
      <c r="O702" s="2" t="s">
        <v>14</v>
      </c>
      <c r="P702" s="10"/>
      <c r="Q702" s="11"/>
    </row>
    <row r="703" spans="2:17" ht="21" customHeight="1" x14ac:dyDescent="0.35">
      <c r="B703" s="18">
        <v>43912</v>
      </c>
      <c r="C703" s="18" t="str">
        <f>TEXT(Sales[[#This Row],[Kode Program/Kegiatan ]],"D")</f>
        <v>22</v>
      </c>
      <c r="D703" s="19" t="str">
        <f>TEXT(Sales[[#This Row],[Kode Program/Kegiatan ]],"mmm")</f>
        <v>Mar</v>
      </c>
      <c r="E703" s="20">
        <v>10</v>
      </c>
      <c r="F703" s="19">
        <v>9</v>
      </c>
      <c r="G703" s="20">
        <f>IF(Sales[[#This Row],[Anggaran Murni]]-Sales[[#This Row],[Target s.d. Januari]]=0,"",Sales[[#This Row],[Anggaran Murni]]-Sales[[#This Row],[Target s.d. Januari]])</f>
        <v>1</v>
      </c>
      <c r="H703" s="19" t="s">
        <v>113</v>
      </c>
      <c r="I703" s="20" t="s">
        <v>77</v>
      </c>
      <c r="J703" s="20"/>
      <c r="K703" s="19" t="s">
        <v>44</v>
      </c>
      <c r="L703" s="19" t="s">
        <v>9</v>
      </c>
      <c r="M703" s="21" t="s">
        <v>67</v>
      </c>
      <c r="N703" s="20" t="s">
        <v>80</v>
      </c>
      <c r="O703" s="19" t="s">
        <v>13</v>
      </c>
      <c r="P703" s="10"/>
      <c r="Q703" s="11"/>
    </row>
    <row r="704" spans="2:17" ht="21" customHeight="1" x14ac:dyDescent="0.35">
      <c r="B704" s="1">
        <v>43912</v>
      </c>
      <c r="C704" s="1" t="str">
        <f>TEXT(Sales[[#This Row],[Kode Program/Kegiatan ]],"D")</f>
        <v>22</v>
      </c>
      <c r="D704" s="2" t="str">
        <f>TEXT(Sales[[#This Row],[Kode Program/Kegiatan ]],"mmm")</f>
        <v>Mar</v>
      </c>
      <c r="E704" s="3">
        <v>10</v>
      </c>
      <c r="F704" s="2">
        <v>8</v>
      </c>
      <c r="G704" s="3">
        <f>IF(Sales[[#This Row],[Anggaran Murni]]-Sales[[#This Row],[Target s.d. Januari]]=0,"",Sales[[#This Row],[Anggaran Murni]]-Sales[[#This Row],[Target s.d. Januari]])</f>
        <v>2</v>
      </c>
      <c r="H704" s="2" t="s">
        <v>72</v>
      </c>
      <c r="I704" s="3" t="s">
        <v>78</v>
      </c>
      <c r="J704" s="3"/>
      <c r="K704" s="2" t="s">
        <v>63</v>
      </c>
      <c r="L704" s="2" t="s">
        <v>5</v>
      </c>
      <c r="M704" s="4" t="s">
        <v>67</v>
      </c>
      <c r="N704" s="3" t="s">
        <v>82</v>
      </c>
      <c r="O704" s="2" t="s">
        <v>14</v>
      </c>
      <c r="P704" s="10"/>
      <c r="Q704" s="11"/>
    </row>
    <row r="705" spans="2:17" ht="21" customHeight="1" x14ac:dyDescent="0.35">
      <c r="B705" s="18">
        <v>43912</v>
      </c>
      <c r="C705" s="18" t="str">
        <f>TEXT(Sales[[#This Row],[Kode Program/Kegiatan ]],"D")</f>
        <v>22</v>
      </c>
      <c r="D705" s="19" t="str">
        <f>TEXT(Sales[[#This Row],[Kode Program/Kegiatan ]],"mmm")</f>
        <v>Mar</v>
      </c>
      <c r="E705" s="20">
        <v>9</v>
      </c>
      <c r="F705" s="19">
        <v>8</v>
      </c>
      <c r="G705" s="20">
        <f>IF(Sales[[#This Row],[Anggaran Murni]]-Sales[[#This Row],[Target s.d. Januari]]=0,"",Sales[[#This Row],[Anggaran Murni]]-Sales[[#This Row],[Target s.d. Januari]])</f>
        <v>1</v>
      </c>
      <c r="H705" s="19" t="s">
        <v>72</v>
      </c>
      <c r="I705" s="20" t="s">
        <v>78</v>
      </c>
      <c r="J705" s="20"/>
      <c r="K705" s="19" t="s">
        <v>47</v>
      </c>
      <c r="L705" s="19" t="s">
        <v>4</v>
      </c>
      <c r="M705" s="21" t="s">
        <v>67</v>
      </c>
      <c r="N705" s="20" t="s">
        <v>81</v>
      </c>
      <c r="O705" s="19" t="s">
        <v>14</v>
      </c>
      <c r="P705" s="10"/>
      <c r="Q705" s="11"/>
    </row>
    <row r="706" spans="2:17" ht="21" customHeight="1" x14ac:dyDescent="0.35">
      <c r="B706" s="1">
        <v>43912</v>
      </c>
      <c r="C706" s="1" t="str">
        <f>TEXT(Sales[[#This Row],[Kode Program/Kegiatan ]],"D")</f>
        <v>22</v>
      </c>
      <c r="D706" s="2" t="str">
        <f>TEXT(Sales[[#This Row],[Kode Program/Kegiatan ]],"mmm")</f>
        <v>Mar</v>
      </c>
      <c r="E706" s="3">
        <v>7</v>
      </c>
      <c r="F706" s="2">
        <v>5</v>
      </c>
      <c r="G706" s="3">
        <f>IF(Sales[[#This Row],[Anggaran Murni]]-Sales[[#This Row],[Target s.d. Januari]]=0,"",Sales[[#This Row],[Anggaran Murni]]-Sales[[#This Row],[Target s.d. Januari]])</f>
        <v>2</v>
      </c>
      <c r="H706" s="2" t="s">
        <v>72</v>
      </c>
      <c r="I706" s="3" t="s">
        <v>78</v>
      </c>
      <c r="J706" s="3"/>
      <c r="K706" s="2" t="s">
        <v>56</v>
      </c>
      <c r="L706" s="2" t="s">
        <v>5</v>
      </c>
      <c r="M706" s="4" t="s">
        <v>67</v>
      </c>
      <c r="N706" s="3" t="s">
        <v>82</v>
      </c>
      <c r="O706" s="2" t="s">
        <v>11</v>
      </c>
      <c r="P706" s="10"/>
      <c r="Q706" s="11"/>
    </row>
    <row r="707" spans="2:17" ht="21" customHeight="1" x14ac:dyDescent="0.35">
      <c r="B707" s="18">
        <v>43912</v>
      </c>
      <c r="C707" s="18" t="str">
        <f>TEXT(Sales[[#This Row],[Kode Program/Kegiatan ]],"D")</f>
        <v>22</v>
      </c>
      <c r="D707" s="19" t="str">
        <f>TEXT(Sales[[#This Row],[Kode Program/Kegiatan ]],"mmm")</f>
        <v>Mar</v>
      </c>
      <c r="E707" s="20">
        <v>6</v>
      </c>
      <c r="F707" s="19">
        <v>4</v>
      </c>
      <c r="G707" s="20">
        <f>IF(Sales[[#This Row],[Anggaran Murni]]-Sales[[#This Row],[Target s.d. Januari]]=0,"",Sales[[#This Row],[Anggaran Murni]]-Sales[[#This Row],[Target s.d. Januari]])</f>
        <v>2</v>
      </c>
      <c r="H707" s="19" t="s">
        <v>71</v>
      </c>
      <c r="I707" s="20" t="s">
        <v>6</v>
      </c>
      <c r="J707" s="20"/>
      <c r="K707" s="19" t="s">
        <v>16</v>
      </c>
      <c r="L707" s="19" t="s">
        <v>2</v>
      </c>
      <c r="M707" s="21" t="s">
        <v>67</v>
      </c>
      <c r="N707" s="20" t="s">
        <v>81</v>
      </c>
      <c r="O707" s="19" t="s">
        <v>11</v>
      </c>
      <c r="P707" s="10"/>
      <c r="Q707" s="11"/>
    </row>
    <row r="708" spans="2:17" ht="21" customHeight="1" x14ac:dyDescent="0.35">
      <c r="B708" s="1">
        <v>43912</v>
      </c>
      <c r="C708" s="1" t="str">
        <f>TEXT(Sales[[#This Row],[Kode Program/Kegiatan ]],"D")</f>
        <v>22</v>
      </c>
      <c r="D708" s="2" t="str">
        <f>TEXT(Sales[[#This Row],[Kode Program/Kegiatan ]],"mmm")</f>
        <v>Mar</v>
      </c>
      <c r="E708" s="3">
        <v>6</v>
      </c>
      <c r="F708" s="2">
        <v>4</v>
      </c>
      <c r="G708" s="3">
        <f>IF(Sales[[#This Row],[Anggaran Murni]]-Sales[[#This Row],[Target s.d. Januari]]=0,"",Sales[[#This Row],[Anggaran Murni]]-Sales[[#This Row],[Target s.d. Januari]])</f>
        <v>2</v>
      </c>
      <c r="H708" s="2" t="s">
        <v>70</v>
      </c>
      <c r="I708" s="3" t="s">
        <v>1</v>
      </c>
      <c r="J708" s="3"/>
      <c r="K708" s="2" t="s">
        <v>46</v>
      </c>
      <c r="L708" s="2" t="s">
        <v>2</v>
      </c>
      <c r="M708" s="4" t="s">
        <v>67</v>
      </c>
      <c r="N708" s="3" t="s">
        <v>80</v>
      </c>
      <c r="O708" s="2" t="s">
        <v>12</v>
      </c>
      <c r="P708" s="10"/>
      <c r="Q708" s="11"/>
    </row>
    <row r="709" spans="2:17" ht="21" customHeight="1" x14ac:dyDescent="0.35">
      <c r="B709" s="18">
        <v>43912</v>
      </c>
      <c r="C709" s="18" t="str">
        <f>TEXT(Sales[[#This Row],[Kode Program/Kegiatan ]],"D")</f>
        <v>22</v>
      </c>
      <c r="D709" s="19" t="str">
        <f>TEXT(Sales[[#This Row],[Kode Program/Kegiatan ]],"mmm")</f>
        <v>Mar</v>
      </c>
      <c r="E709" s="20">
        <v>5</v>
      </c>
      <c r="F709" s="19">
        <v>4</v>
      </c>
      <c r="G709" s="20">
        <f>IF(Sales[[#This Row],[Anggaran Murni]]-Sales[[#This Row],[Target s.d. Januari]]=0,"",Sales[[#This Row],[Anggaran Murni]]-Sales[[#This Row],[Target s.d. Januari]])</f>
        <v>1</v>
      </c>
      <c r="H709" s="19" t="s">
        <v>72</v>
      </c>
      <c r="I709" s="20" t="s">
        <v>78</v>
      </c>
      <c r="J709" s="20"/>
      <c r="K709" s="19" t="s">
        <v>35</v>
      </c>
      <c r="L709" s="19" t="s">
        <v>2</v>
      </c>
      <c r="M709" s="21" t="s">
        <v>67</v>
      </c>
      <c r="N709" s="20" t="s">
        <v>82</v>
      </c>
      <c r="O709" s="19" t="s">
        <v>14</v>
      </c>
      <c r="P709" s="10"/>
      <c r="Q709" s="11"/>
    </row>
    <row r="710" spans="2:17" ht="21" customHeight="1" x14ac:dyDescent="0.35">
      <c r="B710" s="1">
        <v>43912</v>
      </c>
      <c r="C710" s="1" t="str">
        <f>TEXT(Sales[[#This Row],[Kode Program/Kegiatan ]],"D")</f>
        <v>22</v>
      </c>
      <c r="D710" s="2" t="str">
        <f>TEXT(Sales[[#This Row],[Kode Program/Kegiatan ]],"mmm")</f>
        <v>Mar</v>
      </c>
      <c r="E710" s="3">
        <v>4</v>
      </c>
      <c r="F710" s="2">
        <v>2</v>
      </c>
      <c r="G710" s="3">
        <f>IF(Sales[[#This Row],[Anggaran Murni]]-Sales[[#This Row],[Target s.d. Januari]]=0,"",Sales[[#This Row],[Anggaran Murni]]-Sales[[#This Row],[Target s.d. Januari]])</f>
        <v>2</v>
      </c>
      <c r="H710" s="2" t="s">
        <v>71</v>
      </c>
      <c r="I710" s="3" t="s">
        <v>6</v>
      </c>
      <c r="J710" s="3"/>
      <c r="K710" s="2" t="s">
        <v>44</v>
      </c>
      <c r="L710" s="2" t="s">
        <v>9</v>
      </c>
      <c r="M710" s="4" t="s">
        <v>67</v>
      </c>
      <c r="N710" s="3" t="s">
        <v>80</v>
      </c>
      <c r="O710" s="2" t="s">
        <v>12</v>
      </c>
      <c r="P710" s="10"/>
      <c r="Q710" s="11"/>
    </row>
    <row r="711" spans="2:17" ht="21" customHeight="1" x14ac:dyDescent="0.35">
      <c r="B711" s="18">
        <v>43912</v>
      </c>
      <c r="C711" s="18" t="str">
        <f>TEXT(Sales[[#This Row],[Kode Program/Kegiatan ]],"D")</f>
        <v>22</v>
      </c>
      <c r="D711" s="19" t="str">
        <f>TEXT(Sales[[#This Row],[Kode Program/Kegiatan ]],"mmm")</f>
        <v>Mar</v>
      </c>
      <c r="E711" s="20">
        <v>4</v>
      </c>
      <c r="F711" s="19">
        <v>3</v>
      </c>
      <c r="G711" s="20">
        <f>IF(Sales[[#This Row],[Anggaran Murni]]-Sales[[#This Row],[Target s.d. Januari]]=0,"",Sales[[#This Row],[Anggaran Murni]]-Sales[[#This Row],[Target s.d. Januari]])</f>
        <v>1</v>
      </c>
      <c r="H711" s="19" t="s">
        <v>72</v>
      </c>
      <c r="I711" s="20" t="s">
        <v>78</v>
      </c>
      <c r="J711" s="20"/>
      <c r="K711" s="19" t="s">
        <v>62</v>
      </c>
      <c r="L711" s="19" t="s">
        <v>2</v>
      </c>
      <c r="M711" s="21" t="s">
        <v>67</v>
      </c>
      <c r="N711" s="20" t="s">
        <v>82</v>
      </c>
      <c r="O711" s="19" t="s">
        <v>12</v>
      </c>
      <c r="P711" s="10"/>
      <c r="Q711" s="11"/>
    </row>
    <row r="712" spans="2:17" ht="21" customHeight="1" x14ac:dyDescent="0.35">
      <c r="B712" s="1">
        <v>43913</v>
      </c>
      <c r="C712" s="1" t="str">
        <f>TEXT(Sales[[#This Row],[Kode Program/Kegiatan ]],"D")</f>
        <v>23</v>
      </c>
      <c r="D712" s="2" t="str">
        <f>TEXT(Sales[[#This Row],[Kode Program/Kegiatan ]],"mmm")</f>
        <v>Mar</v>
      </c>
      <c r="E712" s="3">
        <v>10</v>
      </c>
      <c r="F712" s="2">
        <v>7</v>
      </c>
      <c r="G712" s="3">
        <f>IF(Sales[[#This Row],[Anggaran Murni]]-Sales[[#This Row],[Target s.d. Januari]]=0,"",Sales[[#This Row],[Anggaran Murni]]-Sales[[#This Row],[Target s.d. Januari]])</f>
        <v>3</v>
      </c>
      <c r="H712" s="2" t="s">
        <v>71</v>
      </c>
      <c r="I712" s="3" t="s">
        <v>6</v>
      </c>
      <c r="J712" s="3"/>
      <c r="K712" s="2" t="s">
        <v>62</v>
      </c>
      <c r="L712" s="2" t="s">
        <v>2</v>
      </c>
      <c r="M712" s="4" t="s">
        <v>67</v>
      </c>
      <c r="N712" s="3" t="s">
        <v>81</v>
      </c>
      <c r="O712" s="2" t="s">
        <v>12</v>
      </c>
      <c r="P712" s="10"/>
      <c r="Q712" s="11"/>
    </row>
    <row r="713" spans="2:17" ht="21" customHeight="1" x14ac:dyDescent="0.35">
      <c r="B713" s="18">
        <v>43913</v>
      </c>
      <c r="C713" s="18" t="str">
        <f>TEXT(Sales[[#This Row],[Kode Program/Kegiatan ]],"D")</f>
        <v>23</v>
      </c>
      <c r="D713" s="19" t="str">
        <f>TEXT(Sales[[#This Row],[Kode Program/Kegiatan ]],"mmm")</f>
        <v>Mar</v>
      </c>
      <c r="E713" s="20">
        <v>7</v>
      </c>
      <c r="F713" s="19">
        <v>4</v>
      </c>
      <c r="G713" s="20">
        <f>IF(Sales[[#This Row],[Anggaran Murni]]-Sales[[#This Row],[Target s.d. Januari]]=0,"",Sales[[#This Row],[Anggaran Murni]]-Sales[[#This Row],[Target s.d. Januari]])</f>
        <v>3</v>
      </c>
      <c r="H713" s="19" t="s">
        <v>113</v>
      </c>
      <c r="I713" s="20" t="s">
        <v>77</v>
      </c>
      <c r="J713" s="20"/>
      <c r="K713" s="19" t="s">
        <v>54</v>
      </c>
      <c r="L713" s="19" t="s">
        <v>2</v>
      </c>
      <c r="M713" s="21" t="s">
        <v>67</v>
      </c>
      <c r="N713" s="20" t="s">
        <v>81</v>
      </c>
      <c r="O713" s="19" t="s">
        <v>11</v>
      </c>
      <c r="P713" s="10"/>
      <c r="Q713" s="11"/>
    </row>
    <row r="714" spans="2:17" ht="21" customHeight="1" x14ac:dyDescent="0.35">
      <c r="B714" s="1">
        <v>43913</v>
      </c>
      <c r="C714" s="1" t="str">
        <f>TEXT(Sales[[#This Row],[Kode Program/Kegiatan ]],"D")</f>
        <v>23</v>
      </c>
      <c r="D714" s="2" t="str">
        <f>TEXT(Sales[[#This Row],[Kode Program/Kegiatan ]],"mmm")</f>
        <v>Mar</v>
      </c>
      <c r="E714" s="3">
        <v>6</v>
      </c>
      <c r="F714" s="2">
        <v>3</v>
      </c>
      <c r="G714" s="3">
        <f>IF(Sales[[#This Row],[Anggaran Murni]]-Sales[[#This Row],[Target s.d. Januari]]=0,"",Sales[[#This Row],[Anggaran Murni]]-Sales[[#This Row],[Target s.d. Januari]])</f>
        <v>3</v>
      </c>
      <c r="H714" s="2" t="s">
        <v>75</v>
      </c>
      <c r="I714" s="3" t="s">
        <v>6</v>
      </c>
      <c r="J714" s="3"/>
      <c r="K714" s="2" t="s">
        <v>64</v>
      </c>
      <c r="L714" s="2" t="s">
        <v>5</v>
      </c>
      <c r="M714" s="4" t="s">
        <v>67</v>
      </c>
      <c r="N714" s="3" t="s">
        <v>82</v>
      </c>
      <c r="O714" s="2" t="s">
        <v>11</v>
      </c>
      <c r="P714" s="10"/>
      <c r="Q714" s="11"/>
    </row>
    <row r="715" spans="2:17" ht="21" customHeight="1" x14ac:dyDescent="0.35">
      <c r="B715" s="18">
        <v>43913</v>
      </c>
      <c r="C715" s="18" t="str">
        <f>TEXT(Sales[[#This Row],[Kode Program/Kegiatan ]],"D")</f>
        <v>23</v>
      </c>
      <c r="D715" s="19" t="str">
        <f>TEXT(Sales[[#This Row],[Kode Program/Kegiatan ]],"mmm")</f>
        <v>Mar</v>
      </c>
      <c r="E715" s="20">
        <v>3</v>
      </c>
      <c r="F715" s="19">
        <v>1</v>
      </c>
      <c r="G715" s="20">
        <f>IF(Sales[[#This Row],[Anggaran Murni]]-Sales[[#This Row],[Target s.d. Januari]]=0,"",Sales[[#This Row],[Anggaran Murni]]-Sales[[#This Row],[Target s.d. Januari]])</f>
        <v>2</v>
      </c>
      <c r="H715" s="19" t="s">
        <v>72</v>
      </c>
      <c r="I715" s="20" t="s">
        <v>78</v>
      </c>
      <c r="J715" s="20"/>
      <c r="K715" s="19" t="s">
        <v>64</v>
      </c>
      <c r="L715" s="19" t="s">
        <v>8</v>
      </c>
      <c r="M715" s="21" t="s">
        <v>67</v>
      </c>
      <c r="N715" s="20" t="s">
        <v>80</v>
      </c>
      <c r="O715" s="19" t="s">
        <v>12</v>
      </c>
      <c r="P715" s="10"/>
      <c r="Q715" s="11"/>
    </row>
    <row r="716" spans="2:17" ht="21" customHeight="1" x14ac:dyDescent="0.35">
      <c r="B716" s="1">
        <v>43914</v>
      </c>
      <c r="C716" s="1" t="str">
        <f>TEXT(Sales[[#This Row],[Kode Program/Kegiatan ]],"D")</f>
        <v>24</v>
      </c>
      <c r="D716" s="2" t="str">
        <f>TEXT(Sales[[#This Row],[Kode Program/Kegiatan ]],"mmm")</f>
        <v>Mar</v>
      </c>
      <c r="E716" s="3">
        <v>10</v>
      </c>
      <c r="F716" s="2">
        <v>8</v>
      </c>
      <c r="G716" s="3">
        <f>IF(Sales[[#This Row],[Anggaran Murni]]-Sales[[#This Row],[Target s.d. Januari]]=0,"",Sales[[#This Row],[Anggaran Murni]]-Sales[[#This Row],[Target s.d. Januari]])</f>
        <v>2</v>
      </c>
      <c r="H716" s="2" t="s">
        <v>70</v>
      </c>
      <c r="I716" s="3" t="s">
        <v>1</v>
      </c>
      <c r="J716" s="3"/>
      <c r="K716" s="2" t="s">
        <v>34</v>
      </c>
      <c r="L716" s="2" t="s">
        <v>8</v>
      </c>
      <c r="M716" s="4" t="s">
        <v>67</v>
      </c>
      <c r="N716" s="3" t="s">
        <v>81</v>
      </c>
      <c r="O716" s="2" t="s">
        <v>12</v>
      </c>
      <c r="P716" s="10"/>
      <c r="Q716" s="11"/>
    </row>
    <row r="717" spans="2:17" ht="21" customHeight="1" x14ac:dyDescent="0.35">
      <c r="B717" s="18">
        <v>43914</v>
      </c>
      <c r="C717" s="18" t="str">
        <f>TEXT(Sales[[#This Row],[Kode Program/Kegiatan ]],"D")</f>
        <v>24</v>
      </c>
      <c r="D717" s="19" t="str">
        <f>TEXT(Sales[[#This Row],[Kode Program/Kegiatan ]],"mmm")</f>
        <v>Mar</v>
      </c>
      <c r="E717" s="20">
        <v>9</v>
      </c>
      <c r="F717" s="19">
        <v>6</v>
      </c>
      <c r="G717" s="20">
        <f>IF(Sales[[#This Row],[Anggaran Murni]]-Sales[[#This Row],[Target s.d. Januari]]=0,"",Sales[[#This Row],[Anggaran Murni]]-Sales[[#This Row],[Target s.d. Januari]])</f>
        <v>3</v>
      </c>
      <c r="H717" s="19" t="s">
        <v>76</v>
      </c>
      <c r="I717" s="20" t="s">
        <v>79</v>
      </c>
      <c r="J717" s="20"/>
      <c r="K717" s="19" t="s">
        <v>35</v>
      </c>
      <c r="L717" s="19" t="s">
        <v>5</v>
      </c>
      <c r="M717" s="21" t="s">
        <v>67</v>
      </c>
      <c r="N717" s="20" t="s">
        <v>82</v>
      </c>
      <c r="O717" s="19" t="s">
        <v>12</v>
      </c>
      <c r="P717" s="10"/>
      <c r="Q717" s="11"/>
    </row>
    <row r="718" spans="2:17" ht="21" customHeight="1" x14ac:dyDescent="0.35">
      <c r="B718" s="1">
        <v>43914</v>
      </c>
      <c r="C718" s="1" t="str">
        <f>TEXT(Sales[[#This Row],[Kode Program/Kegiatan ]],"D")</f>
        <v>24</v>
      </c>
      <c r="D718" s="2" t="str">
        <f>TEXT(Sales[[#This Row],[Kode Program/Kegiatan ]],"mmm")</f>
        <v>Mar</v>
      </c>
      <c r="E718" s="3">
        <v>8</v>
      </c>
      <c r="F718" s="2">
        <v>5</v>
      </c>
      <c r="G718" s="3">
        <f>IF(Sales[[#This Row],[Anggaran Murni]]-Sales[[#This Row],[Target s.d. Januari]]=0,"",Sales[[#This Row],[Anggaran Murni]]-Sales[[#This Row],[Target s.d. Januari]])</f>
        <v>3</v>
      </c>
      <c r="H718" s="2" t="s">
        <v>76</v>
      </c>
      <c r="I718" s="3" t="s">
        <v>79</v>
      </c>
      <c r="J718" s="3"/>
      <c r="K718" s="2" t="s">
        <v>17</v>
      </c>
      <c r="L718" s="2" t="s">
        <v>2</v>
      </c>
      <c r="M718" s="4" t="s">
        <v>67</v>
      </c>
      <c r="N718" s="3" t="s">
        <v>80</v>
      </c>
      <c r="O718" s="2" t="s">
        <v>14</v>
      </c>
      <c r="P718" s="10"/>
      <c r="Q718" s="11"/>
    </row>
    <row r="719" spans="2:17" ht="21" customHeight="1" x14ac:dyDescent="0.35">
      <c r="B719" s="18">
        <v>43914</v>
      </c>
      <c r="C719" s="18" t="str">
        <f>TEXT(Sales[[#This Row],[Kode Program/Kegiatan ]],"D")</f>
        <v>24</v>
      </c>
      <c r="D719" s="19" t="str">
        <f>TEXT(Sales[[#This Row],[Kode Program/Kegiatan ]],"mmm")</f>
        <v>Mar</v>
      </c>
      <c r="E719" s="20">
        <v>7</v>
      </c>
      <c r="F719" s="19">
        <v>4</v>
      </c>
      <c r="G719" s="20">
        <f>IF(Sales[[#This Row],[Anggaran Murni]]-Sales[[#This Row],[Target s.d. Januari]]=0,"",Sales[[#This Row],[Anggaran Murni]]-Sales[[#This Row],[Target s.d. Januari]])</f>
        <v>3</v>
      </c>
      <c r="H719" s="19" t="s">
        <v>74</v>
      </c>
      <c r="I719" s="20" t="s">
        <v>77</v>
      </c>
      <c r="J719" s="20"/>
      <c r="K719" s="19" t="s">
        <v>27</v>
      </c>
      <c r="L719" s="19" t="s">
        <v>2</v>
      </c>
      <c r="M719" s="21" t="s">
        <v>67</v>
      </c>
      <c r="N719" s="20" t="s">
        <v>81</v>
      </c>
      <c r="O719" s="19" t="s">
        <v>14</v>
      </c>
      <c r="P719" s="10"/>
      <c r="Q719" s="11"/>
    </row>
    <row r="720" spans="2:17" ht="21" customHeight="1" x14ac:dyDescent="0.35">
      <c r="B720" s="1">
        <v>43914</v>
      </c>
      <c r="C720" s="1" t="str">
        <f>TEXT(Sales[[#This Row],[Kode Program/Kegiatan ]],"D")</f>
        <v>24</v>
      </c>
      <c r="D720" s="2" t="str">
        <f>TEXT(Sales[[#This Row],[Kode Program/Kegiatan ]],"mmm")</f>
        <v>Mar</v>
      </c>
      <c r="E720" s="3">
        <v>6</v>
      </c>
      <c r="F720" s="2">
        <v>5</v>
      </c>
      <c r="G720" s="3">
        <f>IF(Sales[[#This Row],[Anggaran Murni]]-Sales[[#This Row],[Target s.d. Januari]]=0,"",Sales[[#This Row],[Anggaran Murni]]-Sales[[#This Row],[Target s.d. Januari]])</f>
        <v>1</v>
      </c>
      <c r="H720" s="2" t="s">
        <v>75</v>
      </c>
      <c r="I720" s="3" t="s">
        <v>6</v>
      </c>
      <c r="J720" s="3"/>
      <c r="K720" s="2" t="s">
        <v>61</v>
      </c>
      <c r="L720" s="2" t="s">
        <v>7</v>
      </c>
      <c r="M720" s="4" t="s">
        <v>67</v>
      </c>
      <c r="N720" s="3" t="s">
        <v>82</v>
      </c>
      <c r="O720" s="2" t="s">
        <v>13</v>
      </c>
      <c r="P720" s="10"/>
      <c r="Q720" s="11"/>
    </row>
    <row r="721" spans="2:17" ht="21" customHeight="1" x14ac:dyDescent="0.35">
      <c r="B721" s="18">
        <v>43914</v>
      </c>
      <c r="C721" s="18" t="str">
        <f>TEXT(Sales[[#This Row],[Kode Program/Kegiatan ]],"D")</f>
        <v>24</v>
      </c>
      <c r="D721" s="19" t="str">
        <f>TEXT(Sales[[#This Row],[Kode Program/Kegiatan ]],"mmm")</f>
        <v>Mar</v>
      </c>
      <c r="E721" s="20">
        <v>6</v>
      </c>
      <c r="F721" s="19">
        <v>4</v>
      </c>
      <c r="G721" s="20">
        <f>IF(Sales[[#This Row],[Anggaran Murni]]-Sales[[#This Row],[Target s.d. Januari]]=0,"",Sales[[#This Row],[Anggaran Murni]]-Sales[[#This Row],[Target s.d. Januari]])</f>
        <v>2</v>
      </c>
      <c r="H721" s="19" t="s">
        <v>76</v>
      </c>
      <c r="I721" s="20" t="s">
        <v>79</v>
      </c>
      <c r="J721" s="20"/>
      <c r="K721" s="19" t="s">
        <v>25</v>
      </c>
      <c r="L721" s="19" t="s">
        <v>2</v>
      </c>
      <c r="M721" s="21" t="s">
        <v>67</v>
      </c>
      <c r="N721" s="20" t="s">
        <v>80</v>
      </c>
      <c r="O721" s="19" t="s">
        <v>11</v>
      </c>
      <c r="P721" s="10"/>
      <c r="Q721" s="11"/>
    </row>
    <row r="722" spans="2:17" ht="21" customHeight="1" x14ac:dyDescent="0.35">
      <c r="B722" s="1">
        <v>43914</v>
      </c>
      <c r="C722" s="1" t="str">
        <f>TEXT(Sales[[#This Row],[Kode Program/Kegiatan ]],"D")</f>
        <v>24</v>
      </c>
      <c r="D722" s="2" t="str">
        <f>TEXT(Sales[[#This Row],[Kode Program/Kegiatan ]],"mmm")</f>
        <v>Mar</v>
      </c>
      <c r="E722" s="3">
        <v>5</v>
      </c>
      <c r="F722" s="2">
        <v>4</v>
      </c>
      <c r="G722" s="3">
        <f>IF(Sales[[#This Row],[Anggaran Murni]]-Sales[[#This Row],[Target s.d. Januari]]=0,"",Sales[[#This Row],[Anggaran Murni]]-Sales[[#This Row],[Target s.d. Januari]])</f>
        <v>1</v>
      </c>
      <c r="H722" s="2" t="s">
        <v>76</v>
      </c>
      <c r="I722" s="3" t="s">
        <v>79</v>
      </c>
      <c r="J722" s="3"/>
      <c r="K722" s="2" t="s">
        <v>47</v>
      </c>
      <c r="L722" s="2" t="s">
        <v>2</v>
      </c>
      <c r="M722" s="4" t="s">
        <v>67</v>
      </c>
      <c r="N722" s="3" t="s">
        <v>81</v>
      </c>
      <c r="O722" s="2" t="s">
        <v>13</v>
      </c>
      <c r="P722" s="10"/>
      <c r="Q722" s="11"/>
    </row>
    <row r="723" spans="2:17" ht="21" customHeight="1" x14ac:dyDescent="0.35">
      <c r="B723" s="18">
        <v>43914</v>
      </c>
      <c r="C723" s="18" t="str">
        <f>TEXT(Sales[[#This Row],[Kode Program/Kegiatan ]],"D")</f>
        <v>24</v>
      </c>
      <c r="D723" s="19" t="str">
        <f>TEXT(Sales[[#This Row],[Kode Program/Kegiatan ]],"mmm")</f>
        <v>Mar</v>
      </c>
      <c r="E723" s="20">
        <v>4</v>
      </c>
      <c r="F723" s="19">
        <v>3</v>
      </c>
      <c r="G723" s="20">
        <f>IF(Sales[[#This Row],[Anggaran Murni]]-Sales[[#This Row],[Target s.d. Januari]]=0,"",Sales[[#This Row],[Anggaran Murni]]-Sales[[#This Row],[Target s.d. Januari]])</f>
        <v>1</v>
      </c>
      <c r="H723" s="19" t="s">
        <v>75</v>
      </c>
      <c r="I723" s="20" t="s">
        <v>6</v>
      </c>
      <c r="J723" s="20"/>
      <c r="K723" s="19" t="s">
        <v>32</v>
      </c>
      <c r="L723" s="19" t="s">
        <v>9</v>
      </c>
      <c r="M723" s="21" t="s">
        <v>67</v>
      </c>
      <c r="N723" s="20" t="s">
        <v>82</v>
      </c>
      <c r="O723" s="19" t="s">
        <v>11</v>
      </c>
      <c r="P723" s="10"/>
      <c r="Q723" s="11"/>
    </row>
    <row r="724" spans="2:17" ht="21" customHeight="1" x14ac:dyDescent="0.35">
      <c r="B724" s="1">
        <v>43914</v>
      </c>
      <c r="C724" s="1" t="str">
        <f>TEXT(Sales[[#This Row],[Kode Program/Kegiatan ]],"D")</f>
        <v>24</v>
      </c>
      <c r="D724" s="2" t="str">
        <f>TEXT(Sales[[#This Row],[Kode Program/Kegiatan ]],"mmm")</f>
        <v>Mar</v>
      </c>
      <c r="E724" s="3">
        <v>4</v>
      </c>
      <c r="F724" s="2">
        <v>3</v>
      </c>
      <c r="G724" s="3">
        <f>IF(Sales[[#This Row],[Anggaran Murni]]-Sales[[#This Row],[Target s.d. Januari]]=0,"",Sales[[#This Row],[Anggaran Murni]]-Sales[[#This Row],[Target s.d. Januari]])</f>
        <v>1</v>
      </c>
      <c r="H724" s="2" t="s">
        <v>113</v>
      </c>
      <c r="I724" s="3" t="s">
        <v>77</v>
      </c>
      <c r="J724" s="3"/>
      <c r="K724" s="2" t="s">
        <v>19</v>
      </c>
      <c r="L724" s="2" t="s">
        <v>2</v>
      </c>
      <c r="M724" s="4" t="s">
        <v>67</v>
      </c>
      <c r="N724" s="3" t="s">
        <v>80</v>
      </c>
      <c r="O724" s="2" t="s">
        <v>13</v>
      </c>
      <c r="P724" s="10"/>
      <c r="Q724" s="11"/>
    </row>
    <row r="725" spans="2:17" ht="21" customHeight="1" x14ac:dyDescent="0.35">
      <c r="B725" s="18">
        <v>43914</v>
      </c>
      <c r="C725" s="18" t="str">
        <f>TEXT(Sales[[#This Row],[Kode Program/Kegiatan ]],"D")</f>
        <v>24</v>
      </c>
      <c r="D725" s="19" t="str">
        <f>TEXT(Sales[[#This Row],[Kode Program/Kegiatan ]],"mmm")</f>
        <v>Mar</v>
      </c>
      <c r="E725" s="20">
        <v>3</v>
      </c>
      <c r="F725" s="19">
        <v>2</v>
      </c>
      <c r="G725" s="20">
        <f>IF(Sales[[#This Row],[Anggaran Murni]]-Sales[[#This Row],[Target s.d. Januari]]=0,"",Sales[[#This Row],[Anggaran Murni]]-Sales[[#This Row],[Target s.d. Januari]])</f>
        <v>1</v>
      </c>
      <c r="H725" s="19" t="s">
        <v>73</v>
      </c>
      <c r="I725" s="20" t="s">
        <v>78</v>
      </c>
      <c r="J725" s="20"/>
      <c r="K725" s="19" t="s">
        <v>42</v>
      </c>
      <c r="L725" s="19" t="s">
        <v>9</v>
      </c>
      <c r="M725" s="21" t="s">
        <v>67</v>
      </c>
      <c r="N725" s="20" t="s">
        <v>81</v>
      </c>
      <c r="O725" s="19" t="s">
        <v>12</v>
      </c>
      <c r="P725" s="10"/>
      <c r="Q725" s="11"/>
    </row>
    <row r="726" spans="2:17" ht="21" customHeight="1" x14ac:dyDescent="0.35">
      <c r="B726" s="1">
        <v>43914</v>
      </c>
      <c r="C726" s="1" t="str">
        <f>TEXT(Sales[[#This Row],[Kode Program/Kegiatan ]],"D")</f>
        <v>24</v>
      </c>
      <c r="D726" s="2" t="str">
        <f>TEXT(Sales[[#This Row],[Kode Program/Kegiatan ]],"mmm")</f>
        <v>Mar</v>
      </c>
      <c r="E726" s="3">
        <v>3</v>
      </c>
      <c r="F726" s="2">
        <v>1</v>
      </c>
      <c r="G726" s="3">
        <f>IF(Sales[[#This Row],[Anggaran Murni]]-Sales[[#This Row],[Target s.d. Januari]]=0,"",Sales[[#This Row],[Anggaran Murni]]-Sales[[#This Row],[Target s.d. Januari]])</f>
        <v>2</v>
      </c>
      <c r="H726" s="2" t="s">
        <v>76</v>
      </c>
      <c r="I726" s="3" t="s">
        <v>79</v>
      </c>
      <c r="J726" s="3"/>
      <c r="K726" s="2" t="s">
        <v>43</v>
      </c>
      <c r="L726" s="2" t="s">
        <v>5</v>
      </c>
      <c r="M726" s="4" t="s">
        <v>67</v>
      </c>
      <c r="N726" s="3" t="s">
        <v>81</v>
      </c>
      <c r="O726" s="2" t="s">
        <v>13</v>
      </c>
      <c r="P726" s="10"/>
      <c r="Q726" s="11"/>
    </row>
    <row r="727" spans="2:17" ht="21" customHeight="1" x14ac:dyDescent="0.35">
      <c r="B727" s="18">
        <v>43914</v>
      </c>
      <c r="C727" s="18" t="str">
        <f>TEXT(Sales[[#This Row],[Kode Program/Kegiatan ]],"D")</f>
        <v>24</v>
      </c>
      <c r="D727" s="19" t="str">
        <f>TEXT(Sales[[#This Row],[Kode Program/Kegiatan ]],"mmm")</f>
        <v>Mar</v>
      </c>
      <c r="E727" s="20">
        <v>3</v>
      </c>
      <c r="F727" s="19">
        <v>2</v>
      </c>
      <c r="G727" s="20">
        <f>IF(Sales[[#This Row],[Anggaran Murni]]-Sales[[#This Row],[Target s.d. Januari]]=0,"",Sales[[#This Row],[Anggaran Murni]]-Sales[[#This Row],[Target s.d. Januari]])</f>
        <v>1</v>
      </c>
      <c r="H727" s="19" t="s">
        <v>71</v>
      </c>
      <c r="I727" s="20" t="s">
        <v>6</v>
      </c>
      <c r="J727" s="20"/>
      <c r="K727" s="19" t="s">
        <v>42</v>
      </c>
      <c r="L727" s="19" t="s">
        <v>9</v>
      </c>
      <c r="M727" s="21" t="s">
        <v>67</v>
      </c>
      <c r="N727" s="20" t="s">
        <v>82</v>
      </c>
      <c r="O727" s="19" t="s">
        <v>12</v>
      </c>
      <c r="P727" s="10"/>
      <c r="Q727" s="11"/>
    </row>
    <row r="728" spans="2:17" ht="21" customHeight="1" x14ac:dyDescent="0.35">
      <c r="B728" s="1">
        <v>43915</v>
      </c>
      <c r="C728" s="1" t="str">
        <f>TEXT(Sales[[#This Row],[Kode Program/Kegiatan ]],"D")</f>
        <v>25</v>
      </c>
      <c r="D728" s="2" t="str">
        <f>TEXT(Sales[[#This Row],[Kode Program/Kegiatan ]],"mmm")</f>
        <v>Mar</v>
      </c>
      <c r="E728" s="3">
        <v>10</v>
      </c>
      <c r="F728" s="2">
        <v>7</v>
      </c>
      <c r="G728" s="3">
        <f>IF(Sales[[#This Row],[Anggaran Murni]]-Sales[[#This Row],[Target s.d. Januari]]=0,"",Sales[[#This Row],[Anggaran Murni]]-Sales[[#This Row],[Target s.d. Januari]])</f>
        <v>3</v>
      </c>
      <c r="H728" s="2" t="s">
        <v>75</v>
      </c>
      <c r="I728" s="3" t="s">
        <v>6</v>
      </c>
      <c r="J728" s="3"/>
      <c r="K728" s="2" t="s">
        <v>45</v>
      </c>
      <c r="L728" s="2" t="s">
        <v>5</v>
      </c>
      <c r="M728" s="4" t="s">
        <v>67</v>
      </c>
      <c r="N728" s="3" t="s">
        <v>81</v>
      </c>
      <c r="O728" s="2" t="s">
        <v>13</v>
      </c>
      <c r="P728" s="10"/>
      <c r="Q728" s="11"/>
    </row>
    <row r="729" spans="2:17" ht="21" customHeight="1" x14ac:dyDescent="0.35">
      <c r="B729" s="18">
        <v>43915</v>
      </c>
      <c r="C729" s="18" t="str">
        <f>TEXT(Sales[[#This Row],[Kode Program/Kegiatan ]],"D")</f>
        <v>25</v>
      </c>
      <c r="D729" s="19" t="str">
        <f>TEXT(Sales[[#This Row],[Kode Program/Kegiatan ]],"mmm")</f>
        <v>Mar</v>
      </c>
      <c r="E729" s="20">
        <v>10</v>
      </c>
      <c r="F729" s="19">
        <v>7</v>
      </c>
      <c r="G729" s="20">
        <f>IF(Sales[[#This Row],[Anggaran Murni]]-Sales[[#This Row],[Target s.d. Januari]]=0,"",Sales[[#This Row],[Anggaran Murni]]-Sales[[#This Row],[Target s.d. Januari]])</f>
        <v>3</v>
      </c>
      <c r="H729" s="19" t="s">
        <v>72</v>
      </c>
      <c r="I729" s="20" t="s">
        <v>78</v>
      </c>
      <c r="J729" s="20"/>
      <c r="K729" s="19" t="s">
        <v>44</v>
      </c>
      <c r="L729" s="19" t="s">
        <v>8</v>
      </c>
      <c r="M729" s="21" t="s">
        <v>67</v>
      </c>
      <c r="N729" s="20" t="s">
        <v>82</v>
      </c>
      <c r="O729" s="19" t="s">
        <v>12</v>
      </c>
      <c r="P729" s="10"/>
      <c r="Q729" s="11"/>
    </row>
    <row r="730" spans="2:17" ht="21" customHeight="1" x14ac:dyDescent="0.35">
      <c r="B730" s="1">
        <v>43915</v>
      </c>
      <c r="C730" s="1" t="str">
        <f>TEXT(Sales[[#This Row],[Kode Program/Kegiatan ]],"D")</f>
        <v>25</v>
      </c>
      <c r="D730" s="2" t="str">
        <f>TEXT(Sales[[#This Row],[Kode Program/Kegiatan ]],"mmm")</f>
        <v>Mar</v>
      </c>
      <c r="E730" s="3">
        <v>9</v>
      </c>
      <c r="F730" s="2">
        <v>7</v>
      </c>
      <c r="G730" s="3">
        <f>IF(Sales[[#This Row],[Anggaran Murni]]-Sales[[#This Row],[Target s.d. Januari]]=0,"",Sales[[#This Row],[Anggaran Murni]]-Sales[[#This Row],[Target s.d. Januari]])</f>
        <v>2</v>
      </c>
      <c r="H730" s="2" t="s">
        <v>70</v>
      </c>
      <c r="I730" s="3" t="s">
        <v>1</v>
      </c>
      <c r="J730" s="3"/>
      <c r="K730" s="2" t="s">
        <v>54</v>
      </c>
      <c r="L730" s="2" t="s">
        <v>2</v>
      </c>
      <c r="M730" s="4" t="s">
        <v>67</v>
      </c>
      <c r="N730" s="3" t="s">
        <v>81</v>
      </c>
      <c r="O730" s="2" t="s">
        <v>12</v>
      </c>
      <c r="P730" s="10"/>
      <c r="Q730" s="11"/>
    </row>
    <row r="731" spans="2:17" ht="21" customHeight="1" x14ac:dyDescent="0.35">
      <c r="B731" s="18">
        <v>43915</v>
      </c>
      <c r="C731" s="18" t="str">
        <f>TEXT(Sales[[#This Row],[Kode Program/Kegiatan ]],"D")</f>
        <v>25</v>
      </c>
      <c r="D731" s="19" t="str">
        <f>TEXT(Sales[[#This Row],[Kode Program/Kegiatan ]],"mmm")</f>
        <v>Mar</v>
      </c>
      <c r="E731" s="20">
        <v>8</v>
      </c>
      <c r="F731" s="19">
        <v>6</v>
      </c>
      <c r="G731" s="20">
        <f>IF(Sales[[#This Row],[Anggaran Murni]]-Sales[[#This Row],[Target s.d. Januari]]=0,"",Sales[[#This Row],[Anggaran Murni]]-Sales[[#This Row],[Target s.d. Januari]])</f>
        <v>2</v>
      </c>
      <c r="H731" s="19" t="s">
        <v>74</v>
      </c>
      <c r="I731" s="20" t="s">
        <v>77</v>
      </c>
      <c r="J731" s="20"/>
      <c r="K731" s="19" t="s">
        <v>45</v>
      </c>
      <c r="L731" s="19" t="s">
        <v>8</v>
      </c>
      <c r="M731" s="21" t="s">
        <v>67</v>
      </c>
      <c r="N731" s="20" t="s">
        <v>81</v>
      </c>
      <c r="O731" s="19" t="s">
        <v>14</v>
      </c>
      <c r="P731" s="10"/>
      <c r="Q731" s="11"/>
    </row>
    <row r="732" spans="2:17" ht="21" customHeight="1" x14ac:dyDescent="0.35">
      <c r="B732" s="1">
        <v>43915</v>
      </c>
      <c r="C732" s="1" t="str">
        <f>TEXT(Sales[[#This Row],[Kode Program/Kegiatan ]],"D")</f>
        <v>25</v>
      </c>
      <c r="D732" s="2" t="str">
        <f>TEXT(Sales[[#This Row],[Kode Program/Kegiatan ]],"mmm")</f>
        <v>Mar</v>
      </c>
      <c r="E732" s="3">
        <v>3</v>
      </c>
      <c r="F732" s="2">
        <v>1</v>
      </c>
      <c r="G732" s="3">
        <f>IF(Sales[[#This Row],[Anggaran Murni]]-Sales[[#This Row],[Target s.d. Januari]]=0,"",Sales[[#This Row],[Anggaran Murni]]-Sales[[#This Row],[Target s.d. Januari]])</f>
        <v>2</v>
      </c>
      <c r="H732" s="2" t="s">
        <v>114</v>
      </c>
      <c r="I732" s="3" t="s">
        <v>3</v>
      </c>
      <c r="J732" s="3"/>
      <c r="K732" s="2" t="s">
        <v>19</v>
      </c>
      <c r="L732" s="2" t="s">
        <v>2</v>
      </c>
      <c r="M732" s="4" t="s">
        <v>67</v>
      </c>
      <c r="N732" s="3" t="s">
        <v>81</v>
      </c>
      <c r="O732" s="2" t="s">
        <v>11</v>
      </c>
      <c r="P732" s="10"/>
      <c r="Q732" s="11"/>
    </row>
    <row r="733" spans="2:17" ht="21" customHeight="1" x14ac:dyDescent="0.35">
      <c r="B733" s="18">
        <v>43915</v>
      </c>
      <c r="C733" s="18" t="str">
        <f>TEXT(Sales[[#This Row],[Kode Program/Kegiatan ]],"D")</f>
        <v>25</v>
      </c>
      <c r="D733" s="19" t="str">
        <f>TEXT(Sales[[#This Row],[Kode Program/Kegiatan ]],"mmm")</f>
        <v>Mar</v>
      </c>
      <c r="E733" s="20">
        <v>3</v>
      </c>
      <c r="F733" s="19">
        <v>2</v>
      </c>
      <c r="G733" s="20">
        <f>IF(Sales[[#This Row],[Anggaran Murni]]-Sales[[#This Row],[Target s.d. Januari]]=0,"",Sales[[#This Row],[Anggaran Murni]]-Sales[[#This Row],[Target s.d. Januari]])</f>
        <v>1</v>
      </c>
      <c r="H733" s="19" t="s">
        <v>70</v>
      </c>
      <c r="I733" s="20" t="s">
        <v>1</v>
      </c>
      <c r="J733" s="20"/>
      <c r="K733" s="19" t="s">
        <v>45</v>
      </c>
      <c r="L733" s="19" t="s">
        <v>2</v>
      </c>
      <c r="M733" s="21" t="s">
        <v>67</v>
      </c>
      <c r="N733" s="20" t="s">
        <v>82</v>
      </c>
      <c r="O733" s="19" t="s">
        <v>14</v>
      </c>
      <c r="P733" s="10"/>
      <c r="Q733" s="11"/>
    </row>
    <row r="734" spans="2:17" ht="21" customHeight="1" x14ac:dyDescent="0.35">
      <c r="B734" s="1">
        <v>43915</v>
      </c>
      <c r="C734" s="1" t="str">
        <f>TEXT(Sales[[#This Row],[Kode Program/Kegiatan ]],"D")</f>
        <v>25</v>
      </c>
      <c r="D734" s="2" t="str">
        <f>TEXT(Sales[[#This Row],[Kode Program/Kegiatan ]],"mmm")</f>
        <v>Mar</v>
      </c>
      <c r="E734" s="3">
        <v>3</v>
      </c>
      <c r="F734" s="2">
        <v>1</v>
      </c>
      <c r="G734" s="3">
        <f>IF(Sales[[#This Row],[Anggaran Murni]]-Sales[[#This Row],[Target s.d. Januari]]=0,"",Sales[[#This Row],[Anggaran Murni]]-Sales[[#This Row],[Target s.d. Januari]])</f>
        <v>2</v>
      </c>
      <c r="H734" s="2" t="s">
        <v>73</v>
      </c>
      <c r="I734" s="3" t="s">
        <v>78</v>
      </c>
      <c r="J734" s="3"/>
      <c r="K734" s="2" t="s">
        <v>40</v>
      </c>
      <c r="L734" s="2" t="s">
        <v>7</v>
      </c>
      <c r="M734" s="4" t="s">
        <v>67</v>
      </c>
      <c r="N734" s="3" t="s">
        <v>82</v>
      </c>
      <c r="O734" s="2" t="s">
        <v>11</v>
      </c>
      <c r="P734" s="10"/>
      <c r="Q734" s="11"/>
    </row>
    <row r="735" spans="2:17" ht="21" customHeight="1" x14ac:dyDescent="0.35">
      <c r="B735" s="18">
        <v>43916</v>
      </c>
      <c r="C735" s="18" t="str">
        <f>TEXT(Sales[[#This Row],[Kode Program/Kegiatan ]],"D")</f>
        <v>26</v>
      </c>
      <c r="D735" s="19" t="str">
        <f>TEXT(Sales[[#This Row],[Kode Program/Kegiatan ]],"mmm")</f>
        <v>Mar</v>
      </c>
      <c r="E735" s="20">
        <v>10</v>
      </c>
      <c r="F735" s="19">
        <v>6</v>
      </c>
      <c r="G735" s="20">
        <f>IF(Sales[[#This Row],[Anggaran Murni]]-Sales[[#This Row],[Target s.d. Januari]]=0,"",Sales[[#This Row],[Anggaran Murni]]-Sales[[#This Row],[Target s.d. Januari]])</f>
        <v>4</v>
      </c>
      <c r="H735" s="19" t="s">
        <v>72</v>
      </c>
      <c r="I735" s="20" t="s">
        <v>78</v>
      </c>
      <c r="J735" s="20"/>
      <c r="K735" s="19" t="s">
        <v>29</v>
      </c>
      <c r="L735" s="19" t="s">
        <v>9</v>
      </c>
      <c r="M735" s="21" t="s">
        <v>67</v>
      </c>
      <c r="N735" s="20" t="s">
        <v>81</v>
      </c>
      <c r="O735" s="19" t="s">
        <v>12</v>
      </c>
      <c r="P735" s="10"/>
      <c r="Q735" s="11"/>
    </row>
    <row r="736" spans="2:17" ht="21" customHeight="1" x14ac:dyDescent="0.35">
      <c r="B736" s="1">
        <v>43916</v>
      </c>
      <c r="C736" s="1" t="str">
        <f>TEXT(Sales[[#This Row],[Kode Program/Kegiatan ]],"D")</f>
        <v>26</v>
      </c>
      <c r="D736" s="2" t="str">
        <f>TEXT(Sales[[#This Row],[Kode Program/Kegiatan ]],"mmm")</f>
        <v>Mar</v>
      </c>
      <c r="E736" s="3">
        <v>9</v>
      </c>
      <c r="F736" s="2">
        <v>8</v>
      </c>
      <c r="G736" s="3">
        <f>IF(Sales[[#This Row],[Anggaran Murni]]-Sales[[#This Row],[Target s.d. Januari]]=0,"",Sales[[#This Row],[Anggaran Murni]]-Sales[[#This Row],[Target s.d. Januari]])</f>
        <v>1</v>
      </c>
      <c r="H736" s="2" t="s">
        <v>113</v>
      </c>
      <c r="I736" s="3" t="s">
        <v>77</v>
      </c>
      <c r="J736" s="3"/>
      <c r="K736" s="2" t="s">
        <v>31</v>
      </c>
      <c r="L736" s="2" t="s">
        <v>5</v>
      </c>
      <c r="M736" s="4" t="s">
        <v>67</v>
      </c>
      <c r="N736" s="3" t="s">
        <v>80</v>
      </c>
      <c r="O736" s="2" t="s">
        <v>11</v>
      </c>
      <c r="P736" s="10"/>
      <c r="Q736" s="11"/>
    </row>
    <row r="737" spans="2:17" ht="21" customHeight="1" x14ac:dyDescent="0.35">
      <c r="B737" s="18">
        <v>43916</v>
      </c>
      <c r="C737" s="18" t="str">
        <f>TEXT(Sales[[#This Row],[Kode Program/Kegiatan ]],"D")</f>
        <v>26</v>
      </c>
      <c r="D737" s="19" t="str">
        <f>TEXT(Sales[[#This Row],[Kode Program/Kegiatan ]],"mmm")</f>
        <v>Mar</v>
      </c>
      <c r="E737" s="20">
        <v>7</v>
      </c>
      <c r="F737" s="19">
        <v>6</v>
      </c>
      <c r="G737" s="20">
        <f>IF(Sales[[#This Row],[Anggaran Murni]]-Sales[[#This Row],[Target s.d. Januari]]=0,"",Sales[[#This Row],[Anggaran Murni]]-Sales[[#This Row],[Target s.d. Januari]])</f>
        <v>1</v>
      </c>
      <c r="H737" s="19" t="s">
        <v>114</v>
      </c>
      <c r="I737" s="20" t="s">
        <v>3</v>
      </c>
      <c r="J737" s="20"/>
      <c r="K737" s="19" t="s">
        <v>37</v>
      </c>
      <c r="L737" s="19" t="s">
        <v>8</v>
      </c>
      <c r="M737" s="21" t="s">
        <v>67</v>
      </c>
      <c r="N737" s="20" t="s">
        <v>80</v>
      </c>
      <c r="O737" s="19" t="s">
        <v>11</v>
      </c>
      <c r="P737" s="10"/>
      <c r="Q737" s="11"/>
    </row>
    <row r="738" spans="2:17" ht="21" customHeight="1" x14ac:dyDescent="0.35">
      <c r="B738" s="1">
        <v>43916</v>
      </c>
      <c r="C738" s="1" t="str">
        <f>TEXT(Sales[[#This Row],[Kode Program/Kegiatan ]],"D")</f>
        <v>26</v>
      </c>
      <c r="D738" s="2" t="str">
        <f>TEXT(Sales[[#This Row],[Kode Program/Kegiatan ]],"mmm")</f>
        <v>Mar</v>
      </c>
      <c r="E738" s="3">
        <v>5</v>
      </c>
      <c r="F738" s="2">
        <v>4</v>
      </c>
      <c r="G738" s="3">
        <f>IF(Sales[[#This Row],[Anggaran Murni]]-Sales[[#This Row],[Target s.d. Januari]]=0,"",Sales[[#This Row],[Anggaran Murni]]-Sales[[#This Row],[Target s.d. Januari]])</f>
        <v>1</v>
      </c>
      <c r="H738" s="2" t="s">
        <v>74</v>
      </c>
      <c r="I738" s="3" t="s">
        <v>77</v>
      </c>
      <c r="J738" s="3"/>
      <c r="K738" s="2" t="s">
        <v>43</v>
      </c>
      <c r="L738" s="2" t="s">
        <v>8</v>
      </c>
      <c r="M738" s="4" t="s">
        <v>67</v>
      </c>
      <c r="N738" s="3" t="s">
        <v>80</v>
      </c>
      <c r="O738" s="2" t="s">
        <v>11</v>
      </c>
      <c r="P738" s="10"/>
      <c r="Q738" s="11"/>
    </row>
    <row r="739" spans="2:17" ht="21" customHeight="1" x14ac:dyDescent="0.35">
      <c r="B739" s="18">
        <v>43917</v>
      </c>
      <c r="C739" s="18" t="str">
        <f>TEXT(Sales[[#This Row],[Kode Program/Kegiatan ]],"D")</f>
        <v>27</v>
      </c>
      <c r="D739" s="19" t="str">
        <f>TEXT(Sales[[#This Row],[Kode Program/Kegiatan ]],"mmm")</f>
        <v>Mar</v>
      </c>
      <c r="E739" s="20">
        <v>10</v>
      </c>
      <c r="F739" s="19">
        <v>9</v>
      </c>
      <c r="G739" s="20">
        <f>IF(Sales[[#This Row],[Anggaran Murni]]-Sales[[#This Row],[Target s.d. Januari]]=0,"",Sales[[#This Row],[Anggaran Murni]]-Sales[[#This Row],[Target s.d. Januari]])</f>
        <v>1</v>
      </c>
      <c r="H739" s="19" t="s">
        <v>71</v>
      </c>
      <c r="I739" s="20" t="s">
        <v>6</v>
      </c>
      <c r="J739" s="20"/>
      <c r="K739" s="19" t="s">
        <v>33</v>
      </c>
      <c r="L739" s="19" t="s">
        <v>2</v>
      </c>
      <c r="M739" s="21" t="s">
        <v>67</v>
      </c>
      <c r="N739" s="20" t="s">
        <v>80</v>
      </c>
      <c r="O739" s="19" t="s">
        <v>14</v>
      </c>
      <c r="P739" s="10"/>
      <c r="Q739" s="11"/>
    </row>
    <row r="740" spans="2:17" ht="21" customHeight="1" x14ac:dyDescent="0.35">
      <c r="B740" s="1">
        <v>43917</v>
      </c>
      <c r="C740" s="1" t="str">
        <f>TEXT(Sales[[#This Row],[Kode Program/Kegiatan ]],"D")</f>
        <v>27</v>
      </c>
      <c r="D740" s="2" t="str">
        <f>TEXT(Sales[[#This Row],[Kode Program/Kegiatan ]],"mmm")</f>
        <v>Mar</v>
      </c>
      <c r="E740" s="3">
        <v>9</v>
      </c>
      <c r="F740" s="2">
        <v>8</v>
      </c>
      <c r="G740" s="3">
        <f>IF(Sales[[#This Row],[Anggaran Murni]]-Sales[[#This Row],[Target s.d. Januari]]=0,"",Sales[[#This Row],[Anggaran Murni]]-Sales[[#This Row],[Target s.d. Januari]])</f>
        <v>1</v>
      </c>
      <c r="H740" s="2" t="s">
        <v>74</v>
      </c>
      <c r="I740" s="3" t="s">
        <v>77</v>
      </c>
      <c r="J740" s="3"/>
      <c r="K740" s="2" t="s">
        <v>60</v>
      </c>
      <c r="L740" s="2" t="s">
        <v>5</v>
      </c>
      <c r="M740" s="4" t="s">
        <v>67</v>
      </c>
      <c r="N740" s="3" t="s">
        <v>82</v>
      </c>
      <c r="O740" s="2" t="s">
        <v>11</v>
      </c>
      <c r="P740" s="10"/>
      <c r="Q740" s="11"/>
    </row>
    <row r="741" spans="2:17" ht="21" customHeight="1" x14ac:dyDescent="0.35">
      <c r="B741" s="18">
        <v>43917</v>
      </c>
      <c r="C741" s="18" t="str">
        <f>TEXT(Sales[[#This Row],[Kode Program/Kegiatan ]],"D")</f>
        <v>27</v>
      </c>
      <c r="D741" s="19" t="str">
        <f>TEXT(Sales[[#This Row],[Kode Program/Kegiatan ]],"mmm")</f>
        <v>Mar</v>
      </c>
      <c r="E741" s="20">
        <v>7</v>
      </c>
      <c r="F741" s="19">
        <v>5</v>
      </c>
      <c r="G741" s="20">
        <f>IF(Sales[[#This Row],[Anggaran Murni]]-Sales[[#This Row],[Target s.d. Januari]]=0,"",Sales[[#This Row],[Anggaran Murni]]-Sales[[#This Row],[Target s.d. Januari]])</f>
        <v>2</v>
      </c>
      <c r="H741" s="19" t="s">
        <v>72</v>
      </c>
      <c r="I741" s="20" t="s">
        <v>78</v>
      </c>
      <c r="J741" s="20"/>
      <c r="K741" s="19" t="s">
        <v>48</v>
      </c>
      <c r="L741" s="19" t="s">
        <v>2</v>
      </c>
      <c r="M741" s="21" t="s">
        <v>67</v>
      </c>
      <c r="N741" s="20" t="s">
        <v>81</v>
      </c>
      <c r="O741" s="19" t="s">
        <v>12</v>
      </c>
      <c r="P741" s="10"/>
      <c r="Q741" s="11"/>
    </row>
    <row r="742" spans="2:17" ht="21" customHeight="1" x14ac:dyDescent="0.35">
      <c r="B742" s="1">
        <v>43917</v>
      </c>
      <c r="C742" s="1" t="str">
        <f>TEXT(Sales[[#This Row],[Kode Program/Kegiatan ]],"D")</f>
        <v>27</v>
      </c>
      <c r="D742" s="2" t="str">
        <f>TEXT(Sales[[#This Row],[Kode Program/Kegiatan ]],"mmm")</f>
        <v>Mar</v>
      </c>
      <c r="E742" s="3">
        <v>6</v>
      </c>
      <c r="F742" s="2">
        <v>3</v>
      </c>
      <c r="G742" s="3">
        <f>IF(Sales[[#This Row],[Anggaran Murni]]-Sales[[#This Row],[Target s.d. Januari]]=0,"",Sales[[#This Row],[Anggaran Murni]]-Sales[[#This Row],[Target s.d. Januari]])</f>
        <v>3</v>
      </c>
      <c r="H742" s="2" t="s">
        <v>114</v>
      </c>
      <c r="I742" s="3" t="s">
        <v>3</v>
      </c>
      <c r="J742" s="3"/>
      <c r="K742" s="2" t="s">
        <v>37</v>
      </c>
      <c r="L742" s="2" t="s">
        <v>2</v>
      </c>
      <c r="M742" s="4" t="s">
        <v>67</v>
      </c>
      <c r="N742" s="3" t="s">
        <v>82</v>
      </c>
      <c r="O742" s="2" t="s">
        <v>12</v>
      </c>
      <c r="P742" s="10"/>
      <c r="Q742" s="11"/>
    </row>
    <row r="743" spans="2:17" ht="21" customHeight="1" x14ac:dyDescent="0.35">
      <c r="B743" s="18">
        <v>43917</v>
      </c>
      <c r="C743" s="18" t="str">
        <f>TEXT(Sales[[#This Row],[Kode Program/Kegiatan ]],"D")</f>
        <v>27</v>
      </c>
      <c r="D743" s="19" t="str">
        <f>TEXT(Sales[[#This Row],[Kode Program/Kegiatan ]],"mmm")</f>
        <v>Mar</v>
      </c>
      <c r="E743" s="20">
        <v>5</v>
      </c>
      <c r="F743" s="19">
        <v>4</v>
      </c>
      <c r="G743" s="20">
        <f>IF(Sales[[#This Row],[Anggaran Murni]]-Sales[[#This Row],[Target s.d. Januari]]=0,"",Sales[[#This Row],[Anggaran Murni]]-Sales[[#This Row],[Target s.d. Januari]])</f>
        <v>1</v>
      </c>
      <c r="H743" s="19" t="s">
        <v>72</v>
      </c>
      <c r="I743" s="20" t="s">
        <v>78</v>
      </c>
      <c r="J743" s="20"/>
      <c r="K743" s="19" t="s">
        <v>43</v>
      </c>
      <c r="L743" s="19" t="s">
        <v>5</v>
      </c>
      <c r="M743" s="21" t="s">
        <v>67</v>
      </c>
      <c r="N743" s="20" t="s">
        <v>81</v>
      </c>
      <c r="O743" s="19" t="s">
        <v>11</v>
      </c>
      <c r="P743" s="10"/>
      <c r="Q743" s="11"/>
    </row>
    <row r="744" spans="2:17" ht="21" customHeight="1" x14ac:dyDescent="0.35">
      <c r="B744" s="1">
        <v>43917</v>
      </c>
      <c r="C744" s="1" t="str">
        <f>TEXT(Sales[[#This Row],[Kode Program/Kegiatan ]],"D")</f>
        <v>27</v>
      </c>
      <c r="D744" s="2" t="str">
        <f>TEXT(Sales[[#This Row],[Kode Program/Kegiatan ]],"mmm")</f>
        <v>Mar</v>
      </c>
      <c r="E744" s="3">
        <v>4</v>
      </c>
      <c r="F744" s="2">
        <v>3</v>
      </c>
      <c r="G744" s="3">
        <f>IF(Sales[[#This Row],[Anggaran Murni]]-Sales[[#This Row],[Target s.d. Januari]]=0,"",Sales[[#This Row],[Anggaran Murni]]-Sales[[#This Row],[Target s.d. Januari]])</f>
        <v>1</v>
      </c>
      <c r="H744" s="2" t="s">
        <v>71</v>
      </c>
      <c r="I744" s="3" t="s">
        <v>6</v>
      </c>
      <c r="J744" s="3"/>
      <c r="K744" s="2" t="s">
        <v>33</v>
      </c>
      <c r="L744" s="2" t="s">
        <v>5</v>
      </c>
      <c r="M744" s="4" t="s">
        <v>67</v>
      </c>
      <c r="N744" s="3" t="s">
        <v>82</v>
      </c>
      <c r="O744" s="2" t="s">
        <v>14</v>
      </c>
      <c r="P744" s="10"/>
      <c r="Q744" s="11"/>
    </row>
    <row r="745" spans="2:17" ht="21" customHeight="1" x14ac:dyDescent="0.35">
      <c r="B745" s="18">
        <v>43918</v>
      </c>
      <c r="C745" s="18" t="str">
        <f>TEXT(Sales[[#This Row],[Kode Program/Kegiatan ]],"D")</f>
        <v>28</v>
      </c>
      <c r="D745" s="19" t="str">
        <f>TEXT(Sales[[#This Row],[Kode Program/Kegiatan ]],"mmm")</f>
        <v>Mar</v>
      </c>
      <c r="E745" s="20">
        <v>10</v>
      </c>
      <c r="F745" s="19">
        <v>6</v>
      </c>
      <c r="G745" s="20">
        <f>IF(Sales[[#This Row],[Anggaran Murni]]-Sales[[#This Row],[Target s.d. Januari]]=0,"",Sales[[#This Row],[Anggaran Murni]]-Sales[[#This Row],[Target s.d. Januari]])</f>
        <v>4</v>
      </c>
      <c r="H745" s="19" t="s">
        <v>70</v>
      </c>
      <c r="I745" s="20" t="s">
        <v>1</v>
      </c>
      <c r="J745" s="20"/>
      <c r="K745" s="19" t="s">
        <v>19</v>
      </c>
      <c r="L745" s="19" t="s">
        <v>2</v>
      </c>
      <c r="M745" s="21" t="s">
        <v>67</v>
      </c>
      <c r="N745" s="20" t="s">
        <v>80</v>
      </c>
      <c r="O745" s="19" t="s">
        <v>14</v>
      </c>
      <c r="P745" s="10"/>
      <c r="Q745" s="11"/>
    </row>
    <row r="746" spans="2:17" ht="21" customHeight="1" x14ac:dyDescent="0.35">
      <c r="B746" s="1">
        <v>43918</v>
      </c>
      <c r="C746" s="1" t="str">
        <f>TEXT(Sales[[#This Row],[Kode Program/Kegiatan ]],"D")</f>
        <v>28</v>
      </c>
      <c r="D746" s="2" t="str">
        <f>TEXT(Sales[[#This Row],[Kode Program/Kegiatan ]],"mmm")</f>
        <v>Mar</v>
      </c>
      <c r="E746" s="3">
        <v>9</v>
      </c>
      <c r="F746" s="2">
        <v>7</v>
      </c>
      <c r="G746" s="3">
        <f>IF(Sales[[#This Row],[Anggaran Murni]]-Sales[[#This Row],[Target s.d. Januari]]=0,"",Sales[[#This Row],[Anggaran Murni]]-Sales[[#This Row],[Target s.d. Januari]])</f>
        <v>2</v>
      </c>
      <c r="H746" s="2" t="s">
        <v>73</v>
      </c>
      <c r="I746" s="3" t="s">
        <v>78</v>
      </c>
      <c r="J746" s="3"/>
      <c r="K746" s="2" t="s">
        <v>63</v>
      </c>
      <c r="L746" s="2" t="s">
        <v>5</v>
      </c>
      <c r="M746" s="4" t="s">
        <v>67</v>
      </c>
      <c r="N746" s="3" t="s">
        <v>80</v>
      </c>
      <c r="O746" s="2" t="s">
        <v>12</v>
      </c>
      <c r="P746" s="10"/>
      <c r="Q746" s="11"/>
    </row>
    <row r="747" spans="2:17" ht="21" customHeight="1" x14ac:dyDescent="0.35">
      <c r="B747" s="18">
        <v>43918</v>
      </c>
      <c r="C747" s="18" t="str">
        <f>TEXT(Sales[[#This Row],[Kode Program/Kegiatan ]],"D")</f>
        <v>28</v>
      </c>
      <c r="D747" s="19" t="str">
        <f>TEXT(Sales[[#This Row],[Kode Program/Kegiatan ]],"mmm")</f>
        <v>Mar</v>
      </c>
      <c r="E747" s="20">
        <v>8</v>
      </c>
      <c r="F747" s="19">
        <v>6</v>
      </c>
      <c r="G747" s="20">
        <f>IF(Sales[[#This Row],[Anggaran Murni]]-Sales[[#This Row],[Target s.d. Januari]]=0,"",Sales[[#This Row],[Anggaran Murni]]-Sales[[#This Row],[Target s.d. Januari]])</f>
        <v>2</v>
      </c>
      <c r="H747" s="19" t="s">
        <v>114</v>
      </c>
      <c r="I747" s="20" t="s">
        <v>3</v>
      </c>
      <c r="J747" s="20"/>
      <c r="K747" s="19" t="s">
        <v>32</v>
      </c>
      <c r="L747" s="19" t="s">
        <v>9</v>
      </c>
      <c r="M747" s="21" t="s">
        <v>67</v>
      </c>
      <c r="N747" s="20" t="s">
        <v>80</v>
      </c>
      <c r="O747" s="19" t="s">
        <v>12</v>
      </c>
      <c r="P747" s="10"/>
      <c r="Q747" s="11"/>
    </row>
    <row r="748" spans="2:17" ht="21" customHeight="1" x14ac:dyDescent="0.35">
      <c r="B748" s="1">
        <v>43918</v>
      </c>
      <c r="C748" s="1" t="str">
        <f>TEXT(Sales[[#This Row],[Kode Program/Kegiatan ]],"D")</f>
        <v>28</v>
      </c>
      <c r="D748" s="2" t="str">
        <f>TEXT(Sales[[#This Row],[Kode Program/Kegiatan ]],"mmm")</f>
        <v>Mar</v>
      </c>
      <c r="E748" s="3">
        <v>7</v>
      </c>
      <c r="F748" s="2">
        <v>5</v>
      </c>
      <c r="G748" s="3">
        <f>IF(Sales[[#This Row],[Anggaran Murni]]-Sales[[#This Row],[Target s.d. Januari]]=0,"",Sales[[#This Row],[Anggaran Murni]]-Sales[[#This Row],[Target s.d. Januari]])</f>
        <v>2</v>
      </c>
      <c r="H748" s="2" t="s">
        <v>74</v>
      </c>
      <c r="I748" s="3" t="s">
        <v>77</v>
      </c>
      <c r="J748" s="3"/>
      <c r="K748" s="2" t="s">
        <v>16</v>
      </c>
      <c r="L748" s="2" t="s">
        <v>9</v>
      </c>
      <c r="M748" s="4" t="s">
        <v>67</v>
      </c>
      <c r="N748" s="3" t="s">
        <v>82</v>
      </c>
      <c r="O748" s="2" t="s">
        <v>11</v>
      </c>
      <c r="P748" s="10"/>
      <c r="Q748" s="11"/>
    </row>
    <row r="749" spans="2:17" ht="21" customHeight="1" x14ac:dyDescent="0.35">
      <c r="B749" s="18">
        <v>43918</v>
      </c>
      <c r="C749" s="18" t="str">
        <f>TEXT(Sales[[#This Row],[Kode Program/Kegiatan ]],"D")</f>
        <v>28</v>
      </c>
      <c r="D749" s="19" t="str">
        <f>TEXT(Sales[[#This Row],[Kode Program/Kegiatan ]],"mmm")</f>
        <v>Mar</v>
      </c>
      <c r="E749" s="20">
        <v>7</v>
      </c>
      <c r="F749" s="19">
        <v>5</v>
      </c>
      <c r="G749" s="20">
        <f>IF(Sales[[#This Row],[Anggaran Murni]]-Sales[[#This Row],[Target s.d. Januari]]=0,"",Sales[[#This Row],[Anggaran Murni]]-Sales[[#This Row],[Target s.d. Januari]])</f>
        <v>2</v>
      </c>
      <c r="H749" s="19" t="s">
        <v>72</v>
      </c>
      <c r="I749" s="20" t="s">
        <v>78</v>
      </c>
      <c r="J749" s="20"/>
      <c r="K749" s="19" t="s">
        <v>30</v>
      </c>
      <c r="L749" s="19" t="s">
        <v>5</v>
      </c>
      <c r="M749" s="21" t="s">
        <v>67</v>
      </c>
      <c r="N749" s="20" t="s">
        <v>82</v>
      </c>
      <c r="O749" s="19" t="s">
        <v>14</v>
      </c>
      <c r="P749" s="10"/>
      <c r="Q749" s="11"/>
    </row>
    <row r="750" spans="2:17" ht="21" customHeight="1" x14ac:dyDescent="0.35">
      <c r="B750" s="1">
        <v>43918</v>
      </c>
      <c r="C750" s="1" t="str">
        <f>TEXT(Sales[[#This Row],[Kode Program/Kegiatan ]],"D")</f>
        <v>28</v>
      </c>
      <c r="D750" s="2" t="str">
        <f>TEXT(Sales[[#This Row],[Kode Program/Kegiatan ]],"mmm")</f>
        <v>Mar</v>
      </c>
      <c r="E750" s="3">
        <v>6</v>
      </c>
      <c r="F750" s="2">
        <v>4</v>
      </c>
      <c r="G750" s="3">
        <f>IF(Sales[[#This Row],[Anggaran Murni]]-Sales[[#This Row],[Target s.d. Januari]]=0,"",Sales[[#This Row],[Anggaran Murni]]-Sales[[#This Row],[Target s.d. Januari]])</f>
        <v>2</v>
      </c>
      <c r="H750" s="2" t="s">
        <v>73</v>
      </c>
      <c r="I750" s="3" t="s">
        <v>78</v>
      </c>
      <c r="J750" s="3"/>
      <c r="K750" s="2" t="s">
        <v>26</v>
      </c>
      <c r="L750" s="2" t="s">
        <v>2</v>
      </c>
      <c r="M750" s="4" t="s">
        <v>67</v>
      </c>
      <c r="N750" s="3" t="s">
        <v>81</v>
      </c>
      <c r="O750" s="2" t="s">
        <v>13</v>
      </c>
      <c r="P750" s="10"/>
      <c r="Q750" s="11"/>
    </row>
    <row r="751" spans="2:17" ht="21" customHeight="1" x14ac:dyDescent="0.35">
      <c r="B751" s="18">
        <v>43918</v>
      </c>
      <c r="C751" s="18" t="str">
        <f>TEXT(Sales[[#This Row],[Kode Program/Kegiatan ]],"D")</f>
        <v>28</v>
      </c>
      <c r="D751" s="19" t="str">
        <f>TEXT(Sales[[#This Row],[Kode Program/Kegiatan ]],"mmm")</f>
        <v>Mar</v>
      </c>
      <c r="E751" s="20">
        <v>5</v>
      </c>
      <c r="F751" s="19">
        <v>4</v>
      </c>
      <c r="G751" s="20">
        <f>IF(Sales[[#This Row],[Anggaran Murni]]-Sales[[#This Row],[Target s.d. Januari]]=0,"",Sales[[#This Row],[Anggaran Murni]]-Sales[[#This Row],[Target s.d. Januari]])</f>
        <v>1</v>
      </c>
      <c r="H751" s="19" t="s">
        <v>75</v>
      </c>
      <c r="I751" s="20" t="s">
        <v>6</v>
      </c>
      <c r="J751" s="20"/>
      <c r="K751" s="19" t="s">
        <v>28</v>
      </c>
      <c r="L751" s="19" t="s">
        <v>2</v>
      </c>
      <c r="M751" s="21" t="s">
        <v>67</v>
      </c>
      <c r="N751" s="20" t="s">
        <v>80</v>
      </c>
      <c r="O751" s="19" t="s">
        <v>11</v>
      </c>
      <c r="P751" s="10"/>
      <c r="Q751" s="11"/>
    </row>
    <row r="752" spans="2:17" ht="21" customHeight="1" x14ac:dyDescent="0.35">
      <c r="B752" s="1">
        <v>43918</v>
      </c>
      <c r="C752" s="1" t="str">
        <f>TEXT(Sales[[#This Row],[Kode Program/Kegiatan ]],"D")</f>
        <v>28</v>
      </c>
      <c r="D752" s="2" t="str">
        <f>TEXT(Sales[[#This Row],[Kode Program/Kegiatan ]],"mmm")</f>
        <v>Mar</v>
      </c>
      <c r="E752" s="3">
        <v>5</v>
      </c>
      <c r="F752" s="2">
        <v>3</v>
      </c>
      <c r="G752" s="3">
        <f>IF(Sales[[#This Row],[Anggaran Murni]]-Sales[[#This Row],[Target s.d. Januari]]=0,"",Sales[[#This Row],[Anggaran Murni]]-Sales[[#This Row],[Target s.d. Januari]])</f>
        <v>2</v>
      </c>
      <c r="H752" s="2" t="s">
        <v>73</v>
      </c>
      <c r="I752" s="3" t="s">
        <v>78</v>
      </c>
      <c r="J752" s="3"/>
      <c r="K752" s="2" t="s">
        <v>29</v>
      </c>
      <c r="L752" s="2" t="s">
        <v>5</v>
      </c>
      <c r="M752" s="4" t="s">
        <v>67</v>
      </c>
      <c r="N752" s="3" t="s">
        <v>82</v>
      </c>
      <c r="O752" s="2" t="s">
        <v>12</v>
      </c>
      <c r="P752" s="10"/>
      <c r="Q752" s="11"/>
    </row>
    <row r="753" spans="2:17" ht="21" customHeight="1" x14ac:dyDescent="0.35">
      <c r="B753" s="18">
        <v>43918</v>
      </c>
      <c r="C753" s="18" t="str">
        <f>TEXT(Sales[[#This Row],[Kode Program/Kegiatan ]],"D")</f>
        <v>28</v>
      </c>
      <c r="D753" s="19" t="str">
        <f>TEXT(Sales[[#This Row],[Kode Program/Kegiatan ]],"mmm")</f>
        <v>Mar</v>
      </c>
      <c r="E753" s="20">
        <v>4</v>
      </c>
      <c r="F753" s="19">
        <v>3</v>
      </c>
      <c r="G753" s="20">
        <f>IF(Sales[[#This Row],[Anggaran Murni]]-Sales[[#This Row],[Target s.d. Januari]]=0,"",Sales[[#This Row],[Anggaran Murni]]-Sales[[#This Row],[Target s.d. Januari]])</f>
        <v>1</v>
      </c>
      <c r="H753" s="19" t="s">
        <v>73</v>
      </c>
      <c r="I753" s="20" t="s">
        <v>78</v>
      </c>
      <c r="J753" s="20"/>
      <c r="K753" s="19" t="s">
        <v>41</v>
      </c>
      <c r="L753" s="19" t="s">
        <v>2</v>
      </c>
      <c r="M753" s="21" t="s">
        <v>67</v>
      </c>
      <c r="N753" s="20" t="s">
        <v>80</v>
      </c>
      <c r="O753" s="19" t="s">
        <v>11</v>
      </c>
      <c r="P753" s="10"/>
      <c r="Q753" s="11"/>
    </row>
    <row r="754" spans="2:17" ht="21" customHeight="1" x14ac:dyDescent="0.35">
      <c r="B754" s="1">
        <v>43918</v>
      </c>
      <c r="C754" s="1" t="str">
        <f>TEXT(Sales[[#This Row],[Kode Program/Kegiatan ]],"D")</f>
        <v>28</v>
      </c>
      <c r="D754" s="2" t="str">
        <f>TEXT(Sales[[#This Row],[Kode Program/Kegiatan ]],"mmm")</f>
        <v>Mar</v>
      </c>
      <c r="E754" s="3">
        <v>4</v>
      </c>
      <c r="F754" s="2">
        <v>2</v>
      </c>
      <c r="G754" s="3">
        <f>IF(Sales[[#This Row],[Anggaran Murni]]-Sales[[#This Row],[Target s.d. Januari]]=0,"",Sales[[#This Row],[Anggaran Murni]]-Sales[[#This Row],[Target s.d. Januari]])</f>
        <v>2</v>
      </c>
      <c r="H754" s="2" t="s">
        <v>70</v>
      </c>
      <c r="I754" s="3" t="s">
        <v>1</v>
      </c>
      <c r="J754" s="3"/>
      <c r="K754" s="2" t="s">
        <v>62</v>
      </c>
      <c r="L754" s="2" t="s">
        <v>2</v>
      </c>
      <c r="M754" s="4" t="s">
        <v>67</v>
      </c>
      <c r="N754" s="3" t="s">
        <v>82</v>
      </c>
      <c r="O754" s="2" t="s">
        <v>12</v>
      </c>
      <c r="P754" s="10"/>
      <c r="Q754" s="11"/>
    </row>
    <row r="755" spans="2:17" ht="21" customHeight="1" x14ac:dyDescent="0.35">
      <c r="B755" s="18">
        <v>43919</v>
      </c>
      <c r="C755" s="18" t="str">
        <f>TEXT(Sales[[#This Row],[Kode Program/Kegiatan ]],"D")</f>
        <v>29</v>
      </c>
      <c r="D755" s="19" t="str">
        <f>TEXT(Sales[[#This Row],[Kode Program/Kegiatan ]],"mmm")</f>
        <v>Mar</v>
      </c>
      <c r="E755" s="20">
        <v>10</v>
      </c>
      <c r="F755" s="19">
        <v>8</v>
      </c>
      <c r="G755" s="20">
        <f>IF(Sales[[#This Row],[Anggaran Murni]]-Sales[[#This Row],[Target s.d. Januari]]=0,"",Sales[[#This Row],[Anggaran Murni]]-Sales[[#This Row],[Target s.d. Januari]])</f>
        <v>2</v>
      </c>
      <c r="H755" s="19" t="s">
        <v>75</v>
      </c>
      <c r="I755" s="20" t="s">
        <v>6</v>
      </c>
      <c r="J755" s="20"/>
      <c r="K755" s="19" t="s">
        <v>16</v>
      </c>
      <c r="L755" s="19" t="s">
        <v>5</v>
      </c>
      <c r="M755" s="21" t="s">
        <v>67</v>
      </c>
      <c r="N755" s="20" t="s">
        <v>80</v>
      </c>
      <c r="O755" s="19" t="s">
        <v>14</v>
      </c>
      <c r="P755" s="10"/>
      <c r="Q755" s="11"/>
    </row>
    <row r="756" spans="2:17" ht="21" customHeight="1" x14ac:dyDescent="0.35">
      <c r="B756" s="1">
        <v>43919</v>
      </c>
      <c r="C756" s="1" t="str">
        <f>TEXT(Sales[[#This Row],[Kode Program/Kegiatan ]],"D")</f>
        <v>29</v>
      </c>
      <c r="D756" s="2" t="str">
        <f>TEXT(Sales[[#This Row],[Kode Program/Kegiatan ]],"mmm")</f>
        <v>Mar</v>
      </c>
      <c r="E756" s="3">
        <v>9</v>
      </c>
      <c r="F756" s="2">
        <v>5</v>
      </c>
      <c r="G756" s="3">
        <f>IF(Sales[[#This Row],[Anggaran Murni]]-Sales[[#This Row],[Target s.d. Januari]]=0,"",Sales[[#This Row],[Anggaran Murni]]-Sales[[#This Row],[Target s.d. Januari]])</f>
        <v>4</v>
      </c>
      <c r="H756" s="2" t="s">
        <v>113</v>
      </c>
      <c r="I756" s="3" t="s">
        <v>77</v>
      </c>
      <c r="J756" s="3"/>
      <c r="K756" s="2" t="s">
        <v>49</v>
      </c>
      <c r="L756" s="2" t="s">
        <v>5</v>
      </c>
      <c r="M756" s="4" t="s">
        <v>67</v>
      </c>
      <c r="N756" s="3" t="s">
        <v>82</v>
      </c>
      <c r="O756" s="2" t="s">
        <v>12</v>
      </c>
      <c r="P756" s="10"/>
      <c r="Q756" s="11"/>
    </row>
    <row r="757" spans="2:17" ht="21" customHeight="1" x14ac:dyDescent="0.35">
      <c r="B757" s="18">
        <v>43919</v>
      </c>
      <c r="C757" s="18" t="str">
        <f>TEXT(Sales[[#This Row],[Kode Program/Kegiatan ]],"D")</f>
        <v>29</v>
      </c>
      <c r="D757" s="19" t="str">
        <f>TEXT(Sales[[#This Row],[Kode Program/Kegiatan ]],"mmm")</f>
        <v>Mar</v>
      </c>
      <c r="E757" s="20">
        <v>8</v>
      </c>
      <c r="F757" s="19">
        <v>5</v>
      </c>
      <c r="G757" s="20">
        <f>IF(Sales[[#This Row],[Anggaran Murni]]-Sales[[#This Row],[Target s.d. Januari]]=0,"",Sales[[#This Row],[Anggaran Murni]]-Sales[[#This Row],[Target s.d. Januari]])</f>
        <v>3</v>
      </c>
      <c r="H757" s="19" t="s">
        <v>71</v>
      </c>
      <c r="I757" s="20" t="s">
        <v>6</v>
      </c>
      <c r="J757" s="20"/>
      <c r="K757" s="19" t="s">
        <v>33</v>
      </c>
      <c r="L757" s="19" t="s">
        <v>5</v>
      </c>
      <c r="M757" s="21" t="s">
        <v>67</v>
      </c>
      <c r="N757" s="20" t="s">
        <v>80</v>
      </c>
      <c r="O757" s="19" t="s">
        <v>14</v>
      </c>
      <c r="P757" s="10"/>
      <c r="Q757" s="11"/>
    </row>
    <row r="758" spans="2:17" ht="21" customHeight="1" x14ac:dyDescent="0.35">
      <c r="B758" s="1">
        <v>43919</v>
      </c>
      <c r="C758" s="1" t="str">
        <f>TEXT(Sales[[#This Row],[Kode Program/Kegiatan ]],"D")</f>
        <v>29</v>
      </c>
      <c r="D758" s="2" t="str">
        <f>TEXT(Sales[[#This Row],[Kode Program/Kegiatan ]],"mmm")</f>
        <v>Mar</v>
      </c>
      <c r="E758" s="3">
        <v>8</v>
      </c>
      <c r="F758" s="2">
        <v>4</v>
      </c>
      <c r="G758" s="3">
        <f>IF(Sales[[#This Row],[Anggaran Murni]]-Sales[[#This Row],[Target s.d. Januari]]=0,"",Sales[[#This Row],[Anggaran Murni]]-Sales[[#This Row],[Target s.d. Januari]])</f>
        <v>4</v>
      </c>
      <c r="H758" s="2" t="s">
        <v>73</v>
      </c>
      <c r="I758" s="3" t="s">
        <v>78</v>
      </c>
      <c r="J758" s="3"/>
      <c r="K758" s="2" t="s">
        <v>19</v>
      </c>
      <c r="L758" s="2" t="s">
        <v>7</v>
      </c>
      <c r="M758" s="4" t="s">
        <v>67</v>
      </c>
      <c r="N758" s="3" t="s">
        <v>80</v>
      </c>
      <c r="O758" s="2" t="s">
        <v>11</v>
      </c>
      <c r="P758" s="10"/>
      <c r="Q758" s="11"/>
    </row>
    <row r="759" spans="2:17" ht="21" customHeight="1" x14ac:dyDescent="0.35">
      <c r="B759" s="18">
        <v>43919</v>
      </c>
      <c r="C759" s="18" t="str">
        <f>TEXT(Sales[[#This Row],[Kode Program/Kegiatan ]],"D")</f>
        <v>29</v>
      </c>
      <c r="D759" s="19" t="str">
        <f>TEXT(Sales[[#This Row],[Kode Program/Kegiatan ]],"mmm")</f>
        <v>Mar</v>
      </c>
      <c r="E759" s="20">
        <v>8</v>
      </c>
      <c r="F759" s="19">
        <v>7</v>
      </c>
      <c r="G759" s="20">
        <f>IF(Sales[[#This Row],[Anggaran Murni]]-Sales[[#This Row],[Target s.d. Januari]]=0,"",Sales[[#This Row],[Anggaran Murni]]-Sales[[#This Row],[Target s.d. Januari]])</f>
        <v>1</v>
      </c>
      <c r="H759" s="19" t="s">
        <v>114</v>
      </c>
      <c r="I759" s="20" t="s">
        <v>3</v>
      </c>
      <c r="J759" s="20"/>
      <c r="K759" s="19" t="s">
        <v>63</v>
      </c>
      <c r="L759" s="19" t="s">
        <v>2</v>
      </c>
      <c r="M759" s="21" t="s">
        <v>67</v>
      </c>
      <c r="N759" s="20" t="s">
        <v>80</v>
      </c>
      <c r="O759" s="19" t="s">
        <v>12</v>
      </c>
      <c r="P759" s="10"/>
      <c r="Q759" s="11"/>
    </row>
    <row r="760" spans="2:17" ht="21" customHeight="1" x14ac:dyDescent="0.35">
      <c r="B760" s="1">
        <v>43919</v>
      </c>
      <c r="C760" s="1" t="str">
        <f>TEXT(Sales[[#This Row],[Kode Program/Kegiatan ]],"D")</f>
        <v>29</v>
      </c>
      <c r="D760" s="2" t="str">
        <f>TEXT(Sales[[#This Row],[Kode Program/Kegiatan ]],"mmm")</f>
        <v>Mar</v>
      </c>
      <c r="E760" s="3">
        <v>7</v>
      </c>
      <c r="F760" s="2">
        <v>4</v>
      </c>
      <c r="G760" s="3">
        <f>IF(Sales[[#This Row],[Anggaran Murni]]-Sales[[#This Row],[Target s.d. Januari]]=0,"",Sales[[#This Row],[Anggaran Murni]]-Sales[[#This Row],[Target s.d. Januari]])</f>
        <v>3</v>
      </c>
      <c r="H760" s="2" t="s">
        <v>76</v>
      </c>
      <c r="I760" s="3" t="s">
        <v>79</v>
      </c>
      <c r="J760" s="3"/>
      <c r="K760" s="2" t="s">
        <v>36</v>
      </c>
      <c r="L760" s="2" t="s">
        <v>2</v>
      </c>
      <c r="M760" s="4" t="s">
        <v>67</v>
      </c>
      <c r="N760" s="3" t="s">
        <v>80</v>
      </c>
      <c r="O760" s="2" t="s">
        <v>12</v>
      </c>
      <c r="P760" s="10"/>
      <c r="Q760" s="11"/>
    </row>
    <row r="761" spans="2:17" ht="21" customHeight="1" x14ac:dyDescent="0.35">
      <c r="B761" s="18">
        <v>43919</v>
      </c>
      <c r="C761" s="18" t="str">
        <f>TEXT(Sales[[#This Row],[Kode Program/Kegiatan ]],"D")</f>
        <v>29</v>
      </c>
      <c r="D761" s="19" t="str">
        <f>TEXT(Sales[[#This Row],[Kode Program/Kegiatan ]],"mmm")</f>
        <v>Mar</v>
      </c>
      <c r="E761" s="20">
        <v>7</v>
      </c>
      <c r="F761" s="19">
        <v>5</v>
      </c>
      <c r="G761" s="20">
        <f>IF(Sales[[#This Row],[Anggaran Murni]]-Sales[[#This Row],[Target s.d. Januari]]=0,"",Sales[[#This Row],[Anggaran Murni]]-Sales[[#This Row],[Target s.d. Januari]])</f>
        <v>2</v>
      </c>
      <c r="H761" s="19" t="s">
        <v>71</v>
      </c>
      <c r="I761" s="20" t="s">
        <v>6</v>
      </c>
      <c r="J761" s="20"/>
      <c r="K761" s="19" t="s">
        <v>54</v>
      </c>
      <c r="L761" s="19" t="s">
        <v>2</v>
      </c>
      <c r="M761" s="21" t="s">
        <v>67</v>
      </c>
      <c r="N761" s="20" t="s">
        <v>80</v>
      </c>
      <c r="O761" s="19" t="s">
        <v>14</v>
      </c>
      <c r="P761" s="10"/>
      <c r="Q761" s="11"/>
    </row>
    <row r="762" spans="2:17" ht="21" customHeight="1" x14ac:dyDescent="0.35">
      <c r="B762" s="1">
        <v>43919</v>
      </c>
      <c r="C762" s="1" t="str">
        <f>TEXT(Sales[[#This Row],[Kode Program/Kegiatan ]],"D")</f>
        <v>29</v>
      </c>
      <c r="D762" s="2" t="str">
        <f>TEXT(Sales[[#This Row],[Kode Program/Kegiatan ]],"mmm")</f>
        <v>Mar</v>
      </c>
      <c r="E762" s="3">
        <v>6</v>
      </c>
      <c r="F762" s="2">
        <v>4</v>
      </c>
      <c r="G762" s="3">
        <f>IF(Sales[[#This Row],[Anggaran Murni]]-Sales[[#This Row],[Target s.d. Januari]]=0,"",Sales[[#This Row],[Anggaran Murni]]-Sales[[#This Row],[Target s.d. Januari]])</f>
        <v>2</v>
      </c>
      <c r="H762" s="2" t="s">
        <v>113</v>
      </c>
      <c r="I762" s="3" t="s">
        <v>77</v>
      </c>
      <c r="J762" s="3"/>
      <c r="K762" s="2" t="s">
        <v>38</v>
      </c>
      <c r="L762" s="2" t="s">
        <v>5</v>
      </c>
      <c r="M762" s="4" t="s">
        <v>67</v>
      </c>
      <c r="N762" s="3" t="s">
        <v>81</v>
      </c>
      <c r="O762" s="2" t="s">
        <v>13</v>
      </c>
      <c r="P762" s="10"/>
      <c r="Q762" s="11"/>
    </row>
    <row r="763" spans="2:17" ht="21" customHeight="1" x14ac:dyDescent="0.35">
      <c r="B763" s="18">
        <v>43919</v>
      </c>
      <c r="C763" s="18" t="str">
        <f>TEXT(Sales[[#This Row],[Kode Program/Kegiatan ]],"D")</f>
        <v>29</v>
      </c>
      <c r="D763" s="19" t="str">
        <f>TEXT(Sales[[#This Row],[Kode Program/Kegiatan ]],"mmm")</f>
        <v>Mar</v>
      </c>
      <c r="E763" s="20">
        <v>6</v>
      </c>
      <c r="F763" s="19">
        <v>3</v>
      </c>
      <c r="G763" s="20">
        <f>IF(Sales[[#This Row],[Anggaran Murni]]-Sales[[#This Row],[Target s.d. Januari]]=0,"",Sales[[#This Row],[Anggaran Murni]]-Sales[[#This Row],[Target s.d. Januari]])</f>
        <v>3</v>
      </c>
      <c r="H763" s="19" t="s">
        <v>76</v>
      </c>
      <c r="I763" s="20" t="s">
        <v>79</v>
      </c>
      <c r="J763" s="20"/>
      <c r="K763" s="19" t="s">
        <v>31</v>
      </c>
      <c r="L763" s="19" t="s">
        <v>4</v>
      </c>
      <c r="M763" s="21" t="s">
        <v>67</v>
      </c>
      <c r="N763" s="20" t="s">
        <v>80</v>
      </c>
      <c r="O763" s="19" t="s">
        <v>11</v>
      </c>
      <c r="P763" s="10"/>
      <c r="Q763" s="11"/>
    </row>
    <row r="764" spans="2:17" ht="21" customHeight="1" x14ac:dyDescent="0.35">
      <c r="B764" s="1">
        <v>43919</v>
      </c>
      <c r="C764" s="1" t="str">
        <f>TEXT(Sales[[#This Row],[Kode Program/Kegiatan ]],"D")</f>
        <v>29</v>
      </c>
      <c r="D764" s="2" t="str">
        <f>TEXT(Sales[[#This Row],[Kode Program/Kegiatan ]],"mmm")</f>
        <v>Mar</v>
      </c>
      <c r="E764" s="3">
        <v>5</v>
      </c>
      <c r="F764" s="2">
        <v>4</v>
      </c>
      <c r="G764" s="3">
        <f>IF(Sales[[#This Row],[Anggaran Murni]]-Sales[[#This Row],[Target s.d. Januari]]=0,"",Sales[[#This Row],[Anggaran Murni]]-Sales[[#This Row],[Target s.d. Januari]])</f>
        <v>1</v>
      </c>
      <c r="H764" s="2" t="s">
        <v>114</v>
      </c>
      <c r="I764" s="3" t="s">
        <v>3</v>
      </c>
      <c r="J764" s="3"/>
      <c r="K764" s="2" t="s">
        <v>43</v>
      </c>
      <c r="L764" s="2" t="s">
        <v>5</v>
      </c>
      <c r="M764" s="4" t="s">
        <v>67</v>
      </c>
      <c r="N764" s="3" t="s">
        <v>82</v>
      </c>
      <c r="O764" s="2" t="s">
        <v>14</v>
      </c>
      <c r="P764" s="10"/>
      <c r="Q764" s="11"/>
    </row>
    <row r="765" spans="2:17" ht="21" customHeight="1" x14ac:dyDescent="0.35">
      <c r="B765" s="18">
        <v>43919</v>
      </c>
      <c r="C765" s="18" t="str">
        <f>TEXT(Sales[[#This Row],[Kode Program/Kegiatan ]],"D")</f>
        <v>29</v>
      </c>
      <c r="D765" s="19" t="str">
        <f>TEXT(Sales[[#This Row],[Kode Program/Kegiatan ]],"mmm")</f>
        <v>Mar</v>
      </c>
      <c r="E765" s="20">
        <v>5</v>
      </c>
      <c r="F765" s="19">
        <v>3</v>
      </c>
      <c r="G765" s="20">
        <f>IF(Sales[[#This Row],[Anggaran Murni]]-Sales[[#This Row],[Target s.d. Januari]]=0,"",Sales[[#This Row],[Anggaran Murni]]-Sales[[#This Row],[Target s.d. Januari]])</f>
        <v>2</v>
      </c>
      <c r="H765" s="19" t="s">
        <v>70</v>
      </c>
      <c r="I765" s="20" t="s">
        <v>1</v>
      </c>
      <c r="J765" s="20"/>
      <c r="K765" s="19" t="s">
        <v>34</v>
      </c>
      <c r="L765" s="19" t="s">
        <v>8</v>
      </c>
      <c r="M765" s="21" t="s">
        <v>67</v>
      </c>
      <c r="N765" s="20" t="s">
        <v>80</v>
      </c>
      <c r="O765" s="19" t="s">
        <v>12</v>
      </c>
      <c r="P765" s="10"/>
      <c r="Q765" s="11"/>
    </row>
    <row r="766" spans="2:17" ht="21" customHeight="1" x14ac:dyDescent="0.35">
      <c r="B766" s="1">
        <v>43919</v>
      </c>
      <c r="C766" s="1" t="str">
        <f>TEXT(Sales[[#This Row],[Kode Program/Kegiatan ]],"D")</f>
        <v>29</v>
      </c>
      <c r="D766" s="2" t="str">
        <f>TEXT(Sales[[#This Row],[Kode Program/Kegiatan ]],"mmm")</f>
        <v>Mar</v>
      </c>
      <c r="E766" s="3">
        <v>4</v>
      </c>
      <c r="F766" s="2">
        <v>2</v>
      </c>
      <c r="G766" s="3">
        <f>IF(Sales[[#This Row],[Anggaran Murni]]-Sales[[#This Row],[Target s.d. Januari]]=0,"",Sales[[#This Row],[Anggaran Murni]]-Sales[[#This Row],[Target s.d. Januari]])</f>
        <v>2</v>
      </c>
      <c r="H766" s="2" t="s">
        <v>75</v>
      </c>
      <c r="I766" s="3" t="s">
        <v>6</v>
      </c>
      <c r="J766" s="3"/>
      <c r="K766" s="2" t="s">
        <v>23</v>
      </c>
      <c r="L766" s="2" t="s">
        <v>5</v>
      </c>
      <c r="M766" s="4" t="s">
        <v>67</v>
      </c>
      <c r="N766" s="3" t="s">
        <v>81</v>
      </c>
      <c r="O766" s="2" t="s">
        <v>14</v>
      </c>
      <c r="P766" s="10"/>
      <c r="Q766" s="11"/>
    </row>
    <row r="767" spans="2:17" ht="21" customHeight="1" x14ac:dyDescent="0.35">
      <c r="B767" s="18">
        <v>43919</v>
      </c>
      <c r="C767" s="18" t="str">
        <f>TEXT(Sales[[#This Row],[Kode Program/Kegiatan ]],"D")</f>
        <v>29</v>
      </c>
      <c r="D767" s="19" t="str">
        <f>TEXT(Sales[[#This Row],[Kode Program/Kegiatan ]],"mmm")</f>
        <v>Mar</v>
      </c>
      <c r="E767" s="20">
        <v>4</v>
      </c>
      <c r="F767" s="19">
        <v>2</v>
      </c>
      <c r="G767" s="20">
        <f>IF(Sales[[#This Row],[Anggaran Murni]]-Sales[[#This Row],[Target s.d. Januari]]=0,"",Sales[[#This Row],[Anggaran Murni]]-Sales[[#This Row],[Target s.d. Januari]])</f>
        <v>2</v>
      </c>
      <c r="H767" s="19" t="s">
        <v>71</v>
      </c>
      <c r="I767" s="20" t="s">
        <v>6</v>
      </c>
      <c r="J767" s="20"/>
      <c r="K767" s="19" t="s">
        <v>20</v>
      </c>
      <c r="L767" s="19" t="s">
        <v>5</v>
      </c>
      <c r="M767" s="21" t="s">
        <v>67</v>
      </c>
      <c r="N767" s="20" t="s">
        <v>80</v>
      </c>
      <c r="O767" s="19" t="s">
        <v>13</v>
      </c>
      <c r="P767" s="10"/>
      <c r="Q767" s="11"/>
    </row>
    <row r="768" spans="2:17" ht="21" customHeight="1" x14ac:dyDescent="0.35">
      <c r="B768" s="1">
        <v>43920</v>
      </c>
      <c r="C768" s="1" t="str">
        <f>TEXT(Sales[[#This Row],[Kode Program/Kegiatan ]],"D")</f>
        <v>30</v>
      </c>
      <c r="D768" s="2" t="str">
        <f>TEXT(Sales[[#This Row],[Kode Program/Kegiatan ]],"mmm")</f>
        <v>Mar</v>
      </c>
      <c r="E768" s="3">
        <v>9</v>
      </c>
      <c r="F768" s="2">
        <v>5</v>
      </c>
      <c r="G768" s="3">
        <f>IF(Sales[[#This Row],[Anggaran Murni]]-Sales[[#This Row],[Target s.d. Januari]]=0,"",Sales[[#This Row],[Anggaran Murni]]-Sales[[#This Row],[Target s.d. Januari]])</f>
        <v>4</v>
      </c>
      <c r="H768" s="2" t="s">
        <v>74</v>
      </c>
      <c r="I768" s="3" t="s">
        <v>77</v>
      </c>
      <c r="J768" s="3"/>
      <c r="K768" s="2" t="s">
        <v>63</v>
      </c>
      <c r="L768" s="2" t="s">
        <v>2</v>
      </c>
      <c r="M768" s="4" t="s">
        <v>67</v>
      </c>
      <c r="N768" s="3" t="s">
        <v>81</v>
      </c>
      <c r="O768" s="2" t="s">
        <v>14</v>
      </c>
      <c r="P768" s="10"/>
      <c r="Q768" s="11"/>
    </row>
    <row r="769" spans="2:17" ht="21" customHeight="1" x14ac:dyDescent="0.35">
      <c r="B769" s="18">
        <v>43920</v>
      </c>
      <c r="C769" s="18" t="str">
        <f>TEXT(Sales[[#This Row],[Kode Program/Kegiatan ]],"D")</f>
        <v>30</v>
      </c>
      <c r="D769" s="19" t="str">
        <f>TEXT(Sales[[#This Row],[Kode Program/Kegiatan ]],"mmm")</f>
        <v>Mar</v>
      </c>
      <c r="E769" s="20">
        <v>9</v>
      </c>
      <c r="F769" s="19">
        <v>7</v>
      </c>
      <c r="G769" s="20">
        <f>IF(Sales[[#This Row],[Anggaran Murni]]-Sales[[#This Row],[Target s.d. Januari]]=0,"",Sales[[#This Row],[Anggaran Murni]]-Sales[[#This Row],[Target s.d. Januari]])</f>
        <v>2</v>
      </c>
      <c r="H769" s="19" t="s">
        <v>75</v>
      </c>
      <c r="I769" s="20" t="s">
        <v>6</v>
      </c>
      <c r="J769" s="20"/>
      <c r="K769" s="19" t="s">
        <v>38</v>
      </c>
      <c r="L769" s="19" t="s">
        <v>4</v>
      </c>
      <c r="M769" s="21" t="s">
        <v>67</v>
      </c>
      <c r="N769" s="20" t="s">
        <v>81</v>
      </c>
      <c r="O769" s="19" t="s">
        <v>11</v>
      </c>
      <c r="P769" s="10"/>
      <c r="Q769" s="11"/>
    </row>
    <row r="770" spans="2:17" ht="21" customHeight="1" x14ac:dyDescent="0.35">
      <c r="B770" s="1">
        <v>43920</v>
      </c>
      <c r="C770" s="1" t="str">
        <f>TEXT(Sales[[#This Row],[Kode Program/Kegiatan ]],"D")</f>
        <v>30</v>
      </c>
      <c r="D770" s="2" t="str">
        <f>TEXT(Sales[[#This Row],[Kode Program/Kegiatan ]],"mmm")</f>
        <v>Mar</v>
      </c>
      <c r="E770" s="3">
        <v>7</v>
      </c>
      <c r="F770" s="2">
        <v>5</v>
      </c>
      <c r="G770" s="3">
        <f>IF(Sales[[#This Row],[Anggaran Murni]]-Sales[[#This Row],[Target s.d. Januari]]=0,"",Sales[[#This Row],[Anggaran Murni]]-Sales[[#This Row],[Target s.d. Januari]])</f>
        <v>2</v>
      </c>
      <c r="H770" s="2" t="s">
        <v>76</v>
      </c>
      <c r="I770" s="3" t="s">
        <v>79</v>
      </c>
      <c r="J770" s="3"/>
      <c r="K770" s="2" t="s">
        <v>46</v>
      </c>
      <c r="L770" s="2" t="s">
        <v>5</v>
      </c>
      <c r="M770" s="4" t="s">
        <v>67</v>
      </c>
      <c r="N770" s="3" t="s">
        <v>80</v>
      </c>
      <c r="O770" s="2" t="s">
        <v>11</v>
      </c>
      <c r="P770" s="10"/>
      <c r="Q770" s="11"/>
    </row>
    <row r="771" spans="2:17" ht="21" customHeight="1" x14ac:dyDescent="0.35">
      <c r="B771" s="18">
        <v>43920</v>
      </c>
      <c r="C771" s="18" t="str">
        <f>TEXT(Sales[[#This Row],[Kode Program/Kegiatan ]],"D")</f>
        <v>30</v>
      </c>
      <c r="D771" s="19" t="str">
        <f>TEXT(Sales[[#This Row],[Kode Program/Kegiatan ]],"mmm")</f>
        <v>Mar</v>
      </c>
      <c r="E771" s="20">
        <v>6</v>
      </c>
      <c r="F771" s="19">
        <v>3</v>
      </c>
      <c r="G771" s="20">
        <f>IF(Sales[[#This Row],[Anggaran Murni]]-Sales[[#This Row],[Target s.d. Januari]]=0,"",Sales[[#This Row],[Anggaran Murni]]-Sales[[#This Row],[Target s.d. Januari]])</f>
        <v>3</v>
      </c>
      <c r="H771" s="19" t="s">
        <v>70</v>
      </c>
      <c r="I771" s="20" t="s">
        <v>1</v>
      </c>
      <c r="J771" s="20"/>
      <c r="K771" s="19" t="s">
        <v>17</v>
      </c>
      <c r="L771" s="19" t="s">
        <v>2</v>
      </c>
      <c r="M771" s="21" t="s">
        <v>67</v>
      </c>
      <c r="N771" s="20" t="s">
        <v>81</v>
      </c>
      <c r="O771" s="19" t="s">
        <v>14</v>
      </c>
      <c r="P771" s="10"/>
      <c r="Q771" s="11"/>
    </row>
    <row r="772" spans="2:17" ht="21" customHeight="1" x14ac:dyDescent="0.35">
      <c r="B772" s="1">
        <v>43920</v>
      </c>
      <c r="C772" s="1" t="str">
        <f>TEXT(Sales[[#This Row],[Kode Program/Kegiatan ]],"D")</f>
        <v>30</v>
      </c>
      <c r="D772" s="2" t="str">
        <f>TEXT(Sales[[#This Row],[Kode Program/Kegiatan ]],"mmm")</f>
        <v>Mar</v>
      </c>
      <c r="E772" s="3">
        <v>5</v>
      </c>
      <c r="F772" s="2">
        <v>4</v>
      </c>
      <c r="G772" s="3">
        <f>IF(Sales[[#This Row],[Anggaran Murni]]-Sales[[#This Row],[Target s.d. Januari]]=0,"",Sales[[#This Row],[Anggaran Murni]]-Sales[[#This Row],[Target s.d. Januari]])</f>
        <v>1</v>
      </c>
      <c r="H772" s="2" t="s">
        <v>74</v>
      </c>
      <c r="I772" s="3" t="s">
        <v>77</v>
      </c>
      <c r="J772" s="3"/>
      <c r="K772" s="2" t="s">
        <v>57</v>
      </c>
      <c r="L772" s="2" t="s">
        <v>7</v>
      </c>
      <c r="M772" s="4" t="s">
        <v>67</v>
      </c>
      <c r="N772" s="3" t="s">
        <v>80</v>
      </c>
      <c r="O772" s="2" t="s">
        <v>11</v>
      </c>
      <c r="P772" s="10"/>
      <c r="Q772" s="11"/>
    </row>
    <row r="773" spans="2:17" ht="21" customHeight="1" x14ac:dyDescent="0.35">
      <c r="B773" s="18">
        <v>43920</v>
      </c>
      <c r="C773" s="18" t="str">
        <f>TEXT(Sales[[#This Row],[Kode Program/Kegiatan ]],"D")</f>
        <v>30</v>
      </c>
      <c r="D773" s="19" t="str">
        <f>TEXT(Sales[[#This Row],[Kode Program/Kegiatan ]],"mmm")</f>
        <v>Mar</v>
      </c>
      <c r="E773" s="20">
        <v>4</v>
      </c>
      <c r="F773" s="19">
        <v>2</v>
      </c>
      <c r="G773" s="20">
        <f>IF(Sales[[#This Row],[Anggaran Murni]]-Sales[[#This Row],[Target s.d. Januari]]=0,"",Sales[[#This Row],[Anggaran Murni]]-Sales[[#This Row],[Target s.d. Januari]])</f>
        <v>2</v>
      </c>
      <c r="H773" s="19" t="s">
        <v>70</v>
      </c>
      <c r="I773" s="20" t="s">
        <v>1</v>
      </c>
      <c r="J773" s="20"/>
      <c r="K773" s="19" t="s">
        <v>24</v>
      </c>
      <c r="L773" s="19" t="s">
        <v>2</v>
      </c>
      <c r="M773" s="21" t="s">
        <v>67</v>
      </c>
      <c r="N773" s="20" t="s">
        <v>81</v>
      </c>
      <c r="O773" s="19" t="s">
        <v>12</v>
      </c>
      <c r="P773" s="10"/>
      <c r="Q773" s="11"/>
    </row>
    <row r="774" spans="2:17" ht="21" customHeight="1" x14ac:dyDescent="0.35">
      <c r="B774" s="1">
        <v>43920</v>
      </c>
      <c r="C774" s="1" t="str">
        <f>TEXT(Sales[[#This Row],[Kode Program/Kegiatan ]],"D")</f>
        <v>30</v>
      </c>
      <c r="D774" s="2" t="str">
        <f>TEXT(Sales[[#This Row],[Kode Program/Kegiatan ]],"mmm")</f>
        <v>Mar</v>
      </c>
      <c r="E774" s="3">
        <v>4</v>
      </c>
      <c r="F774" s="2">
        <v>3</v>
      </c>
      <c r="G774" s="3">
        <f>IF(Sales[[#This Row],[Anggaran Murni]]-Sales[[#This Row],[Target s.d. Januari]]=0,"",Sales[[#This Row],[Anggaran Murni]]-Sales[[#This Row],[Target s.d. Januari]])</f>
        <v>1</v>
      </c>
      <c r="H774" s="2" t="s">
        <v>74</v>
      </c>
      <c r="I774" s="3" t="s">
        <v>77</v>
      </c>
      <c r="J774" s="3"/>
      <c r="K774" s="2" t="s">
        <v>46</v>
      </c>
      <c r="L774" s="2" t="s">
        <v>2</v>
      </c>
      <c r="M774" s="4" t="s">
        <v>67</v>
      </c>
      <c r="N774" s="3" t="s">
        <v>81</v>
      </c>
      <c r="O774" s="2" t="s">
        <v>14</v>
      </c>
      <c r="P774" s="10"/>
      <c r="Q774" s="11"/>
    </row>
    <row r="775" spans="2:17" ht="21" customHeight="1" x14ac:dyDescent="0.35">
      <c r="B775" s="18">
        <v>43920</v>
      </c>
      <c r="C775" s="18" t="str">
        <f>TEXT(Sales[[#This Row],[Kode Program/Kegiatan ]],"D")</f>
        <v>30</v>
      </c>
      <c r="D775" s="19" t="str">
        <f>TEXT(Sales[[#This Row],[Kode Program/Kegiatan ]],"mmm")</f>
        <v>Mar</v>
      </c>
      <c r="E775" s="20">
        <v>4</v>
      </c>
      <c r="F775" s="19">
        <v>3</v>
      </c>
      <c r="G775" s="20">
        <f>IF(Sales[[#This Row],[Anggaran Murni]]-Sales[[#This Row],[Target s.d. Januari]]=0,"",Sales[[#This Row],[Anggaran Murni]]-Sales[[#This Row],[Target s.d. Januari]])</f>
        <v>1</v>
      </c>
      <c r="H775" s="19" t="s">
        <v>72</v>
      </c>
      <c r="I775" s="20" t="s">
        <v>78</v>
      </c>
      <c r="J775" s="20"/>
      <c r="K775" s="19" t="s">
        <v>54</v>
      </c>
      <c r="L775" s="19" t="s">
        <v>5</v>
      </c>
      <c r="M775" s="21" t="s">
        <v>67</v>
      </c>
      <c r="N775" s="20" t="s">
        <v>80</v>
      </c>
      <c r="O775" s="19" t="s">
        <v>11</v>
      </c>
      <c r="P775" s="10"/>
      <c r="Q775" s="11"/>
    </row>
    <row r="776" spans="2:17" ht="21" customHeight="1" x14ac:dyDescent="0.35">
      <c r="B776" s="1">
        <v>43920</v>
      </c>
      <c r="C776" s="1" t="str">
        <f>TEXT(Sales[[#This Row],[Kode Program/Kegiatan ]],"D")</f>
        <v>30</v>
      </c>
      <c r="D776" s="2" t="str">
        <f>TEXT(Sales[[#This Row],[Kode Program/Kegiatan ]],"mmm")</f>
        <v>Mar</v>
      </c>
      <c r="E776" s="3">
        <v>4</v>
      </c>
      <c r="F776" s="2">
        <v>2</v>
      </c>
      <c r="G776" s="3">
        <f>IF(Sales[[#This Row],[Anggaran Murni]]-Sales[[#This Row],[Target s.d. Januari]]=0,"",Sales[[#This Row],[Anggaran Murni]]-Sales[[#This Row],[Target s.d. Januari]])</f>
        <v>2</v>
      </c>
      <c r="H776" s="2" t="s">
        <v>73</v>
      </c>
      <c r="I776" s="3" t="s">
        <v>78</v>
      </c>
      <c r="J776" s="3"/>
      <c r="K776" s="2" t="s">
        <v>48</v>
      </c>
      <c r="L776" s="2" t="s">
        <v>2</v>
      </c>
      <c r="M776" s="4" t="s">
        <v>67</v>
      </c>
      <c r="N776" s="3" t="s">
        <v>81</v>
      </c>
      <c r="O776" s="2" t="s">
        <v>12</v>
      </c>
      <c r="P776" s="10"/>
      <c r="Q776" s="11"/>
    </row>
    <row r="777" spans="2:17" ht="21" customHeight="1" x14ac:dyDescent="0.35">
      <c r="B777" s="18">
        <v>43920</v>
      </c>
      <c r="C777" s="18" t="str">
        <f>TEXT(Sales[[#This Row],[Kode Program/Kegiatan ]],"D")</f>
        <v>30</v>
      </c>
      <c r="D777" s="19" t="str">
        <f>TEXT(Sales[[#This Row],[Kode Program/Kegiatan ]],"mmm")</f>
        <v>Mar</v>
      </c>
      <c r="E777" s="20">
        <v>4</v>
      </c>
      <c r="F777" s="19">
        <v>2</v>
      </c>
      <c r="G777" s="20">
        <f>IF(Sales[[#This Row],[Anggaran Murni]]-Sales[[#This Row],[Target s.d. Januari]]=0,"",Sales[[#This Row],[Anggaran Murni]]-Sales[[#This Row],[Target s.d. Januari]])</f>
        <v>2</v>
      </c>
      <c r="H777" s="19" t="s">
        <v>71</v>
      </c>
      <c r="I777" s="20" t="s">
        <v>6</v>
      </c>
      <c r="J777" s="20"/>
      <c r="K777" s="19" t="s">
        <v>45</v>
      </c>
      <c r="L777" s="19" t="s">
        <v>9</v>
      </c>
      <c r="M777" s="21" t="s">
        <v>67</v>
      </c>
      <c r="N777" s="20" t="s">
        <v>81</v>
      </c>
      <c r="O777" s="19" t="s">
        <v>13</v>
      </c>
      <c r="P777" s="10"/>
      <c r="Q777" s="11"/>
    </row>
    <row r="778" spans="2:17" ht="21" customHeight="1" x14ac:dyDescent="0.35">
      <c r="B778" s="1">
        <v>43921</v>
      </c>
      <c r="C778" s="1" t="str">
        <f>TEXT(Sales[[#This Row],[Kode Program/Kegiatan ]],"D")</f>
        <v>31</v>
      </c>
      <c r="D778" s="2" t="str">
        <f>TEXT(Sales[[#This Row],[Kode Program/Kegiatan ]],"mmm")</f>
        <v>Mar</v>
      </c>
      <c r="E778" s="3">
        <v>9</v>
      </c>
      <c r="F778" s="2">
        <v>8</v>
      </c>
      <c r="G778" s="3">
        <f>IF(Sales[[#This Row],[Anggaran Murni]]-Sales[[#This Row],[Target s.d. Januari]]=0,"",Sales[[#This Row],[Anggaran Murni]]-Sales[[#This Row],[Target s.d. Januari]])</f>
        <v>1</v>
      </c>
      <c r="H778" s="2" t="s">
        <v>73</v>
      </c>
      <c r="I778" s="3" t="s">
        <v>78</v>
      </c>
      <c r="J778" s="3"/>
      <c r="K778" s="2" t="s">
        <v>53</v>
      </c>
      <c r="L778" s="2" t="s">
        <v>2</v>
      </c>
      <c r="M778" s="4" t="s">
        <v>67</v>
      </c>
      <c r="N778" s="3" t="s">
        <v>81</v>
      </c>
      <c r="O778" s="2" t="s">
        <v>11</v>
      </c>
      <c r="P778" s="10"/>
      <c r="Q778" s="11"/>
    </row>
    <row r="779" spans="2:17" ht="21" customHeight="1" x14ac:dyDescent="0.35">
      <c r="B779" s="18">
        <v>43921</v>
      </c>
      <c r="C779" s="18" t="str">
        <f>TEXT(Sales[[#This Row],[Kode Program/Kegiatan ]],"D")</f>
        <v>31</v>
      </c>
      <c r="D779" s="19" t="str">
        <f>TEXT(Sales[[#This Row],[Kode Program/Kegiatan ]],"mmm")</f>
        <v>Mar</v>
      </c>
      <c r="E779" s="20">
        <v>9</v>
      </c>
      <c r="F779" s="19">
        <v>7</v>
      </c>
      <c r="G779" s="20">
        <f>IF(Sales[[#This Row],[Anggaran Murni]]-Sales[[#This Row],[Target s.d. Januari]]=0,"",Sales[[#This Row],[Anggaran Murni]]-Sales[[#This Row],[Target s.d. Januari]])</f>
        <v>2</v>
      </c>
      <c r="H779" s="19" t="s">
        <v>73</v>
      </c>
      <c r="I779" s="20" t="s">
        <v>78</v>
      </c>
      <c r="J779" s="20"/>
      <c r="K779" s="19" t="s">
        <v>61</v>
      </c>
      <c r="L779" s="19" t="s">
        <v>5</v>
      </c>
      <c r="M779" s="21" t="s">
        <v>67</v>
      </c>
      <c r="N779" s="20" t="s">
        <v>80</v>
      </c>
      <c r="O779" s="19" t="s">
        <v>13</v>
      </c>
      <c r="P779" s="10"/>
      <c r="Q779" s="11"/>
    </row>
    <row r="780" spans="2:17" ht="21" customHeight="1" x14ac:dyDescent="0.35">
      <c r="B780" s="1">
        <v>43921</v>
      </c>
      <c r="C780" s="1" t="str">
        <f>TEXT(Sales[[#This Row],[Kode Program/Kegiatan ]],"D")</f>
        <v>31</v>
      </c>
      <c r="D780" s="2" t="str">
        <f>TEXT(Sales[[#This Row],[Kode Program/Kegiatan ]],"mmm")</f>
        <v>Mar</v>
      </c>
      <c r="E780" s="3">
        <v>7</v>
      </c>
      <c r="F780" s="2">
        <v>6</v>
      </c>
      <c r="G780" s="3">
        <f>IF(Sales[[#This Row],[Anggaran Murni]]-Sales[[#This Row],[Target s.d. Januari]]=0,"",Sales[[#This Row],[Anggaran Murni]]-Sales[[#This Row],[Target s.d. Januari]])</f>
        <v>1</v>
      </c>
      <c r="H780" s="2" t="s">
        <v>114</v>
      </c>
      <c r="I780" s="3" t="s">
        <v>3</v>
      </c>
      <c r="J780" s="3"/>
      <c r="K780" s="2" t="s">
        <v>64</v>
      </c>
      <c r="L780" s="2" t="s">
        <v>2</v>
      </c>
      <c r="M780" s="4" t="s">
        <v>67</v>
      </c>
      <c r="N780" s="3" t="s">
        <v>80</v>
      </c>
      <c r="O780" s="2" t="s">
        <v>13</v>
      </c>
      <c r="P780" s="10"/>
      <c r="Q780" s="11"/>
    </row>
    <row r="781" spans="2:17" ht="21" customHeight="1" x14ac:dyDescent="0.35">
      <c r="B781" s="18">
        <v>43921</v>
      </c>
      <c r="C781" s="18" t="str">
        <f>TEXT(Sales[[#This Row],[Kode Program/Kegiatan ]],"D")</f>
        <v>31</v>
      </c>
      <c r="D781" s="19" t="str">
        <f>TEXT(Sales[[#This Row],[Kode Program/Kegiatan ]],"mmm")</f>
        <v>Mar</v>
      </c>
      <c r="E781" s="20">
        <v>7</v>
      </c>
      <c r="F781" s="19">
        <v>5</v>
      </c>
      <c r="G781" s="20">
        <f>IF(Sales[[#This Row],[Anggaran Murni]]-Sales[[#This Row],[Target s.d. Januari]]=0,"",Sales[[#This Row],[Anggaran Murni]]-Sales[[#This Row],[Target s.d. Januari]])</f>
        <v>2</v>
      </c>
      <c r="H781" s="19" t="s">
        <v>72</v>
      </c>
      <c r="I781" s="20" t="s">
        <v>78</v>
      </c>
      <c r="J781" s="20"/>
      <c r="K781" s="19" t="s">
        <v>27</v>
      </c>
      <c r="L781" s="19" t="s">
        <v>5</v>
      </c>
      <c r="M781" s="21" t="s">
        <v>67</v>
      </c>
      <c r="N781" s="20" t="s">
        <v>80</v>
      </c>
      <c r="O781" s="19" t="s">
        <v>14</v>
      </c>
      <c r="P781" s="10"/>
      <c r="Q781" s="11"/>
    </row>
    <row r="782" spans="2:17" ht="21" customHeight="1" x14ac:dyDescent="0.35">
      <c r="B782" s="1">
        <v>43921</v>
      </c>
      <c r="C782" s="1" t="str">
        <f>TEXT(Sales[[#This Row],[Kode Program/Kegiatan ]],"D")</f>
        <v>31</v>
      </c>
      <c r="D782" s="2" t="str">
        <f>TEXT(Sales[[#This Row],[Kode Program/Kegiatan ]],"mmm")</f>
        <v>Mar</v>
      </c>
      <c r="E782" s="3">
        <v>4</v>
      </c>
      <c r="F782" s="2">
        <v>3</v>
      </c>
      <c r="G782" s="3">
        <f>IF(Sales[[#This Row],[Anggaran Murni]]-Sales[[#This Row],[Target s.d. Januari]]=0,"",Sales[[#This Row],[Anggaran Murni]]-Sales[[#This Row],[Target s.d. Januari]])</f>
        <v>1</v>
      </c>
      <c r="H782" s="2" t="s">
        <v>113</v>
      </c>
      <c r="I782" s="3" t="s">
        <v>77</v>
      </c>
      <c r="J782" s="3"/>
      <c r="K782" s="2" t="s">
        <v>22</v>
      </c>
      <c r="L782" s="2" t="s">
        <v>8</v>
      </c>
      <c r="M782" s="4" t="s">
        <v>67</v>
      </c>
      <c r="N782" s="3" t="s">
        <v>80</v>
      </c>
      <c r="O782" s="2" t="s">
        <v>12</v>
      </c>
      <c r="P782" s="10"/>
      <c r="Q782" s="11"/>
    </row>
    <row r="783" spans="2:17" ht="21" customHeight="1" x14ac:dyDescent="0.35">
      <c r="B783" s="18">
        <v>43921</v>
      </c>
      <c r="C783" s="18" t="str">
        <f>TEXT(Sales[[#This Row],[Kode Program/Kegiatan ]],"D")</f>
        <v>31</v>
      </c>
      <c r="D783" s="19" t="str">
        <f>TEXT(Sales[[#This Row],[Kode Program/Kegiatan ]],"mmm")</f>
        <v>Mar</v>
      </c>
      <c r="E783" s="20">
        <v>4</v>
      </c>
      <c r="F783" s="19">
        <v>2</v>
      </c>
      <c r="G783" s="20">
        <f>IF(Sales[[#This Row],[Anggaran Murni]]-Sales[[#This Row],[Target s.d. Januari]]=0,"",Sales[[#This Row],[Anggaran Murni]]-Sales[[#This Row],[Target s.d. Januari]])</f>
        <v>2</v>
      </c>
      <c r="H783" s="19" t="s">
        <v>76</v>
      </c>
      <c r="I783" s="20" t="s">
        <v>79</v>
      </c>
      <c r="J783" s="20"/>
      <c r="K783" s="19" t="s">
        <v>32</v>
      </c>
      <c r="L783" s="19" t="s">
        <v>2</v>
      </c>
      <c r="M783" s="21" t="s">
        <v>67</v>
      </c>
      <c r="N783" s="20" t="s">
        <v>81</v>
      </c>
      <c r="O783" s="19" t="s">
        <v>11</v>
      </c>
      <c r="P783" s="10"/>
      <c r="Q783" s="11"/>
    </row>
    <row r="784" spans="2:17" ht="21" customHeight="1" x14ac:dyDescent="0.35">
      <c r="B784" s="1">
        <v>43921</v>
      </c>
      <c r="C784" s="1" t="str">
        <f>TEXT(Sales[[#This Row],[Kode Program/Kegiatan ]],"D")</f>
        <v>31</v>
      </c>
      <c r="D784" s="2" t="str">
        <f>TEXT(Sales[[#This Row],[Kode Program/Kegiatan ]],"mmm")</f>
        <v>Mar</v>
      </c>
      <c r="E784" s="3">
        <v>3</v>
      </c>
      <c r="F784" s="2">
        <v>1</v>
      </c>
      <c r="G784" s="3">
        <f>IF(Sales[[#This Row],[Anggaran Murni]]-Sales[[#This Row],[Target s.d. Januari]]=0,"",Sales[[#This Row],[Anggaran Murni]]-Sales[[#This Row],[Target s.d. Januari]])</f>
        <v>2</v>
      </c>
      <c r="H784" s="2" t="s">
        <v>70</v>
      </c>
      <c r="I784" s="3" t="s">
        <v>1</v>
      </c>
      <c r="J784" s="3"/>
      <c r="K784" s="2" t="s">
        <v>33</v>
      </c>
      <c r="L784" s="2" t="s">
        <v>2</v>
      </c>
      <c r="M784" s="4" t="s">
        <v>67</v>
      </c>
      <c r="N784" s="3" t="s">
        <v>81</v>
      </c>
      <c r="O784" s="2" t="s">
        <v>11</v>
      </c>
      <c r="P784" s="10"/>
      <c r="Q784" s="11"/>
    </row>
    <row r="785" spans="2:17" ht="21" customHeight="1" x14ac:dyDescent="0.35">
      <c r="B785" s="18">
        <v>43922</v>
      </c>
      <c r="C785" s="18" t="str">
        <f>TEXT(Sales[[#This Row],[Kode Program/Kegiatan ]],"D")</f>
        <v>1</v>
      </c>
      <c r="D785" s="19" t="str">
        <f>TEXT(Sales[[#This Row],[Kode Program/Kegiatan ]],"mmm")</f>
        <v>Apr</v>
      </c>
      <c r="E785" s="20">
        <v>10</v>
      </c>
      <c r="F785" s="19">
        <v>9</v>
      </c>
      <c r="G785" s="20">
        <f>IF(Sales[[#This Row],[Anggaran Murni]]-Sales[[#This Row],[Target s.d. Januari]]=0,"",Sales[[#This Row],[Anggaran Murni]]-Sales[[#This Row],[Target s.d. Januari]])</f>
        <v>1</v>
      </c>
      <c r="H785" s="19" t="s">
        <v>72</v>
      </c>
      <c r="I785" s="20" t="s">
        <v>78</v>
      </c>
      <c r="J785" s="20"/>
      <c r="K785" s="19" t="s">
        <v>58</v>
      </c>
      <c r="L785" s="19" t="s">
        <v>2</v>
      </c>
      <c r="M785" s="21" t="s">
        <v>67</v>
      </c>
      <c r="N785" s="20" t="s">
        <v>81</v>
      </c>
      <c r="O785" s="19" t="s">
        <v>11</v>
      </c>
      <c r="P785" s="10"/>
      <c r="Q785" s="11"/>
    </row>
    <row r="786" spans="2:17" ht="21" customHeight="1" x14ac:dyDescent="0.35">
      <c r="B786" s="1">
        <v>43922</v>
      </c>
      <c r="C786" s="1" t="str">
        <f>TEXT(Sales[[#This Row],[Kode Program/Kegiatan ]],"D")</f>
        <v>1</v>
      </c>
      <c r="D786" s="2" t="str">
        <f>TEXT(Sales[[#This Row],[Kode Program/Kegiatan ]],"mmm")</f>
        <v>Apr</v>
      </c>
      <c r="E786" s="3">
        <v>10</v>
      </c>
      <c r="F786" s="2">
        <v>9</v>
      </c>
      <c r="G786" s="3">
        <f>IF(Sales[[#This Row],[Anggaran Murni]]-Sales[[#This Row],[Target s.d. Januari]]=0,"",Sales[[#This Row],[Anggaran Murni]]-Sales[[#This Row],[Target s.d. Januari]])</f>
        <v>1</v>
      </c>
      <c r="H786" s="2" t="s">
        <v>70</v>
      </c>
      <c r="I786" s="3" t="s">
        <v>1</v>
      </c>
      <c r="J786" s="3"/>
      <c r="K786" s="2" t="s">
        <v>16</v>
      </c>
      <c r="L786" s="2" t="s">
        <v>5</v>
      </c>
      <c r="M786" s="4" t="s">
        <v>67</v>
      </c>
      <c r="N786" s="3" t="s">
        <v>82</v>
      </c>
      <c r="O786" s="2" t="s">
        <v>11</v>
      </c>
      <c r="P786" s="10"/>
      <c r="Q786" s="11"/>
    </row>
    <row r="787" spans="2:17" ht="21" customHeight="1" x14ac:dyDescent="0.35">
      <c r="B787" s="18">
        <v>43922</v>
      </c>
      <c r="C787" s="18" t="str">
        <f>TEXT(Sales[[#This Row],[Kode Program/Kegiatan ]],"D")</f>
        <v>1</v>
      </c>
      <c r="D787" s="19" t="str">
        <f>TEXT(Sales[[#This Row],[Kode Program/Kegiatan ]],"mmm")</f>
        <v>Apr</v>
      </c>
      <c r="E787" s="20">
        <v>9</v>
      </c>
      <c r="F787" s="19">
        <v>7</v>
      </c>
      <c r="G787" s="20">
        <f>IF(Sales[[#This Row],[Anggaran Murni]]-Sales[[#This Row],[Target s.d. Januari]]=0,"",Sales[[#This Row],[Anggaran Murni]]-Sales[[#This Row],[Target s.d. Januari]])</f>
        <v>2</v>
      </c>
      <c r="H787" s="19" t="s">
        <v>76</v>
      </c>
      <c r="I787" s="20" t="s">
        <v>79</v>
      </c>
      <c r="J787" s="20"/>
      <c r="K787" s="19" t="s">
        <v>52</v>
      </c>
      <c r="L787" s="19" t="s">
        <v>2</v>
      </c>
      <c r="M787" s="21" t="s">
        <v>67</v>
      </c>
      <c r="N787" s="20" t="s">
        <v>81</v>
      </c>
      <c r="O787" s="19" t="s">
        <v>12</v>
      </c>
      <c r="P787" s="10"/>
      <c r="Q787" s="11"/>
    </row>
    <row r="788" spans="2:17" ht="21" customHeight="1" x14ac:dyDescent="0.35">
      <c r="B788" s="1">
        <v>43922</v>
      </c>
      <c r="C788" s="1" t="str">
        <f>TEXT(Sales[[#This Row],[Kode Program/Kegiatan ]],"D")</f>
        <v>1</v>
      </c>
      <c r="D788" s="2" t="str">
        <f>TEXT(Sales[[#This Row],[Kode Program/Kegiatan ]],"mmm")</f>
        <v>Apr</v>
      </c>
      <c r="E788" s="3">
        <v>8</v>
      </c>
      <c r="F788" s="2">
        <v>6</v>
      </c>
      <c r="G788" s="3">
        <f>IF(Sales[[#This Row],[Anggaran Murni]]-Sales[[#This Row],[Target s.d. Januari]]=0,"",Sales[[#This Row],[Anggaran Murni]]-Sales[[#This Row],[Target s.d. Januari]])</f>
        <v>2</v>
      </c>
      <c r="H788" s="2" t="s">
        <v>114</v>
      </c>
      <c r="I788" s="3" t="s">
        <v>3</v>
      </c>
      <c r="J788" s="3"/>
      <c r="K788" s="2" t="s">
        <v>42</v>
      </c>
      <c r="L788" s="2" t="s">
        <v>7</v>
      </c>
      <c r="M788" s="4" t="s">
        <v>67</v>
      </c>
      <c r="N788" s="3" t="s">
        <v>80</v>
      </c>
      <c r="O788" s="2" t="s">
        <v>11</v>
      </c>
      <c r="P788" s="10"/>
      <c r="Q788" s="11"/>
    </row>
    <row r="789" spans="2:17" ht="21" customHeight="1" x14ac:dyDescent="0.35">
      <c r="B789" s="18">
        <v>43922</v>
      </c>
      <c r="C789" s="18" t="str">
        <f>TEXT(Sales[[#This Row],[Kode Program/Kegiatan ]],"D")</f>
        <v>1</v>
      </c>
      <c r="D789" s="19" t="str">
        <f>TEXT(Sales[[#This Row],[Kode Program/Kegiatan ]],"mmm")</f>
        <v>Apr</v>
      </c>
      <c r="E789" s="20">
        <v>6</v>
      </c>
      <c r="F789" s="19">
        <v>4</v>
      </c>
      <c r="G789" s="20">
        <f>IF(Sales[[#This Row],[Anggaran Murni]]-Sales[[#This Row],[Target s.d. Januari]]=0,"",Sales[[#This Row],[Anggaran Murni]]-Sales[[#This Row],[Target s.d. Januari]])</f>
        <v>2</v>
      </c>
      <c r="H789" s="19" t="s">
        <v>70</v>
      </c>
      <c r="I789" s="20" t="s">
        <v>1</v>
      </c>
      <c r="J789" s="20"/>
      <c r="K789" s="19" t="s">
        <v>46</v>
      </c>
      <c r="L789" s="19" t="s">
        <v>4</v>
      </c>
      <c r="M789" s="21" t="s">
        <v>67</v>
      </c>
      <c r="N789" s="20" t="s">
        <v>82</v>
      </c>
      <c r="O789" s="19" t="s">
        <v>11</v>
      </c>
      <c r="P789" s="10"/>
      <c r="Q789" s="11"/>
    </row>
    <row r="790" spans="2:17" ht="21" customHeight="1" x14ac:dyDescent="0.35">
      <c r="B790" s="1">
        <v>43922</v>
      </c>
      <c r="C790" s="1" t="str">
        <f>TEXT(Sales[[#This Row],[Kode Program/Kegiatan ]],"D")</f>
        <v>1</v>
      </c>
      <c r="D790" s="2" t="str">
        <f>TEXT(Sales[[#This Row],[Kode Program/Kegiatan ]],"mmm")</f>
        <v>Apr</v>
      </c>
      <c r="E790" s="3">
        <v>5</v>
      </c>
      <c r="F790" s="2">
        <v>3</v>
      </c>
      <c r="G790" s="3">
        <f>IF(Sales[[#This Row],[Anggaran Murni]]-Sales[[#This Row],[Target s.d. Januari]]=0,"",Sales[[#This Row],[Anggaran Murni]]-Sales[[#This Row],[Target s.d. Januari]])</f>
        <v>2</v>
      </c>
      <c r="H790" s="2" t="s">
        <v>75</v>
      </c>
      <c r="I790" s="3" t="s">
        <v>6</v>
      </c>
      <c r="J790" s="3"/>
      <c r="K790" s="2" t="s">
        <v>47</v>
      </c>
      <c r="L790" s="2" t="s">
        <v>2</v>
      </c>
      <c r="M790" s="4" t="s">
        <v>67</v>
      </c>
      <c r="N790" s="3" t="s">
        <v>80</v>
      </c>
      <c r="O790" s="2" t="s">
        <v>12</v>
      </c>
      <c r="P790" s="10"/>
      <c r="Q790" s="11"/>
    </row>
    <row r="791" spans="2:17" ht="21" customHeight="1" x14ac:dyDescent="0.35">
      <c r="B791" s="18">
        <v>43922</v>
      </c>
      <c r="C791" s="18" t="str">
        <f>TEXT(Sales[[#This Row],[Kode Program/Kegiatan ]],"D")</f>
        <v>1</v>
      </c>
      <c r="D791" s="19" t="str">
        <f>TEXT(Sales[[#This Row],[Kode Program/Kegiatan ]],"mmm")</f>
        <v>Apr</v>
      </c>
      <c r="E791" s="20">
        <v>5</v>
      </c>
      <c r="F791" s="19">
        <v>4</v>
      </c>
      <c r="G791" s="20">
        <f>IF(Sales[[#This Row],[Anggaran Murni]]-Sales[[#This Row],[Target s.d. Januari]]=0,"",Sales[[#This Row],[Anggaran Murni]]-Sales[[#This Row],[Target s.d. Januari]])</f>
        <v>1</v>
      </c>
      <c r="H791" s="19" t="s">
        <v>76</v>
      </c>
      <c r="I791" s="20" t="s">
        <v>79</v>
      </c>
      <c r="J791" s="20"/>
      <c r="K791" s="19" t="s">
        <v>48</v>
      </c>
      <c r="L791" s="19" t="s">
        <v>7</v>
      </c>
      <c r="M791" s="21" t="s">
        <v>67</v>
      </c>
      <c r="N791" s="20" t="s">
        <v>82</v>
      </c>
      <c r="O791" s="19" t="s">
        <v>12</v>
      </c>
      <c r="P791" s="10"/>
      <c r="Q791" s="11"/>
    </row>
    <row r="792" spans="2:17" ht="21" customHeight="1" x14ac:dyDescent="0.35">
      <c r="B792" s="1">
        <v>43922</v>
      </c>
      <c r="C792" s="1" t="str">
        <f>TEXT(Sales[[#This Row],[Kode Program/Kegiatan ]],"D")</f>
        <v>1</v>
      </c>
      <c r="D792" s="2" t="str">
        <f>TEXT(Sales[[#This Row],[Kode Program/Kegiatan ]],"mmm")</f>
        <v>Apr</v>
      </c>
      <c r="E792" s="3">
        <v>4</v>
      </c>
      <c r="F792" s="2">
        <v>3</v>
      </c>
      <c r="G792" s="3">
        <f>IF(Sales[[#This Row],[Anggaran Murni]]-Sales[[#This Row],[Target s.d. Januari]]=0,"",Sales[[#This Row],[Anggaran Murni]]-Sales[[#This Row],[Target s.d. Januari]])</f>
        <v>1</v>
      </c>
      <c r="H792" s="2" t="s">
        <v>113</v>
      </c>
      <c r="I792" s="3" t="s">
        <v>77</v>
      </c>
      <c r="J792" s="3"/>
      <c r="K792" s="2" t="s">
        <v>46</v>
      </c>
      <c r="L792" s="2" t="s">
        <v>7</v>
      </c>
      <c r="M792" s="4" t="s">
        <v>67</v>
      </c>
      <c r="N792" s="3" t="s">
        <v>80</v>
      </c>
      <c r="O792" s="2" t="s">
        <v>11</v>
      </c>
      <c r="P792" s="10"/>
      <c r="Q792" s="11"/>
    </row>
    <row r="793" spans="2:17" ht="21" customHeight="1" x14ac:dyDescent="0.35">
      <c r="B793" s="18">
        <v>43923</v>
      </c>
      <c r="C793" s="18" t="str">
        <f>TEXT(Sales[[#This Row],[Kode Program/Kegiatan ]],"D")</f>
        <v>2</v>
      </c>
      <c r="D793" s="19" t="str">
        <f>TEXT(Sales[[#This Row],[Kode Program/Kegiatan ]],"mmm")</f>
        <v>Apr</v>
      </c>
      <c r="E793" s="20">
        <v>7</v>
      </c>
      <c r="F793" s="19">
        <v>5</v>
      </c>
      <c r="G793" s="20">
        <f>IF(Sales[[#This Row],[Anggaran Murni]]-Sales[[#This Row],[Target s.d. Januari]]=0,"",Sales[[#This Row],[Anggaran Murni]]-Sales[[#This Row],[Target s.d. Januari]])</f>
        <v>2</v>
      </c>
      <c r="H793" s="19" t="s">
        <v>70</v>
      </c>
      <c r="I793" s="20" t="s">
        <v>1</v>
      </c>
      <c r="J793" s="20"/>
      <c r="K793" s="19" t="s">
        <v>46</v>
      </c>
      <c r="L793" s="19" t="s">
        <v>5</v>
      </c>
      <c r="M793" s="21" t="s">
        <v>67</v>
      </c>
      <c r="N793" s="20" t="s">
        <v>80</v>
      </c>
      <c r="O793" s="19" t="s">
        <v>13</v>
      </c>
      <c r="P793" s="10"/>
      <c r="Q793" s="11"/>
    </row>
    <row r="794" spans="2:17" ht="21" customHeight="1" x14ac:dyDescent="0.35">
      <c r="B794" s="1">
        <v>43923</v>
      </c>
      <c r="C794" s="1" t="str">
        <f>TEXT(Sales[[#This Row],[Kode Program/Kegiatan ]],"D")</f>
        <v>2</v>
      </c>
      <c r="D794" s="2" t="str">
        <f>TEXT(Sales[[#This Row],[Kode Program/Kegiatan ]],"mmm")</f>
        <v>Apr</v>
      </c>
      <c r="E794" s="3">
        <v>6</v>
      </c>
      <c r="F794" s="2">
        <v>3</v>
      </c>
      <c r="G794" s="3">
        <f>IF(Sales[[#This Row],[Anggaran Murni]]-Sales[[#This Row],[Target s.d. Januari]]=0,"",Sales[[#This Row],[Anggaran Murni]]-Sales[[#This Row],[Target s.d. Januari]])</f>
        <v>3</v>
      </c>
      <c r="H794" s="2" t="s">
        <v>71</v>
      </c>
      <c r="I794" s="3" t="s">
        <v>6</v>
      </c>
      <c r="J794" s="3"/>
      <c r="K794" s="2" t="s">
        <v>51</v>
      </c>
      <c r="L794" s="2" t="s">
        <v>2</v>
      </c>
      <c r="M794" s="4" t="s">
        <v>67</v>
      </c>
      <c r="N794" s="3" t="s">
        <v>81</v>
      </c>
      <c r="O794" s="2" t="s">
        <v>13</v>
      </c>
      <c r="P794" s="10"/>
      <c r="Q794" s="11"/>
    </row>
    <row r="795" spans="2:17" ht="21" customHeight="1" x14ac:dyDescent="0.35">
      <c r="B795" s="18">
        <v>43923</v>
      </c>
      <c r="C795" s="18" t="str">
        <f>TEXT(Sales[[#This Row],[Kode Program/Kegiatan ]],"D")</f>
        <v>2</v>
      </c>
      <c r="D795" s="19" t="str">
        <f>TEXT(Sales[[#This Row],[Kode Program/Kegiatan ]],"mmm")</f>
        <v>Apr</v>
      </c>
      <c r="E795" s="20">
        <v>6</v>
      </c>
      <c r="F795" s="19">
        <v>3</v>
      </c>
      <c r="G795" s="20">
        <f>IF(Sales[[#This Row],[Anggaran Murni]]-Sales[[#This Row],[Target s.d. Januari]]=0,"",Sales[[#This Row],[Anggaran Murni]]-Sales[[#This Row],[Target s.d. Januari]])</f>
        <v>3</v>
      </c>
      <c r="H795" s="19" t="s">
        <v>71</v>
      </c>
      <c r="I795" s="20" t="s">
        <v>6</v>
      </c>
      <c r="J795" s="20"/>
      <c r="K795" s="19" t="s">
        <v>47</v>
      </c>
      <c r="L795" s="19" t="s">
        <v>5</v>
      </c>
      <c r="M795" s="21" t="s">
        <v>67</v>
      </c>
      <c r="N795" s="20" t="s">
        <v>81</v>
      </c>
      <c r="O795" s="19" t="s">
        <v>12</v>
      </c>
      <c r="P795" s="10"/>
      <c r="Q795" s="11"/>
    </row>
    <row r="796" spans="2:17" ht="21" customHeight="1" x14ac:dyDescent="0.35">
      <c r="B796" s="1">
        <v>43923</v>
      </c>
      <c r="C796" s="1" t="str">
        <f>TEXT(Sales[[#This Row],[Kode Program/Kegiatan ]],"D")</f>
        <v>2</v>
      </c>
      <c r="D796" s="2" t="str">
        <f>TEXT(Sales[[#This Row],[Kode Program/Kegiatan ]],"mmm")</f>
        <v>Apr</v>
      </c>
      <c r="E796" s="3">
        <v>5</v>
      </c>
      <c r="F796" s="2">
        <v>4</v>
      </c>
      <c r="G796" s="3">
        <f>IF(Sales[[#This Row],[Anggaran Murni]]-Sales[[#This Row],[Target s.d. Januari]]=0,"",Sales[[#This Row],[Anggaran Murni]]-Sales[[#This Row],[Target s.d. Januari]])</f>
        <v>1</v>
      </c>
      <c r="H796" s="2" t="s">
        <v>71</v>
      </c>
      <c r="I796" s="3" t="s">
        <v>6</v>
      </c>
      <c r="J796" s="3"/>
      <c r="K796" s="2" t="s">
        <v>43</v>
      </c>
      <c r="L796" s="2" t="s">
        <v>2</v>
      </c>
      <c r="M796" s="4" t="s">
        <v>67</v>
      </c>
      <c r="N796" s="3" t="s">
        <v>80</v>
      </c>
      <c r="O796" s="2" t="s">
        <v>14</v>
      </c>
      <c r="P796" s="10"/>
      <c r="Q796" s="11"/>
    </row>
    <row r="797" spans="2:17" ht="21" customHeight="1" x14ac:dyDescent="0.35">
      <c r="B797" s="18">
        <v>43923</v>
      </c>
      <c r="C797" s="18" t="str">
        <f>TEXT(Sales[[#This Row],[Kode Program/Kegiatan ]],"D")</f>
        <v>2</v>
      </c>
      <c r="D797" s="19" t="str">
        <f>TEXT(Sales[[#This Row],[Kode Program/Kegiatan ]],"mmm")</f>
        <v>Apr</v>
      </c>
      <c r="E797" s="20">
        <v>5</v>
      </c>
      <c r="F797" s="19">
        <v>4</v>
      </c>
      <c r="G797" s="20">
        <f>IF(Sales[[#This Row],[Anggaran Murni]]-Sales[[#This Row],[Target s.d. Januari]]=0,"",Sales[[#This Row],[Anggaran Murni]]-Sales[[#This Row],[Target s.d. Januari]])</f>
        <v>1</v>
      </c>
      <c r="H797" s="19" t="s">
        <v>71</v>
      </c>
      <c r="I797" s="20" t="s">
        <v>6</v>
      </c>
      <c r="J797" s="20"/>
      <c r="K797" s="19" t="s">
        <v>16</v>
      </c>
      <c r="L797" s="19" t="s">
        <v>2</v>
      </c>
      <c r="M797" s="21" t="s">
        <v>67</v>
      </c>
      <c r="N797" s="20" t="s">
        <v>82</v>
      </c>
      <c r="O797" s="19" t="s">
        <v>12</v>
      </c>
      <c r="P797" s="10"/>
      <c r="Q797" s="11"/>
    </row>
    <row r="798" spans="2:17" ht="21" customHeight="1" x14ac:dyDescent="0.35">
      <c r="B798" s="1">
        <v>43923</v>
      </c>
      <c r="C798" s="1" t="str">
        <f>TEXT(Sales[[#This Row],[Kode Program/Kegiatan ]],"D")</f>
        <v>2</v>
      </c>
      <c r="D798" s="2" t="str">
        <f>TEXT(Sales[[#This Row],[Kode Program/Kegiatan ]],"mmm")</f>
        <v>Apr</v>
      </c>
      <c r="E798" s="3">
        <v>4</v>
      </c>
      <c r="F798" s="2">
        <v>3</v>
      </c>
      <c r="G798" s="3">
        <f>IF(Sales[[#This Row],[Anggaran Murni]]-Sales[[#This Row],[Target s.d. Januari]]=0,"",Sales[[#This Row],[Anggaran Murni]]-Sales[[#This Row],[Target s.d. Januari]])</f>
        <v>1</v>
      </c>
      <c r="H798" s="2" t="s">
        <v>114</v>
      </c>
      <c r="I798" s="3" t="s">
        <v>3</v>
      </c>
      <c r="J798" s="3"/>
      <c r="K798" s="2" t="s">
        <v>52</v>
      </c>
      <c r="L798" s="2" t="s">
        <v>8</v>
      </c>
      <c r="M798" s="4" t="s">
        <v>67</v>
      </c>
      <c r="N798" s="3" t="s">
        <v>82</v>
      </c>
      <c r="O798" s="2" t="s">
        <v>14</v>
      </c>
      <c r="P798" s="10"/>
      <c r="Q798" s="11"/>
    </row>
    <row r="799" spans="2:17" ht="21" customHeight="1" x14ac:dyDescent="0.35">
      <c r="B799" s="18">
        <v>43923</v>
      </c>
      <c r="C799" s="18" t="str">
        <f>TEXT(Sales[[#This Row],[Kode Program/Kegiatan ]],"D")</f>
        <v>2</v>
      </c>
      <c r="D799" s="19" t="str">
        <f>TEXT(Sales[[#This Row],[Kode Program/Kegiatan ]],"mmm")</f>
        <v>Apr</v>
      </c>
      <c r="E799" s="20">
        <v>4</v>
      </c>
      <c r="F799" s="19">
        <v>2</v>
      </c>
      <c r="G799" s="20">
        <f>IF(Sales[[#This Row],[Anggaran Murni]]-Sales[[#This Row],[Target s.d. Januari]]=0,"",Sales[[#This Row],[Anggaran Murni]]-Sales[[#This Row],[Target s.d. Januari]])</f>
        <v>2</v>
      </c>
      <c r="H799" s="19" t="s">
        <v>113</v>
      </c>
      <c r="I799" s="20" t="s">
        <v>77</v>
      </c>
      <c r="J799" s="20"/>
      <c r="K799" s="19" t="s">
        <v>27</v>
      </c>
      <c r="L799" s="19" t="s">
        <v>2</v>
      </c>
      <c r="M799" s="21" t="s">
        <v>67</v>
      </c>
      <c r="N799" s="20" t="s">
        <v>81</v>
      </c>
      <c r="O799" s="19" t="s">
        <v>11</v>
      </c>
      <c r="P799" s="10"/>
      <c r="Q799" s="11"/>
    </row>
    <row r="800" spans="2:17" ht="21" customHeight="1" x14ac:dyDescent="0.35">
      <c r="B800" s="1">
        <v>43923</v>
      </c>
      <c r="C800" s="1" t="str">
        <f>TEXT(Sales[[#This Row],[Kode Program/Kegiatan ]],"D")</f>
        <v>2</v>
      </c>
      <c r="D800" s="2" t="str">
        <f>TEXT(Sales[[#This Row],[Kode Program/Kegiatan ]],"mmm")</f>
        <v>Apr</v>
      </c>
      <c r="E800" s="3">
        <v>4</v>
      </c>
      <c r="F800" s="2">
        <v>2</v>
      </c>
      <c r="G800" s="3">
        <f>IF(Sales[[#This Row],[Anggaran Murni]]-Sales[[#This Row],[Target s.d. Januari]]=0,"",Sales[[#This Row],[Anggaran Murni]]-Sales[[#This Row],[Target s.d. Januari]])</f>
        <v>2</v>
      </c>
      <c r="H800" s="2" t="s">
        <v>113</v>
      </c>
      <c r="I800" s="3" t="s">
        <v>77</v>
      </c>
      <c r="J800" s="3"/>
      <c r="K800" s="2" t="s">
        <v>34</v>
      </c>
      <c r="L800" s="2" t="s">
        <v>8</v>
      </c>
      <c r="M800" s="4" t="s">
        <v>67</v>
      </c>
      <c r="N800" s="3" t="s">
        <v>80</v>
      </c>
      <c r="O800" s="2" t="s">
        <v>11</v>
      </c>
      <c r="P800" s="10"/>
      <c r="Q800" s="11"/>
    </row>
    <row r="801" spans="2:17" ht="21" customHeight="1" x14ac:dyDescent="0.35">
      <c r="B801" s="18">
        <v>43923</v>
      </c>
      <c r="C801" s="18" t="str">
        <f>TEXT(Sales[[#This Row],[Kode Program/Kegiatan ]],"D")</f>
        <v>2</v>
      </c>
      <c r="D801" s="19" t="str">
        <f>TEXT(Sales[[#This Row],[Kode Program/Kegiatan ]],"mmm")</f>
        <v>Apr</v>
      </c>
      <c r="E801" s="20">
        <v>4</v>
      </c>
      <c r="F801" s="19">
        <v>3</v>
      </c>
      <c r="G801" s="20">
        <f>IF(Sales[[#This Row],[Anggaran Murni]]-Sales[[#This Row],[Target s.d. Januari]]=0,"",Sales[[#This Row],[Anggaran Murni]]-Sales[[#This Row],[Target s.d. Januari]])</f>
        <v>1</v>
      </c>
      <c r="H801" s="19" t="s">
        <v>75</v>
      </c>
      <c r="I801" s="20" t="s">
        <v>6</v>
      </c>
      <c r="J801" s="20"/>
      <c r="K801" s="19" t="s">
        <v>37</v>
      </c>
      <c r="L801" s="19" t="s">
        <v>2</v>
      </c>
      <c r="M801" s="21" t="s">
        <v>67</v>
      </c>
      <c r="N801" s="20" t="s">
        <v>80</v>
      </c>
      <c r="O801" s="19" t="s">
        <v>11</v>
      </c>
      <c r="P801" s="10"/>
      <c r="Q801" s="11"/>
    </row>
    <row r="802" spans="2:17" ht="21" customHeight="1" x14ac:dyDescent="0.35">
      <c r="B802" s="1">
        <v>43923</v>
      </c>
      <c r="C802" s="1" t="str">
        <f>TEXT(Sales[[#This Row],[Kode Program/Kegiatan ]],"D")</f>
        <v>2</v>
      </c>
      <c r="D802" s="2" t="str">
        <f>TEXT(Sales[[#This Row],[Kode Program/Kegiatan ]],"mmm")</f>
        <v>Apr</v>
      </c>
      <c r="E802" s="3">
        <v>3</v>
      </c>
      <c r="F802" s="2">
        <v>2</v>
      </c>
      <c r="G802" s="3">
        <f>IF(Sales[[#This Row],[Anggaran Murni]]-Sales[[#This Row],[Target s.d. Januari]]=0,"",Sales[[#This Row],[Anggaran Murni]]-Sales[[#This Row],[Target s.d. Januari]])</f>
        <v>1</v>
      </c>
      <c r="H802" s="2" t="s">
        <v>73</v>
      </c>
      <c r="I802" s="3" t="s">
        <v>78</v>
      </c>
      <c r="J802" s="3"/>
      <c r="K802" s="2" t="s">
        <v>18</v>
      </c>
      <c r="L802" s="2" t="s">
        <v>8</v>
      </c>
      <c r="M802" s="4" t="s">
        <v>67</v>
      </c>
      <c r="N802" s="3" t="s">
        <v>80</v>
      </c>
      <c r="O802" s="2" t="s">
        <v>12</v>
      </c>
      <c r="P802" s="10"/>
      <c r="Q802" s="11"/>
    </row>
    <row r="803" spans="2:17" ht="21" customHeight="1" x14ac:dyDescent="0.35">
      <c r="B803" s="18">
        <v>43924</v>
      </c>
      <c r="C803" s="18" t="str">
        <f>TEXT(Sales[[#This Row],[Kode Program/Kegiatan ]],"D")</f>
        <v>3</v>
      </c>
      <c r="D803" s="19" t="str">
        <f>TEXT(Sales[[#This Row],[Kode Program/Kegiatan ]],"mmm")</f>
        <v>Apr</v>
      </c>
      <c r="E803" s="20">
        <v>10</v>
      </c>
      <c r="F803" s="19">
        <v>8</v>
      </c>
      <c r="G803" s="20">
        <f>IF(Sales[[#This Row],[Anggaran Murni]]-Sales[[#This Row],[Target s.d. Januari]]=0,"",Sales[[#This Row],[Anggaran Murni]]-Sales[[#This Row],[Target s.d. Januari]])</f>
        <v>2</v>
      </c>
      <c r="H803" s="19" t="s">
        <v>76</v>
      </c>
      <c r="I803" s="20" t="s">
        <v>79</v>
      </c>
      <c r="J803" s="20"/>
      <c r="K803" s="19" t="s">
        <v>62</v>
      </c>
      <c r="L803" s="19" t="s">
        <v>2</v>
      </c>
      <c r="M803" s="21" t="s">
        <v>67</v>
      </c>
      <c r="N803" s="20" t="s">
        <v>81</v>
      </c>
      <c r="O803" s="19" t="s">
        <v>14</v>
      </c>
      <c r="P803" s="10"/>
      <c r="Q803" s="11"/>
    </row>
    <row r="804" spans="2:17" ht="21" customHeight="1" x14ac:dyDescent="0.35">
      <c r="B804" s="1">
        <v>43924</v>
      </c>
      <c r="C804" s="1" t="str">
        <f>TEXT(Sales[[#This Row],[Kode Program/Kegiatan ]],"D")</f>
        <v>3</v>
      </c>
      <c r="D804" s="2" t="str">
        <f>TEXT(Sales[[#This Row],[Kode Program/Kegiatan ]],"mmm")</f>
        <v>Apr</v>
      </c>
      <c r="E804" s="3">
        <v>10</v>
      </c>
      <c r="F804" s="2">
        <v>7</v>
      </c>
      <c r="G804" s="3">
        <f>IF(Sales[[#This Row],[Anggaran Murni]]-Sales[[#This Row],[Target s.d. Januari]]=0,"",Sales[[#This Row],[Anggaran Murni]]-Sales[[#This Row],[Target s.d. Januari]])</f>
        <v>3</v>
      </c>
      <c r="H804" s="2" t="s">
        <v>74</v>
      </c>
      <c r="I804" s="3" t="s">
        <v>77</v>
      </c>
      <c r="J804" s="3"/>
      <c r="K804" s="2" t="s">
        <v>49</v>
      </c>
      <c r="L804" s="2" t="s">
        <v>7</v>
      </c>
      <c r="M804" s="4" t="s">
        <v>67</v>
      </c>
      <c r="N804" s="3" t="s">
        <v>81</v>
      </c>
      <c r="O804" s="2" t="s">
        <v>13</v>
      </c>
      <c r="P804" s="10"/>
      <c r="Q804" s="11"/>
    </row>
    <row r="805" spans="2:17" ht="21" customHeight="1" x14ac:dyDescent="0.35">
      <c r="B805" s="18">
        <v>43924</v>
      </c>
      <c r="C805" s="18" t="str">
        <f>TEXT(Sales[[#This Row],[Kode Program/Kegiatan ]],"D")</f>
        <v>3</v>
      </c>
      <c r="D805" s="19" t="str">
        <f>TEXT(Sales[[#This Row],[Kode Program/Kegiatan ]],"mmm")</f>
        <v>Apr</v>
      </c>
      <c r="E805" s="20">
        <v>9</v>
      </c>
      <c r="F805" s="19">
        <v>7</v>
      </c>
      <c r="G805" s="20">
        <f>IF(Sales[[#This Row],[Anggaran Murni]]-Sales[[#This Row],[Target s.d. Januari]]=0,"",Sales[[#This Row],[Anggaran Murni]]-Sales[[#This Row],[Target s.d. Januari]])</f>
        <v>2</v>
      </c>
      <c r="H805" s="19" t="s">
        <v>75</v>
      </c>
      <c r="I805" s="20" t="s">
        <v>6</v>
      </c>
      <c r="J805" s="20"/>
      <c r="K805" s="19" t="s">
        <v>16</v>
      </c>
      <c r="L805" s="19" t="s">
        <v>5</v>
      </c>
      <c r="M805" s="21" t="s">
        <v>67</v>
      </c>
      <c r="N805" s="20" t="s">
        <v>80</v>
      </c>
      <c r="O805" s="19" t="s">
        <v>11</v>
      </c>
      <c r="P805" s="10"/>
      <c r="Q805" s="11"/>
    </row>
    <row r="806" spans="2:17" ht="21" customHeight="1" x14ac:dyDescent="0.35">
      <c r="B806" s="1">
        <v>43924</v>
      </c>
      <c r="C806" s="1" t="str">
        <f>TEXT(Sales[[#This Row],[Kode Program/Kegiatan ]],"D")</f>
        <v>3</v>
      </c>
      <c r="D806" s="2" t="str">
        <f>TEXT(Sales[[#This Row],[Kode Program/Kegiatan ]],"mmm")</f>
        <v>Apr</v>
      </c>
      <c r="E806" s="3">
        <v>9</v>
      </c>
      <c r="F806" s="2">
        <v>8</v>
      </c>
      <c r="G806" s="3">
        <f>IF(Sales[[#This Row],[Anggaran Murni]]-Sales[[#This Row],[Target s.d. Januari]]=0,"",Sales[[#This Row],[Anggaran Murni]]-Sales[[#This Row],[Target s.d. Januari]])</f>
        <v>1</v>
      </c>
      <c r="H806" s="2" t="s">
        <v>74</v>
      </c>
      <c r="I806" s="3" t="s">
        <v>77</v>
      </c>
      <c r="J806" s="3"/>
      <c r="K806" s="2" t="s">
        <v>36</v>
      </c>
      <c r="L806" s="2" t="s">
        <v>2</v>
      </c>
      <c r="M806" s="4" t="s">
        <v>67</v>
      </c>
      <c r="N806" s="3" t="s">
        <v>81</v>
      </c>
      <c r="O806" s="2" t="s">
        <v>13</v>
      </c>
      <c r="P806" s="10"/>
      <c r="Q806" s="11"/>
    </row>
    <row r="807" spans="2:17" ht="21" customHeight="1" x14ac:dyDescent="0.35">
      <c r="B807" s="18">
        <v>43924</v>
      </c>
      <c r="C807" s="18" t="str">
        <f>TEXT(Sales[[#This Row],[Kode Program/Kegiatan ]],"D")</f>
        <v>3</v>
      </c>
      <c r="D807" s="19" t="str">
        <f>TEXT(Sales[[#This Row],[Kode Program/Kegiatan ]],"mmm")</f>
        <v>Apr</v>
      </c>
      <c r="E807" s="20">
        <v>9</v>
      </c>
      <c r="F807" s="19">
        <v>5</v>
      </c>
      <c r="G807" s="20">
        <f>IF(Sales[[#This Row],[Anggaran Murni]]-Sales[[#This Row],[Target s.d. Januari]]=0,"",Sales[[#This Row],[Anggaran Murni]]-Sales[[#This Row],[Target s.d. Januari]])</f>
        <v>4</v>
      </c>
      <c r="H807" s="19" t="s">
        <v>70</v>
      </c>
      <c r="I807" s="20" t="s">
        <v>1</v>
      </c>
      <c r="J807" s="20"/>
      <c r="K807" s="19" t="s">
        <v>37</v>
      </c>
      <c r="L807" s="19" t="s">
        <v>5</v>
      </c>
      <c r="M807" s="21" t="s">
        <v>67</v>
      </c>
      <c r="N807" s="20" t="s">
        <v>82</v>
      </c>
      <c r="O807" s="19" t="s">
        <v>14</v>
      </c>
      <c r="P807" s="10"/>
      <c r="Q807" s="11"/>
    </row>
    <row r="808" spans="2:17" ht="21" customHeight="1" x14ac:dyDescent="0.35">
      <c r="B808" s="1">
        <v>43924</v>
      </c>
      <c r="C808" s="1" t="str">
        <f>TEXT(Sales[[#This Row],[Kode Program/Kegiatan ]],"D")</f>
        <v>3</v>
      </c>
      <c r="D808" s="2" t="str">
        <f>TEXT(Sales[[#This Row],[Kode Program/Kegiatan ]],"mmm")</f>
        <v>Apr</v>
      </c>
      <c r="E808" s="3">
        <v>8</v>
      </c>
      <c r="F808" s="2">
        <v>5</v>
      </c>
      <c r="G808" s="3">
        <f>IF(Sales[[#This Row],[Anggaran Murni]]-Sales[[#This Row],[Target s.d. Januari]]=0,"",Sales[[#This Row],[Anggaran Murni]]-Sales[[#This Row],[Target s.d. Januari]])</f>
        <v>3</v>
      </c>
      <c r="H808" s="2" t="s">
        <v>70</v>
      </c>
      <c r="I808" s="3" t="s">
        <v>1</v>
      </c>
      <c r="J808" s="3"/>
      <c r="K808" s="2" t="s">
        <v>48</v>
      </c>
      <c r="L808" s="2" t="s">
        <v>5</v>
      </c>
      <c r="M808" s="4" t="s">
        <v>67</v>
      </c>
      <c r="N808" s="3" t="s">
        <v>82</v>
      </c>
      <c r="O808" s="2" t="s">
        <v>13</v>
      </c>
      <c r="P808" s="10"/>
      <c r="Q808" s="11"/>
    </row>
    <row r="809" spans="2:17" ht="21" customHeight="1" x14ac:dyDescent="0.35">
      <c r="B809" s="18">
        <v>43924</v>
      </c>
      <c r="C809" s="18" t="str">
        <f>TEXT(Sales[[#This Row],[Kode Program/Kegiatan ]],"D")</f>
        <v>3</v>
      </c>
      <c r="D809" s="19" t="str">
        <f>TEXT(Sales[[#This Row],[Kode Program/Kegiatan ]],"mmm")</f>
        <v>Apr</v>
      </c>
      <c r="E809" s="20">
        <v>8</v>
      </c>
      <c r="F809" s="19">
        <v>4</v>
      </c>
      <c r="G809" s="20">
        <f>IF(Sales[[#This Row],[Anggaran Murni]]-Sales[[#This Row],[Target s.d. Januari]]=0,"",Sales[[#This Row],[Anggaran Murni]]-Sales[[#This Row],[Target s.d. Januari]])</f>
        <v>4</v>
      </c>
      <c r="H809" s="19" t="s">
        <v>71</v>
      </c>
      <c r="I809" s="20" t="s">
        <v>6</v>
      </c>
      <c r="J809" s="20"/>
      <c r="K809" s="19" t="s">
        <v>52</v>
      </c>
      <c r="L809" s="19" t="s">
        <v>2</v>
      </c>
      <c r="M809" s="21" t="s">
        <v>67</v>
      </c>
      <c r="N809" s="20" t="s">
        <v>82</v>
      </c>
      <c r="O809" s="19" t="s">
        <v>12</v>
      </c>
      <c r="P809" s="10"/>
      <c r="Q809" s="11"/>
    </row>
    <row r="810" spans="2:17" ht="21" customHeight="1" x14ac:dyDescent="0.35">
      <c r="B810" s="1">
        <v>43924</v>
      </c>
      <c r="C810" s="1" t="str">
        <f>TEXT(Sales[[#This Row],[Kode Program/Kegiatan ]],"D")</f>
        <v>3</v>
      </c>
      <c r="D810" s="2" t="str">
        <f>TEXT(Sales[[#This Row],[Kode Program/Kegiatan ]],"mmm")</f>
        <v>Apr</v>
      </c>
      <c r="E810" s="3">
        <v>6</v>
      </c>
      <c r="F810" s="2">
        <v>3</v>
      </c>
      <c r="G810" s="3">
        <f>IF(Sales[[#This Row],[Anggaran Murni]]-Sales[[#This Row],[Target s.d. Januari]]=0,"",Sales[[#This Row],[Anggaran Murni]]-Sales[[#This Row],[Target s.d. Januari]])</f>
        <v>3</v>
      </c>
      <c r="H810" s="2" t="s">
        <v>76</v>
      </c>
      <c r="I810" s="3" t="s">
        <v>79</v>
      </c>
      <c r="J810" s="3"/>
      <c r="K810" s="2" t="s">
        <v>64</v>
      </c>
      <c r="L810" s="2" t="s">
        <v>5</v>
      </c>
      <c r="M810" s="4" t="s">
        <v>67</v>
      </c>
      <c r="N810" s="3" t="s">
        <v>82</v>
      </c>
      <c r="O810" s="2" t="s">
        <v>14</v>
      </c>
      <c r="P810" s="10"/>
      <c r="Q810" s="11"/>
    </row>
    <row r="811" spans="2:17" ht="21" customHeight="1" x14ac:dyDescent="0.35">
      <c r="B811" s="18">
        <v>43924</v>
      </c>
      <c r="C811" s="18" t="str">
        <f>TEXT(Sales[[#This Row],[Kode Program/Kegiatan ]],"D")</f>
        <v>3</v>
      </c>
      <c r="D811" s="19" t="str">
        <f>TEXT(Sales[[#This Row],[Kode Program/Kegiatan ]],"mmm")</f>
        <v>Apr</v>
      </c>
      <c r="E811" s="20">
        <v>6</v>
      </c>
      <c r="F811" s="19">
        <v>4</v>
      </c>
      <c r="G811" s="20">
        <f>IF(Sales[[#This Row],[Anggaran Murni]]-Sales[[#This Row],[Target s.d. Januari]]=0,"",Sales[[#This Row],[Anggaran Murni]]-Sales[[#This Row],[Target s.d. Januari]])</f>
        <v>2</v>
      </c>
      <c r="H811" s="19" t="s">
        <v>113</v>
      </c>
      <c r="I811" s="20" t="s">
        <v>77</v>
      </c>
      <c r="J811" s="20"/>
      <c r="K811" s="19" t="s">
        <v>22</v>
      </c>
      <c r="L811" s="19" t="s">
        <v>5</v>
      </c>
      <c r="M811" s="21" t="s">
        <v>67</v>
      </c>
      <c r="N811" s="20" t="s">
        <v>80</v>
      </c>
      <c r="O811" s="19" t="s">
        <v>14</v>
      </c>
      <c r="P811" s="10"/>
      <c r="Q811" s="11"/>
    </row>
    <row r="812" spans="2:17" ht="21" customHeight="1" x14ac:dyDescent="0.35">
      <c r="B812" s="1">
        <v>43924</v>
      </c>
      <c r="C812" s="1" t="str">
        <f>TEXT(Sales[[#This Row],[Kode Program/Kegiatan ]],"D")</f>
        <v>3</v>
      </c>
      <c r="D812" s="2" t="str">
        <f>TEXT(Sales[[#This Row],[Kode Program/Kegiatan ]],"mmm")</f>
        <v>Apr</v>
      </c>
      <c r="E812" s="3">
        <v>5</v>
      </c>
      <c r="F812" s="2">
        <v>3</v>
      </c>
      <c r="G812" s="3">
        <f>IF(Sales[[#This Row],[Anggaran Murni]]-Sales[[#This Row],[Target s.d. Januari]]=0,"",Sales[[#This Row],[Anggaran Murni]]-Sales[[#This Row],[Target s.d. Januari]])</f>
        <v>2</v>
      </c>
      <c r="H812" s="2" t="s">
        <v>76</v>
      </c>
      <c r="I812" s="3" t="s">
        <v>79</v>
      </c>
      <c r="J812" s="3"/>
      <c r="K812" s="2" t="s">
        <v>43</v>
      </c>
      <c r="L812" s="2" t="s">
        <v>8</v>
      </c>
      <c r="M812" s="4" t="s">
        <v>67</v>
      </c>
      <c r="N812" s="3" t="s">
        <v>80</v>
      </c>
      <c r="O812" s="2" t="s">
        <v>13</v>
      </c>
      <c r="P812" s="10"/>
      <c r="Q812" s="11"/>
    </row>
    <row r="813" spans="2:17" ht="21" customHeight="1" x14ac:dyDescent="0.35">
      <c r="B813" s="18">
        <v>43924</v>
      </c>
      <c r="C813" s="18" t="str">
        <f>TEXT(Sales[[#This Row],[Kode Program/Kegiatan ]],"D")</f>
        <v>3</v>
      </c>
      <c r="D813" s="19" t="str">
        <f>TEXT(Sales[[#This Row],[Kode Program/Kegiatan ]],"mmm")</f>
        <v>Apr</v>
      </c>
      <c r="E813" s="20">
        <v>5</v>
      </c>
      <c r="F813" s="19">
        <v>4</v>
      </c>
      <c r="G813" s="20">
        <f>IF(Sales[[#This Row],[Anggaran Murni]]-Sales[[#This Row],[Target s.d. Januari]]=0,"",Sales[[#This Row],[Anggaran Murni]]-Sales[[#This Row],[Target s.d. Januari]])</f>
        <v>1</v>
      </c>
      <c r="H813" s="19" t="s">
        <v>74</v>
      </c>
      <c r="I813" s="20" t="s">
        <v>77</v>
      </c>
      <c r="J813" s="20"/>
      <c r="K813" s="19" t="s">
        <v>48</v>
      </c>
      <c r="L813" s="19" t="s">
        <v>7</v>
      </c>
      <c r="M813" s="21" t="s">
        <v>67</v>
      </c>
      <c r="N813" s="20" t="s">
        <v>80</v>
      </c>
      <c r="O813" s="19" t="s">
        <v>11</v>
      </c>
      <c r="P813" s="10"/>
      <c r="Q813" s="11"/>
    </row>
    <row r="814" spans="2:17" ht="21" customHeight="1" x14ac:dyDescent="0.35">
      <c r="B814" s="1">
        <v>43924</v>
      </c>
      <c r="C814" s="1" t="str">
        <f>TEXT(Sales[[#This Row],[Kode Program/Kegiatan ]],"D")</f>
        <v>3</v>
      </c>
      <c r="D814" s="2" t="str">
        <f>TEXT(Sales[[#This Row],[Kode Program/Kegiatan ]],"mmm")</f>
        <v>Apr</v>
      </c>
      <c r="E814" s="3">
        <v>4</v>
      </c>
      <c r="F814" s="2">
        <v>3</v>
      </c>
      <c r="G814" s="3">
        <f>IF(Sales[[#This Row],[Anggaran Murni]]-Sales[[#This Row],[Target s.d. Januari]]=0,"",Sales[[#This Row],[Anggaran Murni]]-Sales[[#This Row],[Target s.d. Januari]])</f>
        <v>1</v>
      </c>
      <c r="H814" s="2" t="s">
        <v>114</v>
      </c>
      <c r="I814" s="3" t="s">
        <v>3</v>
      </c>
      <c r="J814" s="3"/>
      <c r="K814" s="2" t="s">
        <v>61</v>
      </c>
      <c r="L814" s="2" t="s">
        <v>7</v>
      </c>
      <c r="M814" s="4" t="s">
        <v>67</v>
      </c>
      <c r="N814" s="3" t="s">
        <v>81</v>
      </c>
      <c r="O814" s="2" t="s">
        <v>12</v>
      </c>
      <c r="P814" s="10"/>
      <c r="Q814" s="11"/>
    </row>
    <row r="815" spans="2:17" ht="21" customHeight="1" x14ac:dyDescent="0.35">
      <c r="B815" s="18">
        <v>43925</v>
      </c>
      <c r="C815" s="18" t="str">
        <f>TEXT(Sales[[#This Row],[Kode Program/Kegiatan ]],"D")</f>
        <v>4</v>
      </c>
      <c r="D815" s="19" t="str">
        <f>TEXT(Sales[[#This Row],[Kode Program/Kegiatan ]],"mmm")</f>
        <v>Apr</v>
      </c>
      <c r="E815" s="20">
        <v>9</v>
      </c>
      <c r="F815" s="19">
        <v>8</v>
      </c>
      <c r="G815" s="20">
        <f>IF(Sales[[#This Row],[Anggaran Murni]]-Sales[[#This Row],[Target s.d. Januari]]=0,"",Sales[[#This Row],[Anggaran Murni]]-Sales[[#This Row],[Target s.d. Januari]])</f>
        <v>1</v>
      </c>
      <c r="H815" s="19" t="s">
        <v>70</v>
      </c>
      <c r="I815" s="20" t="s">
        <v>1</v>
      </c>
      <c r="J815" s="20"/>
      <c r="K815" s="19" t="s">
        <v>24</v>
      </c>
      <c r="L815" s="19" t="s">
        <v>5</v>
      </c>
      <c r="M815" s="21" t="s">
        <v>67</v>
      </c>
      <c r="N815" s="20" t="s">
        <v>82</v>
      </c>
      <c r="O815" s="19" t="s">
        <v>13</v>
      </c>
      <c r="P815" s="10"/>
      <c r="Q815" s="11"/>
    </row>
    <row r="816" spans="2:17" ht="21" customHeight="1" x14ac:dyDescent="0.35">
      <c r="B816" s="1">
        <v>43925</v>
      </c>
      <c r="C816" s="1" t="str">
        <f>TEXT(Sales[[#This Row],[Kode Program/Kegiatan ]],"D")</f>
        <v>4</v>
      </c>
      <c r="D816" s="2" t="str">
        <f>TEXT(Sales[[#This Row],[Kode Program/Kegiatan ]],"mmm")</f>
        <v>Apr</v>
      </c>
      <c r="E816" s="3">
        <v>8</v>
      </c>
      <c r="F816" s="2">
        <v>6</v>
      </c>
      <c r="G816" s="3">
        <f>IF(Sales[[#This Row],[Anggaran Murni]]-Sales[[#This Row],[Target s.d. Januari]]=0,"",Sales[[#This Row],[Anggaran Murni]]-Sales[[#This Row],[Target s.d. Januari]])</f>
        <v>2</v>
      </c>
      <c r="H816" s="2" t="s">
        <v>114</v>
      </c>
      <c r="I816" s="3" t="s">
        <v>3</v>
      </c>
      <c r="J816" s="3"/>
      <c r="K816" s="2" t="s">
        <v>22</v>
      </c>
      <c r="L816" s="2" t="s">
        <v>2</v>
      </c>
      <c r="M816" s="4" t="s">
        <v>67</v>
      </c>
      <c r="N816" s="3" t="s">
        <v>80</v>
      </c>
      <c r="O816" s="2" t="s">
        <v>12</v>
      </c>
      <c r="P816" s="10"/>
      <c r="Q816" s="11"/>
    </row>
    <row r="817" spans="2:17" ht="21" customHeight="1" x14ac:dyDescent="0.35">
      <c r="B817" s="18">
        <v>43925</v>
      </c>
      <c r="C817" s="18" t="str">
        <f>TEXT(Sales[[#This Row],[Kode Program/Kegiatan ]],"D")</f>
        <v>4</v>
      </c>
      <c r="D817" s="19" t="str">
        <f>TEXT(Sales[[#This Row],[Kode Program/Kegiatan ]],"mmm")</f>
        <v>Apr</v>
      </c>
      <c r="E817" s="20">
        <v>7</v>
      </c>
      <c r="F817" s="19">
        <v>4</v>
      </c>
      <c r="G817" s="20">
        <f>IF(Sales[[#This Row],[Anggaran Murni]]-Sales[[#This Row],[Target s.d. Januari]]=0,"",Sales[[#This Row],[Anggaran Murni]]-Sales[[#This Row],[Target s.d. Januari]])</f>
        <v>3</v>
      </c>
      <c r="H817" s="19" t="s">
        <v>71</v>
      </c>
      <c r="I817" s="20" t="s">
        <v>6</v>
      </c>
      <c r="J817" s="20"/>
      <c r="K817" s="19" t="s">
        <v>43</v>
      </c>
      <c r="L817" s="19" t="s">
        <v>5</v>
      </c>
      <c r="M817" s="21" t="s">
        <v>67</v>
      </c>
      <c r="N817" s="20" t="s">
        <v>82</v>
      </c>
      <c r="O817" s="19" t="s">
        <v>12</v>
      </c>
      <c r="P817" s="10"/>
      <c r="Q817" s="11"/>
    </row>
    <row r="818" spans="2:17" ht="21" customHeight="1" x14ac:dyDescent="0.35">
      <c r="B818" s="1">
        <v>43925</v>
      </c>
      <c r="C818" s="1" t="str">
        <f>TEXT(Sales[[#This Row],[Kode Program/Kegiatan ]],"D")</f>
        <v>4</v>
      </c>
      <c r="D818" s="2" t="str">
        <f>TEXT(Sales[[#This Row],[Kode Program/Kegiatan ]],"mmm")</f>
        <v>Apr</v>
      </c>
      <c r="E818" s="3">
        <v>7</v>
      </c>
      <c r="F818" s="2">
        <v>5</v>
      </c>
      <c r="G818" s="3">
        <f>IF(Sales[[#This Row],[Anggaran Murni]]-Sales[[#This Row],[Target s.d. Januari]]=0,"",Sales[[#This Row],[Anggaran Murni]]-Sales[[#This Row],[Target s.d. Januari]])</f>
        <v>2</v>
      </c>
      <c r="H818" s="2" t="s">
        <v>76</v>
      </c>
      <c r="I818" s="3" t="s">
        <v>79</v>
      </c>
      <c r="J818" s="3"/>
      <c r="K818" s="2" t="s">
        <v>25</v>
      </c>
      <c r="L818" s="2" t="s">
        <v>7</v>
      </c>
      <c r="M818" s="4" t="s">
        <v>67</v>
      </c>
      <c r="N818" s="3" t="s">
        <v>82</v>
      </c>
      <c r="O818" s="2" t="s">
        <v>12</v>
      </c>
      <c r="P818" s="10"/>
      <c r="Q818" s="11"/>
    </row>
    <row r="819" spans="2:17" ht="21" customHeight="1" x14ac:dyDescent="0.35">
      <c r="B819" s="18">
        <v>43925</v>
      </c>
      <c r="C819" s="18" t="str">
        <f>TEXT(Sales[[#This Row],[Kode Program/Kegiatan ]],"D")</f>
        <v>4</v>
      </c>
      <c r="D819" s="19" t="str">
        <f>TEXT(Sales[[#This Row],[Kode Program/Kegiatan ]],"mmm")</f>
        <v>Apr</v>
      </c>
      <c r="E819" s="20">
        <v>7</v>
      </c>
      <c r="F819" s="19">
        <v>5</v>
      </c>
      <c r="G819" s="20">
        <f>IF(Sales[[#This Row],[Anggaran Murni]]-Sales[[#This Row],[Target s.d. Januari]]=0,"",Sales[[#This Row],[Anggaran Murni]]-Sales[[#This Row],[Target s.d. Januari]])</f>
        <v>2</v>
      </c>
      <c r="H819" s="19" t="s">
        <v>113</v>
      </c>
      <c r="I819" s="20" t="s">
        <v>77</v>
      </c>
      <c r="J819" s="20"/>
      <c r="K819" s="19" t="s">
        <v>30</v>
      </c>
      <c r="L819" s="19" t="s">
        <v>5</v>
      </c>
      <c r="M819" s="21" t="s">
        <v>67</v>
      </c>
      <c r="N819" s="20" t="s">
        <v>80</v>
      </c>
      <c r="O819" s="19" t="s">
        <v>12</v>
      </c>
      <c r="P819" s="10"/>
      <c r="Q819" s="11"/>
    </row>
    <row r="820" spans="2:17" ht="21" customHeight="1" x14ac:dyDescent="0.35">
      <c r="B820" s="1">
        <v>43925</v>
      </c>
      <c r="C820" s="1" t="str">
        <f>TEXT(Sales[[#This Row],[Kode Program/Kegiatan ]],"D")</f>
        <v>4</v>
      </c>
      <c r="D820" s="2" t="str">
        <f>TEXT(Sales[[#This Row],[Kode Program/Kegiatan ]],"mmm")</f>
        <v>Apr</v>
      </c>
      <c r="E820" s="3">
        <v>7</v>
      </c>
      <c r="F820" s="2">
        <v>5</v>
      </c>
      <c r="G820" s="3">
        <f>IF(Sales[[#This Row],[Anggaran Murni]]-Sales[[#This Row],[Target s.d. Januari]]=0,"",Sales[[#This Row],[Anggaran Murni]]-Sales[[#This Row],[Target s.d. Januari]])</f>
        <v>2</v>
      </c>
      <c r="H820" s="2" t="s">
        <v>72</v>
      </c>
      <c r="I820" s="3" t="s">
        <v>78</v>
      </c>
      <c r="J820" s="3"/>
      <c r="K820" s="2" t="s">
        <v>63</v>
      </c>
      <c r="L820" s="2" t="s">
        <v>2</v>
      </c>
      <c r="M820" s="4" t="s">
        <v>67</v>
      </c>
      <c r="N820" s="3" t="s">
        <v>80</v>
      </c>
      <c r="O820" s="2" t="s">
        <v>12</v>
      </c>
      <c r="P820" s="10"/>
      <c r="Q820" s="11"/>
    </row>
    <row r="821" spans="2:17" ht="21" customHeight="1" x14ac:dyDescent="0.35">
      <c r="B821" s="18">
        <v>43925</v>
      </c>
      <c r="C821" s="18" t="str">
        <f>TEXT(Sales[[#This Row],[Kode Program/Kegiatan ]],"D")</f>
        <v>4</v>
      </c>
      <c r="D821" s="19" t="str">
        <f>TEXT(Sales[[#This Row],[Kode Program/Kegiatan ]],"mmm")</f>
        <v>Apr</v>
      </c>
      <c r="E821" s="20">
        <v>6</v>
      </c>
      <c r="F821" s="19">
        <v>5</v>
      </c>
      <c r="G821" s="20">
        <f>IF(Sales[[#This Row],[Anggaran Murni]]-Sales[[#This Row],[Target s.d. Januari]]=0,"",Sales[[#This Row],[Anggaran Murni]]-Sales[[#This Row],[Target s.d. Januari]])</f>
        <v>1</v>
      </c>
      <c r="H821" s="19" t="s">
        <v>76</v>
      </c>
      <c r="I821" s="20" t="s">
        <v>79</v>
      </c>
      <c r="J821" s="20"/>
      <c r="K821" s="19" t="s">
        <v>27</v>
      </c>
      <c r="L821" s="19" t="s">
        <v>2</v>
      </c>
      <c r="M821" s="21" t="s">
        <v>67</v>
      </c>
      <c r="N821" s="20" t="s">
        <v>80</v>
      </c>
      <c r="O821" s="19" t="s">
        <v>12</v>
      </c>
      <c r="P821" s="10"/>
      <c r="Q821" s="11"/>
    </row>
    <row r="822" spans="2:17" ht="21" customHeight="1" x14ac:dyDescent="0.35">
      <c r="B822" s="1">
        <v>43925</v>
      </c>
      <c r="C822" s="1" t="str">
        <f>TEXT(Sales[[#This Row],[Kode Program/Kegiatan ]],"D")</f>
        <v>4</v>
      </c>
      <c r="D822" s="2" t="str">
        <f>TEXT(Sales[[#This Row],[Kode Program/Kegiatan ]],"mmm")</f>
        <v>Apr</v>
      </c>
      <c r="E822" s="3">
        <v>6</v>
      </c>
      <c r="F822" s="2">
        <v>4</v>
      </c>
      <c r="G822" s="3">
        <f>IF(Sales[[#This Row],[Anggaran Murni]]-Sales[[#This Row],[Target s.d. Januari]]=0,"",Sales[[#This Row],[Anggaran Murni]]-Sales[[#This Row],[Target s.d. Januari]])</f>
        <v>2</v>
      </c>
      <c r="H822" s="2" t="s">
        <v>76</v>
      </c>
      <c r="I822" s="3" t="s">
        <v>79</v>
      </c>
      <c r="J822" s="3"/>
      <c r="K822" s="2" t="s">
        <v>56</v>
      </c>
      <c r="L822" s="2" t="s">
        <v>2</v>
      </c>
      <c r="M822" s="4" t="s">
        <v>67</v>
      </c>
      <c r="N822" s="3" t="s">
        <v>80</v>
      </c>
      <c r="O822" s="2" t="s">
        <v>14</v>
      </c>
      <c r="P822" s="10"/>
      <c r="Q822" s="11"/>
    </row>
    <row r="823" spans="2:17" ht="21" customHeight="1" x14ac:dyDescent="0.35">
      <c r="B823" s="18">
        <v>43925</v>
      </c>
      <c r="C823" s="18" t="str">
        <f>TEXT(Sales[[#This Row],[Kode Program/Kegiatan ]],"D")</f>
        <v>4</v>
      </c>
      <c r="D823" s="19" t="str">
        <f>TEXT(Sales[[#This Row],[Kode Program/Kegiatan ]],"mmm")</f>
        <v>Apr</v>
      </c>
      <c r="E823" s="20">
        <v>6</v>
      </c>
      <c r="F823" s="19">
        <v>5</v>
      </c>
      <c r="G823" s="20">
        <f>IF(Sales[[#This Row],[Anggaran Murni]]-Sales[[#This Row],[Target s.d. Januari]]=0,"",Sales[[#This Row],[Anggaran Murni]]-Sales[[#This Row],[Target s.d. Januari]])</f>
        <v>1</v>
      </c>
      <c r="H823" s="19" t="s">
        <v>114</v>
      </c>
      <c r="I823" s="20" t="s">
        <v>3</v>
      </c>
      <c r="J823" s="20"/>
      <c r="K823" s="19" t="s">
        <v>51</v>
      </c>
      <c r="L823" s="19" t="s">
        <v>5</v>
      </c>
      <c r="M823" s="21" t="s">
        <v>67</v>
      </c>
      <c r="N823" s="20" t="s">
        <v>82</v>
      </c>
      <c r="O823" s="19" t="s">
        <v>14</v>
      </c>
      <c r="P823" s="10"/>
      <c r="Q823" s="11"/>
    </row>
    <row r="824" spans="2:17" ht="21" customHeight="1" x14ac:dyDescent="0.35">
      <c r="B824" s="1">
        <v>43925</v>
      </c>
      <c r="C824" s="1" t="str">
        <f>TEXT(Sales[[#This Row],[Kode Program/Kegiatan ]],"D")</f>
        <v>4</v>
      </c>
      <c r="D824" s="2" t="str">
        <f>TEXT(Sales[[#This Row],[Kode Program/Kegiatan ]],"mmm")</f>
        <v>Apr</v>
      </c>
      <c r="E824" s="3">
        <v>4</v>
      </c>
      <c r="F824" s="2">
        <v>3</v>
      </c>
      <c r="G824" s="3">
        <f>IF(Sales[[#This Row],[Anggaran Murni]]-Sales[[#This Row],[Target s.d. Januari]]=0,"",Sales[[#This Row],[Anggaran Murni]]-Sales[[#This Row],[Target s.d. Januari]])</f>
        <v>1</v>
      </c>
      <c r="H824" s="2" t="s">
        <v>75</v>
      </c>
      <c r="I824" s="3" t="s">
        <v>6</v>
      </c>
      <c r="J824" s="3"/>
      <c r="K824" s="2" t="s">
        <v>58</v>
      </c>
      <c r="L824" s="2" t="s">
        <v>5</v>
      </c>
      <c r="M824" s="4" t="s">
        <v>67</v>
      </c>
      <c r="N824" s="3" t="s">
        <v>82</v>
      </c>
      <c r="O824" s="2" t="s">
        <v>14</v>
      </c>
      <c r="P824" s="10"/>
      <c r="Q824" s="11"/>
    </row>
    <row r="825" spans="2:17" ht="21" customHeight="1" x14ac:dyDescent="0.35">
      <c r="B825" s="18">
        <v>43925</v>
      </c>
      <c r="C825" s="18" t="str">
        <f>TEXT(Sales[[#This Row],[Kode Program/Kegiatan ]],"D")</f>
        <v>4</v>
      </c>
      <c r="D825" s="19" t="str">
        <f>TEXT(Sales[[#This Row],[Kode Program/Kegiatan ]],"mmm")</f>
        <v>Apr</v>
      </c>
      <c r="E825" s="20">
        <v>3</v>
      </c>
      <c r="F825" s="19">
        <v>1</v>
      </c>
      <c r="G825" s="20">
        <f>IF(Sales[[#This Row],[Anggaran Murni]]-Sales[[#This Row],[Target s.d. Januari]]=0,"",Sales[[#This Row],[Anggaran Murni]]-Sales[[#This Row],[Target s.d. Januari]])</f>
        <v>2</v>
      </c>
      <c r="H825" s="19" t="s">
        <v>70</v>
      </c>
      <c r="I825" s="20" t="s">
        <v>1</v>
      </c>
      <c r="J825" s="20"/>
      <c r="K825" s="19" t="s">
        <v>54</v>
      </c>
      <c r="L825" s="19" t="s">
        <v>4</v>
      </c>
      <c r="M825" s="21" t="s">
        <v>67</v>
      </c>
      <c r="N825" s="20" t="s">
        <v>81</v>
      </c>
      <c r="O825" s="19" t="s">
        <v>12</v>
      </c>
      <c r="P825" s="10"/>
      <c r="Q825" s="11"/>
    </row>
    <row r="826" spans="2:17" ht="21" customHeight="1" x14ac:dyDescent="0.35">
      <c r="B826" s="1">
        <v>43925</v>
      </c>
      <c r="C826" s="1" t="str">
        <f>TEXT(Sales[[#This Row],[Kode Program/Kegiatan ]],"D")</f>
        <v>4</v>
      </c>
      <c r="D826" s="2" t="str">
        <f>TEXT(Sales[[#This Row],[Kode Program/Kegiatan ]],"mmm")</f>
        <v>Apr</v>
      </c>
      <c r="E826" s="3">
        <v>3</v>
      </c>
      <c r="F826" s="2">
        <v>1</v>
      </c>
      <c r="G826" s="3">
        <f>IF(Sales[[#This Row],[Anggaran Murni]]-Sales[[#This Row],[Target s.d. Januari]]=0,"",Sales[[#This Row],[Anggaran Murni]]-Sales[[#This Row],[Target s.d. Januari]])</f>
        <v>2</v>
      </c>
      <c r="H826" s="2" t="s">
        <v>72</v>
      </c>
      <c r="I826" s="3" t="s">
        <v>78</v>
      </c>
      <c r="J826" s="3"/>
      <c r="K826" s="2" t="s">
        <v>28</v>
      </c>
      <c r="L826" s="2" t="s">
        <v>5</v>
      </c>
      <c r="M826" s="4" t="s">
        <v>67</v>
      </c>
      <c r="N826" s="3" t="s">
        <v>81</v>
      </c>
      <c r="O826" s="2" t="s">
        <v>13</v>
      </c>
      <c r="P826" s="10"/>
      <c r="Q826" s="11"/>
    </row>
    <row r="827" spans="2:17" ht="21" customHeight="1" x14ac:dyDescent="0.35">
      <c r="B827" s="18">
        <v>43926</v>
      </c>
      <c r="C827" s="18" t="str">
        <f>TEXT(Sales[[#This Row],[Kode Program/Kegiatan ]],"D")</f>
        <v>5</v>
      </c>
      <c r="D827" s="19" t="str">
        <f>TEXT(Sales[[#This Row],[Kode Program/Kegiatan ]],"mmm")</f>
        <v>Apr</v>
      </c>
      <c r="E827" s="20">
        <v>10</v>
      </c>
      <c r="F827" s="19">
        <v>8</v>
      </c>
      <c r="G827" s="20">
        <f>IF(Sales[[#This Row],[Anggaran Murni]]-Sales[[#This Row],[Target s.d. Januari]]=0,"",Sales[[#This Row],[Anggaran Murni]]-Sales[[#This Row],[Target s.d. Januari]])</f>
        <v>2</v>
      </c>
      <c r="H827" s="19" t="s">
        <v>76</v>
      </c>
      <c r="I827" s="20" t="s">
        <v>79</v>
      </c>
      <c r="J827" s="20"/>
      <c r="K827" s="19" t="s">
        <v>57</v>
      </c>
      <c r="L827" s="19" t="s">
        <v>2</v>
      </c>
      <c r="M827" s="21" t="s">
        <v>67</v>
      </c>
      <c r="N827" s="20" t="s">
        <v>80</v>
      </c>
      <c r="O827" s="19" t="s">
        <v>14</v>
      </c>
      <c r="P827" s="10"/>
      <c r="Q827" s="11"/>
    </row>
    <row r="828" spans="2:17" ht="21" customHeight="1" x14ac:dyDescent="0.35">
      <c r="B828" s="1">
        <v>43926</v>
      </c>
      <c r="C828" s="1" t="str">
        <f>TEXT(Sales[[#This Row],[Kode Program/Kegiatan ]],"D")</f>
        <v>5</v>
      </c>
      <c r="D828" s="2" t="str">
        <f>TEXT(Sales[[#This Row],[Kode Program/Kegiatan ]],"mmm")</f>
        <v>Apr</v>
      </c>
      <c r="E828" s="3">
        <v>10</v>
      </c>
      <c r="F828" s="2">
        <v>6</v>
      </c>
      <c r="G828" s="3">
        <f>IF(Sales[[#This Row],[Anggaran Murni]]-Sales[[#This Row],[Target s.d. Januari]]=0,"",Sales[[#This Row],[Anggaran Murni]]-Sales[[#This Row],[Target s.d. Januari]])</f>
        <v>4</v>
      </c>
      <c r="H828" s="2" t="s">
        <v>71</v>
      </c>
      <c r="I828" s="3" t="s">
        <v>6</v>
      </c>
      <c r="J828" s="3"/>
      <c r="K828" s="2" t="s">
        <v>26</v>
      </c>
      <c r="L828" s="2" t="s">
        <v>5</v>
      </c>
      <c r="M828" s="4" t="s">
        <v>67</v>
      </c>
      <c r="N828" s="3" t="s">
        <v>81</v>
      </c>
      <c r="O828" s="2" t="s">
        <v>12</v>
      </c>
      <c r="P828" s="10"/>
      <c r="Q828" s="11"/>
    </row>
    <row r="829" spans="2:17" ht="21" customHeight="1" x14ac:dyDescent="0.35">
      <c r="B829" s="18">
        <v>43926</v>
      </c>
      <c r="C829" s="18" t="str">
        <f>TEXT(Sales[[#This Row],[Kode Program/Kegiatan ]],"D")</f>
        <v>5</v>
      </c>
      <c r="D829" s="19" t="str">
        <f>TEXT(Sales[[#This Row],[Kode Program/Kegiatan ]],"mmm")</f>
        <v>Apr</v>
      </c>
      <c r="E829" s="20">
        <v>7</v>
      </c>
      <c r="F829" s="19">
        <v>4</v>
      </c>
      <c r="G829" s="20">
        <f>IF(Sales[[#This Row],[Anggaran Murni]]-Sales[[#This Row],[Target s.d. Januari]]=0,"",Sales[[#This Row],[Anggaran Murni]]-Sales[[#This Row],[Target s.d. Januari]])</f>
        <v>3</v>
      </c>
      <c r="H829" s="19" t="s">
        <v>75</v>
      </c>
      <c r="I829" s="20" t="s">
        <v>6</v>
      </c>
      <c r="J829" s="20"/>
      <c r="K829" s="19" t="s">
        <v>35</v>
      </c>
      <c r="L829" s="19" t="s">
        <v>8</v>
      </c>
      <c r="M829" s="21" t="s">
        <v>67</v>
      </c>
      <c r="N829" s="20" t="s">
        <v>82</v>
      </c>
      <c r="O829" s="19" t="s">
        <v>14</v>
      </c>
      <c r="P829" s="10"/>
      <c r="Q829" s="11"/>
    </row>
    <row r="830" spans="2:17" ht="21" customHeight="1" x14ac:dyDescent="0.35">
      <c r="B830" s="1">
        <v>43926</v>
      </c>
      <c r="C830" s="1" t="str">
        <f>TEXT(Sales[[#This Row],[Kode Program/Kegiatan ]],"D")</f>
        <v>5</v>
      </c>
      <c r="D830" s="2" t="str">
        <f>TEXT(Sales[[#This Row],[Kode Program/Kegiatan ]],"mmm")</f>
        <v>Apr</v>
      </c>
      <c r="E830" s="3">
        <v>7</v>
      </c>
      <c r="F830" s="2">
        <v>4</v>
      </c>
      <c r="G830" s="3">
        <f>IF(Sales[[#This Row],[Anggaran Murni]]-Sales[[#This Row],[Target s.d. Januari]]=0,"",Sales[[#This Row],[Anggaran Murni]]-Sales[[#This Row],[Target s.d. Januari]])</f>
        <v>3</v>
      </c>
      <c r="H830" s="2" t="s">
        <v>72</v>
      </c>
      <c r="I830" s="3" t="s">
        <v>78</v>
      </c>
      <c r="J830" s="3"/>
      <c r="K830" s="2" t="s">
        <v>38</v>
      </c>
      <c r="L830" s="2" t="s">
        <v>5</v>
      </c>
      <c r="M830" s="4" t="s">
        <v>67</v>
      </c>
      <c r="N830" s="3" t="s">
        <v>80</v>
      </c>
      <c r="O830" s="2" t="s">
        <v>11</v>
      </c>
      <c r="P830" s="10"/>
      <c r="Q830" s="11"/>
    </row>
    <row r="831" spans="2:17" ht="21" customHeight="1" x14ac:dyDescent="0.35">
      <c r="B831" s="18">
        <v>43926</v>
      </c>
      <c r="C831" s="18" t="str">
        <f>TEXT(Sales[[#This Row],[Kode Program/Kegiatan ]],"D")</f>
        <v>5</v>
      </c>
      <c r="D831" s="19" t="str">
        <f>TEXT(Sales[[#This Row],[Kode Program/Kegiatan ]],"mmm")</f>
        <v>Apr</v>
      </c>
      <c r="E831" s="20">
        <v>7</v>
      </c>
      <c r="F831" s="19">
        <v>6</v>
      </c>
      <c r="G831" s="20">
        <f>IF(Sales[[#This Row],[Anggaran Murni]]-Sales[[#This Row],[Target s.d. Januari]]=0,"",Sales[[#This Row],[Anggaran Murni]]-Sales[[#This Row],[Target s.d. Januari]])</f>
        <v>1</v>
      </c>
      <c r="H831" s="19" t="s">
        <v>114</v>
      </c>
      <c r="I831" s="20" t="s">
        <v>3</v>
      </c>
      <c r="J831" s="20"/>
      <c r="K831" s="19" t="s">
        <v>41</v>
      </c>
      <c r="L831" s="19" t="s">
        <v>2</v>
      </c>
      <c r="M831" s="21" t="s">
        <v>67</v>
      </c>
      <c r="N831" s="20" t="s">
        <v>80</v>
      </c>
      <c r="O831" s="19" t="s">
        <v>13</v>
      </c>
      <c r="P831" s="10"/>
      <c r="Q831" s="11"/>
    </row>
    <row r="832" spans="2:17" ht="21" customHeight="1" x14ac:dyDescent="0.35">
      <c r="B832" s="1">
        <v>43926</v>
      </c>
      <c r="C832" s="1" t="str">
        <f>TEXT(Sales[[#This Row],[Kode Program/Kegiatan ]],"D")</f>
        <v>5</v>
      </c>
      <c r="D832" s="2" t="str">
        <f>TEXT(Sales[[#This Row],[Kode Program/Kegiatan ]],"mmm")</f>
        <v>Apr</v>
      </c>
      <c r="E832" s="3">
        <v>6</v>
      </c>
      <c r="F832" s="2">
        <v>3</v>
      </c>
      <c r="G832" s="3">
        <f>IF(Sales[[#This Row],[Anggaran Murni]]-Sales[[#This Row],[Target s.d. Januari]]=0,"",Sales[[#This Row],[Anggaran Murni]]-Sales[[#This Row],[Target s.d. Januari]])</f>
        <v>3</v>
      </c>
      <c r="H832" s="2" t="s">
        <v>73</v>
      </c>
      <c r="I832" s="3" t="s">
        <v>78</v>
      </c>
      <c r="J832" s="3"/>
      <c r="K832" s="2" t="s">
        <v>47</v>
      </c>
      <c r="L832" s="2" t="s">
        <v>5</v>
      </c>
      <c r="M832" s="4" t="s">
        <v>67</v>
      </c>
      <c r="N832" s="3" t="s">
        <v>80</v>
      </c>
      <c r="O832" s="2" t="s">
        <v>14</v>
      </c>
      <c r="P832" s="10"/>
      <c r="Q832" s="11"/>
    </row>
    <row r="833" spans="2:17" ht="21" customHeight="1" x14ac:dyDescent="0.35">
      <c r="B833" s="18">
        <v>43926</v>
      </c>
      <c r="C833" s="18" t="str">
        <f>TEXT(Sales[[#This Row],[Kode Program/Kegiatan ]],"D")</f>
        <v>5</v>
      </c>
      <c r="D833" s="19" t="str">
        <f>TEXT(Sales[[#This Row],[Kode Program/Kegiatan ]],"mmm")</f>
        <v>Apr</v>
      </c>
      <c r="E833" s="20">
        <v>6</v>
      </c>
      <c r="F833" s="19">
        <v>5</v>
      </c>
      <c r="G833" s="20">
        <f>IF(Sales[[#This Row],[Anggaran Murni]]-Sales[[#This Row],[Target s.d. Januari]]=0,"",Sales[[#This Row],[Anggaran Murni]]-Sales[[#This Row],[Target s.d. Januari]])</f>
        <v>1</v>
      </c>
      <c r="H833" s="19" t="s">
        <v>113</v>
      </c>
      <c r="I833" s="20" t="s">
        <v>77</v>
      </c>
      <c r="J833" s="20"/>
      <c r="K833" s="19" t="s">
        <v>30</v>
      </c>
      <c r="L833" s="19" t="s">
        <v>2</v>
      </c>
      <c r="M833" s="21" t="s">
        <v>67</v>
      </c>
      <c r="N833" s="20" t="s">
        <v>81</v>
      </c>
      <c r="O833" s="19" t="s">
        <v>11</v>
      </c>
      <c r="P833" s="10"/>
      <c r="Q833" s="11"/>
    </row>
    <row r="834" spans="2:17" ht="21" customHeight="1" x14ac:dyDescent="0.35">
      <c r="B834" s="1">
        <v>43926</v>
      </c>
      <c r="C834" s="1" t="str">
        <f>TEXT(Sales[[#This Row],[Kode Program/Kegiatan ]],"D")</f>
        <v>5</v>
      </c>
      <c r="D834" s="2" t="str">
        <f>TEXT(Sales[[#This Row],[Kode Program/Kegiatan ]],"mmm")</f>
        <v>Apr</v>
      </c>
      <c r="E834" s="3">
        <v>4</v>
      </c>
      <c r="F834" s="2">
        <v>3</v>
      </c>
      <c r="G834" s="3">
        <f>IF(Sales[[#This Row],[Anggaran Murni]]-Sales[[#This Row],[Target s.d. Januari]]=0,"",Sales[[#This Row],[Anggaran Murni]]-Sales[[#This Row],[Target s.d. Januari]])</f>
        <v>1</v>
      </c>
      <c r="H834" s="2" t="s">
        <v>74</v>
      </c>
      <c r="I834" s="3" t="s">
        <v>77</v>
      </c>
      <c r="J834" s="3"/>
      <c r="K834" s="2" t="s">
        <v>30</v>
      </c>
      <c r="L834" s="2" t="s">
        <v>8</v>
      </c>
      <c r="M834" s="4" t="s">
        <v>67</v>
      </c>
      <c r="N834" s="3" t="s">
        <v>81</v>
      </c>
      <c r="O834" s="2" t="s">
        <v>13</v>
      </c>
      <c r="P834" s="10"/>
      <c r="Q834" s="11"/>
    </row>
    <row r="835" spans="2:17" ht="21" customHeight="1" x14ac:dyDescent="0.35">
      <c r="B835" s="18">
        <v>43927</v>
      </c>
      <c r="C835" s="18" t="str">
        <f>TEXT(Sales[[#This Row],[Kode Program/Kegiatan ]],"D")</f>
        <v>6</v>
      </c>
      <c r="D835" s="19" t="str">
        <f>TEXT(Sales[[#This Row],[Kode Program/Kegiatan ]],"mmm")</f>
        <v>Apr</v>
      </c>
      <c r="E835" s="20">
        <v>10</v>
      </c>
      <c r="F835" s="19">
        <v>9</v>
      </c>
      <c r="G835" s="20">
        <f>IF(Sales[[#This Row],[Anggaran Murni]]-Sales[[#This Row],[Target s.d. Januari]]=0,"",Sales[[#This Row],[Anggaran Murni]]-Sales[[#This Row],[Target s.d. Januari]])</f>
        <v>1</v>
      </c>
      <c r="H835" s="19" t="s">
        <v>70</v>
      </c>
      <c r="I835" s="20" t="s">
        <v>1</v>
      </c>
      <c r="J835" s="20"/>
      <c r="K835" s="19" t="s">
        <v>51</v>
      </c>
      <c r="L835" s="19" t="s">
        <v>5</v>
      </c>
      <c r="M835" s="21" t="s">
        <v>67</v>
      </c>
      <c r="N835" s="20" t="s">
        <v>81</v>
      </c>
      <c r="O835" s="19" t="s">
        <v>11</v>
      </c>
      <c r="P835" s="10"/>
      <c r="Q835" s="11"/>
    </row>
    <row r="836" spans="2:17" ht="21" customHeight="1" x14ac:dyDescent="0.35">
      <c r="B836" s="1">
        <v>43927</v>
      </c>
      <c r="C836" s="1" t="str">
        <f>TEXT(Sales[[#This Row],[Kode Program/Kegiatan ]],"D")</f>
        <v>6</v>
      </c>
      <c r="D836" s="2" t="str">
        <f>TEXT(Sales[[#This Row],[Kode Program/Kegiatan ]],"mmm")</f>
        <v>Apr</v>
      </c>
      <c r="E836" s="3">
        <v>10</v>
      </c>
      <c r="F836" s="2">
        <v>9</v>
      </c>
      <c r="G836" s="3">
        <f>IF(Sales[[#This Row],[Anggaran Murni]]-Sales[[#This Row],[Target s.d. Januari]]=0,"",Sales[[#This Row],[Anggaran Murni]]-Sales[[#This Row],[Target s.d. Januari]])</f>
        <v>1</v>
      </c>
      <c r="H836" s="2" t="s">
        <v>71</v>
      </c>
      <c r="I836" s="3" t="s">
        <v>6</v>
      </c>
      <c r="J836" s="3"/>
      <c r="K836" s="2" t="s">
        <v>27</v>
      </c>
      <c r="L836" s="2" t="s">
        <v>7</v>
      </c>
      <c r="M836" s="4" t="s">
        <v>67</v>
      </c>
      <c r="N836" s="3" t="s">
        <v>80</v>
      </c>
      <c r="O836" s="2" t="s">
        <v>13</v>
      </c>
      <c r="P836" s="10"/>
      <c r="Q836" s="11"/>
    </row>
    <row r="837" spans="2:17" ht="21" customHeight="1" x14ac:dyDescent="0.35">
      <c r="B837" s="18">
        <v>43927</v>
      </c>
      <c r="C837" s="18" t="str">
        <f>TEXT(Sales[[#This Row],[Kode Program/Kegiatan ]],"D")</f>
        <v>6</v>
      </c>
      <c r="D837" s="19" t="str">
        <f>TEXT(Sales[[#This Row],[Kode Program/Kegiatan ]],"mmm")</f>
        <v>Apr</v>
      </c>
      <c r="E837" s="20">
        <v>7</v>
      </c>
      <c r="F837" s="19">
        <v>4</v>
      </c>
      <c r="G837" s="20">
        <f>IF(Sales[[#This Row],[Anggaran Murni]]-Sales[[#This Row],[Target s.d. Januari]]=0,"",Sales[[#This Row],[Anggaran Murni]]-Sales[[#This Row],[Target s.d. Januari]])</f>
        <v>3</v>
      </c>
      <c r="H837" s="19" t="s">
        <v>70</v>
      </c>
      <c r="I837" s="20" t="s">
        <v>1</v>
      </c>
      <c r="J837" s="20"/>
      <c r="K837" s="19" t="s">
        <v>63</v>
      </c>
      <c r="L837" s="19" t="s">
        <v>7</v>
      </c>
      <c r="M837" s="21" t="s">
        <v>67</v>
      </c>
      <c r="N837" s="20" t="s">
        <v>80</v>
      </c>
      <c r="O837" s="19" t="s">
        <v>14</v>
      </c>
      <c r="P837" s="10"/>
      <c r="Q837" s="11"/>
    </row>
    <row r="838" spans="2:17" ht="21" customHeight="1" x14ac:dyDescent="0.35">
      <c r="B838" s="1">
        <v>43927</v>
      </c>
      <c r="C838" s="1" t="str">
        <f>TEXT(Sales[[#This Row],[Kode Program/Kegiatan ]],"D")</f>
        <v>6</v>
      </c>
      <c r="D838" s="2" t="str">
        <f>TEXT(Sales[[#This Row],[Kode Program/Kegiatan ]],"mmm")</f>
        <v>Apr</v>
      </c>
      <c r="E838" s="3">
        <v>6</v>
      </c>
      <c r="F838" s="2">
        <v>3</v>
      </c>
      <c r="G838" s="3">
        <f>IF(Sales[[#This Row],[Anggaran Murni]]-Sales[[#This Row],[Target s.d. Januari]]=0,"",Sales[[#This Row],[Anggaran Murni]]-Sales[[#This Row],[Target s.d. Januari]])</f>
        <v>3</v>
      </c>
      <c r="H838" s="2" t="s">
        <v>71</v>
      </c>
      <c r="I838" s="3" t="s">
        <v>6</v>
      </c>
      <c r="J838" s="3"/>
      <c r="K838" s="2" t="s">
        <v>30</v>
      </c>
      <c r="L838" s="2" t="s">
        <v>5</v>
      </c>
      <c r="M838" s="4" t="s">
        <v>67</v>
      </c>
      <c r="N838" s="3" t="s">
        <v>80</v>
      </c>
      <c r="O838" s="2" t="s">
        <v>11</v>
      </c>
      <c r="P838" s="10"/>
      <c r="Q838" s="11"/>
    </row>
    <row r="839" spans="2:17" ht="21" customHeight="1" x14ac:dyDescent="0.35">
      <c r="B839" s="18">
        <v>43927</v>
      </c>
      <c r="C839" s="18" t="str">
        <f>TEXT(Sales[[#This Row],[Kode Program/Kegiatan ]],"D")</f>
        <v>6</v>
      </c>
      <c r="D839" s="19" t="str">
        <f>TEXT(Sales[[#This Row],[Kode Program/Kegiatan ]],"mmm")</f>
        <v>Apr</v>
      </c>
      <c r="E839" s="20">
        <v>6</v>
      </c>
      <c r="F839" s="19">
        <v>4</v>
      </c>
      <c r="G839" s="20">
        <f>IF(Sales[[#This Row],[Anggaran Murni]]-Sales[[#This Row],[Target s.d. Januari]]=0,"",Sales[[#This Row],[Anggaran Murni]]-Sales[[#This Row],[Target s.d. Januari]])</f>
        <v>2</v>
      </c>
      <c r="H839" s="19" t="s">
        <v>74</v>
      </c>
      <c r="I839" s="20" t="s">
        <v>77</v>
      </c>
      <c r="J839" s="20"/>
      <c r="K839" s="19" t="s">
        <v>55</v>
      </c>
      <c r="L839" s="19" t="s">
        <v>5</v>
      </c>
      <c r="M839" s="21" t="s">
        <v>67</v>
      </c>
      <c r="N839" s="20" t="s">
        <v>80</v>
      </c>
      <c r="O839" s="19" t="s">
        <v>12</v>
      </c>
      <c r="P839" s="10"/>
      <c r="Q839" s="11"/>
    </row>
    <row r="840" spans="2:17" ht="21" customHeight="1" x14ac:dyDescent="0.35">
      <c r="B840" s="1">
        <v>43927</v>
      </c>
      <c r="C840" s="1" t="str">
        <f>TEXT(Sales[[#This Row],[Kode Program/Kegiatan ]],"D")</f>
        <v>6</v>
      </c>
      <c r="D840" s="2" t="str">
        <f>TEXT(Sales[[#This Row],[Kode Program/Kegiatan ]],"mmm")</f>
        <v>Apr</v>
      </c>
      <c r="E840" s="3">
        <v>6</v>
      </c>
      <c r="F840" s="2">
        <v>5</v>
      </c>
      <c r="G840" s="3">
        <f>IF(Sales[[#This Row],[Anggaran Murni]]-Sales[[#This Row],[Target s.d. Januari]]=0,"",Sales[[#This Row],[Anggaran Murni]]-Sales[[#This Row],[Target s.d. Januari]])</f>
        <v>1</v>
      </c>
      <c r="H840" s="2" t="s">
        <v>113</v>
      </c>
      <c r="I840" s="3" t="s">
        <v>77</v>
      </c>
      <c r="J840" s="3"/>
      <c r="K840" s="2" t="s">
        <v>17</v>
      </c>
      <c r="L840" s="2" t="s">
        <v>9</v>
      </c>
      <c r="M840" s="4" t="s">
        <v>67</v>
      </c>
      <c r="N840" s="3" t="s">
        <v>80</v>
      </c>
      <c r="O840" s="2" t="s">
        <v>13</v>
      </c>
      <c r="P840" s="10"/>
      <c r="Q840" s="11"/>
    </row>
    <row r="841" spans="2:17" ht="21" customHeight="1" x14ac:dyDescent="0.35">
      <c r="B841" s="18">
        <v>43927</v>
      </c>
      <c r="C841" s="18" t="str">
        <f>TEXT(Sales[[#This Row],[Kode Program/Kegiatan ]],"D")</f>
        <v>6</v>
      </c>
      <c r="D841" s="19" t="str">
        <f>TEXT(Sales[[#This Row],[Kode Program/Kegiatan ]],"mmm")</f>
        <v>Apr</v>
      </c>
      <c r="E841" s="20">
        <v>6</v>
      </c>
      <c r="F841" s="19">
        <v>4</v>
      </c>
      <c r="G841" s="20">
        <f>IF(Sales[[#This Row],[Anggaran Murni]]-Sales[[#This Row],[Target s.d. Januari]]=0,"",Sales[[#This Row],[Anggaran Murni]]-Sales[[#This Row],[Target s.d. Januari]])</f>
        <v>2</v>
      </c>
      <c r="H841" s="19" t="s">
        <v>113</v>
      </c>
      <c r="I841" s="20" t="s">
        <v>77</v>
      </c>
      <c r="J841" s="20"/>
      <c r="K841" s="19" t="s">
        <v>30</v>
      </c>
      <c r="L841" s="19" t="s">
        <v>5</v>
      </c>
      <c r="M841" s="21" t="s">
        <v>67</v>
      </c>
      <c r="N841" s="20" t="s">
        <v>81</v>
      </c>
      <c r="O841" s="19" t="s">
        <v>12</v>
      </c>
      <c r="P841" s="10"/>
      <c r="Q841" s="11"/>
    </row>
    <row r="842" spans="2:17" ht="21" customHeight="1" x14ac:dyDescent="0.35">
      <c r="B842" s="1">
        <v>43927</v>
      </c>
      <c r="C842" s="1" t="str">
        <f>TEXT(Sales[[#This Row],[Kode Program/Kegiatan ]],"D")</f>
        <v>6</v>
      </c>
      <c r="D842" s="2" t="str">
        <f>TEXT(Sales[[#This Row],[Kode Program/Kegiatan ]],"mmm")</f>
        <v>Apr</v>
      </c>
      <c r="E842" s="3">
        <v>5</v>
      </c>
      <c r="F842" s="2">
        <v>4</v>
      </c>
      <c r="G842" s="3">
        <f>IF(Sales[[#This Row],[Anggaran Murni]]-Sales[[#This Row],[Target s.d. Januari]]=0,"",Sales[[#This Row],[Anggaran Murni]]-Sales[[#This Row],[Target s.d. Januari]])</f>
        <v>1</v>
      </c>
      <c r="H842" s="2" t="s">
        <v>75</v>
      </c>
      <c r="I842" s="3" t="s">
        <v>6</v>
      </c>
      <c r="J842" s="3"/>
      <c r="K842" s="2" t="s">
        <v>30</v>
      </c>
      <c r="L842" s="2" t="s">
        <v>5</v>
      </c>
      <c r="M842" s="4" t="s">
        <v>67</v>
      </c>
      <c r="N842" s="3" t="s">
        <v>81</v>
      </c>
      <c r="O842" s="2" t="s">
        <v>13</v>
      </c>
      <c r="P842" s="10"/>
      <c r="Q842" s="11"/>
    </row>
    <row r="843" spans="2:17" ht="21" customHeight="1" x14ac:dyDescent="0.35">
      <c r="B843" s="18">
        <v>43927</v>
      </c>
      <c r="C843" s="18" t="str">
        <f>TEXT(Sales[[#This Row],[Kode Program/Kegiatan ]],"D")</f>
        <v>6</v>
      </c>
      <c r="D843" s="19" t="str">
        <f>TEXT(Sales[[#This Row],[Kode Program/Kegiatan ]],"mmm")</f>
        <v>Apr</v>
      </c>
      <c r="E843" s="20">
        <v>5</v>
      </c>
      <c r="F843" s="19">
        <v>4</v>
      </c>
      <c r="G843" s="20">
        <f>IF(Sales[[#This Row],[Anggaran Murni]]-Sales[[#This Row],[Target s.d. Januari]]=0,"",Sales[[#This Row],[Anggaran Murni]]-Sales[[#This Row],[Target s.d. Januari]])</f>
        <v>1</v>
      </c>
      <c r="H843" s="19" t="s">
        <v>76</v>
      </c>
      <c r="I843" s="20" t="s">
        <v>79</v>
      </c>
      <c r="J843" s="20"/>
      <c r="K843" s="19" t="s">
        <v>54</v>
      </c>
      <c r="L843" s="19" t="s">
        <v>2</v>
      </c>
      <c r="M843" s="21" t="s">
        <v>67</v>
      </c>
      <c r="N843" s="20" t="s">
        <v>80</v>
      </c>
      <c r="O843" s="19" t="s">
        <v>12</v>
      </c>
      <c r="P843" s="10"/>
      <c r="Q843" s="11"/>
    </row>
    <row r="844" spans="2:17" ht="21" customHeight="1" x14ac:dyDescent="0.35">
      <c r="B844" s="1">
        <v>43927</v>
      </c>
      <c r="C844" s="1" t="str">
        <f>TEXT(Sales[[#This Row],[Kode Program/Kegiatan ]],"D")</f>
        <v>6</v>
      </c>
      <c r="D844" s="2" t="str">
        <f>TEXT(Sales[[#This Row],[Kode Program/Kegiatan ]],"mmm")</f>
        <v>Apr</v>
      </c>
      <c r="E844" s="3">
        <v>3</v>
      </c>
      <c r="F844" s="2">
        <v>1</v>
      </c>
      <c r="G844" s="3">
        <f>IF(Sales[[#This Row],[Anggaran Murni]]-Sales[[#This Row],[Target s.d. Januari]]=0,"",Sales[[#This Row],[Anggaran Murni]]-Sales[[#This Row],[Target s.d. Januari]])</f>
        <v>2</v>
      </c>
      <c r="H844" s="2" t="s">
        <v>70</v>
      </c>
      <c r="I844" s="3" t="s">
        <v>1</v>
      </c>
      <c r="J844" s="3"/>
      <c r="K844" s="2" t="s">
        <v>43</v>
      </c>
      <c r="L844" s="2" t="s">
        <v>5</v>
      </c>
      <c r="M844" s="4" t="s">
        <v>67</v>
      </c>
      <c r="N844" s="3" t="s">
        <v>81</v>
      </c>
      <c r="O844" s="2" t="s">
        <v>11</v>
      </c>
      <c r="P844" s="10"/>
      <c r="Q844" s="11"/>
    </row>
    <row r="845" spans="2:17" ht="21" customHeight="1" x14ac:dyDescent="0.35">
      <c r="B845" s="18">
        <v>43928</v>
      </c>
      <c r="C845" s="18" t="str">
        <f>TEXT(Sales[[#This Row],[Kode Program/Kegiatan ]],"D")</f>
        <v>7</v>
      </c>
      <c r="D845" s="19" t="str">
        <f>TEXT(Sales[[#This Row],[Kode Program/Kegiatan ]],"mmm")</f>
        <v>Apr</v>
      </c>
      <c r="E845" s="20">
        <v>9</v>
      </c>
      <c r="F845" s="19">
        <v>7</v>
      </c>
      <c r="G845" s="20">
        <f>IF(Sales[[#This Row],[Anggaran Murni]]-Sales[[#This Row],[Target s.d. Januari]]=0,"",Sales[[#This Row],[Anggaran Murni]]-Sales[[#This Row],[Target s.d. Januari]])</f>
        <v>2</v>
      </c>
      <c r="H845" s="19" t="s">
        <v>75</v>
      </c>
      <c r="I845" s="20" t="s">
        <v>6</v>
      </c>
      <c r="J845" s="20"/>
      <c r="K845" s="19" t="s">
        <v>40</v>
      </c>
      <c r="L845" s="19" t="s">
        <v>4</v>
      </c>
      <c r="M845" s="21" t="s">
        <v>67</v>
      </c>
      <c r="N845" s="20" t="s">
        <v>81</v>
      </c>
      <c r="O845" s="19" t="s">
        <v>12</v>
      </c>
      <c r="P845" s="10"/>
      <c r="Q845" s="11"/>
    </row>
    <row r="846" spans="2:17" ht="21" customHeight="1" x14ac:dyDescent="0.35">
      <c r="B846" s="1">
        <v>43928</v>
      </c>
      <c r="C846" s="1" t="str">
        <f>TEXT(Sales[[#This Row],[Kode Program/Kegiatan ]],"D")</f>
        <v>7</v>
      </c>
      <c r="D846" s="2" t="str">
        <f>TEXT(Sales[[#This Row],[Kode Program/Kegiatan ]],"mmm")</f>
        <v>Apr</v>
      </c>
      <c r="E846" s="3">
        <v>9</v>
      </c>
      <c r="F846" s="2">
        <v>7</v>
      </c>
      <c r="G846" s="3">
        <f>IF(Sales[[#This Row],[Anggaran Murni]]-Sales[[#This Row],[Target s.d. Januari]]=0,"",Sales[[#This Row],[Anggaran Murni]]-Sales[[#This Row],[Target s.d. Januari]])</f>
        <v>2</v>
      </c>
      <c r="H846" s="2" t="s">
        <v>76</v>
      </c>
      <c r="I846" s="3" t="s">
        <v>79</v>
      </c>
      <c r="J846" s="3"/>
      <c r="K846" s="2" t="s">
        <v>50</v>
      </c>
      <c r="L846" s="2" t="s">
        <v>2</v>
      </c>
      <c r="M846" s="4" t="s">
        <v>67</v>
      </c>
      <c r="N846" s="3" t="s">
        <v>81</v>
      </c>
      <c r="O846" s="2" t="s">
        <v>13</v>
      </c>
      <c r="P846" s="10"/>
      <c r="Q846" s="11"/>
    </row>
    <row r="847" spans="2:17" ht="21" customHeight="1" x14ac:dyDescent="0.35">
      <c r="B847" s="18">
        <v>43928</v>
      </c>
      <c r="C847" s="18" t="str">
        <f>TEXT(Sales[[#This Row],[Kode Program/Kegiatan ]],"D")</f>
        <v>7</v>
      </c>
      <c r="D847" s="19" t="str">
        <f>TEXT(Sales[[#This Row],[Kode Program/Kegiatan ]],"mmm")</f>
        <v>Apr</v>
      </c>
      <c r="E847" s="20">
        <v>9</v>
      </c>
      <c r="F847" s="19">
        <v>6</v>
      </c>
      <c r="G847" s="20">
        <f>IF(Sales[[#This Row],[Anggaran Murni]]-Sales[[#This Row],[Target s.d. Januari]]=0,"",Sales[[#This Row],[Anggaran Murni]]-Sales[[#This Row],[Target s.d. Januari]])</f>
        <v>3</v>
      </c>
      <c r="H847" s="19" t="s">
        <v>70</v>
      </c>
      <c r="I847" s="20" t="s">
        <v>1</v>
      </c>
      <c r="J847" s="20"/>
      <c r="K847" s="19" t="s">
        <v>51</v>
      </c>
      <c r="L847" s="19" t="s">
        <v>7</v>
      </c>
      <c r="M847" s="21" t="s">
        <v>67</v>
      </c>
      <c r="N847" s="20" t="s">
        <v>80</v>
      </c>
      <c r="O847" s="19" t="s">
        <v>11</v>
      </c>
      <c r="P847" s="10"/>
      <c r="Q847" s="11"/>
    </row>
    <row r="848" spans="2:17" ht="21" customHeight="1" x14ac:dyDescent="0.35">
      <c r="B848" s="1">
        <v>43928</v>
      </c>
      <c r="C848" s="1" t="str">
        <f>TEXT(Sales[[#This Row],[Kode Program/Kegiatan ]],"D")</f>
        <v>7</v>
      </c>
      <c r="D848" s="2" t="str">
        <f>TEXT(Sales[[#This Row],[Kode Program/Kegiatan ]],"mmm")</f>
        <v>Apr</v>
      </c>
      <c r="E848" s="3">
        <v>7</v>
      </c>
      <c r="F848" s="2">
        <v>5</v>
      </c>
      <c r="G848" s="3">
        <f>IF(Sales[[#This Row],[Anggaran Murni]]-Sales[[#This Row],[Target s.d. Januari]]=0,"",Sales[[#This Row],[Anggaran Murni]]-Sales[[#This Row],[Target s.d. Januari]])</f>
        <v>2</v>
      </c>
      <c r="H848" s="2" t="s">
        <v>114</v>
      </c>
      <c r="I848" s="3" t="s">
        <v>3</v>
      </c>
      <c r="J848" s="3"/>
      <c r="K848" s="2" t="s">
        <v>34</v>
      </c>
      <c r="L848" s="2" t="s">
        <v>2</v>
      </c>
      <c r="M848" s="4" t="s">
        <v>67</v>
      </c>
      <c r="N848" s="3" t="s">
        <v>81</v>
      </c>
      <c r="O848" s="2" t="s">
        <v>12</v>
      </c>
      <c r="P848" s="10"/>
      <c r="Q848" s="11"/>
    </row>
    <row r="849" spans="2:17" ht="21" customHeight="1" x14ac:dyDescent="0.35">
      <c r="B849" s="18">
        <v>43928</v>
      </c>
      <c r="C849" s="18" t="str">
        <f>TEXT(Sales[[#This Row],[Kode Program/Kegiatan ]],"D")</f>
        <v>7</v>
      </c>
      <c r="D849" s="19" t="str">
        <f>TEXT(Sales[[#This Row],[Kode Program/Kegiatan ]],"mmm")</f>
        <v>Apr</v>
      </c>
      <c r="E849" s="20">
        <v>7</v>
      </c>
      <c r="F849" s="19">
        <v>6</v>
      </c>
      <c r="G849" s="20">
        <f>IF(Sales[[#This Row],[Anggaran Murni]]-Sales[[#This Row],[Target s.d. Januari]]=0,"",Sales[[#This Row],[Anggaran Murni]]-Sales[[#This Row],[Target s.d. Januari]])</f>
        <v>1</v>
      </c>
      <c r="H849" s="19" t="s">
        <v>71</v>
      </c>
      <c r="I849" s="20" t="s">
        <v>6</v>
      </c>
      <c r="J849" s="20"/>
      <c r="K849" s="19" t="s">
        <v>45</v>
      </c>
      <c r="L849" s="19" t="s">
        <v>5</v>
      </c>
      <c r="M849" s="21" t="s">
        <v>67</v>
      </c>
      <c r="N849" s="20" t="s">
        <v>81</v>
      </c>
      <c r="O849" s="19" t="s">
        <v>11</v>
      </c>
      <c r="P849" s="10"/>
      <c r="Q849" s="11"/>
    </row>
    <row r="850" spans="2:17" ht="21" customHeight="1" x14ac:dyDescent="0.35">
      <c r="B850" s="1">
        <v>43928</v>
      </c>
      <c r="C850" s="1" t="str">
        <f>TEXT(Sales[[#This Row],[Kode Program/Kegiatan ]],"D")</f>
        <v>7</v>
      </c>
      <c r="D850" s="2" t="str">
        <f>TEXT(Sales[[#This Row],[Kode Program/Kegiatan ]],"mmm")</f>
        <v>Apr</v>
      </c>
      <c r="E850" s="3">
        <v>7</v>
      </c>
      <c r="F850" s="2">
        <v>5</v>
      </c>
      <c r="G850" s="3">
        <f>IF(Sales[[#This Row],[Anggaran Murni]]-Sales[[#This Row],[Target s.d. Januari]]=0,"",Sales[[#This Row],[Anggaran Murni]]-Sales[[#This Row],[Target s.d. Januari]])</f>
        <v>2</v>
      </c>
      <c r="H850" s="2" t="s">
        <v>76</v>
      </c>
      <c r="I850" s="3" t="s">
        <v>79</v>
      </c>
      <c r="J850" s="3"/>
      <c r="K850" s="2" t="s">
        <v>60</v>
      </c>
      <c r="L850" s="2" t="s">
        <v>2</v>
      </c>
      <c r="M850" s="4" t="s">
        <v>67</v>
      </c>
      <c r="N850" s="3" t="s">
        <v>81</v>
      </c>
      <c r="O850" s="2" t="s">
        <v>13</v>
      </c>
      <c r="P850" s="10"/>
      <c r="Q850" s="11"/>
    </row>
    <row r="851" spans="2:17" ht="21" customHeight="1" x14ac:dyDescent="0.35">
      <c r="B851" s="18">
        <v>43928</v>
      </c>
      <c r="C851" s="18" t="str">
        <f>TEXT(Sales[[#This Row],[Kode Program/Kegiatan ]],"D")</f>
        <v>7</v>
      </c>
      <c r="D851" s="19" t="str">
        <f>TEXT(Sales[[#This Row],[Kode Program/Kegiatan ]],"mmm")</f>
        <v>Apr</v>
      </c>
      <c r="E851" s="20">
        <v>6</v>
      </c>
      <c r="F851" s="19">
        <v>4</v>
      </c>
      <c r="G851" s="20">
        <f>IF(Sales[[#This Row],[Anggaran Murni]]-Sales[[#This Row],[Target s.d. Januari]]=0,"",Sales[[#This Row],[Anggaran Murni]]-Sales[[#This Row],[Target s.d. Januari]])</f>
        <v>2</v>
      </c>
      <c r="H851" s="19" t="s">
        <v>75</v>
      </c>
      <c r="I851" s="20" t="s">
        <v>6</v>
      </c>
      <c r="J851" s="20"/>
      <c r="K851" s="19" t="s">
        <v>26</v>
      </c>
      <c r="L851" s="19" t="s">
        <v>7</v>
      </c>
      <c r="M851" s="21" t="s">
        <v>67</v>
      </c>
      <c r="N851" s="20" t="s">
        <v>82</v>
      </c>
      <c r="O851" s="19" t="s">
        <v>13</v>
      </c>
      <c r="P851" s="10"/>
      <c r="Q851" s="11"/>
    </row>
    <row r="852" spans="2:17" ht="21" customHeight="1" x14ac:dyDescent="0.35">
      <c r="B852" s="1">
        <v>43928</v>
      </c>
      <c r="C852" s="1" t="str">
        <f>TEXT(Sales[[#This Row],[Kode Program/Kegiatan ]],"D")</f>
        <v>7</v>
      </c>
      <c r="D852" s="2" t="str">
        <f>TEXT(Sales[[#This Row],[Kode Program/Kegiatan ]],"mmm")</f>
        <v>Apr</v>
      </c>
      <c r="E852" s="3">
        <v>6</v>
      </c>
      <c r="F852" s="2">
        <v>5</v>
      </c>
      <c r="G852" s="3">
        <f>IF(Sales[[#This Row],[Anggaran Murni]]-Sales[[#This Row],[Target s.d. Januari]]=0,"",Sales[[#This Row],[Anggaran Murni]]-Sales[[#This Row],[Target s.d. Januari]])</f>
        <v>1</v>
      </c>
      <c r="H852" s="2" t="s">
        <v>113</v>
      </c>
      <c r="I852" s="3" t="s">
        <v>77</v>
      </c>
      <c r="J852" s="3"/>
      <c r="K852" s="2" t="s">
        <v>25</v>
      </c>
      <c r="L852" s="2" t="s">
        <v>4</v>
      </c>
      <c r="M852" s="4" t="s">
        <v>67</v>
      </c>
      <c r="N852" s="3" t="s">
        <v>82</v>
      </c>
      <c r="O852" s="2" t="s">
        <v>12</v>
      </c>
      <c r="P852" s="10"/>
      <c r="Q852" s="11"/>
    </row>
    <row r="853" spans="2:17" ht="21" customHeight="1" x14ac:dyDescent="0.35">
      <c r="B853" s="18">
        <v>43928</v>
      </c>
      <c r="C853" s="18" t="str">
        <f>TEXT(Sales[[#This Row],[Kode Program/Kegiatan ]],"D")</f>
        <v>7</v>
      </c>
      <c r="D853" s="19" t="str">
        <f>TEXT(Sales[[#This Row],[Kode Program/Kegiatan ]],"mmm")</f>
        <v>Apr</v>
      </c>
      <c r="E853" s="20">
        <v>6</v>
      </c>
      <c r="F853" s="19">
        <v>4</v>
      </c>
      <c r="G853" s="20">
        <f>IF(Sales[[#This Row],[Anggaran Murni]]-Sales[[#This Row],[Target s.d. Januari]]=0,"",Sales[[#This Row],[Anggaran Murni]]-Sales[[#This Row],[Target s.d. Januari]])</f>
        <v>2</v>
      </c>
      <c r="H853" s="19" t="s">
        <v>113</v>
      </c>
      <c r="I853" s="20" t="s">
        <v>77</v>
      </c>
      <c r="J853" s="20"/>
      <c r="K853" s="19" t="s">
        <v>63</v>
      </c>
      <c r="L853" s="19" t="s">
        <v>2</v>
      </c>
      <c r="M853" s="21" t="s">
        <v>67</v>
      </c>
      <c r="N853" s="20" t="s">
        <v>80</v>
      </c>
      <c r="O853" s="19" t="s">
        <v>11</v>
      </c>
      <c r="P853" s="10"/>
      <c r="Q853" s="11"/>
    </row>
    <row r="854" spans="2:17" ht="21" customHeight="1" x14ac:dyDescent="0.35">
      <c r="B854" s="1">
        <v>43928</v>
      </c>
      <c r="C854" s="1" t="str">
        <f>TEXT(Sales[[#This Row],[Kode Program/Kegiatan ]],"D")</f>
        <v>7</v>
      </c>
      <c r="D854" s="2" t="str">
        <f>TEXT(Sales[[#This Row],[Kode Program/Kegiatan ]],"mmm")</f>
        <v>Apr</v>
      </c>
      <c r="E854" s="3">
        <v>4</v>
      </c>
      <c r="F854" s="2">
        <v>2</v>
      </c>
      <c r="G854" s="3">
        <f>IF(Sales[[#This Row],[Anggaran Murni]]-Sales[[#This Row],[Target s.d. Januari]]=0,"",Sales[[#This Row],[Anggaran Murni]]-Sales[[#This Row],[Target s.d. Januari]])</f>
        <v>2</v>
      </c>
      <c r="H854" s="2" t="s">
        <v>76</v>
      </c>
      <c r="I854" s="3" t="s">
        <v>79</v>
      </c>
      <c r="J854" s="3"/>
      <c r="K854" s="2" t="s">
        <v>61</v>
      </c>
      <c r="L854" s="2" t="s">
        <v>2</v>
      </c>
      <c r="M854" s="4" t="s">
        <v>67</v>
      </c>
      <c r="N854" s="3" t="s">
        <v>82</v>
      </c>
      <c r="O854" s="2" t="s">
        <v>13</v>
      </c>
      <c r="P854" s="10"/>
      <c r="Q854" s="11"/>
    </row>
    <row r="855" spans="2:17" ht="21" customHeight="1" x14ac:dyDescent="0.35">
      <c r="B855" s="18">
        <v>43928</v>
      </c>
      <c r="C855" s="18" t="str">
        <f>TEXT(Sales[[#This Row],[Kode Program/Kegiatan ]],"D")</f>
        <v>7</v>
      </c>
      <c r="D855" s="19" t="str">
        <f>TEXT(Sales[[#This Row],[Kode Program/Kegiatan ]],"mmm")</f>
        <v>Apr</v>
      </c>
      <c r="E855" s="20">
        <v>4</v>
      </c>
      <c r="F855" s="19">
        <v>2</v>
      </c>
      <c r="G855" s="20">
        <f>IF(Sales[[#This Row],[Anggaran Murni]]-Sales[[#This Row],[Target s.d. Januari]]=0,"",Sales[[#This Row],[Anggaran Murni]]-Sales[[#This Row],[Target s.d. Januari]])</f>
        <v>2</v>
      </c>
      <c r="H855" s="19" t="s">
        <v>72</v>
      </c>
      <c r="I855" s="20" t="s">
        <v>78</v>
      </c>
      <c r="J855" s="20"/>
      <c r="K855" s="19" t="s">
        <v>23</v>
      </c>
      <c r="L855" s="19" t="s">
        <v>2</v>
      </c>
      <c r="M855" s="21" t="s">
        <v>67</v>
      </c>
      <c r="N855" s="20" t="s">
        <v>80</v>
      </c>
      <c r="O855" s="19" t="s">
        <v>12</v>
      </c>
      <c r="P855" s="10"/>
      <c r="Q855" s="11"/>
    </row>
    <row r="856" spans="2:17" ht="21" customHeight="1" x14ac:dyDescent="0.35">
      <c r="B856" s="1">
        <v>43928</v>
      </c>
      <c r="C856" s="1" t="str">
        <f>TEXT(Sales[[#This Row],[Kode Program/Kegiatan ]],"D")</f>
        <v>7</v>
      </c>
      <c r="D856" s="2" t="str">
        <f>TEXT(Sales[[#This Row],[Kode Program/Kegiatan ]],"mmm")</f>
        <v>Apr</v>
      </c>
      <c r="E856" s="3">
        <v>3</v>
      </c>
      <c r="F856" s="2">
        <v>2</v>
      </c>
      <c r="G856" s="3">
        <f>IF(Sales[[#This Row],[Anggaran Murni]]-Sales[[#This Row],[Target s.d. Januari]]=0,"",Sales[[#This Row],[Anggaran Murni]]-Sales[[#This Row],[Target s.d. Januari]])</f>
        <v>1</v>
      </c>
      <c r="H856" s="2" t="s">
        <v>114</v>
      </c>
      <c r="I856" s="3" t="s">
        <v>3</v>
      </c>
      <c r="J856" s="3"/>
      <c r="K856" s="2" t="s">
        <v>37</v>
      </c>
      <c r="L856" s="2" t="s">
        <v>5</v>
      </c>
      <c r="M856" s="4" t="s">
        <v>67</v>
      </c>
      <c r="N856" s="3" t="s">
        <v>80</v>
      </c>
      <c r="O856" s="2" t="s">
        <v>12</v>
      </c>
      <c r="P856" s="10"/>
      <c r="Q856" s="11"/>
    </row>
    <row r="857" spans="2:17" ht="21" customHeight="1" x14ac:dyDescent="0.35">
      <c r="B857" s="18">
        <v>43928</v>
      </c>
      <c r="C857" s="18" t="str">
        <f>TEXT(Sales[[#This Row],[Kode Program/Kegiatan ]],"D")</f>
        <v>7</v>
      </c>
      <c r="D857" s="19" t="str">
        <f>TEXT(Sales[[#This Row],[Kode Program/Kegiatan ]],"mmm")</f>
        <v>Apr</v>
      </c>
      <c r="E857" s="20">
        <v>3</v>
      </c>
      <c r="F857" s="19">
        <v>2</v>
      </c>
      <c r="G857" s="20">
        <f>IF(Sales[[#This Row],[Anggaran Murni]]-Sales[[#This Row],[Target s.d. Januari]]=0,"",Sales[[#This Row],[Anggaran Murni]]-Sales[[#This Row],[Target s.d. Januari]])</f>
        <v>1</v>
      </c>
      <c r="H857" s="19" t="s">
        <v>74</v>
      </c>
      <c r="I857" s="20" t="s">
        <v>77</v>
      </c>
      <c r="J857" s="20"/>
      <c r="K857" s="19" t="s">
        <v>60</v>
      </c>
      <c r="L857" s="19" t="s">
        <v>5</v>
      </c>
      <c r="M857" s="21" t="s">
        <v>67</v>
      </c>
      <c r="N857" s="20" t="s">
        <v>80</v>
      </c>
      <c r="O857" s="19" t="s">
        <v>11</v>
      </c>
      <c r="P857" s="10"/>
      <c r="Q857" s="11"/>
    </row>
    <row r="858" spans="2:17" ht="21" customHeight="1" x14ac:dyDescent="0.35">
      <c r="B858" s="1">
        <v>43929</v>
      </c>
      <c r="C858" s="1" t="str">
        <f>TEXT(Sales[[#This Row],[Kode Program/Kegiatan ]],"D")</f>
        <v>8</v>
      </c>
      <c r="D858" s="2" t="str">
        <f>TEXT(Sales[[#This Row],[Kode Program/Kegiatan ]],"mmm")</f>
        <v>Apr</v>
      </c>
      <c r="E858" s="3">
        <v>4</v>
      </c>
      <c r="F858" s="2">
        <v>2</v>
      </c>
      <c r="G858" s="3">
        <f>IF(Sales[[#This Row],[Anggaran Murni]]-Sales[[#This Row],[Target s.d. Januari]]=0,"",Sales[[#This Row],[Anggaran Murni]]-Sales[[#This Row],[Target s.d. Januari]])</f>
        <v>2</v>
      </c>
      <c r="H858" s="2" t="s">
        <v>74</v>
      </c>
      <c r="I858" s="3" t="s">
        <v>77</v>
      </c>
      <c r="J858" s="3"/>
      <c r="K858" s="2" t="s">
        <v>40</v>
      </c>
      <c r="L858" s="2" t="s">
        <v>9</v>
      </c>
      <c r="M858" s="4" t="s">
        <v>67</v>
      </c>
      <c r="N858" s="3" t="s">
        <v>82</v>
      </c>
      <c r="O858" s="2" t="s">
        <v>12</v>
      </c>
      <c r="P858" s="10"/>
      <c r="Q858" s="11"/>
    </row>
    <row r="859" spans="2:17" ht="21" customHeight="1" x14ac:dyDescent="0.35">
      <c r="B859" s="18">
        <v>43929</v>
      </c>
      <c r="C859" s="18" t="str">
        <f>TEXT(Sales[[#This Row],[Kode Program/Kegiatan ]],"D")</f>
        <v>8</v>
      </c>
      <c r="D859" s="19" t="str">
        <f>TEXT(Sales[[#This Row],[Kode Program/Kegiatan ]],"mmm")</f>
        <v>Apr</v>
      </c>
      <c r="E859" s="20">
        <v>3</v>
      </c>
      <c r="F859" s="19">
        <v>2</v>
      </c>
      <c r="G859" s="20">
        <f>IF(Sales[[#This Row],[Anggaran Murni]]-Sales[[#This Row],[Target s.d. Januari]]=0,"",Sales[[#This Row],[Anggaran Murni]]-Sales[[#This Row],[Target s.d. Januari]])</f>
        <v>1</v>
      </c>
      <c r="H859" s="19" t="s">
        <v>71</v>
      </c>
      <c r="I859" s="20" t="s">
        <v>6</v>
      </c>
      <c r="J859" s="20"/>
      <c r="K859" s="19" t="s">
        <v>21</v>
      </c>
      <c r="L859" s="19" t="s">
        <v>9</v>
      </c>
      <c r="M859" s="21" t="s">
        <v>67</v>
      </c>
      <c r="N859" s="20" t="s">
        <v>82</v>
      </c>
      <c r="O859" s="19" t="s">
        <v>14</v>
      </c>
      <c r="P859" s="10"/>
      <c r="Q859" s="11"/>
    </row>
    <row r="860" spans="2:17" ht="21" customHeight="1" x14ac:dyDescent="0.35">
      <c r="B860" s="1">
        <v>43929</v>
      </c>
      <c r="C860" s="1" t="str">
        <f>TEXT(Sales[[#This Row],[Kode Program/Kegiatan ]],"D")</f>
        <v>8</v>
      </c>
      <c r="D860" s="2" t="str">
        <f>TEXT(Sales[[#This Row],[Kode Program/Kegiatan ]],"mmm")</f>
        <v>Apr</v>
      </c>
      <c r="E860" s="3">
        <v>3</v>
      </c>
      <c r="F860" s="2">
        <v>1</v>
      </c>
      <c r="G860" s="3">
        <f>IF(Sales[[#This Row],[Anggaran Murni]]-Sales[[#This Row],[Target s.d. Januari]]=0,"",Sales[[#This Row],[Anggaran Murni]]-Sales[[#This Row],[Target s.d. Januari]])</f>
        <v>2</v>
      </c>
      <c r="H860" s="2" t="s">
        <v>76</v>
      </c>
      <c r="I860" s="3" t="s">
        <v>79</v>
      </c>
      <c r="J860" s="3"/>
      <c r="K860" s="2" t="s">
        <v>59</v>
      </c>
      <c r="L860" s="2" t="s">
        <v>5</v>
      </c>
      <c r="M860" s="4" t="s">
        <v>67</v>
      </c>
      <c r="N860" s="3" t="s">
        <v>81</v>
      </c>
      <c r="O860" s="2" t="s">
        <v>12</v>
      </c>
      <c r="P860" s="10"/>
      <c r="Q860" s="11"/>
    </row>
    <row r="861" spans="2:17" ht="21" customHeight="1" x14ac:dyDescent="0.35">
      <c r="B861" s="18">
        <v>43930</v>
      </c>
      <c r="C861" s="18" t="str">
        <f>TEXT(Sales[[#This Row],[Kode Program/Kegiatan ]],"D")</f>
        <v>9</v>
      </c>
      <c r="D861" s="19" t="str">
        <f>TEXT(Sales[[#This Row],[Kode Program/Kegiatan ]],"mmm")</f>
        <v>Apr</v>
      </c>
      <c r="E861" s="20">
        <v>9</v>
      </c>
      <c r="F861" s="19">
        <v>8</v>
      </c>
      <c r="G861" s="20">
        <f>IF(Sales[[#This Row],[Anggaran Murni]]-Sales[[#This Row],[Target s.d. Januari]]=0,"",Sales[[#This Row],[Anggaran Murni]]-Sales[[#This Row],[Target s.d. Januari]])</f>
        <v>1</v>
      </c>
      <c r="H861" s="19" t="s">
        <v>71</v>
      </c>
      <c r="I861" s="20" t="s">
        <v>6</v>
      </c>
      <c r="J861" s="20"/>
      <c r="K861" s="19" t="s">
        <v>25</v>
      </c>
      <c r="L861" s="19" t="s">
        <v>2</v>
      </c>
      <c r="M861" s="21" t="s">
        <v>67</v>
      </c>
      <c r="N861" s="20" t="s">
        <v>80</v>
      </c>
      <c r="O861" s="19" t="s">
        <v>12</v>
      </c>
      <c r="P861" s="10"/>
      <c r="Q861" s="11"/>
    </row>
    <row r="862" spans="2:17" ht="21" customHeight="1" x14ac:dyDescent="0.35">
      <c r="B862" s="1">
        <v>43930</v>
      </c>
      <c r="C862" s="1" t="str">
        <f>TEXT(Sales[[#This Row],[Kode Program/Kegiatan ]],"D")</f>
        <v>9</v>
      </c>
      <c r="D862" s="2" t="str">
        <f>TEXT(Sales[[#This Row],[Kode Program/Kegiatan ]],"mmm")</f>
        <v>Apr</v>
      </c>
      <c r="E862" s="3">
        <v>8</v>
      </c>
      <c r="F862" s="2">
        <v>6</v>
      </c>
      <c r="G862" s="3">
        <f>IF(Sales[[#This Row],[Anggaran Murni]]-Sales[[#This Row],[Target s.d. Januari]]=0,"",Sales[[#This Row],[Anggaran Murni]]-Sales[[#This Row],[Target s.d. Januari]])</f>
        <v>2</v>
      </c>
      <c r="H862" s="2" t="s">
        <v>75</v>
      </c>
      <c r="I862" s="3" t="s">
        <v>6</v>
      </c>
      <c r="J862" s="3"/>
      <c r="K862" s="2" t="s">
        <v>48</v>
      </c>
      <c r="L862" s="2" t="s">
        <v>4</v>
      </c>
      <c r="M862" s="4" t="s">
        <v>67</v>
      </c>
      <c r="N862" s="3" t="s">
        <v>82</v>
      </c>
      <c r="O862" s="2" t="s">
        <v>13</v>
      </c>
      <c r="P862" s="10"/>
      <c r="Q862" s="11"/>
    </row>
    <row r="863" spans="2:17" ht="21" customHeight="1" x14ac:dyDescent="0.35">
      <c r="B863" s="18">
        <v>43930</v>
      </c>
      <c r="C863" s="18" t="str">
        <f>TEXT(Sales[[#This Row],[Kode Program/Kegiatan ]],"D")</f>
        <v>9</v>
      </c>
      <c r="D863" s="19" t="str">
        <f>TEXT(Sales[[#This Row],[Kode Program/Kegiatan ]],"mmm")</f>
        <v>Apr</v>
      </c>
      <c r="E863" s="20">
        <v>6</v>
      </c>
      <c r="F863" s="19">
        <v>3</v>
      </c>
      <c r="G863" s="20">
        <f>IF(Sales[[#This Row],[Anggaran Murni]]-Sales[[#This Row],[Target s.d. Januari]]=0,"",Sales[[#This Row],[Anggaran Murni]]-Sales[[#This Row],[Target s.d. Januari]])</f>
        <v>3</v>
      </c>
      <c r="H863" s="19" t="s">
        <v>72</v>
      </c>
      <c r="I863" s="20" t="s">
        <v>78</v>
      </c>
      <c r="J863" s="20"/>
      <c r="K863" s="19" t="s">
        <v>20</v>
      </c>
      <c r="L863" s="19" t="s">
        <v>5</v>
      </c>
      <c r="M863" s="21" t="s">
        <v>67</v>
      </c>
      <c r="N863" s="20" t="s">
        <v>80</v>
      </c>
      <c r="O863" s="19" t="s">
        <v>11</v>
      </c>
      <c r="P863" s="10"/>
      <c r="Q863" s="11"/>
    </row>
    <row r="864" spans="2:17" ht="21" customHeight="1" x14ac:dyDescent="0.35">
      <c r="B864" s="1">
        <v>43930</v>
      </c>
      <c r="C864" s="1" t="str">
        <f>TEXT(Sales[[#This Row],[Kode Program/Kegiatan ]],"D")</f>
        <v>9</v>
      </c>
      <c r="D864" s="2" t="str">
        <f>TEXT(Sales[[#This Row],[Kode Program/Kegiatan ]],"mmm")</f>
        <v>Apr</v>
      </c>
      <c r="E864" s="3">
        <v>3</v>
      </c>
      <c r="F864" s="2">
        <v>1</v>
      </c>
      <c r="G864" s="3">
        <f>IF(Sales[[#This Row],[Anggaran Murni]]-Sales[[#This Row],[Target s.d. Januari]]=0,"",Sales[[#This Row],[Anggaran Murni]]-Sales[[#This Row],[Target s.d. Januari]])</f>
        <v>2</v>
      </c>
      <c r="H864" s="2" t="s">
        <v>114</v>
      </c>
      <c r="I864" s="3" t="s">
        <v>3</v>
      </c>
      <c r="J864" s="3"/>
      <c r="K864" s="2" t="s">
        <v>18</v>
      </c>
      <c r="L864" s="2" t="s">
        <v>9</v>
      </c>
      <c r="M864" s="4" t="s">
        <v>67</v>
      </c>
      <c r="N864" s="3" t="s">
        <v>82</v>
      </c>
      <c r="O864" s="2" t="s">
        <v>12</v>
      </c>
      <c r="P864" s="10"/>
      <c r="Q864" s="11"/>
    </row>
    <row r="865" spans="2:17" ht="21" customHeight="1" x14ac:dyDescent="0.35">
      <c r="B865" s="18">
        <v>43930</v>
      </c>
      <c r="C865" s="18" t="str">
        <f>TEXT(Sales[[#This Row],[Kode Program/Kegiatan ]],"D")</f>
        <v>9</v>
      </c>
      <c r="D865" s="19" t="str">
        <f>TEXT(Sales[[#This Row],[Kode Program/Kegiatan ]],"mmm")</f>
        <v>Apr</v>
      </c>
      <c r="E865" s="20">
        <v>3</v>
      </c>
      <c r="F865" s="19">
        <v>2</v>
      </c>
      <c r="G865" s="20">
        <f>IF(Sales[[#This Row],[Anggaran Murni]]-Sales[[#This Row],[Target s.d. Januari]]=0,"",Sales[[#This Row],[Anggaran Murni]]-Sales[[#This Row],[Target s.d. Januari]])</f>
        <v>1</v>
      </c>
      <c r="H865" s="19" t="s">
        <v>72</v>
      </c>
      <c r="I865" s="20" t="s">
        <v>78</v>
      </c>
      <c r="J865" s="20"/>
      <c r="K865" s="19" t="s">
        <v>58</v>
      </c>
      <c r="L865" s="19" t="s">
        <v>2</v>
      </c>
      <c r="M865" s="21" t="s">
        <v>67</v>
      </c>
      <c r="N865" s="20" t="s">
        <v>82</v>
      </c>
      <c r="O865" s="19" t="s">
        <v>12</v>
      </c>
      <c r="P865" s="10"/>
      <c r="Q865" s="11"/>
    </row>
    <row r="866" spans="2:17" ht="21" customHeight="1" x14ac:dyDescent="0.35">
      <c r="B866" s="1">
        <v>43930</v>
      </c>
      <c r="C866" s="1" t="str">
        <f>TEXT(Sales[[#This Row],[Kode Program/Kegiatan ]],"D")</f>
        <v>9</v>
      </c>
      <c r="D866" s="2" t="str">
        <f>TEXT(Sales[[#This Row],[Kode Program/Kegiatan ]],"mmm")</f>
        <v>Apr</v>
      </c>
      <c r="E866" s="3">
        <v>3</v>
      </c>
      <c r="F866" s="2">
        <v>2</v>
      </c>
      <c r="G866" s="3">
        <f>IF(Sales[[#This Row],[Anggaran Murni]]-Sales[[#This Row],[Target s.d. Januari]]=0,"",Sales[[#This Row],[Anggaran Murni]]-Sales[[#This Row],[Target s.d. Januari]])</f>
        <v>1</v>
      </c>
      <c r="H866" s="2" t="s">
        <v>74</v>
      </c>
      <c r="I866" s="3" t="s">
        <v>77</v>
      </c>
      <c r="J866" s="3"/>
      <c r="K866" s="2" t="s">
        <v>58</v>
      </c>
      <c r="L866" s="2" t="s">
        <v>4</v>
      </c>
      <c r="M866" s="4" t="s">
        <v>67</v>
      </c>
      <c r="N866" s="3" t="s">
        <v>82</v>
      </c>
      <c r="O866" s="2" t="s">
        <v>11</v>
      </c>
      <c r="P866" s="10"/>
      <c r="Q866" s="11"/>
    </row>
    <row r="867" spans="2:17" ht="21" customHeight="1" x14ac:dyDescent="0.35">
      <c r="B867" s="18">
        <v>43931</v>
      </c>
      <c r="C867" s="18" t="str">
        <f>TEXT(Sales[[#This Row],[Kode Program/Kegiatan ]],"D")</f>
        <v>10</v>
      </c>
      <c r="D867" s="19" t="str">
        <f>TEXT(Sales[[#This Row],[Kode Program/Kegiatan ]],"mmm")</f>
        <v>Apr</v>
      </c>
      <c r="E867" s="20">
        <v>10</v>
      </c>
      <c r="F867" s="19">
        <v>6</v>
      </c>
      <c r="G867" s="20">
        <f>IF(Sales[[#This Row],[Anggaran Murni]]-Sales[[#This Row],[Target s.d. Januari]]=0,"",Sales[[#This Row],[Anggaran Murni]]-Sales[[#This Row],[Target s.d. Januari]])</f>
        <v>4</v>
      </c>
      <c r="H867" s="19" t="s">
        <v>75</v>
      </c>
      <c r="I867" s="20" t="s">
        <v>6</v>
      </c>
      <c r="J867" s="20"/>
      <c r="K867" s="19" t="s">
        <v>37</v>
      </c>
      <c r="L867" s="19" t="s">
        <v>2</v>
      </c>
      <c r="M867" s="21" t="s">
        <v>67</v>
      </c>
      <c r="N867" s="20" t="s">
        <v>82</v>
      </c>
      <c r="O867" s="19" t="s">
        <v>13</v>
      </c>
      <c r="P867" s="10"/>
      <c r="Q867" s="11"/>
    </row>
    <row r="868" spans="2:17" ht="21" customHeight="1" x14ac:dyDescent="0.35">
      <c r="B868" s="1">
        <v>43931</v>
      </c>
      <c r="C868" s="1" t="str">
        <f>TEXT(Sales[[#This Row],[Kode Program/Kegiatan ]],"D")</f>
        <v>10</v>
      </c>
      <c r="D868" s="2" t="str">
        <f>TEXT(Sales[[#This Row],[Kode Program/Kegiatan ]],"mmm")</f>
        <v>Apr</v>
      </c>
      <c r="E868" s="3">
        <v>10</v>
      </c>
      <c r="F868" s="2">
        <v>9</v>
      </c>
      <c r="G868" s="3">
        <f>IF(Sales[[#This Row],[Anggaran Murni]]-Sales[[#This Row],[Target s.d. Januari]]=0,"",Sales[[#This Row],[Anggaran Murni]]-Sales[[#This Row],[Target s.d. Januari]])</f>
        <v>1</v>
      </c>
      <c r="H868" s="2" t="s">
        <v>114</v>
      </c>
      <c r="I868" s="3" t="s">
        <v>3</v>
      </c>
      <c r="J868" s="3"/>
      <c r="K868" s="2" t="s">
        <v>31</v>
      </c>
      <c r="L868" s="2" t="s">
        <v>5</v>
      </c>
      <c r="M868" s="4" t="s">
        <v>67</v>
      </c>
      <c r="N868" s="3" t="s">
        <v>81</v>
      </c>
      <c r="O868" s="2" t="s">
        <v>13</v>
      </c>
      <c r="P868" s="10"/>
      <c r="Q868" s="11"/>
    </row>
    <row r="869" spans="2:17" ht="21" customHeight="1" x14ac:dyDescent="0.35">
      <c r="B869" s="18">
        <v>43931</v>
      </c>
      <c r="C869" s="18" t="str">
        <f>TEXT(Sales[[#This Row],[Kode Program/Kegiatan ]],"D")</f>
        <v>10</v>
      </c>
      <c r="D869" s="19" t="str">
        <f>TEXT(Sales[[#This Row],[Kode Program/Kegiatan ]],"mmm")</f>
        <v>Apr</v>
      </c>
      <c r="E869" s="20">
        <v>9</v>
      </c>
      <c r="F869" s="19">
        <v>5</v>
      </c>
      <c r="G869" s="20">
        <f>IF(Sales[[#This Row],[Anggaran Murni]]-Sales[[#This Row],[Target s.d. Januari]]=0,"",Sales[[#This Row],[Anggaran Murni]]-Sales[[#This Row],[Target s.d. Januari]])</f>
        <v>4</v>
      </c>
      <c r="H869" s="19" t="s">
        <v>71</v>
      </c>
      <c r="I869" s="20" t="s">
        <v>6</v>
      </c>
      <c r="J869" s="20"/>
      <c r="K869" s="19" t="s">
        <v>49</v>
      </c>
      <c r="L869" s="19" t="s">
        <v>5</v>
      </c>
      <c r="M869" s="21" t="s">
        <v>67</v>
      </c>
      <c r="N869" s="20" t="s">
        <v>81</v>
      </c>
      <c r="O869" s="19" t="s">
        <v>11</v>
      </c>
      <c r="P869" s="10"/>
      <c r="Q869" s="11"/>
    </row>
    <row r="870" spans="2:17" ht="21" customHeight="1" x14ac:dyDescent="0.35">
      <c r="B870" s="1">
        <v>43931</v>
      </c>
      <c r="C870" s="1" t="str">
        <f>TEXT(Sales[[#This Row],[Kode Program/Kegiatan ]],"D")</f>
        <v>10</v>
      </c>
      <c r="D870" s="2" t="str">
        <f>TEXT(Sales[[#This Row],[Kode Program/Kegiatan ]],"mmm")</f>
        <v>Apr</v>
      </c>
      <c r="E870" s="3">
        <v>8</v>
      </c>
      <c r="F870" s="2">
        <v>7</v>
      </c>
      <c r="G870" s="3">
        <f>IF(Sales[[#This Row],[Anggaran Murni]]-Sales[[#This Row],[Target s.d. Januari]]=0,"",Sales[[#This Row],[Anggaran Murni]]-Sales[[#This Row],[Target s.d. Januari]])</f>
        <v>1</v>
      </c>
      <c r="H870" s="2" t="s">
        <v>113</v>
      </c>
      <c r="I870" s="3" t="s">
        <v>77</v>
      </c>
      <c r="J870" s="3"/>
      <c r="K870" s="2" t="s">
        <v>61</v>
      </c>
      <c r="L870" s="2" t="s">
        <v>2</v>
      </c>
      <c r="M870" s="4" t="s">
        <v>67</v>
      </c>
      <c r="N870" s="3" t="s">
        <v>81</v>
      </c>
      <c r="O870" s="2" t="s">
        <v>13</v>
      </c>
      <c r="P870" s="10"/>
      <c r="Q870" s="11"/>
    </row>
    <row r="871" spans="2:17" ht="21" customHeight="1" x14ac:dyDescent="0.35">
      <c r="B871" s="18">
        <v>43931</v>
      </c>
      <c r="C871" s="18" t="str">
        <f>TEXT(Sales[[#This Row],[Kode Program/Kegiatan ]],"D")</f>
        <v>10</v>
      </c>
      <c r="D871" s="19" t="str">
        <f>TEXT(Sales[[#This Row],[Kode Program/Kegiatan ]],"mmm")</f>
        <v>Apr</v>
      </c>
      <c r="E871" s="20">
        <v>7</v>
      </c>
      <c r="F871" s="19">
        <v>6</v>
      </c>
      <c r="G871" s="20">
        <f>IF(Sales[[#This Row],[Anggaran Murni]]-Sales[[#This Row],[Target s.d. Januari]]=0,"",Sales[[#This Row],[Anggaran Murni]]-Sales[[#This Row],[Target s.d. Januari]])</f>
        <v>1</v>
      </c>
      <c r="H871" s="19" t="s">
        <v>70</v>
      </c>
      <c r="I871" s="20" t="s">
        <v>1</v>
      </c>
      <c r="J871" s="20"/>
      <c r="K871" s="19" t="s">
        <v>53</v>
      </c>
      <c r="L871" s="19" t="s">
        <v>4</v>
      </c>
      <c r="M871" s="21" t="s">
        <v>67</v>
      </c>
      <c r="N871" s="20" t="s">
        <v>81</v>
      </c>
      <c r="O871" s="19" t="s">
        <v>11</v>
      </c>
      <c r="P871" s="10"/>
      <c r="Q871" s="11"/>
    </row>
    <row r="872" spans="2:17" ht="21" customHeight="1" x14ac:dyDescent="0.35">
      <c r="B872" s="1">
        <v>43931</v>
      </c>
      <c r="C872" s="1" t="str">
        <f>TEXT(Sales[[#This Row],[Kode Program/Kegiatan ]],"D")</f>
        <v>10</v>
      </c>
      <c r="D872" s="2" t="str">
        <f>TEXT(Sales[[#This Row],[Kode Program/Kegiatan ]],"mmm")</f>
        <v>Apr</v>
      </c>
      <c r="E872" s="3">
        <v>6</v>
      </c>
      <c r="F872" s="2">
        <v>3</v>
      </c>
      <c r="G872" s="3">
        <f>IF(Sales[[#This Row],[Anggaran Murni]]-Sales[[#This Row],[Target s.d. Januari]]=0,"",Sales[[#This Row],[Anggaran Murni]]-Sales[[#This Row],[Target s.d. Januari]])</f>
        <v>3</v>
      </c>
      <c r="H872" s="2" t="s">
        <v>76</v>
      </c>
      <c r="I872" s="3" t="s">
        <v>79</v>
      </c>
      <c r="J872" s="3"/>
      <c r="K872" s="2" t="s">
        <v>55</v>
      </c>
      <c r="L872" s="2" t="s">
        <v>2</v>
      </c>
      <c r="M872" s="4" t="s">
        <v>67</v>
      </c>
      <c r="N872" s="3" t="s">
        <v>82</v>
      </c>
      <c r="O872" s="2" t="s">
        <v>11</v>
      </c>
      <c r="P872" s="10"/>
      <c r="Q872" s="11"/>
    </row>
    <row r="873" spans="2:17" ht="21" customHeight="1" x14ac:dyDescent="0.35">
      <c r="B873" s="18">
        <v>43931</v>
      </c>
      <c r="C873" s="18" t="str">
        <f>TEXT(Sales[[#This Row],[Kode Program/Kegiatan ]],"D")</f>
        <v>10</v>
      </c>
      <c r="D873" s="19" t="str">
        <f>TEXT(Sales[[#This Row],[Kode Program/Kegiatan ]],"mmm")</f>
        <v>Apr</v>
      </c>
      <c r="E873" s="20">
        <v>6</v>
      </c>
      <c r="F873" s="19">
        <v>3</v>
      </c>
      <c r="G873" s="20">
        <f>IF(Sales[[#This Row],[Anggaran Murni]]-Sales[[#This Row],[Target s.d. Januari]]=0,"",Sales[[#This Row],[Anggaran Murni]]-Sales[[#This Row],[Target s.d. Januari]])</f>
        <v>3</v>
      </c>
      <c r="H873" s="19" t="s">
        <v>73</v>
      </c>
      <c r="I873" s="20" t="s">
        <v>78</v>
      </c>
      <c r="J873" s="20"/>
      <c r="K873" s="19" t="s">
        <v>37</v>
      </c>
      <c r="L873" s="19" t="s">
        <v>5</v>
      </c>
      <c r="M873" s="21" t="s">
        <v>67</v>
      </c>
      <c r="N873" s="20" t="s">
        <v>81</v>
      </c>
      <c r="O873" s="19" t="s">
        <v>14</v>
      </c>
      <c r="P873" s="10"/>
      <c r="Q873" s="11"/>
    </row>
    <row r="874" spans="2:17" ht="21" customHeight="1" x14ac:dyDescent="0.35">
      <c r="B874" s="1">
        <v>43931</v>
      </c>
      <c r="C874" s="1" t="str">
        <f>TEXT(Sales[[#This Row],[Kode Program/Kegiatan ]],"D")</f>
        <v>10</v>
      </c>
      <c r="D874" s="2" t="str">
        <f>TEXT(Sales[[#This Row],[Kode Program/Kegiatan ]],"mmm")</f>
        <v>Apr</v>
      </c>
      <c r="E874" s="3">
        <v>4</v>
      </c>
      <c r="F874" s="2">
        <v>2</v>
      </c>
      <c r="G874" s="3">
        <f>IF(Sales[[#This Row],[Anggaran Murni]]-Sales[[#This Row],[Target s.d. Januari]]=0,"",Sales[[#This Row],[Anggaran Murni]]-Sales[[#This Row],[Target s.d. Januari]])</f>
        <v>2</v>
      </c>
      <c r="H874" s="2" t="s">
        <v>76</v>
      </c>
      <c r="I874" s="3" t="s">
        <v>79</v>
      </c>
      <c r="J874" s="3"/>
      <c r="K874" s="2" t="s">
        <v>45</v>
      </c>
      <c r="L874" s="2" t="s">
        <v>5</v>
      </c>
      <c r="M874" s="4" t="s">
        <v>67</v>
      </c>
      <c r="N874" s="3" t="s">
        <v>81</v>
      </c>
      <c r="O874" s="2" t="s">
        <v>13</v>
      </c>
      <c r="P874" s="10"/>
      <c r="Q874" s="11"/>
    </row>
    <row r="875" spans="2:17" ht="21" customHeight="1" x14ac:dyDescent="0.35">
      <c r="B875" s="18">
        <v>43931</v>
      </c>
      <c r="C875" s="18" t="str">
        <f>TEXT(Sales[[#This Row],[Kode Program/Kegiatan ]],"D")</f>
        <v>10</v>
      </c>
      <c r="D875" s="19" t="str">
        <f>TEXT(Sales[[#This Row],[Kode Program/Kegiatan ]],"mmm")</f>
        <v>Apr</v>
      </c>
      <c r="E875" s="20">
        <v>3</v>
      </c>
      <c r="F875" s="19">
        <v>2</v>
      </c>
      <c r="G875" s="20">
        <f>IF(Sales[[#This Row],[Anggaran Murni]]-Sales[[#This Row],[Target s.d. Januari]]=0,"",Sales[[#This Row],[Anggaran Murni]]-Sales[[#This Row],[Target s.d. Januari]])</f>
        <v>1</v>
      </c>
      <c r="H875" s="19" t="s">
        <v>70</v>
      </c>
      <c r="I875" s="20" t="s">
        <v>1</v>
      </c>
      <c r="J875" s="20"/>
      <c r="K875" s="19" t="s">
        <v>47</v>
      </c>
      <c r="L875" s="19" t="s">
        <v>2</v>
      </c>
      <c r="M875" s="21" t="s">
        <v>67</v>
      </c>
      <c r="N875" s="20" t="s">
        <v>80</v>
      </c>
      <c r="O875" s="19" t="s">
        <v>11</v>
      </c>
      <c r="P875" s="10"/>
      <c r="Q875" s="11"/>
    </row>
    <row r="876" spans="2:17" ht="21" customHeight="1" x14ac:dyDescent="0.35">
      <c r="B876" s="1">
        <v>43931</v>
      </c>
      <c r="C876" s="1" t="str">
        <f>TEXT(Sales[[#This Row],[Kode Program/Kegiatan ]],"D")</f>
        <v>10</v>
      </c>
      <c r="D876" s="2" t="str">
        <f>TEXT(Sales[[#This Row],[Kode Program/Kegiatan ]],"mmm")</f>
        <v>Apr</v>
      </c>
      <c r="E876" s="3">
        <v>3</v>
      </c>
      <c r="F876" s="2">
        <v>1</v>
      </c>
      <c r="G876" s="3">
        <f>IF(Sales[[#This Row],[Anggaran Murni]]-Sales[[#This Row],[Target s.d. Januari]]=0,"",Sales[[#This Row],[Anggaran Murni]]-Sales[[#This Row],[Target s.d. Januari]])</f>
        <v>2</v>
      </c>
      <c r="H876" s="2" t="s">
        <v>113</v>
      </c>
      <c r="I876" s="3" t="s">
        <v>77</v>
      </c>
      <c r="J876" s="3"/>
      <c r="K876" s="2" t="s">
        <v>15</v>
      </c>
      <c r="L876" s="2" t="s">
        <v>9</v>
      </c>
      <c r="M876" s="4" t="s">
        <v>67</v>
      </c>
      <c r="N876" s="3" t="s">
        <v>82</v>
      </c>
      <c r="O876" s="2" t="s">
        <v>11</v>
      </c>
      <c r="P876" s="10"/>
      <c r="Q876" s="11"/>
    </row>
    <row r="877" spans="2:17" ht="21" customHeight="1" x14ac:dyDescent="0.35">
      <c r="B877" s="18">
        <v>43932</v>
      </c>
      <c r="C877" s="18" t="str">
        <f>TEXT(Sales[[#This Row],[Kode Program/Kegiatan ]],"D")</f>
        <v>11</v>
      </c>
      <c r="D877" s="19" t="str">
        <f>TEXT(Sales[[#This Row],[Kode Program/Kegiatan ]],"mmm")</f>
        <v>Apr</v>
      </c>
      <c r="E877" s="20">
        <v>8</v>
      </c>
      <c r="F877" s="19">
        <v>5</v>
      </c>
      <c r="G877" s="20">
        <f>IF(Sales[[#This Row],[Anggaran Murni]]-Sales[[#This Row],[Target s.d. Januari]]=0,"",Sales[[#This Row],[Anggaran Murni]]-Sales[[#This Row],[Target s.d. Januari]])</f>
        <v>3</v>
      </c>
      <c r="H877" s="19" t="s">
        <v>70</v>
      </c>
      <c r="I877" s="20" t="s">
        <v>1</v>
      </c>
      <c r="J877" s="20"/>
      <c r="K877" s="19" t="s">
        <v>39</v>
      </c>
      <c r="L877" s="19" t="s">
        <v>4</v>
      </c>
      <c r="M877" s="21" t="s">
        <v>67</v>
      </c>
      <c r="N877" s="20" t="s">
        <v>81</v>
      </c>
      <c r="O877" s="19" t="s">
        <v>14</v>
      </c>
      <c r="P877" s="10"/>
      <c r="Q877" s="11"/>
    </row>
    <row r="878" spans="2:17" ht="21" customHeight="1" x14ac:dyDescent="0.35">
      <c r="B878" s="1">
        <v>43932</v>
      </c>
      <c r="C878" s="1" t="str">
        <f>TEXT(Sales[[#This Row],[Kode Program/Kegiatan ]],"D")</f>
        <v>11</v>
      </c>
      <c r="D878" s="2" t="str">
        <f>TEXT(Sales[[#This Row],[Kode Program/Kegiatan ]],"mmm")</f>
        <v>Apr</v>
      </c>
      <c r="E878" s="3">
        <v>8</v>
      </c>
      <c r="F878" s="2">
        <v>5</v>
      </c>
      <c r="G878" s="3">
        <f>IF(Sales[[#This Row],[Anggaran Murni]]-Sales[[#This Row],[Target s.d. Januari]]=0,"",Sales[[#This Row],[Anggaran Murni]]-Sales[[#This Row],[Target s.d. Januari]])</f>
        <v>3</v>
      </c>
      <c r="H878" s="2" t="s">
        <v>74</v>
      </c>
      <c r="I878" s="3" t="s">
        <v>77</v>
      </c>
      <c r="J878" s="3"/>
      <c r="K878" s="2" t="s">
        <v>54</v>
      </c>
      <c r="L878" s="2" t="s">
        <v>2</v>
      </c>
      <c r="M878" s="4" t="s">
        <v>67</v>
      </c>
      <c r="N878" s="3" t="s">
        <v>81</v>
      </c>
      <c r="O878" s="2" t="s">
        <v>11</v>
      </c>
      <c r="P878" s="10"/>
      <c r="Q878" s="11"/>
    </row>
    <row r="879" spans="2:17" ht="21" customHeight="1" x14ac:dyDescent="0.35">
      <c r="B879" s="18">
        <v>43932</v>
      </c>
      <c r="C879" s="18" t="str">
        <f>TEXT(Sales[[#This Row],[Kode Program/Kegiatan ]],"D")</f>
        <v>11</v>
      </c>
      <c r="D879" s="19" t="str">
        <f>TEXT(Sales[[#This Row],[Kode Program/Kegiatan ]],"mmm")</f>
        <v>Apr</v>
      </c>
      <c r="E879" s="20">
        <v>7</v>
      </c>
      <c r="F879" s="19">
        <v>5</v>
      </c>
      <c r="G879" s="20">
        <f>IF(Sales[[#This Row],[Anggaran Murni]]-Sales[[#This Row],[Target s.d. Januari]]=0,"",Sales[[#This Row],[Anggaran Murni]]-Sales[[#This Row],[Target s.d. Januari]])</f>
        <v>2</v>
      </c>
      <c r="H879" s="19" t="s">
        <v>75</v>
      </c>
      <c r="I879" s="20" t="s">
        <v>6</v>
      </c>
      <c r="J879" s="20"/>
      <c r="K879" s="19" t="s">
        <v>28</v>
      </c>
      <c r="L879" s="19" t="s">
        <v>2</v>
      </c>
      <c r="M879" s="21" t="s">
        <v>67</v>
      </c>
      <c r="N879" s="20" t="s">
        <v>80</v>
      </c>
      <c r="O879" s="19" t="s">
        <v>12</v>
      </c>
      <c r="P879" s="10"/>
      <c r="Q879" s="11"/>
    </row>
    <row r="880" spans="2:17" ht="21" customHeight="1" x14ac:dyDescent="0.35">
      <c r="B880" s="1">
        <v>43932</v>
      </c>
      <c r="C880" s="1" t="str">
        <f>TEXT(Sales[[#This Row],[Kode Program/Kegiatan ]],"D")</f>
        <v>11</v>
      </c>
      <c r="D880" s="2" t="str">
        <f>TEXT(Sales[[#This Row],[Kode Program/Kegiatan ]],"mmm")</f>
        <v>Apr</v>
      </c>
      <c r="E880" s="3">
        <v>6</v>
      </c>
      <c r="F880" s="2">
        <v>3</v>
      </c>
      <c r="G880" s="3">
        <f>IF(Sales[[#This Row],[Anggaran Murni]]-Sales[[#This Row],[Target s.d. Januari]]=0,"",Sales[[#This Row],[Anggaran Murni]]-Sales[[#This Row],[Target s.d. Januari]])</f>
        <v>3</v>
      </c>
      <c r="H880" s="2" t="s">
        <v>70</v>
      </c>
      <c r="I880" s="3" t="s">
        <v>1</v>
      </c>
      <c r="J880" s="3"/>
      <c r="K880" s="2" t="s">
        <v>60</v>
      </c>
      <c r="L880" s="2" t="s">
        <v>8</v>
      </c>
      <c r="M880" s="4" t="s">
        <v>67</v>
      </c>
      <c r="N880" s="3" t="s">
        <v>81</v>
      </c>
      <c r="O880" s="2" t="s">
        <v>12</v>
      </c>
      <c r="P880" s="10"/>
      <c r="Q880" s="11"/>
    </row>
    <row r="881" spans="2:17" ht="21" customHeight="1" x14ac:dyDescent="0.35">
      <c r="B881" s="18">
        <v>43932</v>
      </c>
      <c r="C881" s="18" t="str">
        <f>TEXT(Sales[[#This Row],[Kode Program/Kegiatan ]],"D")</f>
        <v>11</v>
      </c>
      <c r="D881" s="19" t="str">
        <f>TEXT(Sales[[#This Row],[Kode Program/Kegiatan ]],"mmm")</f>
        <v>Apr</v>
      </c>
      <c r="E881" s="20">
        <v>4</v>
      </c>
      <c r="F881" s="19">
        <v>3</v>
      </c>
      <c r="G881" s="20">
        <f>IF(Sales[[#This Row],[Anggaran Murni]]-Sales[[#This Row],[Target s.d. Januari]]=0,"",Sales[[#This Row],[Anggaran Murni]]-Sales[[#This Row],[Target s.d. Januari]])</f>
        <v>1</v>
      </c>
      <c r="H881" s="19" t="s">
        <v>72</v>
      </c>
      <c r="I881" s="20" t="s">
        <v>78</v>
      </c>
      <c r="J881" s="20"/>
      <c r="K881" s="19" t="s">
        <v>51</v>
      </c>
      <c r="L881" s="19" t="s">
        <v>4</v>
      </c>
      <c r="M881" s="21" t="s">
        <v>67</v>
      </c>
      <c r="N881" s="20" t="s">
        <v>80</v>
      </c>
      <c r="O881" s="19" t="s">
        <v>11</v>
      </c>
      <c r="P881" s="10"/>
      <c r="Q881" s="11"/>
    </row>
    <row r="882" spans="2:17" ht="21" customHeight="1" x14ac:dyDescent="0.35">
      <c r="B882" s="1">
        <v>43932</v>
      </c>
      <c r="C882" s="1" t="str">
        <f>TEXT(Sales[[#This Row],[Kode Program/Kegiatan ]],"D")</f>
        <v>11</v>
      </c>
      <c r="D882" s="2" t="str">
        <f>TEXT(Sales[[#This Row],[Kode Program/Kegiatan ]],"mmm")</f>
        <v>Apr</v>
      </c>
      <c r="E882" s="3">
        <v>4</v>
      </c>
      <c r="F882" s="2">
        <v>2</v>
      </c>
      <c r="G882" s="3">
        <f>IF(Sales[[#This Row],[Anggaran Murni]]-Sales[[#This Row],[Target s.d. Januari]]=0,"",Sales[[#This Row],[Anggaran Murni]]-Sales[[#This Row],[Target s.d. Januari]])</f>
        <v>2</v>
      </c>
      <c r="H882" s="2" t="s">
        <v>72</v>
      </c>
      <c r="I882" s="3" t="s">
        <v>78</v>
      </c>
      <c r="J882" s="3"/>
      <c r="K882" s="2" t="s">
        <v>40</v>
      </c>
      <c r="L882" s="2" t="s">
        <v>5</v>
      </c>
      <c r="M882" s="4" t="s">
        <v>67</v>
      </c>
      <c r="N882" s="3" t="s">
        <v>80</v>
      </c>
      <c r="O882" s="2" t="s">
        <v>12</v>
      </c>
      <c r="P882" s="10"/>
      <c r="Q882" s="11"/>
    </row>
    <row r="883" spans="2:17" ht="21" customHeight="1" x14ac:dyDescent="0.35">
      <c r="B883" s="18">
        <v>43932</v>
      </c>
      <c r="C883" s="18" t="str">
        <f>TEXT(Sales[[#This Row],[Kode Program/Kegiatan ]],"D")</f>
        <v>11</v>
      </c>
      <c r="D883" s="19" t="str">
        <f>TEXT(Sales[[#This Row],[Kode Program/Kegiatan ]],"mmm")</f>
        <v>Apr</v>
      </c>
      <c r="E883" s="20">
        <v>4</v>
      </c>
      <c r="F883" s="19">
        <v>2</v>
      </c>
      <c r="G883" s="20">
        <f>IF(Sales[[#This Row],[Anggaran Murni]]-Sales[[#This Row],[Target s.d. Januari]]=0,"",Sales[[#This Row],[Anggaran Murni]]-Sales[[#This Row],[Target s.d. Januari]])</f>
        <v>2</v>
      </c>
      <c r="H883" s="19" t="s">
        <v>74</v>
      </c>
      <c r="I883" s="20" t="s">
        <v>77</v>
      </c>
      <c r="J883" s="20"/>
      <c r="K883" s="19" t="s">
        <v>29</v>
      </c>
      <c r="L883" s="19" t="s">
        <v>5</v>
      </c>
      <c r="M883" s="21" t="s">
        <v>67</v>
      </c>
      <c r="N883" s="20" t="s">
        <v>81</v>
      </c>
      <c r="O883" s="19" t="s">
        <v>12</v>
      </c>
      <c r="P883" s="10"/>
      <c r="Q883" s="11"/>
    </row>
    <row r="884" spans="2:17" ht="21" customHeight="1" x14ac:dyDescent="0.35">
      <c r="B884" s="1">
        <v>43932</v>
      </c>
      <c r="C884" s="1" t="str">
        <f>TEXT(Sales[[#This Row],[Kode Program/Kegiatan ]],"D")</f>
        <v>11</v>
      </c>
      <c r="D884" s="2" t="str">
        <f>TEXT(Sales[[#This Row],[Kode Program/Kegiatan ]],"mmm")</f>
        <v>Apr</v>
      </c>
      <c r="E884" s="3">
        <v>3</v>
      </c>
      <c r="F884" s="2">
        <v>2</v>
      </c>
      <c r="G884" s="3">
        <f>IF(Sales[[#This Row],[Anggaran Murni]]-Sales[[#This Row],[Target s.d. Januari]]=0,"",Sales[[#This Row],[Anggaran Murni]]-Sales[[#This Row],[Target s.d. Januari]])</f>
        <v>1</v>
      </c>
      <c r="H884" s="2" t="s">
        <v>71</v>
      </c>
      <c r="I884" s="3" t="s">
        <v>6</v>
      </c>
      <c r="J884" s="3"/>
      <c r="K884" s="2" t="s">
        <v>18</v>
      </c>
      <c r="L884" s="2" t="s">
        <v>2</v>
      </c>
      <c r="M884" s="4" t="s">
        <v>67</v>
      </c>
      <c r="N884" s="3" t="s">
        <v>81</v>
      </c>
      <c r="O884" s="2" t="s">
        <v>12</v>
      </c>
      <c r="P884" s="10"/>
      <c r="Q884" s="11"/>
    </row>
    <row r="885" spans="2:17" ht="21" customHeight="1" x14ac:dyDescent="0.35">
      <c r="B885" s="18">
        <v>43932</v>
      </c>
      <c r="C885" s="18" t="str">
        <f>TEXT(Sales[[#This Row],[Kode Program/Kegiatan ]],"D")</f>
        <v>11</v>
      </c>
      <c r="D885" s="19" t="str">
        <f>TEXT(Sales[[#This Row],[Kode Program/Kegiatan ]],"mmm")</f>
        <v>Apr</v>
      </c>
      <c r="E885" s="20">
        <v>3</v>
      </c>
      <c r="F885" s="19">
        <v>1</v>
      </c>
      <c r="G885" s="20">
        <f>IF(Sales[[#This Row],[Anggaran Murni]]-Sales[[#This Row],[Target s.d. Januari]]=0,"",Sales[[#This Row],[Anggaran Murni]]-Sales[[#This Row],[Target s.d. Januari]])</f>
        <v>2</v>
      </c>
      <c r="H885" s="19" t="s">
        <v>75</v>
      </c>
      <c r="I885" s="20" t="s">
        <v>6</v>
      </c>
      <c r="J885" s="20"/>
      <c r="K885" s="19" t="s">
        <v>60</v>
      </c>
      <c r="L885" s="19" t="s">
        <v>5</v>
      </c>
      <c r="M885" s="21" t="s">
        <v>67</v>
      </c>
      <c r="N885" s="20" t="s">
        <v>82</v>
      </c>
      <c r="O885" s="19" t="s">
        <v>11</v>
      </c>
      <c r="P885" s="10"/>
      <c r="Q885" s="11"/>
    </row>
    <row r="886" spans="2:17" ht="21" customHeight="1" x14ac:dyDescent="0.35">
      <c r="B886" s="1">
        <v>43933</v>
      </c>
      <c r="C886" s="1" t="str">
        <f>TEXT(Sales[[#This Row],[Kode Program/Kegiatan ]],"D")</f>
        <v>12</v>
      </c>
      <c r="D886" s="2" t="str">
        <f>TEXT(Sales[[#This Row],[Kode Program/Kegiatan ]],"mmm")</f>
        <v>Apr</v>
      </c>
      <c r="E886" s="3">
        <v>9</v>
      </c>
      <c r="F886" s="2">
        <v>7</v>
      </c>
      <c r="G886" s="3">
        <f>IF(Sales[[#This Row],[Anggaran Murni]]-Sales[[#This Row],[Target s.d. Januari]]=0,"",Sales[[#This Row],[Anggaran Murni]]-Sales[[#This Row],[Target s.d. Januari]])</f>
        <v>2</v>
      </c>
      <c r="H886" s="2" t="s">
        <v>76</v>
      </c>
      <c r="I886" s="3" t="s">
        <v>79</v>
      </c>
      <c r="J886" s="3"/>
      <c r="K886" s="2" t="s">
        <v>53</v>
      </c>
      <c r="L886" s="2" t="s">
        <v>5</v>
      </c>
      <c r="M886" s="4" t="s">
        <v>67</v>
      </c>
      <c r="N886" s="3" t="s">
        <v>82</v>
      </c>
      <c r="O886" s="2" t="s">
        <v>14</v>
      </c>
      <c r="P886" s="10"/>
      <c r="Q886" s="11"/>
    </row>
    <row r="887" spans="2:17" ht="21" customHeight="1" x14ac:dyDescent="0.35">
      <c r="B887" s="18">
        <v>43933</v>
      </c>
      <c r="C887" s="18" t="str">
        <f>TEXT(Sales[[#This Row],[Kode Program/Kegiatan ]],"D")</f>
        <v>12</v>
      </c>
      <c r="D887" s="19" t="str">
        <f>TEXT(Sales[[#This Row],[Kode Program/Kegiatan ]],"mmm")</f>
        <v>Apr</v>
      </c>
      <c r="E887" s="20">
        <v>8</v>
      </c>
      <c r="F887" s="19">
        <v>4</v>
      </c>
      <c r="G887" s="20">
        <f>IF(Sales[[#This Row],[Anggaran Murni]]-Sales[[#This Row],[Target s.d. Januari]]=0,"",Sales[[#This Row],[Anggaran Murni]]-Sales[[#This Row],[Target s.d. Januari]])</f>
        <v>4</v>
      </c>
      <c r="H887" s="19" t="s">
        <v>72</v>
      </c>
      <c r="I887" s="20" t="s">
        <v>78</v>
      </c>
      <c r="J887" s="20"/>
      <c r="K887" s="19" t="s">
        <v>58</v>
      </c>
      <c r="L887" s="19" t="s">
        <v>7</v>
      </c>
      <c r="M887" s="21" t="s">
        <v>67</v>
      </c>
      <c r="N887" s="20" t="s">
        <v>80</v>
      </c>
      <c r="O887" s="19" t="s">
        <v>14</v>
      </c>
      <c r="P887" s="10"/>
      <c r="Q887" s="11"/>
    </row>
    <row r="888" spans="2:17" ht="21" customHeight="1" x14ac:dyDescent="0.35">
      <c r="B888" s="1">
        <v>43933</v>
      </c>
      <c r="C888" s="1" t="str">
        <f>TEXT(Sales[[#This Row],[Kode Program/Kegiatan ]],"D")</f>
        <v>12</v>
      </c>
      <c r="D888" s="2" t="str">
        <f>TEXT(Sales[[#This Row],[Kode Program/Kegiatan ]],"mmm")</f>
        <v>Apr</v>
      </c>
      <c r="E888" s="3">
        <v>7</v>
      </c>
      <c r="F888" s="2">
        <v>6</v>
      </c>
      <c r="G888" s="3">
        <f>IF(Sales[[#This Row],[Anggaran Murni]]-Sales[[#This Row],[Target s.d. Januari]]=0,"",Sales[[#This Row],[Anggaran Murni]]-Sales[[#This Row],[Target s.d. Januari]])</f>
        <v>1</v>
      </c>
      <c r="H888" s="2" t="s">
        <v>74</v>
      </c>
      <c r="I888" s="3" t="s">
        <v>77</v>
      </c>
      <c r="J888" s="3"/>
      <c r="K888" s="2" t="s">
        <v>23</v>
      </c>
      <c r="L888" s="2" t="s">
        <v>2</v>
      </c>
      <c r="M888" s="4" t="s">
        <v>67</v>
      </c>
      <c r="N888" s="3" t="s">
        <v>82</v>
      </c>
      <c r="O888" s="2" t="s">
        <v>11</v>
      </c>
      <c r="P888" s="10"/>
      <c r="Q888" s="11"/>
    </row>
    <row r="889" spans="2:17" ht="21" customHeight="1" x14ac:dyDescent="0.35">
      <c r="B889" s="18">
        <v>43933</v>
      </c>
      <c r="C889" s="18" t="str">
        <f>TEXT(Sales[[#This Row],[Kode Program/Kegiatan ]],"D")</f>
        <v>12</v>
      </c>
      <c r="D889" s="19" t="str">
        <f>TEXT(Sales[[#This Row],[Kode Program/Kegiatan ]],"mmm")</f>
        <v>Apr</v>
      </c>
      <c r="E889" s="20">
        <v>6</v>
      </c>
      <c r="F889" s="19">
        <v>5</v>
      </c>
      <c r="G889" s="20">
        <f>IF(Sales[[#This Row],[Anggaran Murni]]-Sales[[#This Row],[Target s.d. Januari]]=0,"",Sales[[#This Row],[Anggaran Murni]]-Sales[[#This Row],[Target s.d. Januari]])</f>
        <v>1</v>
      </c>
      <c r="H889" s="19" t="s">
        <v>73</v>
      </c>
      <c r="I889" s="20" t="s">
        <v>78</v>
      </c>
      <c r="J889" s="20"/>
      <c r="K889" s="19" t="s">
        <v>17</v>
      </c>
      <c r="L889" s="19" t="s">
        <v>5</v>
      </c>
      <c r="M889" s="21" t="s">
        <v>67</v>
      </c>
      <c r="N889" s="20" t="s">
        <v>81</v>
      </c>
      <c r="O889" s="19" t="s">
        <v>13</v>
      </c>
      <c r="P889" s="10"/>
      <c r="Q889" s="11"/>
    </row>
    <row r="890" spans="2:17" ht="21" customHeight="1" x14ac:dyDescent="0.35">
      <c r="B890" s="1">
        <v>43933</v>
      </c>
      <c r="C890" s="1" t="str">
        <f>TEXT(Sales[[#This Row],[Kode Program/Kegiatan ]],"D")</f>
        <v>12</v>
      </c>
      <c r="D890" s="2" t="str">
        <f>TEXT(Sales[[#This Row],[Kode Program/Kegiatan ]],"mmm")</f>
        <v>Apr</v>
      </c>
      <c r="E890" s="3">
        <v>4</v>
      </c>
      <c r="F890" s="2">
        <v>3</v>
      </c>
      <c r="G890" s="3">
        <f>IF(Sales[[#This Row],[Anggaran Murni]]-Sales[[#This Row],[Target s.d. Januari]]=0,"",Sales[[#This Row],[Anggaran Murni]]-Sales[[#This Row],[Target s.d. Januari]])</f>
        <v>1</v>
      </c>
      <c r="H890" s="2" t="s">
        <v>76</v>
      </c>
      <c r="I890" s="3" t="s">
        <v>79</v>
      </c>
      <c r="J890" s="3"/>
      <c r="K890" s="2" t="s">
        <v>34</v>
      </c>
      <c r="L890" s="2" t="s">
        <v>2</v>
      </c>
      <c r="M890" s="4" t="s">
        <v>67</v>
      </c>
      <c r="N890" s="3" t="s">
        <v>80</v>
      </c>
      <c r="O890" s="2" t="s">
        <v>14</v>
      </c>
      <c r="P890" s="10"/>
      <c r="Q890" s="11"/>
    </row>
    <row r="891" spans="2:17" ht="21" customHeight="1" x14ac:dyDescent="0.35">
      <c r="B891" s="18">
        <v>43933</v>
      </c>
      <c r="C891" s="18" t="str">
        <f>TEXT(Sales[[#This Row],[Kode Program/Kegiatan ]],"D")</f>
        <v>12</v>
      </c>
      <c r="D891" s="19" t="str">
        <f>TEXT(Sales[[#This Row],[Kode Program/Kegiatan ]],"mmm")</f>
        <v>Apr</v>
      </c>
      <c r="E891" s="20">
        <v>3</v>
      </c>
      <c r="F891" s="19">
        <v>2</v>
      </c>
      <c r="G891" s="20">
        <f>IF(Sales[[#This Row],[Anggaran Murni]]-Sales[[#This Row],[Target s.d. Januari]]=0,"",Sales[[#This Row],[Anggaran Murni]]-Sales[[#This Row],[Target s.d. Januari]])</f>
        <v>1</v>
      </c>
      <c r="H891" s="19" t="s">
        <v>72</v>
      </c>
      <c r="I891" s="20" t="s">
        <v>78</v>
      </c>
      <c r="J891" s="20"/>
      <c r="K891" s="19" t="s">
        <v>35</v>
      </c>
      <c r="L891" s="19" t="s">
        <v>5</v>
      </c>
      <c r="M891" s="21" t="s">
        <v>67</v>
      </c>
      <c r="N891" s="20" t="s">
        <v>81</v>
      </c>
      <c r="O891" s="19" t="s">
        <v>13</v>
      </c>
      <c r="P891" s="10"/>
      <c r="Q891" s="11"/>
    </row>
    <row r="892" spans="2:17" ht="21" customHeight="1" x14ac:dyDescent="0.35">
      <c r="B892" s="1">
        <v>43933</v>
      </c>
      <c r="C892" s="1" t="str">
        <f>TEXT(Sales[[#This Row],[Kode Program/Kegiatan ]],"D")</f>
        <v>12</v>
      </c>
      <c r="D892" s="2" t="str">
        <f>TEXT(Sales[[#This Row],[Kode Program/Kegiatan ]],"mmm")</f>
        <v>Apr</v>
      </c>
      <c r="E892" s="3">
        <v>3</v>
      </c>
      <c r="F892" s="2">
        <v>2</v>
      </c>
      <c r="G892" s="3">
        <f>IF(Sales[[#This Row],[Anggaran Murni]]-Sales[[#This Row],[Target s.d. Januari]]=0,"",Sales[[#This Row],[Anggaran Murni]]-Sales[[#This Row],[Target s.d. Januari]])</f>
        <v>1</v>
      </c>
      <c r="H892" s="2" t="s">
        <v>75</v>
      </c>
      <c r="I892" s="3" t="s">
        <v>6</v>
      </c>
      <c r="J892" s="3"/>
      <c r="K892" s="2" t="s">
        <v>31</v>
      </c>
      <c r="L892" s="2" t="s">
        <v>5</v>
      </c>
      <c r="M892" s="4" t="s">
        <v>67</v>
      </c>
      <c r="N892" s="3" t="s">
        <v>82</v>
      </c>
      <c r="O892" s="2" t="s">
        <v>13</v>
      </c>
      <c r="P892" s="10"/>
      <c r="Q892" s="11"/>
    </row>
    <row r="893" spans="2:17" ht="21" customHeight="1" x14ac:dyDescent="0.35">
      <c r="B893" s="18">
        <v>43933</v>
      </c>
      <c r="C893" s="18" t="str">
        <f>TEXT(Sales[[#This Row],[Kode Program/Kegiatan ]],"D")</f>
        <v>12</v>
      </c>
      <c r="D893" s="19" t="str">
        <f>TEXT(Sales[[#This Row],[Kode Program/Kegiatan ]],"mmm")</f>
        <v>Apr</v>
      </c>
      <c r="E893" s="20">
        <v>3</v>
      </c>
      <c r="F893" s="19">
        <v>1</v>
      </c>
      <c r="G893" s="20">
        <f>IF(Sales[[#This Row],[Anggaran Murni]]-Sales[[#This Row],[Target s.d. Januari]]=0,"",Sales[[#This Row],[Anggaran Murni]]-Sales[[#This Row],[Target s.d. Januari]])</f>
        <v>2</v>
      </c>
      <c r="H893" s="19" t="s">
        <v>73</v>
      </c>
      <c r="I893" s="20" t="s">
        <v>78</v>
      </c>
      <c r="J893" s="20"/>
      <c r="K893" s="19" t="s">
        <v>40</v>
      </c>
      <c r="L893" s="19" t="s">
        <v>4</v>
      </c>
      <c r="M893" s="21" t="s">
        <v>67</v>
      </c>
      <c r="N893" s="20" t="s">
        <v>81</v>
      </c>
      <c r="O893" s="19" t="s">
        <v>12</v>
      </c>
      <c r="P893" s="10"/>
      <c r="Q893" s="11"/>
    </row>
    <row r="894" spans="2:17" ht="21" customHeight="1" x14ac:dyDescent="0.35">
      <c r="B894" s="1">
        <v>43934</v>
      </c>
      <c r="C894" s="1" t="str">
        <f>TEXT(Sales[[#This Row],[Kode Program/Kegiatan ]],"D")</f>
        <v>13</v>
      </c>
      <c r="D894" s="2" t="str">
        <f>TEXT(Sales[[#This Row],[Kode Program/Kegiatan ]],"mmm")</f>
        <v>Apr</v>
      </c>
      <c r="E894" s="3">
        <v>10</v>
      </c>
      <c r="F894" s="2">
        <v>10</v>
      </c>
      <c r="G894" s="3" t="str">
        <f>IF(Sales[[#This Row],[Anggaran Murni]]-Sales[[#This Row],[Target s.d. Januari]]=0,"",Sales[[#This Row],[Anggaran Murni]]-Sales[[#This Row],[Target s.d. Januari]])</f>
        <v/>
      </c>
      <c r="H894" s="2" t="s">
        <v>113</v>
      </c>
      <c r="I894" s="3" t="s">
        <v>77</v>
      </c>
      <c r="J894" s="3"/>
      <c r="K894" s="2" t="s">
        <v>50</v>
      </c>
      <c r="L894" s="2" t="s">
        <v>2</v>
      </c>
      <c r="M894" s="4" t="s">
        <v>67</v>
      </c>
      <c r="N894" s="3" t="s">
        <v>82</v>
      </c>
      <c r="O894" s="2" t="s">
        <v>11</v>
      </c>
      <c r="P894" s="10"/>
      <c r="Q894" s="11"/>
    </row>
    <row r="895" spans="2:17" ht="21" customHeight="1" x14ac:dyDescent="0.35">
      <c r="B895" s="18">
        <v>43934</v>
      </c>
      <c r="C895" s="18" t="str">
        <f>TEXT(Sales[[#This Row],[Kode Program/Kegiatan ]],"D")</f>
        <v>13</v>
      </c>
      <c r="D895" s="19" t="str">
        <f>TEXT(Sales[[#This Row],[Kode Program/Kegiatan ]],"mmm")</f>
        <v>Apr</v>
      </c>
      <c r="E895" s="20">
        <v>9</v>
      </c>
      <c r="F895" s="19">
        <v>9</v>
      </c>
      <c r="G895" s="20" t="str">
        <f>IF(Sales[[#This Row],[Anggaran Murni]]-Sales[[#This Row],[Target s.d. Januari]]=0,"",Sales[[#This Row],[Anggaran Murni]]-Sales[[#This Row],[Target s.d. Januari]])</f>
        <v/>
      </c>
      <c r="H895" s="19" t="s">
        <v>74</v>
      </c>
      <c r="I895" s="20" t="s">
        <v>77</v>
      </c>
      <c r="J895" s="20"/>
      <c r="K895" s="19" t="s">
        <v>23</v>
      </c>
      <c r="L895" s="19" t="s">
        <v>7</v>
      </c>
      <c r="M895" s="21" t="s">
        <v>67</v>
      </c>
      <c r="N895" s="20" t="s">
        <v>82</v>
      </c>
      <c r="O895" s="19" t="s">
        <v>13</v>
      </c>
      <c r="P895" s="10"/>
      <c r="Q895" s="11"/>
    </row>
    <row r="896" spans="2:17" ht="21" customHeight="1" x14ac:dyDescent="0.35">
      <c r="B896" s="1">
        <v>43934</v>
      </c>
      <c r="C896" s="1" t="str">
        <f>TEXT(Sales[[#This Row],[Kode Program/Kegiatan ]],"D")</f>
        <v>13</v>
      </c>
      <c r="D896" s="2" t="str">
        <f>TEXT(Sales[[#This Row],[Kode Program/Kegiatan ]],"mmm")</f>
        <v>Apr</v>
      </c>
      <c r="E896" s="3">
        <v>6</v>
      </c>
      <c r="F896" s="2">
        <v>6</v>
      </c>
      <c r="G896" s="3" t="str">
        <f>IF(Sales[[#This Row],[Anggaran Murni]]-Sales[[#This Row],[Target s.d. Januari]]=0,"",Sales[[#This Row],[Anggaran Murni]]-Sales[[#This Row],[Target s.d. Januari]])</f>
        <v/>
      </c>
      <c r="H896" s="2" t="s">
        <v>114</v>
      </c>
      <c r="I896" s="3" t="s">
        <v>3</v>
      </c>
      <c r="J896" s="3"/>
      <c r="K896" s="2" t="s">
        <v>61</v>
      </c>
      <c r="L896" s="2" t="s">
        <v>5</v>
      </c>
      <c r="M896" s="4" t="s">
        <v>67</v>
      </c>
      <c r="N896" s="3" t="s">
        <v>82</v>
      </c>
      <c r="O896" s="2" t="s">
        <v>12</v>
      </c>
      <c r="P896" s="10"/>
      <c r="Q896" s="11"/>
    </row>
    <row r="897" spans="2:17" ht="21" customHeight="1" x14ac:dyDescent="0.35">
      <c r="B897" s="18">
        <v>43934</v>
      </c>
      <c r="C897" s="18" t="str">
        <f>TEXT(Sales[[#This Row],[Kode Program/Kegiatan ]],"D")</f>
        <v>13</v>
      </c>
      <c r="D897" s="19" t="str">
        <f>TEXT(Sales[[#This Row],[Kode Program/Kegiatan ]],"mmm")</f>
        <v>Apr</v>
      </c>
      <c r="E897" s="20">
        <v>4</v>
      </c>
      <c r="F897" s="19">
        <v>4</v>
      </c>
      <c r="G897" s="20" t="str">
        <f>IF(Sales[[#This Row],[Anggaran Murni]]-Sales[[#This Row],[Target s.d. Januari]]=0,"",Sales[[#This Row],[Anggaran Murni]]-Sales[[#This Row],[Target s.d. Januari]])</f>
        <v/>
      </c>
      <c r="H897" s="19" t="s">
        <v>113</v>
      </c>
      <c r="I897" s="20" t="s">
        <v>77</v>
      </c>
      <c r="J897" s="20"/>
      <c r="K897" s="19" t="s">
        <v>37</v>
      </c>
      <c r="L897" s="19" t="s">
        <v>9</v>
      </c>
      <c r="M897" s="21" t="s">
        <v>67</v>
      </c>
      <c r="N897" s="20" t="s">
        <v>82</v>
      </c>
      <c r="O897" s="19" t="s">
        <v>11</v>
      </c>
      <c r="P897" s="10"/>
      <c r="Q897" s="11"/>
    </row>
    <row r="898" spans="2:17" ht="21" customHeight="1" x14ac:dyDescent="0.35">
      <c r="B898" s="1">
        <v>43934</v>
      </c>
      <c r="C898" s="1" t="str">
        <f>TEXT(Sales[[#This Row],[Kode Program/Kegiatan ]],"D")</f>
        <v>13</v>
      </c>
      <c r="D898" s="2" t="str">
        <f>TEXT(Sales[[#This Row],[Kode Program/Kegiatan ]],"mmm")</f>
        <v>Apr</v>
      </c>
      <c r="E898" s="3">
        <v>3</v>
      </c>
      <c r="F898" s="2">
        <v>3</v>
      </c>
      <c r="G898" s="3" t="str">
        <f>IF(Sales[[#This Row],[Anggaran Murni]]-Sales[[#This Row],[Target s.d. Januari]]=0,"",Sales[[#This Row],[Anggaran Murni]]-Sales[[#This Row],[Target s.d. Januari]])</f>
        <v/>
      </c>
      <c r="H898" s="2" t="s">
        <v>72</v>
      </c>
      <c r="I898" s="3" t="s">
        <v>78</v>
      </c>
      <c r="J898" s="3"/>
      <c r="K898" s="2" t="s">
        <v>41</v>
      </c>
      <c r="L898" s="2" t="s">
        <v>2</v>
      </c>
      <c r="M898" s="4" t="s">
        <v>67</v>
      </c>
      <c r="N898" s="3" t="s">
        <v>80</v>
      </c>
      <c r="O898" s="2" t="s">
        <v>13</v>
      </c>
      <c r="P898" s="10"/>
      <c r="Q898" s="11"/>
    </row>
    <row r="899" spans="2:17" ht="21" customHeight="1" x14ac:dyDescent="0.35">
      <c r="B899" s="18">
        <v>43935</v>
      </c>
      <c r="C899" s="18" t="str">
        <f>TEXT(Sales[[#This Row],[Kode Program/Kegiatan ]],"D")</f>
        <v>14</v>
      </c>
      <c r="D899" s="19" t="str">
        <f>TEXT(Sales[[#This Row],[Kode Program/Kegiatan ]],"mmm")</f>
        <v>Apr</v>
      </c>
      <c r="E899" s="20">
        <v>10</v>
      </c>
      <c r="F899" s="19">
        <v>10</v>
      </c>
      <c r="G899" s="20" t="str">
        <f>IF(Sales[[#This Row],[Anggaran Murni]]-Sales[[#This Row],[Target s.d. Januari]]=0,"",Sales[[#This Row],[Anggaran Murni]]-Sales[[#This Row],[Target s.d. Januari]])</f>
        <v/>
      </c>
      <c r="H899" s="19" t="s">
        <v>113</v>
      </c>
      <c r="I899" s="20" t="s">
        <v>77</v>
      </c>
      <c r="J899" s="20"/>
      <c r="K899" s="19" t="s">
        <v>27</v>
      </c>
      <c r="L899" s="19" t="s">
        <v>5</v>
      </c>
      <c r="M899" s="21" t="s">
        <v>67</v>
      </c>
      <c r="N899" s="20" t="s">
        <v>80</v>
      </c>
      <c r="O899" s="19" t="s">
        <v>12</v>
      </c>
      <c r="P899" s="10"/>
      <c r="Q899" s="11"/>
    </row>
    <row r="900" spans="2:17" ht="21" customHeight="1" x14ac:dyDescent="0.35">
      <c r="B900" s="1">
        <v>43935</v>
      </c>
      <c r="C900" s="1" t="str">
        <f>TEXT(Sales[[#This Row],[Kode Program/Kegiatan ]],"D")</f>
        <v>14</v>
      </c>
      <c r="D900" s="2" t="str">
        <f>TEXT(Sales[[#This Row],[Kode Program/Kegiatan ]],"mmm")</f>
        <v>Apr</v>
      </c>
      <c r="E900" s="3">
        <v>10</v>
      </c>
      <c r="F900" s="2">
        <v>10</v>
      </c>
      <c r="G900" s="3" t="str">
        <f>IF(Sales[[#This Row],[Anggaran Murni]]-Sales[[#This Row],[Target s.d. Januari]]=0,"",Sales[[#This Row],[Anggaran Murni]]-Sales[[#This Row],[Target s.d. Januari]])</f>
        <v/>
      </c>
      <c r="H900" s="2" t="s">
        <v>71</v>
      </c>
      <c r="I900" s="3" t="s">
        <v>6</v>
      </c>
      <c r="J900" s="3"/>
      <c r="K900" s="2" t="s">
        <v>33</v>
      </c>
      <c r="L900" s="2" t="s">
        <v>7</v>
      </c>
      <c r="M900" s="4" t="s">
        <v>67</v>
      </c>
      <c r="N900" s="3" t="s">
        <v>80</v>
      </c>
      <c r="O900" s="2" t="s">
        <v>13</v>
      </c>
      <c r="P900" s="10"/>
      <c r="Q900" s="11"/>
    </row>
    <row r="901" spans="2:17" ht="21" customHeight="1" x14ac:dyDescent="0.35">
      <c r="B901" s="18">
        <v>43935</v>
      </c>
      <c r="C901" s="18" t="str">
        <f>TEXT(Sales[[#This Row],[Kode Program/Kegiatan ]],"D")</f>
        <v>14</v>
      </c>
      <c r="D901" s="19" t="str">
        <f>TEXT(Sales[[#This Row],[Kode Program/Kegiatan ]],"mmm")</f>
        <v>Apr</v>
      </c>
      <c r="E901" s="20">
        <v>9</v>
      </c>
      <c r="F901" s="19">
        <v>9</v>
      </c>
      <c r="G901" s="20" t="str">
        <f>IF(Sales[[#This Row],[Anggaran Murni]]-Sales[[#This Row],[Target s.d. Januari]]=0,"",Sales[[#This Row],[Anggaran Murni]]-Sales[[#This Row],[Target s.d. Januari]])</f>
        <v/>
      </c>
      <c r="H901" s="19" t="s">
        <v>113</v>
      </c>
      <c r="I901" s="20" t="s">
        <v>77</v>
      </c>
      <c r="J901" s="20"/>
      <c r="K901" s="19" t="s">
        <v>25</v>
      </c>
      <c r="L901" s="19" t="s">
        <v>7</v>
      </c>
      <c r="M901" s="21" t="s">
        <v>67</v>
      </c>
      <c r="N901" s="20" t="s">
        <v>81</v>
      </c>
      <c r="O901" s="19" t="s">
        <v>14</v>
      </c>
      <c r="P901" s="10"/>
      <c r="Q901" s="11"/>
    </row>
    <row r="902" spans="2:17" ht="21" customHeight="1" x14ac:dyDescent="0.35">
      <c r="B902" s="1">
        <v>43935</v>
      </c>
      <c r="C902" s="1" t="str">
        <f>TEXT(Sales[[#This Row],[Kode Program/Kegiatan ]],"D")</f>
        <v>14</v>
      </c>
      <c r="D902" s="2" t="str">
        <f>TEXT(Sales[[#This Row],[Kode Program/Kegiatan ]],"mmm")</f>
        <v>Apr</v>
      </c>
      <c r="E902" s="3">
        <v>9</v>
      </c>
      <c r="F902" s="2">
        <v>9</v>
      </c>
      <c r="G902" s="3" t="str">
        <f>IF(Sales[[#This Row],[Anggaran Murni]]-Sales[[#This Row],[Target s.d. Januari]]=0,"",Sales[[#This Row],[Anggaran Murni]]-Sales[[#This Row],[Target s.d. Januari]])</f>
        <v/>
      </c>
      <c r="H902" s="2" t="s">
        <v>75</v>
      </c>
      <c r="I902" s="3" t="s">
        <v>6</v>
      </c>
      <c r="J902" s="3"/>
      <c r="K902" s="2" t="s">
        <v>58</v>
      </c>
      <c r="L902" s="2" t="s">
        <v>2</v>
      </c>
      <c r="M902" s="4" t="s">
        <v>67</v>
      </c>
      <c r="N902" s="3" t="s">
        <v>80</v>
      </c>
      <c r="O902" s="2" t="s">
        <v>14</v>
      </c>
      <c r="P902" s="10"/>
      <c r="Q902" s="11"/>
    </row>
    <row r="903" spans="2:17" ht="21" customHeight="1" x14ac:dyDescent="0.35">
      <c r="B903" s="18">
        <v>43935</v>
      </c>
      <c r="C903" s="18" t="str">
        <f>TEXT(Sales[[#This Row],[Kode Program/Kegiatan ]],"D")</f>
        <v>14</v>
      </c>
      <c r="D903" s="19" t="str">
        <f>TEXT(Sales[[#This Row],[Kode Program/Kegiatan ]],"mmm")</f>
        <v>Apr</v>
      </c>
      <c r="E903" s="20">
        <v>6</v>
      </c>
      <c r="F903" s="19">
        <v>6</v>
      </c>
      <c r="G903" s="20" t="str">
        <f>IF(Sales[[#This Row],[Anggaran Murni]]-Sales[[#This Row],[Target s.d. Januari]]=0,"",Sales[[#This Row],[Anggaran Murni]]-Sales[[#This Row],[Target s.d. Januari]])</f>
        <v/>
      </c>
      <c r="H903" s="19" t="s">
        <v>114</v>
      </c>
      <c r="I903" s="20" t="s">
        <v>3</v>
      </c>
      <c r="J903" s="20"/>
      <c r="K903" s="19" t="s">
        <v>61</v>
      </c>
      <c r="L903" s="19" t="s">
        <v>5</v>
      </c>
      <c r="M903" s="21" t="s">
        <v>67</v>
      </c>
      <c r="N903" s="20" t="s">
        <v>82</v>
      </c>
      <c r="O903" s="19" t="s">
        <v>12</v>
      </c>
      <c r="P903" s="10"/>
      <c r="Q903" s="11"/>
    </row>
    <row r="904" spans="2:17" ht="21" customHeight="1" x14ac:dyDescent="0.35">
      <c r="B904" s="1">
        <v>43935</v>
      </c>
      <c r="C904" s="1" t="str">
        <f>TEXT(Sales[[#This Row],[Kode Program/Kegiatan ]],"D")</f>
        <v>14</v>
      </c>
      <c r="D904" s="2" t="str">
        <f>TEXT(Sales[[#This Row],[Kode Program/Kegiatan ]],"mmm")</f>
        <v>Apr</v>
      </c>
      <c r="E904" s="3">
        <v>6</v>
      </c>
      <c r="F904" s="2">
        <v>6</v>
      </c>
      <c r="G904" s="3" t="str">
        <f>IF(Sales[[#This Row],[Anggaran Murni]]-Sales[[#This Row],[Target s.d. Januari]]=0,"",Sales[[#This Row],[Anggaran Murni]]-Sales[[#This Row],[Target s.d. Januari]])</f>
        <v/>
      </c>
      <c r="H904" s="2" t="s">
        <v>114</v>
      </c>
      <c r="I904" s="3" t="s">
        <v>3</v>
      </c>
      <c r="J904" s="3"/>
      <c r="K904" s="2" t="s">
        <v>29</v>
      </c>
      <c r="L904" s="2" t="s">
        <v>9</v>
      </c>
      <c r="M904" s="4" t="s">
        <v>67</v>
      </c>
      <c r="N904" s="3" t="s">
        <v>82</v>
      </c>
      <c r="O904" s="2" t="s">
        <v>13</v>
      </c>
      <c r="P904" s="10"/>
      <c r="Q904" s="11"/>
    </row>
    <row r="905" spans="2:17" ht="21" customHeight="1" x14ac:dyDescent="0.35">
      <c r="B905" s="18">
        <v>43935</v>
      </c>
      <c r="C905" s="18" t="str">
        <f>TEXT(Sales[[#This Row],[Kode Program/Kegiatan ]],"D")</f>
        <v>14</v>
      </c>
      <c r="D905" s="19" t="str">
        <f>TEXT(Sales[[#This Row],[Kode Program/Kegiatan ]],"mmm")</f>
        <v>Apr</v>
      </c>
      <c r="E905" s="20">
        <v>5</v>
      </c>
      <c r="F905" s="19">
        <v>5</v>
      </c>
      <c r="G905" s="20" t="str">
        <f>IF(Sales[[#This Row],[Anggaran Murni]]-Sales[[#This Row],[Target s.d. Januari]]=0,"",Sales[[#This Row],[Anggaran Murni]]-Sales[[#This Row],[Target s.d. Januari]])</f>
        <v/>
      </c>
      <c r="H905" s="19" t="s">
        <v>73</v>
      </c>
      <c r="I905" s="20" t="s">
        <v>78</v>
      </c>
      <c r="J905" s="20"/>
      <c r="K905" s="19" t="s">
        <v>39</v>
      </c>
      <c r="L905" s="19" t="s">
        <v>2</v>
      </c>
      <c r="M905" s="21" t="s">
        <v>67</v>
      </c>
      <c r="N905" s="20" t="s">
        <v>82</v>
      </c>
      <c r="O905" s="19" t="s">
        <v>11</v>
      </c>
      <c r="P905" s="10"/>
      <c r="Q905" s="11"/>
    </row>
    <row r="906" spans="2:17" ht="21" customHeight="1" x14ac:dyDescent="0.35">
      <c r="B906" s="1">
        <v>43935</v>
      </c>
      <c r="C906" s="1" t="str">
        <f>TEXT(Sales[[#This Row],[Kode Program/Kegiatan ]],"D")</f>
        <v>14</v>
      </c>
      <c r="D906" s="2" t="str">
        <f>TEXT(Sales[[#This Row],[Kode Program/Kegiatan ]],"mmm")</f>
        <v>Apr</v>
      </c>
      <c r="E906" s="3">
        <v>5</v>
      </c>
      <c r="F906" s="2">
        <v>5</v>
      </c>
      <c r="G906" s="3" t="str">
        <f>IF(Sales[[#This Row],[Anggaran Murni]]-Sales[[#This Row],[Target s.d. Januari]]=0,"",Sales[[#This Row],[Anggaran Murni]]-Sales[[#This Row],[Target s.d. Januari]])</f>
        <v/>
      </c>
      <c r="H906" s="2" t="s">
        <v>113</v>
      </c>
      <c r="I906" s="3" t="s">
        <v>77</v>
      </c>
      <c r="J906" s="3"/>
      <c r="K906" s="2" t="s">
        <v>45</v>
      </c>
      <c r="L906" s="2" t="s">
        <v>5</v>
      </c>
      <c r="M906" s="4" t="s">
        <v>67</v>
      </c>
      <c r="N906" s="3" t="s">
        <v>81</v>
      </c>
      <c r="O906" s="2" t="s">
        <v>12</v>
      </c>
      <c r="P906" s="10"/>
      <c r="Q906" s="11"/>
    </row>
    <row r="907" spans="2:17" ht="21" customHeight="1" x14ac:dyDescent="0.35">
      <c r="B907" s="18">
        <v>43935</v>
      </c>
      <c r="C907" s="18" t="str">
        <f>TEXT(Sales[[#This Row],[Kode Program/Kegiatan ]],"D")</f>
        <v>14</v>
      </c>
      <c r="D907" s="19" t="str">
        <f>TEXT(Sales[[#This Row],[Kode Program/Kegiatan ]],"mmm")</f>
        <v>Apr</v>
      </c>
      <c r="E907" s="20">
        <v>5</v>
      </c>
      <c r="F907" s="19">
        <v>5</v>
      </c>
      <c r="G907" s="20" t="str">
        <f>IF(Sales[[#This Row],[Anggaran Murni]]-Sales[[#This Row],[Target s.d. Januari]]=0,"",Sales[[#This Row],[Anggaran Murni]]-Sales[[#This Row],[Target s.d. Januari]])</f>
        <v/>
      </c>
      <c r="H907" s="19" t="s">
        <v>113</v>
      </c>
      <c r="I907" s="20" t="s">
        <v>77</v>
      </c>
      <c r="J907" s="20"/>
      <c r="K907" s="19" t="s">
        <v>45</v>
      </c>
      <c r="L907" s="19" t="s">
        <v>2</v>
      </c>
      <c r="M907" s="21" t="s">
        <v>67</v>
      </c>
      <c r="N907" s="20" t="s">
        <v>82</v>
      </c>
      <c r="O907" s="19" t="s">
        <v>14</v>
      </c>
      <c r="P907" s="10"/>
      <c r="Q907" s="11"/>
    </row>
    <row r="908" spans="2:17" ht="21" customHeight="1" x14ac:dyDescent="0.35">
      <c r="B908" s="1">
        <v>43935</v>
      </c>
      <c r="C908" s="1" t="str">
        <f>TEXT(Sales[[#This Row],[Kode Program/Kegiatan ]],"D")</f>
        <v>14</v>
      </c>
      <c r="D908" s="2" t="str">
        <f>TEXT(Sales[[#This Row],[Kode Program/Kegiatan ]],"mmm")</f>
        <v>Apr</v>
      </c>
      <c r="E908" s="3">
        <v>4</v>
      </c>
      <c r="F908" s="2">
        <v>4</v>
      </c>
      <c r="G908" s="3" t="str">
        <f>IF(Sales[[#This Row],[Anggaran Murni]]-Sales[[#This Row],[Target s.d. Januari]]=0,"",Sales[[#This Row],[Anggaran Murni]]-Sales[[#This Row],[Target s.d. Januari]])</f>
        <v/>
      </c>
      <c r="H908" s="2" t="s">
        <v>73</v>
      </c>
      <c r="I908" s="3" t="s">
        <v>78</v>
      </c>
      <c r="J908" s="3"/>
      <c r="K908" s="2" t="s">
        <v>59</v>
      </c>
      <c r="L908" s="2" t="s">
        <v>7</v>
      </c>
      <c r="M908" s="4" t="s">
        <v>67</v>
      </c>
      <c r="N908" s="3" t="s">
        <v>82</v>
      </c>
      <c r="O908" s="2" t="s">
        <v>12</v>
      </c>
      <c r="P908" s="10"/>
      <c r="Q908" s="11"/>
    </row>
    <row r="909" spans="2:17" ht="21" customHeight="1" x14ac:dyDescent="0.35">
      <c r="B909" s="18">
        <v>43935</v>
      </c>
      <c r="C909" s="18" t="str">
        <f>TEXT(Sales[[#This Row],[Kode Program/Kegiatan ]],"D")</f>
        <v>14</v>
      </c>
      <c r="D909" s="19" t="str">
        <f>TEXT(Sales[[#This Row],[Kode Program/Kegiatan ]],"mmm")</f>
        <v>Apr</v>
      </c>
      <c r="E909" s="20">
        <v>4</v>
      </c>
      <c r="F909" s="19">
        <v>4</v>
      </c>
      <c r="G909" s="20" t="str">
        <f>IF(Sales[[#This Row],[Anggaran Murni]]-Sales[[#This Row],[Target s.d. Januari]]=0,"",Sales[[#This Row],[Anggaran Murni]]-Sales[[#This Row],[Target s.d. Januari]])</f>
        <v/>
      </c>
      <c r="H909" s="19" t="s">
        <v>114</v>
      </c>
      <c r="I909" s="20" t="s">
        <v>3</v>
      </c>
      <c r="J909" s="20"/>
      <c r="K909" s="19" t="s">
        <v>41</v>
      </c>
      <c r="L909" s="19" t="s">
        <v>9</v>
      </c>
      <c r="M909" s="21" t="s">
        <v>67</v>
      </c>
      <c r="N909" s="20" t="s">
        <v>80</v>
      </c>
      <c r="O909" s="19" t="s">
        <v>11</v>
      </c>
      <c r="P909" s="10"/>
      <c r="Q909" s="11"/>
    </row>
    <row r="910" spans="2:17" ht="21" customHeight="1" x14ac:dyDescent="0.35">
      <c r="B910" s="1">
        <v>43936</v>
      </c>
      <c r="C910" s="1" t="str">
        <f>TEXT(Sales[[#This Row],[Kode Program/Kegiatan ]],"D")</f>
        <v>15</v>
      </c>
      <c r="D910" s="2" t="str">
        <f>TEXT(Sales[[#This Row],[Kode Program/Kegiatan ]],"mmm")</f>
        <v>Apr</v>
      </c>
      <c r="E910" s="3">
        <v>10</v>
      </c>
      <c r="F910" s="2">
        <v>10</v>
      </c>
      <c r="G910" s="3" t="str">
        <f>IF(Sales[[#This Row],[Anggaran Murni]]-Sales[[#This Row],[Target s.d. Januari]]=0,"",Sales[[#This Row],[Anggaran Murni]]-Sales[[#This Row],[Target s.d. Januari]])</f>
        <v/>
      </c>
      <c r="H910" s="2" t="s">
        <v>74</v>
      </c>
      <c r="I910" s="3" t="s">
        <v>77</v>
      </c>
      <c r="J910" s="3"/>
      <c r="K910" s="2" t="s">
        <v>45</v>
      </c>
      <c r="L910" s="2" t="s">
        <v>7</v>
      </c>
      <c r="M910" s="4" t="s">
        <v>67</v>
      </c>
      <c r="N910" s="3" t="s">
        <v>81</v>
      </c>
      <c r="O910" s="2" t="s">
        <v>12</v>
      </c>
      <c r="P910" s="10"/>
      <c r="Q910" s="11"/>
    </row>
    <row r="911" spans="2:17" ht="21" customHeight="1" x14ac:dyDescent="0.35">
      <c r="B911" s="18">
        <v>43936</v>
      </c>
      <c r="C911" s="18" t="str">
        <f>TEXT(Sales[[#This Row],[Kode Program/Kegiatan ]],"D")</f>
        <v>15</v>
      </c>
      <c r="D911" s="19" t="str">
        <f>TEXT(Sales[[#This Row],[Kode Program/Kegiatan ]],"mmm")</f>
        <v>Apr</v>
      </c>
      <c r="E911" s="20">
        <v>10</v>
      </c>
      <c r="F911" s="19">
        <v>10</v>
      </c>
      <c r="G911" s="20" t="str">
        <f>IF(Sales[[#This Row],[Anggaran Murni]]-Sales[[#This Row],[Target s.d. Januari]]=0,"",Sales[[#This Row],[Anggaran Murni]]-Sales[[#This Row],[Target s.d. Januari]])</f>
        <v/>
      </c>
      <c r="H911" s="19" t="s">
        <v>74</v>
      </c>
      <c r="I911" s="20" t="s">
        <v>77</v>
      </c>
      <c r="J911" s="20"/>
      <c r="K911" s="19" t="s">
        <v>61</v>
      </c>
      <c r="L911" s="19" t="s">
        <v>2</v>
      </c>
      <c r="M911" s="21" t="s">
        <v>67</v>
      </c>
      <c r="N911" s="20" t="s">
        <v>80</v>
      </c>
      <c r="O911" s="19" t="s">
        <v>12</v>
      </c>
      <c r="P911" s="10"/>
      <c r="Q911" s="11"/>
    </row>
    <row r="912" spans="2:17" ht="21" customHeight="1" x14ac:dyDescent="0.35">
      <c r="B912" s="1">
        <v>43936</v>
      </c>
      <c r="C912" s="1" t="str">
        <f>TEXT(Sales[[#This Row],[Kode Program/Kegiatan ]],"D")</f>
        <v>15</v>
      </c>
      <c r="D912" s="2" t="str">
        <f>TEXT(Sales[[#This Row],[Kode Program/Kegiatan ]],"mmm")</f>
        <v>Apr</v>
      </c>
      <c r="E912" s="3">
        <v>8</v>
      </c>
      <c r="F912" s="2">
        <v>8</v>
      </c>
      <c r="G912" s="3" t="str">
        <f>IF(Sales[[#This Row],[Anggaran Murni]]-Sales[[#This Row],[Target s.d. Januari]]=0,"",Sales[[#This Row],[Anggaran Murni]]-Sales[[#This Row],[Target s.d. Januari]])</f>
        <v/>
      </c>
      <c r="H912" s="2" t="s">
        <v>71</v>
      </c>
      <c r="I912" s="3" t="s">
        <v>6</v>
      </c>
      <c r="J912" s="3"/>
      <c r="K912" s="2" t="s">
        <v>25</v>
      </c>
      <c r="L912" s="2" t="s">
        <v>2</v>
      </c>
      <c r="M912" s="4" t="s">
        <v>67</v>
      </c>
      <c r="N912" s="3" t="s">
        <v>81</v>
      </c>
      <c r="O912" s="2" t="s">
        <v>12</v>
      </c>
      <c r="P912" s="10"/>
      <c r="Q912" s="11"/>
    </row>
    <row r="913" spans="2:17" ht="21" customHeight="1" x14ac:dyDescent="0.35">
      <c r="B913" s="18">
        <v>43936</v>
      </c>
      <c r="C913" s="18" t="str">
        <f>TEXT(Sales[[#This Row],[Kode Program/Kegiatan ]],"D")</f>
        <v>15</v>
      </c>
      <c r="D913" s="19" t="str">
        <f>TEXT(Sales[[#This Row],[Kode Program/Kegiatan ]],"mmm")</f>
        <v>Apr</v>
      </c>
      <c r="E913" s="20">
        <v>8</v>
      </c>
      <c r="F913" s="19">
        <v>8</v>
      </c>
      <c r="G913" s="20" t="str">
        <f>IF(Sales[[#This Row],[Anggaran Murni]]-Sales[[#This Row],[Target s.d. Januari]]=0,"",Sales[[#This Row],[Anggaran Murni]]-Sales[[#This Row],[Target s.d. Januari]])</f>
        <v/>
      </c>
      <c r="H913" s="19" t="s">
        <v>70</v>
      </c>
      <c r="I913" s="20" t="s">
        <v>1</v>
      </c>
      <c r="J913" s="20"/>
      <c r="K913" s="19" t="s">
        <v>27</v>
      </c>
      <c r="L913" s="19" t="s">
        <v>2</v>
      </c>
      <c r="M913" s="21" t="s">
        <v>67</v>
      </c>
      <c r="N913" s="20" t="s">
        <v>80</v>
      </c>
      <c r="O913" s="19" t="s">
        <v>13</v>
      </c>
      <c r="P913" s="10"/>
      <c r="Q913" s="11"/>
    </row>
    <row r="914" spans="2:17" ht="21" customHeight="1" x14ac:dyDescent="0.35">
      <c r="B914" s="1">
        <v>43936</v>
      </c>
      <c r="C914" s="1" t="str">
        <f>TEXT(Sales[[#This Row],[Kode Program/Kegiatan ]],"D")</f>
        <v>15</v>
      </c>
      <c r="D914" s="2" t="str">
        <f>TEXT(Sales[[#This Row],[Kode Program/Kegiatan ]],"mmm")</f>
        <v>Apr</v>
      </c>
      <c r="E914" s="3">
        <v>7</v>
      </c>
      <c r="F914" s="2">
        <v>7</v>
      </c>
      <c r="G914" s="3" t="str">
        <f>IF(Sales[[#This Row],[Anggaran Murni]]-Sales[[#This Row],[Target s.d. Januari]]=0,"",Sales[[#This Row],[Anggaran Murni]]-Sales[[#This Row],[Target s.d. Januari]])</f>
        <v/>
      </c>
      <c r="H914" s="2" t="s">
        <v>76</v>
      </c>
      <c r="I914" s="3" t="s">
        <v>79</v>
      </c>
      <c r="J914" s="3"/>
      <c r="K914" s="2" t="s">
        <v>40</v>
      </c>
      <c r="L914" s="2" t="s">
        <v>2</v>
      </c>
      <c r="M914" s="4" t="s">
        <v>67</v>
      </c>
      <c r="N914" s="3" t="s">
        <v>82</v>
      </c>
      <c r="O914" s="2" t="s">
        <v>12</v>
      </c>
      <c r="P914" s="10"/>
      <c r="Q914" s="11"/>
    </row>
    <row r="915" spans="2:17" ht="21" customHeight="1" x14ac:dyDescent="0.35">
      <c r="B915" s="18">
        <v>43936</v>
      </c>
      <c r="C915" s="18" t="str">
        <f>TEXT(Sales[[#This Row],[Kode Program/Kegiatan ]],"D")</f>
        <v>15</v>
      </c>
      <c r="D915" s="19" t="str">
        <f>TEXT(Sales[[#This Row],[Kode Program/Kegiatan ]],"mmm")</f>
        <v>Apr</v>
      </c>
      <c r="E915" s="20">
        <v>7</v>
      </c>
      <c r="F915" s="19">
        <v>7</v>
      </c>
      <c r="G915" s="20" t="str">
        <f>IF(Sales[[#This Row],[Anggaran Murni]]-Sales[[#This Row],[Target s.d. Januari]]=0,"",Sales[[#This Row],[Anggaran Murni]]-Sales[[#This Row],[Target s.d. Januari]])</f>
        <v/>
      </c>
      <c r="H915" s="19" t="s">
        <v>73</v>
      </c>
      <c r="I915" s="20" t="s">
        <v>78</v>
      </c>
      <c r="J915" s="20"/>
      <c r="K915" s="19" t="s">
        <v>26</v>
      </c>
      <c r="L915" s="19" t="s">
        <v>8</v>
      </c>
      <c r="M915" s="21" t="s">
        <v>67</v>
      </c>
      <c r="N915" s="20" t="s">
        <v>81</v>
      </c>
      <c r="O915" s="19" t="s">
        <v>12</v>
      </c>
      <c r="P915" s="10"/>
      <c r="Q915" s="11"/>
    </row>
    <row r="916" spans="2:17" ht="21" customHeight="1" x14ac:dyDescent="0.35">
      <c r="B916" s="1">
        <v>43936</v>
      </c>
      <c r="C916" s="1" t="str">
        <f>TEXT(Sales[[#This Row],[Kode Program/Kegiatan ]],"D")</f>
        <v>15</v>
      </c>
      <c r="D916" s="2" t="str">
        <f>TEXT(Sales[[#This Row],[Kode Program/Kegiatan ]],"mmm")</f>
        <v>Apr</v>
      </c>
      <c r="E916" s="3">
        <v>3</v>
      </c>
      <c r="F916" s="2">
        <v>3</v>
      </c>
      <c r="G916" s="3" t="str">
        <f>IF(Sales[[#This Row],[Anggaran Murni]]-Sales[[#This Row],[Target s.d. Januari]]=0,"",Sales[[#This Row],[Anggaran Murni]]-Sales[[#This Row],[Target s.d. Januari]])</f>
        <v/>
      </c>
      <c r="H916" s="2" t="s">
        <v>76</v>
      </c>
      <c r="I916" s="3" t="s">
        <v>79</v>
      </c>
      <c r="J916" s="3"/>
      <c r="K916" s="2" t="s">
        <v>24</v>
      </c>
      <c r="L916" s="2" t="s">
        <v>7</v>
      </c>
      <c r="M916" s="4" t="s">
        <v>67</v>
      </c>
      <c r="N916" s="3" t="s">
        <v>81</v>
      </c>
      <c r="O916" s="2" t="s">
        <v>12</v>
      </c>
      <c r="P916" s="10"/>
      <c r="Q916" s="11"/>
    </row>
    <row r="917" spans="2:17" ht="21" customHeight="1" x14ac:dyDescent="0.35">
      <c r="B917" s="18">
        <v>43937</v>
      </c>
      <c r="C917" s="18" t="str">
        <f>TEXT(Sales[[#This Row],[Kode Program/Kegiatan ]],"D")</f>
        <v>16</v>
      </c>
      <c r="D917" s="19" t="str">
        <f>TEXT(Sales[[#This Row],[Kode Program/Kegiatan ]],"mmm")</f>
        <v>Apr</v>
      </c>
      <c r="E917" s="20">
        <v>10</v>
      </c>
      <c r="F917" s="19">
        <v>10</v>
      </c>
      <c r="G917" s="20" t="str">
        <f>IF(Sales[[#This Row],[Anggaran Murni]]-Sales[[#This Row],[Target s.d. Januari]]=0,"",Sales[[#This Row],[Anggaran Murni]]-Sales[[#This Row],[Target s.d. Januari]])</f>
        <v/>
      </c>
      <c r="H917" s="19" t="s">
        <v>71</v>
      </c>
      <c r="I917" s="20" t="s">
        <v>6</v>
      </c>
      <c r="J917" s="20"/>
      <c r="K917" s="19" t="s">
        <v>17</v>
      </c>
      <c r="L917" s="19" t="s">
        <v>7</v>
      </c>
      <c r="M917" s="21" t="s">
        <v>67</v>
      </c>
      <c r="N917" s="20" t="s">
        <v>80</v>
      </c>
      <c r="O917" s="19" t="s">
        <v>12</v>
      </c>
      <c r="P917" s="10"/>
      <c r="Q917" s="11"/>
    </row>
    <row r="918" spans="2:17" ht="21" customHeight="1" x14ac:dyDescent="0.35">
      <c r="B918" s="1">
        <v>43937</v>
      </c>
      <c r="C918" s="1" t="str">
        <f>TEXT(Sales[[#This Row],[Kode Program/Kegiatan ]],"D")</f>
        <v>16</v>
      </c>
      <c r="D918" s="2" t="str">
        <f>TEXT(Sales[[#This Row],[Kode Program/Kegiatan ]],"mmm")</f>
        <v>Apr</v>
      </c>
      <c r="E918" s="3">
        <v>7</v>
      </c>
      <c r="F918" s="2">
        <v>7</v>
      </c>
      <c r="G918" s="3" t="str">
        <f>IF(Sales[[#This Row],[Anggaran Murni]]-Sales[[#This Row],[Target s.d. Januari]]=0,"",Sales[[#This Row],[Anggaran Murni]]-Sales[[#This Row],[Target s.d. Januari]])</f>
        <v/>
      </c>
      <c r="H918" s="2" t="s">
        <v>70</v>
      </c>
      <c r="I918" s="3" t="s">
        <v>1</v>
      </c>
      <c r="J918" s="3"/>
      <c r="K918" s="2" t="s">
        <v>63</v>
      </c>
      <c r="L918" s="2" t="s">
        <v>2</v>
      </c>
      <c r="M918" s="4" t="s">
        <v>67</v>
      </c>
      <c r="N918" s="3" t="s">
        <v>80</v>
      </c>
      <c r="O918" s="2" t="s">
        <v>13</v>
      </c>
      <c r="P918" s="10"/>
      <c r="Q918" s="11"/>
    </row>
    <row r="919" spans="2:17" ht="21" customHeight="1" x14ac:dyDescent="0.35">
      <c r="B919" s="18">
        <v>43937</v>
      </c>
      <c r="C919" s="18" t="str">
        <f>TEXT(Sales[[#This Row],[Kode Program/Kegiatan ]],"D")</f>
        <v>16</v>
      </c>
      <c r="D919" s="19" t="str">
        <f>TEXT(Sales[[#This Row],[Kode Program/Kegiatan ]],"mmm")</f>
        <v>Apr</v>
      </c>
      <c r="E919" s="20">
        <v>5</v>
      </c>
      <c r="F919" s="19">
        <v>5</v>
      </c>
      <c r="G919" s="20" t="str">
        <f>IF(Sales[[#This Row],[Anggaran Murni]]-Sales[[#This Row],[Target s.d. Januari]]=0,"",Sales[[#This Row],[Anggaran Murni]]-Sales[[#This Row],[Target s.d. Januari]])</f>
        <v/>
      </c>
      <c r="H919" s="19" t="s">
        <v>74</v>
      </c>
      <c r="I919" s="20" t="s">
        <v>77</v>
      </c>
      <c r="J919" s="20"/>
      <c r="K919" s="19" t="s">
        <v>30</v>
      </c>
      <c r="L919" s="19" t="s">
        <v>5</v>
      </c>
      <c r="M919" s="21" t="s">
        <v>67</v>
      </c>
      <c r="N919" s="20" t="s">
        <v>82</v>
      </c>
      <c r="O919" s="19" t="s">
        <v>13</v>
      </c>
      <c r="P919" s="10"/>
      <c r="Q919" s="11"/>
    </row>
    <row r="920" spans="2:17" ht="21" customHeight="1" x14ac:dyDescent="0.35">
      <c r="B920" s="1">
        <v>43937</v>
      </c>
      <c r="C920" s="1" t="str">
        <f>TEXT(Sales[[#This Row],[Kode Program/Kegiatan ]],"D")</f>
        <v>16</v>
      </c>
      <c r="D920" s="2" t="str">
        <f>TEXT(Sales[[#This Row],[Kode Program/Kegiatan ]],"mmm")</f>
        <v>Apr</v>
      </c>
      <c r="E920" s="3">
        <v>4</v>
      </c>
      <c r="F920" s="2">
        <v>4</v>
      </c>
      <c r="G920" s="3" t="str">
        <f>IF(Sales[[#This Row],[Anggaran Murni]]-Sales[[#This Row],[Target s.d. Januari]]=0,"",Sales[[#This Row],[Anggaran Murni]]-Sales[[#This Row],[Target s.d. Januari]])</f>
        <v/>
      </c>
      <c r="H920" s="2" t="s">
        <v>76</v>
      </c>
      <c r="I920" s="3" t="s">
        <v>79</v>
      </c>
      <c r="J920" s="3"/>
      <c r="K920" s="2" t="s">
        <v>57</v>
      </c>
      <c r="L920" s="2" t="s">
        <v>2</v>
      </c>
      <c r="M920" s="4" t="s">
        <v>67</v>
      </c>
      <c r="N920" s="3" t="s">
        <v>82</v>
      </c>
      <c r="O920" s="2" t="s">
        <v>12</v>
      </c>
      <c r="P920" s="10"/>
      <c r="Q920" s="11"/>
    </row>
    <row r="921" spans="2:17" ht="21" customHeight="1" x14ac:dyDescent="0.35">
      <c r="B921" s="18">
        <v>43937</v>
      </c>
      <c r="C921" s="18" t="str">
        <f>TEXT(Sales[[#This Row],[Kode Program/Kegiatan ]],"D")</f>
        <v>16</v>
      </c>
      <c r="D921" s="19" t="str">
        <f>TEXT(Sales[[#This Row],[Kode Program/Kegiatan ]],"mmm")</f>
        <v>Apr</v>
      </c>
      <c r="E921" s="20">
        <v>3</v>
      </c>
      <c r="F921" s="19">
        <v>3</v>
      </c>
      <c r="G921" s="20" t="str">
        <f>IF(Sales[[#This Row],[Anggaran Murni]]-Sales[[#This Row],[Target s.d. Januari]]=0,"",Sales[[#This Row],[Anggaran Murni]]-Sales[[#This Row],[Target s.d. Januari]])</f>
        <v/>
      </c>
      <c r="H921" s="19" t="s">
        <v>114</v>
      </c>
      <c r="I921" s="20" t="s">
        <v>3</v>
      </c>
      <c r="J921" s="20"/>
      <c r="K921" s="19" t="s">
        <v>45</v>
      </c>
      <c r="L921" s="19" t="s">
        <v>4</v>
      </c>
      <c r="M921" s="21" t="s">
        <v>67</v>
      </c>
      <c r="N921" s="20" t="s">
        <v>80</v>
      </c>
      <c r="O921" s="19" t="s">
        <v>11</v>
      </c>
      <c r="P921" s="10"/>
      <c r="Q921" s="11"/>
    </row>
    <row r="922" spans="2:17" ht="21" customHeight="1" x14ac:dyDescent="0.35">
      <c r="B922" s="1">
        <v>43938</v>
      </c>
      <c r="C922" s="1" t="str">
        <f>TEXT(Sales[[#This Row],[Kode Program/Kegiatan ]],"D")</f>
        <v>17</v>
      </c>
      <c r="D922" s="2" t="str">
        <f>TEXT(Sales[[#This Row],[Kode Program/Kegiatan ]],"mmm")</f>
        <v>Apr</v>
      </c>
      <c r="E922" s="3">
        <v>9</v>
      </c>
      <c r="F922" s="2">
        <v>9</v>
      </c>
      <c r="G922" s="3" t="str">
        <f>IF(Sales[[#This Row],[Anggaran Murni]]-Sales[[#This Row],[Target s.d. Januari]]=0,"",Sales[[#This Row],[Anggaran Murni]]-Sales[[#This Row],[Target s.d. Januari]])</f>
        <v/>
      </c>
      <c r="H922" s="2" t="s">
        <v>73</v>
      </c>
      <c r="I922" s="3" t="s">
        <v>78</v>
      </c>
      <c r="J922" s="3"/>
      <c r="K922" s="2" t="s">
        <v>18</v>
      </c>
      <c r="L922" s="2" t="s">
        <v>5</v>
      </c>
      <c r="M922" s="4" t="s">
        <v>67</v>
      </c>
      <c r="N922" s="3" t="s">
        <v>82</v>
      </c>
      <c r="O922" s="2" t="s">
        <v>12</v>
      </c>
      <c r="P922" s="10"/>
      <c r="Q922" s="11"/>
    </row>
    <row r="923" spans="2:17" ht="21" customHeight="1" x14ac:dyDescent="0.35">
      <c r="B923" s="18">
        <v>43938</v>
      </c>
      <c r="C923" s="18" t="str">
        <f>TEXT(Sales[[#This Row],[Kode Program/Kegiatan ]],"D")</f>
        <v>17</v>
      </c>
      <c r="D923" s="19" t="str">
        <f>TEXT(Sales[[#This Row],[Kode Program/Kegiatan ]],"mmm")</f>
        <v>Apr</v>
      </c>
      <c r="E923" s="20">
        <v>9</v>
      </c>
      <c r="F923" s="19">
        <v>9</v>
      </c>
      <c r="G923" s="20" t="str">
        <f>IF(Sales[[#This Row],[Anggaran Murni]]-Sales[[#This Row],[Target s.d. Januari]]=0,"",Sales[[#This Row],[Anggaran Murni]]-Sales[[#This Row],[Target s.d. Januari]])</f>
        <v/>
      </c>
      <c r="H923" s="19" t="s">
        <v>74</v>
      </c>
      <c r="I923" s="20" t="s">
        <v>77</v>
      </c>
      <c r="J923" s="20"/>
      <c r="K923" s="19" t="s">
        <v>30</v>
      </c>
      <c r="L923" s="19" t="s">
        <v>2</v>
      </c>
      <c r="M923" s="21" t="s">
        <v>67</v>
      </c>
      <c r="N923" s="20" t="s">
        <v>80</v>
      </c>
      <c r="O923" s="19" t="s">
        <v>12</v>
      </c>
      <c r="P923" s="10"/>
      <c r="Q923" s="11"/>
    </row>
    <row r="924" spans="2:17" ht="21" customHeight="1" x14ac:dyDescent="0.35">
      <c r="B924" s="1">
        <v>43938</v>
      </c>
      <c r="C924" s="1" t="str">
        <f>TEXT(Sales[[#This Row],[Kode Program/Kegiatan ]],"D")</f>
        <v>17</v>
      </c>
      <c r="D924" s="2" t="str">
        <f>TEXT(Sales[[#This Row],[Kode Program/Kegiatan ]],"mmm")</f>
        <v>Apr</v>
      </c>
      <c r="E924" s="3">
        <v>8</v>
      </c>
      <c r="F924" s="2">
        <v>8</v>
      </c>
      <c r="G924" s="3" t="str">
        <f>IF(Sales[[#This Row],[Anggaran Murni]]-Sales[[#This Row],[Target s.d. Januari]]=0,"",Sales[[#This Row],[Anggaran Murni]]-Sales[[#This Row],[Target s.d. Januari]])</f>
        <v/>
      </c>
      <c r="H924" s="2" t="s">
        <v>75</v>
      </c>
      <c r="I924" s="3" t="s">
        <v>6</v>
      </c>
      <c r="J924" s="3"/>
      <c r="K924" s="2" t="s">
        <v>30</v>
      </c>
      <c r="L924" s="2" t="s">
        <v>5</v>
      </c>
      <c r="M924" s="4" t="s">
        <v>67</v>
      </c>
      <c r="N924" s="3" t="s">
        <v>80</v>
      </c>
      <c r="O924" s="2" t="s">
        <v>13</v>
      </c>
      <c r="P924" s="10"/>
      <c r="Q924" s="11"/>
    </row>
    <row r="925" spans="2:17" ht="21" customHeight="1" x14ac:dyDescent="0.35">
      <c r="B925" s="18">
        <v>43938</v>
      </c>
      <c r="C925" s="18" t="str">
        <f>TEXT(Sales[[#This Row],[Kode Program/Kegiatan ]],"D")</f>
        <v>17</v>
      </c>
      <c r="D925" s="19" t="str">
        <f>TEXT(Sales[[#This Row],[Kode Program/Kegiatan ]],"mmm")</f>
        <v>Apr</v>
      </c>
      <c r="E925" s="20">
        <v>7</v>
      </c>
      <c r="F925" s="19">
        <v>7</v>
      </c>
      <c r="G925" s="20" t="str">
        <f>IF(Sales[[#This Row],[Anggaran Murni]]-Sales[[#This Row],[Target s.d. Januari]]=0,"",Sales[[#This Row],[Anggaran Murni]]-Sales[[#This Row],[Target s.d. Januari]])</f>
        <v/>
      </c>
      <c r="H925" s="19" t="s">
        <v>70</v>
      </c>
      <c r="I925" s="20" t="s">
        <v>1</v>
      </c>
      <c r="J925" s="20"/>
      <c r="K925" s="19" t="s">
        <v>53</v>
      </c>
      <c r="L925" s="19" t="s">
        <v>8</v>
      </c>
      <c r="M925" s="21" t="s">
        <v>67</v>
      </c>
      <c r="N925" s="20" t="s">
        <v>81</v>
      </c>
      <c r="O925" s="19" t="s">
        <v>14</v>
      </c>
      <c r="P925" s="10"/>
      <c r="Q925" s="11"/>
    </row>
    <row r="926" spans="2:17" ht="21" customHeight="1" x14ac:dyDescent="0.35">
      <c r="B926" s="1">
        <v>43938</v>
      </c>
      <c r="C926" s="1" t="str">
        <f>TEXT(Sales[[#This Row],[Kode Program/Kegiatan ]],"D")</f>
        <v>17</v>
      </c>
      <c r="D926" s="2" t="str">
        <f>TEXT(Sales[[#This Row],[Kode Program/Kegiatan ]],"mmm")</f>
        <v>Apr</v>
      </c>
      <c r="E926" s="3">
        <v>7</v>
      </c>
      <c r="F926" s="2">
        <v>7</v>
      </c>
      <c r="G926" s="3" t="str">
        <f>IF(Sales[[#This Row],[Anggaran Murni]]-Sales[[#This Row],[Target s.d. Januari]]=0,"",Sales[[#This Row],[Anggaran Murni]]-Sales[[#This Row],[Target s.d. Januari]])</f>
        <v/>
      </c>
      <c r="H926" s="2" t="s">
        <v>72</v>
      </c>
      <c r="I926" s="3" t="s">
        <v>78</v>
      </c>
      <c r="J926" s="3"/>
      <c r="K926" s="2" t="s">
        <v>18</v>
      </c>
      <c r="L926" s="2" t="s">
        <v>7</v>
      </c>
      <c r="M926" s="4" t="s">
        <v>67</v>
      </c>
      <c r="N926" s="3" t="s">
        <v>81</v>
      </c>
      <c r="O926" s="2" t="s">
        <v>13</v>
      </c>
      <c r="P926" s="10"/>
      <c r="Q926" s="11"/>
    </row>
    <row r="927" spans="2:17" ht="21" customHeight="1" x14ac:dyDescent="0.35">
      <c r="B927" s="18">
        <v>43938</v>
      </c>
      <c r="C927" s="18" t="str">
        <f>TEXT(Sales[[#This Row],[Kode Program/Kegiatan ]],"D")</f>
        <v>17</v>
      </c>
      <c r="D927" s="19" t="str">
        <f>TEXT(Sales[[#This Row],[Kode Program/Kegiatan ]],"mmm")</f>
        <v>Apr</v>
      </c>
      <c r="E927" s="20">
        <v>6</v>
      </c>
      <c r="F927" s="19">
        <v>6</v>
      </c>
      <c r="G927" s="20" t="str">
        <f>IF(Sales[[#This Row],[Anggaran Murni]]-Sales[[#This Row],[Target s.d. Januari]]=0,"",Sales[[#This Row],[Anggaran Murni]]-Sales[[#This Row],[Target s.d. Januari]])</f>
        <v/>
      </c>
      <c r="H927" s="19" t="s">
        <v>75</v>
      </c>
      <c r="I927" s="20" t="s">
        <v>6</v>
      </c>
      <c r="J927" s="20"/>
      <c r="K927" s="19" t="s">
        <v>38</v>
      </c>
      <c r="L927" s="19" t="s">
        <v>8</v>
      </c>
      <c r="M927" s="21" t="s">
        <v>67</v>
      </c>
      <c r="N927" s="20" t="s">
        <v>80</v>
      </c>
      <c r="O927" s="19" t="s">
        <v>12</v>
      </c>
      <c r="P927" s="10"/>
      <c r="Q927" s="11"/>
    </row>
    <row r="928" spans="2:17" ht="21" customHeight="1" x14ac:dyDescent="0.35">
      <c r="B928" s="1">
        <v>43938</v>
      </c>
      <c r="C928" s="1" t="str">
        <f>TEXT(Sales[[#This Row],[Kode Program/Kegiatan ]],"D")</f>
        <v>17</v>
      </c>
      <c r="D928" s="2" t="str">
        <f>TEXT(Sales[[#This Row],[Kode Program/Kegiatan ]],"mmm")</f>
        <v>Apr</v>
      </c>
      <c r="E928" s="3">
        <v>5</v>
      </c>
      <c r="F928" s="2">
        <v>5</v>
      </c>
      <c r="G928" s="3" t="str">
        <f>IF(Sales[[#This Row],[Anggaran Murni]]-Sales[[#This Row],[Target s.d. Januari]]=0,"",Sales[[#This Row],[Anggaran Murni]]-Sales[[#This Row],[Target s.d. Januari]])</f>
        <v/>
      </c>
      <c r="H928" s="2" t="s">
        <v>70</v>
      </c>
      <c r="I928" s="3" t="s">
        <v>1</v>
      </c>
      <c r="J928" s="3"/>
      <c r="K928" s="2" t="s">
        <v>24</v>
      </c>
      <c r="L928" s="2" t="s">
        <v>5</v>
      </c>
      <c r="M928" s="4" t="s">
        <v>67</v>
      </c>
      <c r="N928" s="3" t="s">
        <v>82</v>
      </c>
      <c r="O928" s="2" t="s">
        <v>14</v>
      </c>
      <c r="P928" s="10"/>
      <c r="Q928" s="11"/>
    </row>
    <row r="929" spans="2:17" ht="21" customHeight="1" x14ac:dyDescent="0.35">
      <c r="B929" s="18">
        <v>43938</v>
      </c>
      <c r="C929" s="18" t="str">
        <f>TEXT(Sales[[#This Row],[Kode Program/Kegiatan ]],"D")</f>
        <v>17</v>
      </c>
      <c r="D929" s="19" t="str">
        <f>TEXT(Sales[[#This Row],[Kode Program/Kegiatan ]],"mmm")</f>
        <v>Apr</v>
      </c>
      <c r="E929" s="20">
        <v>3</v>
      </c>
      <c r="F929" s="19">
        <v>3</v>
      </c>
      <c r="G929" s="20" t="str">
        <f>IF(Sales[[#This Row],[Anggaran Murni]]-Sales[[#This Row],[Target s.d. Januari]]=0,"",Sales[[#This Row],[Anggaran Murni]]-Sales[[#This Row],[Target s.d. Januari]])</f>
        <v/>
      </c>
      <c r="H929" s="19" t="s">
        <v>76</v>
      </c>
      <c r="I929" s="20" t="s">
        <v>79</v>
      </c>
      <c r="J929" s="20"/>
      <c r="K929" s="19" t="s">
        <v>45</v>
      </c>
      <c r="L929" s="19" t="s">
        <v>2</v>
      </c>
      <c r="M929" s="21" t="s">
        <v>67</v>
      </c>
      <c r="N929" s="20" t="s">
        <v>80</v>
      </c>
      <c r="O929" s="19" t="s">
        <v>11</v>
      </c>
      <c r="P929" s="10"/>
      <c r="Q929" s="11"/>
    </row>
    <row r="930" spans="2:17" ht="21" customHeight="1" x14ac:dyDescent="0.35">
      <c r="B930" s="1">
        <v>43939</v>
      </c>
      <c r="C930" s="1" t="str">
        <f>TEXT(Sales[[#This Row],[Kode Program/Kegiatan ]],"D")</f>
        <v>18</v>
      </c>
      <c r="D930" s="2" t="str">
        <f>TEXT(Sales[[#This Row],[Kode Program/Kegiatan ]],"mmm")</f>
        <v>Apr</v>
      </c>
      <c r="E930" s="3">
        <v>9</v>
      </c>
      <c r="F930" s="2">
        <v>9</v>
      </c>
      <c r="G930" s="3" t="str">
        <f>IF(Sales[[#This Row],[Anggaran Murni]]-Sales[[#This Row],[Target s.d. Januari]]=0,"",Sales[[#This Row],[Anggaran Murni]]-Sales[[#This Row],[Target s.d. Januari]])</f>
        <v/>
      </c>
      <c r="H930" s="2" t="s">
        <v>114</v>
      </c>
      <c r="I930" s="3" t="s">
        <v>3</v>
      </c>
      <c r="J930" s="3"/>
      <c r="K930" s="2" t="s">
        <v>22</v>
      </c>
      <c r="L930" s="2" t="s">
        <v>5</v>
      </c>
      <c r="M930" s="4" t="s">
        <v>67</v>
      </c>
      <c r="N930" s="3" t="s">
        <v>82</v>
      </c>
      <c r="O930" s="2" t="s">
        <v>14</v>
      </c>
      <c r="P930" s="10"/>
      <c r="Q930" s="11"/>
    </row>
    <row r="931" spans="2:17" ht="21" customHeight="1" x14ac:dyDescent="0.35">
      <c r="B931" s="18">
        <v>43939</v>
      </c>
      <c r="C931" s="18" t="str">
        <f>TEXT(Sales[[#This Row],[Kode Program/Kegiatan ]],"D")</f>
        <v>18</v>
      </c>
      <c r="D931" s="19" t="str">
        <f>TEXT(Sales[[#This Row],[Kode Program/Kegiatan ]],"mmm")</f>
        <v>Apr</v>
      </c>
      <c r="E931" s="20">
        <v>8</v>
      </c>
      <c r="F931" s="19">
        <v>8</v>
      </c>
      <c r="G931" s="20" t="str">
        <f>IF(Sales[[#This Row],[Anggaran Murni]]-Sales[[#This Row],[Target s.d. Januari]]=0,"",Sales[[#This Row],[Anggaran Murni]]-Sales[[#This Row],[Target s.d. Januari]])</f>
        <v/>
      </c>
      <c r="H931" s="19" t="s">
        <v>70</v>
      </c>
      <c r="I931" s="20" t="s">
        <v>1</v>
      </c>
      <c r="J931" s="20"/>
      <c r="K931" s="19" t="s">
        <v>47</v>
      </c>
      <c r="L931" s="19" t="s">
        <v>2</v>
      </c>
      <c r="M931" s="21" t="s">
        <v>67</v>
      </c>
      <c r="N931" s="20" t="s">
        <v>80</v>
      </c>
      <c r="O931" s="19" t="s">
        <v>12</v>
      </c>
      <c r="P931" s="10"/>
      <c r="Q931" s="11"/>
    </row>
    <row r="932" spans="2:17" ht="21" customHeight="1" x14ac:dyDescent="0.35">
      <c r="B932" s="1">
        <v>43939</v>
      </c>
      <c r="C932" s="1" t="str">
        <f>TEXT(Sales[[#This Row],[Kode Program/Kegiatan ]],"D")</f>
        <v>18</v>
      </c>
      <c r="D932" s="2" t="str">
        <f>TEXT(Sales[[#This Row],[Kode Program/Kegiatan ]],"mmm")</f>
        <v>Apr</v>
      </c>
      <c r="E932" s="3">
        <v>7</v>
      </c>
      <c r="F932" s="2">
        <v>7</v>
      </c>
      <c r="G932" s="3" t="str">
        <f>IF(Sales[[#This Row],[Anggaran Murni]]-Sales[[#This Row],[Target s.d. Januari]]=0,"",Sales[[#This Row],[Anggaran Murni]]-Sales[[#This Row],[Target s.d. Januari]])</f>
        <v/>
      </c>
      <c r="H932" s="2" t="s">
        <v>114</v>
      </c>
      <c r="I932" s="3" t="s">
        <v>3</v>
      </c>
      <c r="J932" s="3"/>
      <c r="K932" s="2" t="s">
        <v>51</v>
      </c>
      <c r="L932" s="2" t="s">
        <v>2</v>
      </c>
      <c r="M932" s="4" t="s">
        <v>67</v>
      </c>
      <c r="N932" s="3" t="s">
        <v>80</v>
      </c>
      <c r="O932" s="2" t="s">
        <v>14</v>
      </c>
      <c r="P932" s="10"/>
      <c r="Q932" s="11"/>
    </row>
    <row r="933" spans="2:17" ht="21" customHeight="1" x14ac:dyDescent="0.35">
      <c r="B933" s="18">
        <v>43939</v>
      </c>
      <c r="C933" s="18" t="str">
        <f>TEXT(Sales[[#This Row],[Kode Program/Kegiatan ]],"D")</f>
        <v>18</v>
      </c>
      <c r="D933" s="19" t="str">
        <f>TEXT(Sales[[#This Row],[Kode Program/Kegiatan ]],"mmm")</f>
        <v>Apr</v>
      </c>
      <c r="E933" s="20">
        <v>7</v>
      </c>
      <c r="F933" s="19">
        <v>7</v>
      </c>
      <c r="G933" s="20" t="str">
        <f>IF(Sales[[#This Row],[Anggaran Murni]]-Sales[[#This Row],[Target s.d. Januari]]=0,"",Sales[[#This Row],[Anggaran Murni]]-Sales[[#This Row],[Target s.d. Januari]])</f>
        <v/>
      </c>
      <c r="H933" s="19" t="s">
        <v>76</v>
      </c>
      <c r="I933" s="20" t="s">
        <v>79</v>
      </c>
      <c r="J933" s="20"/>
      <c r="K933" s="19" t="s">
        <v>46</v>
      </c>
      <c r="L933" s="19" t="s">
        <v>2</v>
      </c>
      <c r="M933" s="21" t="s">
        <v>67</v>
      </c>
      <c r="N933" s="20" t="s">
        <v>80</v>
      </c>
      <c r="O933" s="19" t="s">
        <v>11</v>
      </c>
      <c r="P933" s="10"/>
      <c r="Q933" s="11"/>
    </row>
    <row r="934" spans="2:17" ht="21" customHeight="1" x14ac:dyDescent="0.35">
      <c r="B934" s="1">
        <v>43939</v>
      </c>
      <c r="C934" s="1" t="str">
        <f>TEXT(Sales[[#This Row],[Kode Program/Kegiatan ]],"D")</f>
        <v>18</v>
      </c>
      <c r="D934" s="2" t="str">
        <f>TEXT(Sales[[#This Row],[Kode Program/Kegiatan ]],"mmm")</f>
        <v>Apr</v>
      </c>
      <c r="E934" s="3">
        <v>6</v>
      </c>
      <c r="F934" s="2">
        <v>6</v>
      </c>
      <c r="G934" s="3" t="str">
        <f>IF(Sales[[#This Row],[Anggaran Murni]]-Sales[[#This Row],[Target s.d. Januari]]=0,"",Sales[[#This Row],[Anggaran Murni]]-Sales[[#This Row],[Target s.d. Januari]])</f>
        <v/>
      </c>
      <c r="H934" s="2" t="s">
        <v>76</v>
      </c>
      <c r="I934" s="3" t="s">
        <v>79</v>
      </c>
      <c r="J934" s="3"/>
      <c r="K934" s="2" t="s">
        <v>58</v>
      </c>
      <c r="L934" s="2" t="s">
        <v>5</v>
      </c>
      <c r="M934" s="4" t="s">
        <v>67</v>
      </c>
      <c r="N934" s="3" t="s">
        <v>82</v>
      </c>
      <c r="O934" s="2" t="s">
        <v>11</v>
      </c>
      <c r="P934" s="10"/>
      <c r="Q934" s="11"/>
    </row>
    <row r="935" spans="2:17" ht="21" customHeight="1" x14ac:dyDescent="0.35">
      <c r="B935" s="18">
        <v>43939</v>
      </c>
      <c r="C935" s="18" t="str">
        <f>TEXT(Sales[[#This Row],[Kode Program/Kegiatan ]],"D")</f>
        <v>18</v>
      </c>
      <c r="D935" s="19" t="str">
        <f>TEXT(Sales[[#This Row],[Kode Program/Kegiatan ]],"mmm")</f>
        <v>Apr</v>
      </c>
      <c r="E935" s="20">
        <v>5</v>
      </c>
      <c r="F935" s="19">
        <v>5</v>
      </c>
      <c r="G935" s="20" t="str">
        <f>IF(Sales[[#This Row],[Anggaran Murni]]-Sales[[#This Row],[Target s.d. Januari]]=0,"",Sales[[#This Row],[Anggaran Murni]]-Sales[[#This Row],[Target s.d. Januari]])</f>
        <v/>
      </c>
      <c r="H935" s="19" t="s">
        <v>74</v>
      </c>
      <c r="I935" s="20" t="s">
        <v>77</v>
      </c>
      <c r="J935" s="20"/>
      <c r="K935" s="19" t="s">
        <v>59</v>
      </c>
      <c r="L935" s="19" t="s">
        <v>8</v>
      </c>
      <c r="M935" s="21" t="s">
        <v>67</v>
      </c>
      <c r="N935" s="20" t="s">
        <v>82</v>
      </c>
      <c r="O935" s="19" t="s">
        <v>12</v>
      </c>
      <c r="P935" s="10"/>
      <c r="Q935" s="11"/>
    </row>
    <row r="936" spans="2:17" ht="21" customHeight="1" x14ac:dyDescent="0.35">
      <c r="B936" s="1">
        <v>43939</v>
      </c>
      <c r="C936" s="1" t="str">
        <f>TEXT(Sales[[#This Row],[Kode Program/Kegiatan ]],"D")</f>
        <v>18</v>
      </c>
      <c r="D936" s="2" t="str">
        <f>TEXT(Sales[[#This Row],[Kode Program/Kegiatan ]],"mmm")</f>
        <v>Apr</v>
      </c>
      <c r="E936" s="3">
        <v>5</v>
      </c>
      <c r="F936" s="2">
        <v>5</v>
      </c>
      <c r="G936" s="3" t="str">
        <f>IF(Sales[[#This Row],[Anggaran Murni]]-Sales[[#This Row],[Target s.d. Januari]]=0,"",Sales[[#This Row],[Anggaran Murni]]-Sales[[#This Row],[Target s.d. Januari]])</f>
        <v/>
      </c>
      <c r="H936" s="2" t="s">
        <v>76</v>
      </c>
      <c r="I936" s="3" t="s">
        <v>79</v>
      </c>
      <c r="J936" s="3"/>
      <c r="K936" s="2" t="s">
        <v>62</v>
      </c>
      <c r="L936" s="2" t="s">
        <v>2</v>
      </c>
      <c r="M936" s="4" t="s">
        <v>67</v>
      </c>
      <c r="N936" s="3" t="s">
        <v>82</v>
      </c>
      <c r="O936" s="2" t="s">
        <v>13</v>
      </c>
      <c r="P936" s="10"/>
      <c r="Q936" s="11"/>
    </row>
    <row r="937" spans="2:17" ht="21" customHeight="1" x14ac:dyDescent="0.35">
      <c r="B937" s="18">
        <v>43939</v>
      </c>
      <c r="C937" s="18" t="str">
        <f>TEXT(Sales[[#This Row],[Kode Program/Kegiatan ]],"D")</f>
        <v>18</v>
      </c>
      <c r="D937" s="19" t="str">
        <f>TEXT(Sales[[#This Row],[Kode Program/Kegiatan ]],"mmm")</f>
        <v>Apr</v>
      </c>
      <c r="E937" s="20">
        <v>4</v>
      </c>
      <c r="F937" s="19">
        <v>4</v>
      </c>
      <c r="G937" s="20" t="str">
        <f>IF(Sales[[#This Row],[Anggaran Murni]]-Sales[[#This Row],[Target s.d. Januari]]=0,"",Sales[[#This Row],[Anggaran Murni]]-Sales[[#This Row],[Target s.d. Januari]])</f>
        <v/>
      </c>
      <c r="H937" s="19" t="s">
        <v>72</v>
      </c>
      <c r="I937" s="20" t="s">
        <v>78</v>
      </c>
      <c r="J937" s="20"/>
      <c r="K937" s="19" t="s">
        <v>50</v>
      </c>
      <c r="L937" s="19" t="s">
        <v>2</v>
      </c>
      <c r="M937" s="21" t="s">
        <v>67</v>
      </c>
      <c r="N937" s="20" t="s">
        <v>81</v>
      </c>
      <c r="O937" s="19" t="s">
        <v>13</v>
      </c>
      <c r="P937" s="10"/>
      <c r="Q937" s="11"/>
    </row>
    <row r="938" spans="2:17" ht="21" customHeight="1" x14ac:dyDescent="0.35">
      <c r="B938" s="1">
        <v>43939</v>
      </c>
      <c r="C938" s="1" t="str">
        <f>TEXT(Sales[[#This Row],[Kode Program/Kegiatan ]],"D")</f>
        <v>18</v>
      </c>
      <c r="D938" s="2" t="str">
        <f>TEXT(Sales[[#This Row],[Kode Program/Kegiatan ]],"mmm")</f>
        <v>Apr</v>
      </c>
      <c r="E938" s="3">
        <v>3</v>
      </c>
      <c r="F938" s="2">
        <v>3</v>
      </c>
      <c r="G938" s="3" t="str">
        <f>IF(Sales[[#This Row],[Anggaran Murni]]-Sales[[#This Row],[Target s.d. Januari]]=0,"",Sales[[#This Row],[Anggaran Murni]]-Sales[[#This Row],[Target s.d. Januari]])</f>
        <v/>
      </c>
      <c r="H938" s="2" t="s">
        <v>75</v>
      </c>
      <c r="I938" s="3" t="s">
        <v>6</v>
      </c>
      <c r="J938" s="3"/>
      <c r="K938" s="2" t="s">
        <v>58</v>
      </c>
      <c r="L938" s="2" t="s">
        <v>2</v>
      </c>
      <c r="M938" s="4" t="s">
        <v>67</v>
      </c>
      <c r="N938" s="3" t="s">
        <v>80</v>
      </c>
      <c r="O938" s="2" t="s">
        <v>11</v>
      </c>
      <c r="P938" s="10"/>
      <c r="Q938" s="11"/>
    </row>
    <row r="939" spans="2:17" ht="21" customHeight="1" x14ac:dyDescent="0.35">
      <c r="B939" s="18">
        <v>43940</v>
      </c>
      <c r="C939" s="18" t="str">
        <f>TEXT(Sales[[#This Row],[Kode Program/Kegiatan ]],"D")</f>
        <v>19</v>
      </c>
      <c r="D939" s="19" t="str">
        <f>TEXT(Sales[[#This Row],[Kode Program/Kegiatan ]],"mmm")</f>
        <v>Apr</v>
      </c>
      <c r="E939" s="20">
        <v>9</v>
      </c>
      <c r="F939" s="19">
        <v>9</v>
      </c>
      <c r="G939" s="20" t="str">
        <f>IF(Sales[[#This Row],[Anggaran Murni]]-Sales[[#This Row],[Target s.d. Januari]]=0,"",Sales[[#This Row],[Anggaran Murni]]-Sales[[#This Row],[Target s.d. Januari]])</f>
        <v/>
      </c>
      <c r="H939" s="19" t="s">
        <v>70</v>
      </c>
      <c r="I939" s="20" t="s">
        <v>1</v>
      </c>
      <c r="J939" s="20"/>
      <c r="K939" s="19" t="s">
        <v>41</v>
      </c>
      <c r="L939" s="19" t="s">
        <v>2</v>
      </c>
      <c r="M939" s="21" t="s">
        <v>67</v>
      </c>
      <c r="N939" s="20" t="s">
        <v>80</v>
      </c>
      <c r="O939" s="19" t="s">
        <v>12</v>
      </c>
      <c r="P939" s="10"/>
      <c r="Q939" s="11"/>
    </row>
    <row r="940" spans="2:17" ht="21" customHeight="1" x14ac:dyDescent="0.35">
      <c r="B940" s="1">
        <v>43940</v>
      </c>
      <c r="C940" s="1" t="str">
        <f>TEXT(Sales[[#This Row],[Kode Program/Kegiatan ]],"D")</f>
        <v>19</v>
      </c>
      <c r="D940" s="2" t="str">
        <f>TEXT(Sales[[#This Row],[Kode Program/Kegiatan ]],"mmm")</f>
        <v>Apr</v>
      </c>
      <c r="E940" s="3">
        <v>7</v>
      </c>
      <c r="F940" s="2">
        <v>7</v>
      </c>
      <c r="G940" s="3" t="str">
        <f>IF(Sales[[#This Row],[Anggaran Murni]]-Sales[[#This Row],[Target s.d. Januari]]=0,"",Sales[[#This Row],[Anggaran Murni]]-Sales[[#This Row],[Target s.d. Januari]])</f>
        <v/>
      </c>
      <c r="H940" s="2" t="s">
        <v>75</v>
      </c>
      <c r="I940" s="3" t="s">
        <v>6</v>
      </c>
      <c r="J940" s="3"/>
      <c r="K940" s="2" t="s">
        <v>22</v>
      </c>
      <c r="L940" s="2" t="s">
        <v>2</v>
      </c>
      <c r="M940" s="4" t="s">
        <v>67</v>
      </c>
      <c r="N940" s="3" t="s">
        <v>82</v>
      </c>
      <c r="O940" s="2" t="s">
        <v>13</v>
      </c>
      <c r="P940" s="10"/>
      <c r="Q940" s="11"/>
    </row>
    <row r="941" spans="2:17" ht="21" customHeight="1" x14ac:dyDescent="0.35">
      <c r="B941" s="18">
        <v>43940</v>
      </c>
      <c r="C941" s="18" t="str">
        <f>TEXT(Sales[[#This Row],[Kode Program/Kegiatan ]],"D")</f>
        <v>19</v>
      </c>
      <c r="D941" s="19" t="str">
        <f>TEXT(Sales[[#This Row],[Kode Program/Kegiatan ]],"mmm")</f>
        <v>Apr</v>
      </c>
      <c r="E941" s="20">
        <v>7</v>
      </c>
      <c r="F941" s="19">
        <v>7</v>
      </c>
      <c r="G941" s="20" t="str">
        <f>IF(Sales[[#This Row],[Anggaran Murni]]-Sales[[#This Row],[Target s.d. Januari]]=0,"",Sales[[#This Row],[Anggaran Murni]]-Sales[[#This Row],[Target s.d. Januari]])</f>
        <v/>
      </c>
      <c r="H941" s="19" t="s">
        <v>114</v>
      </c>
      <c r="I941" s="20" t="s">
        <v>3</v>
      </c>
      <c r="J941" s="20"/>
      <c r="K941" s="19" t="s">
        <v>64</v>
      </c>
      <c r="L941" s="19" t="s">
        <v>2</v>
      </c>
      <c r="M941" s="21" t="s">
        <v>67</v>
      </c>
      <c r="N941" s="20" t="s">
        <v>80</v>
      </c>
      <c r="O941" s="19" t="s">
        <v>14</v>
      </c>
      <c r="P941" s="10"/>
      <c r="Q941" s="11"/>
    </row>
    <row r="942" spans="2:17" ht="21" customHeight="1" x14ac:dyDescent="0.35">
      <c r="B942" s="1">
        <v>43940</v>
      </c>
      <c r="C942" s="1" t="str">
        <f>TEXT(Sales[[#This Row],[Kode Program/Kegiatan ]],"D")</f>
        <v>19</v>
      </c>
      <c r="D942" s="2" t="str">
        <f>TEXT(Sales[[#This Row],[Kode Program/Kegiatan ]],"mmm")</f>
        <v>Apr</v>
      </c>
      <c r="E942" s="3">
        <v>6</v>
      </c>
      <c r="F942" s="2">
        <v>6</v>
      </c>
      <c r="G942" s="3" t="str">
        <f>IF(Sales[[#This Row],[Anggaran Murni]]-Sales[[#This Row],[Target s.d. Januari]]=0,"",Sales[[#This Row],[Anggaran Murni]]-Sales[[#This Row],[Target s.d. Januari]])</f>
        <v/>
      </c>
      <c r="H942" s="2" t="s">
        <v>71</v>
      </c>
      <c r="I942" s="3" t="s">
        <v>6</v>
      </c>
      <c r="J942" s="3"/>
      <c r="K942" s="2" t="s">
        <v>17</v>
      </c>
      <c r="L942" s="2" t="s">
        <v>2</v>
      </c>
      <c r="M942" s="4" t="s">
        <v>67</v>
      </c>
      <c r="N942" s="3" t="s">
        <v>82</v>
      </c>
      <c r="O942" s="2" t="s">
        <v>14</v>
      </c>
      <c r="P942" s="10"/>
      <c r="Q942" s="11"/>
    </row>
    <row r="943" spans="2:17" ht="21" customHeight="1" x14ac:dyDescent="0.35">
      <c r="B943" s="18">
        <v>43940</v>
      </c>
      <c r="C943" s="18" t="str">
        <f>TEXT(Sales[[#This Row],[Kode Program/Kegiatan ]],"D")</f>
        <v>19</v>
      </c>
      <c r="D943" s="19" t="str">
        <f>TEXT(Sales[[#This Row],[Kode Program/Kegiatan ]],"mmm")</f>
        <v>Apr</v>
      </c>
      <c r="E943" s="20">
        <v>5</v>
      </c>
      <c r="F943" s="19">
        <v>5</v>
      </c>
      <c r="G943" s="20" t="str">
        <f>IF(Sales[[#This Row],[Anggaran Murni]]-Sales[[#This Row],[Target s.d. Januari]]=0,"",Sales[[#This Row],[Anggaran Murni]]-Sales[[#This Row],[Target s.d. Januari]])</f>
        <v/>
      </c>
      <c r="H943" s="19" t="s">
        <v>73</v>
      </c>
      <c r="I943" s="20" t="s">
        <v>78</v>
      </c>
      <c r="J943" s="20"/>
      <c r="K943" s="19" t="s">
        <v>38</v>
      </c>
      <c r="L943" s="19" t="s">
        <v>5</v>
      </c>
      <c r="M943" s="21" t="s">
        <v>67</v>
      </c>
      <c r="N943" s="20" t="s">
        <v>82</v>
      </c>
      <c r="O943" s="19" t="s">
        <v>12</v>
      </c>
      <c r="P943" s="10"/>
      <c r="Q943" s="11"/>
    </row>
    <row r="944" spans="2:17" ht="21" customHeight="1" x14ac:dyDescent="0.35">
      <c r="B944" s="1">
        <v>43941</v>
      </c>
      <c r="C944" s="1" t="str">
        <f>TEXT(Sales[[#This Row],[Kode Program/Kegiatan ]],"D")</f>
        <v>20</v>
      </c>
      <c r="D944" s="2" t="str">
        <f>TEXT(Sales[[#This Row],[Kode Program/Kegiatan ]],"mmm")</f>
        <v>Apr</v>
      </c>
      <c r="E944" s="3">
        <v>10</v>
      </c>
      <c r="F944" s="2">
        <v>10</v>
      </c>
      <c r="G944" s="3" t="str">
        <f>IF(Sales[[#This Row],[Anggaran Murni]]-Sales[[#This Row],[Target s.d. Januari]]=0,"",Sales[[#This Row],[Anggaran Murni]]-Sales[[#This Row],[Target s.d. Januari]])</f>
        <v/>
      </c>
      <c r="H944" s="2" t="s">
        <v>73</v>
      </c>
      <c r="I944" s="3" t="s">
        <v>78</v>
      </c>
      <c r="J944" s="3"/>
      <c r="K944" s="2" t="s">
        <v>47</v>
      </c>
      <c r="L944" s="2" t="s">
        <v>2</v>
      </c>
      <c r="M944" s="4" t="s">
        <v>67</v>
      </c>
      <c r="N944" s="3" t="s">
        <v>80</v>
      </c>
      <c r="O944" s="2" t="s">
        <v>13</v>
      </c>
      <c r="P944" s="10"/>
      <c r="Q944" s="11"/>
    </row>
    <row r="945" spans="2:17" ht="21" customHeight="1" x14ac:dyDescent="0.35">
      <c r="B945" s="18">
        <v>43941</v>
      </c>
      <c r="C945" s="18" t="str">
        <f>TEXT(Sales[[#This Row],[Kode Program/Kegiatan ]],"D")</f>
        <v>20</v>
      </c>
      <c r="D945" s="19" t="str">
        <f>TEXT(Sales[[#This Row],[Kode Program/Kegiatan ]],"mmm")</f>
        <v>Apr</v>
      </c>
      <c r="E945" s="20">
        <v>9</v>
      </c>
      <c r="F945" s="19">
        <v>9</v>
      </c>
      <c r="G945" s="20" t="str">
        <f>IF(Sales[[#This Row],[Anggaran Murni]]-Sales[[#This Row],[Target s.d. Januari]]=0,"",Sales[[#This Row],[Anggaran Murni]]-Sales[[#This Row],[Target s.d. Januari]])</f>
        <v/>
      </c>
      <c r="H945" s="19" t="s">
        <v>75</v>
      </c>
      <c r="I945" s="20" t="s">
        <v>6</v>
      </c>
      <c r="J945" s="20"/>
      <c r="K945" s="19" t="s">
        <v>44</v>
      </c>
      <c r="L945" s="19" t="s">
        <v>9</v>
      </c>
      <c r="M945" s="21" t="s">
        <v>67</v>
      </c>
      <c r="N945" s="20" t="s">
        <v>81</v>
      </c>
      <c r="O945" s="19" t="s">
        <v>13</v>
      </c>
      <c r="P945" s="10"/>
      <c r="Q945" s="11"/>
    </row>
    <row r="946" spans="2:17" ht="21" customHeight="1" x14ac:dyDescent="0.35">
      <c r="B946" s="1">
        <v>43941</v>
      </c>
      <c r="C946" s="1" t="str">
        <f>TEXT(Sales[[#This Row],[Kode Program/Kegiatan ]],"D")</f>
        <v>20</v>
      </c>
      <c r="D946" s="2" t="str">
        <f>TEXT(Sales[[#This Row],[Kode Program/Kegiatan ]],"mmm")</f>
        <v>Apr</v>
      </c>
      <c r="E946" s="3">
        <v>8</v>
      </c>
      <c r="F946" s="2">
        <v>8</v>
      </c>
      <c r="G946" s="3" t="str">
        <f>IF(Sales[[#This Row],[Anggaran Murni]]-Sales[[#This Row],[Target s.d. Januari]]=0,"",Sales[[#This Row],[Anggaran Murni]]-Sales[[#This Row],[Target s.d. Januari]])</f>
        <v/>
      </c>
      <c r="H946" s="2" t="s">
        <v>113</v>
      </c>
      <c r="I946" s="3" t="s">
        <v>77</v>
      </c>
      <c r="J946" s="3"/>
      <c r="K946" s="2" t="s">
        <v>63</v>
      </c>
      <c r="L946" s="2" t="s">
        <v>8</v>
      </c>
      <c r="M946" s="4" t="s">
        <v>67</v>
      </c>
      <c r="N946" s="3" t="s">
        <v>81</v>
      </c>
      <c r="O946" s="2" t="s">
        <v>14</v>
      </c>
      <c r="P946" s="10"/>
      <c r="Q946" s="11"/>
    </row>
    <row r="947" spans="2:17" ht="21" customHeight="1" x14ac:dyDescent="0.35">
      <c r="B947" s="18">
        <v>43941</v>
      </c>
      <c r="C947" s="18" t="str">
        <f>TEXT(Sales[[#This Row],[Kode Program/Kegiatan ]],"D")</f>
        <v>20</v>
      </c>
      <c r="D947" s="19" t="str">
        <f>TEXT(Sales[[#This Row],[Kode Program/Kegiatan ]],"mmm")</f>
        <v>Apr</v>
      </c>
      <c r="E947" s="20">
        <v>8</v>
      </c>
      <c r="F947" s="19">
        <v>8</v>
      </c>
      <c r="G947" s="20" t="str">
        <f>IF(Sales[[#This Row],[Anggaran Murni]]-Sales[[#This Row],[Target s.d. Januari]]=0,"",Sales[[#This Row],[Anggaran Murni]]-Sales[[#This Row],[Target s.d. Januari]])</f>
        <v/>
      </c>
      <c r="H947" s="19" t="s">
        <v>71</v>
      </c>
      <c r="I947" s="20" t="s">
        <v>6</v>
      </c>
      <c r="J947" s="20"/>
      <c r="K947" s="19" t="s">
        <v>53</v>
      </c>
      <c r="L947" s="19" t="s">
        <v>5</v>
      </c>
      <c r="M947" s="21" t="s">
        <v>67</v>
      </c>
      <c r="N947" s="20" t="s">
        <v>81</v>
      </c>
      <c r="O947" s="19" t="s">
        <v>14</v>
      </c>
      <c r="P947" s="10"/>
      <c r="Q947" s="11"/>
    </row>
    <row r="948" spans="2:17" ht="21" customHeight="1" x14ac:dyDescent="0.35">
      <c r="B948" s="1">
        <v>43941</v>
      </c>
      <c r="C948" s="1" t="str">
        <f>TEXT(Sales[[#This Row],[Kode Program/Kegiatan ]],"D")</f>
        <v>20</v>
      </c>
      <c r="D948" s="2" t="str">
        <f>TEXT(Sales[[#This Row],[Kode Program/Kegiatan ]],"mmm")</f>
        <v>Apr</v>
      </c>
      <c r="E948" s="3">
        <v>6</v>
      </c>
      <c r="F948" s="2">
        <v>6</v>
      </c>
      <c r="G948" s="3" t="str">
        <f>IF(Sales[[#This Row],[Anggaran Murni]]-Sales[[#This Row],[Target s.d. Januari]]=0,"",Sales[[#This Row],[Anggaran Murni]]-Sales[[#This Row],[Target s.d. Januari]])</f>
        <v/>
      </c>
      <c r="H948" s="2" t="s">
        <v>72</v>
      </c>
      <c r="I948" s="3" t="s">
        <v>78</v>
      </c>
      <c r="J948" s="3"/>
      <c r="K948" s="2" t="s">
        <v>44</v>
      </c>
      <c r="L948" s="2" t="s">
        <v>7</v>
      </c>
      <c r="M948" s="4" t="s">
        <v>67</v>
      </c>
      <c r="N948" s="3" t="s">
        <v>82</v>
      </c>
      <c r="O948" s="2" t="s">
        <v>14</v>
      </c>
      <c r="P948" s="10"/>
      <c r="Q948" s="11"/>
    </row>
    <row r="949" spans="2:17" ht="21" customHeight="1" x14ac:dyDescent="0.35">
      <c r="B949" s="18">
        <v>43941</v>
      </c>
      <c r="C949" s="18" t="str">
        <f>TEXT(Sales[[#This Row],[Kode Program/Kegiatan ]],"D")</f>
        <v>20</v>
      </c>
      <c r="D949" s="19" t="str">
        <f>TEXT(Sales[[#This Row],[Kode Program/Kegiatan ]],"mmm")</f>
        <v>Apr</v>
      </c>
      <c r="E949" s="20">
        <v>5</v>
      </c>
      <c r="F949" s="19">
        <v>5</v>
      </c>
      <c r="G949" s="20" t="str">
        <f>IF(Sales[[#This Row],[Anggaran Murni]]-Sales[[#This Row],[Target s.d. Januari]]=0,"",Sales[[#This Row],[Anggaran Murni]]-Sales[[#This Row],[Target s.d. Januari]])</f>
        <v/>
      </c>
      <c r="H949" s="19" t="s">
        <v>72</v>
      </c>
      <c r="I949" s="20" t="s">
        <v>78</v>
      </c>
      <c r="J949" s="20"/>
      <c r="K949" s="19" t="s">
        <v>61</v>
      </c>
      <c r="L949" s="19" t="s">
        <v>5</v>
      </c>
      <c r="M949" s="21" t="s">
        <v>67</v>
      </c>
      <c r="N949" s="20" t="s">
        <v>82</v>
      </c>
      <c r="O949" s="19" t="s">
        <v>13</v>
      </c>
      <c r="P949" s="10"/>
      <c r="Q949" s="11"/>
    </row>
    <row r="950" spans="2:17" ht="21" customHeight="1" x14ac:dyDescent="0.35">
      <c r="B950" s="1">
        <v>43941</v>
      </c>
      <c r="C950" s="1" t="str">
        <f>TEXT(Sales[[#This Row],[Kode Program/Kegiatan ]],"D")</f>
        <v>20</v>
      </c>
      <c r="D950" s="2" t="str">
        <f>TEXT(Sales[[#This Row],[Kode Program/Kegiatan ]],"mmm")</f>
        <v>Apr</v>
      </c>
      <c r="E950" s="3">
        <v>5</v>
      </c>
      <c r="F950" s="2">
        <v>5</v>
      </c>
      <c r="G950" s="3" t="str">
        <f>IF(Sales[[#This Row],[Anggaran Murni]]-Sales[[#This Row],[Target s.d. Januari]]=0,"",Sales[[#This Row],[Anggaran Murni]]-Sales[[#This Row],[Target s.d. Januari]])</f>
        <v/>
      </c>
      <c r="H950" s="2" t="s">
        <v>76</v>
      </c>
      <c r="I950" s="3" t="s">
        <v>79</v>
      </c>
      <c r="J950" s="3"/>
      <c r="K950" s="2" t="s">
        <v>42</v>
      </c>
      <c r="L950" s="2" t="s">
        <v>2</v>
      </c>
      <c r="M950" s="4" t="s">
        <v>67</v>
      </c>
      <c r="N950" s="3" t="s">
        <v>82</v>
      </c>
      <c r="O950" s="2" t="s">
        <v>14</v>
      </c>
      <c r="P950" s="10"/>
      <c r="Q950" s="11"/>
    </row>
    <row r="951" spans="2:17" ht="21" customHeight="1" x14ac:dyDescent="0.35">
      <c r="B951" s="18">
        <v>43941</v>
      </c>
      <c r="C951" s="18" t="str">
        <f>TEXT(Sales[[#This Row],[Kode Program/Kegiatan ]],"D")</f>
        <v>20</v>
      </c>
      <c r="D951" s="19" t="str">
        <f>TEXT(Sales[[#This Row],[Kode Program/Kegiatan ]],"mmm")</f>
        <v>Apr</v>
      </c>
      <c r="E951" s="20">
        <v>5</v>
      </c>
      <c r="F951" s="19">
        <v>5</v>
      </c>
      <c r="G951" s="20" t="str">
        <f>IF(Sales[[#This Row],[Anggaran Murni]]-Sales[[#This Row],[Target s.d. Januari]]=0,"",Sales[[#This Row],[Anggaran Murni]]-Sales[[#This Row],[Target s.d. Januari]])</f>
        <v/>
      </c>
      <c r="H951" s="19" t="s">
        <v>73</v>
      </c>
      <c r="I951" s="20" t="s">
        <v>78</v>
      </c>
      <c r="J951" s="20"/>
      <c r="K951" s="19" t="s">
        <v>38</v>
      </c>
      <c r="L951" s="19" t="s">
        <v>2</v>
      </c>
      <c r="M951" s="21" t="s">
        <v>67</v>
      </c>
      <c r="N951" s="20" t="s">
        <v>82</v>
      </c>
      <c r="O951" s="19" t="s">
        <v>12</v>
      </c>
      <c r="P951" s="10"/>
      <c r="Q951" s="11"/>
    </row>
    <row r="952" spans="2:17" ht="21" customHeight="1" x14ac:dyDescent="0.35">
      <c r="B952" s="1">
        <v>43941</v>
      </c>
      <c r="C952" s="1" t="str">
        <f>TEXT(Sales[[#This Row],[Kode Program/Kegiatan ]],"D")</f>
        <v>20</v>
      </c>
      <c r="D952" s="2" t="str">
        <f>TEXT(Sales[[#This Row],[Kode Program/Kegiatan ]],"mmm")</f>
        <v>Apr</v>
      </c>
      <c r="E952" s="3">
        <v>3</v>
      </c>
      <c r="F952" s="2">
        <v>3</v>
      </c>
      <c r="G952" s="3" t="str">
        <f>IF(Sales[[#This Row],[Anggaran Murni]]-Sales[[#This Row],[Target s.d. Januari]]=0,"",Sales[[#This Row],[Anggaran Murni]]-Sales[[#This Row],[Target s.d. Januari]])</f>
        <v/>
      </c>
      <c r="H952" s="2" t="s">
        <v>113</v>
      </c>
      <c r="I952" s="3" t="s">
        <v>77</v>
      </c>
      <c r="J952" s="3"/>
      <c r="K952" s="2" t="s">
        <v>33</v>
      </c>
      <c r="L952" s="2" t="s">
        <v>5</v>
      </c>
      <c r="M952" s="4" t="s">
        <v>67</v>
      </c>
      <c r="N952" s="3" t="s">
        <v>82</v>
      </c>
      <c r="O952" s="2" t="s">
        <v>11</v>
      </c>
      <c r="P952" s="10"/>
      <c r="Q952" s="11"/>
    </row>
    <row r="953" spans="2:17" ht="21" customHeight="1" x14ac:dyDescent="0.35">
      <c r="B953" s="18">
        <v>43942</v>
      </c>
      <c r="C953" s="18" t="str">
        <f>TEXT(Sales[[#This Row],[Kode Program/Kegiatan ]],"D")</f>
        <v>21</v>
      </c>
      <c r="D953" s="19" t="str">
        <f>TEXT(Sales[[#This Row],[Kode Program/Kegiatan ]],"mmm")</f>
        <v>Apr</v>
      </c>
      <c r="E953" s="20">
        <v>10</v>
      </c>
      <c r="F953" s="19">
        <v>10</v>
      </c>
      <c r="G953" s="20" t="str">
        <f>IF(Sales[[#This Row],[Anggaran Murni]]-Sales[[#This Row],[Target s.d. Januari]]=0,"",Sales[[#This Row],[Anggaran Murni]]-Sales[[#This Row],[Target s.d. Januari]])</f>
        <v/>
      </c>
      <c r="H953" s="19" t="s">
        <v>76</v>
      </c>
      <c r="I953" s="20" t="s">
        <v>79</v>
      </c>
      <c r="J953" s="20"/>
      <c r="K953" s="19" t="s">
        <v>61</v>
      </c>
      <c r="L953" s="19" t="s">
        <v>2</v>
      </c>
      <c r="M953" s="21" t="s">
        <v>67</v>
      </c>
      <c r="N953" s="20" t="s">
        <v>81</v>
      </c>
      <c r="O953" s="19" t="s">
        <v>13</v>
      </c>
      <c r="P953" s="10"/>
      <c r="Q953" s="11"/>
    </row>
    <row r="954" spans="2:17" ht="21" customHeight="1" x14ac:dyDescent="0.35">
      <c r="B954" s="1">
        <v>43942</v>
      </c>
      <c r="C954" s="1" t="str">
        <f>TEXT(Sales[[#This Row],[Kode Program/Kegiatan ]],"D")</f>
        <v>21</v>
      </c>
      <c r="D954" s="2" t="str">
        <f>TEXT(Sales[[#This Row],[Kode Program/Kegiatan ]],"mmm")</f>
        <v>Apr</v>
      </c>
      <c r="E954" s="3">
        <v>9</v>
      </c>
      <c r="F954" s="2">
        <v>9</v>
      </c>
      <c r="G954" s="3" t="str">
        <f>IF(Sales[[#This Row],[Anggaran Murni]]-Sales[[#This Row],[Target s.d. Januari]]=0,"",Sales[[#This Row],[Anggaran Murni]]-Sales[[#This Row],[Target s.d. Januari]])</f>
        <v/>
      </c>
      <c r="H954" s="2" t="s">
        <v>71</v>
      </c>
      <c r="I954" s="3" t="s">
        <v>6</v>
      </c>
      <c r="J954" s="3"/>
      <c r="K954" s="2" t="s">
        <v>15</v>
      </c>
      <c r="L954" s="2" t="s">
        <v>7</v>
      </c>
      <c r="M954" s="4" t="s">
        <v>67</v>
      </c>
      <c r="N954" s="3" t="s">
        <v>82</v>
      </c>
      <c r="O954" s="2" t="s">
        <v>12</v>
      </c>
      <c r="P954" s="10"/>
      <c r="Q954" s="11"/>
    </row>
    <row r="955" spans="2:17" ht="21" customHeight="1" x14ac:dyDescent="0.35">
      <c r="B955" s="18">
        <v>43942</v>
      </c>
      <c r="C955" s="18" t="str">
        <f>TEXT(Sales[[#This Row],[Kode Program/Kegiatan ]],"D")</f>
        <v>21</v>
      </c>
      <c r="D955" s="19" t="str">
        <f>TEXT(Sales[[#This Row],[Kode Program/Kegiatan ]],"mmm")</f>
        <v>Apr</v>
      </c>
      <c r="E955" s="20">
        <v>9</v>
      </c>
      <c r="F955" s="19">
        <v>9</v>
      </c>
      <c r="G955" s="20" t="str">
        <f>IF(Sales[[#This Row],[Anggaran Murni]]-Sales[[#This Row],[Target s.d. Januari]]=0,"",Sales[[#This Row],[Anggaran Murni]]-Sales[[#This Row],[Target s.d. Januari]])</f>
        <v/>
      </c>
      <c r="H955" s="19" t="s">
        <v>76</v>
      </c>
      <c r="I955" s="20" t="s">
        <v>79</v>
      </c>
      <c r="J955" s="20"/>
      <c r="K955" s="19" t="s">
        <v>18</v>
      </c>
      <c r="L955" s="19" t="s">
        <v>9</v>
      </c>
      <c r="M955" s="21" t="s">
        <v>67</v>
      </c>
      <c r="N955" s="20" t="s">
        <v>82</v>
      </c>
      <c r="O955" s="19" t="s">
        <v>12</v>
      </c>
      <c r="P955" s="10"/>
      <c r="Q955" s="11"/>
    </row>
    <row r="956" spans="2:17" ht="21" customHeight="1" x14ac:dyDescent="0.35">
      <c r="B956" s="1">
        <v>43942</v>
      </c>
      <c r="C956" s="1" t="str">
        <f>TEXT(Sales[[#This Row],[Kode Program/Kegiatan ]],"D")</f>
        <v>21</v>
      </c>
      <c r="D956" s="2" t="str">
        <f>TEXT(Sales[[#This Row],[Kode Program/Kegiatan ]],"mmm")</f>
        <v>Apr</v>
      </c>
      <c r="E956" s="3">
        <v>8</v>
      </c>
      <c r="F956" s="2">
        <v>8</v>
      </c>
      <c r="G956" s="3" t="str">
        <f>IF(Sales[[#This Row],[Anggaran Murni]]-Sales[[#This Row],[Target s.d. Januari]]=0,"",Sales[[#This Row],[Anggaran Murni]]-Sales[[#This Row],[Target s.d. Januari]])</f>
        <v/>
      </c>
      <c r="H956" s="2" t="s">
        <v>75</v>
      </c>
      <c r="I956" s="3" t="s">
        <v>6</v>
      </c>
      <c r="J956" s="3"/>
      <c r="K956" s="2" t="s">
        <v>41</v>
      </c>
      <c r="L956" s="2" t="s">
        <v>2</v>
      </c>
      <c r="M956" s="4" t="s">
        <v>67</v>
      </c>
      <c r="N956" s="3" t="s">
        <v>80</v>
      </c>
      <c r="O956" s="2" t="s">
        <v>14</v>
      </c>
      <c r="P956" s="10"/>
      <c r="Q956" s="11"/>
    </row>
    <row r="957" spans="2:17" ht="21" customHeight="1" x14ac:dyDescent="0.35">
      <c r="B957" s="18">
        <v>43942</v>
      </c>
      <c r="C957" s="18" t="str">
        <f>TEXT(Sales[[#This Row],[Kode Program/Kegiatan ]],"D")</f>
        <v>21</v>
      </c>
      <c r="D957" s="19" t="str">
        <f>TEXT(Sales[[#This Row],[Kode Program/Kegiatan ]],"mmm")</f>
        <v>Apr</v>
      </c>
      <c r="E957" s="20">
        <v>5</v>
      </c>
      <c r="F957" s="19">
        <v>5</v>
      </c>
      <c r="G957" s="20" t="str">
        <f>IF(Sales[[#This Row],[Anggaran Murni]]-Sales[[#This Row],[Target s.d. Januari]]=0,"",Sales[[#This Row],[Anggaran Murni]]-Sales[[#This Row],[Target s.d. Januari]])</f>
        <v/>
      </c>
      <c r="H957" s="19" t="s">
        <v>76</v>
      </c>
      <c r="I957" s="20" t="s">
        <v>79</v>
      </c>
      <c r="J957" s="20"/>
      <c r="K957" s="19" t="s">
        <v>47</v>
      </c>
      <c r="L957" s="19" t="s">
        <v>4</v>
      </c>
      <c r="M957" s="21" t="s">
        <v>67</v>
      </c>
      <c r="N957" s="20" t="s">
        <v>81</v>
      </c>
      <c r="O957" s="19" t="s">
        <v>13</v>
      </c>
      <c r="P957" s="10"/>
      <c r="Q957" s="11"/>
    </row>
    <row r="958" spans="2:17" ht="21" customHeight="1" x14ac:dyDescent="0.35">
      <c r="B958" s="1">
        <v>43943</v>
      </c>
      <c r="C958" s="1" t="str">
        <f>TEXT(Sales[[#This Row],[Kode Program/Kegiatan ]],"D")</f>
        <v>22</v>
      </c>
      <c r="D958" s="2" t="str">
        <f>TEXT(Sales[[#This Row],[Kode Program/Kegiatan ]],"mmm")</f>
        <v>Apr</v>
      </c>
      <c r="E958" s="3">
        <v>10</v>
      </c>
      <c r="F958" s="2">
        <v>10</v>
      </c>
      <c r="G958" s="3" t="str">
        <f>IF(Sales[[#This Row],[Anggaran Murni]]-Sales[[#This Row],[Target s.d. Januari]]=0,"",Sales[[#This Row],[Anggaran Murni]]-Sales[[#This Row],[Target s.d. Januari]])</f>
        <v/>
      </c>
      <c r="H958" s="2" t="s">
        <v>74</v>
      </c>
      <c r="I958" s="3" t="s">
        <v>77</v>
      </c>
      <c r="J958" s="3"/>
      <c r="K958" s="2" t="s">
        <v>28</v>
      </c>
      <c r="L958" s="2" t="s">
        <v>7</v>
      </c>
      <c r="M958" s="4" t="s">
        <v>67</v>
      </c>
      <c r="N958" s="3" t="s">
        <v>81</v>
      </c>
      <c r="O958" s="2" t="s">
        <v>12</v>
      </c>
      <c r="P958" s="10"/>
      <c r="Q958" s="11"/>
    </row>
    <row r="959" spans="2:17" ht="21" customHeight="1" x14ac:dyDescent="0.35">
      <c r="B959" s="18">
        <v>43943</v>
      </c>
      <c r="C959" s="18" t="str">
        <f>TEXT(Sales[[#This Row],[Kode Program/Kegiatan ]],"D")</f>
        <v>22</v>
      </c>
      <c r="D959" s="19" t="str">
        <f>TEXT(Sales[[#This Row],[Kode Program/Kegiatan ]],"mmm")</f>
        <v>Apr</v>
      </c>
      <c r="E959" s="20">
        <v>9</v>
      </c>
      <c r="F959" s="19">
        <v>9</v>
      </c>
      <c r="G959" s="20" t="str">
        <f>IF(Sales[[#This Row],[Anggaran Murni]]-Sales[[#This Row],[Target s.d. Januari]]=0,"",Sales[[#This Row],[Anggaran Murni]]-Sales[[#This Row],[Target s.d. Januari]])</f>
        <v/>
      </c>
      <c r="H959" s="19" t="s">
        <v>72</v>
      </c>
      <c r="I959" s="20" t="s">
        <v>78</v>
      </c>
      <c r="J959" s="20"/>
      <c r="K959" s="19" t="s">
        <v>52</v>
      </c>
      <c r="L959" s="19" t="s">
        <v>5</v>
      </c>
      <c r="M959" s="21" t="s">
        <v>67</v>
      </c>
      <c r="N959" s="20" t="s">
        <v>81</v>
      </c>
      <c r="O959" s="19" t="s">
        <v>14</v>
      </c>
      <c r="P959" s="10"/>
      <c r="Q959" s="11"/>
    </row>
    <row r="960" spans="2:17" ht="21" customHeight="1" x14ac:dyDescent="0.35">
      <c r="B960" s="1">
        <v>43943</v>
      </c>
      <c r="C960" s="1" t="str">
        <f>TEXT(Sales[[#This Row],[Kode Program/Kegiatan ]],"D")</f>
        <v>22</v>
      </c>
      <c r="D960" s="2" t="str">
        <f>TEXT(Sales[[#This Row],[Kode Program/Kegiatan ]],"mmm")</f>
        <v>Apr</v>
      </c>
      <c r="E960" s="3">
        <v>7</v>
      </c>
      <c r="F960" s="2">
        <v>7</v>
      </c>
      <c r="G960" s="3" t="str">
        <f>IF(Sales[[#This Row],[Anggaran Murni]]-Sales[[#This Row],[Target s.d. Januari]]=0,"",Sales[[#This Row],[Anggaran Murni]]-Sales[[#This Row],[Target s.d. Januari]])</f>
        <v/>
      </c>
      <c r="H960" s="2" t="s">
        <v>70</v>
      </c>
      <c r="I960" s="3" t="s">
        <v>1</v>
      </c>
      <c r="J960" s="3"/>
      <c r="K960" s="2" t="s">
        <v>38</v>
      </c>
      <c r="L960" s="2" t="s">
        <v>2</v>
      </c>
      <c r="M960" s="4" t="s">
        <v>67</v>
      </c>
      <c r="N960" s="3" t="s">
        <v>80</v>
      </c>
      <c r="O960" s="2" t="s">
        <v>14</v>
      </c>
      <c r="P960" s="10"/>
      <c r="Q960" s="11"/>
    </row>
    <row r="961" spans="2:17" ht="21" customHeight="1" x14ac:dyDescent="0.35">
      <c r="B961" s="18">
        <v>43943</v>
      </c>
      <c r="C961" s="18" t="str">
        <f>TEXT(Sales[[#This Row],[Kode Program/Kegiatan ]],"D")</f>
        <v>22</v>
      </c>
      <c r="D961" s="19" t="str">
        <f>TEXT(Sales[[#This Row],[Kode Program/Kegiatan ]],"mmm")</f>
        <v>Apr</v>
      </c>
      <c r="E961" s="20">
        <v>6</v>
      </c>
      <c r="F961" s="19">
        <v>6</v>
      </c>
      <c r="G961" s="20" t="str">
        <f>IF(Sales[[#This Row],[Anggaran Murni]]-Sales[[#This Row],[Target s.d. Januari]]=0,"",Sales[[#This Row],[Anggaran Murni]]-Sales[[#This Row],[Target s.d. Januari]])</f>
        <v/>
      </c>
      <c r="H961" s="19" t="s">
        <v>76</v>
      </c>
      <c r="I961" s="20" t="s">
        <v>79</v>
      </c>
      <c r="J961" s="20"/>
      <c r="K961" s="19" t="s">
        <v>26</v>
      </c>
      <c r="L961" s="19" t="s">
        <v>7</v>
      </c>
      <c r="M961" s="21" t="s">
        <v>67</v>
      </c>
      <c r="N961" s="20" t="s">
        <v>82</v>
      </c>
      <c r="O961" s="19" t="s">
        <v>12</v>
      </c>
      <c r="P961" s="10"/>
      <c r="Q961" s="11"/>
    </row>
    <row r="962" spans="2:17" ht="21" customHeight="1" x14ac:dyDescent="0.35">
      <c r="B962" s="1">
        <v>43943</v>
      </c>
      <c r="C962" s="1" t="str">
        <f>TEXT(Sales[[#This Row],[Kode Program/Kegiatan ]],"D")</f>
        <v>22</v>
      </c>
      <c r="D962" s="2" t="str">
        <f>TEXT(Sales[[#This Row],[Kode Program/Kegiatan ]],"mmm")</f>
        <v>Apr</v>
      </c>
      <c r="E962" s="3">
        <v>5</v>
      </c>
      <c r="F962" s="2">
        <v>5</v>
      </c>
      <c r="G962" s="3" t="str">
        <f>IF(Sales[[#This Row],[Anggaran Murni]]-Sales[[#This Row],[Target s.d. Januari]]=0,"",Sales[[#This Row],[Anggaran Murni]]-Sales[[#This Row],[Target s.d. Januari]])</f>
        <v/>
      </c>
      <c r="H962" s="2" t="s">
        <v>76</v>
      </c>
      <c r="I962" s="3" t="s">
        <v>79</v>
      </c>
      <c r="J962" s="3"/>
      <c r="K962" s="2" t="s">
        <v>36</v>
      </c>
      <c r="L962" s="2" t="s">
        <v>2</v>
      </c>
      <c r="M962" s="4" t="s">
        <v>67</v>
      </c>
      <c r="N962" s="3" t="s">
        <v>82</v>
      </c>
      <c r="O962" s="2" t="s">
        <v>11</v>
      </c>
      <c r="P962" s="10"/>
      <c r="Q962" s="11"/>
    </row>
    <row r="963" spans="2:17" ht="21" customHeight="1" x14ac:dyDescent="0.35">
      <c r="B963" s="18">
        <v>43943</v>
      </c>
      <c r="C963" s="18" t="str">
        <f>TEXT(Sales[[#This Row],[Kode Program/Kegiatan ]],"D")</f>
        <v>22</v>
      </c>
      <c r="D963" s="19" t="str">
        <f>TEXT(Sales[[#This Row],[Kode Program/Kegiatan ]],"mmm")</f>
        <v>Apr</v>
      </c>
      <c r="E963" s="20">
        <v>4</v>
      </c>
      <c r="F963" s="19">
        <v>4</v>
      </c>
      <c r="G963" s="20" t="str">
        <f>IF(Sales[[#This Row],[Anggaran Murni]]-Sales[[#This Row],[Target s.d. Januari]]=0,"",Sales[[#This Row],[Anggaran Murni]]-Sales[[#This Row],[Target s.d. Januari]])</f>
        <v/>
      </c>
      <c r="H963" s="19" t="s">
        <v>113</v>
      </c>
      <c r="I963" s="20" t="s">
        <v>77</v>
      </c>
      <c r="J963" s="20"/>
      <c r="K963" s="19" t="s">
        <v>23</v>
      </c>
      <c r="L963" s="19" t="s">
        <v>5</v>
      </c>
      <c r="M963" s="21" t="s">
        <v>67</v>
      </c>
      <c r="N963" s="20" t="s">
        <v>82</v>
      </c>
      <c r="O963" s="19" t="s">
        <v>12</v>
      </c>
      <c r="P963" s="10"/>
      <c r="Q963" s="11"/>
    </row>
    <row r="964" spans="2:17" ht="21" customHeight="1" x14ac:dyDescent="0.35">
      <c r="B964" s="1">
        <v>43943</v>
      </c>
      <c r="C964" s="1" t="str">
        <f>TEXT(Sales[[#This Row],[Kode Program/Kegiatan ]],"D")</f>
        <v>22</v>
      </c>
      <c r="D964" s="2" t="str">
        <f>TEXT(Sales[[#This Row],[Kode Program/Kegiatan ]],"mmm")</f>
        <v>Apr</v>
      </c>
      <c r="E964" s="3">
        <v>3</v>
      </c>
      <c r="F964" s="2">
        <v>3</v>
      </c>
      <c r="G964" s="3" t="str">
        <f>IF(Sales[[#This Row],[Anggaran Murni]]-Sales[[#This Row],[Target s.d. Januari]]=0,"",Sales[[#This Row],[Anggaran Murni]]-Sales[[#This Row],[Target s.d. Januari]])</f>
        <v/>
      </c>
      <c r="H964" s="2" t="s">
        <v>113</v>
      </c>
      <c r="I964" s="3" t="s">
        <v>77</v>
      </c>
      <c r="J964" s="3"/>
      <c r="K964" s="2" t="s">
        <v>59</v>
      </c>
      <c r="L964" s="2" t="s">
        <v>7</v>
      </c>
      <c r="M964" s="4" t="s">
        <v>67</v>
      </c>
      <c r="N964" s="3" t="s">
        <v>82</v>
      </c>
      <c r="O964" s="2" t="s">
        <v>11</v>
      </c>
      <c r="P964" s="10"/>
      <c r="Q964" s="11"/>
    </row>
    <row r="965" spans="2:17" ht="21" customHeight="1" x14ac:dyDescent="0.35">
      <c r="B965" s="18">
        <v>43943</v>
      </c>
      <c r="C965" s="18" t="str">
        <f>TEXT(Sales[[#This Row],[Kode Program/Kegiatan ]],"D")</f>
        <v>22</v>
      </c>
      <c r="D965" s="19" t="str">
        <f>TEXT(Sales[[#This Row],[Kode Program/Kegiatan ]],"mmm")</f>
        <v>Apr</v>
      </c>
      <c r="E965" s="20">
        <v>3</v>
      </c>
      <c r="F965" s="19">
        <v>3</v>
      </c>
      <c r="G965" s="20" t="str">
        <f>IF(Sales[[#This Row],[Anggaran Murni]]-Sales[[#This Row],[Target s.d. Januari]]=0,"",Sales[[#This Row],[Anggaran Murni]]-Sales[[#This Row],[Target s.d. Januari]])</f>
        <v/>
      </c>
      <c r="H965" s="19" t="s">
        <v>73</v>
      </c>
      <c r="I965" s="20" t="s">
        <v>78</v>
      </c>
      <c r="J965" s="20"/>
      <c r="K965" s="19" t="s">
        <v>33</v>
      </c>
      <c r="L965" s="19" t="s">
        <v>2</v>
      </c>
      <c r="M965" s="21" t="s">
        <v>67</v>
      </c>
      <c r="N965" s="20" t="s">
        <v>81</v>
      </c>
      <c r="O965" s="19" t="s">
        <v>12</v>
      </c>
      <c r="P965" s="10"/>
      <c r="Q965" s="11"/>
    </row>
    <row r="966" spans="2:17" ht="21" customHeight="1" x14ac:dyDescent="0.35">
      <c r="B966" s="1">
        <v>43944</v>
      </c>
      <c r="C966" s="1" t="str">
        <f>TEXT(Sales[[#This Row],[Kode Program/Kegiatan ]],"D")</f>
        <v>23</v>
      </c>
      <c r="D966" s="2" t="str">
        <f>TEXT(Sales[[#This Row],[Kode Program/Kegiatan ]],"mmm")</f>
        <v>Apr</v>
      </c>
      <c r="E966" s="3">
        <v>10</v>
      </c>
      <c r="F966" s="2">
        <v>10</v>
      </c>
      <c r="G966" s="3" t="str">
        <f>IF(Sales[[#This Row],[Anggaran Murni]]-Sales[[#This Row],[Target s.d. Januari]]=0,"",Sales[[#This Row],[Anggaran Murni]]-Sales[[#This Row],[Target s.d. Januari]])</f>
        <v/>
      </c>
      <c r="H966" s="2" t="s">
        <v>76</v>
      </c>
      <c r="I966" s="3" t="s">
        <v>79</v>
      </c>
      <c r="J966" s="3"/>
      <c r="K966" s="2" t="s">
        <v>26</v>
      </c>
      <c r="L966" s="2" t="s">
        <v>2</v>
      </c>
      <c r="M966" s="4" t="s">
        <v>67</v>
      </c>
      <c r="N966" s="3" t="s">
        <v>80</v>
      </c>
      <c r="O966" s="2" t="s">
        <v>12</v>
      </c>
      <c r="P966" s="10"/>
      <c r="Q966" s="11"/>
    </row>
    <row r="967" spans="2:17" ht="21" customHeight="1" x14ac:dyDescent="0.35">
      <c r="B967" s="18">
        <v>43944</v>
      </c>
      <c r="C967" s="18" t="str">
        <f>TEXT(Sales[[#This Row],[Kode Program/Kegiatan ]],"D")</f>
        <v>23</v>
      </c>
      <c r="D967" s="19" t="str">
        <f>TEXT(Sales[[#This Row],[Kode Program/Kegiatan ]],"mmm")</f>
        <v>Apr</v>
      </c>
      <c r="E967" s="20">
        <v>9</v>
      </c>
      <c r="F967" s="19">
        <v>9</v>
      </c>
      <c r="G967" s="20" t="str">
        <f>IF(Sales[[#This Row],[Anggaran Murni]]-Sales[[#This Row],[Target s.d. Januari]]=0,"",Sales[[#This Row],[Anggaran Murni]]-Sales[[#This Row],[Target s.d. Januari]])</f>
        <v/>
      </c>
      <c r="H967" s="19" t="s">
        <v>73</v>
      </c>
      <c r="I967" s="20" t="s">
        <v>78</v>
      </c>
      <c r="J967" s="20"/>
      <c r="K967" s="19" t="s">
        <v>56</v>
      </c>
      <c r="L967" s="19" t="s">
        <v>4</v>
      </c>
      <c r="M967" s="21" t="s">
        <v>67</v>
      </c>
      <c r="N967" s="20" t="s">
        <v>80</v>
      </c>
      <c r="O967" s="19" t="s">
        <v>12</v>
      </c>
      <c r="P967" s="10"/>
      <c r="Q967" s="11"/>
    </row>
    <row r="968" spans="2:17" ht="21" customHeight="1" x14ac:dyDescent="0.35">
      <c r="B968" s="1">
        <v>43944</v>
      </c>
      <c r="C968" s="1" t="str">
        <f>TEXT(Sales[[#This Row],[Kode Program/Kegiatan ]],"D")</f>
        <v>23</v>
      </c>
      <c r="D968" s="2" t="str">
        <f>TEXT(Sales[[#This Row],[Kode Program/Kegiatan ]],"mmm")</f>
        <v>Apr</v>
      </c>
      <c r="E968" s="3">
        <v>9</v>
      </c>
      <c r="F968" s="2">
        <v>9</v>
      </c>
      <c r="G968" s="3" t="str">
        <f>IF(Sales[[#This Row],[Anggaran Murni]]-Sales[[#This Row],[Target s.d. Januari]]=0,"",Sales[[#This Row],[Anggaran Murni]]-Sales[[#This Row],[Target s.d. Januari]])</f>
        <v/>
      </c>
      <c r="H968" s="2" t="s">
        <v>113</v>
      </c>
      <c r="I968" s="3" t="s">
        <v>77</v>
      </c>
      <c r="J968" s="3"/>
      <c r="K968" s="2" t="s">
        <v>17</v>
      </c>
      <c r="L968" s="2" t="s">
        <v>2</v>
      </c>
      <c r="M968" s="4" t="s">
        <v>67</v>
      </c>
      <c r="N968" s="3" t="s">
        <v>82</v>
      </c>
      <c r="O968" s="2" t="s">
        <v>13</v>
      </c>
      <c r="P968" s="10"/>
      <c r="Q968" s="11"/>
    </row>
    <row r="969" spans="2:17" ht="21" customHeight="1" x14ac:dyDescent="0.35">
      <c r="B969" s="18">
        <v>43944</v>
      </c>
      <c r="C969" s="18" t="str">
        <f>TEXT(Sales[[#This Row],[Kode Program/Kegiatan ]],"D")</f>
        <v>23</v>
      </c>
      <c r="D969" s="19" t="str">
        <f>TEXT(Sales[[#This Row],[Kode Program/Kegiatan ]],"mmm")</f>
        <v>Apr</v>
      </c>
      <c r="E969" s="20">
        <v>7</v>
      </c>
      <c r="F969" s="19">
        <v>7</v>
      </c>
      <c r="G969" s="20" t="str">
        <f>IF(Sales[[#This Row],[Anggaran Murni]]-Sales[[#This Row],[Target s.d. Januari]]=0,"",Sales[[#This Row],[Anggaran Murni]]-Sales[[#This Row],[Target s.d. Januari]])</f>
        <v/>
      </c>
      <c r="H969" s="19" t="s">
        <v>72</v>
      </c>
      <c r="I969" s="20" t="s">
        <v>78</v>
      </c>
      <c r="J969" s="20"/>
      <c r="K969" s="19" t="s">
        <v>26</v>
      </c>
      <c r="L969" s="19" t="s">
        <v>2</v>
      </c>
      <c r="M969" s="21" t="s">
        <v>67</v>
      </c>
      <c r="N969" s="20" t="s">
        <v>81</v>
      </c>
      <c r="O969" s="19" t="s">
        <v>11</v>
      </c>
      <c r="P969" s="10"/>
      <c r="Q969" s="11"/>
    </row>
    <row r="970" spans="2:17" ht="21" customHeight="1" x14ac:dyDescent="0.35">
      <c r="B970" s="1">
        <v>43944</v>
      </c>
      <c r="C970" s="1" t="str">
        <f>TEXT(Sales[[#This Row],[Kode Program/Kegiatan ]],"D")</f>
        <v>23</v>
      </c>
      <c r="D970" s="2" t="str">
        <f>TEXT(Sales[[#This Row],[Kode Program/Kegiatan ]],"mmm")</f>
        <v>Apr</v>
      </c>
      <c r="E970" s="3">
        <v>7</v>
      </c>
      <c r="F970" s="2">
        <v>7</v>
      </c>
      <c r="G970" s="3" t="str">
        <f>IF(Sales[[#This Row],[Anggaran Murni]]-Sales[[#This Row],[Target s.d. Januari]]=0,"",Sales[[#This Row],[Anggaran Murni]]-Sales[[#This Row],[Target s.d. Januari]])</f>
        <v/>
      </c>
      <c r="H970" s="2" t="s">
        <v>76</v>
      </c>
      <c r="I970" s="3" t="s">
        <v>79</v>
      </c>
      <c r="J970" s="3"/>
      <c r="K970" s="2" t="s">
        <v>44</v>
      </c>
      <c r="L970" s="2" t="s">
        <v>2</v>
      </c>
      <c r="M970" s="4" t="s">
        <v>67</v>
      </c>
      <c r="N970" s="3" t="s">
        <v>82</v>
      </c>
      <c r="O970" s="2" t="s">
        <v>13</v>
      </c>
      <c r="P970" s="10"/>
      <c r="Q970" s="11"/>
    </row>
    <row r="971" spans="2:17" ht="21" customHeight="1" x14ac:dyDescent="0.35">
      <c r="B971" s="18">
        <v>43944</v>
      </c>
      <c r="C971" s="18" t="str">
        <f>TEXT(Sales[[#This Row],[Kode Program/Kegiatan ]],"D")</f>
        <v>23</v>
      </c>
      <c r="D971" s="19" t="str">
        <f>TEXT(Sales[[#This Row],[Kode Program/Kegiatan ]],"mmm")</f>
        <v>Apr</v>
      </c>
      <c r="E971" s="20">
        <v>7</v>
      </c>
      <c r="F971" s="19">
        <v>7</v>
      </c>
      <c r="G971" s="20" t="str">
        <f>IF(Sales[[#This Row],[Anggaran Murni]]-Sales[[#This Row],[Target s.d. Januari]]=0,"",Sales[[#This Row],[Anggaran Murni]]-Sales[[#This Row],[Target s.d. Januari]])</f>
        <v/>
      </c>
      <c r="H971" s="19" t="s">
        <v>70</v>
      </c>
      <c r="I971" s="20" t="s">
        <v>1</v>
      </c>
      <c r="J971" s="20"/>
      <c r="K971" s="19" t="s">
        <v>39</v>
      </c>
      <c r="L971" s="19" t="s">
        <v>2</v>
      </c>
      <c r="M971" s="21" t="s">
        <v>67</v>
      </c>
      <c r="N971" s="20" t="s">
        <v>81</v>
      </c>
      <c r="O971" s="19" t="s">
        <v>11</v>
      </c>
      <c r="P971" s="10"/>
      <c r="Q971" s="11"/>
    </row>
    <row r="972" spans="2:17" ht="21" customHeight="1" x14ac:dyDescent="0.35">
      <c r="B972" s="1">
        <v>43944</v>
      </c>
      <c r="C972" s="1" t="str">
        <f>TEXT(Sales[[#This Row],[Kode Program/Kegiatan ]],"D")</f>
        <v>23</v>
      </c>
      <c r="D972" s="2" t="str">
        <f>TEXT(Sales[[#This Row],[Kode Program/Kegiatan ]],"mmm")</f>
        <v>Apr</v>
      </c>
      <c r="E972" s="3">
        <v>7</v>
      </c>
      <c r="F972" s="2">
        <v>7</v>
      </c>
      <c r="G972" s="3" t="str">
        <f>IF(Sales[[#This Row],[Anggaran Murni]]-Sales[[#This Row],[Target s.d. Januari]]=0,"",Sales[[#This Row],[Anggaran Murni]]-Sales[[#This Row],[Target s.d. Januari]])</f>
        <v/>
      </c>
      <c r="H972" s="2" t="s">
        <v>72</v>
      </c>
      <c r="I972" s="3" t="s">
        <v>78</v>
      </c>
      <c r="J972" s="3"/>
      <c r="K972" s="2" t="s">
        <v>61</v>
      </c>
      <c r="L972" s="2" t="s">
        <v>2</v>
      </c>
      <c r="M972" s="4" t="s">
        <v>67</v>
      </c>
      <c r="N972" s="3" t="s">
        <v>80</v>
      </c>
      <c r="O972" s="2" t="s">
        <v>13</v>
      </c>
      <c r="P972" s="10"/>
      <c r="Q972" s="11"/>
    </row>
    <row r="973" spans="2:17" ht="21" customHeight="1" x14ac:dyDescent="0.35">
      <c r="B973" s="18">
        <v>43944</v>
      </c>
      <c r="C973" s="18" t="str">
        <f>TEXT(Sales[[#This Row],[Kode Program/Kegiatan ]],"D")</f>
        <v>23</v>
      </c>
      <c r="D973" s="19" t="str">
        <f>TEXT(Sales[[#This Row],[Kode Program/Kegiatan ]],"mmm")</f>
        <v>Apr</v>
      </c>
      <c r="E973" s="20">
        <v>6</v>
      </c>
      <c r="F973" s="19">
        <v>6</v>
      </c>
      <c r="G973" s="20" t="str">
        <f>IF(Sales[[#This Row],[Anggaran Murni]]-Sales[[#This Row],[Target s.d. Januari]]=0,"",Sales[[#This Row],[Anggaran Murni]]-Sales[[#This Row],[Target s.d. Januari]])</f>
        <v/>
      </c>
      <c r="H973" s="19" t="s">
        <v>76</v>
      </c>
      <c r="I973" s="20" t="s">
        <v>79</v>
      </c>
      <c r="J973" s="20"/>
      <c r="K973" s="19" t="s">
        <v>39</v>
      </c>
      <c r="L973" s="19" t="s">
        <v>7</v>
      </c>
      <c r="M973" s="21" t="s">
        <v>67</v>
      </c>
      <c r="N973" s="20" t="s">
        <v>82</v>
      </c>
      <c r="O973" s="19" t="s">
        <v>12</v>
      </c>
      <c r="P973" s="10"/>
      <c r="Q973" s="11"/>
    </row>
    <row r="974" spans="2:17" ht="21" customHeight="1" x14ac:dyDescent="0.35">
      <c r="B974" s="1">
        <v>43944</v>
      </c>
      <c r="C974" s="1" t="str">
        <f>TEXT(Sales[[#This Row],[Kode Program/Kegiatan ]],"D")</f>
        <v>23</v>
      </c>
      <c r="D974" s="2" t="str">
        <f>TEXT(Sales[[#This Row],[Kode Program/Kegiatan ]],"mmm")</f>
        <v>Apr</v>
      </c>
      <c r="E974" s="3">
        <v>6</v>
      </c>
      <c r="F974" s="2">
        <v>6</v>
      </c>
      <c r="G974" s="3" t="str">
        <f>IF(Sales[[#This Row],[Anggaran Murni]]-Sales[[#This Row],[Target s.d. Januari]]=0,"",Sales[[#This Row],[Anggaran Murni]]-Sales[[#This Row],[Target s.d. Januari]])</f>
        <v/>
      </c>
      <c r="H974" s="2" t="s">
        <v>113</v>
      </c>
      <c r="I974" s="3" t="s">
        <v>77</v>
      </c>
      <c r="J974" s="3"/>
      <c r="K974" s="2" t="s">
        <v>25</v>
      </c>
      <c r="L974" s="2" t="s">
        <v>2</v>
      </c>
      <c r="M974" s="4" t="s">
        <v>67</v>
      </c>
      <c r="N974" s="3" t="s">
        <v>82</v>
      </c>
      <c r="O974" s="2" t="s">
        <v>13</v>
      </c>
      <c r="P974" s="10"/>
      <c r="Q974" s="11"/>
    </row>
    <row r="975" spans="2:17" ht="21" customHeight="1" x14ac:dyDescent="0.35">
      <c r="B975" s="18">
        <v>43944</v>
      </c>
      <c r="C975" s="18" t="str">
        <f>TEXT(Sales[[#This Row],[Kode Program/Kegiatan ]],"D")</f>
        <v>23</v>
      </c>
      <c r="D975" s="19" t="str">
        <f>TEXT(Sales[[#This Row],[Kode Program/Kegiatan ]],"mmm")</f>
        <v>Apr</v>
      </c>
      <c r="E975" s="20">
        <v>6</v>
      </c>
      <c r="F975" s="19">
        <v>6</v>
      </c>
      <c r="G975" s="20" t="str">
        <f>IF(Sales[[#This Row],[Anggaran Murni]]-Sales[[#This Row],[Target s.d. Januari]]=0,"",Sales[[#This Row],[Anggaran Murni]]-Sales[[#This Row],[Target s.d. Januari]])</f>
        <v/>
      </c>
      <c r="H975" s="19" t="s">
        <v>71</v>
      </c>
      <c r="I975" s="20" t="s">
        <v>6</v>
      </c>
      <c r="J975" s="20"/>
      <c r="K975" s="19" t="s">
        <v>30</v>
      </c>
      <c r="L975" s="19" t="s">
        <v>5</v>
      </c>
      <c r="M975" s="21" t="s">
        <v>67</v>
      </c>
      <c r="N975" s="20" t="s">
        <v>81</v>
      </c>
      <c r="O975" s="19" t="s">
        <v>14</v>
      </c>
      <c r="P975" s="10"/>
      <c r="Q975" s="11"/>
    </row>
    <row r="976" spans="2:17" ht="21" customHeight="1" x14ac:dyDescent="0.35">
      <c r="B976" s="1">
        <v>43944</v>
      </c>
      <c r="C976" s="1" t="str">
        <f>TEXT(Sales[[#This Row],[Kode Program/Kegiatan ]],"D")</f>
        <v>23</v>
      </c>
      <c r="D976" s="2" t="str">
        <f>TEXT(Sales[[#This Row],[Kode Program/Kegiatan ]],"mmm")</f>
        <v>Apr</v>
      </c>
      <c r="E976" s="3">
        <v>4</v>
      </c>
      <c r="F976" s="2">
        <v>4</v>
      </c>
      <c r="G976" s="3" t="str">
        <f>IF(Sales[[#This Row],[Anggaran Murni]]-Sales[[#This Row],[Target s.d. Januari]]=0,"",Sales[[#This Row],[Anggaran Murni]]-Sales[[#This Row],[Target s.d. Januari]])</f>
        <v/>
      </c>
      <c r="H976" s="2" t="s">
        <v>114</v>
      </c>
      <c r="I976" s="3" t="s">
        <v>3</v>
      </c>
      <c r="J976" s="3"/>
      <c r="K976" s="2" t="s">
        <v>52</v>
      </c>
      <c r="L976" s="2" t="s">
        <v>2</v>
      </c>
      <c r="M976" s="4" t="s">
        <v>67</v>
      </c>
      <c r="N976" s="3" t="s">
        <v>82</v>
      </c>
      <c r="O976" s="2" t="s">
        <v>11</v>
      </c>
      <c r="P976" s="10"/>
      <c r="Q976" s="11"/>
    </row>
    <row r="977" spans="2:17" ht="21" customHeight="1" x14ac:dyDescent="0.35">
      <c r="B977" s="18">
        <v>43944</v>
      </c>
      <c r="C977" s="18" t="str">
        <f>TEXT(Sales[[#This Row],[Kode Program/Kegiatan ]],"D")</f>
        <v>23</v>
      </c>
      <c r="D977" s="19" t="str">
        <f>TEXT(Sales[[#This Row],[Kode Program/Kegiatan ]],"mmm")</f>
        <v>Apr</v>
      </c>
      <c r="E977" s="20">
        <v>4</v>
      </c>
      <c r="F977" s="19">
        <v>4</v>
      </c>
      <c r="G977" s="20" t="str">
        <f>IF(Sales[[#This Row],[Anggaran Murni]]-Sales[[#This Row],[Target s.d. Januari]]=0,"",Sales[[#This Row],[Anggaran Murni]]-Sales[[#This Row],[Target s.d. Januari]])</f>
        <v/>
      </c>
      <c r="H977" s="19" t="s">
        <v>72</v>
      </c>
      <c r="I977" s="20" t="s">
        <v>78</v>
      </c>
      <c r="J977" s="20"/>
      <c r="K977" s="19" t="s">
        <v>30</v>
      </c>
      <c r="L977" s="19" t="s">
        <v>7</v>
      </c>
      <c r="M977" s="21" t="s">
        <v>67</v>
      </c>
      <c r="N977" s="20" t="s">
        <v>82</v>
      </c>
      <c r="O977" s="19" t="s">
        <v>14</v>
      </c>
      <c r="P977" s="10"/>
      <c r="Q977" s="11"/>
    </row>
    <row r="978" spans="2:17" ht="21" customHeight="1" x14ac:dyDescent="0.35">
      <c r="B978" s="1">
        <v>43944</v>
      </c>
      <c r="C978" s="1" t="str">
        <f>TEXT(Sales[[#This Row],[Kode Program/Kegiatan ]],"D")</f>
        <v>23</v>
      </c>
      <c r="D978" s="2" t="str">
        <f>TEXT(Sales[[#This Row],[Kode Program/Kegiatan ]],"mmm")</f>
        <v>Apr</v>
      </c>
      <c r="E978" s="3">
        <v>3</v>
      </c>
      <c r="F978" s="2">
        <v>3</v>
      </c>
      <c r="G978" s="3" t="str">
        <f>IF(Sales[[#This Row],[Anggaran Murni]]-Sales[[#This Row],[Target s.d. Januari]]=0,"",Sales[[#This Row],[Anggaran Murni]]-Sales[[#This Row],[Target s.d. Januari]])</f>
        <v/>
      </c>
      <c r="H978" s="2" t="s">
        <v>70</v>
      </c>
      <c r="I978" s="3" t="s">
        <v>1</v>
      </c>
      <c r="J978" s="3"/>
      <c r="K978" s="2" t="s">
        <v>32</v>
      </c>
      <c r="L978" s="2" t="s">
        <v>2</v>
      </c>
      <c r="M978" s="4" t="s">
        <v>67</v>
      </c>
      <c r="N978" s="3" t="s">
        <v>82</v>
      </c>
      <c r="O978" s="2" t="s">
        <v>12</v>
      </c>
      <c r="P978" s="10"/>
      <c r="Q978" s="11"/>
    </row>
    <row r="979" spans="2:17" ht="21" customHeight="1" x14ac:dyDescent="0.35">
      <c r="B979" s="18">
        <v>43944</v>
      </c>
      <c r="C979" s="18" t="str">
        <f>TEXT(Sales[[#This Row],[Kode Program/Kegiatan ]],"D")</f>
        <v>23</v>
      </c>
      <c r="D979" s="19" t="str">
        <f>TEXT(Sales[[#This Row],[Kode Program/Kegiatan ]],"mmm")</f>
        <v>Apr</v>
      </c>
      <c r="E979" s="20">
        <v>3</v>
      </c>
      <c r="F979" s="19">
        <v>3</v>
      </c>
      <c r="G979" s="20" t="str">
        <f>IF(Sales[[#This Row],[Anggaran Murni]]-Sales[[#This Row],[Target s.d. Januari]]=0,"",Sales[[#This Row],[Anggaran Murni]]-Sales[[#This Row],[Target s.d. Januari]])</f>
        <v/>
      </c>
      <c r="H979" s="19" t="s">
        <v>70</v>
      </c>
      <c r="I979" s="20" t="s">
        <v>1</v>
      </c>
      <c r="J979" s="20"/>
      <c r="K979" s="19" t="s">
        <v>16</v>
      </c>
      <c r="L979" s="19" t="s">
        <v>8</v>
      </c>
      <c r="M979" s="21" t="s">
        <v>67</v>
      </c>
      <c r="N979" s="20" t="s">
        <v>82</v>
      </c>
      <c r="O979" s="19" t="s">
        <v>13</v>
      </c>
      <c r="P979" s="10"/>
      <c r="Q979" s="11"/>
    </row>
    <row r="980" spans="2:17" ht="21" customHeight="1" x14ac:dyDescent="0.35">
      <c r="B980" s="1">
        <v>43945</v>
      </c>
      <c r="C980" s="1" t="str">
        <f>TEXT(Sales[[#This Row],[Kode Program/Kegiatan ]],"D")</f>
        <v>24</v>
      </c>
      <c r="D980" s="2" t="str">
        <f>TEXT(Sales[[#This Row],[Kode Program/Kegiatan ]],"mmm")</f>
        <v>Apr</v>
      </c>
      <c r="E980" s="3">
        <v>10</v>
      </c>
      <c r="F980" s="2">
        <v>8</v>
      </c>
      <c r="G980" s="3">
        <f>IF(Sales[[#This Row],[Anggaran Murni]]-Sales[[#This Row],[Target s.d. Januari]]=0,"",Sales[[#This Row],[Anggaran Murni]]-Sales[[#This Row],[Target s.d. Januari]])</f>
        <v>2</v>
      </c>
      <c r="H980" s="2" t="s">
        <v>113</v>
      </c>
      <c r="I980" s="3" t="s">
        <v>77</v>
      </c>
      <c r="J980" s="3"/>
      <c r="K980" s="2" t="s">
        <v>38</v>
      </c>
      <c r="L980" s="2" t="s">
        <v>4</v>
      </c>
      <c r="M980" s="4" t="s">
        <v>67</v>
      </c>
      <c r="N980" s="3" t="s">
        <v>82</v>
      </c>
      <c r="O980" s="2" t="s">
        <v>11</v>
      </c>
      <c r="P980" s="10"/>
      <c r="Q980" s="11"/>
    </row>
    <row r="981" spans="2:17" ht="21" customHeight="1" x14ac:dyDescent="0.35">
      <c r="B981" s="18">
        <v>43945</v>
      </c>
      <c r="C981" s="18" t="str">
        <f>TEXT(Sales[[#This Row],[Kode Program/Kegiatan ]],"D")</f>
        <v>24</v>
      </c>
      <c r="D981" s="19" t="str">
        <f>TEXT(Sales[[#This Row],[Kode Program/Kegiatan ]],"mmm")</f>
        <v>Apr</v>
      </c>
      <c r="E981" s="20">
        <v>10</v>
      </c>
      <c r="F981" s="19">
        <v>7</v>
      </c>
      <c r="G981" s="20">
        <f>IF(Sales[[#This Row],[Anggaran Murni]]-Sales[[#This Row],[Target s.d. Januari]]=0,"",Sales[[#This Row],[Anggaran Murni]]-Sales[[#This Row],[Target s.d. Januari]])</f>
        <v>3</v>
      </c>
      <c r="H981" s="19" t="s">
        <v>74</v>
      </c>
      <c r="I981" s="20" t="s">
        <v>77</v>
      </c>
      <c r="J981" s="20"/>
      <c r="K981" s="19" t="s">
        <v>64</v>
      </c>
      <c r="L981" s="19" t="s">
        <v>7</v>
      </c>
      <c r="M981" s="21" t="s">
        <v>67</v>
      </c>
      <c r="N981" s="20" t="s">
        <v>80</v>
      </c>
      <c r="O981" s="19" t="s">
        <v>11</v>
      </c>
      <c r="P981" s="10"/>
      <c r="Q981" s="11"/>
    </row>
    <row r="982" spans="2:17" ht="21" customHeight="1" x14ac:dyDescent="0.35">
      <c r="B982" s="1">
        <v>43945</v>
      </c>
      <c r="C982" s="1" t="str">
        <f>TEXT(Sales[[#This Row],[Kode Program/Kegiatan ]],"D")</f>
        <v>24</v>
      </c>
      <c r="D982" s="2" t="str">
        <f>TEXT(Sales[[#This Row],[Kode Program/Kegiatan ]],"mmm")</f>
        <v>Apr</v>
      </c>
      <c r="E982" s="3">
        <v>9</v>
      </c>
      <c r="F982" s="2">
        <v>5</v>
      </c>
      <c r="G982" s="3">
        <f>IF(Sales[[#This Row],[Anggaran Murni]]-Sales[[#This Row],[Target s.d. Januari]]=0,"",Sales[[#This Row],[Anggaran Murni]]-Sales[[#This Row],[Target s.d. Januari]])</f>
        <v>4</v>
      </c>
      <c r="H982" s="2" t="s">
        <v>74</v>
      </c>
      <c r="I982" s="3" t="s">
        <v>77</v>
      </c>
      <c r="J982" s="3"/>
      <c r="K982" s="2" t="s">
        <v>17</v>
      </c>
      <c r="L982" s="2" t="s">
        <v>2</v>
      </c>
      <c r="M982" s="4" t="s">
        <v>67</v>
      </c>
      <c r="N982" s="3" t="s">
        <v>81</v>
      </c>
      <c r="O982" s="2" t="s">
        <v>13</v>
      </c>
      <c r="P982" s="10"/>
      <c r="Q982" s="11"/>
    </row>
    <row r="983" spans="2:17" ht="21" customHeight="1" x14ac:dyDescent="0.35">
      <c r="B983" s="18">
        <v>43945</v>
      </c>
      <c r="C983" s="18" t="str">
        <f>TEXT(Sales[[#This Row],[Kode Program/Kegiatan ]],"D")</f>
        <v>24</v>
      </c>
      <c r="D983" s="19" t="str">
        <f>TEXT(Sales[[#This Row],[Kode Program/Kegiatan ]],"mmm")</f>
        <v>Apr</v>
      </c>
      <c r="E983" s="20">
        <v>6</v>
      </c>
      <c r="F983" s="19">
        <v>3</v>
      </c>
      <c r="G983" s="20">
        <f>IF(Sales[[#This Row],[Anggaran Murni]]-Sales[[#This Row],[Target s.d. Januari]]=0,"",Sales[[#This Row],[Anggaran Murni]]-Sales[[#This Row],[Target s.d. Januari]])</f>
        <v>3</v>
      </c>
      <c r="H983" s="19" t="s">
        <v>72</v>
      </c>
      <c r="I983" s="20" t="s">
        <v>78</v>
      </c>
      <c r="J983" s="20"/>
      <c r="K983" s="19" t="s">
        <v>46</v>
      </c>
      <c r="L983" s="19" t="s">
        <v>5</v>
      </c>
      <c r="M983" s="21" t="s">
        <v>67</v>
      </c>
      <c r="N983" s="20" t="s">
        <v>82</v>
      </c>
      <c r="O983" s="19" t="s">
        <v>13</v>
      </c>
      <c r="P983" s="10"/>
      <c r="Q983" s="11"/>
    </row>
    <row r="984" spans="2:17" ht="21" customHeight="1" x14ac:dyDescent="0.35">
      <c r="B984" s="1">
        <v>43945</v>
      </c>
      <c r="C984" s="1" t="str">
        <f>TEXT(Sales[[#This Row],[Kode Program/Kegiatan ]],"D")</f>
        <v>24</v>
      </c>
      <c r="D984" s="2" t="str">
        <f>TEXT(Sales[[#This Row],[Kode Program/Kegiatan ]],"mmm")</f>
        <v>Apr</v>
      </c>
      <c r="E984" s="3">
        <v>4</v>
      </c>
      <c r="F984" s="2">
        <v>2</v>
      </c>
      <c r="G984" s="3">
        <f>IF(Sales[[#This Row],[Anggaran Murni]]-Sales[[#This Row],[Target s.d. Januari]]=0,"",Sales[[#This Row],[Anggaran Murni]]-Sales[[#This Row],[Target s.d. Januari]])</f>
        <v>2</v>
      </c>
      <c r="H984" s="2" t="s">
        <v>75</v>
      </c>
      <c r="I984" s="3" t="s">
        <v>6</v>
      </c>
      <c r="J984" s="3"/>
      <c r="K984" s="2" t="s">
        <v>46</v>
      </c>
      <c r="L984" s="2" t="s">
        <v>5</v>
      </c>
      <c r="M984" s="4" t="s">
        <v>67</v>
      </c>
      <c r="N984" s="3" t="s">
        <v>82</v>
      </c>
      <c r="O984" s="2" t="s">
        <v>13</v>
      </c>
      <c r="P984" s="10"/>
      <c r="Q984" s="11"/>
    </row>
    <row r="985" spans="2:17" ht="21" customHeight="1" x14ac:dyDescent="0.35">
      <c r="B985" s="18">
        <v>43945</v>
      </c>
      <c r="C985" s="18" t="str">
        <f>TEXT(Sales[[#This Row],[Kode Program/Kegiatan ]],"D")</f>
        <v>24</v>
      </c>
      <c r="D985" s="19" t="str">
        <f>TEXT(Sales[[#This Row],[Kode Program/Kegiatan ]],"mmm")</f>
        <v>Apr</v>
      </c>
      <c r="E985" s="20">
        <v>4</v>
      </c>
      <c r="F985" s="19">
        <v>3</v>
      </c>
      <c r="G985" s="20">
        <f>IF(Sales[[#This Row],[Anggaran Murni]]-Sales[[#This Row],[Target s.d. Januari]]=0,"",Sales[[#This Row],[Anggaran Murni]]-Sales[[#This Row],[Target s.d. Januari]])</f>
        <v>1</v>
      </c>
      <c r="H985" s="19" t="s">
        <v>114</v>
      </c>
      <c r="I985" s="20" t="s">
        <v>3</v>
      </c>
      <c r="J985" s="20"/>
      <c r="K985" s="19" t="s">
        <v>45</v>
      </c>
      <c r="L985" s="19" t="s">
        <v>2</v>
      </c>
      <c r="M985" s="21" t="s">
        <v>67</v>
      </c>
      <c r="N985" s="20" t="s">
        <v>81</v>
      </c>
      <c r="O985" s="19" t="s">
        <v>12</v>
      </c>
      <c r="P985" s="10"/>
      <c r="Q985" s="11"/>
    </row>
    <row r="986" spans="2:17" ht="21" customHeight="1" x14ac:dyDescent="0.35">
      <c r="B986" s="1">
        <v>43945</v>
      </c>
      <c r="C986" s="1" t="str">
        <f>TEXT(Sales[[#This Row],[Kode Program/Kegiatan ]],"D")</f>
        <v>24</v>
      </c>
      <c r="D986" s="2" t="str">
        <f>TEXT(Sales[[#This Row],[Kode Program/Kegiatan ]],"mmm")</f>
        <v>Apr</v>
      </c>
      <c r="E986" s="3">
        <v>3</v>
      </c>
      <c r="F986" s="2">
        <v>1</v>
      </c>
      <c r="G986" s="3">
        <f>IF(Sales[[#This Row],[Anggaran Murni]]-Sales[[#This Row],[Target s.d. Januari]]=0,"",Sales[[#This Row],[Anggaran Murni]]-Sales[[#This Row],[Target s.d. Januari]])</f>
        <v>2</v>
      </c>
      <c r="H986" s="2" t="s">
        <v>75</v>
      </c>
      <c r="I986" s="3" t="s">
        <v>6</v>
      </c>
      <c r="J986" s="3"/>
      <c r="K986" s="2" t="s">
        <v>22</v>
      </c>
      <c r="L986" s="2" t="s">
        <v>5</v>
      </c>
      <c r="M986" s="4" t="s">
        <v>67</v>
      </c>
      <c r="N986" s="3" t="s">
        <v>80</v>
      </c>
      <c r="O986" s="2" t="s">
        <v>12</v>
      </c>
      <c r="P986" s="10"/>
      <c r="Q986" s="11"/>
    </row>
    <row r="987" spans="2:17" ht="21" customHeight="1" x14ac:dyDescent="0.35">
      <c r="B987" s="18">
        <v>43946</v>
      </c>
      <c r="C987" s="18" t="str">
        <f>TEXT(Sales[[#This Row],[Kode Program/Kegiatan ]],"D")</f>
        <v>25</v>
      </c>
      <c r="D987" s="19" t="str">
        <f>TEXT(Sales[[#This Row],[Kode Program/Kegiatan ]],"mmm")</f>
        <v>Apr</v>
      </c>
      <c r="E987" s="20">
        <v>9</v>
      </c>
      <c r="F987" s="19">
        <v>6</v>
      </c>
      <c r="G987" s="20">
        <f>IF(Sales[[#This Row],[Anggaran Murni]]-Sales[[#This Row],[Target s.d. Januari]]=0,"",Sales[[#This Row],[Anggaran Murni]]-Sales[[#This Row],[Target s.d. Januari]])</f>
        <v>3</v>
      </c>
      <c r="H987" s="19" t="s">
        <v>71</v>
      </c>
      <c r="I987" s="20" t="s">
        <v>6</v>
      </c>
      <c r="J987" s="20"/>
      <c r="K987" s="19" t="s">
        <v>24</v>
      </c>
      <c r="L987" s="19" t="s">
        <v>8</v>
      </c>
      <c r="M987" s="21" t="s">
        <v>67</v>
      </c>
      <c r="N987" s="20" t="s">
        <v>82</v>
      </c>
      <c r="O987" s="19" t="s">
        <v>14</v>
      </c>
      <c r="P987" s="10"/>
      <c r="Q987" s="11"/>
    </row>
    <row r="988" spans="2:17" ht="21" customHeight="1" x14ac:dyDescent="0.35">
      <c r="B988" s="1">
        <v>43946</v>
      </c>
      <c r="C988" s="1" t="str">
        <f>TEXT(Sales[[#This Row],[Kode Program/Kegiatan ]],"D")</f>
        <v>25</v>
      </c>
      <c r="D988" s="2" t="str">
        <f>TEXT(Sales[[#This Row],[Kode Program/Kegiatan ]],"mmm")</f>
        <v>Apr</v>
      </c>
      <c r="E988" s="3">
        <v>8</v>
      </c>
      <c r="F988" s="2">
        <v>6</v>
      </c>
      <c r="G988" s="3">
        <f>IF(Sales[[#This Row],[Anggaran Murni]]-Sales[[#This Row],[Target s.d. Januari]]=0,"",Sales[[#This Row],[Anggaran Murni]]-Sales[[#This Row],[Target s.d. Januari]])</f>
        <v>2</v>
      </c>
      <c r="H988" s="2" t="s">
        <v>75</v>
      </c>
      <c r="I988" s="3" t="s">
        <v>6</v>
      </c>
      <c r="J988" s="3"/>
      <c r="K988" s="2" t="s">
        <v>23</v>
      </c>
      <c r="L988" s="2" t="s">
        <v>5</v>
      </c>
      <c r="M988" s="4" t="s">
        <v>67</v>
      </c>
      <c r="N988" s="3" t="s">
        <v>82</v>
      </c>
      <c r="O988" s="2" t="s">
        <v>13</v>
      </c>
      <c r="P988" s="10"/>
      <c r="Q988" s="11"/>
    </row>
    <row r="989" spans="2:17" ht="21" customHeight="1" x14ac:dyDescent="0.35">
      <c r="B989" s="18">
        <v>43946</v>
      </c>
      <c r="C989" s="18" t="str">
        <f>TEXT(Sales[[#This Row],[Kode Program/Kegiatan ]],"D")</f>
        <v>25</v>
      </c>
      <c r="D989" s="19" t="str">
        <f>TEXT(Sales[[#This Row],[Kode Program/Kegiatan ]],"mmm")</f>
        <v>Apr</v>
      </c>
      <c r="E989" s="20">
        <v>8</v>
      </c>
      <c r="F989" s="19">
        <v>4</v>
      </c>
      <c r="G989" s="20">
        <f>IF(Sales[[#This Row],[Anggaran Murni]]-Sales[[#This Row],[Target s.d. Januari]]=0,"",Sales[[#This Row],[Anggaran Murni]]-Sales[[#This Row],[Target s.d. Januari]])</f>
        <v>4</v>
      </c>
      <c r="H989" s="19" t="s">
        <v>114</v>
      </c>
      <c r="I989" s="20" t="s">
        <v>3</v>
      </c>
      <c r="J989" s="20"/>
      <c r="K989" s="19" t="s">
        <v>21</v>
      </c>
      <c r="L989" s="19" t="s">
        <v>2</v>
      </c>
      <c r="M989" s="21" t="s">
        <v>67</v>
      </c>
      <c r="N989" s="20" t="s">
        <v>80</v>
      </c>
      <c r="O989" s="19" t="s">
        <v>13</v>
      </c>
      <c r="P989" s="10"/>
      <c r="Q989" s="11"/>
    </row>
    <row r="990" spans="2:17" ht="21" customHeight="1" x14ac:dyDescent="0.35">
      <c r="B990" s="1">
        <v>43946</v>
      </c>
      <c r="C990" s="1" t="str">
        <f>TEXT(Sales[[#This Row],[Kode Program/Kegiatan ]],"D")</f>
        <v>25</v>
      </c>
      <c r="D990" s="2" t="str">
        <f>TEXT(Sales[[#This Row],[Kode Program/Kegiatan ]],"mmm")</f>
        <v>Apr</v>
      </c>
      <c r="E990" s="3">
        <v>7</v>
      </c>
      <c r="F990" s="2">
        <v>6</v>
      </c>
      <c r="G990" s="3">
        <f>IF(Sales[[#This Row],[Anggaran Murni]]-Sales[[#This Row],[Target s.d. Januari]]=0,"",Sales[[#This Row],[Anggaran Murni]]-Sales[[#This Row],[Target s.d. Januari]])</f>
        <v>1</v>
      </c>
      <c r="H990" s="2" t="s">
        <v>70</v>
      </c>
      <c r="I990" s="3" t="s">
        <v>1</v>
      </c>
      <c r="J990" s="3"/>
      <c r="K990" s="2" t="s">
        <v>63</v>
      </c>
      <c r="L990" s="2" t="s">
        <v>2</v>
      </c>
      <c r="M990" s="4" t="s">
        <v>67</v>
      </c>
      <c r="N990" s="3" t="s">
        <v>81</v>
      </c>
      <c r="O990" s="2" t="s">
        <v>11</v>
      </c>
      <c r="P990" s="10"/>
      <c r="Q990" s="11"/>
    </row>
    <row r="991" spans="2:17" ht="21" customHeight="1" x14ac:dyDescent="0.35">
      <c r="B991" s="18">
        <v>43946</v>
      </c>
      <c r="C991" s="18" t="str">
        <f>TEXT(Sales[[#This Row],[Kode Program/Kegiatan ]],"D")</f>
        <v>25</v>
      </c>
      <c r="D991" s="19" t="str">
        <f>TEXT(Sales[[#This Row],[Kode Program/Kegiatan ]],"mmm")</f>
        <v>Apr</v>
      </c>
      <c r="E991" s="20">
        <v>6</v>
      </c>
      <c r="F991" s="19">
        <v>3</v>
      </c>
      <c r="G991" s="20">
        <f>IF(Sales[[#This Row],[Anggaran Murni]]-Sales[[#This Row],[Target s.d. Januari]]=0,"",Sales[[#This Row],[Anggaran Murni]]-Sales[[#This Row],[Target s.d. Januari]])</f>
        <v>3</v>
      </c>
      <c r="H991" s="19" t="s">
        <v>76</v>
      </c>
      <c r="I991" s="20" t="s">
        <v>79</v>
      </c>
      <c r="J991" s="20"/>
      <c r="K991" s="19" t="s">
        <v>15</v>
      </c>
      <c r="L991" s="19" t="s">
        <v>8</v>
      </c>
      <c r="M991" s="21" t="s">
        <v>67</v>
      </c>
      <c r="N991" s="20" t="s">
        <v>80</v>
      </c>
      <c r="O991" s="19" t="s">
        <v>14</v>
      </c>
      <c r="P991" s="10"/>
      <c r="Q991" s="11"/>
    </row>
    <row r="992" spans="2:17" ht="21" customHeight="1" x14ac:dyDescent="0.35">
      <c r="B992" s="1">
        <v>43946</v>
      </c>
      <c r="C992" s="1" t="str">
        <f>TEXT(Sales[[#This Row],[Kode Program/Kegiatan ]],"D")</f>
        <v>25</v>
      </c>
      <c r="D992" s="2" t="str">
        <f>TEXT(Sales[[#This Row],[Kode Program/Kegiatan ]],"mmm")</f>
        <v>Apr</v>
      </c>
      <c r="E992" s="3">
        <v>6</v>
      </c>
      <c r="F992" s="2">
        <v>5</v>
      </c>
      <c r="G992" s="3">
        <f>IF(Sales[[#This Row],[Anggaran Murni]]-Sales[[#This Row],[Target s.d. Januari]]=0,"",Sales[[#This Row],[Anggaran Murni]]-Sales[[#This Row],[Target s.d. Januari]])</f>
        <v>1</v>
      </c>
      <c r="H992" s="2" t="s">
        <v>72</v>
      </c>
      <c r="I992" s="3" t="s">
        <v>78</v>
      </c>
      <c r="J992" s="3"/>
      <c r="K992" s="2" t="s">
        <v>30</v>
      </c>
      <c r="L992" s="2" t="s">
        <v>5</v>
      </c>
      <c r="M992" s="4" t="s">
        <v>67</v>
      </c>
      <c r="N992" s="3" t="s">
        <v>82</v>
      </c>
      <c r="O992" s="2" t="s">
        <v>14</v>
      </c>
      <c r="P992" s="10"/>
      <c r="Q992" s="11"/>
    </row>
    <row r="993" spans="2:17" ht="21" customHeight="1" x14ac:dyDescent="0.35">
      <c r="B993" s="18">
        <v>43946</v>
      </c>
      <c r="C993" s="18" t="str">
        <f>TEXT(Sales[[#This Row],[Kode Program/Kegiatan ]],"D")</f>
        <v>25</v>
      </c>
      <c r="D993" s="19" t="str">
        <f>TEXT(Sales[[#This Row],[Kode Program/Kegiatan ]],"mmm")</f>
        <v>Apr</v>
      </c>
      <c r="E993" s="20">
        <v>5</v>
      </c>
      <c r="F993" s="19">
        <v>4</v>
      </c>
      <c r="G993" s="20">
        <f>IF(Sales[[#This Row],[Anggaran Murni]]-Sales[[#This Row],[Target s.d. Januari]]=0,"",Sales[[#This Row],[Anggaran Murni]]-Sales[[#This Row],[Target s.d. Januari]])</f>
        <v>1</v>
      </c>
      <c r="H993" s="19" t="s">
        <v>73</v>
      </c>
      <c r="I993" s="20" t="s">
        <v>78</v>
      </c>
      <c r="J993" s="20"/>
      <c r="K993" s="19" t="s">
        <v>61</v>
      </c>
      <c r="L993" s="19" t="s">
        <v>2</v>
      </c>
      <c r="M993" s="21" t="s">
        <v>67</v>
      </c>
      <c r="N993" s="20" t="s">
        <v>82</v>
      </c>
      <c r="O993" s="19" t="s">
        <v>11</v>
      </c>
      <c r="P993" s="10"/>
      <c r="Q993" s="11"/>
    </row>
    <row r="994" spans="2:17" ht="21" customHeight="1" x14ac:dyDescent="0.35">
      <c r="B994" s="1">
        <v>43946</v>
      </c>
      <c r="C994" s="1" t="str">
        <f>TEXT(Sales[[#This Row],[Kode Program/Kegiatan ]],"D")</f>
        <v>25</v>
      </c>
      <c r="D994" s="2" t="str">
        <f>TEXT(Sales[[#This Row],[Kode Program/Kegiatan ]],"mmm")</f>
        <v>Apr</v>
      </c>
      <c r="E994" s="3">
        <v>5</v>
      </c>
      <c r="F994" s="2">
        <v>4</v>
      </c>
      <c r="G994" s="3">
        <f>IF(Sales[[#This Row],[Anggaran Murni]]-Sales[[#This Row],[Target s.d. Januari]]=0,"",Sales[[#This Row],[Anggaran Murni]]-Sales[[#This Row],[Target s.d. Januari]])</f>
        <v>1</v>
      </c>
      <c r="H994" s="2" t="s">
        <v>114</v>
      </c>
      <c r="I994" s="3" t="s">
        <v>3</v>
      </c>
      <c r="J994" s="3"/>
      <c r="K994" s="2" t="s">
        <v>57</v>
      </c>
      <c r="L994" s="2" t="s">
        <v>2</v>
      </c>
      <c r="M994" s="4" t="s">
        <v>67</v>
      </c>
      <c r="N994" s="3" t="s">
        <v>81</v>
      </c>
      <c r="O994" s="2" t="s">
        <v>14</v>
      </c>
      <c r="P994" s="10"/>
      <c r="Q994" s="11"/>
    </row>
    <row r="995" spans="2:17" ht="21" customHeight="1" x14ac:dyDescent="0.35">
      <c r="B995" s="18">
        <v>43946</v>
      </c>
      <c r="C995" s="18" t="str">
        <f>TEXT(Sales[[#This Row],[Kode Program/Kegiatan ]],"D")</f>
        <v>25</v>
      </c>
      <c r="D995" s="19" t="str">
        <f>TEXT(Sales[[#This Row],[Kode Program/Kegiatan ]],"mmm")</f>
        <v>Apr</v>
      </c>
      <c r="E995" s="20">
        <v>5</v>
      </c>
      <c r="F995" s="19">
        <v>3</v>
      </c>
      <c r="G995" s="20">
        <f>IF(Sales[[#This Row],[Anggaran Murni]]-Sales[[#This Row],[Target s.d. Januari]]=0,"",Sales[[#This Row],[Anggaran Murni]]-Sales[[#This Row],[Target s.d. Januari]])</f>
        <v>2</v>
      </c>
      <c r="H995" s="19" t="s">
        <v>74</v>
      </c>
      <c r="I995" s="20" t="s">
        <v>77</v>
      </c>
      <c r="J995" s="20"/>
      <c r="K995" s="19" t="s">
        <v>32</v>
      </c>
      <c r="L995" s="19" t="s">
        <v>2</v>
      </c>
      <c r="M995" s="21" t="s">
        <v>67</v>
      </c>
      <c r="N995" s="20" t="s">
        <v>81</v>
      </c>
      <c r="O995" s="19" t="s">
        <v>13</v>
      </c>
      <c r="P995" s="10"/>
      <c r="Q995" s="11"/>
    </row>
    <row r="996" spans="2:17" ht="21" customHeight="1" x14ac:dyDescent="0.35">
      <c r="B996" s="1">
        <v>43946</v>
      </c>
      <c r="C996" s="1" t="str">
        <f>TEXT(Sales[[#This Row],[Kode Program/Kegiatan ]],"D")</f>
        <v>25</v>
      </c>
      <c r="D996" s="2" t="str">
        <f>TEXT(Sales[[#This Row],[Kode Program/Kegiatan ]],"mmm")</f>
        <v>Apr</v>
      </c>
      <c r="E996" s="3">
        <v>3</v>
      </c>
      <c r="F996" s="2">
        <v>2</v>
      </c>
      <c r="G996" s="3">
        <f>IF(Sales[[#This Row],[Anggaran Murni]]-Sales[[#This Row],[Target s.d. Januari]]=0,"",Sales[[#This Row],[Anggaran Murni]]-Sales[[#This Row],[Target s.d. Januari]])</f>
        <v>1</v>
      </c>
      <c r="H996" s="2" t="s">
        <v>70</v>
      </c>
      <c r="I996" s="3" t="s">
        <v>1</v>
      </c>
      <c r="J996" s="3"/>
      <c r="K996" s="2" t="s">
        <v>48</v>
      </c>
      <c r="L996" s="2" t="s">
        <v>2</v>
      </c>
      <c r="M996" s="4" t="s">
        <v>67</v>
      </c>
      <c r="N996" s="3" t="s">
        <v>82</v>
      </c>
      <c r="O996" s="2" t="s">
        <v>11</v>
      </c>
      <c r="P996" s="10"/>
      <c r="Q996" s="11"/>
    </row>
    <row r="997" spans="2:17" ht="21" customHeight="1" x14ac:dyDescent="0.35">
      <c r="B997" s="18">
        <v>43946</v>
      </c>
      <c r="C997" s="18" t="str">
        <f>TEXT(Sales[[#This Row],[Kode Program/Kegiatan ]],"D")</f>
        <v>25</v>
      </c>
      <c r="D997" s="19" t="str">
        <f>TEXT(Sales[[#This Row],[Kode Program/Kegiatan ]],"mmm")</f>
        <v>Apr</v>
      </c>
      <c r="E997" s="20">
        <v>3</v>
      </c>
      <c r="F997" s="19">
        <v>2</v>
      </c>
      <c r="G997" s="20">
        <f>IF(Sales[[#This Row],[Anggaran Murni]]-Sales[[#This Row],[Target s.d. Januari]]=0,"",Sales[[#This Row],[Anggaran Murni]]-Sales[[#This Row],[Target s.d. Januari]])</f>
        <v>1</v>
      </c>
      <c r="H997" s="19" t="s">
        <v>73</v>
      </c>
      <c r="I997" s="20" t="s">
        <v>78</v>
      </c>
      <c r="J997" s="20"/>
      <c r="K997" s="19" t="s">
        <v>26</v>
      </c>
      <c r="L997" s="19" t="s">
        <v>5</v>
      </c>
      <c r="M997" s="21" t="s">
        <v>67</v>
      </c>
      <c r="N997" s="20" t="s">
        <v>81</v>
      </c>
      <c r="O997" s="19" t="s">
        <v>14</v>
      </c>
      <c r="P997" s="10"/>
      <c r="Q997" s="11"/>
    </row>
    <row r="998" spans="2:17" ht="21" customHeight="1" x14ac:dyDescent="0.35">
      <c r="B998" s="1">
        <v>43947</v>
      </c>
      <c r="C998" s="1" t="str">
        <f>TEXT(Sales[[#This Row],[Kode Program/Kegiatan ]],"D")</f>
        <v>26</v>
      </c>
      <c r="D998" s="2" t="str">
        <f>TEXT(Sales[[#This Row],[Kode Program/Kegiatan ]],"mmm")</f>
        <v>Apr</v>
      </c>
      <c r="E998" s="3">
        <v>10</v>
      </c>
      <c r="F998" s="2">
        <v>7</v>
      </c>
      <c r="G998" s="3">
        <f>IF(Sales[[#This Row],[Anggaran Murni]]-Sales[[#This Row],[Target s.d. Januari]]=0,"",Sales[[#This Row],[Anggaran Murni]]-Sales[[#This Row],[Target s.d. Januari]])</f>
        <v>3</v>
      </c>
      <c r="H998" s="2" t="s">
        <v>76</v>
      </c>
      <c r="I998" s="3" t="s">
        <v>79</v>
      </c>
      <c r="J998" s="3"/>
      <c r="K998" s="2" t="s">
        <v>48</v>
      </c>
      <c r="L998" s="2" t="s">
        <v>5</v>
      </c>
      <c r="M998" s="4" t="s">
        <v>67</v>
      </c>
      <c r="N998" s="3" t="s">
        <v>81</v>
      </c>
      <c r="O998" s="2" t="s">
        <v>12</v>
      </c>
      <c r="P998" s="10"/>
      <c r="Q998" s="11"/>
    </row>
    <row r="999" spans="2:17" ht="21" customHeight="1" x14ac:dyDescent="0.35">
      <c r="B999" s="18">
        <v>43947</v>
      </c>
      <c r="C999" s="18" t="str">
        <f>TEXT(Sales[[#This Row],[Kode Program/Kegiatan ]],"D")</f>
        <v>26</v>
      </c>
      <c r="D999" s="19" t="str">
        <f>TEXT(Sales[[#This Row],[Kode Program/Kegiatan ]],"mmm")</f>
        <v>Apr</v>
      </c>
      <c r="E999" s="20">
        <v>9</v>
      </c>
      <c r="F999" s="19">
        <v>6</v>
      </c>
      <c r="G999" s="20">
        <f>IF(Sales[[#This Row],[Anggaran Murni]]-Sales[[#This Row],[Target s.d. Januari]]=0,"",Sales[[#This Row],[Anggaran Murni]]-Sales[[#This Row],[Target s.d. Januari]])</f>
        <v>3</v>
      </c>
      <c r="H999" s="19" t="s">
        <v>71</v>
      </c>
      <c r="I999" s="20" t="s">
        <v>6</v>
      </c>
      <c r="J999" s="20"/>
      <c r="K999" s="19" t="s">
        <v>24</v>
      </c>
      <c r="L999" s="19" t="s">
        <v>2</v>
      </c>
      <c r="M999" s="21" t="s">
        <v>67</v>
      </c>
      <c r="N999" s="20" t="s">
        <v>80</v>
      </c>
      <c r="O999" s="19" t="s">
        <v>12</v>
      </c>
      <c r="P999" s="10"/>
      <c r="Q999" s="11"/>
    </row>
    <row r="1000" spans="2:17" ht="21" customHeight="1" x14ac:dyDescent="0.35">
      <c r="B1000" s="1">
        <v>43947</v>
      </c>
      <c r="C1000" s="1" t="str">
        <f>TEXT(Sales[[#This Row],[Kode Program/Kegiatan ]],"D")</f>
        <v>26</v>
      </c>
      <c r="D1000" s="2" t="str">
        <f>TEXT(Sales[[#This Row],[Kode Program/Kegiatan ]],"mmm")</f>
        <v>Apr</v>
      </c>
      <c r="E1000" s="3">
        <v>7</v>
      </c>
      <c r="F1000" s="2">
        <v>4</v>
      </c>
      <c r="G1000" s="3">
        <f>IF(Sales[[#This Row],[Anggaran Murni]]-Sales[[#This Row],[Target s.d. Januari]]=0,"",Sales[[#This Row],[Anggaran Murni]]-Sales[[#This Row],[Target s.d. Januari]])</f>
        <v>3</v>
      </c>
      <c r="H1000" s="2" t="s">
        <v>76</v>
      </c>
      <c r="I1000" s="3" t="s">
        <v>79</v>
      </c>
      <c r="J1000" s="3"/>
      <c r="K1000" s="2" t="s">
        <v>30</v>
      </c>
      <c r="L1000" s="2" t="s">
        <v>2</v>
      </c>
      <c r="M1000" s="4" t="s">
        <v>67</v>
      </c>
      <c r="N1000" s="3" t="s">
        <v>81</v>
      </c>
      <c r="O1000" s="2" t="s">
        <v>13</v>
      </c>
      <c r="P1000" s="10"/>
      <c r="Q1000" s="11"/>
    </row>
    <row r="1001" spans="2:17" ht="21" customHeight="1" x14ac:dyDescent="0.35">
      <c r="B1001" s="18">
        <v>43947</v>
      </c>
      <c r="C1001" s="18" t="str">
        <f>TEXT(Sales[[#This Row],[Kode Program/Kegiatan ]],"D")</f>
        <v>26</v>
      </c>
      <c r="D1001" s="19" t="str">
        <f>TEXT(Sales[[#This Row],[Kode Program/Kegiatan ]],"mmm")</f>
        <v>Apr</v>
      </c>
      <c r="E1001" s="20">
        <v>7</v>
      </c>
      <c r="F1001" s="19">
        <v>5</v>
      </c>
      <c r="G1001" s="20">
        <f>IF(Sales[[#This Row],[Anggaran Murni]]-Sales[[#This Row],[Target s.d. Januari]]=0,"",Sales[[#This Row],[Anggaran Murni]]-Sales[[#This Row],[Target s.d. Januari]])</f>
        <v>2</v>
      </c>
      <c r="H1001" s="19" t="s">
        <v>76</v>
      </c>
      <c r="I1001" s="20" t="s">
        <v>79</v>
      </c>
      <c r="J1001" s="20"/>
      <c r="K1001" s="19" t="s">
        <v>21</v>
      </c>
      <c r="L1001" s="19" t="s">
        <v>5</v>
      </c>
      <c r="M1001" s="21" t="s">
        <v>67</v>
      </c>
      <c r="N1001" s="20" t="s">
        <v>82</v>
      </c>
      <c r="O1001" s="19" t="s">
        <v>14</v>
      </c>
      <c r="P1001" s="10"/>
      <c r="Q1001" s="11"/>
    </row>
    <row r="1002" spans="2:17" ht="21" customHeight="1" x14ac:dyDescent="0.35">
      <c r="B1002" s="1">
        <v>43947</v>
      </c>
      <c r="C1002" s="1" t="str">
        <f>TEXT(Sales[[#This Row],[Kode Program/Kegiatan ]],"D")</f>
        <v>26</v>
      </c>
      <c r="D1002" s="2" t="str">
        <f>TEXT(Sales[[#This Row],[Kode Program/Kegiatan ]],"mmm")</f>
        <v>Apr</v>
      </c>
      <c r="E1002" s="3">
        <v>4</v>
      </c>
      <c r="F1002" s="2">
        <v>2</v>
      </c>
      <c r="G1002" s="3">
        <f>IF(Sales[[#This Row],[Anggaran Murni]]-Sales[[#This Row],[Target s.d. Januari]]=0,"",Sales[[#This Row],[Anggaran Murni]]-Sales[[#This Row],[Target s.d. Januari]])</f>
        <v>2</v>
      </c>
      <c r="H1002" s="2" t="s">
        <v>114</v>
      </c>
      <c r="I1002" s="3" t="s">
        <v>3</v>
      </c>
      <c r="J1002" s="3"/>
      <c r="K1002" s="2" t="s">
        <v>48</v>
      </c>
      <c r="L1002" s="2" t="s">
        <v>2</v>
      </c>
      <c r="M1002" s="4" t="s">
        <v>67</v>
      </c>
      <c r="N1002" s="3" t="s">
        <v>81</v>
      </c>
      <c r="O1002" s="2" t="s">
        <v>14</v>
      </c>
      <c r="P1002" s="10"/>
      <c r="Q1002" s="11"/>
    </row>
    <row r="1003" spans="2:17" ht="21" customHeight="1" x14ac:dyDescent="0.35">
      <c r="B1003" s="18">
        <v>43947</v>
      </c>
      <c r="C1003" s="18" t="str">
        <f>TEXT(Sales[[#This Row],[Kode Program/Kegiatan ]],"D")</f>
        <v>26</v>
      </c>
      <c r="D1003" s="19" t="str">
        <f>TEXT(Sales[[#This Row],[Kode Program/Kegiatan ]],"mmm")</f>
        <v>Apr</v>
      </c>
      <c r="E1003" s="20">
        <v>4</v>
      </c>
      <c r="F1003" s="19">
        <v>2</v>
      </c>
      <c r="G1003" s="20">
        <f>IF(Sales[[#This Row],[Anggaran Murni]]-Sales[[#This Row],[Target s.d. Januari]]=0,"",Sales[[#This Row],[Anggaran Murni]]-Sales[[#This Row],[Target s.d. Januari]])</f>
        <v>2</v>
      </c>
      <c r="H1003" s="19" t="s">
        <v>113</v>
      </c>
      <c r="I1003" s="20" t="s">
        <v>77</v>
      </c>
      <c r="J1003" s="20"/>
      <c r="K1003" s="19" t="s">
        <v>17</v>
      </c>
      <c r="L1003" s="19" t="s">
        <v>2</v>
      </c>
      <c r="M1003" s="21" t="s">
        <v>67</v>
      </c>
      <c r="N1003" s="20" t="s">
        <v>82</v>
      </c>
      <c r="O1003" s="19" t="s">
        <v>11</v>
      </c>
      <c r="P1003" s="10"/>
      <c r="Q1003" s="11"/>
    </row>
    <row r="1004" spans="2:17" ht="21" customHeight="1" x14ac:dyDescent="0.35">
      <c r="B1004" s="1">
        <v>43947</v>
      </c>
      <c r="C1004" s="1" t="str">
        <f>TEXT(Sales[[#This Row],[Kode Program/Kegiatan ]],"D")</f>
        <v>26</v>
      </c>
      <c r="D1004" s="2" t="str">
        <f>TEXT(Sales[[#This Row],[Kode Program/Kegiatan ]],"mmm")</f>
        <v>Apr</v>
      </c>
      <c r="E1004" s="3">
        <v>3</v>
      </c>
      <c r="F1004" s="2">
        <v>2</v>
      </c>
      <c r="G1004" s="3">
        <f>IF(Sales[[#This Row],[Anggaran Murni]]-Sales[[#This Row],[Target s.d. Januari]]=0,"",Sales[[#This Row],[Anggaran Murni]]-Sales[[#This Row],[Target s.d. Januari]])</f>
        <v>1</v>
      </c>
      <c r="H1004" s="2" t="s">
        <v>74</v>
      </c>
      <c r="I1004" s="3" t="s">
        <v>77</v>
      </c>
      <c r="J1004" s="3"/>
      <c r="K1004" s="2" t="s">
        <v>32</v>
      </c>
      <c r="L1004" s="2" t="s">
        <v>2</v>
      </c>
      <c r="M1004" s="4" t="s">
        <v>67</v>
      </c>
      <c r="N1004" s="3" t="s">
        <v>81</v>
      </c>
      <c r="O1004" s="2" t="s">
        <v>14</v>
      </c>
      <c r="P1004" s="10"/>
      <c r="Q1004" s="11"/>
    </row>
    <row r="1005" spans="2:17" ht="21" customHeight="1" x14ac:dyDescent="0.35">
      <c r="B1005" s="18">
        <v>43947</v>
      </c>
      <c r="C1005" s="18" t="str">
        <f>TEXT(Sales[[#This Row],[Kode Program/Kegiatan ]],"D")</f>
        <v>26</v>
      </c>
      <c r="D1005" s="19" t="str">
        <f>TEXT(Sales[[#This Row],[Kode Program/Kegiatan ]],"mmm")</f>
        <v>Apr</v>
      </c>
      <c r="E1005" s="20">
        <v>3</v>
      </c>
      <c r="F1005" s="19">
        <v>2</v>
      </c>
      <c r="G1005" s="20">
        <f>IF(Sales[[#This Row],[Anggaran Murni]]-Sales[[#This Row],[Target s.d. Januari]]=0,"",Sales[[#This Row],[Anggaran Murni]]-Sales[[#This Row],[Target s.d. Januari]])</f>
        <v>1</v>
      </c>
      <c r="H1005" s="19" t="s">
        <v>114</v>
      </c>
      <c r="I1005" s="20" t="s">
        <v>3</v>
      </c>
      <c r="J1005" s="20"/>
      <c r="K1005" s="19" t="s">
        <v>60</v>
      </c>
      <c r="L1005" s="19" t="s">
        <v>2</v>
      </c>
      <c r="M1005" s="21" t="s">
        <v>67</v>
      </c>
      <c r="N1005" s="20" t="s">
        <v>81</v>
      </c>
      <c r="O1005" s="19" t="s">
        <v>11</v>
      </c>
      <c r="P1005" s="10"/>
      <c r="Q1005" s="11"/>
    </row>
    <row r="1006" spans="2:17" ht="21" customHeight="1" x14ac:dyDescent="0.35">
      <c r="B1006" s="1">
        <v>43948</v>
      </c>
      <c r="C1006" s="1" t="str">
        <f>TEXT(Sales[[#This Row],[Kode Program/Kegiatan ]],"D")</f>
        <v>27</v>
      </c>
      <c r="D1006" s="2" t="str">
        <f>TEXT(Sales[[#This Row],[Kode Program/Kegiatan ]],"mmm")</f>
        <v>Apr</v>
      </c>
      <c r="E1006" s="3">
        <v>10</v>
      </c>
      <c r="F1006" s="2">
        <v>8</v>
      </c>
      <c r="G1006" s="3">
        <f>IF(Sales[[#This Row],[Anggaran Murni]]-Sales[[#This Row],[Target s.d. Januari]]=0,"",Sales[[#This Row],[Anggaran Murni]]-Sales[[#This Row],[Target s.d. Januari]])</f>
        <v>2</v>
      </c>
      <c r="H1006" s="2" t="s">
        <v>76</v>
      </c>
      <c r="I1006" s="3" t="s">
        <v>79</v>
      </c>
      <c r="J1006" s="3"/>
      <c r="K1006" s="2" t="s">
        <v>39</v>
      </c>
      <c r="L1006" s="2" t="s">
        <v>5</v>
      </c>
      <c r="M1006" s="4" t="s">
        <v>67</v>
      </c>
      <c r="N1006" s="3" t="s">
        <v>80</v>
      </c>
      <c r="O1006" s="2" t="s">
        <v>11</v>
      </c>
      <c r="P1006" s="10"/>
      <c r="Q1006" s="11"/>
    </row>
    <row r="1007" spans="2:17" ht="21" customHeight="1" x14ac:dyDescent="0.35">
      <c r="B1007" s="18">
        <v>43948</v>
      </c>
      <c r="C1007" s="18" t="str">
        <f>TEXT(Sales[[#This Row],[Kode Program/Kegiatan ]],"D")</f>
        <v>27</v>
      </c>
      <c r="D1007" s="19" t="str">
        <f>TEXT(Sales[[#This Row],[Kode Program/Kegiatan ]],"mmm")</f>
        <v>Apr</v>
      </c>
      <c r="E1007" s="20">
        <v>10</v>
      </c>
      <c r="F1007" s="19">
        <v>6</v>
      </c>
      <c r="G1007" s="20">
        <f>IF(Sales[[#This Row],[Anggaran Murni]]-Sales[[#This Row],[Target s.d. Januari]]=0,"",Sales[[#This Row],[Anggaran Murni]]-Sales[[#This Row],[Target s.d. Januari]])</f>
        <v>4</v>
      </c>
      <c r="H1007" s="19" t="s">
        <v>76</v>
      </c>
      <c r="I1007" s="20" t="s">
        <v>79</v>
      </c>
      <c r="J1007" s="20"/>
      <c r="K1007" s="19" t="s">
        <v>58</v>
      </c>
      <c r="L1007" s="19" t="s">
        <v>4</v>
      </c>
      <c r="M1007" s="21" t="s">
        <v>67</v>
      </c>
      <c r="N1007" s="20" t="s">
        <v>80</v>
      </c>
      <c r="O1007" s="19" t="s">
        <v>13</v>
      </c>
      <c r="P1007" s="10"/>
      <c r="Q1007" s="11"/>
    </row>
    <row r="1008" spans="2:17" ht="21" customHeight="1" x14ac:dyDescent="0.35">
      <c r="B1008" s="1">
        <v>43948</v>
      </c>
      <c r="C1008" s="1" t="str">
        <f>TEXT(Sales[[#This Row],[Kode Program/Kegiatan ]],"D")</f>
        <v>27</v>
      </c>
      <c r="D1008" s="2" t="str">
        <f>TEXT(Sales[[#This Row],[Kode Program/Kegiatan ]],"mmm")</f>
        <v>Apr</v>
      </c>
      <c r="E1008" s="3">
        <v>7</v>
      </c>
      <c r="F1008" s="2">
        <v>6</v>
      </c>
      <c r="G1008" s="3">
        <f>IF(Sales[[#This Row],[Anggaran Murni]]-Sales[[#This Row],[Target s.d. Januari]]=0,"",Sales[[#This Row],[Anggaran Murni]]-Sales[[#This Row],[Target s.d. Januari]])</f>
        <v>1</v>
      </c>
      <c r="H1008" s="2" t="s">
        <v>71</v>
      </c>
      <c r="I1008" s="3" t="s">
        <v>6</v>
      </c>
      <c r="J1008" s="3"/>
      <c r="K1008" s="2" t="s">
        <v>46</v>
      </c>
      <c r="L1008" s="2" t="s">
        <v>2</v>
      </c>
      <c r="M1008" s="4" t="s">
        <v>67</v>
      </c>
      <c r="N1008" s="3" t="s">
        <v>80</v>
      </c>
      <c r="O1008" s="2" t="s">
        <v>12</v>
      </c>
      <c r="P1008" s="10"/>
      <c r="Q1008" s="11"/>
    </row>
    <row r="1009" spans="2:17" ht="21" customHeight="1" x14ac:dyDescent="0.35">
      <c r="B1009" s="18">
        <v>43948</v>
      </c>
      <c r="C1009" s="18" t="str">
        <f>TEXT(Sales[[#This Row],[Kode Program/Kegiatan ]],"D")</f>
        <v>27</v>
      </c>
      <c r="D1009" s="19" t="str">
        <f>TEXT(Sales[[#This Row],[Kode Program/Kegiatan ]],"mmm")</f>
        <v>Apr</v>
      </c>
      <c r="E1009" s="20">
        <v>6</v>
      </c>
      <c r="F1009" s="19">
        <v>3</v>
      </c>
      <c r="G1009" s="20">
        <f>IF(Sales[[#This Row],[Anggaran Murni]]-Sales[[#This Row],[Target s.d. Januari]]=0,"",Sales[[#This Row],[Anggaran Murni]]-Sales[[#This Row],[Target s.d. Januari]])</f>
        <v>3</v>
      </c>
      <c r="H1009" s="19" t="s">
        <v>76</v>
      </c>
      <c r="I1009" s="20" t="s">
        <v>79</v>
      </c>
      <c r="J1009" s="20"/>
      <c r="K1009" s="19" t="s">
        <v>42</v>
      </c>
      <c r="L1009" s="19" t="s">
        <v>5</v>
      </c>
      <c r="M1009" s="21" t="s">
        <v>67</v>
      </c>
      <c r="N1009" s="20" t="s">
        <v>81</v>
      </c>
      <c r="O1009" s="19" t="s">
        <v>13</v>
      </c>
      <c r="P1009" s="10"/>
      <c r="Q1009" s="11"/>
    </row>
    <row r="1010" spans="2:17" ht="21" customHeight="1" x14ac:dyDescent="0.35">
      <c r="B1010" s="1">
        <v>43948</v>
      </c>
      <c r="C1010" s="1" t="str">
        <f>TEXT(Sales[[#This Row],[Kode Program/Kegiatan ]],"D")</f>
        <v>27</v>
      </c>
      <c r="D1010" s="2" t="str">
        <f>TEXT(Sales[[#This Row],[Kode Program/Kegiatan ]],"mmm")</f>
        <v>Apr</v>
      </c>
      <c r="E1010" s="3">
        <v>6</v>
      </c>
      <c r="F1010" s="2">
        <v>3</v>
      </c>
      <c r="G1010" s="3">
        <f>IF(Sales[[#This Row],[Anggaran Murni]]-Sales[[#This Row],[Target s.d. Januari]]=0,"",Sales[[#This Row],[Anggaran Murni]]-Sales[[#This Row],[Target s.d. Januari]])</f>
        <v>3</v>
      </c>
      <c r="H1010" s="2" t="s">
        <v>73</v>
      </c>
      <c r="I1010" s="3" t="s">
        <v>78</v>
      </c>
      <c r="J1010" s="3"/>
      <c r="K1010" s="2" t="s">
        <v>50</v>
      </c>
      <c r="L1010" s="2" t="s">
        <v>2</v>
      </c>
      <c r="M1010" s="4" t="s">
        <v>67</v>
      </c>
      <c r="N1010" s="3" t="s">
        <v>81</v>
      </c>
      <c r="O1010" s="2" t="s">
        <v>11</v>
      </c>
      <c r="P1010" s="10"/>
      <c r="Q1010" s="11"/>
    </row>
    <row r="1011" spans="2:17" ht="21" customHeight="1" x14ac:dyDescent="0.35">
      <c r="B1011" s="18">
        <v>43948</v>
      </c>
      <c r="C1011" s="18" t="str">
        <f>TEXT(Sales[[#This Row],[Kode Program/Kegiatan ]],"D")</f>
        <v>27</v>
      </c>
      <c r="D1011" s="19" t="str">
        <f>TEXT(Sales[[#This Row],[Kode Program/Kegiatan ]],"mmm")</f>
        <v>Apr</v>
      </c>
      <c r="E1011" s="20">
        <v>4</v>
      </c>
      <c r="F1011" s="19">
        <v>2</v>
      </c>
      <c r="G1011" s="20">
        <f>IF(Sales[[#This Row],[Anggaran Murni]]-Sales[[#This Row],[Target s.d. Januari]]=0,"",Sales[[#This Row],[Anggaran Murni]]-Sales[[#This Row],[Target s.d. Januari]])</f>
        <v>2</v>
      </c>
      <c r="H1011" s="19" t="s">
        <v>70</v>
      </c>
      <c r="I1011" s="20" t="s">
        <v>1</v>
      </c>
      <c r="J1011" s="20"/>
      <c r="K1011" s="19" t="s">
        <v>52</v>
      </c>
      <c r="L1011" s="19" t="s">
        <v>2</v>
      </c>
      <c r="M1011" s="21" t="s">
        <v>67</v>
      </c>
      <c r="N1011" s="20" t="s">
        <v>80</v>
      </c>
      <c r="O1011" s="19" t="s">
        <v>12</v>
      </c>
      <c r="P1011" s="10"/>
      <c r="Q1011" s="11"/>
    </row>
    <row r="1012" spans="2:17" ht="21" customHeight="1" x14ac:dyDescent="0.35">
      <c r="B1012" s="1">
        <v>43948</v>
      </c>
      <c r="C1012" s="1" t="str">
        <f>TEXT(Sales[[#This Row],[Kode Program/Kegiatan ]],"D")</f>
        <v>27</v>
      </c>
      <c r="D1012" s="2" t="str">
        <f>TEXT(Sales[[#This Row],[Kode Program/Kegiatan ]],"mmm")</f>
        <v>Apr</v>
      </c>
      <c r="E1012" s="3">
        <v>4</v>
      </c>
      <c r="F1012" s="2">
        <v>2</v>
      </c>
      <c r="G1012" s="3">
        <f>IF(Sales[[#This Row],[Anggaran Murni]]-Sales[[#This Row],[Target s.d. Januari]]=0,"",Sales[[#This Row],[Anggaran Murni]]-Sales[[#This Row],[Target s.d. Januari]])</f>
        <v>2</v>
      </c>
      <c r="H1012" s="2" t="s">
        <v>74</v>
      </c>
      <c r="I1012" s="3" t="s">
        <v>77</v>
      </c>
      <c r="J1012" s="3"/>
      <c r="K1012" s="2" t="s">
        <v>24</v>
      </c>
      <c r="L1012" s="2" t="s">
        <v>2</v>
      </c>
      <c r="M1012" s="4" t="s">
        <v>67</v>
      </c>
      <c r="N1012" s="3" t="s">
        <v>80</v>
      </c>
      <c r="O1012" s="2" t="s">
        <v>13</v>
      </c>
      <c r="P1012" s="10"/>
      <c r="Q1012" s="11"/>
    </row>
    <row r="1013" spans="2:17" ht="21" customHeight="1" x14ac:dyDescent="0.35">
      <c r="B1013" s="18">
        <v>43948</v>
      </c>
      <c r="C1013" s="18" t="str">
        <f>TEXT(Sales[[#This Row],[Kode Program/Kegiatan ]],"D")</f>
        <v>27</v>
      </c>
      <c r="D1013" s="19" t="str">
        <f>TEXT(Sales[[#This Row],[Kode Program/Kegiatan ]],"mmm")</f>
        <v>Apr</v>
      </c>
      <c r="E1013" s="20">
        <v>3</v>
      </c>
      <c r="F1013" s="19">
        <v>2</v>
      </c>
      <c r="G1013" s="20">
        <f>IF(Sales[[#This Row],[Anggaran Murni]]-Sales[[#This Row],[Target s.d. Januari]]=0,"",Sales[[#This Row],[Anggaran Murni]]-Sales[[#This Row],[Target s.d. Januari]])</f>
        <v>1</v>
      </c>
      <c r="H1013" s="19" t="s">
        <v>76</v>
      </c>
      <c r="I1013" s="20" t="s">
        <v>79</v>
      </c>
      <c r="J1013" s="20"/>
      <c r="K1013" s="19" t="s">
        <v>16</v>
      </c>
      <c r="L1013" s="19" t="s">
        <v>5</v>
      </c>
      <c r="M1013" s="21" t="s">
        <v>67</v>
      </c>
      <c r="N1013" s="20" t="s">
        <v>81</v>
      </c>
      <c r="O1013" s="19" t="s">
        <v>12</v>
      </c>
      <c r="P1013" s="10"/>
      <c r="Q1013" s="11"/>
    </row>
    <row r="1014" spans="2:17" ht="21" customHeight="1" x14ac:dyDescent="0.35">
      <c r="B1014" s="1">
        <v>43948</v>
      </c>
      <c r="C1014" s="1" t="str">
        <f>TEXT(Sales[[#This Row],[Kode Program/Kegiatan ]],"D")</f>
        <v>27</v>
      </c>
      <c r="D1014" s="2" t="str">
        <f>TEXT(Sales[[#This Row],[Kode Program/Kegiatan ]],"mmm")</f>
        <v>Apr</v>
      </c>
      <c r="E1014" s="3">
        <v>3</v>
      </c>
      <c r="F1014" s="2">
        <v>1</v>
      </c>
      <c r="G1014" s="3">
        <f>IF(Sales[[#This Row],[Anggaran Murni]]-Sales[[#This Row],[Target s.d. Januari]]=0,"",Sales[[#This Row],[Anggaran Murni]]-Sales[[#This Row],[Target s.d. Januari]])</f>
        <v>2</v>
      </c>
      <c r="H1014" s="2" t="s">
        <v>75</v>
      </c>
      <c r="I1014" s="3" t="s">
        <v>6</v>
      </c>
      <c r="J1014" s="3"/>
      <c r="K1014" s="2" t="s">
        <v>18</v>
      </c>
      <c r="L1014" s="2" t="s">
        <v>5</v>
      </c>
      <c r="M1014" s="4" t="s">
        <v>67</v>
      </c>
      <c r="N1014" s="3" t="s">
        <v>81</v>
      </c>
      <c r="O1014" s="2" t="s">
        <v>14</v>
      </c>
      <c r="P1014" s="10"/>
      <c r="Q1014" s="11"/>
    </row>
    <row r="1015" spans="2:17" ht="21" customHeight="1" x14ac:dyDescent="0.35">
      <c r="B1015" s="18">
        <v>43949</v>
      </c>
      <c r="C1015" s="18" t="str">
        <f>TEXT(Sales[[#This Row],[Kode Program/Kegiatan ]],"D")</f>
        <v>28</v>
      </c>
      <c r="D1015" s="19" t="str">
        <f>TEXT(Sales[[#This Row],[Kode Program/Kegiatan ]],"mmm")</f>
        <v>Apr</v>
      </c>
      <c r="E1015" s="20">
        <v>10</v>
      </c>
      <c r="F1015" s="19">
        <v>6</v>
      </c>
      <c r="G1015" s="20">
        <f>IF(Sales[[#This Row],[Anggaran Murni]]-Sales[[#This Row],[Target s.d. Januari]]=0,"",Sales[[#This Row],[Anggaran Murni]]-Sales[[#This Row],[Target s.d. Januari]])</f>
        <v>4</v>
      </c>
      <c r="H1015" s="19" t="s">
        <v>76</v>
      </c>
      <c r="I1015" s="20" t="s">
        <v>79</v>
      </c>
      <c r="J1015" s="20"/>
      <c r="K1015" s="19" t="s">
        <v>22</v>
      </c>
      <c r="L1015" s="19" t="s">
        <v>5</v>
      </c>
      <c r="M1015" s="21" t="s">
        <v>67</v>
      </c>
      <c r="N1015" s="20" t="s">
        <v>82</v>
      </c>
      <c r="O1015" s="19" t="s">
        <v>11</v>
      </c>
      <c r="P1015" s="10"/>
      <c r="Q1015" s="11"/>
    </row>
    <row r="1016" spans="2:17" ht="21" customHeight="1" x14ac:dyDescent="0.35">
      <c r="B1016" s="1">
        <v>43949</v>
      </c>
      <c r="C1016" s="1" t="str">
        <f>TEXT(Sales[[#This Row],[Kode Program/Kegiatan ]],"D")</f>
        <v>28</v>
      </c>
      <c r="D1016" s="2" t="str">
        <f>TEXT(Sales[[#This Row],[Kode Program/Kegiatan ]],"mmm")</f>
        <v>Apr</v>
      </c>
      <c r="E1016" s="3">
        <v>9</v>
      </c>
      <c r="F1016" s="2">
        <v>7</v>
      </c>
      <c r="G1016" s="3">
        <f>IF(Sales[[#This Row],[Anggaran Murni]]-Sales[[#This Row],[Target s.d. Januari]]=0,"",Sales[[#This Row],[Anggaran Murni]]-Sales[[#This Row],[Target s.d. Januari]])</f>
        <v>2</v>
      </c>
      <c r="H1016" s="2" t="s">
        <v>70</v>
      </c>
      <c r="I1016" s="3" t="s">
        <v>1</v>
      </c>
      <c r="J1016" s="3"/>
      <c r="K1016" s="2" t="s">
        <v>29</v>
      </c>
      <c r="L1016" s="2" t="s">
        <v>5</v>
      </c>
      <c r="M1016" s="4" t="s">
        <v>67</v>
      </c>
      <c r="N1016" s="3" t="s">
        <v>82</v>
      </c>
      <c r="O1016" s="2" t="s">
        <v>12</v>
      </c>
      <c r="P1016" s="10"/>
      <c r="Q1016" s="11"/>
    </row>
    <row r="1017" spans="2:17" ht="21" customHeight="1" x14ac:dyDescent="0.35">
      <c r="B1017" s="18">
        <v>43949</v>
      </c>
      <c r="C1017" s="18" t="str">
        <f>TEXT(Sales[[#This Row],[Kode Program/Kegiatan ]],"D")</f>
        <v>28</v>
      </c>
      <c r="D1017" s="19" t="str">
        <f>TEXT(Sales[[#This Row],[Kode Program/Kegiatan ]],"mmm")</f>
        <v>Apr</v>
      </c>
      <c r="E1017" s="20">
        <v>9</v>
      </c>
      <c r="F1017" s="19">
        <v>8</v>
      </c>
      <c r="G1017" s="20">
        <f>IF(Sales[[#This Row],[Anggaran Murni]]-Sales[[#This Row],[Target s.d. Januari]]=0,"",Sales[[#This Row],[Anggaran Murni]]-Sales[[#This Row],[Target s.d. Januari]])</f>
        <v>1</v>
      </c>
      <c r="H1017" s="19" t="s">
        <v>76</v>
      </c>
      <c r="I1017" s="20" t="s">
        <v>79</v>
      </c>
      <c r="J1017" s="20"/>
      <c r="K1017" s="19" t="s">
        <v>58</v>
      </c>
      <c r="L1017" s="19" t="s">
        <v>2</v>
      </c>
      <c r="M1017" s="21" t="s">
        <v>67</v>
      </c>
      <c r="N1017" s="20" t="s">
        <v>81</v>
      </c>
      <c r="O1017" s="19" t="s">
        <v>14</v>
      </c>
      <c r="P1017" s="10"/>
      <c r="Q1017" s="11"/>
    </row>
    <row r="1018" spans="2:17" ht="21" customHeight="1" x14ac:dyDescent="0.35">
      <c r="B1018" s="1">
        <v>43949</v>
      </c>
      <c r="C1018" s="1" t="str">
        <f>TEXT(Sales[[#This Row],[Kode Program/Kegiatan ]],"D")</f>
        <v>28</v>
      </c>
      <c r="D1018" s="2" t="str">
        <f>TEXT(Sales[[#This Row],[Kode Program/Kegiatan ]],"mmm")</f>
        <v>Apr</v>
      </c>
      <c r="E1018" s="3">
        <v>8</v>
      </c>
      <c r="F1018" s="2">
        <v>5</v>
      </c>
      <c r="G1018" s="3">
        <f>IF(Sales[[#This Row],[Anggaran Murni]]-Sales[[#This Row],[Target s.d. Januari]]=0,"",Sales[[#This Row],[Anggaran Murni]]-Sales[[#This Row],[Target s.d. Januari]])</f>
        <v>3</v>
      </c>
      <c r="H1018" s="2" t="s">
        <v>113</v>
      </c>
      <c r="I1018" s="3" t="s">
        <v>77</v>
      </c>
      <c r="J1018" s="3"/>
      <c r="K1018" s="2" t="s">
        <v>29</v>
      </c>
      <c r="L1018" s="2" t="s">
        <v>8</v>
      </c>
      <c r="M1018" s="4" t="s">
        <v>67</v>
      </c>
      <c r="N1018" s="3" t="s">
        <v>80</v>
      </c>
      <c r="O1018" s="2" t="s">
        <v>11</v>
      </c>
      <c r="P1018" s="10"/>
      <c r="Q1018" s="11"/>
    </row>
    <row r="1019" spans="2:17" ht="21" customHeight="1" x14ac:dyDescent="0.35">
      <c r="B1019" s="18">
        <v>43949</v>
      </c>
      <c r="C1019" s="18" t="str">
        <f>TEXT(Sales[[#This Row],[Kode Program/Kegiatan ]],"D")</f>
        <v>28</v>
      </c>
      <c r="D1019" s="19" t="str">
        <f>TEXT(Sales[[#This Row],[Kode Program/Kegiatan ]],"mmm")</f>
        <v>Apr</v>
      </c>
      <c r="E1019" s="20">
        <v>7</v>
      </c>
      <c r="F1019" s="19">
        <v>4</v>
      </c>
      <c r="G1019" s="20">
        <f>IF(Sales[[#This Row],[Anggaran Murni]]-Sales[[#This Row],[Target s.d. Januari]]=0,"",Sales[[#This Row],[Anggaran Murni]]-Sales[[#This Row],[Target s.d. Januari]])</f>
        <v>3</v>
      </c>
      <c r="H1019" s="19" t="s">
        <v>75</v>
      </c>
      <c r="I1019" s="20" t="s">
        <v>6</v>
      </c>
      <c r="J1019" s="20"/>
      <c r="K1019" s="19" t="s">
        <v>47</v>
      </c>
      <c r="L1019" s="19" t="s">
        <v>2</v>
      </c>
      <c r="M1019" s="21" t="s">
        <v>67</v>
      </c>
      <c r="N1019" s="20" t="s">
        <v>82</v>
      </c>
      <c r="O1019" s="19" t="s">
        <v>11</v>
      </c>
      <c r="P1019" s="10"/>
      <c r="Q1019" s="11"/>
    </row>
    <row r="1020" spans="2:17" ht="21" customHeight="1" x14ac:dyDescent="0.35">
      <c r="B1020" s="1">
        <v>43949</v>
      </c>
      <c r="C1020" s="1" t="str">
        <f>TEXT(Sales[[#This Row],[Kode Program/Kegiatan ]],"D")</f>
        <v>28</v>
      </c>
      <c r="D1020" s="2" t="str">
        <f>TEXT(Sales[[#This Row],[Kode Program/Kegiatan ]],"mmm")</f>
        <v>Apr</v>
      </c>
      <c r="E1020" s="3">
        <v>7</v>
      </c>
      <c r="F1020" s="2">
        <v>4</v>
      </c>
      <c r="G1020" s="3">
        <f>IF(Sales[[#This Row],[Anggaran Murni]]-Sales[[#This Row],[Target s.d. Januari]]=0,"",Sales[[#This Row],[Anggaran Murni]]-Sales[[#This Row],[Target s.d. Januari]])</f>
        <v>3</v>
      </c>
      <c r="H1020" s="2" t="s">
        <v>71</v>
      </c>
      <c r="I1020" s="3" t="s">
        <v>6</v>
      </c>
      <c r="J1020" s="3"/>
      <c r="K1020" s="2" t="s">
        <v>31</v>
      </c>
      <c r="L1020" s="2" t="s">
        <v>5</v>
      </c>
      <c r="M1020" s="4" t="s">
        <v>67</v>
      </c>
      <c r="N1020" s="3" t="s">
        <v>80</v>
      </c>
      <c r="O1020" s="2" t="s">
        <v>14</v>
      </c>
      <c r="P1020" s="10"/>
      <c r="Q1020" s="11"/>
    </row>
    <row r="1021" spans="2:17" ht="21" customHeight="1" x14ac:dyDescent="0.35">
      <c r="B1021" s="18">
        <v>43949</v>
      </c>
      <c r="C1021" s="18" t="str">
        <f>TEXT(Sales[[#This Row],[Kode Program/Kegiatan ]],"D")</f>
        <v>28</v>
      </c>
      <c r="D1021" s="19" t="str">
        <f>TEXT(Sales[[#This Row],[Kode Program/Kegiatan ]],"mmm")</f>
        <v>Apr</v>
      </c>
      <c r="E1021" s="20">
        <v>6</v>
      </c>
      <c r="F1021" s="19">
        <v>4</v>
      </c>
      <c r="G1021" s="20">
        <f>IF(Sales[[#This Row],[Anggaran Murni]]-Sales[[#This Row],[Target s.d. Januari]]=0,"",Sales[[#This Row],[Anggaran Murni]]-Sales[[#This Row],[Target s.d. Januari]])</f>
        <v>2</v>
      </c>
      <c r="H1021" s="19" t="s">
        <v>113</v>
      </c>
      <c r="I1021" s="20" t="s">
        <v>77</v>
      </c>
      <c r="J1021" s="20"/>
      <c r="K1021" s="19" t="s">
        <v>18</v>
      </c>
      <c r="L1021" s="19" t="s">
        <v>2</v>
      </c>
      <c r="M1021" s="21" t="s">
        <v>67</v>
      </c>
      <c r="N1021" s="20" t="s">
        <v>82</v>
      </c>
      <c r="O1021" s="19" t="s">
        <v>14</v>
      </c>
      <c r="P1021" s="10"/>
      <c r="Q1021" s="11"/>
    </row>
    <row r="1022" spans="2:17" ht="21" customHeight="1" x14ac:dyDescent="0.35">
      <c r="B1022" s="1">
        <v>43949</v>
      </c>
      <c r="C1022" s="1" t="str">
        <f>TEXT(Sales[[#This Row],[Kode Program/Kegiatan ]],"D")</f>
        <v>28</v>
      </c>
      <c r="D1022" s="2" t="str">
        <f>TEXT(Sales[[#This Row],[Kode Program/Kegiatan ]],"mmm")</f>
        <v>Apr</v>
      </c>
      <c r="E1022" s="3">
        <v>6</v>
      </c>
      <c r="F1022" s="2">
        <v>4</v>
      </c>
      <c r="G1022" s="3">
        <f>IF(Sales[[#This Row],[Anggaran Murni]]-Sales[[#This Row],[Target s.d. Januari]]=0,"",Sales[[#This Row],[Anggaran Murni]]-Sales[[#This Row],[Target s.d. Januari]])</f>
        <v>2</v>
      </c>
      <c r="H1022" s="2" t="s">
        <v>74</v>
      </c>
      <c r="I1022" s="3" t="s">
        <v>77</v>
      </c>
      <c r="J1022" s="3"/>
      <c r="K1022" s="2" t="s">
        <v>26</v>
      </c>
      <c r="L1022" s="2" t="s">
        <v>5</v>
      </c>
      <c r="M1022" s="4" t="s">
        <v>67</v>
      </c>
      <c r="N1022" s="3" t="s">
        <v>80</v>
      </c>
      <c r="O1022" s="2" t="s">
        <v>12</v>
      </c>
      <c r="P1022" s="10"/>
      <c r="Q1022" s="11"/>
    </row>
    <row r="1023" spans="2:17" ht="21" customHeight="1" x14ac:dyDescent="0.35">
      <c r="B1023" s="18">
        <v>43949</v>
      </c>
      <c r="C1023" s="18" t="str">
        <f>TEXT(Sales[[#This Row],[Kode Program/Kegiatan ]],"D")</f>
        <v>28</v>
      </c>
      <c r="D1023" s="19" t="str">
        <f>TEXT(Sales[[#This Row],[Kode Program/Kegiatan ]],"mmm")</f>
        <v>Apr</v>
      </c>
      <c r="E1023" s="20">
        <v>6</v>
      </c>
      <c r="F1023" s="19">
        <v>3</v>
      </c>
      <c r="G1023" s="20">
        <f>IF(Sales[[#This Row],[Anggaran Murni]]-Sales[[#This Row],[Target s.d. Januari]]=0,"",Sales[[#This Row],[Anggaran Murni]]-Sales[[#This Row],[Target s.d. Januari]])</f>
        <v>3</v>
      </c>
      <c r="H1023" s="19" t="s">
        <v>71</v>
      </c>
      <c r="I1023" s="20" t="s">
        <v>6</v>
      </c>
      <c r="J1023" s="20"/>
      <c r="K1023" s="19" t="s">
        <v>24</v>
      </c>
      <c r="L1023" s="19" t="s">
        <v>5</v>
      </c>
      <c r="M1023" s="21" t="s">
        <v>67</v>
      </c>
      <c r="N1023" s="20" t="s">
        <v>82</v>
      </c>
      <c r="O1023" s="19" t="s">
        <v>13</v>
      </c>
      <c r="P1023" s="10"/>
      <c r="Q1023" s="11"/>
    </row>
    <row r="1024" spans="2:17" ht="21" customHeight="1" x14ac:dyDescent="0.35">
      <c r="B1024" s="1">
        <v>43949</v>
      </c>
      <c r="C1024" s="1" t="str">
        <f>TEXT(Sales[[#This Row],[Kode Program/Kegiatan ]],"D")</f>
        <v>28</v>
      </c>
      <c r="D1024" s="2" t="str">
        <f>TEXT(Sales[[#This Row],[Kode Program/Kegiatan ]],"mmm")</f>
        <v>Apr</v>
      </c>
      <c r="E1024" s="3">
        <v>5</v>
      </c>
      <c r="F1024" s="2">
        <v>4</v>
      </c>
      <c r="G1024" s="3">
        <f>IF(Sales[[#This Row],[Anggaran Murni]]-Sales[[#This Row],[Target s.d. Januari]]=0,"",Sales[[#This Row],[Anggaran Murni]]-Sales[[#This Row],[Target s.d. Januari]])</f>
        <v>1</v>
      </c>
      <c r="H1024" s="2" t="s">
        <v>76</v>
      </c>
      <c r="I1024" s="3" t="s">
        <v>79</v>
      </c>
      <c r="J1024" s="3"/>
      <c r="K1024" s="2" t="s">
        <v>59</v>
      </c>
      <c r="L1024" s="2" t="s">
        <v>9</v>
      </c>
      <c r="M1024" s="4" t="s">
        <v>67</v>
      </c>
      <c r="N1024" s="3" t="s">
        <v>80</v>
      </c>
      <c r="O1024" s="2" t="s">
        <v>14</v>
      </c>
      <c r="P1024" s="10"/>
      <c r="Q1024" s="11"/>
    </row>
    <row r="1025" spans="2:17" ht="21" customHeight="1" x14ac:dyDescent="0.35">
      <c r="B1025" s="18">
        <v>43949</v>
      </c>
      <c r="C1025" s="18" t="str">
        <f>TEXT(Sales[[#This Row],[Kode Program/Kegiatan ]],"D")</f>
        <v>28</v>
      </c>
      <c r="D1025" s="19" t="str">
        <f>TEXT(Sales[[#This Row],[Kode Program/Kegiatan ]],"mmm")</f>
        <v>Apr</v>
      </c>
      <c r="E1025" s="20">
        <v>4</v>
      </c>
      <c r="F1025" s="19">
        <v>2</v>
      </c>
      <c r="G1025" s="20">
        <f>IF(Sales[[#This Row],[Anggaran Murni]]-Sales[[#This Row],[Target s.d. Januari]]=0,"",Sales[[#This Row],[Anggaran Murni]]-Sales[[#This Row],[Target s.d. Januari]])</f>
        <v>2</v>
      </c>
      <c r="H1025" s="19" t="s">
        <v>72</v>
      </c>
      <c r="I1025" s="20" t="s">
        <v>78</v>
      </c>
      <c r="J1025" s="20"/>
      <c r="K1025" s="19" t="s">
        <v>38</v>
      </c>
      <c r="L1025" s="19" t="s">
        <v>2</v>
      </c>
      <c r="M1025" s="21" t="s">
        <v>67</v>
      </c>
      <c r="N1025" s="20" t="s">
        <v>82</v>
      </c>
      <c r="O1025" s="19" t="s">
        <v>13</v>
      </c>
      <c r="P1025" s="10"/>
      <c r="Q1025" s="11"/>
    </row>
    <row r="1026" spans="2:17" ht="21" customHeight="1" x14ac:dyDescent="0.35">
      <c r="B1026" s="1">
        <v>43949</v>
      </c>
      <c r="C1026" s="1" t="str">
        <f>TEXT(Sales[[#This Row],[Kode Program/Kegiatan ]],"D")</f>
        <v>28</v>
      </c>
      <c r="D1026" s="2" t="str">
        <f>TEXT(Sales[[#This Row],[Kode Program/Kegiatan ]],"mmm")</f>
        <v>Apr</v>
      </c>
      <c r="E1026" s="3">
        <v>3</v>
      </c>
      <c r="F1026" s="2">
        <v>2</v>
      </c>
      <c r="G1026" s="3">
        <f>IF(Sales[[#This Row],[Anggaran Murni]]-Sales[[#This Row],[Target s.d. Januari]]=0,"",Sales[[#This Row],[Anggaran Murni]]-Sales[[#This Row],[Target s.d. Januari]])</f>
        <v>1</v>
      </c>
      <c r="H1026" s="2" t="s">
        <v>71</v>
      </c>
      <c r="I1026" s="3" t="s">
        <v>6</v>
      </c>
      <c r="J1026" s="3"/>
      <c r="K1026" s="2" t="s">
        <v>30</v>
      </c>
      <c r="L1026" s="2" t="s">
        <v>5</v>
      </c>
      <c r="M1026" s="4" t="s">
        <v>67</v>
      </c>
      <c r="N1026" s="3" t="s">
        <v>81</v>
      </c>
      <c r="O1026" s="2" t="s">
        <v>12</v>
      </c>
      <c r="P1026" s="10"/>
      <c r="Q1026" s="11"/>
    </row>
    <row r="1027" spans="2:17" ht="21" customHeight="1" x14ac:dyDescent="0.35">
      <c r="B1027" s="18">
        <v>43949</v>
      </c>
      <c r="C1027" s="18" t="str">
        <f>TEXT(Sales[[#This Row],[Kode Program/Kegiatan ]],"D")</f>
        <v>28</v>
      </c>
      <c r="D1027" s="19" t="str">
        <f>TEXT(Sales[[#This Row],[Kode Program/Kegiatan ]],"mmm")</f>
        <v>Apr</v>
      </c>
      <c r="E1027" s="20">
        <v>3</v>
      </c>
      <c r="F1027" s="19">
        <v>2</v>
      </c>
      <c r="G1027" s="20">
        <f>IF(Sales[[#This Row],[Anggaran Murni]]-Sales[[#This Row],[Target s.d. Januari]]=0,"",Sales[[#This Row],[Anggaran Murni]]-Sales[[#This Row],[Target s.d. Januari]])</f>
        <v>1</v>
      </c>
      <c r="H1027" s="19" t="s">
        <v>73</v>
      </c>
      <c r="I1027" s="20" t="s">
        <v>78</v>
      </c>
      <c r="J1027" s="20"/>
      <c r="K1027" s="19" t="s">
        <v>29</v>
      </c>
      <c r="L1027" s="19" t="s">
        <v>2</v>
      </c>
      <c r="M1027" s="21" t="s">
        <v>67</v>
      </c>
      <c r="N1027" s="20" t="s">
        <v>80</v>
      </c>
      <c r="O1027" s="19" t="s">
        <v>11</v>
      </c>
      <c r="P1027" s="10"/>
      <c r="Q1027" s="11"/>
    </row>
    <row r="1028" spans="2:17" ht="21" customHeight="1" x14ac:dyDescent="0.35">
      <c r="B1028" s="1">
        <v>43950</v>
      </c>
      <c r="C1028" s="1" t="str">
        <f>TEXT(Sales[[#This Row],[Kode Program/Kegiatan ]],"D")</f>
        <v>29</v>
      </c>
      <c r="D1028" s="2" t="str">
        <f>TEXT(Sales[[#This Row],[Kode Program/Kegiatan ]],"mmm")</f>
        <v>Apr</v>
      </c>
      <c r="E1028" s="3">
        <v>10</v>
      </c>
      <c r="F1028" s="2">
        <v>8</v>
      </c>
      <c r="G1028" s="3">
        <f>IF(Sales[[#This Row],[Anggaran Murni]]-Sales[[#This Row],[Target s.d. Januari]]=0,"",Sales[[#This Row],[Anggaran Murni]]-Sales[[#This Row],[Target s.d. Januari]])</f>
        <v>2</v>
      </c>
      <c r="H1028" s="2" t="s">
        <v>76</v>
      </c>
      <c r="I1028" s="3" t="s">
        <v>79</v>
      </c>
      <c r="J1028" s="3"/>
      <c r="K1028" s="2" t="s">
        <v>31</v>
      </c>
      <c r="L1028" s="2" t="s">
        <v>2</v>
      </c>
      <c r="M1028" s="4" t="s">
        <v>67</v>
      </c>
      <c r="N1028" s="3" t="s">
        <v>81</v>
      </c>
      <c r="O1028" s="2" t="s">
        <v>13</v>
      </c>
      <c r="P1028" s="10"/>
      <c r="Q1028" s="11"/>
    </row>
    <row r="1029" spans="2:17" ht="21" customHeight="1" x14ac:dyDescent="0.35">
      <c r="B1029" s="18">
        <v>43950</v>
      </c>
      <c r="C1029" s="18" t="str">
        <f>TEXT(Sales[[#This Row],[Kode Program/Kegiatan ]],"D")</f>
        <v>29</v>
      </c>
      <c r="D1029" s="19" t="str">
        <f>TEXT(Sales[[#This Row],[Kode Program/Kegiatan ]],"mmm")</f>
        <v>Apr</v>
      </c>
      <c r="E1029" s="20">
        <v>9</v>
      </c>
      <c r="F1029" s="19">
        <v>6</v>
      </c>
      <c r="G1029" s="20">
        <f>IF(Sales[[#This Row],[Anggaran Murni]]-Sales[[#This Row],[Target s.d. Januari]]=0,"",Sales[[#This Row],[Anggaran Murni]]-Sales[[#This Row],[Target s.d. Januari]])</f>
        <v>3</v>
      </c>
      <c r="H1029" s="19" t="s">
        <v>73</v>
      </c>
      <c r="I1029" s="20" t="s">
        <v>78</v>
      </c>
      <c r="J1029" s="20"/>
      <c r="K1029" s="19" t="s">
        <v>20</v>
      </c>
      <c r="L1029" s="19" t="s">
        <v>5</v>
      </c>
      <c r="M1029" s="21" t="s">
        <v>67</v>
      </c>
      <c r="N1029" s="20" t="s">
        <v>80</v>
      </c>
      <c r="O1029" s="19" t="s">
        <v>13</v>
      </c>
      <c r="P1029" s="10"/>
      <c r="Q1029" s="11"/>
    </row>
    <row r="1030" spans="2:17" ht="21" customHeight="1" x14ac:dyDescent="0.35">
      <c r="B1030" s="1">
        <v>43950</v>
      </c>
      <c r="C1030" s="1" t="str">
        <f>TEXT(Sales[[#This Row],[Kode Program/Kegiatan ]],"D")</f>
        <v>29</v>
      </c>
      <c r="D1030" s="2" t="str">
        <f>TEXT(Sales[[#This Row],[Kode Program/Kegiatan ]],"mmm")</f>
        <v>Apr</v>
      </c>
      <c r="E1030" s="3">
        <v>9</v>
      </c>
      <c r="F1030" s="2">
        <v>7</v>
      </c>
      <c r="G1030" s="3">
        <f>IF(Sales[[#This Row],[Anggaran Murni]]-Sales[[#This Row],[Target s.d. Januari]]=0,"",Sales[[#This Row],[Anggaran Murni]]-Sales[[#This Row],[Target s.d. Januari]])</f>
        <v>2</v>
      </c>
      <c r="H1030" s="2" t="s">
        <v>113</v>
      </c>
      <c r="I1030" s="3" t="s">
        <v>77</v>
      </c>
      <c r="J1030" s="3"/>
      <c r="K1030" s="2" t="s">
        <v>21</v>
      </c>
      <c r="L1030" s="2" t="s">
        <v>5</v>
      </c>
      <c r="M1030" s="4" t="s">
        <v>67</v>
      </c>
      <c r="N1030" s="3" t="s">
        <v>82</v>
      </c>
      <c r="O1030" s="2" t="s">
        <v>14</v>
      </c>
      <c r="P1030" s="10"/>
      <c r="Q1030" s="11"/>
    </row>
    <row r="1031" spans="2:17" ht="21" customHeight="1" x14ac:dyDescent="0.35">
      <c r="B1031" s="18">
        <v>43950</v>
      </c>
      <c r="C1031" s="18" t="str">
        <f>TEXT(Sales[[#This Row],[Kode Program/Kegiatan ]],"D")</f>
        <v>29</v>
      </c>
      <c r="D1031" s="19" t="str">
        <f>TEXT(Sales[[#This Row],[Kode Program/Kegiatan ]],"mmm")</f>
        <v>Apr</v>
      </c>
      <c r="E1031" s="20">
        <v>8</v>
      </c>
      <c r="F1031" s="19">
        <v>5</v>
      </c>
      <c r="G1031" s="20">
        <f>IF(Sales[[#This Row],[Anggaran Murni]]-Sales[[#This Row],[Target s.d. Januari]]=0,"",Sales[[#This Row],[Anggaran Murni]]-Sales[[#This Row],[Target s.d. Januari]])</f>
        <v>3</v>
      </c>
      <c r="H1031" s="19" t="s">
        <v>114</v>
      </c>
      <c r="I1031" s="20" t="s">
        <v>3</v>
      </c>
      <c r="J1031" s="20"/>
      <c r="K1031" s="19" t="s">
        <v>59</v>
      </c>
      <c r="L1031" s="19" t="s">
        <v>5</v>
      </c>
      <c r="M1031" s="21" t="s">
        <v>67</v>
      </c>
      <c r="N1031" s="20" t="s">
        <v>82</v>
      </c>
      <c r="O1031" s="19" t="s">
        <v>14</v>
      </c>
      <c r="P1031" s="10"/>
      <c r="Q1031" s="11"/>
    </row>
    <row r="1032" spans="2:17" ht="21" customHeight="1" x14ac:dyDescent="0.35">
      <c r="B1032" s="1">
        <v>43950</v>
      </c>
      <c r="C1032" s="1" t="str">
        <f>TEXT(Sales[[#This Row],[Kode Program/Kegiatan ]],"D")</f>
        <v>29</v>
      </c>
      <c r="D1032" s="2" t="str">
        <f>TEXT(Sales[[#This Row],[Kode Program/Kegiatan ]],"mmm")</f>
        <v>Apr</v>
      </c>
      <c r="E1032" s="3">
        <v>7</v>
      </c>
      <c r="F1032" s="2">
        <v>5</v>
      </c>
      <c r="G1032" s="3">
        <f>IF(Sales[[#This Row],[Anggaran Murni]]-Sales[[#This Row],[Target s.d. Januari]]=0,"",Sales[[#This Row],[Anggaran Murni]]-Sales[[#This Row],[Target s.d. Januari]])</f>
        <v>2</v>
      </c>
      <c r="H1032" s="2" t="s">
        <v>76</v>
      </c>
      <c r="I1032" s="3" t="s">
        <v>79</v>
      </c>
      <c r="J1032" s="3"/>
      <c r="K1032" s="2" t="s">
        <v>46</v>
      </c>
      <c r="L1032" s="2" t="s">
        <v>5</v>
      </c>
      <c r="M1032" s="4" t="s">
        <v>67</v>
      </c>
      <c r="N1032" s="3" t="s">
        <v>81</v>
      </c>
      <c r="O1032" s="2" t="s">
        <v>14</v>
      </c>
      <c r="P1032" s="10"/>
      <c r="Q1032" s="11"/>
    </row>
    <row r="1033" spans="2:17" ht="21" customHeight="1" x14ac:dyDescent="0.35">
      <c r="B1033" s="18">
        <v>43950</v>
      </c>
      <c r="C1033" s="18" t="str">
        <f>TEXT(Sales[[#This Row],[Kode Program/Kegiatan ]],"D")</f>
        <v>29</v>
      </c>
      <c r="D1033" s="19" t="str">
        <f>TEXT(Sales[[#This Row],[Kode Program/Kegiatan ]],"mmm")</f>
        <v>Apr</v>
      </c>
      <c r="E1033" s="20">
        <v>7</v>
      </c>
      <c r="F1033" s="19">
        <v>4</v>
      </c>
      <c r="G1033" s="20">
        <f>IF(Sales[[#This Row],[Anggaran Murni]]-Sales[[#This Row],[Target s.d. Januari]]=0,"",Sales[[#This Row],[Anggaran Murni]]-Sales[[#This Row],[Target s.d. Januari]])</f>
        <v>3</v>
      </c>
      <c r="H1033" s="19" t="s">
        <v>114</v>
      </c>
      <c r="I1033" s="20" t="s">
        <v>3</v>
      </c>
      <c r="J1033" s="20"/>
      <c r="K1033" s="19" t="s">
        <v>58</v>
      </c>
      <c r="L1033" s="19" t="s">
        <v>5</v>
      </c>
      <c r="M1033" s="21" t="s">
        <v>67</v>
      </c>
      <c r="N1033" s="20" t="s">
        <v>80</v>
      </c>
      <c r="O1033" s="19" t="s">
        <v>14</v>
      </c>
      <c r="P1033" s="10"/>
      <c r="Q1033" s="11"/>
    </row>
    <row r="1034" spans="2:17" ht="21" customHeight="1" x14ac:dyDescent="0.35">
      <c r="B1034" s="1">
        <v>43950</v>
      </c>
      <c r="C1034" s="1" t="str">
        <f>TEXT(Sales[[#This Row],[Kode Program/Kegiatan ]],"D")</f>
        <v>29</v>
      </c>
      <c r="D1034" s="2" t="str">
        <f>TEXT(Sales[[#This Row],[Kode Program/Kegiatan ]],"mmm")</f>
        <v>Apr</v>
      </c>
      <c r="E1034" s="3">
        <v>6</v>
      </c>
      <c r="F1034" s="2">
        <v>3</v>
      </c>
      <c r="G1034" s="3">
        <f>IF(Sales[[#This Row],[Anggaran Murni]]-Sales[[#This Row],[Target s.d. Januari]]=0,"",Sales[[#This Row],[Anggaran Murni]]-Sales[[#This Row],[Target s.d. Januari]])</f>
        <v>3</v>
      </c>
      <c r="H1034" s="2" t="s">
        <v>73</v>
      </c>
      <c r="I1034" s="3" t="s">
        <v>78</v>
      </c>
      <c r="J1034" s="3"/>
      <c r="K1034" s="2" t="s">
        <v>36</v>
      </c>
      <c r="L1034" s="2" t="s">
        <v>2</v>
      </c>
      <c r="M1034" s="4" t="s">
        <v>67</v>
      </c>
      <c r="N1034" s="3" t="s">
        <v>81</v>
      </c>
      <c r="O1034" s="2" t="s">
        <v>14</v>
      </c>
      <c r="P1034" s="10"/>
      <c r="Q1034" s="11"/>
    </row>
    <row r="1035" spans="2:17" ht="21" customHeight="1" x14ac:dyDescent="0.35">
      <c r="B1035" s="18">
        <v>43950</v>
      </c>
      <c r="C1035" s="18" t="str">
        <f>TEXT(Sales[[#This Row],[Kode Program/Kegiatan ]],"D")</f>
        <v>29</v>
      </c>
      <c r="D1035" s="19" t="str">
        <f>TEXT(Sales[[#This Row],[Kode Program/Kegiatan ]],"mmm")</f>
        <v>Apr</v>
      </c>
      <c r="E1035" s="20">
        <v>6</v>
      </c>
      <c r="F1035" s="19">
        <v>3</v>
      </c>
      <c r="G1035" s="20">
        <f>IF(Sales[[#This Row],[Anggaran Murni]]-Sales[[#This Row],[Target s.d. Januari]]=0,"",Sales[[#This Row],[Anggaran Murni]]-Sales[[#This Row],[Target s.d. Januari]])</f>
        <v>3</v>
      </c>
      <c r="H1035" s="19" t="s">
        <v>75</v>
      </c>
      <c r="I1035" s="20" t="s">
        <v>6</v>
      </c>
      <c r="J1035" s="20"/>
      <c r="K1035" s="19" t="s">
        <v>37</v>
      </c>
      <c r="L1035" s="19" t="s">
        <v>8</v>
      </c>
      <c r="M1035" s="21" t="s">
        <v>67</v>
      </c>
      <c r="N1035" s="20" t="s">
        <v>81</v>
      </c>
      <c r="O1035" s="19" t="s">
        <v>11</v>
      </c>
      <c r="P1035" s="10"/>
      <c r="Q1035" s="11"/>
    </row>
    <row r="1036" spans="2:17" ht="21" customHeight="1" x14ac:dyDescent="0.35">
      <c r="B1036" s="1">
        <v>43950</v>
      </c>
      <c r="C1036" s="1" t="str">
        <f>TEXT(Sales[[#This Row],[Kode Program/Kegiatan ]],"D")</f>
        <v>29</v>
      </c>
      <c r="D1036" s="2" t="str">
        <f>TEXT(Sales[[#This Row],[Kode Program/Kegiatan ]],"mmm")</f>
        <v>Apr</v>
      </c>
      <c r="E1036" s="3">
        <v>4</v>
      </c>
      <c r="F1036" s="2">
        <v>3</v>
      </c>
      <c r="G1036" s="3">
        <f>IF(Sales[[#This Row],[Anggaran Murni]]-Sales[[#This Row],[Target s.d. Januari]]=0,"",Sales[[#This Row],[Anggaran Murni]]-Sales[[#This Row],[Target s.d. Januari]])</f>
        <v>1</v>
      </c>
      <c r="H1036" s="2" t="s">
        <v>73</v>
      </c>
      <c r="I1036" s="3" t="s">
        <v>78</v>
      </c>
      <c r="J1036" s="3"/>
      <c r="K1036" s="2" t="s">
        <v>53</v>
      </c>
      <c r="L1036" s="2" t="s">
        <v>2</v>
      </c>
      <c r="M1036" s="4" t="s">
        <v>67</v>
      </c>
      <c r="N1036" s="3" t="s">
        <v>81</v>
      </c>
      <c r="O1036" s="2" t="s">
        <v>14</v>
      </c>
      <c r="P1036" s="10"/>
      <c r="Q1036" s="11"/>
    </row>
    <row r="1037" spans="2:17" ht="21" customHeight="1" x14ac:dyDescent="0.35">
      <c r="B1037" s="18">
        <v>43950</v>
      </c>
      <c r="C1037" s="18" t="str">
        <f>TEXT(Sales[[#This Row],[Kode Program/Kegiatan ]],"D")</f>
        <v>29</v>
      </c>
      <c r="D1037" s="19" t="str">
        <f>TEXT(Sales[[#This Row],[Kode Program/Kegiatan ]],"mmm")</f>
        <v>Apr</v>
      </c>
      <c r="E1037" s="20">
        <v>3</v>
      </c>
      <c r="F1037" s="19">
        <v>1</v>
      </c>
      <c r="G1037" s="20">
        <f>IF(Sales[[#This Row],[Anggaran Murni]]-Sales[[#This Row],[Target s.d. Januari]]=0,"",Sales[[#This Row],[Anggaran Murni]]-Sales[[#This Row],[Target s.d. Januari]])</f>
        <v>2</v>
      </c>
      <c r="H1037" s="19" t="s">
        <v>73</v>
      </c>
      <c r="I1037" s="20" t="s">
        <v>78</v>
      </c>
      <c r="J1037" s="20"/>
      <c r="K1037" s="19" t="s">
        <v>63</v>
      </c>
      <c r="L1037" s="19" t="s">
        <v>7</v>
      </c>
      <c r="M1037" s="21" t="s">
        <v>67</v>
      </c>
      <c r="N1037" s="20" t="s">
        <v>80</v>
      </c>
      <c r="O1037" s="19" t="s">
        <v>14</v>
      </c>
      <c r="P1037" s="10"/>
      <c r="Q1037" s="11"/>
    </row>
    <row r="1038" spans="2:17" ht="21" customHeight="1" x14ac:dyDescent="0.35">
      <c r="B1038" s="1">
        <v>43951</v>
      </c>
      <c r="C1038" s="1" t="str">
        <f>TEXT(Sales[[#This Row],[Kode Program/Kegiatan ]],"D")</f>
        <v>30</v>
      </c>
      <c r="D1038" s="2" t="str">
        <f>TEXT(Sales[[#This Row],[Kode Program/Kegiatan ]],"mmm")</f>
        <v>Apr</v>
      </c>
      <c r="E1038" s="3">
        <v>10</v>
      </c>
      <c r="F1038" s="2">
        <v>9</v>
      </c>
      <c r="G1038" s="3">
        <f>IF(Sales[[#This Row],[Anggaran Murni]]-Sales[[#This Row],[Target s.d. Januari]]=0,"",Sales[[#This Row],[Anggaran Murni]]-Sales[[#This Row],[Target s.d. Januari]])</f>
        <v>1</v>
      </c>
      <c r="H1038" s="2" t="s">
        <v>76</v>
      </c>
      <c r="I1038" s="3" t="s">
        <v>79</v>
      </c>
      <c r="J1038" s="3"/>
      <c r="K1038" s="2" t="s">
        <v>18</v>
      </c>
      <c r="L1038" s="2" t="s">
        <v>5</v>
      </c>
      <c r="M1038" s="4" t="s">
        <v>67</v>
      </c>
      <c r="N1038" s="3" t="s">
        <v>82</v>
      </c>
      <c r="O1038" s="2" t="s">
        <v>11</v>
      </c>
      <c r="P1038" s="10"/>
      <c r="Q1038" s="11"/>
    </row>
    <row r="1039" spans="2:17" ht="21" customHeight="1" x14ac:dyDescent="0.35">
      <c r="B1039" s="18">
        <v>43951</v>
      </c>
      <c r="C1039" s="18" t="str">
        <f>TEXT(Sales[[#This Row],[Kode Program/Kegiatan ]],"D")</f>
        <v>30</v>
      </c>
      <c r="D1039" s="19" t="str">
        <f>TEXT(Sales[[#This Row],[Kode Program/Kegiatan ]],"mmm")</f>
        <v>Apr</v>
      </c>
      <c r="E1039" s="20">
        <v>10</v>
      </c>
      <c r="F1039" s="19">
        <v>6</v>
      </c>
      <c r="G1039" s="20">
        <f>IF(Sales[[#This Row],[Anggaran Murni]]-Sales[[#This Row],[Target s.d. Januari]]=0,"",Sales[[#This Row],[Anggaran Murni]]-Sales[[#This Row],[Target s.d. Januari]])</f>
        <v>4</v>
      </c>
      <c r="H1039" s="19" t="s">
        <v>113</v>
      </c>
      <c r="I1039" s="20" t="s">
        <v>77</v>
      </c>
      <c r="J1039" s="20"/>
      <c r="K1039" s="19" t="s">
        <v>55</v>
      </c>
      <c r="L1039" s="19" t="s">
        <v>5</v>
      </c>
      <c r="M1039" s="21" t="s">
        <v>67</v>
      </c>
      <c r="N1039" s="20" t="s">
        <v>82</v>
      </c>
      <c r="O1039" s="19" t="s">
        <v>11</v>
      </c>
      <c r="P1039" s="10"/>
      <c r="Q1039" s="11"/>
    </row>
    <row r="1040" spans="2:17" ht="21" customHeight="1" x14ac:dyDescent="0.35">
      <c r="B1040" s="1">
        <v>43951</v>
      </c>
      <c r="C1040" s="1" t="str">
        <f>TEXT(Sales[[#This Row],[Kode Program/Kegiatan ]],"D")</f>
        <v>30</v>
      </c>
      <c r="D1040" s="2" t="str">
        <f>TEXT(Sales[[#This Row],[Kode Program/Kegiatan ]],"mmm")</f>
        <v>Apr</v>
      </c>
      <c r="E1040" s="3">
        <v>10</v>
      </c>
      <c r="F1040" s="2">
        <v>7</v>
      </c>
      <c r="G1040" s="3">
        <f>IF(Sales[[#This Row],[Anggaran Murni]]-Sales[[#This Row],[Target s.d. Januari]]=0,"",Sales[[#This Row],[Anggaran Murni]]-Sales[[#This Row],[Target s.d. Januari]])</f>
        <v>3</v>
      </c>
      <c r="H1040" s="2" t="s">
        <v>75</v>
      </c>
      <c r="I1040" s="3" t="s">
        <v>6</v>
      </c>
      <c r="J1040" s="3"/>
      <c r="K1040" s="2" t="s">
        <v>31</v>
      </c>
      <c r="L1040" s="2" t="s">
        <v>2</v>
      </c>
      <c r="M1040" s="4" t="s">
        <v>67</v>
      </c>
      <c r="N1040" s="3" t="s">
        <v>81</v>
      </c>
      <c r="O1040" s="2" t="s">
        <v>11</v>
      </c>
      <c r="P1040" s="10"/>
      <c r="Q1040" s="11"/>
    </row>
    <row r="1041" spans="2:17" ht="21" customHeight="1" x14ac:dyDescent="0.35">
      <c r="B1041" s="18">
        <v>43951</v>
      </c>
      <c r="C1041" s="18" t="str">
        <f>TEXT(Sales[[#This Row],[Kode Program/Kegiatan ]],"D")</f>
        <v>30</v>
      </c>
      <c r="D1041" s="19" t="str">
        <f>TEXT(Sales[[#This Row],[Kode Program/Kegiatan ]],"mmm")</f>
        <v>Apr</v>
      </c>
      <c r="E1041" s="20">
        <v>6</v>
      </c>
      <c r="F1041" s="19">
        <v>5</v>
      </c>
      <c r="G1041" s="20">
        <f>IF(Sales[[#This Row],[Anggaran Murni]]-Sales[[#This Row],[Target s.d. Januari]]=0,"",Sales[[#This Row],[Anggaran Murni]]-Sales[[#This Row],[Target s.d. Januari]])</f>
        <v>1</v>
      </c>
      <c r="H1041" s="19" t="s">
        <v>74</v>
      </c>
      <c r="I1041" s="20" t="s">
        <v>77</v>
      </c>
      <c r="J1041" s="20"/>
      <c r="K1041" s="19" t="s">
        <v>22</v>
      </c>
      <c r="L1041" s="19" t="s">
        <v>2</v>
      </c>
      <c r="M1041" s="21" t="s">
        <v>67</v>
      </c>
      <c r="N1041" s="20" t="s">
        <v>80</v>
      </c>
      <c r="O1041" s="19" t="s">
        <v>13</v>
      </c>
      <c r="P1041" s="10"/>
      <c r="Q1041" s="11"/>
    </row>
    <row r="1042" spans="2:17" ht="21" customHeight="1" x14ac:dyDescent="0.35">
      <c r="B1042" s="1">
        <v>43951</v>
      </c>
      <c r="C1042" s="1" t="str">
        <f>TEXT(Sales[[#This Row],[Kode Program/Kegiatan ]],"D")</f>
        <v>30</v>
      </c>
      <c r="D1042" s="2" t="str">
        <f>TEXT(Sales[[#This Row],[Kode Program/Kegiatan ]],"mmm")</f>
        <v>Apr</v>
      </c>
      <c r="E1042" s="3">
        <v>6</v>
      </c>
      <c r="F1042" s="2">
        <v>3</v>
      </c>
      <c r="G1042" s="3">
        <f>IF(Sales[[#This Row],[Anggaran Murni]]-Sales[[#This Row],[Target s.d. Januari]]=0,"",Sales[[#This Row],[Anggaran Murni]]-Sales[[#This Row],[Target s.d. Januari]])</f>
        <v>3</v>
      </c>
      <c r="H1042" s="2" t="s">
        <v>71</v>
      </c>
      <c r="I1042" s="3" t="s">
        <v>6</v>
      </c>
      <c r="J1042" s="3"/>
      <c r="K1042" s="2" t="s">
        <v>39</v>
      </c>
      <c r="L1042" s="2" t="s">
        <v>2</v>
      </c>
      <c r="M1042" s="4" t="s">
        <v>67</v>
      </c>
      <c r="N1042" s="3" t="s">
        <v>82</v>
      </c>
      <c r="O1042" s="2" t="s">
        <v>12</v>
      </c>
      <c r="P1042" s="10"/>
      <c r="Q1042" s="11"/>
    </row>
    <row r="1043" spans="2:17" ht="21" customHeight="1" x14ac:dyDescent="0.35">
      <c r="B1043" s="18">
        <v>43951</v>
      </c>
      <c r="C1043" s="18" t="str">
        <f>TEXT(Sales[[#This Row],[Kode Program/Kegiatan ]],"D")</f>
        <v>30</v>
      </c>
      <c r="D1043" s="19" t="str">
        <f>TEXT(Sales[[#This Row],[Kode Program/Kegiatan ]],"mmm")</f>
        <v>Apr</v>
      </c>
      <c r="E1043" s="20">
        <v>5</v>
      </c>
      <c r="F1043" s="19">
        <v>3</v>
      </c>
      <c r="G1043" s="20">
        <f>IF(Sales[[#This Row],[Anggaran Murni]]-Sales[[#This Row],[Target s.d. Januari]]=0,"",Sales[[#This Row],[Anggaran Murni]]-Sales[[#This Row],[Target s.d. Januari]])</f>
        <v>2</v>
      </c>
      <c r="H1043" s="19" t="s">
        <v>113</v>
      </c>
      <c r="I1043" s="20" t="s">
        <v>77</v>
      </c>
      <c r="J1043" s="20"/>
      <c r="K1043" s="19" t="s">
        <v>58</v>
      </c>
      <c r="L1043" s="19" t="s">
        <v>5</v>
      </c>
      <c r="M1043" s="21" t="s">
        <v>67</v>
      </c>
      <c r="N1043" s="20" t="s">
        <v>81</v>
      </c>
      <c r="O1043" s="19" t="s">
        <v>13</v>
      </c>
      <c r="P1043" s="10"/>
      <c r="Q1043" s="11"/>
    </row>
    <row r="1044" spans="2:17" ht="21" customHeight="1" x14ac:dyDescent="0.35">
      <c r="B1044" s="1">
        <v>43951</v>
      </c>
      <c r="C1044" s="1" t="str">
        <f>TEXT(Sales[[#This Row],[Kode Program/Kegiatan ]],"D")</f>
        <v>30</v>
      </c>
      <c r="D1044" s="2" t="str">
        <f>TEXT(Sales[[#This Row],[Kode Program/Kegiatan ]],"mmm")</f>
        <v>Apr</v>
      </c>
      <c r="E1044" s="3">
        <v>4</v>
      </c>
      <c r="F1044" s="2">
        <v>2</v>
      </c>
      <c r="G1044" s="3">
        <f>IF(Sales[[#This Row],[Anggaran Murni]]-Sales[[#This Row],[Target s.d. Januari]]=0,"",Sales[[#This Row],[Anggaran Murni]]-Sales[[#This Row],[Target s.d. Januari]])</f>
        <v>2</v>
      </c>
      <c r="H1044" s="2" t="s">
        <v>73</v>
      </c>
      <c r="I1044" s="3" t="s">
        <v>78</v>
      </c>
      <c r="J1044" s="3"/>
      <c r="K1044" s="2" t="s">
        <v>31</v>
      </c>
      <c r="L1044" s="2" t="s">
        <v>2</v>
      </c>
      <c r="M1044" s="4" t="s">
        <v>67</v>
      </c>
      <c r="N1044" s="3" t="s">
        <v>80</v>
      </c>
      <c r="O1044" s="2" t="s">
        <v>14</v>
      </c>
      <c r="P1044" s="10"/>
      <c r="Q1044" s="11"/>
    </row>
    <row r="1045" spans="2:17" ht="21" customHeight="1" x14ac:dyDescent="0.35">
      <c r="B1045" s="18">
        <v>43951</v>
      </c>
      <c r="C1045" s="18" t="str">
        <f>TEXT(Sales[[#This Row],[Kode Program/Kegiatan ]],"D")</f>
        <v>30</v>
      </c>
      <c r="D1045" s="19" t="str">
        <f>TEXT(Sales[[#This Row],[Kode Program/Kegiatan ]],"mmm")</f>
        <v>Apr</v>
      </c>
      <c r="E1045" s="20">
        <v>3</v>
      </c>
      <c r="F1045" s="19">
        <v>1</v>
      </c>
      <c r="G1045" s="20">
        <f>IF(Sales[[#This Row],[Anggaran Murni]]-Sales[[#This Row],[Target s.d. Januari]]=0,"",Sales[[#This Row],[Anggaran Murni]]-Sales[[#This Row],[Target s.d. Januari]])</f>
        <v>2</v>
      </c>
      <c r="H1045" s="19" t="s">
        <v>70</v>
      </c>
      <c r="I1045" s="20" t="s">
        <v>1</v>
      </c>
      <c r="J1045" s="20"/>
      <c r="K1045" s="19" t="s">
        <v>26</v>
      </c>
      <c r="L1045" s="19" t="s">
        <v>2</v>
      </c>
      <c r="M1045" s="21" t="s">
        <v>67</v>
      </c>
      <c r="N1045" s="20" t="s">
        <v>80</v>
      </c>
      <c r="O1045" s="19" t="s">
        <v>12</v>
      </c>
      <c r="P1045" s="10"/>
      <c r="Q1045" s="11"/>
    </row>
    <row r="1046" spans="2:17" ht="21" customHeight="1" x14ac:dyDescent="0.35">
      <c r="B1046" s="1">
        <v>43951</v>
      </c>
      <c r="C1046" s="1" t="str">
        <f>TEXT(Sales[[#This Row],[Kode Program/Kegiatan ]],"D")</f>
        <v>30</v>
      </c>
      <c r="D1046" s="2" t="str">
        <f>TEXT(Sales[[#This Row],[Kode Program/Kegiatan ]],"mmm")</f>
        <v>Apr</v>
      </c>
      <c r="E1046" s="3">
        <v>3</v>
      </c>
      <c r="F1046" s="2">
        <v>2</v>
      </c>
      <c r="G1046" s="3">
        <f>IF(Sales[[#This Row],[Anggaran Murni]]-Sales[[#This Row],[Target s.d. Januari]]=0,"",Sales[[#This Row],[Anggaran Murni]]-Sales[[#This Row],[Target s.d. Januari]])</f>
        <v>1</v>
      </c>
      <c r="H1046" s="2" t="s">
        <v>74</v>
      </c>
      <c r="I1046" s="3" t="s">
        <v>77</v>
      </c>
      <c r="J1046" s="3"/>
      <c r="K1046" s="2" t="s">
        <v>40</v>
      </c>
      <c r="L1046" s="2" t="s">
        <v>5</v>
      </c>
      <c r="M1046" s="4" t="s">
        <v>67</v>
      </c>
      <c r="N1046" s="3" t="s">
        <v>82</v>
      </c>
      <c r="O1046" s="2" t="s">
        <v>11</v>
      </c>
      <c r="P1046" s="10"/>
      <c r="Q1046" s="11"/>
    </row>
    <row r="1047" spans="2:17" ht="21" customHeight="1" x14ac:dyDescent="0.35">
      <c r="B1047" s="18">
        <v>43952</v>
      </c>
      <c r="C1047" s="18" t="str">
        <f>TEXT(Sales[[#This Row],[Kode Program/Kegiatan ]],"D")</f>
        <v>1</v>
      </c>
      <c r="D1047" s="19" t="str">
        <f>TEXT(Sales[[#This Row],[Kode Program/Kegiatan ]],"mmm")</f>
        <v>May</v>
      </c>
      <c r="E1047" s="20">
        <v>10</v>
      </c>
      <c r="F1047" s="19">
        <v>6</v>
      </c>
      <c r="G1047" s="20">
        <f>IF(Sales[[#This Row],[Anggaran Murni]]-Sales[[#This Row],[Target s.d. Januari]]=0,"",Sales[[#This Row],[Anggaran Murni]]-Sales[[#This Row],[Target s.d. Januari]])</f>
        <v>4</v>
      </c>
      <c r="H1047" s="19" t="s">
        <v>72</v>
      </c>
      <c r="I1047" s="20" t="s">
        <v>78</v>
      </c>
      <c r="J1047" s="20"/>
      <c r="K1047" s="19" t="s">
        <v>52</v>
      </c>
      <c r="L1047" s="19" t="s">
        <v>2</v>
      </c>
      <c r="M1047" s="21" t="s">
        <v>67</v>
      </c>
      <c r="N1047" s="20" t="s">
        <v>82</v>
      </c>
      <c r="O1047" s="19" t="s">
        <v>14</v>
      </c>
      <c r="P1047" s="10"/>
      <c r="Q1047" s="11"/>
    </row>
    <row r="1048" spans="2:17" ht="21" customHeight="1" x14ac:dyDescent="0.35">
      <c r="B1048" s="1">
        <v>43952</v>
      </c>
      <c r="C1048" s="1" t="str">
        <f>TEXT(Sales[[#This Row],[Kode Program/Kegiatan ]],"D")</f>
        <v>1</v>
      </c>
      <c r="D1048" s="2" t="str">
        <f>TEXT(Sales[[#This Row],[Kode Program/Kegiatan ]],"mmm")</f>
        <v>May</v>
      </c>
      <c r="E1048" s="3">
        <v>8</v>
      </c>
      <c r="F1048" s="2">
        <v>6</v>
      </c>
      <c r="G1048" s="3">
        <f>IF(Sales[[#This Row],[Anggaran Murni]]-Sales[[#This Row],[Target s.d. Januari]]=0,"",Sales[[#This Row],[Anggaran Murni]]-Sales[[#This Row],[Target s.d. Januari]])</f>
        <v>2</v>
      </c>
      <c r="H1048" s="2" t="s">
        <v>74</v>
      </c>
      <c r="I1048" s="3" t="s">
        <v>77</v>
      </c>
      <c r="J1048" s="3"/>
      <c r="K1048" s="2" t="s">
        <v>18</v>
      </c>
      <c r="L1048" s="2" t="s">
        <v>8</v>
      </c>
      <c r="M1048" s="4" t="s">
        <v>67</v>
      </c>
      <c r="N1048" s="3" t="s">
        <v>80</v>
      </c>
      <c r="O1048" s="2" t="s">
        <v>13</v>
      </c>
      <c r="P1048" s="10"/>
      <c r="Q1048" s="11"/>
    </row>
    <row r="1049" spans="2:17" ht="21" customHeight="1" x14ac:dyDescent="0.35">
      <c r="B1049" s="18">
        <v>43952</v>
      </c>
      <c r="C1049" s="18" t="str">
        <f>TEXT(Sales[[#This Row],[Kode Program/Kegiatan ]],"D")</f>
        <v>1</v>
      </c>
      <c r="D1049" s="19" t="str">
        <f>TEXT(Sales[[#This Row],[Kode Program/Kegiatan ]],"mmm")</f>
        <v>May</v>
      </c>
      <c r="E1049" s="20">
        <v>7</v>
      </c>
      <c r="F1049" s="19">
        <v>5</v>
      </c>
      <c r="G1049" s="20">
        <f>IF(Sales[[#This Row],[Anggaran Murni]]-Sales[[#This Row],[Target s.d. Januari]]=0,"",Sales[[#This Row],[Anggaran Murni]]-Sales[[#This Row],[Target s.d. Januari]])</f>
        <v>2</v>
      </c>
      <c r="H1049" s="19" t="s">
        <v>71</v>
      </c>
      <c r="I1049" s="20" t="s">
        <v>6</v>
      </c>
      <c r="J1049" s="20"/>
      <c r="K1049" s="19" t="s">
        <v>20</v>
      </c>
      <c r="L1049" s="19" t="s">
        <v>5</v>
      </c>
      <c r="M1049" s="21" t="s">
        <v>67</v>
      </c>
      <c r="N1049" s="20" t="s">
        <v>80</v>
      </c>
      <c r="O1049" s="19" t="s">
        <v>13</v>
      </c>
      <c r="P1049" s="10"/>
      <c r="Q1049" s="11"/>
    </row>
    <row r="1050" spans="2:17" ht="21" customHeight="1" x14ac:dyDescent="0.35">
      <c r="B1050" s="1">
        <v>43952</v>
      </c>
      <c r="C1050" s="1" t="str">
        <f>TEXT(Sales[[#This Row],[Kode Program/Kegiatan ]],"D")</f>
        <v>1</v>
      </c>
      <c r="D1050" s="2" t="str">
        <f>TEXT(Sales[[#This Row],[Kode Program/Kegiatan ]],"mmm")</f>
        <v>May</v>
      </c>
      <c r="E1050" s="3">
        <v>7</v>
      </c>
      <c r="F1050" s="2">
        <v>6</v>
      </c>
      <c r="G1050" s="3">
        <f>IF(Sales[[#This Row],[Anggaran Murni]]-Sales[[#This Row],[Target s.d. Januari]]=0,"",Sales[[#This Row],[Anggaran Murni]]-Sales[[#This Row],[Target s.d. Januari]])</f>
        <v>1</v>
      </c>
      <c r="H1050" s="2" t="s">
        <v>70</v>
      </c>
      <c r="I1050" s="3" t="s">
        <v>1</v>
      </c>
      <c r="J1050" s="3"/>
      <c r="K1050" s="2" t="s">
        <v>50</v>
      </c>
      <c r="L1050" s="2" t="s">
        <v>5</v>
      </c>
      <c r="M1050" s="4" t="s">
        <v>67</v>
      </c>
      <c r="N1050" s="3" t="s">
        <v>82</v>
      </c>
      <c r="O1050" s="2" t="s">
        <v>11</v>
      </c>
      <c r="P1050" s="10"/>
      <c r="Q1050" s="11"/>
    </row>
    <row r="1051" spans="2:17" ht="21" customHeight="1" x14ac:dyDescent="0.35">
      <c r="B1051" s="18">
        <v>43952</v>
      </c>
      <c r="C1051" s="18" t="str">
        <f>TEXT(Sales[[#This Row],[Kode Program/Kegiatan ]],"D")</f>
        <v>1</v>
      </c>
      <c r="D1051" s="19" t="str">
        <f>TEXT(Sales[[#This Row],[Kode Program/Kegiatan ]],"mmm")</f>
        <v>May</v>
      </c>
      <c r="E1051" s="20">
        <v>6</v>
      </c>
      <c r="F1051" s="19">
        <v>3</v>
      </c>
      <c r="G1051" s="20">
        <f>IF(Sales[[#This Row],[Anggaran Murni]]-Sales[[#This Row],[Target s.d. Januari]]=0,"",Sales[[#This Row],[Anggaran Murni]]-Sales[[#This Row],[Target s.d. Januari]])</f>
        <v>3</v>
      </c>
      <c r="H1051" s="19" t="s">
        <v>71</v>
      </c>
      <c r="I1051" s="20" t="s">
        <v>6</v>
      </c>
      <c r="J1051" s="20"/>
      <c r="K1051" s="19" t="s">
        <v>42</v>
      </c>
      <c r="L1051" s="19" t="s">
        <v>2</v>
      </c>
      <c r="M1051" s="21" t="s">
        <v>67</v>
      </c>
      <c r="N1051" s="20" t="s">
        <v>82</v>
      </c>
      <c r="O1051" s="19" t="s">
        <v>14</v>
      </c>
      <c r="P1051" s="10"/>
      <c r="Q1051" s="11"/>
    </row>
    <row r="1052" spans="2:17" ht="21" customHeight="1" x14ac:dyDescent="0.35">
      <c r="B1052" s="1">
        <v>43952</v>
      </c>
      <c r="C1052" s="1" t="str">
        <f>TEXT(Sales[[#This Row],[Kode Program/Kegiatan ]],"D")</f>
        <v>1</v>
      </c>
      <c r="D1052" s="2" t="str">
        <f>TEXT(Sales[[#This Row],[Kode Program/Kegiatan ]],"mmm")</f>
        <v>May</v>
      </c>
      <c r="E1052" s="3">
        <v>4</v>
      </c>
      <c r="F1052" s="2">
        <v>2</v>
      </c>
      <c r="G1052" s="3">
        <f>IF(Sales[[#This Row],[Anggaran Murni]]-Sales[[#This Row],[Target s.d. Januari]]=0,"",Sales[[#This Row],[Anggaran Murni]]-Sales[[#This Row],[Target s.d. Januari]])</f>
        <v>2</v>
      </c>
      <c r="H1052" s="2" t="s">
        <v>114</v>
      </c>
      <c r="I1052" s="3" t="s">
        <v>3</v>
      </c>
      <c r="J1052" s="3"/>
      <c r="K1052" s="2" t="s">
        <v>53</v>
      </c>
      <c r="L1052" s="2" t="s">
        <v>5</v>
      </c>
      <c r="M1052" s="4" t="s">
        <v>67</v>
      </c>
      <c r="N1052" s="3" t="s">
        <v>82</v>
      </c>
      <c r="O1052" s="2" t="s">
        <v>13</v>
      </c>
      <c r="P1052" s="10"/>
      <c r="Q1052" s="11"/>
    </row>
    <row r="1053" spans="2:17" ht="21" customHeight="1" x14ac:dyDescent="0.35">
      <c r="B1053" s="18">
        <v>43952</v>
      </c>
      <c r="C1053" s="18" t="str">
        <f>TEXT(Sales[[#This Row],[Kode Program/Kegiatan ]],"D")</f>
        <v>1</v>
      </c>
      <c r="D1053" s="19" t="str">
        <f>TEXT(Sales[[#This Row],[Kode Program/Kegiatan ]],"mmm")</f>
        <v>May</v>
      </c>
      <c r="E1053" s="20">
        <v>4</v>
      </c>
      <c r="F1053" s="19">
        <v>3</v>
      </c>
      <c r="G1053" s="20">
        <f>IF(Sales[[#This Row],[Anggaran Murni]]-Sales[[#This Row],[Target s.d. Januari]]=0,"",Sales[[#This Row],[Anggaran Murni]]-Sales[[#This Row],[Target s.d. Januari]])</f>
        <v>1</v>
      </c>
      <c r="H1053" s="19" t="s">
        <v>73</v>
      </c>
      <c r="I1053" s="20" t="s">
        <v>78</v>
      </c>
      <c r="J1053" s="20"/>
      <c r="K1053" s="19" t="s">
        <v>17</v>
      </c>
      <c r="L1053" s="19" t="s">
        <v>2</v>
      </c>
      <c r="M1053" s="21" t="s">
        <v>67</v>
      </c>
      <c r="N1053" s="20" t="s">
        <v>80</v>
      </c>
      <c r="O1053" s="19" t="s">
        <v>12</v>
      </c>
      <c r="P1053" s="10"/>
      <c r="Q1053" s="11"/>
    </row>
    <row r="1054" spans="2:17" ht="21" customHeight="1" x14ac:dyDescent="0.35">
      <c r="B1054" s="1">
        <v>43952</v>
      </c>
      <c r="C1054" s="1" t="str">
        <f>TEXT(Sales[[#This Row],[Kode Program/Kegiatan ]],"D")</f>
        <v>1</v>
      </c>
      <c r="D1054" s="2" t="str">
        <f>TEXT(Sales[[#This Row],[Kode Program/Kegiatan ]],"mmm")</f>
        <v>May</v>
      </c>
      <c r="E1054" s="3">
        <v>3</v>
      </c>
      <c r="F1054" s="2">
        <v>2</v>
      </c>
      <c r="G1054" s="3">
        <f>IF(Sales[[#This Row],[Anggaran Murni]]-Sales[[#This Row],[Target s.d. Januari]]=0,"",Sales[[#This Row],[Anggaran Murni]]-Sales[[#This Row],[Target s.d. Januari]])</f>
        <v>1</v>
      </c>
      <c r="H1054" s="2" t="s">
        <v>71</v>
      </c>
      <c r="I1054" s="3" t="s">
        <v>6</v>
      </c>
      <c r="J1054" s="3"/>
      <c r="K1054" s="2" t="s">
        <v>41</v>
      </c>
      <c r="L1054" s="2" t="s">
        <v>5</v>
      </c>
      <c r="M1054" s="4" t="s">
        <v>67</v>
      </c>
      <c r="N1054" s="3" t="s">
        <v>81</v>
      </c>
      <c r="O1054" s="2" t="s">
        <v>12</v>
      </c>
      <c r="P1054" s="10"/>
      <c r="Q1054" s="11"/>
    </row>
    <row r="1055" spans="2:17" ht="21" customHeight="1" x14ac:dyDescent="0.35">
      <c r="B1055" s="18">
        <v>43952</v>
      </c>
      <c r="C1055" s="18" t="str">
        <f>TEXT(Sales[[#This Row],[Kode Program/Kegiatan ]],"D")</f>
        <v>1</v>
      </c>
      <c r="D1055" s="19" t="str">
        <f>TEXT(Sales[[#This Row],[Kode Program/Kegiatan ]],"mmm")</f>
        <v>May</v>
      </c>
      <c r="E1055" s="20">
        <v>3</v>
      </c>
      <c r="F1055" s="19">
        <v>1</v>
      </c>
      <c r="G1055" s="20">
        <f>IF(Sales[[#This Row],[Anggaran Murni]]-Sales[[#This Row],[Target s.d. Januari]]=0,"",Sales[[#This Row],[Anggaran Murni]]-Sales[[#This Row],[Target s.d. Januari]])</f>
        <v>2</v>
      </c>
      <c r="H1055" s="19" t="s">
        <v>72</v>
      </c>
      <c r="I1055" s="20" t="s">
        <v>78</v>
      </c>
      <c r="J1055" s="20"/>
      <c r="K1055" s="19" t="s">
        <v>59</v>
      </c>
      <c r="L1055" s="19" t="s">
        <v>4</v>
      </c>
      <c r="M1055" s="21" t="s">
        <v>67</v>
      </c>
      <c r="N1055" s="20" t="s">
        <v>82</v>
      </c>
      <c r="O1055" s="19" t="s">
        <v>14</v>
      </c>
      <c r="P1055" s="10"/>
      <c r="Q1055" s="11"/>
    </row>
    <row r="1056" spans="2:17" ht="21" customHeight="1" x14ac:dyDescent="0.35">
      <c r="B1056" s="1">
        <v>43953</v>
      </c>
      <c r="C1056" s="1" t="str">
        <f>TEXT(Sales[[#This Row],[Kode Program/Kegiatan ]],"D")</f>
        <v>2</v>
      </c>
      <c r="D1056" s="2" t="str">
        <f>TEXT(Sales[[#This Row],[Kode Program/Kegiatan ]],"mmm")</f>
        <v>May</v>
      </c>
      <c r="E1056" s="3">
        <v>10</v>
      </c>
      <c r="F1056" s="2">
        <v>9</v>
      </c>
      <c r="G1056" s="3">
        <f>IF(Sales[[#This Row],[Anggaran Murni]]-Sales[[#This Row],[Target s.d. Januari]]=0,"",Sales[[#This Row],[Anggaran Murni]]-Sales[[#This Row],[Target s.d. Januari]])</f>
        <v>1</v>
      </c>
      <c r="H1056" s="2" t="s">
        <v>114</v>
      </c>
      <c r="I1056" s="3" t="s">
        <v>3</v>
      </c>
      <c r="J1056" s="3"/>
      <c r="K1056" s="2" t="s">
        <v>48</v>
      </c>
      <c r="L1056" s="2" t="s">
        <v>5</v>
      </c>
      <c r="M1056" s="4" t="s">
        <v>67</v>
      </c>
      <c r="N1056" s="3" t="s">
        <v>82</v>
      </c>
      <c r="O1056" s="2" t="s">
        <v>11</v>
      </c>
      <c r="P1056" s="10"/>
      <c r="Q1056" s="11"/>
    </row>
    <row r="1057" spans="2:17" ht="21" customHeight="1" x14ac:dyDescent="0.35">
      <c r="B1057" s="18">
        <v>43953</v>
      </c>
      <c r="C1057" s="18" t="str">
        <f>TEXT(Sales[[#This Row],[Kode Program/Kegiatan ]],"D")</f>
        <v>2</v>
      </c>
      <c r="D1057" s="19" t="str">
        <f>TEXT(Sales[[#This Row],[Kode Program/Kegiatan ]],"mmm")</f>
        <v>May</v>
      </c>
      <c r="E1057" s="20">
        <v>4</v>
      </c>
      <c r="F1057" s="19">
        <v>3</v>
      </c>
      <c r="G1057" s="20">
        <f>IF(Sales[[#This Row],[Anggaran Murni]]-Sales[[#This Row],[Target s.d. Januari]]=0,"",Sales[[#This Row],[Anggaran Murni]]-Sales[[#This Row],[Target s.d. Januari]])</f>
        <v>1</v>
      </c>
      <c r="H1057" s="19" t="s">
        <v>114</v>
      </c>
      <c r="I1057" s="20" t="s">
        <v>3</v>
      </c>
      <c r="J1057" s="20"/>
      <c r="K1057" s="19" t="s">
        <v>47</v>
      </c>
      <c r="L1057" s="19" t="s">
        <v>5</v>
      </c>
      <c r="M1057" s="21" t="s">
        <v>67</v>
      </c>
      <c r="N1057" s="20" t="s">
        <v>82</v>
      </c>
      <c r="O1057" s="19" t="s">
        <v>14</v>
      </c>
      <c r="P1057" s="10"/>
      <c r="Q1057" s="11"/>
    </row>
    <row r="1058" spans="2:17" ht="21" customHeight="1" x14ac:dyDescent="0.35">
      <c r="B1058" s="1">
        <v>43954</v>
      </c>
      <c r="C1058" s="1" t="str">
        <f>TEXT(Sales[[#This Row],[Kode Program/Kegiatan ]],"D")</f>
        <v>3</v>
      </c>
      <c r="D1058" s="2" t="str">
        <f>TEXT(Sales[[#This Row],[Kode Program/Kegiatan ]],"mmm")</f>
        <v>May</v>
      </c>
      <c r="E1058" s="3">
        <v>10</v>
      </c>
      <c r="F1058" s="2">
        <v>9</v>
      </c>
      <c r="G1058" s="3">
        <f>IF(Sales[[#This Row],[Anggaran Murni]]-Sales[[#This Row],[Target s.d. Januari]]=0,"",Sales[[#This Row],[Anggaran Murni]]-Sales[[#This Row],[Target s.d. Januari]])</f>
        <v>1</v>
      </c>
      <c r="H1058" s="2" t="s">
        <v>113</v>
      </c>
      <c r="I1058" s="3" t="s">
        <v>77</v>
      </c>
      <c r="J1058" s="3"/>
      <c r="K1058" s="2" t="s">
        <v>35</v>
      </c>
      <c r="L1058" s="2" t="s">
        <v>5</v>
      </c>
      <c r="M1058" s="4" t="s">
        <v>67</v>
      </c>
      <c r="N1058" s="3" t="s">
        <v>82</v>
      </c>
      <c r="O1058" s="2" t="s">
        <v>12</v>
      </c>
      <c r="P1058" s="10"/>
      <c r="Q1058" s="11"/>
    </row>
    <row r="1059" spans="2:17" ht="21" customHeight="1" x14ac:dyDescent="0.35">
      <c r="B1059" s="18">
        <v>43954</v>
      </c>
      <c r="C1059" s="18" t="str">
        <f>TEXT(Sales[[#This Row],[Kode Program/Kegiatan ]],"D")</f>
        <v>3</v>
      </c>
      <c r="D1059" s="19" t="str">
        <f>TEXT(Sales[[#This Row],[Kode Program/Kegiatan ]],"mmm")</f>
        <v>May</v>
      </c>
      <c r="E1059" s="20">
        <v>9</v>
      </c>
      <c r="F1059" s="19">
        <v>5</v>
      </c>
      <c r="G1059" s="20">
        <f>IF(Sales[[#This Row],[Anggaran Murni]]-Sales[[#This Row],[Target s.d. Januari]]=0,"",Sales[[#This Row],[Anggaran Murni]]-Sales[[#This Row],[Target s.d. Januari]])</f>
        <v>4</v>
      </c>
      <c r="H1059" s="19" t="s">
        <v>72</v>
      </c>
      <c r="I1059" s="20" t="s">
        <v>78</v>
      </c>
      <c r="J1059" s="20"/>
      <c r="K1059" s="19" t="s">
        <v>56</v>
      </c>
      <c r="L1059" s="19" t="s">
        <v>9</v>
      </c>
      <c r="M1059" s="21" t="s">
        <v>67</v>
      </c>
      <c r="N1059" s="20" t="s">
        <v>82</v>
      </c>
      <c r="O1059" s="19" t="s">
        <v>13</v>
      </c>
      <c r="P1059" s="10"/>
      <c r="Q1059" s="11"/>
    </row>
    <row r="1060" spans="2:17" ht="21" customHeight="1" x14ac:dyDescent="0.35">
      <c r="B1060" s="1">
        <v>43954</v>
      </c>
      <c r="C1060" s="1" t="str">
        <f>TEXT(Sales[[#This Row],[Kode Program/Kegiatan ]],"D")</f>
        <v>3</v>
      </c>
      <c r="D1060" s="2" t="str">
        <f>TEXT(Sales[[#This Row],[Kode Program/Kegiatan ]],"mmm")</f>
        <v>May</v>
      </c>
      <c r="E1060" s="3">
        <v>7</v>
      </c>
      <c r="F1060" s="2">
        <v>4</v>
      </c>
      <c r="G1060" s="3">
        <f>IF(Sales[[#This Row],[Anggaran Murni]]-Sales[[#This Row],[Target s.d. Januari]]=0,"",Sales[[#This Row],[Anggaran Murni]]-Sales[[#This Row],[Target s.d. Januari]])</f>
        <v>3</v>
      </c>
      <c r="H1060" s="2" t="s">
        <v>75</v>
      </c>
      <c r="I1060" s="3" t="s">
        <v>6</v>
      </c>
      <c r="J1060" s="3"/>
      <c r="K1060" s="2" t="s">
        <v>51</v>
      </c>
      <c r="L1060" s="2" t="s">
        <v>5</v>
      </c>
      <c r="M1060" s="4" t="s">
        <v>67</v>
      </c>
      <c r="N1060" s="3" t="s">
        <v>81</v>
      </c>
      <c r="O1060" s="2" t="s">
        <v>13</v>
      </c>
      <c r="P1060" s="10"/>
      <c r="Q1060" s="11"/>
    </row>
    <row r="1061" spans="2:17" ht="21" customHeight="1" x14ac:dyDescent="0.35">
      <c r="B1061" s="18">
        <v>43954</v>
      </c>
      <c r="C1061" s="18" t="str">
        <f>TEXT(Sales[[#This Row],[Kode Program/Kegiatan ]],"D")</f>
        <v>3</v>
      </c>
      <c r="D1061" s="19" t="str">
        <f>TEXT(Sales[[#This Row],[Kode Program/Kegiatan ]],"mmm")</f>
        <v>May</v>
      </c>
      <c r="E1061" s="20">
        <v>7</v>
      </c>
      <c r="F1061" s="19">
        <v>6</v>
      </c>
      <c r="G1061" s="20">
        <f>IF(Sales[[#This Row],[Anggaran Murni]]-Sales[[#This Row],[Target s.d. Januari]]=0,"",Sales[[#This Row],[Anggaran Murni]]-Sales[[#This Row],[Target s.d. Januari]])</f>
        <v>1</v>
      </c>
      <c r="H1061" s="19" t="s">
        <v>75</v>
      </c>
      <c r="I1061" s="20" t="s">
        <v>6</v>
      </c>
      <c r="J1061" s="20"/>
      <c r="K1061" s="19" t="s">
        <v>24</v>
      </c>
      <c r="L1061" s="19" t="s">
        <v>4</v>
      </c>
      <c r="M1061" s="21" t="s">
        <v>67</v>
      </c>
      <c r="N1061" s="20" t="s">
        <v>82</v>
      </c>
      <c r="O1061" s="19" t="s">
        <v>14</v>
      </c>
      <c r="P1061" s="10"/>
      <c r="Q1061" s="11"/>
    </row>
    <row r="1062" spans="2:17" ht="21" customHeight="1" x14ac:dyDescent="0.35">
      <c r="B1062" s="1">
        <v>43954</v>
      </c>
      <c r="C1062" s="1" t="str">
        <f>TEXT(Sales[[#This Row],[Kode Program/Kegiatan ]],"D")</f>
        <v>3</v>
      </c>
      <c r="D1062" s="2" t="str">
        <f>TEXT(Sales[[#This Row],[Kode Program/Kegiatan ]],"mmm")</f>
        <v>May</v>
      </c>
      <c r="E1062" s="3">
        <v>7</v>
      </c>
      <c r="F1062" s="2">
        <v>5</v>
      </c>
      <c r="G1062" s="3">
        <f>IF(Sales[[#This Row],[Anggaran Murni]]-Sales[[#This Row],[Target s.d. Januari]]=0,"",Sales[[#This Row],[Anggaran Murni]]-Sales[[#This Row],[Target s.d. Januari]])</f>
        <v>2</v>
      </c>
      <c r="H1062" s="2" t="s">
        <v>113</v>
      </c>
      <c r="I1062" s="3" t="s">
        <v>77</v>
      </c>
      <c r="J1062" s="3"/>
      <c r="K1062" s="2" t="s">
        <v>38</v>
      </c>
      <c r="L1062" s="2" t="s">
        <v>8</v>
      </c>
      <c r="M1062" s="4" t="s">
        <v>67</v>
      </c>
      <c r="N1062" s="3" t="s">
        <v>81</v>
      </c>
      <c r="O1062" s="2" t="s">
        <v>11</v>
      </c>
      <c r="P1062" s="10"/>
      <c r="Q1062" s="11"/>
    </row>
    <row r="1063" spans="2:17" ht="21" customHeight="1" x14ac:dyDescent="0.35">
      <c r="B1063" s="18">
        <v>43954</v>
      </c>
      <c r="C1063" s="18" t="str">
        <f>TEXT(Sales[[#This Row],[Kode Program/Kegiatan ]],"D")</f>
        <v>3</v>
      </c>
      <c r="D1063" s="19" t="str">
        <f>TEXT(Sales[[#This Row],[Kode Program/Kegiatan ]],"mmm")</f>
        <v>May</v>
      </c>
      <c r="E1063" s="20">
        <v>6</v>
      </c>
      <c r="F1063" s="19">
        <v>3</v>
      </c>
      <c r="G1063" s="20">
        <f>IF(Sales[[#This Row],[Anggaran Murni]]-Sales[[#This Row],[Target s.d. Januari]]=0,"",Sales[[#This Row],[Anggaran Murni]]-Sales[[#This Row],[Target s.d. Januari]])</f>
        <v>3</v>
      </c>
      <c r="H1063" s="19" t="s">
        <v>76</v>
      </c>
      <c r="I1063" s="20" t="s">
        <v>79</v>
      </c>
      <c r="J1063" s="20"/>
      <c r="K1063" s="19" t="s">
        <v>40</v>
      </c>
      <c r="L1063" s="19" t="s">
        <v>5</v>
      </c>
      <c r="M1063" s="21" t="s">
        <v>67</v>
      </c>
      <c r="N1063" s="20" t="s">
        <v>82</v>
      </c>
      <c r="O1063" s="19" t="s">
        <v>13</v>
      </c>
      <c r="P1063" s="10"/>
      <c r="Q1063" s="11"/>
    </row>
    <row r="1064" spans="2:17" ht="21" customHeight="1" x14ac:dyDescent="0.35">
      <c r="B1064" s="1">
        <v>43954</v>
      </c>
      <c r="C1064" s="1" t="str">
        <f>TEXT(Sales[[#This Row],[Kode Program/Kegiatan ]],"D")</f>
        <v>3</v>
      </c>
      <c r="D1064" s="2" t="str">
        <f>TEXT(Sales[[#This Row],[Kode Program/Kegiatan ]],"mmm")</f>
        <v>May</v>
      </c>
      <c r="E1064" s="3">
        <v>5</v>
      </c>
      <c r="F1064" s="2">
        <v>4</v>
      </c>
      <c r="G1064" s="3">
        <f>IF(Sales[[#This Row],[Anggaran Murni]]-Sales[[#This Row],[Target s.d. Januari]]=0,"",Sales[[#This Row],[Anggaran Murni]]-Sales[[#This Row],[Target s.d. Januari]])</f>
        <v>1</v>
      </c>
      <c r="H1064" s="2" t="s">
        <v>71</v>
      </c>
      <c r="I1064" s="3" t="s">
        <v>6</v>
      </c>
      <c r="J1064" s="3"/>
      <c r="K1064" s="2" t="s">
        <v>63</v>
      </c>
      <c r="L1064" s="2" t="s">
        <v>9</v>
      </c>
      <c r="M1064" s="4" t="s">
        <v>67</v>
      </c>
      <c r="N1064" s="3" t="s">
        <v>80</v>
      </c>
      <c r="O1064" s="2" t="s">
        <v>14</v>
      </c>
      <c r="P1064" s="10"/>
      <c r="Q1064" s="11"/>
    </row>
    <row r="1065" spans="2:17" ht="21" customHeight="1" x14ac:dyDescent="0.35">
      <c r="B1065" s="18">
        <v>43954</v>
      </c>
      <c r="C1065" s="18" t="str">
        <f>TEXT(Sales[[#This Row],[Kode Program/Kegiatan ]],"D")</f>
        <v>3</v>
      </c>
      <c r="D1065" s="19" t="str">
        <f>TEXT(Sales[[#This Row],[Kode Program/Kegiatan ]],"mmm")</f>
        <v>May</v>
      </c>
      <c r="E1065" s="20">
        <v>3</v>
      </c>
      <c r="F1065" s="19">
        <v>2</v>
      </c>
      <c r="G1065" s="20">
        <f>IF(Sales[[#This Row],[Anggaran Murni]]-Sales[[#This Row],[Target s.d. Januari]]=0,"",Sales[[#This Row],[Anggaran Murni]]-Sales[[#This Row],[Target s.d. Januari]])</f>
        <v>1</v>
      </c>
      <c r="H1065" s="19" t="s">
        <v>76</v>
      </c>
      <c r="I1065" s="20" t="s">
        <v>79</v>
      </c>
      <c r="J1065" s="20"/>
      <c r="K1065" s="19" t="s">
        <v>37</v>
      </c>
      <c r="L1065" s="19" t="s">
        <v>2</v>
      </c>
      <c r="M1065" s="21" t="s">
        <v>67</v>
      </c>
      <c r="N1065" s="20" t="s">
        <v>80</v>
      </c>
      <c r="O1065" s="19" t="s">
        <v>12</v>
      </c>
      <c r="P1065" s="10"/>
      <c r="Q1065" s="11"/>
    </row>
    <row r="1066" spans="2:17" ht="21" customHeight="1" x14ac:dyDescent="0.35">
      <c r="B1066" s="1">
        <v>43955</v>
      </c>
      <c r="C1066" s="1" t="str">
        <f>TEXT(Sales[[#This Row],[Kode Program/Kegiatan ]],"D")</f>
        <v>4</v>
      </c>
      <c r="D1066" s="2" t="str">
        <f>TEXT(Sales[[#This Row],[Kode Program/Kegiatan ]],"mmm")</f>
        <v>May</v>
      </c>
      <c r="E1066" s="3">
        <v>10</v>
      </c>
      <c r="F1066" s="2">
        <v>8</v>
      </c>
      <c r="G1066" s="3">
        <f>IF(Sales[[#This Row],[Anggaran Murni]]-Sales[[#This Row],[Target s.d. Januari]]=0,"",Sales[[#This Row],[Anggaran Murni]]-Sales[[#This Row],[Target s.d. Januari]])</f>
        <v>2</v>
      </c>
      <c r="H1066" s="2" t="s">
        <v>114</v>
      </c>
      <c r="I1066" s="3" t="s">
        <v>3</v>
      </c>
      <c r="J1066" s="3"/>
      <c r="K1066" s="2" t="s">
        <v>56</v>
      </c>
      <c r="L1066" s="2" t="s">
        <v>5</v>
      </c>
      <c r="M1066" s="4" t="s">
        <v>67</v>
      </c>
      <c r="N1066" s="3" t="s">
        <v>81</v>
      </c>
      <c r="O1066" s="2" t="s">
        <v>12</v>
      </c>
      <c r="P1066" s="10"/>
      <c r="Q1066" s="11"/>
    </row>
    <row r="1067" spans="2:17" ht="21" customHeight="1" x14ac:dyDescent="0.35">
      <c r="B1067" s="18">
        <v>43955</v>
      </c>
      <c r="C1067" s="18" t="str">
        <f>TEXT(Sales[[#This Row],[Kode Program/Kegiatan ]],"D")</f>
        <v>4</v>
      </c>
      <c r="D1067" s="19" t="str">
        <f>TEXT(Sales[[#This Row],[Kode Program/Kegiatan ]],"mmm")</f>
        <v>May</v>
      </c>
      <c r="E1067" s="20">
        <v>9</v>
      </c>
      <c r="F1067" s="19">
        <v>5</v>
      </c>
      <c r="G1067" s="20">
        <f>IF(Sales[[#This Row],[Anggaran Murni]]-Sales[[#This Row],[Target s.d. Januari]]=0,"",Sales[[#This Row],[Anggaran Murni]]-Sales[[#This Row],[Target s.d. Januari]])</f>
        <v>4</v>
      </c>
      <c r="H1067" s="19" t="s">
        <v>75</v>
      </c>
      <c r="I1067" s="20" t="s">
        <v>6</v>
      </c>
      <c r="J1067" s="20"/>
      <c r="K1067" s="19" t="s">
        <v>44</v>
      </c>
      <c r="L1067" s="19" t="s">
        <v>2</v>
      </c>
      <c r="M1067" s="21" t="s">
        <v>67</v>
      </c>
      <c r="N1067" s="20" t="s">
        <v>80</v>
      </c>
      <c r="O1067" s="19" t="s">
        <v>14</v>
      </c>
      <c r="P1067" s="10"/>
      <c r="Q1067" s="11"/>
    </row>
    <row r="1068" spans="2:17" ht="21" customHeight="1" x14ac:dyDescent="0.35">
      <c r="B1068" s="1">
        <v>43955</v>
      </c>
      <c r="C1068" s="1" t="str">
        <f>TEXT(Sales[[#This Row],[Kode Program/Kegiatan ]],"D")</f>
        <v>4</v>
      </c>
      <c r="D1068" s="2" t="str">
        <f>TEXT(Sales[[#This Row],[Kode Program/Kegiatan ]],"mmm")</f>
        <v>May</v>
      </c>
      <c r="E1068" s="3">
        <v>8</v>
      </c>
      <c r="F1068" s="2">
        <v>6</v>
      </c>
      <c r="G1068" s="3">
        <f>IF(Sales[[#This Row],[Anggaran Murni]]-Sales[[#This Row],[Target s.d. Januari]]=0,"",Sales[[#This Row],[Anggaran Murni]]-Sales[[#This Row],[Target s.d. Januari]])</f>
        <v>2</v>
      </c>
      <c r="H1068" s="2" t="s">
        <v>113</v>
      </c>
      <c r="I1068" s="3" t="s">
        <v>77</v>
      </c>
      <c r="J1068" s="3"/>
      <c r="K1068" s="2" t="s">
        <v>62</v>
      </c>
      <c r="L1068" s="2" t="s">
        <v>2</v>
      </c>
      <c r="M1068" s="4" t="s">
        <v>67</v>
      </c>
      <c r="N1068" s="3" t="s">
        <v>81</v>
      </c>
      <c r="O1068" s="2" t="s">
        <v>12</v>
      </c>
      <c r="P1068" s="10"/>
      <c r="Q1068" s="11"/>
    </row>
    <row r="1069" spans="2:17" ht="21" customHeight="1" x14ac:dyDescent="0.35">
      <c r="B1069" s="18">
        <v>43955</v>
      </c>
      <c r="C1069" s="18" t="str">
        <f>TEXT(Sales[[#This Row],[Kode Program/Kegiatan ]],"D")</f>
        <v>4</v>
      </c>
      <c r="D1069" s="19" t="str">
        <f>TEXT(Sales[[#This Row],[Kode Program/Kegiatan ]],"mmm")</f>
        <v>May</v>
      </c>
      <c r="E1069" s="20">
        <v>6</v>
      </c>
      <c r="F1069" s="19">
        <v>3</v>
      </c>
      <c r="G1069" s="20">
        <f>IF(Sales[[#This Row],[Anggaran Murni]]-Sales[[#This Row],[Target s.d. Januari]]=0,"",Sales[[#This Row],[Anggaran Murni]]-Sales[[#This Row],[Target s.d. Januari]])</f>
        <v>3</v>
      </c>
      <c r="H1069" s="19" t="s">
        <v>70</v>
      </c>
      <c r="I1069" s="20" t="s">
        <v>1</v>
      </c>
      <c r="J1069" s="20"/>
      <c r="K1069" s="19" t="s">
        <v>23</v>
      </c>
      <c r="L1069" s="19" t="s">
        <v>5</v>
      </c>
      <c r="M1069" s="21" t="s">
        <v>67</v>
      </c>
      <c r="N1069" s="20" t="s">
        <v>81</v>
      </c>
      <c r="O1069" s="19" t="s">
        <v>11</v>
      </c>
      <c r="P1069" s="10"/>
      <c r="Q1069" s="11"/>
    </row>
    <row r="1070" spans="2:17" ht="21" customHeight="1" x14ac:dyDescent="0.35">
      <c r="B1070" s="1">
        <v>43955</v>
      </c>
      <c r="C1070" s="1" t="str">
        <f>TEXT(Sales[[#This Row],[Kode Program/Kegiatan ]],"D")</f>
        <v>4</v>
      </c>
      <c r="D1070" s="2" t="str">
        <f>TEXT(Sales[[#This Row],[Kode Program/Kegiatan ]],"mmm")</f>
        <v>May</v>
      </c>
      <c r="E1070" s="3">
        <v>6</v>
      </c>
      <c r="F1070" s="2">
        <v>3</v>
      </c>
      <c r="G1070" s="3">
        <f>IF(Sales[[#This Row],[Anggaran Murni]]-Sales[[#This Row],[Target s.d. Januari]]=0,"",Sales[[#This Row],[Anggaran Murni]]-Sales[[#This Row],[Target s.d. Januari]])</f>
        <v>3</v>
      </c>
      <c r="H1070" s="2" t="s">
        <v>75</v>
      </c>
      <c r="I1070" s="3" t="s">
        <v>6</v>
      </c>
      <c r="J1070" s="3"/>
      <c r="K1070" s="2" t="s">
        <v>41</v>
      </c>
      <c r="L1070" s="2" t="s">
        <v>5</v>
      </c>
      <c r="M1070" s="4" t="s">
        <v>67</v>
      </c>
      <c r="N1070" s="3" t="s">
        <v>82</v>
      </c>
      <c r="O1070" s="2" t="s">
        <v>12</v>
      </c>
      <c r="P1070" s="10"/>
      <c r="Q1070" s="11"/>
    </row>
    <row r="1071" spans="2:17" ht="21" customHeight="1" x14ac:dyDescent="0.35">
      <c r="B1071" s="18">
        <v>43955</v>
      </c>
      <c r="C1071" s="18" t="str">
        <f>TEXT(Sales[[#This Row],[Kode Program/Kegiatan ]],"D")</f>
        <v>4</v>
      </c>
      <c r="D1071" s="19" t="str">
        <f>TEXT(Sales[[#This Row],[Kode Program/Kegiatan ]],"mmm")</f>
        <v>May</v>
      </c>
      <c r="E1071" s="20">
        <v>5</v>
      </c>
      <c r="F1071" s="19">
        <v>3</v>
      </c>
      <c r="G1071" s="20">
        <f>IF(Sales[[#This Row],[Anggaran Murni]]-Sales[[#This Row],[Target s.d. Januari]]=0,"",Sales[[#This Row],[Anggaran Murni]]-Sales[[#This Row],[Target s.d. Januari]])</f>
        <v>2</v>
      </c>
      <c r="H1071" s="19" t="s">
        <v>73</v>
      </c>
      <c r="I1071" s="20" t="s">
        <v>78</v>
      </c>
      <c r="J1071" s="20"/>
      <c r="K1071" s="19" t="s">
        <v>19</v>
      </c>
      <c r="L1071" s="19" t="s">
        <v>5</v>
      </c>
      <c r="M1071" s="21" t="s">
        <v>67</v>
      </c>
      <c r="N1071" s="20" t="s">
        <v>81</v>
      </c>
      <c r="O1071" s="19" t="s">
        <v>11</v>
      </c>
      <c r="P1071" s="10"/>
      <c r="Q1071" s="11"/>
    </row>
    <row r="1072" spans="2:17" ht="21" customHeight="1" x14ac:dyDescent="0.35">
      <c r="B1072" s="1">
        <v>43956</v>
      </c>
      <c r="C1072" s="1" t="str">
        <f>TEXT(Sales[[#This Row],[Kode Program/Kegiatan ]],"D")</f>
        <v>5</v>
      </c>
      <c r="D1072" s="2" t="str">
        <f>TEXT(Sales[[#This Row],[Kode Program/Kegiatan ]],"mmm")</f>
        <v>May</v>
      </c>
      <c r="E1072" s="3">
        <v>10</v>
      </c>
      <c r="F1072" s="2">
        <v>10</v>
      </c>
      <c r="G1072" s="3" t="str">
        <f>IF(Sales[[#This Row],[Anggaran Murni]]-Sales[[#This Row],[Target s.d. Januari]]=0,"",Sales[[#This Row],[Anggaran Murni]]-Sales[[#This Row],[Target s.d. Januari]])</f>
        <v/>
      </c>
      <c r="H1072" s="2" t="s">
        <v>70</v>
      </c>
      <c r="I1072" s="3" t="s">
        <v>1</v>
      </c>
      <c r="J1072" s="3"/>
      <c r="K1072" s="2" t="s">
        <v>59</v>
      </c>
      <c r="L1072" s="2" t="s">
        <v>2</v>
      </c>
      <c r="M1072" s="4" t="s">
        <v>67</v>
      </c>
      <c r="N1072" s="3" t="s">
        <v>81</v>
      </c>
      <c r="O1072" s="2" t="s">
        <v>13</v>
      </c>
      <c r="P1072" s="10"/>
      <c r="Q1072" s="11"/>
    </row>
    <row r="1073" spans="2:17" ht="21" customHeight="1" x14ac:dyDescent="0.35">
      <c r="B1073" s="18">
        <v>43956</v>
      </c>
      <c r="C1073" s="18" t="str">
        <f>TEXT(Sales[[#This Row],[Kode Program/Kegiatan ]],"D")</f>
        <v>5</v>
      </c>
      <c r="D1073" s="19" t="str">
        <f>TEXT(Sales[[#This Row],[Kode Program/Kegiatan ]],"mmm")</f>
        <v>May</v>
      </c>
      <c r="E1073" s="20">
        <v>10</v>
      </c>
      <c r="F1073" s="19">
        <v>10</v>
      </c>
      <c r="G1073" s="20" t="str">
        <f>IF(Sales[[#This Row],[Anggaran Murni]]-Sales[[#This Row],[Target s.d. Januari]]=0,"",Sales[[#This Row],[Anggaran Murni]]-Sales[[#This Row],[Target s.d. Januari]])</f>
        <v/>
      </c>
      <c r="H1073" s="19" t="s">
        <v>74</v>
      </c>
      <c r="I1073" s="20" t="s">
        <v>77</v>
      </c>
      <c r="J1073" s="20"/>
      <c r="K1073" s="19" t="s">
        <v>25</v>
      </c>
      <c r="L1073" s="19" t="s">
        <v>2</v>
      </c>
      <c r="M1073" s="21" t="s">
        <v>67</v>
      </c>
      <c r="N1073" s="20" t="s">
        <v>82</v>
      </c>
      <c r="O1073" s="19" t="s">
        <v>14</v>
      </c>
      <c r="P1073" s="10"/>
      <c r="Q1073" s="11"/>
    </row>
    <row r="1074" spans="2:17" ht="21" customHeight="1" x14ac:dyDescent="0.35">
      <c r="B1074" s="1">
        <v>43956</v>
      </c>
      <c r="C1074" s="1" t="str">
        <f>TEXT(Sales[[#This Row],[Kode Program/Kegiatan ]],"D")</f>
        <v>5</v>
      </c>
      <c r="D1074" s="2" t="str">
        <f>TEXT(Sales[[#This Row],[Kode Program/Kegiatan ]],"mmm")</f>
        <v>May</v>
      </c>
      <c r="E1074" s="3">
        <v>9</v>
      </c>
      <c r="F1074" s="2">
        <v>9</v>
      </c>
      <c r="G1074" s="3" t="str">
        <f>IF(Sales[[#This Row],[Anggaran Murni]]-Sales[[#This Row],[Target s.d. Januari]]=0,"",Sales[[#This Row],[Anggaran Murni]]-Sales[[#This Row],[Target s.d. Januari]])</f>
        <v/>
      </c>
      <c r="H1074" s="2" t="s">
        <v>114</v>
      </c>
      <c r="I1074" s="3" t="s">
        <v>3</v>
      </c>
      <c r="J1074" s="3"/>
      <c r="K1074" s="2" t="s">
        <v>51</v>
      </c>
      <c r="L1074" s="2" t="s">
        <v>5</v>
      </c>
      <c r="M1074" s="4" t="s">
        <v>67</v>
      </c>
      <c r="N1074" s="3" t="s">
        <v>81</v>
      </c>
      <c r="O1074" s="2" t="s">
        <v>12</v>
      </c>
      <c r="P1074" s="10"/>
      <c r="Q1074" s="11"/>
    </row>
    <row r="1075" spans="2:17" ht="21" customHeight="1" x14ac:dyDescent="0.35">
      <c r="B1075" s="18">
        <v>43956</v>
      </c>
      <c r="C1075" s="18" t="str">
        <f>TEXT(Sales[[#This Row],[Kode Program/Kegiatan ]],"D")</f>
        <v>5</v>
      </c>
      <c r="D1075" s="19" t="str">
        <f>TEXT(Sales[[#This Row],[Kode Program/Kegiatan ]],"mmm")</f>
        <v>May</v>
      </c>
      <c r="E1075" s="20">
        <v>9</v>
      </c>
      <c r="F1075" s="19">
        <v>9</v>
      </c>
      <c r="G1075" s="20" t="str">
        <f>IF(Sales[[#This Row],[Anggaran Murni]]-Sales[[#This Row],[Target s.d. Januari]]=0,"",Sales[[#This Row],[Anggaran Murni]]-Sales[[#This Row],[Target s.d. Januari]])</f>
        <v/>
      </c>
      <c r="H1075" s="19" t="s">
        <v>71</v>
      </c>
      <c r="I1075" s="20" t="s">
        <v>6</v>
      </c>
      <c r="J1075" s="20"/>
      <c r="K1075" s="19" t="s">
        <v>34</v>
      </c>
      <c r="L1075" s="19" t="s">
        <v>5</v>
      </c>
      <c r="M1075" s="21" t="s">
        <v>67</v>
      </c>
      <c r="N1075" s="20" t="s">
        <v>81</v>
      </c>
      <c r="O1075" s="19" t="s">
        <v>11</v>
      </c>
      <c r="P1075" s="10"/>
      <c r="Q1075" s="11"/>
    </row>
    <row r="1076" spans="2:17" ht="21" customHeight="1" x14ac:dyDescent="0.35">
      <c r="B1076" s="1">
        <v>43956</v>
      </c>
      <c r="C1076" s="1" t="str">
        <f>TEXT(Sales[[#This Row],[Kode Program/Kegiatan ]],"D")</f>
        <v>5</v>
      </c>
      <c r="D1076" s="2" t="str">
        <f>TEXT(Sales[[#This Row],[Kode Program/Kegiatan ]],"mmm")</f>
        <v>May</v>
      </c>
      <c r="E1076" s="3">
        <v>8</v>
      </c>
      <c r="F1076" s="2">
        <v>8</v>
      </c>
      <c r="G1076" s="3" t="str">
        <f>IF(Sales[[#This Row],[Anggaran Murni]]-Sales[[#This Row],[Target s.d. Januari]]=0,"",Sales[[#This Row],[Anggaran Murni]]-Sales[[#This Row],[Target s.d. Januari]])</f>
        <v/>
      </c>
      <c r="H1076" s="2" t="s">
        <v>73</v>
      </c>
      <c r="I1076" s="3" t="s">
        <v>78</v>
      </c>
      <c r="J1076" s="3"/>
      <c r="K1076" s="2" t="s">
        <v>43</v>
      </c>
      <c r="L1076" s="2" t="s">
        <v>8</v>
      </c>
      <c r="M1076" s="4" t="s">
        <v>67</v>
      </c>
      <c r="N1076" s="3" t="s">
        <v>82</v>
      </c>
      <c r="O1076" s="2" t="s">
        <v>13</v>
      </c>
      <c r="P1076" s="10"/>
      <c r="Q1076" s="11"/>
    </row>
    <row r="1077" spans="2:17" ht="21" customHeight="1" x14ac:dyDescent="0.35">
      <c r="B1077" s="18">
        <v>43956</v>
      </c>
      <c r="C1077" s="18" t="str">
        <f>TEXT(Sales[[#This Row],[Kode Program/Kegiatan ]],"D")</f>
        <v>5</v>
      </c>
      <c r="D1077" s="19" t="str">
        <f>TEXT(Sales[[#This Row],[Kode Program/Kegiatan ]],"mmm")</f>
        <v>May</v>
      </c>
      <c r="E1077" s="20">
        <v>6</v>
      </c>
      <c r="F1077" s="19">
        <v>6</v>
      </c>
      <c r="G1077" s="20" t="str">
        <f>IF(Sales[[#This Row],[Anggaran Murni]]-Sales[[#This Row],[Target s.d. Januari]]=0,"",Sales[[#This Row],[Anggaran Murni]]-Sales[[#This Row],[Target s.d. Januari]])</f>
        <v/>
      </c>
      <c r="H1077" s="19" t="s">
        <v>74</v>
      </c>
      <c r="I1077" s="20" t="s">
        <v>77</v>
      </c>
      <c r="J1077" s="20"/>
      <c r="K1077" s="19" t="s">
        <v>33</v>
      </c>
      <c r="L1077" s="19" t="s">
        <v>2</v>
      </c>
      <c r="M1077" s="21" t="s">
        <v>67</v>
      </c>
      <c r="N1077" s="20" t="s">
        <v>82</v>
      </c>
      <c r="O1077" s="19" t="s">
        <v>12</v>
      </c>
      <c r="P1077" s="10"/>
      <c r="Q1077" s="11"/>
    </row>
    <row r="1078" spans="2:17" ht="21" customHeight="1" x14ac:dyDescent="0.35">
      <c r="B1078" s="1">
        <v>43956</v>
      </c>
      <c r="C1078" s="1" t="str">
        <f>TEXT(Sales[[#This Row],[Kode Program/Kegiatan ]],"D")</f>
        <v>5</v>
      </c>
      <c r="D1078" s="2" t="str">
        <f>TEXT(Sales[[#This Row],[Kode Program/Kegiatan ]],"mmm")</f>
        <v>May</v>
      </c>
      <c r="E1078" s="3">
        <v>3</v>
      </c>
      <c r="F1078" s="2">
        <v>3</v>
      </c>
      <c r="G1078" s="3" t="str">
        <f>IF(Sales[[#This Row],[Anggaran Murni]]-Sales[[#This Row],[Target s.d. Januari]]=0,"",Sales[[#This Row],[Anggaran Murni]]-Sales[[#This Row],[Target s.d. Januari]])</f>
        <v/>
      </c>
      <c r="H1078" s="2" t="s">
        <v>114</v>
      </c>
      <c r="I1078" s="3" t="s">
        <v>3</v>
      </c>
      <c r="J1078" s="3"/>
      <c r="K1078" s="2" t="s">
        <v>38</v>
      </c>
      <c r="L1078" s="2" t="s">
        <v>5</v>
      </c>
      <c r="M1078" s="4" t="s">
        <v>67</v>
      </c>
      <c r="N1078" s="3" t="s">
        <v>80</v>
      </c>
      <c r="O1078" s="2" t="s">
        <v>14</v>
      </c>
      <c r="P1078" s="10"/>
      <c r="Q1078" s="11"/>
    </row>
    <row r="1079" spans="2:17" ht="21" customHeight="1" x14ac:dyDescent="0.35">
      <c r="B1079" s="18">
        <v>43957</v>
      </c>
      <c r="C1079" s="18" t="str">
        <f>TEXT(Sales[[#This Row],[Kode Program/Kegiatan ]],"D")</f>
        <v>6</v>
      </c>
      <c r="D1079" s="19" t="str">
        <f>TEXT(Sales[[#This Row],[Kode Program/Kegiatan ]],"mmm")</f>
        <v>May</v>
      </c>
      <c r="E1079" s="20">
        <v>10</v>
      </c>
      <c r="F1079" s="19">
        <v>10</v>
      </c>
      <c r="G1079" s="20" t="str">
        <f>IF(Sales[[#This Row],[Anggaran Murni]]-Sales[[#This Row],[Target s.d. Januari]]=0,"",Sales[[#This Row],[Anggaran Murni]]-Sales[[#This Row],[Target s.d. Januari]])</f>
        <v/>
      </c>
      <c r="H1079" s="19" t="s">
        <v>76</v>
      </c>
      <c r="I1079" s="20" t="s">
        <v>79</v>
      </c>
      <c r="J1079" s="20"/>
      <c r="K1079" s="19" t="s">
        <v>21</v>
      </c>
      <c r="L1079" s="19" t="s">
        <v>8</v>
      </c>
      <c r="M1079" s="21" t="s">
        <v>67</v>
      </c>
      <c r="N1079" s="20" t="s">
        <v>81</v>
      </c>
      <c r="O1079" s="19" t="s">
        <v>14</v>
      </c>
      <c r="P1079" s="10"/>
      <c r="Q1079" s="11"/>
    </row>
    <row r="1080" spans="2:17" ht="21" customHeight="1" x14ac:dyDescent="0.35">
      <c r="B1080" s="1">
        <v>43957</v>
      </c>
      <c r="C1080" s="1" t="str">
        <f>TEXT(Sales[[#This Row],[Kode Program/Kegiatan ]],"D")</f>
        <v>6</v>
      </c>
      <c r="D1080" s="2" t="str">
        <f>TEXT(Sales[[#This Row],[Kode Program/Kegiatan ]],"mmm")</f>
        <v>May</v>
      </c>
      <c r="E1080" s="3">
        <v>9</v>
      </c>
      <c r="F1080" s="2">
        <v>9</v>
      </c>
      <c r="G1080" s="3" t="str">
        <f>IF(Sales[[#This Row],[Anggaran Murni]]-Sales[[#This Row],[Target s.d. Januari]]=0,"",Sales[[#This Row],[Anggaran Murni]]-Sales[[#This Row],[Target s.d. Januari]])</f>
        <v/>
      </c>
      <c r="H1080" s="2" t="s">
        <v>70</v>
      </c>
      <c r="I1080" s="3" t="s">
        <v>1</v>
      </c>
      <c r="J1080" s="3"/>
      <c r="K1080" s="2" t="s">
        <v>59</v>
      </c>
      <c r="L1080" s="2" t="s">
        <v>7</v>
      </c>
      <c r="M1080" s="4" t="s">
        <v>67</v>
      </c>
      <c r="N1080" s="3" t="s">
        <v>81</v>
      </c>
      <c r="O1080" s="2" t="s">
        <v>12</v>
      </c>
      <c r="P1080" s="10"/>
      <c r="Q1080" s="11"/>
    </row>
    <row r="1081" spans="2:17" ht="21" customHeight="1" x14ac:dyDescent="0.35">
      <c r="B1081" s="18">
        <v>43957</v>
      </c>
      <c r="C1081" s="18" t="str">
        <f>TEXT(Sales[[#This Row],[Kode Program/Kegiatan ]],"D")</f>
        <v>6</v>
      </c>
      <c r="D1081" s="19" t="str">
        <f>TEXT(Sales[[#This Row],[Kode Program/Kegiatan ]],"mmm")</f>
        <v>May</v>
      </c>
      <c r="E1081" s="20">
        <v>7</v>
      </c>
      <c r="F1081" s="19">
        <v>7</v>
      </c>
      <c r="G1081" s="20" t="str">
        <f>IF(Sales[[#This Row],[Anggaran Murni]]-Sales[[#This Row],[Target s.d. Januari]]=0,"",Sales[[#This Row],[Anggaran Murni]]-Sales[[#This Row],[Target s.d. Januari]])</f>
        <v/>
      </c>
      <c r="H1081" s="19" t="s">
        <v>72</v>
      </c>
      <c r="I1081" s="20" t="s">
        <v>78</v>
      </c>
      <c r="J1081" s="20"/>
      <c r="K1081" s="19" t="s">
        <v>56</v>
      </c>
      <c r="L1081" s="19" t="s">
        <v>5</v>
      </c>
      <c r="M1081" s="21" t="s">
        <v>67</v>
      </c>
      <c r="N1081" s="20" t="s">
        <v>80</v>
      </c>
      <c r="O1081" s="19" t="s">
        <v>12</v>
      </c>
      <c r="P1081" s="10"/>
      <c r="Q1081" s="11"/>
    </row>
    <row r="1082" spans="2:17" ht="21" customHeight="1" x14ac:dyDescent="0.35">
      <c r="B1082" s="1">
        <v>43957</v>
      </c>
      <c r="C1082" s="1" t="str">
        <f>TEXT(Sales[[#This Row],[Kode Program/Kegiatan ]],"D")</f>
        <v>6</v>
      </c>
      <c r="D1082" s="2" t="str">
        <f>TEXT(Sales[[#This Row],[Kode Program/Kegiatan ]],"mmm")</f>
        <v>May</v>
      </c>
      <c r="E1082" s="3">
        <v>4</v>
      </c>
      <c r="F1082" s="2">
        <v>4</v>
      </c>
      <c r="G1082" s="3" t="str">
        <f>IF(Sales[[#This Row],[Anggaran Murni]]-Sales[[#This Row],[Target s.d. Januari]]=0,"",Sales[[#This Row],[Anggaran Murni]]-Sales[[#This Row],[Target s.d. Januari]])</f>
        <v/>
      </c>
      <c r="H1082" s="2" t="s">
        <v>73</v>
      </c>
      <c r="I1082" s="3" t="s">
        <v>78</v>
      </c>
      <c r="J1082" s="3"/>
      <c r="K1082" s="2" t="s">
        <v>54</v>
      </c>
      <c r="L1082" s="2" t="s">
        <v>5</v>
      </c>
      <c r="M1082" s="4" t="s">
        <v>67</v>
      </c>
      <c r="N1082" s="3" t="s">
        <v>80</v>
      </c>
      <c r="O1082" s="2" t="s">
        <v>14</v>
      </c>
      <c r="P1082" s="10"/>
      <c r="Q1082" s="11"/>
    </row>
    <row r="1083" spans="2:17" ht="21" customHeight="1" x14ac:dyDescent="0.35">
      <c r="B1083" s="18">
        <v>43957</v>
      </c>
      <c r="C1083" s="18" t="str">
        <f>TEXT(Sales[[#This Row],[Kode Program/Kegiatan ]],"D")</f>
        <v>6</v>
      </c>
      <c r="D1083" s="19" t="str">
        <f>TEXT(Sales[[#This Row],[Kode Program/Kegiatan ]],"mmm")</f>
        <v>May</v>
      </c>
      <c r="E1083" s="20">
        <v>3</v>
      </c>
      <c r="F1083" s="19">
        <v>3</v>
      </c>
      <c r="G1083" s="20" t="str">
        <f>IF(Sales[[#This Row],[Anggaran Murni]]-Sales[[#This Row],[Target s.d. Januari]]=0,"",Sales[[#This Row],[Anggaran Murni]]-Sales[[#This Row],[Target s.d. Januari]])</f>
        <v/>
      </c>
      <c r="H1083" s="19" t="s">
        <v>71</v>
      </c>
      <c r="I1083" s="20" t="s">
        <v>6</v>
      </c>
      <c r="J1083" s="20"/>
      <c r="K1083" s="19" t="s">
        <v>38</v>
      </c>
      <c r="L1083" s="19" t="s">
        <v>2</v>
      </c>
      <c r="M1083" s="21" t="s">
        <v>67</v>
      </c>
      <c r="N1083" s="20" t="s">
        <v>80</v>
      </c>
      <c r="O1083" s="19" t="s">
        <v>13</v>
      </c>
      <c r="P1083" s="10"/>
      <c r="Q1083" s="11"/>
    </row>
    <row r="1084" spans="2:17" ht="21" customHeight="1" x14ac:dyDescent="0.35">
      <c r="B1084" s="1">
        <v>43958</v>
      </c>
      <c r="C1084" s="1" t="str">
        <f>TEXT(Sales[[#This Row],[Kode Program/Kegiatan ]],"D")</f>
        <v>7</v>
      </c>
      <c r="D1084" s="2" t="str">
        <f>TEXT(Sales[[#This Row],[Kode Program/Kegiatan ]],"mmm")</f>
        <v>May</v>
      </c>
      <c r="E1084" s="3">
        <v>9</v>
      </c>
      <c r="F1084" s="2">
        <v>9</v>
      </c>
      <c r="G1084" s="3" t="str">
        <f>IF(Sales[[#This Row],[Anggaran Murni]]-Sales[[#This Row],[Target s.d. Januari]]=0,"",Sales[[#This Row],[Anggaran Murni]]-Sales[[#This Row],[Target s.d. Januari]])</f>
        <v/>
      </c>
      <c r="H1084" s="2" t="s">
        <v>113</v>
      </c>
      <c r="I1084" s="3" t="s">
        <v>77</v>
      </c>
      <c r="J1084" s="3"/>
      <c r="K1084" s="2" t="s">
        <v>61</v>
      </c>
      <c r="L1084" s="2" t="s">
        <v>5</v>
      </c>
      <c r="M1084" s="4" t="s">
        <v>67</v>
      </c>
      <c r="N1084" s="3" t="s">
        <v>82</v>
      </c>
      <c r="O1084" s="2" t="s">
        <v>13</v>
      </c>
      <c r="P1084" s="10"/>
      <c r="Q1084" s="11"/>
    </row>
    <row r="1085" spans="2:17" ht="21" customHeight="1" x14ac:dyDescent="0.35">
      <c r="B1085" s="18">
        <v>43958</v>
      </c>
      <c r="C1085" s="18" t="str">
        <f>TEXT(Sales[[#This Row],[Kode Program/Kegiatan ]],"D")</f>
        <v>7</v>
      </c>
      <c r="D1085" s="19" t="str">
        <f>TEXT(Sales[[#This Row],[Kode Program/Kegiatan ]],"mmm")</f>
        <v>May</v>
      </c>
      <c r="E1085" s="20">
        <v>9</v>
      </c>
      <c r="F1085" s="19">
        <v>9</v>
      </c>
      <c r="G1085" s="20" t="str">
        <f>IF(Sales[[#This Row],[Anggaran Murni]]-Sales[[#This Row],[Target s.d. Januari]]=0,"",Sales[[#This Row],[Anggaran Murni]]-Sales[[#This Row],[Target s.d. Januari]])</f>
        <v/>
      </c>
      <c r="H1085" s="19" t="s">
        <v>71</v>
      </c>
      <c r="I1085" s="20" t="s">
        <v>6</v>
      </c>
      <c r="J1085" s="20"/>
      <c r="K1085" s="19" t="s">
        <v>51</v>
      </c>
      <c r="L1085" s="19" t="s">
        <v>7</v>
      </c>
      <c r="M1085" s="21" t="s">
        <v>67</v>
      </c>
      <c r="N1085" s="20" t="s">
        <v>81</v>
      </c>
      <c r="O1085" s="19" t="s">
        <v>13</v>
      </c>
      <c r="P1085" s="10"/>
      <c r="Q1085" s="11"/>
    </row>
    <row r="1086" spans="2:17" ht="21" customHeight="1" x14ac:dyDescent="0.35">
      <c r="B1086" s="1">
        <v>43958</v>
      </c>
      <c r="C1086" s="1" t="str">
        <f>TEXT(Sales[[#This Row],[Kode Program/Kegiatan ]],"D")</f>
        <v>7</v>
      </c>
      <c r="D1086" s="2" t="str">
        <f>TEXT(Sales[[#This Row],[Kode Program/Kegiatan ]],"mmm")</f>
        <v>May</v>
      </c>
      <c r="E1086" s="3">
        <v>9</v>
      </c>
      <c r="F1086" s="2">
        <v>9</v>
      </c>
      <c r="G1086" s="3" t="str">
        <f>IF(Sales[[#This Row],[Anggaran Murni]]-Sales[[#This Row],[Target s.d. Januari]]=0,"",Sales[[#This Row],[Anggaran Murni]]-Sales[[#This Row],[Target s.d. Januari]])</f>
        <v/>
      </c>
      <c r="H1086" s="2" t="s">
        <v>76</v>
      </c>
      <c r="I1086" s="3" t="s">
        <v>79</v>
      </c>
      <c r="J1086" s="3"/>
      <c r="K1086" s="2" t="s">
        <v>41</v>
      </c>
      <c r="L1086" s="2" t="s">
        <v>2</v>
      </c>
      <c r="M1086" s="4" t="s">
        <v>67</v>
      </c>
      <c r="N1086" s="3" t="s">
        <v>82</v>
      </c>
      <c r="O1086" s="2" t="s">
        <v>13</v>
      </c>
      <c r="P1086" s="10"/>
      <c r="Q1086" s="11"/>
    </row>
    <row r="1087" spans="2:17" ht="21" customHeight="1" x14ac:dyDescent="0.35">
      <c r="B1087" s="18">
        <v>43958</v>
      </c>
      <c r="C1087" s="18" t="str">
        <f>TEXT(Sales[[#This Row],[Kode Program/Kegiatan ]],"D")</f>
        <v>7</v>
      </c>
      <c r="D1087" s="19" t="str">
        <f>TEXT(Sales[[#This Row],[Kode Program/Kegiatan ]],"mmm")</f>
        <v>May</v>
      </c>
      <c r="E1087" s="20">
        <v>9</v>
      </c>
      <c r="F1087" s="19">
        <v>9</v>
      </c>
      <c r="G1087" s="20" t="str">
        <f>IF(Sales[[#This Row],[Anggaran Murni]]-Sales[[#This Row],[Target s.d. Januari]]=0,"",Sales[[#This Row],[Anggaran Murni]]-Sales[[#This Row],[Target s.d. Januari]])</f>
        <v/>
      </c>
      <c r="H1087" s="19" t="s">
        <v>72</v>
      </c>
      <c r="I1087" s="20" t="s">
        <v>78</v>
      </c>
      <c r="J1087" s="20"/>
      <c r="K1087" s="19" t="s">
        <v>63</v>
      </c>
      <c r="L1087" s="19" t="s">
        <v>9</v>
      </c>
      <c r="M1087" s="21" t="s">
        <v>67</v>
      </c>
      <c r="N1087" s="20" t="s">
        <v>80</v>
      </c>
      <c r="O1087" s="19" t="s">
        <v>14</v>
      </c>
      <c r="P1087" s="10"/>
      <c r="Q1087" s="11"/>
    </row>
    <row r="1088" spans="2:17" ht="21" customHeight="1" x14ac:dyDescent="0.35">
      <c r="B1088" s="1">
        <v>43958</v>
      </c>
      <c r="C1088" s="1" t="str">
        <f>TEXT(Sales[[#This Row],[Kode Program/Kegiatan ]],"D")</f>
        <v>7</v>
      </c>
      <c r="D1088" s="2" t="str">
        <f>TEXT(Sales[[#This Row],[Kode Program/Kegiatan ]],"mmm")</f>
        <v>May</v>
      </c>
      <c r="E1088" s="3">
        <v>8</v>
      </c>
      <c r="F1088" s="2">
        <v>8</v>
      </c>
      <c r="G1088" s="3" t="str">
        <f>IF(Sales[[#This Row],[Anggaran Murni]]-Sales[[#This Row],[Target s.d. Januari]]=0,"",Sales[[#This Row],[Anggaran Murni]]-Sales[[#This Row],[Target s.d. Januari]])</f>
        <v/>
      </c>
      <c r="H1088" s="2" t="s">
        <v>114</v>
      </c>
      <c r="I1088" s="3" t="s">
        <v>3</v>
      </c>
      <c r="J1088" s="3"/>
      <c r="K1088" s="2" t="s">
        <v>29</v>
      </c>
      <c r="L1088" s="2" t="s">
        <v>5</v>
      </c>
      <c r="M1088" s="4" t="s">
        <v>67</v>
      </c>
      <c r="N1088" s="3" t="s">
        <v>80</v>
      </c>
      <c r="O1088" s="2" t="s">
        <v>14</v>
      </c>
      <c r="P1088" s="10"/>
      <c r="Q1088" s="11"/>
    </row>
    <row r="1089" spans="2:17" ht="21" customHeight="1" x14ac:dyDescent="0.35">
      <c r="B1089" s="18">
        <v>43958</v>
      </c>
      <c r="C1089" s="18" t="str">
        <f>TEXT(Sales[[#This Row],[Kode Program/Kegiatan ]],"D")</f>
        <v>7</v>
      </c>
      <c r="D1089" s="19" t="str">
        <f>TEXT(Sales[[#This Row],[Kode Program/Kegiatan ]],"mmm")</f>
        <v>May</v>
      </c>
      <c r="E1089" s="20">
        <v>7</v>
      </c>
      <c r="F1089" s="19">
        <v>7</v>
      </c>
      <c r="G1089" s="20" t="str">
        <f>IF(Sales[[#This Row],[Anggaran Murni]]-Sales[[#This Row],[Target s.d. Januari]]=0,"",Sales[[#This Row],[Anggaran Murni]]-Sales[[#This Row],[Target s.d. Januari]])</f>
        <v/>
      </c>
      <c r="H1089" s="19" t="s">
        <v>74</v>
      </c>
      <c r="I1089" s="20" t="s">
        <v>77</v>
      </c>
      <c r="J1089" s="20"/>
      <c r="K1089" s="19" t="s">
        <v>33</v>
      </c>
      <c r="L1089" s="19" t="s">
        <v>5</v>
      </c>
      <c r="M1089" s="21" t="s">
        <v>67</v>
      </c>
      <c r="N1089" s="20" t="s">
        <v>81</v>
      </c>
      <c r="O1089" s="19" t="s">
        <v>13</v>
      </c>
      <c r="P1089" s="10"/>
      <c r="Q1089" s="11"/>
    </row>
    <row r="1090" spans="2:17" ht="21" customHeight="1" x14ac:dyDescent="0.35">
      <c r="B1090" s="1">
        <v>43958</v>
      </c>
      <c r="C1090" s="1" t="str">
        <f>TEXT(Sales[[#This Row],[Kode Program/Kegiatan ]],"D")</f>
        <v>7</v>
      </c>
      <c r="D1090" s="2" t="str">
        <f>TEXT(Sales[[#This Row],[Kode Program/Kegiatan ]],"mmm")</f>
        <v>May</v>
      </c>
      <c r="E1090" s="3">
        <v>5</v>
      </c>
      <c r="F1090" s="2">
        <v>5</v>
      </c>
      <c r="G1090" s="3" t="str">
        <f>IF(Sales[[#This Row],[Anggaran Murni]]-Sales[[#This Row],[Target s.d. Januari]]=0,"",Sales[[#This Row],[Anggaran Murni]]-Sales[[#This Row],[Target s.d. Januari]])</f>
        <v/>
      </c>
      <c r="H1090" s="2" t="s">
        <v>70</v>
      </c>
      <c r="I1090" s="3" t="s">
        <v>1</v>
      </c>
      <c r="J1090" s="3"/>
      <c r="K1090" s="2" t="s">
        <v>26</v>
      </c>
      <c r="L1090" s="2" t="s">
        <v>5</v>
      </c>
      <c r="M1090" s="4" t="s">
        <v>67</v>
      </c>
      <c r="N1090" s="3" t="s">
        <v>82</v>
      </c>
      <c r="O1090" s="2" t="s">
        <v>11</v>
      </c>
      <c r="P1090" s="10"/>
      <c r="Q1090" s="11"/>
    </row>
    <row r="1091" spans="2:17" ht="21" customHeight="1" x14ac:dyDescent="0.35">
      <c r="B1091" s="18">
        <v>43958</v>
      </c>
      <c r="C1091" s="18" t="str">
        <f>TEXT(Sales[[#This Row],[Kode Program/Kegiatan ]],"D")</f>
        <v>7</v>
      </c>
      <c r="D1091" s="19" t="str">
        <f>TEXT(Sales[[#This Row],[Kode Program/Kegiatan ]],"mmm")</f>
        <v>May</v>
      </c>
      <c r="E1091" s="20">
        <v>5</v>
      </c>
      <c r="F1091" s="19">
        <v>5</v>
      </c>
      <c r="G1091" s="20" t="str">
        <f>IF(Sales[[#This Row],[Anggaran Murni]]-Sales[[#This Row],[Target s.d. Januari]]=0,"",Sales[[#This Row],[Anggaran Murni]]-Sales[[#This Row],[Target s.d. Januari]])</f>
        <v/>
      </c>
      <c r="H1091" s="19" t="s">
        <v>114</v>
      </c>
      <c r="I1091" s="20" t="s">
        <v>3</v>
      </c>
      <c r="J1091" s="20"/>
      <c r="K1091" s="19" t="s">
        <v>24</v>
      </c>
      <c r="L1091" s="19" t="s">
        <v>5</v>
      </c>
      <c r="M1091" s="21" t="s">
        <v>67</v>
      </c>
      <c r="N1091" s="20" t="s">
        <v>80</v>
      </c>
      <c r="O1091" s="19" t="s">
        <v>14</v>
      </c>
      <c r="P1091" s="10"/>
      <c r="Q1091" s="11"/>
    </row>
    <row r="1092" spans="2:17" ht="21" customHeight="1" x14ac:dyDescent="0.35">
      <c r="B1092" s="1">
        <v>43959</v>
      </c>
      <c r="C1092" s="1" t="str">
        <f>TEXT(Sales[[#This Row],[Kode Program/Kegiatan ]],"D")</f>
        <v>8</v>
      </c>
      <c r="D1092" s="2" t="str">
        <f>TEXT(Sales[[#This Row],[Kode Program/Kegiatan ]],"mmm")</f>
        <v>May</v>
      </c>
      <c r="E1092" s="3">
        <v>9</v>
      </c>
      <c r="F1092" s="2">
        <v>9</v>
      </c>
      <c r="G1092" s="3" t="str">
        <f>IF(Sales[[#This Row],[Anggaran Murni]]-Sales[[#This Row],[Target s.d. Januari]]=0,"",Sales[[#This Row],[Anggaran Murni]]-Sales[[#This Row],[Target s.d. Januari]])</f>
        <v/>
      </c>
      <c r="H1092" s="2" t="s">
        <v>74</v>
      </c>
      <c r="I1092" s="3" t="s">
        <v>77</v>
      </c>
      <c r="J1092" s="3"/>
      <c r="K1092" s="2" t="s">
        <v>59</v>
      </c>
      <c r="L1092" s="2" t="s">
        <v>5</v>
      </c>
      <c r="M1092" s="4" t="s">
        <v>67</v>
      </c>
      <c r="N1092" s="3" t="s">
        <v>82</v>
      </c>
      <c r="O1092" s="2" t="s">
        <v>12</v>
      </c>
      <c r="P1092" s="10"/>
      <c r="Q1092" s="11"/>
    </row>
    <row r="1093" spans="2:17" ht="21" customHeight="1" x14ac:dyDescent="0.35">
      <c r="B1093" s="18">
        <v>43959</v>
      </c>
      <c r="C1093" s="18" t="str">
        <f>TEXT(Sales[[#This Row],[Kode Program/Kegiatan ]],"D")</f>
        <v>8</v>
      </c>
      <c r="D1093" s="19" t="str">
        <f>TEXT(Sales[[#This Row],[Kode Program/Kegiatan ]],"mmm")</f>
        <v>May</v>
      </c>
      <c r="E1093" s="20">
        <v>7</v>
      </c>
      <c r="F1093" s="19">
        <v>7</v>
      </c>
      <c r="G1093" s="20" t="str">
        <f>IF(Sales[[#This Row],[Anggaran Murni]]-Sales[[#This Row],[Target s.d. Januari]]=0,"",Sales[[#This Row],[Anggaran Murni]]-Sales[[#This Row],[Target s.d. Januari]])</f>
        <v/>
      </c>
      <c r="H1093" s="19" t="s">
        <v>113</v>
      </c>
      <c r="I1093" s="20" t="s">
        <v>77</v>
      </c>
      <c r="J1093" s="20"/>
      <c r="K1093" s="19" t="s">
        <v>50</v>
      </c>
      <c r="L1093" s="19" t="s">
        <v>5</v>
      </c>
      <c r="M1093" s="21" t="s">
        <v>67</v>
      </c>
      <c r="N1093" s="20" t="s">
        <v>81</v>
      </c>
      <c r="O1093" s="19" t="s">
        <v>13</v>
      </c>
      <c r="P1093" s="10"/>
      <c r="Q1093" s="11"/>
    </row>
    <row r="1094" spans="2:17" ht="21" customHeight="1" x14ac:dyDescent="0.35">
      <c r="B1094" s="1">
        <v>43959</v>
      </c>
      <c r="C1094" s="1" t="str">
        <f>TEXT(Sales[[#This Row],[Kode Program/Kegiatan ]],"D")</f>
        <v>8</v>
      </c>
      <c r="D1094" s="2" t="str">
        <f>TEXT(Sales[[#This Row],[Kode Program/Kegiatan ]],"mmm")</f>
        <v>May</v>
      </c>
      <c r="E1094" s="3">
        <v>7</v>
      </c>
      <c r="F1094" s="2">
        <v>7</v>
      </c>
      <c r="G1094" s="3" t="str">
        <f>IF(Sales[[#This Row],[Anggaran Murni]]-Sales[[#This Row],[Target s.d. Januari]]=0,"",Sales[[#This Row],[Anggaran Murni]]-Sales[[#This Row],[Target s.d. Januari]])</f>
        <v/>
      </c>
      <c r="H1094" s="2" t="s">
        <v>73</v>
      </c>
      <c r="I1094" s="3" t="s">
        <v>78</v>
      </c>
      <c r="J1094" s="3"/>
      <c r="K1094" s="2" t="s">
        <v>46</v>
      </c>
      <c r="L1094" s="2" t="s">
        <v>8</v>
      </c>
      <c r="M1094" s="4" t="s">
        <v>67</v>
      </c>
      <c r="N1094" s="3" t="s">
        <v>81</v>
      </c>
      <c r="O1094" s="2" t="s">
        <v>14</v>
      </c>
      <c r="P1094" s="10"/>
      <c r="Q1094" s="11"/>
    </row>
    <row r="1095" spans="2:17" ht="21" customHeight="1" x14ac:dyDescent="0.35">
      <c r="B1095" s="18">
        <v>43959</v>
      </c>
      <c r="C1095" s="18" t="str">
        <f>TEXT(Sales[[#This Row],[Kode Program/Kegiatan ]],"D")</f>
        <v>8</v>
      </c>
      <c r="D1095" s="19" t="str">
        <f>TEXT(Sales[[#This Row],[Kode Program/Kegiatan ]],"mmm")</f>
        <v>May</v>
      </c>
      <c r="E1095" s="20">
        <v>7</v>
      </c>
      <c r="F1095" s="19">
        <v>7</v>
      </c>
      <c r="G1095" s="20" t="str">
        <f>IF(Sales[[#This Row],[Anggaran Murni]]-Sales[[#This Row],[Target s.d. Januari]]=0,"",Sales[[#This Row],[Anggaran Murni]]-Sales[[#This Row],[Target s.d. Januari]])</f>
        <v/>
      </c>
      <c r="H1095" s="19" t="s">
        <v>71</v>
      </c>
      <c r="I1095" s="20" t="s">
        <v>6</v>
      </c>
      <c r="J1095" s="20"/>
      <c r="K1095" s="19" t="s">
        <v>54</v>
      </c>
      <c r="L1095" s="19" t="s">
        <v>9</v>
      </c>
      <c r="M1095" s="21" t="s">
        <v>67</v>
      </c>
      <c r="N1095" s="20" t="s">
        <v>80</v>
      </c>
      <c r="O1095" s="19" t="s">
        <v>14</v>
      </c>
      <c r="P1095" s="10"/>
      <c r="Q1095" s="11"/>
    </row>
    <row r="1096" spans="2:17" ht="21" customHeight="1" x14ac:dyDescent="0.35">
      <c r="B1096" s="1">
        <v>43959</v>
      </c>
      <c r="C1096" s="1" t="str">
        <f>TEXT(Sales[[#This Row],[Kode Program/Kegiatan ]],"D")</f>
        <v>8</v>
      </c>
      <c r="D1096" s="2" t="str">
        <f>TEXT(Sales[[#This Row],[Kode Program/Kegiatan ]],"mmm")</f>
        <v>May</v>
      </c>
      <c r="E1096" s="3">
        <v>5</v>
      </c>
      <c r="F1096" s="2">
        <v>5</v>
      </c>
      <c r="G1096" s="3" t="str">
        <f>IF(Sales[[#This Row],[Anggaran Murni]]-Sales[[#This Row],[Target s.d. Januari]]=0,"",Sales[[#This Row],[Anggaran Murni]]-Sales[[#This Row],[Target s.d. Januari]])</f>
        <v/>
      </c>
      <c r="H1096" s="2" t="s">
        <v>114</v>
      </c>
      <c r="I1096" s="3" t="s">
        <v>3</v>
      </c>
      <c r="J1096" s="3"/>
      <c r="K1096" s="2" t="s">
        <v>44</v>
      </c>
      <c r="L1096" s="2" t="s">
        <v>8</v>
      </c>
      <c r="M1096" s="4" t="s">
        <v>67</v>
      </c>
      <c r="N1096" s="3" t="s">
        <v>81</v>
      </c>
      <c r="O1096" s="2" t="s">
        <v>14</v>
      </c>
      <c r="P1096" s="10"/>
      <c r="Q1096" s="11"/>
    </row>
    <row r="1097" spans="2:17" ht="21" customHeight="1" x14ac:dyDescent="0.35">
      <c r="B1097" s="18">
        <v>43959</v>
      </c>
      <c r="C1097" s="18" t="str">
        <f>TEXT(Sales[[#This Row],[Kode Program/Kegiatan ]],"D")</f>
        <v>8</v>
      </c>
      <c r="D1097" s="19" t="str">
        <f>TEXT(Sales[[#This Row],[Kode Program/Kegiatan ]],"mmm")</f>
        <v>May</v>
      </c>
      <c r="E1097" s="20">
        <v>5</v>
      </c>
      <c r="F1097" s="19">
        <v>5</v>
      </c>
      <c r="G1097" s="20" t="str">
        <f>IF(Sales[[#This Row],[Anggaran Murni]]-Sales[[#This Row],[Target s.d. Januari]]=0,"",Sales[[#This Row],[Anggaran Murni]]-Sales[[#This Row],[Target s.d. Januari]])</f>
        <v/>
      </c>
      <c r="H1097" s="19" t="s">
        <v>76</v>
      </c>
      <c r="I1097" s="20" t="s">
        <v>79</v>
      </c>
      <c r="J1097" s="20"/>
      <c r="K1097" s="19" t="s">
        <v>35</v>
      </c>
      <c r="L1097" s="19" t="s">
        <v>2</v>
      </c>
      <c r="M1097" s="21" t="s">
        <v>67</v>
      </c>
      <c r="N1097" s="20" t="s">
        <v>80</v>
      </c>
      <c r="O1097" s="19" t="s">
        <v>12</v>
      </c>
      <c r="P1097" s="10"/>
      <c r="Q1097" s="11"/>
    </row>
    <row r="1098" spans="2:17" ht="21" customHeight="1" x14ac:dyDescent="0.35">
      <c r="B1098" s="1">
        <v>43959</v>
      </c>
      <c r="C1098" s="1" t="str">
        <f>TEXT(Sales[[#This Row],[Kode Program/Kegiatan ]],"D")</f>
        <v>8</v>
      </c>
      <c r="D1098" s="2" t="str">
        <f>TEXT(Sales[[#This Row],[Kode Program/Kegiatan ]],"mmm")</f>
        <v>May</v>
      </c>
      <c r="E1098" s="3">
        <v>5</v>
      </c>
      <c r="F1098" s="2">
        <v>5</v>
      </c>
      <c r="G1098" s="3" t="str">
        <f>IF(Sales[[#This Row],[Anggaran Murni]]-Sales[[#This Row],[Target s.d. Januari]]=0,"",Sales[[#This Row],[Anggaran Murni]]-Sales[[#This Row],[Target s.d. Januari]])</f>
        <v/>
      </c>
      <c r="H1098" s="2" t="s">
        <v>114</v>
      </c>
      <c r="I1098" s="3" t="s">
        <v>3</v>
      </c>
      <c r="J1098" s="3"/>
      <c r="K1098" s="2" t="s">
        <v>52</v>
      </c>
      <c r="L1098" s="2" t="s">
        <v>2</v>
      </c>
      <c r="M1098" s="4" t="s">
        <v>67</v>
      </c>
      <c r="N1098" s="3" t="s">
        <v>80</v>
      </c>
      <c r="O1098" s="2" t="s">
        <v>14</v>
      </c>
      <c r="P1098" s="10"/>
      <c r="Q1098" s="11"/>
    </row>
    <row r="1099" spans="2:17" ht="21" customHeight="1" x14ac:dyDescent="0.35">
      <c r="B1099" s="18">
        <v>43959</v>
      </c>
      <c r="C1099" s="18" t="str">
        <f>TEXT(Sales[[#This Row],[Kode Program/Kegiatan ]],"D")</f>
        <v>8</v>
      </c>
      <c r="D1099" s="19" t="str">
        <f>TEXT(Sales[[#This Row],[Kode Program/Kegiatan ]],"mmm")</f>
        <v>May</v>
      </c>
      <c r="E1099" s="20">
        <v>4</v>
      </c>
      <c r="F1099" s="19">
        <v>4</v>
      </c>
      <c r="G1099" s="20" t="str">
        <f>IF(Sales[[#This Row],[Anggaran Murni]]-Sales[[#This Row],[Target s.d. Januari]]=0,"",Sales[[#This Row],[Anggaran Murni]]-Sales[[#This Row],[Target s.d. Januari]])</f>
        <v/>
      </c>
      <c r="H1099" s="19" t="s">
        <v>71</v>
      </c>
      <c r="I1099" s="20" t="s">
        <v>6</v>
      </c>
      <c r="J1099" s="20"/>
      <c r="K1099" s="19" t="s">
        <v>51</v>
      </c>
      <c r="L1099" s="19" t="s">
        <v>5</v>
      </c>
      <c r="M1099" s="21" t="s">
        <v>67</v>
      </c>
      <c r="N1099" s="20" t="s">
        <v>80</v>
      </c>
      <c r="O1099" s="19" t="s">
        <v>14</v>
      </c>
      <c r="P1099" s="10"/>
      <c r="Q1099" s="11"/>
    </row>
    <row r="1100" spans="2:17" ht="21" customHeight="1" x14ac:dyDescent="0.35">
      <c r="B1100" s="1">
        <v>43960</v>
      </c>
      <c r="C1100" s="1" t="str">
        <f>TEXT(Sales[[#This Row],[Kode Program/Kegiatan ]],"D")</f>
        <v>9</v>
      </c>
      <c r="D1100" s="2" t="str">
        <f>TEXT(Sales[[#This Row],[Kode Program/Kegiatan ]],"mmm")</f>
        <v>May</v>
      </c>
      <c r="E1100" s="3">
        <v>10</v>
      </c>
      <c r="F1100" s="2">
        <v>10</v>
      </c>
      <c r="G1100" s="3" t="str">
        <f>IF(Sales[[#This Row],[Anggaran Murni]]-Sales[[#This Row],[Target s.d. Januari]]=0,"",Sales[[#This Row],[Anggaran Murni]]-Sales[[#This Row],[Target s.d. Januari]])</f>
        <v/>
      </c>
      <c r="H1100" s="2" t="s">
        <v>70</v>
      </c>
      <c r="I1100" s="3" t="s">
        <v>1</v>
      </c>
      <c r="J1100" s="3"/>
      <c r="K1100" s="2" t="s">
        <v>32</v>
      </c>
      <c r="L1100" s="2" t="s">
        <v>5</v>
      </c>
      <c r="M1100" s="4" t="s">
        <v>67</v>
      </c>
      <c r="N1100" s="3" t="s">
        <v>81</v>
      </c>
      <c r="O1100" s="2" t="s">
        <v>14</v>
      </c>
      <c r="P1100" s="10"/>
      <c r="Q1100" s="11"/>
    </row>
    <row r="1101" spans="2:17" ht="21" customHeight="1" x14ac:dyDescent="0.35">
      <c r="B1101" s="18">
        <v>43960</v>
      </c>
      <c r="C1101" s="18" t="str">
        <f>TEXT(Sales[[#This Row],[Kode Program/Kegiatan ]],"D")</f>
        <v>9</v>
      </c>
      <c r="D1101" s="19" t="str">
        <f>TEXT(Sales[[#This Row],[Kode Program/Kegiatan ]],"mmm")</f>
        <v>May</v>
      </c>
      <c r="E1101" s="20">
        <v>9</v>
      </c>
      <c r="F1101" s="19">
        <v>9</v>
      </c>
      <c r="G1101" s="20" t="str">
        <f>IF(Sales[[#This Row],[Anggaran Murni]]-Sales[[#This Row],[Target s.d. Januari]]=0,"",Sales[[#This Row],[Anggaran Murni]]-Sales[[#This Row],[Target s.d. Januari]])</f>
        <v/>
      </c>
      <c r="H1101" s="19" t="s">
        <v>71</v>
      </c>
      <c r="I1101" s="20" t="s">
        <v>6</v>
      </c>
      <c r="J1101" s="20"/>
      <c r="K1101" s="19" t="s">
        <v>41</v>
      </c>
      <c r="L1101" s="19" t="s">
        <v>8</v>
      </c>
      <c r="M1101" s="21" t="s">
        <v>67</v>
      </c>
      <c r="N1101" s="20" t="s">
        <v>80</v>
      </c>
      <c r="O1101" s="19" t="s">
        <v>14</v>
      </c>
      <c r="P1101" s="10"/>
      <c r="Q1101" s="11"/>
    </row>
    <row r="1102" spans="2:17" ht="21" customHeight="1" x14ac:dyDescent="0.35">
      <c r="B1102" s="1">
        <v>43960</v>
      </c>
      <c r="C1102" s="1" t="str">
        <f>TEXT(Sales[[#This Row],[Kode Program/Kegiatan ]],"D")</f>
        <v>9</v>
      </c>
      <c r="D1102" s="2" t="str">
        <f>TEXT(Sales[[#This Row],[Kode Program/Kegiatan ]],"mmm")</f>
        <v>May</v>
      </c>
      <c r="E1102" s="3">
        <v>8</v>
      </c>
      <c r="F1102" s="2">
        <v>8</v>
      </c>
      <c r="G1102" s="3" t="str">
        <f>IF(Sales[[#This Row],[Anggaran Murni]]-Sales[[#This Row],[Target s.d. Januari]]=0,"",Sales[[#This Row],[Anggaran Murni]]-Sales[[#This Row],[Target s.d. Januari]])</f>
        <v/>
      </c>
      <c r="H1102" s="2" t="s">
        <v>72</v>
      </c>
      <c r="I1102" s="3" t="s">
        <v>78</v>
      </c>
      <c r="J1102" s="3"/>
      <c r="K1102" s="2" t="s">
        <v>21</v>
      </c>
      <c r="L1102" s="2" t="s">
        <v>2</v>
      </c>
      <c r="M1102" s="4" t="s">
        <v>67</v>
      </c>
      <c r="N1102" s="3" t="s">
        <v>80</v>
      </c>
      <c r="O1102" s="2" t="s">
        <v>13</v>
      </c>
      <c r="P1102" s="10"/>
      <c r="Q1102" s="11"/>
    </row>
    <row r="1103" spans="2:17" ht="21" customHeight="1" x14ac:dyDescent="0.35">
      <c r="B1103" s="18">
        <v>43960</v>
      </c>
      <c r="C1103" s="18" t="str">
        <f>TEXT(Sales[[#This Row],[Kode Program/Kegiatan ]],"D")</f>
        <v>9</v>
      </c>
      <c r="D1103" s="19" t="str">
        <f>TEXT(Sales[[#This Row],[Kode Program/Kegiatan ]],"mmm")</f>
        <v>May</v>
      </c>
      <c r="E1103" s="20">
        <v>8</v>
      </c>
      <c r="F1103" s="19">
        <v>8</v>
      </c>
      <c r="G1103" s="20" t="str">
        <f>IF(Sales[[#This Row],[Anggaran Murni]]-Sales[[#This Row],[Target s.d. Januari]]=0,"",Sales[[#This Row],[Anggaran Murni]]-Sales[[#This Row],[Target s.d. Januari]])</f>
        <v/>
      </c>
      <c r="H1103" s="19" t="s">
        <v>113</v>
      </c>
      <c r="I1103" s="20" t="s">
        <v>77</v>
      </c>
      <c r="J1103" s="20"/>
      <c r="K1103" s="19" t="s">
        <v>59</v>
      </c>
      <c r="L1103" s="19" t="s">
        <v>2</v>
      </c>
      <c r="M1103" s="21" t="s">
        <v>67</v>
      </c>
      <c r="N1103" s="20" t="s">
        <v>82</v>
      </c>
      <c r="O1103" s="19" t="s">
        <v>13</v>
      </c>
      <c r="P1103" s="10"/>
      <c r="Q1103" s="11"/>
    </row>
    <row r="1104" spans="2:17" ht="21" customHeight="1" x14ac:dyDescent="0.35">
      <c r="B1104" s="1">
        <v>43960</v>
      </c>
      <c r="C1104" s="1" t="str">
        <f>TEXT(Sales[[#This Row],[Kode Program/Kegiatan ]],"D")</f>
        <v>9</v>
      </c>
      <c r="D1104" s="2" t="str">
        <f>TEXT(Sales[[#This Row],[Kode Program/Kegiatan ]],"mmm")</f>
        <v>May</v>
      </c>
      <c r="E1104" s="3">
        <v>7</v>
      </c>
      <c r="F1104" s="2">
        <v>7</v>
      </c>
      <c r="G1104" s="3" t="str">
        <f>IF(Sales[[#This Row],[Anggaran Murni]]-Sales[[#This Row],[Target s.d. Januari]]=0,"",Sales[[#This Row],[Anggaran Murni]]-Sales[[#This Row],[Target s.d. Januari]])</f>
        <v/>
      </c>
      <c r="H1104" s="2" t="s">
        <v>75</v>
      </c>
      <c r="I1104" s="3" t="s">
        <v>6</v>
      </c>
      <c r="J1104" s="3"/>
      <c r="K1104" s="2" t="s">
        <v>63</v>
      </c>
      <c r="L1104" s="2" t="s">
        <v>8</v>
      </c>
      <c r="M1104" s="4" t="s">
        <v>67</v>
      </c>
      <c r="N1104" s="3" t="s">
        <v>82</v>
      </c>
      <c r="O1104" s="2" t="s">
        <v>11</v>
      </c>
      <c r="P1104" s="10"/>
      <c r="Q1104" s="11"/>
    </row>
    <row r="1105" spans="2:17" ht="21" customHeight="1" x14ac:dyDescent="0.35">
      <c r="B1105" s="18">
        <v>43960</v>
      </c>
      <c r="C1105" s="18" t="str">
        <f>TEXT(Sales[[#This Row],[Kode Program/Kegiatan ]],"D")</f>
        <v>9</v>
      </c>
      <c r="D1105" s="19" t="str">
        <f>TEXT(Sales[[#This Row],[Kode Program/Kegiatan ]],"mmm")</f>
        <v>May</v>
      </c>
      <c r="E1105" s="20">
        <v>6</v>
      </c>
      <c r="F1105" s="19">
        <v>6</v>
      </c>
      <c r="G1105" s="20" t="str">
        <f>IF(Sales[[#This Row],[Anggaran Murni]]-Sales[[#This Row],[Target s.d. Januari]]=0,"",Sales[[#This Row],[Anggaran Murni]]-Sales[[#This Row],[Target s.d. Januari]])</f>
        <v/>
      </c>
      <c r="H1105" s="19" t="s">
        <v>71</v>
      </c>
      <c r="I1105" s="20" t="s">
        <v>6</v>
      </c>
      <c r="J1105" s="20"/>
      <c r="K1105" s="19" t="s">
        <v>29</v>
      </c>
      <c r="L1105" s="19" t="s">
        <v>7</v>
      </c>
      <c r="M1105" s="21" t="s">
        <v>67</v>
      </c>
      <c r="N1105" s="20" t="s">
        <v>82</v>
      </c>
      <c r="O1105" s="19" t="s">
        <v>11</v>
      </c>
      <c r="P1105" s="10"/>
      <c r="Q1105" s="11"/>
    </row>
    <row r="1106" spans="2:17" ht="21" customHeight="1" x14ac:dyDescent="0.35">
      <c r="B1106" s="1">
        <v>43960</v>
      </c>
      <c r="C1106" s="1" t="str">
        <f>TEXT(Sales[[#This Row],[Kode Program/Kegiatan ]],"D")</f>
        <v>9</v>
      </c>
      <c r="D1106" s="2" t="str">
        <f>TEXT(Sales[[#This Row],[Kode Program/Kegiatan ]],"mmm")</f>
        <v>May</v>
      </c>
      <c r="E1106" s="3">
        <v>6</v>
      </c>
      <c r="F1106" s="2">
        <v>6</v>
      </c>
      <c r="G1106" s="3" t="str">
        <f>IF(Sales[[#This Row],[Anggaran Murni]]-Sales[[#This Row],[Target s.d. Januari]]=0,"",Sales[[#This Row],[Anggaran Murni]]-Sales[[#This Row],[Target s.d. Januari]])</f>
        <v/>
      </c>
      <c r="H1106" s="2" t="s">
        <v>70</v>
      </c>
      <c r="I1106" s="3" t="s">
        <v>1</v>
      </c>
      <c r="J1106" s="3"/>
      <c r="K1106" s="2" t="s">
        <v>19</v>
      </c>
      <c r="L1106" s="2" t="s">
        <v>5</v>
      </c>
      <c r="M1106" s="4" t="s">
        <v>67</v>
      </c>
      <c r="N1106" s="3" t="s">
        <v>80</v>
      </c>
      <c r="O1106" s="2" t="s">
        <v>13</v>
      </c>
      <c r="P1106" s="10"/>
      <c r="Q1106" s="11"/>
    </row>
    <row r="1107" spans="2:17" ht="21" customHeight="1" x14ac:dyDescent="0.35">
      <c r="B1107" s="18">
        <v>43960</v>
      </c>
      <c r="C1107" s="18" t="str">
        <f>TEXT(Sales[[#This Row],[Kode Program/Kegiatan ]],"D")</f>
        <v>9</v>
      </c>
      <c r="D1107" s="19" t="str">
        <f>TEXT(Sales[[#This Row],[Kode Program/Kegiatan ]],"mmm")</f>
        <v>May</v>
      </c>
      <c r="E1107" s="20">
        <v>5</v>
      </c>
      <c r="F1107" s="19">
        <v>5</v>
      </c>
      <c r="G1107" s="20" t="str">
        <f>IF(Sales[[#This Row],[Anggaran Murni]]-Sales[[#This Row],[Target s.d. Januari]]=0,"",Sales[[#This Row],[Anggaran Murni]]-Sales[[#This Row],[Target s.d. Januari]])</f>
        <v/>
      </c>
      <c r="H1107" s="19" t="s">
        <v>71</v>
      </c>
      <c r="I1107" s="20" t="s">
        <v>6</v>
      </c>
      <c r="J1107" s="20"/>
      <c r="K1107" s="19" t="s">
        <v>56</v>
      </c>
      <c r="L1107" s="19" t="s">
        <v>2</v>
      </c>
      <c r="M1107" s="21" t="s">
        <v>67</v>
      </c>
      <c r="N1107" s="20" t="s">
        <v>81</v>
      </c>
      <c r="O1107" s="19" t="s">
        <v>11</v>
      </c>
      <c r="P1107" s="10"/>
      <c r="Q1107" s="11"/>
    </row>
    <row r="1108" spans="2:17" ht="21" customHeight="1" x14ac:dyDescent="0.35">
      <c r="B1108" s="1">
        <v>43960</v>
      </c>
      <c r="C1108" s="1" t="str">
        <f>TEXT(Sales[[#This Row],[Kode Program/Kegiatan ]],"D")</f>
        <v>9</v>
      </c>
      <c r="D1108" s="2" t="str">
        <f>TEXT(Sales[[#This Row],[Kode Program/Kegiatan ]],"mmm")</f>
        <v>May</v>
      </c>
      <c r="E1108" s="3">
        <v>4</v>
      </c>
      <c r="F1108" s="2">
        <v>4</v>
      </c>
      <c r="G1108" s="3" t="str">
        <f>IF(Sales[[#This Row],[Anggaran Murni]]-Sales[[#This Row],[Target s.d. Januari]]=0,"",Sales[[#This Row],[Anggaran Murni]]-Sales[[#This Row],[Target s.d. Januari]])</f>
        <v/>
      </c>
      <c r="H1108" s="2" t="s">
        <v>75</v>
      </c>
      <c r="I1108" s="3" t="s">
        <v>6</v>
      </c>
      <c r="J1108" s="3"/>
      <c r="K1108" s="2" t="s">
        <v>17</v>
      </c>
      <c r="L1108" s="2" t="s">
        <v>2</v>
      </c>
      <c r="M1108" s="4" t="s">
        <v>67</v>
      </c>
      <c r="N1108" s="3" t="s">
        <v>81</v>
      </c>
      <c r="O1108" s="2" t="s">
        <v>12</v>
      </c>
      <c r="P1108" s="10"/>
      <c r="Q1108" s="11"/>
    </row>
    <row r="1109" spans="2:17" ht="21" customHeight="1" x14ac:dyDescent="0.35">
      <c r="B1109" s="18">
        <v>43960</v>
      </c>
      <c r="C1109" s="18" t="str">
        <f>TEXT(Sales[[#This Row],[Kode Program/Kegiatan ]],"D")</f>
        <v>9</v>
      </c>
      <c r="D1109" s="19" t="str">
        <f>TEXT(Sales[[#This Row],[Kode Program/Kegiatan ]],"mmm")</f>
        <v>May</v>
      </c>
      <c r="E1109" s="20">
        <v>4</v>
      </c>
      <c r="F1109" s="19">
        <v>4</v>
      </c>
      <c r="G1109" s="20" t="str">
        <f>IF(Sales[[#This Row],[Anggaran Murni]]-Sales[[#This Row],[Target s.d. Januari]]=0,"",Sales[[#This Row],[Anggaran Murni]]-Sales[[#This Row],[Target s.d. Januari]])</f>
        <v/>
      </c>
      <c r="H1109" s="19" t="s">
        <v>72</v>
      </c>
      <c r="I1109" s="20" t="s">
        <v>78</v>
      </c>
      <c r="J1109" s="20"/>
      <c r="K1109" s="19" t="s">
        <v>50</v>
      </c>
      <c r="L1109" s="19" t="s">
        <v>2</v>
      </c>
      <c r="M1109" s="21" t="s">
        <v>67</v>
      </c>
      <c r="N1109" s="20" t="s">
        <v>80</v>
      </c>
      <c r="O1109" s="19" t="s">
        <v>12</v>
      </c>
      <c r="P1109" s="10"/>
      <c r="Q1109" s="11"/>
    </row>
    <row r="1110" spans="2:17" ht="21" customHeight="1" x14ac:dyDescent="0.35">
      <c r="B1110" s="1">
        <v>43960</v>
      </c>
      <c r="C1110" s="1" t="str">
        <f>TEXT(Sales[[#This Row],[Kode Program/Kegiatan ]],"D")</f>
        <v>9</v>
      </c>
      <c r="D1110" s="2" t="str">
        <f>TEXT(Sales[[#This Row],[Kode Program/Kegiatan ]],"mmm")</f>
        <v>May</v>
      </c>
      <c r="E1110" s="3">
        <v>4</v>
      </c>
      <c r="F1110" s="2">
        <v>4</v>
      </c>
      <c r="G1110" s="3" t="str">
        <f>IF(Sales[[#This Row],[Anggaran Murni]]-Sales[[#This Row],[Target s.d. Januari]]=0,"",Sales[[#This Row],[Anggaran Murni]]-Sales[[#This Row],[Target s.d. Januari]])</f>
        <v/>
      </c>
      <c r="H1110" s="2" t="s">
        <v>72</v>
      </c>
      <c r="I1110" s="3" t="s">
        <v>78</v>
      </c>
      <c r="J1110" s="3"/>
      <c r="K1110" s="2" t="s">
        <v>38</v>
      </c>
      <c r="L1110" s="2" t="s">
        <v>5</v>
      </c>
      <c r="M1110" s="4" t="s">
        <v>67</v>
      </c>
      <c r="N1110" s="3" t="s">
        <v>80</v>
      </c>
      <c r="O1110" s="2" t="s">
        <v>11</v>
      </c>
      <c r="P1110" s="10"/>
      <c r="Q1110" s="11"/>
    </row>
    <row r="1111" spans="2:17" ht="21" customHeight="1" x14ac:dyDescent="0.35">
      <c r="B1111" s="18">
        <v>43960</v>
      </c>
      <c r="C1111" s="18" t="str">
        <f>TEXT(Sales[[#This Row],[Kode Program/Kegiatan ]],"D")</f>
        <v>9</v>
      </c>
      <c r="D1111" s="19" t="str">
        <f>TEXT(Sales[[#This Row],[Kode Program/Kegiatan ]],"mmm")</f>
        <v>May</v>
      </c>
      <c r="E1111" s="20">
        <v>3</v>
      </c>
      <c r="F1111" s="19">
        <v>3</v>
      </c>
      <c r="G1111" s="20" t="str">
        <f>IF(Sales[[#This Row],[Anggaran Murni]]-Sales[[#This Row],[Target s.d. Januari]]=0,"",Sales[[#This Row],[Anggaran Murni]]-Sales[[#This Row],[Target s.d. Januari]])</f>
        <v/>
      </c>
      <c r="H1111" s="19" t="s">
        <v>72</v>
      </c>
      <c r="I1111" s="20" t="s">
        <v>78</v>
      </c>
      <c r="J1111" s="20"/>
      <c r="K1111" s="19" t="s">
        <v>57</v>
      </c>
      <c r="L1111" s="19" t="s">
        <v>7</v>
      </c>
      <c r="M1111" s="21" t="s">
        <v>67</v>
      </c>
      <c r="N1111" s="20" t="s">
        <v>82</v>
      </c>
      <c r="O1111" s="19" t="s">
        <v>14</v>
      </c>
      <c r="P1111" s="10"/>
      <c r="Q1111" s="11"/>
    </row>
    <row r="1112" spans="2:17" ht="21" customHeight="1" x14ac:dyDescent="0.35">
      <c r="B1112" s="1">
        <v>43960</v>
      </c>
      <c r="C1112" s="1" t="str">
        <f>TEXT(Sales[[#This Row],[Kode Program/Kegiatan ]],"D")</f>
        <v>9</v>
      </c>
      <c r="D1112" s="2" t="str">
        <f>TEXT(Sales[[#This Row],[Kode Program/Kegiatan ]],"mmm")</f>
        <v>May</v>
      </c>
      <c r="E1112" s="3">
        <v>3</v>
      </c>
      <c r="F1112" s="2">
        <v>3</v>
      </c>
      <c r="G1112" s="3" t="str">
        <f>IF(Sales[[#This Row],[Anggaran Murni]]-Sales[[#This Row],[Target s.d. Januari]]=0,"",Sales[[#This Row],[Anggaran Murni]]-Sales[[#This Row],[Target s.d. Januari]])</f>
        <v/>
      </c>
      <c r="H1112" s="2" t="s">
        <v>75</v>
      </c>
      <c r="I1112" s="3" t="s">
        <v>6</v>
      </c>
      <c r="J1112" s="3"/>
      <c r="K1112" s="2" t="s">
        <v>55</v>
      </c>
      <c r="L1112" s="2" t="s">
        <v>2</v>
      </c>
      <c r="M1112" s="4" t="s">
        <v>67</v>
      </c>
      <c r="N1112" s="3" t="s">
        <v>82</v>
      </c>
      <c r="O1112" s="2" t="s">
        <v>13</v>
      </c>
      <c r="P1112" s="10"/>
      <c r="Q1112" s="11"/>
    </row>
    <row r="1113" spans="2:17" ht="21" customHeight="1" x14ac:dyDescent="0.35">
      <c r="B1113" s="18">
        <v>43961</v>
      </c>
      <c r="C1113" s="18" t="str">
        <f>TEXT(Sales[[#This Row],[Kode Program/Kegiatan ]],"D")</f>
        <v>10</v>
      </c>
      <c r="D1113" s="19" t="str">
        <f>TEXT(Sales[[#This Row],[Kode Program/Kegiatan ]],"mmm")</f>
        <v>May</v>
      </c>
      <c r="E1113" s="20">
        <v>9</v>
      </c>
      <c r="F1113" s="19">
        <v>9</v>
      </c>
      <c r="G1113" s="20" t="str">
        <f>IF(Sales[[#This Row],[Anggaran Murni]]-Sales[[#This Row],[Target s.d. Januari]]=0,"",Sales[[#This Row],[Anggaran Murni]]-Sales[[#This Row],[Target s.d. Januari]])</f>
        <v/>
      </c>
      <c r="H1113" s="19" t="s">
        <v>76</v>
      </c>
      <c r="I1113" s="20" t="s">
        <v>79</v>
      </c>
      <c r="J1113" s="20"/>
      <c r="K1113" s="19" t="s">
        <v>56</v>
      </c>
      <c r="L1113" s="19" t="s">
        <v>5</v>
      </c>
      <c r="M1113" s="21" t="s">
        <v>67</v>
      </c>
      <c r="N1113" s="20" t="s">
        <v>80</v>
      </c>
      <c r="O1113" s="19" t="s">
        <v>13</v>
      </c>
      <c r="P1113" s="10"/>
      <c r="Q1113" s="11"/>
    </row>
    <row r="1114" spans="2:17" ht="21" customHeight="1" x14ac:dyDescent="0.35">
      <c r="B1114" s="1">
        <v>43961</v>
      </c>
      <c r="C1114" s="1" t="str">
        <f>TEXT(Sales[[#This Row],[Kode Program/Kegiatan ]],"D")</f>
        <v>10</v>
      </c>
      <c r="D1114" s="2" t="str">
        <f>TEXT(Sales[[#This Row],[Kode Program/Kegiatan ]],"mmm")</f>
        <v>May</v>
      </c>
      <c r="E1114" s="3">
        <v>7</v>
      </c>
      <c r="F1114" s="2">
        <v>7</v>
      </c>
      <c r="G1114" s="3" t="str">
        <f>IF(Sales[[#This Row],[Anggaran Murni]]-Sales[[#This Row],[Target s.d. Januari]]=0,"",Sales[[#This Row],[Anggaran Murni]]-Sales[[#This Row],[Target s.d. Januari]])</f>
        <v/>
      </c>
      <c r="H1114" s="2" t="s">
        <v>114</v>
      </c>
      <c r="I1114" s="3" t="s">
        <v>3</v>
      </c>
      <c r="J1114" s="3"/>
      <c r="K1114" s="2" t="s">
        <v>46</v>
      </c>
      <c r="L1114" s="2" t="s">
        <v>7</v>
      </c>
      <c r="M1114" s="4" t="s">
        <v>67</v>
      </c>
      <c r="N1114" s="3" t="s">
        <v>80</v>
      </c>
      <c r="O1114" s="2" t="s">
        <v>14</v>
      </c>
      <c r="P1114" s="10"/>
      <c r="Q1114" s="11"/>
    </row>
    <row r="1115" spans="2:17" ht="21" customHeight="1" x14ac:dyDescent="0.35">
      <c r="B1115" s="18">
        <v>43961</v>
      </c>
      <c r="C1115" s="18" t="str">
        <f>TEXT(Sales[[#This Row],[Kode Program/Kegiatan ]],"D")</f>
        <v>10</v>
      </c>
      <c r="D1115" s="19" t="str">
        <f>TEXT(Sales[[#This Row],[Kode Program/Kegiatan ]],"mmm")</f>
        <v>May</v>
      </c>
      <c r="E1115" s="20">
        <v>7</v>
      </c>
      <c r="F1115" s="19">
        <v>7</v>
      </c>
      <c r="G1115" s="20" t="str">
        <f>IF(Sales[[#This Row],[Anggaran Murni]]-Sales[[#This Row],[Target s.d. Januari]]=0,"",Sales[[#This Row],[Anggaran Murni]]-Sales[[#This Row],[Target s.d. Januari]])</f>
        <v/>
      </c>
      <c r="H1115" s="19" t="s">
        <v>71</v>
      </c>
      <c r="I1115" s="20" t="s">
        <v>6</v>
      </c>
      <c r="J1115" s="20"/>
      <c r="K1115" s="19" t="s">
        <v>37</v>
      </c>
      <c r="L1115" s="19" t="s">
        <v>2</v>
      </c>
      <c r="M1115" s="21" t="s">
        <v>67</v>
      </c>
      <c r="N1115" s="20" t="s">
        <v>82</v>
      </c>
      <c r="O1115" s="19" t="s">
        <v>11</v>
      </c>
      <c r="P1115" s="10"/>
      <c r="Q1115" s="11"/>
    </row>
    <row r="1116" spans="2:17" ht="21" customHeight="1" x14ac:dyDescent="0.35">
      <c r="B1116" s="1">
        <v>43961</v>
      </c>
      <c r="C1116" s="1" t="str">
        <f>TEXT(Sales[[#This Row],[Kode Program/Kegiatan ]],"D")</f>
        <v>10</v>
      </c>
      <c r="D1116" s="2" t="str">
        <f>TEXT(Sales[[#This Row],[Kode Program/Kegiatan ]],"mmm")</f>
        <v>May</v>
      </c>
      <c r="E1116" s="3">
        <v>7</v>
      </c>
      <c r="F1116" s="2">
        <v>7</v>
      </c>
      <c r="G1116" s="3" t="str">
        <f>IF(Sales[[#This Row],[Anggaran Murni]]-Sales[[#This Row],[Target s.d. Januari]]=0,"",Sales[[#This Row],[Anggaran Murni]]-Sales[[#This Row],[Target s.d. Januari]])</f>
        <v/>
      </c>
      <c r="H1116" s="2" t="s">
        <v>74</v>
      </c>
      <c r="I1116" s="3" t="s">
        <v>77</v>
      </c>
      <c r="J1116" s="3"/>
      <c r="K1116" s="2" t="s">
        <v>33</v>
      </c>
      <c r="L1116" s="2" t="s">
        <v>8</v>
      </c>
      <c r="M1116" s="4" t="s">
        <v>67</v>
      </c>
      <c r="N1116" s="3" t="s">
        <v>80</v>
      </c>
      <c r="O1116" s="2" t="s">
        <v>11</v>
      </c>
      <c r="P1116" s="10"/>
      <c r="Q1116" s="11"/>
    </row>
    <row r="1117" spans="2:17" ht="21" customHeight="1" x14ac:dyDescent="0.35">
      <c r="B1117" s="18">
        <v>43961</v>
      </c>
      <c r="C1117" s="18" t="str">
        <f>TEXT(Sales[[#This Row],[Kode Program/Kegiatan ]],"D")</f>
        <v>10</v>
      </c>
      <c r="D1117" s="19" t="str">
        <f>TEXT(Sales[[#This Row],[Kode Program/Kegiatan ]],"mmm")</f>
        <v>May</v>
      </c>
      <c r="E1117" s="20">
        <v>5</v>
      </c>
      <c r="F1117" s="19">
        <v>5</v>
      </c>
      <c r="G1117" s="20" t="str">
        <f>IF(Sales[[#This Row],[Anggaran Murni]]-Sales[[#This Row],[Target s.d. Januari]]=0,"",Sales[[#This Row],[Anggaran Murni]]-Sales[[#This Row],[Target s.d. Januari]])</f>
        <v/>
      </c>
      <c r="H1117" s="19" t="s">
        <v>73</v>
      </c>
      <c r="I1117" s="20" t="s">
        <v>78</v>
      </c>
      <c r="J1117" s="20"/>
      <c r="K1117" s="19" t="s">
        <v>63</v>
      </c>
      <c r="L1117" s="19" t="s">
        <v>8</v>
      </c>
      <c r="M1117" s="21" t="s">
        <v>67</v>
      </c>
      <c r="N1117" s="20" t="s">
        <v>81</v>
      </c>
      <c r="O1117" s="19" t="s">
        <v>12</v>
      </c>
      <c r="P1117" s="10"/>
      <c r="Q1117" s="11"/>
    </row>
    <row r="1118" spans="2:17" ht="21" customHeight="1" x14ac:dyDescent="0.35">
      <c r="B1118" s="1">
        <v>43961</v>
      </c>
      <c r="C1118" s="1" t="str">
        <f>TEXT(Sales[[#This Row],[Kode Program/Kegiatan ]],"D")</f>
        <v>10</v>
      </c>
      <c r="D1118" s="2" t="str">
        <f>TEXT(Sales[[#This Row],[Kode Program/Kegiatan ]],"mmm")</f>
        <v>May</v>
      </c>
      <c r="E1118" s="3">
        <v>5</v>
      </c>
      <c r="F1118" s="2">
        <v>5</v>
      </c>
      <c r="G1118" s="3" t="str">
        <f>IF(Sales[[#This Row],[Anggaran Murni]]-Sales[[#This Row],[Target s.d. Januari]]=0,"",Sales[[#This Row],[Anggaran Murni]]-Sales[[#This Row],[Target s.d. Januari]])</f>
        <v/>
      </c>
      <c r="H1118" s="2" t="s">
        <v>70</v>
      </c>
      <c r="I1118" s="3" t="s">
        <v>1</v>
      </c>
      <c r="J1118" s="3"/>
      <c r="K1118" s="2" t="s">
        <v>34</v>
      </c>
      <c r="L1118" s="2" t="s">
        <v>5</v>
      </c>
      <c r="M1118" s="4" t="s">
        <v>67</v>
      </c>
      <c r="N1118" s="3" t="s">
        <v>81</v>
      </c>
      <c r="O1118" s="2" t="s">
        <v>13</v>
      </c>
      <c r="P1118" s="10"/>
      <c r="Q1118" s="11"/>
    </row>
    <row r="1119" spans="2:17" ht="21" customHeight="1" x14ac:dyDescent="0.35">
      <c r="B1119" s="18">
        <v>43961</v>
      </c>
      <c r="C1119" s="18" t="str">
        <f>TEXT(Sales[[#This Row],[Kode Program/Kegiatan ]],"D")</f>
        <v>10</v>
      </c>
      <c r="D1119" s="19" t="str">
        <f>TEXT(Sales[[#This Row],[Kode Program/Kegiatan ]],"mmm")</f>
        <v>May</v>
      </c>
      <c r="E1119" s="20">
        <v>4</v>
      </c>
      <c r="F1119" s="19">
        <v>4</v>
      </c>
      <c r="G1119" s="20" t="str">
        <f>IF(Sales[[#This Row],[Anggaran Murni]]-Sales[[#This Row],[Target s.d. Januari]]=0,"",Sales[[#This Row],[Anggaran Murni]]-Sales[[#This Row],[Target s.d. Januari]])</f>
        <v/>
      </c>
      <c r="H1119" s="19" t="s">
        <v>73</v>
      </c>
      <c r="I1119" s="20" t="s">
        <v>78</v>
      </c>
      <c r="J1119" s="20"/>
      <c r="K1119" s="19" t="s">
        <v>33</v>
      </c>
      <c r="L1119" s="19" t="s">
        <v>5</v>
      </c>
      <c r="M1119" s="21" t="s">
        <v>67</v>
      </c>
      <c r="N1119" s="20" t="s">
        <v>81</v>
      </c>
      <c r="O1119" s="19" t="s">
        <v>12</v>
      </c>
      <c r="P1119" s="10"/>
      <c r="Q1119" s="11"/>
    </row>
    <row r="1120" spans="2:17" ht="21" customHeight="1" x14ac:dyDescent="0.35">
      <c r="B1120" s="1">
        <v>43962</v>
      </c>
      <c r="C1120" s="1" t="str">
        <f>TEXT(Sales[[#This Row],[Kode Program/Kegiatan ]],"D")</f>
        <v>11</v>
      </c>
      <c r="D1120" s="2" t="str">
        <f>TEXT(Sales[[#This Row],[Kode Program/Kegiatan ]],"mmm")</f>
        <v>May</v>
      </c>
      <c r="E1120" s="3">
        <v>9</v>
      </c>
      <c r="F1120" s="2">
        <v>9</v>
      </c>
      <c r="G1120" s="3" t="str">
        <f>IF(Sales[[#This Row],[Anggaran Murni]]-Sales[[#This Row],[Target s.d. Januari]]=0,"",Sales[[#This Row],[Anggaran Murni]]-Sales[[#This Row],[Target s.d. Januari]])</f>
        <v/>
      </c>
      <c r="H1120" s="2" t="s">
        <v>72</v>
      </c>
      <c r="I1120" s="3" t="s">
        <v>78</v>
      </c>
      <c r="J1120" s="3"/>
      <c r="K1120" s="2" t="s">
        <v>55</v>
      </c>
      <c r="L1120" s="2" t="s">
        <v>5</v>
      </c>
      <c r="M1120" s="4" t="s">
        <v>67</v>
      </c>
      <c r="N1120" s="3" t="s">
        <v>80</v>
      </c>
      <c r="O1120" s="2" t="s">
        <v>13</v>
      </c>
      <c r="P1120" s="10"/>
      <c r="Q1120" s="11"/>
    </row>
    <row r="1121" spans="2:17" ht="21" customHeight="1" x14ac:dyDescent="0.35">
      <c r="B1121" s="18">
        <v>43962</v>
      </c>
      <c r="C1121" s="18" t="str">
        <f>TEXT(Sales[[#This Row],[Kode Program/Kegiatan ]],"D")</f>
        <v>11</v>
      </c>
      <c r="D1121" s="19" t="str">
        <f>TEXT(Sales[[#This Row],[Kode Program/Kegiatan ]],"mmm")</f>
        <v>May</v>
      </c>
      <c r="E1121" s="20">
        <v>9</v>
      </c>
      <c r="F1121" s="19">
        <v>9</v>
      </c>
      <c r="G1121" s="20" t="str">
        <f>IF(Sales[[#This Row],[Anggaran Murni]]-Sales[[#This Row],[Target s.d. Januari]]=0,"",Sales[[#This Row],[Anggaran Murni]]-Sales[[#This Row],[Target s.d. Januari]])</f>
        <v/>
      </c>
      <c r="H1121" s="19" t="s">
        <v>72</v>
      </c>
      <c r="I1121" s="20" t="s">
        <v>78</v>
      </c>
      <c r="J1121" s="20"/>
      <c r="K1121" s="19" t="s">
        <v>53</v>
      </c>
      <c r="L1121" s="19" t="s">
        <v>5</v>
      </c>
      <c r="M1121" s="21" t="s">
        <v>67</v>
      </c>
      <c r="N1121" s="20" t="s">
        <v>80</v>
      </c>
      <c r="O1121" s="19" t="s">
        <v>14</v>
      </c>
      <c r="P1121" s="10"/>
      <c r="Q1121" s="11"/>
    </row>
    <row r="1122" spans="2:17" ht="21" customHeight="1" x14ac:dyDescent="0.35">
      <c r="B1122" s="1">
        <v>43962</v>
      </c>
      <c r="C1122" s="1" t="str">
        <f>TEXT(Sales[[#This Row],[Kode Program/Kegiatan ]],"D")</f>
        <v>11</v>
      </c>
      <c r="D1122" s="2" t="str">
        <f>TEXT(Sales[[#This Row],[Kode Program/Kegiatan ]],"mmm")</f>
        <v>May</v>
      </c>
      <c r="E1122" s="3">
        <v>9</v>
      </c>
      <c r="F1122" s="2">
        <v>9</v>
      </c>
      <c r="G1122" s="3" t="str">
        <f>IF(Sales[[#This Row],[Anggaran Murni]]-Sales[[#This Row],[Target s.d. Januari]]=0,"",Sales[[#This Row],[Anggaran Murni]]-Sales[[#This Row],[Target s.d. Januari]])</f>
        <v/>
      </c>
      <c r="H1122" s="2" t="s">
        <v>113</v>
      </c>
      <c r="I1122" s="3" t="s">
        <v>77</v>
      </c>
      <c r="J1122" s="3"/>
      <c r="K1122" s="2" t="s">
        <v>44</v>
      </c>
      <c r="L1122" s="2" t="s">
        <v>2</v>
      </c>
      <c r="M1122" s="4" t="s">
        <v>67</v>
      </c>
      <c r="N1122" s="3" t="s">
        <v>80</v>
      </c>
      <c r="O1122" s="2" t="s">
        <v>13</v>
      </c>
      <c r="P1122" s="10"/>
      <c r="Q1122" s="11"/>
    </row>
    <row r="1123" spans="2:17" ht="21" customHeight="1" x14ac:dyDescent="0.35">
      <c r="B1123" s="18">
        <v>43962</v>
      </c>
      <c r="C1123" s="18" t="str">
        <f>TEXT(Sales[[#This Row],[Kode Program/Kegiatan ]],"D")</f>
        <v>11</v>
      </c>
      <c r="D1123" s="19" t="str">
        <f>TEXT(Sales[[#This Row],[Kode Program/Kegiatan ]],"mmm")</f>
        <v>May</v>
      </c>
      <c r="E1123" s="20">
        <v>5</v>
      </c>
      <c r="F1123" s="19">
        <v>5</v>
      </c>
      <c r="G1123" s="20" t="str">
        <f>IF(Sales[[#This Row],[Anggaran Murni]]-Sales[[#This Row],[Target s.d. Januari]]=0,"",Sales[[#This Row],[Anggaran Murni]]-Sales[[#This Row],[Target s.d. Januari]])</f>
        <v/>
      </c>
      <c r="H1123" s="19" t="s">
        <v>113</v>
      </c>
      <c r="I1123" s="20" t="s">
        <v>77</v>
      </c>
      <c r="J1123" s="20"/>
      <c r="K1123" s="19" t="s">
        <v>38</v>
      </c>
      <c r="L1123" s="19" t="s">
        <v>5</v>
      </c>
      <c r="M1123" s="21" t="s">
        <v>67</v>
      </c>
      <c r="N1123" s="20" t="s">
        <v>80</v>
      </c>
      <c r="O1123" s="19" t="s">
        <v>14</v>
      </c>
      <c r="P1123" s="10"/>
      <c r="Q1123" s="11"/>
    </row>
    <row r="1124" spans="2:17" ht="21" customHeight="1" x14ac:dyDescent="0.35">
      <c r="B1124" s="1">
        <v>43962</v>
      </c>
      <c r="C1124" s="1" t="str">
        <f>TEXT(Sales[[#This Row],[Kode Program/Kegiatan ]],"D")</f>
        <v>11</v>
      </c>
      <c r="D1124" s="2" t="str">
        <f>TEXT(Sales[[#This Row],[Kode Program/Kegiatan ]],"mmm")</f>
        <v>May</v>
      </c>
      <c r="E1124" s="3">
        <v>4</v>
      </c>
      <c r="F1124" s="2">
        <v>4</v>
      </c>
      <c r="G1124" s="3" t="str">
        <f>IF(Sales[[#This Row],[Anggaran Murni]]-Sales[[#This Row],[Target s.d. Januari]]=0,"",Sales[[#This Row],[Anggaran Murni]]-Sales[[#This Row],[Target s.d. Januari]])</f>
        <v/>
      </c>
      <c r="H1124" s="2" t="s">
        <v>113</v>
      </c>
      <c r="I1124" s="3" t="s">
        <v>77</v>
      </c>
      <c r="J1124" s="3"/>
      <c r="K1124" s="2" t="s">
        <v>29</v>
      </c>
      <c r="L1124" s="2" t="s">
        <v>7</v>
      </c>
      <c r="M1124" s="4" t="s">
        <v>67</v>
      </c>
      <c r="N1124" s="3" t="s">
        <v>81</v>
      </c>
      <c r="O1124" s="2" t="s">
        <v>12</v>
      </c>
      <c r="P1124" s="10"/>
      <c r="Q1124" s="11"/>
    </row>
    <row r="1125" spans="2:17" ht="21" customHeight="1" x14ac:dyDescent="0.35">
      <c r="B1125" s="18">
        <v>43962</v>
      </c>
      <c r="C1125" s="18" t="str">
        <f>TEXT(Sales[[#This Row],[Kode Program/Kegiatan ]],"D")</f>
        <v>11</v>
      </c>
      <c r="D1125" s="19" t="str">
        <f>TEXT(Sales[[#This Row],[Kode Program/Kegiatan ]],"mmm")</f>
        <v>May</v>
      </c>
      <c r="E1125" s="20">
        <v>4</v>
      </c>
      <c r="F1125" s="19">
        <v>4</v>
      </c>
      <c r="G1125" s="20" t="str">
        <f>IF(Sales[[#This Row],[Anggaran Murni]]-Sales[[#This Row],[Target s.d. Januari]]=0,"",Sales[[#This Row],[Anggaran Murni]]-Sales[[#This Row],[Target s.d. Januari]])</f>
        <v/>
      </c>
      <c r="H1125" s="19" t="s">
        <v>74</v>
      </c>
      <c r="I1125" s="20" t="s">
        <v>77</v>
      </c>
      <c r="J1125" s="20"/>
      <c r="K1125" s="19" t="s">
        <v>51</v>
      </c>
      <c r="L1125" s="19" t="s">
        <v>5</v>
      </c>
      <c r="M1125" s="21" t="s">
        <v>67</v>
      </c>
      <c r="N1125" s="20" t="s">
        <v>80</v>
      </c>
      <c r="O1125" s="19" t="s">
        <v>12</v>
      </c>
      <c r="P1125" s="10"/>
      <c r="Q1125" s="11"/>
    </row>
    <row r="1126" spans="2:17" ht="21" customHeight="1" x14ac:dyDescent="0.35">
      <c r="B1126" s="1">
        <v>43963</v>
      </c>
      <c r="C1126" s="1" t="str">
        <f>TEXT(Sales[[#This Row],[Kode Program/Kegiatan ]],"D")</f>
        <v>12</v>
      </c>
      <c r="D1126" s="2" t="str">
        <f>TEXT(Sales[[#This Row],[Kode Program/Kegiatan ]],"mmm")</f>
        <v>May</v>
      </c>
      <c r="E1126" s="3">
        <v>7</v>
      </c>
      <c r="F1126" s="2">
        <v>7</v>
      </c>
      <c r="G1126" s="3" t="str">
        <f>IF(Sales[[#This Row],[Anggaran Murni]]-Sales[[#This Row],[Target s.d. Januari]]=0,"",Sales[[#This Row],[Anggaran Murni]]-Sales[[#This Row],[Target s.d. Januari]])</f>
        <v/>
      </c>
      <c r="H1126" s="2" t="s">
        <v>113</v>
      </c>
      <c r="I1126" s="3" t="s">
        <v>77</v>
      </c>
      <c r="J1126" s="3"/>
      <c r="K1126" s="2" t="s">
        <v>24</v>
      </c>
      <c r="L1126" s="2" t="s">
        <v>5</v>
      </c>
      <c r="M1126" s="4" t="s">
        <v>67</v>
      </c>
      <c r="N1126" s="3" t="s">
        <v>82</v>
      </c>
      <c r="O1126" s="2" t="s">
        <v>12</v>
      </c>
      <c r="P1126" s="10"/>
      <c r="Q1126" s="11"/>
    </row>
    <row r="1127" spans="2:17" ht="21" customHeight="1" x14ac:dyDescent="0.35">
      <c r="B1127" s="18">
        <v>43963</v>
      </c>
      <c r="C1127" s="18" t="str">
        <f>TEXT(Sales[[#This Row],[Kode Program/Kegiatan ]],"D")</f>
        <v>12</v>
      </c>
      <c r="D1127" s="19" t="str">
        <f>TEXT(Sales[[#This Row],[Kode Program/Kegiatan ]],"mmm")</f>
        <v>May</v>
      </c>
      <c r="E1127" s="20">
        <v>6</v>
      </c>
      <c r="F1127" s="19">
        <v>6</v>
      </c>
      <c r="G1127" s="20" t="str">
        <f>IF(Sales[[#This Row],[Anggaran Murni]]-Sales[[#This Row],[Target s.d. Januari]]=0,"",Sales[[#This Row],[Anggaran Murni]]-Sales[[#This Row],[Target s.d. Januari]])</f>
        <v/>
      </c>
      <c r="H1127" s="19" t="s">
        <v>114</v>
      </c>
      <c r="I1127" s="20" t="s">
        <v>3</v>
      </c>
      <c r="J1127" s="20"/>
      <c r="K1127" s="19" t="s">
        <v>59</v>
      </c>
      <c r="L1127" s="19" t="s">
        <v>5</v>
      </c>
      <c r="M1127" s="21" t="s">
        <v>67</v>
      </c>
      <c r="N1127" s="20" t="s">
        <v>81</v>
      </c>
      <c r="O1127" s="19" t="s">
        <v>11</v>
      </c>
      <c r="P1127" s="10"/>
      <c r="Q1127" s="11"/>
    </row>
    <row r="1128" spans="2:17" ht="21" customHeight="1" x14ac:dyDescent="0.35">
      <c r="B1128" s="1">
        <v>43963</v>
      </c>
      <c r="C1128" s="1" t="str">
        <f>TEXT(Sales[[#This Row],[Kode Program/Kegiatan ]],"D")</f>
        <v>12</v>
      </c>
      <c r="D1128" s="2" t="str">
        <f>TEXT(Sales[[#This Row],[Kode Program/Kegiatan ]],"mmm")</f>
        <v>May</v>
      </c>
      <c r="E1128" s="3">
        <v>6</v>
      </c>
      <c r="F1128" s="2">
        <v>6</v>
      </c>
      <c r="G1128" s="3" t="str">
        <f>IF(Sales[[#This Row],[Anggaran Murni]]-Sales[[#This Row],[Target s.d. Januari]]=0,"",Sales[[#This Row],[Anggaran Murni]]-Sales[[#This Row],[Target s.d. Januari]])</f>
        <v/>
      </c>
      <c r="H1128" s="2" t="s">
        <v>73</v>
      </c>
      <c r="I1128" s="3" t="s">
        <v>78</v>
      </c>
      <c r="J1128" s="3"/>
      <c r="K1128" s="2" t="s">
        <v>55</v>
      </c>
      <c r="L1128" s="2" t="s">
        <v>4</v>
      </c>
      <c r="M1128" s="4" t="s">
        <v>67</v>
      </c>
      <c r="N1128" s="3" t="s">
        <v>80</v>
      </c>
      <c r="O1128" s="2" t="s">
        <v>12</v>
      </c>
      <c r="P1128" s="10"/>
      <c r="Q1128" s="11"/>
    </row>
    <row r="1129" spans="2:17" ht="21" customHeight="1" x14ac:dyDescent="0.35">
      <c r="B1129" s="18">
        <v>43963</v>
      </c>
      <c r="C1129" s="18" t="str">
        <f>TEXT(Sales[[#This Row],[Kode Program/Kegiatan ]],"D")</f>
        <v>12</v>
      </c>
      <c r="D1129" s="19" t="str">
        <f>TEXT(Sales[[#This Row],[Kode Program/Kegiatan ]],"mmm")</f>
        <v>May</v>
      </c>
      <c r="E1129" s="20">
        <v>5</v>
      </c>
      <c r="F1129" s="19">
        <v>5</v>
      </c>
      <c r="G1129" s="20" t="str">
        <f>IF(Sales[[#This Row],[Anggaran Murni]]-Sales[[#This Row],[Target s.d. Januari]]=0,"",Sales[[#This Row],[Anggaran Murni]]-Sales[[#This Row],[Target s.d. Januari]])</f>
        <v/>
      </c>
      <c r="H1129" s="19" t="s">
        <v>70</v>
      </c>
      <c r="I1129" s="20" t="s">
        <v>1</v>
      </c>
      <c r="J1129" s="20"/>
      <c r="K1129" s="19" t="s">
        <v>52</v>
      </c>
      <c r="L1129" s="19" t="s">
        <v>8</v>
      </c>
      <c r="M1129" s="21" t="s">
        <v>67</v>
      </c>
      <c r="N1129" s="20" t="s">
        <v>81</v>
      </c>
      <c r="O1129" s="19" t="s">
        <v>14</v>
      </c>
      <c r="P1129" s="10"/>
      <c r="Q1129" s="11"/>
    </row>
    <row r="1130" spans="2:17" ht="21" customHeight="1" x14ac:dyDescent="0.35">
      <c r="B1130" s="1">
        <v>43963</v>
      </c>
      <c r="C1130" s="1" t="str">
        <f>TEXT(Sales[[#This Row],[Kode Program/Kegiatan ]],"D")</f>
        <v>12</v>
      </c>
      <c r="D1130" s="2" t="str">
        <f>TEXT(Sales[[#This Row],[Kode Program/Kegiatan ]],"mmm")</f>
        <v>May</v>
      </c>
      <c r="E1130" s="3">
        <v>4</v>
      </c>
      <c r="F1130" s="2">
        <v>4</v>
      </c>
      <c r="G1130" s="3" t="str">
        <f>IF(Sales[[#This Row],[Anggaran Murni]]-Sales[[#This Row],[Target s.d. Januari]]=0,"",Sales[[#This Row],[Anggaran Murni]]-Sales[[#This Row],[Target s.d. Januari]])</f>
        <v/>
      </c>
      <c r="H1130" s="2" t="s">
        <v>71</v>
      </c>
      <c r="I1130" s="3" t="s">
        <v>6</v>
      </c>
      <c r="J1130" s="3"/>
      <c r="K1130" s="2" t="s">
        <v>47</v>
      </c>
      <c r="L1130" s="2" t="s">
        <v>4</v>
      </c>
      <c r="M1130" s="4" t="s">
        <v>67</v>
      </c>
      <c r="N1130" s="3" t="s">
        <v>82</v>
      </c>
      <c r="O1130" s="2" t="s">
        <v>13</v>
      </c>
      <c r="P1130" s="10"/>
      <c r="Q1130" s="11"/>
    </row>
    <row r="1131" spans="2:17" ht="21" customHeight="1" x14ac:dyDescent="0.35">
      <c r="B1131" s="18">
        <v>43964</v>
      </c>
      <c r="C1131" s="18" t="str">
        <f>TEXT(Sales[[#This Row],[Kode Program/Kegiatan ]],"D")</f>
        <v>13</v>
      </c>
      <c r="D1131" s="19" t="str">
        <f>TEXT(Sales[[#This Row],[Kode Program/Kegiatan ]],"mmm")</f>
        <v>May</v>
      </c>
      <c r="E1131" s="20">
        <v>8</v>
      </c>
      <c r="F1131" s="19">
        <v>8</v>
      </c>
      <c r="G1131" s="20" t="str">
        <f>IF(Sales[[#This Row],[Anggaran Murni]]-Sales[[#This Row],[Target s.d. Januari]]=0,"",Sales[[#This Row],[Anggaran Murni]]-Sales[[#This Row],[Target s.d. Januari]])</f>
        <v/>
      </c>
      <c r="H1131" s="19" t="s">
        <v>71</v>
      </c>
      <c r="I1131" s="20" t="s">
        <v>6</v>
      </c>
      <c r="J1131" s="20"/>
      <c r="K1131" s="19" t="s">
        <v>64</v>
      </c>
      <c r="L1131" s="19" t="s">
        <v>7</v>
      </c>
      <c r="M1131" s="21" t="s">
        <v>67</v>
      </c>
      <c r="N1131" s="20" t="s">
        <v>81</v>
      </c>
      <c r="O1131" s="19" t="s">
        <v>11</v>
      </c>
      <c r="P1131" s="10"/>
      <c r="Q1131" s="11"/>
    </row>
    <row r="1132" spans="2:17" ht="21" customHeight="1" x14ac:dyDescent="0.35">
      <c r="B1132" s="1">
        <v>43964</v>
      </c>
      <c r="C1132" s="1" t="str">
        <f>TEXT(Sales[[#This Row],[Kode Program/Kegiatan ]],"D")</f>
        <v>13</v>
      </c>
      <c r="D1132" s="2" t="str">
        <f>TEXT(Sales[[#This Row],[Kode Program/Kegiatan ]],"mmm")</f>
        <v>May</v>
      </c>
      <c r="E1132" s="3">
        <v>5</v>
      </c>
      <c r="F1132" s="2">
        <v>5</v>
      </c>
      <c r="G1132" s="3" t="str">
        <f>IF(Sales[[#This Row],[Anggaran Murni]]-Sales[[#This Row],[Target s.d. Januari]]=0,"",Sales[[#This Row],[Anggaran Murni]]-Sales[[#This Row],[Target s.d. Januari]])</f>
        <v/>
      </c>
      <c r="H1132" s="2" t="s">
        <v>73</v>
      </c>
      <c r="I1132" s="3" t="s">
        <v>78</v>
      </c>
      <c r="J1132" s="3"/>
      <c r="K1132" s="2" t="s">
        <v>41</v>
      </c>
      <c r="L1132" s="2" t="s">
        <v>2</v>
      </c>
      <c r="M1132" s="4" t="s">
        <v>67</v>
      </c>
      <c r="N1132" s="3" t="s">
        <v>81</v>
      </c>
      <c r="O1132" s="2" t="s">
        <v>13</v>
      </c>
      <c r="P1132" s="10"/>
      <c r="Q1132" s="11"/>
    </row>
    <row r="1133" spans="2:17" ht="21" customHeight="1" x14ac:dyDescent="0.35">
      <c r="B1133" s="18">
        <v>43964</v>
      </c>
      <c r="C1133" s="18" t="str">
        <f>TEXT(Sales[[#This Row],[Kode Program/Kegiatan ]],"D")</f>
        <v>13</v>
      </c>
      <c r="D1133" s="19" t="str">
        <f>TEXT(Sales[[#This Row],[Kode Program/Kegiatan ]],"mmm")</f>
        <v>May</v>
      </c>
      <c r="E1133" s="20">
        <v>4</v>
      </c>
      <c r="F1133" s="19">
        <v>4</v>
      </c>
      <c r="G1133" s="20" t="str">
        <f>IF(Sales[[#This Row],[Anggaran Murni]]-Sales[[#This Row],[Target s.d. Januari]]=0,"",Sales[[#This Row],[Anggaran Murni]]-Sales[[#This Row],[Target s.d. Januari]])</f>
        <v/>
      </c>
      <c r="H1133" s="19" t="s">
        <v>73</v>
      </c>
      <c r="I1133" s="20" t="s">
        <v>78</v>
      </c>
      <c r="J1133" s="20"/>
      <c r="K1133" s="19" t="s">
        <v>56</v>
      </c>
      <c r="L1133" s="19" t="s">
        <v>2</v>
      </c>
      <c r="M1133" s="21" t="s">
        <v>67</v>
      </c>
      <c r="N1133" s="20" t="s">
        <v>80</v>
      </c>
      <c r="O1133" s="19" t="s">
        <v>14</v>
      </c>
      <c r="P1133" s="10"/>
      <c r="Q1133" s="11"/>
    </row>
    <row r="1134" spans="2:17" ht="21" customHeight="1" x14ac:dyDescent="0.35">
      <c r="B1134" s="1">
        <v>43964</v>
      </c>
      <c r="C1134" s="1" t="str">
        <f>TEXT(Sales[[#This Row],[Kode Program/Kegiatan ]],"D")</f>
        <v>13</v>
      </c>
      <c r="D1134" s="2" t="str">
        <f>TEXT(Sales[[#This Row],[Kode Program/Kegiatan ]],"mmm")</f>
        <v>May</v>
      </c>
      <c r="E1134" s="3">
        <v>3</v>
      </c>
      <c r="F1134" s="2">
        <v>3</v>
      </c>
      <c r="G1134" s="3" t="str">
        <f>IF(Sales[[#This Row],[Anggaran Murni]]-Sales[[#This Row],[Target s.d. Januari]]=0,"",Sales[[#This Row],[Anggaran Murni]]-Sales[[#This Row],[Target s.d. Januari]])</f>
        <v/>
      </c>
      <c r="H1134" s="2" t="s">
        <v>70</v>
      </c>
      <c r="I1134" s="3" t="s">
        <v>1</v>
      </c>
      <c r="J1134" s="3"/>
      <c r="K1134" s="2" t="s">
        <v>26</v>
      </c>
      <c r="L1134" s="2" t="s">
        <v>8</v>
      </c>
      <c r="M1134" s="4" t="s">
        <v>67</v>
      </c>
      <c r="N1134" s="3" t="s">
        <v>82</v>
      </c>
      <c r="O1134" s="2" t="s">
        <v>14</v>
      </c>
      <c r="P1134" s="10"/>
      <c r="Q1134" s="11"/>
    </row>
    <row r="1135" spans="2:17" ht="21" customHeight="1" x14ac:dyDescent="0.35">
      <c r="B1135" s="18">
        <v>43965</v>
      </c>
      <c r="C1135" s="18" t="str">
        <f>TEXT(Sales[[#This Row],[Kode Program/Kegiatan ]],"D")</f>
        <v>14</v>
      </c>
      <c r="D1135" s="19" t="str">
        <f>TEXT(Sales[[#This Row],[Kode Program/Kegiatan ]],"mmm")</f>
        <v>May</v>
      </c>
      <c r="E1135" s="20">
        <v>10</v>
      </c>
      <c r="F1135" s="19">
        <v>10</v>
      </c>
      <c r="G1135" s="20" t="str">
        <f>IF(Sales[[#This Row],[Anggaran Murni]]-Sales[[#This Row],[Target s.d. Januari]]=0,"",Sales[[#This Row],[Anggaran Murni]]-Sales[[#This Row],[Target s.d. Januari]])</f>
        <v/>
      </c>
      <c r="H1135" s="19" t="s">
        <v>72</v>
      </c>
      <c r="I1135" s="20" t="s">
        <v>78</v>
      </c>
      <c r="J1135" s="20"/>
      <c r="K1135" s="19" t="s">
        <v>25</v>
      </c>
      <c r="L1135" s="19" t="s">
        <v>8</v>
      </c>
      <c r="M1135" s="21" t="s">
        <v>67</v>
      </c>
      <c r="N1135" s="20" t="s">
        <v>81</v>
      </c>
      <c r="O1135" s="19" t="s">
        <v>13</v>
      </c>
      <c r="P1135" s="10"/>
      <c r="Q1135" s="11"/>
    </row>
    <row r="1136" spans="2:17" ht="21" customHeight="1" x14ac:dyDescent="0.35">
      <c r="B1136" s="1">
        <v>43965</v>
      </c>
      <c r="C1136" s="1" t="str">
        <f>TEXT(Sales[[#This Row],[Kode Program/Kegiatan ]],"D")</f>
        <v>14</v>
      </c>
      <c r="D1136" s="2" t="str">
        <f>TEXT(Sales[[#This Row],[Kode Program/Kegiatan ]],"mmm")</f>
        <v>May</v>
      </c>
      <c r="E1136" s="3">
        <v>10</v>
      </c>
      <c r="F1136" s="2">
        <v>10</v>
      </c>
      <c r="G1136" s="3" t="str">
        <f>IF(Sales[[#This Row],[Anggaran Murni]]-Sales[[#This Row],[Target s.d. Januari]]=0,"",Sales[[#This Row],[Anggaran Murni]]-Sales[[#This Row],[Target s.d. Januari]])</f>
        <v/>
      </c>
      <c r="H1136" s="2" t="s">
        <v>74</v>
      </c>
      <c r="I1136" s="3" t="s">
        <v>77</v>
      </c>
      <c r="J1136" s="3"/>
      <c r="K1136" s="2" t="s">
        <v>34</v>
      </c>
      <c r="L1136" s="2" t="s">
        <v>2</v>
      </c>
      <c r="M1136" s="4" t="s">
        <v>67</v>
      </c>
      <c r="N1136" s="3" t="s">
        <v>80</v>
      </c>
      <c r="O1136" s="2" t="s">
        <v>13</v>
      </c>
      <c r="P1136" s="10"/>
      <c r="Q1136" s="11"/>
    </row>
    <row r="1137" spans="2:17" ht="21" customHeight="1" x14ac:dyDescent="0.35">
      <c r="B1137" s="18">
        <v>43965</v>
      </c>
      <c r="C1137" s="18" t="str">
        <f>TEXT(Sales[[#This Row],[Kode Program/Kegiatan ]],"D")</f>
        <v>14</v>
      </c>
      <c r="D1137" s="19" t="str">
        <f>TEXT(Sales[[#This Row],[Kode Program/Kegiatan ]],"mmm")</f>
        <v>May</v>
      </c>
      <c r="E1137" s="20">
        <v>10</v>
      </c>
      <c r="F1137" s="19">
        <v>10</v>
      </c>
      <c r="G1137" s="20" t="str">
        <f>IF(Sales[[#This Row],[Anggaran Murni]]-Sales[[#This Row],[Target s.d. Januari]]=0,"",Sales[[#This Row],[Anggaran Murni]]-Sales[[#This Row],[Target s.d. Januari]])</f>
        <v/>
      </c>
      <c r="H1137" s="19" t="s">
        <v>75</v>
      </c>
      <c r="I1137" s="20" t="s">
        <v>6</v>
      </c>
      <c r="J1137" s="20"/>
      <c r="K1137" s="19" t="s">
        <v>26</v>
      </c>
      <c r="L1137" s="19" t="s">
        <v>7</v>
      </c>
      <c r="M1137" s="21" t="s">
        <v>67</v>
      </c>
      <c r="N1137" s="20" t="s">
        <v>82</v>
      </c>
      <c r="O1137" s="19" t="s">
        <v>11</v>
      </c>
      <c r="P1137" s="10"/>
      <c r="Q1137" s="11"/>
    </row>
    <row r="1138" spans="2:17" ht="21" customHeight="1" x14ac:dyDescent="0.35">
      <c r="B1138" s="1">
        <v>43965</v>
      </c>
      <c r="C1138" s="1" t="str">
        <f>TEXT(Sales[[#This Row],[Kode Program/Kegiatan ]],"D")</f>
        <v>14</v>
      </c>
      <c r="D1138" s="2" t="str">
        <f>TEXT(Sales[[#This Row],[Kode Program/Kegiatan ]],"mmm")</f>
        <v>May</v>
      </c>
      <c r="E1138" s="3">
        <v>8</v>
      </c>
      <c r="F1138" s="2">
        <v>8</v>
      </c>
      <c r="G1138" s="3" t="str">
        <f>IF(Sales[[#This Row],[Anggaran Murni]]-Sales[[#This Row],[Target s.d. Januari]]=0,"",Sales[[#This Row],[Anggaran Murni]]-Sales[[#This Row],[Target s.d. Januari]])</f>
        <v/>
      </c>
      <c r="H1138" s="2" t="s">
        <v>76</v>
      </c>
      <c r="I1138" s="3" t="s">
        <v>79</v>
      </c>
      <c r="J1138" s="3"/>
      <c r="K1138" s="2" t="s">
        <v>58</v>
      </c>
      <c r="L1138" s="2" t="s">
        <v>5</v>
      </c>
      <c r="M1138" s="4" t="s">
        <v>67</v>
      </c>
      <c r="N1138" s="3" t="s">
        <v>80</v>
      </c>
      <c r="O1138" s="2" t="s">
        <v>11</v>
      </c>
      <c r="P1138" s="10"/>
      <c r="Q1138" s="11"/>
    </row>
    <row r="1139" spans="2:17" ht="21" customHeight="1" x14ac:dyDescent="0.35">
      <c r="B1139" s="18">
        <v>43965</v>
      </c>
      <c r="C1139" s="18" t="str">
        <f>TEXT(Sales[[#This Row],[Kode Program/Kegiatan ]],"D")</f>
        <v>14</v>
      </c>
      <c r="D1139" s="19" t="str">
        <f>TEXT(Sales[[#This Row],[Kode Program/Kegiatan ]],"mmm")</f>
        <v>May</v>
      </c>
      <c r="E1139" s="20">
        <v>7</v>
      </c>
      <c r="F1139" s="19">
        <v>7</v>
      </c>
      <c r="G1139" s="20" t="str">
        <f>IF(Sales[[#This Row],[Anggaran Murni]]-Sales[[#This Row],[Target s.d. Januari]]=0,"",Sales[[#This Row],[Anggaran Murni]]-Sales[[#This Row],[Target s.d. Januari]])</f>
        <v/>
      </c>
      <c r="H1139" s="19" t="s">
        <v>72</v>
      </c>
      <c r="I1139" s="20" t="s">
        <v>78</v>
      </c>
      <c r="J1139" s="20"/>
      <c r="K1139" s="19" t="s">
        <v>47</v>
      </c>
      <c r="L1139" s="19" t="s">
        <v>2</v>
      </c>
      <c r="M1139" s="21" t="s">
        <v>67</v>
      </c>
      <c r="N1139" s="20" t="s">
        <v>81</v>
      </c>
      <c r="O1139" s="19" t="s">
        <v>13</v>
      </c>
      <c r="P1139" s="10"/>
      <c r="Q1139" s="11"/>
    </row>
    <row r="1140" spans="2:17" ht="21" customHeight="1" x14ac:dyDescent="0.35">
      <c r="B1140" s="1">
        <v>43965</v>
      </c>
      <c r="C1140" s="1" t="str">
        <f>TEXT(Sales[[#This Row],[Kode Program/Kegiatan ]],"D")</f>
        <v>14</v>
      </c>
      <c r="D1140" s="2" t="str">
        <f>TEXT(Sales[[#This Row],[Kode Program/Kegiatan ]],"mmm")</f>
        <v>May</v>
      </c>
      <c r="E1140" s="3">
        <v>7</v>
      </c>
      <c r="F1140" s="2">
        <v>7</v>
      </c>
      <c r="G1140" s="3" t="str">
        <f>IF(Sales[[#This Row],[Anggaran Murni]]-Sales[[#This Row],[Target s.d. Januari]]=0,"",Sales[[#This Row],[Anggaran Murni]]-Sales[[#This Row],[Target s.d. Januari]])</f>
        <v/>
      </c>
      <c r="H1140" s="2" t="s">
        <v>72</v>
      </c>
      <c r="I1140" s="3" t="s">
        <v>78</v>
      </c>
      <c r="J1140" s="3"/>
      <c r="K1140" s="2" t="s">
        <v>53</v>
      </c>
      <c r="L1140" s="2" t="s">
        <v>5</v>
      </c>
      <c r="M1140" s="4" t="s">
        <v>67</v>
      </c>
      <c r="N1140" s="3" t="s">
        <v>80</v>
      </c>
      <c r="O1140" s="2" t="s">
        <v>12</v>
      </c>
      <c r="P1140" s="10"/>
      <c r="Q1140" s="11"/>
    </row>
    <row r="1141" spans="2:17" ht="21" customHeight="1" x14ac:dyDescent="0.35">
      <c r="B1141" s="18">
        <v>43965</v>
      </c>
      <c r="C1141" s="18" t="str">
        <f>TEXT(Sales[[#This Row],[Kode Program/Kegiatan ]],"D")</f>
        <v>14</v>
      </c>
      <c r="D1141" s="19" t="str">
        <f>TEXT(Sales[[#This Row],[Kode Program/Kegiatan ]],"mmm")</f>
        <v>May</v>
      </c>
      <c r="E1141" s="20">
        <v>6</v>
      </c>
      <c r="F1141" s="19">
        <v>6</v>
      </c>
      <c r="G1141" s="20" t="str">
        <f>IF(Sales[[#This Row],[Anggaran Murni]]-Sales[[#This Row],[Target s.d. Januari]]=0,"",Sales[[#This Row],[Anggaran Murni]]-Sales[[#This Row],[Target s.d. Januari]])</f>
        <v/>
      </c>
      <c r="H1141" s="19" t="s">
        <v>71</v>
      </c>
      <c r="I1141" s="20" t="s">
        <v>6</v>
      </c>
      <c r="J1141" s="20"/>
      <c r="K1141" s="19" t="s">
        <v>45</v>
      </c>
      <c r="L1141" s="19" t="s">
        <v>9</v>
      </c>
      <c r="M1141" s="21" t="s">
        <v>67</v>
      </c>
      <c r="N1141" s="20" t="s">
        <v>81</v>
      </c>
      <c r="O1141" s="19" t="s">
        <v>13</v>
      </c>
      <c r="P1141" s="10"/>
      <c r="Q1141" s="11"/>
    </row>
    <row r="1142" spans="2:17" ht="21" customHeight="1" x14ac:dyDescent="0.35">
      <c r="B1142" s="1">
        <v>43965</v>
      </c>
      <c r="C1142" s="1" t="str">
        <f>TEXT(Sales[[#This Row],[Kode Program/Kegiatan ]],"D")</f>
        <v>14</v>
      </c>
      <c r="D1142" s="2" t="str">
        <f>TEXT(Sales[[#This Row],[Kode Program/Kegiatan ]],"mmm")</f>
        <v>May</v>
      </c>
      <c r="E1142" s="3">
        <v>5</v>
      </c>
      <c r="F1142" s="2">
        <v>5</v>
      </c>
      <c r="G1142" s="3" t="str">
        <f>IF(Sales[[#This Row],[Anggaran Murni]]-Sales[[#This Row],[Target s.d. Januari]]=0,"",Sales[[#This Row],[Anggaran Murni]]-Sales[[#This Row],[Target s.d. Januari]])</f>
        <v/>
      </c>
      <c r="H1142" s="2" t="s">
        <v>71</v>
      </c>
      <c r="I1142" s="3" t="s">
        <v>6</v>
      </c>
      <c r="J1142" s="3"/>
      <c r="K1142" s="2" t="s">
        <v>51</v>
      </c>
      <c r="L1142" s="2" t="s">
        <v>2</v>
      </c>
      <c r="M1142" s="4" t="s">
        <v>67</v>
      </c>
      <c r="N1142" s="3" t="s">
        <v>81</v>
      </c>
      <c r="O1142" s="2" t="s">
        <v>14</v>
      </c>
      <c r="P1142" s="10"/>
      <c r="Q1142" s="11"/>
    </row>
    <row r="1143" spans="2:17" ht="21" customHeight="1" x14ac:dyDescent="0.35">
      <c r="B1143" s="18">
        <v>43965</v>
      </c>
      <c r="C1143" s="18" t="str">
        <f>TEXT(Sales[[#This Row],[Kode Program/Kegiatan ]],"D")</f>
        <v>14</v>
      </c>
      <c r="D1143" s="19" t="str">
        <f>TEXT(Sales[[#This Row],[Kode Program/Kegiatan ]],"mmm")</f>
        <v>May</v>
      </c>
      <c r="E1143" s="20">
        <v>5</v>
      </c>
      <c r="F1143" s="19">
        <v>5</v>
      </c>
      <c r="G1143" s="20" t="str">
        <f>IF(Sales[[#This Row],[Anggaran Murni]]-Sales[[#This Row],[Target s.d. Januari]]=0,"",Sales[[#This Row],[Anggaran Murni]]-Sales[[#This Row],[Target s.d. Januari]])</f>
        <v/>
      </c>
      <c r="H1143" s="19" t="s">
        <v>74</v>
      </c>
      <c r="I1143" s="20" t="s">
        <v>77</v>
      </c>
      <c r="J1143" s="20"/>
      <c r="K1143" s="19" t="s">
        <v>48</v>
      </c>
      <c r="L1143" s="19" t="s">
        <v>8</v>
      </c>
      <c r="M1143" s="21" t="s">
        <v>67</v>
      </c>
      <c r="N1143" s="20" t="s">
        <v>81</v>
      </c>
      <c r="O1143" s="19" t="s">
        <v>12</v>
      </c>
      <c r="P1143" s="10"/>
      <c r="Q1143" s="11"/>
    </row>
    <row r="1144" spans="2:17" ht="21" customHeight="1" x14ac:dyDescent="0.35">
      <c r="B1144" s="1">
        <v>43965</v>
      </c>
      <c r="C1144" s="1" t="str">
        <f>TEXT(Sales[[#This Row],[Kode Program/Kegiatan ]],"D")</f>
        <v>14</v>
      </c>
      <c r="D1144" s="2" t="str">
        <f>TEXT(Sales[[#This Row],[Kode Program/Kegiatan ]],"mmm")</f>
        <v>May</v>
      </c>
      <c r="E1144" s="3">
        <v>5</v>
      </c>
      <c r="F1144" s="2">
        <v>5</v>
      </c>
      <c r="G1144" s="3" t="str">
        <f>IF(Sales[[#This Row],[Anggaran Murni]]-Sales[[#This Row],[Target s.d. Januari]]=0,"",Sales[[#This Row],[Anggaran Murni]]-Sales[[#This Row],[Target s.d. Januari]])</f>
        <v/>
      </c>
      <c r="H1144" s="2" t="s">
        <v>76</v>
      </c>
      <c r="I1144" s="3" t="s">
        <v>79</v>
      </c>
      <c r="J1144" s="3"/>
      <c r="K1144" s="2" t="s">
        <v>36</v>
      </c>
      <c r="L1144" s="2" t="s">
        <v>5</v>
      </c>
      <c r="M1144" s="4" t="s">
        <v>67</v>
      </c>
      <c r="N1144" s="3" t="s">
        <v>82</v>
      </c>
      <c r="O1144" s="2" t="s">
        <v>12</v>
      </c>
      <c r="P1144" s="10"/>
      <c r="Q1144" s="11"/>
    </row>
    <row r="1145" spans="2:17" ht="21" customHeight="1" x14ac:dyDescent="0.35">
      <c r="B1145" s="18">
        <v>43965</v>
      </c>
      <c r="C1145" s="18" t="str">
        <f>TEXT(Sales[[#This Row],[Kode Program/Kegiatan ]],"D")</f>
        <v>14</v>
      </c>
      <c r="D1145" s="19" t="str">
        <f>TEXT(Sales[[#This Row],[Kode Program/Kegiatan ]],"mmm")</f>
        <v>May</v>
      </c>
      <c r="E1145" s="20">
        <v>5</v>
      </c>
      <c r="F1145" s="19">
        <v>5</v>
      </c>
      <c r="G1145" s="20" t="str">
        <f>IF(Sales[[#This Row],[Anggaran Murni]]-Sales[[#This Row],[Target s.d. Januari]]=0,"",Sales[[#This Row],[Anggaran Murni]]-Sales[[#This Row],[Target s.d. Januari]])</f>
        <v/>
      </c>
      <c r="H1145" s="19" t="s">
        <v>73</v>
      </c>
      <c r="I1145" s="20" t="s">
        <v>78</v>
      </c>
      <c r="J1145" s="20"/>
      <c r="K1145" s="19" t="s">
        <v>36</v>
      </c>
      <c r="L1145" s="19" t="s">
        <v>5</v>
      </c>
      <c r="M1145" s="21" t="s">
        <v>67</v>
      </c>
      <c r="N1145" s="20" t="s">
        <v>81</v>
      </c>
      <c r="O1145" s="19" t="s">
        <v>12</v>
      </c>
      <c r="P1145" s="10"/>
      <c r="Q1145" s="11"/>
    </row>
    <row r="1146" spans="2:17" ht="21" customHeight="1" x14ac:dyDescent="0.35">
      <c r="B1146" s="1">
        <v>43965</v>
      </c>
      <c r="C1146" s="1" t="str">
        <f>TEXT(Sales[[#This Row],[Kode Program/Kegiatan ]],"D")</f>
        <v>14</v>
      </c>
      <c r="D1146" s="2" t="str">
        <f>TEXT(Sales[[#This Row],[Kode Program/Kegiatan ]],"mmm")</f>
        <v>May</v>
      </c>
      <c r="E1146" s="3">
        <v>3</v>
      </c>
      <c r="F1146" s="2">
        <v>3</v>
      </c>
      <c r="G1146" s="3" t="str">
        <f>IF(Sales[[#This Row],[Anggaran Murni]]-Sales[[#This Row],[Target s.d. Januari]]=0,"",Sales[[#This Row],[Anggaran Murni]]-Sales[[#This Row],[Target s.d. Januari]])</f>
        <v/>
      </c>
      <c r="H1146" s="2" t="s">
        <v>75</v>
      </c>
      <c r="I1146" s="3" t="s">
        <v>6</v>
      </c>
      <c r="J1146" s="3"/>
      <c r="K1146" s="2" t="s">
        <v>60</v>
      </c>
      <c r="L1146" s="2" t="s">
        <v>5</v>
      </c>
      <c r="M1146" s="4" t="s">
        <v>67</v>
      </c>
      <c r="N1146" s="3" t="s">
        <v>81</v>
      </c>
      <c r="O1146" s="2" t="s">
        <v>12</v>
      </c>
      <c r="P1146" s="10"/>
      <c r="Q1146" s="11"/>
    </row>
    <row r="1147" spans="2:17" ht="21" customHeight="1" x14ac:dyDescent="0.35">
      <c r="B1147" s="18">
        <v>43966</v>
      </c>
      <c r="C1147" s="18" t="str">
        <f>TEXT(Sales[[#This Row],[Kode Program/Kegiatan ]],"D")</f>
        <v>15</v>
      </c>
      <c r="D1147" s="19" t="str">
        <f>TEXT(Sales[[#This Row],[Kode Program/Kegiatan ]],"mmm")</f>
        <v>May</v>
      </c>
      <c r="E1147" s="20">
        <v>10</v>
      </c>
      <c r="F1147" s="19">
        <v>10</v>
      </c>
      <c r="G1147" s="20" t="str">
        <f>IF(Sales[[#This Row],[Anggaran Murni]]-Sales[[#This Row],[Target s.d. Januari]]=0,"",Sales[[#This Row],[Anggaran Murni]]-Sales[[#This Row],[Target s.d. Januari]])</f>
        <v/>
      </c>
      <c r="H1147" s="19" t="s">
        <v>74</v>
      </c>
      <c r="I1147" s="20" t="s">
        <v>77</v>
      </c>
      <c r="J1147" s="20"/>
      <c r="K1147" s="19" t="s">
        <v>28</v>
      </c>
      <c r="L1147" s="19" t="s">
        <v>5</v>
      </c>
      <c r="M1147" s="21" t="s">
        <v>67</v>
      </c>
      <c r="N1147" s="20" t="s">
        <v>80</v>
      </c>
      <c r="O1147" s="19" t="s">
        <v>12</v>
      </c>
      <c r="P1147" s="10"/>
      <c r="Q1147" s="11"/>
    </row>
    <row r="1148" spans="2:17" ht="21" customHeight="1" x14ac:dyDescent="0.35">
      <c r="B1148" s="1">
        <v>43966</v>
      </c>
      <c r="C1148" s="1" t="str">
        <f>TEXT(Sales[[#This Row],[Kode Program/Kegiatan ]],"D")</f>
        <v>15</v>
      </c>
      <c r="D1148" s="2" t="str">
        <f>TEXT(Sales[[#This Row],[Kode Program/Kegiatan ]],"mmm")</f>
        <v>May</v>
      </c>
      <c r="E1148" s="3">
        <v>10</v>
      </c>
      <c r="F1148" s="2">
        <v>10</v>
      </c>
      <c r="G1148" s="3" t="str">
        <f>IF(Sales[[#This Row],[Anggaran Murni]]-Sales[[#This Row],[Target s.d. Januari]]=0,"",Sales[[#This Row],[Anggaran Murni]]-Sales[[#This Row],[Target s.d. Januari]])</f>
        <v/>
      </c>
      <c r="H1148" s="2" t="s">
        <v>113</v>
      </c>
      <c r="I1148" s="3" t="s">
        <v>77</v>
      </c>
      <c r="J1148" s="3"/>
      <c r="K1148" s="2" t="s">
        <v>42</v>
      </c>
      <c r="L1148" s="2" t="s">
        <v>5</v>
      </c>
      <c r="M1148" s="4" t="s">
        <v>67</v>
      </c>
      <c r="N1148" s="3" t="s">
        <v>82</v>
      </c>
      <c r="O1148" s="2" t="s">
        <v>12</v>
      </c>
      <c r="P1148" s="10"/>
      <c r="Q1148" s="11"/>
    </row>
    <row r="1149" spans="2:17" ht="21" customHeight="1" x14ac:dyDescent="0.35">
      <c r="B1149" s="18">
        <v>43966</v>
      </c>
      <c r="C1149" s="18" t="str">
        <f>TEXT(Sales[[#This Row],[Kode Program/Kegiatan ]],"D")</f>
        <v>15</v>
      </c>
      <c r="D1149" s="19" t="str">
        <f>TEXT(Sales[[#This Row],[Kode Program/Kegiatan ]],"mmm")</f>
        <v>May</v>
      </c>
      <c r="E1149" s="20">
        <v>8</v>
      </c>
      <c r="F1149" s="19">
        <v>8</v>
      </c>
      <c r="G1149" s="20" t="str">
        <f>IF(Sales[[#This Row],[Anggaran Murni]]-Sales[[#This Row],[Target s.d. Januari]]=0,"",Sales[[#This Row],[Anggaran Murni]]-Sales[[#This Row],[Target s.d. Januari]])</f>
        <v/>
      </c>
      <c r="H1149" s="19" t="s">
        <v>75</v>
      </c>
      <c r="I1149" s="20" t="s">
        <v>6</v>
      </c>
      <c r="J1149" s="20"/>
      <c r="K1149" s="19" t="s">
        <v>16</v>
      </c>
      <c r="L1149" s="19" t="s">
        <v>7</v>
      </c>
      <c r="M1149" s="21" t="s">
        <v>67</v>
      </c>
      <c r="N1149" s="20" t="s">
        <v>82</v>
      </c>
      <c r="O1149" s="19" t="s">
        <v>13</v>
      </c>
      <c r="P1149" s="10"/>
      <c r="Q1149" s="11"/>
    </row>
    <row r="1150" spans="2:17" ht="21" customHeight="1" x14ac:dyDescent="0.35">
      <c r="B1150" s="1">
        <v>43966</v>
      </c>
      <c r="C1150" s="1" t="str">
        <f>TEXT(Sales[[#This Row],[Kode Program/Kegiatan ]],"D")</f>
        <v>15</v>
      </c>
      <c r="D1150" s="2" t="str">
        <f>TEXT(Sales[[#This Row],[Kode Program/Kegiatan ]],"mmm")</f>
        <v>May</v>
      </c>
      <c r="E1150" s="3">
        <v>7</v>
      </c>
      <c r="F1150" s="2">
        <v>7</v>
      </c>
      <c r="G1150" s="3" t="str">
        <f>IF(Sales[[#This Row],[Anggaran Murni]]-Sales[[#This Row],[Target s.d. Januari]]=0,"",Sales[[#This Row],[Anggaran Murni]]-Sales[[#This Row],[Target s.d. Januari]])</f>
        <v/>
      </c>
      <c r="H1150" s="2" t="s">
        <v>74</v>
      </c>
      <c r="I1150" s="3" t="s">
        <v>77</v>
      </c>
      <c r="J1150" s="3"/>
      <c r="K1150" s="2" t="s">
        <v>22</v>
      </c>
      <c r="L1150" s="2" t="s">
        <v>9</v>
      </c>
      <c r="M1150" s="4" t="s">
        <v>67</v>
      </c>
      <c r="N1150" s="3" t="s">
        <v>81</v>
      </c>
      <c r="O1150" s="2" t="s">
        <v>12</v>
      </c>
      <c r="P1150" s="10"/>
      <c r="Q1150" s="11"/>
    </row>
    <row r="1151" spans="2:17" ht="21" customHeight="1" x14ac:dyDescent="0.35">
      <c r="B1151" s="18">
        <v>43966</v>
      </c>
      <c r="C1151" s="18" t="str">
        <f>TEXT(Sales[[#This Row],[Kode Program/Kegiatan ]],"D")</f>
        <v>15</v>
      </c>
      <c r="D1151" s="19" t="str">
        <f>TEXT(Sales[[#This Row],[Kode Program/Kegiatan ]],"mmm")</f>
        <v>May</v>
      </c>
      <c r="E1151" s="20">
        <v>6</v>
      </c>
      <c r="F1151" s="19">
        <v>6</v>
      </c>
      <c r="G1151" s="20" t="str">
        <f>IF(Sales[[#This Row],[Anggaran Murni]]-Sales[[#This Row],[Target s.d. Januari]]=0,"",Sales[[#This Row],[Anggaran Murni]]-Sales[[#This Row],[Target s.d. Januari]])</f>
        <v/>
      </c>
      <c r="H1151" s="19" t="s">
        <v>114</v>
      </c>
      <c r="I1151" s="20" t="s">
        <v>3</v>
      </c>
      <c r="J1151" s="20"/>
      <c r="K1151" s="19" t="s">
        <v>38</v>
      </c>
      <c r="L1151" s="19" t="s">
        <v>7</v>
      </c>
      <c r="M1151" s="21" t="s">
        <v>67</v>
      </c>
      <c r="N1151" s="20" t="s">
        <v>82</v>
      </c>
      <c r="O1151" s="19" t="s">
        <v>14</v>
      </c>
      <c r="P1151" s="10"/>
      <c r="Q1151" s="11"/>
    </row>
    <row r="1152" spans="2:17" ht="21" customHeight="1" x14ac:dyDescent="0.35">
      <c r="B1152" s="1">
        <v>43966</v>
      </c>
      <c r="C1152" s="1" t="str">
        <f>TEXT(Sales[[#This Row],[Kode Program/Kegiatan ]],"D")</f>
        <v>15</v>
      </c>
      <c r="D1152" s="2" t="str">
        <f>TEXT(Sales[[#This Row],[Kode Program/Kegiatan ]],"mmm")</f>
        <v>May</v>
      </c>
      <c r="E1152" s="3">
        <v>5</v>
      </c>
      <c r="F1152" s="2">
        <v>5</v>
      </c>
      <c r="G1152" s="3" t="str">
        <f>IF(Sales[[#This Row],[Anggaran Murni]]-Sales[[#This Row],[Target s.d. Januari]]=0,"",Sales[[#This Row],[Anggaran Murni]]-Sales[[#This Row],[Target s.d. Januari]])</f>
        <v/>
      </c>
      <c r="H1152" s="2" t="s">
        <v>73</v>
      </c>
      <c r="I1152" s="3" t="s">
        <v>78</v>
      </c>
      <c r="J1152" s="3"/>
      <c r="K1152" s="2" t="s">
        <v>44</v>
      </c>
      <c r="L1152" s="2" t="s">
        <v>7</v>
      </c>
      <c r="M1152" s="4" t="s">
        <v>67</v>
      </c>
      <c r="N1152" s="3" t="s">
        <v>81</v>
      </c>
      <c r="O1152" s="2" t="s">
        <v>13</v>
      </c>
      <c r="P1152" s="10"/>
      <c r="Q1152" s="11"/>
    </row>
    <row r="1153" spans="2:17" ht="21" customHeight="1" x14ac:dyDescent="0.35">
      <c r="B1153" s="18">
        <v>43966</v>
      </c>
      <c r="C1153" s="18" t="str">
        <f>TEXT(Sales[[#This Row],[Kode Program/Kegiatan ]],"D")</f>
        <v>15</v>
      </c>
      <c r="D1153" s="19" t="str">
        <f>TEXT(Sales[[#This Row],[Kode Program/Kegiatan ]],"mmm")</f>
        <v>May</v>
      </c>
      <c r="E1153" s="20">
        <v>5</v>
      </c>
      <c r="F1153" s="19">
        <v>5</v>
      </c>
      <c r="G1153" s="20" t="str">
        <f>IF(Sales[[#This Row],[Anggaran Murni]]-Sales[[#This Row],[Target s.d. Januari]]=0,"",Sales[[#This Row],[Anggaran Murni]]-Sales[[#This Row],[Target s.d. Januari]])</f>
        <v/>
      </c>
      <c r="H1153" s="19" t="s">
        <v>73</v>
      </c>
      <c r="I1153" s="20" t="s">
        <v>78</v>
      </c>
      <c r="J1153" s="20"/>
      <c r="K1153" s="19" t="s">
        <v>29</v>
      </c>
      <c r="L1153" s="19" t="s">
        <v>5</v>
      </c>
      <c r="M1153" s="21" t="s">
        <v>67</v>
      </c>
      <c r="N1153" s="20" t="s">
        <v>81</v>
      </c>
      <c r="O1153" s="19" t="s">
        <v>14</v>
      </c>
      <c r="P1153" s="10"/>
      <c r="Q1153" s="11"/>
    </row>
    <row r="1154" spans="2:17" ht="21" customHeight="1" x14ac:dyDescent="0.35">
      <c r="B1154" s="1">
        <v>43966</v>
      </c>
      <c r="C1154" s="1" t="str">
        <f>TEXT(Sales[[#This Row],[Kode Program/Kegiatan ]],"D")</f>
        <v>15</v>
      </c>
      <c r="D1154" s="2" t="str">
        <f>TEXT(Sales[[#This Row],[Kode Program/Kegiatan ]],"mmm")</f>
        <v>May</v>
      </c>
      <c r="E1154" s="3">
        <v>3</v>
      </c>
      <c r="F1154" s="2">
        <v>3</v>
      </c>
      <c r="G1154" s="3" t="str">
        <f>IF(Sales[[#This Row],[Anggaran Murni]]-Sales[[#This Row],[Target s.d. Januari]]=0,"",Sales[[#This Row],[Anggaran Murni]]-Sales[[#This Row],[Target s.d. Januari]])</f>
        <v/>
      </c>
      <c r="H1154" s="2" t="s">
        <v>114</v>
      </c>
      <c r="I1154" s="3" t="s">
        <v>3</v>
      </c>
      <c r="J1154" s="3"/>
      <c r="K1154" s="2" t="s">
        <v>26</v>
      </c>
      <c r="L1154" s="2" t="s">
        <v>2</v>
      </c>
      <c r="M1154" s="4" t="s">
        <v>67</v>
      </c>
      <c r="N1154" s="3" t="s">
        <v>80</v>
      </c>
      <c r="O1154" s="2" t="s">
        <v>12</v>
      </c>
      <c r="P1154" s="10"/>
      <c r="Q1154" s="11"/>
    </row>
    <row r="1155" spans="2:17" ht="21" customHeight="1" x14ac:dyDescent="0.35">
      <c r="B1155" s="18">
        <v>43966</v>
      </c>
      <c r="C1155" s="18" t="str">
        <f>TEXT(Sales[[#This Row],[Kode Program/Kegiatan ]],"D")</f>
        <v>15</v>
      </c>
      <c r="D1155" s="19" t="str">
        <f>TEXT(Sales[[#This Row],[Kode Program/Kegiatan ]],"mmm")</f>
        <v>May</v>
      </c>
      <c r="E1155" s="20">
        <v>3</v>
      </c>
      <c r="F1155" s="19">
        <v>3</v>
      </c>
      <c r="G1155" s="20" t="str">
        <f>IF(Sales[[#This Row],[Anggaran Murni]]-Sales[[#This Row],[Target s.d. Januari]]=0,"",Sales[[#This Row],[Anggaran Murni]]-Sales[[#This Row],[Target s.d. Januari]])</f>
        <v/>
      </c>
      <c r="H1155" s="19" t="s">
        <v>76</v>
      </c>
      <c r="I1155" s="20" t="s">
        <v>79</v>
      </c>
      <c r="J1155" s="20"/>
      <c r="K1155" s="19" t="s">
        <v>61</v>
      </c>
      <c r="L1155" s="19" t="s">
        <v>5</v>
      </c>
      <c r="M1155" s="21" t="s">
        <v>67</v>
      </c>
      <c r="N1155" s="20" t="s">
        <v>81</v>
      </c>
      <c r="O1155" s="19" t="s">
        <v>11</v>
      </c>
      <c r="P1155" s="10"/>
      <c r="Q1155" s="11"/>
    </row>
    <row r="1156" spans="2:17" ht="21" customHeight="1" x14ac:dyDescent="0.35">
      <c r="B1156" s="1">
        <v>43966</v>
      </c>
      <c r="C1156" s="1" t="str">
        <f>TEXT(Sales[[#This Row],[Kode Program/Kegiatan ]],"D")</f>
        <v>15</v>
      </c>
      <c r="D1156" s="2" t="str">
        <f>TEXT(Sales[[#This Row],[Kode Program/Kegiatan ]],"mmm")</f>
        <v>May</v>
      </c>
      <c r="E1156" s="3">
        <v>3</v>
      </c>
      <c r="F1156" s="2">
        <v>3</v>
      </c>
      <c r="G1156" s="3" t="str">
        <f>IF(Sales[[#This Row],[Anggaran Murni]]-Sales[[#This Row],[Target s.d. Januari]]=0,"",Sales[[#This Row],[Anggaran Murni]]-Sales[[#This Row],[Target s.d. Januari]])</f>
        <v/>
      </c>
      <c r="H1156" s="2" t="s">
        <v>71</v>
      </c>
      <c r="I1156" s="3" t="s">
        <v>6</v>
      </c>
      <c r="J1156" s="3"/>
      <c r="K1156" s="2" t="s">
        <v>64</v>
      </c>
      <c r="L1156" s="2" t="s">
        <v>2</v>
      </c>
      <c r="M1156" s="4" t="s">
        <v>67</v>
      </c>
      <c r="N1156" s="3" t="s">
        <v>80</v>
      </c>
      <c r="O1156" s="2" t="s">
        <v>14</v>
      </c>
      <c r="P1156" s="10"/>
      <c r="Q1156" s="11"/>
    </row>
    <row r="1157" spans="2:17" ht="21" customHeight="1" x14ac:dyDescent="0.35">
      <c r="B1157" s="18">
        <v>43967</v>
      </c>
      <c r="C1157" s="18" t="str">
        <f>TEXT(Sales[[#This Row],[Kode Program/Kegiatan ]],"D")</f>
        <v>16</v>
      </c>
      <c r="D1157" s="19" t="str">
        <f>TEXT(Sales[[#This Row],[Kode Program/Kegiatan ]],"mmm")</f>
        <v>May</v>
      </c>
      <c r="E1157" s="20">
        <v>10</v>
      </c>
      <c r="F1157" s="19">
        <v>10</v>
      </c>
      <c r="G1157" s="20" t="str">
        <f>IF(Sales[[#This Row],[Anggaran Murni]]-Sales[[#This Row],[Target s.d. Januari]]=0,"",Sales[[#This Row],[Anggaran Murni]]-Sales[[#This Row],[Target s.d. Januari]])</f>
        <v/>
      </c>
      <c r="H1157" s="19" t="s">
        <v>70</v>
      </c>
      <c r="I1157" s="20" t="s">
        <v>1</v>
      </c>
      <c r="J1157" s="20"/>
      <c r="K1157" s="19" t="s">
        <v>23</v>
      </c>
      <c r="L1157" s="19" t="s">
        <v>5</v>
      </c>
      <c r="M1157" s="21" t="s">
        <v>67</v>
      </c>
      <c r="N1157" s="20" t="s">
        <v>81</v>
      </c>
      <c r="O1157" s="19" t="s">
        <v>14</v>
      </c>
      <c r="P1157" s="10"/>
      <c r="Q1157" s="11"/>
    </row>
    <row r="1158" spans="2:17" ht="21" customHeight="1" x14ac:dyDescent="0.35">
      <c r="B1158" s="1">
        <v>43967</v>
      </c>
      <c r="C1158" s="1" t="str">
        <f>TEXT(Sales[[#This Row],[Kode Program/Kegiatan ]],"D")</f>
        <v>16</v>
      </c>
      <c r="D1158" s="2" t="str">
        <f>TEXT(Sales[[#This Row],[Kode Program/Kegiatan ]],"mmm")</f>
        <v>May</v>
      </c>
      <c r="E1158" s="3">
        <v>9</v>
      </c>
      <c r="F1158" s="2">
        <v>9</v>
      </c>
      <c r="G1158" s="3" t="str">
        <f>IF(Sales[[#This Row],[Anggaran Murni]]-Sales[[#This Row],[Target s.d. Januari]]=0,"",Sales[[#This Row],[Anggaran Murni]]-Sales[[#This Row],[Target s.d. Januari]])</f>
        <v/>
      </c>
      <c r="H1158" s="2" t="s">
        <v>76</v>
      </c>
      <c r="I1158" s="3" t="s">
        <v>79</v>
      </c>
      <c r="J1158" s="3"/>
      <c r="K1158" s="2" t="s">
        <v>41</v>
      </c>
      <c r="L1158" s="2" t="s">
        <v>2</v>
      </c>
      <c r="M1158" s="4" t="s">
        <v>67</v>
      </c>
      <c r="N1158" s="3" t="s">
        <v>81</v>
      </c>
      <c r="O1158" s="2" t="s">
        <v>12</v>
      </c>
      <c r="P1158" s="10"/>
      <c r="Q1158" s="11"/>
    </row>
    <row r="1159" spans="2:17" ht="21" customHeight="1" x14ac:dyDescent="0.35">
      <c r="B1159" s="18">
        <v>43967</v>
      </c>
      <c r="C1159" s="18" t="str">
        <f>TEXT(Sales[[#This Row],[Kode Program/Kegiatan ]],"D")</f>
        <v>16</v>
      </c>
      <c r="D1159" s="19" t="str">
        <f>TEXT(Sales[[#This Row],[Kode Program/Kegiatan ]],"mmm")</f>
        <v>May</v>
      </c>
      <c r="E1159" s="20">
        <v>9</v>
      </c>
      <c r="F1159" s="19">
        <v>9</v>
      </c>
      <c r="G1159" s="20" t="str">
        <f>IF(Sales[[#This Row],[Anggaran Murni]]-Sales[[#This Row],[Target s.d. Januari]]=0,"",Sales[[#This Row],[Anggaran Murni]]-Sales[[#This Row],[Target s.d. Januari]])</f>
        <v/>
      </c>
      <c r="H1159" s="19" t="s">
        <v>75</v>
      </c>
      <c r="I1159" s="20" t="s">
        <v>6</v>
      </c>
      <c r="J1159" s="20"/>
      <c r="K1159" s="19" t="s">
        <v>50</v>
      </c>
      <c r="L1159" s="19" t="s">
        <v>5</v>
      </c>
      <c r="M1159" s="21" t="s">
        <v>67</v>
      </c>
      <c r="N1159" s="20" t="s">
        <v>80</v>
      </c>
      <c r="O1159" s="19" t="s">
        <v>12</v>
      </c>
      <c r="P1159" s="10"/>
      <c r="Q1159" s="11"/>
    </row>
    <row r="1160" spans="2:17" ht="21" customHeight="1" x14ac:dyDescent="0.35">
      <c r="B1160" s="1">
        <v>43967</v>
      </c>
      <c r="C1160" s="1" t="str">
        <f>TEXT(Sales[[#This Row],[Kode Program/Kegiatan ]],"D")</f>
        <v>16</v>
      </c>
      <c r="D1160" s="2" t="str">
        <f>TEXT(Sales[[#This Row],[Kode Program/Kegiatan ]],"mmm")</f>
        <v>May</v>
      </c>
      <c r="E1160" s="3">
        <v>9</v>
      </c>
      <c r="F1160" s="2">
        <v>9</v>
      </c>
      <c r="G1160" s="3" t="str">
        <f>IF(Sales[[#This Row],[Anggaran Murni]]-Sales[[#This Row],[Target s.d. Januari]]=0,"",Sales[[#This Row],[Anggaran Murni]]-Sales[[#This Row],[Target s.d. Januari]])</f>
        <v/>
      </c>
      <c r="H1160" s="2" t="s">
        <v>74</v>
      </c>
      <c r="I1160" s="3" t="s">
        <v>77</v>
      </c>
      <c r="J1160" s="3"/>
      <c r="K1160" s="2" t="s">
        <v>56</v>
      </c>
      <c r="L1160" s="2" t="s">
        <v>7</v>
      </c>
      <c r="M1160" s="4" t="s">
        <v>67</v>
      </c>
      <c r="N1160" s="3" t="s">
        <v>80</v>
      </c>
      <c r="O1160" s="2" t="s">
        <v>11</v>
      </c>
      <c r="P1160" s="10"/>
      <c r="Q1160" s="11"/>
    </row>
    <row r="1161" spans="2:17" ht="21" customHeight="1" x14ac:dyDescent="0.35">
      <c r="B1161" s="18">
        <v>43967</v>
      </c>
      <c r="C1161" s="18" t="str">
        <f>TEXT(Sales[[#This Row],[Kode Program/Kegiatan ]],"D")</f>
        <v>16</v>
      </c>
      <c r="D1161" s="19" t="str">
        <f>TEXT(Sales[[#This Row],[Kode Program/Kegiatan ]],"mmm")</f>
        <v>May</v>
      </c>
      <c r="E1161" s="20">
        <v>9</v>
      </c>
      <c r="F1161" s="19">
        <v>9</v>
      </c>
      <c r="G1161" s="20" t="str">
        <f>IF(Sales[[#This Row],[Anggaran Murni]]-Sales[[#This Row],[Target s.d. Januari]]=0,"",Sales[[#This Row],[Anggaran Murni]]-Sales[[#This Row],[Target s.d. Januari]])</f>
        <v/>
      </c>
      <c r="H1161" s="19" t="s">
        <v>71</v>
      </c>
      <c r="I1161" s="20" t="s">
        <v>6</v>
      </c>
      <c r="J1161" s="20"/>
      <c r="K1161" s="19" t="s">
        <v>39</v>
      </c>
      <c r="L1161" s="19" t="s">
        <v>5</v>
      </c>
      <c r="M1161" s="21" t="s">
        <v>67</v>
      </c>
      <c r="N1161" s="20" t="s">
        <v>80</v>
      </c>
      <c r="O1161" s="19" t="s">
        <v>14</v>
      </c>
      <c r="P1161" s="10"/>
      <c r="Q1161" s="11"/>
    </row>
    <row r="1162" spans="2:17" ht="21" customHeight="1" x14ac:dyDescent="0.35">
      <c r="B1162" s="1">
        <v>43967</v>
      </c>
      <c r="C1162" s="1" t="str">
        <f>TEXT(Sales[[#This Row],[Kode Program/Kegiatan ]],"D")</f>
        <v>16</v>
      </c>
      <c r="D1162" s="2" t="str">
        <f>TEXT(Sales[[#This Row],[Kode Program/Kegiatan ]],"mmm")</f>
        <v>May</v>
      </c>
      <c r="E1162" s="3">
        <v>8</v>
      </c>
      <c r="F1162" s="2">
        <v>8</v>
      </c>
      <c r="G1162" s="3" t="str">
        <f>IF(Sales[[#This Row],[Anggaran Murni]]-Sales[[#This Row],[Target s.d. Januari]]=0,"",Sales[[#This Row],[Anggaran Murni]]-Sales[[#This Row],[Target s.d. Januari]])</f>
        <v/>
      </c>
      <c r="H1162" s="2" t="s">
        <v>75</v>
      </c>
      <c r="I1162" s="3" t="s">
        <v>6</v>
      </c>
      <c r="J1162" s="3"/>
      <c r="K1162" s="2" t="s">
        <v>31</v>
      </c>
      <c r="L1162" s="2" t="s">
        <v>5</v>
      </c>
      <c r="M1162" s="4" t="s">
        <v>67</v>
      </c>
      <c r="N1162" s="3" t="s">
        <v>82</v>
      </c>
      <c r="O1162" s="2" t="s">
        <v>13</v>
      </c>
      <c r="P1162" s="10"/>
      <c r="Q1162" s="11"/>
    </row>
    <row r="1163" spans="2:17" ht="21" customHeight="1" x14ac:dyDescent="0.35">
      <c r="B1163" s="18">
        <v>43967</v>
      </c>
      <c r="C1163" s="18" t="str">
        <f>TEXT(Sales[[#This Row],[Kode Program/Kegiatan ]],"D")</f>
        <v>16</v>
      </c>
      <c r="D1163" s="19" t="str">
        <f>TEXT(Sales[[#This Row],[Kode Program/Kegiatan ]],"mmm")</f>
        <v>May</v>
      </c>
      <c r="E1163" s="20">
        <v>7</v>
      </c>
      <c r="F1163" s="19">
        <v>7</v>
      </c>
      <c r="G1163" s="20" t="str">
        <f>IF(Sales[[#This Row],[Anggaran Murni]]-Sales[[#This Row],[Target s.d. Januari]]=0,"",Sales[[#This Row],[Anggaran Murni]]-Sales[[#This Row],[Target s.d. Januari]])</f>
        <v/>
      </c>
      <c r="H1163" s="19" t="s">
        <v>72</v>
      </c>
      <c r="I1163" s="20" t="s">
        <v>78</v>
      </c>
      <c r="J1163" s="20"/>
      <c r="K1163" s="19" t="s">
        <v>60</v>
      </c>
      <c r="L1163" s="19" t="s">
        <v>7</v>
      </c>
      <c r="M1163" s="21" t="s">
        <v>67</v>
      </c>
      <c r="N1163" s="20" t="s">
        <v>80</v>
      </c>
      <c r="O1163" s="19" t="s">
        <v>11</v>
      </c>
      <c r="P1163" s="10"/>
      <c r="Q1163" s="11"/>
    </row>
    <row r="1164" spans="2:17" ht="21" customHeight="1" x14ac:dyDescent="0.35">
      <c r="B1164" s="1">
        <v>43967</v>
      </c>
      <c r="C1164" s="1" t="str">
        <f>TEXT(Sales[[#This Row],[Kode Program/Kegiatan ]],"D")</f>
        <v>16</v>
      </c>
      <c r="D1164" s="2" t="str">
        <f>TEXT(Sales[[#This Row],[Kode Program/Kegiatan ]],"mmm")</f>
        <v>May</v>
      </c>
      <c r="E1164" s="3">
        <v>6</v>
      </c>
      <c r="F1164" s="2">
        <v>6</v>
      </c>
      <c r="G1164" s="3" t="str">
        <f>IF(Sales[[#This Row],[Anggaran Murni]]-Sales[[#This Row],[Target s.d. Januari]]=0,"",Sales[[#This Row],[Anggaran Murni]]-Sales[[#This Row],[Target s.d. Januari]])</f>
        <v/>
      </c>
      <c r="H1164" s="2" t="s">
        <v>75</v>
      </c>
      <c r="I1164" s="3" t="s">
        <v>6</v>
      </c>
      <c r="J1164" s="3"/>
      <c r="K1164" s="2" t="s">
        <v>26</v>
      </c>
      <c r="L1164" s="2" t="s">
        <v>2</v>
      </c>
      <c r="M1164" s="4" t="s">
        <v>67</v>
      </c>
      <c r="N1164" s="3" t="s">
        <v>80</v>
      </c>
      <c r="O1164" s="2" t="s">
        <v>14</v>
      </c>
      <c r="P1164" s="10"/>
      <c r="Q1164" s="11"/>
    </row>
    <row r="1165" spans="2:17" ht="21" customHeight="1" x14ac:dyDescent="0.35">
      <c r="B1165" s="18">
        <v>43967</v>
      </c>
      <c r="C1165" s="18" t="str">
        <f>TEXT(Sales[[#This Row],[Kode Program/Kegiatan ]],"D")</f>
        <v>16</v>
      </c>
      <c r="D1165" s="19" t="str">
        <f>TEXT(Sales[[#This Row],[Kode Program/Kegiatan ]],"mmm")</f>
        <v>May</v>
      </c>
      <c r="E1165" s="20">
        <v>5</v>
      </c>
      <c r="F1165" s="19">
        <v>5</v>
      </c>
      <c r="G1165" s="20" t="str">
        <f>IF(Sales[[#This Row],[Anggaran Murni]]-Sales[[#This Row],[Target s.d. Januari]]=0,"",Sales[[#This Row],[Anggaran Murni]]-Sales[[#This Row],[Target s.d. Januari]])</f>
        <v/>
      </c>
      <c r="H1165" s="19" t="s">
        <v>113</v>
      </c>
      <c r="I1165" s="20" t="s">
        <v>77</v>
      </c>
      <c r="J1165" s="20"/>
      <c r="K1165" s="19" t="s">
        <v>24</v>
      </c>
      <c r="L1165" s="19" t="s">
        <v>8</v>
      </c>
      <c r="M1165" s="21" t="s">
        <v>67</v>
      </c>
      <c r="N1165" s="20" t="s">
        <v>81</v>
      </c>
      <c r="O1165" s="19" t="s">
        <v>12</v>
      </c>
      <c r="P1165" s="10"/>
      <c r="Q1165" s="11"/>
    </row>
    <row r="1166" spans="2:17" ht="21" customHeight="1" x14ac:dyDescent="0.35">
      <c r="B1166" s="1">
        <v>43967</v>
      </c>
      <c r="C1166" s="1" t="str">
        <f>TEXT(Sales[[#This Row],[Kode Program/Kegiatan ]],"D")</f>
        <v>16</v>
      </c>
      <c r="D1166" s="2" t="str">
        <f>TEXT(Sales[[#This Row],[Kode Program/Kegiatan ]],"mmm")</f>
        <v>May</v>
      </c>
      <c r="E1166" s="3">
        <v>4</v>
      </c>
      <c r="F1166" s="2">
        <v>4</v>
      </c>
      <c r="G1166" s="3" t="str">
        <f>IF(Sales[[#This Row],[Anggaran Murni]]-Sales[[#This Row],[Target s.d. Januari]]=0,"",Sales[[#This Row],[Anggaran Murni]]-Sales[[#This Row],[Target s.d. Januari]])</f>
        <v/>
      </c>
      <c r="H1166" s="2" t="s">
        <v>113</v>
      </c>
      <c r="I1166" s="3" t="s">
        <v>77</v>
      </c>
      <c r="J1166" s="3"/>
      <c r="K1166" s="2" t="s">
        <v>42</v>
      </c>
      <c r="L1166" s="2" t="s">
        <v>4</v>
      </c>
      <c r="M1166" s="4" t="s">
        <v>67</v>
      </c>
      <c r="N1166" s="3" t="s">
        <v>81</v>
      </c>
      <c r="O1166" s="2" t="s">
        <v>13</v>
      </c>
      <c r="P1166" s="10"/>
      <c r="Q1166" s="11"/>
    </row>
    <row r="1167" spans="2:17" ht="21" customHeight="1" x14ac:dyDescent="0.35">
      <c r="B1167" s="18">
        <v>43967</v>
      </c>
      <c r="C1167" s="18" t="str">
        <f>TEXT(Sales[[#This Row],[Kode Program/Kegiatan ]],"D")</f>
        <v>16</v>
      </c>
      <c r="D1167" s="19" t="str">
        <f>TEXT(Sales[[#This Row],[Kode Program/Kegiatan ]],"mmm")</f>
        <v>May</v>
      </c>
      <c r="E1167" s="20">
        <v>3</v>
      </c>
      <c r="F1167" s="19">
        <v>3</v>
      </c>
      <c r="G1167" s="20" t="str">
        <f>IF(Sales[[#This Row],[Anggaran Murni]]-Sales[[#This Row],[Target s.d. Januari]]=0,"",Sales[[#This Row],[Anggaran Murni]]-Sales[[#This Row],[Target s.d. Januari]])</f>
        <v/>
      </c>
      <c r="H1167" s="19" t="s">
        <v>70</v>
      </c>
      <c r="I1167" s="20" t="s">
        <v>1</v>
      </c>
      <c r="J1167" s="20"/>
      <c r="K1167" s="19" t="s">
        <v>34</v>
      </c>
      <c r="L1167" s="19" t="s">
        <v>2</v>
      </c>
      <c r="M1167" s="21" t="s">
        <v>67</v>
      </c>
      <c r="N1167" s="20" t="s">
        <v>82</v>
      </c>
      <c r="O1167" s="19" t="s">
        <v>12</v>
      </c>
      <c r="P1167" s="10"/>
      <c r="Q1167" s="11"/>
    </row>
    <row r="1168" spans="2:17" ht="21" customHeight="1" x14ac:dyDescent="0.35">
      <c r="B1168" s="1">
        <v>43967</v>
      </c>
      <c r="C1168" s="1" t="str">
        <f>TEXT(Sales[[#This Row],[Kode Program/Kegiatan ]],"D")</f>
        <v>16</v>
      </c>
      <c r="D1168" s="2" t="str">
        <f>TEXT(Sales[[#This Row],[Kode Program/Kegiatan ]],"mmm")</f>
        <v>May</v>
      </c>
      <c r="E1168" s="3">
        <v>3</v>
      </c>
      <c r="F1168" s="2">
        <v>3</v>
      </c>
      <c r="G1168" s="3" t="str">
        <f>IF(Sales[[#This Row],[Anggaran Murni]]-Sales[[#This Row],[Target s.d. Januari]]=0,"",Sales[[#This Row],[Anggaran Murni]]-Sales[[#This Row],[Target s.d. Januari]])</f>
        <v/>
      </c>
      <c r="H1168" s="2" t="s">
        <v>72</v>
      </c>
      <c r="I1168" s="3" t="s">
        <v>78</v>
      </c>
      <c r="J1168" s="3"/>
      <c r="K1168" s="2" t="s">
        <v>49</v>
      </c>
      <c r="L1168" s="2" t="s">
        <v>5</v>
      </c>
      <c r="M1168" s="4" t="s">
        <v>67</v>
      </c>
      <c r="N1168" s="3" t="s">
        <v>82</v>
      </c>
      <c r="O1168" s="2" t="s">
        <v>11</v>
      </c>
      <c r="P1168" s="10"/>
      <c r="Q1168" s="11"/>
    </row>
    <row r="1169" spans="2:17" ht="21" customHeight="1" x14ac:dyDescent="0.35">
      <c r="B1169" s="18">
        <v>43968</v>
      </c>
      <c r="C1169" s="18" t="str">
        <f>TEXT(Sales[[#This Row],[Kode Program/Kegiatan ]],"D")</f>
        <v>17</v>
      </c>
      <c r="D1169" s="19" t="str">
        <f>TEXT(Sales[[#This Row],[Kode Program/Kegiatan ]],"mmm")</f>
        <v>May</v>
      </c>
      <c r="E1169" s="20">
        <v>10</v>
      </c>
      <c r="F1169" s="19">
        <v>10</v>
      </c>
      <c r="G1169" s="20" t="str">
        <f>IF(Sales[[#This Row],[Anggaran Murni]]-Sales[[#This Row],[Target s.d. Januari]]=0,"",Sales[[#This Row],[Anggaran Murni]]-Sales[[#This Row],[Target s.d. Januari]])</f>
        <v/>
      </c>
      <c r="H1169" s="19" t="s">
        <v>114</v>
      </c>
      <c r="I1169" s="20" t="s">
        <v>3</v>
      </c>
      <c r="J1169" s="20"/>
      <c r="K1169" s="19" t="s">
        <v>17</v>
      </c>
      <c r="L1169" s="19" t="s">
        <v>5</v>
      </c>
      <c r="M1169" s="21" t="s">
        <v>67</v>
      </c>
      <c r="N1169" s="20" t="s">
        <v>82</v>
      </c>
      <c r="O1169" s="19" t="s">
        <v>13</v>
      </c>
      <c r="P1169" s="10"/>
      <c r="Q1169" s="11"/>
    </row>
    <row r="1170" spans="2:17" ht="21" customHeight="1" x14ac:dyDescent="0.35">
      <c r="B1170" s="1">
        <v>43968</v>
      </c>
      <c r="C1170" s="1" t="str">
        <f>TEXT(Sales[[#This Row],[Kode Program/Kegiatan ]],"D")</f>
        <v>17</v>
      </c>
      <c r="D1170" s="2" t="str">
        <f>TEXT(Sales[[#This Row],[Kode Program/Kegiatan ]],"mmm")</f>
        <v>May</v>
      </c>
      <c r="E1170" s="3">
        <v>9</v>
      </c>
      <c r="F1170" s="2">
        <v>9</v>
      </c>
      <c r="G1170" s="3" t="str">
        <f>IF(Sales[[#This Row],[Anggaran Murni]]-Sales[[#This Row],[Target s.d. Januari]]=0,"",Sales[[#This Row],[Anggaran Murni]]-Sales[[#This Row],[Target s.d. Januari]])</f>
        <v/>
      </c>
      <c r="H1170" s="2" t="s">
        <v>70</v>
      </c>
      <c r="I1170" s="3" t="s">
        <v>1</v>
      </c>
      <c r="J1170" s="3"/>
      <c r="K1170" s="2" t="s">
        <v>33</v>
      </c>
      <c r="L1170" s="2" t="s">
        <v>2</v>
      </c>
      <c r="M1170" s="4" t="s">
        <v>67</v>
      </c>
      <c r="N1170" s="3" t="s">
        <v>82</v>
      </c>
      <c r="O1170" s="2" t="s">
        <v>12</v>
      </c>
      <c r="P1170" s="10"/>
      <c r="Q1170" s="11"/>
    </row>
    <row r="1171" spans="2:17" ht="21" customHeight="1" x14ac:dyDescent="0.35">
      <c r="B1171" s="18">
        <v>43968</v>
      </c>
      <c r="C1171" s="18" t="str">
        <f>TEXT(Sales[[#This Row],[Kode Program/Kegiatan ]],"D")</f>
        <v>17</v>
      </c>
      <c r="D1171" s="19" t="str">
        <f>TEXT(Sales[[#This Row],[Kode Program/Kegiatan ]],"mmm")</f>
        <v>May</v>
      </c>
      <c r="E1171" s="20">
        <v>9</v>
      </c>
      <c r="F1171" s="19">
        <v>9</v>
      </c>
      <c r="G1171" s="20" t="str">
        <f>IF(Sales[[#This Row],[Anggaran Murni]]-Sales[[#This Row],[Target s.d. Januari]]=0,"",Sales[[#This Row],[Anggaran Murni]]-Sales[[#This Row],[Target s.d. Januari]])</f>
        <v/>
      </c>
      <c r="H1171" s="19" t="s">
        <v>72</v>
      </c>
      <c r="I1171" s="20" t="s">
        <v>78</v>
      </c>
      <c r="J1171" s="20"/>
      <c r="K1171" s="19" t="s">
        <v>16</v>
      </c>
      <c r="L1171" s="19" t="s">
        <v>5</v>
      </c>
      <c r="M1171" s="21" t="s">
        <v>67</v>
      </c>
      <c r="N1171" s="20" t="s">
        <v>80</v>
      </c>
      <c r="O1171" s="19" t="s">
        <v>12</v>
      </c>
      <c r="P1171" s="10"/>
      <c r="Q1171" s="11"/>
    </row>
    <row r="1172" spans="2:17" ht="21" customHeight="1" x14ac:dyDescent="0.35">
      <c r="B1172" s="1">
        <v>43968</v>
      </c>
      <c r="C1172" s="1" t="str">
        <f>TEXT(Sales[[#This Row],[Kode Program/Kegiatan ]],"D")</f>
        <v>17</v>
      </c>
      <c r="D1172" s="2" t="str">
        <f>TEXT(Sales[[#This Row],[Kode Program/Kegiatan ]],"mmm")</f>
        <v>May</v>
      </c>
      <c r="E1172" s="3">
        <v>8</v>
      </c>
      <c r="F1172" s="2">
        <v>8</v>
      </c>
      <c r="G1172" s="3" t="str">
        <f>IF(Sales[[#This Row],[Anggaran Murni]]-Sales[[#This Row],[Target s.d. Januari]]=0,"",Sales[[#This Row],[Anggaran Murni]]-Sales[[#This Row],[Target s.d. Januari]])</f>
        <v/>
      </c>
      <c r="H1172" s="2" t="s">
        <v>75</v>
      </c>
      <c r="I1172" s="3" t="s">
        <v>6</v>
      </c>
      <c r="J1172" s="3"/>
      <c r="K1172" s="2" t="s">
        <v>38</v>
      </c>
      <c r="L1172" s="2" t="s">
        <v>5</v>
      </c>
      <c r="M1172" s="4" t="s">
        <v>67</v>
      </c>
      <c r="N1172" s="3" t="s">
        <v>82</v>
      </c>
      <c r="O1172" s="2" t="s">
        <v>12</v>
      </c>
      <c r="P1172" s="10"/>
      <c r="Q1172" s="11"/>
    </row>
    <row r="1173" spans="2:17" ht="21" customHeight="1" x14ac:dyDescent="0.35">
      <c r="B1173" s="18">
        <v>43968</v>
      </c>
      <c r="C1173" s="18" t="str">
        <f>TEXT(Sales[[#This Row],[Kode Program/Kegiatan ]],"D")</f>
        <v>17</v>
      </c>
      <c r="D1173" s="19" t="str">
        <f>TEXT(Sales[[#This Row],[Kode Program/Kegiatan ]],"mmm")</f>
        <v>May</v>
      </c>
      <c r="E1173" s="20">
        <v>6</v>
      </c>
      <c r="F1173" s="19">
        <v>6</v>
      </c>
      <c r="G1173" s="20" t="str">
        <f>IF(Sales[[#This Row],[Anggaran Murni]]-Sales[[#This Row],[Target s.d. Januari]]=0,"",Sales[[#This Row],[Anggaran Murni]]-Sales[[#This Row],[Target s.d. Januari]])</f>
        <v/>
      </c>
      <c r="H1173" s="19" t="s">
        <v>70</v>
      </c>
      <c r="I1173" s="20" t="s">
        <v>1</v>
      </c>
      <c r="J1173" s="20"/>
      <c r="K1173" s="19" t="s">
        <v>50</v>
      </c>
      <c r="L1173" s="19" t="s">
        <v>5</v>
      </c>
      <c r="M1173" s="21" t="s">
        <v>67</v>
      </c>
      <c r="N1173" s="20" t="s">
        <v>82</v>
      </c>
      <c r="O1173" s="19" t="s">
        <v>14</v>
      </c>
      <c r="P1173" s="10"/>
      <c r="Q1173" s="11"/>
    </row>
    <row r="1174" spans="2:17" ht="21" customHeight="1" x14ac:dyDescent="0.35">
      <c r="B1174" s="1">
        <v>43968</v>
      </c>
      <c r="C1174" s="1" t="str">
        <f>TEXT(Sales[[#This Row],[Kode Program/Kegiatan ]],"D")</f>
        <v>17</v>
      </c>
      <c r="D1174" s="2" t="str">
        <f>TEXT(Sales[[#This Row],[Kode Program/Kegiatan ]],"mmm")</f>
        <v>May</v>
      </c>
      <c r="E1174" s="3">
        <v>6</v>
      </c>
      <c r="F1174" s="2">
        <v>6</v>
      </c>
      <c r="G1174" s="3" t="str">
        <f>IF(Sales[[#This Row],[Anggaran Murni]]-Sales[[#This Row],[Target s.d. Januari]]=0,"",Sales[[#This Row],[Anggaran Murni]]-Sales[[#This Row],[Target s.d. Januari]])</f>
        <v/>
      </c>
      <c r="H1174" s="2" t="s">
        <v>70</v>
      </c>
      <c r="I1174" s="3" t="s">
        <v>1</v>
      </c>
      <c r="J1174" s="3"/>
      <c r="K1174" s="2" t="s">
        <v>39</v>
      </c>
      <c r="L1174" s="2" t="s">
        <v>2</v>
      </c>
      <c r="M1174" s="4" t="s">
        <v>67</v>
      </c>
      <c r="N1174" s="3" t="s">
        <v>80</v>
      </c>
      <c r="O1174" s="2" t="s">
        <v>14</v>
      </c>
      <c r="P1174" s="10"/>
      <c r="Q1174" s="11"/>
    </row>
    <row r="1175" spans="2:17" ht="21" customHeight="1" x14ac:dyDescent="0.35">
      <c r="B1175" s="18">
        <v>43968</v>
      </c>
      <c r="C1175" s="18" t="str">
        <f>TEXT(Sales[[#This Row],[Kode Program/Kegiatan ]],"D")</f>
        <v>17</v>
      </c>
      <c r="D1175" s="19" t="str">
        <f>TEXT(Sales[[#This Row],[Kode Program/Kegiatan ]],"mmm")</f>
        <v>May</v>
      </c>
      <c r="E1175" s="20">
        <v>5</v>
      </c>
      <c r="F1175" s="19">
        <v>5</v>
      </c>
      <c r="G1175" s="20" t="str">
        <f>IF(Sales[[#This Row],[Anggaran Murni]]-Sales[[#This Row],[Target s.d. Januari]]=0,"",Sales[[#This Row],[Anggaran Murni]]-Sales[[#This Row],[Target s.d. Januari]])</f>
        <v/>
      </c>
      <c r="H1175" s="19" t="s">
        <v>74</v>
      </c>
      <c r="I1175" s="20" t="s">
        <v>77</v>
      </c>
      <c r="J1175" s="20"/>
      <c r="K1175" s="19" t="s">
        <v>16</v>
      </c>
      <c r="L1175" s="19" t="s">
        <v>8</v>
      </c>
      <c r="M1175" s="21" t="s">
        <v>67</v>
      </c>
      <c r="N1175" s="20" t="s">
        <v>82</v>
      </c>
      <c r="O1175" s="19" t="s">
        <v>11</v>
      </c>
      <c r="P1175" s="10"/>
      <c r="Q1175" s="11"/>
    </row>
    <row r="1176" spans="2:17" ht="21" customHeight="1" x14ac:dyDescent="0.35">
      <c r="B1176" s="1">
        <v>43968</v>
      </c>
      <c r="C1176" s="1" t="str">
        <f>TEXT(Sales[[#This Row],[Kode Program/Kegiatan ]],"D")</f>
        <v>17</v>
      </c>
      <c r="D1176" s="2" t="str">
        <f>TEXT(Sales[[#This Row],[Kode Program/Kegiatan ]],"mmm")</f>
        <v>May</v>
      </c>
      <c r="E1176" s="3">
        <v>5</v>
      </c>
      <c r="F1176" s="2">
        <v>5</v>
      </c>
      <c r="G1176" s="3" t="str">
        <f>IF(Sales[[#This Row],[Anggaran Murni]]-Sales[[#This Row],[Target s.d. Januari]]=0,"",Sales[[#This Row],[Anggaran Murni]]-Sales[[#This Row],[Target s.d. Januari]])</f>
        <v/>
      </c>
      <c r="H1176" s="2" t="s">
        <v>76</v>
      </c>
      <c r="I1176" s="3" t="s">
        <v>79</v>
      </c>
      <c r="J1176" s="3"/>
      <c r="K1176" s="2" t="s">
        <v>37</v>
      </c>
      <c r="L1176" s="2" t="s">
        <v>5</v>
      </c>
      <c r="M1176" s="4" t="s">
        <v>67</v>
      </c>
      <c r="N1176" s="3" t="s">
        <v>82</v>
      </c>
      <c r="O1176" s="2" t="s">
        <v>14</v>
      </c>
      <c r="P1176" s="10"/>
      <c r="Q1176" s="11"/>
    </row>
    <row r="1177" spans="2:17" ht="21" customHeight="1" x14ac:dyDescent="0.35">
      <c r="B1177" s="18">
        <v>43968</v>
      </c>
      <c r="C1177" s="18" t="str">
        <f>TEXT(Sales[[#This Row],[Kode Program/Kegiatan ]],"D")</f>
        <v>17</v>
      </c>
      <c r="D1177" s="19" t="str">
        <f>TEXT(Sales[[#This Row],[Kode Program/Kegiatan ]],"mmm")</f>
        <v>May</v>
      </c>
      <c r="E1177" s="20">
        <v>5</v>
      </c>
      <c r="F1177" s="19">
        <v>5</v>
      </c>
      <c r="G1177" s="20" t="str">
        <f>IF(Sales[[#This Row],[Anggaran Murni]]-Sales[[#This Row],[Target s.d. Januari]]=0,"",Sales[[#This Row],[Anggaran Murni]]-Sales[[#This Row],[Target s.d. Januari]])</f>
        <v/>
      </c>
      <c r="H1177" s="19" t="s">
        <v>74</v>
      </c>
      <c r="I1177" s="20" t="s">
        <v>77</v>
      </c>
      <c r="J1177" s="20"/>
      <c r="K1177" s="19" t="s">
        <v>17</v>
      </c>
      <c r="L1177" s="19" t="s">
        <v>5</v>
      </c>
      <c r="M1177" s="21" t="s">
        <v>67</v>
      </c>
      <c r="N1177" s="20" t="s">
        <v>81</v>
      </c>
      <c r="O1177" s="19" t="s">
        <v>12</v>
      </c>
      <c r="P1177" s="10"/>
      <c r="Q1177" s="11"/>
    </row>
    <row r="1178" spans="2:17" ht="21" customHeight="1" x14ac:dyDescent="0.35">
      <c r="B1178" s="1">
        <v>43968</v>
      </c>
      <c r="C1178" s="1" t="str">
        <f>TEXT(Sales[[#This Row],[Kode Program/Kegiatan ]],"D")</f>
        <v>17</v>
      </c>
      <c r="D1178" s="2" t="str">
        <f>TEXT(Sales[[#This Row],[Kode Program/Kegiatan ]],"mmm")</f>
        <v>May</v>
      </c>
      <c r="E1178" s="3">
        <v>4</v>
      </c>
      <c r="F1178" s="2">
        <v>4</v>
      </c>
      <c r="G1178" s="3" t="str">
        <f>IF(Sales[[#This Row],[Anggaran Murni]]-Sales[[#This Row],[Target s.d. Januari]]=0,"",Sales[[#This Row],[Anggaran Murni]]-Sales[[#This Row],[Target s.d. Januari]])</f>
        <v/>
      </c>
      <c r="H1178" s="2" t="s">
        <v>75</v>
      </c>
      <c r="I1178" s="3" t="s">
        <v>6</v>
      </c>
      <c r="J1178" s="3"/>
      <c r="K1178" s="2" t="s">
        <v>36</v>
      </c>
      <c r="L1178" s="2" t="s">
        <v>5</v>
      </c>
      <c r="M1178" s="4" t="s">
        <v>67</v>
      </c>
      <c r="N1178" s="3" t="s">
        <v>81</v>
      </c>
      <c r="O1178" s="2" t="s">
        <v>11</v>
      </c>
      <c r="P1178" s="10"/>
      <c r="Q1178" s="11"/>
    </row>
    <row r="1179" spans="2:17" ht="21" customHeight="1" x14ac:dyDescent="0.35">
      <c r="B1179" s="18">
        <v>43968</v>
      </c>
      <c r="C1179" s="18" t="str">
        <f>TEXT(Sales[[#This Row],[Kode Program/Kegiatan ]],"D")</f>
        <v>17</v>
      </c>
      <c r="D1179" s="19" t="str">
        <f>TEXT(Sales[[#This Row],[Kode Program/Kegiatan ]],"mmm")</f>
        <v>May</v>
      </c>
      <c r="E1179" s="20">
        <v>3</v>
      </c>
      <c r="F1179" s="19">
        <v>3</v>
      </c>
      <c r="G1179" s="20" t="str">
        <f>IF(Sales[[#This Row],[Anggaran Murni]]-Sales[[#This Row],[Target s.d. Januari]]=0,"",Sales[[#This Row],[Anggaran Murni]]-Sales[[#This Row],[Target s.d. Januari]])</f>
        <v/>
      </c>
      <c r="H1179" s="19" t="s">
        <v>75</v>
      </c>
      <c r="I1179" s="20" t="s">
        <v>6</v>
      </c>
      <c r="J1179" s="20"/>
      <c r="K1179" s="19" t="s">
        <v>55</v>
      </c>
      <c r="L1179" s="19" t="s">
        <v>8</v>
      </c>
      <c r="M1179" s="21" t="s">
        <v>67</v>
      </c>
      <c r="N1179" s="20" t="s">
        <v>82</v>
      </c>
      <c r="O1179" s="19" t="s">
        <v>12</v>
      </c>
      <c r="P1179" s="10"/>
      <c r="Q1179" s="11"/>
    </row>
    <row r="1180" spans="2:17" ht="21" customHeight="1" x14ac:dyDescent="0.35">
      <c r="B1180" s="1">
        <v>43969</v>
      </c>
      <c r="C1180" s="1" t="str">
        <f>TEXT(Sales[[#This Row],[Kode Program/Kegiatan ]],"D")</f>
        <v>18</v>
      </c>
      <c r="D1180" s="2" t="str">
        <f>TEXT(Sales[[#This Row],[Kode Program/Kegiatan ]],"mmm")</f>
        <v>May</v>
      </c>
      <c r="E1180" s="3">
        <v>10</v>
      </c>
      <c r="F1180" s="2">
        <v>10</v>
      </c>
      <c r="G1180" s="3" t="str">
        <f>IF(Sales[[#This Row],[Anggaran Murni]]-Sales[[#This Row],[Target s.d. Januari]]=0,"",Sales[[#This Row],[Anggaran Murni]]-Sales[[#This Row],[Target s.d. Januari]])</f>
        <v/>
      </c>
      <c r="H1180" s="2" t="s">
        <v>74</v>
      </c>
      <c r="I1180" s="3" t="s">
        <v>77</v>
      </c>
      <c r="J1180" s="3"/>
      <c r="K1180" s="2" t="s">
        <v>27</v>
      </c>
      <c r="L1180" s="2" t="s">
        <v>5</v>
      </c>
      <c r="M1180" s="4" t="s">
        <v>67</v>
      </c>
      <c r="N1180" s="3" t="s">
        <v>81</v>
      </c>
      <c r="O1180" s="2" t="s">
        <v>13</v>
      </c>
      <c r="P1180" s="10"/>
      <c r="Q1180" s="11"/>
    </row>
    <row r="1181" spans="2:17" ht="21" customHeight="1" x14ac:dyDescent="0.35">
      <c r="B1181" s="18">
        <v>43969</v>
      </c>
      <c r="C1181" s="18" t="str">
        <f>TEXT(Sales[[#This Row],[Kode Program/Kegiatan ]],"D")</f>
        <v>18</v>
      </c>
      <c r="D1181" s="19" t="str">
        <f>TEXT(Sales[[#This Row],[Kode Program/Kegiatan ]],"mmm")</f>
        <v>May</v>
      </c>
      <c r="E1181" s="20">
        <v>10</v>
      </c>
      <c r="F1181" s="19">
        <v>10</v>
      </c>
      <c r="G1181" s="20" t="str">
        <f>IF(Sales[[#This Row],[Anggaran Murni]]-Sales[[#This Row],[Target s.d. Januari]]=0,"",Sales[[#This Row],[Anggaran Murni]]-Sales[[#This Row],[Target s.d. Januari]])</f>
        <v/>
      </c>
      <c r="H1181" s="19" t="s">
        <v>75</v>
      </c>
      <c r="I1181" s="20" t="s">
        <v>6</v>
      </c>
      <c r="J1181" s="20"/>
      <c r="K1181" s="19" t="s">
        <v>59</v>
      </c>
      <c r="L1181" s="19" t="s">
        <v>5</v>
      </c>
      <c r="M1181" s="21" t="s">
        <v>67</v>
      </c>
      <c r="N1181" s="20" t="s">
        <v>81</v>
      </c>
      <c r="O1181" s="19" t="s">
        <v>11</v>
      </c>
      <c r="P1181" s="10"/>
      <c r="Q1181" s="11"/>
    </row>
    <row r="1182" spans="2:17" ht="21" customHeight="1" x14ac:dyDescent="0.35">
      <c r="B1182" s="1">
        <v>43969</v>
      </c>
      <c r="C1182" s="1" t="str">
        <f>TEXT(Sales[[#This Row],[Kode Program/Kegiatan ]],"D")</f>
        <v>18</v>
      </c>
      <c r="D1182" s="2" t="str">
        <f>TEXT(Sales[[#This Row],[Kode Program/Kegiatan ]],"mmm")</f>
        <v>May</v>
      </c>
      <c r="E1182" s="3">
        <v>10</v>
      </c>
      <c r="F1182" s="2">
        <v>10</v>
      </c>
      <c r="G1182" s="3" t="str">
        <f>IF(Sales[[#This Row],[Anggaran Murni]]-Sales[[#This Row],[Target s.d. Januari]]=0,"",Sales[[#This Row],[Anggaran Murni]]-Sales[[#This Row],[Target s.d. Januari]])</f>
        <v/>
      </c>
      <c r="H1182" s="2" t="s">
        <v>75</v>
      </c>
      <c r="I1182" s="3" t="s">
        <v>6</v>
      </c>
      <c r="J1182" s="3"/>
      <c r="K1182" s="2" t="s">
        <v>22</v>
      </c>
      <c r="L1182" s="2" t="s">
        <v>2</v>
      </c>
      <c r="M1182" s="4" t="s">
        <v>67</v>
      </c>
      <c r="N1182" s="3" t="s">
        <v>81</v>
      </c>
      <c r="O1182" s="2" t="s">
        <v>12</v>
      </c>
      <c r="P1182" s="10"/>
      <c r="Q1182" s="11"/>
    </row>
    <row r="1183" spans="2:17" ht="21" customHeight="1" x14ac:dyDescent="0.35">
      <c r="B1183" s="18">
        <v>43969</v>
      </c>
      <c r="C1183" s="18" t="str">
        <f>TEXT(Sales[[#This Row],[Kode Program/Kegiatan ]],"D")</f>
        <v>18</v>
      </c>
      <c r="D1183" s="19" t="str">
        <f>TEXT(Sales[[#This Row],[Kode Program/Kegiatan ]],"mmm")</f>
        <v>May</v>
      </c>
      <c r="E1183" s="20">
        <v>9</v>
      </c>
      <c r="F1183" s="19">
        <v>9</v>
      </c>
      <c r="G1183" s="20" t="str">
        <f>IF(Sales[[#This Row],[Anggaran Murni]]-Sales[[#This Row],[Target s.d. Januari]]=0,"",Sales[[#This Row],[Anggaran Murni]]-Sales[[#This Row],[Target s.d. Januari]])</f>
        <v/>
      </c>
      <c r="H1183" s="19" t="s">
        <v>72</v>
      </c>
      <c r="I1183" s="20" t="s">
        <v>78</v>
      </c>
      <c r="J1183" s="20"/>
      <c r="K1183" s="19" t="s">
        <v>62</v>
      </c>
      <c r="L1183" s="19" t="s">
        <v>2</v>
      </c>
      <c r="M1183" s="21" t="s">
        <v>67</v>
      </c>
      <c r="N1183" s="20" t="s">
        <v>82</v>
      </c>
      <c r="O1183" s="19" t="s">
        <v>13</v>
      </c>
      <c r="P1183" s="10"/>
      <c r="Q1183" s="11"/>
    </row>
    <row r="1184" spans="2:17" ht="21" customHeight="1" x14ac:dyDescent="0.35">
      <c r="B1184" s="1">
        <v>43969</v>
      </c>
      <c r="C1184" s="1" t="str">
        <f>TEXT(Sales[[#This Row],[Kode Program/Kegiatan ]],"D")</f>
        <v>18</v>
      </c>
      <c r="D1184" s="2" t="str">
        <f>TEXT(Sales[[#This Row],[Kode Program/Kegiatan ]],"mmm")</f>
        <v>May</v>
      </c>
      <c r="E1184" s="3">
        <v>9</v>
      </c>
      <c r="F1184" s="2">
        <v>9</v>
      </c>
      <c r="G1184" s="3" t="str">
        <f>IF(Sales[[#This Row],[Anggaran Murni]]-Sales[[#This Row],[Target s.d. Januari]]=0,"",Sales[[#This Row],[Anggaran Murni]]-Sales[[#This Row],[Target s.d. Januari]])</f>
        <v/>
      </c>
      <c r="H1184" s="2" t="s">
        <v>71</v>
      </c>
      <c r="I1184" s="3" t="s">
        <v>6</v>
      </c>
      <c r="J1184" s="3"/>
      <c r="K1184" s="2" t="s">
        <v>26</v>
      </c>
      <c r="L1184" s="2" t="s">
        <v>5</v>
      </c>
      <c r="M1184" s="4" t="s">
        <v>67</v>
      </c>
      <c r="N1184" s="3" t="s">
        <v>80</v>
      </c>
      <c r="O1184" s="2" t="s">
        <v>11</v>
      </c>
      <c r="P1184" s="10"/>
      <c r="Q1184" s="11"/>
    </row>
    <row r="1185" spans="2:17" ht="21" customHeight="1" x14ac:dyDescent="0.35">
      <c r="B1185" s="18">
        <v>43969</v>
      </c>
      <c r="C1185" s="18" t="str">
        <f>TEXT(Sales[[#This Row],[Kode Program/Kegiatan ]],"D")</f>
        <v>18</v>
      </c>
      <c r="D1185" s="19" t="str">
        <f>TEXT(Sales[[#This Row],[Kode Program/Kegiatan ]],"mmm")</f>
        <v>May</v>
      </c>
      <c r="E1185" s="20">
        <v>7</v>
      </c>
      <c r="F1185" s="19">
        <v>7</v>
      </c>
      <c r="G1185" s="20" t="str">
        <f>IF(Sales[[#This Row],[Anggaran Murni]]-Sales[[#This Row],[Target s.d. Januari]]=0,"",Sales[[#This Row],[Anggaran Murni]]-Sales[[#This Row],[Target s.d. Januari]])</f>
        <v/>
      </c>
      <c r="H1185" s="19" t="s">
        <v>114</v>
      </c>
      <c r="I1185" s="20" t="s">
        <v>3</v>
      </c>
      <c r="J1185" s="20"/>
      <c r="K1185" s="19" t="s">
        <v>48</v>
      </c>
      <c r="L1185" s="19" t="s">
        <v>2</v>
      </c>
      <c r="M1185" s="21" t="s">
        <v>67</v>
      </c>
      <c r="N1185" s="20" t="s">
        <v>81</v>
      </c>
      <c r="O1185" s="19" t="s">
        <v>12</v>
      </c>
      <c r="P1185" s="10"/>
      <c r="Q1185" s="11"/>
    </row>
    <row r="1186" spans="2:17" ht="21" customHeight="1" x14ac:dyDescent="0.35">
      <c r="B1186" s="1">
        <v>43969</v>
      </c>
      <c r="C1186" s="1" t="str">
        <f>TEXT(Sales[[#This Row],[Kode Program/Kegiatan ]],"D")</f>
        <v>18</v>
      </c>
      <c r="D1186" s="2" t="str">
        <f>TEXT(Sales[[#This Row],[Kode Program/Kegiatan ]],"mmm")</f>
        <v>May</v>
      </c>
      <c r="E1186" s="3">
        <v>6</v>
      </c>
      <c r="F1186" s="2">
        <v>6</v>
      </c>
      <c r="G1186" s="3" t="str">
        <f>IF(Sales[[#This Row],[Anggaran Murni]]-Sales[[#This Row],[Target s.d. Januari]]=0,"",Sales[[#This Row],[Anggaran Murni]]-Sales[[#This Row],[Target s.d. Januari]])</f>
        <v/>
      </c>
      <c r="H1186" s="2" t="s">
        <v>71</v>
      </c>
      <c r="I1186" s="3" t="s">
        <v>6</v>
      </c>
      <c r="J1186" s="3"/>
      <c r="K1186" s="2" t="s">
        <v>39</v>
      </c>
      <c r="L1186" s="2" t="s">
        <v>4</v>
      </c>
      <c r="M1186" s="4" t="s">
        <v>67</v>
      </c>
      <c r="N1186" s="3" t="s">
        <v>81</v>
      </c>
      <c r="O1186" s="2" t="s">
        <v>13</v>
      </c>
      <c r="P1186" s="10"/>
      <c r="Q1186" s="11"/>
    </row>
    <row r="1187" spans="2:17" ht="21" customHeight="1" x14ac:dyDescent="0.35">
      <c r="B1187" s="18">
        <v>43969</v>
      </c>
      <c r="C1187" s="18" t="str">
        <f>TEXT(Sales[[#This Row],[Kode Program/Kegiatan ]],"D")</f>
        <v>18</v>
      </c>
      <c r="D1187" s="19" t="str">
        <f>TEXT(Sales[[#This Row],[Kode Program/Kegiatan ]],"mmm")</f>
        <v>May</v>
      </c>
      <c r="E1187" s="20">
        <v>5</v>
      </c>
      <c r="F1187" s="19">
        <v>5</v>
      </c>
      <c r="G1187" s="20" t="str">
        <f>IF(Sales[[#This Row],[Anggaran Murni]]-Sales[[#This Row],[Target s.d. Januari]]=0,"",Sales[[#This Row],[Anggaran Murni]]-Sales[[#This Row],[Target s.d. Januari]])</f>
        <v/>
      </c>
      <c r="H1187" s="19" t="s">
        <v>73</v>
      </c>
      <c r="I1187" s="20" t="s">
        <v>78</v>
      </c>
      <c r="J1187" s="20"/>
      <c r="K1187" s="19" t="s">
        <v>40</v>
      </c>
      <c r="L1187" s="19" t="s">
        <v>5</v>
      </c>
      <c r="M1187" s="21" t="s">
        <v>67</v>
      </c>
      <c r="N1187" s="20" t="s">
        <v>82</v>
      </c>
      <c r="O1187" s="19" t="s">
        <v>14</v>
      </c>
      <c r="P1187" s="10"/>
      <c r="Q1187" s="11"/>
    </row>
    <row r="1188" spans="2:17" ht="21" customHeight="1" x14ac:dyDescent="0.35">
      <c r="B1188" s="1">
        <v>43969</v>
      </c>
      <c r="C1188" s="1" t="str">
        <f>TEXT(Sales[[#This Row],[Kode Program/Kegiatan ]],"D")</f>
        <v>18</v>
      </c>
      <c r="D1188" s="2" t="str">
        <f>TEXT(Sales[[#This Row],[Kode Program/Kegiatan ]],"mmm")</f>
        <v>May</v>
      </c>
      <c r="E1188" s="3">
        <v>4</v>
      </c>
      <c r="F1188" s="2">
        <v>4</v>
      </c>
      <c r="G1188" s="3" t="str">
        <f>IF(Sales[[#This Row],[Anggaran Murni]]-Sales[[#This Row],[Target s.d. Januari]]=0,"",Sales[[#This Row],[Anggaran Murni]]-Sales[[#This Row],[Target s.d. Januari]])</f>
        <v/>
      </c>
      <c r="H1188" s="2" t="s">
        <v>76</v>
      </c>
      <c r="I1188" s="3" t="s">
        <v>79</v>
      </c>
      <c r="J1188" s="3"/>
      <c r="K1188" s="2" t="s">
        <v>42</v>
      </c>
      <c r="L1188" s="2" t="s">
        <v>2</v>
      </c>
      <c r="M1188" s="4" t="s">
        <v>67</v>
      </c>
      <c r="N1188" s="3" t="s">
        <v>82</v>
      </c>
      <c r="O1188" s="2" t="s">
        <v>13</v>
      </c>
      <c r="P1188" s="10"/>
      <c r="Q1188" s="11"/>
    </row>
    <row r="1189" spans="2:17" ht="21" customHeight="1" x14ac:dyDescent="0.35">
      <c r="B1189" s="18">
        <v>43969</v>
      </c>
      <c r="C1189" s="18" t="str">
        <f>TEXT(Sales[[#This Row],[Kode Program/Kegiatan ]],"D")</f>
        <v>18</v>
      </c>
      <c r="D1189" s="19" t="str">
        <f>TEXT(Sales[[#This Row],[Kode Program/Kegiatan ]],"mmm")</f>
        <v>May</v>
      </c>
      <c r="E1189" s="20">
        <v>4</v>
      </c>
      <c r="F1189" s="19">
        <v>4</v>
      </c>
      <c r="G1189" s="20" t="str">
        <f>IF(Sales[[#This Row],[Anggaran Murni]]-Sales[[#This Row],[Target s.d. Januari]]=0,"",Sales[[#This Row],[Anggaran Murni]]-Sales[[#This Row],[Target s.d. Januari]])</f>
        <v/>
      </c>
      <c r="H1189" s="19" t="s">
        <v>70</v>
      </c>
      <c r="I1189" s="20" t="s">
        <v>1</v>
      </c>
      <c r="J1189" s="20"/>
      <c r="K1189" s="19" t="s">
        <v>40</v>
      </c>
      <c r="L1189" s="19" t="s">
        <v>8</v>
      </c>
      <c r="M1189" s="21" t="s">
        <v>67</v>
      </c>
      <c r="N1189" s="20" t="s">
        <v>81</v>
      </c>
      <c r="O1189" s="19" t="s">
        <v>11</v>
      </c>
      <c r="P1189" s="10"/>
      <c r="Q1189" s="11"/>
    </row>
    <row r="1190" spans="2:17" ht="21" customHeight="1" x14ac:dyDescent="0.35">
      <c r="B1190" s="1">
        <v>43969</v>
      </c>
      <c r="C1190" s="1" t="str">
        <f>TEXT(Sales[[#This Row],[Kode Program/Kegiatan ]],"D")</f>
        <v>18</v>
      </c>
      <c r="D1190" s="2" t="str">
        <f>TEXT(Sales[[#This Row],[Kode Program/Kegiatan ]],"mmm")</f>
        <v>May</v>
      </c>
      <c r="E1190" s="3">
        <v>4</v>
      </c>
      <c r="F1190" s="2">
        <v>4</v>
      </c>
      <c r="G1190" s="3" t="str">
        <f>IF(Sales[[#This Row],[Anggaran Murni]]-Sales[[#This Row],[Target s.d. Januari]]=0,"",Sales[[#This Row],[Anggaran Murni]]-Sales[[#This Row],[Target s.d. Januari]])</f>
        <v/>
      </c>
      <c r="H1190" s="2" t="s">
        <v>71</v>
      </c>
      <c r="I1190" s="3" t="s">
        <v>6</v>
      </c>
      <c r="J1190" s="3"/>
      <c r="K1190" s="2" t="s">
        <v>36</v>
      </c>
      <c r="L1190" s="2" t="s">
        <v>2</v>
      </c>
      <c r="M1190" s="4" t="s">
        <v>67</v>
      </c>
      <c r="N1190" s="3" t="s">
        <v>81</v>
      </c>
      <c r="O1190" s="2" t="s">
        <v>14</v>
      </c>
      <c r="P1190" s="10"/>
      <c r="Q1190" s="11"/>
    </row>
    <row r="1191" spans="2:17" ht="21" customHeight="1" x14ac:dyDescent="0.35">
      <c r="B1191" s="18">
        <v>43969</v>
      </c>
      <c r="C1191" s="18" t="str">
        <f>TEXT(Sales[[#This Row],[Kode Program/Kegiatan ]],"D")</f>
        <v>18</v>
      </c>
      <c r="D1191" s="19" t="str">
        <f>TEXT(Sales[[#This Row],[Kode Program/Kegiatan ]],"mmm")</f>
        <v>May</v>
      </c>
      <c r="E1191" s="20">
        <v>3</v>
      </c>
      <c r="F1191" s="19">
        <v>3</v>
      </c>
      <c r="G1191" s="20" t="str">
        <f>IF(Sales[[#This Row],[Anggaran Murni]]-Sales[[#This Row],[Target s.d. Januari]]=0,"",Sales[[#This Row],[Anggaran Murni]]-Sales[[#This Row],[Target s.d. Januari]])</f>
        <v/>
      </c>
      <c r="H1191" s="19" t="s">
        <v>114</v>
      </c>
      <c r="I1191" s="20" t="s">
        <v>3</v>
      </c>
      <c r="J1191" s="20"/>
      <c r="K1191" s="19" t="s">
        <v>47</v>
      </c>
      <c r="L1191" s="19" t="s">
        <v>8</v>
      </c>
      <c r="M1191" s="21" t="s">
        <v>67</v>
      </c>
      <c r="N1191" s="20" t="s">
        <v>82</v>
      </c>
      <c r="O1191" s="19" t="s">
        <v>14</v>
      </c>
      <c r="P1191" s="10"/>
      <c r="Q1191" s="11"/>
    </row>
    <row r="1192" spans="2:17" ht="21" customHeight="1" x14ac:dyDescent="0.35">
      <c r="B1192" s="1">
        <v>43970</v>
      </c>
      <c r="C1192" s="1" t="str">
        <f>TEXT(Sales[[#This Row],[Kode Program/Kegiatan ]],"D")</f>
        <v>19</v>
      </c>
      <c r="D1192" s="2" t="str">
        <f>TEXT(Sales[[#This Row],[Kode Program/Kegiatan ]],"mmm")</f>
        <v>May</v>
      </c>
      <c r="E1192" s="3">
        <v>8</v>
      </c>
      <c r="F1192" s="2">
        <v>8</v>
      </c>
      <c r="G1192" s="3" t="str">
        <f>IF(Sales[[#This Row],[Anggaran Murni]]-Sales[[#This Row],[Target s.d. Januari]]=0,"",Sales[[#This Row],[Anggaran Murni]]-Sales[[#This Row],[Target s.d. Januari]])</f>
        <v/>
      </c>
      <c r="H1192" s="2" t="s">
        <v>114</v>
      </c>
      <c r="I1192" s="3" t="s">
        <v>3</v>
      </c>
      <c r="J1192" s="3"/>
      <c r="K1192" s="2" t="s">
        <v>28</v>
      </c>
      <c r="L1192" s="2" t="s">
        <v>2</v>
      </c>
      <c r="M1192" s="4" t="s">
        <v>67</v>
      </c>
      <c r="N1192" s="3" t="s">
        <v>82</v>
      </c>
      <c r="O1192" s="2" t="s">
        <v>11</v>
      </c>
      <c r="P1192" s="10"/>
      <c r="Q1192" s="11"/>
    </row>
    <row r="1193" spans="2:17" ht="21" customHeight="1" x14ac:dyDescent="0.35">
      <c r="B1193" s="18">
        <v>43970</v>
      </c>
      <c r="C1193" s="18" t="str">
        <f>TEXT(Sales[[#This Row],[Kode Program/Kegiatan ]],"D")</f>
        <v>19</v>
      </c>
      <c r="D1193" s="19" t="str">
        <f>TEXT(Sales[[#This Row],[Kode Program/Kegiatan ]],"mmm")</f>
        <v>May</v>
      </c>
      <c r="E1193" s="20">
        <v>4</v>
      </c>
      <c r="F1193" s="19">
        <v>4</v>
      </c>
      <c r="G1193" s="20" t="str">
        <f>IF(Sales[[#This Row],[Anggaran Murni]]-Sales[[#This Row],[Target s.d. Januari]]=0,"",Sales[[#This Row],[Anggaran Murni]]-Sales[[#This Row],[Target s.d. Januari]])</f>
        <v/>
      </c>
      <c r="H1193" s="19" t="s">
        <v>113</v>
      </c>
      <c r="I1193" s="20" t="s">
        <v>77</v>
      </c>
      <c r="J1193" s="20"/>
      <c r="K1193" s="19" t="s">
        <v>23</v>
      </c>
      <c r="L1193" s="19" t="s">
        <v>5</v>
      </c>
      <c r="M1193" s="21" t="s">
        <v>67</v>
      </c>
      <c r="N1193" s="20" t="s">
        <v>80</v>
      </c>
      <c r="O1193" s="19" t="s">
        <v>11</v>
      </c>
      <c r="P1193" s="10"/>
      <c r="Q1193" s="11"/>
    </row>
    <row r="1194" spans="2:17" ht="21" customHeight="1" x14ac:dyDescent="0.35">
      <c r="B1194" s="1">
        <v>43970</v>
      </c>
      <c r="C1194" s="1" t="str">
        <f>TEXT(Sales[[#This Row],[Kode Program/Kegiatan ]],"D")</f>
        <v>19</v>
      </c>
      <c r="D1194" s="2" t="str">
        <f>TEXT(Sales[[#This Row],[Kode Program/Kegiatan ]],"mmm")</f>
        <v>May</v>
      </c>
      <c r="E1194" s="3">
        <v>4</v>
      </c>
      <c r="F1194" s="2">
        <v>4</v>
      </c>
      <c r="G1194" s="3" t="str">
        <f>IF(Sales[[#This Row],[Anggaran Murni]]-Sales[[#This Row],[Target s.d. Januari]]=0,"",Sales[[#This Row],[Anggaran Murni]]-Sales[[#This Row],[Target s.d. Januari]])</f>
        <v/>
      </c>
      <c r="H1194" s="2" t="s">
        <v>72</v>
      </c>
      <c r="I1194" s="3" t="s">
        <v>78</v>
      </c>
      <c r="J1194" s="3"/>
      <c r="K1194" s="2" t="s">
        <v>46</v>
      </c>
      <c r="L1194" s="2" t="s">
        <v>7</v>
      </c>
      <c r="M1194" s="4" t="s">
        <v>67</v>
      </c>
      <c r="N1194" s="3" t="s">
        <v>80</v>
      </c>
      <c r="O1194" s="2" t="s">
        <v>14</v>
      </c>
      <c r="P1194" s="10"/>
      <c r="Q1194" s="11"/>
    </row>
    <row r="1195" spans="2:17" ht="21" customHeight="1" x14ac:dyDescent="0.35">
      <c r="B1195" s="18">
        <v>43970</v>
      </c>
      <c r="C1195" s="18" t="str">
        <f>TEXT(Sales[[#This Row],[Kode Program/Kegiatan ]],"D")</f>
        <v>19</v>
      </c>
      <c r="D1195" s="19" t="str">
        <f>TEXT(Sales[[#This Row],[Kode Program/Kegiatan ]],"mmm")</f>
        <v>May</v>
      </c>
      <c r="E1195" s="20">
        <v>3</v>
      </c>
      <c r="F1195" s="19">
        <v>3</v>
      </c>
      <c r="G1195" s="20" t="str">
        <f>IF(Sales[[#This Row],[Anggaran Murni]]-Sales[[#This Row],[Target s.d. Januari]]=0,"",Sales[[#This Row],[Anggaran Murni]]-Sales[[#This Row],[Target s.d. Januari]])</f>
        <v/>
      </c>
      <c r="H1195" s="19" t="s">
        <v>75</v>
      </c>
      <c r="I1195" s="20" t="s">
        <v>6</v>
      </c>
      <c r="J1195" s="20"/>
      <c r="K1195" s="19" t="s">
        <v>38</v>
      </c>
      <c r="L1195" s="19" t="s">
        <v>5</v>
      </c>
      <c r="M1195" s="21" t="s">
        <v>67</v>
      </c>
      <c r="N1195" s="20" t="s">
        <v>81</v>
      </c>
      <c r="O1195" s="19" t="s">
        <v>14</v>
      </c>
      <c r="P1195" s="10"/>
      <c r="Q1195" s="11"/>
    </row>
    <row r="1196" spans="2:17" ht="21" customHeight="1" x14ac:dyDescent="0.35">
      <c r="B1196" s="1">
        <v>43971</v>
      </c>
      <c r="C1196" s="1" t="str">
        <f>TEXT(Sales[[#This Row],[Kode Program/Kegiatan ]],"D")</f>
        <v>20</v>
      </c>
      <c r="D1196" s="2" t="str">
        <f>TEXT(Sales[[#This Row],[Kode Program/Kegiatan ]],"mmm")</f>
        <v>May</v>
      </c>
      <c r="E1196" s="3">
        <v>8</v>
      </c>
      <c r="F1196" s="2">
        <v>8</v>
      </c>
      <c r="G1196" s="3" t="str">
        <f>IF(Sales[[#This Row],[Anggaran Murni]]-Sales[[#This Row],[Target s.d. Januari]]=0,"",Sales[[#This Row],[Anggaran Murni]]-Sales[[#This Row],[Target s.d. Januari]])</f>
        <v/>
      </c>
      <c r="H1196" s="2" t="s">
        <v>75</v>
      </c>
      <c r="I1196" s="3" t="s">
        <v>6</v>
      </c>
      <c r="J1196" s="3"/>
      <c r="K1196" s="2" t="s">
        <v>42</v>
      </c>
      <c r="L1196" s="2" t="s">
        <v>5</v>
      </c>
      <c r="M1196" s="4" t="s">
        <v>67</v>
      </c>
      <c r="N1196" s="3" t="s">
        <v>80</v>
      </c>
      <c r="O1196" s="2" t="s">
        <v>14</v>
      </c>
      <c r="P1196" s="10"/>
      <c r="Q1196" s="11"/>
    </row>
    <row r="1197" spans="2:17" ht="21" customHeight="1" x14ac:dyDescent="0.35">
      <c r="B1197" s="18">
        <v>43971</v>
      </c>
      <c r="C1197" s="18" t="str">
        <f>TEXT(Sales[[#This Row],[Kode Program/Kegiatan ]],"D")</f>
        <v>20</v>
      </c>
      <c r="D1197" s="19" t="str">
        <f>TEXT(Sales[[#This Row],[Kode Program/Kegiatan ]],"mmm")</f>
        <v>May</v>
      </c>
      <c r="E1197" s="20">
        <v>7</v>
      </c>
      <c r="F1197" s="19">
        <v>7</v>
      </c>
      <c r="G1197" s="20" t="str">
        <f>IF(Sales[[#This Row],[Anggaran Murni]]-Sales[[#This Row],[Target s.d. Januari]]=0,"",Sales[[#This Row],[Anggaran Murni]]-Sales[[#This Row],[Target s.d. Januari]])</f>
        <v/>
      </c>
      <c r="H1197" s="19" t="s">
        <v>113</v>
      </c>
      <c r="I1197" s="20" t="s">
        <v>77</v>
      </c>
      <c r="J1197" s="20"/>
      <c r="K1197" s="19" t="s">
        <v>63</v>
      </c>
      <c r="L1197" s="19" t="s">
        <v>2</v>
      </c>
      <c r="M1197" s="21" t="s">
        <v>67</v>
      </c>
      <c r="N1197" s="20" t="s">
        <v>82</v>
      </c>
      <c r="O1197" s="19" t="s">
        <v>12</v>
      </c>
      <c r="P1197" s="10"/>
      <c r="Q1197" s="11"/>
    </row>
    <row r="1198" spans="2:17" ht="21" customHeight="1" x14ac:dyDescent="0.35">
      <c r="B1198" s="1">
        <v>43971</v>
      </c>
      <c r="C1198" s="1" t="str">
        <f>TEXT(Sales[[#This Row],[Kode Program/Kegiatan ]],"D")</f>
        <v>20</v>
      </c>
      <c r="D1198" s="2" t="str">
        <f>TEXT(Sales[[#This Row],[Kode Program/Kegiatan ]],"mmm")</f>
        <v>May</v>
      </c>
      <c r="E1198" s="3">
        <v>5</v>
      </c>
      <c r="F1198" s="2">
        <v>5</v>
      </c>
      <c r="G1198" s="3" t="str">
        <f>IF(Sales[[#This Row],[Anggaran Murni]]-Sales[[#This Row],[Target s.d. Januari]]=0,"",Sales[[#This Row],[Anggaran Murni]]-Sales[[#This Row],[Target s.d. Januari]])</f>
        <v/>
      </c>
      <c r="H1198" s="2" t="s">
        <v>113</v>
      </c>
      <c r="I1198" s="3" t="s">
        <v>77</v>
      </c>
      <c r="J1198" s="3"/>
      <c r="K1198" s="2" t="s">
        <v>64</v>
      </c>
      <c r="L1198" s="2" t="s">
        <v>7</v>
      </c>
      <c r="M1198" s="4" t="s">
        <v>67</v>
      </c>
      <c r="N1198" s="3" t="s">
        <v>82</v>
      </c>
      <c r="O1198" s="2" t="s">
        <v>14</v>
      </c>
      <c r="P1198" s="10"/>
      <c r="Q1198" s="11"/>
    </row>
    <row r="1199" spans="2:17" ht="21" customHeight="1" x14ac:dyDescent="0.35">
      <c r="B1199" s="18">
        <v>43971</v>
      </c>
      <c r="C1199" s="18" t="str">
        <f>TEXT(Sales[[#This Row],[Kode Program/Kegiatan ]],"D")</f>
        <v>20</v>
      </c>
      <c r="D1199" s="19" t="str">
        <f>TEXT(Sales[[#This Row],[Kode Program/Kegiatan ]],"mmm")</f>
        <v>May</v>
      </c>
      <c r="E1199" s="20">
        <v>5</v>
      </c>
      <c r="F1199" s="19">
        <v>5</v>
      </c>
      <c r="G1199" s="20" t="str">
        <f>IF(Sales[[#This Row],[Anggaran Murni]]-Sales[[#This Row],[Target s.d. Januari]]=0,"",Sales[[#This Row],[Anggaran Murni]]-Sales[[#This Row],[Target s.d. Januari]])</f>
        <v/>
      </c>
      <c r="H1199" s="19" t="s">
        <v>70</v>
      </c>
      <c r="I1199" s="20" t="s">
        <v>1</v>
      </c>
      <c r="J1199" s="20"/>
      <c r="K1199" s="19" t="s">
        <v>50</v>
      </c>
      <c r="L1199" s="19" t="s">
        <v>2</v>
      </c>
      <c r="M1199" s="21" t="s">
        <v>67</v>
      </c>
      <c r="N1199" s="20" t="s">
        <v>80</v>
      </c>
      <c r="O1199" s="19" t="s">
        <v>13</v>
      </c>
      <c r="P1199" s="10"/>
      <c r="Q1199" s="11"/>
    </row>
    <row r="1200" spans="2:17" ht="21" customHeight="1" x14ac:dyDescent="0.35">
      <c r="B1200" s="1">
        <v>43971</v>
      </c>
      <c r="C1200" s="1" t="str">
        <f>TEXT(Sales[[#This Row],[Kode Program/Kegiatan ]],"D")</f>
        <v>20</v>
      </c>
      <c r="D1200" s="2" t="str">
        <f>TEXT(Sales[[#This Row],[Kode Program/Kegiatan ]],"mmm")</f>
        <v>May</v>
      </c>
      <c r="E1200" s="3">
        <v>4</v>
      </c>
      <c r="F1200" s="2">
        <v>4</v>
      </c>
      <c r="G1200" s="3" t="str">
        <f>IF(Sales[[#This Row],[Anggaran Murni]]-Sales[[#This Row],[Target s.d. Januari]]=0,"",Sales[[#This Row],[Anggaran Murni]]-Sales[[#This Row],[Target s.d. Januari]])</f>
        <v/>
      </c>
      <c r="H1200" s="2" t="s">
        <v>75</v>
      </c>
      <c r="I1200" s="3" t="s">
        <v>6</v>
      </c>
      <c r="J1200" s="3"/>
      <c r="K1200" s="2" t="s">
        <v>54</v>
      </c>
      <c r="L1200" s="2" t="s">
        <v>7</v>
      </c>
      <c r="M1200" s="4" t="s">
        <v>67</v>
      </c>
      <c r="N1200" s="3" t="s">
        <v>82</v>
      </c>
      <c r="O1200" s="2" t="s">
        <v>12</v>
      </c>
      <c r="P1200" s="10"/>
      <c r="Q1200" s="11"/>
    </row>
    <row r="1201" spans="2:17" ht="21" customHeight="1" x14ac:dyDescent="0.35">
      <c r="B1201" s="18">
        <v>43971</v>
      </c>
      <c r="C1201" s="18" t="str">
        <f>TEXT(Sales[[#This Row],[Kode Program/Kegiatan ]],"D")</f>
        <v>20</v>
      </c>
      <c r="D1201" s="19" t="str">
        <f>TEXT(Sales[[#This Row],[Kode Program/Kegiatan ]],"mmm")</f>
        <v>May</v>
      </c>
      <c r="E1201" s="20">
        <v>4</v>
      </c>
      <c r="F1201" s="19">
        <v>4</v>
      </c>
      <c r="G1201" s="20" t="str">
        <f>IF(Sales[[#This Row],[Anggaran Murni]]-Sales[[#This Row],[Target s.d. Januari]]=0,"",Sales[[#This Row],[Anggaran Murni]]-Sales[[#This Row],[Target s.d. Januari]])</f>
        <v/>
      </c>
      <c r="H1201" s="19" t="s">
        <v>75</v>
      </c>
      <c r="I1201" s="20" t="s">
        <v>6</v>
      </c>
      <c r="J1201" s="20"/>
      <c r="K1201" s="19" t="s">
        <v>25</v>
      </c>
      <c r="L1201" s="19" t="s">
        <v>8</v>
      </c>
      <c r="M1201" s="21" t="s">
        <v>67</v>
      </c>
      <c r="N1201" s="20" t="s">
        <v>81</v>
      </c>
      <c r="O1201" s="19" t="s">
        <v>14</v>
      </c>
      <c r="P1201" s="10"/>
      <c r="Q1201" s="11"/>
    </row>
    <row r="1202" spans="2:17" ht="21" customHeight="1" x14ac:dyDescent="0.35">
      <c r="B1202" s="1">
        <v>43972</v>
      </c>
      <c r="C1202" s="1" t="str">
        <f>TEXT(Sales[[#This Row],[Kode Program/Kegiatan ]],"D")</f>
        <v>21</v>
      </c>
      <c r="D1202" s="2" t="str">
        <f>TEXT(Sales[[#This Row],[Kode Program/Kegiatan ]],"mmm")</f>
        <v>May</v>
      </c>
      <c r="E1202" s="3">
        <v>10</v>
      </c>
      <c r="F1202" s="2">
        <v>10</v>
      </c>
      <c r="G1202" s="3" t="str">
        <f>IF(Sales[[#This Row],[Anggaran Murni]]-Sales[[#This Row],[Target s.d. Januari]]=0,"",Sales[[#This Row],[Anggaran Murni]]-Sales[[#This Row],[Target s.d. Januari]])</f>
        <v/>
      </c>
      <c r="H1202" s="2" t="s">
        <v>72</v>
      </c>
      <c r="I1202" s="3" t="s">
        <v>78</v>
      </c>
      <c r="J1202" s="3"/>
      <c r="K1202" s="2" t="s">
        <v>39</v>
      </c>
      <c r="L1202" s="2" t="s">
        <v>4</v>
      </c>
      <c r="M1202" s="4" t="s">
        <v>67</v>
      </c>
      <c r="N1202" s="3" t="s">
        <v>81</v>
      </c>
      <c r="O1202" s="2" t="s">
        <v>12</v>
      </c>
      <c r="P1202" s="10"/>
      <c r="Q1202" s="11"/>
    </row>
    <row r="1203" spans="2:17" ht="21" customHeight="1" x14ac:dyDescent="0.35">
      <c r="B1203" s="18">
        <v>43972</v>
      </c>
      <c r="C1203" s="18" t="str">
        <f>TEXT(Sales[[#This Row],[Kode Program/Kegiatan ]],"D")</f>
        <v>21</v>
      </c>
      <c r="D1203" s="19" t="str">
        <f>TEXT(Sales[[#This Row],[Kode Program/Kegiatan ]],"mmm")</f>
        <v>May</v>
      </c>
      <c r="E1203" s="20">
        <v>10</v>
      </c>
      <c r="F1203" s="19">
        <v>10</v>
      </c>
      <c r="G1203" s="20" t="str">
        <f>IF(Sales[[#This Row],[Anggaran Murni]]-Sales[[#This Row],[Target s.d. Januari]]=0,"",Sales[[#This Row],[Anggaran Murni]]-Sales[[#This Row],[Target s.d. Januari]])</f>
        <v/>
      </c>
      <c r="H1203" s="19" t="s">
        <v>71</v>
      </c>
      <c r="I1203" s="20" t="s">
        <v>6</v>
      </c>
      <c r="J1203" s="20"/>
      <c r="K1203" s="19" t="s">
        <v>31</v>
      </c>
      <c r="L1203" s="19" t="s">
        <v>2</v>
      </c>
      <c r="M1203" s="21" t="s">
        <v>67</v>
      </c>
      <c r="N1203" s="20" t="s">
        <v>80</v>
      </c>
      <c r="O1203" s="19" t="s">
        <v>14</v>
      </c>
      <c r="P1203" s="10"/>
      <c r="Q1203" s="11"/>
    </row>
    <row r="1204" spans="2:17" ht="21" customHeight="1" x14ac:dyDescent="0.35">
      <c r="B1204" s="1">
        <v>43972</v>
      </c>
      <c r="C1204" s="1" t="str">
        <f>TEXT(Sales[[#This Row],[Kode Program/Kegiatan ]],"D")</f>
        <v>21</v>
      </c>
      <c r="D1204" s="2" t="str">
        <f>TEXT(Sales[[#This Row],[Kode Program/Kegiatan ]],"mmm")</f>
        <v>May</v>
      </c>
      <c r="E1204" s="3">
        <v>10</v>
      </c>
      <c r="F1204" s="2">
        <v>10</v>
      </c>
      <c r="G1204" s="3" t="str">
        <f>IF(Sales[[#This Row],[Anggaran Murni]]-Sales[[#This Row],[Target s.d. Januari]]=0,"",Sales[[#This Row],[Anggaran Murni]]-Sales[[#This Row],[Target s.d. Januari]])</f>
        <v/>
      </c>
      <c r="H1204" s="2" t="s">
        <v>73</v>
      </c>
      <c r="I1204" s="3" t="s">
        <v>78</v>
      </c>
      <c r="J1204" s="3"/>
      <c r="K1204" s="2" t="s">
        <v>25</v>
      </c>
      <c r="L1204" s="2" t="s">
        <v>5</v>
      </c>
      <c r="M1204" s="4" t="s">
        <v>67</v>
      </c>
      <c r="N1204" s="3" t="s">
        <v>81</v>
      </c>
      <c r="O1204" s="2" t="s">
        <v>11</v>
      </c>
      <c r="P1204" s="10"/>
      <c r="Q1204" s="11"/>
    </row>
    <row r="1205" spans="2:17" ht="21" customHeight="1" x14ac:dyDescent="0.35">
      <c r="B1205" s="18">
        <v>43972</v>
      </c>
      <c r="C1205" s="18" t="str">
        <f>TEXT(Sales[[#This Row],[Kode Program/Kegiatan ]],"D")</f>
        <v>21</v>
      </c>
      <c r="D1205" s="19" t="str">
        <f>TEXT(Sales[[#This Row],[Kode Program/Kegiatan ]],"mmm")</f>
        <v>May</v>
      </c>
      <c r="E1205" s="20">
        <v>10</v>
      </c>
      <c r="F1205" s="19">
        <v>10</v>
      </c>
      <c r="G1205" s="20" t="str">
        <f>IF(Sales[[#This Row],[Anggaran Murni]]-Sales[[#This Row],[Target s.d. Januari]]=0,"",Sales[[#This Row],[Anggaran Murni]]-Sales[[#This Row],[Target s.d. Januari]])</f>
        <v/>
      </c>
      <c r="H1205" s="19" t="s">
        <v>75</v>
      </c>
      <c r="I1205" s="20" t="s">
        <v>6</v>
      </c>
      <c r="J1205" s="20"/>
      <c r="K1205" s="19" t="s">
        <v>53</v>
      </c>
      <c r="L1205" s="19" t="s">
        <v>5</v>
      </c>
      <c r="M1205" s="21" t="s">
        <v>67</v>
      </c>
      <c r="N1205" s="20" t="s">
        <v>81</v>
      </c>
      <c r="O1205" s="19" t="s">
        <v>12</v>
      </c>
      <c r="P1205" s="10"/>
      <c r="Q1205" s="11"/>
    </row>
    <row r="1206" spans="2:17" ht="21" customHeight="1" x14ac:dyDescent="0.35">
      <c r="B1206" s="1">
        <v>43972</v>
      </c>
      <c r="C1206" s="1" t="str">
        <f>TEXT(Sales[[#This Row],[Kode Program/Kegiatan ]],"D")</f>
        <v>21</v>
      </c>
      <c r="D1206" s="2" t="str">
        <f>TEXT(Sales[[#This Row],[Kode Program/Kegiatan ]],"mmm")</f>
        <v>May</v>
      </c>
      <c r="E1206" s="3">
        <v>9</v>
      </c>
      <c r="F1206" s="2">
        <v>9</v>
      </c>
      <c r="G1206" s="3" t="str">
        <f>IF(Sales[[#This Row],[Anggaran Murni]]-Sales[[#This Row],[Target s.d. Januari]]=0,"",Sales[[#This Row],[Anggaran Murni]]-Sales[[#This Row],[Target s.d. Januari]])</f>
        <v/>
      </c>
      <c r="H1206" s="2" t="s">
        <v>75</v>
      </c>
      <c r="I1206" s="3" t="s">
        <v>6</v>
      </c>
      <c r="J1206" s="3"/>
      <c r="K1206" s="2" t="s">
        <v>20</v>
      </c>
      <c r="L1206" s="2" t="s">
        <v>2</v>
      </c>
      <c r="M1206" s="4" t="s">
        <v>67</v>
      </c>
      <c r="N1206" s="3" t="s">
        <v>80</v>
      </c>
      <c r="O1206" s="2" t="s">
        <v>11</v>
      </c>
      <c r="P1206" s="10"/>
      <c r="Q1206" s="11"/>
    </row>
    <row r="1207" spans="2:17" ht="21" customHeight="1" x14ac:dyDescent="0.35">
      <c r="B1207" s="18">
        <v>43972</v>
      </c>
      <c r="C1207" s="18" t="str">
        <f>TEXT(Sales[[#This Row],[Kode Program/Kegiatan ]],"D")</f>
        <v>21</v>
      </c>
      <c r="D1207" s="19" t="str">
        <f>TEXT(Sales[[#This Row],[Kode Program/Kegiatan ]],"mmm")</f>
        <v>May</v>
      </c>
      <c r="E1207" s="20">
        <v>8</v>
      </c>
      <c r="F1207" s="19">
        <v>8</v>
      </c>
      <c r="G1207" s="20" t="str">
        <f>IF(Sales[[#This Row],[Anggaran Murni]]-Sales[[#This Row],[Target s.d. Januari]]=0,"",Sales[[#This Row],[Anggaran Murni]]-Sales[[#This Row],[Target s.d. Januari]])</f>
        <v/>
      </c>
      <c r="H1207" s="19" t="s">
        <v>71</v>
      </c>
      <c r="I1207" s="20" t="s">
        <v>6</v>
      </c>
      <c r="J1207" s="20"/>
      <c r="K1207" s="19" t="s">
        <v>59</v>
      </c>
      <c r="L1207" s="19" t="s">
        <v>9</v>
      </c>
      <c r="M1207" s="21" t="s">
        <v>67</v>
      </c>
      <c r="N1207" s="20" t="s">
        <v>81</v>
      </c>
      <c r="O1207" s="19" t="s">
        <v>12</v>
      </c>
      <c r="P1207" s="10"/>
      <c r="Q1207" s="11"/>
    </row>
    <row r="1208" spans="2:17" ht="21" customHeight="1" x14ac:dyDescent="0.35">
      <c r="B1208" s="1">
        <v>43972</v>
      </c>
      <c r="C1208" s="1" t="str">
        <f>TEXT(Sales[[#This Row],[Kode Program/Kegiatan ]],"D")</f>
        <v>21</v>
      </c>
      <c r="D1208" s="2" t="str">
        <f>TEXT(Sales[[#This Row],[Kode Program/Kegiatan ]],"mmm")</f>
        <v>May</v>
      </c>
      <c r="E1208" s="3">
        <v>5</v>
      </c>
      <c r="F1208" s="2">
        <v>5</v>
      </c>
      <c r="G1208" s="3" t="str">
        <f>IF(Sales[[#This Row],[Anggaran Murni]]-Sales[[#This Row],[Target s.d. Januari]]=0,"",Sales[[#This Row],[Anggaran Murni]]-Sales[[#This Row],[Target s.d. Januari]])</f>
        <v/>
      </c>
      <c r="H1208" s="2" t="s">
        <v>113</v>
      </c>
      <c r="I1208" s="3" t="s">
        <v>77</v>
      </c>
      <c r="J1208" s="3"/>
      <c r="K1208" s="2" t="s">
        <v>29</v>
      </c>
      <c r="L1208" s="2" t="s">
        <v>5</v>
      </c>
      <c r="M1208" s="4" t="s">
        <v>67</v>
      </c>
      <c r="N1208" s="3" t="s">
        <v>80</v>
      </c>
      <c r="O1208" s="2" t="s">
        <v>14</v>
      </c>
      <c r="P1208" s="10"/>
      <c r="Q1208" s="11"/>
    </row>
    <row r="1209" spans="2:17" ht="21" customHeight="1" x14ac:dyDescent="0.35">
      <c r="B1209" s="18">
        <v>43972</v>
      </c>
      <c r="C1209" s="18" t="str">
        <f>TEXT(Sales[[#This Row],[Kode Program/Kegiatan ]],"D")</f>
        <v>21</v>
      </c>
      <c r="D1209" s="19" t="str">
        <f>TEXT(Sales[[#This Row],[Kode Program/Kegiatan ]],"mmm")</f>
        <v>May</v>
      </c>
      <c r="E1209" s="20">
        <v>3</v>
      </c>
      <c r="F1209" s="19">
        <v>3</v>
      </c>
      <c r="G1209" s="20" t="str">
        <f>IF(Sales[[#This Row],[Anggaran Murni]]-Sales[[#This Row],[Target s.d. Januari]]=0,"",Sales[[#This Row],[Anggaran Murni]]-Sales[[#This Row],[Target s.d. Januari]])</f>
        <v/>
      </c>
      <c r="H1209" s="19" t="s">
        <v>73</v>
      </c>
      <c r="I1209" s="20" t="s">
        <v>78</v>
      </c>
      <c r="J1209" s="20"/>
      <c r="K1209" s="19" t="s">
        <v>26</v>
      </c>
      <c r="L1209" s="19" t="s">
        <v>7</v>
      </c>
      <c r="M1209" s="21" t="s">
        <v>67</v>
      </c>
      <c r="N1209" s="20" t="s">
        <v>82</v>
      </c>
      <c r="O1209" s="19" t="s">
        <v>14</v>
      </c>
      <c r="P1209" s="10"/>
      <c r="Q1209" s="11"/>
    </row>
    <row r="1210" spans="2:17" ht="21" customHeight="1" x14ac:dyDescent="0.35">
      <c r="B1210" s="1">
        <v>43973</v>
      </c>
      <c r="C1210" s="1" t="str">
        <f>TEXT(Sales[[#This Row],[Kode Program/Kegiatan ]],"D")</f>
        <v>22</v>
      </c>
      <c r="D1210" s="2" t="str">
        <f>TEXT(Sales[[#This Row],[Kode Program/Kegiatan ]],"mmm")</f>
        <v>May</v>
      </c>
      <c r="E1210" s="3">
        <v>10</v>
      </c>
      <c r="F1210" s="2">
        <v>10</v>
      </c>
      <c r="G1210" s="3" t="str">
        <f>IF(Sales[[#This Row],[Anggaran Murni]]-Sales[[#This Row],[Target s.d. Januari]]=0,"",Sales[[#This Row],[Anggaran Murni]]-Sales[[#This Row],[Target s.d. Januari]])</f>
        <v/>
      </c>
      <c r="H1210" s="2" t="s">
        <v>113</v>
      </c>
      <c r="I1210" s="3" t="s">
        <v>77</v>
      </c>
      <c r="J1210" s="3"/>
      <c r="K1210" s="2" t="s">
        <v>57</v>
      </c>
      <c r="L1210" s="2" t="s">
        <v>5</v>
      </c>
      <c r="M1210" s="4" t="s">
        <v>67</v>
      </c>
      <c r="N1210" s="3" t="s">
        <v>81</v>
      </c>
      <c r="O1210" s="2" t="s">
        <v>14</v>
      </c>
      <c r="P1210" s="10"/>
      <c r="Q1210" s="11"/>
    </row>
    <row r="1211" spans="2:17" ht="21" customHeight="1" x14ac:dyDescent="0.35">
      <c r="B1211" s="18">
        <v>43973</v>
      </c>
      <c r="C1211" s="18" t="str">
        <f>TEXT(Sales[[#This Row],[Kode Program/Kegiatan ]],"D")</f>
        <v>22</v>
      </c>
      <c r="D1211" s="19" t="str">
        <f>TEXT(Sales[[#This Row],[Kode Program/Kegiatan ]],"mmm")</f>
        <v>May</v>
      </c>
      <c r="E1211" s="20">
        <v>10</v>
      </c>
      <c r="F1211" s="19">
        <v>10</v>
      </c>
      <c r="G1211" s="20" t="str">
        <f>IF(Sales[[#This Row],[Anggaran Murni]]-Sales[[#This Row],[Target s.d. Januari]]=0,"",Sales[[#This Row],[Anggaran Murni]]-Sales[[#This Row],[Target s.d. Januari]])</f>
        <v/>
      </c>
      <c r="H1211" s="19" t="s">
        <v>76</v>
      </c>
      <c r="I1211" s="20" t="s">
        <v>79</v>
      </c>
      <c r="J1211" s="20"/>
      <c r="K1211" s="19" t="s">
        <v>26</v>
      </c>
      <c r="L1211" s="19" t="s">
        <v>4</v>
      </c>
      <c r="M1211" s="21" t="s">
        <v>67</v>
      </c>
      <c r="N1211" s="20" t="s">
        <v>82</v>
      </c>
      <c r="O1211" s="19" t="s">
        <v>11</v>
      </c>
      <c r="P1211" s="10"/>
      <c r="Q1211" s="11"/>
    </row>
    <row r="1212" spans="2:17" ht="21" customHeight="1" x14ac:dyDescent="0.35">
      <c r="B1212" s="1">
        <v>43973</v>
      </c>
      <c r="C1212" s="1" t="str">
        <f>TEXT(Sales[[#This Row],[Kode Program/Kegiatan ]],"D")</f>
        <v>22</v>
      </c>
      <c r="D1212" s="2" t="str">
        <f>TEXT(Sales[[#This Row],[Kode Program/Kegiatan ]],"mmm")</f>
        <v>May</v>
      </c>
      <c r="E1212" s="3">
        <v>9</v>
      </c>
      <c r="F1212" s="2">
        <v>9</v>
      </c>
      <c r="G1212" s="3" t="str">
        <f>IF(Sales[[#This Row],[Anggaran Murni]]-Sales[[#This Row],[Target s.d. Januari]]=0,"",Sales[[#This Row],[Anggaran Murni]]-Sales[[#This Row],[Target s.d. Januari]])</f>
        <v/>
      </c>
      <c r="H1212" s="2" t="s">
        <v>73</v>
      </c>
      <c r="I1212" s="3" t="s">
        <v>78</v>
      </c>
      <c r="J1212" s="3"/>
      <c r="K1212" s="2" t="s">
        <v>27</v>
      </c>
      <c r="L1212" s="2" t="s">
        <v>8</v>
      </c>
      <c r="M1212" s="4" t="s">
        <v>67</v>
      </c>
      <c r="N1212" s="3" t="s">
        <v>81</v>
      </c>
      <c r="O1212" s="2" t="s">
        <v>12</v>
      </c>
      <c r="P1212" s="10"/>
      <c r="Q1212" s="11"/>
    </row>
    <row r="1213" spans="2:17" ht="21" customHeight="1" x14ac:dyDescent="0.35">
      <c r="B1213" s="18">
        <v>43973</v>
      </c>
      <c r="C1213" s="18" t="str">
        <f>TEXT(Sales[[#This Row],[Kode Program/Kegiatan ]],"D")</f>
        <v>22</v>
      </c>
      <c r="D1213" s="19" t="str">
        <f>TEXT(Sales[[#This Row],[Kode Program/Kegiatan ]],"mmm")</f>
        <v>May</v>
      </c>
      <c r="E1213" s="20">
        <v>9</v>
      </c>
      <c r="F1213" s="19">
        <v>9</v>
      </c>
      <c r="G1213" s="20" t="str">
        <f>IF(Sales[[#This Row],[Anggaran Murni]]-Sales[[#This Row],[Target s.d. Januari]]=0,"",Sales[[#This Row],[Anggaran Murni]]-Sales[[#This Row],[Target s.d. Januari]])</f>
        <v/>
      </c>
      <c r="H1213" s="19" t="s">
        <v>72</v>
      </c>
      <c r="I1213" s="20" t="s">
        <v>78</v>
      </c>
      <c r="J1213" s="20"/>
      <c r="K1213" s="19" t="s">
        <v>43</v>
      </c>
      <c r="L1213" s="19" t="s">
        <v>8</v>
      </c>
      <c r="M1213" s="21" t="s">
        <v>67</v>
      </c>
      <c r="N1213" s="20" t="s">
        <v>80</v>
      </c>
      <c r="O1213" s="19" t="s">
        <v>13</v>
      </c>
      <c r="P1213" s="10"/>
      <c r="Q1213" s="11"/>
    </row>
    <row r="1214" spans="2:17" ht="21" customHeight="1" x14ac:dyDescent="0.35">
      <c r="B1214" s="1">
        <v>43973</v>
      </c>
      <c r="C1214" s="1" t="str">
        <f>TEXT(Sales[[#This Row],[Kode Program/Kegiatan ]],"D")</f>
        <v>22</v>
      </c>
      <c r="D1214" s="2" t="str">
        <f>TEXT(Sales[[#This Row],[Kode Program/Kegiatan ]],"mmm")</f>
        <v>May</v>
      </c>
      <c r="E1214" s="3">
        <v>9</v>
      </c>
      <c r="F1214" s="2">
        <v>9</v>
      </c>
      <c r="G1214" s="3" t="str">
        <f>IF(Sales[[#This Row],[Anggaran Murni]]-Sales[[#This Row],[Target s.d. Januari]]=0,"",Sales[[#This Row],[Anggaran Murni]]-Sales[[#This Row],[Target s.d. Januari]])</f>
        <v/>
      </c>
      <c r="H1214" s="2" t="s">
        <v>113</v>
      </c>
      <c r="I1214" s="3" t="s">
        <v>77</v>
      </c>
      <c r="J1214" s="3"/>
      <c r="K1214" s="2" t="s">
        <v>25</v>
      </c>
      <c r="L1214" s="2" t="s">
        <v>8</v>
      </c>
      <c r="M1214" s="4" t="s">
        <v>67</v>
      </c>
      <c r="N1214" s="3" t="s">
        <v>82</v>
      </c>
      <c r="O1214" s="2" t="s">
        <v>14</v>
      </c>
      <c r="P1214" s="10"/>
      <c r="Q1214" s="11"/>
    </row>
    <row r="1215" spans="2:17" ht="21" customHeight="1" x14ac:dyDescent="0.35">
      <c r="B1215" s="18">
        <v>43973</v>
      </c>
      <c r="C1215" s="18" t="str">
        <f>TEXT(Sales[[#This Row],[Kode Program/Kegiatan ]],"D")</f>
        <v>22</v>
      </c>
      <c r="D1215" s="19" t="str">
        <f>TEXT(Sales[[#This Row],[Kode Program/Kegiatan ]],"mmm")</f>
        <v>May</v>
      </c>
      <c r="E1215" s="20">
        <v>9</v>
      </c>
      <c r="F1215" s="19">
        <v>9</v>
      </c>
      <c r="G1215" s="20" t="str">
        <f>IF(Sales[[#This Row],[Anggaran Murni]]-Sales[[#This Row],[Target s.d. Januari]]=0,"",Sales[[#This Row],[Anggaran Murni]]-Sales[[#This Row],[Target s.d. Januari]])</f>
        <v/>
      </c>
      <c r="H1215" s="19" t="s">
        <v>75</v>
      </c>
      <c r="I1215" s="20" t="s">
        <v>6</v>
      </c>
      <c r="J1215" s="20"/>
      <c r="K1215" s="19" t="s">
        <v>43</v>
      </c>
      <c r="L1215" s="19" t="s">
        <v>7</v>
      </c>
      <c r="M1215" s="21" t="s">
        <v>67</v>
      </c>
      <c r="N1215" s="20" t="s">
        <v>82</v>
      </c>
      <c r="O1215" s="19" t="s">
        <v>12</v>
      </c>
      <c r="P1215" s="10"/>
      <c r="Q1215" s="11"/>
    </row>
    <row r="1216" spans="2:17" ht="21" customHeight="1" x14ac:dyDescent="0.35">
      <c r="B1216" s="1">
        <v>43973</v>
      </c>
      <c r="C1216" s="1" t="str">
        <f>TEXT(Sales[[#This Row],[Kode Program/Kegiatan ]],"D")</f>
        <v>22</v>
      </c>
      <c r="D1216" s="2" t="str">
        <f>TEXT(Sales[[#This Row],[Kode Program/Kegiatan ]],"mmm")</f>
        <v>May</v>
      </c>
      <c r="E1216" s="3">
        <v>9</v>
      </c>
      <c r="F1216" s="2">
        <v>9</v>
      </c>
      <c r="G1216" s="3" t="str">
        <f>IF(Sales[[#This Row],[Anggaran Murni]]-Sales[[#This Row],[Target s.d. Januari]]=0,"",Sales[[#This Row],[Anggaran Murni]]-Sales[[#This Row],[Target s.d. Januari]])</f>
        <v/>
      </c>
      <c r="H1216" s="2" t="s">
        <v>76</v>
      </c>
      <c r="I1216" s="3" t="s">
        <v>79</v>
      </c>
      <c r="J1216" s="3"/>
      <c r="K1216" s="2" t="s">
        <v>55</v>
      </c>
      <c r="L1216" s="2" t="s">
        <v>5</v>
      </c>
      <c r="M1216" s="4" t="s">
        <v>67</v>
      </c>
      <c r="N1216" s="3" t="s">
        <v>80</v>
      </c>
      <c r="O1216" s="2" t="s">
        <v>13</v>
      </c>
      <c r="P1216" s="10"/>
      <c r="Q1216" s="11"/>
    </row>
    <row r="1217" spans="2:17" ht="21" customHeight="1" x14ac:dyDescent="0.35">
      <c r="B1217" s="18">
        <v>43973</v>
      </c>
      <c r="C1217" s="18" t="str">
        <f>TEXT(Sales[[#This Row],[Kode Program/Kegiatan ]],"D")</f>
        <v>22</v>
      </c>
      <c r="D1217" s="19" t="str">
        <f>TEXT(Sales[[#This Row],[Kode Program/Kegiatan ]],"mmm")</f>
        <v>May</v>
      </c>
      <c r="E1217" s="20">
        <v>6</v>
      </c>
      <c r="F1217" s="19">
        <v>6</v>
      </c>
      <c r="G1217" s="20" t="str">
        <f>IF(Sales[[#This Row],[Anggaran Murni]]-Sales[[#This Row],[Target s.d. Januari]]=0,"",Sales[[#This Row],[Anggaran Murni]]-Sales[[#This Row],[Target s.d. Januari]])</f>
        <v/>
      </c>
      <c r="H1217" s="19" t="s">
        <v>75</v>
      </c>
      <c r="I1217" s="20" t="s">
        <v>6</v>
      </c>
      <c r="J1217" s="20"/>
      <c r="K1217" s="19" t="s">
        <v>52</v>
      </c>
      <c r="L1217" s="19" t="s">
        <v>2</v>
      </c>
      <c r="M1217" s="21" t="s">
        <v>67</v>
      </c>
      <c r="N1217" s="20" t="s">
        <v>80</v>
      </c>
      <c r="O1217" s="19" t="s">
        <v>13</v>
      </c>
      <c r="P1217" s="10"/>
      <c r="Q1217" s="11"/>
    </row>
    <row r="1218" spans="2:17" ht="21" customHeight="1" x14ac:dyDescent="0.35">
      <c r="B1218" s="1">
        <v>43973</v>
      </c>
      <c r="C1218" s="1" t="str">
        <f>TEXT(Sales[[#This Row],[Kode Program/Kegiatan ]],"D")</f>
        <v>22</v>
      </c>
      <c r="D1218" s="2" t="str">
        <f>TEXT(Sales[[#This Row],[Kode Program/Kegiatan ]],"mmm")</f>
        <v>May</v>
      </c>
      <c r="E1218" s="3">
        <v>5</v>
      </c>
      <c r="F1218" s="2">
        <v>5</v>
      </c>
      <c r="G1218" s="3" t="str">
        <f>IF(Sales[[#This Row],[Anggaran Murni]]-Sales[[#This Row],[Target s.d. Januari]]=0,"",Sales[[#This Row],[Anggaran Murni]]-Sales[[#This Row],[Target s.d. Januari]])</f>
        <v/>
      </c>
      <c r="H1218" s="2" t="s">
        <v>114</v>
      </c>
      <c r="I1218" s="3" t="s">
        <v>3</v>
      </c>
      <c r="J1218" s="3"/>
      <c r="K1218" s="2" t="s">
        <v>62</v>
      </c>
      <c r="L1218" s="2" t="s">
        <v>4</v>
      </c>
      <c r="M1218" s="4" t="s">
        <v>67</v>
      </c>
      <c r="N1218" s="3" t="s">
        <v>82</v>
      </c>
      <c r="O1218" s="2" t="s">
        <v>11</v>
      </c>
      <c r="P1218" s="10"/>
      <c r="Q1218" s="11"/>
    </row>
    <row r="1219" spans="2:17" ht="21" customHeight="1" x14ac:dyDescent="0.35">
      <c r="B1219" s="18">
        <v>43973</v>
      </c>
      <c r="C1219" s="18" t="str">
        <f>TEXT(Sales[[#This Row],[Kode Program/Kegiatan ]],"D")</f>
        <v>22</v>
      </c>
      <c r="D1219" s="19" t="str">
        <f>TEXT(Sales[[#This Row],[Kode Program/Kegiatan ]],"mmm")</f>
        <v>May</v>
      </c>
      <c r="E1219" s="20">
        <v>4</v>
      </c>
      <c r="F1219" s="19">
        <v>4</v>
      </c>
      <c r="G1219" s="20" t="str">
        <f>IF(Sales[[#This Row],[Anggaran Murni]]-Sales[[#This Row],[Target s.d. Januari]]=0,"",Sales[[#This Row],[Anggaran Murni]]-Sales[[#This Row],[Target s.d. Januari]])</f>
        <v/>
      </c>
      <c r="H1219" s="19" t="s">
        <v>76</v>
      </c>
      <c r="I1219" s="20" t="s">
        <v>79</v>
      </c>
      <c r="J1219" s="20"/>
      <c r="K1219" s="19" t="s">
        <v>16</v>
      </c>
      <c r="L1219" s="19" t="s">
        <v>8</v>
      </c>
      <c r="M1219" s="21" t="s">
        <v>67</v>
      </c>
      <c r="N1219" s="20" t="s">
        <v>80</v>
      </c>
      <c r="O1219" s="19" t="s">
        <v>14</v>
      </c>
      <c r="P1219" s="10"/>
      <c r="Q1219" s="11"/>
    </row>
    <row r="1220" spans="2:17" ht="21" customHeight="1" x14ac:dyDescent="0.35">
      <c r="B1220" s="1">
        <v>43973</v>
      </c>
      <c r="C1220" s="1" t="str">
        <f>TEXT(Sales[[#This Row],[Kode Program/Kegiatan ]],"D")</f>
        <v>22</v>
      </c>
      <c r="D1220" s="2" t="str">
        <f>TEXT(Sales[[#This Row],[Kode Program/Kegiatan ]],"mmm")</f>
        <v>May</v>
      </c>
      <c r="E1220" s="3">
        <v>3</v>
      </c>
      <c r="F1220" s="2">
        <v>3</v>
      </c>
      <c r="G1220" s="3" t="str">
        <f>IF(Sales[[#This Row],[Anggaran Murni]]-Sales[[#This Row],[Target s.d. Januari]]=0,"",Sales[[#This Row],[Anggaran Murni]]-Sales[[#This Row],[Target s.d. Januari]])</f>
        <v/>
      </c>
      <c r="H1220" s="2" t="s">
        <v>114</v>
      </c>
      <c r="I1220" s="3" t="s">
        <v>3</v>
      </c>
      <c r="J1220" s="3"/>
      <c r="K1220" s="2" t="s">
        <v>33</v>
      </c>
      <c r="L1220" s="2" t="s">
        <v>2</v>
      </c>
      <c r="M1220" s="4" t="s">
        <v>67</v>
      </c>
      <c r="N1220" s="3" t="s">
        <v>81</v>
      </c>
      <c r="O1220" s="2" t="s">
        <v>14</v>
      </c>
      <c r="P1220" s="10"/>
      <c r="Q1220" s="11"/>
    </row>
    <row r="1221" spans="2:17" ht="21" customHeight="1" x14ac:dyDescent="0.35">
      <c r="B1221" s="18">
        <v>43974</v>
      </c>
      <c r="C1221" s="18" t="str">
        <f>TEXT(Sales[[#This Row],[Kode Program/Kegiatan ]],"D")</f>
        <v>23</v>
      </c>
      <c r="D1221" s="19" t="str">
        <f>TEXT(Sales[[#This Row],[Kode Program/Kegiatan ]],"mmm")</f>
        <v>May</v>
      </c>
      <c r="E1221" s="20">
        <v>10</v>
      </c>
      <c r="F1221" s="19">
        <v>10</v>
      </c>
      <c r="G1221" s="20" t="str">
        <f>IF(Sales[[#This Row],[Anggaran Murni]]-Sales[[#This Row],[Target s.d. Januari]]=0,"",Sales[[#This Row],[Anggaran Murni]]-Sales[[#This Row],[Target s.d. Januari]])</f>
        <v/>
      </c>
      <c r="H1221" s="19" t="s">
        <v>72</v>
      </c>
      <c r="I1221" s="20" t="s">
        <v>78</v>
      </c>
      <c r="J1221" s="20"/>
      <c r="K1221" s="19" t="s">
        <v>55</v>
      </c>
      <c r="L1221" s="19" t="s">
        <v>5</v>
      </c>
      <c r="M1221" s="21" t="s">
        <v>67</v>
      </c>
      <c r="N1221" s="20" t="s">
        <v>82</v>
      </c>
      <c r="O1221" s="19" t="s">
        <v>12</v>
      </c>
      <c r="P1221" s="10"/>
      <c r="Q1221" s="11"/>
    </row>
    <row r="1222" spans="2:17" ht="21" customHeight="1" x14ac:dyDescent="0.35">
      <c r="B1222" s="1">
        <v>43974</v>
      </c>
      <c r="C1222" s="1" t="str">
        <f>TEXT(Sales[[#This Row],[Kode Program/Kegiatan ]],"D")</f>
        <v>23</v>
      </c>
      <c r="D1222" s="2" t="str">
        <f>TEXT(Sales[[#This Row],[Kode Program/Kegiatan ]],"mmm")</f>
        <v>May</v>
      </c>
      <c r="E1222" s="3">
        <v>9</v>
      </c>
      <c r="F1222" s="2">
        <v>9</v>
      </c>
      <c r="G1222" s="3" t="str">
        <f>IF(Sales[[#This Row],[Anggaran Murni]]-Sales[[#This Row],[Target s.d. Januari]]=0,"",Sales[[#This Row],[Anggaran Murni]]-Sales[[#This Row],[Target s.d. Januari]])</f>
        <v/>
      </c>
      <c r="H1222" s="2" t="s">
        <v>73</v>
      </c>
      <c r="I1222" s="3" t="s">
        <v>78</v>
      </c>
      <c r="J1222" s="3"/>
      <c r="K1222" s="2" t="s">
        <v>27</v>
      </c>
      <c r="L1222" s="2" t="s">
        <v>2</v>
      </c>
      <c r="M1222" s="4" t="s">
        <v>67</v>
      </c>
      <c r="N1222" s="3" t="s">
        <v>82</v>
      </c>
      <c r="O1222" s="2" t="s">
        <v>11</v>
      </c>
      <c r="P1222" s="10"/>
      <c r="Q1222" s="11"/>
    </row>
    <row r="1223" spans="2:17" ht="21" customHeight="1" x14ac:dyDescent="0.35">
      <c r="B1223" s="18">
        <v>43974</v>
      </c>
      <c r="C1223" s="18" t="str">
        <f>TEXT(Sales[[#This Row],[Kode Program/Kegiatan ]],"D")</f>
        <v>23</v>
      </c>
      <c r="D1223" s="19" t="str">
        <f>TEXT(Sales[[#This Row],[Kode Program/Kegiatan ]],"mmm")</f>
        <v>May</v>
      </c>
      <c r="E1223" s="20">
        <v>9</v>
      </c>
      <c r="F1223" s="19">
        <v>9</v>
      </c>
      <c r="G1223" s="20" t="str">
        <f>IF(Sales[[#This Row],[Anggaran Murni]]-Sales[[#This Row],[Target s.d. Januari]]=0,"",Sales[[#This Row],[Anggaran Murni]]-Sales[[#This Row],[Target s.d. Januari]])</f>
        <v/>
      </c>
      <c r="H1223" s="19" t="s">
        <v>71</v>
      </c>
      <c r="I1223" s="20" t="s">
        <v>6</v>
      </c>
      <c r="J1223" s="20"/>
      <c r="K1223" s="19" t="s">
        <v>55</v>
      </c>
      <c r="L1223" s="19" t="s">
        <v>5</v>
      </c>
      <c r="M1223" s="21" t="s">
        <v>67</v>
      </c>
      <c r="N1223" s="20" t="s">
        <v>80</v>
      </c>
      <c r="O1223" s="19" t="s">
        <v>14</v>
      </c>
      <c r="P1223" s="10"/>
      <c r="Q1223" s="11"/>
    </row>
    <row r="1224" spans="2:17" ht="21" customHeight="1" x14ac:dyDescent="0.35">
      <c r="B1224" s="1">
        <v>43974</v>
      </c>
      <c r="C1224" s="1" t="str">
        <f>TEXT(Sales[[#This Row],[Kode Program/Kegiatan ]],"D")</f>
        <v>23</v>
      </c>
      <c r="D1224" s="2" t="str">
        <f>TEXT(Sales[[#This Row],[Kode Program/Kegiatan ]],"mmm")</f>
        <v>May</v>
      </c>
      <c r="E1224" s="3">
        <v>9</v>
      </c>
      <c r="F1224" s="2">
        <v>9</v>
      </c>
      <c r="G1224" s="3" t="str">
        <f>IF(Sales[[#This Row],[Anggaran Murni]]-Sales[[#This Row],[Target s.d. Januari]]=0,"",Sales[[#This Row],[Anggaran Murni]]-Sales[[#This Row],[Target s.d. Januari]])</f>
        <v/>
      </c>
      <c r="H1224" s="2" t="s">
        <v>71</v>
      </c>
      <c r="I1224" s="3" t="s">
        <v>6</v>
      </c>
      <c r="J1224" s="3"/>
      <c r="K1224" s="2" t="s">
        <v>15</v>
      </c>
      <c r="L1224" s="2" t="s">
        <v>2</v>
      </c>
      <c r="M1224" s="4" t="s">
        <v>67</v>
      </c>
      <c r="N1224" s="3" t="s">
        <v>81</v>
      </c>
      <c r="O1224" s="2" t="s">
        <v>14</v>
      </c>
      <c r="P1224" s="10"/>
      <c r="Q1224" s="11"/>
    </row>
    <row r="1225" spans="2:17" ht="21" customHeight="1" x14ac:dyDescent="0.35">
      <c r="B1225" s="18">
        <v>43974</v>
      </c>
      <c r="C1225" s="18" t="str">
        <f>TEXT(Sales[[#This Row],[Kode Program/Kegiatan ]],"D")</f>
        <v>23</v>
      </c>
      <c r="D1225" s="19" t="str">
        <f>TEXT(Sales[[#This Row],[Kode Program/Kegiatan ]],"mmm")</f>
        <v>May</v>
      </c>
      <c r="E1225" s="20">
        <v>7</v>
      </c>
      <c r="F1225" s="19">
        <v>7</v>
      </c>
      <c r="G1225" s="20" t="str">
        <f>IF(Sales[[#This Row],[Anggaran Murni]]-Sales[[#This Row],[Target s.d. Januari]]=0,"",Sales[[#This Row],[Anggaran Murni]]-Sales[[#This Row],[Target s.d. Januari]])</f>
        <v/>
      </c>
      <c r="H1225" s="19" t="s">
        <v>70</v>
      </c>
      <c r="I1225" s="20" t="s">
        <v>1</v>
      </c>
      <c r="J1225" s="20"/>
      <c r="K1225" s="19" t="s">
        <v>25</v>
      </c>
      <c r="L1225" s="19" t="s">
        <v>4</v>
      </c>
      <c r="M1225" s="21" t="s">
        <v>67</v>
      </c>
      <c r="N1225" s="20" t="s">
        <v>81</v>
      </c>
      <c r="O1225" s="19" t="s">
        <v>13</v>
      </c>
      <c r="P1225" s="10"/>
      <c r="Q1225" s="11"/>
    </row>
    <row r="1226" spans="2:17" ht="21" customHeight="1" x14ac:dyDescent="0.35">
      <c r="B1226" s="1">
        <v>43974</v>
      </c>
      <c r="C1226" s="1" t="str">
        <f>TEXT(Sales[[#This Row],[Kode Program/Kegiatan ]],"D")</f>
        <v>23</v>
      </c>
      <c r="D1226" s="2" t="str">
        <f>TEXT(Sales[[#This Row],[Kode Program/Kegiatan ]],"mmm")</f>
        <v>May</v>
      </c>
      <c r="E1226" s="3">
        <v>6</v>
      </c>
      <c r="F1226" s="2">
        <v>6</v>
      </c>
      <c r="G1226" s="3" t="str">
        <f>IF(Sales[[#This Row],[Anggaran Murni]]-Sales[[#This Row],[Target s.d. Januari]]=0,"",Sales[[#This Row],[Anggaran Murni]]-Sales[[#This Row],[Target s.d. Januari]])</f>
        <v/>
      </c>
      <c r="H1226" s="2" t="s">
        <v>74</v>
      </c>
      <c r="I1226" s="3" t="s">
        <v>77</v>
      </c>
      <c r="J1226" s="3"/>
      <c r="K1226" s="2" t="s">
        <v>30</v>
      </c>
      <c r="L1226" s="2" t="s">
        <v>7</v>
      </c>
      <c r="M1226" s="4" t="s">
        <v>67</v>
      </c>
      <c r="N1226" s="3" t="s">
        <v>80</v>
      </c>
      <c r="O1226" s="2" t="s">
        <v>12</v>
      </c>
      <c r="P1226" s="10"/>
      <c r="Q1226" s="11"/>
    </row>
    <row r="1227" spans="2:17" ht="21" customHeight="1" x14ac:dyDescent="0.35">
      <c r="B1227" s="18">
        <v>43974</v>
      </c>
      <c r="C1227" s="18" t="str">
        <f>TEXT(Sales[[#This Row],[Kode Program/Kegiatan ]],"D")</f>
        <v>23</v>
      </c>
      <c r="D1227" s="19" t="str">
        <f>TEXT(Sales[[#This Row],[Kode Program/Kegiatan ]],"mmm")</f>
        <v>May</v>
      </c>
      <c r="E1227" s="20">
        <v>4</v>
      </c>
      <c r="F1227" s="19">
        <v>4</v>
      </c>
      <c r="G1227" s="20" t="str">
        <f>IF(Sales[[#This Row],[Anggaran Murni]]-Sales[[#This Row],[Target s.d. Januari]]=0,"",Sales[[#This Row],[Anggaran Murni]]-Sales[[#This Row],[Target s.d. Januari]])</f>
        <v/>
      </c>
      <c r="H1227" s="19" t="s">
        <v>113</v>
      </c>
      <c r="I1227" s="20" t="s">
        <v>77</v>
      </c>
      <c r="J1227" s="20"/>
      <c r="K1227" s="19" t="s">
        <v>34</v>
      </c>
      <c r="L1227" s="19" t="s">
        <v>5</v>
      </c>
      <c r="M1227" s="21" t="s">
        <v>67</v>
      </c>
      <c r="N1227" s="20" t="s">
        <v>80</v>
      </c>
      <c r="O1227" s="19" t="s">
        <v>11</v>
      </c>
      <c r="P1227" s="10"/>
      <c r="Q1227" s="11"/>
    </row>
    <row r="1228" spans="2:17" ht="21" customHeight="1" x14ac:dyDescent="0.35">
      <c r="B1228" s="1">
        <v>43974</v>
      </c>
      <c r="C1228" s="1" t="str">
        <f>TEXT(Sales[[#This Row],[Kode Program/Kegiatan ]],"D")</f>
        <v>23</v>
      </c>
      <c r="D1228" s="2" t="str">
        <f>TEXT(Sales[[#This Row],[Kode Program/Kegiatan ]],"mmm")</f>
        <v>May</v>
      </c>
      <c r="E1228" s="3">
        <v>4</v>
      </c>
      <c r="F1228" s="2">
        <v>4</v>
      </c>
      <c r="G1228" s="3" t="str">
        <f>IF(Sales[[#This Row],[Anggaran Murni]]-Sales[[#This Row],[Target s.d. Januari]]=0,"",Sales[[#This Row],[Anggaran Murni]]-Sales[[#This Row],[Target s.d. Januari]])</f>
        <v/>
      </c>
      <c r="H1228" s="2" t="s">
        <v>71</v>
      </c>
      <c r="I1228" s="3" t="s">
        <v>6</v>
      </c>
      <c r="J1228" s="3"/>
      <c r="K1228" s="2" t="s">
        <v>29</v>
      </c>
      <c r="L1228" s="2" t="s">
        <v>2</v>
      </c>
      <c r="M1228" s="4" t="s">
        <v>67</v>
      </c>
      <c r="N1228" s="3" t="s">
        <v>81</v>
      </c>
      <c r="O1228" s="2" t="s">
        <v>14</v>
      </c>
      <c r="P1228" s="10"/>
      <c r="Q1228" s="11"/>
    </row>
    <row r="1229" spans="2:17" ht="21" customHeight="1" x14ac:dyDescent="0.35">
      <c r="B1229" s="18">
        <v>43974</v>
      </c>
      <c r="C1229" s="18" t="str">
        <f>TEXT(Sales[[#This Row],[Kode Program/Kegiatan ]],"D")</f>
        <v>23</v>
      </c>
      <c r="D1229" s="19" t="str">
        <f>TEXT(Sales[[#This Row],[Kode Program/Kegiatan ]],"mmm")</f>
        <v>May</v>
      </c>
      <c r="E1229" s="20">
        <v>3</v>
      </c>
      <c r="F1229" s="19">
        <v>3</v>
      </c>
      <c r="G1229" s="20" t="str">
        <f>IF(Sales[[#This Row],[Anggaran Murni]]-Sales[[#This Row],[Target s.d. Januari]]=0,"",Sales[[#This Row],[Anggaran Murni]]-Sales[[#This Row],[Target s.d. Januari]])</f>
        <v/>
      </c>
      <c r="H1229" s="19" t="s">
        <v>74</v>
      </c>
      <c r="I1229" s="20" t="s">
        <v>77</v>
      </c>
      <c r="J1229" s="20"/>
      <c r="K1229" s="19" t="s">
        <v>25</v>
      </c>
      <c r="L1229" s="19" t="s">
        <v>2</v>
      </c>
      <c r="M1229" s="21" t="s">
        <v>67</v>
      </c>
      <c r="N1229" s="20" t="s">
        <v>80</v>
      </c>
      <c r="O1229" s="19" t="s">
        <v>12</v>
      </c>
      <c r="P1229" s="10"/>
      <c r="Q1229" s="11"/>
    </row>
    <row r="1230" spans="2:17" ht="21" customHeight="1" x14ac:dyDescent="0.35">
      <c r="B1230" s="1">
        <v>43975</v>
      </c>
      <c r="C1230" s="1" t="str">
        <f>TEXT(Sales[[#This Row],[Kode Program/Kegiatan ]],"D")</f>
        <v>24</v>
      </c>
      <c r="D1230" s="2" t="str">
        <f>TEXT(Sales[[#This Row],[Kode Program/Kegiatan ]],"mmm")</f>
        <v>May</v>
      </c>
      <c r="E1230" s="3">
        <v>9</v>
      </c>
      <c r="F1230" s="2">
        <v>9</v>
      </c>
      <c r="G1230" s="3" t="str">
        <f>IF(Sales[[#This Row],[Anggaran Murni]]-Sales[[#This Row],[Target s.d. Januari]]=0,"",Sales[[#This Row],[Anggaran Murni]]-Sales[[#This Row],[Target s.d. Januari]])</f>
        <v/>
      </c>
      <c r="H1230" s="2" t="s">
        <v>113</v>
      </c>
      <c r="I1230" s="3" t="s">
        <v>77</v>
      </c>
      <c r="J1230" s="3"/>
      <c r="K1230" s="2" t="s">
        <v>26</v>
      </c>
      <c r="L1230" s="2" t="s">
        <v>5</v>
      </c>
      <c r="M1230" s="4" t="s">
        <v>67</v>
      </c>
      <c r="N1230" s="3" t="s">
        <v>81</v>
      </c>
      <c r="O1230" s="2" t="s">
        <v>11</v>
      </c>
      <c r="P1230" s="10"/>
      <c r="Q1230" s="11"/>
    </row>
    <row r="1231" spans="2:17" ht="21" customHeight="1" x14ac:dyDescent="0.35">
      <c r="B1231" s="18">
        <v>43975</v>
      </c>
      <c r="C1231" s="18" t="str">
        <f>TEXT(Sales[[#This Row],[Kode Program/Kegiatan ]],"D")</f>
        <v>24</v>
      </c>
      <c r="D1231" s="19" t="str">
        <f>TEXT(Sales[[#This Row],[Kode Program/Kegiatan ]],"mmm")</f>
        <v>May</v>
      </c>
      <c r="E1231" s="20">
        <v>7</v>
      </c>
      <c r="F1231" s="19">
        <v>7</v>
      </c>
      <c r="G1231" s="20" t="str">
        <f>IF(Sales[[#This Row],[Anggaran Murni]]-Sales[[#This Row],[Target s.d. Januari]]=0,"",Sales[[#This Row],[Anggaran Murni]]-Sales[[#This Row],[Target s.d. Januari]])</f>
        <v/>
      </c>
      <c r="H1231" s="19" t="s">
        <v>71</v>
      </c>
      <c r="I1231" s="20" t="s">
        <v>6</v>
      </c>
      <c r="J1231" s="20"/>
      <c r="K1231" s="19" t="s">
        <v>20</v>
      </c>
      <c r="L1231" s="19" t="s">
        <v>5</v>
      </c>
      <c r="M1231" s="21" t="s">
        <v>67</v>
      </c>
      <c r="N1231" s="20" t="s">
        <v>82</v>
      </c>
      <c r="O1231" s="19" t="s">
        <v>12</v>
      </c>
      <c r="P1231" s="10"/>
      <c r="Q1231" s="11"/>
    </row>
    <row r="1232" spans="2:17" ht="21" customHeight="1" x14ac:dyDescent="0.35">
      <c r="B1232" s="1">
        <v>43975</v>
      </c>
      <c r="C1232" s="1" t="str">
        <f>TEXT(Sales[[#This Row],[Kode Program/Kegiatan ]],"D")</f>
        <v>24</v>
      </c>
      <c r="D1232" s="2" t="str">
        <f>TEXT(Sales[[#This Row],[Kode Program/Kegiatan ]],"mmm")</f>
        <v>May</v>
      </c>
      <c r="E1232" s="3">
        <v>7</v>
      </c>
      <c r="F1232" s="2">
        <v>7</v>
      </c>
      <c r="G1232" s="3" t="str">
        <f>IF(Sales[[#This Row],[Anggaran Murni]]-Sales[[#This Row],[Target s.d. Januari]]=0,"",Sales[[#This Row],[Anggaran Murni]]-Sales[[#This Row],[Target s.d. Januari]])</f>
        <v/>
      </c>
      <c r="H1232" s="2" t="s">
        <v>76</v>
      </c>
      <c r="I1232" s="3" t="s">
        <v>79</v>
      </c>
      <c r="J1232" s="3"/>
      <c r="K1232" s="2" t="s">
        <v>20</v>
      </c>
      <c r="L1232" s="2" t="s">
        <v>2</v>
      </c>
      <c r="M1232" s="4" t="s">
        <v>67</v>
      </c>
      <c r="N1232" s="3" t="s">
        <v>80</v>
      </c>
      <c r="O1232" s="2" t="s">
        <v>12</v>
      </c>
      <c r="P1232" s="10"/>
      <c r="Q1232" s="11"/>
    </row>
    <row r="1233" spans="2:17" ht="21" customHeight="1" x14ac:dyDescent="0.35">
      <c r="B1233" s="18">
        <v>43975</v>
      </c>
      <c r="C1233" s="18" t="str">
        <f>TEXT(Sales[[#This Row],[Kode Program/Kegiatan ]],"D")</f>
        <v>24</v>
      </c>
      <c r="D1233" s="19" t="str">
        <f>TEXT(Sales[[#This Row],[Kode Program/Kegiatan ]],"mmm")</f>
        <v>May</v>
      </c>
      <c r="E1233" s="20">
        <v>7</v>
      </c>
      <c r="F1233" s="19">
        <v>7</v>
      </c>
      <c r="G1233" s="20" t="str">
        <f>IF(Sales[[#This Row],[Anggaran Murni]]-Sales[[#This Row],[Target s.d. Januari]]=0,"",Sales[[#This Row],[Anggaran Murni]]-Sales[[#This Row],[Target s.d. Januari]])</f>
        <v/>
      </c>
      <c r="H1233" s="19" t="s">
        <v>73</v>
      </c>
      <c r="I1233" s="20" t="s">
        <v>78</v>
      </c>
      <c r="J1233" s="20"/>
      <c r="K1233" s="19" t="s">
        <v>30</v>
      </c>
      <c r="L1233" s="19" t="s">
        <v>9</v>
      </c>
      <c r="M1233" s="21" t="s">
        <v>67</v>
      </c>
      <c r="N1233" s="20" t="s">
        <v>81</v>
      </c>
      <c r="O1233" s="19" t="s">
        <v>13</v>
      </c>
      <c r="P1233" s="10"/>
      <c r="Q1233" s="11"/>
    </row>
    <row r="1234" spans="2:17" ht="21" customHeight="1" x14ac:dyDescent="0.35">
      <c r="B1234" s="1">
        <v>43975</v>
      </c>
      <c r="C1234" s="1" t="str">
        <f>TEXT(Sales[[#This Row],[Kode Program/Kegiatan ]],"D")</f>
        <v>24</v>
      </c>
      <c r="D1234" s="2" t="str">
        <f>TEXT(Sales[[#This Row],[Kode Program/Kegiatan ]],"mmm")</f>
        <v>May</v>
      </c>
      <c r="E1234" s="3">
        <v>6</v>
      </c>
      <c r="F1234" s="2">
        <v>6</v>
      </c>
      <c r="G1234" s="3" t="str">
        <f>IF(Sales[[#This Row],[Anggaran Murni]]-Sales[[#This Row],[Target s.d. Januari]]=0,"",Sales[[#This Row],[Anggaran Murni]]-Sales[[#This Row],[Target s.d. Januari]])</f>
        <v/>
      </c>
      <c r="H1234" s="2" t="s">
        <v>76</v>
      </c>
      <c r="I1234" s="3" t="s">
        <v>79</v>
      </c>
      <c r="J1234" s="3"/>
      <c r="K1234" s="2" t="s">
        <v>58</v>
      </c>
      <c r="L1234" s="2" t="s">
        <v>5</v>
      </c>
      <c r="M1234" s="4" t="s">
        <v>67</v>
      </c>
      <c r="N1234" s="3" t="s">
        <v>80</v>
      </c>
      <c r="O1234" s="2" t="s">
        <v>13</v>
      </c>
      <c r="P1234" s="10"/>
      <c r="Q1234" s="11"/>
    </row>
    <row r="1235" spans="2:17" ht="21" customHeight="1" x14ac:dyDescent="0.35">
      <c r="B1235" s="18">
        <v>43975</v>
      </c>
      <c r="C1235" s="18" t="str">
        <f>TEXT(Sales[[#This Row],[Kode Program/Kegiatan ]],"D")</f>
        <v>24</v>
      </c>
      <c r="D1235" s="19" t="str">
        <f>TEXT(Sales[[#This Row],[Kode Program/Kegiatan ]],"mmm")</f>
        <v>May</v>
      </c>
      <c r="E1235" s="20">
        <v>5</v>
      </c>
      <c r="F1235" s="19">
        <v>5</v>
      </c>
      <c r="G1235" s="20" t="str">
        <f>IF(Sales[[#This Row],[Anggaran Murni]]-Sales[[#This Row],[Target s.d. Januari]]=0,"",Sales[[#This Row],[Anggaran Murni]]-Sales[[#This Row],[Target s.d. Januari]])</f>
        <v/>
      </c>
      <c r="H1235" s="19" t="s">
        <v>72</v>
      </c>
      <c r="I1235" s="20" t="s">
        <v>78</v>
      </c>
      <c r="J1235" s="20"/>
      <c r="K1235" s="19" t="s">
        <v>62</v>
      </c>
      <c r="L1235" s="19" t="s">
        <v>7</v>
      </c>
      <c r="M1235" s="21" t="s">
        <v>67</v>
      </c>
      <c r="N1235" s="20" t="s">
        <v>80</v>
      </c>
      <c r="O1235" s="19" t="s">
        <v>14</v>
      </c>
      <c r="P1235" s="10"/>
      <c r="Q1235" s="11"/>
    </row>
    <row r="1236" spans="2:17" ht="21" customHeight="1" x14ac:dyDescent="0.35">
      <c r="B1236" s="1">
        <v>43975</v>
      </c>
      <c r="C1236" s="1" t="str">
        <f>TEXT(Sales[[#This Row],[Kode Program/Kegiatan ]],"D")</f>
        <v>24</v>
      </c>
      <c r="D1236" s="2" t="str">
        <f>TEXT(Sales[[#This Row],[Kode Program/Kegiatan ]],"mmm")</f>
        <v>May</v>
      </c>
      <c r="E1236" s="3">
        <v>5</v>
      </c>
      <c r="F1236" s="2">
        <v>5</v>
      </c>
      <c r="G1236" s="3" t="str">
        <f>IF(Sales[[#This Row],[Anggaran Murni]]-Sales[[#This Row],[Target s.d. Januari]]=0,"",Sales[[#This Row],[Anggaran Murni]]-Sales[[#This Row],[Target s.d. Januari]])</f>
        <v/>
      </c>
      <c r="H1236" s="2" t="s">
        <v>71</v>
      </c>
      <c r="I1236" s="3" t="s">
        <v>6</v>
      </c>
      <c r="J1236" s="3"/>
      <c r="K1236" s="2" t="s">
        <v>32</v>
      </c>
      <c r="L1236" s="2" t="s">
        <v>8</v>
      </c>
      <c r="M1236" s="4" t="s">
        <v>67</v>
      </c>
      <c r="N1236" s="3" t="s">
        <v>81</v>
      </c>
      <c r="O1236" s="2" t="s">
        <v>12</v>
      </c>
      <c r="P1236" s="10"/>
      <c r="Q1236" s="11"/>
    </row>
    <row r="1237" spans="2:17" ht="21" customHeight="1" x14ac:dyDescent="0.35">
      <c r="B1237" s="18">
        <v>43975</v>
      </c>
      <c r="C1237" s="18" t="str">
        <f>TEXT(Sales[[#This Row],[Kode Program/Kegiatan ]],"D")</f>
        <v>24</v>
      </c>
      <c r="D1237" s="19" t="str">
        <f>TEXT(Sales[[#This Row],[Kode Program/Kegiatan ]],"mmm")</f>
        <v>May</v>
      </c>
      <c r="E1237" s="20">
        <v>4</v>
      </c>
      <c r="F1237" s="19">
        <v>4</v>
      </c>
      <c r="G1237" s="20" t="str">
        <f>IF(Sales[[#This Row],[Anggaran Murni]]-Sales[[#This Row],[Target s.d. Januari]]=0,"",Sales[[#This Row],[Anggaran Murni]]-Sales[[#This Row],[Target s.d. Januari]])</f>
        <v/>
      </c>
      <c r="H1237" s="19" t="s">
        <v>73</v>
      </c>
      <c r="I1237" s="20" t="s">
        <v>78</v>
      </c>
      <c r="J1237" s="20"/>
      <c r="K1237" s="19" t="s">
        <v>60</v>
      </c>
      <c r="L1237" s="19" t="s">
        <v>7</v>
      </c>
      <c r="M1237" s="21" t="s">
        <v>67</v>
      </c>
      <c r="N1237" s="20" t="s">
        <v>82</v>
      </c>
      <c r="O1237" s="19" t="s">
        <v>12</v>
      </c>
      <c r="P1237" s="10"/>
      <c r="Q1237" s="11"/>
    </row>
    <row r="1238" spans="2:17" ht="21" customHeight="1" x14ac:dyDescent="0.35">
      <c r="B1238" s="1">
        <v>43975</v>
      </c>
      <c r="C1238" s="1" t="str">
        <f>TEXT(Sales[[#This Row],[Kode Program/Kegiatan ]],"D")</f>
        <v>24</v>
      </c>
      <c r="D1238" s="2" t="str">
        <f>TEXT(Sales[[#This Row],[Kode Program/Kegiatan ]],"mmm")</f>
        <v>May</v>
      </c>
      <c r="E1238" s="3">
        <v>3</v>
      </c>
      <c r="F1238" s="2">
        <v>3</v>
      </c>
      <c r="G1238" s="3" t="str">
        <f>IF(Sales[[#This Row],[Anggaran Murni]]-Sales[[#This Row],[Target s.d. Januari]]=0,"",Sales[[#This Row],[Anggaran Murni]]-Sales[[#This Row],[Target s.d. Januari]])</f>
        <v/>
      </c>
      <c r="H1238" s="2" t="s">
        <v>114</v>
      </c>
      <c r="I1238" s="3" t="s">
        <v>3</v>
      </c>
      <c r="J1238" s="3"/>
      <c r="K1238" s="2" t="s">
        <v>43</v>
      </c>
      <c r="L1238" s="2" t="s">
        <v>2</v>
      </c>
      <c r="M1238" s="4" t="s">
        <v>67</v>
      </c>
      <c r="N1238" s="3" t="s">
        <v>80</v>
      </c>
      <c r="O1238" s="2" t="s">
        <v>11</v>
      </c>
      <c r="P1238" s="10"/>
      <c r="Q1238" s="11"/>
    </row>
    <row r="1239" spans="2:17" ht="21" customHeight="1" x14ac:dyDescent="0.35">
      <c r="B1239" s="18">
        <v>43975</v>
      </c>
      <c r="C1239" s="18" t="str">
        <f>TEXT(Sales[[#This Row],[Kode Program/Kegiatan ]],"D")</f>
        <v>24</v>
      </c>
      <c r="D1239" s="19" t="str">
        <f>TEXT(Sales[[#This Row],[Kode Program/Kegiatan ]],"mmm")</f>
        <v>May</v>
      </c>
      <c r="E1239" s="20">
        <v>3</v>
      </c>
      <c r="F1239" s="19">
        <v>3</v>
      </c>
      <c r="G1239" s="20" t="str">
        <f>IF(Sales[[#This Row],[Anggaran Murni]]-Sales[[#This Row],[Target s.d. Januari]]=0,"",Sales[[#This Row],[Anggaran Murni]]-Sales[[#This Row],[Target s.d. Januari]])</f>
        <v/>
      </c>
      <c r="H1239" s="19" t="s">
        <v>74</v>
      </c>
      <c r="I1239" s="20" t="s">
        <v>77</v>
      </c>
      <c r="J1239" s="20"/>
      <c r="K1239" s="19" t="s">
        <v>52</v>
      </c>
      <c r="L1239" s="19" t="s">
        <v>2</v>
      </c>
      <c r="M1239" s="21" t="s">
        <v>67</v>
      </c>
      <c r="N1239" s="20" t="s">
        <v>81</v>
      </c>
      <c r="O1239" s="19" t="s">
        <v>14</v>
      </c>
      <c r="P1239" s="10"/>
      <c r="Q1239" s="11"/>
    </row>
    <row r="1240" spans="2:17" ht="21" customHeight="1" x14ac:dyDescent="0.35">
      <c r="B1240" s="1">
        <v>43976</v>
      </c>
      <c r="C1240" s="1" t="str">
        <f>TEXT(Sales[[#This Row],[Kode Program/Kegiatan ]],"D")</f>
        <v>25</v>
      </c>
      <c r="D1240" s="2" t="str">
        <f>TEXT(Sales[[#This Row],[Kode Program/Kegiatan ]],"mmm")</f>
        <v>May</v>
      </c>
      <c r="E1240" s="3">
        <v>9</v>
      </c>
      <c r="F1240" s="2">
        <v>9</v>
      </c>
      <c r="G1240" s="3" t="str">
        <f>IF(Sales[[#This Row],[Anggaran Murni]]-Sales[[#This Row],[Target s.d. Januari]]=0,"",Sales[[#This Row],[Anggaran Murni]]-Sales[[#This Row],[Target s.d. Januari]])</f>
        <v/>
      </c>
      <c r="H1240" s="2" t="s">
        <v>75</v>
      </c>
      <c r="I1240" s="3" t="s">
        <v>6</v>
      </c>
      <c r="J1240" s="3"/>
      <c r="K1240" s="2" t="s">
        <v>34</v>
      </c>
      <c r="L1240" s="2" t="s">
        <v>4</v>
      </c>
      <c r="M1240" s="4" t="s">
        <v>67</v>
      </c>
      <c r="N1240" s="3" t="s">
        <v>82</v>
      </c>
      <c r="O1240" s="2" t="s">
        <v>13</v>
      </c>
      <c r="P1240" s="10"/>
      <c r="Q1240" s="11"/>
    </row>
    <row r="1241" spans="2:17" ht="21" customHeight="1" x14ac:dyDescent="0.35">
      <c r="B1241" s="18">
        <v>43976</v>
      </c>
      <c r="C1241" s="18" t="str">
        <f>TEXT(Sales[[#This Row],[Kode Program/Kegiatan ]],"D")</f>
        <v>25</v>
      </c>
      <c r="D1241" s="19" t="str">
        <f>TEXT(Sales[[#This Row],[Kode Program/Kegiatan ]],"mmm")</f>
        <v>May</v>
      </c>
      <c r="E1241" s="20">
        <v>8</v>
      </c>
      <c r="F1241" s="19">
        <v>8</v>
      </c>
      <c r="G1241" s="20" t="str">
        <f>IF(Sales[[#This Row],[Anggaran Murni]]-Sales[[#This Row],[Target s.d. Januari]]=0,"",Sales[[#This Row],[Anggaran Murni]]-Sales[[#This Row],[Target s.d. Januari]])</f>
        <v/>
      </c>
      <c r="H1241" s="19" t="s">
        <v>74</v>
      </c>
      <c r="I1241" s="20" t="s">
        <v>77</v>
      </c>
      <c r="J1241" s="20"/>
      <c r="K1241" s="19" t="s">
        <v>48</v>
      </c>
      <c r="L1241" s="19" t="s">
        <v>2</v>
      </c>
      <c r="M1241" s="21" t="s">
        <v>67</v>
      </c>
      <c r="N1241" s="20" t="s">
        <v>82</v>
      </c>
      <c r="O1241" s="19" t="s">
        <v>14</v>
      </c>
      <c r="P1241" s="10"/>
      <c r="Q1241" s="11"/>
    </row>
    <row r="1242" spans="2:17" ht="21" customHeight="1" x14ac:dyDescent="0.35">
      <c r="B1242" s="1">
        <v>43976</v>
      </c>
      <c r="C1242" s="1" t="str">
        <f>TEXT(Sales[[#This Row],[Kode Program/Kegiatan ]],"D")</f>
        <v>25</v>
      </c>
      <c r="D1242" s="2" t="str">
        <f>TEXT(Sales[[#This Row],[Kode Program/Kegiatan ]],"mmm")</f>
        <v>May</v>
      </c>
      <c r="E1242" s="3">
        <v>6</v>
      </c>
      <c r="F1242" s="2">
        <v>6</v>
      </c>
      <c r="G1242" s="3" t="str">
        <f>IF(Sales[[#This Row],[Anggaran Murni]]-Sales[[#This Row],[Target s.d. Januari]]=0,"",Sales[[#This Row],[Anggaran Murni]]-Sales[[#This Row],[Target s.d. Januari]])</f>
        <v/>
      </c>
      <c r="H1242" s="2" t="s">
        <v>71</v>
      </c>
      <c r="I1242" s="3" t="s">
        <v>6</v>
      </c>
      <c r="J1242" s="3"/>
      <c r="K1242" s="2" t="s">
        <v>39</v>
      </c>
      <c r="L1242" s="2" t="s">
        <v>7</v>
      </c>
      <c r="M1242" s="4" t="s">
        <v>67</v>
      </c>
      <c r="N1242" s="3" t="s">
        <v>80</v>
      </c>
      <c r="O1242" s="2" t="s">
        <v>13</v>
      </c>
      <c r="P1242" s="10"/>
      <c r="Q1242" s="11"/>
    </row>
    <row r="1243" spans="2:17" ht="21" customHeight="1" x14ac:dyDescent="0.35">
      <c r="B1243" s="18">
        <v>43976</v>
      </c>
      <c r="C1243" s="18" t="str">
        <f>TEXT(Sales[[#This Row],[Kode Program/Kegiatan ]],"D")</f>
        <v>25</v>
      </c>
      <c r="D1243" s="19" t="str">
        <f>TEXT(Sales[[#This Row],[Kode Program/Kegiatan ]],"mmm")</f>
        <v>May</v>
      </c>
      <c r="E1243" s="20">
        <v>5</v>
      </c>
      <c r="F1243" s="19">
        <v>5</v>
      </c>
      <c r="G1243" s="20" t="str">
        <f>IF(Sales[[#This Row],[Anggaran Murni]]-Sales[[#This Row],[Target s.d. Januari]]=0,"",Sales[[#This Row],[Anggaran Murni]]-Sales[[#This Row],[Target s.d. Januari]])</f>
        <v/>
      </c>
      <c r="H1243" s="19" t="s">
        <v>74</v>
      </c>
      <c r="I1243" s="20" t="s">
        <v>77</v>
      </c>
      <c r="J1243" s="20"/>
      <c r="K1243" s="19" t="s">
        <v>38</v>
      </c>
      <c r="L1243" s="19" t="s">
        <v>5</v>
      </c>
      <c r="M1243" s="21" t="s">
        <v>67</v>
      </c>
      <c r="N1243" s="20" t="s">
        <v>81</v>
      </c>
      <c r="O1243" s="19" t="s">
        <v>13</v>
      </c>
      <c r="P1243" s="10"/>
      <c r="Q1243" s="11"/>
    </row>
    <row r="1244" spans="2:17" ht="21" customHeight="1" x14ac:dyDescent="0.35">
      <c r="B1244" s="1">
        <v>43976</v>
      </c>
      <c r="C1244" s="1" t="str">
        <f>TEXT(Sales[[#This Row],[Kode Program/Kegiatan ]],"D")</f>
        <v>25</v>
      </c>
      <c r="D1244" s="2" t="str">
        <f>TEXT(Sales[[#This Row],[Kode Program/Kegiatan ]],"mmm")</f>
        <v>May</v>
      </c>
      <c r="E1244" s="3">
        <v>4</v>
      </c>
      <c r="F1244" s="2">
        <v>4</v>
      </c>
      <c r="G1244" s="3" t="str">
        <f>IF(Sales[[#This Row],[Anggaran Murni]]-Sales[[#This Row],[Target s.d. Januari]]=0,"",Sales[[#This Row],[Anggaran Murni]]-Sales[[#This Row],[Target s.d. Januari]])</f>
        <v/>
      </c>
      <c r="H1244" s="2" t="s">
        <v>113</v>
      </c>
      <c r="I1244" s="3" t="s">
        <v>77</v>
      </c>
      <c r="J1244" s="3"/>
      <c r="K1244" s="2" t="s">
        <v>21</v>
      </c>
      <c r="L1244" s="2" t="s">
        <v>7</v>
      </c>
      <c r="M1244" s="4" t="s">
        <v>67</v>
      </c>
      <c r="N1244" s="3" t="s">
        <v>81</v>
      </c>
      <c r="O1244" s="2" t="s">
        <v>11</v>
      </c>
      <c r="P1244" s="10"/>
      <c r="Q1244" s="11"/>
    </row>
    <row r="1245" spans="2:17" ht="21" customHeight="1" x14ac:dyDescent="0.35">
      <c r="B1245" s="18">
        <v>43976</v>
      </c>
      <c r="C1245" s="18" t="str">
        <f>TEXT(Sales[[#This Row],[Kode Program/Kegiatan ]],"D")</f>
        <v>25</v>
      </c>
      <c r="D1245" s="19" t="str">
        <f>TEXT(Sales[[#This Row],[Kode Program/Kegiatan ]],"mmm")</f>
        <v>May</v>
      </c>
      <c r="E1245" s="20">
        <v>3</v>
      </c>
      <c r="F1245" s="19">
        <v>3</v>
      </c>
      <c r="G1245" s="20" t="str">
        <f>IF(Sales[[#This Row],[Anggaran Murni]]-Sales[[#This Row],[Target s.d. Januari]]=0,"",Sales[[#This Row],[Anggaran Murni]]-Sales[[#This Row],[Target s.d. Januari]])</f>
        <v/>
      </c>
      <c r="H1245" s="19" t="s">
        <v>74</v>
      </c>
      <c r="I1245" s="20" t="s">
        <v>77</v>
      </c>
      <c r="J1245" s="20"/>
      <c r="K1245" s="19" t="s">
        <v>62</v>
      </c>
      <c r="L1245" s="19" t="s">
        <v>5</v>
      </c>
      <c r="M1245" s="21" t="s">
        <v>67</v>
      </c>
      <c r="N1245" s="20" t="s">
        <v>81</v>
      </c>
      <c r="O1245" s="19" t="s">
        <v>12</v>
      </c>
      <c r="P1245" s="10"/>
      <c r="Q1245" s="11"/>
    </row>
    <row r="1246" spans="2:17" ht="21" customHeight="1" x14ac:dyDescent="0.35">
      <c r="B1246" s="1">
        <v>43976</v>
      </c>
      <c r="C1246" s="1" t="str">
        <f>TEXT(Sales[[#This Row],[Kode Program/Kegiatan ]],"D")</f>
        <v>25</v>
      </c>
      <c r="D1246" s="2" t="str">
        <f>TEXT(Sales[[#This Row],[Kode Program/Kegiatan ]],"mmm")</f>
        <v>May</v>
      </c>
      <c r="E1246" s="3">
        <v>3</v>
      </c>
      <c r="F1246" s="2">
        <v>3</v>
      </c>
      <c r="G1246" s="3" t="str">
        <f>IF(Sales[[#This Row],[Anggaran Murni]]-Sales[[#This Row],[Target s.d. Januari]]=0,"",Sales[[#This Row],[Anggaran Murni]]-Sales[[#This Row],[Target s.d. Januari]])</f>
        <v/>
      </c>
      <c r="H1246" s="2" t="s">
        <v>73</v>
      </c>
      <c r="I1246" s="3" t="s">
        <v>78</v>
      </c>
      <c r="J1246" s="3"/>
      <c r="K1246" s="2" t="s">
        <v>38</v>
      </c>
      <c r="L1246" s="2" t="s">
        <v>4</v>
      </c>
      <c r="M1246" s="4" t="s">
        <v>67</v>
      </c>
      <c r="N1246" s="3" t="s">
        <v>82</v>
      </c>
      <c r="O1246" s="2" t="s">
        <v>11</v>
      </c>
      <c r="P1246" s="10"/>
      <c r="Q1246" s="11"/>
    </row>
    <row r="1247" spans="2:17" ht="21" customHeight="1" x14ac:dyDescent="0.35">
      <c r="B1247" s="18">
        <v>43977</v>
      </c>
      <c r="C1247" s="18" t="str">
        <f>TEXT(Sales[[#This Row],[Kode Program/Kegiatan ]],"D")</f>
        <v>26</v>
      </c>
      <c r="D1247" s="19" t="str">
        <f>TEXT(Sales[[#This Row],[Kode Program/Kegiatan ]],"mmm")</f>
        <v>May</v>
      </c>
      <c r="E1247" s="20">
        <v>10</v>
      </c>
      <c r="F1247" s="19">
        <v>10</v>
      </c>
      <c r="G1247" s="20" t="str">
        <f>IF(Sales[[#This Row],[Anggaran Murni]]-Sales[[#This Row],[Target s.d. Januari]]=0,"",Sales[[#This Row],[Anggaran Murni]]-Sales[[#This Row],[Target s.d. Januari]])</f>
        <v/>
      </c>
      <c r="H1247" s="19" t="s">
        <v>70</v>
      </c>
      <c r="I1247" s="20" t="s">
        <v>1</v>
      </c>
      <c r="J1247" s="20"/>
      <c r="K1247" s="19" t="s">
        <v>27</v>
      </c>
      <c r="L1247" s="19" t="s">
        <v>9</v>
      </c>
      <c r="M1247" s="21" t="s">
        <v>67</v>
      </c>
      <c r="N1247" s="20" t="s">
        <v>81</v>
      </c>
      <c r="O1247" s="19" t="s">
        <v>12</v>
      </c>
      <c r="P1247" s="10"/>
      <c r="Q1247" s="11"/>
    </row>
    <row r="1248" spans="2:17" ht="21" customHeight="1" x14ac:dyDescent="0.35">
      <c r="B1248" s="1">
        <v>43977</v>
      </c>
      <c r="C1248" s="1" t="str">
        <f>TEXT(Sales[[#This Row],[Kode Program/Kegiatan ]],"D")</f>
        <v>26</v>
      </c>
      <c r="D1248" s="2" t="str">
        <f>TEXT(Sales[[#This Row],[Kode Program/Kegiatan ]],"mmm")</f>
        <v>May</v>
      </c>
      <c r="E1248" s="3">
        <v>7</v>
      </c>
      <c r="F1248" s="2">
        <v>7</v>
      </c>
      <c r="G1248" s="3" t="str">
        <f>IF(Sales[[#This Row],[Anggaran Murni]]-Sales[[#This Row],[Target s.d. Januari]]=0,"",Sales[[#This Row],[Anggaran Murni]]-Sales[[#This Row],[Target s.d. Januari]])</f>
        <v/>
      </c>
      <c r="H1248" s="2" t="s">
        <v>76</v>
      </c>
      <c r="I1248" s="3" t="s">
        <v>79</v>
      </c>
      <c r="J1248" s="3"/>
      <c r="K1248" s="2" t="s">
        <v>63</v>
      </c>
      <c r="L1248" s="2" t="s">
        <v>9</v>
      </c>
      <c r="M1248" s="4" t="s">
        <v>67</v>
      </c>
      <c r="N1248" s="3" t="s">
        <v>80</v>
      </c>
      <c r="O1248" s="2" t="s">
        <v>12</v>
      </c>
      <c r="P1248" s="10"/>
      <c r="Q1248" s="11"/>
    </row>
    <row r="1249" spans="2:17" ht="21" customHeight="1" x14ac:dyDescent="0.35">
      <c r="B1249" s="18">
        <v>43977</v>
      </c>
      <c r="C1249" s="18" t="str">
        <f>TEXT(Sales[[#This Row],[Kode Program/Kegiatan ]],"D")</f>
        <v>26</v>
      </c>
      <c r="D1249" s="19" t="str">
        <f>TEXT(Sales[[#This Row],[Kode Program/Kegiatan ]],"mmm")</f>
        <v>May</v>
      </c>
      <c r="E1249" s="20">
        <v>6</v>
      </c>
      <c r="F1249" s="19">
        <v>6</v>
      </c>
      <c r="G1249" s="20" t="str">
        <f>IF(Sales[[#This Row],[Anggaran Murni]]-Sales[[#This Row],[Target s.d. Januari]]=0,"",Sales[[#This Row],[Anggaran Murni]]-Sales[[#This Row],[Target s.d. Januari]])</f>
        <v/>
      </c>
      <c r="H1249" s="19" t="s">
        <v>114</v>
      </c>
      <c r="I1249" s="20" t="s">
        <v>3</v>
      </c>
      <c r="J1249" s="20"/>
      <c r="K1249" s="19" t="s">
        <v>34</v>
      </c>
      <c r="L1249" s="19" t="s">
        <v>2</v>
      </c>
      <c r="M1249" s="21" t="s">
        <v>67</v>
      </c>
      <c r="N1249" s="20" t="s">
        <v>81</v>
      </c>
      <c r="O1249" s="19" t="s">
        <v>13</v>
      </c>
      <c r="P1249" s="10"/>
      <c r="Q1249" s="11"/>
    </row>
    <row r="1250" spans="2:17" ht="21" customHeight="1" x14ac:dyDescent="0.35">
      <c r="B1250" s="1">
        <v>43977</v>
      </c>
      <c r="C1250" s="1" t="str">
        <f>TEXT(Sales[[#This Row],[Kode Program/Kegiatan ]],"D")</f>
        <v>26</v>
      </c>
      <c r="D1250" s="2" t="str">
        <f>TEXT(Sales[[#This Row],[Kode Program/Kegiatan ]],"mmm")</f>
        <v>May</v>
      </c>
      <c r="E1250" s="3">
        <v>5</v>
      </c>
      <c r="F1250" s="2">
        <v>5</v>
      </c>
      <c r="G1250" s="3" t="str">
        <f>IF(Sales[[#This Row],[Anggaran Murni]]-Sales[[#This Row],[Target s.d. Januari]]=0,"",Sales[[#This Row],[Anggaran Murni]]-Sales[[#This Row],[Target s.d. Januari]])</f>
        <v/>
      </c>
      <c r="H1250" s="2" t="s">
        <v>73</v>
      </c>
      <c r="I1250" s="3" t="s">
        <v>78</v>
      </c>
      <c r="J1250" s="3"/>
      <c r="K1250" s="2" t="s">
        <v>16</v>
      </c>
      <c r="L1250" s="2" t="s">
        <v>2</v>
      </c>
      <c r="M1250" s="4" t="s">
        <v>67</v>
      </c>
      <c r="N1250" s="3" t="s">
        <v>82</v>
      </c>
      <c r="O1250" s="2" t="s">
        <v>14</v>
      </c>
      <c r="P1250" s="10"/>
      <c r="Q1250" s="11"/>
    </row>
    <row r="1251" spans="2:17" ht="21" customHeight="1" x14ac:dyDescent="0.35">
      <c r="B1251" s="18">
        <v>43977</v>
      </c>
      <c r="C1251" s="18" t="str">
        <f>TEXT(Sales[[#This Row],[Kode Program/Kegiatan ]],"D")</f>
        <v>26</v>
      </c>
      <c r="D1251" s="19" t="str">
        <f>TEXT(Sales[[#This Row],[Kode Program/Kegiatan ]],"mmm")</f>
        <v>May</v>
      </c>
      <c r="E1251" s="20">
        <v>3</v>
      </c>
      <c r="F1251" s="19">
        <v>3</v>
      </c>
      <c r="G1251" s="20" t="str">
        <f>IF(Sales[[#This Row],[Anggaran Murni]]-Sales[[#This Row],[Target s.d. Januari]]=0,"",Sales[[#This Row],[Anggaran Murni]]-Sales[[#This Row],[Target s.d. Januari]])</f>
        <v/>
      </c>
      <c r="H1251" s="19" t="s">
        <v>70</v>
      </c>
      <c r="I1251" s="20" t="s">
        <v>1</v>
      </c>
      <c r="J1251" s="20"/>
      <c r="K1251" s="19" t="s">
        <v>61</v>
      </c>
      <c r="L1251" s="19" t="s">
        <v>7</v>
      </c>
      <c r="M1251" s="21" t="s">
        <v>67</v>
      </c>
      <c r="N1251" s="20" t="s">
        <v>81</v>
      </c>
      <c r="O1251" s="19" t="s">
        <v>14</v>
      </c>
      <c r="P1251" s="10"/>
      <c r="Q1251" s="11"/>
    </row>
    <row r="1252" spans="2:17" ht="21" customHeight="1" x14ac:dyDescent="0.35">
      <c r="B1252" s="1">
        <v>43977</v>
      </c>
      <c r="C1252" s="1" t="str">
        <f>TEXT(Sales[[#This Row],[Kode Program/Kegiatan ]],"D")</f>
        <v>26</v>
      </c>
      <c r="D1252" s="2" t="str">
        <f>TEXT(Sales[[#This Row],[Kode Program/Kegiatan ]],"mmm")</f>
        <v>May</v>
      </c>
      <c r="E1252" s="3">
        <v>3</v>
      </c>
      <c r="F1252" s="2">
        <v>3</v>
      </c>
      <c r="G1252" s="3" t="str">
        <f>IF(Sales[[#This Row],[Anggaran Murni]]-Sales[[#This Row],[Target s.d. Januari]]=0,"",Sales[[#This Row],[Anggaran Murni]]-Sales[[#This Row],[Target s.d. Januari]])</f>
        <v/>
      </c>
      <c r="H1252" s="2" t="s">
        <v>70</v>
      </c>
      <c r="I1252" s="3" t="s">
        <v>1</v>
      </c>
      <c r="J1252" s="3"/>
      <c r="K1252" s="2" t="s">
        <v>32</v>
      </c>
      <c r="L1252" s="2" t="s">
        <v>2</v>
      </c>
      <c r="M1252" s="4" t="s">
        <v>67</v>
      </c>
      <c r="N1252" s="3" t="s">
        <v>81</v>
      </c>
      <c r="O1252" s="2" t="s">
        <v>14</v>
      </c>
      <c r="P1252" s="10"/>
      <c r="Q1252" s="11"/>
    </row>
    <row r="1253" spans="2:17" ht="21" customHeight="1" x14ac:dyDescent="0.35">
      <c r="B1253" s="18">
        <v>43977</v>
      </c>
      <c r="C1253" s="18" t="str">
        <f>TEXT(Sales[[#This Row],[Kode Program/Kegiatan ]],"D")</f>
        <v>26</v>
      </c>
      <c r="D1253" s="19" t="str">
        <f>TEXT(Sales[[#This Row],[Kode Program/Kegiatan ]],"mmm")</f>
        <v>May</v>
      </c>
      <c r="E1253" s="20">
        <v>3</v>
      </c>
      <c r="F1253" s="19">
        <v>3</v>
      </c>
      <c r="G1253" s="20" t="str">
        <f>IF(Sales[[#This Row],[Anggaran Murni]]-Sales[[#This Row],[Target s.d. Januari]]=0,"",Sales[[#This Row],[Anggaran Murni]]-Sales[[#This Row],[Target s.d. Januari]])</f>
        <v/>
      </c>
      <c r="H1253" s="19" t="s">
        <v>76</v>
      </c>
      <c r="I1253" s="20" t="s">
        <v>79</v>
      </c>
      <c r="J1253" s="20"/>
      <c r="K1253" s="19" t="s">
        <v>51</v>
      </c>
      <c r="L1253" s="19" t="s">
        <v>8</v>
      </c>
      <c r="M1253" s="21" t="s">
        <v>67</v>
      </c>
      <c r="N1253" s="20" t="s">
        <v>80</v>
      </c>
      <c r="O1253" s="19" t="s">
        <v>14</v>
      </c>
      <c r="P1253" s="10"/>
      <c r="Q1253" s="11"/>
    </row>
    <row r="1254" spans="2:17" ht="21" customHeight="1" x14ac:dyDescent="0.35">
      <c r="B1254" s="1">
        <v>43978</v>
      </c>
      <c r="C1254" s="1" t="str">
        <f>TEXT(Sales[[#This Row],[Kode Program/Kegiatan ]],"D")</f>
        <v>27</v>
      </c>
      <c r="D1254" s="2" t="str">
        <f>TEXT(Sales[[#This Row],[Kode Program/Kegiatan ]],"mmm")</f>
        <v>May</v>
      </c>
      <c r="E1254" s="3">
        <v>10</v>
      </c>
      <c r="F1254" s="2">
        <v>10</v>
      </c>
      <c r="G1254" s="3" t="str">
        <f>IF(Sales[[#This Row],[Anggaran Murni]]-Sales[[#This Row],[Target s.d. Januari]]=0,"",Sales[[#This Row],[Anggaran Murni]]-Sales[[#This Row],[Target s.d. Januari]])</f>
        <v/>
      </c>
      <c r="H1254" s="2" t="s">
        <v>114</v>
      </c>
      <c r="I1254" s="3" t="s">
        <v>3</v>
      </c>
      <c r="J1254" s="3"/>
      <c r="K1254" s="2" t="s">
        <v>53</v>
      </c>
      <c r="L1254" s="2" t="s">
        <v>5</v>
      </c>
      <c r="M1254" s="4" t="s">
        <v>67</v>
      </c>
      <c r="N1254" s="3" t="s">
        <v>80</v>
      </c>
      <c r="O1254" s="2" t="s">
        <v>11</v>
      </c>
      <c r="P1254" s="10"/>
      <c r="Q1254" s="11"/>
    </row>
    <row r="1255" spans="2:17" ht="21" customHeight="1" x14ac:dyDescent="0.35">
      <c r="B1255" s="18">
        <v>43978</v>
      </c>
      <c r="C1255" s="18" t="str">
        <f>TEXT(Sales[[#This Row],[Kode Program/Kegiatan ]],"D")</f>
        <v>27</v>
      </c>
      <c r="D1255" s="19" t="str">
        <f>TEXT(Sales[[#This Row],[Kode Program/Kegiatan ]],"mmm")</f>
        <v>May</v>
      </c>
      <c r="E1255" s="20">
        <v>9</v>
      </c>
      <c r="F1255" s="19">
        <v>9</v>
      </c>
      <c r="G1255" s="20" t="str">
        <f>IF(Sales[[#This Row],[Anggaran Murni]]-Sales[[#This Row],[Target s.d. Januari]]=0,"",Sales[[#This Row],[Anggaran Murni]]-Sales[[#This Row],[Target s.d. Januari]])</f>
        <v/>
      </c>
      <c r="H1255" s="19" t="s">
        <v>70</v>
      </c>
      <c r="I1255" s="20" t="s">
        <v>1</v>
      </c>
      <c r="J1255" s="20"/>
      <c r="K1255" s="19" t="s">
        <v>32</v>
      </c>
      <c r="L1255" s="19" t="s">
        <v>9</v>
      </c>
      <c r="M1255" s="21" t="s">
        <v>67</v>
      </c>
      <c r="N1255" s="20" t="s">
        <v>82</v>
      </c>
      <c r="O1255" s="19" t="s">
        <v>12</v>
      </c>
      <c r="P1255" s="10"/>
      <c r="Q1255" s="11"/>
    </row>
    <row r="1256" spans="2:17" ht="21" customHeight="1" x14ac:dyDescent="0.35">
      <c r="B1256" s="1">
        <v>43978</v>
      </c>
      <c r="C1256" s="1" t="str">
        <f>TEXT(Sales[[#This Row],[Kode Program/Kegiatan ]],"D")</f>
        <v>27</v>
      </c>
      <c r="D1256" s="2" t="str">
        <f>TEXT(Sales[[#This Row],[Kode Program/Kegiatan ]],"mmm")</f>
        <v>May</v>
      </c>
      <c r="E1256" s="3">
        <v>9</v>
      </c>
      <c r="F1256" s="2">
        <v>9</v>
      </c>
      <c r="G1256" s="3" t="str">
        <f>IF(Sales[[#This Row],[Anggaran Murni]]-Sales[[#This Row],[Target s.d. Januari]]=0,"",Sales[[#This Row],[Anggaran Murni]]-Sales[[#This Row],[Target s.d. Januari]])</f>
        <v/>
      </c>
      <c r="H1256" s="2" t="s">
        <v>75</v>
      </c>
      <c r="I1256" s="3" t="s">
        <v>6</v>
      </c>
      <c r="J1256" s="3"/>
      <c r="K1256" s="2" t="s">
        <v>62</v>
      </c>
      <c r="L1256" s="2" t="s">
        <v>9</v>
      </c>
      <c r="M1256" s="4" t="s">
        <v>67</v>
      </c>
      <c r="N1256" s="3" t="s">
        <v>82</v>
      </c>
      <c r="O1256" s="2" t="s">
        <v>14</v>
      </c>
      <c r="P1256" s="10"/>
      <c r="Q1256" s="11"/>
    </row>
    <row r="1257" spans="2:17" ht="21" customHeight="1" x14ac:dyDescent="0.35">
      <c r="B1257" s="18">
        <v>43978</v>
      </c>
      <c r="C1257" s="18" t="str">
        <f>TEXT(Sales[[#This Row],[Kode Program/Kegiatan ]],"D")</f>
        <v>27</v>
      </c>
      <c r="D1257" s="19" t="str">
        <f>TEXT(Sales[[#This Row],[Kode Program/Kegiatan ]],"mmm")</f>
        <v>May</v>
      </c>
      <c r="E1257" s="20">
        <v>9</v>
      </c>
      <c r="F1257" s="19">
        <v>9</v>
      </c>
      <c r="G1257" s="20" t="str">
        <f>IF(Sales[[#This Row],[Anggaran Murni]]-Sales[[#This Row],[Target s.d. Januari]]=0,"",Sales[[#This Row],[Anggaran Murni]]-Sales[[#This Row],[Target s.d. Januari]])</f>
        <v/>
      </c>
      <c r="H1257" s="19" t="s">
        <v>74</v>
      </c>
      <c r="I1257" s="20" t="s">
        <v>77</v>
      </c>
      <c r="J1257" s="20"/>
      <c r="K1257" s="19" t="s">
        <v>39</v>
      </c>
      <c r="L1257" s="19" t="s">
        <v>9</v>
      </c>
      <c r="M1257" s="21" t="s">
        <v>67</v>
      </c>
      <c r="N1257" s="20" t="s">
        <v>81</v>
      </c>
      <c r="O1257" s="19" t="s">
        <v>11</v>
      </c>
      <c r="P1257" s="10"/>
      <c r="Q1257" s="11"/>
    </row>
    <row r="1258" spans="2:17" ht="21" customHeight="1" x14ac:dyDescent="0.35">
      <c r="B1258" s="1">
        <v>43978</v>
      </c>
      <c r="C1258" s="1" t="str">
        <f>TEXT(Sales[[#This Row],[Kode Program/Kegiatan ]],"D")</f>
        <v>27</v>
      </c>
      <c r="D1258" s="2" t="str">
        <f>TEXT(Sales[[#This Row],[Kode Program/Kegiatan ]],"mmm")</f>
        <v>May</v>
      </c>
      <c r="E1258" s="3">
        <v>6</v>
      </c>
      <c r="F1258" s="2">
        <v>6</v>
      </c>
      <c r="G1258" s="3" t="str">
        <f>IF(Sales[[#This Row],[Anggaran Murni]]-Sales[[#This Row],[Target s.d. Januari]]=0,"",Sales[[#This Row],[Anggaran Murni]]-Sales[[#This Row],[Target s.d. Januari]])</f>
        <v/>
      </c>
      <c r="H1258" s="2" t="s">
        <v>71</v>
      </c>
      <c r="I1258" s="3" t="s">
        <v>6</v>
      </c>
      <c r="J1258" s="3"/>
      <c r="K1258" s="2" t="s">
        <v>44</v>
      </c>
      <c r="L1258" s="2" t="s">
        <v>2</v>
      </c>
      <c r="M1258" s="4" t="s">
        <v>67</v>
      </c>
      <c r="N1258" s="3" t="s">
        <v>82</v>
      </c>
      <c r="O1258" s="2" t="s">
        <v>12</v>
      </c>
      <c r="P1258" s="10"/>
      <c r="Q1258" s="11"/>
    </row>
    <row r="1259" spans="2:17" ht="21" customHeight="1" x14ac:dyDescent="0.35">
      <c r="B1259" s="18">
        <v>43978</v>
      </c>
      <c r="C1259" s="18" t="str">
        <f>TEXT(Sales[[#This Row],[Kode Program/Kegiatan ]],"D")</f>
        <v>27</v>
      </c>
      <c r="D1259" s="19" t="str">
        <f>TEXT(Sales[[#This Row],[Kode Program/Kegiatan ]],"mmm")</f>
        <v>May</v>
      </c>
      <c r="E1259" s="20">
        <v>4</v>
      </c>
      <c r="F1259" s="19">
        <v>4</v>
      </c>
      <c r="G1259" s="20" t="str">
        <f>IF(Sales[[#This Row],[Anggaran Murni]]-Sales[[#This Row],[Target s.d. Januari]]=0,"",Sales[[#This Row],[Anggaran Murni]]-Sales[[#This Row],[Target s.d. Januari]])</f>
        <v/>
      </c>
      <c r="H1259" s="19" t="s">
        <v>113</v>
      </c>
      <c r="I1259" s="20" t="s">
        <v>77</v>
      </c>
      <c r="J1259" s="20"/>
      <c r="K1259" s="19" t="s">
        <v>36</v>
      </c>
      <c r="L1259" s="19" t="s">
        <v>5</v>
      </c>
      <c r="M1259" s="21" t="s">
        <v>67</v>
      </c>
      <c r="N1259" s="20" t="s">
        <v>82</v>
      </c>
      <c r="O1259" s="19" t="s">
        <v>11</v>
      </c>
      <c r="P1259" s="10"/>
      <c r="Q1259" s="11"/>
    </row>
    <row r="1260" spans="2:17" ht="21" customHeight="1" x14ac:dyDescent="0.35">
      <c r="B1260" s="1">
        <v>43978</v>
      </c>
      <c r="C1260" s="1" t="str">
        <f>TEXT(Sales[[#This Row],[Kode Program/Kegiatan ]],"D")</f>
        <v>27</v>
      </c>
      <c r="D1260" s="2" t="str">
        <f>TEXT(Sales[[#This Row],[Kode Program/Kegiatan ]],"mmm")</f>
        <v>May</v>
      </c>
      <c r="E1260" s="3">
        <v>4</v>
      </c>
      <c r="F1260" s="2">
        <v>4</v>
      </c>
      <c r="G1260" s="3" t="str">
        <f>IF(Sales[[#This Row],[Anggaran Murni]]-Sales[[#This Row],[Target s.d. Januari]]=0,"",Sales[[#This Row],[Anggaran Murni]]-Sales[[#This Row],[Target s.d. Januari]])</f>
        <v/>
      </c>
      <c r="H1260" s="2" t="s">
        <v>114</v>
      </c>
      <c r="I1260" s="3" t="s">
        <v>3</v>
      </c>
      <c r="J1260" s="3"/>
      <c r="K1260" s="2" t="s">
        <v>51</v>
      </c>
      <c r="L1260" s="2" t="s">
        <v>2</v>
      </c>
      <c r="M1260" s="4" t="s">
        <v>67</v>
      </c>
      <c r="N1260" s="3" t="s">
        <v>80</v>
      </c>
      <c r="O1260" s="2" t="s">
        <v>14</v>
      </c>
      <c r="P1260" s="10"/>
      <c r="Q1260" s="11"/>
    </row>
    <row r="1261" spans="2:17" ht="21" customHeight="1" x14ac:dyDescent="0.35">
      <c r="B1261" s="18">
        <v>43978</v>
      </c>
      <c r="C1261" s="18" t="str">
        <f>TEXT(Sales[[#This Row],[Kode Program/Kegiatan ]],"D")</f>
        <v>27</v>
      </c>
      <c r="D1261" s="19" t="str">
        <f>TEXT(Sales[[#This Row],[Kode Program/Kegiatan ]],"mmm")</f>
        <v>May</v>
      </c>
      <c r="E1261" s="20">
        <v>4</v>
      </c>
      <c r="F1261" s="19">
        <v>4</v>
      </c>
      <c r="G1261" s="20" t="str">
        <f>IF(Sales[[#This Row],[Anggaran Murni]]-Sales[[#This Row],[Target s.d. Januari]]=0,"",Sales[[#This Row],[Anggaran Murni]]-Sales[[#This Row],[Target s.d. Januari]])</f>
        <v/>
      </c>
      <c r="H1261" s="19" t="s">
        <v>74</v>
      </c>
      <c r="I1261" s="20" t="s">
        <v>77</v>
      </c>
      <c r="J1261" s="20"/>
      <c r="K1261" s="19" t="s">
        <v>21</v>
      </c>
      <c r="L1261" s="19" t="s">
        <v>5</v>
      </c>
      <c r="M1261" s="21" t="s">
        <v>67</v>
      </c>
      <c r="N1261" s="20" t="s">
        <v>82</v>
      </c>
      <c r="O1261" s="19" t="s">
        <v>13</v>
      </c>
      <c r="P1261" s="10"/>
      <c r="Q1261" s="11"/>
    </row>
    <row r="1262" spans="2:17" ht="21" customHeight="1" x14ac:dyDescent="0.35">
      <c r="B1262" s="1">
        <v>43978</v>
      </c>
      <c r="C1262" s="1" t="str">
        <f>TEXT(Sales[[#This Row],[Kode Program/Kegiatan ]],"D")</f>
        <v>27</v>
      </c>
      <c r="D1262" s="2" t="str">
        <f>TEXT(Sales[[#This Row],[Kode Program/Kegiatan ]],"mmm")</f>
        <v>May</v>
      </c>
      <c r="E1262" s="3">
        <v>3</v>
      </c>
      <c r="F1262" s="2">
        <v>3</v>
      </c>
      <c r="G1262" s="3" t="str">
        <f>IF(Sales[[#This Row],[Anggaran Murni]]-Sales[[#This Row],[Target s.d. Januari]]=0,"",Sales[[#This Row],[Anggaran Murni]]-Sales[[#This Row],[Target s.d. Januari]])</f>
        <v/>
      </c>
      <c r="H1262" s="2" t="s">
        <v>73</v>
      </c>
      <c r="I1262" s="3" t="s">
        <v>78</v>
      </c>
      <c r="J1262" s="3"/>
      <c r="K1262" s="2" t="s">
        <v>57</v>
      </c>
      <c r="L1262" s="2" t="s">
        <v>9</v>
      </c>
      <c r="M1262" s="4" t="s">
        <v>67</v>
      </c>
      <c r="N1262" s="3" t="s">
        <v>82</v>
      </c>
      <c r="O1262" s="2" t="s">
        <v>11</v>
      </c>
      <c r="P1262" s="10"/>
      <c r="Q1262" s="11"/>
    </row>
    <row r="1263" spans="2:17" ht="21" customHeight="1" x14ac:dyDescent="0.35">
      <c r="B1263" s="18">
        <v>43978</v>
      </c>
      <c r="C1263" s="18" t="str">
        <f>TEXT(Sales[[#This Row],[Kode Program/Kegiatan ]],"D")</f>
        <v>27</v>
      </c>
      <c r="D1263" s="19" t="str">
        <f>TEXT(Sales[[#This Row],[Kode Program/Kegiatan ]],"mmm")</f>
        <v>May</v>
      </c>
      <c r="E1263" s="20">
        <v>3</v>
      </c>
      <c r="F1263" s="19">
        <v>3</v>
      </c>
      <c r="G1263" s="20" t="str">
        <f>IF(Sales[[#This Row],[Anggaran Murni]]-Sales[[#This Row],[Target s.d. Januari]]=0,"",Sales[[#This Row],[Anggaran Murni]]-Sales[[#This Row],[Target s.d. Januari]])</f>
        <v/>
      </c>
      <c r="H1263" s="19" t="s">
        <v>75</v>
      </c>
      <c r="I1263" s="20" t="s">
        <v>6</v>
      </c>
      <c r="J1263" s="20"/>
      <c r="K1263" s="19" t="s">
        <v>62</v>
      </c>
      <c r="L1263" s="19" t="s">
        <v>2</v>
      </c>
      <c r="M1263" s="21" t="s">
        <v>67</v>
      </c>
      <c r="N1263" s="20" t="s">
        <v>81</v>
      </c>
      <c r="O1263" s="19" t="s">
        <v>13</v>
      </c>
      <c r="P1263" s="10"/>
      <c r="Q1263" s="11"/>
    </row>
    <row r="1264" spans="2:17" ht="21" customHeight="1" x14ac:dyDescent="0.35">
      <c r="B1264" s="1">
        <v>43978</v>
      </c>
      <c r="C1264" s="1" t="str">
        <f>TEXT(Sales[[#This Row],[Kode Program/Kegiatan ]],"D")</f>
        <v>27</v>
      </c>
      <c r="D1264" s="2" t="str">
        <f>TEXT(Sales[[#This Row],[Kode Program/Kegiatan ]],"mmm")</f>
        <v>May</v>
      </c>
      <c r="E1264" s="3">
        <v>3</v>
      </c>
      <c r="F1264" s="2">
        <v>3</v>
      </c>
      <c r="G1264" s="3" t="str">
        <f>IF(Sales[[#This Row],[Anggaran Murni]]-Sales[[#This Row],[Target s.d. Januari]]=0,"",Sales[[#This Row],[Anggaran Murni]]-Sales[[#This Row],[Target s.d. Januari]])</f>
        <v/>
      </c>
      <c r="H1264" s="2" t="s">
        <v>114</v>
      </c>
      <c r="I1264" s="3" t="s">
        <v>3</v>
      </c>
      <c r="J1264" s="3"/>
      <c r="K1264" s="2" t="s">
        <v>40</v>
      </c>
      <c r="L1264" s="2" t="s">
        <v>2</v>
      </c>
      <c r="M1264" s="4" t="s">
        <v>67</v>
      </c>
      <c r="N1264" s="3" t="s">
        <v>82</v>
      </c>
      <c r="O1264" s="2" t="s">
        <v>11</v>
      </c>
      <c r="P1264" s="10"/>
      <c r="Q1264" s="11"/>
    </row>
    <row r="1265" spans="2:17" ht="21" customHeight="1" x14ac:dyDescent="0.35">
      <c r="B1265" s="18">
        <v>43979</v>
      </c>
      <c r="C1265" s="18" t="str">
        <f>TEXT(Sales[[#This Row],[Kode Program/Kegiatan ]],"D")</f>
        <v>28</v>
      </c>
      <c r="D1265" s="19" t="str">
        <f>TEXT(Sales[[#This Row],[Kode Program/Kegiatan ]],"mmm")</f>
        <v>May</v>
      </c>
      <c r="E1265" s="20">
        <v>10</v>
      </c>
      <c r="F1265" s="19">
        <v>10</v>
      </c>
      <c r="G1265" s="20" t="str">
        <f>IF(Sales[[#This Row],[Anggaran Murni]]-Sales[[#This Row],[Target s.d. Januari]]=0,"",Sales[[#This Row],[Anggaran Murni]]-Sales[[#This Row],[Target s.d. Januari]])</f>
        <v/>
      </c>
      <c r="H1265" s="19" t="s">
        <v>70</v>
      </c>
      <c r="I1265" s="20" t="s">
        <v>1</v>
      </c>
      <c r="J1265" s="20"/>
      <c r="K1265" s="19" t="s">
        <v>45</v>
      </c>
      <c r="L1265" s="19" t="s">
        <v>7</v>
      </c>
      <c r="M1265" s="21" t="s">
        <v>67</v>
      </c>
      <c r="N1265" s="20" t="s">
        <v>82</v>
      </c>
      <c r="O1265" s="19" t="s">
        <v>11</v>
      </c>
      <c r="P1265" s="10"/>
      <c r="Q1265" s="11"/>
    </row>
    <row r="1266" spans="2:17" ht="21" customHeight="1" x14ac:dyDescent="0.35">
      <c r="B1266" s="1">
        <v>43979</v>
      </c>
      <c r="C1266" s="1" t="str">
        <f>TEXT(Sales[[#This Row],[Kode Program/Kegiatan ]],"D")</f>
        <v>28</v>
      </c>
      <c r="D1266" s="2" t="str">
        <f>TEXT(Sales[[#This Row],[Kode Program/Kegiatan ]],"mmm")</f>
        <v>May</v>
      </c>
      <c r="E1266" s="3">
        <v>9</v>
      </c>
      <c r="F1266" s="2">
        <v>9</v>
      </c>
      <c r="G1266" s="3" t="str">
        <f>IF(Sales[[#This Row],[Anggaran Murni]]-Sales[[#This Row],[Target s.d. Januari]]=0,"",Sales[[#This Row],[Anggaran Murni]]-Sales[[#This Row],[Target s.d. Januari]])</f>
        <v/>
      </c>
      <c r="H1266" s="2" t="s">
        <v>70</v>
      </c>
      <c r="I1266" s="3" t="s">
        <v>1</v>
      </c>
      <c r="J1266" s="3"/>
      <c r="K1266" s="2" t="s">
        <v>38</v>
      </c>
      <c r="L1266" s="2" t="s">
        <v>5</v>
      </c>
      <c r="M1266" s="4" t="s">
        <v>67</v>
      </c>
      <c r="N1266" s="3" t="s">
        <v>80</v>
      </c>
      <c r="O1266" s="2" t="s">
        <v>13</v>
      </c>
      <c r="P1266" s="10"/>
      <c r="Q1266" s="11"/>
    </row>
    <row r="1267" spans="2:17" ht="21" customHeight="1" x14ac:dyDescent="0.35">
      <c r="B1267" s="18">
        <v>43979</v>
      </c>
      <c r="C1267" s="18" t="str">
        <f>TEXT(Sales[[#This Row],[Kode Program/Kegiatan ]],"D")</f>
        <v>28</v>
      </c>
      <c r="D1267" s="19" t="str">
        <f>TEXT(Sales[[#This Row],[Kode Program/Kegiatan ]],"mmm")</f>
        <v>May</v>
      </c>
      <c r="E1267" s="20">
        <v>9</v>
      </c>
      <c r="F1267" s="19">
        <v>9</v>
      </c>
      <c r="G1267" s="20" t="str">
        <f>IF(Sales[[#This Row],[Anggaran Murni]]-Sales[[#This Row],[Target s.d. Januari]]=0,"",Sales[[#This Row],[Anggaran Murni]]-Sales[[#This Row],[Target s.d. Januari]])</f>
        <v/>
      </c>
      <c r="H1267" s="19" t="s">
        <v>113</v>
      </c>
      <c r="I1267" s="20" t="s">
        <v>77</v>
      </c>
      <c r="J1267" s="20"/>
      <c r="K1267" s="19" t="s">
        <v>58</v>
      </c>
      <c r="L1267" s="19" t="s">
        <v>5</v>
      </c>
      <c r="M1267" s="21" t="s">
        <v>67</v>
      </c>
      <c r="N1267" s="20" t="s">
        <v>82</v>
      </c>
      <c r="O1267" s="19" t="s">
        <v>13</v>
      </c>
      <c r="P1267" s="10"/>
      <c r="Q1267" s="11"/>
    </row>
    <row r="1268" spans="2:17" ht="21" customHeight="1" x14ac:dyDescent="0.35">
      <c r="B1268" s="1">
        <v>43979</v>
      </c>
      <c r="C1268" s="1" t="str">
        <f>TEXT(Sales[[#This Row],[Kode Program/Kegiatan ]],"D")</f>
        <v>28</v>
      </c>
      <c r="D1268" s="2" t="str">
        <f>TEXT(Sales[[#This Row],[Kode Program/Kegiatan ]],"mmm")</f>
        <v>May</v>
      </c>
      <c r="E1268" s="3">
        <v>9</v>
      </c>
      <c r="F1268" s="2">
        <v>9</v>
      </c>
      <c r="G1268" s="3" t="str">
        <f>IF(Sales[[#This Row],[Anggaran Murni]]-Sales[[#This Row],[Target s.d. Januari]]=0,"",Sales[[#This Row],[Anggaran Murni]]-Sales[[#This Row],[Target s.d. Januari]])</f>
        <v/>
      </c>
      <c r="H1268" s="2" t="s">
        <v>74</v>
      </c>
      <c r="I1268" s="3" t="s">
        <v>77</v>
      </c>
      <c r="J1268" s="3"/>
      <c r="K1268" s="2" t="s">
        <v>29</v>
      </c>
      <c r="L1268" s="2" t="s">
        <v>5</v>
      </c>
      <c r="M1268" s="4" t="s">
        <v>67</v>
      </c>
      <c r="N1268" s="3" t="s">
        <v>82</v>
      </c>
      <c r="O1268" s="2" t="s">
        <v>13</v>
      </c>
      <c r="P1268" s="10"/>
      <c r="Q1268" s="11"/>
    </row>
    <row r="1269" spans="2:17" ht="21" customHeight="1" x14ac:dyDescent="0.35">
      <c r="B1269" s="18">
        <v>43979</v>
      </c>
      <c r="C1269" s="18" t="str">
        <f>TEXT(Sales[[#This Row],[Kode Program/Kegiatan ]],"D")</f>
        <v>28</v>
      </c>
      <c r="D1269" s="19" t="str">
        <f>TEXT(Sales[[#This Row],[Kode Program/Kegiatan ]],"mmm")</f>
        <v>May</v>
      </c>
      <c r="E1269" s="20">
        <v>8</v>
      </c>
      <c r="F1269" s="19">
        <v>8</v>
      </c>
      <c r="G1269" s="20" t="str">
        <f>IF(Sales[[#This Row],[Anggaran Murni]]-Sales[[#This Row],[Target s.d. Januari]]=0,"",Sales[[#This Row],[Anggaran Murni]]-Sales[[#This Row],[Target s.d. Januari]])</f>
        <v/>
      </c>
      <c r="H1269" s="19" t="s">
        <v>73</v>
      </c>
      <c r="I1269" s="20" t="s">
        <v>78</v>
      </c>
      <c r="J1269" s="20"/>
      <c r="K1269" s="19" t="s">
        <v>50</v>
      </c>
      <c r="L1269" s="19" t="s">
        <v>2</v>
      </c>
      <c r="M1269" s="21" t="s">
        <v>67</v>
      </c>
      <c r="N1269" s="20" t="s">
        <v>80</v>
      </c>
      <c r="O1269" s="19" t="s">
        <v>12</v>
      </c>
      <c r="P1269" s="10"/>
      <c r="Q1269" s="11"/>
    </row>
    <row r="1270" spans="2:17" ht="21" customHeight="1" x14ac:dyDescent="0.35">
      <c r="B1270" s="1">
        <v>43979</v>
      </c>
      <c r="C1270" s="1" t="str">
        <f>TEXT(Sales[[#This Row],[Kode Program/Kegiatan ]],"D")</f>
        <v>28</v>
      </c>
      <c r="D1270" s="2" t="str">
        <f>TEXT(Sales[[#This Row],[Kode Program/Kegiatan ]],"mmm")</f>
        <v>May</v>
      </c>
      <c r="E1270" s="3">
        <v>6</v>
      </c>
      <c r="F1270" s="2">
        <v>6</v>
      </c>
      <c r="G1270" s="3" t="str">
        <f>IF(Sales[[#This Row],[Anggaran Murni]]-Sales[[#This Row],[Target s.d. Januari]]=0,"",Sales[[#This Row],[Anggaran Murni]]-Sales[[#This Row],[Target s.d. Januari]])</f>
        <v/>
      </c>
      <c r="H1270" s="2" t="s">
        <v>70</v>
      </c>
      <c r="I1270" s="3" t="s">
        <v>1</v>
      </c>
      <c r="J1270" s="3"/>
      <c r="K1270" s="2" t="s">
        <v>56</v>
      </c>
      <c r="L1270" s="2" t="s">
        <v>2</v>
      </c>
      <c r="M1270" s="4" t="s">
        <v>67</v>
      </c>
      <c r="N1270" s="3" t="s">
        <v>82</v>
      </c>
      <c r="O1270" s="2" t="s">
        <v>12</v>
      </c>
      <c r="P1270" s="10"/>
      <c r="Q1270" s="11"/>
    </row>
    <row r="1271" spans="2:17" ht="21" customHeight="1" x14ac:dyDescent="0.35">
      <c r="B1271" s="18">
        <v>43979</v>
      </c>
      <c r="C1271" s="18" t="str">
        <f>TEXT(Sales[[#This Row],[Kode Program/Kegiatan ]],"D")</f>
        <v>28</v>
      </c>
      <c r="D1271" s="19" t="str">
        <f>TEXT(Sales[[#This Row],[Kode Program/Kegiatan ]],"mmm")</f>
        <v>May</v>
      </c>
      <c r="E1271" s="20">
        <v>6</v>
      </c>
      <c r="F1271" s="19">
        <v>6</v>
      </c>
      <c r="G1271" s="20" t="str">
        <f>IF(Sales[[#This Row],[Anggaran Murni]]-Sales[[#This Row],[Target s.d. Januari]]=0,"",Sales[[#This Row],[Anggaran Murni]]-Sales[[#This Row],[Target s.d. Januari]])</f>
        <v/>
      </c>
      <c r="H1271" s="19" t="s">
        <v>74</v>
      </c>
      <c r="I1271" s="20" t="s">
        <v>77</v>
      </c>
      <c r="J1271" s="20"/>
      <c r="K1271" s="19" t="s">
        <v>25</v>
      </c>
      <c r="L1271" s="19" t="s">
        <v>2</v>
      </c>
      <c r="M1271" s="21" t="s">
        <v>67</v>
      </c>
      <c r="N1271" s="20" t="s">
        <v>80</v>
      </c>
      <c r="O1271" s="19" t="s">
        <v>12</v>
      </c>
      <c r="P1271" s="10"/>
      <c r="Q1271" s="11"/>
    </row>
    <row r="1272" spans="2:17" ht="21" customHeight="1" x14ac:dyDescent="0.35">
      <c r="B1272" s="1">
        <v>43979</v>
      </c>
      <c r="C1272" s="1" t="str">
        <f>TEXT(Sales[[#This Row],[Kode Program/Kegiatan ]],"D")</f>
        <v>28</v>
      </c>
      <c r="D1272" s="2" t="str">
        <f>TEXT(Sales[[#This Row],[Kode Program/Kegiatan ]],"mmm")</f>
        <v>May</v>
      </c>
      <c r="E1272" s="3">
        <v>5</v>
      </c>
      <c r="F1272" s="2">
        <v>5</v>
      </c>
      <c r="G1272" s="3" t="str">
        <f>IF(Sales[[#This Row],[Anggaran Murni]]-Sales[[#This Row],[Target s.d. Januari]]=0,"",Sales[[#This Row],[Anggaran Murni]]-Sales[[#This Row],[Target s.d. Januari]])</f>
        <v/>
      </c>
      <c r="H1272" s="2" t="s">
        <v>71</v>
      </c>
      <c r="I1272" s="3" t="s">
        <v>6</v>
      </c>
      <c r="J1272" s="3"/>
      <c r="K1272" s="2" t="s">
        <v>45</v>
      </c>
      <c r="L1272" s="2" t="s">
        <v>5</v>
      </c>
      <c r="M1272" s="4" t="s">
        <v>67</v>
      </c>
      <c r="N1272" s="3" t="s">
        <v>80</v>
      </c>
      <c r="O1272" s="2" t="s">
        <v>12</v>
      </c>
      <c r="P1272" s="10"/>
      <c r="Q1272" s="11"/>
    </row>
    <row r="1273" spans="2:17" ht="21" customHeight="1" x14ac:dyDescent="0.35">
      <c r="B1273" s="18">
        <v>43979</v>
      </c>
      <c r="C1273" s="18" t="str">
        <f>TEXT(Sales[[#This Row],[Kode Program/Kegiatan ]],"D")</f>
        <v>28</v>
      </c>
      <c r="D1273" s="19" t="str">
        <f>TEXT(Sales[[#This Row],[Kode Program/Kegiatan ]],"mmm")</f>
        <v>May</v>
      </c>
      <c r="E1273" s="20">
        <v>3</v>
      </c>
      <c r="F1273" s="19">
        <v>3</v>
      </c>
      <c r="G1273" s="20" t="str">
        <f>IF(Sales[[#This Row],[Anggaran Murni]]-Sales[[#This Row],[Target s.d. Januari]]=0,"",Sales[[#This Row],[Anggaran Murni]]-Sales[[#This Row],[Target s.d. Januari]])</f>
        <v/>
      </c>
      <c r="H1273" s="19" t="s">
        <v>114</v>
      </c>
      <c r="I1273" s="20" t="s">
        <v>3</v>
      </c>
      <c r="J1273" s="20"/>
      <c r="K1273" s="19" t="s">
        <v>37</v>
      </c>
      <c r="L1273" s="19" t="s">
        <v>5</v>
      </c>
      <c r="M1273" s="21" t="s">
        <v>67</v>
      </c>
      <c r="N1273" s="20" t="s">
        <v>80</v>
      </c>
      <c r="O1273" s="19" t="s">
        <v>13</v>
      </c>
      <c r="P1273" s="10"/>
      <c r="Q1273" s="11"/>
    </row>
    <row r="1274" spans="2:17" ht="21" customHeight="1" x14ac:dyDescent="0.35">
      <c r="B1274" s="1">
        <v>43980</v>
      </c>
      <c r="C1274" s="1" t="str">
        <f>TEXT(Sales[[#This Row],[Kode Program/Kegiatan ]],"D")</f>
        <v>29</v>
      </c>
      <c r="D1274" s="2" t="str">
        <f>TEXT(Sales[[#This Row],[Kode Program/Kegiatan ]],"mmm")</f>
        <v>May</v>
      </c>
      <c r="E1274" s="3">
        <v>10</v>
      </c>
      <c r="F1274" s="2">
        <v>10</v>
      </c>
      <c r="G1274" s="3" t="str">
        <f>IF(Sales[[#This Row],[Anggaran Murni]]-Sales[[#This Row],[Target s.d. Januari]]=0,"",Sales[[#This Row],[Anggaran Murni]]-Sales[[#This Row],[Target s.d. Januari]])</f>
        <v/>
      </c>
      <c r="H1274" s="2" t="s">
        <v>76</v>
      </c>
      <c r="I1274" s="3" t="s">
        <v>79</v>
      </c>
      <c r="J1274" s="3"/>
      <c r="K1274" s="2" t="s">
        <v>42</v>
      </c>
      <c r="L1274" s="2" t="s">
        <v>5</v>
      </c>
      <c r="M1274" s="4" t="s">
        <v>67</v>
      </c>
      <c r="N1274" s="3" t="s">
        <v>82</v>
      </c>
      <c r="O1274" s="2" t="s">
        <v>14</v>
      </c>
      <c r="P1274" s="10"/>
      <c r="Q1274" s="11"/>
    </row>
    <row r="1275" spans="2:17" ht="21" customHeight="1" x14ac:dyDescent="0.35">
      <c r="B1275" s="18">
        <v>43980</v>
      </c>
      <c r="C1275" s="18" t="str">
        <f>TEXT(Sales[[#This Row],[Kode Program/Kegiatan ]],"D")</f>
        <v>29</v>
      </c>
      <c r="D1275" s="19" t="str">
        <f>TEXT(Sales[[#This Row],[Kode Program/Kegiatan ]],"mmm")</f>
        <v>May</v>
      </c>
      <c r="E1275" s="20">
        <v>10</v>
      </c>
      <c r="F1275" s="19">
        <v>10</v>
      </c>
      <c r="G1275" s="20" t="str">
        <f>IF(Sales[[#This Row],[Anggaran Murni]]-Sales[[#This Row],[Target s.d. Januari]]=0,"",Sales[[#This Row],[Anggaran Murni]]-Sales[[#This Row],[Target s.d. Januari]])</f>
        <v/>
      </c>
      <c r="H1275" s="19" t="s">
        <v>74</v>
      </c>
      <c r="I1275" s="20" t="s">
        <v>77</v>
      </c>
      <c r="J1275" s="20"/>
      <c r="K1275" s="19" t="s">
        <v>29</v>
      </c>
      <c r="L1275" s="19" t="s">
        <v>5</v>
      </c>
      <c r="M1275" s="21" t="s">
        <v>67</v>
      </c>
      <c r="N1275" s="20" t="s">
        <v>80</v>
      </c>
      <c r="O1275" s="19" t="s">
        <v>12</v>
      </c>
      <c r="P1275" s="10"/>
      <c r="Q1275" s="11"/>
    </row>
    <row r="1276" spans="2:17" ht="21" customHeight="1" x14ac:dyDescent="0.35">
      <c r="B1276" s="1">
        <v>43980</v>
      </c>
      <c r="C1276" s="1" t="str">
        <f>TEXT(Sales[[#This Row],[Kode Program/Kegiatan ]],"D")</f>
        <v>29</v>
      </c>
      <c r="D1276" s="2" t="str">
        <f>TEXT(Sales[[#This Row],[Kode Program/Kegiatan ]],"mmm")</f>
        <v>May</v>
      </c>
      <c r="E1276" s="3">
        <v>9</v>
      </c>
      <c r="F1276" s="2">
        <v>9</v>
      </c>
      <c r="G1276" s="3" t="str">
        <f>IF(Sales[[#This Row],[Anggaran Murni]]-Sales[[#This Row],[Target s.d. Januari]]=0,"",Sales[[#This Row],[Anggaran Murni]]-Sales[[#This Row],[Target s.d. Januari]])</f>
        <v/>
      </c>
      <c r="H1276" s="2" t="s">
        <v>114</v>
      </c>
      <c r="I1276" s="3" t="s">
        <v>3</v>
      </c>
      <c r="J1276" s="3"/>
      <c r="K1276" s="2" t="s">
        <v>55</v>
      </c>
      <c r="L1276" s="2" t="s">
        <v>5</v>
      </c>
      <c r="M1276" s="4" t="s">
        <v>67</v>
      </c>
      <c r="N1276" s="3" t="s">
        <v>82</v>
      </c>
      <c r="O1276" s="2" t="s">
        <v>13</v>
      </c>
      <c r="P1276" s="10"/>
      <c r="Q1276" s="11"/>
    </row>
    <row r="1277" spans="2:17" ht="21" customHeight="1" x14ac:dyDescent="0.35">
      <c r="B1277" s="18">
        <v>43980</v>
      </c>
      <c r="C1277" s="18" t="str">
        <f>TEXT(Sales[[#This Row],[Kode Program/Kegiatan ]],"D")</f>
        <v>29</v>
      </c>
      <c r="D1277" s="19" t="str">
        <f>TEXT(Sales[[#This Row],[Kode Program/Kegiatan ]],"mmm")</f>
        <v>May</v>
      </c>
      <c r="E1277" s="20">
        <v>8</v>
      </c>
      <c r="F1277" s="19">
        <v>8</v>
      </c>
      <c r="G1277" s="20" t="str">
        <f>IF(Sales[[#This Row],[Anggaran Murni]]-Sales[[#This Row],[Target s.d. Januari]]=0,"",Sales[[#This Row],[Anggaran Murni]]-Sales[[#This Row],[Target s.d. Januari]])</f>
        <v/>
      </c>
      <c r="H1277" s="19" t="s">
        <v>113</v>
      </c>
      <c r="I1277" s="20" t="s">
        <v>77</v>
      </c>
      <c r="J1277" s="20"/>
      <c r="K1277" s="19" t="s">
        <v>50</v>
      </c>
      <c r="L1277" s="19" t="s">
        <v>2</v>
      </c>
      <c r="M1277" s="21" t="s">
        <v>67</v>
      </c>
      <c r="N1277" s="20" t="s">
        <v>82</v>
      </c>
      <c r="O1277" s="19" t="s">
        <v>13</v>
      </c>
      <c r="P1277" s="10"/>
      <c r="Q1277" s="11"/>
    </row>
    <row r="1278" spans="2:17" ht="21" customHeight="1" x14ac:dyDescent="0.35">
      <c r="B1278" s="1">
        <v>43980</v>
      </c>
      <c r="C1278" s="1" t="str">
        <f>TEXT(Sales[[#This Row],[Kode Program/Kegiatan ]],"D")</f>
        <v>29</v>
      </c>
      <c r="D1278" s="2" t="str">
        <f>TEXT(Sales[[#This Row],[Kode Program/Kegiatan ]],"mmm")</f>
        <v>May</v>
      </c>
      <c r="E1278" s="3">
        <v>8</v>
      </c>
      <c r="F1278" s="2">
        <v>8</v>
      </c>
      <c r="G1278" s="3" t="str">
        <f>IF(Sales[[#This Row],[Anggaran Murni]]-Sales[[#This Row],[Target s.d. Januari]]=0,"",Sales[[#This Row],[Anggaran Murni]]-Sales[[#This Row],[Target s.d. Januari]])</f>
        <v/>
      </c>
      <c r="H1278" s="2" t="s">
        <v>114</v>
      </c>
      <c r="I1278" s="3" t="s">
        <v>3</v>
      </c>
      <c r="J1278" s="3"/>
      <c r="K1278" s="2" t="s">
        <v>40</v>
      </c>
      <c r="L1278" s="2" t="s">
        <v>8</v>
      </c>
      <c r="M1278" s="4" t="s">
        <v>67</v>
      </c>
      <c r="N1278" s="3" t="s">
        <v>81</v>
      </c>
      <c r="O1278" s="2" t="s">
        <v>11</v>
      </c>
      <c r="P1278" s="10"/>
      <c r="Q1278" s="11"/>
    </row>
    <row r="1279" spans="2:17" ht="21" customHeight="1" x14ac:dyDescent="0.35">
      <c r="B1279" s="18">
        <v>43980</v>
      </c>
      <c r="C1279" s="18" t="str">
        <f>TEXT(Sales[[#This Row],[Kode Program/Kegiatan ]],"D")</f>
        <v>29</v>
      </c>
      <c r="D1279" s="19" t="str">
        <f>TEXT(Sales[[#This Row],[Kode Program/Kegiatan ]],"mmm")</f>
        <v>May</v>
      </c>
      <c r="E1279" s="20">
        <v>7</v>
      </c>
      <c r="F1279" s="19">
        <v>7</v>
      </c>
      <c r="G1279" s="20" t="str">
        <f>IF(Sales[[#This Row],[Anggaran Murni]]-Sales[[#This Row],[Target s.d. Januari]]=0,"",Sales[[#This Row],[Anggaran Murni]]-Sales[[#This Row],[Target s.d. Januari]])</f>
        <v/>
      </c>
      <c r="H1279" s="19" t="s">
        <v>70</v>
      </c>
      <c r="I1279" s="20" t="s">
        <v>1</v>
      </c>
      <c r="J1279" s="20"/>
      <c r="K1279" s="19" t="s">
        <v>22</v>
      </c>
      <c r="L1279" s="19" t="s">
        <v>2</v>
      </c>
      <c r="M1279" s="21" t="s">
        <v>67</v>
      </c>
      <c r="N1279" s="20" t="s">
        <v>82</v>
      </c>
      <c r="O1279" s="19" t="s">
        <v>12</v>
      </c>
      <c r="P1279" s="10"/>
      <c r="Q1279" s="11"/>
    </row>
    <row r="1280" spans="2:17" ht="21" customHeight="1" x14ac:dyDescent="0.35">
      <c r="B1280" s="1">
        <v>43980</v>
      </c>
      <c r="C1280" s="1" t="str">
        <f>TEXT(Sales[[#This Row],[Kode Program/Kegiatan ]],"D")</f>
        <v>29</v>
      </c>
      <c r="D1280" s="2" t="str">
        <f>TEXT(Sales[[#This Row],[Kode Program/Kegiatan ]],"mmm")</f>
        <v>May</v>
      </c>
      <c r="E1280" s="3">
        <v>6</v>
      </c>
      <c r="F1280" s="2">
        <v>6</v>
      </c>
      <c r="G1280" s="3" t="str">
        <f>IF(Sales[[#This Row],[Anggaran Murni]]-Sales[[#This Row],[Target s.d. Januari]]=0,"",Sales[[#This Row],[Anggaran Murni]]-Sales[[#This Row],[Target s.d. Januari]])</f>
        <v/>
      </c>
      <c r="H1280" s="2" t="s">
        <v>75</v>
      </c>
      <c r="I1280" s="3" t="s">
        <v>6</v>
      </c>
      <c r="J1280" s="3"/>
      <c r="K1280" s="2" t="s">
        <v>59</v>
      </c>
      <c r="L1280" s="2" t="s">
        <v>2</v>
      </c>
      <c r="M1280" s="4" t="s">
        <v>67</v>
      </c>
      <c r="N1280" s="3" t="s">
        <v>80</v>
      </c>
      <c r="O1280" s="2" t="s">
        <v>11</v>
      </c>
      <c r="P1280" s="10"/>
      <c r="Q1280" s="11"/>
    </row>
    <row r="1281" spans="2:17" ht="21" customHeight="1" x14ac:dyDescent="0.35">
      <c r="B1281" s="18">
        <v>43980</v>
      </c>
      <c r="C1281" s="18" t="str">
        <f>TEXT(Sales[[#This Row],[Kode Program/Kegiatan ]],"D")</f>
        <v>29</v>
      </c>
      <c r="D1281" s="19" t="str">
        <f>TEXT(Sales[[#This Row],[Kode Program/Kegiatan ]],"mmm")</f>
        <v>May</v>
      </c>
      <c r="E1281" s="20">
        <v>6</v>
      </c>
      <c r="F1281" s="19">
        <v>6</v>
      </c>
      <c r="G1281" s="20" t="str">
        <f>IF(Sales[[#This Row],[Anggaran Murni]]-Sales[[#This Row],[Target s.d. Januari]]=0,"",Sales[[#This Row],[Anggaran Murni]]-Sales[[#This Row],[Target s.d. Januari]])</f>
        <v/>
      </c>
      <c r="H1281" s="19" t="s">
        <v>73</v>
      </c>
      <c r="I1281" s="20" t="s">
        <v>78</v>
      </c>
      <c r="J1281" s="20"/>
      <c r="K1281" s="19" t="s">
        <v>29</v>
      </c>
      <c r="L1281" s="19" t="s">
        <v>2</v>
      </c>
      <c r="M1281" s="21" t="s">
        <v>67</v>
      </c>
      <c r="N1281" s="20" t="s">
        <v>81</v>
      </c>
      <c r="O1281" s="19" t="s">
        <v>14</v>
      </c>
      <c r="P1281" s="10"/>
      <c r="Q1281" s="11"/>
    </row>
    <row r="1282" spans="2:17" ht="21" customHeight="1" x14ac:dyDescent="0.35">
      <c r="B1282" s="1">
        <v>43980</v>
      </c>
      <c r="C1282" s="1" t="str">
        <f>TEXT(Sales[[#This Row],[Kode Program/Kegiatan ]],"D")</f>
        <v>29</v>
      </c>
      <c r="D1282" s="2" t="str">
        <f>TEXT(Sales[[#This Row],[Kode Program/Kegiatan ]],"mmm")</f>
        <v>May</v>
      </c>
      <c r="E1282" s="3">
        <v>4</v>
      </c>
      <c r="F1282" s="2">
        <v>4</v>
      </c>
      <c r="G1282" s="3" t="str">
        <f>IF(Sales[[#This Row],[Anggaran Murni]]-Sales[[#This Row],[Target s.d. Januari]]=0,"",Sales[[#This Row],[Anggaran Murni]]-Sales[[#This Row],[Target s.d. Januari]])</f>
        <v/>
      </c>
      <c r="H1282" s="2" t="s">
        <v>70</v>
      </c>
      <c r="I1282" s="3" t="s">
        <v>1</v>
      </c>
      <c r="J1282" s="3"/>
      <c r="K1282" s="2" t="s">
        <v>57</v>
      </c>
      <c r="L1282" s="2" t="s">
        <v>2</v>
      </c>
      <c r="M1282" s="4" t="s">
        <v>67</v>
      </c>
      <c r="N1282" s="3" t="s">
        <v>81</v>
      </c>
      <c r="O1282" s="2" t="s">
        <v>13</v>
      </c>
      <c r="P1282" s="10"/>
      <c r="Q1282" s="11"/>
    </row>
    <row r="1283" spans="2:17" ht="21" customHeight="1" x14ac:dyDescent="0.35">
      <c r="B1283" s="18">
        <v>43980</v>
      </c>
      <c r="C1283" s="18" t="str">
        <f>TEXT(Sales[[#This Row],[Kode Program/Kegiatan ]],"D")</f>
        <v>29</v>
      </c>
      <c r="D1283" s="19" t="str">
        <f>TEXT(Sales[[#This Row],[Kode Program/Kegiatan ]],"mmm")</f>
        <v>May</v>
      </c>
      <c r="E1283" s="20">
        <v>3</v>
      </c>
      <c r="F1283" s="19">
        <v>3</v>
      </c>
      <c r="G1283" s="20" t="str">
        <f>IF(Sales[[#This Row],[Anggaran Murni]]-Sales[[#This Row],[Target s.d. Januari]]=0,"",Sales[[#This Row],[Anggaran Murni]]-Sales[[#This Row],[Target s.d. Januari]])</f>
        <v/>
      </c>
      <c r="H1283" s="19" t="s">
        <v>75</v>
      </c>
      <c r="I1283" s="20" t="s">
        <v>6</v>
      </c>
      <c r="J1283" s="20"/>
      <c r="K1283" s="19" t="s">
        <v>37</v>
      </c>
      <c r="L1283" s="19" t="s">
        <v>4</v>
      </c>
      <c r="M1283" s="21" t="s">
        <v>67</v>
      </c>
      <c r="N1283" s="20" t="s">
        <v>80</v>
      </c>
      <c r="O1283" s="19" t="s">
        <v>13</v>
      </c>
      <c r="P1283" s="10"/>
      <c r="Q1283" s="11"/>
    </row>
    <row r="1284" spans="2:17" ht="21" customHeight="1" x14ac:dyDescent="0.35">
      <c r="B1284" s="1">
        <v>43981</v>
      </c>
      <c r="C1284" s="1" t="str">
        <f>TEXT(Sales[[#This Row],[Kode Program/Kegiatan ]],"D")</f>
        <v>30</v>
      </c>
      <c r="D1284" s="2" t="str">
        <f>TEXT(Sales[[#This Row],[Kode Program/Kegiatan ]],"mmm")</f>
        <v>May</v>
      </c>
      <c r="E1284" s="3">
        <v>10</v>
      </c>
      <c r="F1284" s="2">
        <v>10</v>
      </c>
      <c r="G1284" s="3" t="str">
        <f>IF(Sales[[#This Row],[Anggaran Murni]]-Sales[[#This Row],[Target s.d. Januari]]=0,"",Sales[[#This Row],[Anggaran Murni]]-Sales[[#This Row],[Target s.d. Januari]])</f>
        <v/>
      </c>
      <c r="H1284" s="2" t="s">
        <v>70</v>
      </c>
      <c r="I1284" s="3" t="s">
        <v>1</v>
      </c>
      <c r="J1284" s="3"/>
      <c r="K1284" s="2" t="s">
        <v>39</v>
      </c>
      <c r="L1284" s="2" t="s">
        <v>7</v>
      </c>
      <c r="M1284" s="4" t="s">
        <v>67</v>
      </c>
      <c r="N1284" s="3" t="s">
        <v>82</v>
      </c>
      <c r="O1284" s="2" t="s">
        <v>12</v>
      </c>
      <c r="P1284" s="10"/>
      <c r="Q1284" s="11"/>
    </row>
    <row r="1285" spans="2:17" ht="21" customHeight="1" x14ac:dyDescent="0.35">
      <c r="B1285" s="18">
        <v>43981</v>
      </c>
      <c r="C1285" s="18" t="str">
        <f>TEXT(Sales[[#This Row],[Kode Program/Kegiatan ]],"D")</f>
        <v>30</v>
      </c>
      <c r="D1285" s="19" t="str">
        <f>TEXT(Sales[[#This Row],[Kode Program/Kegiatan ]],"mmm")</f>
        <v>May</v>
      </c>
      <c r="E1285" s="20">
        <v>10</v>
      </c>
      <c r="F1285" s="19">
        <v>10</v>
      </c>
      <c r="G1285" s="20" t="str">
        <f>IF(Sales[[#This Row],[Anggaran Murni]]-Sales[[#This Row],[Target s.d. Januari]]=0,"",Sales[[#This Row],[Anggaran Murni]]-Sales[[#This Row],[Target s.d. Januari]])</f>
        <v/>
      </c>
      <c r="H1285" s="19" t="s">
        <v>71</v>
      </c>
      <c r="I1285" s="20" t="s">
        <v>6</v>
      </c>
      <c r="J1285" s="20"/>
      <c r="K1285" s="19" t="s">
        <v>57</v>
      </c>
      <c r="L1285" s="19" t="s">
        <v>7</v>
      </c>
      <c r="M1285" s="21" t="s">
        <v>67</v>
      </c>
      <c r="N1285" s="20" t="s">
        <v>80</v>
      </c>
      <c r="O1285" s="19" t="s">
        <v>14</v>
      </c>
      <c r="P1285" s="10"/>
      <c r="Q1285" s="11"/>
    </row>
    <row r="1286" spans="2:17" ht="21" customHeight="1" x14ac:dyDescent="0.35">
      <c r="B1286" s="1">
        <v>43981</v>
      </c>
      <c r="C1286" s="1" t="str">
        <f>TEXT(Sales[[#This Row],[Kode Program/Kegiatan ]],"D")</f>
        <v>30</v>
      </c>
      <c r="D1286" s="2" t="str">
        <f>TEXT(Sales[[#This Row],[Kode Program/Kegiatan ]],"mmm")</f>
        <v>May</v>
      </c>
      <c r="E1286" s="3">
        <v>9</v>
      </c>
      <c r="F1286" s="2">
        <v>9</v>
      </c>
      <c r="G1286" s="3" t="str">
        <f>IF(Sales[[#This Row],[Anggaran Murni]]-Sales[[#This Row],[Target s.d. Januari]]=0,"",Sales[[#This Row],[Anggaran Murni]]-Sales[[#This Row],[Target s.d. Januari]])</f>
        <v/>
      </c>
      <c r="H1286" s="2" t="s">
        <v>113</v>
      </c>
      <c r="I1286" s="3" t="s">
        <v>77</v>
      </c>
      <c r="J1286" s="3"/>
      <c r="K1286" s="2" t="s">
        <v>20</v>
      </c>
      <c r="L1286" s="2" t="s">
        <v>2</v>
      </c>
      <c r="M1286" s="4" t="s">
        <v>67</v>
      </c>
      <c r="N1286" s="3" t="s">
        <v>81</v>
      </c>
      <c r="O1286" s="2" t="s">
        <v>13</v>
      </c>
      <c r="P1286" s="10"/>
      <c r="Q1286" s="11"/>
    </row>
    <row r="1287" spans="2:17" ht="21" customHeight="1" x14ac:dyDescent="0.35">
      <c r="B1287" s="18">
        <v>43981</v>
      </c>
      <c r="C1287" s="18" t="str">
        <f>TEXT(Sales[[#This Row],[Kode Program/Kegiatan ]],"D")</f>
        <v>30</v>
      </c>
      <c r="D1287" s="19" t="str">
        <f>TEXT(Sales[[#This Row],[Kode Program/Kegiatan ]],"mmm")</f>
        <v>May</v>
      </c>
      <c r="E1287" s="20">
        <v>8</v>
      </c>
      <c r="F1287" s="19">
        <v>8</v>
      </c>
      <c r="G1287" s="20" t="str">
        <f>IF(Sales[[#This Row],[Anggaran Murni]]-Sales[[#This Row],[Target s.d. Januari]]=0,"",Sales[[#This Row],[Anggaran Murni]]-Sales[[#This Row],[Target s.d. Januari]])</f>
        <v/>
      </c>
      <c r="H1287" s="19" t="s">
        <v>71</v>
      </c>
      <c r="I1287" s="20" t="s">
        <v>6</v>
      </c>
      <c r="J1287" s="20"/>
      <c r="K1287" s="19" t="s">
        <v>61</v>
      </c>
      <c r="L1287" s="19" t="s">
        <v>5</v>
      </c>
      <c r="M1287" s="21" t="s">
        <v>67</v>
      </c>
      <c r="N1287" s="20" t="s">
        <v>81</v>
      </c>
      <c r="O1287" s="19" t="s">
        <v>12</v>
      </c>
      <c r="P1287" s="10"/>
      <c r="Q1287" s="11"/>
    </row>
    <row r="1288" spans="2:17" ht="21" customHeight="1" x14ac:dyDescent="0.35">
      <c r="B1288" s="1">
        <v>43981</v>
      </c>
      <c r="C1288" s="1" t="str">
        <f>TEXT(Sales[[#This Row],[Kode Program/Kegiatan ]],"D")</f>
        <v>30</v>
      </c>
      <c r="D1288" s="2" t="str">
        <f>TEXT(Sales[[#This Row],[Kode Program/Kegiatan ]],"mmm")</f>
        <v>May</v>
      </c>
      <c r="E1288" s="3">
        <v>8</v>
      </c>
      <c r="F1288" s="2">
        <v>8</v>
      </c>
      <c r="G1288" s="3" t="str">
        <f>IF(Sales[[#This Row],[Anggaran Murni]]-Sales[[#This Row],[Target s.d. Januari]]=0,"",Sales[[#This Row],[Anggaran Murni]]-Sales[[#This Row],[Target s.d. Januari]])</f>
        <v/>
      </c>
      <c r="H1288" s="2" t="s">
        <v>73</v>
      </c>
      <c r="I1288" s="3" t="s">
        <v>78</v>
      </c>
      <c r="J1288" s="3"/>
      <c r="K1288" s="2" t="s">
        <v>21</v>
      </c>
      <c r="L1288" s="2" t="s">
        <v>2</v>
      </c>
      <c r="M1288" s="4" t="s">
        <v>67</v>
      </c>
      <c r="N1288" s="3" t="s">
        <v>80</v>
      </c>
      <c r="O1288" s="2" t="s">
        <v>13</v>
      </c>
      <c r="P1288" s="10"/>
      <c r="Q1288" s="11"/>
    </row>
    <row r="1289" spans="2:17" ht="21" customHeight="1" x14ac:dyDescent="0.35">
      <c r="B1289" s="18">
        <v>43981</v>
      </c>
      <c r="C1289" s="18" t="str">
        <f>TEXT(Sales[[#This Row],[Kode Program/Kegiatan ]],"D")</f>
        <v>30</v>
      </c>
      <c r="D1289" s="19" t="str">
        <f>TEXT(Sales[[#This Row],[Kode Program/Kegiatan ]],"mmm")</f>
        <v>May</v>
      </c>
      <c r="E1289" s="20">
        <v>8</v>
      </c>
      <c r="F1289" s="19">
        <v>8</v>
      </c>
      <c r="G1289" s="20" t="str">
        <f>IF(Sales[[#This Row],[Anggaran Murni]]-Sales[[#This Row],[Target s.d. Januari]]=0,"",Sales[[#This Row],[Anggaran Murni]]-Sales[[#This Row],[Target s.d. Januari]])</f>
        <v/>
      </c>
      <c r="H1289" s="19" t="s">
        <v>73</v>
      </c>
      <c r="I1289" s="20" t="s">
        <v>78</v>
      </c>
      <c r="J1289" s="20"/>
      <c r="K1289" s="19" t="s">
        <v>57</v>
      </c>
      <c r="L1289" s="19" t="s">
        <v>2</v>
      </c>
      <c r="M1289" s="21" t="s">
        <v>67</v>
      </c>
      <c r="N1289" s="20" t="s">
        <v>81</v>
      </c>
      <c r="O1289" s="19" t="s">
        <v>14</v>
      </c>
      <c r="P1289" s="10"/>
      <c r="Q1289" s="11"/>
    </row>
    <row r="1290" spans="2:17" ht="21" customHeight="1" x14ac:dyDescent="0.35">
      <c r="B1290" s="1">
        <v>43981</v>
      </c>
      <c r="C1290" s="1" t="str">
        <f>TEXT(Sales[[#This Row],[Kode Program/Kegiatan ]],"D")</f>
        <v>30</v>
      </c>
      <c r="D1290" s="2" t="str">
        <f>TEXT(Sales[[#This Row],[Kode Program/Kegiatan ]],"mmm")</f>
        <v>May</v>
      </c>
      <c r="E1290" s="3">
        <v>8</v>
      </c>
      <c r="F1290" s="2">
        <v>8</v>
      </c>
      <c r="G1290" s="3" t="str">
        <f>IF(Sales[[#This Row],[Anggaran Murni]]-Sales[[#This Row],[Target s.d. Januari]]=0,"",Sales[[#This Row],[Anggaran Murni]]-Sales[[#This Row],[Target s.d. Januari]])</f>
        <v/>
      </c>
      <c r="H1290" s="2" t="s">
        <v>75</v>
      </c>
      <c r="I1290" s="3" t="s">
        <v>6</v>
      </c>
      <c r="J1290" s="3">
        <v>100000000</v>
      </c>
      <c r="K1290" s="2" t="s">
        <v>44</v>
      </c>
      <c r="L1290" s="2" t="s">
        <v>2</v>
      </c>
      <c r="M1290" s="4" t="s">
        <v>67</v>
      </c>
      <c r="N1290" s="3" t="s">
        <v>82</v>
      </c>
      <c r="O1290" s="2" t="s">
        <v>12</v>
      </c>
      <c r="P1290" s="10"/>
      <c r="Q1290" s="11"/>
    </row>
    <row r="1291" spans="2:17" ht="21" customHeight="1" x14ac:dyDescent="0.35">
      <c r="B1291" s="18">
        <v>43981</v>
      </c>
      <c r="C1291" s="18" t="str">
        <f>TEXT(Sales[[#This Row],[Kode Program/Kegiatan ]],"D")</f>
        <v>30</v>
      </c>
      <c r="D1291" s="19" t="str">
        <f>TEXT(Sales[[#This Row],[Kode Program/Kegiatan ]],"mmm")</f>
        <v>May</v>
      </c>
      <c r="E1291" s="20">
        <v>8</v>
      </c>
      <c r="F1291" s="19">
        <v>8</v>
      </c>
      <c r="G1291" s="20" t="str">
        <f>IF(Sales[[#This Row],[Anggaran Murni]]-Sales[[#This Row],[Target s.d. Januari]]=0,"",Sales[[#This Row],[Anggaran Murni]]-Sales[[#This Row],[Target s.d. Januari]])</f>
        <v/>
      </c>
      <c r="H1291" s="19" t="s">
        <v>114</v>
      </c>
      <c r="I1291" s="20" t="s">
        <v>3</v>
      </c>
      <c r="J1291" s="20">
        <v>100000000</v>
      </c>
      <c r="K1291" s="19" t="s">
        <v>22</v>
      </c>
      <c r="L1291" s="19" t="s">
        <v>2</v>
      </c>
      <c r="M1291" s="21" t="s">
        <v>67</v>
      </c>
      <c r="N1291" s="20" t="s">
        <v>82</v>
      </c>
      <c r="O1291" s="19" t="s">
        <v>13</v>
      </c>
      <c r="P1291" s="10"/>
      <c r="Q1291" s="11"/>
    </row>
    <row r="1292" spans="2:17" ht="21" customHeight="1" x14ac:dyDescent="0.35">
      <c r="B1292" s="1">
        <v>43981</v>
      </c>
      <c r="C1292" s="1" t="str">
        <f>TEXT(Sales[[#This Row],[Kode Program/Kegiatan ]],"D")</f>
        <v>30</v>
      </c>
      <c r="D1292" s="2" t="str">
        <f>TEXT(Sales[[#This Row],[Kode Program/Kegiatan ]],"mmm")</f>
        <v>May</v>
      </c>
      <c r="E1292" s="3">
        <v>8</v>
      </c>
      <c r="F1292" s="2">
        <v>8</v>
      </c>
      <c r="G1292" s="3" t="str">
        <f>IF(Sales[[#This Row],[Anggaran Murni]]-Sales[[#This Row],[Target s.d. Januari]]=0,"",Sales[[#This Row],[Anggaran Murni]]-Sales[[#This Row],[Target s.d. Januari]])</f>
        <v/>
      </c>
      <c r="H1292" s="2" t="s">
        <v>114</v>
      </c>
      <c r="I1292" s="3" t="s">
        <v>3</v>
      </c>
      <c r="J1292" s="3">
        <v>140000000</v>
      </c>
      <c r="K1292" s="2" t="s">
        <v>43</v>
      </c>
      <c r="L1292" s="2" t="s">
        <v>5</v>
      </c>
      <c r="M1292" s="4" t="s">
        <v>67</v>
      </c>
      <c r="N1292" s="3" t="s">
        <v>81</v>
      </c>
      <c r="O1292" s="2" t="s">
        <v>13</v>
      </c>
      <c r="P1292" s="10"/>
      <c r="Q1292" s="11"/>
    </row>
    <row r="1293" spans="2:17" ht="21" customHeight="1" x14ac:dyDescent="0.35">
      <c r="B1293" s="18">
        <v>43981</v>
      </c>
      <c r="C1293" s="18" t="str">
        <f>TEXT(Sales[[#This Row],[Kode Program/Kegiatan ]],"D")</f>
        <v>30</v>
      </c>
      <c r="D1293" s="19" t="str">
        <f>TEXT(Sales[[#This Row],[Kode Program/Kegiatan ]],"mmm")</f>
        <v>May</v>
      </c>
      <c r="E1293" s="20">
        <v>7</v>
      </c>
      <c r="F1293" s="19">
        <v>7</v>
      </c>
      <c r="G1293" s="20" t="str">
        <f>IF(Sales[[#This Row],[Anggaran Murni]]-Sales[[#This Row],[Target s.d. Januari]]=0,"",Sales[[#This Row],[Anggaran Murni]]-Sales[[#This Row],[Target s.d. Januari]])</f>
        <v/>
      </c>
      <c r="H1293" s="19" t="s">
        <v>75</v>
      </c>
      <c r="I1293" s="20" t="s">
        <v>6</v>
      </c>
      <c r="J1293" s="20">
        <v>140000000</v>
      </c>
      <c r="K1293" s="19" t="s">
        <v>32</v>
      </c>
      <c r="L1293" s="19" t="s">
        <v>5</v>
      </c>
      <c r="M1293" s="21" t="s">
        <v>67</v>
      </c>
      <c r="N1293" s="20" t="s">
        <v>80</v>
      </c>
      <c r="O1293" s="19" t="s">
        <v>11</v>
      </c>
      <c r="P1293" s="10"/>
      <c r="Q1293" s="11"/>
    </row>
    <row r="1294" spans="2:17" ht="21" customHeight="1" x14ac:dyDescent="0.35">
      <c r="B1294" s="1">
        <v>43981</v>
      </c>
      <c r="C1294" s="1" t="str">
        <f>TEXT(Sales[[#This Row],[Kode Program/Kegiatan ]],"D")</f>
        <v>30</v>
      </c>
      <c r="D1294" s="2" t="str">
        <f>TEXT(Sales[[#This Row],[Kode Program/Kegiatan ]],"mmm")</f>
        <v>May</v>
      </c>
      <c r="E1294" s="3">
        <v>6</v>
      </c>
      <c r="F1294" s="2">
        <v>6</v>
      </c>
      <c r="G1294" s="3" t="str">
        <f>IF(Sales[[#This Row],[Anggaran Murni]]-Sales[[#This Row],[Target s.d. Januari]]=0,"",Sales[[#This Row],[Anggaran Murni]]-Sales[[#This Row],[Target s.d. Januari]])</f>
        <v/>
      </c>
      <c r="H1294" s="2" t="s">
        <v>74</v>
      </c>
      <c r="I1294" s="3" t="s">
        <v>77</v>
      </c>
      <c r="J1294" s="3">
        <v>120000000</v>
      </c>
      <c r="K1294" s="2" t="s">
        <v>34</v>
      </c>
      <c r="L1294" s="2" t="s">
        <v>7</v>
      </c>
      <c r="M1294" s="4" t="s">
        <v>67</v>
      </c>
      <c r="N1294" s="3" t="s">
        <v>82</v>
      </c>
      <c r="O1294" s="2" t="s">
        <v>11</v>
      </c>
      <c r="P1294" s="10"/>
      <c r="Q1294" s="11"/>
    </row>
    <row r="1295" spans="2:17" ht="21" customHeight="1" x14ac:dyDescent="0.35">
      <c r="B1295" s="18">
        <v>43982</v>
      </c>
      <c r="C1295" s="18" t="str">
        <f>TEXT(Sales[[#This Row],[Kode Program/Kegiatan ]],"D")</f>
        <v>31</v>
      </c>
      <c r="D1295" s="19" t="str">
        <f>TEXT(Sales[[#This Row],[Kode Program/Kegiatan ]],"mmm")</f>
        <v>May</v>
      </c>
      <c r="E1295" s="20">
        <v>10</v>
      </c>
      <c r="F1295" s="19">
        <v>9</v>
      </c>
      <c r="G1295" s="20">
        <f>IF(Sales[[#This Row],[Anggaran Murni]]-Sales[[#This Row],[Target s.d. Januari]]=0,"",Sales[[#This Row],[Anggaran Murni]]-Sales[[#This Row],[Target s.d. Januari]])</f>
        <v>1</v>
      </c>
      <c r="H1295" s="19" t="s">
        <v>72</v>
      </c>
      <c r="I1295" s="20" t="s">
        <v>78</v>
      </c>
      <c r="J1295" s="20">
        <v>60000000</v>
      </c>
      <c r="K1295" s="19" t="s">
        <v>51</v>
      </c>
      <c r="L1295" s="19" t="s">
        <v>7</v>
      </c>
      <c r="M1295" s="21" t="s">
        <v>67</v>
      </c>
      <c r="N1295" s="20" t="s">
        <v>80</v>
      </c>
      <c r="O1295" s="19" t="s">
        <v>14</v>
      </c>
      <c r="P1295" s="10"/>
      <c r="Q1295" s="11"/>
    </row>
    <row r="1296" spans="2:17" ht="21" customHeight="1" x14ac:dyDescent="0.35">
      <c r="B1296" s="1">
        <v>43982</v>
      </c>
      <c r="C1296" s="1" t="str">
        <f>TEXT(Sales[[#This Row],[Kode Program/Kegiatan ]],"D")</f>
        <v>31</v>
      </c>
      <c r="D1296" s="2" t="str">
        <f>TEXT(Sales[[#This Row],[Kode Program/Kegiatan ]],"mmm")</f>
        <v>May</v>
      </c>
      <c r="E1296" s="3">
        <v>10</v>
      </c>
      <c r="F1296" s="2">
        <v>8</v>
      </c>
      <c r="G1296" s="3">
        <f>IF(Sales[[#This Row],[Anggaran Murni]]-Sales[[#This Row],[Target s.d. Januari]]=0,"",Sales[[#This Row],[Anggaran Murni]]-Sales[[#This Row],[Target s.d. Januari]])</f>
        <v>2</v>
      </c>
      <c r="H1296" s="2" t="s">
        <v>113</v>
      </c>
      <c r="I1296" s="3" t="s">
        <v>77</v>
      </c>
      <c r="J1296" s="3">
        <v>140000000</v>
      </c>
      <c r="K1296" s="2" t="s">
        <v>42</v>
      </c>
      <c r="L1296" s="2" t="s">
        <v>2</v>
      </c>
      <c r="M1296" s="4" t="s">
        <v>67</v>
      </c>
      <c r="N1296" s="3" t="s">
        <v>80</v>
      </c>
      <c r="O1296" s="2" t="s">
        <v>12</v>
      </c>
      <c r="P1296" s="10"/>
      <c r="Q1296" s="11"/>
    </row>
    <row r="1297" spans="2:17" ht="21" customHeight="1" x14ac:dyDescent="0.35">
      <c r="B1297" s="18">
        <v>43982</v>
      </c>
      <c r="C1297" s="18" t="str">
        <f>TEXT(Sales[[#This Row],[Kode Program/Kegiatan ]],"D")</f>
        <v>31</v>
      </c>
      <c r="D1297" s="19" t="str">
        <f>TEXT(Sales[[#This Row],[Kode Program/Kegiatan ]],"mmm")</f>
        <v>May</v>
      </c>
      <c r="E1297" s="20">
        <v>9</v>
      </c>
      <c r="F1297" s="19">
        <v>7</v>
      </c>
      <c r="G1297" s="20">
        <f>IF(Sales[[#This Row],[Anggaran Murni]]-Sales[[#This Row],[Target s.d. Januari]]=0,"",Sales[[#This Row],[Anggaran Murni]]-Sales[[#This Row],[Target s.d. Januari]])</f>
        <v>2</v>
      </c>
      <c r="H1297" s="19" t="s">
        <v>70</v>
      </c>
      <c r="I1297" s="20" t="s">
        <v>1</v>
      </c>
      <c r="J1297" s="20">
        <v>100000000</v>
      </c>
      <c r="K1297" s="19" t="s">
        <v>55</v>
      </c>
      <c r="L1297" s="19" t="s">
        <v>2</v>
      </c>
      <c r="M1297" s="21" t="s">
        <v>67</v>
      </c>
      <c r="N1297" s="20" t="s">
        <v>82</v>
      </c>
      <c r="O1297" s="19" t="s">
        <v>12</v>
      </c>
      <c r="P1297" s="10"/>
      <c r="Q1297" s="11"/>
    </row>
    <row r="1298" spans="2:17" ht="21" customHeight="1" x14ac:dyDescent="0.35">
      <c r="B1298" s="1">
        <v>43982</v>
      </c>
      <c r="C1298" s="1" t="str">
        <f>TEXT(Sales[[#This Row],[Kode Program/Kegiatan ]],"D")</f>
        <v>31</v>
      </c>
      <c r="D1298" s="2" t="str">
        <f>TEXT(Sales[[#This Row],[Kode Program/Kegiatan ]],"mmm")</f>
        <v>May</v>
      </c>
      <c r="E1298" s="3">
        <v>9</v>
      </c>
      <c r="F1298" s="2">
        <v>5</v>
      </c>
      <c r="G1298" s="3">
        <f>IF(Sales[[#This Row],[Anggaran Murni]]-Sales[[#This Row],[Target s.d. Januari]]=0,"",Sales[[#This Row],[Anggaran Murni]]-Sales[[#This Row],[Target s.d. Januari]])</f>
        <v>4</v>
      </c>
      <c r="H1298" s="2" t="s">
        <v>113</v>
      </c>
      <c r="I1298" s="3" t="s">
        <v>77</v>
      </c>
      <c r="J1298" s="3">
        <v>60000000</v>
      </c>
      <c r="K1298" s="2" t="s">
        <v>51</v>
      </c>
      <c r="L1298" s="2" t="s">
        <v>5</v>
      </c>
      <c r="M1298" s="4" t="s">
        <v>67</v>
      </c>
      <c r="N1298" s="3" t="s">
        <v>81</v>
      </c>
      <c r="O1298" s="2" t="s">
        <v>11</v>
      </c>
      <c r="P1298" s="10"/>
      <c r="Q1298" s="11"/>
    </row>
    <row r="1299" spans="2:17" ht="21" customHeight="1" x14ac:dyDescent="0.35">
      <c r="B1299" s="18">
        <v>43982</v>
      </c>
      <c r="C1299" s="18" t="str">
        <f>TEXT(Sales[[#This Row],[Kode Program/Kegiatan ]],"D")</f>
        <v>31</v>
      </c>
      <c r="D1299" s="19" t="str">
        <f>TEXT(Sales[[#This Row],[Kode Program/Kegiatan ]],"mmm")</f>
        <v>May</v>
      </c>
      <c r="E1299" s="20">
        <v>8</v>
      </c>
      <c r="F1299" s="19">
        <v>5</v>
      </c>
      <c r="G1299" s="20">
        <f>IF(Sales[[#This Row],[Anggaran Murni]]-Sales[[#This Row],[Target s.d. Januari]]=0,"",Sales[[#This Row],[Anggaran Murni]]-Sales[[#This Row],[Target s.d. Januari]])</f>
        <v>3</v>
      </c>
      <c r="H1299" s="19" t="s">
        <v>75</v>
      </c>
      <c r="I1299" s="20" t="s">
        <v>6</v>
      </c>
      <c r="J1299" s="20">
        <v>100000000</v>
      </c>
      <c r="K1299" s="19" t="s">
        <v>17</v>
      </c>
      <c r="L1299" s="19" t="s">
        <v>9</v>
      </c>
      <c r="M1299" s="21" t="s">
        <v>67</v>
      </c>
      <c r="N1299" s="20" t="s">
        <v>81</v>
      </c>
      <c r="O1299" s="19" t="s">
        <v>11</v>
      </c>
      <c r="P1299" s="10"/>
      <c r="Q1299" s="11"/>
    </row>
    <row r="1300" spans="2:17" ht="21" customHeight="1" x14ac:dyDescent="0.35">
      <c r="B1300" s="1">
        <v>43982</v>
      </c>
      <c r="C1300" s="1" t="str">
        <f>TEXT(Sales[[#This Row],[Kode Program/Kegiatan ]],"D")</f>
        <v>31</v>
      </c>
      <c r="D1300" s="2" t="str">
        <f>TEXT(Sales[[#This Row],[Kode Program/Kegiatan ]],"mmm")</f>
        <v>May</v>
      </c>
      <c r="E1300" s="3">
        <v>8</v>
      </c>
      <c r="F1300" s="2">
        <v>5</v>
      </c>
      <c r="G1300" s="3">
        <f>IF(Sales[[#This Row],[Anggaran Murni]]-Sales[[#This Row],[Target s.d. Januari]]=0,"",Sales[[#This Row],[Anggaran Murni]]-Sales[[#This Row],[Target s.d. Januari]])</f>
        <v>3</v>
      </c>
      <c r="H1300" s="2" t="s">
        <v>71</v>
      </c>
      <c r="I1300" s="3" t="s">
        <v>6</v>
      </c>
      <c r="J1300" s="3">
        <v>140000000</v>
      </c>
      <c r="K1300" s="2" t="s">
        <v>43</v>
      </c>
      <c r="L1300" s="2" t="s">
        <v>8</v>
      </c>
      <c r="M1300" s="4" t="s">
        <v>67</v>
      </c>
      <c r="N1300" s="3" t="s">
        <v>82</v>
      </c>
      <c r="O1300" s="2" t="s">
        <v>12</v>
      </c>
      <c r="P1300" s="10"/>
      <c r="Q1300" s="11"/>
    </row>
    <row r="1301" spans="2:17" ht="21" customHeight="1" x14ac:dyDescent="0.35">
      <c r="B1301" s="18">
        <v>43982</v>
      </c>
      <c r="C1301" s="18" t="str">
        <f>TEXT(Sales[[#This Row],[Kode Program/Kegiatan ]],"D")</f>
        <v>31</v>
      </c>
      <c r="D1301" s="19" t="str">
        <f>TEXT(Sales[[#This Row],[Kode Program/Kegiatan ]],"mmm")</f>
        <v>May</v>
      </c>
      <c r="E1301" s="20">
        <v>7</v>
      </c>
      <c r="F1301" s="19">
        <v>5</v>
      </c>
      <c r="G1301" s="20">
        <f>IF(Sales[[#This Row],[Anggaran Murni]]-Sales[[#This Row],[Target s.d. Januari]]=0,"",Sales[[#This Row],[Anggaran Murni]]-Sales[[#This Row],[Target s.d. Januari]])</f>
        <v>2</v>
      </c>
      <c r="H1301" s="19" t="s">
        <v>73</v>
      </c>
      <c r="I1301" s="20" t="s">
        <v>78</v>
      </c>
      <c r="J1301" s="20">
        <v>60000000</v>
      </c>
      <c r="K1301" s="19" t="s">
        <v>42</v>
      </c>
      <c r="L1301" s="19" t="s">
        <v>2</v>
      </c>
      <c r="M1301" s="21" t="s">
        <v>67</v>
      </c>
      <c r="N1301" s="20" t="s">
        <v>80</v>
      </c>
      <c r="O1301" s="19" t="s">
        <v>12</v>
      </c>
      <c r="P1301" s="10"/>
      <c r="Q1301" s="11"/>
    </row>
    <row r="1302" spans="2:17" ht="21" customHeight="1" x14ac:dyDescent="0.35">
      <c r="B1302" s="1">
        <v>43982</v>
      </c>
      <c r="C1302" s="1" t="str">
        <f>TEXT(Sales[[#This Row],[Kode Program/Kegiatan ]],"D")</f>
        <v>31</v>
      </c>
      <c r="D1302" s="2" t="str">
        <f>TEXT(Sales[[#This Row],[Kode Program/Kegiatan ]],"mmm")</f>
        <v>May</v>
      </c>
      <c r="E1302" s="3">
        <v>6</v>
      </c>
      <c r="F1302" s="2">
        <v>3</v>
      </c>
      <c r="G1302" s="3">
        <f>IF(Sales[[#This Row],[Anggaran Murni]]-Sales[[#This Row],[Target s.d. Januari]]=0,"",Sales[[#This Row],[Anggaran Murni]]-Sales[[#This Row],[Target s.d. Januari]])</f>
        <v>3</v>
      </c>
      <c r="H1302" s="2" t="s">
        <v>74</v>
      </c>
      <c r="I1302" s="3" t="s">
        <v>77</v>
      </c>
      <c r="J1302" s="3">
        <v>140000000</v>
      </c>
      <c r="K1302" s="2" t="s">
        <v>25</v>
      </c>
      <c r="L1302" s="2" t="s">
        <v>5</v>
      </c>
      <c r="M1302" s="4" t="s">
        <v>67</v>
      </c>
      <c r="N1302" s="3" t="s">
        <v>80</v>
      </c>
      <c r="O1302" s="2" t="s">
        <v>11</v>
      </c>
      <c r="P1302" s="10"/>
      <c r="Q1302" s="11"/>
    </row>
    <row r="1303" spans="2:17" ht="21" customHeight="1" x14ac:dyDescent="0.35">
      <c r="B1303" s="18">
        <v>43982</v>
      </c>
      <c r="C1303" s="18" t="str">
        <f>TEXT(Sales[[#This Row],[Kode Program/Kegiatan ]],"D")</f>
        <v>31</v>
      </c>
      <c r="D1303" s="19" t="str">
        <f>TEXT(Sales[[#This Row],[Kode Program/Kegiatan ]],"mmm")</f>
        <v>May</v>
      </c>
      <c r="E1303" s="20">
        <v>6</v>
      </c>
      <c r="F1303" s="19">
        <v>5</v>
      </c>
      <c r="G1303" s="20">
        <f>IF(Sales[[#This Row],[Anggaran Murni]]-Sales[[#This Row],[Target s.d. Januari]]=0,"",Sales[[#This Row],[Anggaran Murni]]-Sales[[#This Row],[Target s.d. Januari]])</f>
        <v>1</v>
      </c>
      <c r="H1303" s="19" t="s">
        <v>114</v>
      </c>
      <c r="I1303" s="20" t="s">
        <v>3</v>
      </c>
      <c r="J1303" s="20">
        <v>100000000</v>
      </c>
      <c r="K1303" s="19" t="s">
        <v>44</v>
      </c>
      <c r="L1303" s="19" t="s">
        <v>8</v>
      </c>
      <c r="M1303" s="21" t="s">
        <v>67</v>
      </c>
      <c r="N1303" s="20" t="s">
        <v>82</v>
      </c>
      <c r="O1303" s="19" t="s">
        <v>12</v>
      </c>
      <c r="P1303" s="10"/>
      <c r="Q1303" s="11"/>
    </row>
    <row r="1304" spans="2:17" ht="21" customHeight="1" x14ac:dyDescent="0.35">
      <c r="B1304" s="1">
        <v>43982</v>
      </c>
      <c r="C1304" s="1" t="str">
        <f>TEXT(Sales[[#This Row],[Kode Program/Kegiatan ]],"D")</f>
        <v>31</v>
      </c>
      <c r="D1304" s="2" t="str">
        <f>TEXT(Sales[[#This Row],[Kode Program/Kegiatan ]],"mmm")</f>
        <v>May</v>
      </c>
      <c r="E1304" s="3">
        <v>6</v>
      </c>
      <c r="F1304" s="2">
        <v>3</v>
      </c>
      <c r="G1304" s="3">
        <f>IF(Sales[[#This Row],[Anggaran Murni]]-Sales[[#This Row],[Target s.d. Januari]]=0,"",Sales[[#This Row],[Anggaran Murni]]-Sales[[#This Row],[Target s.d. Januari]])</f>
        <v>3</v>
      </c>
      <c r="H1304" s="2" t="s">
        <v>71</v>
      </c>
      <c r="I1304" s="3" t="s">
        <v>6</v>
      </c>
      <c r="J1304" s="3">
        <v>40000000</v>
      </c>
      <c r="K1304" s="2" t="s">
        <v>58</v>
      </c>
      <c r="L1304" s="2" t="s">
        <v>7</v>
      </c>
      <c r="M1304" s="4" t="s">
        <v>67</v>
      </c>
      <c r="N1304" s="3" t="s">
        <v>81</v>
      </c>
      <c r="O1304" s="2" t="s">
        <v>12</v>
      </c>
      <c r="P1304" s="10"/>
      <c r="Q1304" s="11"/>
    </row>
    <row r="1305" spans="2:17" ht="21" customHeight="1" x14ac:dyDescent="0.35">
      <c r="B1305" s="18">
        <v>43982</v>
      </c>
      <c r="C1305" s="18" t="str">
        <f>TEXT(Sales[[#This Row],[Kode Program/Kegiatan ]],"D")</f>
        <v>31</v>
      </c>
      <c r="D1305" s="19" t="str">
        <f>TEXT(Sales[[#This Row],[Kode Program/Kegiatan ]],"mmm")</f>
        <v>May</v>
      </c>
      <c r="E1305" s="20">
        <v>4</v>
      </c>
      <c r="F1305" s="19">
        <v>3</v>
      </c>
      <c r="G1305" s="20">
        <f>IF(Sales[[#This Row],[Anggaran Murni]]-Sales[[#This Row],[Target s.d. Januari]]=0,"",Sales[[#This Row],[Anggaran Murni]]-Sales[[#This Row],[Target s.d. Januari]])</f>
        <v>1</v>
      </c>
      <c r="H1305" s="19" t="s">
        <v>75</v>
      </c>
      <c r="I1305" s="20" t="s">
        <v>6</v>
      </c>
      <c r="J1305" s="20">
        <v>120000000</v>
      </c>
      <c r="K1305" s="19" t="s">
        <v>35</v>
      </c>
      <c r="L1305" s="19" t="s">
        <v>4</v>
      </c>
      <c r="M1305" s="21" t="s">
        <v>67</v>
      </c>
      <c r="N1305" s="20" t="s">
        <v>82</v>
      </c>
      <c r="O1305" s="19" t="s">
        <v>11</v>
      </c>
      <c r="P1305" s="10"/>
      <c r="Q1305" s="11"/>
    </row>
    <row r="1306" spans="2:17" ht="21" customHeight="1" x14ac:dyDescent="0.35">
      <c r="B1306" s="1">
        <v>43982</v>
      </c>
      <c r="C1306" s="1" t="str">
        <f>TEXT(Sales[[#This Row],[Kode Program/Kegiatan ]],"D")</f>
        <v>31</v>
      </c>
      <c r="D1306" s="2" t="str">
        <f>TEXT(Sales[[#This Row],[Kode Program/Kegiatan ]],"mmm")</f>
        <v>May</v>
      </c>
      <c r="E1306" s="3">
        <v>4</v>
      </c>
      <c r="F1306" s="2">
        <v>3</v>
      </c>
      <c r="G1306" s="3">
        <f>IF(Sales[[#This Row],[Anggaran Murni]]-Sales[[#This Row],[Target s.d. Januari]]=0,"",Sales[[#This Row],[Anggaran Murni]]-Sales[[#This Row],[Target s.d. Januari]])</f>
        <v>1</v>
      </c>
      <c r="H1306" s="2" t="s">
        <v>76</v>
      </c>
      <c r="I1306" s="3" t="s">
        <v>79</v>
      </c>
      <c r="J1306" s="3">
        <v>120000000</v>
      </c>
      <c r="K1306" s="2" t="s">
        <v>45</v>
      </c>
      <c r="L1306" s="2" t="s">
        <v>4</v>
      </c>
      <c r="M1306" s="4" t="s">
        <v>67</v>
      </c>
      <c r="N1306" s="3" t="s">
        <v>81</v>
      </c>
      <c r="O1306" s="2" t="s">
        <v>11</v>
      </c>
      <c r="P1306" s="10"/>
      <c r="Q1306" s="11"/>
    </row>
    <row r="1307" spans="2:17" ht="21" customHeight="1" x14ac:dyDescent="0.35">
      <c r="B1307" s="18">
        <v>43982</v>
      </c>
      <c r="C1307" s="18" t="str">
        <f>TEXT(Sales[[#This Row],[Kode Program/Kegiatan ]],"D")</f>
        <v>31</v>
      </c>
      <c r="D1307" s="19" t="str">
        <f>TEXT(Sales[[#This Row],[Kode Program/Kegiatan ]],"mmm")</f>
        <v>May</v>
      </c>
      <c r="E1307" s="20">
        <v>4</v>
      </c>
      <c r="F1307" s="19">
        <v>3</v>
      </c>
      <c r="G1307" s="20">
        <f>IF(Sales[[#This Row],[Anggaran Murni]]-Sales[[#This Row],[Target s.d. Januari]]=0,"",Sales[[#This Row],[Anggaran Murni]]-Sales[[#This Row],[Target s.d. Januari]])</f>
        <v>1</v>
      </c>
      <c r="H1307" s="19" t="s">
        <v>73</v>
      </c>
      <c r="I1307" s="20" t="s">
        <v>78</v>
      </c>
      <c r="J1307" s="20">
        <v>100000000</v>
      </c>
      <c r="K1307" s="19" t="s">
        <v>29</v>
      </c>
      <c r="L1307" s="19" t="s">
        <v>7</v>
      </c>
      <c r="M1307" s="21" t="s">
        <v>67</v>
      </c>
      <c r="N1307" s="20" t="s">
        <v>80</v>
      </c>
      <c r="O1307" s="19" t="s">
        <v>12</v>
      </c>
      <c r="P1307" s="10"/>
      <c r="Q1307" s="11"/>
    </row>
    <row r="1308" spans="2:17" ht="21" customHeight="1" x14ac:dyDescent="0.35">
      <c r="B1308" s="1">
        <v>43982</v>
      </c>
      <c r="C1308" s="1" t="str">
        <f>TEXT(Sales[[#This Row],[Kode Program/Kegiatan ]],"D")</f>
        <v>31</v>
      </c>
      <c r="D1308" s="2" t="str">
        <f>TEXT(Sales[[#This Row],[Kode Program/Kegiatan ]],"mmm")</f>
        <v>May</v>
      </c>
      <c r="E1308" s="3">
        <v>4</v>
      </c>
      <c r="F1308" s="2">
        <v>3</v>
      </c>
      <c r="G1308" s="3">
        <f>IF(Sales[[#This Row],[Anggaran Murni]]-Sales[[#This Row],[Target s.d. Januari]]=0,"",Sales[[#This Row],[Anggaran Murni]]-Sales[[#This Row],[Target s.d. Januari]])</f>
        <v>1</v>
      </c>
      <c r="H1308" s="2" t="s">
        <v>71</v>
      </c>
      <c r="I1308" s="3" t="s">
        <v>6</v>
      </c>
      <c r="J1308" s="3">
        <v>60000000</v>
      </c>
      <c r="K1308" s="2" t="s">
        <v>40</v>
      </c>
      <c r="L1308" s="2" t="s">
        <v>7</v>
      </c>
      <c r="M1308" s="4" t="s">
        <v>67</v>
      </c>
      <c r="N1308" s="3" t="s">
        <v>82</v>
      </c>
      <c r="O1308" s="2" t="s">
        <v>14</v>
      </c>
      <c r="P1308" s="10"/>
      <c r="Q1308" s="11"/>
    </row>
    <row r="1309" spans="2:17" ht="21" customHeight="1" x14ac:dyDescent="0.35">
      <c r="B1309" s="18">
        <v>43982</v>
      </c>
      <c r="C1309" s="18" t="str">
        <f>TEXT(Sales[[#This Row],[Kode Program/Kegiatan ]],"D")</f>
        <v>31</v>
      </c>
      <c r="D1309" s="19" t="str">
        <f>TEXT(Sales[[#This Row],[Kode Program/Kegiatan ]],"mmm")</f>
        <v>May</v>
      </c>
      <c r="E1309" s="20">
        <v>3</v>
      </c>
      <c r="F1309" s="19">
        <v>2</v>
      </c>
      <c r="G1309" s="20">
        <f>IF(Sales[[#This Row],[Anggaran Murni]]-Sales[[#This Row],[Target s.d. Januari]]=0,"",Sales[[#This Row],[Anggaran Murni]]-Sales[[#This Row],[Target s.d. Januari]])</f>
        <v>1</v>
      </c>
      <c r="H1309" s="19" t="s">
        <v>74</v>
      </c>
      <c r="I1309" s="20" t="s">
        <v>77</v>
      </c>
      <c r="J1309" s="20">
        <v>40000000</v>
      </c>
      <c r="K1309" s="19" t="s">
        <v>42</v>
      </c>
      <c r="L1309" s="19" t="s">
        <v>2</v>
      </c>
      <c r="M1309" s="21" t="s">
        <v>67</v>
      </c>
      <c r="N1309" s="20" t="s">
        <v>80</v>
      </c>
      <c r="O1309" s="19" t="s">
        <v>12</v>
      </c>
      <c r="P1309" s="10"/>
      <c r="Q1309" s="11"/>
    </row>
    <row r="1310" spans="2:17" ht="21" customHeight="1" x14ac:dyDescent="0.35">
      <c r="B1310" s="1">
        <v>43983</v>
      </c>
      <c r="C1310" s="1" t="str">
        <f>TEXT(Sales[[#This Row],[Kode Program/Kegiatan ]],"D")</f>
        <v>1</v>
      </c>
      <c r="D1310" s="2" t="str">
        <f>TEXT(Sales[[#This Row],[Kode Program/Kegiatan ]],"mmm")</f>
        <v>Jun</v>
      </c>
      <c r="E1310" s="3">
        <v>10</v>
      </c>
      <c r="F1310" s="2">
        <v>10</v>
      </c>
      <c r="G1310" s="3" t="str">
        <f>IF(Sales[[#This Row],[Anggaran Murni]]-Sales[[#This Row],[Target s.d. Januari]]=0,"",Sales[[#This Row],[Anggaran Murni]]-Sales[[#This Row],[Target s.d. Januari]])</f>
        <v/>
      </c>
      <c r="H1310" s="2" t="s">
        <v>72</v>
      </c>
      <c r="I1310" s="3" t="s">
        <v>78</v>
      </c>
      <c r="J1310" s="3">
        <v>100000000</v>
      </c>
      <c r="K1310" s="2" t="s">
        <v>59</v>
      </c>
      <c r="L1310" s="2" t="s">
        <v>2</v>
      </c>
      <c r="M1310" s="4" t="s">
        <v>67</v>
      </c>
      <c r="N1310" s="3" t="s">
        <v>81</v>
      </c>
      <c r="O1310" s="2" t="s">
        <v>11</v>
      </c>
      <c r="P1310" s="10"/>
      <c r="Q1310" s="11"/>
    </row>
    <row r="1311" spans="2:17" ht="21" customHeight="1" x14ac:dyDescent="0.35">
      <c r="B1311" s="18">
        <v>43983</v>
      </c>
      <c r="C1311" s="18" t="str">
        <f>TEXT(Sales[[#This Row],[Kode Program/Kegiatan ]],"D")</f>
        <v>1</v>
      </c>
      <c r="D1311" s="19" t="str">
        <f>TEXT(Sales[[#This Row],[Kode Program/Kegiatan ]],"mmm")</f>
        <v>Jun</v>
      </c>
      <c r="E1311" s="20">
        <v>9</v>
      </c>
      <c r="F1311" s="19">
        <v>9</v>
      </c>
      <c r="G1311" s="20" t="str">
        <f>IF(Sales[[#This Row],[Anggaran Murni]]-Sales[[#This Row],[Target s.d. Januari]]=0,"",Sales[[#This Row],[Anggaran Murni]]-Sales[[#This Row],[Target s.d. Januari]])</f>
        <v/>
      </c>
      <c r="H1311" s="19" t="s">
        <v>114</v>
      </c>
      <c r="I1311" s="20" t="s">
        <v>3</v>
      </c>
      <c r="J1311" s="20">
        <v>80000000</v>
      </c>
      <c r="K1311" s="19" t="s">
        <v>25</v>
      </c>
      <c r="L1311" s="19" t="s">
        <v>5</v>
      </c>
      <c r="M1311" s="21" t="s">
        <v>67</v>
      </c>
      <c r="N1311" s="20" t="s">
        <v>82</v>
      </c>
      <c r="O1311" s="19" t="s">
        <v>13</v>
      </c>
      <c r="P1311" s="10"/>
      <c r="Q1311" s="11"/>
    </row>
    <row r="1312" spans="2:17" ht="21" customHeight="1" x14ac:dyDescent="0.35">
      <c r="B1312" s="1">
        <v>43983</v>
      </c>
      <c r="C1312" s="1" t="str">
        <f>TEXT(Sales[[#This Row],[Kode Program/Kegiatan ]],"D")</f>
        <v>1</v>
      </c>
      <c r="D1312" s="2" t="str">
        <f>TEXT(Sales[[#This Row],[Kode Program/Kegiatan ]],"mmm")</f>
        <v>Jun</v>
      </c>
      <c r="E1312" s="3">
        <v>9</v>
      </c>
      <c r="F1312" s="2">
        <v>9</v>
      </c>
      <c r="G1312" s="3" t="str">
        <f>IF(Sales[[#This Row],[Anggaran Murni]]-Sales[[#This Row],[Target s.d. Januari]]=0,"",Sales[[#This Row],[Anggaran Murni]]-Sales[[#This Row],[Target s.d. Januari]])</f>
        <v/>
      </c>
      <c r="H1312" s="2" t="s">
        <v>114</v>
      </c>
      <c r="I1312" s="3" t="s">
        <v>3</v>
      </c>
      <c r="J1312" s="3">
        <v>40000000</v>
      </c>
      <c r="K1312" s="2" t="s">
        <v>41</v>
      </c>
      <c r="L1312" s="2" t="s">
        <v>2</v>
      </c>
      <c r="M1312" s="4" t="s">
        <v>67</v>
      </c>
      <c r="N1312" s="3" t="s">
        <v>80</v>
      </c>
      <c r="O1312" s="2" t="s">
        <v>13</v>
      </c>
      <c r="P1312" s="10"/>
      <c r="Q1312" s="11"/>
    </row>
    <row r="1313" spans="2:17" ht="21" customHeight="1" x14ac:dyDescent="0.35">
      <c r="B1313" s="18">
        <v>43983</v>
      </c>
      <c r="C1313" s="18" t="str">
        <f>TEXT(Sales[[#This Row],[Kode Program/Kegiatan ]],"D")</f>
        <v>1</v>
      </c>
      <c r="D1313" s="19" t="str">
        <f>TEXT(Sales[[#This Row],[Kode Program/Kegiatan ]],"mmm")</f>
        <v>Jun</v>
      </c>
      <c r="E1313" s="20">
        <v>8</v>
      </c>
      <c r="F1313" s="19">
        <v>8</v>
      </c>
      <c r="G1313" s="20" t="str">
        <f>IF(Sales[[#This Row],[Anggaran Murni]]-Sales[[#This Row],[Target s.d. Januari]]=0,"",Sales[[#This Row],[Anggaran Murni]]-Sales[[#This Row],[Target s.d. Januari]])</f>
        <v/>
      </c>
      <c r="H1313" s="19" t="s">
        <v>74</v>
      </c>
      <c r="I1313" s="20" t="s">
        <v>77</v>
      </c>
      <c r="J1313" s="20">
        <v>80000000</v>
      </c>
      <c r="K1313" s="19" t="s">
        <v>62</v>
      </c>
      <c r="L1313" s="19" t="s">
        <v>4</v>
      </c>
      <c r="M1313" s="21" t="s">
        <v>67</v>
      </c>
      <c r="N1313" s="20" t="s">
        <v>80</v>
      </c>
      <c r="O1313" s="19" t="s">
        <v>11</v>
      </c>
      <c r="P1313" s="10"/>
      <c r="Q1313" s="11"/>
    </row>
    <row r="1314" spans="2:17" ht="21" customHeight="1" x14ac:dyDescent="0.35">
      <c r="B1314" s="1">
        <v>43983</v>
      </c>
      <c r="C1314" s="1" t="str">
        <f>TEXT(Sales[[#This Row],[Kode Program/Kegiatan ]],"D")</f>
        <v>1</v>
      </c>
      <c r="D1314" s="2" t="str">
        <f>TEXT(Sales[[#This Row],[Kode Program/Kegiatan ]],"mmm")</f>
        <v>Jun</v>
      </c>
      <c r="E1314" s="3">
        <v>6</v>
      </c>
      <c r="F1314" s="2">
        <v>6</v>
      </c>
      <c r="G1314" s="3" t="str">
        <f>IF(Sales[[#This Row],[Anggaran Murni]]-Sales[[#This Row],[Target s.d. Januari]]=0,"",Sales[[#This Row],[Anggaran Murni]]-Sales[[#This Row],[Target s.d. Januari]])</f>
        <v/>
      </c>
      <c r="H1314" s="2" t="s">
        <v>113</v>
      </c>
      <c r="I1314" s="3" t="s">
        <v>77</v>
      </c>
      <c r="J1314" s="3">
        <v>140000000</v>
      </c>
      <c r="K1314" s="2" t="s">
        <v>30</v>
      </c>
      <c r="L1314" s="2" t="s">
        <v>7</v>
      </c>
      <c r="M1314" s="4" t="s">
        <v>67</v>
      </c>
      <c r="N1314" s="3" t="s">
        <v>82</v>
      </c>
      <c r="O1314" s="2" t="s">
        <v>13</v>
      </c>
      <c r="P1314" s="10"/>
      <c r="Q1314" s="11"/>
    </row>
    <row r="1315" spans="2:17" ht="21" customHeight="1" x14ac:dyDescent="0.35">
      <c r="B1315" s="18">
        <v>43983</v>
      </c>
      <c r="C1315" s="18" t="str">
        <f>TEXT(Sales[[#This Row],[Kode Program/Kegiatan ]],"D")</f>
        <v>1</v>
      </c>
      <c r="D1315" s="19" t="str">
        <f>TEXT(Sales[[#This Row],[Kode Program/Kegiatan ]],"mmm")</f>
        <v>Jun</v>
      </c>
      <c r="E1315" s="20">
        <v>6</v>
      </c>
      <c r="F1315" s="19">
        <v>6</v>
      </c>
      <c r="G1315" s="20" t="str">
        <f>IF(Sales[[#This Row],[Anggaran Murni]]-Sales[[#This Row],[Target s.d. Januari]]=0,"",Sales[[#This Row],[Anggaran Murni]]-Sales[[#This Row],[Target s.d. Januari]])</f>
        <v/>
      </c>
      <c r="H1315" s="19" t="s">
        <v>114</v>
      </c>
      <c r="I1315" s="20" t="s">
        <v>3</v>
      </c>
      <c r="J1315" s="20">
        <v>120000000</v>
      </c>
      <c r="K1315" s="19" t="s">
        <v>17</v>
      </c>
      <c r="L1315" s="19" t="s">
        <v>5</v>
      </c>
      <c r="M1315" s="21" t="s">
        <v>67</v>
      </c>
      <c r="N1315" s="20" t="s">
        <v>81</v>
      </c>
      <c r="O1315" s="19" t="s">
        <v>13</v>
      </c>
      <c r="P1315" s="10"/>
      <c r="Q1315" s="11"/>
    </row>
    <row r="1316" spans="2:17" ht="21" customHeight="1" x14ac:dyDescent="0.35">
      <c r="B1316" s="1">
        <v>43983</v>
      </c>
      <c r="C1316" s="1" t="str">
        <f>TEXT(Sales[[#This Row],[Kode Program/Kegiatan ]],"D")</f>
        <v>1</v>
      </c>
      <c r="D1316" s="2" t="str">
        <f>TEXT(Sales[[#This Row],[Kode Program/Kegiatan ]],"mmm")</f>
        <v>Jun</v>
      </c>
      <c r="E1316" s="3">
        <v>5</v>
      </c>
      <c r="F1316" s="2">
        <v>5</v>
      </c>
      <c r="G1316" s="3" t="str">
        <f>IF(Sales[[#This Row],[Anggaran Murni]]-Sales[[#This Row],[Target s.d. Januari]]=0,"",Sales[[#This Row],[Anggaran Murni]]-Sales[[#This Row],[Target s.d. Januari]])</f>
        <v/>
      </c>
      <c r="H1316" s="2" t="s">
        <v>73</v>
      </c>
      <c r="I1316" s="3" t="s">
        <v>78</v>
      </c>
      <c r="J1316" s="3">
        <v>40000000</v>
      </c>
      <c r="K1316" s="2" t="s">
        <v>43</v>
      </c>
      <c r="L1316" s="2" t="s">
        <v>5</v>
      </c>
      <c r="M1316" s="4" t="s">
        <v>67</v>
      </c>
      <c r="N1316" s="3" t="s">
        <v>81</v>
      </c>
      <c r="O1316" s="2" t="s">
        <v>13</v>
      </c>
      <c r="P1316" s="10"/>
      <c r="Q1316" s="11"/>
    </row>
    <row r="1317" spans="2:17" ht="21" customHeight="1" x14ac:dyDescent="0.35">
      <c r="B1317" s="18">
        <v>43983</v>
      </c>
      <c r="C1317" s="18" t="str">
        <f>TEXT(Sales[[#This Row],[Kode Program/Kegiatan ]],"D")</f>
        <v>1</v>
      </c>
      <c r="D1317" s="19" t="str">
        <f>TEXT(Sales[[#This Row],[Kode Program/Kegiatan ]],"mmm")</f>
        <v>Jun</v>
      </c>
      <c r="E1317" s="20">
        <v>5</v>
      </c>
      <c r="F1317" s="19">
        <v>5</v>
      </c>
      <c r="G1317" s="20" t="str">
        <f>IF(Sales[[#This Row],[Anggaran Murni]]-Sales[[#This Row],[Target s.d. Januari]]=0,"",Sales[[#This Row],[Anggaran Murni]]-Sales[[#This Row],[Target s.d. Januari]])</f>
        <v/>
      </c>
      <c r="H1317" s="19" t="s">
        <v>72</v>
      </c>
      <c r="I1317" s="20" t="s">
        <v>78</v>
      </c>
      <c r="J1317" s="20">
        <v>140000000</v>
      </c>
      <c r="K1317" s="19" t="s">
        <v>54</v>
      </c>
      <c r="L1317" s="19" t="s">
        <v>2</v>
      </c>
      <c r="M1317" s="21" t="s">
        <v>67</v>
      </c>
      <c r="N1317" s="20" t="s">
        <v>82</v>
      </c>
      <c r="O1317" s="19" t="s">
        <v>14</v>
      </c>
      <c r="P1317" s="10"/>
      <c r="Q1317" s="11"/>
    </row>
    <row r="1318" spans="2:17" ht="21" customHeight="1" x14ac:dyDescent="0.35">
      <c r="B1318" s="1">
        <v>43983</v>
      </c>
      <c r="C1318" s="1" t="str">
        <f>TEXT(Sales[[#This Row],[Kode Program/Kegiatan ]],"D")</f>
        <v>1</v>
      </c>
      <c r="D1318" s="2" t="str">
        <f>TEXT(Sales[[#This Row],[Kode Program/Kegiatan ]],"mmm")</f>
        <v>Jun</v>
      </c>
      <c r="E1318" s="3">
        <v>4</v>
      </c>
      <c r="F1318" s="2">
        <v>4</v>
      </c>
      <c r="G1318" s="3" t="str">
        <f>IF(Sales[[#This Row],[Anggaran Murni]]-Sales[[#This Row],[Target s.d. Januari]]=0,"",Sales[[#This Row],[Anggaran Murni]]-Sales[[#This Row],[Target s.d. Januari]])</f>
        <v/>
      </c>
      <c r="H1318" s="2" t="s">
        <v>75</v>
      </c>
      <c r="I1318" s="3" t="s">
        <v>6</v>
      </c>
      <c r="J1318" s="3">
        <v>120000000</v>
      </c>
      <c r="K1318" s="2" t="s">
        <v>20</v>
      </c>
      <c r="L1318" s="2" t="s">
        <v>9</v>
      </c>
      <c r="M1318" s="4" t="s">
        <v>67</v>
      </c>
      <c r="N1318" s="3" t="s">
        <v>82</v>
      </c>
      <c r="O1318" s="2" t="s">
        <v>11</v>
      </c>
      <c r="P1318" s="10"/>
      <c r="Q1318" s="11"/>
    </row>
    <row r="1319" spans="2:17" ht="21" customHeight="1" x14ac:dyDescent="0.35">
      <c r="B1319" s="18">
        <v>43983</v>
      </c>
      <c r="C1319" s="18" t="str">
        <f>TEXT(Sales[[#This Row],[Kode Program/Kegiatan ]],"D")</f>
        <v>1</v>
      </c>
      <c r="D1319" s="19" t="str">
        <f>TEXT(Sales[[#This Row],[Kode Program/Kegiatan ]],"mmm")</f>
        <v>Jun</v>
      </c>
      <c r="E1319" s="20">
        <v>4</v>
      </c>
      <c r="F1319" s="19">
        <v>4</v>
      </c>
      <c r="G1319" s="20" t="str">
        <f>IF(Sales[[#This Row],[Anggaran Murni]]-Sales[[#This Row],[Target s.d. Januari]]=0,"",Sales[[#This Row],[Anggaran Murni]]-Sales[[#This Row],[Target s.d. Januari]])</f>
        <v/>
      </c>
      <c r="H1319" s="19" t="s">
        <v>75</v>
      </c>
      <c r="I1319" s="20" t="s">
        <v>6</v>
      </c>
      <c r="J1319" s="20">
        <v>120000000</v>
      </c>
      <c r="K1319" s="19" t="s">
        <v>16</v>
      </c>
      <c r="L1319" s="19" t="s">
        <v>2</v>
      </c>
      <c r="M1319" s="21" t="s">
        <v>67</v>
      </c>
      <c r="N1319" s="20" t="s">
        <v>81</v>
      </c>
      <c r="O1319" s="19" t="s">
        <v>12</v>
      </c>
      <c r="P1319" s="10"/>
      <c r="Q1319" s="11"/>
    </row>
    <row r="1320" spans="2:17" ht="21" customHeight="1" x14ac:dyDescent="0.35">
      <c r="B1320" s="1">
        <v>43983</v>
      </c>
      <c r="C1320" s="1" t="str">
        <f>TEXT(Sales[[#This Row],[Kode Program/Kegiatan ]],"D")</f>
        <v>1</v>
      </c>
      <c r="D1320" s="2" t="str">
        <f>TEXT(Sales[[#This Row],[Kode Program/Kegiatan ]],"mmm")</f>
        <v>Jun</v>
      </c>
      <c r="E1320" s="3">
        <v>4</v>
      </c>
      <c r="F1320" s="2">
        <v>4</v>
      </c>
      <c r="G1320" s="3" t="str">
        <f>IF(Sales[[#This Row],[Anggaran Murni]]-Sales[[#This Row],[Target s.d. Januari]]=0,"",Sales[[#This Row],[Anggaran Murni]]-Sales[[#This Row],[Target s.d. Januari]])</f>
        <v/>
      </c>
      <c r="H1320" s="2" t="s">
        <v>75</v>
      </c>
      <c r="I1320" s="3" t="s">
        <v>6</v>
      </c>
      <c r="J1320" s="3">
        <v>120000000</v>
      </c>
      <c r="K1320" s="2" t="s">
        <v>62</v>
      </c>
      <c r="L1320" s="2" t="s">
        <v>5</v>
      </c>
      <c r="M1320" s="4" t="s">
        <v>67</v>
      </c>
      <c r="N1320" s="3" t="s">
        <v>80</v>
      </c>
      <c r="O1320" s="2" t="s">
        <v>11</v>
      </c>
      <c r="P1320" s="10"/>
      <c r="Q1320" s="11"/>
    </row>
    <row r="1321" spans="2:17" ht="21" customHeight="1" x14ac:dyDescent="0.35">
      <c r="B1321" s="18">
        <v>43983</v>
      </c>
      <c r="C1321" s="18" t="str">
        <f>TEXT(Sales[[#This Row],[Kode Program/Kegiatan ]],"D")</f>
        <v>1</v>
      </c>
      <c r="D1321" s="19" t="str">
        <f>TEXT(Sales[[#This Row],[Kode Program/Kegiatan ]],"mmm")</f>
        <v>Jun</v>
      </c>
      <c r="E1321" s="20">
        <v>3</v>
      </c>
      <c r="F1321" s="19">
        <v>3</v>
      </c>
      <c r="G1321" s="20" t="str">
        <f>IF(Sales[[#This Row],[Anggaran Murni]]-Sales[[#This Row],[Target s.d. Januari]]=0,"",Sales[[#This Row],[Anggaran Murni]]-Sales[[#This Row],[Target s.d. Januari]])</f>
        <v/>
      </c>
      <c r="H1321" s="19" t="s">
        <v>113</v>
      </c>
      <c r="I1321" s="20" t="s">
        <v>77</v>
      </c>
      <c r="J1321" s="20">
        <v>60000000</v>
      </c>
      <c r="K1321" s="19" t="s">
        <v>32</v>
      </c>
      <c r="L1321" s="19" t="s">
        <v>5</v>
      </c>
      <c r="M1321" s="21" t="s">
        <v>67</v>
      </c>
      <c r="N1321" s="20" t="s">
        <v>81</v>
      </c>
      <c r="O1321" s="19" t="s">
        <v>14</v>
      </c>
      <c r="P1321" s="10"/>
      <c r="Q1321" s="11"/>
    </row>
    <row r="1322" spans="2:17" ht="21" customHeight="1" x14ac:dyDescent="0.35">
      <c r="B1322" s="1">
        <v>43983</v>
      </c>
      <c r="C1322" s="1" t="str">
        <f>TEXT(Sales[[#This Row],[Kode Program/Kegiatan ]],"D")</f>
        <v>1</v>
      </c>
      <c r="D1322" s="2" t="str">
        <f>TEXT(Sales[[#This Row],[Kode Program/Kegiatan ]],"mmm")</f>
        <v>Jun</v>
      </c>
      <c r="E1322" s="3">
        <v>3</v>
      </c>
      <c r="F1322" s="2">
        <v>3</v>
      </c>
      <c r="G1322" s="3" t="str">
        <f>IF(Sales[[#This Row],[Anggaran Murni]]-Sales[[#This Row],[Target s.d. Januari]]=0,"",Sales[[#This Row],[Anggaran Murni]]-Sales[[#This Row],[Target s.d. Januari]])</f>
        <v/>
      </c>
      <c r="H1322" s="2" t="s">
        <v>74</v>
      </c>
      <c r="I1322" s="3" t="s">
        <v>77</v>
      </c>
      <c r="J1322" s="3">
        <v>140000000</v>
      </c>
      <c r="K1322" s="2" t="s">
        <v>50</v>
      </c>
      <c r="L1322" s="2" t="s">
        <v>7</v>
      </c>
      <c r="M1322" s="4" t="s">
        <v>67</v>
      </c>
      <c r="N1322" s="3" t="s">
        <v>82</v>
      </c>
      <c r="O1322" s="2" t="s">
        <v>13</v>
      </c>
      <c r="P1322" s="10"/>
      <c r="Q1322" s="11"/>
    </row>
    <row r="1323" spans="2:17" ht="21" customHeight="1" x14ac:dyDescent="0.35">
      <c r="B1323" s="18">
        <v>43983</v>
      </c>
      <c r="C1323" s="18" t="str">
        <f>TEXT(Sales[[#This Row],[Kode Program/Kegiatan ]],"D")</f>
        <v>1</v>
      </c>
      <c r="D1323" s="19" t="str">
        <f>TEXT(Sales[[#This Row],[Kode Program/Kegiatan ]],"mmm")</f>
        <v>Jun</v>
      </c>
      <c r="E1323" s="20">
        <v>3</v>
      </c>
      <c r="F1323" s="19">
        <v>3</v>
      </c>
      <c r="G1323" s="20" t="str">
        <f>IF(Sales[[#This Row],[Anggaran Murni]]-Sales[[#This Row],[Target s.d. Januari]]=0,"",Sales[[#This Row],[Anggaran Murni]]-Sales[[#This Row],[Target s.d. Januari]])</f>
        <v/>
      </c>
      <c r="H1323" s="19" t="s">
        <v>114</v>
      </c>
      <c r="I1323" s="20" t="s">
        <v>3</v>
      </c>
      <c r="J1323" s="20">
        <v>80000000</v>
      </c>
      <c r="K1323" s="19" t="s">
        <v>48</v>
      </c>
      <c r="L1323" s="19" t="s">
        <v>2</v>
      </c>
      <c r="M1323" s="21" t="s">
        <v>67</v>
      </c>
      <c r="N1323" s="20" t="s">
        <v>81</v>
      </c>
      <c r="O1323" s="19" t="s">
        <v>11</v>
      </c>
      <c r="P1323" s="10"/>
      <c r="Q1323" s="11"/>
    </row>
    <row r="1324" spans="2:17" ht="21" customHeight="1" x14ac:dyDescent="0.35">
      <c r="B1324" s="1">
        <v>43984</v>
      </c>
      <c r="C1324" s="1" t="str">
        <f>TEXT(Sales[[#This Row],[Kode Program/Kegiatan ]],"D")</f>
        <v>2</v>
      </c>
      <c r="D1324" s="2" t="str">
        <f>TEXT(Sales[[#This Row],[Kode Program/Kegiatan ]],"mmm")</f>
        <v>Jun</v>
      </c>
      <c r="E1324" s="3">
        <v>8</v>
      </c>
      <c r="F1324" s="2">
        <v>8</v>
      </c>
      <c r="G1324" s="3" t="str">
        <f>IF(Sales[[#This Row],[Anggaran Murni]]-Sales[[#This Row],[Target s.d. Januari]]=0,"",Sales[[#This Row],[Anggaran Murni]]-Sales[[#This Row],[Target s.d. Januari]])</f>
        <v/>
      </c>
      <c r="H1324" s="2" t="s">
        <v>113</v>
      </c>
      <c r="I1324" s="3" t="s">
        <v>77</v>
      </c>
      <c r="J1324" s="3">
        <v>100000000</v>
      </c>
      <c r="K1324" s="2" t="s">
        <v>63</v>
      </c>
      <c r="L1324" s="2" t="s">
        <v>5</v>
      </c>
      <c r="M1324" s="4" t="s">
        <v>67</v>
      </c>
      <c r="N1324" s="3" t="s">
        <v>81</v>
      </c>
      <c r="O1324" s="2" t="s">
        <v>13</v>
      </c>
      <c r="P1324" s="10"/>
      <c r="Q1324" s="11"/>
    </row>
    <row r="1325" spans="2:17" ht="21" customHeight="1" x14ac:dyDescent="0.35">
      <c r="B1325" s="18">
        <v>43984</v>
      </c>
      <c r="C1325" s="18" t="str">
        <f>TEXT(Sales[[#This Row],[Kode Program/Kegiatan ]],"D")</f>
        <v>2</v>
      </c>
      <c r="D1325" s="19" t="str">
        <f>TEXT(Sales[[#This Row],[Kode Program/Kegiatan ]],"mmm")</f>
        <v>Jun</v>
      </c>
      <c r="E1325" s="20">
        <v>6</v>
      </c>
      <c r="F1325" s="19">
        <v>6</v>
      </c>
      <c r="G1325" s="20" t="str">
        <f>IF(Sales[[#This Row],[Anggaran Murni]]-Sales[[#This Row],[Target s.d. Januari]]=0,"",Sales[[#This Row],[Anggaran Murni]]-Sales[[#This Row],[Target s.d. Januari]])</f>
        <v/>
      </c>
      <c r="H1325" s="19" t="s">
        <v>71</v>
      </c>
      <c r="I1325" s="20" t="s">
        <v>6</v>
      </c>
      <c r="J1325" s="20">
        <v>80000000</v>
      </c>
      <c r="K1325" s="19" t="s">
        <v>41</v>
      </c>
      <c r="L1325" s="19" t="s">
        <v>9</v>
      </c>
      <c r="M1325" s="21" t="s">
        <v>67</v>
      </c>
      <c r="N1325" s="20" t="s">
        <v>81</v>
      </c>
      <c r="O1325" s="19" t="s">
        <v>14</v>
      </c>
      <c r="P1325" s="10"/>
      <c r="Q1325" s="11"/>
    </row>
    <row r="1326" spans="2:17" ht="21" customHeight="1" x14ac:dyDescent="0.35">
      <c r="B1326" s="1">
        <v>43984</v>
      </c>
      <c r="C1326" s="1" t="str">
        <f>TEXT(Sales[[#This Row],[Kode Program/Kegiatan ]],"D")</f>
        <v>2</v>
      </c>
      <c r="D1326" s="2" t="str">
        <f>TEXT(Sales[[#This Row],[Kode Program/Kegiatan ]],"mmm")</f>
        <v>Jun</v>
      </c>
      <c r="E1326" s="3">
        <v>6</v>
      </c>
      <c r="F1326" s="2">
        <v>6</v>
      </c>
      <c r="G1326" s="3" t="str">
        <f>IF(Sales[[#This Row],[Anggaran Murni]]-Sales[[#This Row],[Target s.d. Januari]]=0,"",Sales[[#This Row],[Anggaran Murni]]-Sales[[#This Row],[Target s.d. Januari]])</f>
        <v/>
      </c>
      <c r="H1326" s="2" t="s">
        <v>113</v>
      </c>
      <c r="I1326" s="3" t="s">
        <v>77</v>
      </c>
      <c r="J1326" s="3">
        <v>60000000</v>
      </c>
      <c r="K1326" s="2" t="s">
        <v>52</v>
      </c>
      <c r="L1326" s="2" t="s">
        <v>8</v>
      </c>
      <c r="M1326" s="4" t="s">
        <v>67</v>
      </c>
      <c r="N1326" s="3" t="s">
        <v>81</v>
      </c>
      <c r="O1326" s="2" t="s">
        <v>13</v>
      </c>
      <c r="P1326" s="10"/>
      <c r="Q1326" s="11"/>
    </row>
    <row r="1327" spans="2:17" ht="21" customHeight="1" x14ac:dyDescent="0.35">
      <c r="B1327" s="18">
        <v>43984</v>
      </c>
      <c r="C1327" s="18" t="str">
        <f>TEXT(Sales[[#This Row],[Kode Program/Kegiatan ]],"D")</f>
        <v>2</v>
      </c>
      <c r="D1327" s="19" t="str">
        <f>TEXT(Sales[[#This Row],[Kode Program/Kegiatan ]],"mmm")</f>
        <v>Jun</v>
      </c>
      <c r="E1327" s="20">
        <v>4</v>
      </c>
      <c r="F1327" s="19">
        <v>4</v>
      </c>
      <c r="G1327" s="20" t="str">
        <f>IF(Sales[[#This Row],[Anggaran Murni]]-Sales[[#This Row],[Target s.d. Januari]]=0,"",Sales[[#This Row],[Anggaran Murni]]-Sales[[#This Row],[Target s.d. Januari]])</f>
        <v/>
      </c>
      <c r="H1327" s="19" t="s">
        <v>114</v>
      </c>
      <c r="I1327" s="20" t="s">
        <v>3</v>
      </c>
      <c r="J1327" s="20">
        <v>40000000</v>
      </c>
      <c r="K1327" s="19" t="s">
        <v>21</v>
      </c>
      <c r="L1327" s="19" t="s">
        <v>5</v>
      </c>
      <c r="M1327" s="21" t="s">
        <v>67</v>
      </c>
      <c r="N1327" s="20" t="s">
        <v>81</v>
      </c>
      <c r="O1327" s="19" t="s">
        <v>11</v>
      </c>
      <c r="P1327" s="10"/>
      <c r="Q1327" s="11"/>
    </row>
    <row r="1328" spans="2:17" ht="21" customHeight="1" x14ac:dyDescent="0.35">
      <c r="B1328" s="1">
        <v>43984</v>
      </c>
      <c r="C1328" s="1" t="str">
        <f>TEXT(Sales[[#This Row],[Kode Program/Kegiatan ]],"D")</f>
        <v>2</v>
      </c>
      <c r="D1328" s="2" t="str">
        <f>TEXT(Sales[[#This Row],[Kode Program/Kegiatan ]],"mmm")</f>
        <v>Jun</v>
      </c>
      <c r="E1328" s="3">
        <v>3</v>
      </c>
      <c r="F1328" s="2">
        <v>3</v>
      </c>
      <c r="G1328" s="3" t="str">
        <f>IF(Sales[[#This Row],[Anggaran Murni]]-Sales[[#This Row],[Target s.d. Januari]]=0,"",Sales[[#This Row],[Anggaran Murni]]-Sales[[#This Row],[Target s.d. Januari]])</f>
        <v/>
      </c>
      <c r="H1328" s="2" t="s">
        <v>113</v>
      </c>
      <c r="I1328" s="3" t="s">
        <v>77</v>
      </c>
      <c r="J1328" s="3">
        <v>60000000</v>
      </c>
      <c r="K1328" s="2" t="s">
        <v>26</v>
      </c>
      <c r="L1328" s="2" t="s">
        <v>2</v>
      </c>
      <c r="M1328" s="4" t="s">
        <v>67</v>
      </c>
      <c r="N1328" s="3" t="s">
        <v>80</v>
      </c>
      <c r="O1328" s="2" t="s">
        <v>12</v>
      </c>
      <c r="P1328" s="10"/>
      <c r="Q1328" s="11"/>
    </row>
    <row r="1329" spans="2:17" ht="21" customHeight="1" x14ac:dyDescent="0.35">
      <c r="B1329" s="18">
        <v>43984</v>
      </c>
      <c r="C1329" s="18" t="str">
        <f>TEXT(Sales[[#This Row],[Kode Program/Kegiatan ]],"D")</f>
        <v>2</v>
      </c>
      <c r="D1329" s="19" t="str">
        <f>TEXT(Sales[[#This Row],[Kode Program/Kegiatan ]],"mmm")</f>
        <v>Jun</v>
      </c>
      <c r="E1329" s="20">
        <v>3</v>
      </c>
      <c r="F1329" s="19">
        <v>3</v>
      </c>
      <c r="G1329" s="20" t="str">
        <f>IF(Sales[[#This Row],[Anggaran Murni]]-Sales[[#This Row],[Target s.d. Januari]]=0,"",Sales[[#This Row],[Anggaran Murni]]-Sales[[#This Row],[Target s.d. Januari]])</f>
        <v/>
      </c>
      <c r="H1329" s="19" t="s">
        <v>75</v>
      </c>
      <c r="I1329" s="20" t="s">
        <v>6</v>
      </c>
      <c r="J1329" s="20">
        <v>40000000</v>
      </c>
      <c r="K1329" s="19" t="s">
        <v>37</v>
      </c>
      <c r="L1329" s="19" t="s">
        <v>7</v>
      </c>
      <c r="M1329" s="21" t="s">
        <v>67</v>
      </c>
      <c r="N1329" s="20" t="s">
        <v>82</v>
      </c>
      <c r="O1329" s="19" t="s">
        <v>14</v>
      </c>
      <c r="P1329" s="10"/>
      <c r="Q1329" s="11"/>
    </row>
    <row r="1330" spans="2:17" ht="21" customHeight="1" x14ac:dyDescent="0.35">
      <c r="B1330" s="1">
        <v>43985</v>
      </c>
      <c r="C1330" s="1" t="str">
        <f>TEXT(Sales[[#This Row],[Kode Program/Kegiatan ]],"D")</f>
        <v>3</v>
      </c>
      <c r="D1330" s="2" t="str">
        <f>TEXT(Sales[[#This Row],[Kode Program/Kegiatan ]],"mmm")</f>
        <v>Jun</v>
      </c>
      <c r="E1330" s="3">
        <v>10</v>
      </c>
      <c r="F1330" s="2">
        <v>10</v>
      </c>
      <c r="G1330" s="3" t="str">
        <f>IF(Sales[[#This Row],[Anggaran Murni]]-Sales[[#This Row],[Target s.d. Januari]]=0,"",Sales[[#This Row],[Anggaran Murni]]-Sales[[#This Row],[Target s.d. Januari]])</f>
        <v/>
      </c>
      <c r="H1330" s="2" t="s">
        <v>72</v>
      </c>
      <c r="I1330" s="3" t="s">
        <v>78</v>
      </c>
      <c r="J1330" s="3">
        <v>80000000</v>
      </c>
      <c r="K1330" s="2" t="s">
        <v>20</v>
      </c>
      <c r="L1330" s="2" t="s">
        <v>5</v>
      </c>
      <c r="M1330" s="4" t="s">
        <v>67</v>
      </c>
      <c r="N1330" s="3" t="s">
        <v>81</v>
      </c>
      <c r="O1330" s="2" t="s">
        <v>14</v>
      </c>
      <c r="P1330" s="10"/>
      <c r="Q1330" s="11"/>
    </row>
    <row r="1331" spans="2:17" ht="21" customHeight="1" x14ac:dyDescent="0.35">
      <c r="B1331" s="18">
        <v>43985</v>
      </c>
      <c r="C1331" s="18" t="str">
        <f>TEXT(Sales[[#This Row],[Kode Program/Kegiatan ]],"D")</f>
        <v>3</v>
      </c>
      <c r="D1331" s="19" t="str">
        <f>TEXT(Sales[[#This Row],[Kode Program/Kegiatan ]],"mmm")</f>
        <v>Jun</v>
      </c>
      <c r="E1331" s="20">
        <v>9</v>
      </c>
      <c r="F1331" s="19">
        <v>9</v>
      </c>
      <c r="G1331" s="20" t="str">
        <f>IF(Sales[[#This Row],[Anggaran Murni]]-Sales[[#This Row],[Target s.d. Januari]]=0,"",Sales[[#This Row],[Anggaran Murni]]-Sales[[#This Row],[Target s.d. Januari]])</f>
        <v/>
      </c>
      <c r="H1331" s="19" t="s">
        <v>74</v>
      </c>
      <c r="I1331" s="20" t="s">
        <v>77</v>
      </c>
      <c r="J1331" s="20">
        <v>40000000</v>
      </c>
      <c r="K1331" s="19" t="s">
        <v>44</v>
      </c>
      <c r="L1331" s="19" t="s">
        <v>2</v>
      </c>
      <c r="M1331" s="21" t="s">
        <v>67</v>
      </c>
      <c r="N1331" s="20" t="s">
        <v>82</v>
      </c>
      <c r="O1331" s="19" t="s">
        <v>11</v>
      </c>
      <c r="P1331" s="10"/>
      <c r="Q1331" s="11"/>
    </row>
    <row r="1332" spans="2:17" ht="21" customHeight="1" x14ac:dyDescent="0.35">
      <c r="B1332" s="1">
        <v>43985</v>
      </c>
      <c r="C1332" s="1" t="str">
        <f>TEXT(Sales[[#This Row],[Kode Program/Kegiatan ]],"D")</f>
        <v>3</v>
      </c>
      <c r="D1332" s="2" t="str">
        <f>TEXT(Sales[[#This Row],[Kode Program/Kegiatan ]],"mmm")</f>
        <v>Jun</v>
      </c>
      <c r="E1332" s="3">
        <v>7</v>
      </c>
      <c r="F1332" s="2">
        <v>7</v>
      </c>
      <c r="G1332" s="3" t="str">
        <f>IF(Sales[[#This Row],[Anggaran Murni]]-Sales[[#This Row],[Target s.d. Januari]]=0,"",Sales[[#This Row],[Anggaran Murni]]-Sales[[#This Row],[Target s.d. Januari]])</f>
        <v/>
      </c>
      <c r="H1332" s="2" t="s">
        <v>72</v>
      </c>
      <c r="I1332" s="3" t="s">
        <v>78</v>
      </c>
      <c r="J1332" s="3">
        <v>120000000</v>
      </c>
      <c r="K1332" s="2" t="s">
        <v>49</v>
      </c>
      <c r="L1332" s="2" t="s">
        <v>5</v>
      </c>
      <c r="M1332" s="4" t="s">
        <v>67</v>
      </c>
      <c r="N1332" s="3" t="s">
        <v>80</v>
      </c>
      <c r="O1332" s="2" t="s">
        <v>11</v>
      </c>
      <c r="P1332" s="10"/>
      <c r="Q1332" s="11"/>
    </row>
    <row r="1333" spans="2:17" ht="21" customHeight="1" x14ac:dyDescent="0.35">
      <c r="B1333" s="18">
        <v>43985</v>
      </c>
      <c r="C1333" s="18" t="str">
        <f>TEXT(Sales[[#This Row],[Kode Program/Kegiatan ]],"D")</f>
        <v>3</v>
      </c>
      <c r="D1333" s="19" t="str">
        <f>TEXT(Sales[[#This Row],[Kode Program/Kegiatan ]],"mmm")</f>
        <v>Jun</v>
      </c>
      <c r="E1333" s="20">
        <v>7</v>
      </c>
      <c r="F1333" s="19">
        <v>7</v>
      </c>
      <c r="G1333" s="20" t="str">
        <f>IF(Sales[[#This Row],[Anggaran Murni]]-Sales[[#This Row],[Target s.d. Januari]]=0,"",Sales[[#This Row],[Anggaran Murni]]-Sales[[#This Row],[Target s.d. Januari]])</f>
        <v/>
      </c>
      <c r="H1333" s="19" t="s">
        <v>75</v>
      </c>
      <c r="I1333" s="20" t="s">
        <v>6</v>
      </c>
      <c r="J1333" s="20">
        <v>120000000</v>
      </c>
      <c r="K1333" s="19" t="s">
        <v>27</v>
      </c>
      <c r="L1333" s="19" t="s">
        <v>5</v>
      </c>
      <c r="M1333" s="21" t="s">
        <v>67</v>
      </c>
      <c r="N1333" s="20" t="s">
        <v>81</v>
      </c>
      <c r="O1333" s="19" t="s">
        <v>12</v>
      </c>
      <c r="P1333" s="10"/>
      <c r="Q1333" s="11"/>
    </row>
    <row r="1334" spans="2:17" ht="21" customHeight="1" x14ac:dyDescent="0.35">
      <c r="B1334" s="1">
        <v>43985</v>
      </c>
      <c r="C1334" s="1" t="str">
        <f>TEXT(Sales[[#This Row],[Kode Program/Kegiatan ]],"D")</f>
        <v>3</v>
      </c>
      <c r="D1334" s="2" t="str">
        <f>TEXT(Sales[[#This Row],[Kode Program/Kegiatan ]],"mmm")</f>
        <v>Jun</v>
      </c>
      <c r="E1334" s="3">
        <v>6</v>
      </c>
      <c r="F1334" s="2">
        <v>6</v>
      </c>
      <c r="G1334" s="3" t="str">
        <f>IF(Sales[[#This Row],[Anggaran Murni]]-Sales[[#This Row],[Target s.d. Januari]]=0,"",Sales[[#This Row],[Anggaran Murni]]-Sales[[#This Row],[Target s.d. Januari]])</f>
        <v/>
      </c>
      <c r="H1334" s="2" t="s">
        <v>71</v>
      </c>
      <c r="I1334" s="3" t="s">
        <v>6</v>
      </c>
      <c r="J1334" s="3">
        <v>80000000</v>
      </c>
      <c r="K1334" s="2" t="s">
        <v>48</v>
      </c>
      <c r="L1334" s="2" t="s">
        <v>2</v>
      </c>
      <c r="M1334" s="4" t="s">
        <v>67</v>
      </c>
      <c r="N1334" s="3" t="s">
        <v>81</v>
      </c>
      <c r="O1334" s="2" t="s">
        <v>14</v>
      </c>
      <c r="P1334" s="10"/>
      <c r="Q1334" s="11"/>
    </row>
    <row r="1335" spans="2:17" ht="21" customHeight="1" x14ac:dyDescent="0.35">
      <c r="B1335" s="18">
        <v>43985</v>
      </c>
      <c r="C1335" s="18" t="str">
        <f>TEXT(Sales[[#This Row],[Kode Program/Kegiatan ]],"D")</f>
        <v>3</v>
      </c>
      <c r="D1335" s="19" t="str">
        <f>TEXT(Sales[[#This Row],[Kode Program/Kegiatan ]],"mmm")</f>
        <v>Jun</v>
      </c>
      <c r="E1335" s="20">
        <v>6</v>
      </c>
      <c r="F1335" s="19">
        <v>6</v>
      </c>
      <c r="G1335" s="20" t="str">
        <f>IF(Sales[[#This Row],[Anggaran Murni]]-Sales[[#This Row],[Target s.d. Januari]]=0,"",Sales[[#This Row],[Anggaran Murni]]-Sales[[#This Row],[Target s.d. Januari]])</f>
        <v/>
      </c>
      <c r="H1335" s="19" t="s">
        <v>76</v>
      </c>
      <c r="I1335" s="20" t="s">
        <v>79</v>
      </c>
      <c r="J1335" s="20">
        <v>80000000</v>
      </c>
      <c r="K1335" s="19" t="s">
        <v>52</v>
      </c>
      <c r="L1335" s="19" t="s">
        <v>2</v>
      </c>
      <c r="M1335" s="21" t="s">
        <v>67</v>
      </c>
      <c r="N1335" s="20" t="s">
        <v>82</v>
      </c>
      <c r="O1335" s="19" t="s">
        <v>13</v>
      </c>
      <c r="P1335" s="10"/>
      <c r="Q1335" s="11"/>
    </row>
    <row r="1336" spans="2:17" ht="21" customHeight="1" x14ac:dyDescent="0.35">
      <c r="B1336" s="1">
        <v>43985</v>
      </c>
      <c r="C1336" s="1" t="str">
        <f>TEXT(Sales[[#This Row],[Kode Program/Kegiatan ]],"D")</f>
        <v>3</v>
      </c>
      <c r="D1336" s="2" t="str">
        <f>TEXT(Sales[[#This Row],[Kode Program/Kegiatan ]],"mmm")</f>
        <v>Jun</v>
      </c>
      <c r="E1336" s="3">
        <v>5</v>
      </c>
      <c r="F1336" s="2">
        <v>5</v>
      </c>
      <c r="G1336" s="3" t="str">
        <f>IF(Sales[[#This Row],[Anggaran Murni]]-Sales[[#This Row],[Target s.d. Januari]]=0,"",Sales[[#This Row],[Anggaran Murni]]-Sales[[#This Row],[Target s.d. Januari]])</f>
        <v/>
      </c>
      <c r="H1336" s="2" t="s">
        <v>75</v>
      </c>
      <c r="I1336" s="3" t="s">
        <v>6</v>
      </c>
      <c r="J1336" s="3">
        <v>60000000</v>
      </c>
      <c r="K1336" s="2" t="s">
        <v>50</v>
      </c>
      <c r="L1336" s="2" t="s">
        <v>7</v>
      </c>
      <c r="M1336" s="4" t="s">
        <v>67</v>
      </c>
      <c r="N1336" s="3" t="s">
        <v>81</v>
      </c>
      <c r="O1336" s="2" t="s">
        <v>12</v>
      </c>
      <c r="P1336" s="10"/>
      <c r="Q1336" s="11"/>
    </row>
    <row r="1337" spans="2:17" ht="21" customHeight="1" x14ac:dyDescent="0.35">
      <c r="B1337" s="18">
        <v>43985</v>
      </c>
      <c r="C1337" s="18" t="str">
        <f>TEXT(Sales[[#This Row],[Kode Program/Kegiatan ]],"D")</f>
        <v>3</v>
      </c>
      <c r="D1337" s="19" t="str">
        <f>TEXT(Sales[[#This Row],[Kode Program/Kegiatan ]],"mmm")</f>
        <v>Jun</v>
      </c>
      <c r="E1337" s="20">
        <v>5</v>
      </c>
      <c r="F1337" s="19">
        <v>5</v>
      </c>
      <c r="G1337" s="20" t="str">
        <f>IF(Sales[[#This Row],[Anggaran Murni]]-Sales[[#This Row],[Target s.d. Januari]]=0,"",Sales[[#This Row],[Anggaran Murni]]-Sales[[#This Row],[Target s.d. Januari]])</f>
        <v/>
      </c>
      <c r="H1337" s="19" t="s">
        <v>71</v>
      </c>
      <c r="I1337" s="20" t="s">
        <v>6</v>
      </c>
      <c r="J1337" s="20">
        <v>140000000</v>
      </c>
      <c r="K1337" s="19" t="s">
        <v>24</v>
      </c>
      <c r="L1337" s="19" t="s">
        <v>8</v>
      </c>
      <c r="M1337" s="21" t="s">
        <v>67</v>
      </c>
      <c r="N1337" s="20" t="s">
        <v>81</v>
      </c>
      <c r="O1337" s="19" t="s">
        <v>13</v>
      </c>
      <c r="P1337" s="10"/>
      <c r="Q1337" s="11"/>
    </row>
    <row r="1338" spans="2:17" ht="21" customHeight="1" x14ac:dyDescent="0.35">
      <c r="B1338" s="1">
        <v>43985</v>
      </c>
      <c r="C1338" s="1" t="str">
        <f>TEXT(Sales[[#This Row],[Kode Program/Kegiatan ]],"D")</f>
        <v>3</v>
      </c>
      <c r="D1338" s="2" t="str">
        <f>TEXT(Sales[[#This Row],[Kode Program/Kegiatan ]],"mmm")</f>
        <v>Jun</v>
      </c>
      <c r="E1338" s="3">
        <v>3</v>
      </c>
      <c r="F1338" s="2">
        <v>3</v>
      </c>
      <c r="G1338" s="3" t="str">
        <f>IF(Sales[[#This Row],[Anggaran Murni]]-Sales[[#This Row],[Target s.d. Januari]]=0,"",Sales[[#This Row],[Anggaran Murni]]-Sales[[#This Row],[Target s.d. Januari]])</f>
        <v/>
      </c>
      <c r="H1338" s="2" t="s">
        <v>74</v>
      </c>
      <c r="I1338" s="3" t="s">
        <v>77</v>
      </c>
      <c r="J1338" s="3">
        <v>60000000</v>
      </c>
      <c r="K1338" s="2" t="s">
        <v>15</v>
      </c>
      <c r="L1338" s="2" t="s">
        <v>5</v>
      </c>
      <c r="M1338" s="4" t="s">
        <v>67</v>
      </c>
      <c r="N1338" s="3" t="s">
        <v>81</v>
      </c>
      <c r="O1338" s="2" t="s">
        <v>12</v>
      </c>
      <c r="P1338" s="10"/>
      <c r="Q1338" s="11"/>
    </row>
    <row r="1339" spans="2:17" ht="21" customHeight="1" x14ac:dyDescent="0.35">
      <c r="B1339" s="18">
        <v>43986</v>
      </c>
      <c r="C1339" s="18" t="str">
        <f>TEXT(Sales[[#This Row],[Kode Program/Kegiatan ]],"D")</f>
        <v>4</v>
      </c>
      <c r="D1339" s="19" t="str">
        <f>TEXT(Sales[[#This Row],[Kode Program/Kegiatan ]],"mmm")</f>
        <v>Jun</v>
      </c>
      <c r="E1339" s="20">
        <v>10</v>
      </c>
      <c r="F1339" s="19">
        <v>10</v>
      </c>
      <c r="G1339" s="20" t="str">
        <f>IF(Sales[[#This Row],[Anggaran Murni]]-Sales[[#This Row],[Target s.d. Januari]]=0,"",Sales[[#This Row],[Anggaran Murni]]-Sales[[#This Row],[Target s.d. Januari]])</f>
        <v/>
      </c>
      <c r="H1339" s="19" t="s">
        <v>72</v>
      </c>
      <c r="I1339" s="20" t="s">
        <v>78</v>
      </c>
      <c r="J1339" s="20">
        <v>120000000</v>
      </c>
      <c r="K1339" s="19" t="s">
        <v>51</v>
      </c>
      <c r="L1339" s="19" t="s">
        <v>2</v>
      </c>
      <c r="M1339" s="21" t="s">
        <v>67</v>
      </c>
      <c r="N1339" s="20" t="s">
        <v>82</v>
      </c>
      <c r="O1339" s="19" t="s">
        <v>11</v>
      </c>
      <c r="P1339" s="10"/>
      <c r="Q1339" s="11"/>
    </row>
    <row r="1340" spans="2:17" ht="21" customHeight="1" x14ac:dyDescent="0.35">
      <c r="B1340" s="1">
        <v>43986</v>
      </c>
      <c r="C1340" s="1" t="str">
        <f>TEXT(Sales[[#This Row],[Kode Program/Kegiatan ]],"D")</f>
        <v>4</v>
      </c>
      <c r="D1340" s="2" t="str">
        <f>TEXT(Sales[[#This Row],[Kode Program/Kegiatan ]],"mmm")</f>
        <v>Jun</v>
      </c>
      <c r="E1340" s="3">
        <v>10</v>
      </c>
      <c r="F1340" s="2">
        <v>10</v>
      </c>
      <c r="G1340" s="3" t="str">
        <f>IF(Sales[[#This Row],[Anggaran Murni]]-Sales[[#This Row],[Target s.d. Januari]]=0,"",Sales[[#This Row],[Anggaran Murni]]-Sales[[#This Row],[Target s.d. Januari]])</f>
        <v/>
      </c>
      <c r="H1340" s="2" t="s">
        <v>73</v>
      </c>
      <c r="I1340" s="3" t="s">
        <v>78</v>
      </c>
      <c r="J1340" s="3">
        <v>140000000</v>
      </c>
      <c r="K1340" s="2" t="s">
        <v>21</v>
      </c>
      <c r="L1340" s="2" t="s">
        <v>7</v>
      </c>
      <c r="M1340" s="4" t="s">
        <v>67</v>
      </c>
      <c r="N1340" s="3" t="s">
        <v>81</v>
      </c>
      <c r="O1340" s="2" t="s">
        <v>11</v>
      </c>
      <c r="P1340" s="10"/>
      <c r="Q1340" s="11"/>
    </row>
    <row r="1341" spans="2:17" ht="21" customHeight="1" x14ac:dyDescent="0.35">
      <c r="B1341" s="18">
        <v>43986</v>
      </c>
      <c r="C1341" s="18" t="str">
        <f>TEXT(Sales[[#This Row],[Kode Program/Kegiatan ]],"D")</f>
        <v>4</v>
      </c>
      <c r="D1341" s="19" t="str">
        <f>TEXT(Sales[[#This Row],[Kode Program/Kegiatan ]],"mmm")</f>
        <v>Jun</v>
      </c>
      <c r="E1341" s="20">
        <v>9</v>
      </c>
      <c r="F1341" s="19">
        <v>9</v>
      </c>
      <c r="G1341" s="20" t="str">
        <f>IF(Sales[[#This Row],[Anggaran Murni]]-Sales[[#This Row],[Target s.d. Januari]]=0,"",Sales[[#This Row],[Anggaran Murni]]-Sales[[#This Row],[Target s.d. Januari]])</f>
        <v/>
      </c>
      <c r="H1341" s="19" t="s">
        <v>75</v>
      </c>
      <c r="I1341" s="20" t="s">
        <v>6</v>
      </c>
      <c r="J1341" s="20">
        <v>60000000</v>
      </c>
      <c r="K1341" s="19" t="s">
        <v>52</v>
      </c>
      <c r="L1341" s="19" t="s">
        <v>5</v>
      </c>
      <c r="M1341" s="21" t="s">
        <v>67</v>
      </c>
      <c r="N1341" s="20" t="s">
        <v>81</v>
      </c>
      <c r="O1341" s="19" t="s">
        <v>14</v>
      </c>
      <c r="P1341" s="10"/>
      <c r="Q1341" s="11"/>
    </row>
    <row r="1342" spans="2:17" ht="21" customHeight="1" x14ac:dyDescent="0.35">
      <c r="B1342" s="1">
        <v>43986</v>
      </c>
      <c r="C1342" s="1" t="str">
        <f>TEXT(Sales[[#This Row],[Kode Program/Kegiatan ]],"D")</f>
        <v>4</v>
      </c>
      <c r="D1342" s="2" t="str">
        <f>TEXT(Sales[[#This Row],[Kode Program/Kegiatan ]],"mmm")</f>
        <v>Jun</v>
      </c>
      <c r="E1342" s="3">
        <v>9</v>
      </c>
      <c r="F1342" s="2">
        <v>9</v>
      </c>
      <c r="G1342" s="3" t="str">
        <f>IF(Sales[[#This Row],[Anggaran Murni]]-Sales[[#This Row],[Target s.d. Januari]]=0,"",Sales[[#This Row],[Anggaran Murni]]-Sales[[#This Row],[Target s.d. Januari]])</f>
        <v/>
      </c>
      <c r="H1342" s="2" t="s">
        <v>71</v>
      </c>
      <c r="I1342" s="3" t="s">
        <v>6</v>
      </c>
      <c r="J1342" s="3">
        <v>60000000</v>
      </c>
      <c r="K1342" s="2" t="s">
        <v>21</v>
      </c>
      <c r="L1342" s="2" t="s">
        <v>4</v>
      </c>
      <c r="M1342" s="4" t="s">
        <v>67</v>
      </c>
      <c r="N1342" s="3" t="s">
        <v>82</v>
      </c>
      <c r="O1342" s="2" t="s">
        <v>12</v>
      </c>
      <c r="P1342" s="10"/>
      <c r="Q1342" s="11"/>
    </row>
    <row r="1343" spans="2:17" ht="21" customHeight="1" x14ac:dyDescent="0.35">
      <c r="B1343" s="18">
        <v>43986</v>
      </c>
      <c r="C1343" s="18" t="str">
        <f>TEXT(Sales[[#This Row],[Kode Program/Kegiatan ]],"D")</f>
        <v>4</v>
      </c>
      <c r="D1343" s="19" t="str">
        <f>TEXT(Sales[[#This Row],[Kode Program/Kegiatan ]],"mmm")</f>
        <v>Jun</v>
      </c>
      <c r="E1343" s="20">
        <v>9</v>
      </c>
      <c r="F1343" s="19">
        <v>9</v>
      </c>
      <c r="G1343" s="20" t="str">
        <f>IF(Sales[[#This Row],[Anggaran Murni]]-Sales[[#This Row],[Target s.d. Januari]]=0,"",Sales[[#This Row],[Anggaran Murni]]-Sales[[#This Row],[Target s.d. Januari]])</f>
        <v/>
      </c>
      <c r="H1343" s="19" t="s">
        <v>74</v>
      </c>
      <c r="I1343" s="20" t="s">
        <v>77</v>
      </c>
      <c r="J1343" s="20">
        <v>140000000</v>
      </c>
      <c r="K1343" s="19" t="s">
        <v>57</v>
      </c>
      <c r="L1343" s="19" t="s">
        <v>2</v>
      </c>
      <c r="M1343" s="21" t="s">
        <v>67</v>
      </c>
      <c r="N1343" s="20" t="s">
        <v>82</v>
      </c>
      <c r="O1343" s="19" t="s">
        <v>12</v>
      </c>
      <c r="P1343" s="10"/>
      <c r="Q1343" s="11"/>
    </row>
    <row r="1344" spans="2:17" ht="21" customHeight="1" x14ac:dyDescent="0.35">
      <c r="B1344" s="1">
        <v>43986</v>
      </c>
      <c r="C1344" s="1" t="str">
        <f>TEXT(Sales[[#This Row],[Kode Program/Kegiatan ]],"D")</f>
        <v>4</v>
      </c>
      <c r="D1344" s="2" t="str">
        <f>TEXT(Sales[[#This Row],[Kode Program/Kegiatan ]],"mmm")</f>
        <v>Jun</v>
      </c>
      <c r="E1344" s="3">
        <v>8</v>
      </c>
      <c r="F1344" s="2">
        <v>8</v>
      </c>
      <c r="G1344" s="3" t="str">
        <f>IF(Sales[[#This Row],[Anggaran Murni]]-Sales[[#This Row],[Target s.d. Januari]]=0,"",Sales[[#This Row],[Anggaran Murni]]-Sales[[#This Row],[Target s.d. Januari]])</f>
        <v/>
      </c>
      <c r="H1344" s="2" t="s">
        <v>73</v>
      </c>
      <c r="I1344" s="3" t="s">
        <v>78</v>
      </c>
      <c r="J1344" s="3">
        <v>120000000</v>
      </c>
      <c r="K1344" s="2" t="s">
        <v>19</v>
      </c>
      <c r="L1344" s="2" t="s">
        <v>2</v>
      </c>
      <c r="M1344" s="4" t="s">
        <v>67</v>
      </c>
      <c r="N1344" s="3" t="s">
        <v>81</v>
      </c>
      <c r="O1344" s="2" t="s">
        <v>12</v>
      </c>
      <c r="P1344" s="10"/>
      <c r="Q1344" s="11"/>
    </row>
    <row r="1345" spans="2:17" ht="21" customHeight="1" x14ac:dyDescent="0.35">
      <c r="B1345" s="18">
        <v>43986</v>
      </c>
      <c r="C1345" s="18" t="str">
        <f>TEXT(Sales[[#This Row],[Kode Program/Kegiatan ]],"D")</f>
        <v>4</v>
      </c>
      <c r="D1345" s="19" t="str">
        <f>TEXT(Sales[[#This Row],[Kode Program/Kegiatan ]],"mmm")</f>
        <v>Jun</v>
      </c>
      <c r="E1345" s="20">
        <v>6</v>
      </c>
      <c r="F1345" s="19">
        <v>6</v>
      </c>
      <c r="G1345" s="20" t="str">
        <f>IF(Sales[[#This Row],[Anggaran Murni]]-Sales[[#This Row],[Target s.d. Januari]]=0,"",Sales[[#This Row],[Anggaran Murni]]-Sales[[#This Row],[Target s.d. Januari]])</f>
        <v/>
      </c>
      <c r="H1345" s="19" t="s">
        <v>114</v>
      </c>
      <c r="I1345" s="20" t="s">
        <v>3</v>
      </c>
      <c r="J1345" s="20">
        <v>120000000</v>
      </c>
      <c r="K1345" s="19" t="s">
        <v>21</v>
      </c>
      <c r="L1345" s="19" t="s">
        <v>5</v>
      </c>
      <c r="M1345" s="21" t="s">
        <v>67</v>
      </c>
      <c r="N1345" s="20" t="s">
        <v>82</v>
      </c>
      <c r="O1345" s="19" t="s">
        <v>14</v>
      </c>
      <c r="P1345" s="10"/>
      <c r="Q1345" s="11"/>
    </row>
    <row r="1346" spans="2:17" ht="21" customHeight="1" x14ac:dyDescent="0.35">
      <c r="B1346" s="1">
        <v>43986</v>
      </c>
      <c r="C1346" s="1" t="str">
        <f>TEXT(Sales[[#This Row],[Kode Program/Kegiatan ]],"D")</f>
        <v>4</v>
      </c>
      <c r="D1346" s="2" t="str">
        <f>TEXT(Sales[[#This Row],[Kode Program/Kegiatan ]],"mmm")</f>
        <v>Jun</v>
      </c>
      <c r="E1346" s="3">
        <v>5</v>
      </c>
      <c r="F1346" s="2">
        <v>5</v>
      </c>
      <c r="G1346" s="3" t="str">
        <f>IF(Sales[[#This Row],[Anggaran Murni]]-Sales[[#This Row],[Target s.d. Januari]]=0,"",Sales[[#This Row],[Anggaran Murni]]-Sales[[#This Row],[Target s.d. Januari]])</f>
        <v/>
      </c>
      <c r="H1346" s="2" t="s">
        <v>73</v>
      </c>
      <c r="I1346" s="3" t="s">
        <v>78</v>
      </c>
      <c r="J1346" s="3">
        <v>40000000</v>
      </c>
      <c r="K1346" s="2" t="s">
        <v>28</v>
      </c>
      <c r="L1346" s="2" t="s">
        <v>5</v>
      </c>
      <c r="M1346" s="4" t="s">
        <v>67</v>
      </c>
      <c r="N1346" s="3" t="s">
        <v>80</v>
      </c>
      <c r="O1346" s="2" t="s">
        <v>13</v>
      </c>
      <c r="P1346" s="10"/>
      <c r="Q1346" s="11"/>
    </row>
    <row r="1347" spans="2:17" ht="21" customHeight="1" x14ac:dyDescent="0.35">
      <c r="B1347" s="18">
        <v>43986</v>
      </c>
      <c r="C1347" s="18" t="str">
        <f>TEXT(Sales[[#This Row],[Kode Program/Kegiatan ]],"D")</f>
        <v>4</v>
      </c>
      <c r="D1347" s="19" t="str">
        <f>TEXT(Sales[[#This Row],[Kode Program/Kegiatan ]],"mmm")</f>
        <v>Jun</v>
      </c>
      <c r="E1347" s="20">
        <v>4</v>
      </c>
      <c r="F1347" s="19">
        <v>4</v>
      </c>
      <c r="G1347" s="20" t="str">
        <f>IF(Sales[[#This Row],[Anggaran Murni]]-Sales[[#This Row],[Target s.d. Januari]]=0,"",Sales[[#This Row],[Anggaran Murni]]-Sales[[#This Row],[Target s.d. Januari]])</f>
        <v/>
      </c>
      <c r="H1347" s="19" t="s">
        <v>75</v>
      </c>
      <c r="I1347" s="20" t="s">
        <v>6</v>
      </c>
      <c r="J1347" s="20">
        <v>40000000</v>
      </c>
      <c r="K1347" s="19" t="s">
        <v>22</v>
      </c>
      <c r="L1347" s="19" t="s">
        <v>5</v>
      </c>
      <c r="M1347" s="21" t="s">
        <v>67</v>
      </c>
      <c r="N1347" s="20" t="s">
        <v>82</v>
      </c>
      <c r="O1347" s="19" t="s">
        <v>13</v>
      </c>
      <c r="P1347" s="10"/>
      <c r="Q1347" s="11"/>
    </row>
    <row r="1348" spans="2:17" ht="21" customHeight="1" x14ac:dyDescent="0.35">
      <c r="B1348" s="1">
        <v>43986</v>
      </c>
      <c r="C1348" s="1" t="str">
        <f>TEXT(Sales[[#This Row],[Kode Program/Kegiatan ]],"D")</f>
        <v>4</v>
      </c>
      <c r="D1348" s="2" t="str">
        <f>TEXT(Sales[[#This Row],[Kode Program/Kegiatan ]],"mmm")</f>
        <v>Jun</v>
      </c>
      <c r="E1348" s="3">
        <v>4</v>
      </c>
      <c r="F1348" s="2">
        <v>4</v>
      </c>
      <c r="G1348" s="3" t="str">
        <f>IF(Sales[[#This Row],[Anggaran Murni]]-Sales[[#This Row],[Target s.d. Januari]]=0,"",Sales[[#This Row],[Anggaran Murni]]-Sales[[#This Row],[Target s.d. Januari]])</f>
        <v/>
      </c>
      <c r="H1348" s="2" t="s">
        <v>76</v>
      </c>
      <c r="I1348" s="3" t="s">
        <v>79</v>
      </c>
      <c r="J1348" s="3">
        <v>100000000</v>
      </c>
      <c r="K1348" s="2" t="s">
        <v>16</v>
      </c>
      <c r="L1348" s="2" t="s">
        <v>9</v>
      </c>
      <c r="M1348" s="4" t="s">
        <v>67</v>
      </c>
      <c r="N1348" s="3" t="s">
        <v>82</v>
      </c>
      <c r="O1348" s="2" t="s">
        <v>12</v>
      </c>
      <c r="P1348" s="10"/>
      <c r="Q1348" s="11"/>
    </row>
    <row r="1349" spans="2:17" ht="21" customHeight="1" x14ac:dyDescent="0.35">
      <c r="B1349" s="18">
        <v>43987</v>
      </c>
      <c r="C1349" s="18" t="str">
        <f>TEXT(Sales[[#This Row],[Kode Program/Kegiatan ]],"D")</f>
        <v>5</v>
      </c>
      <c r="D1349" s="19" t="str">
        <f>TEXT(Sales[[#This Row],[Kode Program/Kegiatan ]],"mmm")</f>
        <v>Jun</v>
      </c>
      <c r="E1349" s="20">
        <v>10</v>
      </c>
      <c r="F1349" s="19">
        <v>10</v>
      </c>
      <c r="G1349" s="20" t="str">
        <f>IF(Sales[[#This Row],[Anggaran Murni]]-Sales[[#This Row],[Target s.d. Januari]]=0,"",Sales[[#This Row],[Anggaran Murni]]-Sales[[#This Row],[Target s.d. Januari]])</f>
        <v/>
      </c>
      <c r="H1349" s="19" t="s">
        <v>73</v>
      </c>
      <c r="I1349" s="20" t="s">
        <v>78</v>
      </c>
      <c r="J1349" s="20">
        <v>40000000</v>
      </c>
      <c r="K1349" s="19" t="s">
        <v>47</v>
      </c>
      <c r="L1349" s="19" t="s">
        <v>2</v>
      </c>
      <c r="M1349" s="21" t="s">
        <v>67</v>
      </c>
      <c r="N1349" s="20" t="s">
        <v>80</v>
      </c>
      <c r="O1349" s="19" t="s">
        <v>11</v>
      </c>
      <c r="P1349" s="10"/>
      <c r="Q1349" s="11"/>
    </row>
    <row r="1350" spans="2:17" ht="21" customHeight="1" x14ac:dyDescent="0.35">
      <c r="B1350" s="1">
        <v>43987</v>
      </c>
      <c r="C1350" s="1" t="str">
        <f>TEXT(Sales[[#This Row],[Kode Program/Kegiatan ]],"D")</f>
        <v>5</v>
      </c>
      <c r="D1350" s="2" t="str">
        <f>TEXT(Sales[[#This Row],[Kode Program/Kegiatan ]],"mmm")</f>
        <v>Jun</v>
      </c>
      <c r="E1350" s="3">
        <v>9</v>
      </c>
      <c r="F1350" s="2">
        <v>9</v>
      </c>
      <c r="G1350" s="3" t="str">
        <f>IF(Sales[[#This Row],[Anggaran Murni]]-Sales[[#This Row],[Target s.d. Januari]]=0,"",Sales[[#This Row],[Anggaran Murni]]-Sales[[#This Row],[Target s.d. Januari]])</f>
        <v/>
      </c>
      <c r="H1350" s="2" t="s">
        <v>71</v>
      </c>
      <c r="I1350" s="3" t="s">
        <v>6</v>
      </c>
      <c r="J1350" s="3">
        <v>80000000</v>
      </c>
      <c r="K1350" s="2" t="s">
        <v>37</v>
      </c>
      <c r="L1350" s="2" t="s">
        <v>8</v>
      </c>
      <c r="M1350" s="4" t="s">
        <v>67</v>
      </c>
      <c r="N1350" s="3" t="s">
        <v>80</v>
      </c>
      <c r="O1350" s="2" t="s">
        <v>12</v>
      </c>
      <c r="P1350" s="10"/>
      <c r="Q1350" s="11"/>
    </row>
    <row r="1351" spans="2:17" ht="21" customHeight="1" x14ac:dyDescent="0.35">
      <c r="B1351" s="18">
        <v>43987</v>
      </c>
      <c r="C1351" s="18" t="str">
        <f>TEXT(Sales[[#This Row],[Kode Program/Kegiatan ]],"D")</f>
        <v>5</v>
      </c>
      <c r="D1351" s="19" t="str">
        <f>TEXT(Sales[[#This Row],[Kode Program/Kegiatan ]],"mmm")</f>
        <v>Jun</v>
      </c>
      <c r="E1351" s="20">
        <v>8</v>
      </c>
      <c r="F1351" s="19">
        <v>8</v>
      </c>
      <c r="G1351" s="20" t="str">
        <f>IF(Sales[[#This Row],[Anggaran Murni]]-Sales[[#This Row],[Target s.d. Januari]]=0,"",Sales[[#This Row],[Anggaran Murni]]-Sales[[#This Row],[Target s.d. Januari]])</f>
        <v/>
      </c>
      <c r="H1351" s="19" t="s">
        <v>72</v>
      </c>
      <c r="I1351" s="20" t="s">
        <v>78</v>
      </c>
      <c r="J1351" s="20">
        <v>120000000</v>
      </c>
      <c r="K1351" s="19" t="s">
        <v>31</v>
      </c>
      <c r="L1351" s="19" t="s">
        <v>2</v>
      </c>
      <c r="M1351" s="21" t="s">
        <v>67</v>
      </c>
      <c r="N1351" s="20" t="s">
        <v>82</v>
      </c>
      <c r="O1351" s="19" t="s">
        <v>13</v>
      </c>
      <c r="P1351" s="10"/>
      <c r="Q1351" s="11"/>
    </row>
    <row r="1352" spans="2:17" ht="21" customHeight="1" x14ac:dyDescent="0.35">
      <c r="B1352" s="1">
        <v>43987</v>
      </c>
      <c r="C1352" s="1" t="str">
        <f>TEXT(Sales[[#This Row],[Kode Program/Kegiatan ]],"D")</f>
        <v>5</v>
      </c>
      <c r="D1352" s="2" t="str">
        <f>TEXT(Sales[[#This Row],[Kode Program/Kegiatan ]],"mmm")</f>
        <v>Jun</v>
      </c>
      <c r="E1352" s="3">
        <v>8</v>
      </c>
      <c r="F1352" s="2">
        <v>8</v>
      </c>
      <c r="G1352" s="3" t="str">
        <f>IF(Sales[[#This Row],[Anggaran Murni]]-Sales[[#This Row],[Target s.d. Januari]]=0,"",Sales[[#This Row],[Anggaran Murni]]-Sales[[#This Row],[Target s.d. Januari]])</f>
        <v/>
      </c>
      <c r="H1352" s="2" t="s">
        <v>74</v>
      </c>
      <c r="I1352" s="3" t="s">
        <v>77</v>
      </c>
      <c r="J1352" s="3">
        <v>140000000</v>
      </c>
      <c r="K1352" s="2" t="s">
        <v>54</v>
      </c>
      <c r="L1352" s="2" t="s">
        <v>5</v>
      </c>
      <c r="M1352" s="4" t="s">
        <v>67</v>
      </c>
      <c r="N1352" s="3" t="s">
        <v>82</v>
      </c>
      <c r="O1352" s="2" t="s">
        <v>14</v>
      </c>
      <c r="P1352" s="10"/>
      <c r="Q1352" s="11"/>
    </row>
    <row r="1353" spans="2:17" ht="21" customHeight="1" x14ac:dyDescent="0.35">
      <c r="B1353" s="18">
        <v>43987</v>
      </c>
      <c r="C1353" s="18" t="str">
        <f>TEXT(Sales[[#This Row],[Kode Program/Kegiatan ]],"D")</f>
        <v>5</v>
      </c>
      <c r="D1353" s="19" t="str">
        <f>TEXT(Sales[[#This Row],[Kode Program/Kegiatan ]],"mmm")</f>
        <v>Jun</v>
      </c>
      <c r="E1353" s="20">
        <v>8</v>
      </c>
      <c r="F1353" s="19">
        <v>8</v>
      </c>
      <c r="G1353" s="20" t="str">
        <f>IF(Sales[[#This Row],[Anggaran Murni]]-Sales[[#This Row],[Target s.d. Januari]]=0,"",Sales[[#This Row],[Anggaran Murni]]-Sales[[#This Row],[Target s.d. Januari]])</f>
        <v/>
      </c>
      <c r="H1353" s="19" t="s">
        <v>72</v>
      </c>
      <c r="I1353" s="20" t="s">
        <v>78</v>
      </c>
      <c r="J1353" s="20">
        <v>80000000</v>
      </c>
      <c r="K1353" s="19" t="s">
        <v>23</v>
      </c>
      <c r="L1353" s="19" t="s">
        <v>2</v>
      </c>
      <c r="M1353" s="21" t="s">
        <v>67</v>
      </c>
      <c r="N1353" s="20" t="s">
        <v>80</v>
      </c>
      <c r="O1353" s="19" t="s">
        <v>11</v>
      </c>
      <c r="P1353" s="10"/>
      <c r="Q1353" s="11"/>
    </row>
    <row r="1354" spans="2:17" ht="21" customHeight="1" x14ac:dyDescent="0.35">
      <c r="B1354" s="1">
        <v>43987</v>
      </c>
      <c r="C1354" s="1" t="str">
        <f>TEXT(Sales[[#This Row],[Kode Program/Kegiatan ]],"D")</f>
        <v>5</v>
      </c>
      <c r="D1354" s="2" t="str">
        <f>TEXT(Sales[[#This Row],[Kode Program/Kegiatan ]],"mmm")</f>
        <v>Jun</v>
      </c>
      <c r="E1354" s="3">
        <v>5</v>
      </c>
      <c r="F1354" s="2">
        <v>5</v>
      </c>
      <c r="G1354" s="3" t="str">
        <f>IF(Sales[[#This Row],[Anggaran Murni]]-Sales[[#This Row],[Target s.d. Januari]]=0,"",Sales[[#This Row],[Anggaran Murni]]-Sales[[#This Row],[Target s.d. Januari]])</f>
        <v/>
      </c>
      <c r="H1354" s="2" t="s">
        <v>71</v>
      </c>
      <c r="I1354" s="3" t="s">
        <v>6</v>
      </c>
      <c r="J1354" s="3">
        <v>100000000</v>
      </c>
      <c r="K1354" s="2" t="s">
        <v>51</v>
      </c>
      <c r="L1354" s="2" t="s">
        <v>5</v>
      </c>
      <c r="M1354" s="4" t="s">
        <v>67</v>
      </c>
      <c r="N1354" s="3" t="s">
        <v>80</v>
      </c>
      <c r="O1354" s="2" t="s">
        <v>12</v>
      </c>
      <c r="P1354" s="10"/>
      <c r="Q1354" s="11"/>
    </row>
    <row r="1355" spans="2:17" ht="21" customHeight="1" x14ac:dyDescent="0.35">
      <c r="B1355" s="18">
        <v>43987</v>
      </c>
      <c r="C1355" s="18" t="str">
        <f>TEXT(Sales[[#This Row],[Kode Program/Kegiatan ]],"D")</f>
        <v>5</v>
      </c>
      <c r="D1355" s="19" t="str">
        <f>TEXT(Sales[[#This Row],[Kode Program/Kegiatan ]],"mmm")</f>
        <v>Jun</v>
      </c>
      <c r="E1355" s="20">
        <v>4</v>
      </c>
      <c r="F1355" s="19">
        <v>4</v>
      </c>
      <c r="G1355" s="20" t="str">
        <f>IF(Sales[[#This Row],[Anggaran Murni]]-Sales[[#This Row],[Target s.d. Januari]]=0,"",Sales[[#This Row],[Anggaran Murni]]-Sales[[#This Row],[Target s.d. Januari]])</f>
        <v/>
      </c>
      <c r="H1355" s="19" t="s">
        <v>75</v>
      </c>
      <c r="I1355" s="20" t="s">
        <v>6</v>
      </c>
      <c r="J1355" s="20">
        <v>120000000</v>
      </c>
      <c r="K1355" s="19" t="s">
        <v>18</v>
      </c>
      <c r="L1355" s="19" t="s">
        <v>8</v>
      </c>
      <c r="M1355" s="21" t="s">
        <v>67</v>
      </c>
      <c r="N1355" s="20" t="s">
        <v>80</v>
      </c>
      <c r="O1355" s="19" t="s">
        <v>13</v>
      </c>
      <c r="P1355" s="10"/>
      <c r="Q1355" s="11"/>
    </row>
    <row r="1356" spans="2:17" ht="21" customHeight="1" x14ac:dyDescent="0.35">
      <c r="B1356" s="1">
        <v>43987</v>
      </c>
      <c r="C1356" s="1" t="str">
        <f>TEXT(Sales[[#This Row],[Kode Program/Kegiatan ]],"D")</f>
        <v>5</v>
      </c>
      <c r="D1356" s="2" t="str">
        <f>TEXT(Sales[[#This Row],[Kode Program/Kegiatan ]],"mmm")</f>
        <v>Jun</v>
      </c>
      <c r="E1356" s="3">
        <v>4</v>
      </c>
      <c r="F1356" s="2">
        <v>4</v>
      </c>
      <c r="G1356" s="3" t="str">
        <f>IF(Sales[[#This Row],[Anggaran Murni]]-Sales[[#This Row],[Target s.d. Januari]]=0,"",Sales[[#This Row],[Anggaran Murni]]-Sales[[#This Row],[Target s.d. Januari]])</f>
        <v/>
      </c>
      <c r="H1356" s="2" t="s">
        <v>75</v>
      </c>
      <c r="I1356" s="3" t="s">
        <v>6</v>
      </c>
      <c r="J1356" s="3">
        <v>120000000</v>
      </c>
      <c r="K1356" s="2" t="s">
        <v>19</v>
      </c>
      <c r="L1356" s="2" t="s">
        <v>2</v>
      </c>
      <c r="M1356" s="4" t="s">
        <v>67</v>
      </c>
      <c r="N1356" s="3" t="s">
        <v>81</v>
      </c>
      <c r="O1356" s="2" t="s">
        <v>12</v>
      </c>
      <c r="P1356" s="10"/>
      <c r="Q1356" s="11"/>
    </row>
    <row r="1357" spans="2:17" ht="21" customHeight="1" x14ac:dyDescent="0.35">
      <c r="B1357" s="18">
        <v>43987</v>
      </c>
      <c r="C1357" s="18" t="str">
        <f>TEXT(Sales[[#This Row],[Kode Program/Kegiatan ]],"D")</f>
        <v>5</v>
      </c>
      <c r="D1357" s="19" t="str">
        <f>TEXT(Sales[[#This Row],[Kode Program/Kegiatan ]],"mmm")</f>
        <v>Jun</v>
      </c>
      <c r="E1357" s="20">
        <v>3</v>
      </c>
      <c r="F1357" s="19">
        <v>3</v>
      </c>
      <c r="G1357" s="20" t="str">
        <f>IF(Sales[[#This Row],[Anggaran Murni]]-Sales[[#This Row],[Target s.d. Januari]]=0,"",Sales[[#This Row],[Anggaran Murni]]-Sales[[#This Row],[Target s.d. Januari]])</f>
        <v/>
      </c>
      <c r="H1357" s="19" t="s">
        <v>114</v>
      </c>
      <c r="I1357" s="20" t="s">
        <v>3</v>
      </c>
      <c r="J1357" s="20">
        <v>60000000</v>
      </c>
      <c r="K1357" s="19" t="s">
        <v>30</v>
      </c>
      <c r="L1357" s="19" t="s">
        <v>7</v>
      </c>
      <c r="M1357" s="21" t="s">
        <v>67</v>
      </c>
      <c r="N1357" s="20" t="s">
        <v>80</v>
      </c>
      <c r="O1357" s="19" t="s">
        <v>11</v>
      </c>
      <c r="P1357" s="10"/>
      <c r="Q1357" s="11"/>
    </row>
    <row r="1358" spans="2:17" ht="21" customHeight="1" x14ac:dyDescent="0.35">
      <c r="B1358" s="1">
        <v>43987</v>
      </c>
      <c r="C1358" s="1" t="str">
        <f>TEXT(Sales[[#This Row],[Kode Program/Kegiatan ]],"D")</f>
        <v>5</v>
      </c>
      <c r="D1358" s="2" t="str">
        <f>TEXT(Sales[[#This Row],[Kode Program/Kegiatan ]],"mmm")</f>
        <v>Jun</v>
      </c>
      <c r="E1358" s="3">
        <v>3</v>
      </c>
      <c r="F1358" s="2">
        <v>3</v>
      </c>
      <c r="G1358" s="3" t="str">
        <f>IF(Sales[[#This Row],[Anggaran Murni]]-Sales[[#This Row],[Target s.d. Januari]]=0,"",Sales[[#This Row],[Anggaran Murni]]-Sales[[#This Row],[Target s.d. Januari]])</f>
        <v/>
      </c>
      <c r="H1358" s="2" t="s">
        <v>114</v>
      </c>
      <c r="I1358" s="3" t="s">
        <v>3</v>
      </c>
      <c r="J1358" s="3">
        <v>80000000</v>
      </c>
      <c r="K1358" s="2" t="s">
        <v>63</v>
      </c>
      <c r="L1358" s="2" t="s">
        <v>5</v>
      </c>
      <c r="M1358" s="4" t="s">
        <v>67</v>
      </c>
      <c r="N1358" s="3" t="s">
        <v>81</v>
      </c>
      <c r="O1358" s="2" t="s">
        <v>11</v>
      </c>
      <c r="P1358" s="10"/>
      <c r="Q1358" s="11"/>
    </row>
    <row r="1359" spans="2:17" ht="21" customHeight="1" x14ac:dyDescent="0.35">
      <c r="B1359" s="18">
        <v>43987</v>
      </c>
      <c r="C1359" s="18" t="str">
        <f>TEXT(Sales[[#This Row],[Kode Program/Kegiatan ]],"D")</f>
        <v>5</v>
      </c>
      <c r="D1359" s="19" t="str">
        <f>TEXT(Sales[[#This Row],[Kode Program/Kegiatan ]],"mmm")</f>
        <v>Jun</v>
      </c>
      <c r="E1359" s="20">
        <v>3</v>
      </c>
      <c r="F1359" s="19">
        <v>3</v>
      </c>
      <c r="G1359" s="20" t="str">
        <f>IF(Sales[[#This Row],[Anggaran Murni]]-Sales[[#This Row],[Target s.d. Januari]]=0,"",Sales[[#This Row],[Anggaran Murni]]-Sales[[#This Row],[Target s.d. Januari]])</f>
        <v/>
      </c>
      <c r="H1359" s="19" t="s">
        <v>113</v>
      </c>
      <c r="I1359" s="20" t="s">
        <v>77</v>
      </c>
      <c r="J1359" s="20">
        <v>80000000</v>
      </c>
      <c r="K1359" s="19" t="s">
        <v>32</v>
      </c>
      <c r="L1359" s="19" t="s">
        <v>5</v>
      </c>
      <c r="M1359" s="21" t="s">
        <v>67</v>
      </c>
      <c r="N1359" s="20" t="s">
        <v>80</v>
      </c>
      <c r="O1359" s="19" t="s">
        <v>11</v>
      </c>
      <c r="P1359" s="10"/>
      <c r="Q1359" s="11"/>
    </row>
    <row r="1360" spans="2:17" ht="21" customHeight="1" x14ac:dyDescent="0.35">
      <c r="B1360" s="1">
        <v>43988</v>
      </c>
      <c r="C1360" s="1" t="str">
        <f>TEXT(Sales[[#This Row],[Kode Program/Kegiatan ]],"D")</f>
        <v>6</v>
      </c>
      <c r="D1360" s="2" t="str">
        <f>TEXT(Sales[[#This Row],[Kode Program/Kegiatan ]],"mmm")</f>
        <v>Jun</v>
      </c>
      <c r="E1360" s="3">
        <v>10</v>
      </c>
      <c r="F1360" s="2">
        <v>10</v>
      </c>
      <c r="G1360" s="3" t="str">
        <f>IF(Sales[[#This Row],[Anggaran Murni]]-Sales[[#This Row],[Target s.d. Januari]]=0,"",Sales[[#This Row],[Anggaran Murni]]-Sales[[#This Row],[Target s.d. Januari]])</f>
        <v/>
      </c>
      <c r="H1360" s="2" t="s">
        <v>76</v>
      </c>
      <c r="I1360" s="3" t="s">
        <v>79</v>
      </c>
      <c r="J1360" s="3">
        <v>120000000</v>
      </c>
      <c r="K1360" s="2" t="s">
        <v>64</v>
      </c>
      <c r="L1360" s="2" t="s">
        <v>9</v>
      </c>
      <c r="M1360" s="4" t="s">
        <v>67</v>
      </c>
      <c r="N1360" s="3" t="s">
        <v>81</v>
      </c>
      <c r="O1360" s="2" t="s">
        <v>14</v>
      </c>
      <c r="P1360" s="10"/>
      <c r="Q1360" s="11"/>
    </row>
    <row r="1361" spans="2:17" ht="21" customHeight="1" x14ac:dyDescent="0.35">
      <c r="B1361" s="18">
        <v>43988</v>
      </c>
      <c r="C1361" s="18" t="str">
        <f>TEXT(Sales[[#This Row],[Kode Program/Kegiatan ]],"D")</f>
        <v>6</v>
      </c>
      <c r="D1361" s="19" t="str">
        <f>TEXT(Sales[[#This Row],[Kode Program/Kegiatan ]],"mmm")</f>
        <v>Jun</v>
      </c>
      <c r="E1361" s="20">
        <v>10</v>
      </c>
      <c r="F1361" s="19">
        <v>10</v>
      </c>
      <c r="G1361" s="20" t="str">
        <f>IF(Sales[[#This Row],[Anggaran Murni]]-Sales[[#This Row],[Target s.d. Januari]]=0,"",Sales[[#This Row],[Anggaran Murni]]-Sales[[#This Row],[Target s.d. Januari]])</f>
        <v/>
      </c>
      <c r="H1361" s="19" t="s">
        <v>113</v>
      </c>
      <c r="I1361" s="20" t="s">
        <v>77</v>
      </c>
      <c r="J1361" s="20">
        <v>80000000</v>
      </c>
      <c r="K1361" s="19" t="s">
        <v>43</v>
      </c>
      <c r="L1361" s="19" t="s">
        <v>8</v>
      </c>
      <c r="M1361" s="21" t="s">
        <v>67</v>
      </c>
      <c r="N1361" s="20" t="s">
        <v>80</v>
      </c>
      <c r="O1361" s="19" t="s">
        <v>14</v>
      </c>
      <c r="P1361" s="10"/>
      <c r="Q1361" s="11"/>
    </row>
    <row r="1362" spans="2:17" ht="21" customHeight="1" x14ac:dyDescent="0.35">
      <c r="B1362" s="1">
        <v>43988</v>
      </c>
      <c r="C1362" s="1" t="str">
        <f>TEXT(Sales[[#This Row],[Kode Program/Kegiatan ]],"D")</f>
        <v>6</v>
      </c>
      <c r="D1362" s="2" t="str">
        <f>TEXT(Sales[[#This Row],[Kode Program/Kegiatan ]],"mmm")</f>
        <v>Jun</v>
      </c>
      <c r="E1362" s="3">
        <v>9</v>
      </c>
      <c r="F1362" s="2">
        <v>9</v>
      </c>
      <c r="G1362" s="3" t="str">
        <f>IF(Sales[[#This Row],[Anggaran Murni]]-Sales[[#This Row],[Target s.d. Januari]]=0,"",Sales[[#This Row],[Anggaran Murni]]-Sales[[#This Row],[Target s.d. Januari]])</f>
        <v/>
      </c>
      <c r="H1362" s="2" t="s">
        <v>72</v>
      </c>
      <c r="I1362" s="3" t="s">
        <v>78</v>
      </c>
      <c r="J1362" s="3">
        <v>80000000</v>
      </c>
      <c r="K1362" s="2" t="s">
        <v>27</v>
      </c>
      <c r="L1362" s="2" t="s">
        <v>2</v>
      </c>
      <c r="M1362" s="4" t="s">
        <v>67</v>
      </c>
      <c r="N1362" s="3" t="s">
        <v>80</v>
      </c>
      <c r="O1362" s="2" t="s">
        <v>12</v>
      </c>
      <c r="P1362" s="10"/>
      <c r="Q1362" s="11"/>
    </row>
    <row r="1363" spans="2:17" ht="21" customHeight="1" x14ac:dyDescent="0.35">
      <c r="B1363" s="18">
        <v>43988</v>
      </c>
      <c r="C1363" s="18" t="str">
        <f>TEXT(Sales[[#This Row],[Kode Program/Kegiatan ]],"D")</f>
        <v>6</v>
      </c>
      <c r="D1363" s="19" t="str">
        <f>TEXT(Sales[[#This Row],[Kode Program/Kegiatan ]],"mmm")</f>
        <v>Jun</v>
      </c>
      <c r="E1363" s="20">
        <v>6</v>
      </c>
      <c r="F1363" s="19">
        <v>6</v>
      </c>
      <c r="G1363" s="20" t="str">
        <f>IF(Sales[[#This Row],[Anggaran Murni]]-Sales[[#This Row],[Target s.d. Januari]]=0,"",Sales[[#This Row],[Anggaran Murni]]-Sales[[#This Row],[Target s.d. Januari]])</f>
        <v/>
      </c>
      <c r="H1363" s="19" t="s">
        <v>74</v>
      </c>
      <c r="I1363" s="20" t="s">
        <v>77</v>
      </c>
      <c r="J1363" s="20">
        <v>100000000</v>
      </c>
      <c r="K1363" s="19" t="s">
        <v>29</v>
      </c>
      <c r="L1363" s="19" t="s">
        <v>5</v>
      </c>
      <c r="M1363" s="21" t="s">
        <v>67</v>
      </c>
      <c r="N1363" s="20" t="s">
        <v>81</v>
      </c>
      <c r="O1363" s="19" t="s">
        <v>13</v>
      </c>
      <c r="P1363" s="10"/>
      <c r="Q1363" s="11"/>
    </row>
    <row r="1364" spans="2:17" ht="21" customHeight="1" x14ac:dyDescent="0.35">
      <c r="B1364" s="1">
        <v>43988</v>
      </c>
      <c r="C1364" s="1" t="str">
        <f>TEXT(Sales[[#This Row],[Kode Program/Kegiatan ]],"D")</f>
        <v>6</v>
      </c>
      <c r="D1364" s="2" t="str">
        <f>TEXT(Sales[[#This Row],[Kode Program/Kegiatan ]],"mmm")</f>
        <v>Jun</v>
      </c>
      <c r="E1364" s="3">
        <v>5</v>
      </c>
      <c r="F1364" s="2">
        <v>5</v>
      </c>
      <c r="G1364" s="3" t="str">
        <f>IF(Sales[[#This Row],[Anggaran Murni]]-Sales[[#This Row],[Target s.d. Januari]]=0,"",Sales[[#This Row],[Anggaran Murni]]-Sales[[#This Row],[Target s.d. Januari]])</f>
        <v/>
      </c>
      <c r="H1364" s="2" t="s">
        <v>70</v>
      </c>
      <c r="I1364" s="3" t="s">
        <v>1</v>
      </c>
      <c r="J1364" s="3">
        <v>60000000</v>
      </c>
      <c r="K1364" s="2" t="s">
        <v>57</v>
      </c>
      <c r="L1364" s="2" t="s">
        <v>4</v>
      </c>
      <c r="M1364" s="4" t="s">
        <v>67</v>
      </c>
      <c r="N1364" s="3" t="s">
        <v>82</v>
      </c>
      <c r="O1364" s="2" t="s">
        <v>12</v>
      </c>
      <c r="P1364" s="10"/>
      <c r="Q1364" s="11"/>
    </row>
    <row r="1365" spans="2:17" ht="21" customHeight="1" x14ac:dyDescent="0.35">
      <c r="B1365" s="18">
        <v>43988</v>
      </c>
      <c r="C1365" s="18" t="str">
        <f>TEXT(Sales[[#This Row],[Kode Program/Kegiatan ]],"D")</f>
        <v>6</v>
      </c>
      <c r="D1365" s="19" t="str">
        <f>TEXT(Sales[[#This Row],[Kode Program/Kegiatan ]],"mmm")</f>
        <v>Jun</v>
      </c>
      <c r="E1365" s="20">
        <v>4</v>
      </c>
      <c r="F1365" s="19">
        <v>4</v>
      </c>
      <c r="G1365" s="20" t="str">
        <f>IF(Sales[[#This Row],[Anggaran Murni]]-Sales[[#This Row],[Target s.d. Januari]]=0,"",Sales[[#This Row],[Anggaran Murni]]-Sales[[#This Row],[Target s.d. Januari]])</f>
        <v/>
      </c>
      <c r="H1365" s="19" t="s">
        <v>74</v>
      </c>
      <c r="I1365" s="20" t="s">
        <v>77</v>
      </c>
      <c r="J1365" s="20">
        <v>40000000</v>
      </c>
      <c r="K1365" s="19" t="s">
        <v>52</v>
      </c>
      <c r="L1365" s="19" t="s">
        <v>2</v>
      </c>
      <c r="M1365" s="21" t="s">
        <v>67</v>
      </c>
      <c r="N1365" s="20" t="s">
        <v>80</v>
      </c>
      <c r="O1365" s="19" t="s">
        <v>13</v>
      </c>
      <c r="P1365" s="10"/>
      <c r="Q1365" s="11"/>
    </row>
    <row r="1366" spans="2:17" ht="21" customHeight="1" x14ac:dyDescent="0.35">
      <c r="B1366" s="1">
        <v>43988</v>
      </c>
      <c r="C1366" s="1" t="str">
        <f>TEXT(Sales[[#This Row],[Kode Program/Kegiatan ]],"D")</f>
        <v>6</v>
      </c>
      <c r="D1366" s="2" t="str">
        <f>TEXT(Sales[[#This Row],[Kode Program/Kegiatan ]],"mmm")</f>
        <v>Jun</v>
      </c>
      <c r="E1366" s="3">
        <v>3</v>
      </c>
      <c r="F1366" s="2">
        <v>3</v>
      </c>
      <c r="G1366" s="3" t="str">
        <f>IF(Sales[[#This Row],[Anggaran Murni]]-Sales[[#This Row],[Target s.d. Januari]]=0,"",Sales[[#This Row],[Anggaran Murni]]-Sales[[#This Row],[Target s.d. Januari]])</f>
        <v/>
      </c>
      <c r="H1366" s="2" t="s">
        <v>70</v>
      </c>
      <c r="I1366" s="3" t="s">
        <v>1</v>
      </c>
      <c r="J1366" s="3">
        <v>80000000</v>
      </c>
      <c r="K1366" s="2" t="s">
        <v>63</v>
      </c>
      <c r="L1366" s="2" t="s">
        <v>2</v>
      </c>
      <c r="M1366" s="4" t="s">
        <v>67</v>
      </c>
      <c r="N1366" s="3" t="s">
        <v>81</v>
      </c>
      <c r="O1366" s="2" t="s">
        <v>11</v>
      </c>
      <c r="P1366" s="10"/>
      <c r="Q1366" s="11"/>
    </row>
    <row r="1367" spans="2:17" ht="21" customHeight="1" x14ac:dyDescent="0.35">
      <c r="B1367" s="18">
        <v>43989</v>
      </c>
      <c r="C1367" s="18" t="str">
        <f>TEXT(Sales[[#This Row],[Kode Program/Kegiatan ]],"D")</f>
        <v>7</v>
      </c>
      <c r="D1367" s="19" t="str">
        <f>TEXT(Sales[[#This Row],[Kode Program/Kegiatan ]],"mmm")</f>
        <v>Jun</v>
      </c>
      <c r="E1367" s="20">
        <v>10</v>
      </c>
      <c r="F1367" s="19">
        <v>10</v>
      </c>
      <c r="G1367" s="20" t="str">
        <f>IF(Sales[[#This Row],[Anggaran Murni]]-Sales[[#This Row],[Target s.d. Januari]]=0,"",Sales[[#This Row],[Anggaran Murni]]-Sales[[#This Row],[Target s.d. Januari]])</f>
        <v/>
      </c>
      <c r="H1367" s="19" t="s">
        <v>70</v>
      </c>
      <c r="I1367" s="20" t="s">
        <v>1</v>
      </c>
      <c r="J1367" s="20">
        <v>80000000</v>
      </c>
      <c r="K1367" s="19" t="s">
        <v>64</v>
      </c>
      <c r="L1367" s="19" t="s">
        <v>5</v>
      </c>
      <c r="M1367" s="21" t="s">
        <v>67</v>
      </c>
      <c r="N1367" s="20" t="s">
        <v>81</v>
      </c>
      <c r="O1367" s="19" t="s">
        <v>13</v>
      </c>
      <c r="P1367" s="10"/>
      <c r="Q1367" s="11"/>
    </row>
    <row r="1368" spans="2:17" ht="21" customHeight="1" x14ac:dyDescent="0.35">
      <c r="B1368" s="1">
        <v>43989</v>
      </c>
      <c r="C1368" s="1" t="str">
        <f>TEXT(Sales[[#This Row],[Kode Program/Kegiatan ]],"D")</f>
        <v>7</v>
      </c>
      <c r="D1368" s="2" t="str">
        <f>TEXT(Sales[[#This Row],[Kode Program/Kegiatan ]],"mmm")</f>
        <v>Jun</v>
      </c>
      <c r="E1368" s="3">
        <v>10</v>
      </c>
      <c r="F1368" s="2">
        <v>10</v>
      </c>
      <c r="G1368" s="3" t="str">
        <f>IF(Sales[[#This Row],[Anggaran Murni]]-Sales[[#This Row],[Target s.d. Januari]]=0,"",Sales[[#This Row],[Anggaran Murni]]-Sales[[#This Row],[Target s.d. Januari]])</f>
        <v/>
      </c>
      <c r="H1368" s="2" t="s">
        <v>76</v>
      </c>
      <c r="I1368" s="3" t="s">
        <v>79</v>
      </c>
      <c r="J1368" s="3">
        <v>60000000</v>
      </c>
      <c r="K1368" s="2" t="s">
        <v>47</v>
      </c>
      <c r="L1368" s="2" t="s">
        <v>8</v>
      </c>
      <c r="M1368" s="4" t="s">
        <v>67</v>
      </c>
      <c r="N1368" s="3" t="s">
        <v>81</v>
      </c>
      <c r="O1368" s="2" t="s">
        <v>14</v>
      </c>
      <c r="P1368" s="10"/>
      <c r="Q1368" s="11"/>
    </row>
    <row r="1369" spans="2:17" ht="21" customHeight="1" x14ac:dyDescent="0.35">
      <c r="B1369" s="18">
        <v>43989</v>
      </c>
      <c r="C1369" s="18" t="str">
        <f>TEXT(Sales[[#This Row],[Kode Program/Kegiatan ]],"D")</f>
        <v>7</v>
      </c>
      <c r="D1369" s="19" t="str">
        <f>TEXT(Sales[[#This Row],[Kode Program/Kegiatan ]],"mmm")</f>
        <v>Jun</v>
      </c>
      <c r="E1369" s="20">
        <v>8</v>
      </c>
      <c r="F1369" s="19">
        <v>8</v>
      </c>
      <c r="G1369" s="20" t="str">
        <f>IF(Sales[[#This Row],[Anggaran Murni]]-Sales[[#This Row],[Target s.d. Januari]]=0,"",Sales[[#This Row],[Anggaran Murni]]-Sales[[#This Row],[Target s.d. Januari]])</f>
        <v/>
      </c>
      <c r="H1369" s="19" t="s">
        <v>75</v>
      </c>
      <c r="I1369" s="20" t="s">
        <v>6</v>
      </c>
      <c r="J1369" s="20">
        <v>100000000</v>
      </c>
      <c r="K1369" s="19" t="s">
        <v>48</v>
      </c>
      <c r="L1369" s="19" t="s">
        <v>9</v>
      </c>
      <c r="M1369" s="21" t="s">
        <v>67</v>
      </c>
      <c r="N1369" s="20" t="s">
        <v>82</v>
      </c>
      <c r="O1369" s="19" t="s">
        <v>11</v>
      </c>
      <c r="P1369" s="10"/>
      <c r="Q1369" s="11"/>
    </row>
    <row r="1370" spans="2:17" ht="21" customHeight="1" x14ac:dyDescent="0.35">
      <c r="B1370" s="1">
        <v>43989</v>
      </c>
      <c r="C1370" s="1" t="str">
        <f>TEXT(Sales[[#This Row],[Kode Program/Kegiatan ]],"D")</f>
        <v>7</v>
      </c>
      <c r="D1370" s="2" t="str">
        <f>TEXT(Sales[[#This Row],[Kode Program/Kegiatan ]],"mmm")</f>
        <v>Jun</v>
      </c>
      <c r="E1370" s="3">
        <v>8</v>
      </c>
      <c r="F1370" s="2">
        <v>8</v>
      </c>
      <c r="G1370" s="3" t="str">
        <f>IF(Sales[[#This Row],[Anggaran Murni]]-Sales[[#This Row],[Target s.d. Januari]]=0,"",Sales[[#This Row],[Anggaran Murni]]-Sales[[#This Row],[Target s.d. Januari]])</f>
        <v/>
      </c>
      <c r="H1370" s="2" t="s">
        <v>75</v>
      </c>
      <c r="I1370" s="3" t="s">
        <v>6</v>
      </c>
      <c r="J1370" s="3">
        <v>120000000</v>
      </c>
      <c r="K1370" s="2" t="s">
        <v>63</v>
      </c>
      <c r="L1370" s="2" t="s">
        <v>5</v>
      </c>
      <c r="M1370" s="4" t="s">
        <v>67</v>
      </c>
      <c r="N1370" s="3" t="s">
        <v>80</v>
      </c>
      <c r="O1370" s="2" t="s">
        <v>14</v>
      </c>
      <c r="P1370" s="10"/>
      <c r="Q1370" s="11"/>
    </row>
    <row r="1371" spans="2:17" ht="21" customHeight="1" x14ac:dyDescent="0.35">
      <c r="B1371" s="18">
        <v>43989</v>
      </c>
      <c r="C1371" s="18" t="str">
        <f>TEXT(Sales[[#This Row],[Kode Program/Kegiatan ]],"D")</f>
        <v>7</v>
      </c>
      <c r="D1371" s="19" t="str">
        <f>TEXT(Sales[[#This Row],[Kode Program/Kegiatan ]],"mmm")</f>
        <v>Jun</v>
      </c>
      <c r="E1371" s="20">
        <v>5</v>
      </c>
      <c r="F1371" s="19">
        <v>5</v>
      </c>
      <c r="G1371" s="20" t="str">
        <f>IF(Sales[[#This Row],[Anggaran Murni]]-Sales[[#This Row],[Target s.d. Januari]]=0,"",Sales[[#This Row],[Anggaran Murni]]-Sales[[#This Row],[Target s.d. Januari]])</f>
        <v/>
      </c>
      <c r="H1371" s="19" t="s">
        <v>73</v>
      </c>
      <c r="I1371" s="20" t="s">
        <v>78</v>
      </c>
      <c r="J1371" s="20">
        <v>100000000</v>
      </c>
      <c r="K1371" s="19" t="s">
        <v>17</v>
      </c>
      <c r="L1371" s="19" t="s">
        <v>5</v>
      </c>
      <c r="M1371" s="21" t="s">
        <v>67</v>
      </c>
      <c r="N1371" s="20" t="s">
        <v>82</v>
      </c>
      <c r="O1371" s="19" t="s">
        <v>13</v>
      </c>
      <c r="P1371" s="10"/>
      <c r="Q1371" s="11"/>
    </row>
    <row r="1372" spans="2:17" ht="21" customHeight="1" x14ac:dyDescent="0.35">
      <c r="B1372" s="1">
        <v>43989</v>
      </c>
      <c r="C1372" s="1" t="str">
        <f>TEXT(Sales[[#This Row],[Kode Program/Kegiatan ]],"D")</f>
        <v>7</v>
      </c>
      <c r="D1372" s="2" t="str">
        <f>TEXT(Sales[[#This Row],[Kode Program/Kegiatan ]],"mmm")</f>
        <v>Jun</v>
      </c>
      <c r="E1372" s="3">
        <v>4</v>
      </c>
      <c r="F1372" s="2">
        <v>4</v>
      </c>
      <c r="G1372" s="3" t="str">
        <f>IF(Sales[[#This Row],[Anggaran Murni]]-Sales[[#This Row],[Target s.d. Januari]]=0,"",Sales[[#This Row],[Anggaran Murni]]-Sales[[#This Row],[Target s.d. Januari]])</f>
        <v/>
      </c>
      <c r="H1372" s="2" t="s">
        <v>73</v>
      </c>
      <c r="I1372" s="3" t="s">
        <v>78</v>
      </c>
      <c r="J1372" s="3">
        <v>120000000</v>
      </c>
      <c r="K1372" s="2" t="s">
        <v>46</v>
      </c>
      <c r="L1372" s="2" t="s">
        <v>9</v>
      </c>
      <c r="M1372" s="4" t="s">
        <v>67</v>
      </c>
      <c r="N1372" s="3" t="s">
        <v>80</v>
      </c>
      <c r="O1372" s="2" t="s">
        <v>12</v>
      </c>
      <c r="P1372" s="10"/>
      <c r="Q1372" s="11"/>
    </row>
    <row r="1373" spans="2:17" ht="21" customHeight="1" x14ac:dyDescent="0.35">
      <c r="B1373" s="18">
        <v>43989</v>
      </c>
      <c r="C1373" s="18" t="str">
        <f>TEXT(Sales[[#This Row],[Kode Program/Kegiatan ]],"D")</f>
        <v>7</v>
      </c>
      <c r="D1373" s="19" t="str">
        <f>TEXT(Sales[[#This Row],[Kode Program/Kegiatan ]],"mmm")</f>
        <v>Jun</v>
      </c>
      <c r="E1373" s="20">
        <v>4</v>
      </c>
      <c r="F1373" s="19">
        <v>4</v>
      </c>
      <c r="G1373" s="20" t="str">
        <f>IF(Sales[[#This Row],[Anggaran Murni]]-Sales[[#This Row],[Target s.d. Januari]]=0,"",Sales[[#This Row],[Anggaran Murni]]-Sales[[#This Row],[Target s.d. Januari]])</f>
        <v/>
      </c>
      <c r="H1373" s="19" t="s">
        <v>72</v>
      </c>
      <c r="I1373" s="20" t="s">
        <v>78</v>
      </c>
      <c r="J1373" s="20">
        <v>100000000</v>
      </c>
      <c r="K1373" s="19" t="s">
        <v>20</v>
      </c>
      <c r="L1373" s="19" t="s">
        <v>7</v>
      </c>
      <c r="M1373" s="21" t="s">
        <v>67</v>
      </c>
      <c r="N1373" s="20" t="s">
        <v>82</v>
      </c>
      <c r="O1373" s="19" t="s">
        <v>13</v>
      </c>
      <c r="P1373" s="10"/>
      <c r="Q1373" s="11"/>
    </row>
    <row r="1374" spans="2:17" ht="21" customHeight="1" x14ac:dyDescent="0.35">
      <c r="B1374" s="1">
        <v>43989</v>
      </c>
      <c r="C1374" s="1" t="str">
        <f>TEXT(Sales[[#This Row],[Kode Program/Kegiatan ]],"D")</f>
        <v>7</v>
      </c>
      <c r="D1374" s="2" t="str">
        <f>TEXT(Sales[[#This Row],[Kode Program/Kegiatan ]],"mmm")</f>
        <v>Jun</v>
      </c>
      <c r="E1374" s="3">
        <v>3</v>
      </c>
      <c r="F1374" s="2">
        <v>3</v>
      </c>
      <c r="G1374" s="3" t="str">
        <f>IF(Sales[[#This Row],[Anggaran Murni]]-Sales[[#This Row],[Target s.d. Januari]]=0,"",Sales[[#This Row],[Anggaran Murni]]-Sales[[#This Row],[Target s.d. Januari]])</f>
        <v/>
      </c>
      <c r="H1374" s="2" t="s">
        <v>70</v>
      </c>
      <c r="I1374" s="3" t="s">
        <v>1</v>
      </c>
      <c r="J1374" s="3">
        <v>60000000</v>
      </c>
      <c r="K1374" s="2" t="s">
        <v>42</v>
      </c>
      <c r="L1374" s="2" t="s">
        <v>5</v>
      </c>
      <c r="M1374" s="4" t="s">
        <v>67</v>
      </c>
      <c r="N1374" s="3" t="s">
        <v>80</v>
      </c>
      <c r="O1374" s="2" t="s">
        <v>11</v>
      </c>
      <c r="P1374" s="10"/>
      <c r="Q1374" s="11"/>
    </row>
    <row r="1375" spans="2:17" ht="21" customHeight="1" x14ac:dyDescent="0.35">
      <c r="B1375" s="18">
        <v>43989</v>
      </c>
      <c r="C1375" s="18" t="str">
        <f>TEXT(Sales[[#This Row],[Kode Program/Kegiatan ]],"D")</f>
        <v>7</v>
      </c>
      <c r="D1375" s="19" t="str">
        <f>TEXT(Sales[[#This Row],[Kode Program/Kegiatan ]],"mmm")</f>
        <v>Jun</v>
      </c>
      <c r="E1375" s="20">
        <v>3</v>
      </c>
      <c r="F1375" s="19">
        <v>3</v>
      </c>
      <c r="G1375" s="20" t="str">
        <f>IF(Sales[[#This Row],[Anggaran Murni]]-Sales[[#This Row],[Target s.d. Januari]]=0,"",Sales[[#This Row],[Anggaran Murni]]-Sales[[#This Row],[Target s.d. Januari]])</f>
        <v/>
      </c>
      <c r="H1375" s="19" t="s">
        <v>73</v>
      </c>
      <c r="I1375" s="20" t="s">
        <v>78</v>
      </c>
      <c r="J1375" s="20">
        <v>40000000</v>
      </c>
      <c r="K1375" s="19" t="s">
        <v>22</v>
      </c>
      <c r="L1375" s="19" t="s">
        <v>7</v>
      </c>
      <c r="M1375" s="21" t="s">
        <v>67</v>
      </c>
      <c r="N1375" s="20" t="s">
        <v>81</v>
      </c>
      <c r="O1375" s="19" t="s">
        <v>11</v>
      </c>
      <c r="P1375" s="10"/>
      <c r="Q1375" s="11"/>
    </row>
    <row r="1376" spans="2:17" ht="21" customHeight="1" x14ac:dyDescent="0.35">
      <c r="B1376" s="1">
        <v>43989</v>
      </c>
      <c r="C1376" s="1" t="str">
        <f>TEXT(Sales[[#This Row],[Kode Program/Kegiatan ]],"D")</f>
        <v>7</v>
      </c>
      <c r="D1376" s="2" t="str">
        <f>TEXT(Sales[[#This Row],[Kode Program/Kegiatan ]],"mmm")</f>
        <v>Jun</v>
      </c>
      <c r="E1376" s="3">
        <v>3</v>
      </c>
      <c r="F1376" s="2">
        <v>3</v>
      </c>
      <c r="G1376" s="3" t="str">
        <f>IF(Sales[[#This Row],[Anggaran Murni]]-Sales[[#This Row],[Target s.d. Januari]]=0,"",Sales[[#This Row],[Anggaran Murni]]-Sales[[#This Row],[Target s.d. Januari]])</f>
        <v/>
      </c>
      <c r="H1376" s="2" t="s">
        <v>74</v>
      </c>
      <c r="I1376" s="3" t="s">
        <v>77</v>
      </c>
      <c r="J1376" s="3">
        <v>60000000</v>
      </c>
      <c r="K1376" s="2" t="s">
        <v>57</v>
      </c>
      <c r="L1376" s="2" t="s">
        <v>2</v>
      </c>
      <c r="M1376" s="4" t="s">
        <v>67</v>
      </c>
      <c r="N1376" s="3" t="s">
        <v>82</v>
      </c>
      <c r="O1376" s="2" t="s">
        <v>13</v>
      </c>
      <c r="P1376" s="10"/>
      <c r="Q1376" s="11"/>
    </row>
    <row r="1377" spans="2:17" ht="21" customHeight="1" x14ac:dyDescent="0.35">
      <c r="B1377" s="18">
        <v>43990</v>
      </c>
      <c r="C1377" s="18" t="str">
        <f>TEXT(Sales[[#This Row],[Kode Program/Kegiatan ]],"D")</f>
        <v>8</v>
      </c>
      <c r="D1377" s="19" t="str">
        <f>TEXT(Sales[[#This Row],[Kode Program/Kegiatan ]],"mmm")</f>
        <v>Jun</v>
      </c>
      <c r="E1377" s="20">
        <v>7</v>
      </c>
      <c r="F1377" s="19">
        <v>7</v>
      </c>
      <c r="G1377" s="20" t="str">
        <f>IF(Sales[[#This Row],[Anggaran Murni]]-Sales[[#This Row],[Target s.d. Januari]]=0,"",Sales[[#This Row],[Anggaran Murni]]-Sales[[#This Row],[Target s.d. Januari]])</f>
        <v/>
      </c>
      <c r="H1377" s="19" t="s">
        <v>76</v>
      </c>
      <c r="I1377" s="20" t="s">
        <v>79</v>
      </c>
      <c r="J1377" s="20">
        <v>60000000</v>
      </c>
      <c r="K1377" s="19" t="s">
        <v>60</v>
      </c>
      <c r="L1377" s="19" t="s">
        <v>5</v>
      </c>
      <c r="M1377" s="21" t="s">
        <v>67</v>
      </c>
      <c r="N1377" s="20" t="s">
        <v>80</v>
      </c>
      <c r="O1377" s="19" t="s">
        <v>12</v>
      </c>
      <c r="P1377" s="10"/>
      <c r="Q1377" s="11"/>
    </row>
    <row r="1378" spans="2:17" ht="21" customHeight="1" x14ac:dyDescent="0.35">
      <c r="B1378" s="1">
        <v>43990</v>
      </c>
      <c r="C1378" s="1" t="str">
        <f>TEXT(Sales[[#This Row],[Kode Program/Kegiatan ]],"D")</f>
        <v>8</v>
      </c>
      <c r="D1378" s="2" t="str">
        <f>TEXT(Sales[[#This Row],[Kode Program/Kegiatan ]],"mmm")</f>
        <v>Jun</v>
      </c>
      <c r="E1378" s="3">
        <v>6</v>
      </c>
      <c r="F1378" s="2">
        <v>6</v>
      </c>
      <c r="G1378" s="3" t="str">
        <f>IF(Sales[[#This Row],[Anggaran Murni]]-Sales[[#This Row],[Target s.d. Januari]]=0,"",Sales[[#This Row],[Anggaran Murni]]-Sales[[#This Row],[Target s.d. Januari]])</f>
        <v/>
      </c>
      <c r="H1378" s="2" t="s">
        <v>70</v>
      </c>
      <c r="I1378" s="3" t="s">
        <v>1</v>
      </c>
      <c r="J1378" s="3">
        <v>140000000</v>
      </c>
      <c r="K1378" s="2" t="s">
        <v>53</v>
      </c>
      <c r="L1378" s="2" t="s">
        <v>5</v>
      </c>
      <c r="M1378" s="4" t="s">
        <v>67</v>
      </c>
      <c r="N1378" s="3" t="s">
        <v>81</v>
      </c>
      <c r="O1378" s="2" t="s">
        <v>13</v>
      </c>
      <c r="P1378" s="10"/>
      <c r="Q1378" s="11"/>
    </row>
    <row r="1379" spans="2:17" ht="21" customHeight="1" x14ac:dyDescent="0.35">
      <c r="B1379" s="18">
        <v>43990</v>
      </c>
      <c r="C1379" s="18" t="str">
        <f>TEXT(Sales[[#This Row],[Kode Program/Kegiatan ]],"D")</f>
        <v>8</v>
      </c>
      <c r="D1379" s="19" t="str">
        <f>TEXT(Sales[[#This Row],[Kode Program/Kegiatan ]],"mmm")</f>
        <v>Jun</v>
      </c>
      <c r="E1379" s="20">
        <v>6</v>
      </c>
      <c r="F1379" s="19">
        <v>6</v>
      </c>
      <c r="G1379" s="20" t="str">
        <f>IF(Sales[[#This Row],[Anggaran Murni]]-Sales[[#This Row],[Target s.d. Januari]]=0,"",Sales[[#This Row],[Anggaran Murni]]-Sales[[#This Row],[Target s.d. Januari]])</f>
        <v/>
      </c>
      <c r="H1379" s="19" t="s">
        <v>73</v>
      </c>
      <c r="I1379" s="20" t="s">
        <v>78</v>
      </c>
      <c r="J1379" s="20">
        <v>120000000</v>
      </c>
      <c r="K1379" s="19" t="s">
        <v>31</v>
      </c>
      <c r="L1379" s="19" t="s">
        <v>8</v>
      </c>
      <c r="M1379" s="21" t="s">
        <v>67</v>
      </c>
      <c r="N1379" s="20" t="s">
        <v>81</v>
      </c>
      <c r="O1379" s="19" t="s">
        <v>12</v>
      </c>
      <c r="P1379" s="10"/>
      <c r="Q1379" s="11"/>
    </row>
    <row r="1380" spans="2:17" ht="21" customHeight="1" x14ac:dyDescent="0.35">
      <c r="B1380" s="1">
        <v>43990</v>
      </c>
      <c r="C1380" s="1" t="str">
        <f>TEXT(Sales[[#This Row],[Kode Program/Kegiatan ]],"D")</f>
        <v>8</v>
      </c>
      <c r="D1380" s="2" t="str">
        <f>TEXT(Sales[[#This Row],[Kode Program/Kegiatan ]],"mmm")</f>
        <v>Jun</v>
      </c>
      <c r="E1380" s="3">
        <v>6</v>
      </c>
      <c r="F1380" s="2">
        <v>6</v>
      </c>
      <c r="G1380" s="3" t="str">
        <f>IF(Sales[[#This Row],[Anggaran Murni]]-Sales[[#This Row],[Target s.d. Januari]]=0,"",Sales[[#This Row],[Anggaran Murni]]-Sales[[#This Row],[Target s.d. Januari]])</f>
        <v/>
      </c>
      <c r="H1380" s="2" t="s">
        <v>71</v>
      </c>
      <c r="I1380" s="3" t="s">
        <v>6</v>
      </c>
      <c r="J1380" s="3">
        <v>80000000</v>
      </c>
      <c r="K1380" s="2" t="s">
        <v>42</v>
      </c>
      <c r="L1380" s="2" t="s">
        <v>5</v>
      </c>
      <c r="M1380" s="4" t="s">
        <v>67</v>
      </c>
      <c r="N1380" s="3" t="s">
        <v>82</v>
      </c>
      <c r="O1380" s="2" t="s">
        <v>12</v>
      </c>
      <c r="P1380" s="10"/>
      <c r="Q1380" s="11"/>
    </row>
    <row r="1381" spans="2:17" ht="21" customHeight="1" x14ac:dyDescent="0.35">
      <c r="B1381" s="18">
        <v>43990</v>
      </c>
      <c r="C1381" s="18" t="str">
        <f>TEXT(Sales[[#This Row],[Kode Program/Kegiatan ]],"D")</f>
        <v>8</v>
      </c>
      <c r="D1381" s="19" t="str">
        <f>TEXT(Sales[[#This Row],[Kode Program/Kegiatan ]],"mmm")</f>
        <v>Jun</v>
      </c>
      <c r="E1381" s="20">
        <v>3</v>
      </c>
      <c r="F1381" s="19">
        <v>3</v>
      </c>
      <c r="G1381" s="20" t="str">
        <f>IF(Sales[[#This Row],[Anggaran Murni]]-Sales[[#This Row],[Target s.d. Januari]]=0,"",Sales[[#This Row],[Anggaran Murni]]-Sales[[#This Row],[Target s.d. Januari]])</f>
        <v/>
      </c>
      <c r="H1381" s="19" t="s">
        <v>72</v>
      </c>
      <c r="I1381" s="20" t="s">
        <v>78</v>
      </c>
      <c r="J1381" s="20">
        <v>80000000</v>
      </c>
      <c r="K1381" s="19" t="s">
        <v>54</v>
      </c>
      <c r="L1381" s="19" t="s">
        <v>2</v>
      </c>
      <c r="M1381" s="21" t="s">
        <v>67</v>
      </c>
      <c r="N1381" s="20" t="s">
        <v>81</v>
      </c>
      <c r="O1381" s="19" t="s">
        <v>12</v>
      </c>
      <c r="P1381" s="10"/>
      <c r="Q1381" s="11"/>
    </row>
    <row r="1382" spans="2:17" ht="21" customHeight="1" x14ac:dyDescent="0.35">
      <c r="B1382" s="1">
        <v>43990</v>
      </c>
      <c r="C1382" s="1" t="str">
        <f>TEXT(Sales[[#This Row],[Kode Program/Kegiatan ]],"D")</f>
        <v>8</v>
      </c>
      <c r="D1382" s="2" t="str">
        <f>TEXT(Sales[[#This Row],[Kode Program/Kegiatan ]],"mmm")</f>
        <v>Jun</v>
      </c>
      <c r="E1382" s="3">
        <v>3</v>
      </c>
      <c r="F1382" s="2">
        <v>3</v>
      </c>
      <c r="G1382" s="3" t="str">
        <f>IF(Sales[[#This Row],[Anggaran Murni]]-Sales[[#This Row],[Target s.d. Januari]]=0,"",Sales[[#This Row],[Anggaran Murni]]-Sales[[#This Row],[Target s.d. Januari]])</f>
        <v/>
      </c>
      <c r="H1382" s="2" t="s">
        <v>71</v>
      </c>
      <c r="I1382" s="3" t="s">
        <v>6</v>
      </c>
      <c r="J1382" s="3">
        <v>40000000</v>
      </c>
      <c r="K1382" s="2" t="s">
        <v>64</v>
      </c>
      <c r="L1382" s="2" t="s">
        <v>2</v>
      </c>
      <c r="M1382" s="4" t="s">
        <v>67</v>
      </c>
      <c r="N1382" s="3" t="s">
        <v>81</v>
      </c>
      <c r="O1382" s="2" t="s">
        <v>12</v>
      </c>
      <c r="P1382" s="10"/>
      <c r="Q1382" s="11"/>
    </row>
    <row r="1383" spans="2:17" ht="21" customHeight="1" x14ac:dyDescent="0.35">
      <c r="B1383" s="18">
        <v>43991</v>
      </c>
      <c r="C1383" s="18" t="str">
        <f>TEXT(Sales[[#This Row],[Kode Program/Kegiatan ]],"D")</f>
        <v>9</v>
      </c>
      <c r="D1383" s="19" t="str">
        <f>TEXT(Sales[[#This Row],[Kode Program/Kegiatan ]],"mmm")</f>
        <v>Jun</v>
      </c>
      <c r="E1383" s="20">
        <v>10</v>
      </c>
      <c r="F1383" s="19">
        <v>10</v>
      </c>
      <c r="G1383" s="20" t="str">
        <f>IF(Sales[[#This Row],[Anggaran Murni]]-Sales[[#This Row],[Target s.d. Januari]]=0,"",Sales[[#This Row],[Anggaran Murni]]-Sales[[#This Row],[Target s.d. Januari]])</f>
        <v/>
      </c>
      <c r="H1383" s="19" t="s">
        <v>74</v>
      </c>
      <c r="I1383" s="20" t="s">
        <v>77</v>
      </c>
      <c r="J1383" s="20">
        <v>40000000</v>
      </c>
      <c r="K1383" s="19" t="s">
        <v>41</v>
      </c>
      <c r="L1383" s="19" t="s">
        <v>9</v>
      </c>
      <c r="M1383" s="21" t="s">
        <v>67</v>
      </c>
      <c r="N1383" s="20" t="s">
        <v>80</v>
      </c>
      <c r="O1383" s="19" t="s">
        <v>12</v>
      </c>
      <c r="P1383" s="10"/>
      <c r="Q1383" s="11"/>
    </row>
    <row r="1384" spans="2:17" ht="21" customHeight="1" x14ac:dyDescent="0.35">
      <c r="B1384" s="1">
        <v>43991</v>
      </c>
      <c r="C1384" s="1" t="str">
        <f>TEXT(Sales[[#This Row],[Kode Program/Kegiatan ]],"D")</f>
        <v>9</v>
      </c>
      <c r="D1384" s="2" t="str">
        <f>TEXT(Sales[[#This Row],[Kode Program/Kegiatan ]],"mmm")</f>
        <v>Jun</v>
      </c>
      <c r="E1384" s="3">
        <v>8</v>
      </c>
      <c r="F1384" s="2">
        <v>8</v>
      </c>
      <c r="G1384" s="3" t="str">
        <f>IF(Sales[[#This Row],[Anggaran Murni]]-Sales[[#This Row],[Target s.d. Januari]]=0,"",Sales[[#This Row],[Anggaran Murni]]-Sales[[#This Row],[Target s.d. Januari]])</f>
        <v/>
      </c>
      <c r="H1384" s="2" t="s">
        <v>70</v>
      </c>
      <c r="I1384" s="3" t="s">
        <v>1</v>
      </c>
      <c r="J1384" s="3">
        <v>100000000</v>
      </c>
      <c r="K1384" s="2" t="s">
        <v>60</v>
      </c>
      <c r="L1384" s="2" t="s">
        <v>2</v>
      </c>
      <c r="M1384" s="4" t="s">
        <v>67</v>
      </c>
      <c r="N1384" s="3" t="s">
        <v>81</v>
      </c>
      <c r="O1384" s="2" t="s">
        <v>14</v>
      </c>
      <c r="P1384" s="10"/>
      <c r="Q1384" s="11"/>
    </row>
    <row r="1385" spans="2:17" ht="21" customHeight="1" x14ac:dyDescent="0.35">
      <c r="B1385" s="18">
        <v>43991</v>
      </c>
      <c r="C1385" s="18" t="str">
        <f>TEXT(Sales[[#This Row],[Kode Program/Kegiatan ]],"D")</f>
        <v>9</v>
      </c>
      <c r="D1385" s="19" t="str">
        <f>TEXT(Sales[[#This Row],[Kode Program/Kegiatan ]],"mmm")</f>
        <v>Jun</v>
      </c>
      <c r="E1385" s="20">
        <v>8</v>
      </c>
      <c r="F1385" s="19">
        <v>8</v>
      </c>
      <c r="G1385" s="20" t="str">
        <f>IF(Sales[[#This Row],[Anggaran Murni]]-Sales[[#This Row],[Target s.d. Januari]]=0,"",Sales[[#This Row],[Anggaran Murni]]-Sales[[#This Row],[Target s.d. Januari]])</f>
        <v/>
      </c>
      <c r="H1385" s="19" t="s">
        <v>70</v>
      </c>
      <c r="I1385" s="20" t="s">
        <v>1</v>
      </c>
      <c r="J1385" s="20">
        <v>140000000</v>
      </c>
      <c r="K1385" s="19" t="s">
        <v>20</v>
      </c>
      <c r="L1385" s="19" t="s">
        <v>5</v>
      </c>
      <c r="M1385" s="21" t="s">
        <v>67</v>
      </c>
      <c r="N1385" s="20" t="s">
        <v>82</v>
      </c>
      <c r="O1385" s="19" t="s">
        <v>12</v>
      </c>
      <c r="P1385" s="10"/>
      <c r="Q1385" s="11"/>
    </row>
    <row r="1386" spans="2:17" ht="21" customHeight="1" x14ac:dyDescent="0.35">
      <c r="B1386" s="1">
        <v>43991</v>
      </c>
      <c r="C1386" s="1" t="str">
        <f>TEXT(Sales[[#This Row],[Kode Program/Kegiatan ]],"D")</f>
        <v>9</v>
      </c>
      <c r="D1386" s="2" t="str">
        <f>TEXT(Sales[[#This Row],[Kode Program/Kegiatan ]],"mmm")</f>
        <v>Jun</v>
      </c>
      <c r="E1386" s="3">
        <v>5</v>
      </c>
      <c r="F1386" s="2">
        <v>5</v>
      </c>
      <c r="G1386" s="3" t="str">
        <f>IF(Sales[[#This Row],[Anggaran Murni]]-Sales[[#This Row],[Target s.d. Januari]]=0,"",Sales[[#This Row],[Anggaran Murni]]-Sales[[#This Row],[Target s.d. Januari]])</f>
        <v/>
      </c>
      <c r="H1386" s="2" t="s">
        <v>73</v>
      </c>
      <c r="I1386" s="3" t="s">
        <v>78</v>
      </c>
      <c r="J1386" s="3">
        <v>120000000</v>
      </c>
      <c r="K1386" s="2" t="s">
        <v>29</v>
      </c>
      <c r="L1386" s="2" t="s">
        <v>2</v>
      </c>
      <c r="M1386" s="4" t="s">
        <v>67</v>
      </c>
      <c r="N1386" s="3" t="s">
        <v>80</v>
      </c>
      <c r="O1386" s="2" t="s">
        <v>11</v>
      </c>
      <c r="P1386" s="10"/>
      <c r="Q1386" s="11"/>
    </row>
    <row r="1387" spans="2:17" ht="21" customHeight="1" x14ac:dyDescent="0.35">
      <c r="B1387" s="18">
        <v>43991</v>
      </c>
      <c r="C1387" s="18" t="str">
        <f>TEXT(Sales[[#This Row],[Kode Program/Kegiatan ]],"D")</f>
        <v>9</v>
      </c>
      <c r="D1387" s="19" t="str">
        <f>TEXT(Sales[[#This Row],[Kode Program/Kegiatan ]],"mmm")</f>
        <v>Jun</v>
      </c>
      <c r="E1387" s="20">
        <v>4</v>
      </c>
      <c r="F1387" s="19">
        <v>4</v>
      </c>
      <c r="G1387" s="20" t="str">
        <f>IF(Sales[[#This Row],[Anggaran Murni]]-Sales[[#This Row],[Target s.d. Januari]]=0,"",Sales[[#This Row],[Anggaran Murni]]-Sales[[#This Row],[Target s.d. Januari]])</f>
        <v/>
      </c>
      <c r="H1387" s="19" t="s">
        <v>74</v>
      </c>
      <c r="I1387" s="20" t="s">
        <v>77</v>
      </c>
      <c r="J1387" s="20">
        <v>100000000</v>
      </c>
      <c r="K1387" s="19" t="s">
        <v>39</v>
      </c>
      <c r="L1387" s="19" t="s">
        <v>2</v>
      </c>
      <c r="M1387" s="21" t="s">
        <v>67</v>
      </c>
      <c r="N1387" s="20" t="s">
        <v>82</v>
      </c>
      <c r="O1387" s="19" t="s">
        <v>11</v>
      </c>
      <c r="P1387" s="10"/>
      <c r="Q1387" s="11"/>
    </row>
    <row r="1388" spans="2:17" ht="21" customHeight="1" x14ac:dyDescent="0.35">
      <c r="B1388" s="1">
        <v>43992</v>
      </c>
      <c r="C1388" s="1" t="str">
        <f>TEXT(Sales[[#This Row],[Kode Program/Kegiatan ]],"D")</f>
        <v>10</v>
      </c>
      <c r="D1388" s="2" t="str">
        <f>TEXT(Sales[[#This Row],[Kode Program/Kegiatan ]],"mmm")</f>
        <v>Jun</v>
      </c>
      <c r="E1388" s="3">
        <v>9</v>
      </c>
      <c r="F1388" s="2">
        <v>5</v>
      </c>
      <c r="G1388" s="3">
        <f>IF(Sales[[#This Row],[Anggaran Murni]]-Sales[[#This Row],[Target s.d. Januari]]=0,"",Sales[[#This Row],[Anggaran Murni]]-Sales[[#This Row],[Target s.d. Januari]])</f>
        <v>4</v>
      </c>
      <c r="H1388" s="2" t="s">
        <v>113</v>
      </c>
      <c r="I1388" s="3" t="s">
        <v>77</v>
      </c>
      <c r="J1388" s="3">
        <v>80000000</v>
      </c>
      <c r="K1388" s="2" t="s">
        <v>52</v>
      </c>
      <c r="L1388" s="2" t="s">
        <v>5</v>
      </c>
      <c r="M1388" s="4" t="s">
        <v>67</v>
      </c>
      <c r="N1388" s="3" t="s">
        <v>81</v>
      </c>
      <c r="O1388" s="2" t="s">
        <v>13</v>
      </c>
      <c r="P1388" s="10"/>
      <c r="Q1388" s="11"/>
    </row>
    <row r="1389" spans="2:17" ht="21" customHeight="1" x14ac:dyDescent="0.35">
      <c r="B1389" s="18">
        <v>43992</v>
      </c>
      <c r="C1389" s="18" t="str">
        <f>TEXT(Sales[[#This Row],[Kode Program/Kegiatan ]],"D")</f>
        <v>10</v>
      </c>
      <c r="D1389" s="19" t="str">
        <f>TEXT(Sales[[#This Row],[Kode Program/Kegiatan ]],"mmm")</f>
        <v>Jun</v>
      </c>
      <c r="E1389" s="20">
        <v>8</v>
      </c>
      <c r="F1389" s="19">
        <v>4</v>
      </c>
      <c r="G1389" s="20">
        <f>IF(Sales[[#This Row],[Anggaran Murni]]-Sales[[#This Row],[Target s.d. Januari]]=0,"",Sales[[#This Row],[Anggaran Murni]]-Sales[[#This Row],[Target s.d. Januari]])</f>
        <v>4</v>
      </c>
      <c r="H1389" s="19" t="s">
        <v>72</v>
      </c>
      <c r="I1389" s="20" t="s">
        <v>78</v>
      </c>
      <c r="J1389" s="20">
        <v>100000000</v>
      </c>
      <c r="K1389" s="19" t="s">
        <v>56</v>
      </c>
      <c r="L1389" s="19" t="s">
        <v>2</v>
      </c>
      <c r="M1389" s="21" t="s">
        <v>67</v>
      </c>
      <c r="N1389" s="20" t="s">
        <v>81</v>
      </c>
      <c r="O1389" s="19" t="s">
        <v>12</v>
      </c>
      <c r="P1389" s="10"/>
      <c r="Q1389" s="11"/>
    </row>
    <row r="1390" spans="2:17" ht="21" customHeight="1" x14ac:dyDescent="0.35">
      <c r="B1390" s="1">
        <v>43992</v>
      </c>
      <c r="C1390" s="1" t="str">
        <f>TEXT(Sales[[#This Row],[Kode Program/Kegiatan ]],"D")</f>
        <v>10</v>
      </c>
      <c r="D1390" s="2" t="str">
        <f>TEXT(Sales[[#This Row],[Kode Program/Kegiatan ]],"mmm")</f>
        <v>Jun</v>
      </c>
      <c r="E1390" s="3">
        <v>8</v>
      </c>
      <c r="F1390" s="2">
        <v>4</v>
      </c>
      <c r="G1390" s="3">
        <f>IF(Sales[[#This Row],[Anggaran Murni]]-Sales[[#This Row],[Target s.d. Januari]]=0,"",Sales[[#This Row],[Anggaran Murni]]-Sales[[#This Row],[Target s.d. Januari]])</f>
        <v>4</v>
      </c>
      <c r="H1390" s="2" t="s">
        <v>76</v>
      </c>
      <c r="I1390" s="3" t="s">
        <v>79</v>
      </c>
      <c r="J1390" s="3">
        <v>60000000</v>
      </c>
      <c r="K1390" s="2" t="s">
        <v>32</v>
      </c>
      <c r="L1390" s="2" t="s">
        <v>5</v>
      </c>
      <c r="M1390" s="4" t="s">
        <v>67</v>
      </c>
      <c r="N1390" s="3" t="s">
        <v>81</v>
      </c>
      <c r="O1390" s="2" t="s">
        <v>11</v>
      </c>
      <c r="P1390" s="10"/>
      <c r="Q1390" s="11"/>
    </row>
    <row r="1391" spans="2:17" ht="21" customHeight="1" x14ac:dyDescent="0.35">
      <c r="B1391" s="18">
        <v>43992</v>
      </c>
      <c r="C1391" s="18" t="str">
        <f>TEXT(Sales[[#This Row],[Kode Program/Kegiatan ]],"D")</f>
        <v>10</v>
      </c>
      <c r="D1391" s="19" t="str">
        <f>TEXT(Sales[[#This Row],[Kode Program/Kegiatan ]],"mmm")</f>
        <v>Jun</v>
      </c>
      <c r="E1391" s="20">
        <v>5</v>
      </c>
      <c r="F1391" s="19">
        <v>3</v>
      </c>
      <c r="G1391" s="20">
        <f>IF(Sales[[#This Row],[Anggaran Murni]]-Sales[[#This Row],[Target s.d. Januari]]=0,"",Sales[[#This Row],[Anggaran Murni]]-Sales[[#This Row],[Target s.d. Januari]])</f>
        <v>2</v>
      </c>
      <c r="H1391" s="19" t="s">
        <v>113</v>
      </c>
      <c r="I1391" s="20" t="s">
        <v>77</v>
      </c>
      <c r="J1391" s="20">
        <v>40000000</v>
      </c>
      <c r="K1391" s="19" t="s">
        <v>23</v>
      </c>
      <c r="L1391" s="19" t="s">
        <v>7</v>
      </c>
      <c r="M1391" s="21" t="s">
        <v>67</v>
      </c>
      <c r="N1391" s="20" t="s">
        <v>80</v>
      </c>
      <c r="O1391" s="19" t="s">
        <v>11</v>
      </c>
      <c r="P1391" s="10"/>
      <c r="Q1391" s="11"/>
    </row>
    <row r="1392" spans="2:17" ht="21" customHeight="1" x14ac:dyDescent="0.35">
      <c r="B1392" s="1">
        <v>43992</v>
      </c>
      <c r="C1392" s="1" t="str">
        <f>TEXT(Sales[[#This Row],[Kode Program/Kegiatan ]],"D")</f>
        <v>10</v>
      </c>
      <c r="D1392" s="2" t="str">
        <f>TEXT(Sales[[#This Row],[Kode Program/Kegiatan ]],"mmm")</f>
        <v>Jun</v>
      </c>
      <c r="E1392" s="3">
        <v>5</v>
      </c>
      <c r="F1392" s="2">
        <v>4</v>
      </c>
      <c r="G1392" s="3">
        <f>IF(Sales[[#This Row],[Anggaran Murni]]-Sales[[#This Row],[Target s.d. Januari]]=0,"",Sales[[#This Row],[Anggaran Murni]]-Sales[[#This Row],[Target s.d. Januari]])</f>
        <v>1</v>
      </c>
      <c r="H1392" s="2" t="s">
        <v>113</v>
      </c>
      <c r="I1392" s="3" t="s">
        <v>77</v>
      </c>
      <c r="J1392" s="3">
        <v>60000000</v>
      </c>
      <c r="K1392" s="2" t="s">
        <v>64</v>
      </c>
      <c r="L1392" s="2" t="s">
        <v>5</v>
      </c>
      <c r="M1392" s="4" t="s">
        <v>67</v>
      </c>
      <c r="N1392" s="3" t="s">
        <v>80</v>
      </c>
      <c r="O1392" s="2" t="s">
        <v>14</v>
      </c>
      <c r="P1392" s="10"/>
      <c r="Q1392" s="11"/>
    </row>
    <row r="1393" spans="2:17" ht="21" customHeight="1" x14ac:dyDescent="0.35">
      <c r="B1393" s="18">
        <v>43992</v>
      </c>
      <c r="C1393" s="18" t="str">
        <f>TEXT(Sales[[#This Row],[Kode Program/Kegiatan ]],"D")</f>
        <v>10</v>
      </c>
      <c r="D1393" s="19" t="str">
        <f>TEXT(Sales[[#This Row],[Kode Program/Kegiatan ]],"mmm")</f>
        <v>Jun</v>
      </c>
      <c r="E1393" s="20">
        <v>5</v>
      </c>
      <c r="F1393" s="19">
        <v>3</v>
      </c>
      <c r="G1393" s="20">
        <f>IF(Sales[[#This Row],[Anggaran Murni]]-Sales[[#This Row],[Target s.d. Januari]]=0,"",Sales[[#This Row],[Anggaran Murni]]-Sales[[#This Row],[Target s.d. Januari]])</f>
        <v>2</v>
      </c>
      <c r="H1393" s="19" t="s">
        <v>71</v>
      </c>
      <c r="I1393" s="20" t="s">
        <v>6</v>
      </c>
      <c r="J1393" s="20">
        <v>140000000</v>
      </c>
      <c r="K1393" s="19" t="s">
        <v>49</v>
      </c>
      <c r="L1393" s="19" t="s">
        <v>5</v>
      </c>
      <c r="M1393" s="21" t="s">
        <v>67</v>
      </c>
      <c r="N1393" s="20" t="s">
        <v>81</v>
      </c>
      <c r="O1393" s="19" t="s">
        <v>13</v>
      </c>
      <c r="P1393" s="10"/>
      <c r="Q1393" s="11"/>
    </row>
    <row r="1394" spans="2:17" ht="21" customHeight="1" x14ac:dyDescent="0.35">
      <c r="B1394" s="1">
        <v>43992</v>
      </c>
      <c r="C1394" s="1" t="str">
        <f>TEXT(Sales[[#This Row],[Kode Program/Kegiatan ]],"D")</f>
        <v>10</v>
      </c>
      <c r="D1394" s="2" t="str">
        <f>TEXT(Sales[[#This Row],[Kode Program/Kegiatan ]],"mmm")</f>
        <v>Jun</v>
      </c>
      <c r="E1394" s="3">
        <v>4</v>
      </c>
      <c r="F1394" s="2">
        <v>2</v>
      </c>
      <c r="G1394" s="3">
        <f>IF(Sales[[#This Row],[Anggaran Murni]]-Sales[[#This Row],[Target s.d. Januari]]=0,"",Sales[[#This Row],[Anggaran Murni]]-Sales[[#This Row],[Target s.d. Januari]])</f>
        <v>2</v>
      </c>
      <c r="H1394" s="2" t="s">
        <v>74</v>
      </c>
      <c r="I1394" s="3" t="s">
        <v>77</v>
      </c>
      <c r="J1394" s="3">
        <v>140000000</v>
      </c>
      <c r="K1394" s="2" t="s">
        <v>32</v>
      </c>
      <c r="L1394" s="2" t="s">
        <v>2</v>
      </c>
      <c r="M1394" s="4" t="s">
        <v>67</v>
      </c>
      <c r="N1394" s="3" t="s">
        <v>82</v>
      </c>
      <c r="O1394" s="2" t="s">
        <v>14</v>
      </c>
      <c r="P1394" s="10"/>
      <c r="Q1394" s="11"/>
    </row>
    <row r="1395" spans="2:17" ht="21" customHeight="1" x14ac:dyDescent="0.35">
      <c r="B1395" s="18">
        <v>43992</v>
      </c>
      <c r="C1395" s="18" t="str">
        <f>TEXT(Sales[[#This Row],[Kode Program/Kegiatan ]],"D")</f>
        <v>10</v>
      </c>
      <c r="D1395" s="19" t="str">
        <f>TEXT(Sales[[#This Row],[Kode Program/Kegiatan ]],"mmm")</f>
        <v>Jun</v>
      </c>
      <c r="E1395" s="20">
        <v>4</v>
      </c>
      <c r="F1395" s="19">
        <v>3</v>
      </c>
      <c r="G1395" s="20">
        <f>IF(Sales[[#This Row],[Anggaran Murni]]-Sales[[#This Row],[Target s.d. Januari]]=0,"",Sales[[#This Row],[Anggaran Murni]]-Sales[[#This Row],[Target s.d. Januari]])</f>
        <v>1</v>
      </c>
      <c r="H1395" s="19" t="s">
        <v>70</v>
      </c>
      <c r="I1395" s="20" t="s">
        <v>1</v>
      </c>
      <c r="J1395" s="20">
        <v>40000000</v>
      </c>
      <c r="K1395" s="19" t="s">
        <v>55</v>
      </c>
      <c r="L1395" s="19" t="s">
        <v>5</v>
      </c>
      <c r="M1395" s="21" t="s">
        <v>67</v>
      </c>
      <c r="N1395" s="20" t="s">
        <v>81</v>
      </c>
      <c r="O1395" s="19" t="s">
        <v>12</v>
      </c>
      <c r="P1395" s="10"/>
      <c r="Q1395" s="11"/>
    </row>
    <row r="1396" spans="2:17" ht="21" customHeight="1" x14ac:dyDescent="0.35">
      <c r="B1396" s="1">
        <v>43993</v>
      </c>
      <c r="C1396" s="1" t="str">
        <f>TEXT(Sales[[#This Row],[Kode Program/Kegiatan ]],"D")</f>
        <v>11</v>
      </c>
      <c r="D1396" s="2" t="str">
        <f>TEXT(Sales[[#This Row],[Kode Program/Kegiatan ]],"mmm")</f>
        <v>Jun</v>
      </c>
      <c r="E1396" s="3">
        <v>10</v>
      </c>
      <c r="F1396" s="2">
        <v>6</v>
      </c>
      <c r="G1396" s="3">
        <f>IF(Sales[[#This Row],[Anggaran Murni]]-Sales[[#This Row],[Target s.d. Januari]]=0,"",Sales[[#This Row],[Anggaran Murni]]-Sales[[#This Row],[Target s.d. Januari]])</f>
        <v>4</v>
      </c>
      <c r="H1396" s="2" t="s">
        <v>71</v>
      </c>
      <c r="I1396" s="3" t="s">
        <v>6</v>
      </c>
      <c r="J1396" s="3">
        <v>60000000</v>
      </c>
      <c r="K1396" s="2" t="s">
        <v>16</v>
      </c>
      <c r="L1396" s="2" t="s">
        <v>5</v>
      </c>
      <c r="M1396" s="4" t="s">
        <v>67</v>
      </c>
      <c r="N1396" s="3" t="s">
        <v>80</v>
      </c>
      <c r="O1396" s="2" t="s">
        <v>12</v>
      </c>
      <c r="P1396" s="10"/>
      <c r="Q1396" s="11"/>
    </row>
    <row r="1397" spans="2:17" ht="21" customHeight="1" x14ac:dyDescent="0.35">
      <c r="B1397" s="18">
        <v>43993</v>
      </c>
      <c r="C1397" s="18" t="str">
        <f>TEXT(Sales[[#This Row],[Kode Program/Kegiatan ]],"D")</f>
        <v>11</v>
      </c>
      <c r="D1397" s="19" t="str">
        <f>TEXT(Sales[[#This Row],[Kode Program/Kegiatan ]],"mmm")</f>
        <v>Jun</v>
      </c>
      <c r="E1397" s="20">
        <v>10</v>
      </c>
      <c r="F1397" s="19">
        <v>6</v>
      </c>
      <c r="G1397" s="20">
        <f>IF(Sales[[#This Row],[Anggaran Murni]]-Sales[[#This Row],[Target s.d. Januari]]=0,"",Sales[[#This Row],[Anggaran Murni]]-Sales[[#This Row],[Target s.d. Januari]])</f>
        <v>4</v>
      </c>
      <c r="H1397" s="19" t="s">
        <v>74</v>
      </c>
      <c r="I1397" s="20" t="s">
        <v>77</v>
      </c>
      <c r="J1397" s="20">
        <v>100000000</v>
      </c>
      <c r="K1397" s="19" t="s">
        <v>45</v>
      </c>
      <c r="L1397" s="19" t="s">
        <v>2</v>
      </c>
      <c r="M1397" s="21" t="s">
        <v>67</v>
      </c>
      <c r="N1397" s="20" t="s">
        <v>80</v>
      </c>
      <c r="O1397" s="19" t="s">
        <v>14</v>
      </c>
      <c r="P1397" s="10"/>
      <c r="Q1397" s="11"/>
    </row>
    <row r="1398" spans="2:17" ht="21" customHeight="1" x14ac:dyDescent="0.35">
      <c r="B1398" s="1">
        <v>43993</v>
      </c>
      <c r="C1398" s="1" t="str">
        <f>TEXT(Sales[[#This Row],[Kode Program/Kegiatan ]],"D")</f>
        <v>11</v>
      </c>
      <c r="D1398" s="2" t="str">
        <f>TEXT(Sales[[#This Row],[Kode Program/Kegiatan ]],"mmm")</f>
        <v>Jun</v>
      </c>
      <c r="E1398" s="3">
        <v>9</v>
      </c>
      <c r="F1398" s="2">
        <v>7</v>
      </c>
      <c r="G1398" s="3">
        <f>IF(Sales[[#This Row],[Anggaran Murni]]-Sales[[#This Row],[Target s.d. Januari]]=0,"",Sales[[#This Row],[Anggaran Murni]]-Sales[[#This Row],[Target s.d. Januari]])</f>
        <v>2</v>
      </c>
      <c r="H1398" s="2" t="s">
        <v>72</v>
      </c>
      <c r="I1398" s="3" t="s">
        <v>78</v>
      </c>
      <c r="J1398" s="3">
        <v>60000000</v>
      </c>
      <c r="K1398" s="2" t="s">
        <v>43</v>
      </c>
      <c r="L1398" s="2" t="s">
        <v>7</v>
      </c>
      <c r="M1398" s="4" t="s">
        <v>67</v>
      </c>
      <c r="N1398" s="3" t="s">
        <v>82</v>
      </c>
      <c r="O1398" s="2" t="s">
        <v>12</v>
      </c>
      <c r="P1398" s="10"/>
      <c r="Q1398" s="11"/>
    </row>
    <row r="1399" spans="2:17" ht="21" customHeight="1" x14ac:dyDescent="0.35">
      <c r="B1399" s="18">
        <v>43993</v>
      </c>
      <c r="C1399" s="18" t="str">
        <f>TEXT(Sales[[#This Row],[Kode Program/Kegiatan ]],"D")</f>
        <v>11</v>
      </c>
      <c r="D1399" s="19" t="str">
        <f>TEXT(Sales[[#This Row],[Kode Program/Kegiatan ]],"mmm")</f>
        <v>Jun</v>
      </c>
      <c r="E1399" s="20">
        <v>9</v>
      </c>
      <c r="F1399" s="19">
        <v>5</v>
      </c>
      <c r="G1399" s="20">
        <f>IF(Sales[[#This Row],[Anggaran Murni]]-Sales[[#This Row],[Target s.d. Januari]]=0,"",Sales[[#This Row],[Anggaran Murni]]-Sales[[#This Row],[Target s.d. Januari]])</f>
        <v>4</v>
      </c>
      <c r="H1399" s="19" t="s">
        <v>72</v>
      </c>
      <c r="I1399" s="20" t="s">
        <v>78</v>
      </c>
      <c r="J1399" s="20">
        <v>100000000</v>
      </c>
      <c r="K1399" s="19" t="s">
        <v>58</v>
      </c>
      <c r="L1399" s="19" t="s">
        <v>2</v>
      </c>
      <c r="M1399" s="21" t="s">
        <v>67</v>
      </c>
      <c r="N1399" s="20" t="s">
        <v>80</v>
      </c>
      <c r="O1399" s="19" t="s">
        <v>13</v>
      </c>
      <c r="P1399" s="10"/>
      <c r="Q1399" s="11"/>
    </row>
    <row r="1400" spans="2:17" ht="21" customHeight="1" x14ac:dyDescent="0.35">
      <c r="B1400" s="1">
        <v>43993</v>
      </c>
      <c r="C1400" s="1" t="str">
        <f>TEXT(Sales[[#This Row],[Kode Program/Kegiatan ]],"D")</f>
        <v>11</v>
      </c>
      <c r="D1400" s="2" t="str">
        <f>TEXT(Sales[[#This Row],[Kode Program/Kegiatan ]],"mmm")</f>
        <v>Jun</v>
      </c>
      <c r="E1400" s="3">
        <v>9</v>
      </c>
      <c r="F1400" s="2">
        <v>6</v>
      </c>
      <c r="G1400" s="3">
        <f>IF(Sales[[#This Row],[Anggaran Murni]]-Sales[[#This Row],[Target s.d. Januari]]=0,"",Sales[[#This Row],[Anggaran Murni]]-Sales[[#This Row],[Target s.d. Januari]])</f>
        <v>3</v>
      </c>
      <c r="H1400" s="2" t="s">
        <v>74</v>
      </c>
      <c r="I1400" s="3" t="s">
        <v>77</v>
      </c>
      <c r="J1400" s="3">
        <v>100000000</v>
      </c>
      <c r="K1400" s="2" t="s">
        <v>22</v>
      </c>
      <c r="L1400" s="2" t="s">
        <v>2</v>
      </c>
      <c r="M1400" s="4" t="s">
        <v>67</v>
      </c>
      <c r="N1400" s="3" t="s">
        <v>81</v>
      </c>
      <c r="O1400" s="2" t="s">
        <v>13</v>
      </c>
      <c r="P1400" s="10"/>
      <c r="Q1400" s="11"/>
    </row>
    <row r="1401" spans="2:17" ht="21" customHeight="1" x14ac:dyDescent="0.35">
      <c r="B1401" s="18">
        <v>43993</v>
      </c>
      <c r="C1401" s="18" t="str">
        <f>TEXT(Sales[[#This Row],[Kode Program/Kegiatan ]],"D")</f>
        <v>11</v>
      </c>
      <c r="D1401" s="19" t="str">
        <f>TEXT(Sales[[#This Row],[Kode Program/Kegiatan ]],"mmm")</f>
        <v>Jun</v>
      </c>
      <c r="E1401" s="20">
        <v>8</v>
      </c>
      <c r="F1401" s="19">
        <v>5</v>
      </c>
      <c r="G1401" s="20">
        <f>IF(Sales[[#This Row],[Anggaran Murni]]-Sales[[#This Row],[Target s.d. Januari]]=0,"",Sales[[#This Row],[Anggaran Murni]]-Sales[[#This Row],[Target s.d. Januari]])</f>
        <v>3</v>
      </c>
      <c r="H1401" s="19" t="s">
        <v>71</v>
      </c>
      <c r="I1401" s="20" t="s">
        <v>6</v>
      </c>
      <c r="J1401" s="20">
        <v>100000000</v>
      </c>
      <c r="K1401" s="19" t="s">
        <v>40</v>
      </c>
      <c r="L1401" s="19" t="s">
        <v>2</v>
      </c>
      <c r="M1401" s="21" t="s">
        <v>67</v>
      </c>
      <c r="N1401" s="20" t="s">
        <v>81</v>
      </c>
      <c r="O1401" s="19" t="s">
        <v>11</v>
      </c>
      <c r="P1401" s="10"/>
      <c r="Q1401" s="11"/>
    </row>
    <row r="1402" spans="2:17" ht="21" customHeight="1" x14ac:dyDescent="0.35">
      <c r="B1402" s="1">
        <v>43993</v>
      </c>
      <c r="C1402" s="1" t="str">
        <f>TEXT(Sales[[#This Row],[Kode Program/Kegiatan ]],"D")</f>
        <v>11</v>
      </c>
      <c r="D1402" s="2" t="str">
        <f>TEXT(Sales[[#This Row],[Kode Program/Kegiatan ]],"mmm")</f>
        <v>Jun</v>
      </c>
      <c r="E1402" s="3">
        <v>8</v>
      </c>
      <c r="F1402" s="2">
        <v>5</v>
      </c>
      <c r="G1402" s="3">
        <f>IF(Sales[[#This Row],[Anggaran Murni]]-Sales[[#This Row],[Target s.d. Januari]]=0,"",Sales[[#This Row],[Anggaran Murni]]-Sales[[#This Row],[Target s.d. Januari]])</f>
        <v>3</v>
      </c>
      <c r="H1402" s="2" t="s">
        <v>73</v>
      </c>
      <c r="I1402" s="3" t="s">
        <v>78</v>
      </c>
      <c r="J1402" s="3">
        <v>80000000</v>
      </c>
      <c r="K1402" s="2" t="s">
        <v>27</v>
      </c>
      <c r="L1402" s="2" t="s">
        <v>5</v>
      </c>
      <c r="M1402" s="4" t="s">
        <v>67</v>
      </c>
      <c r="N1402" s="3" t="s">
        <v>82</v>
      </c>
      <c r="O1402" s="2" t="s">
        <v>14</v>
      </c>
      <c r="P1402" s="10"/>
      <c r="Q1402" s="11"/>
    </row>
    <row r="1403" spans="2:17" ht="21" customHeight="1" x14ac:dyDescent="0.35">
      <c r="B1403" s="18">
        <v>43993</v>
      </c>
      <c r="C1403" s="18" t="str">
        <f>TEXT(Sales[[#This Row],[Kode Program/Kegiatan ]],"D")</f>
        <v>11</v>
      </c>
      <c r="D1403" s="19" t="str">
        <f>TEXT(Sales[[#This Row],[Kode Program/Kegiatan ]],"mmm")</f>
        <v>Jun</v>
      </c>
      <c r="E1403" s="20">
        <v>7</v>
      </c>
      <c r="F1403" s="19">
        <v>4</v>
      </c>
      <c r="G1403" s="20">
        <f>IF(Sales[[#This Row],[Anggaran Murni]]-Sales[[#This Row],[Target s.d. Januari]]=0,"",Sales[[#This Row],[Anggaran Murni]]-Sales[[#This Row],[Target s.d. Januari]])</f>
        <v>3</v>
      </c>
      <c r="H1403" s="19" t="s">
        <v>76</v>
      </c>
      <c r="I1403" s="20" t="s">
        <v>79</v>
      </c>
      <c r="J1403" s="20">
        <v>40000000</v>
      </c>
      <c r="K1403" s="19" t="s">
        <v>24</v>
      </c>
      <c r="L1403" s="19" t="s">
        <v>2</v>
      </c>
      <c r="M1403" s="21" t="s">
        <v>67</v>
      </c>
      <c r="N1403" s="20" t="s">
        <v>80</v>
      </c>
      <c r="O1403" s="19" t="s">
        <v>14</v>
      </c>
      <c r="P1403" s="10"/>
      <c r="Q1403" s="11"/>
    </row>
    <row r="1404" spans="2:17" ht="21" customHeight="1" x14ac:dyDescent="0.35">
      <c r="B1404" s="1">
        <v>43993</v>
      </c>
      <c r="C1404" s="1" t="str">
        <f>TEXT(Sales[[#This Row],[Kode Program/Kegiatan ]],"D")</f>
        <v>11</v>
      </c>
      <c r="D1404" s="2" t="str">
        <f>TEXT(Sales[[#This Row],[Kode Program/Kegiatan ]],"mmm")</f>
        <v>Jun</v>
      </c>
      <c r="E1404" s="3">
        <v>7</v>
      </c>
      <c r="F1404" s="2">
        <v>5</v>
      </c>
      <c r="G1404" s="3">
        <f>IF(Sales[[#This Row],[Anggaran Murni]]-Sales[[#This Row],[Target s.d. Januari]]=0,"",Sales[[#This Row],[Anggaran Murni]]-Sales[[#This Row],[Target s.d. Januari]])</f>
        <v>2</v>
      </c>
      <c r="H1404" s="2" t="s">
        <v>76</v>
      </c>
      <c r="I1404" s="3" t="s">
        <v>79</v>
      </c>
      <c r="J1404" s="3">
        <v>100000000</v>
      </c>
      <c r="K1404" s="2" t="s">
        <v>23</v>
      </c>
      <c r="L1404" s="2" t="s">
        <v>8</v>
      </c>
      <c r="M1404" s="4" t="s">
        <v>67</v>
      </c>
      <c r="N1404" s="3" t="s">
        <v>81</v>
      </c>
      <c r="O1404" s="2" t="s">
        <v>14</v>
      </c>
      <c r="P1404" s="10"/>
      <c r="Q1404" s="11"/>
    </row>
    <row r="1405" spans="2:17" ht="21" customHeight="1" x14ac:dyDescent="0.35">
      <c r="B1405" s="18">
        <v>43993</v>
      </c>
      <c r="C1405" s="18" t="str">
        <f>TEXT(Sales[[#This Row],[Kode Program/Kegiatan ]],"D")</f>
        <v>11</v>
      </c>
      <c r="D1405" s="19" t="str">
        <f>TEXT(Sales[[#This Row],[Kode Program/Kegiatan ]],"mmm")</f>
        <v>Jun</v>
      </c>
      <c r="E1405" s="20">
        <v>4</v>
      </c>
      <c r="F1405" s="19">
        <v>3</v>
      </c>
      <c r="G1405" s="20">
        <f>IF(Sales[[#This Row],[Anggaran Murni]]-Sales[[#This Row],[Target s.d. Januari]]=0,"",Sales[[#This Row],[Anggaran Murni]]-Sales[[#This Row],[Target s.d. Januari]])</f>
        <v>1</v>
      </c>
      <c r="H1405" s="19" t="s">
        <v>71</v>
      </c>
      <c r="I1405" s="20" t="s">
        <v>6</v>
      </c>
      <c r="J1405" s="20">
        <v>60000000</v>
      </c>
      <c r="K1405" s="19" t="s">
        <v>30</v>
      </c>
      <c r="L1405" s="19" t="s">
        <v>2</v>
      </c>
      <c r="M1405" s="21" t="s">
        <v>67</v>
      </c>
      <c r="N1405" s="20" t="s">
        <v>82</v>
      </c>
      <c r="O1405" s="19" t="s">
        <v>13</v>
      </c>
      <c r="P1405" s="10"/>
      <c r="Q1405" s="11"/>
    </row>
    <row r="1406" spans="2:17" ht="21" customHeight="1" x14ac:dyDescent="0.35">
      <c r="B1406" s="1">
        <v>43993</v>
      </c>
      <c r="C1406" s="1" t="str">
        <f>TEXT(Sales[[#This Row],[Kode Program/Kegiatan ]],"D")</f>
        <v>11</v>
      </c>
      <c r="D1406" s="2" t="str">
        <f>TEXT(Sales[[#This Row],[Kode Program/Kegiatan ]],"mmm")</f>
        <v>Jun</v>
      </c>
      <c r="E1406" s="3">
        <v>3</v>
      </c>
      <c r="F1406" s="2">
        <v>1</v>
      </c>
      <c r="G1406" s="3">
        <f>IF(Sales[[#This Row],[Anggaran Murni]]-Sales[[#This Row],[Target s.d. Januari]]=0,"",Sales[[#This Row],[Anggaran Murni]]-Sales[[#This Row],[Target s.d. Januari]])</f>
        <v>2</v>
      </c>
      <c r="H1406" s="2" t="s">
        <v>75</v>
      </c>
      <c r="I1406" s="3" t="s">
        <v>6</v>
      </c>
      <c r="J1406" s="3">
        <v>80000000</v>
      </c>
      <c r="K1406" s="2" t="s">
        <v>34</v>
      </c>
      <c r="L1406" s="2" t="s">
        <v>2</v>
      </c>
      <c r="M1406" s="4" t="s">
        <v>67</v>
      </c>
      <c r="N1406" s="3" t="s">
        <v>80</v>
      </c>
      <c r="O1406" s="2" t="s">
        <v>11</v>
      </c>
      <c r="P1406" s="10"/>
      <c r="Q1406" s="11"/>
    </row>
    <row r="1407" spans="2:17" ht="21" customHeight="1" x14ac:dyDescent="0.35">
      <c r="B1407" s="18">
        <v>43994</v>
      </c>
      <c r="C1407" s="18" t="str">
        <f>TEXT(Sales[[#This Row],[Kode Program/Kegiatan ]],"D")</f>
        <v>12</v>
      </c>
      <c r="D1407" s="19" t="str">
        <f>TEXT(Sales[[#This Row],[Kode Program/Kegiatan ]],"mmm")</f>
        <v>Jun</v>
      </c>
      <c r="E1407" s="20">
        <v>8</v>
      </c>
      <c r="F1407" s="19">
        <v>7</v>
      </c>
      <c r="G1407" s="20">
        <f>IF(Sales[[#This Row],[Anggaran Murni]]-Sales[[#This Row],[Target s.d. Januari]]=0,"",Sales[[#This Row],[Anggaran Murni]]-Sales[[#This Row],[Target s.d. Januari]])</f>
        <v>1</v>
      </c>
      <c r="H1407" s="19" t="s">
        <v>76</v>
      </c>
      <c r="I1407" s="20" t="s">
        <v>79</v>
      </c>
      <c r="J1407" s="20">
        <v>140000000</v>
      </c>
      <c r="K1407" s="19" t="s">
        <v>64</v>
      </c>
      <c r="L1407" s="19" t="s">
        <v>5</v>
      </c>
      <c r="M1407" s="21" t="s">
        <v>67</v>
      </c>
      <c r="N1407" s="20" t="s">
        <v>81</v>
      </c>
      <c r="O1407" s="19" t="s">
        <v>13</v>
      </c>
      <c r="P1407" s="10"/>
      <c r="Q1407" s="11"/>
    </row>
    <row r="1408" spans="2:17" ht="21" customHeight="1" x14ac:dyDescent="0.35">
      <c r="B1408" s="1">
        <v>43994</v>
      </c>
      <c r="C1408" s="1" t="str">
        <f>TEXT(Sales[[#This Row],[Kode Program/Kegiatan ]],"D")</f>
        <v>12</v>
      </c>
      <c r="D1408" s="2" t="str">
        <f>TEXT(Sales[[#This Row],[Kode Program/Kegiatan ]],"mmm")</f>
        <v>Jun</v>
      </c>
      <c r="E1408" s="3">
        <v>8</v>
      </c>
      <c r="F1408" s="2">
        <v>6</v>
      </c>
      <c r="G1408" s="3">
        <f>IF(Sales[[#This Row],[Anggaran Murni]]-Sales[[#This Row],[Target s.d. Januari]]=0,"",Sales[[#This Row],[Anggaran Murni]]-Sales[[#This Row],[Target s.d. Januari]])</f>
        <v>2</v>
      </c>
      <c r="H1408" s="2" t="s">
        <v>75</v>
      </c>
      <c r="I1408" s="3" t="s">
        <v>6</v>
      </c>
      <c r="J1408" s="3">
        <v>80000000</v>
      </c>
      <c r="K1408" s="2" t="s">
        <v>23</v>
      </c>
      <c r="L1408" s="2" t="s">
        <v>8</v>
      </c>
      <c r="M1408" s="4" t="s">
        <v>67</v>
      </c>
      <c r="N1408" s="3" t="s">
        <v>81</v>
      </c>
      <c r="O1408" s="2" t="s">
        <v>12</v>
      </c>
      <c r="P1408" s="10"/>
      <c r="Q1408" s="11"/>
    </row>
    <row r="1409" spans="2:17" ht="21" customHeight="1" x14ac:dyDescent="0.35">
      <c r="B1409" s="18">
        <v>43994</v>
      </c>
      <c r="C1409" s="18" t="str">
        <f>TEXT(Sales[[#This Row],[Kode Program/Kegiatan ]],"D")</f>
        <v>12</v>
      </c>
      <c r="D1409" s="19" t="str">
        <f>TEXT(Sales[[#This Row],[Kode Program/Kegiatan ]],"mmm")</f>
        <v>Jun</v>
      </c>
      <c r="E1409" s="20">
        <v>7</v>
      </c>
      <c r="F1409" s="19">
        <v>4</v>
      </c>
      <c r="G1409" s="20">
        <f>IF(Sales[[#This Row],[Anggaran Murni]]-Sales[[#This Row],[Target s.d. Januari]]=0,"",Sales[[#This Row],[Anggaran Murni]]-Sales[[#This Row],[Target s.d. Januari]])</f>
        <v>3</v>
      </c>
      <c r="H1409" s="19" t="s">
        <v>70</v>
      </c>
      <c r="I1409" s="20" t="s">
        <v>1</v>
      </c>
      <c r="J1409" s="20">
        <v>40000000</v>
      </c>
      <c r="K1409" s="19" t="s">
        <v>36</v>
      </c>
      <c r="L1409" s="19" t="s">
        <v>5</v>
      </c>
      <c r="M1409" s="21" t="s">
        <v>67</v>
      </c>
      <c r="N1409" s="20" t="s">
        <v>82</v>
      </c>
      <c r="O1409" s="19" t="s">
        <v>11</v>
      </c>
      <c r="P1409" s="10"/>
      <c r="Q1409" s="11"/>
    </row>
    <row r="1410" spans="2:17" ht="21" customHeight="1" x14ac:dyDescent="0.35">
      <c r="B1410" s="1">
        <v>43994</v>
      </c>
      <c r="C1410" s="1" t="str">
        <f>TEXT(Sales[[#This Row],[Kode Program/Kegiatan ]],"D")</f>
        <v>12</v>
      </c>
      <c r="D1410" s="2" t="str">
        <f>TEXT(Sales[[#This Row],[Kode Program/Kegiatan ]],"mmm")</f>
        <v>Jun</v>
      </c>
      <c r="E1410" s="3">
        <v>6</v>
      </c>
      <c r="F1410" s="2">
        <v>5</v>
      </c>
      <c r="G1410" s="3">
        <f>IF(Sales[[#This Row],[Anggaran Murni]]-Sales[[#This Row],[Target s.d. Januari]]=0,"",Sales[[#This Row],[Anggaran Murni]]-Sales[[#This Row],[Target s.d. Januari]])</f>
        <v>1</v>
      </c>
      <c r="H1410" s="2" t="s">
        <v>74</v>
      </c>
      <c r="I1410" s="3" t="s">
        <v>77</v>
      </c>
      <c r="J1410" s="3">
        <v>80000000</v>
      </c>
      <c r="K1410" s="2" t="s">
        <v>50</v>
      </c>
      <c r="L1410" s="2" t="s">
        <v>2</v>
      </c>
      <c r="M1410" s="4" t="s">
        <v>67</v>
      </c>
      <c r="N1410" s="3" t="s">
        <v>82</v>
      </c>
      <c r="O1410" s="2" t="s">
        <v>11</v>
      </c>
      <c r="P1410" s="10"/>
      <c r="Q1410" s="11"/>
    </row>
    <row r="1411" spans="2:17" ht="21" customHeight="1" x14ac:dyDescent="0.35">
      <c r="B1411" s="18">
        <v>43994</v>
      </c>
      <c r="C1411" s="18" t="str">
        <f>TEXT(Sales[[#This Row],[Kode Program/Kegiatan ]],"D")</f>
        <v>12</v>
      </c>
      <c r="D1411" s="19" t="str">
        <f>TEXT(Sales[[#This Row],[Kode Program/Kegiatan ]],"mmm")</f>
        <v>Jun</v>
      </c>
      <c r="E1411" s="20">
        <v>4</v>
      </c>
      <c r="F1411" s="19">
        <v>2</v>
      </c>
      <c r="G1411" s="20">
        <f>IF(Sales[[#This Row],[Anggaran Murni]]-Sales[[#This Row],[Target s.d. Januari]]=0,"",Sales[[#This Row],[Anggaran Murni]]-Sales[[#This Row],[Target s.d. Januari]])</f>
        <v>2</v>
      </c>
      <c r="H1411" s="19" t="s">
        <v>114</v>
      </c>
      <c r="I1411" s="20" t="s">
        <v>3</v>
      </c>
      <c r="J1411" s="20">
        <v>140000000</v>
      </c>
      <c r="K1411" s="19" t="s">
        <v>41</v>
      </c>
      <c r="L1411" s="19" t="s">
        <v>2</v>
      </c>
      <c r="M1411" s="21" t="s">
        <v>67</v>
      </c>
      <c r="N1411" s="20" t="s">
        <v>81</v>
      </c>
      <c r="O1411" s="19" t="s">
        <v>13</v>
      </c>
      <c r="P1411" s="10"/>
      <c r="Q1411" s="11"/>
    </row>
    <row r="1412" spans="2:17" ht="21" customHeight="1" x14ac:dyDescent="0.35">
      <c r="B1412" s="1">
        <v>43994</v>
      </c>
      <c r="C1412" s="1" t="str">
        <f>TEXT(Sales[[#This Row],[Kode Program/Kegiatan ]],"D")</f>
        <v>12</v>
      </c>
      <c r="D1412" s="2" t="str">
        <f>TEXT(Sales[[#This Row],[Kode Program/Kegiatan ]],"mmm")</f>
        <v>Jun</v>
      </c>
      <c r="E1412" s="3">
        <v>3</v>
      </c>
      <c r="F1412" s="2">
        <v>2</v>
      </c>
      <c r="G1412" s="3">
        <f>IF(Sales[[#This Row],[Anggaran Murni]]-Sales[[#This Row],[Target s.d. Januari]]=0,"",Sales[[#This Row],[Anggaran Murni]]-Sales[[#This Row],[Target s.d. Januari]])</f>
        <v>1</v>
      </c>
      <c r="H1412" s="2" t="s">
        <v>73</v>
      </c>
      <c r="I1412" s="3" t="s">
        <v>78</v>
      </c>
      <c r="J1412" s="3">
        <v>140000000</v>
      </c>
      <c r="K1412" s="2" t="s">
        <v>18</v>
      </c>
      <c r="L1412" s="2" t="s">
        <v>2</v>
      </c>
      <c r="M1412" s="4" t="s">
        <v>67</v>
      </c>
      <c r="N1412" s="3" t="s">
        <v>80</v>
      </c>
      <c r="O1412" s="2" t="s">
        <v>12</v>
      </c>
      <c r="P1412" s="10"/>
      <c r="Q1412" s="11"/>
    </row>
    <row r="1413" spans="2:17" ht="21" customHeight="1" x14ac:dyDescent="0.35">
      <c r="B1413" s="18">
        <v>43995</v>
      </c>
      <c r="C1413" s="18" t="str">
        <f>TEXT(Sales[[#This Row],[Kode Program/Kegiatan ]],"D")</f>
        <v>13</v>
      </c>
      <c r="D1413" s="19" t="str">
        <f>TEXT(Sales[[#This Row],[Kode Program/Kegiatan ]],"mmm")</f>
        <v>Jun</v>
      </c>
      <c r="E1413" s="20">
        <v>9</v>
      </c>
      <c r="F1413" s="19">
        <v>8</v>
      </c>
      <c r="G1413" s="20">
        <f>IF(Sales[[#This Row],[Anggaran Murni]]-Sales[[#This Row],[Target s.d. Januari]]=0,"",Sales[[#This Row],[Anggaran Murni]]-Sales[[#This Row],[Target s.d. Januari]])</f>
        <v>1</v>
      </c>
      <c r="H1413" s="19" t="s">
        <v>114</v>
      </c>
      <c r="I1413" s="20" t="s">
        <v>3</v>
      </c>
      <c r="J1413" s="20">
        <v>80000000</v>
      </c>
      <c r="K1413" s="19" t="s">
        <v>48</v>
      </c>
      <c r="L1413" s="19" t="s">
        <v>2</v>
      </c>
      <c r="M1413" s="21" t="s">
        <v>67</v>
      </c>
      <c r="N1413" s="20" t="s">
        <v>82</v>
      </c>
      <c r="O1413" s="19" t="s">
        <v>11</v>
      </c>
      <c r="P1413" s="10"/>
      <c r="Q1413" s="11"/>
    </row>
    <row r="1414" spans="2:17" ht="21" customHeight="1" x14ac:dyDescent="0.35">
      <c r="B1414" s="1">
        <v>43995</v>
      </c>
      <c r="C1414" s="1" t="str">
        <f>TEXT(Sales[[#This Row],[Kode Program/Kegiatan ]],"D")</f>
        <v>13</v>
      </c>
      <c r="D1414" s="2" t="str">
        <f>TEXT(Sales[[#This Row],[Kode Program/Kegiatan ]],"mmm")</f>
        <v>Jun</v>
      </c>
      <c r="E1414" s="3">
        <v>9</v>
      </c>
      <c r="F1414" s="2">
        <v>8</v>
      </c>
      <c r="G1414" s="3">
        <f>IF(Sales[[#This Row],[Anggaran Murni]]-Sales[[#This Row],[Target s.d. Januari]]=0,"",Sales[[#This Row],[Anggaran Murni]]-Sales[[#This Row],[Target s.d. Januari]])</f>
        <v>1</v>
      </c>
      <c r="H1414" s="2" t="s">
        <v>72</v>
      </c>
      <c r="I1414" s="3" t="s">
        <v>78</v>
      </c>
      <c r="J1414" s="3">
        <v>80000000</v>
      </c>
      <c r="K1414" s="2" t="s">
        <v>27</v>
      </c>
      <c r="L1414" s="2" t="s">
        <v>5</v>
      </c>
      <c r="M1414" s="4" t="s">
        <v>67</v>
      </c>
      <c r="N1414" s="3" t="s">
        <v>82</v>
      </c>
      <c r="O1414" s="2" t="s">
        <v>14</v>
      </c>
      <c r="P1414" s="10"/>
      <c r="Q1414" s="11"/>
    </row>
    <row r="1415" spans="2:17" ht="21" customHeight="1" x14ac:dyDescent="0.35">
      <c r="B1415" s="18">
        <v>43995</v>
      </c>
      <c r="C1415" s="18" t="str">
        <f>TEXT(Sales[[#This Row],[Kode Program/Kegiatan ]],"D")</f>
        <v>13</v>
      </c>
      <c r="D1415" s="19" t="str">
        <f>TEXT(Sales[[#This Row],[Kode Program/Kegiatan ]],"mmm")</f>
        <v>Jun</v>
      </c>
      <c r="E1415" s="20">
        <v>6</v>
      </c>
      <c r="F1415" s="19">
        <v>4</v>
      </c>
      <c r="G1415" s="20">
        <f>IF(Sales[[#This Row],[Anggaran Murni]]-Sales[[#This Row],[Target s.d. Januari]]=0,"",Sales[[#This Row],[Anggaran Murni]]-Sales[[#This Row],[Target s.d. Januari]])</f>
        <v>2</v>
      </c>
      <c r="H1415" s="19" t="s">
        <v>76</v>
      </c>
      <c r="I1415" s="20" t="s">
        <v>79</v>
      </c>
      <c r="J1415" s="20">
        <v>80000000</v>
      </c>
      <c r="K1415" s="19" t="s">
        <v>43</v>
      </c>
      <c r="L1415" s="19" t="s">
        <v>5</v>
      </c>
      <c r="M1415" s="21" t="s">
        <v>67</v>
      </c>
      <c r="N1415" s="20" t="s">
        <v>80</v>
      </c>
      <c r="O1415" s="19" t="s">
        <v>13</v>
      </c>
      <c r="P1415" s="10"/>
      <c r="Q1415" s="11"/>
    </row>
    <row r="1416" spans="2:17" ht="21" customHeight="1" x14ac:dyDescent="0.35">
      <c r="B1416" s="1">
        <v>43995</v>
      </c>
      <c r="C1416" s="1" t="str">
        <f>TEXT(Sales[[#This Row],[Kode Program/Kegiatan ]],"D")</f>
        <v>13</v>
      </c>
      <c r="D1416" s="2" t="str">
        <f>TEXT(Sales[[#This Row],[Kode Program/Kegiatan ]],"mmm")</f>
        <v>Jun</v>
      </c>
      <c r="E1416" s="3">
        <v>5</v>
      </c>
      <c r="F1416" s="2">
        <v>4</v>
      </c>
      <c r="G1416" s="3">
        <f>IF(Sales[[#This Row],[Anggaran Murni]]-Sales[[#This Row],[Target s.d. Januari]]=0,"",Sales[[#This Row],[Anggaran Murni]]-Sales[[#This Row],[Target s.d. Januari]])</f>
        <v>1</v>
      </c>
      <c r="H1416" s="2" t="s">
        <v>70</v>
      </c>
      <c r="I1416" s="3" t="s">
        <v>1</v>
      </c>
      <c r="J1416" s="3">
        <v>60000000</v>
      </c>
      <c r="K1416" s="2" t="s">
        <v>19</v>
      </c>
      <c r="L1416" s="2" t="s">
        <v>2</v>
      </c>
      <c r="M1416" s="4" t="s">
        <v>67</v>
      </c>
      <c r="N1416" s="3" t="s">
        <v>81</v>
      </c>
      <c r="O1416" s="2" t="s">
        <v>13</v>
      </c>
      <c r="P1416" s="10"/>
      <c r="Q1416" s="11"/>
    </row>
    <row r="1417" spans="2:17" ht="21" customHeight="1" x14ac:dyDescent="0.35">
      <c r="B1417" s="18">
        <v>43995</v>
      </c>
      <c r="C1417" s="18" t="str">
        <f>TEXT(Sales[[#This Row],[Kode Program/Kegiatan ]],"D")</f>
        <v>13</v>
      </c>
      <c r="D1417" s="19" t="str">
        <f>TEXT(Sales[[#This Row],[Kode Program/Kegiatan ]],"mmm")</f>
        <v>Jun</v>
      </c>
      <c r="E1417" s="20">
        <v>4</v>
      </c>
      <c r="F1417" s="19">
        <v>3</v>
      </c>
      <c r="G1417" s="20">
        <f>IF(Sales[[#This Row],[Anggaran Murni]]-Sales[[#This Row],[Target s.d. Januari]]=0,"",Sales[[#This Row],[Anggaran Murni]]-Sales[[#This Row],[Target s.d. Januari]])</f>
        <v>1</v>
      </c>
      <c r="H1417" s="19" t="s">
        <v>73</v>
      </c>
      <c r="I1417" s="20" t="s">
        <v>78</v>
      </c>
      <c r="J1417" s="20">
        <v>60000000</v>
      </c>
      <c r="K1417" s="19" t="s">
        <v>29</v>
      </c>
      <c r="L1417" s="19" t="s">
        <v>2</v>
      </c>
      <c r="M1417" s="21" t="s">
        <v>67</v>
      </c>
      <c r="N1417" s="20" t="s">
        <v>80</v>
      </c>
      <c r="O1417" s="19" t="s">
        <v>12</v>
      </c>
      <c r="P1417" s="10"/>
      <c r="Q1417" s="11"/>
    </row>
    <row r="1418" spans="2:17" ht="21" customHeight="1" x14ac:dyDescent="0.35">
      <c r="B1418" s="1">
        <v>43995</v>
      </c>
      <c r="C1418" s="1" t="str">
        <f>TEXT(Sales[[#This Row],[Kode Program/Kegiatan ]],"D")</f>
        <v>13</v>
      </c>
      <c r="D1418" s="2" t="str">
        <f>TEXT(Sales[[#This Row],[Kode Program/Kegiatan ]],"mmm")</f>
        <v>Jun</v>
      </c>
      <c r="E1418" s="3">
        <v>3</v>
      </c>
      <c r="F1418" s="2">
        <v>2</v>
      </c>
      <c r="G1418" s="3">
        <f>IF(Sales[[#This Row],[Anggaran Murni]]-Sales[[#This Row],[Target s.d. Januari]]=0,"",Sales[[#This Row],[Anggaran Murni]]-Sales[[#This Row],[Target s.d. Januari]])</f>
        <v>1</v>
      </c>
      <c r="H1418" s="2" t="s">
        <v>70</v>
      </c>
      <c r="I1418" s="3" t="s">
        <v>1</v>
      </c>
      <c r="J1418" s="3">
        <v>60000000</v>
      </c>
      <c r="K1418" s="2" t="s">
        <v>39</v>
      </c>
      <c r="L1418" s="2" t="s">
        <v>2</v>
      </c>
      <c r="M1418" s="4" t="s">
        <v>67</v>
      </c>
      <c r="N1418" s="3" t="s">
        <v>80</v>
      </c>
      <c r="O1418" s="2" t="s">
        <v>14</v>
      </c>
      <c r="P1418" s="10"/>
      <c r="Q1418" s="11"/>
    </row>
    <row r="1419" spans="2:17" ht="21" customHeight="1" x14ac:dyDescent="0.35">
      <c r="B1419" s="18">
        <v>43995</v>
      </c>
      <c r="C1419" s="18" t="str">
        <f>TEXT(Sales[[#This Row],[Kode Program/Kegiatan ]],"D")</f>
        <v>13</v>
      </c>
      <c r="D1419" s="19" t="str">
        <f>TEXT(Sales[[#This Row],[Kode Program/Kegiatan ]],"mmm")</f>
        <v>Jun</v>
      </c>
      <c r="E1419" s="20">
        <v>3</v>
      </c>
      <c r="F1419" s="19">
        <v>2</v>
      </c>
      <c r="G1419" s="20">
        <f>IF(Sales[[#This Row],[Anggaran Murni]]-Sales[[#This Row],[Target s.d. Januari]]=0,"",Sales[[#This Row],[Anggaran Murni]]-Sales[[#This Row],[Target s.d. Januari]])</f>
        <v>1</v>
      </c>
      <c r="H1419" s="19" t="s">
        <v>76</v>
      </c>
      <c r="I1419" s="20" t="s">
        <v>79</v>
      </c>
      <c r="J1419" s="20">
        <v>120000000</v>
      </c>
      <c r="K1419" s="19" t="s">
        <v>51</v>
      </c>
      <c r="L1419" s="19" t="s">
        <v>7</v>
      </c>
      <c r="M1419" s="21" t="s">
        <v>67</v>
      </c>
      <c r="N1419" s="20" t="s">
        <v>81</v>
      </c>
      <c r="O1419" s="19" t="s">
        <v>13</v>
      </c>
      <c r="P1419" s="10"/>
      <c r="Q1419" s="11"/>
    </row>
    <row r="1420" spans="2:17" ht="21" customHeight="1" x14ac:dyDescent="0.35">
      <c r="B1420" s="1">
        <v>43996</v>
      </c>
      <c r="C1420" s="1" t="str">
        <f>TEXT(Sales[[#This Row],[Kode Program/Kegiatan ]],"D")</f>
        <v>14</v>
      </c>
      <c r="D1420" s="2" t="str">
        <f>TEXT(Sales[[#This Row],[Kode Program/Kegiatan ]],"mmm")</f>
        <v>Jun</v>
      </c>
      <c r="E1420" s="3">
        <v>10</v>
      </c>
      <c r="F1420" s="2">
        <v>7</v>
      </c>
      <c r="G1420" s="3">
        <f>IF(Sales[[#This Row],[Anggaran Murni]]-Sales[[#This Row],[Target s.d. Januari]]=0,"",Sales[[#This Row],[Anggaran Murni]]-Sales[[#This Row],[Target s.d. Januari]])</f>
        <v>3</v>
      </c>
      <c r="H1420" s="2" t="s">
        <v>71</v>
      </c>
      <c r="I1420" s="3" t="s">
        <v>6</v>
      </c>
      <c r="J1420" s="3">
        <v>100000000</v>
      </c>
      <c r="K1420" s="2" t="s">
        <v>63</v>
      </c>
      <c r="L1420" s="2" t="s">
        <v>2</v>
      </c>
      <c r="M1420" s="4" t="s">
        <v>67</v>
      </c>
      <c r="N1420" s="3" t="s">
        <v>81</v>
      </c>
      <c r="O1420" s="2" t="s">
        <v>11</v>
      </c>
      <c r="P1420" s="10"/>
      <c r="Q1420" s="11"/>
    </row>
    <row r="1421" spans="2:17" ht="21" customHeight="1" x14ac:dyDescent="0.35">
      <c r="B1421" s="18">
        <v>43996</v>
      </c>
      <c r="C1421" s="18" t="str">
        <f>TEXT(Sales[[#This Row],[Kode Program/Kegiatan ]],"D")</f>
        <v>14</v>
      </c>
      <c r="D1421" s="19" t="str">
        <f>TEXT(Sales[[#This Row],[Kode Program/Kegiatan ]],"mmm")</f>
        <v>Jun</v>
      </c>
      <c r="E1421" s="20">
        <v>9</v>
      </c>
      <c r="F1421" s="19">
        <v>5</v>
      </c>
      <c r="G1421" s="20">
        <f>IF(Sales[[#This Row],[Anggaran Murni]]-Sales[[#This Row],[Target s.d. Januari]]=0,"",Sales[[#This Row],[Anggaran Murni]]-Sales[[#This Row],[Target s.d. Januari]])</f>
        <v>4</v>
      </c>
      <c r="H1421" s="19" t="s">
        <v>70</v>
      </c>
      <c r="I1421" s="20" t="s">
        <v>1</v>
      </c>
      <c r="J1421" s="20">
        <v>120000000</v>
      </c>
      <c r="K1421" s="19" t="s">
        <v>46</v>
      </c>
      <c r="L1421" s="19" t="s">
        <v>2</v>
      </c>
      <c r="M1421" s="21" t="s">
        <v>67</v>
      </c>
      <c r="N1421" s="20" t="s">
        <v>80</v>
      </c>
      <c r="O1421" s="19" t="s">
        <v>11</v>
      </c>
      <c r="P1421" s="10"/>
      <c r="Q1421" s="11"/>
    </row>
    <row r="1422" spans="2:17" ht="21" customHeight="1" x14ac:dyDescent="0.35">
      <c r="B1422" s="1">
        <v>43996</v>
      </c>
      <c r="C1422" s="1" t="str">
        <f>TEXT(Sales[[#This Row],[Kode Program/Kegiatan ]],"D")</f>
        <v>14</v>
      </c>
      <c r="D1422" s="2" t="str">
        <f>TEXT(Sales[[#This Row],[Kode Program/Kegiatan ]],"mmm")</f>
        <v>Jun</v>
      </c>
      <c r="E1422" s="3">
        <v>6</v>
      </c>
      <c r="F1422" s="2">
        <v>5</v>
      </c>
      <c r="G1422" s="3">
        <f>IF(Sales[[#This Row],[Anggaran Murni]]-Sales[[#This Row],[Target s.d. Januari]]=0,"",Sales[[#This Row],[Anggaran Murni]]-Sales[[#This Row],[Target s.d. Januari]])</f>
        <v>1</v>
      </c>
      <c r="H1422" s="2" t="s">
        <v>114</v>
      </c>
      <c r="I1422" s="3" t="s">
        <v>3</v>
      </c>
      <c r="J1422" s="3">
        <v>60000000</v>
      </c>
      <c r="K1422" s="2" t="s">
        <v>64</v>
      </c>
      <c r="L1422" s="2" t="s">
        <v>8</v>
      </c>
      <c r="M1422" s="4" t="s">
        <v>67</v>
      </c>
      <c r="N1422" s="3" t="s">
        <v>80</v>
      </c>
      <c r="O1422" s="2" t="s">
        <v>13</v>
      </c>
      <c r="P1422" s="10"/>
      <c r="Q1422" s="11"/>
    </row>
    <row r="1423" spans="2:17" ht="21" customHeight="1" x14ac:dyDescent="0.35">
      <c r="B1423" s="18">
        <v>43996</v>
      </c>
      <c r="C1423" s="18" t="str">
        <f>TEXT(Sales[[#This Row],[Kode Program/Kegiatan ]],"D")</f>
        <v>14</v>
      </c>
      <c r="D1423" s="19" t="str">
        <f>TEXT(Sales[[#This Row],[Kode Program/Kegiatan ]],"mmm")</f>
        <v>Jun</v>
      </c>
      <c r="E1423" s="20">
        <v>5</v>
      </c>
      <c r="F1423" s="19">
        <v>4</v>
      </c>
      <c r="G1423" s="20">
        <f>IF(Sales[[#This Row],[Anggaran Murni]]-Sales[[#This Row],[Target s.d. Januari]]=0,"",Sales[[#This Row],[Anggaran Murni]]-Sales[[#This Row],[Target s.d. Januari]])</f>
        <v>1</v>
      </c>
      <c r="H1423" s="19" t="s">
        <v>75</v>
      </c>
      <c r="I1423" s="20" t="s">
        <v>6</v>
      </c>
      <c r="J1423" s="20">
        <v>120000000</v>
      </c>
      <c r="K1423" s="19" t="s">
        <v>39</v>
      </c>
      <c r="L1423" s="19" t="s">
        <v>2</v>
      </c>
      <c r="M1423" s="21" t="s">
        <v>67</v>
      </c>
      <c r="N1423" s="20" t="s">
        <v>82</v>
      </c>
      <c r="O1423" s="19" t="s">
        <v>14</v>
      </c>
      <c r="P1423" s="10"/>
      <c r="Q1423" s="11"/>
    </row>
    <row r="1424" spans="2:17" ht="21" customHeight="1" x14ac:dyDescent="0.35">
      <c r="B1424" s="1">
        <v>43996</v>
      </c>
      <c r="C1424" s="1" t="str">
        <f>TEXT(Sales[[#This Row],[Kode Program/Kegiatan ]],"D")</f>
        <v>14</v>
      </c>
      <c r="D1424" s="2" t="str">
        <f>TEXT(Sales[[#This Row],[Kode Program/Kegiatan ]],"mmm")</f>
        <v>Jun</v>
      </c>
      <c r="E1424" s="3">
        <v>5</v>
      </c>
      <c r="F1424" s="2">
        <v>3</v>
      </c>
      <c r="G1424" s="3">
        <f>IF(Sales[[#This Row],[Anggaran Murni]]-Sales[[#This Row],[Target s.d. Januari]]=0,"",Sales[[#This Row],[Anggaran Murni]]-Sales[[#This Row],[Target s.d. Januari]])</f>
        <v>2</v>
      </c>
      <c r="H1424" s="2" t="s">
        <v>114</v>
      </c>
      <c r="I1424" s="3" t="s">
        <v>3</v>
      </c>
      <c r="J1424" s="3">
        <v>40000000</v>
      </c>
      <c r="K1424" s="2" t="s">
        <v>57</v>
      </c>
      <c r="L1424" s="2" t="s">
        <v>9</v>
      </c>
      <c r="M1424" s="4" t="s">
        <v>67</v>
      </c>
      <c r="N1424" s="3" t="s">
        <v>81</v>
      </c>
      <c r="O1424" s="2" t="s">
        <v>11</v>
      </c>
      <c r="P1424" s="10"/>
      <c r="Q1424" s="11"/>
    </row>
    <row r="1425" spans="2:17" ht="21" customHeight="1" x14ac:dyDescent="0.35">
      <c r="B1425" s="18">
        <v>43996</v>
      </c>
      <c r="C1425" s="18" t="str">
        <f>TEXT(Sales[[#This Row],[Kode Program/Kegiatan ]],"D")</f>
        <v>14</v>
      </c>
      <c r="D1425" s="19" t="str">
        <f>TEXT(Sales[[#This Row],[Kode Program/Kegiatan ]],"mmm")</f>
        <v>Jun</v>
      </c>
      <c r="E1425" s="20">
        <v>5</v>
      </c>
      <c r="F1425" s="19">
        <v>4</v>
      </c>
      <c r="G1425" s="20">
        <f>IF(Sales[[#This Row],[Anggaran Murni]]-Sales[[#This Row],[Target s.d. Januari]]=0,"",Sales[[#This Row],[Anggaran Murni]]-Sales[[#This Row],[Target s.d. Januari]])</f>
        <v>1</v>
      </c>
      <c r="H1425" s="19" t="s">
        <v>72</v>
      </c>
      <c r="I1425" s="20" t="s">
        <v>78</v>
      </c>
      <c r="J1425" s="20">
        <v>100000000</v>
      </c>
      <c r="K1425" s="19" t="s">
        <v>50</v>
      </c>
      <c r="L1425" s="19" t="s">
        <v>2</v>
      </c>
      <c r="M1425" s="21" t="s">
        <v>67</v>
      </c>
      <c r="N1425" s="20" t="s">
        <v>81</v>
      </c>
      <c r="O1425" s="19" t="s">
        <v>11</v>
      </c>
      <c r="P1425" s="10"/>
      <c r="Q1425" s="11"/>
    </row>
    <row r="1426" spans="2:17" ht="21" customHeight="1" x14ac:dyDescent="0.35">
      <c r="B1426" s="1">
        <v>43997</v>
      </c>
      <c r="C1426" s="1" t="str">
        <f>TEXT(Sales[[#This Row],[Kode Program/Kegiatan ]],"D")</f>
        <v>15</v>
      </c>
      <c r="D1426" s="2" t="str">
        <f>TEXT(Sales[[#This Row],[Kode Program/Kegiatan ]],"mmm")</f>
        <v>Jun</v>
      </c>
      <c r="E1426" s="3">
        <v>10</v>
      </c>
      <c r="F1426" s="2">
        <v>6</v>
      </c>
      <c r="G1426" s="3">
        <f>IF(Sales[[#This Row],[Anggaran Murni]]-Sales[[#This Row],[Target s.d. Januari]]=0,"",Sales[[#This Row],[Anggaran Murni]]-Sales[[#This Row],[Target s.d. Januari]])</f>
        <v>4</v>
      </c>
      <c r="H1426" s="2" t="s">
        <v>71</v>
      </c>
      <c r="I1426" s="3" t="s">
        <v>6</v>
      </c>
      <c r="J1426" s="3">
        <v>40000000</v>
      </c>
      <c r="K1426" s="2" t="s">
        <v>23</v>
      </c>
      <c r="L1426" s="2" t="s">
        <v>2</v>
      </c>
      <c r="M1426" s="4" t="s">
        <v>67</v>
      </c>
      <c r="N1426" s="3" t="s">
        <v>80</v>
      </c>
      <c r="O1426" s="2" t="s">
        <v>12</v>
      </c>
      <c r="P1426" s="10"/>
      <c r="Q1426" s="11"/>
    </row>
    <row r="1427" spans="2:17" ht="21" customHeight="1" x14ac:dyDescent="0.35">
      <c r="B1427" s="18">
        <v>43997</v>
      </c>
      <c r="C1427" s="18" t="str">
        <f>TEXT(Sales[[#This Row],[Kode Program/Kegiatan ]],"D")</f>
        <v>15</v>
      </c>
      <c r="D1427" s="19" t="str">
        <f>TEXT(Sales[[#This Row],[Kode Program/Kegiatan ]],"mmm")</f>
        <v>Jun</v>
      </c>
      <c r="E1427" s="20">
        <v>9</v>
      </c>
      <c r="F1427" s="19">
        <v>7</v>
      </c>
      <c r="G1427" s="20">
        <f>IF(Sales[[#This Row],[Anggaran Murni]]-Sales[[#This Row],[Target s.d. Januari]]=0,"",Sales[[#This Row],[Anggaran Murni]]-Sales[[#This Row],[Target s.d. Januari]])</f>
        <v>2</v>
      </c>
      <c r="H1427" s="19" t="s">
        <v>113</v>
      </c>
      <c r="I1427" s="20" t="s">
        <v>77</v>
      </c>
      <c r="J1427" s="20">
        <v>40000000</v>
      </c>
      <c r="K1427" s="19" t="s">
        <v>18</v>
      </c>
      <c r="L1427" s="19" t="s">
        <v>5</v>
      </c>
      <c r="M1427" s="21" t="s">
        <v>67</v>
      </c>
      <c r="N1427" s="20" t="s">
        <v>81</v>
      </c>
      <c r="O1427" s="19" t="s">
        <v>14</v>
      </c>
      <c r="P1427" s="10"/>
      <c r="Q1427" s="11"/>
    </row>
    <row r="1428" spans="2:17" ht="21" customHeight="1" x14ac:dyDescent="0.35">
      <c r="B1428" s="1">
        <v>43997</v>
      </c>
      <c r="C1428" s="1" t="str">
        <f>TEXT(Sales[[#This Row],[Kode Program/Kegiatan ]],"D")</f>
        <v>15</v>
      </c>
      <c r="D1428" s="2" t="str">
        <f>TEXT(Sales[[#This Row],[Kode Program/Kegiatan ]],"mmm")</f>
        <v>Jun</v>
      </c>
      <c r="E1428" s="3">
        <v>8</v>
      </c>
      <c r="F1428" s="2">
        <v>6</v>
      </c>
      <c r="G1428" s="3">
        <f>IF(Sales[[#This Row],[Anggaran Murni]]-Sales[[#This Row],[Target s.d. Januari]]=0,"",Sales[[#This Row],[Anggaran Murni]]-Sales[[#This Row],[Target s.d. Januari]])</f>
        <v>2</v>
      </c>
      <c r="H1428" s="2" t="s">
        <v>73</v>
      </c>
      <c r="I1428" s="3" t="s">
        <v>78</v>
      </c>
      <c r="J1428" s="3">
        <v>60000000</v>
      </c>
      <c r="K1428" s="2" t="s">
        <v>51</v>
      </c>
      <c r="L1428" s="2" t="s">
        <v>2</v>
      </c>
      <c r="M1428" s="4" t="s">
        <v>67</v>
      </c>
      <c r="N1428" s="3" t="s">
        <v>80</v>
      </c>
      <c r="O1428" s="2" t="s">
        <v>14</v>
      </c>
      <c r="P1428" s="10"/>
      <c r="Q1428" s="11"/>
    </row>
    <row r="1429" spans="2:17" ht="21" customHeight="1" x14ac:dyDescent="0.35">
      <c r="B1429" s="18">
        <v>43997</v>
      </c>
      <c r="C1429" s="18" t="str">
        <f>TEXT(Sales[[#This Row],[Kode Program/Kegiatan ]],"D")</f>
        <v>15</v>
      </c>
      <c r="D1429" s="19" t="str">
        <f>TEXT(Sales[[#This Row],[Kode Program/Kegiatan ]],"mmm")</f>
        <v>Jun</v>
      </c>
      <c r="E1429" s="20">
        <v>8</v>
      </c>
      <c r="F1429" s="19">
        <v>7</v>
      </c>
      <c r="G1429" s="20">
        <f>IF(Sales[[#This Row],[Anggaran Murni]]-Sales[[#This Row],[Target s.d. Januari]]=0,"",Sales[[#This Row],[Anggaran Murni]]-Sales[[#This Row],[Target s.d. Januari]])</f>
        <v>1</v>
      </c>
      <c r="H1429" s="19" t="s">
        <v>75</v>
      </c>
      <c r="I1429" s="20" t="s">
        <v>6</v>
      </c>
      <c r="J1429" s="20">
        <v>40000000</v>
      </c>
      <c r="K1429" s="19" t="s">
        <v>56</v>
      </c>
      <c r="L1429" s="19" t="s">
        <v>9</v>
      </c>
      <c r="M1429" s="21" t="s">
        <v>67</v>
      </c>
      <c r="N1429" s="20" t="s">
        <v>80</v>
      </c>
      <c r="O1429" s="19" t="s">
        <v>14</v>
      </c>
      <c r="P1429" s="10"/>
      <c r="Q1429" s="11"/>
    </row>
    <row r="1430" spans="2:17" ht="21" customHeight="1" x14ac:dyDescent="0.35">
      <c r="B1430" s="1">
        <v>43997</v>
      </c>
      <c r="C1430" s="1" t="str">
        <f>TEXT(Sales[[#This Row],[Kode Program/Kegiatan ]],"D")</f>
        <v>15</v>
      </c>
      <c r="D1430" s="2" t="str">
        <f>TEXT(Sales[[#This Row],[Kode Program/Kegiatan ]],"mmm")</f>
        <v>Jun</v>
      </c>
      <c r="E1430" s="3">
        <v>8</v>
      </c>
      <c r="F1430" s="2">
        <v>7</v>
      </c>
      <c r="G1430" s="3">
        <f>IF(Sales[[#This Row],[Anggaran Murni]]-Sales[[#This Row],[Target s.d. Januari]]=0,"",Sales[[#This Row],[Anggaran Murni]]-Sales[[#This Row],[Target s.d. Januari]])</f>
        <v>1</v>
      </c>
      <c r="H1430" s="2" t="s">
        <v>71</v>
      </c>
      <c r="I1430" s="3" t="s">
        <v>6</v>
      </c>
      <c r="J1430" s="3">
        <v>100000000</v>
      </c>
      <c r="K1430" s="2" t="s">
        <v>50</v>
      </c>
      <c r="L1430" s="2" t="s">
        <v>7</v>
      </c>
      <c r="M1430" s="4" t="s">
        <v>67</v>
      </c>
      <c r="N1430" s="3" t="s">
        <v>82</v>
      </c>
      <c r="O1430" s="2" t="s">
        <v>13</v>
      </c>
      <c r="P1430" s="10"/>
      <c r="Q1430" s="11"/>
    </row>
    <row r="1431" spans="2:17" ht="21" customHeight="1" x14ac:dyDescent="0.35">
      <c r="B1431" s="18">
        <v>43997</v>
      </c>
      <c r="C1431" s="18" t="str">
        <f>TEXT(Sales[[#This Row],[Kode Program/Kegiatan ]],"D")</f>
        <v>15</v>
      </c>
      <c r="D1431" s="19" t="str">
        <f>TEXT(Sales[[#This Row],[Kode Program/Kegiatan ]],"mmm")</f>
        <v>Jun</v>
      </c>
      <c r="E1431" s="20">
        <v>8</v>
      </c>
      <c r="F1431" s="19">
        <v>6</v>
      </c>
      <c r="G1431" s="20">
        <f>IF(Sales[[#This Row],[Anggaran Murni]]-Sales[[#This Row],[Target s.d. Januari]]=0,"",Sales[[#This Row],[Anggaran Murni]]-Sales[[#This Row],[Target s.d. Januari]])</f>
        <v>2</v>
      </c>
      <c r="H1431" s="19" t="s">
        <v>70</v>
      </c>
      <c r="I1431" s="20" t="s">
        <v>1</v>
      </c>
      <c r="J1431" s="20">
        <v>60000000</v>
      </c>
      <c r="K1431" s="19" t="s">
        <v>46</v>
      </c>
      <c r="L1431" s="19" t="s">
        <v>9</v>
      </c>
      <c r="M1431" s="21" t="s">
        <v>67</v>
      </c>
      <c r="N1431" s="20" t="s">
        <v>82</v>
      </c>
      <c r="O1431" s="19" t="s">
        <v>13</v>
      </c>
      <c r="P1431" s="10"/>
      <c r="Q1431" s="11"/>
    </row>
    <row r="1432" spans="2:17" ht="21" customHeight="1" x14ac:dyDescent="0.35">
      <c r="B1432" s="1">
        <v>43997</v>
      </c>
      <c r="C1432" s="1" t="str">
        <f>TEXT(Sales[[#This Row],[Kode Program/Kegiatan ]],"D")</f>
        <v>15</v>
      </c>
      <c r="D1432" s="2" t="str">
        <f>TEXT(Sales[[#This Row],[Kode Program/Kegiatan ]],"mmm")</f>
        <v>Jun</v>
      </c>
      <c r="E1432" s="3">
        <v>6</v>
      </c>
      <c r="F1432" s="2">
        <v>5</v>
      </c>
      <c r="G1432" s="3">
        <f>IF(Sales[[#This Row],[Anggaran Murni]]-Sales[[#This Row],[Target s.d. Januari]]=0,"",Sales[[#This Row],[Anggaran Murni]]-Sales[[#This Row],[Target s.d. Januari]])</f>
        <v>1</v>
      </c>
      <c r="H1432" s="2" t="s">
        <v>74</v>
      </c>
      <c r="I1432" s="3" t="s">
        <v>77</v>
      </c>
      <c r="J1432" s="3">
        <v>120000000</v>
      </c>
      <c r="K1432" s="2" t="s">
        <v>24</v>
      </c>
      <c r="L1432" s="2" t="s">
        <v>5</v>
      </c>
      <c r="M1432" s="4" t="s">
        <v>67</v>
      </c>
      <c r="N1432" s="3" t="s">
        <v>81</v>
      </c>
      <c r="O1432" s="2" t="s">
        <v>11</v>
      </c>
      <c r="P1432" s="10"/>
      <c r="Q1432" s="11"/>
    </row>
    <row r="1433" spans="2:17" ht="21" customHeight="1" x14ac:dyDescent="0.35">
      <c r="B1433" s="18">
        <v>43997</v>
      </c>
      <c r="C1433" s="18" t="str">
        <f>TEXT(Sales[[#This Row],[Kode Program/Kegiatan ]],"D")</f>
        <v>15</v>
      </c>
      <c r="D1433" s="19" t="str">
        <f>TEXT(Sales[[#This Row],[Kode Program/Kegiatan ]],"mmm")</f>
        <v>Jun</v>
      </c>
      <c r="E1433" s="20">
        <v>5</v>
      </c>
      <c r="F1433" s="19">
        <v>4</v>
      </c>
      <c r="G1433" s="20">
        <f>IF(Sales[[#This Row],[Anggaran Murni]]-Sales[[#This Row],[Target s.d. Januari]]=0,"",Sales[[#This Row],[Anggaran Murni]]-Sales[[#This Row],[Target s.d. Januari]])</f>
        <v>1</v>
      </c>
      <c r="H1433" s="19" t="s">
        <v>113</v>
      </c>
      <c r="I1433" s="20" t="s">
        <v>77</v>
      </c>
      <c r="J1433" s="20">
        <v>80000000</v>
      </c>
      <c r="K1433" s="19" t="s">
        <v>43</v>
      </c>
      <c r="L1433" s="19" t="s">
        <v>5</v>
      </c>
      <c r="M1433" s="21" t="s">
        <v>67</v>
      </c>
      <c r="N1433" s="20" t="s">
        <v>82</v>
      </c>
      <c r="O1433" s="19" t="s">
        <v>12</v>
      </c>
      <c r="P1433" s="10"/>
      <c r="Q1433" s="11"/>
    </row>
    <row r="1434" spans="2:17" ht="21" customHeight="1" x14ac:dyDescent="0.35">
      <c r="B1434" s="1">
        <v>43997</v>
      </c>
      <c r="C1434" s="1" t="str">
        <f>TEXT(Sales[[#This Row],[Kode Program/Kegiatan ]],"D")</f>
        <v>15</v>
      </c>
      <c r="D1434" s="2" t="str">
        <f>TEXT(Sales[[#This Row],[Kode Program/Kegiatan ]],"mmm")</f>
        <v>Jun</v>
      </c>
      <c r="E1434" s="3">
        <v>3</v>
      </c>
      <c r="F1434" s="2">
        <v>1</v>
      </c>
      <c r="G1434" s="3">
        <f>IF(Sales[[#This Row],[Anggaran Murni]]-Sales[[#This Row],[Target s.d. Januari]]=0,"",Sales[[#This Row],[Anggaran Murni]]-Sales[[#This Row],[Target s.d. Januari]])</f>
        <v>2</v>
      </c>
      <c r="H1434" s="2" t="s">
        <v>73</v>
      </c>
      <c r="I1434" s="3" t="s">
        <v>78</v>
      </c>
      <c r="J1434" s="3">
        <v>40000000</v>
      </c>
      <c r="K1434" s="2" t="s">
        <v>46</v>
      </c>
      <c r="L1434" s="2" t="s">
        <v>5</v>
      </c>
      <c r="M1434" s="4" t="s">
        <v>67</v>
      </c>
      <c r="N1434" s="3" t="s">
        <v>81</v>
      </c>
      <c r="O1434" s="2" t="s">
        <v>14</v>
      </c>
      <c r="P1434" s="10"/>
      <c r="Q1434" s="11"/>
    </row>
    <row r="1435" spans="2:17" ht="21" customHeight="1" x14ac:dyDescent="0.35">
      <c r="B1435" s="18">
        <v>43998</v>
      </c>
      <c r="C1435" s="18" t="str">
        <f>TEXT(Sales[[#This Row],[Kode Program/Kegiatan ]],"D")</f>
        <v>16</v>
      </c>
      <c r="D1435" s="19" t="str">
        <f>TEXT(Sales[[#This Row],[Kode Program/Kegiatan ]],"mmm")</f>
        <v>Jun</v>
      </c>
      <c r="E1435" s="20">
        <v>9</v>
      </c>
      <c r="F1435" s="19">
        <v>6</v>
      </c>
      <c r="G1435" s="20">
        <f>IF(Sales[[#This Row],[Anggaran Murni]]-Sales[[#This Row],[Target s.d. Januari]]=0,"",Sales[[#This Row],[Anggaran Murni]]-Sales[[#This Row],[Target s.d. Januari]])</f>
        <v>3</v>
      </c>
      <c r="H1435" s="19" t="s">
        <v>76</v>
      </c>
      <c r="I1435" s="20" t="s">
        <v>79</v>
      </c>
      <c r="J1435" s="20">
        <v>140000000</v>
      </c>
      <c r="K1435" s="19" t="s">
        <v>23</v>
      </c>
      <c r="L1435" s="19" t="s">
        <v>8</v>
      </c>
      <c r="M1435" s="21" t="s">
        <v>67</v>
      </c>
      <c r="N1435" s="20" t="s">
        <v>80</v>
      </c>
      <c r="O1435" s="19" t="s">
        <v>12</v>
      </c>
      <c r="P1435" s="10"/>
      <c r="Q1435" s="11"/>
    </row>
    <row r="1436" spans="2:17" ht="21" customHeight="1" x14ac:dyDescent="0.35">
      <c r="B1436" s="1">
        <v>43998</v>
      </c>
      <c r="C1436" s="1" t="str">
        <f>TEXT(Sales[[#This Row],[Kode Program/Kegiatan ]],"D")</f>
        <v>16</v>
      </c>
      <c r="D1436" s="2" t="str">
        <f>TEXT(Sales[[#This Row],[Kode Program/Kegiatan ]],"mmm")</f>
        <v>Jun</v>
      </c>
      <c r="E1436" s="3">
        <v>6</v>
      </c>
      <c r="F1436" s="2">
        <v>4</v>
      </c>
      <c r="G1436" s="3">
        <f>IF(Sales[[#This Row],[Anggaran Murni]]-Sales[[#This Row],[Target s.d. Januari]]=0,"",Sales[[#This Row],[Anggaran Murni]]-Sales[[#This Row],[Target s.d. Januari]])</f>
        <v>2</v>
      </c>
      <c r="H1436" s="2" t="s">
        <v>75</v>
      </c>
      <c r="I1436" s="3" t="s">
        <v>6</v>
      </c>
      <c r="J1436" s="3">
        <v>80000000</v>
      </c>
      <c r="K1436" s="2" t="s">
        <v>40</v>
      </c>
      <c r="L1436" s="2" t="s">
        <v>2</v>
      </c>
      <c r="M1436" s="4" t="s">
        <v>67</v>
      </c>
      <c r="N1436" s="3" t="s">
        <v>80</v>
      </c>
      <c r="O1436" s="2" t="s">
        <v>13</v>
      </c>
      <c r="P1436" s="10"/>
      <c r="Q1436" s="11"/>
    </row>
    <row r="1437" spans="2:17" ht="21" customHeight="1" x14ac:dyDescent="0.35">
      <c r="B1437" s="18">
        <v>43998</v>
      </c>
      <c r="C1437" s="18" t="str">
        <f>TEXT(Sales[[#This Row],[Kode Program/Kegiatan ]],"D")</f>
        <v>16</v>
      </c>
      <c r="D1437" s="19" t="str">
        <f>TEXT(Sales[[#This Row],[Kode Program/Kegiatan ]],"mmm")</f>
        <v>Jun</v>
      </c>
      <c r="E1437" s="20">
        <v>5</v>
      </c>
      <c r="F1437" s="19">
        <v>4</v>
      </c>
      <c r="G1437" s="20">
        <f>IF(Sales[[#This Row],[Anggaran Murni]]-Sales[[#This Row],[Target s.d. Januari]]=0,"",Sales[[#This Row],[Anggaran Murni]]-Sales[[#This Row],[Target s.d. Januari]])</f>
        <v>1</v>
      </c>
      <c r="H1437" s="19" t="s">
        <v>71</v>
      </c>
      <c r="I1437" s="20" t="s">
        <v>6</v>
      </c>
      <c r="J1437" s="20">
        <v>40000000</v>
      </c>
      <c r="K1437" s="19" t="s">
        <v>24</v>
      </c>
      <c r="L1437" s="19" t="s">
        <v>7</v>
      </c>
      <c r="M1437" s="21" t="s">
        <v>67</v>
      </c>
      <c r="N1437" s="20" t="s">
        <v>82</v>
      </c>
      <c r="O1437" s="19" t="s">
        <v>12</v>
      </c>
      <c r="P1437" s="10"/>
      <c r="Q1437" s="11"/>
    </row>
    <row r="1438" spans="2:17" ht="21" customHeight="1" x14ac:dyDescent="0.35">
      <c r="B1438" s="1">
        <v>43998</v>
      </c>
      <c r="C1438" s="1" t="str">
        <f>TEXT(Sales[[#This Row],[Kode Program/Kegiatan ]],"D")</f>
        <v>16</v>
      </c>
      <c r="D1438" s="2" t="str">
        <f>TEXT(Sales[[#This Row],[Kode Program/Kegiatan ]],"mmm")</f>
        <v>Jun</v>
      </c>
      <c r="E1438" s="3">
        <v>4</v>
      </c>
      <c r="F1438" s="2">
        <v>2</v>
      </c>
      <c r="G1438" s="3">
        <f>IF(Sales[[#This Row],[Anggaran Murni]]-Sales[[#This Row],[Target s.d. Januari]]=0,"",Sales[[#This Row],[Anggaran Murni]]-Sales[[#This Row],[Target s.d. Januari]])</f>
        <v>2</v>
      </c>
      <c r="H1438" s="2" t="s">
        <v>74</v>
      </c>
      <c r="I1438" s="3" t="s">
        <v>77</v>
      </c>
      <c r="J1438" s="3">
        <v>80000000</v>
      </c>
      <c r="K1438" s="2" t="s">
        <v>39</v>
      </c>
      <c r="L1438" s="2" t="s">
        <v>2</v>
      </c>
      <c r="M1438" s="4" t="s">
        <v>67</v>
      </c>
      <c r="N1438" s="3" t="s">
        <v>82</v>
      </c>
      <c r="O1438" s="2" t="s">
        <v>14</v>
      </c>
      <c r="P1438" s="10"/>
      <c r="Q1438" s="11"/>
    </row>
    <row r="1439" spans="2:17" ht="21" customHeight="1" x14ac:dyDescent="0.35">
      <c r="B1439" s="18">
        <v>43998</v>
      </c>
      <c r="C1439" s="18" t="str">
        <f>TEXT(Sales[[#This Row],[Kode Program/Kegiatan ]],"D")</f>
        <v>16</v>
      </c>
      <c r="D1439" s="19" t="str">
        <f>TEXT(Sales[[#This Row],[Kode Program/Kegiatan ]],"mmm")</f>
        <v>Jun</v>
      </c>
      <c r="E1439" s="20">
        <v>4</v>
      </c>
      <c r="F1439" s="19">
        <v>2</v>
      </c>
      <c r="G1439" s="20">
        <f>IF(Sales[[#This Row],[Anggaran Murni]]-Sales[[#This Row],[Target s.d. Januari]]=0,"",Sales[[#This Row],[Anggaran Murni]]-Sales[[#This Row],[Target s.d. Januari]])</f>
        <v>2</v>
      </c>
      <c r="H1439" s="19" t="s">
        <v>72</v>
      </c>
      <c r="I1439" s="20" t="s">
        <v>78</v>
      </c>
      <c r="J1439" s="20">
        <v>100000000</v>
      </c>
      <c r="K1439" s="19" t="s">
        <v>51</v>
      </c>
      <c r="L1439" s="19" t="s">
        <v>4</v>
      </c>
      <c r="M1439" s="21" t="s">
        <v>67</v>
      </c>
      <c r="N1439" s="20" t="s">
        <v>81</v>
      </c>
      <c r="O1439" s="19" t="s">
        <v>13</v>
      </c>
      <c r="P1439" s="10"/>
      <c r="Q1439" s="11"/>
    </row>
    <row r="1440" spans="2:17" ht="21" customHeight="1" x14ac:dyDescent="0.35">
      <c r="B1440" s="1">
        <v>43998</v>
      </c>
      <c r="C1440" s="1" t="str">
        <f>TEXT(Sales[[#This Row],[Kode Program/Kegiatan ]],"D")</f>
        <v>16</v>
      </c>
      <c r="D1440" s="2" t="str">
        <f>TEXT(Sales[[#This Row],[Kode Program/Kegiatan ]],"mmm")</f>
        <v>Jun</v>
      </c>
      <c r="E1440" s="3">
        <v>3</v>
      </c>
      <c r="F1440" s="2">
        <v>1</v>
      </c>
      <c r="G1440" s="3">
        <f>IF(Sales[[#This Row],[Anggaran Murni]]-Sales[[#This Row],[Target s.d. Januari]]=0,"",Sales[[#This Row],[Anggaran Murni]]-Sales[[#This Row],[Target s.d. Januari]])</f>
        <v>2</v>
      </c>
      <c r="H1440" s="2" t="s">
        <v>75</v>
      </c>
      <c r="I1440" s="3" t="s">
        <v>6</v>
      </c>
      <c r="J1440" s="3">
        <v>100000000</v>
      </c>
      <c r="K1440" s="2" t="s">
        <v>47</v>
      </c>
      <c r="L1440" s="2" t="s">
        <v>2</v>
      </c>
      <c r="M1440" s="4" t="s">
        <v>67</v>
      </c>
      <c r="N1440" s="3" t="s">
        <v>80</v>
      </c>
      <c r="O1440" s="2" t="s">
        <v>11</v>
      </c>
      <c r="P1440" s="10"/>
      <c r="Q1440" s="11"/>
    </row>
    <row r="1441" spans="2:17" ht="21" customHeight="1" x14ac:dyDescent="0.35">
      <c r="B1441" s="18">
        <v>43999</v>
      </c>
      <c r="C1441" s="18" t="str">
        <f>TEXT(Sales[[#This Row],[Kode Program/Kegiatan ]],"D")</f>
        <v>17</v>
      </c>
      <c r="D1441" s="19" t="str">
        <f>TEXT(Sales[[#This Row],[Kode Program/Kegiatan ]],"mmm")</f>
        <v>Jun</v>
      </c>
      <c r="E1441" s="20">
        <v>10</v>
      </c>
      <c r="F1441" s="19">
        <v>7</v>
      </c>
      <c r="G1441" s="20">
        <f>IF(Sales[[#This Row],[Anggaran Murni]]-Sales[[#This Row],[Target s.d. Januari]]=0,"",Sales[[#This Row],[Anggaran Murni]]-Sales[[#This Row],[Target s.d. Januari]])</f>
        <v>3</v>
      </c>
      <c r="H1441" s="19" t="s">
        <v>75</v>
      </c>
      <c r="I1441" s="20" t="s">
        <v>6</v>
      </c>
      <c r="J1441" s="20">
        <v>140000000</v>
      </c>
      <c r="K1441" s="19" t="s">
        <v>32</v>
      </c>
      <c r="L1441" s="19" t="s">
        <v>2</v>
      </c>
      <c r="M1441" s="21" t="s">
        <v>67</v>
      </c>
      <c r="N1441" s="20" t="s">
        <v>81</v>
      </c>
      <c r="O1441" s="19" t="s">
        <v>12</v>
      </c>
      <c r="P1441" s="10"/>
      <c r="Q1441" s="11"/>
    </row>
    <row r="1442" spans="2:17" ht="21" customHeight="1" x14ac:dyDescent="0.35">
      <c r="B1442" s="1">
        <v>43999</v>
      </c>
      <c r="C1442" s="1" t="str">
        <f>TEXT(Sales[[#This Row],[Kode Program/Kegiatan ]],"D")</f>
        <v>17</v>
      </c>
      <c r="D1442" s="2" t="str">
        <f>TEXT(Sales[[#This Row],[Kode Program/Kegiatan ]],"mmm")</f>
        <v>Jun</v>
      </c>
      <c r="E1442" s="3">
        <v>9</v>
      </c>
      <c r="F1442" s="2">
        <v>8</v>
      </c>
      <c r="G1442" s="3">
        <f>IF(Sales[[#This Row],[Anggaran Murni]]-Sales[[#This Row],[Target s.d. Januari]]=0,"",Sales[[#This Row],[Anggaran Murni]]-Sales[[#This Row],[Target s.d. Januari]])</f>
        <v>1</v>
      </c>
      <c r="H1442" s="2" t="s">
        <v>73</v>
      </c>
      <c r="I1442" s="3" t="s">
        <v>78</v>
      </c>
      <c r="J1442" s="3">
        <v>100000000</v>
      </c>
      <c r="K1442" s="2" t="s">
        <v>28</v>
      </c>
      <c r="L1442" s="2" t="s">
        <v>5</v>
      </c>
      <c r="M1442" s="4" t="s">
        <v>67</v>
      </c>
      <c r="N1442" s="3" t="s">
        <v>81</v>
      </c>
      <c r="O1442" s="2" t="s">
        <v>14</v>
      </c>
      <c r="P1442" s="10"/>
      <c r="Q1442" s="11"/>
    </row>
    <row r="1443" spans="2:17" ht="21" customHeight="1" x14ac:dyDescent="0.35">
      <c r="B1443" s="18">
        <v>43999</v>
      </c>
      <c r="C1443" s="18" t="str">
        <f>TEXT(Sales[[#This Row],[Kode Program/Kegiatan ]],"D")</f>
        <v>17</v>
      </c>
      <c r="D1443" s="19" t="str">
        <f>TEXT(Sales[[#This Row],[Kode Program/Kegiatan ]],"mmm")</f>
        <v>Jun</v>
      </c>
      <c r="E1443" s="20">
        <v>9</v>
      </c>
      <c r="F1443" s="19">
        <v>6</v>
      </c>
      <c r="G1443" s="20">
        <f>IF(Sales[[#This Row],[Anggaran Murni]]-Sales[[#This Row],[Target s.d. Januari]]=0,"",Sales[[#This Row],[Anggaran Murni]]-Sales[[#This Row],[Target s.d. Januari]])</f>
        <v>3</v>
      </c>
      <c r="H1443" s="19" t="s">
        <v>75</v>
      </c>
      <c r="I1443" s="20" t="s">
        <v>6</v>
      </c>
      <c r="J1443" s="20">
        <v>60000000</v>
      </c>
      <c r="K1443" s="19" t="s">
        <v>62</v>
      </c>
      <c r="L1443" s="19" t="s">
        <v>5</v>
      </c>
      <c r="M1443" s="21" t="s">
        <v>67</v>
      </c>
      <c r="N1443" s="20" t="s">
        <v>82</v>
      </c>
      <c r="O1443" s="19" t="s">
        <v>14</v>
      </c>
      <c r="P1443" s="10"/>
      <c r="Q1443" s="11"/>
    </row>
    <row r="1444" spans="2:17" ht="21" customHeight="1" x14ac:dyDescent="0.35">
      <c r="B1444" s="1">
        <v>43999</v>
      </c>
      <c r="C1444" s="1" t="str">
        <f>TEXT(Sales[[#This Row],[Kode Program/Kegiatan ]],"D")</f>
        <v>17</v>
      </c>
      <c r="D1444" s="2" t="str">
        <f>TEXT(Sales[[#This Row],[Kode Program/Kegiatan ]],"mmm")</f>
        <v>Jun</v>
      </c>
      <c r="E1444" s="3">
        <v>7</v>
      </c>
      <c r="F1444" s="2">
        <v>4</v>
      </c>
      <c r="G1444" s="3">
        <f>IF(Sales[[#This Row],[Anggaran Murni]]-Sales[[#This Row],[Target s.d. Januari]]=0,"",Sales[[#This Row],[Anggaran Murni]]-Sales[[#This Row],[Target s.d. Januari]])</f>
        <v>3</v>
      </c>
      <c r="H1444" s="2" t="s">
        <v>70</v>
      </c>
      <c r="I1444" s="3" t="s">
        <v>1</v>
      </c>
      <c r="J1444" s="3">
        <v>40000000</v>
      </c>
      <c r="K1444" s="2" t="s">
        <v>37</v>
      </c>
      <c r="L1444" s="2" t="s">
        <v>2</v>
      </c>
      <c r="M1444" s="4" t="s">
        <v>67</v>
      </c>
      <c r="N1444" s="3" t="s">
        <v>82</v>
      </c>
      <c r="O1444" s="2" t="s">
        <v>11</v>
      </c>
      <c r="P1444" s="10"/>
      <c r="Q1444" s="11"/>
    </row>
    <row r="1445" spans="2:17" ht="21" customHeight="1" x14ac:dyDescent="0.35">
      <c r="B1445" s="18">
        <v>43999</v>
      </c>
      <c r="C1445" s="18" t="str">
        <f>TEXT(Sales[[#This Row],[Kode Program/Kegiatan ]],"D")</f>
        <v>17</v>
      </c>
      <c r="D1445" s="19" t="str">
        <f>TEXT(Sales[[#This Row],[Kode Program/Kegiatan ]],"mmm")</f>
        <v>Jun</v>
      </c>
      <c r="E1445" s="20">
        <v>6</v>
      </c>
      <c r="F1445" s="19">
        <v>4</v>
      </c>
      <c r="G1445" s="20">
        <f>IF(Sales[[#This Row],[Anggaran Murni]]-Sales[[#This Row],[Target s.d. Januari]]=0,"",Sales[[#This Row],[Anggaran Murni]]-Sales[[#This Row],[Target s.d. Januari]])</f>
        <v>2</v>
      </c>
      <c r="H1445" s="19" t="s">
        <v>74</v>
      </c>
      <c r="I1445" s="20" t="s">
        <v>77</v>
      </c>
      <c r="J1445" s="20">
        <v>40000000</v>
      </c>
      <c r="K1445" s="19" t="s">
        <v>20</v>
      </c>
      <c r="L1445" s="19" t="s">
        <v>5</v>
      </c>
      <c r="M1445" s="21" t="s">
        <v>67</v>
      </c>
      <c r="N1445" s="20" t="s">
        <v>80</v>
      </c>
      <c r="O1445" s="19" t="s">
        <v>12</v>
      </c>
      <c r="P1445" s="10"/>
      <c r="Q1445" s="11"/>
    </row>
    <row r="1446" spans="2:17" ht="21" customHeight="1" x14ac:dyDescent="0.35">
      <c r="B1446" s="1">
        <v>43999</v>
      </c>
      <c r="C1446" s="1" t="str">
        <f>TEXT(Sales[[#This Row],[Kode Program/Kegiatan ]],"D")</f>
        <v>17</v>
      </c>
      <c r="D1446" s="2" t="str">
        <f>TEXT(Sales[[#This Row],[Kode Program/Kegiatan ]],"mmm")</f>
        <v>Jun</v>
      </c>
      <c r="E1446" s="3">
        <v>6</v>
      </c>
      <c r="F1446" s="2">
        <v>3</v>
      </c>
      <c r="G1446" s="3">
        <f>IF(Sales[[#This Row],[Anggaran Murni]]-Sales[[#This Row],[Target s.d. Januari]]=0,"",Sales[[#This Row],[Anggaran Murni]]-Sales[[#This Row],[Target s.d. Januari]])</f>
        <v>3</v>
      </c>
      <c r="H1446" s="2" t="s">
        <v>74</v>
      </c>
      <c r="I1446" s="3" t="s">
        <v>77</v>
      </c>
      <c r="J1446" s="3">
        <v>140000000</v>
      </c>
      <c r="K1446" s="2" t="s">
        <v>15</v>
      </c>
      <c r="L1446" s="2" t="s">
        <v>5</v>
      </c>
      <c r="M1446" s="4" t="s">
        <v>67</v>
      </c>
      <c r="N1446" s="3" t="s">
        <v>80</v>
      </c>
      <c r="O1446" s="2" t="s">
        <v>11</v>
      </c>
      <c r="P1446" s="10"/>
      <c r="Q1446" s="11"/>
    </row>
    <row r="1447" spans="2:17" ht="21" customHeight="1" x14ac:dyDescent="0.35">
      <c r="B1447" s="18">
        <v>43999</v>
      </c>
      <c r="C1447" s="18" t="str">
        <f>TEXT(Sales[[#This Row],[Kode Program/Kegiatan ]],"D")</f>
        <v>17</v>
      </c>
      <c r="D1447" s="19" t="str">
        <f>TEXT(Sales[[#This Row],[Kode Program/Kegiatan ]],"mmm")</f>
        <v>Jun</v>
      </c>
      <c r="E1447" s="20">
        <v>5</v>
      </c>
      <c r="F1447" s="19">
        <v>4</v>
      </c>
      <c r="G1447" s="20">
        <f>IF(Sales[[#This Row],[Anggaran Murni]]-Sales[[#This Row],[Target s.d. Januari]]=0,"",Sales[[#This Row],[Anggaran Murni]]-Sales[[#This Row],[Target s.d. Januari]])</f>
        <v>1</v>
      </c>
      <c r="H1447" s="19" t="s">
        <v>74</v>
      </c>
      <c r="I1447" s="20" t="s">
        <v>77</v>
      </c>
      <c r="J1447" s="20">
        <v>100000000</v>
      </c>
      <c r="K1447" s="19" t="s">
        <v>33</v>
      </c>
      <c r="L1447" s="19" t="s">
        <v>2</v>
      </c>
      <c r="M1447" s="21" t="s">
        <v>67</v>
      </c>
      <c r="N1447" s="20" t="s">
        <v>82</v>
      </c>
      <c r="O1447" s="19" t="s">
        <v>12</v>
      </c>
      <c r="P1447" s="10"/>
      <c r="Q1447" s="11"/>
    </row>
    <row r="1448" spans="2:17" ht="21" customHeight="1" x14ac:dyDescent="0.35">
      <c r="B1448" s="1">
        <v>43999</v>
      </c>
      <c r="C1448" s="1" t="str">
        <f>TEXT(Sales[[#This Row],[Kode Program/Kegiatan ]],"D")</f>
        <v>17</v>
      </c>
      <c r="D1448" s="2" t="str">
        <f>TEXT(Sales[[#This Row],[Kode Program/Kegiatan ]],"mmm")</f>
        <v>Jun</v>
      </c>
      <c r="E1448" s="3">
        <v>4</v>
      </c>
      <c r="F1448" s="2">
        <v>2</v>
      </c>
      <c r="G1448" s="3">
        <f>IF(Sales[[#This Row],[Anggaran Murni]]-Sales[[#This Row],[Target s.d. Januari]]=0,"",Sales[[#This Row],[Anggaran Murni]]-Sales[[#This Row],[Target s.d. Januari]])</f>
        <v>2</v>
      </c>
      <c r="H1448" s="2" t="s">
        <v>76</v>
      </c>
      <c r="I1448" s="3" t="s">
        <v>79</v>
      </c>
      <c r="J1448" s="3">
        <v>100000000</v>
      </c>
      <c r="K1448" s="2" t="s">
        <v>26</v>
      </c>
      <c r="L1448" s="2" t="s">
        <v>5</v>
      </c>
      <c r="M1448" s="4" t="s">
        <v>67</v>
      </c>
      <c r="N1448" s="3" t="s">
        <v>81</v>
      </c>
      <c r="O1448" s="2" t="s">
        <v>13</v>
      </c>
      <c r="P1448" s="10"/>
      <c r="Q1448" s="11"/>
    </row>
    <row r="1449" spans="2:17" ht="21" customHeight="1" x14ac:dyDescent="0.35">
      <c r="B1449" s="18">
        <v>43999</v>
      </c>
      <c r="C1449" s="18" t="str">
        <f>TEXT(Sales[[#This Row],[Kode Program/Kegiatan ]],"D")</f>
        <v>17</v>
      </c>
      <c r="D1449" s="19" t="str">
        <f>TEXT(Sales[[#This Row],[Kode Program/Kegiatan ]],"mmm")</f>
        <v>Jun</v>
      </c>
      <c r="E1449" s="20">
        <v>4</v>
      </c>
      <c r="F1449" s="19">
        <v>3</v>
      </c>
      <c r="G1449" s="20">
        <f>IF(Sales[[#This Row],[Anggaran Murni]]-Sales[[#This Row],[Target s.d. Januari]]=0,"",Sales[[#This Row],[Anggaran Murni]]-Sales[[#This Row],[Target s.d. Januari]])</f>
        <v>1</v>
      </c>
      <c r="H1449" s="19" t="s">
        <v>71</v>
      </c>
      <c r="I1449" s="20" t="s">
        <v>6</v>
      </c>
      <c r="J1449" s="20">
        <v>60000000</v>
      </c>
      <c r="K1449" s="19" t="s">
        <v>56</v>
      </c>
      <c r="L1449" s="19" t="s">
        <v>5</v>
      </c>
      <c r="M1449" s="21" t="s">
        <v>67</v>
      </c>
      <c r="N1449" s="20" t="s">
        <v>80</v>
      </c>
      <c r="O1449" s="19" t="s">
        <v>12</v>
      </c>
      <c r="P1449" s="10"/>
      <c r="Q1449" s="11"/>
    </row>
    <row r="1450" spans="2:17" ht="21" customHeight="1" x14ac:dyDescent="0.35">
      <c r="B1450" s="1">
        <v>43999</v>
      </c>
      <c r="C1450" s="1" t="str">
        <f>TEXT(Sales[[#This Row],[Kode Program/Kegiatan ]],"D")</f>
        <v>17</v>
      </c>
      <c r="D1450" s="2" t="str">
        <f>TEXT(Sales[[#This Row],[Kode Program/Kegiatan ]],"mmm")</f>
        <v>Jun</v>
      </c>
      <c r="E1450" s="3">
        <v>3</v>
      </c>
      <c r="F1450" s="2">
        <v>2</v>
      </c>
      <c r="G1450" s="3">
        <f>IF(Sales[[#This Row],[Anggaran Murni]]-Sales[[#This Row],[Target s.d. Januari]]=0,"",Sales[[#This Row],[Anggaran Murni]]-Sales[[#This Row],[Target s.d. Januari]])</f>
        <v>1</v>
      </c>
      <c r="H1450" s="2" t="s">
        <v>114</v>
      </c>
      <c r="I1450" s="3" t="s">
        <v>3</v>
      </c>
      <c r="J1450" s="3">
        <v>120000000</v>
      </c>
      <c r="K1450" s="2" t="s">
        <v>48</v>
      </c>
      <c r="L1450" s="2" t="s">
        <v>2</v>
      </c>
      <c r="M1450" s="4" t="s">
        <v>67</v>
      </c>
      <c r="N1450" s="3" t="s">
        <v>81</v>
      </c>
      <c r="O1450" s="2" t="s">
        <v>13</v>
      </c>
      <c r="P1450" s="10"/>
      <c r="Q1450" s="11"/>
    </row>
    <row r="1451" spans="2:17" ht="21" customHeight="1" x14ac:dyDescent="0.35">
      <c r="B1451" s="18">
        <v>44000</v>
      </c>
      <c r="C1451" s="18" t="str">
        <f>TEXT(Sales[[#This Row],[Kode Program/Kegiatan ]],"D")</f>
        <v>18</v>
      </c>
      <c r="D1451" s="19" t="str">
        <f>TEXT(Sales[[#This Row],[Kode Program/Kegiatan ]],"mmm")</f>
        <v>Jun</v>
      </c>
      <c r="E1451" s="20">
        <v>9</v>
      </c>
      <c r="F1451" s="19">
        <v>5</v>
      </c>
      <c r="G1451" s="20">
        <f>IF(Sales[[#This Row],[Anggaran Murni]]-Sales[[#This Row],[Target s.d. Januari]]=0,"",Sales[[#This Row],[Anggaran Murni]]-Sales[[#This Row],[Target s.d. Januari]])</f>
        <v>4</v>
      </c>
      <c r="H1451" s="19" t="s">
        <v>75</v>
      </c>
      <c r="I1451" s="20" t="s">
        <v>6</v>
      </c>
      <c r="J1451" s="20">
        <v>120000000</v>
      </c>
      <c r="K1451" s="19" t="s">
        <v>37</v>
      </c>
      <c r="L1451" s="19" t="s">
        <v>5</v>
      </c>
      <c r="M1451" s="21" t="s">
        <v>67</v>
      </c>
      <c r="N1451" s="20" t="s">
        <v>81</v>
      </c>
      <c r="O1451" s="19" t="s">
        <v>13</v>
      </c>
      <c r="P1451" s="10"/>
      <c r="Q1451" s="11"/>
    </row>
    <row r="1452" spans="2:17" ht="21" customHeight="1" x14ac:dyDescent="0.35">
      <c r="B1452" s="1">
        <v>44000</v>
      </c>
      <c r="C1452" s="1" t="str">
        <f>TEXT(Sales[[#This Row],[Kode Program/Kegiatan ]],"D")</f>
        <v>18</v>
      </c>
      <c r="D1452" s="2" t="str">
        <f>TEXT(Sales[[#This Row],[Kode Program/Kegiatan ]],"mmm")</f>
        <v>Jun</v>
      </c>
      <c r="E1452" s="3">
        <v>9</v>
      </c>
      <c r="F1452" s="2">
        <v>5</v>
      </c>
      <c r="G1452" s="3">
        <f>IF(Sales[[#This Row],[Anggaran Murni]]-Sales[[#This Row],[Target s.d. Januari]]=0,"",Sales[[#This Row],[Anggaran Murni]]-Sales[[#This Row],[Target s.d. Januari]])</f>
        <v>4</v>
      </c>
      <c r="H1452" s="2" t="s">
        <v>75</v>
      </c>
      <c r="I1452" s="3" t="s">
        <v>6</v>
      </c>
      <c r="J1452" s="3">
        <v>100000000</v>
      </c>
      <c r="K1452" s="2" t="s">
        <v>32</v>
      </c>
      <c r="L1452" s="2" t="s">
        <v>5</v>
      </c>
      <c r="M1452" s="4" t="s">
        <v>67</v>
      </c>
      <c r="N1452" s="3" t="s">
        <v>80</v>
      </c>
      <c r="O1452" s="2" t="s">
        <v>11</v>
      </c>
      <c r="P1452" s="10"/>
      <c r="Q1452" s="11"/>
    </row>
    <row r="1453" spans="2:17" ht="21" customHeight="1" x14ac:dyDescent="0.35">
      <c r="B1453" s="18">
        <v>44000</v>
      </c>
      <c r="C1453" s="18" t="str">
        <f>TEXT(Sales[[#This Row],[Kode Program/Kegiatan ]],"D")</f>
        <v>18</v>
      </c>
      <c r="D1453" s="19" t="str">
        <f>TEXT(Sales[[#This Row],[Kode Program/Kegiatan ]],"mmm")</f>
        <v>Jun</v>
      </c>
      <c r="E1453" s="20">
        <v>8</v>
      </c>
      <c r="F1453" s="19">
        <v>7</v>
      </c>
      <c r="G1453" s="20">
        <f>IF(Sales[[#This Row],[Anggaran Murni]]-Sales[[#This Row],[Target s.d. Januari]]=0,"",Sales[[#This Row],[Anggaran Murni]]-Sales[[#This Row],[Target s.d. Januari]])</f>
        <v>1</v>
      </c>
      <c r="H1453" s="19" t="s">
        <v>72</v>
      </c>
      <c r="I1453" s="20" t="s">
        <v>78</v>
      </c>
      <c r="J1453" s="20">
        <v>140000000</v>
      </c>
      <c r="K1453" s="19" t="s">
        <v>30</v>
      </c>
      <c r="L1453" s="19" t="s">
        <v>7</v>
      </c>
      <c r="M1453" s="21" t="s">
        <v>67</v>
      </c>
      <c r="N1453" s="20" t="s">
        <v>80</v>
      </c>
      <c r="O1453" s="19" t="s">
        <v>12</v>
      </c>
      <c r="P1453" s="10"/>
      <c r="Q1453" s="11"/>
    </row>
    <row r="1454" spans="2:17" ht="21" customHeight="1" x14ac:dyDescent="0.35">
      <c r="B1454" s="1">
        <v>44000</v>
      </c>
      <c r="C1454" s="1" t="str">
        <f>TEXT(Sales[[#This Row],[Kode Program/Kegiatan ]],"D")</f>
        <v>18</v>
      </c>
      <c r="D1454" s="2" t="str">
        <f>TEXT(Sales[[#This Row],[Kode Program/Kegiatan ]],"mmm")</f>
        <v>Jun</v>
      </c>
      <c r="E1454" s="3">
        <v>7</v>
      </c>
      <c r="F1454" s="2">
        <v>4</v>
      </c>
      <c r="G1454" s="3">
        <f>IF(Sales[[#This Row],[Anggaran Murni]]-Sales[[#This Row],[Target s.d. Januari]]=0,"",Sales[[#This Row],[Anggaran Murni]]-Sales[[#This Row],[Target s.d. Januari]])</f>
        <v>3</v>
      </c>
      <c r="H1454" s="2" t="s">
        <v>71</v>
      </c>
      <c r="I1454" s="3" t="s">
        <v>6</v>
      </c>
      <c r="J1454" s="3">
        <v>120000000</v>
      </c>
      <c r="K1454" s="2" t="s">
        <v>16</v>
      </c>
      <c r="L1454" s="2" t="s">
        <v>5</v>
      </c>
      <c r="M1454" s="4" t="s">
        <v>67</v>
      </c>
      <c r="N1454" s="3" t="s">
        <v>81</v>
      </c>
      <c r="O1454" s="2" t="s">
        <v>12</v>
      </c>
      <c r="P1454" s="10"/>
      <c r="Q1454" s="11"/>
    </row>
    <row r="1455" spans="2:17" ht="21" customHeight="1" x14ac:dyDescent="0.35">
      <c r="B1455" s="18">
        <v>44000</v>
      </c>
      <c r="C1455" s="18" t="str">
        <f>TEXT(Sales[[#This Row],[Kode Program/Kegiatan ]],"D")</f>
        <v>18</v>
      </c>
      <c r="D1455" s="19" t="str">
        <f>TEXT(Sales[[#This Row],[Kode Program/Kegiatan ]],"mmm")</f>
        <v>Jun</v>
      </c>
      <c r="E1455" s="20">
        <v>7</v>
      </c>
      <c r="F1455" s="19">
        <v>5</v>
      </c>
      <c r="G1455" s="20">
        <f>IF(Sales[[#This Row],[Anggaran Murni]]-Sales[[#This Row],[Target s.d. Januari]]=0,"",Sales[[#This Row],[Anggaran Murni]]-Sales[[#This Row],[Target s.d. Januari]])</f>
        <v>2</v>
      </c>
      <c r="H1455" s="19" t="s">
        <v>114</v>
      </c>
      <c r="I1455" s="20" t="s">
        <v>3</v>
      </c>
      <c r="J1455" s="20">
        <v>40000000</v>
      </c>
      <c r="K1455" s="19" t="s">
        <v>50</v>
      </c>
      <c r="L1455" s="19" t="s">
        <v>5</v>
      </c>
      <c r="M1455" s="21" t="s">
        <v>67</v>
      </c>
      <c r="N1455" s="20" t="s">
        <v>82</v>
      </c>
      <c r="O1455" s="19" t="s">
        <v>13</v>
      </c>
      <c r="P1455" s="10"/>
      <c r="Q1455" s="11"/>
    </row>
    <row r="1456" spans="2:17" ht="21" customHeight="1" x14ac:dyDescent="0.35">
      <c r="B1456" s="1">
        <v>44000</v>
      </c>
      <c r="C1456" s="1" t="str">
        <f>TEXT(Sales[[#This Row],[Kode Program/Kegiatan ]],"D")</f>
        <v>18</v>
      </c>
      <c r="D1456" s="2" t="str">
        <f>TEXT(Sales[[#This Row],[Kode Program/Kegiatan ]],"mmm")</f>
        <v>Jun</v>
      </c>
      <c r="E1456" s="3">
        <v>6</v>
      </c>
      <c r="F1456" s="2">
        <v>5</v>
      </c>
      <c r="G1456" s="3">
        <f>IF(Sales[[#This Row],[Anggaran Murni]]-Sales[[#This Row],[Target s.d. Januari]]=0,"",Sales[[#This Row],[Anggaran Murni]]-Sales[[#This Row],[Target s.d. Januari]])</f>
        <v>1</v>
      </c>
      <c r="H1456" s="2" t="s">
        <v>71</v>
      </c>
      <c r="I1456" s="3" t="s">
        <v>6</v>
      </c>
      <c r="J1456" s="3">
        <v>120000000</v>
      </c>
      <c r="K1456" s="2" t="s">
        <v>29</v>
      </c>
      <c r="L1456" s="2" t="s">
        <v>2</v>
      </c>
      <c r="M1456" s="4" t="s">
        <v>67</v>
      </c>
      <c r="N1456" s="3" t="s">
        <v>80</v>
      </c>
      <c r="O1456" s="2" t="s">
        <v>12</v>
      </c>
      <c r="P1456" s="10"/>
      <c r="Q1456" s="11"/>
    </row>
    <row r="1457" spans="2:17" ht="21" customHeight="1" x14ac:dyDescent="0.35">
      <c r="B1457" s="18">
        <v>44000</v>
      </c>
      <c r="C1457" s="18" t="str">
        <f>TEXT(Sales[[#This Row],[Kode Program/Kegiatan ]],"D")</f>
        <v>18</v>
      </c>
      <c r="D1457" s="19" t="str">
        <f>TEXT(Sales[[#This Row],[Kode Program/Kegiatan ]],"mmm")</f>
        <v>Jun</v>
      </c>
      <c r="E1457" s="20">
        <v>5</v>
      </c>
      <c r="F1457" s="19">
        <v>4</v>
      </c>
      <c r="G1457" s="20">
        <f>IF(Sales[[#This Row],[Anggaran Murni]]-Sales[[#This Row],[Target s.d. Januari]]=0,"",Sales[[#This Row],[Anggaran Murni]]-Sales[[#This Row],[Target s.d. Januari]])</f>
        <v>1</v>
      </c>
      <c r="H1457" s="19" t="s">
        <v>114</v>
      </c>
      <c r="I1457" s="20" t="s">
        <v>3</v>
      </c>
      <c r="J1457" s="20">
        <v>120000000</v>
      </c>
      <c r="K1457" s="19" t="s">
        <v>63</v>
      </c>
      <c r="L1457" s="19" t="s">
        <v>5</v>
      </c>
      <c r="M1457" s="21" t="s">
        <v>67</v>
      </c>
      <c r="N1457" s="20" t="s">
        <v>81</v>
      </c>
      <c r="O1457" s="19" t="s">
        <v>11</v>
      </c>
      <c r="P1457" s="10"/>
      <c r="Q1457" s="11"/>
    </row>
    <row r="1458" spans="2:17" ht="21" customHeight="1" x14ac:dyDescent="0.35">
      <c r="B1458" s="1">
        <v>44000</v>
      </c>
      <c r="C1458" s="1" t="str">
        <f>TEXT(Sales[[#This Row],[Kode Program/Kegiatan ]],"D")</f>
        <v>18</v>
      </c>
      <c r="D1458" s="2" t="str">
        <f>TEXT(Sales[[#This Row],[Kode Program/Kegiatan ]],"mmm")</f>
        <v>Jun</v>
      </c>
      <c r="E1458" s="3">
        <v>3</v>
      </c>
      <c r="F1458" s="2">
        <v>2</v>
      </c>
      <c r="G1458" s="3">
        <f>IF(Sales[[#This Row],[Anggaran Murni]]-Sales[[#This Row],[Target s.d. Januari]]=0,"",Sales[[#This Row],[Anggaran Murni]]-Sales[[#This Row],[Target s.d. Januari]])</f>
        <v>1</v>
      </c>
      <c r="H1458" s="2" t="s">
        <v>70</v>
      </c>
      <c r="I1458" s="3" t="s">
        <v>1</v>
      </c>
      <c r="J1458" s="3">
        <v>60000000</v>
      </c>
      <c r="K1458" s="2" t="s">
        <v>62</v>
      </c>
      <c r="L1458" s="2" t="s">
        <v>5</v>
      </c>
      <c r="M1458" s="4" t="s">
        <v>67</v>
      </c>
      <c r="N1458" s="3" t="s">
        <v>81</v>
      </c>
      <c r="O1458" s="2" t="s">
        <v>11</v>
      </c>
      <c r="P1458" s="10"/>
      <c r="Q1458" s="11"/>
    </row>
    <row r="1459" spans="2:17" ht="21" customHeight="1" x14ac:dyDescent="0.35">
      <c r="B1459" s="18">
        <v>44000</v>
      </c>
      <c r="C1459" s="18" t="str">
        <f>TEXT(Sales[[#This Row],[Kode Program/Kegiatan ]],"D")</f>
        <v>18</v>
      </c>
      <c r="D1459" s="19" t="str">
        <f>TEXT(Sales[[#This Row],[Kode Program/Kegiatan ]],"mmm")</f>
        <v>Jun</v>
      </c>
      <c r="E1459" s="20">
        <v>3</v>
      </c>
      <c r="F1459" s="19">
        <v>1</v>
      </c>
      <c r="G1459" s="20">
        <f>IF(Sales[[#This Row],[Anggaran Murni]]-Sales[[#This Row],[Target s.d. Januari]]=0,"",Sales[[#This Row],[Anggaran Murni]]-Sales[[#This Row],[Target s.d. Januari]])</f>
        <v>2</v>
      </c>
      <c r="H1459" s="19" t="s">
        <v>75</v>
      </c>
      <c r="I1459" s="20" t="s">
        <v>6</v>
      </c>
      <c r="J1459" s="20">
        <v>100000000</v>
      </c>
      <c r="K1459" s="19" t="s">
        <v>63</v>
      </c>
      <c r="L1459" s="19" t="s">
        <v>7</v>
      </c>
      <c r="M1459" s="21" t="s">
        <v>67</v>
      </c>
      <c r="N1459" s="20" t="s">
        <v>82</v>
      </c>
      <c r="O1459" s="19" t="s">
        <v>11</v>
      </c>
      <c r="P1459" s="10"/>
      <c r="Q1459" s="11"/>
    </row>
    <row r="1460" spans="2:17" ht="21" customHeight="1" x14ac:dyDescent="0.35">
      <c r="B1460" s="1">
        <v>44001</v>
      </c>
      <c r="C1460" s="1" t="str">
        <f>TEXT(Sales[[#This Row],[Kode Program/Kegiatan ]],"D")</f>
        <v>19</v>
      </c>
      <c r="D1460" s="2" t="str">
        <f>TEXT(Sales[[#This Row],[Kode Program/Kegiatan ]],"mmm")</f>
        <v>Jun</v>
      </c>
      <c r="E1460" s="3">
        <v>8</v>
      </c>
      <c r="F1460" s="2">
        <v>4</v>
      </c>
      <c r="G1460" s="3">
        <f>IF(Sales[[#This Row],[Anggaran Murni]]-Sales[[#This Row],[Target s.d. Januari]]=0,"",Sales[[#This Row],[Anggaran Murni]]-Sales[[#This Row],[Target s.d. Januari]])</f>
        <v>4</v>
      </c>
      <c r="H1460" s="2" t="s">
        <v>74</v>
      </c>
      <c r="I1460" s="3" t="s">
        <v>77</v>
      </c>
      <c r="J1460" s="3">
        <v>80000000</v>
      </c>
      <c r="K1460" s="2" t="s">
        <v>55</v>
      </c>
      <c r="L1460" s="2" t="s">
        <v>8</v>
      </c>
      <c r="M1460" s="4" t="s">
        <v>67</v>
      </c>
      <c r="N1460" s="3" t="s">
        <v>80</v>
      </c>
      <c r="O1460" s="2" t="s">
        <v>11</v>
      </c>
      <c r="P1460" s="10"/>
      <c r="Q1460" s="11"/>
    </row>
    <row r="1461" spans="2:17" ht="21" customHeight="1" x14ac:dyDescent="0.35">
      <c r="B1461" s="18">
        <v>44001</v>
      </c>
      <c r="C1461" s="18" t="str">
        <f>TEXT(Sales[[#This Row],[Kode Program/Kegiatan ]],"D")</f>
        <v>19</v>
      </c>
      <c r="D1461" s="19" t="str">
        <f>TEXT(Sales[[#This Row],[Kode Program/Kegiatan ]],"mmm")</f>
        <v>Jun</v>
      </c>
      <c r="E1461" s="20">
        <v>7</v>
      </c>
      <c r="F1461" s="19">
        <v>6</v>
      </c>
      <c r="G1461" s="20">
        <f>IF(Sales[[#This Row],[Anggaran Murni]]-Sales[[#This Row],[Target s.d. Januari]]=0,"",Sales[[#This Row],[Anggaran Murni]]-Sales[[#This Row],[Target s.d. Januari]])</f>
        <v>1</v>
      </c>
      <c r="H1461" s="19" t="s">
        <v>74</v>
      </c>
      <c r="I1461" s="20" t="s">
        <v>77</v>
      </c>
      <c r="J1461" s="20">
        <v>140000000</v>
      </c>
      <c r="K1461" s="19" t="s">
        <v>63</v>
      </c>
      <c r="L1461" s="19" t="s">
        <v>2</v>
      </c>
      <c r="M1461" s="21" t="s">
        <v>67</v>
      </c>
      <c r="N1461" s="20" t="s">
        <v>82</v>
      </c>
      <c r="O1461" s="19" t="s">
        <v>14</v>
      </c>
      <c r="P1461" s="10"/>
      <c r="Q1461" s="11"/>
    </row>
    <row r="1462" spans="2:17" ht="21" customHeight="1" x14ac:dyDescent="0.35">
      <c r="B1462" s="1">
        <v>44001</v>
      </c>
      <c r="C1462" s="1" t="str">
        <f>TEXT(Sales[[#This Row],[Kode Program/Kegiatan ]],"D")</f>
        <v>19</v>
      </c>
      <c r="D1462" s="2" t="str">
        <f>TEXT(Sales[[#This Row],[Kode Program/Kegiatan ]],"mmm")</f>
        <v>Jun</v>
      </c>
      <c r="E1462" s="3">
        <v>6</v>
      </c>
      <c r="F1462" s="2">
        <v>3</v>
      </c>
      <c r="G1462" s="3">
        <f>IF(Sales[[#This Row],[Anggaran Murni]]-Sales[[#This Row],[Target s.d. Januari]]=0,"",Sales[[#This Row],[Anggaran Murni]]-Sales[[#This Row],[Target s.d. Januari]])</f>
        <v>3</v>
      </c>
      <c r="H1462" s="2" t="s">
        <v>72</v>
      </c>
      <c r="I1462" s="3" t="s">
        <v>78</v>
      </c>
      <c r="J1462" s="3">
        <v>40000000</v>
      </c>
      <c r="K1462" s="2" t="s">
        <v>40</v>
      </c>
      <c r="L1462" s="2" t="s">
        <v>4</v>
      </c>
      <c r="M1462" s="4" t="s">
        <v>67</v>
      </c>
      <c r="N1462" s="3" t="s">
        <v>81</v>
      </c>
      <c r="O1462" s="2" t="s">
        <v>12</v>
      </c>
      <c r="P1462" s="10"/>
      <c r="Q1462" s="11"/>
    </row>
    <row r="1463" spans="2:17" ht="21" customHeight="1" x14ac:dyDescent="0.35">
      <c r="B1463" s="18">
        <v>44001</v>
      </c>
      <c r="C1463" s="18" t="str">
        <f>TEXT(Sales[[#This Row],[Kode Program/Kegiatan ]],"D")</f>
        <v>19</v>
      </c>
      <c r="D1463" s="19" t="str">
        <f>TEXT(Sales[[#This Row],[Kode Program/Kegiatan ]],"mmm")</f>
        <v>Jun</v>
      </c>
      <c r="E1463" s="20">
        <v>5</v>
      </c>
      <c r="F1463" s="19">
        <v>3</v>
      </c>
      <c r="G1463" s="20">
        <f>IF(Sales[[#This Row],[Anggaran Murni]]-Sales[[#This Row],[Target s.d. Januari]]=0,"",Sales[[#This Row],[Anggaran Murni]]-Sales[[#This Row],[Target s.d. Januari]])</f>
        <v>2</v>
      </c>
      <c r="H1463" s="19" t="s">
        <v>113</v>
      </c>
      <c r="I1463" s="20" t="s">
        <v>77</v>
      </c>
      <c r="J1463" s="20">
        <v>140000000</v>
      </c>
      <c r="K1463" s="19" t="s">
        <v>46</v>
      </c>
      <c r="L1463" s="19" t="s">
        <v>5</v>
      </c>
      <c r="M1463" s="21" t="s">
        <v>67</v>
      </c>
      <c r="N1463" s="20" t="s">
        <v>80</v>
      </c>
      <c r="O1463" s="19" t="s">
        <v>11</v>
      </c>
      <c r="P1463" s="10"/>
      <c r="Q1463" s="11"/>
    </row>
    <row r="1464" spans="2:17" ht="21" customHeight="1" x14ac:dyDescent="0.35">
      <c r="B1464" s="1">
        <v>44001</v>
      </c>
      <c r="C1464" s="1" t="str">
        <f>TEXT(Sales[[#This Row],[Kode Program/Kegiatan ]],"D")</f>
        <v>19</v>
      </c>
      <c r="D1464" s="2" t="str">
        <f>TEXT(Sales[[#This Row],[Kode Program/Kegiatan ]],"mmm")</f>
        <v>Jun</v>
      </c>
      <c r="E1464" s="3">
        <v>5</v>
      </c>
      <c r="F1464" s="2">
        <v>4</v>
      </c>
      <c r="G1464" s="3">
        <f>IF(Sales[[#This Row],[Anggaran Murni]]-Sales[[#This Row],[Target s.d. Januari]]=0,"",Sales[[#This Row],[Anggaran Murni]]-Sales[[#This Row],[Target s.d. Januari]])</f>
        <v>1</v>
      </c>
      <c r="H1464" s="2" t="s">
        <v>76</v>
      </c>
      <c r="I1464" s="3" t="s">
        <v>79</v>
      </c>
      <c r="J1464" s="3">
        <v>80000000</v>
      </c>
      <c r="K1464" s="2" t="s">
        <v>17</v>
      </c>
      <c r="L1464" s="2" t="s">
        <v>4</v>
      </c>
      <c r="M1464" s="4" t="s">
        <v>67</v>
      </c>
      <c r="N1464" s="3" t="s">
        <v>82</v>
      </c>
      <c r="O1464" s="2" t="s">
        <v>11</v>
      </c>
      <c r="P1464" s="10"/>
      <c r="Q1464" s="11"/>
    </row>
    <row r="1465" spans="2:17" ht="21" customHeight="1" x14ac:dyDescent="0.35">
      <c r="B1465" s="18">
        <v>44001</v>
      </c>
      <c r="C1465" s="18" t="str">
        <f>TEXT(Sales[[#This Row],[Kode Program/Kegiatan ]],"D")</f>
        <v>19</v>
      </c>
      <c r="D1465" s="19" t="str">
        <f>TEXT(Sales[[#This Row],[Kode Program/Kegiatan ]],"mmm")</f>
        <v>Jun</v>
      </c>
      <c r="E1465" s="20">
        <v>4</v>
      </c>
      <c r="F1465" s="19">
        <v>3</v>
      </c>
      <c r="G1465" s="20">
        <f>IF(Sales[[#This Row],[Anggaran Murni]]-Sales[[#This Row],[Target s.d. Januari]]=0,"",Sales[[#This Row],[Anggaran Murni]]-Sales[[#This Row],[Target s.d. Januari]])</f>
        <v>1</v>
      </c>
      <c r="H1465" s="19" t="s">
        <v>70</v>
      </c>
      <c r="I1465" s="20" t="s">
        <v>1</v>
      </c>
      <c r="J1465" s="20">
        <v>60000000</v>
      </c>
      <c r="K1465" s="19" t="s">
        <v>51</v>
      </c>
      <c r="L1465" s="19" t="s">
        <v>7</v>
      </c>
      <c r="M1465" s="21" t="s">
        <v>67</v>
      </c>
      <c r="N1465" s="20" t="s">
        <v>81</v>
      </c>
      <c r="O1465" s="19" t="s">
        <v>12</v>
      </c>
      <c r="P1465" s="10"/>
      <c r="Q1465" s="11"/>
    </row>
    <row r="1466" spans="2:17" ht="21" customHeight="1" x14ac:dyDescent="0.35">
      <c r="B1466" s="1">
        <v>44001</v>
      </c>
      <c r="C1466" s="1" t="str">
        <f>TEXT(Sales[[#This Row],[Kode Program/Kegiatan ]],"D")</f>
        <v>19</v>
      </c>
      <c r="D1466" s="2" t="str">
        <f>TEXT(Sales[[#This Row],[Kode Program/Kegiatan ]],"mmm")</f>
        <v>Jun</v>
      </c>
      <c r="E1466" s="3">
        <v>3</v>
      </c>
      <c r="F1466" s="2">
        <v>1</v>
      </c>
      <c r="G1466" s="3">
        <f>IF(Sales[[#This Row],[Anggaran Murni]]-Sales[[#This Row],[Target s.d. Januari]]=0,"",Sales[[#This Row],[Anggaran Murni]]-Sales[[#This Row],[Target s.d. Januari]])</f>
        <v>2</v>
      </c>
      <c r="H1466" s="2" t="s">
        <v>75</v>
      </c>
      <c r="I1466" s="3" t="s">
        <v>6</v>
      </c>
      <c r="J1466" s="3">
        <v>80000000</v>
      </c>
      <c r="K1466" s="2" t="s">
        <v>38</v>
      </c>
      <c r="L1466" s="2" t="s">
        <v>2</v>
      </c>
      <c r="M1466" s="4" t="s">
        <v>67</v>
      </c>
      <c r="N1466" s="3" t="s">
        <v>80</v>
      </c>
      <c r="O1466" s="2" t="s">
        <v>11</v>
      </c>
      <c r="P1466" s="10"/>
      <c r="Q1466" s="11"/>
    </row>
    <row r="1467" spans="2:17" ht="21" customHeight="1" x14ac:dyDescent="0.35">
      <c r="B1467" s="18">
        <v>44002</v>
      </c>
      <c r="C1467" s="18" t="str">
        <f>TEXT(Sales[[#This Row],[Kode Program/Kegiatan ]],"D")</f>
        <v>20</v>
      </c>
      <c r="D1467" s="19" t="str">
        <f>TEXT(Sales[[#This Row],[Kode Program/Kegiatan ]],"mmm")</f>
        <v>Jun</v>
      </c>
      <c r="E1467" s="20">
        <v>10</v>
      </c>
      <c r="F1467" s="19">
        <v>10</v>
      </c>
      <c r="G1467" s="20" t="str">
        <f>IF(Sales[[#This Row],[Anggaran Murni]]-Sales[[#This Row],[Target s.d. Januari]]=0,"",Sales[[#This Row],[Anggaran Murni]]-Sales[[#This Row],[Target s.d. Januari]])</f>
        <v/>
      </c>
      <c r="H1467" s="19" t="s">
        <v>74</v>
      </c>
      <c r="I1467" s="20" t="s">
        <v>77</v>
      </c>
      <c r="J1467" s="20">
        <v>60000000</v>
      </c>
      <c r="K1467" s="19" t="s">
        <v>52</v>
      </c>
      <c r="L1467" s="19" t="s">
        <v>9</v>
      </c>
      <c r="M1467" s="21" t="s">
        <v>67</v>
      </c>
      <c r="N1467" s="20" t="s">
        <v>82</v>
      </c>
      <c r="O1467" s="19" t="s">
        <v>12</v>
      </c>
      <c r="P1467" s="10"/>
      <c r="Q1467" s="11"/>
    </row>
    <row r="1468" spans="2:17" ht="21" customHeight="1" x14ac:dyDescent="0.35">
      <c r="B1468" s="1">
        <v>44002</v>
      </c>
      <c r="C1468" s="1" t="str">
        <f>TEXT(Sales[[#This Row],[Kode Program/Kegiatan ]],"D")</f>
        <v>20</v>
      </c>
      <c r="D1468" s="2" t="str">
        <f>TEXT(Sales[[#This Row],[Kode Program/Kegiatan ]],"mmm")</f>
        <v>Jun</v>
      </c>
      <c r="E1468" s="3">
        <v>9</v>
      </c>
      <c r="F1468" s="2">
        <v>9</v>
      </c>
      <c r="G1468" s="3" t="str">
        <f>IF(Sales[[#This Row],[Anggaran Murni]]-Sales[[#This Row],[Target s.d. Januari]]=0,"",Sales[[#This Row],[Anggaran Murni]]-Sales[[#This Row],[Target s.d. Januari]])</f>
        <v/>
      </c>
      <c r="H1468" s="2" t="s">
        <v>71</v>
      </c>
      <c r="I1468" s="3" t="s">
        <v>6</v>
      </c>
      <c r="J1468" s="3">
        <v>140000000</v>
      </c>
      <c r="K1468" s="2" t="s">
        <v>58</v>
      </c>
      <c r="L1468" s="2" t="s">
        <v>7</v>
      </c>
      <c r="M1468" s="4" t="s">
        <v>67</v>
      </c>
      <c r="N1468" s="3" t="s">
        <v>81</v>
      </c>
      <c r="O1468" s="2" t="s">
        <v>12</v>
      </c>
      <c r="P1468" s="10"/>
      <c r="Q1468" s="11"/>
    </row>
    <row r="1469" spans="2:17" ht="21" customHeight="1" x14ac:dyDescent="0.35">
      <c r="B1469" s="18">
        <v>44002</v>
      </c>
      <c r="C1469" s="18" t="str">
        <f>TEXT(Sales[[#This Row],[Kode Program/Kegiatan ]],"D")</f>
        <v>20</v>
      </c>
      <c r="D1469" s="19" t="str">
        <f>TEXT(Sales[[#This Row],[Kode Program/Kegiatan ]],"mmm")</f>
        <v>Jun</v>
      </c>
      <c r="E1469" s="20">
        <v>9</v>
      </c>
      <c r="F1469" s="19">
        <v>9</v>
      </c>
      <c r="G1469" s="20" t="str">
        <f>IF(Sales[[#This Row],[Anggaran Murni]]-Sales[[#This Row],[Target s.d. Januari]]=0,"",Sales[[#This Row],[Anggaran Murni]]-Sales[[#This Row],[Target s.d. Januari]])</f>
        <v/>
      </c>
      <c r="H1469" s="19" t="s">
        <v>74</v>
      </c>
      <c r="I1469" s="20" t="s">
        <v>77</v>
      </c>
      <c r="J1469" s="20">
        <v>100000000</v>
      </c>
      <c r="K1469" s="19" t="s">
        <v>51</v>
      </c>
      <c r="L1469" s="19" t="s">
        <v>2</v>
      </c>
      <c r="M1469" s="21" t="s">
        <v>67</v>
      </c>
      <c r="N1469" s="20" t="s">
        <v>81</v>
      </c>
      <c r="O1469" s="19" t="s">
        <v>13</v>
      </c>
      <c r="P1469" s="10"/>
      <c r="Q1469" s="11"/>
    </row>
    <row r="1470" spans="2:17" ht="21" customHeight="1" x14ac:dyDescent="0.35">
      <c r="B1470" s="1">
        <v>44002</v>
      </c>
      <c r="C1470" s="1" t="str">
        <f>TEXT(Sales[[#This Row],[Kode Program/Kegiatan ]],"D")</f>
        <v>20</v>
      </c>
      <c r="D1470" s="2" t="str">
        <f>TEXT(Sales[[#This Row],[Kode Program/Kegiatan ]],"mmm")</f>
        <v>Jun</v>
      </c>
      <c r="E1470" s="3">
        <v>6</v>
      </c>
      <c r="F1470" s="2">
        <v>6</v>
      </c>
      <c r="G1470" s="3" t="str">
        <f>IF(Sales[[#This Row],[Anggaran Murni]]-Sales[[#This Row],[Target s.d. Januari]]=0,"",Sales[[#This Row],[Anggaran Murni]]-Sales[[#This Row],[Target s.d. Januari]])</f>
        <v/>
      </c>
      <c r="H1470" s="2" t="s">
        <v>74</v>
      </c>
      <c r="I1470" s="3" t="s">
        <v>77</v>
      </c>
      <c r="J1470" s="3">
        <v>60000000</v>
      </c>
      <c r="K1470" s="2" t="s">
        <v>18</v>
      </c>
      <c r="L1470" s="2" t="s">
        <v>5</v>
      </c>
      <c r="M1470" s="4" t="s">
        <v>67</v>
      </c>
      <c r="N1470" s="3" t="s">
        <v>81</v>
      </c>
      <c r="O1470" s="2" t="s">
        <v>12</v>
      </c>
      <c r="P1470" s="10"/>
      <c r="Q1470" s="11"/>
    </row>
    <row r="1471" spans="2:17" ht="21" customHeight="1" x14ac:dyDescent="0.35">
      <c r="B1471" s="18">
        <v>44002</v>
      </c>
      <c r="C1471" s="18" t="str">
        <f>TEXT(Sales[[#This Row],[Kode Program/Kegiatan ]],"D")</f>
        <v>20</v>
      </c>
      <c r="D1471" s="19" t="str">
        <f>TEXT(Sales[[#This Row],[Kode Program/Kegiatan ]],"mmm")</f>
        <v>Jun</v>
      </c>
      <c r="E1471" s="20">
        <v>6</v>
      </c>
      <c r="F1471" s="19">
        <v>6</v>
      </c>
      <c r="G1471" s="20" t="str">
        <f>IF(Sales[[#This Row],[Anggaran Murni]]-Sales[[#This Row],[Target s.d. Januari]]=0,"",Sales[[#This Row],[Anggaran Murni]]-Sales[[#This Row],[Target s.d. Januari]])</f>
        <v/>
      </c>
      <c r="H1471" s="19" t="s">
        <v>74</v>
      </c>
      <c r="I1471" s="20" t="s">
        <v>77</v>
      </c>
      <c r="J1471" s="20">
        <v>120000000</v>
      </c>
      <c r="K1471" s="19" t="s">
        <v>21</v>
      </c>
      <c r="L1471" s="19" t="s">
        <v>7</v>
      </c>
      <c r="M1471" s="21" t="s">
        <v>67</v>
      </c>
      <c r="N1471" s="20" t="s">
        <v>81</v>
      </c>
      <c r="O1471" s="19" t="s">
        <v>12</v>
      </c>
      <c r="P1471" s="10"/>
      <c r="Q1471" s="11"/>
    </row>
    <row r="1472" spans="2:17" ht="21" customHeight="1" x14ac:dyDescent="0.35">
      <c r="B1472" s="1">
        <v>44002</v>
      </c>
      <c r="C1472" s="1" t="str">
        <f>TEXT(Sales[[#This Row],[Kode Program/Kegiatan ]],"D")</f>
        <v>20</v>
      </c>
      <c r="D1472" s="2" t="str">
        <f>TEXT(Sales[[#This Row],[Kode Program/Kegiatan ]],"mmm")</f>
        <v>Jun</v>
      </c>
      <c r="E1472" s="3">
        <v>5</v>
      </c>
      <c r="F1472" s="2">
        <v>5</v>
      </c>
      <c r="G1472" s="3" t="str">
        <f>IF(Sales[[#This Row],[Anggaran Murni]]-Sales[[#This Row],[Target s.d. Januari]]=0,"",Sales[[#This Row],[Anggaran Murni]]-Sales[[#This Row],[Target s.d. Januari]])</f>
        <v/>
      </c>
      <c r="H1472" s="2" t="s">
        <v>74</v>
      </c>
      <c r="I1472" s="3" t="s">
        <v>77</v>
      </c>
      <c r="J1472" s="3">
        <v>100000000</v>
      </c>
      <c r="K1472" s="2" t="s">
        <v>59</v>
      </c>
      <c r="L1472" s="2" t="s">
        <v>9</v>
      </c>
      <c r="M1472" s="4" t="s">
        <v>67</v>
      </c>
      <c r="N1472" s="3" t="s">
        <v>81</v>
      </c>
      <c r="O1472" s="2" t="s">
        <v>13</v>
      </c>
      <c r="P1472" s="10"/>
      <c r="Q1472" s="11"/>
    </row>
    <row r="1473" spans="2:17" ht="21" customHeight="1" x14ac:dyDescent="0.35">
      <c r="B1473" s="18">
        <v>44002</v>
      </c>
      <c r="C1473" s="18" t="str">
        <f>TEXT(Sales[[#This Row],[Kode Program/Kegiatan ]],"D")</f>
        <v>20</v>
      </c>
      <c r="D1473" s="19" t="str">
        <f>TEXT(Sales[[#This Row],[Kode Program/Kegiatan ]],"mmm")</f>
        <v>Jun</v>
      </c>
      <c r="E1473" s="20">
        <v>5</v>
      </c>
      <c r="F1473" s="19">
        <v>5</v>
      </c>
      <c r="G1473" s="20" t="str">
        <f>IF(Sales[[#This Row],[Anggaran Murni]]-Sales[[#This Row],[Target s.d. Januari]]=0,"",Sales[[#This Row],[Anggaran Murni]]-Sales[[#This Row],[Target s.d. Januari]])</f>
        <v/>
      </c>
      <c r="H1473" s="19" t="s">
        <v>70</v>
      </c>
      <c r="I1473" s="20" t="s">
        <v>1</v>
      </c>
      <c r="J1473" s="20">
        <v>140000000</v>
      </c>
      <c r="K1473" s="19" t="s">
        <v>53</v>
      </c>
      <c r="L1473" s="19" t="s">
        <v>5</v>
      </c>
      <c r="M1473" s="21" t="s">
        <v>67</v>
      </c>
      <c r="N1473" s="20" t="s">
        <v>80</v>
      </c>
      <c r="O1473" s="19" t="s">
        <v>11</v>
      </c>
      <c r="P1473" s="10"/>
      <c r="Q1473" s="11"/>
    </row>
    <row r="1474" spans="2:17" ht="21" customHeight="1" x14ac:dyDescent="0.35">
      <c r="B1474" s="1">
        <v>44002</v>
      </c>
      <c r="C1474" s="1" t="str">
        <f>TEXT(Sales[[#This Row],[Kode Program/Kegiatan ]],"D")</f>
        <v>20</v>
      </c>
      <c r="D1474" s="2" t="str">
        <f>TEXT(Sales[[#This Row],[Kode Program/Kegiatan ]],"mmm")</f>
        <v>Jun</v>
      </c>
      <c r="E1474" s="3">
        <v>4</v>
      </c>
      <c r="F1474" s="2">
        <v>4</v>
      </c>
      <c r="G1474" s="3" t="str">
        <f>IF(Sales[[#This Row],[Anggaran Murni]]-Sales[[#This Row],[Target s.d. Januari]]=0,"",Sales[[#This Row],[Anggaran Murni]]-Sales[[#This Row],[Target s.d. Januari]])</f>
        <v/>
      </c>
      <c r="H1474" s="2" t="s">
        <v>75</v>
      </c>
      <c r="I1474" s="3" t="s">
        <v>6</v>
      </c>
      <c r="J1474" s="3">
        <v>140000000</v>
      </c>
      <c r="K1474" s="2" t="s">
        <v>21</v>
      </c>
      <c r="L1474" s="2" t="s">
        <v>5</v>
      </c>
      <c r="M1474" s="4" t="s">
        <v>67</v>
      </c>
      <c r="N1474" s="3" t="s">
        <v>82</v>
      </c>
      <c r="O1474" s="2" t="s">
        <v>12</v>
      </c>
      <c r="P1474" s="10"/>
      <c r="Q1474" s="11"/>
    </row>
    <row r="1475" spans="2:17" ht="21" customHeight="1" x14ac:dyDescent="0.35">
      <c r="B1475" s="18">
        <v>44003</v>
      </c>
      <c r="C1475" s="18" t="str">
        <f>TEXT(Sales[[#This Row],[Kode Program/Kegiatan ]],"D")</f>
        <v>21</v>
      </c>
      <c r="D1475" s="19" t="str">
        <f>TEXT(Sales[[#This Row],[Kode Program/Kegiatan ]],"mmm")</f>
        <v>Jun</v>
      </c>
      <c r="E1475" s="20">
        <v>10</v>
      </c>
      <c r="F1475" s="19">
        <v>10</v>
      </c>
      <c r="G1475" s="20" t="str">
        <f>IF(Sales[[#This Row],[Anggaran Murni]]-Sales[[#This Row],[Target s.d. Januari]]=0,"",Sales[[#This Row],[Anggaran Murni]]-Sales[[#This Row],[Target s.d. Januari]])</f>
        <v/>
      </c>
      <c r="H1475" s="19" t="s">
        <v>71</v>
      </c>
      <c r="I1475" s="20" t="s">
        <v>6</v>
      </c>
      <c r="J1475" s="20">
        <v>60000000</v>
      </c>
      <c r="K1475" s="19" t="s">
        <v>58</v>
      </c>
      <c r="L1475" s="19" t="s">
        <v>7</v>
      </c>
      <c r="M1475" s="21" t="s">
        <v>67</v>
      </c>
      <c r="N1475" s="20" t="s">
        <v>82</v>
      </c>
      <c r="O1475" s="19" t="s">
        <v>12</v>
      </c>
      <c r="P1475" s="10"/>
      <c r="Q1475" s="11"/>
    </row>
    <row r="1476" spans="2:17" ht="21" customHeight="1" x14ac:dyDescent="0.35">
      <c r="B1476" s="1">
        <v>44003</v>
      </c>
      <c r="C1476" s="1" t="str">
        <f>TEXT(Sales[[#This Row],[Kode Program/Kegiatan ]],"D")</f>
        <v>21</v>
      </c>
      <c r="D1476" s="2" t="str">
        <f>TEXT(Sales[[#This Row],[Kode Program/Kegiatan ]],"mmm")</f>
        <v>Jun</v>
      </c>
      <c r="E1476" s="3">
        <v>9</v>
      </c>
      <c r="F1476" s="2">
        <v>9</v>
      </c>
      <c r="G1476" s="3" t="str">
        <f>IF(Sales[[#This Row],[Anggaran Murni]]-Sales[[#This Row],[Target s.d. Januari]]=0,"",Sales[[#This Row],[Anggaran Murni]]-Sales[[#This Row],[Target s.d. Januari]])</f>
        <v/>
      </c>
      <c r="H1476" s="2" t="s">
        <v>73</v>
      </c>
      <c r="I1476" s="3" t="s">
        <v>78</v>
      </c>
      <c r="J1476" s="3">
        <v>60000000</v>
      </c>
      <c r="K1476" s="2" t="s">
        <v>48</v>
      </c>
      <c r="L1476" s="2" t="s">
        <v>5</v>
      </c>
      <c r="M1476" s="4" t="s">
        <v>67</v>
      </c>
      <c r="N1476" s="3" t="s">
        <v>81</v>
      </c>
      <c r="O1476" s="2" t="s">
        <v>14</v>
      </c>
      <c r="P1476" s="10"/>
      <c r="Q1476" s="11"/>
    </row>
    <row r="1477" spans="2:17" ht="21" customHeight="1" x14ac:dyDescent="0.35">
      <c r="B1477" s="18">
        <v>44003</v>
      </c>
      <c r="C1477" s="18" t="str">
        <f>TEXT(Sales[[#This Row],[Kode Program/Kegiatan ]],"D")</f>
        <v>21</v>
      </c>
      <c r="D1477" s="19" t="str">
        <f>TEXT(Sales[[#This Row],[Kode Program/Kegiatan ]],"mmm")</f>
        <v>Jun</v>
      </c>
      <c r="E1477" s="20">
        <v>8</v>
      </c>
      <c r="F1477" s="19">
        <v>8</v>
      </c>
      <c r="G1477" s="20" t="str">
        <f>IF(Sales[[#This Row],[Anggaran Murni]]-Sales[[#This Row],[Target s.d. Januari]]=0,"",Sales[[#This Row],[Anggaran Murni]]-Sales[[#This Row],[Target s.d. Januari]])</f>
        <v/>
      </c>
      <c r="H1477" s="19" t="s">
        <v>114</v>
      </c>
      <c r="I1477" s="20" t="s">
        <v>3</v>
      </c>
      <c r="J1477" s="20">
        <v>40000000</v>
      </c>
      <c r="K1477" s="19" t="s">
        <v>50</v>
      </c>
      <c r="L1477" s="19" t="s">
        <v>8</v>
      </c>
      <c r="M1477" s="21" t="s">
        <v>67</v>
      </c>
      <c r="N1477" s="20" t="s">
        <v>80</v>
      </c>
      <c r="O1477" s="19" t="s">
        <v>11</v>
      </c>
      <c r="P1477" s="10"/>
      <c r="Q1477" s="11"/>
    </row>
    <row r="1478" spans="2:17" ht="21" customHeight="1" x14ac:dyDescent="0.35">
      <c r="B1478" s="1">
        <v>44003</v>
      </c>
      <c r="C1478" s="1" t="str">
        <f>TEXT(Sales[[#This Row],[Kode Program/Kegiatan ]],"D")</f>
        <v>21</v>
      </c>
      <c r="D1478" s="2" t="str">
        <f>TEXT(Sales[[#This Row],[Kode Program/Kegiatan ]],"mmm")</f>
        <v>Jun</v>
      </c>
      <c r="E1478" s="3">
        <v>7</v>
      </c>
      <c r="F1478" s="2">
        <v>7</v>
      </c>
      <c r="G1478" s="3" t="str">
        <f>IF(Sales[[#This Row],[Anggaran Murni]]-Sales[[#This Row],[Target s.d. Januari]]=0,"",Sales[[#This Row],[Anggaran Murni]]-Sales[[#This Row],[Target s.d. Januari]])</f>
        <v/>
      </c>
      <c r="H1478" s="2" t="s">
        <v>76</v>
      </c>
      <c r="I1478" s="3" t="s">
        <v>79</v>
      </c>
      <c r="J1478" s="3">
        <v>40000000</v>
      </c>
      <c r="K1478" s="2" t="s">
        <v>24</v>
      </c>
      <c r="L1478" s="2" t="s">
        <v>2</v>
      </c>
      <c r="M1478" s="4" t="s">
        <v>67</v>
      </c>
      <c r="N1478" s="3" t="s">
        <v>82</v>
      </c>
      <c r="O1478" s="2" t="s">
        <v>13</v>
      </c>
      <c r="P1478" s="10"/>
      <c r="Q1478" s="11"/>
    </row>
    <row r="1479" spans="2:17" ht="21" customHeight="1" x14ac:dyDescent="0.35">
      <c r="B1479" s="18">
        <v>44003</v>
      </c>
      <c r="C1479" s="18" t="str">
        <f>TEXT(Sales[[#This Row],[Kode Program/Kegiatan ]],"D")</f>
        <v>21</v>
      </c>
      <c r="D1479" s="19" t="str">
        <f>TEXT(Sales[[#This Row],[Kode Program/Kegiatan ]],"mmm")</f>
        <v>Jun</v>
      </c>
      <c r="E1479" s="20">
        <v>5</v>
      </c>
      <c r="F1479" s="19">
        <v>5</v>
      </c>
      <c r="G1479" s="20" t="str">
        <f>IF(Sales[[#This Row],[Anggaran Murni]]-Sales[[#This Row],[Target s.d. Januari]]=0,"",Sales[[#This Row],[Anggaran Murni]]-Sales[[#This Row],[Target s.d. Januari]])</f>
        <v/>
      </c>
      <c r="H1479" s="19" t="s">
        <v>74</v>
      </c>
      <c r="I1479" s="20" t="s">
        <v>77</v>
      </c>
      <c r="J1479" s="20">
        <v>140000000</v>
      </c>
      <c r="K1479" s="19" t="s">
        <v>16</v>
      </c>
      <c r="L1479" s="19" t="s">
        <v>5</v>
      </c>
      <c r="M1479" s="21" t="s">
        <v>67</v>
      </c>
      <c r="N1479" s="20" t="s">
        <v>80</v>
      </c>
      <c r="O1479" s="19" t="s">
        <v>13</v>
      </c>
      <c r="P1479" s="10"/>
      <c r="Q1479" s="11"/>
    </row>
    <row r="1480" spans="2:17" ht="21" customHeight="1" x14ac:dyDescent="0.35">
      <c r="B1480" s="1">
        <v>44003</v>
      </c>
      <c r="C1480" s="1" t="str">
        <f>TEXT(Sales[[#This Row],[Kode Program/Kegiatan ]],"D")</f>
        <v>21</v>
      </c>
      <c r="D1480" s="2" t="str">
        <f>TEXT(Sales[[#This Row],[Kode Program/Kegiatan ]],"mmm")</f>
        <v>Jun</v>
      </c>
      <c r="E1480" s="3">
        <v>4</v>
      </c>
      <c r="F1480" s="2">
        <v>4</v>
      </c>
      <c r="G1480" s="3" t="str">
        <f>IF(Sales[[#This Row],[Anggaran Murni]]-Sales[[#This Row],[Target s.d. Januari]]=0,"",Sales[[#This Row],[Anggaran Murni]]-Sales[[#This Row],[Target s.d. Januari]])</f>
        <v/>
      </c>
      <c r="H1480" s="2" t="s">
        <v>113</v>
      </c>
      <c r="I1480" s="3" t="s">
        <v>77</v>
      </c>
      <c r="J1480" s="3">
        <v>100000000</v>
      </c>
      <c r="K1480" s="2" t="s">
        <v>26</v>
      </c>
      <c r="L1480" s="2" t="s">
        <v>5</v>
      </c>
      <c r="M1480" s="4" t="s">
        <v>67</v>
      </c>
      <c r="N1480" s="3" t="s">
        <v>81</v>
      </c>
      <c r="O1480" s="2" t="s">
        <v>12</v>
      </c>
      <c r="P1480" s="10"/>
      <c r="Q1480" s="11"/>
    </row>
    <row r="1481" spans="2:17" ht="21" customHeight="1" x14ac:dyDescent="0.35">
      <c r="B1481" s="18">
        <v>44003</v>
      </c>
      <c r="C1481" s="18" t="str">
        <f>TEXT(Sales[[#This Row],[Kode Program/Kegiatan ]],"D")</f>
        <v>21</v>
      </c>
      <c r="D1481" s="19" t="str">
        <f>TEXT(Sales[[#This Row],[Kode Program/Kegiatan ]],"mmm")</f>
        <v>Jun</v>
      </c>
      <c r="E1481" s="20">
        <v>4</v>
      </c>
      <c r="F1481" s="19">
        <v>4</v>
      </c>
      <c r="G1481" s="20" t="str">
        <f>IF(Sales[[#This Row],[Anggaran Murni]]-Sales[[#This Row],[Target s.d. Januari]]=0,"",Sales[[#This Row],[Anggaran Murni]]-Sales[[#This Row],[Target s.d. Januari]])</f>
        <v/>
      </c>
      <c r="H1481" s="19" t="s">
        <v>72</v>
      </c>
      <c r="I1481" s="20" t="s">
        <v>78</v>
      </c>
      <c r="J1481" s="20">
        <v>40000000</v>
      </c>
      <c r="K1481" s="19" t="s">
        <v>37</v>
      </c>
      <c r="L1481" s="19" t="s">
        <v>5</v>
      </c>
      <c r="M1481" s="21" t="s">
        <v>67</v>
      </c>
      <c r="N1481" s="20" t="s">
        <v>82</v>
      </c>
      <c r="O1481" s="19" t="s">
        <v>12</v>
      </c>
      <c r="P1481" s="10"/>
      <c r="Q1481" s="11"/>
    </row>
    <row r="1482" spans="2:17" ht="21" customHeight="1" x14ac:dyDescent="0.35">
      <c r="B1482" s="1">
        <v>44003</v>
      </c>
      <c r="C1482" s="1" t="str">
        <f>TEXT(Sales[[#This Row],[Kode Program/Kegiatan ]],"D")</f>
        <v>21</v>
      </c>
      <c r="D1482" s="2" t="str">
        <f>TEXT(Sales[[#This Row],[Kode Program/Kegiatan ]],"mmm")</f>
        <v>Jun</v>
      </c>
      <c r="E1482" s="3">
        <v>3</v>
      </c>
      <c r="F1482" s="2">
        <v>3</v>
      </c>
      <c r="G1482" s="3" t="str">
        <f>IF(Sales[[#This Row],[Anggaran Murni]]-Sales[[#This Row],[Target s.d. Januari]]=0,"",Sales[[#This Row],[Anggaran Murni]]-Sales[[#This Row],[Target s.d. Januari]])</f>
        <v/>
      </c>
      <c r="H1482" s="2" t="s">
        <v>76</v>
      </c>
      <c r="I1482" s="3" t="s">
        <v>79</v>
      </c>
      <c r="J1482" s="3">
        <v>120000000</v>
      </c>
      <c r="K1482" s="2" t="s">
        <v>64</v>
      </c>
      <c r="L1482" s="2" t="s">
        <v>7</v>
      </c>
      <c r="M1482" s="4" t="s">
        <v>67</v>
      </c>
      <c r="N1482" s="3" t="s">
        <v>82</v>
      </c>
      <c r="O1482" s="2" t="s">
        <v>12</v>
      </c>
      <c r="P1482" s="10"/>
      <c r="Q1482" s="11"/>
    </row>
    <row r="1483" spans="2:17" ht="21" customHeight="1" x14ac:dyDescent="0.35">
      <c r="B1483" s="18">
        <v>44003</v>
      </c>
      <c r="C1483" s="18" t="str">
        <f>TEXT(Sales[[#This Row],[Kode Program/Kegiatan ]],"D")</f>
        <v>21</v>
      </c>
      <c r="D1483" s="19" t="str">
        <f>TEXT(Sales[[#This Row],[Kode Program/Kegiatan ]],"mmm")</f>
        <v>Jun</v>
      </c>
      <c r="E1483" s="20">
        <v>3</v>
      </c>
      <c r="F1483" s="19">
        <v>3</v>
      </c>
      <c r="G1483" s="20" t="str">
        <f>IF(Sales[[#This Row],[Anggaran Murni]]-Sales[[#This Row],[Target s.d. Januari]]=0,"",Sales[[#This Row],[Anggaran Murni]]-Sales[[#This Row],[Target s.d. Januari]])</f>
        <v/>
      </c>
      <c r="H1483" s="19" t="s">
        <v>75</v>
      </c>
      <c r="I1483" s="20" t="s">
        <v>6</v>
      </c>
      <c r="J1483" s="20">
        <v>80000000</v>
      </c>
      <c r="K1483" s="19" t="s">
        <v>52</v>
      </c>
      <c r="L1483" s="19" t="s">
        <v>7</v>
      </c>
      <c r="M1483" s="21" t="s">
        <v>67</v>
      </c>
      <c r="N1483" s="20" t="s">
        <v>82</v>
      </c>
      <c r="O1483" s="19" t="s">
        <v>14</v>
      </c>
      <c r="P1483" s="10"/>
      <c r="Q1483" s="11"/>
    </row>
    <row r="1484" spans="2:17" ht="21" customHeight="1" x14ac:dyDescent="0.35">
      <c r="B1484" s="1">
        <v>44003</v>
      </c>
      <c r="C1484" s="1" t="str">
        <f>TEXT(Sales[[#This Row],[Kode Program/Kegiatan ]],"D")</f>
        <v>21</v>
      </c>
      <c r="D1484" s="2" t="str">
        <f>TEXT(Sales[[#This Row],[Kode Program/Kegiatan ]],"mmm")</f>
        <v>Jun</v>
      </c>
      <c r="E1484" s="3">
        <v>3</v>
      </c>
      <c r="F1484" s="2">
        <v>3</v>
      </c>
      <c r="G1484" s="3" t="str">
        <f>IF(Sales[[#This Row],[Anggaran Murni]]-Sales[[#This Row],[Target s.d. Januari]]=0,"",Sales[[#This Row],[Anggaran Murni]]-Sales[[#This Row],[Target s.d. Januari]])</f>
        <v/>
      </c>
      <c r="H1484" s="2" t="s">
        <v>113</v>
      </c>
      <c r="I1484" s="3" t="s">
        <v>77</v>
      </c>
      <c r="J1484" s="3">
        <v>80000000</v>
      </c>
      <c r="K1484" s="2" t="s">
        <v>38</v>
      </c>
      <c r="L1484" s="2" t="s">
        <v>2</v>
      </c>
      <c r="M1484" s="4" t="s">
        <v>67</v>
      </c>
      <c r="N1484" s="3" t="s">
        <v>82</v>
      </c>
      <c r="O1484" s="2" t="s">
        <v>11</v>
      </c>
      <c r="P1484" s="10"/>
      <c r="Q1484" s="11"/>
    </row>
    <row r="1485" spans="2:17" ht="21" customHeight="1" x14ac:dyDescent="0.35">
      <c r="B1485" s="18">
        <v>44004</v>
      </c>
      <c r="C1485" s="18" t="str">
        <f>TEXT(Sales[[#This Row],[Kode Program/Kegiatan ]],"D")</f>
        <v>22</v>
      </c>
      <c r="D1485" s="19" t="str">
        <f>TEXT(Sales[[#This Row],[Kode Program/Kegiatan ]],"mmm")</f>
        <v>Jun</v>
      </c>
      <c r="E1485" s="20">
        <v>9</v>
      </c>
      <c r="F1485" s="19">
        <v>9</v>
      </c>
      <c r="G1485" s="20" t="str">
        <f>IF(Sales[[#This Row],[Anggaran Murni]]-Sales[[#This Row],[Target s.d. Januari]]=0,"",Sales[[#This Row],[Anggaran Murni]]-Sales[[#This Row],[Target s.d. Januari]])</f>
        <v/>
      </c>
      <c r="H1485" s="19" t="s">
        <v>75</v>
      </c>
      <c r="I1485" s="20" t="s">
        <v>6</v>
      </c>
      <c r="J1485" s="20">
        <v>140000000</v>
      </c>
      <c r="K1485" s="19" t="s">
        <v>42</v>
      </c>
      <c r="L1485" s="19" t="s">
        <v>2</v>
      </c>
      <c r="M1485" s="21" t="s">
        <v>67</v>
      </c>
      <c r="N1485" s="20" t="s">
        <v>82</v>
      </c>
      <c r="O1485" s="19" t="s">
        <v>13</v>
      </c>
      <c r="P1485" s="10"/>
      <c r="Q1485" s="11"/>
    </row>
    <row r="1486" spans="2:17" ht="21" customHeight="1" x14ac:dyDescent="0.35">
      <c r="B1486" s="1">
        <v>44004</v>
      </c>
      <c r="C1486" s="1" t="str">
        <f>TEXT(Sales[[#This Row],[Kode Program/Kegiatan ]],"D")</f>
        <v>22</v>
      </c>
      <c r="D1486" s="2" t="str">
        <f>TEXT(Sales[[#This Row],[Kode Program/Kegiatan ]],"mmm")</f>
        <v>Jun</v>
      </c>
      <c r="E1486" s="3">
        <v>8</v>
      </c>
      <c r="F1486" s="2">
        <v>8</v>
      </c>
      <c r="G1486" s="3" t="str">
        <f>IF(Sales[[#This Row],[Anggaran Murni]]-Sales[[#This Row],[Target s.d. Januari]]=0,"",Sales[[#This Row],[Anggaran Murni]]-Sales[[#This Row],[Target s.d. Januari]])</f>
        <v/>
      </c>
      <c r="H1486" s="2" t="s">
        <v>114</v>
      </c>
      <c r="I1486" s="3" t="s">
        <v>3</v>
      </c>
      <c r="J1486" s="3">
        <v>60000000</v>
      </c>
      <c r="K1486" s="2" t="s">
        <v>38</v>
      </c>
      <c r="L1486" s="2" t="s">
        <v>7</v>
      </c>
      <c r="M1486" s="4" t="s">
        <v>67</v>
      </c>
      <c r="N1486" s="3" t="s">
        <v>80</v>
      </c>
      <c r="O1486" s="2" t="s">
        <v>14</v>
      </c>
      <c r="P1486" s="10"/>
      <c r="Q1486" s="11"/>
    </row>
    <row r="1487" spans="2:17" ht="21" customHeight="1" x14ac:dyDescent="0.35">
      <c r="B1487" s="18">
        <v>44004</v>
      </c>
      <c r="C1487" s="18" t="str">
        <f>TEXT(Sales[[#This Row],[Kode Program/Kegiatan ]],"D")</f>
        <v>22</v>
      </c>
      <c r="D1487" s="19" t="str">
        <f>TEXT(Sales[[#This Row],[Kode Program/Kegiatan ]],"mmm")</f>
        <v>Jun</v>
      </c>
      <c r="E1487" s="20">
        <v>7</v>
      </c>
      <c r="F1487" s="19">
        <v>7</v>
      </c>
      <c r="G1487" s="20" t="str">
        <f>IF(Sales[[#This Row],[Anggaran Murni]]-Sales[[#This Row],[Target s.d. Januari]]=0,"",Sales[[#This Row],[Anggaran Murni]]-Sales[[#This Row],[Target s.d. Januari]])</f>
        <v/>
      </c>
      <c r="H1487" s="19" t="s">
        <v>114</v>
      </c>
      <c r="I1487" s="20" t="s">
        <v>3</v>
      </c>
      <c r="J1487" s="20">
        <v>100000000</v>
      </c>
      <c r="K1487" s="19" t="s">
        <v>39</v>
      </c>
      <c r="L1487" s="19" t="s">
        <v>4</v>
      </c>
      <c r="M1487" s="21" t="s">
        <v>67</v>
      </c>
      <c r="N1487" s="20" t="s">
        <v>82</v>
      </c>
      <c r="O1487" s="19" t="s">
        <v>14</v>
      </c>
      <c r="P1487" s="10"/>
      <c r="Q1487" s="11"/>
    </row>
    <row r="1488" spans="2:17" ht="21" customHeight="1" x14ac:dyDescent="0.35">
      <c r="B1488" s="1">
        <v>44004</v>
      </c>
      <c r="C1488" s="1" t="str">
        <f>TEXT(Sales[[#This Row],[Kode Program/Kegiatan ]],"D")</f>
        <v>22</v>
      </c>
      <c r="D1488" s="2" t="str">
        <f>TEXT(Sales[[#This Row],[Kode Program/Kegiatan ]],"mmm")</f>
        <v>Jun</v>
      </c>
      <c r="E1488" s="3">
        <v>7</v>
      </c>
      <c r="F1488" s="2">
        <v>7</v>
      </c>
      <c r="G1488" s="3" t="str">
        <f>IF(Sales[[#This Row],[Anggaran Murni]]-Sales[[#This Row],[Target s.d. Januari]]=0,"",Sales[[#This Row],[Anggaran Murni]]-Sales[[#This Row],[Target s.d. Januari]])</f>
        <v/>
      </c>
      <c r="H1488" s="2" t="s">
        <v>76</v>
      </c>
      <c r="I1488" s="3" t="s">
        <v>79</v>
      </c>
      <c r="J1488" s="3">
        <v>60000000</v>
      </c>
      <c r="K1488" s="2" t="s">
        <v>28</v>
      </c>
      <c r="L1488" s="2" t="s">
        <v>2</v>
      </c>
      <c r="M1488" s="4" t="s">
        <v>67</v>
      </c>
      <c r="N1488" s="3" t="s">
        <v>81</v>
      </c>
      <c r="O1488" s="2" t="s">
        <v>11</v>
      </c>
      <c r="P1488" s="10"/>
      <c r="Q1488" s="11"/>
    </row>
    <row r="1489" spans="2:17" ht="21" customHeight="1" x14ac:dyDescent="0.35">
      <c r="B1489" s="18">
        <v>44004</v>
      </c>
      <c r="C1489" s="18" t="str">
        <f>TEXT(Sales[[#This Row],[Kode Program/Kegiatan ]],"D")</f>
        <v>22</v>
      </c>
      <c r="D1489" s="19" t="str">
        <f>TEXT(Sales[[#This Row],[Kode Program/Kegiatan ]],"mmm")</f>
        <v>Jun</v>
      </c>
      <c r="E1489" s="20">
        <v>7</v>
      </c>
      <c r="F1489" s="19">
        <v>7</v>
      </c>
      <c r="G1489" s="20" t="str">
        <f>IF(Sales[[#This Row],[Anggaran Murni]]-Sales[[#This Row],[Target s.d. Januari]]=0,"",Sales[[#This Row],[Anggaran Murni]]-Sales[[#This Row],[Target s.d. Januari]])</f>
        <v/>
      </c>
      <c r="H1489" s="19" t="s">
        <v>71</v>
      </c>
      <c r="I1489" s="20" t="s">
        <v>6</v>
      </c>
      <c r="J1489" s="20">
        <v>80000000</v>
      </c>
      <c r="K1489" s="19" t="s">
        <v>62</v>
      </c>
      <c r="L1489" s="19" t="s">
        <v>5</v>
      </c>
      <c r="M1489" s="21" t="s">
        <v>67</v>
      </c>
      <c r="N1489" s="20" t="s">
        <v>82</v>
      </c>
      <c r="O1489" s="19" t="s">
        <v>12</v>
      </c>
      <c r="P1489" s="10"/>
      <c r="Q1489" s="11"/>
    </row>
    <row r="1490" spans="2:17" ht="21" customHeight="1" x14ac:dyDescent="0.35">
      <c r="B1490" s="1">
        <v>44004</v>
      </c>
      <c r="C1490" s="1" t="str">
        <f>TEXT(Sales[[#This Row],[Kode Program/Kegiatan ]],"D")</f>
        <v>22</v>
      </c>
      <c r="D1490" s="2" t="str">
        <f>TEXT(Sales[[#This Row],[Kode Program/Kegiatan ]],"mmm")</f>
        <v>Jun</v>
      </c>
      <c r="E1490" s="3">
        <v>6</v>
      </c>
      <c r="F1490" s="2">
        <v>6</v>
      </c>
      <c r="G1490" s="3" t="str">
        <f>IF(Sales[[#This Row],[Anggaran Murni]]-Sales[[#This Row],[Target s.d. Januari]]=0,"",Sales[[#This Row],[Anggaran Murni]]-Sales[[#This Row],[Target s.d. Januari]])</f>
        <v/>
      </c>
      <c r="H1490" s="2" t="s">
        <v>74</v>
      </c>
      <c r="I1490" s="3" t="s">
        <v>77</v>
      </c>
      <c r="J1490" s="3">
        <v>40000000</v>
      </c>
      <c r="K1490" s="2" t="s">
        <v>50</v>
      </c>
      <c r="L1490" s="2" t="s">
        <v>2</v>
      </c>
      <c r="M1490" s="4" t="s">
        <v>67</v>
      </c>
      <c r="N1490" s="3" t="s">
        <v>80</v>
      </c>
      <c r="O1490" s="2" t="s">
        <v>13</v>
      </c>
      <c r="P1490" s="10"/>
      <c r="Q1490" s="11"/>
    </row>
    <row r="1491" spans="2:17" ht="21" customHeight="1" x14ac:dyDescent="0.35">
      <c r="B1491" s="18">
        <v>44004</v>
      </c>
      <c r="C1491" s="18" t="str">
        <f>TEXT(Sales[[#This Row],[Kode Program/Kegiatan ]],"D")</f>
        <v>22</v>
      </c>
      <c r="D1491" s="19" t="str">
        <f>TEXT(Sales[[#This Row],[Kode Program/Kegiatan ]],"mmm")</f>
        <v>Jun</v>
      </c>
      <c r="E1491" s="20">
        <v>4</v>
      </c>
      <c r="F1491" s="19">
        <v>4</v>
      </c>
      <c r="G1491" s="20" t="str">
        <f>IF(Sales[[#This Row],[Anggaran Murni]]-Sales[[#This Row],[Target s.d. Januari]]=0,"",Sales[[#This Row],[Anggaran Murni]]-Sales[[#This Row],[Target s.d. Januari]])</f>
        <v/>
      </c>
      <c r="H1491" s="19" t="s">
        <v>73</v>
      </c>
      <c r="I1491" s="20" t="s">
        <v>78</v>
      </c>
      <c r="J1491" s="20">
        <v>60000000</v>
      </c>
      <c r="K1491" s="19" t="s">
        <v>35</v>
      </c>
      <c r="L1491" s="19" t="s">
        <v>7</v>
      </c>
      <c r="M1491" s="21" t="s">
        <v>67</v>
      </c>
      <c r="N1491" s="20" t="s">
        <v>82</v>
      </c>
      <c r="O1491" s="19" t="s">
        <v>12</v>
      </c>
      <c r="P1491" s="10"/>
      <c r="Q1491" s="11"/>
    </row>
    <row r="1492" spans="2:17" ht="21" customHeight="1" x14ac:dyDescent="0.35">
      <c r="B1492" s="1">
        <v>44005</v>
      </c>
      <c r="C1492" s="1" t="str">
        <f>TEXT(Sales[[#This Row],[Kode Program/Kegiatan ]],"D")</f>
        <v>23</v>
      </c>
      <c r="D1492" s="2" t="str">
        <f>TEXT(Sales[[#This Row],[Kode Program/Kegiatan ]],"mmm")</f>
        <v>Jun</v>
      </c>
      <c r="E1492" s="3">
        <v>9</v>
      </c>
      <c r="F1492" s="2">
        <v>9</v>
      </c>
      <c r="G1492" s="3" t="str">
        <f>IF(Sales[[#This Row],[Anggaran Murni]]-Sales[[#This Row],[Target s.d. Januari]]=0,"",Sales[[#This Row],[Anggaran Murni]]-Sales[[#This Row],[Target s.d. Januari]])</f>
        <v/>
      </c>
      <c r="H1492" s="2" t="s">
        <v>113</v>
      </c>
      <c r="I1492" s="3" t="s">
        <v>77</v>
      </c>
      <c r="J1492" s="3">
        <v>100000000</v>
      </c>
      <c r="K1492" s="2" t="s">
        <v>45</v>
      </c>
      <c r="L1492" s="2" t="s">
        <v>2</v>
      </c>
      <c r="M1492" s="4" t="s">
        <v>67</v>
      </c>
      <c r="N1492" s="3" t="s">
        <v>82</v>
      </c>
      <c r="O1492" s="2" t="s">
        <v>12</v>
      </c>
      <c r="P1492" s="10"/>
      <c r="Q1492" s="11"/>
    </row>
    <row r="1493" spans="2:17" ht="21" customHeight="1" x14ac:dyDescent="0.35">
      <c r="B1493" s="18">
        <v>44005</v>
      </c>
      <c r="C1493" s="18" t="str">
        <f>TEXT(Sales[[#This Row],[Kode Program/Kegiatan ]],"D")</f>
        <v>23</v>
      </c>
      <c r="D1493" s="19" t="str">
        <f>TEXT(Sales[[#This Row],[Kode Program/Kegiatan ]],"mmm")</f>
        <v>Jun</v>
      </c>
      <c r="E1493" s="20">
        <v>9</v>
      </c>
      <c r="F1493" s="19">
        <v>9</v>
      </c>
      <c r="G1493" s="20" t="str">
        <f>IF(Sales[[#This Row],[Anggaran Murni]]-Sales[[#This Row],[Target s.d. Januari]]=0,"",Sales[[#This Row],[Anggaran Murni]]-Sales[[#This Row],[Target s.d. Januari]])</f>
        <v/>
      </c>
      <c r="H1493" s="19" t="s">
        <v>71</v>
      </c>
      <c r="I1493" s="20" t="s">
        <v>6</v>
      </c>
      <c r="J1493" s="20">
        <v>100000000</v>
      </c>
      <c r="K1493" s="19" t="s">
        <v>21</v>
      </c>
      <c r="L1493" s="19" t="s">
        <v>7</v>
      </c>
      <c r="M1493" s="21" t="s">
        <v>67</v>
      </c>
      <c r="N1493" s="20" t="s">
        <v>80</v>
      </c>
      <c r="O1493" s="19" t="s">
        <v>14</v>
      </c>
      <c r="P1493" s="10"/>
      <c r="Q1493" s="11"/>
    </row>
    <row r="1494" spans="2:17" ht="21" customHeight="1" x14ac:dyDescent="0.35">
      <c r="B1494" s="1">
        <v>44005</v>
      </c>
      <c r="C1494" s="1" t="str">
        <f>TEXT(Sales[[#This Row],[Kode Program/Kegiatan ]],"D")</f>
        <v>23</v>
      </c>
      <c r="D1494" s="2" t="str">
        <f>TEXT(Sales[[#This Row],[Kode Program/Kegiatan ]],"mmm")</f>
        <v>Jun</v>
      </c>
      <c r="E1494" s="3">
        <v>8</v>
      </c>
      <c r="F1494" s="2">
        <v>8</v>
      </c>
      <c r="G1494" s="3" t="str">
        <f>IF(Sales[[#This Row],[Anggaran Murni]]-Sales[[#This Row],[Target s.d. Januari]]=0,"",Sales[[#This Row],[Anggaran Murni]]-Sales[[#This Row],[Target s.d. Januari]])</f>
        <v/>
      </c>
      <c r="H1494" s="2" t="s">
        <v>76</v>
      </c>
      <c r="I1494" s="3" t="s">
        <v>79</v>
      </c>
      <c r="J1494" s="3">
        <v>120000000</v>
      </c>
      <c r="K1494" s="2" t="s">
        <v>43</v>
      </c>
      <c r="L1494" s="2" t="s">
        <v>2</v>
      </c>
      <c r="M1494" s="4" t="s">
        <v>67</v>
      </c>
      <c r="N1494" s="3" t="s">
        <v>82</v>
      </c>
      <c r="O1494" s="2" t="s">
        <v>13</v>
      </c>
      <c r="P1494" s="10"/>
      <c r="Q1494" s="11"/>
    </row>
    <row r="1495" spans="2:17" ht="21" customHeight="1" x14ac:dyDescent="0.35">
      <c r="B1495" s="18">
        <v>44005</v>
      </c>
      <c r="C1495" s="18" t="str">
        <f>TEXT(Sales[[#This Row],[Kode Program/Kegiatan ]],"D")</f>
        <v>23</v>
      </c>
      <c r="D1495" s="19" t="str">
        <f>TEXT(Sales[[#This Row],[Kode Program/Kegiatan ]],"mmm")</f>
        <v>Jun</v>
      </c>
      <c r="E1495" s="20">
        <v>7</v>
      </c>
      <c r="F1495" s="19">
        <v>7</v>
      </c>
      <c r="G1495" s="20" t="str">
        <f>IF(Sales[[#This Row],[Anggaran Murni]]-Sales[[#This Row],[Target s.d. Januari]]=0,"",Sales[[#This Row],[Anggaran Murni]]-Sales[[#This Row],[Target s.d. Januari]])</f>
        <v/>
      </c>
      <c r="H1495" s="19" t="s">
        <v>73</v>
      </c>
      <c r="I1495" s="20" t="s">
        <v>78</v>
      </c>
      <c r="J1495" s="20">
        <v>40000000</v>
      </c>
      <c r="K1495" s="19" t="s">
        <v>19</v>
      </c>
      <c r="L1495" s="19" t="s">
        <v>5</v>
      </c>
      <c r="M1495" s="21" t="s">
        <v>67</v>
      </c>
      <c r="N1495" s="20" t="s">
        <v>82</v>
      </c>
      <c r="O1495" s="19" t="s">
        <v>12</v>
      </c>
      <c r="P1495" s="10"/>
      <c r="Q1495" s="11"/>
    </row>
    <row r="1496" spans="2:17" ht="21" customHeight="1" x14ac:dyDescent="0.35">
      <c r="B1496" s="1">
        <v>44005</v>
      </c>
      <c r="C1496" s="1" t="str">
        <f>TEXT(Sales[[#This Row],[Kode Program/Kegiatan ]],"D")</f>
        <v>23</v>
      </c>
      <c r="D1496" s="2" t="str">
        <f>TEXT(Sales[[#This Row],[Kode Program/Kegiatan ]],"mmm")</f>
        <v>Jun</v>
      </c>
      <c r="E1496" s="3">
        <v>6</v>
      </c>
      <c r="F1496" s="2">
        <v>6</v>
      </c>
      <c r="G1496" s="3" t="str">
        <f>IF(Sales[[#This Row],[Anggaran Murni]]-Sales[[#This Row],[Target s.d. Januari]]=0,"",Sales[[#This Row],[Anggaran Murni]]-Sales[[#This Row],[Target s.d. Januari]])</f>
        <v/>
      </c>
      <c r="H1496" s="2" t="s">
        <v>73</v>
      </c>
      <c r="I1496" s="3" t="s">
        <v>78</v>
      </c>
      <c r="J1496" s="3">
        <v>120000000</v>
      </c>
      <c r="K1496" s="2" t="s">
        <v>20</v>
      </c>
      <c r="L1496" s="2" t="s">
        <v>2</v>
      </c>
      <c r="M1496" s="4" t="s">
        <v>67</v>
      </c>
      <c r="N1496" s="3" t="s">
        <v>80</v>
      </c>
      <c r="O1496" s="2" t="s">
        <v>12</v>
      </c>
      <c r="P1496" s="10"/>
      <c r="Q1496" s="11"/>
    </row>
    <row r="1497" spans="2:17" ht="21" customHeight="1" x14ac:dyDescent="0.35">
      <c r="B1497" s="18">
        <v>44005</v>
      </c>
      <c r="C1497" s="18" t="str">
        <f>TEXT(Sales[[#This Row],[Kode Program/Kegiatan ]],"D")</f>
        <v>23</v>
      </c>
      <c r="D1497" s="19" t="str">
        <f>TEXT(Sales[[#This Row],[Kode Program/Kegiatan ]],"mmm")</f>
        <v>Jun</v>
      </c>
      <c r="E1497" s="20">
        <v>5</v>
      </c>
      <c r="F1497" s="19">
        <v>5</v>
      </c>
      <c r="G1497" s="20" t="str">
        <f>IF(Sales[[#This Row],[Anggaran Murni]]-Sales[[#This Row],[Target s.d. Januari]]=0,"",Sales[[#This Row],[Anggaran Murni]]-Sales[[#This Row],[Target s.d. Januari]])</f>
        <v/>
      </c>
      <c r="H1497" s="19" t="s">
        <v>73</v>
      </c>
      <c r="I1497" s="20" t="s">
        <v>78</v>
      </c>
      <c r="J1497" s="20">
        <v>100000000</v>
      </c>
      <c r="K1497" s="19" t="s">
        <v>43</v>
      </c>
      <c r="L1497" s="19" t="s">
        <v>5</v>
      </c>
      <c r="M1497" s="21" t="s">
        <v>67</v>
      </c>
      <c r="N1497" s="20" t="s">
        <v>80</v>
      </c>
      <c r="O1497" s="19" t="s">
        <v>14</v>
      </c>
      <c r="P1497" s="10"/>
      <c r="Q1497" s="11"/>
    </row>
    <row r="1498" spans="2:17" ht="21" customHeight="1" x14ac:dyDescent="0.35">
      <c r="B1498" s="1">
        <v>44005</v>
      </c>
      <c r="C1498" s="1" t="str">
        <f>TEXT(Sales[[#This Row],[Kode Program/Kegiatan ]],"D")</f>
        <v>23</v>
      </c>
      <c r="D1498" s="2" t="str">
        <f>TEXT(Sales[[#This Row],[Kode Program/Kegiatan ]],"mmm")</f>
        <v>Jun</v>
      </c>
      <c r="E1498" s="3">
        <v>4</v>
      </c>
      <c r="F1498" s="2">
        <v>4</v>
      </c>
      <c r="G1498" s="3" t="str">
        <f>IF(Sales[[#This Row],[Anggaran Murni]]-Sales[[#This Row],[Target s.d. Januari]]=0,"",Sales[[#This Row],[Anggaran Murni]]-Sales[[#This Row],[Target s.d. Januari]])</f>
        <v/>
      </c>
      <c r="H1498" s="2" t="s">
        <v>76</v>
      </c>
      <c r="I1498" s="3" t="s">
        <v>79</v>
      </c>
      <c r="J1498" s="3">
        <v>100000000</v>
      </c>
      <c r="K1498" s="2" t="s">
        <v>54</v>
      </c>
      <c r="L1498" s="2" t="s">
        <v>2</v>
      </c>
      <c r="M1498" s="4" t="s">
        <v>67</v>
      </c>
      <c r="N1498" s="3" t="s">
        <v>81</v>
      </c>
      <c r="O1498" s="2" t="s">
        <v>11</v>
      </c>
      <c r="P1498" s="10"/>
      <c r="Q1498" s="11"/>
    </row>
    <row r="1499" spans="2:17" ht="21" customHeight="1" x14ac:dyDescent="0.35">
      <c r="B1499" s="18">
        <v>44005</v>
      </c>
      <c r="C1499" s="18" t="str">
        <f>TEXT(Sales[[#This Row],[Kode Program/Kegiatan ]],"D")</f>
        <v>23</v>
      </c>
      <c r="D1499" s="19" t="str">
        <f>TEXT(Sales[[#This Row],[Kode Program/Kegiatan ]],"mmm")</f>
        <v>Jun</v>
      </c>
      <c r="E1499" s="20">
        <v>3</v>
      </c>
      <c r="F1499" s="19">
        <v>3</v>
      </c>
      <c r="G1499" s="20" t="str">
        <f>IF(Sales[[#This Row],[Anggaran Murni]]-Sales[[#This Row],[Target s.d. Januari]]=0,"",Sales[[#This Row],[Anggaran Murni]]-Sales[[#This Row],[Target s.d. Januari]])</f>
        <v/>
      </c>
      <c r="H1499" s="19" t="s">
        <v>76</v>
      </c>
      <c r="I1499" s="20" t="s">
        <v>79</v>
      </c>
      <c r="J1499" s="20">
        <v>60000000</v>
      </c>
      <c r="K1499" s="19" t="s">
        <v>39</v>
      </c>
      <c r="L1499" s="19" t="s">
        <v>2</v>
      </c>
      <c r="M1499" s="21" t="s">
        <v>67</v>
      </c>
      <c r="N1499" s="20" t="s">
        <v>81</v>
      </c>
      <c r="O1499" s="19" t="s">
        <v>13</v>
      </c>
      <c r="P1499" s="10"/>
      <c r="Q1499" s="11"/>
    </row>
    <row r="1500" spans="2:17" ht="21" customHeight="1" x14ac:dyDescent="0.35">
      <c r="B1500" s="1">
        <v>44005</v>
      </c>
      <c r="C1500" s="1" t="str">
        <f>TEXT(Sales[[#This Row],[Kode Program/Kegiatan ]],"D")</f>
        <v>23</v>
      </c>
      <c r="D1500" s="2" t="str">
        <f>TEXT(Sales[[#This Row],[Kode Program/Kegiatan ]],"mmm")</f>
        <v>Jun</v>
      </c>
      <c r="E1500" s="3">
        <v>3</v>
      </c>
      <c r="F1500" s="2">
        <v>3</v>
      </c>
      <c r="G1500" s="3" t="str">
        <f>IF(Sales[[#This Row],[Anggaran Murni]]-Sales[[#This Row],[Target s.d. Januari]]=0,"",Sales[[#This Row],[Anggaran Murni]]-Sales[[#This Row],[Target s.d. Januari]])</f>
        <v/>
      </c>
      <c r="H1500" s="2" t="s">
        <v>76</v>
      </c>
      <c r="I1500" s="3" t="s">
        <v>79</v>
      </c>
      <c r="J1500" s="3">
        <v>60000000</v>
      </c>
      <c r="K1500" s="2" t="s">
        <v>18</v>
      </c>
      <c r="L1500" s="2" t="s">
        <v>2</v>
      </c>
      <c r="M1500" s="4" t="s">
        <v>67</v>
      </c>
      <c r="N1500" s="3" t="s">
        <v>81</v>
      </c>
      <c r="O1500" s="2" t="s">
        <v>11</v>
      </c>
      <c r="P1500" s="10"/>
      <c r="Q1500" s="11"/>
    </row>
    <row r="1501" spans="2:17" ht="21" customHeight="1" x14ac:dyDescent="0.35">
      <c r="B1501" s="18">
        <v>44006</v>
      </c>
      <c r="C1501" s="18" t="str">
        <f>TEXT(Sales[[#This Row],[Kode Program/Kegiatan ]],"D")</f>
        <v>24</v>
      </c>
      <c r="D1501" s="19" t="str">
        <f>TEXT(Sales[[#This Row],[Kode Program/Kegiatan ]],"mmm")</f>
        <v>Jun</v>
      </c>
      <c r="E1501" s="20">
        <v>10</v>
      </c>
      <c r="F1501" s="19">
        <v>10</v>
      </c>
      <c r="G1501" s="20" t="str">
        <f>IF(Sales[[#This Row],[Anggaran Murni]]-Sales[[#This Row],[Target s.d. Januari]]=0,"",Sales[[#This Row],[Anggaran Murni]]-Sales[[#This Row],[Target s.d. Januari]])</f>
        <v/>
      </c>
      <c r="H1501" s="19" t="s">
        <v>75</v>
      </c>
      <c r="I1501" s="20" t="s">
        <v>6</v>
      </c>
      <c r="J1501" s="20">
        <v>120000000</v>
      </c>
      <c r="K1501" s="19" t="s">
        <v>30</v>
      </c>
      <c r="L1501" s="19" t="s">
        <v>5</v>
      </c>
      <c r="M1501" s="21" t="s">
        <v>67</v>
      </c>
      <c r="N1501" s="20" t="s">
        <v>82</v>
      </c>
      <c r="O1501" s="19" t="s">
        <v>13</v>
      </c>
      <c r="P1501" s="10"/>
      <c r="Q1501" s="11"/>
    </row>
    <row r="1502" spans="2:17" ht="21" customHeight="1" x14ac:dyDescent="0.35">
      <c r="B1502" s="1">
        <v>44006</v>
      </c>
      <c r="C1502" s="1" t="str">
        <f>TEXT(Sales[[#This Row],[Kode Program/Kegiatan ]],"D")</f>
        <v>24</v>
      </c>
      <c r="D1502" s="2" t="str">
        <f>TEXT(Sales[[#This Row],[Kode Program/Kegiatan ]],"mmm")</f>
        <v>Jun</v>
      </c>
      <c r="E1502" s="3">
        <v>8</v>
      </c>
      <c r="F1502" s="2">
        <v>8</v>
      </c>
      <c r="G1502" s="3" t="str">
        <f>IF(Sales[[#This Row],[Anggaran Murni]]-Sales[[#This Row],[Target s.d. Januari]]=0,"",Sales[[#This Row],[Anggaran Murni]]-Sales[[#This Row],[Target s.d. Januari]])</f>
        <v/>
      </c>
      <c r="H1502" s="2" t="s">
        <v>71</v>
      </c>
      <c r="I1502" s="3" t="s">
        <v>6</v>
      </c>
      <c r="J1502" s="3">
        <v>80000000</v>
      </c>
      <c r="K1502" s="2" t="s">
        <v>29</v>
      </c>
      <c r="L1502" s="2" t="s">
        <v>5</v>
      </c>
      <c r="M1502" s="4" t="s">
        <v>67</v>
      </c>
      <c r="N1502" s="3" t="s">
        <v>81</v>
      </c>
      <c r="O1502" s="2" t="s">
        <v>11</v>
      </c>
      <c r="P1502" s="10"/>
      <c r="Q1502" s="11"/>
    </row>
    <row r="1503" spans="2:17" ht="21" customHeight="1" x14ac:dyDescent="0.35">
      <c r="B1503" s="18">
        <v>44006</v>
      </c>
      <c r="C1503" s="18" t="str">
        <f>TEXT(Sales[[#This Row],[Kode Program/Kegiatan ]],"D")</f>
        <v>24</v>
      </c>
      <c r="D1503" s="19" t="str">
        <f>TEXT(Sales[[#This Row],[Kode Program/Kegiatan ]],"mmm")</f>
        <v>Jun</v>
      </c>
      <c r="E1503" s="20">
        <v>8</v>
      </c>
      <c r="F1503" s="19">
        <v>8</v>
      </c>
      <c r="G1503" s="20" t="str">
        <f>IF(Sales[[#This Row],[Anggaran Murni]]-Sales[[#This Row],[Target s.d. Januari]]=0,"",Sales[[#This Row],[Anggaran Murni]]-Sales[[#This Row],[Target s.d. Januari]])</f>
        <v/>
      </c>
      <c r="H1503" s="19" t="s">
        <v>113</v>
      </c>
      <c r="I1503" s="20" t="s">
        <v>77</v>
      </c>
      <c r="J1503" s="20">
        <v>40000000</v>
      </c>
      <c r="K1503" s="19" t="s">
        <v>28</v>
      </c>
      <c r="L1503" s="19" t="s">
        <v>4</v>
      </c>
      <c r="M1503" s="21" t="s">
        <v>67</v>
      </c>
      <c r="N1503" s="20" t="s">
        <v>81</v>
      </c>
      <c r="O1503" s="19" t="s">
        <v>14</v>
      </c>
      <c r="P1503" s="10"/>
      <c r="Q1503" s="11"/>
    </row>
    <row r="1504" spans="2:17" ht="21" customHeight="1" x14ac:dyDescent="0.35">
      <c r="B1504" s="1">
        <v>44006</v>
      </c>
      <c r="C1504" s="1" t="str">
        <f>TEXT(Sales[[#This Row],[Kode Program/Kegiatan ]],"D")</f>
        <v>24</v>
      </c>
      <c r="D1504" s="2" t="str">
        <f>TEXT(Sales[[#This Row],[Kode Program/Kegiatan ]],"mmm")</f>
        <v>Jun</v>
      </c>
      <c r="E1504" s="3">
        <v>7</v>
      </c>
      <c r="F1504" s="2">
        <v>7</v>
      </c>
      <c r="G1504" s="3" t="str">
        <f>IF(Sales[[#This Row],[Anggaran Murni]]-Sales[[#This Row],[Target s.d. Januari]]=0,"",Sales[[#This Row],[Anggaran Murni]]-Sales[[#This Row],[Target s.d. Januari]])</f>
        <v/>
      </c>
      <c r="H1504" s="2" t="s">
        <v>75</v>
      </c>
      <c r="I1504" s="3" t="s">
        <v>6</v>
      </c>
      <c r="J1504" s="3">
        <v>120000000</v>
      </c>
      <c r="K1504" s="2" t="s">
        <v>17</v>
      </c>
      <c r="L1504" s="2" t="s">
        <v>2</v>
      </c>
      <c r="M1504" s="4" t="s">
        <v>67</v>
      </c>
      <c r="N1504" s="3" t="s">
        <v>80</v>
      </c>
      <c r="O1504" s="2" t="s">
        <v>14</v>
      </c>
      <c r="P1504" s="10"/>
      <c r="Q1504" s="11"/>
    </row>
    <row r="1505" spans="2:17" ht="21" customHeight="1" x14ac:dyDescent="0.35">
      <c r="B1505" s="18">
        <v>44006</v>
      </c>
      <c r="C1505" s="18" t="str">
        <f>TEXT(Sales[[#This Row],[Kode Program/Kegiatan ]],"D")</f>
        <v>24</v>
      </c>
      <c r="D1505" s="19" t="str">
        <f>TEXT(Sales[[#This Row],[Kode Program/Kegiatan ]],"mmm")</f>
        <v>Jun</v>
      </c>
      <c r="E1505" s="20">
        <v>6</v>
      </c>
      <c r="F1505" s="19">
        <v>6</v>
      </c>
      <c r="G1505" s="20" t="str">
        <f>IF(Sales[[#This Row],[Anggaran Murni]]-Sales[[#This Row],[Target s.d. Januari]]=0,"",Sales[[#This Row],[Anggaran Murni]]-Sales[[#This Row],[Target s.d. Januari]])</f>
        <v/>
      </c>
      <c r="H1505" s="19" t="s">
        <v>76</v>
      </c>
      <c r="I1505" s="20" t="s">
        <v>79</v>
      </c>
      <c r="J1505" s="20">
        <v>140000000</v>
      </c>
      <c r="K1505" s="19" t="s">
        <v>41</v>
      </c>
      <c r="L1505" s="19" t="s">
        <v>5</v>
      </c>
      <c r="M1505" s="21" t="s">
        <v>67</v>
      </c>
      <c r="N1505" s="20" t="s">
        <v>82</v>
      </c>
      <c r="O1505" s="19" t="s">
        <v>13</v>
      </c>
      <c r="P1505" s="10"/>
      <c r="Q1505" s="11"/>
    </row>
    <row r="1506" spans="2:17" ht="21" customHeight="1" x14ac:dyDescent="0.35">
      <c r="B1506" s="1">
        <v>44007</v>
      </c>
      <c r="C1506" s="1" t="str">
        <f>TEXT(Sales[[#This Row],[Kode Program/Kegiatan ]],"D")</f>
        <v>25</v>
      </c>
      <c r="D1506" s="2" t="str">
        <f>TEXT(Sales[[#This Row],[Kode Program/Kegiatan ]],"mmm")</f>
        <v>Jun</v>
      </c>
      <c r="E1506" s="3">
        <v>9</v>
      </c>
      <c r="F1506" s="2">
        <v>9</v>
      </c>
      <c r="G1506" s="3" t="str">
        <f>IF(Sales[[#This Row],[Anggaran Murni]]-Sales[[#This Row],[Target s.d. Januari]]=0,"",Sales[[#This Row],[Anggaran Murni]]-Sales[[#This Row],[Target s.d. Januari]])</f>
        <v/>
      </c>
      <c r="H1506" s="2" t="s">
        <v>76</v>
      </c>
      <c r="I1506" s="3" t="s">
        <v>79</v>
      </c>
      <c r="J1506" s="3">
        <v>100000000</v>
      </c>
      <c r="K1506" s="2" t="s">
        <v>50</v>
      </c>
      <c r="L1506" s="2" t="s">
        <v>5</v>
      </c>
      <c r="M1506" s="4" t="s">
        <v>67</v>
      </c>
      <c r="N1506" s="3" t="s">
        <v>80</v>
      </c>
      <c r="O1506" s="2" t="s">
        <v>14</v>
      </c>
      <c r="P1506" s="10"/>
      <c r="Q1506" s="11"/>
    </row>
    <row r="1507" spans="2:17" ht="21" customHeight="1" x14ac:dyDescent="0.35">
      <c r="B1507" s="18">
        <v>44007</v>
      </c>
      <c r="C1507" s="18" t="str">
        <f>TEXT(Sales[[#This Row],[Kode Program/Kegiatan ]],"D")</f>
        <v>25</v>
      </c>
      <c r="D1507" s="19" t="str">
        <f>TEXT(Sales[[#This Row],[Kode Program/Kegiatan ]],"mmm")</f>
        <v>Jun</v>
      </c>
      <c r="E1507" s="20">
        <v>8</v>
      </c>
      <c r="F1507" s="19">
        <v>8</v>
      </c>
      <c r="G1507" s="20" t="str">
        <f>IF(Sales[[#This Row],[Anggaran Murni]]-Sales[[#This Row],[Target s.d. Januari]]=0,"",Sales[[#This Row],[Anggaran Murni]]-Sales[[#This Row],[Target s.d. Januari]])</f>
        <v/>
      </c>
      <c r="H1507" s="19" t="s">
        <v>71</v>
      </c>
      <c r="I1507" s="20" t="s">
        <v>6</v>
      </c>
      <c r="J1507" s="20">
        <v>140000000</v>
      </c>
      <c r="K1507" s="19" t="s">
        <v>52</v>
      </c>
      <c r="L1507" s="19" t="s">
        <v>7</v>
      </c>
      <c r="M1507" s="21" t="s">
        <v>67</v>
      </c>
      <c r="N1507" s="20" t="s">
        <v>82</v>
      </c>
      <c r="O1507" s="19" t="s">
        <v>11</v>
      </c>
      <c r="P1507" s="10"/>
      <c r="Q1507" s="11"/>
    </row>
    <row r="1508" spans="2:17" ht="21" customHeight="1" x14ac:dyDescent="0.35">
      <c r="B1508" s="1">
        <v>44007</v>
      </c>
      <c r="C1508" s="1" t="str">
        <f>TEXT(Sales[[#This Row],[Kode Program/Kegiatan ]],"D")</f>
        <v>25</v>
      </c>
      <c r="D1508" s="2" t="str">
        <f>TEXT(Sales[[#This Row],[Kode Program/Kegiatan ]],"mmm")</f>
        <v>Jun</v>
      </c>
      <c r="E1508" s="3">
        <v>8</v>
      </c>
      <c r="F1508" s="2">
        <v>8</v>
      </c>
      <c r="G1508" s="3" t="str">
        <f>IF(Sales[[#This Row],[Anggaran Murni]]-Sales[[#This Row],[Target s.d. Januari]]=0,"",Sales[[#This Row],[Anggaran Murni]]-Sales[[#This Row],[Target s.d. Januari]])</f>
        <v/>
      </c>
      <c r="H1508" s="2" t="s">
        <v>72</v>
      </c>
      <c r="I1508" s="3" t="s">
        <v>78</v>
      </c>
      <c r="J1508" s="3">
        <v>140000000</v>
      </c>
      <c r="K1508" s="2" t="s">
        <v>61</v>
      </c>
      <c r="L1508" s="2" t="s">
        <v>2</v>
      </c>
      <c r="M1508" s="4" t="s">
        <v>67</v>
      </c>
      <c r="N1508" s="3" t="s">
        <v>80</v>
      </c>
      <c r="O1508" s="2" t="s">
        <v>11</v>
      </c>
      <c r="P1508" s="10"/>
      <c r="Q1508" s="11"/>
    </row>
    <row r="1509" spans="2:17" ht="21" customHeight="1" x14ac:dyDescent="0.35">
      <c r="B1509" s="18">
        <v>44007</v>
      </c>
      <c r="C1509" s="18" t="str">
        <f>TEXT(Sales[[#This Row],[Kode Program/Kegiatan ]],"D")</f>
        <v>25</v>
      </c>
      <c r="D1509" s="19" t="str">
        <f>TEXT(Sales[[#This Row],[Kode Program/Kegiatan ]],"mmm")</f>
        <v>Jun</v>
      </c>
      <c r="E1509" s="20">
        <v>8</v>
      </c>
      <c r="F1509" s="19">
        <v>8</v>
      </c>
      <c r="G1509" s="20" t="str">
        <f>IF(Sales[[#This Row],[Anggaran Murni]]-Sales[[#This Row],[Target s.d. Januari]]=0,"",Sales[[#This Row],[Anggaran Murni]]-Sales[[#This Row],[Target s.d. Januari]])</f>
        <v/>
      </c>
      <c r="H1509" s="19" t="s">
        <v>70</v>
      </c>
      <c r="I1509" s="20" t="s">
        <v>1</v>
      </c>
      <c r="J1509" s="20">
        <v>120000000</v>
      </c>
      <c r="K1509" s="19" t="s">
        <v>19</v>
      </c>
      <c r="L1509" s="19" t="s">
        <v>5</v>
      </c>
      <c r="M1509" s="21" t="s">
        <v>67</v>
      </c>
      <c r="N1509" s="20" t="s">
        <v>80</v>
      </c>
      <c r="O1509" s="19" t="s">
        <v>14</v>
      </c>
      <c r="P1509" s="10"/>
      <c r="Q1509" s="11"/>
    </row>
    <row r="1510" spans="2:17" ht="21" customHeight="1" x14ac:dyDescent="0.35">
      <c r="B1510" s="1">
        <v>44007</v>
      </c>
      <c r="C1510" s="1" t="str">
        <f>TEXT(Sales[[#This Row],[Kode Program/Kegiatan ]],"D")</f>
        <v>25</v>
      </c>
      <c r="D1510" s="2" t="str">
        <f>TEXT(Sales[[#This Row],[Kode Program/Kegiatan ]],"mmm")</f>
        <v>Jun</v>
      </c>
      <c r="E1510" s="3">
        <v>6</v>
      </c>
      <c r="F1510" s="2">
        <v>6</v>
      </c>
      <c r="G1510" s="3" t="str">
        <f>IF(Sales[[#This Row],[Anggaran Murni]]-Sales[[#This Row],[Target s.d. Januari]]=0,"",Sales[[#This Row],[Anggaran Murni]]-Sales[[#This Row],[Target s.d. Januari]])</f>
        <v/>
      </c>
      <c r="H1510" s="2" t="s">
        <v>74</v>
      </c>
      <c r="I1510" s="3" t="s">
        <v>77</v>
      </c>
      <c r="J1510" s="3">
        <v>120000000</v>
      </c>
      <c r="K1510" s="2" t="s">
        <v>64</v>
      </c>
      <c r="L1510" s="2" t="s">
        <v>2</v>
      </c>
      <c r="M1510" s="4" t="s">
        <v>67</v>
      </c>
      <c r="N1510" s="3" t="s">
        <v>80</v>
      </c>
      <c r="O1510" s="2" t="s">
        <v>11</v>
      </c>
      <c r="P1510" s="10"/>
      <c r="Q1510" s="11"/>
    </row>
    <row r="1511" spans="2:17" ht="21" customHeight="1" x14ac:dyDescent="0.35">
      <c r="B1511" s="18">
        <v>44007</v>
      </c>
      <c r="C1511" s="18" t="str">
        <f>TEXT(Sales[[#This Row],[Kode Program/Kegiatan ]],"D")</f>
        <v>25</v>
      </c>
      <c r="D1511" s="19" t="str">
        <f>TEXT(Sales[[#This Row],[Kode Program/Kegiatan ]],"mmm")</f>
        <v>Jun</v>
      </c>
      <c r="E1511" s="20">
        <v>5</v>
      </c>
      <c r="F1511" s="19">
        <v>5</v>
      </c>
      <c r="G1511" s="20" t="str">
        <f>IF(Sales[[#This Row],[Anggaran Murni]]-Sales[[#This Row],[Target s.d. Januari]]=0,"",Sales[[#This Row],[Anggaran Murni]]-Sales[[#This Row],[Target s.d. Januari]])</f>
        <v/>
      </c>
      <c r="H1511" s="19" t="s">
        <v>74</v>
      </c>
      <c r="I1511" s="20" t="s">
        <v>77</v>
      </c>
      <c r="J1511" s="20">
        <v>40000000</v>
      </c>
      <c r="K1511" s="19" t="s">
        <v>15</v>
      </c>
      <c r="L1511" s="19" t="s">
        <v>2</v>
      </c>
      <c r="M1511" s="21" t="s">
        <v>67</v>
      </c>
      <c r="N1511" s="20" t="s">
        <v>81</v>
      </c>
      <c r="O1511" s="19" t="s">
        <v>12</v>
      </c>
      <c r="P1511" s="10"/>
      <c r="Q1511" s="11"/>
    </row>
    <row r="1512" spans="2:17" ht="21" customHeight="1" x14ac:dyDescent="0.35">
      <c r="B1512" s="1">
        <v>44007</v>
      </c>
      <c r="C1512" s="1" t="str">
        <f>TEXT(Sales[[#This Row],[Kode Program/Kegiatan ]],"D")</f>
        <v>25</v>
      </c>
      <c r="D1512" s="2" t="str">
        <f>TEXT(Sales[[#This Row],[Kode Program/Kegiatan ]],"mmm")</f>
        <v>Jun</v>
      </c>
      <c r="E1512" s="3">
        <v>5</v>
      </c>
      <c r="F1512" s="2">
        <v>5</v>
      </c>
      <c r="G1512" s="3" t="str">
        <f>IF(Sales[[#This Row],[Anggaran Murni]]-Sales[[#This Row],[Target s.d. Januari]]=0,"",Sales[[#This Row],[Anggaran Murni]]-Sales[[#This Row],[Target s.d. Januari]])</f>
        <v/>
      </c>
      <c r="H1512" s="2" t="s">
        <v>73</v>
      </c>
      <c r="I1512" s="3" t="s">
        <v>78</v>
      </c>
      <c r="J1512" s="3">
        <v>100000000</v>
      </c>
      <c r="K1512" s="2" t="s">
        <v>50</v>
      </c>
      <c r="L1512" s="2" t="s">
        <v>5</v>
      </c>
      <c r="M1512" s="4" t="s">
        <v>67</v>
      </c>
      <c r="N1512" s="3" t="s">
        <v>82</v>
      </c>
      <c r="O1512" s="2" t="s">
        <v>11</v>
      </c>
      <c r="P1512" s="10"/>
      <c r="Q1512" s="11"/>
    </row>
    <row r="1513" spans="2:17" ht="21" customHeight="1" x14ac:dyDescent="0.35">
      <c r="B1513" s="18">
        <v>44007</v>
      </c>
      <c r="C1513" s="18" t="str">
        <f>TEXT(Sales[[#This Row],[Kode Program/Kegiatan ]],"D")</f>
        <v>25</v>
      </c>
      <c r="D1513" s="19" t="str">
        <f>TEXT(Sales[[#This Row],[Kode Program/Kegiatan ]],"mmm")</f>
        <v>Jun</v>
      </c>
      <c r="E1513" s="20">
        <v>3</v>
      </c>
      <c r="F1513" s="19">
        <v>3</v>
      </c>
      <c r="G1513" s="20" t="str">
        <f>IF(Sales[[#This Row],[Anggaran Murni]]-Sales[[#This Row],[Target s.d. Januari]]=0,"",Sales[[#This Row],[Anggaran Murni]]-Sales[[#This Row],[Target s.d. Januari]])</f>
        <v/>
      </c>
      <c r="H1513" s="19" t="s">
        <v>72</v>
      </c>
      <c r="I1513" s="20" t="s">
        <v>78</v>
      </c>
      <c r="J1513" s="20">
        <v>120000000</v>
      </c>
      <c r="K1513" s="19" t="s">
        <v>35</v>
      </c>
      <c r="L1513" s="19" t="s">
        <v>2</v>
      </c>
      <c r="M1513" s="21" t="s">
        <v>67</v>
      </c>
      <c r="N1513" s="20" t="s">
        <v>81</v>
      </c>
      <c r="O1513" s="19" t="s">
        <v>12</v>
      </c>
      <c r="P1513" s="10"/>
      <c r="Q1513" s="11"/>
    </row>
    <row r="1514" spans="2:17" ht="21" customHeight="1" x14ac:dyDescent="0.35">
      <c r="B1514" s="1">
        <v>44008</v>
      </c>
      <c r="C1514" s="1" t="str">
        <f>TEXT(Sales[[#This Row],[Kode Program/Kegiatan ]],"D")</f>
        <v>26</v>
      </c>
      <c r="D1514" s="2" t="str">
        <f>TEXT(Sales[[#This Row],[Kode Program/Kegiatan ]],"mmm")</f>
        <v>Jun</v>
      </c>
      <c r="E1514" s="3">
        <v>10</v>
      </c>
      <c r="F1514" s="2">
        <v>10</v>
      </c>
      <c r="G1514" s="3" t="str">
        <f>IF(Sales[[#This Row],[Anggaran Murni]]-Sales[[#This Row],[Target s.d. Januari]]=0,"",Sales[[#This Row],[Anggaran Murni]]-Sales[[#This Row],[Target s.d. Januari]])</f>
        <v/>
      </c>
      <c r="H1514" s="2" t="s">
        <v>74</v>
      </c>
      <c r="I1514" s="3" t="s">
        <v>77</v>
      </c>
      <c r="J1514" s="3">
        <v>60000000</v>
      </c>
      <c r="K1514" s="2" t="s">
        <v>43</v>
      </c>
      <c r="L1514" s="2" t="s">
        <v>5</v>
      </c>
      <c r="M1514" s="4" t="s">
        <v>67</v>
      </c>
      <c r="N1514" s="3" t="s">
        <v>82</v>
      </c>
      <c r="O1514" s="2" t="s">
        <v>11</v>
      </c>
      <c r="P1514" s="10"/>
      <c r="Q1514" s="11"/>
    </row>
    <row r="1515" spans="2:17" ht="21" customHeight="1" x14ac:dyDescent="0.35">
      <c r="B1515" s="18">
        <v>44008</v>
      </c>
      <c r="C1515" s="18" t="str">
        <f>TEXT(Sales[[#This Row],[Kode Program/Kegiatan ]],"D")</f>
        <v>26</v>
      </c>
      <c r="D1515" s="19" t="str">
        <f>TEXT(Sales[[#This Row],[Kode Program/Kegiatan ]],"mmm")</f>
        <v>Jun</v>
      </c>
      <c r="E1515" s="20">
        <v>10</v>
      </c>
      <c r="F1515" s="19">
        <v>10</v>
      </c>
      <c r="G1515" s="20" t="str">
        <f>IF(Sales[[#This Row],[Anggaran Murni]]-Sales[[#This Row],[Target s.d. Januari]]=0,"",Sales[[#This Row],[Anggaran Murni]]-Sales[[#This Row],[Target s.d. Januari]])</f>
        <v/>
      </c>
      <c r="H1515" s="19" t="s">
        <v>74</v>
      </c>
      <c r="I1515" s="20" t="s">
        <v>77</v>
      </c>
      <c r="J1515" s="20">
        <v>40000000</v>
      </c>
      <c r="K1515" s="19" t="s">
        <v>32</v>
      </c>
      <c r="L1515" s="19" t="s">
        <v>5</v>
      </c>
      <c r="M1515" s="21" t="s">
        <v>67</v>
      </c>
      <c r="N1515" s="20" t="s">
        <v>81</v>
      </c>
      <c r="O1515" s="19" t="s">
        <v>12</v>
      </c>
      <c r="P1515" s="10"/>
      <c r="Q1515" s="11"/>
    </row>
    <row r="1516" spans="2:17" ht="21" customHeight="1" x14ac:dyDescent="0.35">
      <c r="B1516" s="1">
        <v>44008</v>
      </c>
      <c r="C1516" s="1" t="str">
        <f>TEXT(Sales[[#This Row],[Kode Program/Kegiatan ]],"D")</f>
        <v>26</v>
      </c>
      <c r="D1516" s="2" t="str">
        <f>TEXT(Sales[[#This Row],[Kode Program/Kegiatan ]],"mmm")</f>
        <v>Jun</v>
      </c>
      <c r="E1516" s="3">
        <v>10</v>
      </c>
      <c r="F1516" s="2">
        <v>10</v>
      </c>
      <c r="G1516" s="3" t="str">
        <f>IF(Sales[[#This Row],[Anggaran Murni]]-Sales[[#This Row],[Target s.d. Januari]]=0,"",Sales[[#This Row],[Anggaran Murni]]-Sales[[#This Row],[Target s.d. Januari]])</f>
        <v/>
      </c>
      <c r="H1516" s="2" t="s">
        <v>73</v>
      </c>
      <c r="I1516" s="3" t="s">
        <v>78</v>
      </c>
      <c r="J1516" s="3">
        <v>120000000</v>
      </c>
      <c r="K1516" s="2" t="s">
        <v>56</v>
      </c>
      <c r="L1516" s="2" t="s">
        <v>4</v>
      </c>
      <c r="M1516" s="4" t="s">
        <v>67</v>
      </c>
      <c r="N1516" s="3" t="s">
        <v>81</v>
      </c>
      <c r="O1516" s="2" t="s">
        <v>11</v>
      </c>
      <c r="P1516" s="10"/>
      <c r="Q1516" s="11"/>
    </row>
    <row r="1517" spans="2:17" ht="21" customHeight="1" x14ac:dyDescent="0.35">
      <c r="B1517" s="18">
        <v>44008</v>
      </c>
      <c r="C1517" s="18" t="str">
        <f>TEXT(Sales[[#This Row],[Kode Program/Kegiatan ]],"D")</f>
        <v>26</v>
      </c>
      <c r="D1517" s="19" t="str">
        <f>TEXT(Sales[[#This Row],[Kode Program/Kegiatan ]],"mmm")</f>
        <v>Jun</v>
      </c>
      <c r="E1517" s="20">
        <v>6</v>
      </c>
      <c r="F1517" s="19">
        <v>6</v>
      </c>
      <c r="G1517" s="20" t="str">
        <f>IF(Sales[[#This Row],[Anggaran Murni]]-Sales[[#This Row],[Target s.d. Januari]]=0,"",Sales[[#This Row],[Anggaran Murni]]-Sales[[#This Row],[Target s.d. Januari]])</f>
        <v/>
      </c>
      <c r="H1517" s="19" t="s">
        <v>71</v>
      </c>
      <c r="I1517" s="20" t="s">
        <v>6</v>
      </c>
      <c r="J1517" s="20">
        <v>60000000</v>
      </c>
      <c r="K1517" s="19" t="s">
        <v>25</v>
      </c>
      <c r="L1517" s="19" t="s">
        <v>5</v>
      </c>
      <c r="M1517" s="21" t="s">
        <v>67</v>
      </c>
      <c r="N1517" s="20" t="s">
        <v>80</v>
      </c>
      <c r="O1517" s="19" t="s">
        <v>14</v>
      </c>
      <c r="P1517" s="10"/>
      <c r="Q1517" s="11"/>
    </row>
    <row r="1518" spans="2:17" ht="21" customHeight="1" x14ac:dyDescent="0.35">
      <c r="B1518" s="1">
        <v>44008</v>
      </c>
      <c r="C1518" s="1" t="str">
        <f>TEXT(Sales[[#This Row],[Kode Program/Kegiatan ]],"D")</f>
        <v>26</v>
      </c>
      <c r="D1518" s="2" t="str">
        <f>TEXT(Sales[[#This Row],[Kode Program/Kegiatan ]],"mmm")</f>
        <v>Jun</v>
      </c>
      <c r="E1518" s="3">
        <v>5</v>
      </c>
      <c r="F1518" s="2">
        <v>5</v>
      </c>
      <c r="G1518" s="3" t="str">
        <f>IF(Sales[[#This Row],[Anggaran Murni]]-Sales[[#This Row],[Target s.d. Januari]]=0,"",Sales[[#This Row],[Anggaran Murni]]-Sales[[#This Row],[Target s.d. Januari]])</f>
        <v/>
      </c>
      <c r="H1518" s="2" t="s">
        <v>114</v>
      </c>
      <c r="I1518" s="3" t="s">
        <v>3</v>
      </c>
      <c r="J1518" s="3">
        <v>100000000</v>
      </c>
      <c r="K1518" s="2" t="s">
        <v>55</v>
      </c>
      <c r="L1518" s="2" t="s">
        <v>8</v>
      </c>
      <c r="M1518" s="4" t="s">
        <v>67</v>
      </c>
      <c r="N1518" s="3" t="s">
        <v>82</v>
      </c>
      <c r="O1518" s="2" t="s">
        <v>14</v>
      </c>
      <c r="P1518" s="10"/>
      <c r="Q1518" s="11"/>
    </row>
    <row r="1519" spans="2:17" ht="21" customHeight="1" x14ac:dyDescent="0.35">
      <c r="B1519" s="18">
        <v>44008</v>
      </c>
      <c r="C1519" s="18" t="str">
        <f>TEXT(Sales[[#This Row],[Kode Program/Kegiatan ]],"D")</f>
        <v>26</v>
      </c>
      <c r="D1519" s="19" t="str">
        <f>TEXT(Sales[[#This Row],[Kode Program/Kegiatan ]],"mmm")</f>
        <v>Jun</v>
      </c>
      <c r="E1519" s="20">
        <v>4</v>
      </c>
      <c r="F1519" s="19">
        <v>4</v>
      </c>
      <c r="G1519" s="20" t="str">
        <f>IF(Sales[[#This Row],[Anggaran Murni]]-Sales[[#This Row],[Target s.d. Januari]]=0,"",Sales[[#This Row],[Anggaran Murni]]-Sales[[#This Row],[Target s.d. Januari]])</f>
        <v/>
      </c>
      <c r="H1519" s="19" t="s">
        <v>70</v>
      </c>
      <c r="I1519" s="20" t="s">
        <v>1</v>
      </c>
      <c r="J1519" s="20">
        <v>100000000</v>
      </c>
      <c r="K1519" s="19" t="s">
        <v>33</v>
      </c>
      <c r="L1519" s="19" t="s">
        <v>9</v>
      </c>
      <c r="M1519" s="21" t="s">
        <v>67</v>
      </c>
      <c r="N1519" s="20" t="s">
        <v>82</v>
      </c>
      <c r="O1519" s="19" t="s">
        <v>14</v>
      </c>
      <c r="P1519" s="10"/>
      <c r="Q1519" s="11"/>
    </row>
    <row r="1520" spans="2:17" ht="21" customHeight="1" x14ac:dyDescent="0.35">
      <c r="B1520" s="1">
        <v>44008</v>
      </c>
      <c r="C1520" s="1" t="str">
        <f>TEXT(Sales[[#This Row],[Kode Program/Kegiatan ]],"D")</f>
        <v>26</v>
      </c>
      <c r="D1520" s="2" t="str">
        <f>TEXT(Sales[[#This Row],[Kode Program/Kegiatan ]],"mmm")</f>
        <v>Jun</v>
      </c>
      <c r="E1520" s="3">
        <v>4</v>
      </c>
      <c r="F1520" s="2">
        <v>4</v>
      </c>
      <c r="G1520" s="3" t="str">
        <f>IF(Sales[[#This Row],[Anggaran Murni]]-Sales[[#This Row],[Target s.d. Januari]]=0,"",Sales[[#This Row],[Anggaran Murni]]-Sales[[#This Row],[Target s.d. Januari]])</f>
        <v/>
      </c>
      <c r="H1520" s="2" t="s">
        <v>76</v>
      </c>
      <c r="I1520" s="3" t="s">
        <v>79</v>
      </c>
      <c r="J1520" s="3">
        <v>80000000</v>
      </c>
      <c r="K1520" s="2" t="s">
        <v>36</v>
      </c>
      <c r="L1520" s="2" t="s">
        <v>5</v>
      </c>
      <c r="M1520" s="4" t="s">
        <v>67</v>
      </c>
      <c r="N1520" s="3" t="s">
        <v>82</v>
      </c>
      <c r="O1520" s="2" t="s">
        <v>12</v>
      </c>
      <c r="P1520" s="10"/>
      <c r="Q1520" s="11"/>
    </row>
    <row r="1521" spans="2:17" ht="21" customHeight="1" x14ac:dyDescent="0.35">
      <c r="B1521" s="18">
        <v>44008</v>
      </c>
      <c r="C1521" s="18" t="str">
        <f>TEXT(Sales[[#This Row],[Kode Program/Kegiatan ]],"D")</f>
        <v>26</v>
      </c>
      <c r="D1521" s="19" t="str">
        <f>TEXT(Sales[[#This Row],[Kode Program/Kegiatan ]],"mmm")</f>
        <v>Jun</v>
      </c>
      <c r="E1521" s="20">
        <v>3</v>
      </c>
      <c r="F1521" s="19">
        <v>3</v>
      </c>
      <c r="G1521" s="20" t="str">
        <f>IF(Sales[[#This Row],[Anggaran Murni]]-Sales[[#This Row],[Target s.d. Januari]]=0,"",Sales[[#This Row],[Anggaran Murni]]-Sales[[#This Row],[Target s.d. Januari]])</f>
        <v/>
      </c>
      <c r="H1521" s="19" t="s">
        <v>76</v>
      </c>
      <c r="I1521" s="20" t="s">
        <v>79</v>
      </c>
      <c r="J1521" s="20">
        <v>80000000</v>
      </c>
      <c r="K1521" s="19" t="s">
        <v>23</v>
      </c>
      <c r="L1521" s="19" t="s">
        <v>2</v>
      </c>
      <c r="M1521" s="21" t="s">
        <v>67</v>
      </c>
      <c r="N1521" s="20" t="s">
        <v>82</v>
      </c>
      <c r="O1521" s="19" t="s">
        <v>14</v>
      </c>
      <c r="P1521" s="10"/>
      <c r="Q1521" s="11"/>
    </row>
    <row r="1522" spans="2:17" ht="21" customHeight="1" x14ac:dyDescent="0.35">
      <c r="B1522" s="1">
        <v>44008</v>
      </c>
      <c r="C1522" s="1" t="str">
        <f>TEXT(Sales[[#This Row],[Kode Program/Kegiatan ]],"D")</f>
        <v>26</v>
      </c>
      <c r="D1522" s="2" t="str">
        <f>TEXT(Sales[[#This Row],[Kode Program/Kegiatan ]],"mmm")</f>
        <v>Jun</v>
      </c>
      <c r="E1522" s="3">
        <v>3</v>
      </c>
      <c r="F1522" s="2">
        <v>3</v>
      </c>
      <c r="G1522" s="3" t="str">
        <f>IF(Sales[[#This Row],[Anggaran Murni]]-Sales[[#This Row],[Target s.d. Januari]]=0,"",Sales[[#This Row],[Anggaran Murni]]-Sales[[#This Row],[Target s.d. Januari]])</f>
        <v/>
      </c>
      <c r="H1522" s="2" t="s">
        <v>72</v>
      </c>
      <c r="I1522" s="3" t="s">
        <v>78</v>
      </c>
      <c r="J1522" s="3">
        <v>80000000</v>
      </c>
      <c r="K1522" s="2" t="s">
        <v>38</v>
      </c>
      <c r="L1522" s="2" t="s">
        <v>5</v>
      </c>
      <c r="M1522" s="4" t="s">
        <v>67</v>
      </c>
      <c r="N1522" s="3" t="s">
        <v>81</v>
      </c>
      <c r="O1522" s="2" t="s">
        <v>14</v>
      </c>
      <c r="P1522" s="10"/>
      <c r="Q1522" s="11"/>
    </row>
    <row r="1523" spans="2:17" ht="21" customHeight="1" x14ac:dyDescent="0.35">
      <c r="B1523" s="18">
        <v>44009</v>
      </c>
      <c r="C1523" s="18" t="str">
        <f>TEXT(Sales[[#This Row],[Kode Program/Kegiatan ]],"D")</f>
        <v>27</v>
      </c>
      <c r="D1523" s="19" t="str">
        <f>TEXT(Sales[[#This Row],[Kode Program/Kegiatan ]],"mmm")</f>
        <v>Jun</v>
      </c>
      <c r="E1523" s="20">
        <v>9</v>
      </c>
      <c r="F1523" s="19">
        <v>9</v>
      </c>
      <c r="G1523" s="20" t="str">
        <f>IF(Sales[[#This Row],[Anggaran Murni]]-Sales[[#This Row],[Target s.d. Januari]]=0,"",Sales[[#This Row],[Anggaran Murni]]-Sales[[#This Row],[Target s.d. Januari]])</f>
        <v/>
      </c>
      <c r="H1523" s="19" t="s">
        <v>73</v>
      </c>
      <c r="I1523" s="20" t="s">
        <v>78</v>
      </c>
      <c r="J1523" s="20">
        <v>120000000</v>
      </c>
      <c r="K1523" s="19" t="s">
        <v>16</v>
      </c>
      <c r="L1523" s="19" t="s">
        <v>8</v>
      </c>
      <c r="M1523" s="21" t="s">
        <v>67</v>
      </c>
      <c r="N1523" s="20" t="s">
        <v>81</v>
      </c>
      <c r="O1523" s="19" t="s">
        <v>13</v>
      </c>
      <c r="P1523" s="10"/>
      <c r="Q1523" s="11"/>
    </row>
    <row r="1524" spans="2:17" ht="21" customHeight="1" x14ac:dyDescent="0.35">
      <c r="B1524" s="1">
        <v>44009</v>
      </c>
      <c r="C1524" s="1" t="str">
        <f>TEXT(Sales[[#This Row],[Kode Program/Kegiatan ]],"D")</f>
        <v>27</v>
      </c>
      <c r="D1524" s="2" t="str">
        <f>TEXT(Sales[[#This Row],[Kode Program/Kegiatan ]],"mmm")</f>
        <v>Jun</v>
      </c>
      <c r="E1524" s="3">
        <v>9</v>
      </c>
      <c r="F1524" s="2">
        <v>9</v>
      </c>
      <c r="G1524" s="3" t="str">
        <f>IF(Sales[[#This Row],[Anggaran Murni]]-Sales[[#This Row],[Target s.d. Januari]]=0,"",Sales[[#This Row],[Anggaran Murni]]-Sales[[#This Row],[Target s.d. Januari]])</f>
        <v/>
      </c>
      <c r="H1524" s="2" t="s">
        <v>72</v>
      </c>
      <c r="I1524" s="3" t="s">
        <v>78</v>
      </c>
      <c r="J1524" s="3">
        <v>40000000</v>
      </c>
      <c r="K1524" s="2" t="s">
        <v>55</v>
      </c>
      <c r="L1524" s="2" t="s">
        <v>4</v>
      </c>
      <c r="M1524" s="4" t="s">
        <v>67</v>
      </c>
      <c r="N1524" s="3" t="s">
        <v>81</v>
      </c>
      <c r="O1524" s="2" t="s">
        <v>14</v>
      </c>
      <c r="P1524" s="10"/>
      <c r="Q1524" s="11"/>
    </row>
    <row r="1525" spans="2:17" ht="21" customHeight="1" x14ac:dyDescent="0.35">
      <c r="B1525" s="18">
        <v>44009</v>
      </c>
      <c r="C1525" s="18" t="str">
        <f>TEXT(Sales[[#This Row],[Kode Program/Kegiatan ]],"D")</f>
        <v>27</v>
      </c>
      <c r="D1525" s="19" t="str">
        <f>TEXT(Sales[[#This Row],[Kode Program/Kegiatan ]],"mmm")</f>
        <v>Jun</v>
      </c>
      <c r="E1525" s="20">
        <v>9</v>
      </c>
      <c r="F1525" s="19">
        <v>9</v>
      </c>
      <c r="G1525" s="20" t="str">
        <f>IF(Sales[[#This Row],[Anggaran Murni]]-Sales[[#This Row],[Target s.d. Januari]]=0,"",Sales[[#This Row],[Anggaran Murni]]-Sales[[#This Row],[Target s.d. Januari]])</f>
        <v/>
      </c>
      <c r="H1525" s="19" t="s">
        <v>71</v>
      </c>
      <c r="I1525" s="20" t="s">
        <v>6</v>
      </c>
      <c r="J1525" s="20">
        <v>80000000</v>
      </c>
      <c r="K1525" s="19" t="s">
        <v>30</v>
      </c>
      <c r="L1525" s="19" t="s">
        <v>5</v>
      </c>
      <c r="M1525" s="21" t="s">
        <v>67</v>
      </c>
      <c r="N1525" s="20" t="s">
        <v>82</v>
      </c>
      <c r="O1525" s="19" t="s">
        <v>13</v>
      </c>
      <c r="P1525" s="10"/>
      <c r="Q1525" s="11"/>
    </row>
    <row r="1526" spans="2:17" ht="21" customHeight="1" x14ac:dyDescent="0.35">
      <c r="B1526" s="1">
        <v>44009</v>
      </c>
      <c r="C1526" s="1" t="str">
        <f>TEXT(Sales[[#This Row],[Kode Program/Kegiatan ]],"D")</f>
        <v>27</v>
      </c>
      <c r="D1526" s="2" t="str">
        <f>TEXT(Sales[[#This Row],[Kode Program/Kegiatan ]],"mmm")</f>
        <v>Jun</v>
      </c>
      <c r="E1526" s="3">
        <v>8</v>
      </c>
      <c r="F1526" s="2">
        <v>8</v>
      </c>
      <c r="G1526" s="3" t="str">
        <f>IF(Sales[[#This Row],[Anggaran Murni]]-Sales[[#This Row],[Target s.d. Januari]]=0,"",Sales[[#This Row],[Anggaran Murni]]-Sales[[#This Row],[Target s.d. Januari]])</f>
        <v/>
      </c>
      <c r="H1526" s="2" t="s">
        <v>74</v>
      </c>
      <c r="I1526" s="3" t="s">
        <v>77</v>
      </c>
      <c r="J1526" s="3">
        <v>80000000</v>
      </c>
      <c r="K1526" s="2" t="s">
        <v>33</v>
      </c>
      <c r="L1526" s="2" t="s">
        <v>2</v>
      </c>
      <c r="M1526" s="4" t="s">
        <v>67</v>
      </c>
      <c r="N1526" s="3" t="s">
        <v>82</v>
      </c>
      <c r="O1526" s="2" t="s">
        <v>14</v>
      </c>
      <c r="P1526" s="10"/>
      <c r="Q1526" s="11"/>
    </row>
    <row r="1527" spans="2:17" ht="21" customHeight="1" x14ac:dyDescent="0.35">
      <c r="B1527" s="18">
        <v>44009</v>
      </c>
      <c r="C1527" s="18" t="str">
        <f>TEXT(Sales[[#This Row],[Kode Program/Kegiatan ]],"D")</f>
        <v>27</v>
      </c>
      <c r="D1527" s="19" t="str">
        <f>TEXT(Sales[[#This Row],[Kode Program/Kegiatan ]],"mmm")</f>
        <v>Jun</v>
      </c>
      <c r="E1527" s="20">
        <v>8</v>
      </c>
      <c r="F1527" s="19">
        <v>8</v>
      </c>
      <c r="G1527" s="20" t="str">
        <f>IF(Sales[[#This Row],[Anggaran Murni]]-Sales[[#This Row],[Target s.d. Januari]]=0,"",Sales[[#This Row],[Anggaran Murni]]-Sales[[#This Row],[Target s.d. Januari]])</f>
        <v/>
      </c>
      <c r="H1527" s="19" t="s">
        <v>76</v>
      </c>
      <c r="I1527" s="20" t="s">
        <v>79</v>
      </c>
      <c r="J1527" s="20">
        <v>120000000</v>
      </c>
      <c r="K1527" s="19" t="s">
        <v>38</v>
      </c>
      <c r="L1527" s="19" t="s">
        <v>5</v>
      </c>
      <c r="M1527" s="21" t="s">
        <v>67</v>
      </c>
      <c r="N1527" s="20" t="s">
        <v>81</v>
      </c>
      <c r="O1527" s="19" t="s">
        <v>13</v>
      </c>
      <c r="P1527" s="10"/>
      <c r="Q1527" s="11"/>
    </row>
    <row r="1528" spans="2:17" ht="21" customHeight="1" x14ac:dyDescent="0.35">
      <c r="B1528" s="1">
        <v>44009</v>
      </c>
      <c r="C1528" s="1" t="str">
        <f>TEXT(Sales[[#This Row],[Kode Program/Kegiatan ]],"D")</f>
        <v>27</v>
      </c>
      <c r="D1528" s="2" t="str">
        <f>TEXT(Sales[[#This Row],[Kode Program/Kegiatan ]],"mmm")</f>
        <v>Jun</v>
      </c>
      <c r="E1528" s="3">
        <v>7</v>
      </c>
      <c r="F1528" s="2">
        <v>7</v>
      </c>
      <c r="G1528" s="3" t="str">
        <f>IF(Sales[[#This Row],[Anggaran Murni]]-Sales[[#This Row],[Target s.d. Januari]]=0,"",Sales[[#This Row],[Anggaran Murni]]-Sales[[#This Row],[Target s.d. Januari]])</f>
        <v/>
      </c>
      <c r="H1528" s="2" t="s">
        <v>74</v>
      </c>
      <c r="I1528" s="3" t="s">
        <v>77</v>
      </c>
      <c r="J1528" s="3">
        <v>40000000</v>
      </c>
      <c r="K1528" s="2" t="s">
        <v>52</v>
      </c>
      <c r="L1528" s="2" t="s">
        <v>5</v>
      </c>
      <c r="M1528" s="4" t="s">
        <v>67</v>
      </c>
      <c r="N1528" s="3" t="s">
        <v>82</v>
      </c>
      <c r="O1528" s="2" t="s">
        <v>12</v>
      </c>
      <c r="P1528" s="10"/>
      <c r="Q1528" s="11"/>
    </row>
    <row r="1529" spans="2:17" ht="21" customHeight="1" x14ac:dyDescent="0.35">
      <c r="B1529" s="18">
        <v>44009</v>
      </c>
      <c r="C1529" s="18" t="str">
        <f>TEXT(Sales[[#This Row],[Kode Program/Kegiatan ]],"D")</f>
        <v>27</v>
      </c>
      <c r="D1529" s="19" t="str">
        <f>TEXT(Sales[[#This Row],[Kode Program/Kegiatan ]],"mmm")</f>
        <v>Jun</v>
      </c>
      <c r="E1529" s="20">
        <v>7</v>
      </c>
      <c r="F1529" s="19">
        <v>7</v>
      </c>
      <c r="G1529" s="20" t="str">
        <f>IF(Sales[[#This Row],[Anggaran Murni]]-Sales[[#This Row],[Target s.d. Januari]]=0,"",Sales[[#This Row],[Anggaran Murni]]-Sales[[#This Row],[Target s.d. Januari]])</f>
        <v/>
      </c>
      <c r="H1529" s="19" t="s">
        <v>72</v>
      </c>
      <c r="I1529" s="20" t="s">
        <v>78</v>
      </c>
      <c r="J1529" s="20">
        <v>40000000</v>
      </c>
      <c r="K1529" s="19" t="s">
        <v>27</v>
      </c>
      <c r="L1529" s="19" t="s">
        <v>5</v>
      </c>
      <c r="M1529" s="21" t="s">
        <v>67</v>
      </c>
      <c r="N1529" s="20" t="s">
        <v>81</v>
      </c>
      <c r="O1529" s="19" t="s">
        <v>14</v>
      </c>
      <c r="P1529" s="10"/>
      <c r="Q1529" s="11"/>
    </row>
    <row r="1530" spans="2:17" ht="21" customHeight="1" x14ac:dyDescent="0.35">
      <c r="B1530" s="1">
        <v>44009</v>
      </c>
      <c r="C1530" s="1" t="str">
        <f>TEXT(Sales[[#This Row],[Kode Program/Kegiatan ]],"D")</f>
        <v>27</v>
      </c>
      <c r="D1530" s="2" t="str">
        <f>TEXT(Sales[[#This Row],[Kode Program/Kegiatan ]],"mmm")</f>
        <v>Jun</v>
      </c>
      <c r="E1530" s="3">
        <v>6</v>
      </c>
      <c r="F1530" s="2">
        <v>6</v>
      </c>
      <c r="G1530" s="3" t="str">
        <f>IF(Sales[[#This Row],[Anggaran Murni]]-Sales[[#This Row],[Target s.d. Januari]]=0,"",Sales[[#This Row],[Anggaran Murni]]-Sales[[#This Row],[Target s.d. Januari]])</f>
        <v/>
      </c>
      <c r="H1530" s="2" t="s">
        <v>72</v>
      </c>
      <c r="I1530" s="3" t="s">
        <v>78</v>
      </c>
      <c r="J1530" s="3">
        <v>120000000</v>
      </c>
      <c r="K1530" s="2" t="s">
        <v>32</v>
      </c>
      <c r="L1530" s="2" t="s">
        <v>2</v>
      </c>
      <c r="M1530" s="4" t="s">
        <v>67</v>
      </c>
      <c r="N1530" s="3" t="s">
        <v>81</v>
      </c>
      <c r="O1530" s="2" t="s">
        <v>14</v>
      </c>
      <c r="P1530" s="10"/>
      <c r="Q1530" s="11"/>
    </row>
    <row r="1531" spans="2:17" ht="21" customHeight="1" x14ac:dyDescent="0.35">
      <c r="B1531" s="18">
        <v>44009</v>
      </c>
      <c r="C1531" s="18" t="str">
        <f>TEXT(Sales[[#This Row],[Kode Program/Kegiatan ]],"D")</f>
        <v>27</v>
      </c>
      <c r="D1531" s="19" t="str">
        <f>TEXT(Sales[[#This Row],[Kode Program/Kegiatan ]],"mmm")</f>
        <v>Jun</v>
      </c>
      <c r="E1531" s="20">
        <v>4</v>
      </c>
      <c r="F1531" s="19">
        <v>4</v>
      </c>
      <c r="G1531" s="20" t="str">
        <f>IF(Sales[[#This Row],[Anggaran Murni]]-Sales[[#This Row],[Target s.d. Januari]]=0,"",Sales[[#This Row],[Anggaran Murni]]-Sales[[#This Row],[Target s.d. Januari]])</f>
        <v/>
      </c>
      <c r="H1531" s="19" t="s">
        <v>114</v>
      </c>
      <c r="I1531" s="20" t="s">
        <v>3</v>
      </c>
      <c r="J1531" s="20">
        <v>120000000</v>
      </c>
      <c r="K1531" s="19" t="s">
        <v>39</v>
      </c>
      <c r="L1531" s="19" t="s">
        <v>2</v>
      </c>
      <c r="M1531" s="21" t="s">
        <v>67</v>
      </c>
      <c r="N1531" s="20" t="s">
        <v>81</v>
      </c>
      <c r="O1531" s="19" t="s">
        <v>12</v>
      </c>
      <c r="P1531" s="10"/>
      <c r="Q1531" s="11"/>
    </row>
    <row r="1532" spans="2:17" ht="21" customHeight="1" x14ac:dyDescent="0.35">
      <c r="B1532" s="1">
        <v>44009</v>
      </c>
      <c r="C1532" s="1" t="str">
        <f>TEXT(Sales[[#This Row],[Kode Program/Kegiatan ]],"D")</f>
        <v>27</v>
      </c>
      <c r="D1532" s="2" t="str">
        <f>TEXT(Sales[[#This Row],[Kode Program/Kegiatan ]],"mmm")</f>
        <v>Jun</v>
      </c>
      <c r="E1532" s="3">
        <v>3</v>
      </c>
      <c r="F1532" s="2">
        <v>3</v>
      </c>
      <c r="G1532" s="3" t="str">
        <f>IF(Sales[[#This Row],[Anggaran Murni]]-Sales[[#This Row],[Target s.d. Januari]]=0,"",Sales[[#This Row],[Anggaran Murni]]-Sales[[#This Row],[Target s.d. Januari]])</f>
        <v/>
      </c>
      <c r="H1532" s="2" t="s">
        <v>70</v>
      </c>
      <c r="I1532" s="3" t="s">
        <v>1</v>
      </c>
      <c r="J1532" s="3">
        <v>140000000</v>
      </c>
      <c r="K1532" s="2" t="s">
        <v>15</v>
      </c>
      <c r="L1532" s="2" t="s">
        <v>2</v>
      </c>
      <c r="M1532" s="4" t="s">
        <v>67</v>
      </c>
      <c r="N1532" s="3" t="s">
        <v>81</v>
      </c>
      <c r="O1532" s="2" t="s">
        <v>13</v>
      </c>
      <c r="P1532" s="10"/>
      <c r="Q1532" s="11"/>
    </row>
    <row r="1533" spans="2:17" ht="21" customHeight="1" x14ac:dyDescent="0.35">
      <c r="B1533" s="18">
        <v>44010</v>
      </c>
      <c r="C1533" s="18" t="str">
        <f>TEXT(Sales[[#This Row],[Kode Program/Kegiatan ]],"D")</f>
        <v>28</v>
      </c>
      <c r="D1533" s="19" t="str">
        <f>TEXT(Sales[[#This Row],[Kode Program/Kegiatan ]],"mmm")</f>
        <v>Jun</v>
      </c>
      <c r="E1533" s="20">
        <v>9</v>
      </c>
      <c r="F1533" s="19">
        <v>9</v>
      </c>
      <c r="G1533" s="20" t="str">
        <f>IF(Sales[[#This Row],[Anggaran Murni]]-Sales[[#This Row],[Target s.d. Januari]]=0,"",Sales[[#This Row],[Anggaran Murni]]-Sales[[#This Row],[Target s.d. Januari]])</f>
        <v/>
      </c>
      <c r="H1533" s="19" t="s">
        <v>73</v>
      </c>
      <c r="I1533" s="20" t="s">
        <v>78</v>
      </c>
      <c r="J1533" s="20">
        <v>120000000</v>
      </c>
      <c r="K1533" s="19" t="s">
        <v>28</v>
      </c>
      <c r="L1533" s="19" t="s">
        <v>4</v>
      </c>
      <c r="M1533" s="21" t="s">
        <v>67</v>
      </c>
      <c r="N1533" s="20" t="s">
        <v>81</v>
      </c>
      <c r="O1533" s="19" t="s">
        <v>12</v>
      </c>
      <c r="P1533" s="10"/>
      <c r="Q1533" s="11"/>
    </row>
    <row r="1534" spans="2:17" ht="21" customHeight="1" x14ac:dyDescent="0.35">
      <c r="B1534" s="1">
        <v>44010</v>
      </c>
      <c r="C1534" s="1" t="str">
        <f>TEXT(Sales[[#This Row],[Kode Program/Kegiatan ]],"D")</f>
        <v>28</v>
      </c>
      <c r="D1534" s="2" t="str">
        <f>TEXT(Sales[[#This Row],[Kode Program/Kegiatan ]],"mmm")</f>
        <v>Jun</v>
      </c>
      <c r="E1534" s="3">
        <v>7</v>
      </c>
      <c r="F1534" s="2">
        <v>7</v>
      </c>
      <c r="G1534" s="3" t="str">
        <f>IF(Sales[[#This Row],[Anggaran Murni]]-Sales[[#This Row],[Target s.d. Januari]]=0,"",Sales[[#This Row],[Anggaran Murni]]-Sales[[#This Row],[Target s.d. Januari]])</f>
        <v/>
      </c>
      <c r="H1534" s="2" t="s">
        <v>75</v>
      </c>
      <c r="I1534" s="3" t="s">
        <v>6</v>
      </c>
      <c r="J1534" s="3">
        <v>120000000</v>
      </c>
      <c r="K1534" s="2" t="s">
        <v>57</v>
      </c>
      <c r="L1534" s="2" t="s">
        <v>5</v>
      </c>
      <c r="M1534" s="4" t="s">
        <v>67</v>
      </c>
      <c r="N1534" s="3" t="s">
        <v>80</v>
      </c>
      <c r="O1534" s="2" t="s">
        <v>12</v>
      </c>
      <c r="P1534" s="10"/>
      <c r="Q1534" s="11"/>
    </row>
    <row r="1535" spans="2:17" ht="21" customHeight="1" x14ac:dyDescent="0.35">
      <c r="B1535" s="18">
        <v>44010</v>
      </c>
      <c r="C1535" s="18" t="str">
        <f>TEXT(Sales[[#This Row],[Kode Program/Kegiatan ]],"D")</f>
        <v>28</v>
      </c>
      <c r="D1535" s="19" t="str">
        <f>TEXT(Sales[[#This Row],[Kode Program/Kegiatan ]],"mmm")</f>
        <v>Jun</v>
      </c>
      <c r="E1535" s="20">
        <v>5</v>
      </c>
      <c r="F1535" s="19">
        <v>5</v>
      </c>
      <c r="G1535" s="20" t="str">
        <f>IF(Sales[[#This Row],[Anggaran Murni]]-Sales[[#This Row],[Target s.d. Januari]]=0,"",Sales[[#This Row],[Anggaran Murni]]-Sales[[#This Row],[Target s.d. Januari]])</f>
        <v/>
      </c>
      <c r="H1535" s="19" t="s">
        <v>76</v>
      </c>
      <c r="I1535" s="20" t="s">
        <v>79</v>
      </c>
      <c r="J1535" s="20">
        <v>100000000</v>
      </c>
      <c r="K1535" s="19" t="s">
        <v>39</v>
      </c>
      <c r="L1535" s="19" t="s">
        <v>9</v>
      </c>
      <c r="M1535" s="21" t="s">
        <v>67</v>
      </c>
      <c r="N1535" s="20" t="s">
        <v>82</v>
      </c>
      <c r="O1535" s="19" t="s">
        <v>11</v>
      </c>
      <c r="P1535" s="10"/>
      <c r="Q1535" s="11"/>
    </row>
    <row r="1536" spans="2:17" ht="21" customHeight="1" x14ac:dyDescent="0.35">
      <c r="B1536" s="1">
        <v>44010</v>
      </c>
      <c r="C1536" s="1" t="str">
        <f>TEXT(Sales[[#This Row],[Kode Program/Kegiatan ]],"D")</f>
        <v>28</v>
      </c>
      <c r="D1536" s="2" t="str">
        <f>TEXT(Sales[[#This Row],[Kode Program/Kegiatan ]],"mmm")</f>
        <v>Jun</v>
      </c>
      <c r="E1536" s="3">
        <v>5</v>
      </c>
      <c r="F1536" s="2">
        <v>5</v>
      </c>
      <c r="G1536" s="3" t="str">
        <f>IF(Sales[[#This Row],[Anggaran Murni]]-Sales[[#This Row],[Target s.d. Januari]]=0,"",Sales[[#This Row],[Anggaran Murni]]-Sales[[#This Row],[Target s.d. Januari]])</f>
        <v/>
      </c>
      <c r="H1536" s="2" t="s">
        <v>74</v>
      </c>
      <c r="I1536" s="3" t="s">
        <v>77</v>
      </c>
      <c r="J1536" s="3">
        <v>120000000</v>
      </c>
      <c r="K1536" s="2" t="s">
        <v>37</v>
      </c>
      <c r="L1536" s="2" t="s">
        <v>5</v>
      </c>
      <c r="M1536" s="4" t="s">
        <v>67</v>
      </c>
      <c r="N1536" s="3" t="s">
        <v>80</v>
      </c>
      <c r="O1536" s="2" t="s">
        <v>14</v>
      </c>
      <c r="P1536" s="10"/>
      <c r="Q1536" s="11"/>
    </row>
    <row r="1537" spans="2:17" ht="21" customHeight="1" x14ac:dyDescent="0.35">
      <c r="B1537" s="18">
        <v>44010</v>
      </c>
      <c r="C1537" s="18" t="str">
        <f>TEXT(Sales[[#This Row],[Kode Program/Kegiatan ]],"D")</f>
        <v>28</v>
      </c>
      <c r="D1537" s="19" t="str">
        <f>TEXT(Sales[[#This Row],[Kode Program/Kegiatan ]],"mmm")</f>
        <v>Jun</v>
      </c>
      <c r="E1537" s="20">
        <v>4</v>
      </c>
      <c r="F1537" s="19">
        <v>4</v>
      </c>
      <c r="G1537" s="20" t="str">
        <f>IF(Sales[[#This Row],[Anggaran Murni]]-Sales[[#This Row],[Target s.d. Januari]]=0,"",Sales[[#This Row],[Anggaran Murni]]-Sales[[#This Row],[Target s.d. Januari]])</f>
        <v/>
      </c>
      <c r="H1537" s="19" t="s">
        <v>74</v>
      </c>
      <c r="I1537" s="20" t="s">
        <v>77</v>
      </c>
      <c r="J1537" s="20">
        <v>140000000</v>
      </c>
      <c r="K1537" s="19" t="s">
        <v>22</v>
      </c>
      <c r="L1537" s="19" t="s">
        <v>9</v>
      </c>
      <c r="M1537" s="21" t="s">
        <v>67</v>
      </c>
      <c r="N1537" s="20" t="s">
        <v>81</v>
      </c>
      <c r="O1537" s="19" t="s">
        <v>13</v>
      </c>
      <c r="P1537" s="10"/>
      <c r="Q1537" s="11"/>
    </row>
    <row r="1538" spans="2:17" ht="21" customHeight="1" x14ac:dyDescent="0.35">
      <c r="B1538" s="1">
        <v>44010</v>
      </c>
      <c r="C1538" s="1" t="str">
        <f>TEXT(Sales[[#This Row],[Kode Program/Kegiatan ]],"D")</f>
        <v>28</v>
      </c>
      <c r="D1538" s="2" t="str">
        <f>TEXT(Sales[[#This Row],[Kode Program/Kegiatan ]],"mmm")</f>
        <v>Jun</v>
      </c>
      <c r="E1538" s="3">
        <v>4</v>
      </c>
      <c r="F1538" s="2">
        <v>4</v>
      </c>
      <c r="G1538" s="3" t="str">
        <f>IF(Sales[[#This Row],[Anggaran Murni]]-Sales[[#This Row],[Target s.d. Januari]]=0,"",Sales[[#This Row],[Anggaran Murni]]-Sales[[#This Row],[Target s.d. Januari]])</f>
        <v/>
      </c>
      <c r="H1538" s="2" t="s">
        <v>70</v>
      </c>
      <c r="I1538" s="3" t="s">
        <v>1</v>
      </c>
      <c r="J1538" s="3">
        <v>140000000</v>
      </c>
      <c r="K1538" s="2" t="s">
        <v>21</v>
      </c>
      <c r="L1538" s="2" t="s">
        <v>7</v>
      </c>
      <c r="M1538" s="4" t="s">
        <v>67</v>
      </c>
      <c r="N1538" s="3" t="s">
        <v>80</v>
      </c>
      <c r="O1538" s="2" t="s">
        <v>12</v>
      </c>
      <c r="P1538" s="10"/>
      <c r="Q1538" s="11"/>
    </row>
    <row r="1539" spans="2:17" ht="21" customHeight="1" x14ac:dyDescent="0.35">
      <c r="B1539" s="18">
        <v>44010</v>
      </c>
      <c r="C1539" s="18" t="str">
        <f>TEXT(Sales[[#This Row],[Kode Program/Kegiatan ]],"D")</f>
        <v>28</v>
      </c>
      <c r="D1539" s="19" t="str">
        <f>TEXT(Sales[[#This Row],[Kode Program/Kegiatan ]],"mmm")</f>
        <v>Jun</v>
      </c>
      <c r="E1539" s="20">
        <v>3</v>
      </c>
      <c r="F1539" s="19">
        <v>3</v>
      </c>
      <c r="G1539" s="20" t="str">
        <f>IF(Sales[[#This Row],[Anggaran Murni]]-Sales[[#This Row],[Target s.d. Januari]]=0,"",Sales[[#This Row],[Anggaran Murni]]-Sales[[#This Row],[Target s.d. Januari]])</f>
        <v/>
      </c>
      <c r="H1539" s="19" t="s">
        <v>73</v>
      </c>
      <c r="I1539" s="20" t="s">
        <v>78</v>
      </c>
      <c r="J1539" s="20">
        <v>100000000</v>
      </c>
      <c r="K1539" s="19" t="s">
        <v>60</v>
      </c>
      <c r="L1539" s="19" t="s">
        <v>5</v>
      </c>
      <c r="M1539" s="21" t="s">
        <v>67</v>
      </c>
      <c r="N1539" s="20" t="s">
        <v>82</v>
      </c>
      <c r="O1539" s="19" t="s">
        <v>13</v>
      </c>
      <c r="P1539" s="10"/>
      <c r="Q1539" s="11"/>
    </row>
    <row r="1540" spans="2:17" ht="21" customHeight="1" x14ac:dyDescent="0.35">
      <c r="B1540" s="1">
        <v>44010</v>
      </c>
      <c r="C1540" s="1" t="str">
        <f>TEXT(Sales[[#This Row],[Kode Program/Kegiatan ]],"D")</f>
        <v>28</v>
      </c>
      <c r="D1540" s="2" t="str">
        <f>TEXT(Sales[[#This Row],[Kode Program/Kegiatan ]],"mmm")</f>
        <v>Jun</v>
      </c>
      <c r="E1540" s="3">
        <v>3</v>
      </c>
      <c r="F1540" s="2">
        <v>3</v>
      </c>
      <c r="G1540" s="3" t="str">
        <f>IF(Sales[[#This Row],[Anggaran Murni]]-Sales[[#This Row],[Target s.d. Januari]]=0,"",Sales[[#This Row],[Anggaran Murni]]-Sales[[#This Row],[Target s.d. Januari]])</f>
        <v/>
      </c>
      <c r="H1540" s="2" t="s">
        <v>70</v>
      </c>
      <c r="I1540" s="3" t="s">
        <v>1</v>
      </c>
      <c r="J1540" s="3">
        <v>140000000</v>
      </c>
      <c r="K1540" s="2" t="s">
        <v>46</v>
      </c>
      <c r="L1540" s="2" t="s">
        <v>2</v>
      </c>
      <c r="M1540" s="4" t="s">
        <v>67</v>
      </c>
      <c r="N1540" s="3" t="s">
        <v>82</v>
      </c>
      <c r="O1540" s="2" t="s">
        <v>13</v>
      </c>
      <c r="P1540" s="10"/>
      <c r="Q1540" s="11"/>
    </row>
    <row r="1541" spans="2:17" ht="21" customHeight="1" x14ac:dyDescent="0.35">
      <c r="B1541" s="18">
        <v>44011</v>
      </c>
      <c r="C1541" s="18" t="str">
        <f>TEXT(Sales[[#This Row],[Kode Program/Kegiatan ]],"D")</f>
        <v>29</v>
      </c>
      <c r="D1541" s="19" t="str">
        <f>TEXT(Sales[[#This Row],[Kode Program/Kegiatan ]],"mmm")</f>
        <v>Jun</v>
      </c>
      <c r="E1541" s="20">
        <v>10</v>
      </c>
      <c r="F1541" s="19">
        <v>7</v>
      </c>
      <c r="G1541" s="20">
        <f>IF(Sales[[#This Row],[Anggaran Murni]]-Sales[[#This Row],[Target s.d. Januari]]=0,"",Sales[[#This Row],[Anggaran Murni]]-Sales[[#This Row],[Target s.d. Januari]])</f>
        <v>3</v>
      </c>
      <c r="H1541" s="19" t="s">
        <v>113</v>
      </c>
      <c r="I1541" s="20" t="s">
        <v>77</v>
      </c>
      <c r="J1541" s="20">
        <v>80000000</v>
      </c>
      <c r="K1541" s="19" t="s">
        <v>32</v>
      </c>
      <c r="L1541" s="19" t="s">
        <v>5</v>
      </c>
      <c r="M1541" s="21" t="s">
        <v>67</v>
      </c>
      <c r="N1541" s="20" t="s">
        <v>80</v>
      </c>
      <c r="O1541" s="19" t="s">
        <v>12</v>
      </c>
      <c r="P1541" s="10"/>
      <c r="Q1541" s="11"/>
    </row>
    <row r="1542" spans="2:17" ht="21" customHeight="1" x14ac:dyDescent="0.35">
      <c r="B1542" s="1">
        <v>44011</v>
      </c>
      <c r="C1542" s="1" t="str">
        <f>TEXT(Sales[[#This Row],[Kode Program/Kegiatan ]],"D")</f>
        <v>29</v>
      </c>
      <c r="D1542" s="2" t="str">
        <f>TEXT(Sales[[#This Row],[Kode Program/Kegiatan ]],"mmm")</f>
        <v>Jun</v>
      </c>
      <c r="E1542" s="3">
        <v>5</v>
      </c>
      <c r="F1542" s="2">
        <v>3</v>
      </c>
      <c r="G1542" s="3">
        <f>IF(Sales[[#This Row],[Anggaran Murni]]-Sales[[#This Row],[Target s.d. Januari]]=0,"",Sales[[#This Row],[Anggaran Murni]]-Sales[[#This Row],[Target s.d. Januari]])</f>
        <v>2</v>
      </c>
      <c r="H1542" s="2" t="s">
        <v>74</v>
      </c>
      <c r="I1542" s="3" t="s">
        <v>77</v>
      </c>
      <c r="J1542" s="3">
        <v>120000000</v>
      </c>
      <c r="K1542" s="2" t="s">
        <v>30</v>
      </c>
      <c r="L1542" s="2" t="s">
        <v>7</v>
      </c>
      <c r="M1542" s="4" t="s">
        <v>67</v>
      </c>
      <c r="N1542" s="3" t="s">
        <v>80</v>
      </c>
      <c r="O1542" s="2" t="s">
        <v>13</v>
      </c>
      <c r="P1542" s="10"/>
      <c r="Q1542" s="11"/>
    </row>
    <row r="1543" spans="2:17" ht="21" customHeight="1" x14ac:dyDescent="0.35">
      <c r="B1543" s="18">
        <v>44011</v>
      </c>
      <c r="C1543" s="18" t="str">
        <f>TEXT(Sales[[#This Row],[Kode Program/Kegiatan ]],"D")</f>
        <v>29</v>
      </c>
      <c r="D1543" s="19" t="str">
        <f>TEXT(Sales[[#This Row],[Kode Program/Kegiatan ]],"mmm")</f>
        <v>Jun</v>
      </c>
      <c r="E1543" s="20">
        <v>4</v>
      </c>
      <c r="F1543" s="19">
        <v>3</v>
      </c>
      <c r="G1543" s="20">
        <f>IF(Sales[[#This Row],[Anggaran Murni]]-Sales[[#This Row],[Target s.d. Januari]]=0,"",Sales[[#This Row],[Anggaran Murni]]-Sales[[#This Row],[Target s.d. Januari]])</f>
        <v>1</v>
      </c>
      <c r="H1543" s="19" t="s">
        <v>70</v>
      </c>
      <c r="I1543" s="20" t="s">
        <v>1</v>
      </c>
      <c r="J1543" s="20">
        <v>120000000</v>
      </c>
      <c r="K1543" s="19" t="s">
        <v>16</v>
      </c>
      <c r="L1543" s="19" t="s">
        <v>8</v>
      </c>
      <c r="M1543" s="21" t="s">
        <v>67</v>
      </c>
      <c r="N1543" s="20" t="s">
        <v>80</v>
      </c>
      <c r="O1543" s="19" t="s">
        <v>12</v>
      </c>
      <c r="P1543" s="10"/>
      <c r="Q1543" s="11"/>
    </row>
    <row r="1544" spans="2:17" ht="21" customHeight="1" x14ac:dyDescent="0.35">
      <c r="B1544" s="1">
        <v>44011</v>
      </c>
      <c r="C1544" s="1" t="str">
        <f>TEXT(Sales[[#This Row],[Kode Program/Kegiatan ]],"D")</f>
        <v>29</v>
      </c>
      <c r="D1544" s="2" t="str">
        <f>TEXT(Sales[[#This Row],[Kode Program/Kegiatan ]],"mmm")</f>
        <v>Jun</v>
      </c>
      <c r="E1544" s="3">
        <v>3</v>
      </c>
      <c r="F1544" s="2">
        <v>2</v>
      </c>
      <c r="G1544" s="3">
        <f>IF(Sales[[#This Row],[Anggaran Murni]]-Sales[[#This Row],[Target s.d. Januari]]=0,"",Sales[[#This Row],[Anggaran Murni]]-Sales[[#This Row],[Target s.d. Januari]])</f>
        <v>1</v>
      </c>
      <c r="H1544" s="2" t="s">
        <v>113</v>
      </c>
      <c r="I1544" s="3" t="s">
        <v>77</v>
      </c>
      <c r="J1544" s="3">
        <v>60000000</v>
      </c>
      <c r="K1544" s="2" t="s">
        <v>58</v>
      </c>
      <c r="L1544" s="2" t="s">
        <v>4</v>
      </c>
      <c r="M1544" s="4" t="s">
        <v>67</v>
      </c>
      <c r="N1544" s="3" t="s">
        <v>82</v>
      </c>
      <c r="O1544" s="2" t="s">
        <v>11</v>
      </c>
      <c r="P1544" s="10"/>
      <c r="Q1544" s="11"/>
    </row>
    <row r="1545" spans="2:17" ht="21" customHeight="1" x14ac:dyDescent="0.35">
      <c r="B1545" s="18">
        <v>44011</v>
      </c>
      <c r="C1545" s="18" t="str">
        <f>TEXT(Sales[[#This Row],[Kode Program/Kegiatan ]],"D")</f>
        <v>29</v>
      </c>
      <c r="D1545" s="19" t="str">
        <f>TEXT(Sales[[#This Row],[Kode Program/Kegiatan ]],"mmm")</f>
        <v>Jun</v>
      </c>
      <c r="E1545" s="20">
        <v>3</v>
      </c>
      <c r="F1545" s="19">
        <v>2</v>
      </c>
      <c r="G1545" s="20">
        <f>IF(Sales[[#This Row],[Anggaran Murni]]-Sales[[#This Row],[Target s.d. Januari]]=0,"",Sales[[#This Row],[Anggaran Murni]]-Sales[[#This Row],[Target s.d. Januari]])</f>
        <v>1</v>
      </c>
      <c r="H1545" s="19" t="s">
        <v>74</v>
      </c>
      <c r="I1545" s="20" t="s">
        <v>77</v>
      </c>
      <c r="J1545" s="20">
        <v>120000000</v>
      </c>
      <c r="K1545" s="19" t="s">
        <v>56</v>
      </c>
      <c r="L1545" s="19" t="s">
        <v>5</v>
      </c>
      <c r="M1545" s="21" t="s">
        <v>67</v>
      </c>
      <c r="N1545" s="20" t="s">
        <v>80</v>
      </c>
      <c r="O1545" s="19" t="s">
        <v>13</v>
      </c>
      <c r="P1545" s="10"/>
      <c r="Q1545" s="11"/>
    </row>
    <row r="1546" spans="2:17" ht="21" customHeight="1" x14ac:dyDescent="0.35">
      <c r="B1546" s="1">
        <v>44012</v>
      </c>
      <c r="C1546" s="1" t="str">
        <f>TEXT(Sales[[#This Row],[Kode Program/Kegiatan ]],"D")</f>
        <v>30</v>
      </c>
      <c r="D1546" s="2" t="str">
        <f>TEXT(Sales[[#This Row],[Kode Program/Kegiatan ]],"mmm")</f>
        <v>Jun</v>
      </c>
      <c r="E1546" s="3">
        <v>10</v>
      </c>
      <c r="F1546" s="2">
        <v>8</v>
      </c>
      <c r="G1546" s="3">
        <f>IF(Sales[[#This Row],[Anggaran Murni]]-Sales[[#This Row],[Target s.d. Januari]]=0,"",Sales[[#This Row],[Anggaran Murni]]-Sales[[#This Row],[Target s.d. Januari]])</f>
        <v>2</v>
      </c>
      <c r="H1546" s="2" t="s">
        <v>113</v>
      </c>
      <c r="I1546" s="3" t="s">
        <v>77</v>
      </c>
      <c r="J1546" s="3">
        <v>140000000</v>
      </c>
      <c r="K1546" s="2" t="s">
        <v>39</v>
      </c>
      <c r="L1546" s="2" t="s">
        <v>2</v>
      </c>
      <c r="M1546" s="4" t="s">
        <v>67</v>
      </c>
      <c r="N1546" s="3" t="s">
        <v>81</v>
      </c>
      <c r="O1546" s="2" t="s">
        <v>11</v>
      </c>
      <c r="P1546" s="10"/>
      <c r="Q1546" s="11"/>
    </row>
    <row r="1547" spans="2:17" ht="21" customHeight="1" x14ac:dyDescent="0.35">
      <c r="B1547" s="18">
        <v>44012</v>
      </c>
      <c r="C1547" s="18" t="str">
        <f>TEXT(Sales[[#This Row],[Kode Program/Kegiatan ]],"D")</f>
        <v>30</v>
      </c>
      <c r="D1547" s="19" t="str">
        <f>TEXT(Sales[[#This Row],[Kode Program/Kegiatan ]],"mmm")</f>
        <v>Jun</v>
      </c>
      <c r="E1547" s="20">
        <v>8</v>
      </c>
      <c r="F1547" s="19">
        <v>6</v>
      </c>
      <c r="G1547" s="20">
        <f>IF(Sales[[#This Row],[Anggaran Murni]]-Sales[[#This Row],[Target s.d. Januari]]=0,"",Sales[[#This Row],[Anggaran Murni]]-Sales[[#This Row],[Target s.d. Januari]])</f>
        <v>2</v>
      </c>
      <c r="H1547" s="19" t="s">
        <v>74</v>
      </c>
      <c r="I1547" s="20" t="s">
        <v>77</v>
      </c>
      <c r="J1547" s="20">
        <v>120000000</v>
      </c>
      <c r="K1547" s="19" t="s">
        <v>24</v>
      </c>
      <c r="L1547" s="19" t="s">
        <v>2</v>
      </c>
      <c r="M1547" s="21" t="s">
        <v>67</v>
      </c>
      <c r="N1547" s="20" t="s">
        <v>82</v>
      </c>
      <c r="O1547" s="19" t="s">
        <v>14</v>
      </c>
      <c r="P1547" s="10"/>
      <c r="Q1547" s="11"/>
    </row>
    <row r="1548" spans="2:17" ht="21" customHeight="1" x14ac:dyDescent="0.35">
      <c r="B1548" s="1">
        <v>44012</v>
      </c>
      <c r="C1548" s="1" t="str">
        <f>TEXT(Sales[[#This Row],[Kode Program/Kegiatan ]],"D")</f>
        <v>30</v>
      </c>
      <c r="D1548" s="2" t="str">
        <f>TEXT(Sales[[#This Row],[Kode Program/Kegiatan ]],"mmm")</f>
        <v>Jun</v>
      </c>
      <c r="E1548" s="3">
        <v>8</v>
      </c>
      <c r="F1548" s="2">
        <v>5</v>
      </c>
      <c r="G1548" s="3">
        <f>IF(Sales[[#This Row],[Anggaran Murni]]-Sales[[#This Row],[Target s.d. Januari]]=0,"",Sales[[#This Row],[Anggaran Murni]]-Sales[[#This Row],[Target s.d. Januari]])</f>
        <v>3</v>
      </c>
      <c r="H1548" s="2" t="s">
        <v>70</v>
      </c>
      <c r="I1548" s="3" t="s">
        <v>1</v>
      </c>
      <c r="J1548" s="3">
        <v>120000000</v>
      </c>
      <c r="K1548" s="2" t="s">
        <v>23</v>
      </c>
      <c r="L1548" s="2" t="s">
        <v>2</v>
      </c>
      <c r="M1548" s="4" t="s">
        <v>67</v>
      </c>
      <c r="N1548" s="3" t="s">
        <v>81</v>
      </c>
      <c r="O1548" s="2" t="s">
        <v>14</v>
      </c>
      <c r="P1548" s="10"/>
      <c r="Q1548" s="11"/>
    </row>
    <row r="1549" spans="2:17" ht="21" customHeight="1" x14ac:dyDescent="0.35">
      <c r="B1549" s="18">
        <v>44012</v>
      </c>
      <c r="C1549" s="18" t="str">
        <f>TEXT(Sales[[#This Row],[Kode Program/Kegiatan ]],"D")</f>
        <v>30</v>
      </c>
      <c r="D1549" s="19" t="str">
        <f>TEXT(Sales[[#This Row],[Kode Program/Kegiatan ]],"mmm")</f>
        <v>Jun</v>
      </c>
      <c r="E1549" s="20">
        <v>6</v>
      </c>
      <c r="F1549" s="19">
        <v>4</v>
      </c>
      <c r="G1549" s="20">
        <f>IF(Sales[[#This Row],[Anggaran Murni]]-Sales[[#This Row],[Target s.d. Januari]]=0,"",Sales[[#This Row],[Anggaran Murni]]-Sales[[#This Row],[Target s.d. Januari]])</f>
        <v>2</v>
      </c>
      <c r="H1549" s="19" t="s">
        <v>75</v>
      </c>
      <c r="I1549" s="20" t="s">
        <v>6</v>
      </c>
      <c r="J1549" s="20">
        <v>40000000</v>
      </c>
      <c r="K1549" s="19" t="s">
        <v>39</v>
      </c>
      <c r="L1549" s="19" t="s">
        <v>2</v>
      </c>
      <c r="M1549" s="21" t="s">
        <v>67</v>
      </c>
      <c r="N1549" s="20" t="s">
        <v>82</v>
      </c>
      <c r="O1549" s="19" t="s">
        <v>13</v>
      </c>
      <c r="P1549" s="10"/>
      <c r="Q1549" s="11"/>
    </row>
    <row r="1550" spans="2:17" ht="21" customHeight="1" x14ac:dyDescent="0.35">
      <c r="B1550" s="1">
        <v>44012</v>
      </c>
      <c r="C1550" s="1" t="str">
        <f>TEXT(Sales[[#This Row],[Kode Program/Kegiatan ]],"D")</f>
        <v>30</v>
      </c>
      <c r="D1550" s="2" t="str">
        <f>TEXT(Sales[[#This Row],[Kode Program/Kegiatan ]],"mmm")</f>
        <v>Jun</v>
      </c>
      <c r="E1550" s="3">
        <v>5</v>
      </c>
      <c r="F1550" s="2">
        <v>3</v>
      </c>
      <c r="G1550" s="3">
        <f>IF(Sales[[#This Row],[Anggaran Murni]]-Sales[[#This Row],[Target s.d. Januari]]=0,"",Sales[[#This Row],[Anggaran Murni]]-Sales[[#This Row],[Target s.d. Januari]])</f>
        <v>2</v>
      </c>
      <c r="H1550" s="2" t="s">
        <v>73</v>
      </c>
      <c r="I1550" s="3" t="s">
        <v>78</v>
      </c>
      <c r="J1550" s="3">
        <v>140000000</v>
      </c>
      <c r="K1550" s="2" t="s">
        <v>35</v>
      </c>
      <c r="L1550" s="2" t="s">
        <v>8</v>
      </c>
      <c r="M1550" s="4" t="s">
        <v>67</v>
      </c>
      <c r="N1550" s="3" t="s">
        <v>81</v>
      </c>
      <c r="O1550" s="2" t="s">
        <v>13</v>
      </c>
      <c r="P1550" s="10"/>
      <c r="Q1550" s="11"/>
    </row>
    <row r="1551" spans="2:17" ht="21" customHeight="1" x14ac:dyDescent="0.35">
      <c r="B1551" s="18">
        <v>44012</v>
      </c>
      <c r="C1551" s="18" t="str">
        <f>TEXT(Sales[[#This Row],[Kode Program/Kegiatan ]],"D")</f>
        <v>30</v>
      </c>
      <c r="D1551" s="19" t="str">
        <f>TEXT(Sales[[#This Row],[Kode Program/Kegiatan ]],"mmm")</f>
        <v>Jun</v>
      </c>
      <c r="E1551" s="20">
        <v>5</v>
      </c>
      <c r="F1551" s="19">
        <v>3</v>
      </c>
      <c r="G1551" s="20">
        <f>IF(Sales[[#This Row],[Anggaran Murni]]-Sales[[#This Row],[Target s.d. Januari]]=0,"",Sales[[#This Row],[Anggaran Murni]]-Sales[[#This Row],[Target s.d. Januari]])</f>
        <v>2</v>
      </c>
      <c r="H1551" s="19" t="s">
        <v>114</v>
      </c>
      <c r="I1551" s="20" t="s">
        <v>3</v>
      </c>
      <c r="J1551" s="20">
        <v>80000000</v>
      </c>
      <c r="K1551" s="19" t="s">
        <v>61</v>
      </c>
      <c r="L1551" s="19" t="s">
        <v>8</v>
      </c>
      <c r="M1551" s="21" t="s">
        <v>67</v>
      </c>
      <c r="N1551" s="20" t="s">
        <v>81</v>
      </c>
      <c r="O1551" s="19" t="s">
        <v>13</v>
      </c>
      <c r="P1551" s="10"/>
      <c r="Q1551" s="11"/>
    </row>
    <row r="1552" spans="2:17" ht="21" customHeight="1" x14ac:dyDescent="0.35">
      <c r="B1552" s="1">
        <v>44012</v>
      </c>
      <c r="C1552" s="1" t="str">
        <f>TEXT(Sales[[#This Row],[Kode Program/Kegiatan ]],"D")</f>
        <v>30</v>
      </c>
      <c r="D1552" s="2" t="str">
        <f>TEXT(Sales[[#This Row],[Kode Program/Kegiatan ]],"mmm")</f>
        <v>Jun</v>
      </c>
      <c r="E1552" s="3">
        <v>4</v>
      </c>
      <c r="F1552" s="2">
        <v>3</v>
      </c>
      <c r="G1552" s="3">
        <f>IF(Sales[[#This Row],[Anggaran Murni]]-Sales[[#This Row],[Target s.d. Januari]]=0,"",Sales[[#This Row],[Anggaran Murni]]-Sales[[#This Row],[Target s.d. Januari]])</f>
        <v>1</v>
      </c>
      <c r="H1552" s="2" t="s">
        <v>73</v>
      </c>
      <c r="I1552" s="3" t="s">
        <v>78</v>
      </c>
      <c r="J1552" s="3">
        <v>40000000</v>
      </c>
      <c r="K1552" s="2" t="s">
        <v>30</v>
      </c>
      <c r="L1552" s="2" t="s">
        <v>2</v>
      </c>
      <c r="M1552" s="4" t="s">
        <v>67</v>
      </c>
      <c r="N1552" s="3" t="s">
        <v>82</v>
      </c>
      <c r="O1552" s="2" t="s">
        <v>12</v>
      </c>
      <c r="P1552" s="10"/>
      <c r="Q1552" s="11"/>
    </row>
    <row r="1553" spans="2:17" ht="21" customHeight="1" x14ac:dyDescent="0.35">
      <c r="B1553" s="18">
        <v>44012</v>
      </c>
      <c r="C1553" s="18" t="str">
        <f>TEXT(Sales[[#This Row],[Kode Program/Kegiatan ]],"D")</f>
        <v>30</v>
      </c>
      <c r="D1553" s="19" t="str">
        <f>TEXT(Sales[[#This Row],[Kode Program/Kegiatan ]],"mmm")</f>
        <v>Jun</v>
      </c>
      <c r="E1553" s="20">
        <v>3</v>
      </c>
      <c r="F1553" s="19">
        <v>1</v>
      </c>
      <c r="G1553" s="20">
        <f>IF(Sales[[#This Row],[Anggaran Murni]]-Sales[[#This Row],[Target s.d. Januari]]=0,"",Sales[[#This Row],[Anggaran Murni]]-Sales[[#This Row],[Target s.d. Januari]])</f>
        <v>2</v>
      </c>
      <c r="H1553" s="19" t="s">
        <v>71</v>
      </c>
      <c r="I1553" s="20" t="s">
        <v>6</v>
      </c>
      <c r="J1553" s="20">
        <v>40000000</v>
      </c>
      <c r="K1553" s="19" t="s">
        <v>28</v>
      </c>
      <c r="L1553" s="19" t="s">
        <v>5</v>
      </c>
      <c r="M1553" s="21" t="s">
        <v>67</v>
      </c>
      <c r="N1553" s="20" t="s">
        <v>80</v>
      </c>
      <c r="O1553" s="19" t="s">
        <v>11</v>
      </c>
      <c r="P1553" s="10"/>
      <c r="Q1553" s="11"/>
    </row>
    <row r="1554" spans="2:17" ht="21" customHeight="1" x14ac:dyDescent="0.35">
      <c r="B1554" s="1">
        <v>44012</v>
      </c>
      <c r="C1554" s="1" t="str">
        <f>TEXT(Sales[[#This Row],[Kode Program/Kegiatan ]],"D")</f>
        <v>30</v>
      </c>
      <c r="D1554" s="2" t="str">
        <f>TEXT(Sales[[#This Row],[Kode Program/Kegiatan ]],"mmm")</f>
        <v>Jun</v>
      </c>
      <c r="E1554" s="3">
        <v>3</v>
      </c>
      <c r="F1554" s="2">
        <v>1</v>
      </c>
      <c r="G1554" s="3">
        <f>IF(Sales[[#This Row],[Anggaran Murni]]-Sales[[#This Row],[Target s.d. Januari]]=0,"",Sales[[#This Row],[Anggaran Murni]]-Sales[[#This Row],[Target s.d. Januari]])</f>
        <v>2</v>
      </c>
      <c r="H1554" s="2" t="s">
        <v>75</v>
      </c>
      <c r="I1554" s="3" t="s">
        <v>6</v>
      </c>
      <c r="J1554" s="3">
        <v>140000000</v>
      </c>
      <c r="K1554" s="2" t="s">
        <v>63</v>
      </c>
      <c r="L1554" s="2" t="s">
        <v>5</v>
      </c>
      <c r="M1554" s="4" t="s">
        <v>67</v>
      </c>
      <c r="N1554" s="3" t="s">
        <v>80</v>
      </c>
      <c r="O1554" s="2" t="s">
        <v>14</v>
      </c>
      <c r="P1554" s="10"/>
      <c r="Q1554" s="11"/>
    </row>
    <row r="1555" spans="2:17" ht="21" customHeight="1" x14ac:dyDescent="0.35">
      <c r="B1555" s="18">
        <v>44013</v>
      </c>
      <c r="C1555" s="18" t="str">
        <f>TEXT(Sales[[#This Row],[Kode Program/Kegiatan ]],"D")</f>
        <v>1</v>
      </c>
      <c r="D1555" s="19" t="str">
        <f>TEXT(Sales[[#This Row],[Kode Program/Kegiatan ]],"mmm")</f>
        <v>Jul</v>
      </c>
      <c r="E1555" s="20">
        <v>9</v>
      </c>
      <c r="F1555" s="19">
        <v>7</v>
      </c>
      <c r="G1555" s="20">
        <f>IF(Sales[[#This Row],[Anggaran Murni]]-Sales[[#This Row],[Target s.d. Januari]]=0,"",Sales[[#This Row],[Anggaran Murni]]-Sales[[#This Row],[Target s.d. Januari]])</f>
        <v>2</v>
      </c>
      <c r="H1555" s="19" t="s">
        <v>75</v>
      </c>
      <c r="I1555" s="20" t="s">
        <v>6</v>
      </c>
      <c r="J1555" s="20">
        <v>140000000</v>
      </c>
      <c r="K1555" s="19" t="s">
        <v>31</v>
      </c>
      <c r="L1555" s="19" t="s">
        <v>7</v>
      </c>
      <c r="M1555" s="21" t="s">
        <v>67</v>
      </c>
      <c r="N1555" s="20" t="s">
        <v>80</v>
      </c>
      <c r="O1555" s="19" t="s">
        <v>12</v>
      </c>
      <c r="P1555" s="10"/>
      <c r="Q1555" s="11"/>
    </row>
    <row r="1556" spans="2:17" ht="21" customHeight="1" x14ac:dyDescent="0.35">
      <c r="B1556" s="1">
        <v>44013</v>
      </c>
      <c r="C1556" s="1" t="str">
        <f>TEXT(Sales[[#This Row],[Kode Program/Kegiatan ]],"D")</f>
        <v>1</v>
      </c>
      <c r="D1556" s="2" t="str">
        <f>TEXT(Sales[[#This Row],[Kode Program/Kegiatan ]],"mmm")</f>
        <v>Jul</v>
      </c>
      <c r="E1556" s="3">
        <v>9</v>
      </c>
      <c r="F1556" s="2">
        <v>8</v>
      </c>
      <c r="G1556" s="3">
        <f>IF(Sales[[#This Row],[Anggaran Murni]]-Sales[[#This Row],[Target s.d. Januari]]=0,"",Sales[[#This Row],[Anggaran Murni]]-Sales[[#This Row],[Target s.d. Januari]])</f>
        <v>1</v>
      </c>
      <c r="H1556" s="2" t="s">
        <v>73</v>
      </c>
      <c r="I1556" s="3" t="s">
        <v>78</v>
      </c>
      <c r="J1556" s="3">
        <v>80000000</v>
      </c>
      <c r="K1556" s="2" t="s">
        <v>19</v>
      </c>
      <c r="L1556" s="2" t="s">
        <v>2</v>
      </c>
      <c r="M1556" s="4" t="s">
        <v>67</v>
      </c>
      <c r="N1556" s="3" t="s">
        <v>81</v>
      </c>
      <c r="O1556" s="2" t="s">
        <v>13</v>
      </c>
      <c r="P1556" s="10"/>
      <c r="Q1556" s="11"/>
    </row>
    <row r="1557" spans="2:17" ht="21" customHeight="1" x14ac:dyDescent="0.35">
      <c r="B1557" s="18">
        <v>44013</v>
      </c>
      <c r="C1557" s="18" t="str">
        <f>TEXT(Sales[[#This Row],[Kode Program/Kegiatan ]],"D")</f>
        <v>1</v>
      </c>
      <c r="D1557" s="19" t="str">
        <f>TEXT(Sales[[#This Row],[Kode Program/Kegiatan ]],"mmm")</f>
        <v>Jul</v>
      </c>
      <c r="E1557" s="20">
        <v>7</v>
      </c>
      <c r="F1557" s="19">
        <v>4</v>
      </c>
      <c r="G1557" s="20">
        <f>IF(Sales[[#This Row],[Anggaran Murni]]-Sales[[#This Row],[Target s.d. Januari]]=0,"",Sales[[#This Row],[Anggaran Murni]]-Sales[[#This Row],[Target s.d. Januari]])</f>
        <v>3</v>
      </c>
      <c r="H1557" s="19" t="s">
        <v>76</v>
      </c>
      <c r="I1557" s="20" t="s">
        <v>79</v>
      </c>
      <c r="J1557" s="20">
        <v>40000000</v>
      </c>
      <c r="K1557" s="19" t="s">
        <v>27</v>
      </c>
      <c r="L1557" s="19" t="s">
        <v>5</v>
      </c>
      <c r="M1557" s="21" t="s">
        <v>67</v>
      </c>
      <c r="N1557" s="20" t="s">
        <v>82</v>
      </c>
      <c r="O1557" s="19" t="s">
        <v>14</v>
      </c>
      <c r="P1557" s="10"/>
      <c r="Q1557" s="11"/>
    </row>
    <row r="1558" spans="2:17" ht="21" customHeight="1" x14ac:dyDescent="0.35">
      <c r="B1558" s="1">
        <v>44013</v>
      </c>
      <c r="C1558" s="1" t="str">
        <f>TEXT(Sales[[#This Row],[Kode Program/Kegiatan ]],"D")</f>
        <v>1</v>
      </c>
      <c r="D1558" s="2" t="str">
        <f>TEXT(Sales[[#This Row],[Kode Program/Kegiatan ]],"mmm")</f>
        <v>Jul</v>
      </c>
      <c r="E1558" s="3">
        <v>4</v>
      </c>
      <c r="F1558" s="2">
        <v>2</v>
      </c>
      <c r="G1558" s="3">
        <f>IF(Sales[[#This Row],[Anggaran Murni]]-Sales[[#This Row],[Target s.d. Januari]]=0,"",Sales[[#This Row],[Anggaran Murni]]-Sales[[#This Row],[Target s.d. Januari]])</f>
        <v>2</v>
      </c>
      <c r="H1558" s="2" t="s">
        <v>70</v>
      </c>
      <c r="I1558" s="3" t="s">
        <v>1</v>
      </c>
      <c r="J1558" s="3">
        <v>60000000</v>
      </c>
      <c r="K1558" s="2" t="s">
        <v>54</v>
      </c>
      <c r="L1558" s="2" t="s">
        <v>8</v>
      </c>
      <c r="M1558" s="4" t="s">
        <v>67</v>
      </c>
      <c r="N1558" s="3" t="s">
        <v>80</v>
      </c>
      <c r="O1558" s="2" t="s">
        <v>14</v>
      </c>
      <c r="P1558" s="10"/>
      <c r="Q1558" s="11"/>
    </row>
    <row r="1559" spans="2:17" ht="21" customHeight="1" x14ac:dyDescent="0.35">
      <c r="B1559" s="18">
        <v>44013</v>
      </c>
      <c r="C1559" s="18" t="str">
        <f>TEXT(Sales[[#This Row],[Kode Program/Kegiatan ]],"D")</f>
        <v>1</v>
      </c>
      <c r="D1559" s="19" t="str">
        <f>TEXT(Sales[[#This Row],[Kode Program/Kegiatan ]],"mmm")</f>
        <v>Jul</v>
      </c>
      <c r="E1559" s="20">
        <v>4</v>
      </c>
      <c r="F1559" s="19">
        <v>3</v>
      </c>
      <c r="G1559" s="20">
        <f>IF(Sales[[#This Row],[Anggaran Murni]]-Sales[[#This Row],[Target s.d. Januari]]=0,"",Sales[[#This Row],[Anggaran Murni]]-Sales[[#This Row],[Target s.d. Januari]])</f>
        <v>1</v>
      </c>
      <c r="H1559" s="19" t="s">
        <v>114</v>
      </c>
      <c r="I1559" s="20" t="s">
        <v>3</v>
      </c>
      <c r="J1559" s="20">
        <v>80000000</v>
      </c>
      <c r="K1559" s="19" t="s">
        <v>35</v>
      </c>
      <c r="L1559" s="19" t="s">
        <v>5</v>
      </c>
      <c r="M1559" s="21" t="s">
        <v>67</v>
      </c>
      <c r="N1559" s="20" t="s">
        <v>80</v>
      </c>
      <c r="O1559" s="19" t="s">
        <v>14</v>
      </c>
      <c r="P1559" s="10"/>
      <c r="Q1559" s="11"/>
    </row>
    <row r="1560" spans="2:17" ht="21" customHeight="1" x14ac:dyDescent="0.35">
      <c r="B1560" s="1">
        <v>44013</v>
      </c>
      <c r="C1560" s="1" t="str">
        <f>TEXT(Sales[[#This Row],[Kode Program/Kegiatan ]],"D")</f>
        <v>1</v>
      </c>
      <c r="D1560" s="2" t="str">
        <f>TEXT(Sales[[#This Row],[Kode Program/Kegiatan ]],"mmm")</f>
        <v>Jul</v>
      </c>
      <c r="E1560" s="3">
        <v>4</v>
      </c>
      <c r="F1560" s="2">
        <v>2</v>
      </c>
      <c r="G1560" s="3">
        <f>IF(Sales[[#This Row],[Anggaran Murni]]-Sales[[#This Row],[Target s.d. Januari]]=0,"",Sales[[#This Row],[Anggaran Murni]]-Sales[[#This Row],[Target s.d. Januari]])</f>
        <v>2</v>
      </c>
      <c r="H1560" s="2" t="s">
        <v>72</v>
      </c>
      <c r="I1560" s="3" t="s">
        <v>78</v>
      </c>
      <c r="J1560" s="3">
        <v>60000000</v>
      </c>
      <c r="K1560" s="2" t="s">
        <v>31</v>
      </c>
      <c r="L1560" s="2" t="s">
        <v>2</v>
      </c>
      <c r="M1560" s="4" t="s">
        <v>67</v>
      </c>
      <c r="N1560" s="3" t="s">
        <v>81</v>
      </c>
      <c r="O1560" s="2" t="s">
        <v>12</v>
      </c>
      <c r="P1560" s="10"/>
      <c r="Q1560" s="11"/>
    </row>
    <row r="1561" spans="2:17" ht="21" customHeight="1" x14ac:dyDescent="0.35">
      <c r="B1561" s="18">
        <v>44014</v>
      </c>
      <c r="C1561" s="18" t="str">
        <f>TEXT(Sales[[#This Row],[Kode Program/Kegiatan ]],"D")</f>
        <v>2</v>
      </c>
      <c r="D1561" s="19" t="str">
        <f>TEXT(Sales[[#This Row],[Kode Program/Kegiatan ]],"mmm")</f>
        <v>Jul</v>
      </c>
      <c r="E1561" s="20">
        <v>10</v>
      </c>
      <c r="F1561" s="19">
        <v>10</v>
      </c>
      <c r="G1561" s="20" t="str">
        <f>IF(Sales[[#This Row],[Anggaran Murni]]-Sales[[#This Row],[Target s.d. Januari]]=0,"",Sales[[#This Row],[Anggaran Murni]]-Sales[[#This Row],[Target s.d. Januari]])</f>
        <v/>
      </c>
      <c r="H1561" s="19" t="s">
        <v>72</v>
      </c>
      <c r="I1561" s="20" t="s">
        <v>78</v>
      </c>
      <c r="J1561" s="20">
        <v>60000000</v>
      </c>
      <c r="K1561" s="19" t="s">
        <v>49</v>
      </c>
      <c r="L1561" s="19" t="s">
        <v>2</v>
      </c>
      <c r="M1561" s="21" t="s">
        <v>67</v>
      </c>
      <c r="N1561" s="20" t="s">
        <v>80</v>
      </c>
      <c r="O1561" s="19" t="s">
        <v>12</v>
      </c>
      <c r="P1561" s="10"/>
      <c r="Q1561" s="11"/>
    </row>
    <row r="1562" spans="2:17" ht="21" customHeight="1" x14ac:dyDescent="0.35">
      <c r="B1562" s="1">
        <v>44014</v>
      </c>
      <c r="C1562" s="1" t="str">
        <f>TEXT(Sales[[#This Row],[Kode Program/Kegiatan ]],"D")</f>
        <v>2</v>
      </c>
      <c r="D1562" s="2" t="str">
        <f>TEXT(Sales[[#This Row],[Kode Program/Kegiatan ]],"mmm")</f>
        <v>Jul</v>
      </c>
      <c r="E1562" s="3">
        <v>10</v>
      </c>
      <c r="F1562" s="2">
        <v>10</v>
      </c>
      <c r="G1562" s="3" t="str">
        <f>IF(Sales[[#This Row],[Anggaran Murni]]-Sales[[#This Row],[Target s.d. Januari]]=0,"",Sales[[#This Row],[Anggaran Murni]]-Sales[[#This Row],[Target s.d. Januari]])</f>
        <v/>
      </c>
      <c r="H1562" s="2" t="s">
        <v>114</v>
      </c>
      <c r="I1562" s="3" t="s">
        <v>3</v>
      </c>
      <c r="J1562" s="3">
        <v>80000000</v>
      </c>
      <c r="K1562" s="2" t="s">
        <v>17</v>
      </c>
      <c r="L1562" s="2" t="s">
        <v>2</v>
      </c>
      <c r="M1562" s="4" t="s">
        <v>67</v>
      </c>
      <c r="N1562" s="3" t="s">
        <v>80</v>
      </c>
      <c r="O1562" s="2" t="s">
        <v>13</v>
      </c>
      <c r="P1562" s="10"/>
      <c r="Q1562" s="11"/>
    </row>
    <row r="1563" spans="2:17" ht="21" customHeight="1" x14ac:dyDescent="0.35">
      <c r="B1563" s="18">
        <v>44014</v>
      </c>
      <c r="C1563" s="18" t="str">
        <f>TEXT(Sales[[#This Row],[Kode Program/Kegiatan ]],"D")</f>
        <v>2</v>
      </c>
      <c r="D1563" s="19" t="str">
        <f>TEXT(Sales[[#This Row],[Kode Program/Kegiatan ]],"mmm")</f>
        <v>Jul</v>
      </c>
      <c r="E1563" s="20">
        <v>8</v>
      </c>
      <c r="F1563" s="19">
        <v>8</v>
      </c>
      <c r="G1563" s="20" t="str">
        <f>IF(Sales[[#This Row],[Anggaran Murni]]-Sales[[#This Row],[Target s.d. Januari]]=0,"",Sales[[#This Row],[Anggaran Murni]]-Sales[[#This Row],[Target s.d. Januari]])</f>
        <v/>
      </c>
      <c r="H1563" s="19" t="s">
        <v>75</v>
      </c>
      <c r="I1563" s="20" t="s">
        <v>6</v>
      </c>
      <c r="J1563" s="20">
        <v>40000000</v>
      </c>
      <c r="K1563" s="19" t="s">
        <v>42</v>
      </c>
      <c r="L1563" s="19" t="s">
        <v>2</v>
      </c>
      <c r="M1563" s="21" t="s">
        <v>67</v>
      </c>
      <c r="N1563" s="20" t="s">
        <v>82</v>
      </c>
      <c r="O1563" s="19" t="s">
        <v>11</v>
      </c>
      <c r="P1563" s="10"/>
      <c r="Q1563" s="11"/>
    </row>
    <row r="1564" spans="2:17" ht="21" customHeight="1" x14ac:dyDescent="0.35">
      <c r="B1564" s="1">
        <v>44014</v>
      </c>
      <c r="C1564" s="1" t="str">
        <f>TEXT(Sales[[#This Row],[Kode Program/Kegiatan ]],"D")</f>
        <v>2</v>
      </c>
      <c r="D1564" s="2" t="str">
        <f>TEXT(Sales[[#This Row],[Kode Program/Kegiatan ]],"mmm")</f>
        <v>Jul</v>
      </c>
      <c r="E1564" s="3">
        <v>8</v>
      </c>
      <c r="F1564" s="2">
        <v>8</v>
      </c>
      <c r="G1564" s="3" t="str">
        <f>IF(Sales[[#This Row],[Anggaran Murni]]-Sales[[#This Row],[Target s.d. Januari]]=0,"",Sales[[#This Row],[Anggaran Murni]]-Sales[[#This Row],[Target s.d. Januari]])</f>
        <v/>
      </c>
      <c r="H1564" s="2" t="s">
        <v>73</v>
      </c>
      <c r="I1564" s="3" t="s">
        <v>78</v>
      </c>
      <c r="J1564" s="3">
        <v>120000000</v>
      </c>
      <c r="K1564" s="2" t="s">
        <v>39</v>
      </c>
      <c r="L1564" s="2" t="s">
        <v>4</v>
      </c>
      <c r="M1564" s="4" t="s">
        <v>67</v>
      </c>
      <c r="N1564" s="3" t="s">
        <v>80</v>
      </c>
      <c r="O1564" s="2" t="s">
        <v>13</v>
      </c>
      <c r="P1564" s="10"/>
      <c r="Q1564" s="11"/>
    </row>
    <row r="1565" spans="2:17" ht="21" customHeight="1" x14ac:dyDescent="0.35">
      <c r="B1565" s="18">
        <v>44014</v>
      </c>
      <c r="C1565" s="18" t="str">
        <f>TEXT(Sales[[#This Row],[Kode Program/Kegiatan ]],"D")</f>
        <v>2</v>
      </c>
      <c r="D1565" s="19" t="str">
        <f>TEXT(Sales[[#This Row],[Kode Program/Kegiatan ]],"mmm")</f>
        <v>Jul</v>
      </c>
      <c r="E1565" s="20">
        <v>6</v>
      </c>
      <c r="F1565" s="19">
        <v>6</v>
      </c>
      <c r="G1565" s="20" t="str">
        <f>IF(Sales[[#This Row],[Anggaran Murni]]-Sales[[#This Row],[Target s.d. Januari]]=0,"",Sales[[#This Row],[Anggaran Murni]]-Sales[[#This Row],[Target s.d. Januari]])</f>
        <v/>
      </c>
      <c r="H1565" s="19" t="s">
        <v>70</v>
      </c>
      <c r="I1565" s="20" t="s">
        <v>1</v>
      </c>
      <c r="J1565" s="20">
        <v>40000000</v>
      </c>
      <c r="K1565" s="19" t="s">
        <v>45</v>
      </c>
      <c r="L1565" s="19" t="s">
        <v>5</v>
      </c>
      <c r="M1565" s="21" t="s">
        <v>67</v>
      </c>
      <c r="N1565" s="20" t="s">
        <v>81</v>
      </c>
      <c r="O1565" s="19" t="s">
        <v>13</v>
      </c>
      <c r="P1565" s="10"/>
      <c r="Q1565" s="11"/>
    </row>
    <row r="1566" spans="2:17" ht="21" customHeight="1" x14ac:dyDescent="0.35">
      <c r="B1566" s="1">
        <v>44014</v>
      </c>
      <c r="C1566" s="1" t="str">
        <f>TEXT(Sales[[#This Row],[Kode Program/Kegiatan ]],"D")</f>
        <v>2</v>
      </c>
      <c r="D1566" s="2" t="str">
        <f>TEXT(Sales[[#This Row],[Kode Program/Kegiatan ]],"mmm")</f>
        <v>Jul</v>
      </c>
      <c r="E1566" s="3">
        <v>6</v>
      </c>
      <c r="F1566" s="2">
        <v>6</v>
      </c>
      <c r="G1566" s="3" t="str">
        <f>IF(Sales[[#This Row],[Anggaran Murni]]-Sales[[#This Row],[Target s.d. Januari]]=0,"",Sales[[#This Row],[Anggaran Murni]]-Sales[[#This Row],[Target s.d. Januari]])</f>
        <v/>
      </c>
      <c r="H1566" s="2" t="s">
        <v>72</v>
      </c>
      <c r="I1566" s="3" t="s">
        <v>78</v>
      </c>
      <c r="J1566" s="3">
        <v>140000000</v>
      </c>
      <c r="K1566" s="2" t="s">
        <v>38</v>
      </c>
      <c r="L1566" s="2" t="s">
        <v>2</v>
      </c>
      <c r="M1566" s="4" t="s">
        <v>67</v>
      </c>
      <c r="N1566" s="3" t="s">
        <v>81</v>
      </c>
      <c r="O1566" s="2" t="s">
        <v>13</v>
      </c>
      <c r="P1566" s="10"/>
      <c r="Q1566" s="11"/>
    </row>
    <row r="1567" spans="2:17" ht="21" customHeight="1" x14ac:dyDescent="0.35">
      <c r="B1567" s="18">
        <v>44014</v>
      </c>
      <c r="C1567" s="18" t="str">
        <f>TEXT(Sales[[#This Row],[Kode Program/Kegiatan ]],"D")</f>
        <v>2</v>
      </c>
      <c r="D1567" s="19" t="str">
        <f>TEXT(Sales[[#This Row],[Kode Program/Kegiatan ]],"mmm")</f>
        <v>Jul</v>
      </c>
      <c r="E1567" s="20">
        <v>5</v>
      </c>
      <c r="F1567" s="19">
        <v>5</v>
      </c>
      <c r="G1567" s="20" t="str">
        <f>IF(Sales[[#This Row],[Anggaran Murni]]-Sales[[#This Row],[Target s.d. Januari]]=0,"",Sales[[#This Row],[Anggaran Murni]]-Sales[[#This Row],[Target s.d. Januari]])</f>
        <v/>
      </c>
      <c r="H1567" s="19" t="s">
        <v>70</v>
      </c>
      <c r="I1567" s="20" t="s">
        <v>1</v>
      </c>
      <c r="J1567" s="20">
        <v>60000000</v>
      </c>
      <c r="K1567" s="19" t="s">
        <v>57</v>
      </c>
      <c r="L1567" s="19" t="s">
        <v>7</v>
      </c>
      <c r="M1567" s="21" t="s">
        <v>67</v>
      </c>
      <c r="N1567" s="20" t="s">
        <v>82</v>
      </c>
      <c r="O1567" s="19" t="s">
        <v>13</v>
      </c>
      <c r="P1567" s="10"/>
      <c r="Q1567" s="11"/>
    </row>
    <row r="1568" spans="2:17" ht="21" customHeight="1" x14ac:dyDescent="0.35">
      <c r="B1568" s="1">
        <v>44014</v>
      </c>
      <c r="C1568" s="1" t="str">
        <f>TEXT(Sales[[#This Row],[Kode Program/Kegiatan ]],"D")</f>
        <v>2</v>
      </c>
      <c r="D1568" s="2" t="str">
        <f>TEXT(Sales[[#This Row],[Kode Program/Kegiatan ]],"mmm")</f>
        <v>Jul</v>
      </c>
      <c r="E1568" s="3">
        <v>5</v>
      </c>
      <c r="F1568" s="2">
        <v>5</v>
      </c>
      <c r="G1568" s="3" t="str">
        <f>IF(Sales[[#This Row],[Anggaran Murni]]-Sales[[#This Row],[Target s.d. Januari]]=0,"",Sales[[#This Row],[Anggaran Murni]]-Sales[[#This Row],[Target s.d. Januari]])</f>
        <v/>
      </c>
      <c r="H1568" s="2" t="s">
        <v>113</v>
      </c>
      <c r="I1568" s="3" t="s">
        <v>77</v>
      </c>
      <c r="J1568" s="3">
        <v>100000000</v>
      </c>
      <c r="K1568" s="2" t="s">
        <v>40</v>
      </c>
      <c r="L1568" s="2" t="s">
        <v>2</v>
      </c>
      <c r="M1568" s="4" t="s">
        <v>67</v>
      </c>
      <c r="N1568" s="3" t="s">
        <v>82</v>
      </c>
      <c r="O1568" s="2" t="s">
        <v>12</v>
      </c>
      <c r="P1568" s="10"/>
      <c r="Q1568" s="11"/>
    </row>
    <row r="1569" spans="2:17" ht="21" customHeight="1" x14ac:dyDescent="0.35">
      <c r="B1569" s="18">
        <v>44014</v>
      </c>
      <c r="C1569" s="18" t="str">
        <f>TEXT(Sales[[#This Row],[Kode Program/Kegiatan ]],"D")</f>
        <v>2</v>
      </c>
      <c r="D1569" s="19" t="str">
        <f>TEXT(Sales[[#This Row],[Kode Program/Kegiatan ]],"mmm")</f>
        <v>Jul</v>
      </c>
      <c r="E1569" s="20">
        <v>4</v>
      </c>
      <c r="F1569" s="19">
        <v>4</v>
      </c>
      <c r="G1569" s="20" t="str">
        <f>IF(Sales[[#This Row],[Anggaran Murni]]-Sales[[#This Row],[Target s.d. Januari]]=0,"",Sales[[#This Row],[Anggaran Murni]]-Sales[[#This Row],[Target s.d. Januari]])</f>
        <v/>
      </c>
      <c r="H1569" s="19" t="s">
        <v>73</v>
      </c>
      <c r="I1569" s="20" t="s">
        <v>78</v>
      </c>
      <c r="J1569" s="20">
        <v>140000000</v>
      </c>
      <c r="K1569" s="19" t="s">
        <v>33</v>
      </c>
      <c r="L1569" s="19" t="s">
        <v>5</v>
      </c>
      <c r="M1569" s="21" t="s">
        <v>67</v>
      </c>
      <c r="N1569" s="20" t="s">
        <v>82</v>
      </c>
      <c r="O1569" s="19" t="s">
        <v>11</v>
      </c>
      <c r="P1569" s="10"/>
      <c r="Q1569" s="11"/>
    </row>
    <row r="1570" spans="2:17" ht="21" customHeight="1" x14ac:dyDescent="0.35">
      <c r="B1570" s="1">
        <v>44014</v>
      </c>
      <c r="C1570" s="1" t="str">
        <f>TEXT(Sales[[#This Row],[Kode Program/Kegiatan ]],"D")</f>
        <v>2</v>
      </c>
      <c r="D1570" s="2" t="str">
        <f>TEXT(Sales[[#This Row],[Kode Program/Kegiatan ]],"mmm")</f>
        <v>Jul</v>
      </c>
      <c r="E1570" s="3">
        <v>4</v>
      </c>
      <c r="F1570" s="2">
        <v>4</v>
      </c>
      <c r="G1570" s="3" t="str">
        <f>IF(Sales[[#This Row],[Anggaran Murni]]-Sales[[#This Row],[Target s.d. Januari]]=0,"",Sales[[#This Row],[Anggaran Murni]]-Sales[[#This Row],[Target s.d. Januari]])</f>
        <v/>
      </c>
      <c r="H1570" s="2" t="s">
        <v>73</v>
      </c>
      <c r="I1570" s="3" t="s">
        <v>78</v>
      </c>
      <c r="J1570" s="3">
        <v>100000000</v>
      </c>
      <c r="K1570" s="2" t="s">
        <v>17</v>
      </c>
      <c r="L1570" s="2" t="s">
        <v>2</v>
      </c>
      <c r="M1570" s="4" t="s">
        <v>67</v>
      </c>
      <c r="N1570" s="3" t="s">
        <v>82</v>
      </c>
      <c r="O1570" s="2" t="s">
        <v>14</v>
      </c>
      <c r="P1570" s="10"/>
      <c r="Q1570" s="11"/>
    </row>
    <row r="1571" spans="2:17" ht="21" customHeight="1" x14ac:dyDescent="0.35">
      <c r="B1571" s="18">
        <v>44014</v>
      </c>
      <c r="C1571" s="18" t="str">
        <f>TEXT(Sales[[#This Row],[Kode Program/Kegiatan ]],"D")</f>
        <v>2</v>
      </c>
      <c r="D1571" s="19" t="str">
        <f>TEXT(Sales[[#This Row],[Kode Program/Kegiatan ]],"mmm")</f>
        <v>Jul</v>
      </c>
      <c r="E1571" s="20">
        <v>4</v>
      </c>
      <c r="F1571" s="19">
        <v>4</v>
      </c>
      <c r="G1571" s="20" t="str">
        <f>IF(Sales[[#This Row],[Anggaran Murni]]-Sales[[#This Row],[Target s.d. Januari]]=0,"",Sales[[#This Row],[Anggaran Murni]]-Sales[[#This Row],[Target s.d. Januari]])</f>
        <v/>
      </c>
      <c r="H1571" s="19" t="s">
        <v>73</v>
      </c>
      <c r="I1571" s="20" t="s">
        <v>78</v>
      </c>
      <c r="J1571" s="20">
        <v>60000000</v>
      </c>
      <c r="K1571" s="19" t="s">
        <v>37</v>
      </c>
      <c r="L1571" s="19" t="s">
        <v>5</v>
      </c>
      <c r="M1571" s="21" t="s">
        <v>67</v>
      </c>
      <c r="N1571" s="20" t="s">
        <v>80</v>
      </c>
      <c r="O1571" s="19" t="s">
        <v>13</v>
      </c>
      <c r="P1571" s="10"/>
      <c r="Q1571" s="11"/>
    </row>
    <row r="1572" spans="2:17" ht="21" customHeight="1" x14ac:dyDescent="0.35">
      <c r="B1572" s="1">
        <v>44015</v>
      </c>
      <c r="C1572" s="1" t="str">
        <f>TEXT(Sales[[#This Row],[Kode Program/Kegiatan ]],"D")</f>
        <v>3</v>
      </c>
      <c r="D1572" s="2" t="str">
        <f>TEXT(Sales[[#This Row],[Kode Program/Kegiatan ]],"mmm")</f>
        <v>Jul</v>
      </c>
      <c r="E1572" s="3">
        <v>10</v>
      </c>
      <c r="F1572" s="2">
        <v>10</v>
      </c>
      <c r="G1572" s="3" t="str">
        <f>IF(Sales[[#This Row],[Anggaran Murni]]-Sales[[#This Row],[Target s.d. Januari]]=0,"",Sales[[#This Row],[Anggaran Murni]]-Sales[[#This Row],[Target s.d. Januari]])</f>
        <v/>
      </c>
      <c r="H1572" s="2" t="s">
        <v>70</v>
      </c>
      <c r="I1572" s="3" t="s">
        <v>1</v>
      </c>
      <c r="J1572" s="3">
        <v>40000000</v>
      </c>
      <c r="K1572" s="2" t="s">
        <v>29</v>
      </c>
      <c r="L1572" s="2" t="s">
        <v>5</v>
      </c>
      <c r="M1572" s="4" t="s">
        <v>67</v>
      </c>
      <c r="N1572" s="3" t="s">
        <v>82</v>
      </c>
      <c r="O1572" s="2" t="s">
        <v>13</v>
      </c>
      <c r="P1572" s="10"/>
      <c r="Q1572" s="11"/>
    </row>
    <row r="1573" spans="2:17" ht="21" customHeight="1" x14ac:dyDescent="0.35">
      <c r="B1573" s="18">
        <v>44015</v>
      </c>
      <c r="C1573" s="18" t="str">
        <f>TEXT(Sales[[#This Row],[Kode Program/Kegiatan ]],"D")</f>
        <v>3</v>
      </c>
      <c r="D1573" s="19" t="str">
        <f>TEXT(Sales[[#This Row],[Kode Program/Kegiatan ]],"mmm")</f>
        <v>Jul</v>
      </c>
      <c r="E1573" s="20">
        <v>7</v>
      </c>
      <c r="F1573" s="19">
        <v>7</v>
      </c>
      <c r="G1573" s="20" t="str">
        <f>IF(Sales[[#This Row],[Anggaran Murni]]-Sales[[#This Row],[Target s.d. Januari]]=0,"",Sales[[#This Row],[Anggaran Murni]]-Sales[[#This Row],[Target s.d. Januari]])</f>
        <v/>
      </c>
      <c r="H1573" s="19" t="s">
        <v>71</v>
      </c>
      <c r="I1573" s="20" t="s">
        <v>6</v>
      </c>
      <c r="J1573" s="20">
        <v>100000000</v>
      </c>
      <c r="K1573" s="19" t="s">
        <v>38</v>
      </c>
      <c r="L1573" s="19" t="s">
        <v>7</v>
      </c>
      <c r="M1573" s="21" t="s">
        <v>67</v>
      </c>
      <c r="N1573" s="20" t="s">
        <v>82</v>
      </c>
      <c r="O1573" s="19" t="s">
        <v>14</v>
      </c>
      <c r="P1573" s="10"/>
      <c r="Q1573" s="11"/>
    </row>
    <row r="1574" spans="2:17" ht="21" customHeight="1" x14ac:dyDescent="0.35">
      <c r="B1574" s="1">
        <v>44015</v>
      </c>
      <c r="C1574" s="1" t="str">
        <f>TEXT(Sales[[#This Row],[Kode Program/Kegiatan ]],"D")</f>
        <v>3</v>
      </c>
      <c r="D1574" s="2" t="str">
        <f>TEXT(Sales[[#This Row],[Kode Program/Kegiatan ]],"mmm")</f>
        <v>Jul</v>
      </c>
      <c r="E1574" s="3">
        <v>7</v>
      </c>
      <c r="F1574" s="2">
        <v>7</v>
      </c>
      <c r="G1574" s="3" t="str">
        <f>IF(Sales[[#This Row],[Anggaran Murni]]-Sales[[#This Row],[Target s.d. Januari]]=0,"",Sales[[#This Row],[Anggaran Murni]]-Sales[[#This Row],[Target s.d. Januari]])</f>
        <v/>
      </c>
      <c r="H1574" s="2" t="s">
        <v>71</v>
      </c>
      <c r="I1574" s="3" t="s">
        <v>6</v>
      </c>
      <c r="J1574" s="3">
        <v>80000000</v>
      </c>
      <c r="K1574" s="2" t="s">
        <v>52</v>
      </c>
      <c r="L1574" s="2" t="s">
        <v>9</v>
      </c>
      <c r="M1574" s="4" t="s">
        <v>67</v>
      </c>
      <c r="N1574" s="3" t="s">
        <v>81</v>
      </c>
      <c r="O1574" s="2" t="s">
        <v>14</v>
      </c>
      <c r="P1574" s="10"/>
      <c r="Q1574" s="11"/>
    </row>
    <row r="1575" spans="2:17" ht="21" customHeight="1" x14ac:dyDescent="0.35">
      <c r="B1575" s="18">
        <v>44015</v>
      </c>
      <c r="C1575" s="18" t="str">
        <f>TEXT(Sales[[#This Row],[Kode Program/Kegiatan ]],"D")</f>
        <v>3</v>
      </c>
      <c r="D1575" s="19" t="str">
        <f>TEXT(Sales[[#This Row],[Kode Program/Kegiatan ]],"mmm")</f>
        <v>Jul</v>
      </c>
      <c r="E1575" s="20">
        <v>7</v>
      </c>
      <c r="F1575" s="19">
        <v>7</v>
      </c>
      <c r="G1575" s="20" t="str">
        <f>IF(Sales[[#This Row],[Anggaran Murni]]-Sales[[#This Row],[Target s.d. Januari]]=0,"",Sales[[#This Row],[Anggaran Murni]]-Sales[[#This Row],[Target s.d. Januari]])</f>
        <v/>
      </c>
      <c r="H1575" s="19" t="s">
        <v>114</v>
      </c>
      <c r="I1575" s="20" t="s">
        <v>3</v>
      </c>
      <c r="J1575" s="20">
        <v>100000000</v>
      </c>
      <c r="K1575" s="19" t="s">
        <v>60</v>
      </c>
      <c r="L1575" s="19" t="s">
        <v>5</v>
      </c>
      <c r="M1575" s="21" t="s">
        <v>67</v>
      </c>
      <c r="N1575" s="20" t="s">
        <v>82</v>
      </c>
      <c r="O1575" s="19" t="s">
        <v>14</v>
      </c>
      <c r="P1575" s="10"/>
      <c r="Q1575" s="11"/>
    </row>
    <row r="1576" spans="2:17" ht="21" customHeight="1" x14ac:dyDescent="0.35">
      <c r="B1576" s="1">
        <v>44015</v>
      </c>
      <c r="C1576" s="1" t="str">
        <f>TEXT(Sales[[#This Row],[Kode Program/Kegiatan ]],"D")</f>
        <v>3</v>
      </c>
      <c r="D1576" s="2" t="str">
        <f>TEXT(Sales[[#This Row],[Kode Program/Kegiatan ]],"mmm")</f>
        <v>Jul</v>
      </c>
      <c r="E1576" s="3">
        <v>6</v>
      </c>
      <c r="F1576" s="2">
        <v>6</v>
      </c>
      <c r="G1576" s="3" t="str">
        <f>IF(Sales[[#This Row],[Anggaran Murni]]-Sales[[#This Row],[Target s.d. Januari]]=0,"",Sales[[#This Row],[Anggaran Murni]]-Sales[[#This Row],[Target s.d. Januari]])</f>
        <v/>
      </c>
      <c r="H1576" s="2" t="s">
        <v>114</v>
      </c>
      <c r="I1576" s="3" t="s">
        <v>3</v>
      </c>
      <c r="J1576" s="3">
        <v>40000000</v>
      </c>
      <c r="K1576" s="2" t="s">
        <v>29</v>
      </c>
      <c r="L1576" s="2" t="s">
        <v>2</v>
      </c>
      <c r="M1576" s="4" t="s">
        <v>67</v>
      </c>
      <c r="N1576" s="3" t="s">
        <v>81</v>
      </c>
      <c r="O1576" s="2" t="s">
        <v>13</v>
      </c>
      <c r="P1576" s="10"/>
      <c r="Q1576" s="11"/>
    </row>
    <row r="1577" spans="2:17" ht="21" customHeight="1" x14ac:dyDescent="0.35">
      <c r="B1577" s="18">
        <v>44015</v>
      </c>
      <c r="C1577" s="18" t="str">
        <f>TEXT(Sales[[#This Row],[Kode Program/Kegiatan ]],"D")</f>
        <v>3</v>
      </c>
      <c r="D1577" s="19" t="str">
        <f>TEXT(Sales[[#This Row],[Kode Program/Kegiatan ]],"mmm")</f>
        <v>Jul</v>
      </c>
      <c r="E1577" s="20">
        <v>4</v>
      </c>
      <c r="F1577" s="19">
        <v>4</v>
      </c>
      <c r="G1577" s="20" t="str">
        <f>IF(Sales[[#This Row],[Anggaran Murni]]-Sales[[#This Row],[Target s.d. Januari]]=0,"",Sales[[#This Row],[Anggaran Murni]]-Sales[[#This Row],[Target s.d. Januari]])</f>
        <v/>
      </c>
      <c r="H1577" s="19" t="s">
        <v>74</v>
      </c>
      <c r="I1577" s="20" t="s">
        <v>77</v>
      </c>
      <c r="J1577" s="20">
        <v>140000000</v>
      </c>
      <c r="K1577" s="19" t="s">
        <v>52</v>
      </c>
      <c r="L1577" s="19" t="s">
        <v>9</v>
      </c>
      <c r="M1577" s="21" t="s">
        <v>67</v>
      </c>
      <c r="N1577" s="20" t="s">
        <v>80</v>
      </c>
      <c r="O1577" s="19" t="s">
        <v>13</v>
      </c>
      <c r="P1577" s="10"/>
      <c r="Q1577" s="11"/>
    </row>
    <row r="1578" spans="2:17" ht="21" customHeight="1" x14ac:dyDescent="0.35">
      <c r="B1578" s="1">
        <v>44015</v>
      </c>
      <c r="C1578" s="1" t="str">
        <f>TEXT(Sales[[#This Row],[Kode Program/Kegiatan ]],"D")</f>
        <v>3</v>
      </c>
      <c r="D1578" s="2" t="str">
        <f>TEXT(Sales[[#This Row],[Kode Program/Kegiatan ]],"mmm")</f>
        <v>Jul</v>
      </c>
      <c r="E1578" s="3">
        <v>3</v>
      </c>
      <c r="F1578" s="2">
        <v>3</v>
      </c>
      <c r="G1578" s="3" t="str">
        <f>IF(Sales[[#This Row],[Anggaran Murni]]-Sales[[#This Row],[Target s.d. Januari]]=0,"",Sales[[#This Row],[Anggaran Murni]]-Sales[[#This Row],[Target s.d. Januari]])</f>
        <v/>
      </c>
      <c r="H1578" s="2" t="s">
        <v>72</v>
      </c>
      <c r="I1578" s="3" t="s">
        <v>78</v>
      </c>
      <c r="J1578" s="3">
        <v>60000000</v>
      </c>
      <c r="K1578" s="2" t="s">
        <v>28</v>
      </c>
      <c r="L1578" s="2" t="s">
        <v>8</v>
      </c>
      <c r="M1578" s="4" t="s">
        <v>67</v>
      </c>
      <c r="N1578" s="3" t="s">
        <v>81</v>
      </c>
      <c r="O1578" s="2" t="s">
        <v>14</v>
      </c>
      <c r="P1578" s="10"/>
      <c r="Q1578" s="11"/>
    </row>
    <row r="1579" spans="2:17" ht="21" customHeight="1" x14ac:dyDescent="0.35">
      <c r="B1579" s="18">
        <v>44016</v>
      </c>
      <c r="C1579" s="18" t="str">
        <f>TEXT(Sales[[#This Row],[Kode Program/Kegiatan ]],"D")</f>
        <v>4</v>
      </c>
      <c r="D1579" s="19" t="str">
        <f>TEXT(Sales[[#This Row],[Kode Program/Kegiatan ]],"mmm")</f>
        <v>Jul</v>
      </c>
      <c r="E1579" s="20">
        <v>9</v>
      </c>
      <c r="F1579" s="19">
        <v>9</v>
      </c>
      <c r="G1579" s="20" t="str">
        <f>IF(Sales[[#This Row],[Anggaran Murni]]-Sales[[#This Row],[Target s.d. Januari]]=0,"",Sales[[#This Row],[Anggaran Murni]]-Sales[[#This Row],[Target s.d. Januari]])</f>
        <v/>
      </c>
      <c r="H1579" s="19" t="s">
        <v>113</v>
      </c>
      <c r="I1579" s="20" t="s">
        <v>77</v>
      </c>
      <c r="J1579" s="20">
        <v>100000000</v>
      </c>
      <c r="K1579" s="19" t="s">
        <v>54</v>
      </c>
      <c r="L1579" s="19" t="s">
        <v>7</v>
      </c>
      <c r="M1579" s="21" t="s">
        <v>67</v>
      </c>
      <c r="N1579" s="20" t="s">
        <v>81</v>
      </c>
      <c r="O1579" s="19" t="s">
        <v>11</v>
      </c>
      <c r="P1579" s="10"/>
      <c r="Q1579" s="11"/>
    </row>
    <row r="1580" spans="2:17" ht="21" customHeight="1" x14ac:dyDescent="0.35">
      <c r="B1580" s="1">
        <v>44016</v>
      </c>
      <c r="C1580" s="1" t="str">
        <f>TEXT(Sales[[#This Row],[Kode Program/Kegiatan ]],"D")</f>
        <v>4</v>
      </c>
      <c r="D1580" s="2" t="str">
        <f>TEXT(Sales[[#This Row],[Kode Program/Kegiatan ]],"mmm")</f>
        <v>Jul</v>
      </c>
      <c r="E1580" s="3">
        <v>8</v>
      </c>
      <c r="F1580" s="2">
        <v>8</v>
      </c>
      <c r="G1580" s="3" t="str">
        <f>IF(Sales[[#This Row],[Anggaran Murni]]-Sales[[#This Row],[Target s.d. Januari]]=0,"",Sales[[#This Row],[Anggaran Murni]]-Sales[[#This Row],[Target s.d. Januari]])</f>
        <v/>
      </c>
      <c r="H1580" s="2" t="s">
        <v>113</v>
      </c>
      <c r="I1580" s="3" t="s">
        <v>77</v>
      </c>
      <c r="J1580" s="3">
        <v>40000000</v>
      </c>
      <c r="K1580" s="2" t="s">
        <v>26</v>
      </c>
      <c r="L1580" s="2" t="s">
        <v>2</v>
      </c>
      <c r="M1580" s="4" t="s">
        <v>67</v>
      </c>
      <c r="N1580" s="3" t="s">
        <v>81</v>
      </c>
      <c r="O1580" s="2" t="s">
        <v>11</v>
      </c>
      <c r="P1580" s="10"/>
      <c r="Q1580" s="11"/>
    </row>
    <row r="1581" spans="2:17" ht="21" customHeight="1" x14ac:dyDescent="0.35">
      <c r="B1581" s="18">
        <v>44016</v>
      </c>
      <c r="C1581" s="18" t="str">
        <f>TEXT(Sales[[#This Row],[Kode Program/Kegiatan ]],"D")</f>
        <v>4</v>
      </c>
      <c r="D1581" s="19" t="str">
        <f>TEXT(Sales[[#This Row],[Kode Program/Kegiatan ]],"mmm")</f>
        <v>Jul</v>
      </c>
      <c r="E1581" s="20">
        <v>8</v>
      </c>
      <c r="F1581" s="19">
        <v>8</v>
      </c>
      <c r="G1581" s="20" t="str">
        <f>IF(Sales[[#This Row],[Anggaran Murni]]-Sales[[#This Row],[Target s.d. Januari]]=0,"",Sales[[#This Row],[Anggaran Murni]]-Sales[[#This Row],[Target s.d. Januari]])</f>
        <v/>
      </c>
      <c r="H1581" s="19" t="s">
        <v>72</v>
      </c>
      <c r="I1581" s="20" t="s">
        <v>78</v>
      </c>
      <c r="J1581" s="20">
        <v>100000000</v>
      </c>
      <c r="K1581" s="19" t="s">
        <v>61</v>
      </c>
      <c r="L1581" s="19" t="s">
        <v>9</v>
      </c>
      <c r="M1581" s="21" t="s">
        <v>67</v>
      </c>
      <c r="N1581" s="20" t="s">
        <v>80</v>
      </c>
      <c r="O1581" s="19" t="s">
        <v>13</v>
      </c>
      <c r="P1581" s="10"/>
      <c r="Q1581" s="11"/>
    </row>
    <row r="1582" spans="2:17" ht="21" customHeight="1" x14ac:dyDescent="0.35">
      <c r="B1582" s="1">
        <v>44016</v>
      </c>
      <c r="C1582" s="1" t="str">
        <f>TEXT(Sales[[#This Row],[Kode Program/Kegiatan ]],"D")</f>
        <v>4</v>
      </c>
      <c r="D1582" s="2" t="str">
        <f>TEXT(Sales[[#This Row],[Kode Program/Kegiatan ]],"mmm")</f>
        <v>Jul</v>
      </c>
      <c r="E1582" s="3">
        <v>7</v>
      </c>
      <c r="F1582" s="2">
        <v>7</v>
      </c>
      <c r="G1582" s="3" t="str">
        <f>IF(Sales[[#This Row],[Anggaran Murni]]-Sales[[#This Row],[Target s.d. Januari]]=0,"",Sales[[#This Row],[Anggaran Murni]]-Sales[[#This Row],[Target s.d. Januari]])</f>
        <v/>
      </c>
      <c r="H1582" s="2" t="s">
        <v>74</v>
      </c>
      <c r="I1582" s="3" t="s">
        <v>77</v>
      </c>
      <c r="J1582" s="3">
        <v>120000000</v>
      </c>
      <c r="K1582" s="2" t="s">
        <v>29</v>
      </c>
      <c r="L1582" s="2" t="s">
        <v>7</v>
      </c>
      <c r="M1582" s="4" t="s">
        <v>67</v>
      </c>
      <c r="N1582" s="3" t="s">
        <v>81</v>
      </c>
      <c r="O1582" s="2" t="s">
        <v>14</v>
      </c>
      <c r="P1582" s="10"/>
      <c r="Q1582" s="11"/>
    </row>
    <row r="1583" spans="2:17" ht="21" customHeight="1" x14ac:dyDescent="0.35">
      <c r="B1583" s="18">
        <v>44016</v>
      </c>
      <c r="C1583" s="18" t="str">
        <f>TEXT(Sales[[#This Row],[Kode Program/Kegiatan ]],"D")</f>
        <v>4</v>
      </c>
      <c r="D1583" s="19" t="str">
        <f>TEXT(Sales[[#This Row],[Kode Program/Kegiatan ]],"mmm")</f>
        <v>Jul</v>
      </c>
      <c r="E1583" s="20">
        <v>6</v>
      </c>
      <c r="F1583" s="19">
        <v>6</v>
      </c>
      <c r="G1583" s="20" t="str">
        <f>IF(Sales[[#This Row],[Anggaran Murni]]-Sales[[#This Row],[Target s.d. Januari]]=0,"",Sales[[#This Row],[Anggaran Murni]]-Sales[[#This Row],[Target s.d. Januari]])</f>
        <v/>
      </c>
      <c r="H1583" s="19" t="s">
        <v>75</v>
      </c>
      <c r="I1583" s="20" t="s">
        <v>6</v>
      </c>
      <c r="J1583" s="20">
        <v>60000000</v>
      </c>
      <c r="K1583" s="19" t="s">
        <v>52</v>
      </c>
      <c r="L1583" s="19" t="s">
        <v>2</v>
      </c>
      <c r="M1583" s="21" t="s">
        <v>67</v>
      </c>
      <c r="N1583" s="20" t="s">
        <v>82</v>
      </c>
      <c r="O1583" s="19" t="s">
        <v>12</v>
      </c>
      <c r="P1583" s="10"/>
      <c r="Q1583" s="11"/>
    </row>
    <row r="1584" spans="2:17" ht="21" customHeight="1" x14ac:dyDescent="0.35">
      <c r="B1584" s="1">
        <v>44016</v>
      </c>
      <c r="C1584" s="1" t="str">
        <f>TEXT(Sales[[#This Row],[Kode Program/Kegiatan ]],"D")</f>
        <v>4</v>
      </c>
      <c r="D1584" s="2" t="str">
        <f>TEXT(Sales[[#This Row],[Kode Program/Kegiatan ]],"mmm")</f>
        <v>Jul</v>
      </c>
      <c r="E1584" s="3">
        <v>6</v>
      </c>
      <c r="F1584" s="2">
        <v>6</v>
      </c>
      <c r="G1584" s="3" t="str">
        <f>IF(Sales[[#This Row],[Anggaran Murni]]-Sales[[#This Row],[Target s.d. Januari]]=0,"",Sales[[#This Row],[Anggaran Murni]]-Sales[[#This Row],[Target s.d. Januari]])</f>
        <v/>
      </c>
      <c r="H1584" s="2" t="s">
        <v>72</v>
      </c>
      <c r="I1584" s="3" t="s">
        <v>78</v>
      </c>
      <c r="J1584" s="3">
        <v>120000000</v>
      </c>
      <c r="K1584" s="2" t="s">
        <v>38</v>
      </c>
      <c r="L1584" s="2" t="s">
        <v>5</v>
      </c>
      <c r="M1584" s="4" t="s">
        <v>67</v>
      </c>
      <c r="N1584" s="3" t="s">
        <v>82</v>
      </c>
      <c r="O1584" s="2" t="s">
        <v>12</v>
      </c>
      <c r="P1584" s="10"/>
      <c r="Q1584" s="11"/>
    </row>
    <row r="1585" spans="2:17" ht="21" customHeight="1" x14ac:dyDescent="0.35">
      <c r="B1585" s="18">
        <v>44016</v>
      </c>
      <c r="C1585" s="18" t="str">
        <f>TEXT(Sales[[#This Row],[Kode Program/Kegiatan ]],"D")</f>
        <v>4</v>
      </c>
      <c r="D1585" s="19" t="str">
        <f>TEXT(Sales[[#This Row],[Kode Program/Kegiatan ]],"mmm")</f>
        <v>Jul</v>
      </c>
      <c r="E1585" s="20">
        <v>6</v>
      </c>
      <c r="F1585" s="19">
        <v>6</v>
      </c>
      <c r="G1585" s="20" t="str">
        <f>IF(Sales[[#This Row],[Anggaran Murni]]-Sales[[#This Row],[Target s.d. Januari]]=0,"",Sales[[#This Row],[Anggaran Murni]]-Sales[[#This Row],[Target s.d. Januari]])</f>
        <v/>
      </c>
      <c r="H1585" s="19" t="s">
        <v>113</v>
      </c>
      <c r="I1585" s="20" t="s">
        <v>77</v>
      </c>
      <c r="J1585" s="20">
        <v>100000000</v>
      </c>
      <c r="K1585" s="19" t="s">
        <v>40</v>
      </c>
      <c r="L1585" s="19" t="s">
        <v>7</v>
      </c>
      <c r="M1585" s="21" t="s">
        <v>67</v>
      </c>
      <c r="N1585" s="20" t="s">
        <v>82</v>
      </c>
      <c r="O1585" s="19" t="s">
        <v>11</v>
      </c>
      <c r="P1585" s="10"/>
      <c r="Q1585" s="11"/>
    </row>
    <row r="1586" spans="2:17" ht="21" customHeight="1" x14ac:dyDescent="0.35">
      <c r="B1586" s="1">
        <v>44016</v>
      </c>
      <c r="C1586" s="1" t="str">
        <f>TEXT(Sales[[#This Row],[Kode Program/Kegiatan ]],"D")</f>
        <v>4</v>
      </c>
      <c r="D1586" s="2" t="str">
        <f>TEXT(Sales[[#This Row],[Kode Program/Kegiatan ]],"mmm")</f>
        <v>Jul</v>
      </c>
      <c r="E1586" s="3">
        <v>5</v>
      </c>
      <c r="F1586" s="2">
        <v>5</v>
      </c>
      <c r="G1586" s="3" t="str">
        <f>IF(Sales[[#This Row],[Anggaran Murni]]-Sales[[#This Row],[Target s.d. Januari]]=0,"",Sales[[#This Row],[Anggaran Murni]]-Sales[[#This Row],[Target s.d. Januari]])</f>
        <v/>
      </c>
      <c r="H1586" s="2" t="s">
        <v>74</v>
      </c>
      <c r="I1586" s="3" t="s">
        <v>77</v>
      </c>
      <c r="J1586" s="3">
        <v>60000000</v>
      </c>
      <c r="K1586" s="2" t="s">
        <v>44</v>
      </c>
      <c r="L1586" s="2" t="s">
        <v>5</v>
      </c>
      <c r="M1586" s="4" t="s">
        <v>67</v>
      </c>
      <c r="N1586" s="3" t="s">
        <v>82</v>
      </c>
      <c r="O1586" s="2" t="s">
        <v>14</v>
      </c>
      <c r="P1586" s="10"/>
      <c r="Q1586" s="11"/>
    </row>
    <row r="1587" spans="2:17" ht="21" customHeight="1" x14ac:dyDescent="0.35">
      <c r="B1587" s="18">
        <v>44016</v>
      </c>
      <c r="C1587" s="18" t="str">
        <f>TEXT(Sales[[#This Row],[Kode Program/Kegiatan ]],"D")</f>
        <v>4</v>
      </c>
      <c r="D1587" s="19" t="str">
        <f>TEXT(Sales[[#This Row],[Kode Program/Kegiatan ]],"mmm")</f>
        <v>Jul</v>
      </c>
      <c r="E1587" s="20">
        <v>5</v>
      </c>
      <c r="F1587" s="19">
        <v>5</v>
      </c>
      <c r="G1587" s="20" t="str">
        <f>IF(Sales[[#This Row],[Anggaran Murni]]-Sales[[#This Row],[Target s.d. Januari]]=0,"",Sales[[#This Row],[Anggaran Murni]]-Sales[[#This Row],[Target s.d. Januari]])</f>
        <v/>
      </c>
      <c r="H1587" s="19" t="s">
        <v>74</v>
      </c>
      <c r="I1587" s="20" t="s">
        <v>77</v>
      </c>
      <c r="J1587" s="20">
        <v>140000000</v>
      </c>
      <c r="K1587" s="19" t="s">
        <v>52</v>
      </c>
      <c r="L1587" s="19" t="s">
        <v>5</v>
      </c>
      <c r="M1587" s="21" t="s">
        <v>67</v>
      </c>
      <c r="N1587" s="20" t="s">
        <v>82</v>
      </c>
      <c r="O1587" s="19" t="s">
        <v>14</v>
      </c>
      <c r="P1587" s="10"/>
      <c r="Q1587" s="11"/>
    </row>
    <row r="1588" spans="2:17" ht="21" customHeight="1" x14ac:dyDescent="0.35">
      <c r="B1588" s="1">
        <v>44016</v>
      </c>
      <c r="C1588" s="1" t="str">
        <f>TEXT(Sales[[#This Row],[Kode Program/Kegiatan ]],"D")</f>
        <v>4</v>
      </c>
      <c r="D1588" s="2" t="str">
        <f>TEXT(Sales[[#This Row],[Kode Program/Kegiatan ]],"mmm")</f>
        <v>Jul</v>
      </c>
      <c r="E1588" s="3">
        <v>5</v>
      </c>
      <c r="F1588" s="2">
        <v>5</v>
      </c>
      <c r="G1588" s="3" t="str">
        <f>IF(Sales[[#This Row],[Anggaran Murni]]-Sales[[#This Row],[Target s.d. Januari]]=0,"",Sales[[#This Row],[Anggaran Murni]]-Sales[[#This Row],[Target s.d. Januari]])</f>
        <v/>
      </c>
      <c r="H1588" s="2" t="s">
        <v>73</v>
      </c>
      <c r="I1588" s="3" t="s">
        <v>78</v>
      </c>
      <c r="J1588" s="3">
        <v>40000000</v>
      </c>
      <c r="K1588" s="2" t="s">
        <v>53</v>
      </c>
      <c r="L1588" s="2" t="s">
        <v>2</v>
      </c>
      <c r="M1588" s="4" t="s">
        <v>67</v>
      </c>
      <c r="N1588" s="3" t="s">
        <v>80</v>
      </c>
      <c r="O1588" s="2" t="s">
        <v>11</v>
      </c>
      <c r="P1588" s="10"/>
      <c r="Q1588" s="11"/>
    </row>
    <row r="1589" spans="2:17" ht="21" customHeight="1" x14ac:dyDescent="0.35">
      <c r="B1589" s="18">
        <v>44016</v>
      </c>
      <c r="C1589" s="18" t="str">
        <f>TEXT(Sales[[#This Row],[Kode Program/Kegiatan ]],"D")</f>
        <v>4</v>
      </c>
      <c r="D1589" s="19" t="str">
        <f>TEXT(Sales[[#This Row],[Kode Program/Kegiatan ]],"mmm")</f>
        <v>Jul</v>
      </c>
      <c r="E1589" s="20">
        <v>5</v>
      </c>
      <c r="F1589" s="19">
        <v>5</v>
      </c>
      <c r="G1589" s="20" t="str">
        <f>IF(Sales[[#This Row],[Anggaran Murni]]-Sales[[#This Row],[Target s.d. Januari]]=0,"",Sales[[#This Row],[Anggaran Murni]]-Sales[[#This Row],[Target s.d. Januari]])</f>
        <v/>
      </c>
      <c r="H1589" s="19" t="s">
        <v>72</v>
      </c>
      <c r="I1589" s="20" t="s">
        <v>78</v>
      </c>
      <c r="J1589" s="20">
        <v>140000000</v>
      </c>
      <c r="K1589" s="19" t="s">
        <v>22</v>
      </c>
      <c r="L1589" s="19" t="s">
        <v>2</v>
      </c>
      <c r="M1589" s="21" t="s">
        <v>67</v>
      </c>
      <c r="N1589" s="20" t="s">
        <v>82</v>
      </c>
      <c r="O1589" s="19" t="s">
        <v>13</v>
      </c>
      <c r="P1589" s="10"/>
      <c r="Q1589" s="11"/>
    </row>
    <row r="1590" spans="2:17" ht="21" customHeight="1" x14ac:dyDescent="0.35">
      <c r="B1590" s="1">
        <v>44016</v>
      </c>
      <c r="C1590" s="1" t="str">
        <f>TEXT(Sales[[#This Row],[Kode Program/Kegiatan ]],"D")</f>
        <v>4</v>
      </c>
      <c r="D1590" s="2" t="str">
        <f>TEXT(Sales[[#This Row],[Kode Program/Kegiatan ]],"mmm")</f>
        <v>Jul</v>
      </c>
      <c r="E1590" s="3">
        <v>4</v>
      </c>
      <c r="F1590" s="2">
        <v>4</v>
      </c>
      <c r="G1590" s="3" t="str">
        <f>IF(Sales[[#This Row],[Anggaran Murni]]-Sales[[#This Row],[Target s.d. Januari]]=0,"",Sales[[#This Row],[Anggaran Murni]]-Sales[[#This Row],[Target s.d. Januari]])</f>
        <v/>
      </c>
      <c r="H1590" s="2" t="s">
        <v>71</v>
      </c>
      <c r="I1590" s="3" t="s">
        <v>6</v>
      </c>
      <c r="J1590" s="3">
        <v>100000000</v>
      </c>
      <c r="K1590" s="2" t="s">
        <v>21</v>
      </c>
      <c r="L1590" s="2" t="s">
        <v>2</v>
      </c>
      <c r="M1590" s="4" t="s">
        <v>67</v>
      </c>
      <c r="N1590" s="3" t="s">
        <v>80</v>
      </c>
      <c r="O1590" s="2" t="s">
        <v>11</v>
      </c>
      <c r="P1590" s="10"/>
      <c r="Q1590" s="11"/>
    </row>
    <row r="1591" spans="2:17" ht="21" customHeight="1" x14ac:dyDescent="0.35">
      <c r="B1591" s="18">
        <v>44016</v>
      </c>
      <c r="C1591" s="18" t="str">
        <f>TEXT(Sales[[#This Row],[Kode Program/Kegiatan ]],"D")</f>
        <v>4</v>
      </c>
      <c r="D1591" s="19" t="str">
        <f>TEXT(Sales[[#This Row],[Kode Program/Kegiatan ]],"mmm")</f>
        <v>Jul</v>
      </c>
      <c r="E1591" s="20">
        <v>3</v>
      </c>
      <c r="F1591" s="19">
        <v>3</v>
      </c>
      <c r="G1591" s="20" t="str">
        <f>IF(Sales[[#This Row],[Anggaran Murni]]-Sales[[#This Row],[Target s.d. Januari]]=0,"",Sales[[#This Row],[Anggaran Murni]]-Sales[[#This Row],[Target s.d. Januari]])</f>
        <v/>
      </c>
      <c r="H1591" s="19" t="s">
        <v>114</v>
      </c>
      <c r="I1591" s="20" t="s">
        <v>3</v>
      </c>
      <c r="J1591" s="20">
        <v>60000000</v>
      </c>
      <c r="K1591" s="19" t="s">
        <v>43</v>
      </c>
      <c r="L1591" s="19" t="s">
        <v>5</v>
      </c>
      <c r="M1591" s="21" t="s">
        <v>67</v>
      </c>
      <c r="N1591" s="20" t="s">
        <v>82</v>
      </c>
      <c r="O1591" s="19" t="s">
        <v>12</v>
      </c>
      <c r="P1591" s="10"/>
      <c r="Q1591" s="11"/>
    </row>
    <row r="1592" spans="2:17" ht="21" customHeight="1" x14ac:dyDescent="0.35">
      <c r="B1592" s="1">
        <v>44017</v>
      </c>
      <c r="C1592" s="1" t="str">
        <f>TEXT(Sales[[#This Row],[Kode Program/Kegiatan ]],"D")</f>
        <v>5</v>
      </c>
      <c r="D1592" s="2" t="str">
        <f>TEXT(Sales[[#This Row],[Kode Program/Kegiatan ]],"mmm")</f>
        <v>Jul</v>
      </c>
      <c r="E1592" s="3">
        <v>10</v>
      </c>
      <c r="F1592" s="2">
        <v>10</v>
      </c>
      <c r="G1592" s="3" t="str">
        <f>IF(Sales[[#This Row],[Anggaran Murni]]-Sales[[#This Row],[Target s.d. Januari]]=0,"",Sales[[#This Row],[Anggaran Murni]]-Sales[[#This Row],[Target s.d. Januari]])</f>
        <v/>
      </c>
      <c r="H1592" s="2" t="s">
        <v>113</v>
      </c>
      <c r="I1592" s="3" t="s">
        <v>77</v>
      </c>
      <c r="J1592" s="3">
        <v>40000000</v>
      </c>
      <c r="K1592" s="2" t="s">
        <v>18</v>
      </c>
      <c r="L1592" s="2" t="s">
        <v>5</v>
      </c>
      <c r="M1592" s="4" t="s">
        <v>67</v>
      </c>
      <c r="N1592" s="3" t="s">
        <v>82</v>
      </c>
      <c r="O1592" s="2" t="s">
        <v>14</v>
      </c>
      <c r="P1592" s="10"/>
      <c r="Q1592" s="11"/>
    </row>
    <row r="1593" spans="2:17" ht="21" customHeight="1" x14ac:dyDescent="0.35">
      <c r="B1593" s="18">
        <v>44017</v>
      </c>
      <c r="C1593" s="18" t="str">
        <f>TEXT(Sales[[#This Row],[Kode Program/Kegiatan ]],"D")</f>
        <v>5</v>
      </c>
      <c r="D1593" s="19" t="str">
        <f>TEXT(Sales[[#This Row],[Kode Program/Kegiatan ]],"mmm")</f>
        <v>Jul</v>
      </c>
      <c r="E1593" s="20">
        <v>9</v>
      </c>
      <c r="F1593" s="19">
        <v>9</v>
      </c>
      <c r="G1593" s="20" t="str">
        <f>IF(Sales[[#This Row],[Anggaran Murni]]-Sales[[#This Row],[Target s.d. Januari]]=0,"",Sales[[#This Row],[Anggaran Murni]]-Sales[[#This Row],[Target s.d. Januari]])</f>
        <v/>
      </c>
      <c r="H1593" s="19" t="s">
        <v>73</v>
      </c>
      <c r="I1593" s="20" t="s">
        <v>78</v>
      </c>
      <c r="J1593" s="20">
        <v>100000000</v>
      </c>
      <c r="K1593" s="19" t="s">
        <v>62</v>
      </c>
      <c r="L1593" s="19" t="s">
        <v>5</v>
      </c>
      <c r="M1593" s="21" t="s">
        <v>67</v>
      </c>
      <c r="N1593" s="20" t="s">
        <v>81</v>
      </c>
      <c r="O1593" s="19" t="s">
        <v>12</v>
      </c>
      <c r="P1593" s="10"/>
      <c r="Q1593" s="11"/>
    </row>
    <row r="1594" spans="2:17" ht="21" customHeight="1" x14ac:dyDescent="0.35">
      <c r="B1594" s="1">
        <v>44017</v>
      </c>
      <c r="C1594" s="1" t="str">
        <f>TEXT(Sales[[#This Row],[Kode Program/Kegiatan ]],"D")</f>
        <v>5</v>
      </c>
      <c r="D1594" s="2" t="str">
        <f>TEXT(Sales[[#This Row],[Kode Program/Kegiatan ]],"mmm")</f>
        <v>Jul</v>
      </c>
      <c r="E1594" s="3">
        <v>9</v>
      </c>
      <c r="F1594" s="2">
        <v>9</v>
      </c>
      <c r="G1594" s="3" t="str">
        <f>IF(Sales[[#This Row],[Anggaran Murni]]-Sales[[#This Row],[Target s.d. Januari]]=0,"",Sales[[#This Row],[Anggaran Murni]]-Sales[[#This Row],[Target s.d. Januari]])</f>
        <v/>
      </c>
      <c r="H1594" s="2" t="s">
        <v>113</v>
      </c>
      <c r="I1594" s="3" t="s">
        <v>77</v>
      </c>
      <c r="J1594" s="3">
        <v>120000000</v>
      </c>
      <c r="K1594" s="2" t="s">
        <v>40</v>
      </c>
      <c r="L1594" s="2" t="s">
        <v>4</v>
      </c>
      <c r="M1594" s="4" t="s">
        <v>67</v>
      </c>
      <c r="N1594" s="3" t="s">
        <v>81</v>
      </c>
      <c r="O1594" s="2" t="s">
        <v>11</v>
      </c>
      <c r="P1594" s="10"/>
      <c r="Q1594" s="11"/>
    </row>
    <row r="1595" spans="2:17" ht="21" customHeight="1" x14ac:dyDescent="0.35">
      <c r="B1595" s="18">
        <v>44017</v>
      </c>
      <c r="C1595" s="18" t="str">
        <f>TEXT(Sales[[#This Row],[Kode Program/Kegiatan ]],"D")</f>
        <v>5</v>
      </c>
      <c r="D1595" s="19" t="str">
        <f>TEXT(Sales[[#This Row],[Kode Program/Kegiatan ]],"mmm")</f>
        <v>Jul</v>
      </c>
      <c r="E1595" s="20">
        <v>8</v>
      </c>
      <c r="F1595" s="19">
        <v>8</v>
      </c>
      <c r="G1595" s="20" t="str">
        <f>IF(Sales[[#This Row],[Anggaran Murni]]-Sales[[#This Row],[Target s.d. Januari]]=0,"",Sales[[#This Row],[Anggaran Murni]]-Sales[[#This Row],[Target s.d. Januari]])</f>
        <v/>
      </c>
      <c r="H1595" s="19" t="s">
        <v>74</v>
      </c>
      <c r="I1595" s="20" t="s">
        <v>77</v>
      </c>
      <c r="J1595" s="20">
        <v>140000000</v>
      </c>
      <c r="K1595" s="19" t="s">
        <v>56</v>
      </c>
      <c r="L1595" s="19" t="s">
        <v>2</v>
      </c>
      <c r="M1595" s="21" t="s">
        <v>67</v>
      </c>
      <c r="N1595" s="20" t="s">
        <v>80</v>
      </c>
      <c r="O1595" s="19" t="s">
        <v>13</v>
      </c>
      <c r="P1595" s="10"/>
      <c r="Q1595" s="11"/>
    </row>
    <row r="1596" spans="2:17" ht="21" customHeight="1" x14ac:dyDescent="0.35">
      <c r="B1596" s="1">
        <v>44017</v>
      </c>
      <c r="C1596" s="1" t="str">
        <f>TEXT(Sales[[#This Row],[Kode Program/Kegiatan ]],"D")</f>
        <v>5</v>
      </c>
      <c r="D1596" s="2" t="str">
        <f>TEXT(Sales[[#This Row],[Kode Program/Kegiatan ]],"mmm")</f>
        <v>Jul</v>
      </c>
      <c r="E1596" s="3">
        <v>8</v>
      </c>
      <c r="F1596" s="2">
        <v>8</v>
      </c>
      <c r="G1596" s="3" t="str">
        <f>IF(Sales[[#This Row],[Anggaran Murni]]-Sales[[#This Row],[Target s.d. Januari]]=0,"",Sales[[#This Row],[Anggaran Murni]]-Sales[[#This Row],[Target s.d. Januari]])</f>
        <v/>
      </c>
      <c r="H1596" s="2" t="s">
        <v>73</v>
      </c>
      <c r="I1596" s="3" t="s">
        <v>78</v>
      </c>
      <c r="J1596" s="3">
        <v>40000000</v>
      </c>
      <c r="K1596" s="2" t="s">
        <v>17</v>
      </c>
      <c r="L1596" s="2" t="s">
        <v>2</v>
      </c>
      <c r="M1596" s="4" t="s">
        <v>67</v>
      </c>
      <c r="N1596" s="3" t="s">
        <v>81</v>
      </c>
      <c r="O1596" s="2" t="s">
        <v>11</v>
      </c>
      <c r="P1596" s="10"/>
      <c r="Q1596" s="11"/>
    </row>
    <row r="1597" spans="2:17" ht="21" customHeight="1" x14ac:dyDescent="0.35">
      <c r="B1597" s="18">
        <v>44017</v>
      </c>
      <c r="C1597" s="18" t="str">
        <f>TEXT(Sales[[#This Row],[Kode Program/Kegiatan ]],"D")</f>
        <v>5</v>
      </c>
      <c r="D1597" s="19" t="str">
        <f>TEXT(Sales[[#This Row],[Kode Program/Kegiatan ]],"mmm")</f>
        <v>Jul</v>
      </c>
      <c r="E1597" s="20">
        <v>8</v>
      </c>
      <c r="F1597" s="19">
        <v>8</v>
      </c>
      <c r="G1597" s="20" t="str">
        <f>IF(Sales[[#This Row],[Anggaran Murni]]-Sales[[#This Row],[Target s.d. Januari]]=0,"",Sales[[#This Row],[Anggaran Murni]]-Sales[[#This Row],[Target s.d. Januari]])</f>
        <v/>
      </c>
      <c r="H1597" s="19" t="s">
        <v>71</v>
      </c>
      <c r="I1597" s="20" t="s">
        <v>6</v>
      </c>
      <c r="J1597" s="20">
        <v>80000000</v>
      </c>
      <c r="K1597" s="19" t="s">
        <v>49</v>
      </c>
      <c r="L1597" s="19" t="s">
        <v>2</v>
      </c>
      <c r="M1597" s="21" t="s">
        <v>67</v>
      </c>
      <c r="N1597" s="20" t="s">
        <v>81</v>
      </c>
      <c r="O1597" s="19" t="s">
        <v>12</v>
      </c>
      <c r="P1597" s="10"/>
      <c r="Q1597" s="11"/>
    </row>
    <row r="1598" spans="2:17" ht="21" customHeight="1" x14ac:dyDescent="0.35">
      <c r="B1598" s="1">
        <v>44017</v>
      </c>
      <c r="C1598" s="1" t="str">
        <f>TEXT(Sales[[#This Row],[Kode Program/Kegiatan ]],"D")</f>
        <v>5</v>
      </c>
      <c r="D1598" s="2" t="str">
        <f>TEXT(Sales[[#This Row],[Kode Program/Kegiatan ]],"mmm")</f>
        <v>Jul</v>
      </c>
      <c r="E1598" s="3">
        <v>4</v>
      </c>
      <c r="F1598" s="2">
        <v>4</v>
      </c>
      <c r="G1598" s="3" t="str">
        <f>IF(Sales[[#This Row],[Anggaran Murni]]-Sales[[#This Row],[Target s.d. Januari]]=0,"",Sales[[#This Row],[Anggaran Murni]]-Sales[[#This Row],[Target s.d. Januari]])</f>
        <v/>
      </c>
      <c r="H1598" s="2" t="s">
        <v>113</v>
      </c>
      <c r="I1598" s="3" t="s">
        <v>77</v>
      </c>
      <c r="J1598" s="3">
        <v>80000000</v>
      </c>
      <c r="K1598" s="2" t="s">
        <v>56</v>
      </c>
      <c r="L1598" s="2" t="s">
        <v>2</v>
      </c>
      <c r="M1598" s="4" t="s">
        <v>67</v>
      </c>
      <c r="N1598" s="3" t="s">
        <v>80</v>
      </c>
      <c r="O1598" s="2" t="s">
        <v>11</v>
      </c>
      <c r="P1598" s="10"/>
      <c r="Q1598" s="11"/>
    </row>
    <row r="1599" spans="2:17" ht="21" customHeight="1" x14ac:dyDescent="0.35">
      <c r="B1599" s="18">
        <v>44018</v>
      </c>
      <c r="C1599" s="18" t="str">
        <f>TEXT(Sales[[#This Row],[Kode Program/Kegiatan ]],"D")</f>
        <v>6</v>
      </c>
      <c r="D1599" s="19" t="str">
        <f>TEXT(Sales[[#This Row],[Kode Program/Kegiatan ]],"mmm")</f>
        <v>Jul</v>
      </c>
      <c r="E1599" s="20">
        <v>9</v>
      </c>
      <c r="F1599" s="19">
        <v>9</v>
      </c>
      <c r="G1599" s="20" t="str">
        <f>IF(Sales[[#This Row],[Anggaran Murni]]-Sales[[#This Row],[Target s.d. Januari]]=0,"",Sales[[#This Row],[Anggaran Murni]]-Sales[[#This Row],[Target s.d. Januari]])</f>
        <v/>
      </c>
      <c r="H1599" s="19" t="s">
        <v>70</v>
      </c>
      <c r="I1599" s="20" t="s">
        <v>1</v>
      </c>
      <c r="J1599" s="20">
        <v>80000000</v>
      </c>
      <c r="K1599" s="19" t="s">
        <v>51</v>
      </c>
      <c r="L1599" s="19" t="s">
        <v>5</v>
      </c>
      <c r="M1599" s="21" t="s">
        <v>67</v>
      </c>
      <c r="N1599" s="20" t="s">
        <v>80</v>
      </c>
      <c r="O1599" s="19" t="s">
        <v>11</v>
      </c>
      <c r="P1599" s="10"/>
      <c r="Q1599" s="11"/>
    </row>
    <row r="1600" spans="2:17" ht="21" customHeight="1" x14ac:dyDescent="0.35">
      <c r="B1600" s="1">
        <v>44018</v>
      </c>
      <c r="C1600" s="1" t="str">
        <f>TEXT(Sales[[#This Row],[Kode Program/Kegiatan ]],"D")</f>
        <v>6</v>
      </c>
      <c r="D1600" s="2" t="str">
        <f>TEXT(Sales[[#This Row],[Kode Program/Kegiatan ]],"mmm")</f>
        <v>Jul</v>
      </c>
      <c r="E1600" s="3">
        <v>8</v>
      </c>
      <c r="F1600" s="2">
        <v>8</v>
      </c>
      <c r="G1600" s="3" t="str">
        <f>IF(Sales[[#This Row],[Anggaran Murni]]-Sales[[#This Row],[Target s.d. Januari]]=0,"",Sales[[#This Row],[Anggaran Murni]]-Sales[[#This Row],[Target s.d. Januari]])</f>
        <v/>
      </c>
      <c r="H1600" s="2" t="s">
        <v>70</v>
      </c>
      <c r="I1600" s="3" t="s">
        <v>1</v>
      </c>
      <c r="J1600" s="3">
        <v>80000000</v>
      </c>
      <c r="K1600" s="2" t="s">
        <v>44</v>
      </c>
      <c r="L1600" s="2" t="s">
        <v>5</v>
      </c>
      <c r="M1600" s="4" t="s">
        <v>67</v>
      </c>
      <c r="N1600" s="3" t="s">
        <v>82</v>
      </c>
      <c r="O1600" s="2" t="s">
        <v>12</v>
      </c>
      <c r="P1600" s="10"/>
      <c r="Q1600" s="11"/>
    </row>
    <row r="1601" spans="2:17" ht="21" customHeight="1" x14ac:dyDescent="0.35">
      <c r="B1601" s="18">
        <v>44018</v>
      </c>
      <c r="C1601" s="18" t="str">
        <f>TEXT(Sales[[#This Row],[Kode Program/Kegiatan ]],"D")</f>
        <v>6</v>
      </c>
      <c r="D1601" s="19" t="str">
        <f>TEXT(Sales[[#This Row],[Kode Program/Kegiatan ]],"mmm")</f>
        <v>Jul</v>
      </c>
      <c r="E1601" s="20">
        <v>6</v>
      </c>
      <c r="F1601" s="19">
        <v>6</v>
      </c>
      <c r="G1601" s="20" t="str">
        <f>IF(Sales[[#This Row],[Anggaran Murni]]-Sales[[#This Row],[Target s.d. Januari]]=0,"",Sales[[#This Row],[Anggaran Murni]]-Sales[[#This Row],[Target s.d. Januari]])</f>
        <v/>
      </c>
      <c r="H1601" s="19" t="s">
        <v>76</v>
      </c>
      <c r="I1601" s="20" t="s">
        <v>79</v>
      </c>
      <c r="J1601" s="20">
        <v>40000000</v>
      </c>
      <c r="K1601" s="19" t="s">
        <v>57</v>
      </c>
      <c r="L1601" s="19" t="s">
        <v>5</v>
      </c>
      <c r="M1601" s="21" t="s">
        <v>67</v>
      </c>
      <c r="N1601" s="20" t="s">
        <v>82</v>
      </c>
      <c r="O1601" s="19" t="s">
        <v>12</v>
      </c>
      <c r="P1601" s="10"/>
      <c r="Q1601" s="11"/>
    </row>
    <row r="1602" spans="2:17" ht="21" customHeight="1" x14ac:dyDescent="0.35">
      <c r="B1602" s="1">
        <v>44018</v>
      </c>
      <c r="C1602" s="1" t="str">
        <f>TEXT(Sales[[#This Row],[Kode Program/Kegiatan ]],"D")</f>
        <v>6</v>
      </c>
      <c r="D1602" s="2" t="str">
        <f>TEXT(Sales[[#This Row],[Kode Program/Kegiatan ]],"mmm")</f>
        <v>Jul</v>
      </c>
      <c r="E1602" s="3">
        <v>6</v>
      </c>
      <c r="F1602" s="2">
        <v>6</v>
      </c>
      <c r="G1602" s="3" t="str">
        <f>IF(Sales[[#This Row],[Anggaran Murni]]-Sales[[#This Row],[Target s.d. Januari]]=0,"",Sales[[#This Row],[Anggaran Murni]]-Sales[[#This Row],[Target s.d. Januari]])</f>
        <v/>
      </c>
      <c r="H1602" s="2" t="s">
        <v>113</v>
      </c>
      <c r="I1602" s="3" t="s">
        <v>77</v>
      </c>
      <c r="J1602" s="3">
        <v>120000000</v>
      </c>
      <c r="K1602" s="2" t="s">
        <v>60</v>
      </c>
      <c r="L1602" s="2" t="s">
        <v>5</v>
      </c>
      <c r="M1602" s="4" t="s">
        <v>67</v>
      </c>
      <c r="N1602" s="3" t="s">
        <v>82</v>
      </c>
      <c r="O1602" s="2" t="s">
        <v>14</v>
      </c>
      <c r="P1602" s="10"/>
      <c r="Q1602" s="11"/>
    </row>
    <row r="1603" spans="2:17" ht="21" customHeight="1" x14ac:dyDescent="0.35">
      <c r="B1603" s="18">
        <v>44018</v>
      </c>
      <c r="C1603" s="18" t="str">
        <f>TEXT(Sales[[#This Row],[Kode Program/Kegiatan ]],"D")</f>
        <v>6</v>
      </c>
      <c r="D1603" s="19" t="str">
        <f>TEXT(Sales[[#This Row],[Kode Program/Kegiatan ]],"mmm")</f>
        <v>Jul</v>
      </c>
      <c r="E1603" s="20">
        <v>6</v>
      </c>
      <c r="F1603" s="19">
        <v>6</v>
      </c>
      <c r="G1603" s="20" t="str">
        <f>IF(Sales[[#This Row],[Anggaran Murni]]-Sales[[#This Row],[Target s.d. Januari]]=0,"",Sales[[#This Row],[Anggaran Murni]]-Sales[[#This Row],[Target s.d. Januari]])</f>
        <v/>
      </c>
      <c r="H1603" s="19" t="s">
        <v>72</v>
      </c>
      <c r="I1603" s="20" t="s">
        <v>78</v>
      </c>
      <c r="J1603" s="20">
        <v>120000000</v>
      </c>
      <c r="K1603" s="19" t="s">
        <v>29</v>
      </c>
      <c r="L1603" s="19" t="s">
        <v>2</v>
      </c>
      <c r="M1603" s="21" t="s">
        <v>67</v>
      </c>
      <c r="N1603" s="20" t="s">
        <v>82</v>
      </c>
      <c r="O1603" s="19" t="s">
        <v>11</v>
      </c>
      <c r="P1603" s="10"/>
      <c r="Q1603" s="11"/>
    </row>
    <row r="1604" spans="2:17" ht="21" customHeight="1" x14ac:dyDescent="0.35">
      <c r="B1604" s="1">
        <v>44018</v>
      </c>
      <c r="C1604" s="1" t="str">
        <f>TEXT(Sales[[#This Row],[Kode Program/Kegiatan ]],"D")</f>
        <v>6</v>
      </c>
      <c r="D1604" s="2" t="str">
        <f>TEXT(Sales[[#This Row],[Kode Program/Kegiatan ]],"mmm")</f>
        <v>Jul</v>
      </c>
      <c r="E1604" s="3">
        <v>6</v>
      </c>
      <c r="F1604" s="2">
        <v>6</v>
      </c>
      <c r="G1604" s="3" t="str">
        <f>IF(Sales[[#This Row],[Anggaran Murni]]-Sales[[#This Row],[Target s.d. Januari]]=0,"",Sales[[#This Row],[Anggaran Murni]]-Sales[[#This Row],[Target s.d. Januari]])</f>
        <v/>
      </c>
      <c r="H1604" s="2" t="s">
        <v>71</v>
      </c>
      <c r="I1604" s="3" t="s">
        <v>6</v>
      </c>
      <c r="J1604" s="3">
        <v>100000000</v>
      </c>
      <c r="K1604" s="2" t="s">
        <v>20</v>
      </c>
      <c r="L1604" s="2" t="s">
        <v>7</v>
      </c>
      <c r="M1604" s="4" t="s">
        <v>67</v>
      </c>
      <c r="N1604" s="3" t="s">
        <v>82</v>
      </c>
      <c r="O1604" s="2" t="s">
        <v>14</v>
      </c>
      <c r="P1604" s="10"/>
      <c r="Q1604" s="11"/>
    </row>
    <row r="1605" spans="2:17" ht="21" customHeight="1" x14ac:dyDescent="0.35">
      <c r="B1605" s="18">
        <v>44018</v>
      </c>
      <c r="C1605" s="18" t="str">
        <f>TEXT(Sales[[#This Row],[Kode Program/Kegiatan ]],"D")</f>
        <v>6</v>
      </c>
      <c r="D1605" s="19" t="str">
        <f>TEXT(Sales[[#This Row],[Kode Program/Kegiatan ]],"mmm")</f>
        <v>Jul</v>
      </c>
      <c r="E1605" s="20">
        <v>5</v>
      </c>
      <c r="F1605" s="19">
        <v>5</v>
      </c>
      <c r="G1605" s="20" t="str">
        <f>IF(Sales[[#This Row],[Anggaran Murni]]-Sales[[#This Row],[Target s.d. Januari]]=0,"",Sales[[#This Row],[Anggaran Murni]]-Sales[[#This Row],[Target s.d. Januari]])</f>
        <v/>
      </c>
      <c r="H1605" s="19" t="s">
        <v>70</v>
      </c>
      <c r="I1605" s="20" t="s">
        <v>1</v>
      </c>
      <c r="J1605" s="20">
        <v>40000000</v>
      </c>
      <c r="K1605" s="19" t="s">
        <v>31</v>
      </c>
      <c r="L1605" s="19" t="s">
        <v>5</v>
      </c>
      <c r="M1605" s="21" t="s">
        <v>67</v>
      </c>
      <c r="N1605" s="20" t="s">
        <v>81</v>
      </c>
      <c r="O1605" s="19" t="s">
        <v>12</v>
      </c>
      <c r="P1605" s="10"/>
      <c r="Q1605" s="11"/>
    </row>
    <row r="1606" spans="2:17" ht="21" customHeight="1" x14ac:dyDescent="0.35">
      <c r="B1606" s="1">
        <v>44018</v>
      </c>
      <c r="C1606" s="1" t="str">
        <f>TEXT(Sales[[#This Row],[Kode Program/Kegiatan ]],"D")</f>
        <v>6</v>
      </c>
      <c r="D1606" s="2" t="str">
        <f>TEXT(Sales[[#This Row],[Kode Program/Kegiatan ]],"mmm")</f>
        <v>Jul</v>
      </c>
      <c r="E1606" s="3">
        <v>5</v>
      </c>
      <c r="F1606" s="2">
        <v>5</v>
      </c>
      <c r="G1606" s="3" t="str">
        <f>IF(Sales[[#This Row],[Anggaran Murni]]-Sales[[#This Row],[Target s.d. Januari]]=0,"",Sales[[#This Row],[Anggaran Murni]]-Sales[[#This Row],[Target s.d. Januari]])</f>
        <v/>
      </c>
      <c r="H1606" s="2" t="s">
        <v>114</v>
      </c>
      <c r="I1606" s="3" t="s">
        <v>3</v>
      </c>
      <c r="J1606" s="3">
        <v>80000000</v>
      </c>
      <c r="K1606" s="2" t="s">
        <v>18</v>
      </c>
      <c r="L1606" s="2" t="s">
        <v>5</v>
      </c>
      <c r="M1606" s="4" t="s">
        <v>67</v>
      </c>
      <c r="N1606" s="3" t="s">
        <v>80</v>
      </c>
      <c r="O1606" s="2" t="s">
        <v>12</v>
      </c>
      <c r="P1606" s="10"/>
      <c r="Q1606" s="11"/>
    </row>
    <row r="1607" spans="2:17" ht="21" customHeight="1" x14ac:dyDescent="0.35">
      <c r="B1607" s="18">
        <v>44018</v>
      </c>
      <c r="C1607" s="18" t="str">
        <f>TEXT(Sales[[#This Row],[Kode Program/Kegiatan ]],"D")</f>
        <v>6</v>
      </c>
      <c r="D1607" s="19" t="str">
        <f>TEXT(Sales[[#This Row],[Kode Program/Kegiatan ]],"mmm")</f>
        <v>Jul</v>
      </c>
      <c r="E1607" s="20">
        <v>5</v>
      </c>
      <c r="F1607" s="19">
        <v>5</v>
      </c>
      <c r="G1607" s="20" t="str">
        <f>IF(Sales[[#This Row],[Anggaran Murni]]-Sales[[#This Row],[Target s.d. Januari]]=0,"",Sales[[#This Row],[Anggaran Murni]]-Sales[[#This Row],[Target s.d. Januari]])</f>
        <v/>
      </c>
      <c r="H1607" s="19" t="s">
        <v>114</v>
      </c>
      <c r="I1607" s="20" t="s">
        <v>3</v>
      </c>
      <c r="J1607" s="20">
        <v>120000000</v>
      </c>
      <c r="K1607" s="19" t="s">
        <v>20</v>
      </c>
      <c r="L1607" s="19" t="s">
        <v>5</v>
      </c>
      <c r="M1607" s="21" t="s">
        <v>67</v>
      </c>
      <c r="N1607" s="20" t="s">
        <v>81</v>
      </c>
      <c r="O1607" s="19" t="s">
        <v>12</v>
      </c>
      <c r="P1607" s="10"/>
      <c r="Q1607" s="11"/>
    </row>
    <row r="1608" spans="2:17" ht="21" customHeight="1" x14ac:dyDescent="0.35">
      <c r="B1608" s="1">
        <v>44018</v>
      </c>
      <c r="C1608" s="1" t="str">
        <f>TEXT(Sales[[#This Row],[Kode Program/Kegiatan ]],"D")</f>
        <v>6</v>
      </c>
      <c r="D1608" s="2" t="str">
        <f>TEXT(Sales[[#This Row],[Kode Program/Kegiatan ]],"mmm")</f>
        <v>Jul</v>
      </c>
      <c r="E1608" s="3">
        <v>4</v>
      </c>
      <c r="F1608" s="2">
        <v>4</v>
      </c>
      <c r="G1608" s="3" t="str">
        <f>IF(Sales[[#This Row],[Anggaran Murni]]-Sales[[#This Row],[Target s.d. Januari]]=0,"",Sales[[#This Row],[Anggaran Murni]]-Sales[[#This Row],[Target s.d. Januari]])</f>
        <v/>
      </c>
      <c r="H1608" s="2" t="s">
        <v>76</v>
      </c>
      <c r="I1608" s="3" t="s">
        <v>79</v>
      </c>
      <c r="J1608" s="3">
        <v>80000000</v>
      </c>
      <c r="K1608" s="2" t="s">
        <v>24</v>
      </c>
      <c r="L1608" s="2" t="s">
        <v>5</v>
      </c>
      <c r="M1608" s="4" t="s">
        <v>67</v>
      </c>
      <c r="N1608" s="3" t="s">
        <v>81</v>
      </c>
      <c r="O1608" s="2" t="s">
        <v>12</v>
      </c>
      <c r="P1608" s="10"/>
      <c r="Q1608" s="11"/>
    </row>
    <row r="1609" spans="2:17" ht="21" customHeight="1" x14ac:dyDescent="0.35">
      <c r="B1609" s="18">
        <v>44018</v>
      </c>
      <c r="C1609" s="18" t="str">
        <f>TEXT(Sales[[#This Row],[Kode Program/Kegiatan ]],"D")</f>
        <v>6</v>
      </c>
      <c r="D1609" s="19" t="str">
        <f>TEXT(Sales[[#This Row],[Kode Program/Kegiatan ]],"mmm")</f>
        <v>Jul</v>
      </c>
      <c r="E1609" s="20">
        <v>3</v>
      </c>
      <c r="F1609" s="19">
        <v>3</v>
      </c>
      <c r="G1609" s="20" t="str">
        <f>IF(Sales[[#This Row],[Anggaran Murni]]-Sales[[#This Row],[Target s.d. Januari]]=0,"",Sales[[#This Row],[Anggaran Murni]]-Sales[[#This Row],[Target s.d. Januari]])</f>
        <v/>
      </c>
      <c r="H1609" s="19" t="s">
        <v>76</v>
      </c>
      <c r="I1609" s="20" t="s">
        <v>79</v>
      </c>
      <c r="J1609" s="20">
        <v>140000000</v>
      </c>
      <c r="K1609" s="19" t="s">
        <v>21</v>
      </c>
      <c r="L1609" s="19" t="s">
        <v>5</v>
      </c>
      <c r="M1609" s="21" t="s">
        <v>67</v>
      </c>
      <c r="N1609" s="20" t="s">
        <v>80</v>
      </c>
      <c r="O1609" s="19" t="s">
        <v>11</v>
      </c>
      <c r="P1609" s="10"/>
      <c r="Q1609" s="11"/>
    </row>
    <row r="1610" spans="2:17" ht="21" customHeight="1" x14ac:dyDescent="0.35">
      <c r="B1610" s="1">
        <v>44019</v>
      </c>
      <c r="C1610" s="1" t="str">
        <f>TEXT(Sales[[#This Row],[Kode Program/Kegiatan ]],"D")</f>
        <v>7</v>
      </c>
      <c r="D1610" s="2" t="str">
        <f>TEXT(Sales[[#This Row],[Kode Program/Kegiatan ]],"mmm")</f>
        <v>Jul</v>
      </c>
      <c r="E1610" s="3">
        <v>9</v>
      </c>
      <c r="F1610" s="2">
        <v>9</v>
      </c>
      <c r="G1610" s="3" t="str">
        <f>IF(Sales[[#This Row],[Anggaran Murni]]-Sales[[#This Row],[Target s.d. Januari]]=0,"",Sales[[#This Row],[Anggaran Murni]]-Sales[[#This Row],[Target s.d. Januari]])</f>
        <v/>
      </c>
      <c r="H1610" s="2" t="s">
        <v>74</v>
      </c>
      <c r="I1610" s="3" t="s">
        <v>77</v>
      </c>
      <c r="J1610" s="3">
        <v>140000000</v>
      </c>
      <c r="K1610" s="2" t="s">
        <v>15</v>
      </c>
      <c r="L1610" s="2" t="s">
        <v>9</v>
      </c>
      <c r="M1610" s="4" t="s">
        <v>67</v>
      </c>
      <c r="N1610" s="3" t="s">
        <v>80</v>
      </c>
      <c r="O1610" s="2" t="s">
        <v>12</v>
      </c>
      <c r="P1610" s="10"/>
      <c r="Q1610" s="11"/>
    </row>
    <row r="1611" spans="2:17" ht="21" customHeight="1" x14ac:dyDescent="0.35">
      <c r="B1611" s="18">
        <v>44019</v>
      </c>
      <c r="C1611" s="18" t="str">
        <f>TEXT(Sales[[#This Row],[Kode Program/Kegiatan ]],"D")</f>
        <v>7</v>
      </c>
      <c r="D1611" s="19" t="str">
        <f>TEXT(Sales[[#This Row],[Kode Program/Kegiatan ]],"mmm")</f>
        <v>Jul</v>
      </c>
      <c r="E1611" s="20">
        <v>9</v>
      </c>
      <c r="F1611" s="19">
        <v>9</v>
      </c>
      <c r="G1611" s="20" t="str">
        <f>IF(Sales[[#This Row],[Anggaran Murni]]-Sales[[#This Row],[Target s.d. Januari]]=0,"",Sales[[#This Row],[Anggaran Murni]]-Sales[[#This Row],[Target s.d. Januari]])</f>
        <v/>
      </c>
      <c r="H1611" s="19" t="s">
        <v>72</v>
      </c>
      <c r="I1611" s="20" t="s">
        <v>78</v>
      </c>
      <c r="J1611" s="20">
        <v>40000000</v>
      </c>
      <c r="K1611" s="19" t="s">
        <v>24</v>
      </c>
      <c r="L1611" s="19" t="s">
        <v>5</v>
      </c>
      <c r="M1611" s="21" t="s">
        <v>67</v>
      </c>
      <c r="N1611" s="20" t="s">
        <v>82</v>
      </c>
      <c r="O1611" s="19" t="s">
        <v>11</v>
      </c>
      <c r="P1611" s="10"/>
      <c r="Q1611" s="11"/>
    </row>
    <row r="1612" spans="2:17" ht="21" customHeight="1" x14ac:dyDescent="0.35">
      <c r="B1612" s="1">
        <v>44019</v>
      </c>
      <c r="C1612" s="1" t="str">
        <f>TEXT(Sales[[#This Row],[Kode Program/Kegiatan ]],"D")</f>
        <v>7</v>
      </c>
      <c r="D1612" s="2" t="str">
        <f>TEXT(Sales[[#This Row],[Kode Program/Kegiatan ]],"mmm")</f>
        <v>Jul</v>
      </c>
      <c r="E1612" s="3">
        <v>7</v>
      </c>
      <c r="F1612" s="2">
        <v>7</v>
      </c>
      <c r="G1612" s="3" t="str">
        <f>IF(Sales[[#This Row],[Anggaran Murni]]-Sales[[#This Row],[Target s.d. Januari]]=0,"",Sales[[#This Row],[Anggaran Murni]]-Sales[[#This Row],[Target s.d. Januari]])</f>
        <v/>
      </c>
      <c r="H1612" s="2" t="s">
        <v>113</v>
      </c>
      <c r="I1612" s="3" t="s">
        <v>77</v>
      </c>
      <c r="J1612" s="3">
        <v>80000000</v>
      </c>
      <c r="K1612" s="2" t="s">
        <v>20</v>
      </c>
      <c r="L1612" s="2" t="s">
        <v>2</v>
      </c>
      <c r="M1612" s="4" t="s">
        <v>67</v>
      </c>
      <c r="N1612" s="3" t="s">
        <v>82</v>
      </c>
      <c r="O1612" s="2" t="s">
        <v>12</v>
      </c>
      <c r="P1612" s="10"/>
      <c r="Q1612" s="11"/>
    </row>
    <row r="1613" spans="2:17" ht="21" customHeight="1" x14ac:dyDescent="0.35">
      <c r="B1613" s="18">
        <v>44019</v>
      </c>
      <c r="C1613" s="18" t="str">
        <f>TEXT(Sales[[#This Row],[Kode Program/Kegiatan ]],"D")</f>
        <v>7</v>
      </c>
      <c r="D1613" s="19" t="str">
        <f>TEXT(Sales[[#This Row],[Kode Program/Kegiatan ]],"mmm")</f>
        <v>Jul</v>
      </c>
      <c r="E1613" s="20">
        <v>7</v>
      </c>
      <c r="F1613" s="19">
        <v>7</v>
      </c>
      <c r="G1613" s="20" t="str">
        <f>IF(Sales[[#This Row],[Anggaran Murni]]-Sales[[#This Row],[Target s.d. Januari]]=0,"",Sales[[#This Row],[Anggaran Murni]]-Sales[[#This Row],[Target s.d. Januari]])</f>
        <v/>
      </c>
      <c r="H1613" s="19" t="s">
        <v>72</v>
      </c>
      <c r="I1613" s="20" t="s">
        <v>78</v>
      </c>
      <c r="J1613" s="20">
        <v>140000000</v>
      </c>
      <c r="K1613" s="19" t="s">
        <v>27</v>
      </c>
      <c r="L1613" s="19" t="s">
        <v>2</v>
      </c>
      <c r="M1613" s="21" t="s">
        <v>67</v>
      </c>
      <c r="N1613" s="20" t="s">
        <v>81</v>
      </c>
      <c r="O1613" s="19" t="s">
        <v>13</v>
      </c>
      <c r="P1613" s="10"/>
      <c r="Q1613" s="11"/>
    </row>
    <row r="1614" spans="2:17" ht="21" customHeight="1" x14ac:dyDescent="0.35">
      <c r="B1614" s="1">
        <v>44019</v>
      </c>
      <c r="C1614" s="1" t="str">
        <f>TEXT(Sales[[#This Row],[Kode Program/Kegiatan ]],"D")</f>
        <v>7</v>
      </c>
      <c r="D1614" s="2" t="str">
        <f>TEXT(Sales[[#This Row],[Kode Program/Kegiatan ]],"mmm")</f>
        <v>Jul</v>
      </c>
      <c r="E1614" s="3">
        <v>7</v>
      </c>
      <c r="F1614" s="2">
        <v>7</v>
      </c>
      <c r="G1614" s="3" t="str">
        <f>IF(Sales[[#This Row],[Anggaran Murni]]-Sales[[#This Row],[Target s.d. Januari]]=0,"",Sales[[#This Row],[Anggaran Murni]]-Sales[[#This Row],[Target s.d. Januari]])</f>
        <v/>
      </c>
      <c r="H1614" s="2" t="s">
        <v>114</v>
      </c>
      <c r="I1614" s="3" t="s">
        <v>3</v>
      </c>
      <c r="J1614" s="3">
        <v>60000000</v>
      </c>
      <c r="K1614" s="2" t="s">
        <v>59</v>
      </c>
      <c r="L1614" s="2" t="s">
        <v>2</v>
      </c>
      <c r="M1614" s="4" t="s">
        <v>67</v>
      </c>
      <c r="N1614" s="3" t="s">
        <v>80</v>
      </c>
      <c r="O1614" s="2" t="s">
        <v>11</v>
      </c>
      <c r="P1614" s="10"/>
      <c r="Q1614" s="11"/>
    </row>
    <row r="1615" spans="2:17" ht="21" customHeight="1" x14ac:dyDescent="0.35">
      <c r="B1615" s="18">
        <v>44019</v>
      </c>
      <c r="C1615" s="18" t="str">
        <f>TEXT(Sales[[#This Row],[Kode Program/Kegiatan ]],"D")</f>
        <v>7</v>
      </c>
      <c r="D1615" s="19" t="str">
        <f>TEXT(Sales[[#This Row],[Kode Program/Kegiatan ]],"mmm")</f>
        <v>Jul</v>
      </c>
      <c r="E1615" s="20">
        <v>7</v>
      </c>
      <c r="F1615" s="19">
        <v>7</v>
      </c>
      <c r="G1615" s="20" t="str">
        <f>IF(Sales[[#This Row],[Anggaran Murni]]-Sales[[#This Row],[Target s.d. Januari]]=0,"",Sales[[#This Row],[Anggaran Murni]]-Sales[[#This Row],[Target s.d. Januari]])</f>
        <v/>
      </c>
      <c r="H1615" s="19" t="s">
        <v>113</v>
      </c>
      <c r="I1615" s="20" t="s">
        <v>77</v>
      </c>
      <c r="J1615" s="20">
        <v>60000000</v>
      </c>
      <c r="K1615" s="19" t="s">
        <v>29</v>
      </c>
      <c r="L1615" s="19" t="s">
        <v>2</v>
      </c>
      <c r="M1615" s="21" t="s">
        <v>67</v>
      </c>
      <c r="N1615" s="20" t="s">
        <v>82</v>
      </c>
      <c r="O1615" s="19" t="s">
        <v>12</v>
      </c>
      <c r="P1615" s="10"/>
      <c r="Q1615" s="11"/>
    </row>
    <row r="1616" spans="2:17" ht="21" customHeight="1" x14ac:dyDescent="0.35">
      <c r="B1616" s="1">
        <v>44019</v>
      </c>
      <c r="C1616" s="1" t="str">
        <f>TEXT(Sales[[#This Row],[Kode Program/Kegiatan ]],"D")</f>
        <v>7</v>
      </c>
      <c r="D1616" s="2" t="str">
        <f>TEXT(Sales[[#This Row],[Kode Program/Kegiatan ]],"mmm")</f>
        <v>Jul</v>
      </c>
      <c r="E1616" s="3">
        <v>6</v>
      </c>
      <c r="F1616" s="2">
        <v>6</v>
      </c>
      <c r="G1616" s="3" t="str">
        <f>IF(Sales[[#This Row],[Anggaran Murni]]-Sales[[#This Row],[Target s.d. Januari]]=0,"",Sales[[#This Row],[Anggaran Murni]]-Sales[[#This Row],[Target s.d. Januari]])</f>
        <v/>
      </c>
      <c r="H1616" s="2" t="s">
        <v>113</v>
      </c>
      <c r="I1616" s="3" t="s">
        <v>77</v>
      </c>
      <c r="J1616" s="3">
        <v>140000000</v>
      </c>
      <c r="K1616" s="2" t="s">
        <v>20</v>
      </c>
      <c r="L1616" s="2" t="s">
        <v>8</v>
      </c>
      <c r="M1616" s="4" t="s">
        <v>67</v>
      </c>
      <c r="N1616" s="3" t="s">
        <v>81</v>
      </c>
      <c r="O1616" s="2" t="s">
        <v>14</v>
      </c>
      <c r="P1616" s="10"/>
      <c r="Q1616" s="11"/>
    </row>
    <row r="1617" spans="2:17" ht="21" customHeight="1" x14ac:dyDescent="0.35">
      <c r="B1617" s="18">
        <v>44019</v>
      </c>
      <c r="C1617" s="18" t="str">
        <f>TEXT(Sales[[#This Row],[Kode Program/Kegiatan ]],"D")</f>
        <v>7</v>
      </c>
      <c r="D1617" s="19" t="str">
        <f>TEXT(Sales[[#This Row],[Kode Program/Kegiatan ]],"mmm")</f>
        <v>Jul</v>
      </c>
      <c r="E1617" s="20">
        <v>5</v>
      </c>
      <c r="F1617" s="19">
        <v>5</v>
      </c>
      <c r="G1617" s="20" t="str">
        <f>IF(Sales[[#This Row],[Anggaran Murni]]-Sales[[#This Row],[Target s.d. Januari]]=0,"",Sales[[#This Row],[Anggaran Murni]]-Sales[[#This Row],[Target s.d. Januari]])</f>
        <v/>
      </c>
      <c r="H1617" s="19" t="s">
        <v>71</v>
      </c>
      <c r="I1617" s="20" t="s">
        <v>6</v>
      </c>
      <c r="J1617" s="20">
        <v>80000000</v>
      </c>
      <c r="K1617" s="19" t="s">
        <v>29</v>
      </c>
      <c r="L1617" s="19" t="s">
        <v>5</v>
      </c>
      <c r="M1617" s="21" t="s">
        <v>67</v>
      </c>
      <c r="N1617" s="20" t="s">
        <v>80</v>
      </c>
      <c r="O1617" s="19" t="s">
        <v>13</v>
      </c>
      <c r="P1617" s="10"/>
      <c r="Q1617" s="11"/>
    </row>
    <row r="1618" spans="2:17" ht="21" customHeight="1" x14ac:dyDescent="0.35">
      <c r="B1618" s="1">
        <v>44019</v>
      </c>
      <c r="C1618" s="1" t="str">
        <f>TEXT(Sales[[#This Row],[Kode Program/Kegiatan ]],"D")</f>
        <v>7</v>
      </c>
      <c r="D1618" s="2" t="str">
        <f>TEXT(Sales[[#This Row],[Kode Program/Kegiatan ]],"mmm")</f>
        <v>Jul</v>
      </c>
      <c r="E1618" s="3">
        <v>3</v>
      </c>
      <c r="F1618" s="2">
        <v>3</v>
      </c>
      <c r="G1618" s="3" t="str">
        <f>IF(Sales[[#This Row],[Anggaran Murni]]-Sales[[#This Row],[Target s.d. Januari]]=0,"",Sales[[#This Row],[Anggaran Murni]]-Sales[[#This Row],[Target s.d. Januari]])</f>
        <v/>
      </c>
      <c r="H1618" s="2" t="s">
        <v>73</v>
      </c>
      <c r="I1618" s="3" t="s">
        <v>78</v>
      </c>
      <c r="J1618" s="3">
        <v>120000000</v>
      </c>
      <c r="K1618" s="2" t="s">
        <v>27</v>
      </c>
      <c r="L1618" s="2" t="s">
        <v>7</v>
      </c>
      <c r="M1618" s="4" t="s">
        <v>67</v>
      </c>
      <c r="N1618" s="3" t="s">
        <v>80</v>
      </c>
      <c r="O1618" s="2" t="s">
        <v>14</v>
      </c>
      <c r="P1618" s="10"/>
      <c r="Q1618" s="11"/>
    </row>
    <row r="1619" spans="2:17" ht="21" customHeight="1" x14ac:dyDescent="0.35">
      <c r="B1619" s="18">
        <v>44020</v>
      </c>
      <c r="C1619" s="18" t="str">
        <f>TEXT(Sales[[#This Row],[Kode Program/Kegiatan ]],"D")</f>
        <v>8</v>
      </c>
      <c r="D1619" s="19" t="str">
        <f>TEXT(Sales[[#This Row],[Kode Program/Kegiatan ]],"mmm")</f>
        <v>Jul</v>
      </c>
      <c r="E1619" s="20">
        <v>10</v>
      </c>
      <c r="F1619" s="19">
        <v>10</v>
      </c>
      <c r="G1619" s="20" t="str">
        <f>IF(Sales[[#This Row],[Anggaran Murni]]-Sales[[#This Row],[Target s.d. Januari]]=0,"",Sales[[#This Row],[Anggaran Murni]]-Sales[[#This Row],[Target s.d. Januari]])</f>
        <v/>
      </c>
      <c r="H1619" s="19" t="s">
        <v>73</v>
      </c>
      <c r="I1619" s="20" t="s">
        <v>78</v>
      </c>
      <c r="J1619" s="20">
        <v>140000000</v>
      </c>
      <c r="K1619" s="19" t="s">
        <v>17</v>
      </c>
      <c r="L1619" s="19" t="s">
        <v>7</v>
      </c>
      <c r="M1619" s="21" t="s">
        <v>67</v>
      </c>
      <c r="N1619" s="20" t="s">
        <v>81</v>
      </c>
      <c r="O1619" s="19" t="s">
        <v>14</v>
      </c>
      <c r="P1619" s="10"/>
      <c r="Q1619" s="11"/>
    </row>
    <row r="1620" spans="2:17" ht="21" customHeight="1" x14ac:dyDescent="0.35">
      <c r="B1620" s="1">
        <v>44020</v>
      </c>
      <c r="C1620" s="1" t="str">
        <f>TEXT(Sales[[#This Row],[Kode Program/Kegiatan ]],"D")</f>
        <v>8</v>
      </c>
      <c r="D1620" s="2" t="str">
        <f>TEXT(Sales[[#This Row],[Kode Program/Kegiatan ]],"mmm")</f>
        <v>Jul</v>
      </c>
      <c r="E1620" s="3">
        <v>9</v>
      </c>
      <c r="F1620" s="2">
        <v>9</v>
      </c>
      <c r="G1620" s="3" t="str">
        <f>IF(Sales[[#This Row],[Anggaran Murni]]-Sales[[#This Row],[Target s.d. Januari]]=0,"",Sales[[#This Row],[Anggaran Murni]]-Sales[[#This Row],[Target s.d. Januari]])</f>
        <v/>
      </c>
      <c r="H1620" s="2" t="s">
        <v>74</v>
      </c>
      <c r="I1620" s="3" t="s">
        <v>77</v>
      </c>
      <c r="J1620" s="3">
        <v>120000000</v>
      </c>
      <c r="K1620" s="2" t="s">
        <v>31</v>
      </c>
      <c r="L1620" s="2" t="s">
        <v>2</v>
      </c>
      <c r="M1620" s="4" t="s">
        <v>67</v>
      </c>
      <c r="N1620" s="3" t="s">
        <v>80</v>
      </c>
      <c r="O1620" s="2" t="s">
        <v>14</v>
      </c>
      <c r="P1620" s="10"/>
      <c r="Q1620" s="11"/>
    </row>
    <row r="1621" spans="2:17" ht="21" customHeight="1" x14ac:dyDescent="0.35">
      <c r="B1621" s="18">
        <v>44020</v>
      </c>
      <c r="C1621" s="18" t="str">
        <f>TEXT(Sales[[#This Row],[Kode Program/Kegiatan ]],"D")</f>
        <v>8</v>
      </c>
      <c r="D1621" s="19" t="str">
        <f>TEXT(Sales[[#This Row],[Kode Program/Kegiatan ]],"mmm")</f>
        <v>Jul</v>
      </c>
      <c r="E1621" s="20">
        <v>8</v>
      </c>
      <c r="F1621" s="19">
        <v>8</v>
      </c>
      <c r="G1621" s="20" t="str">
        <f>IF(Sales[[#This Row],[Anggaran Murni]]-Sales[[#This Row],[Target s.d. Januari]]=0,"",Sales[[#This Row],[Anggaran Murni]]-Sales[[#This Row],[Target s.d. Januari]])</f>
        <v/>
      </c>
      <c r="H1621" s="19" t="s">
        <v>71</v>
      </c>
      <c r="I1621" s="20" t="s">
        <v>6</v>
      </c>
      <c r="J1621" s="20">
        <v>120000000</v>
      </c>
      <c r="K1621" s="19" t="s">
        <v>58</v>
      </c>
      <c r="L1621" s="19" t="s">
        <v>5</v>
      </c>
      <c r="M1621" s="21" t="s">
        <v>67</v>
      </c>
      <c r="N1621" s="20" t="s">
        <v>82</v>
      </c>
      <c r="O1621" s="19" t="s">
        <v>14</v>
      </c>
      <c r="P1621" s="10"/>
      <c r="Q1621" s="11"/>
    </row>
    <row r="1622" spans="2:17" ht="21" customHeight="1" x14ac:dyDescent="0.35">
      <c r="B1622" s="1">
        <v>44020</v>
      </c>
      <c r="C1622" s="1" t="str">
        <f>TEXT(Sales[[#This Row],[Kode Program/Kegiatan ]],"D")</f>
        <v>8</v>
      </c>
      <c r="D1622" s="2" t="str">
        <f>TEXT(Sales[[#This Row],[Kode Program/Kegiatan ]],"mmm")</f>
        <v>Jul</v>
      </c>
      <c r="E1622" s="3">
        <v>6</v>
      </c>
      <c r="F1622" s="2">
        <v>6</v>
      </c>
      <c r="G1622" s="3" t="str">
        <f>IF(Sales[[#This Row],[Anggaran Murni]]-Sales[[#This Row],[Target s.d. Januari]]=0,"",Sales[[#This Row],[Anggaran Murni]]-Sales[[#This Row],[Target s.d. Januari]])</f>
        <v/>
      </c>
      <c r="H1622" s="2" t="s">
        <v>75</v>
      </c>
      <c r="I1622" s="3" t="s">
        <v>6</v>
      </c>
      <c r="J1622" s="3">
        <v>120000000</v>
      </c>
      <c r="K1622" s="2" t="s">
        <v>60</v>
      </c>
      <c r="L1622" s="2" t="s">
        <v>8</v>
      </c>
      <c r="M1622" s="4" t="s">
        <v>67</v>
      </c>
      <c r="N1622" s="3" t="s">
        <v>82</v>
      </c>
      <c r="O1622" s="2" t="s">
        <v>13</v>
      </c>
      <c r="P1622" s="10"/>
      <c r="Q1622" s="11"/>
    </row>
    <row r="1623" spans="2:17" ht="21" customHeight="1" x14ac:dyDescent="0.35">
      <c r="B1623" s="18">
        <v>44020</v>
      </c>
      <c r="C1623" s="18" t="str">
        <f>TEXT(Sales[[#This Row],[Kode Program/Kegiatan ]],"D")</f>
        <v>8</v>
      </c>
      <c r="D1623" s="19" t="str">
        <f>TEXT(Sales[[#This Row],[Kode Program/Kegiatan ]],"mmm")</f>
        <v>Jul</v>
      </c>
      <c r="E1623" s="20">
        <v>5</v>
      </c>
      <c r="F1623" s="19">
        <v>5</v>
      </c>
      <c r="G1623" s="20" t="str">
        <f>IF(Sales[[#This Row],[Anggaran Murni]]-Sales[[#This Row],[Target s.d. Januari]]=0,"",Sales[[#This Row],[Anggaran Murni]]-Sales[[#This Row],[Target s.d. Januari]])</f>
        <v/>
      </c>
      <c r="H1623" s="19" t="s">
        <v>113</v>
      </c>
      <c r="I1623" s="20" t="s">
        <v>77</v>
      </c>
      <c r="J1623" s="20">
        <v>120000000</v>
      </c>
      <c r="K1623" s="19" t="s">
        <v>29</v>
      </c>
      <c r="L1623" s="19" t="s">
        <v>2</v>
      </c>
      <c r="M1623" s="21" t="s">
        <v>67</v>
      </c>
      <c r="N1623" s="20" t="s">
        <v>82</v>
      </c>
      <c r="O1623" s="19" t="s">
        <v>14</v>
      </c>
      <c r="P1623" s="10"/>
      <c r="Q1623" s="11"/>
    </row>
    <row r="1624" spans="2:17" ht="21" customHeight="1" x14ac:dyDescent="0.35">
      <c r="B1624" s="1">
        <v>44020</v>
      </c>
      <c r="C1624" s="1" t="str">
        <f>TEXT(Sales[[#This Row],[Kode Program/Kegiatan ]],"D")</f>
        <v>8</v>
      </c>
      <c r="D1624" s="2" t="str">
        <f>TEXT(Sales[[#This Row],[Kode Program/Kegiatan ]],"mmm")</f>
        <v>Jul</v>
      </c>
      <c r="E1624" s="3">
        <v>3</v>
      </c>
      <c r="F1624" s="2">
        <v>3</v>
      </c>
      <c r="G1624" s="3" t="str">
        <f>IF(Sales[[#This Row],[Anggaran Murni]]-Sales[[#This Row],[Target s.d. Januari]]=0,"",Sales[[#This Row],[Anggaran Murni]]-Sales[[#This Row],[Target s.d. Januari]])</f>
        <v/>
      </c>
      <c r="H1624" s="2" t="s">
        <v>73</v>
      </c>
      <c r="I1624" s="3" t="s">
        <v>78</v>
      </c>
      <c r="J1624" s="3">
        <v>140000000</v>
      </c>
      <c r="K1624" s="2" t="s">
        <v>62</v>
      </c>
      <c r="L1624" s="2" t="s">
        <v>5</v>
      </c>
      <c r="M1624" s="4" t="s">
        <v>67</v>
      </c>
      <c r="N1624" s="3" t="s">
        <v>82</v>
      </c>
      <c r="O1624" s="2" t="s">
        <v>11</v>
      </c>
      <c r="P1624" s="10"/>
      <c r="Q1624" s="11"/>
    </row>
    <row r="1625" spans="2:17" ht="21" customHeight="1" x14ac:dyDescent="0.35">
      <c r="B1625" s="18">
        <v>44020</v>
      </c>
      <c r="C1625" s="18" t="str">
        <f>TEXT(Sales[[#This Row],[Kode Program/Kegiatan ]],"D")</f>
        <v>8</v>
      </c>
      <c r="D1625" s="19" t="str">
        <f>TEXT(Sales[[#This Row],[Kode Program/Kegiatan ]],"mmm")</f>
        <v>Jul</v>
      </c>
      <c r="E1625" s="20">
        <v>3</v>
      </c>
      <c r="F1625" s="19">
        <v>3</v>
      </c>
      <c r="G1625" s="20" t="str">
        <f>IF(Sales[[#This Row],[Anggaran Murni]]-Sales[[#This Row],[Target s.d. Januari]]=0,"",Sales[[#This Row],[Anggaran Murni]]-Sales[[#This Row],[Target s.d. Januari]])</f>
        <v/>
      </c>
      <c r="H1625" s="19" t="s">
        <v>72</v>
      </c>
      <c r="I1625" s="20" t="s">
        <v>78</v>
      </c>
      <c r="J1625" s="20">
        <v>60000000</v>
      </c>
      <c r="K1625" s="19" t="s">
        <v>44</v>
      </c>
      <c r="L1625" s="19" t="s">
        <v>2</v>
      </c>
      <c r="M1625" s="21" t="s">
        <v>67</v>
      </c>
      <c r="N1625" s="20" t="s">
        <v>80</v>
      </c>
      <c r="O1625" s="19" t="s">
        <v>14</v>
      </c>
      <c r="P1625" s="10"/>
      <c r="Q1625" s="11"/>
    </row>
    <row r="1626" spans="2:17" ht="21" customHeight="1" x14ac:dyDescent="0.35">
      <c r="B1626" s="1">
        <v>44020</v>
      </c>
      <c r="C1626" s="1" t="str">
        <f>TEXT(Sales[[#This Row],[Kode Program/Kegiatan ]],"D")</f>
        <v>8</v>
      </c>
      <c r="D1626" s="2" t="str">
        <f>TEXT(Sales[[#This Row],[Kode Program/Kegiatan ]],"mmm")</f>
        <v>Jul</v>
      </c>
      <c r="E1626" s="3">
        <v>3</v>
      </c>
      <c r="F1626" s="2">
        <v>3</v>
      </c>
      <c r="G1626" s="3" t="str">
        <f>IF(Sales[[#This Row],[Anggaran Murni]]-Sales[[#This Row],[Target s.d. Januari]]=0,"",Sales[[#This Row],[Anggaran Murni]]-Sales[[#This Row],[Target s.d. Januari]])</f>
        <v/>
      </c>
      <c r="H1626" s="2" t="s">
        <v>114</v>
      </c>
      <c r="I1626" s="3" t="s">
        <v>3</v>
      </c>
      <c r="J1626" s="3">
        <v>60000000</v>
      </c>
      <c r="K1626" s="2" t="s">
        <v>35</v>
      </c>
      <c r="L1626" s="2" t="s">
        <v>2</v>
      </c>
      <c r="M1626" s="4" t="s">
        <v>67</v>
      </c>
      <c r="N1626" s="3" t="s">
        <v>80</v>
      </c>
      <c r="O1626" s="2" t="s">
        <v>13</v>
      </c>
      <c r="P1626" s="10"/>
      <c r="Q1626" s="11"/>
    </row>
    <row r="1627" spans="2:17" ht="21" customHeight="1" x14ac:dyDescent="0.35">
      <c r="B1627" s="18">
        <v>44020</v>
      </c>
      <c r="C1627" s="18" t="str">
        <f>TEXT(Sales[[#This Row],[Kode Program/Kegiatan ]],"D")</f>
        <v>8</v>
      </c>
      <c r="D1627" s="19" t="str">
        <f>TEXT(Sales[[#This Row],[Kode Program/Kegiatan ]],"mmm")</f>
        <v>Jul</v>
      </c>
      <c r="E1627" s="20">
        <v>3</v>
      </c>
      <c r="F1627" s="19">
        <v>3</v>
      </c>
      <c r="G1627" s="20" t="str">
        <f>IF(Sales[[#This Row],[Anggaran Murni]]-Sales[[#This Row],[Target s.d. Januari]]=0,"",Sales[[#This Row],[Anggaran Murni]]-Sales[[#This Row],[Target s.d. Januari]])</f>
        <v/>
      </c>
      <c r="H1627" s="19" t="s">
        <v>74</v>
      </c>
      <c r="I1627" s="20" t="s">
        <v>77</v>
      </c>
      <c r="J1627" s="20">
        <v>40000000</v>
      </c>
      <c r="K1627" s="19" t="s">
        <v>60</v>
      </c>
      <c r="L1627" s="19" t="s">
        <v>8</v>
      </c>
      <c r="M1627" s="21" t="s">
        <v>67</v>
      </c>
      <c r="N1627" s="20" t="s">
        <v>82</v>
      </c>
      <c r="O1627" s="19" t="s">
        <v>14</v>
      </c>
      <c r="P1627" s="10"/>
      <c r="Q1627" s="11"/>
    </row>
    <row r="1628" spans="2:17" ht="21" customHeight="1" x14ac:dyDescent="0.35">
      <c r="B1628" s="1">
        <v>44020</v>
      </c>
      <c r="C1628" s="1" t="str">
        <f>TEXT(Sales[[#This Row],[Kode Program/Kegiatan ]],"D")</f>
        <v>8</v>
      </c>
      <c r="D1628" s="2" t="str">
        <f>TEXT(Sales[[#This Row],[Kode Program/Kegiatan ]],"mmm")</f>
        <v>Jul</v>
      </c>
      <c r="E1628" s="3">
        <v>3</v>
      </c>
      <c r="F1628" s="2">
        <v>3</v>
      </c>
      <c r="G1628" s="3" t="str">
        <f>IF(Sales[[#This Row],[Anggaran Murni]]-Sales[[#This Row],[Target s.d. Januari]]=0,"",Sales[[#This Row],[Anggaran Murni]]-Sales[[#This Row],[Target s.d. Januari]])</f>
        <v/>
      </c>
      <c r="H1628" s="2" t="s">
        <v>76</v>
      </c>
      <c r="I1628" s="3" t="s">
        <v>79</v>
      </c>
      <c r="J1628" s="3">
        <v>80000000</v>
      </c>
      <c r="K1628" s="2" t="s">
        <v>57</v>
      </c>
      <c r="L1628" s="2" t="s">
        <v>2</v>
      </c>
      <c r="M1628" s="4" t="s">
        <v>67</v>
      </c>
      <c r="N1628" s="3" t="s">
        <v>82</v>
      </c>
      <c r="O1628" s="2" t="s">
        <v>12</v>
      </c>
      <c r="P1628" s="10"/>
      <c r="Q1628" s="11"/>
    </row>
    <row r="1629" spans="2:17" ht="21" customHeight="1" x14ac:dyDescent="0.35">
      <c r="B1629" s="18">
        <v>44021</v>
      </c>
      <c r="C1629" s="18" t="str">
        <f>TEXT(Sales[[#This Row],[Kode Program/Kegiatan ]],"D")</f>
        <v>9</v>
      </c>
      <c r="D1629" s="19" t="str">
        <f>TEXT(Sales[[#This Row],[Kode Program/Kegiatan ]],"mmm")</f>
        <v>Jul</v>
      </c>
      <c r="E1629" s="20">
        <v>10</v>
      </c>
      <c r="F1629" s="19">
        <v>10</v>
      </c>
      <c r="G1629" s="20" t="str">
        <f>IF(Sales[[#This Row],[Anggaran Murni]]-Sales[[#This Row],[Target s.d. Januari]]=0,"",Sales[[#This Row],[Anggaran Murni]]-Sales[[#This Row],[Target s.d. Januari]])</f>
        <v/>
      </c>
      <c r="H1629" s="19" t="s">
        <v>114</v>
      </c>
      <c r="I1629" s="20" t="s">
        <v>3</v>
      </c>
      <c r="J1629" s="20">
        <v>140000000</v>
      </c>
      <c r="K1629" s="19" t="s">
        <v>60</v>
      </c>
      <c r="L1629" s="19" t="s">
        <v>2</v>
      </c>
      <c r="M1629" s="21" t="s">
        <v>67</v>
      </c>
      <c r="N1629" s="20" t="s">
        <v>81</v>
      </c>
      <c r="O1629" s="19" t="s">
        <v>12</v>
      </c>
      <c r="P1629" s="10"/>
      <c r="Q1629" s="11"/>
    </row>
    <row r="1630" spans="2:17" ht="21" customHeight="1" x14ac:dyDescent="0.35">
      <c r="B1630" s="1">
        <v>44021</v>
      </c>
      <c r="C1630" s="1" t="str">
        <f>TEXT(Sales[[#This Row],[Kode Program/Kegiatan ]],"D")</f>
        <v>9</v>
      </c>
      <c r="D1630" s="2" t="str">
        <f>TEXT(Sales[[#This Row],[Kode Program/Kegiatan ]],"mmm")</f>
        <v>Jul</v>
      </c>
      <c r="E1630" s="3">
        <v>10</v>
      </c>
      <c r="F1630" s="2">
        <v>10</v>
      </c>
      <c r="G1630" s="3" t="str">
        <f>IF(Sales[[#This Row],[Anggaran Murni]]-Sales[[#This Row],[Target s.d. Januari]]=0,"",Sales[[#This Row],[Anggaran Murni]]-Sales[[#This Row],[Target s.d. Januari]])</f>
        <v/>
      </c>
      <c r="H1630" s="2" t="s">
        <v>74</v>
      </c>
      <c r="I1630" s="3" t="s">
        <v>77</v>
      </c>
      <c r="J1630" s="3">
        <v>100000000</v>
      </c>
      <c r="K1630" s="2" t="s">
        <v>37</v>
      </c>
      <c r="L1630" s="2" t="s">
        <v>4</v>
      </c>
      <c r="M1630" s="4" t="s">
        <v>67</v>
      </c>
      <c r="N1630" s="3" t="s">
        <v>80</v>
      </c>
      <c r="O1630" s="2" t="s">
        <v>14</v>
      </c>
      <c r="P1630" s="10"/>
      <c r="Q1630" s="11"/>
    </row>
    <row r="1631" spans="2:17" ht="21" customHeight="1" x14ac:dyDescent="0.35">
      <c r="B1631" s="18">
        <v>44021</v>
      </c>
      <c r="C1631" s="18" t="str">
        <f>TEXT(Sales[[#This Row],[Kode Program/Kegiatan ]],"D")</f>
        <v>9</v>
      </c>
      <c r="D1631" s="19" t="str">
        <f>TEXT(Sales[[#This Row],[Kode Program/Kegiatan ]],"mmm")</f>
        <v>Jul</v>
      </c>
      <c r="E1631" s="20">
        <v>9</v>
      </c>
      <c r="F1631" s="19">
        <v>9</v>
      </c>
      <c r="G1631" s="20" t="str">
        <f>IF(Sales[[#This Row],[Anggaran Murni]]-Sales[[#This Row],[Target s.d. Januari]]=0,"",Sales[[#This Row],[Anggaran Murni]]-Sales[[#This Row],[Target s.d. Januari]])</f>
        <v/>
      </c>
      <c r="H1631" s="19" t="s">
        <v>70</v>
      </c>
      <c r="I1631" s="20" t="s">
        <v>1</v>
      </c>
      <c r="J1631" s="20">
        <v>140000000</v>
      </c>
      <c r="K1631" s="19" t="s">
        <v>19</v>
      </c>
      <c r="L1631" s="19" t="s">
        <v>2</v>
      </c>
      <c r="M1631" s="21" t="s">
        <v>67</v>
      </c>
      <c r="N1631" s="20" t="s">
        <v>82</v>
      </c>
      <c r="O1631" s="19" t="s">
        <v>14</v>
      </c>
      <c r="P1631" s="10"/>
      <c r="Q1631" s="11"/>
    </row>
    <row r="1632" spans="2:17" ht="21" customHeight="1" x14ac:dyDescent="0.35">
      <c r="B1632" s="1">
        <v>44021</v>
      </c>
      <c r="C1632" s="1" t="str">
        <f>TEXT(Sales[[#This Row],[Kode Program/Kegiatan ]],"D")</f>
        <v>9</v>
      </c>
      <c r="D1632" s="2" t="str">
        <f>TEXT(Sales[[#This Row],[Kode Program/Kegiatan ]],"mmm")</f>
        <v>Jul</v>
      </c>
      <c r="E1632" s="3">
        <v>8</v>
      </c>
      <c r="F1632" s="2">
        <v>8</v>
      </c>
      <c r="G1632" s="3" t="str">
        <f>IF(Sales[[#This Row],[Anggaran Murni]]-Sales[[#This Row],[Target s.d. Januari]]=0,"",Sales[[#This Row],[Anggaran Murni]]-Sales[[#This Row],[Target s.d. Januari]])</f>
        <v/>
      </c>
      <c r="H1632" s="2" t="s">
        <v>74</v>
      </c>
      <c r="I1632" s="3" t="s">
        <v>77</v>
      </c>
      <c r="J1632" s="3">
        <v>100000000</v>
      </c>
      <c r="K1632" s="2" t="s">
        <v>28</v>
      </c>
      <c r="L1632" s="2" t="s">
        <v>5</v>
      </c>
      <c r="M1632" s="4" t="s">
        <v>67</v>
      </c>
      <c r="N1632" s="3" t="s">
        <v>82</v>
      </c>
      <c r="O1632" s="2" t="s">
        <v>11</v>
      </c>
      <c r="P1632" s="10"/>
      <c r="Q1632" s="11"/>
    </row>
    <row r="1633" spans="2:17" ht="21" customHeight="1" x14ac:dyDescent="0.35">
      <c r="B1633" s="18">
        <v>44021</v>
      </c>
      <c r="C1633" s="18" t="str">
        <f>TEXT(Sales[[#This Row],[Kode Program/Kegiatan ]],"D")</f>
        <v>9</v>
      </c>
      <c r="D1633" s="19" t="str">
        <f>TEXT(Sales[[#This Row],[Kode Program/Kegiatan ]],"mmm")</f>
        <v>Jul</v>
      </c>
      <c r="E1633" s="20">
        <v>8</v>
      </c>
      <c r="F1633" s="19">
        <v>8</v>
      </c>
      <c r="G1633" s="20" t="str">
        <f>IF(Sales[[#This Row],[Anggaran Murni]]-Sales[[#This Row],[Target s.d. Januari]]=0,"",Sales[[#This Row],[Anggaran Murni]]-Sales[[#This Row],[Target s.d. Januari]])</f>
        <v/>
      </c>
      <c r="H1633" s="19" t="s">
        <v>71</v>
      </c>
      <c r="I1633" s="20" t="s">
        <v>6</v>
      </c>
      <c r="J1633" s="20">
        <v>40000000</v>
      </c>
      <c r="K1633" s="19" t="s">
        <v>43</v>
      </c>
      <c r="L1633" s="19" t="s">
        <v>2</v>
      </c>
      <c r="M1633" s="21" t="s">
        <v>67</v>
      </c>
      <c r="N1633" s="20" t="s">
        <v>81</v>
      </c>
      <c r="O1633" s="19" t="s">
        <v>13</v>
      </c>
      <c r="P1633" s="10"/>
      <c r="Q1633" s="11"/>
    </row>
    <row r="1634" spans="2:17" ht="21" customHeight="1" x14ac:dyDescent="0.35">
      <c r="B1634" s="1">
        <v>44021</v>
      </c>
      <c r="C1634" s="1" t="str">
        <f>TEXT(Sales[[#This Row],[Kode Program/Kegiatan ]],"D")</f>
        <v>9</v>
      </c>
      <c r="D1634" s="2" t="str">
        <f>TEXT(Sales[[#This Row],[Kode Program/Kegiatan ]],"mmm")</f>
        <v>Jul</v>
      </c>
      <c r="E1634" s="3">
        <v>7</v>
      </c>
      <c r="F1634" s="2">
        <v>7</v>
      </c>
      <c r="G1634" s="3" t="str">
        <f>IF(Sales[[#This Row],[Anggaran Murni]]-Sales[[#This Row],[Target s.d. Januari]]=0,"",Sales[[#This Row],[Anggaran Murni]]-Sales[[#This Row],[Target s.d. Januari]])</f>
        <v/>
      </c>
      <c r="H1634" s="2" t="s">
        <v>70</v>
      </c>
      <c r="I1634" s="3" t="s">
        <v>1</v>
      </c>
      <c r="J1634" s="3">
        <v>60000000</v>
      </c>
      <c r="K1634" s="2" t="s">
        <v>50</v>
      </c>
      <c r="L1634" s="2" t="s">
        <v>2</v>
      </c>
      <c r="M1634" s="4" t="s">
        <v>67</v>
      </c>
      <c r="N1634" s="3" t="s">
        <v>81</v>
      </c>
      <c r="O1634" s="2" t="s">
        <v>14</v>
      </c>
      <c r="P1634" s="10"/>
      <c r="Q1634" s="11"/>
    </row>
    <row r="1635" spans="2:17" ht="21" customHeight="1" x14ac:dyDescent="0.35">
      <c r="B1635" s="18">
        <v>44021</v>
      </c>
      <c r="C1635" s="18" t="str">
        <f>TEXT(Sales[[#This Row],[Kode Program/Kegiatan ]],"D")</f>
        <v>9</v>
      </c>
      <c r="D1635" s="19" t="str">
        <f>TEXT(Sales[[#This Row],[Kode Program/Kegiatan ]],"mmm")</f>
        <v>Jul</v>
      </c>
      <c r="E1635" s="20">
        <v>6</v>
      </c>
      <c r="F1635" s="19">
        <v>6</v>
      </c>
      <c r="G1635" s="20" t="str">
        <f>IF(Sales[[#This Row],[Anggaran Murni]]-Sales[[#This Row],[Target s.d. Januari]]=0,"",Sales[[#This Row],[Anggaran Murni]]-Sales[[#This Row],[Target s.d. Januari]])</f>
        <v/>
      </c>
      <c r="H1635" s="19" t="s">
        <v>71</v>
      </c>
      <c r="I1635" s="20" t="s">
        <v>6</v>
      </c>
      <c r="J1635" s="20">
        <v>120000000</v>
      </c>
      <c r="K1635" s="19" t="s">
        <v>46</v>
      </c>
      <c r="L1635" s="19" t="s">
        <v>2</v>
      </c>
      <c r="M1635" s="21" t="s">
        <v>67</v>
      </c>
      <c r="N1635" s="20" t="s">
        <v>82</v>
      </c>
      <c r="O1635" s="19" t="s">
        <v>12</v>
      </c>
      <c r="P1635" s="10"/>
      <c r="Q1635" s="11"/>
    </row>
    <row r="1636" spans="2:17" ht="21" customHeight="1" x14ac:dyDescent="0.35">
      <c r="B1636" s="1">
        <v>44021</v>
      </c>
      <c r="C1636" s="1" t="str">
        <f>TEXT(Sales[[#This Row],[Kode Program/Kegiatan ]],"D")</f>
        <v>9</v>
      </c>
      <c r="D1636" s="2" t="str">
        <f>TEXT(Sales[[#This Row],[Kode Program/Kegiatan ]],"mmm")</f>
        <v>Jul</v>
      </c>
      <c r="E1636" s="3">
        <v>6</v>
      </c>
      <c r="F1636" s="2">
        <v>6</v>
      </c>
      <c r="G1636" s="3" t="str">
        <f>IF(Sales[[#This Row],[Anggaran Murni]]-Sales[[#This Row],[Target s.d. Januari]]=0,"",Sales[[#This Row],[Anggaran Murni]]-Sales[[#This Row],[Target s.d. Januari]])</f>
        <v/>
      </c>
      <c r="H1636" s="2" t="s">
        <v>76</v>
      </c>
      <c r="I1636" s="3" t="s">
        <v>79</v>
      </c>
      <c r="J1636" s="3">
        <v>40000000</v>
      </c>
      <c r="K1636" s="2" t="s">
        <v>25</v>
      </c>
      <c r="L1636" s="2" t="s">
        <v>2</v>
      </c>
      <c r="M1636" s="4" t="s">
        <v>67</v>
      </c>
      <c r="N1636" s="3" t="s">
        <v>81</v>
      </c>
      <c r="O1636" s="2" t="s">
        <v>13</v>
      </c>
      <c r="P1636" s="10"/>
      <c r="Q1636" s="11"/>
    </row>
    <row r="1637" spans="2:17" ht="21" customHeight="1" x14ac:dyDescent="0.35">
      <c r="B1637" s="18">
        <v>44021</v>
      </c>
      <c r="C1637" s="18" t="str">
        <f>TEXT(Sales[[#This Row],[Kode Program/Kegiatan ]],"D")</f>
        <v>9</v>
      </c>
      <c r="D1637" s="19" t="str">
        <f>TEXT(Sales[[#This Row],[Kode Program/Kegiatan ]],"mmm")</f>
        <v>Jul</v>
      </c>
      <c r="E1637" s="20">
        <v>3</v>
      </c>
      <c r="F1637" s="19">
        <v>3</v>
      </c>
      <c r="G1637" s="20" t="str">
        <f>IF(Sales[[#This Row],[Anggaran Murni]]-Sales[[#This Row],[Target s.d. Januari]]=0,"",Sales[[#This Row],[Anggaran Murni]]-Sales[[#This Row],[Target s.d. Januari]])</f>
        <v/>
      </c>
      <c r="H1637" s="19" t="s">
        <v>74</v>
      </c>
      <c r="I1637" s="20" t="s">
        <v>77</v>
      </c>
      <c r="J1637" s="20">
        <v>140000000</v>
      </c>
      <c r="K1637" s="19" t="s">
        <v>46</v>
      </c>
      <c r="L1637" s="19" t="s">
        <v>9</v>
      </c>
      <c r="M1637" s="21" t="s">
        <v>67</v>
      </c>
      <c r="N1637" s="20" t="s">
        <v>82</v>
      </c>
      <c r="O1637" s="19" t="s">
        <v>13</v>
      </c>
      <c r="P1637" s="10"/>
      <c r="Q1637" s="11"/>
    </row>
    <row r="1638" spans="2:17" ht="21" customHeight="1" x14ac:dyDescent="0.35">
      <c r="B1638" s="1">
        <v>44021</v>
      </c>
      <c r="C1638" s="1" t="str">
        <f>TEXT(Sales[[#This Row],[Kode Program/Kegiatan ]],"D")</f>
        <v>9</v>
      </c>
      <c r="D1638" s="2" t="str">
        <f>TEXT(Sales[[#This Row],[Kode Program/Kegiatan ]],"mmm")</f>
        <v>Jul</v>
      </c>
      <c r="E1638" s="3">
        <v>3</v>
      </c>
      <c r="F1638" s="2">
        <v>3</v>
      </c>
      <c r="G1638" s="3" t="str">
        <f>IF(Sales[[#This Row],[Anggaran Murni]]-Sales[[#This Row],[Target s.d. Januari]]=0,"",Sales[[#This Row],[Anggaran Murni]]-Sales[[#This Row],[Target s.d. Januari]])</f>
        <v/>
      </c>
      <c r="H1638" s="2" t="s">
        <v>113</v>
      </c>
      <c r="I1638" s="3" t="s">
        <v>77</v>
      </c>
      <c r="J1638" s="3">
        <v>120000000</v>
      </c>
      <c r="K1638" s="2" t="s">
        <v>31</v>
      </c>
      <c r="L1638" s="2" t="s">
        <v>2</v>
      </c>
      <c r="M1638" s="4" t="s">
        <v>67</v>
      </c>
      <c r="N1638" s="3" t="s">
        <v>80</v>
      </c>
      <c r="O1638" s="2" t="s">
        <v>13</v>
      </c>
      <c r="P1638" s="10"/>
      <c r="Q1638" s="11"/>
    </row>
    <row r="1639" spans="2:17" ht="21" customHeight="1" x14ac:dyDescent="0.35">
      <c r="B1639" s="18">
        <v>44022</v>
      </c>
      <c r="C1639" s="18" t="str">
        <f>TEXT(Sales[[#This Row],[Kode Program/Kegiatan ]],"D")</f>
        <v>10</v>
      </c>
      <c r="D1639" s="19" t="str">
        <f>TEXT(Sales[[#This Row],[Kode Program/Kegiatan ]],"mmm")</f>
        <v>Jul</v>
      </c>
      <c r="E1639" s="20">
        <v>9</v>
      </c>
      <c r="F1639" s="19">
        <v>9</v>
      </c>
      <c r="G1639" s="20" t="str">
        <f>IF(Sales[[#This Row],[Anggaran Murni]]-Sales[[#This Row],[Target s.d. Januari]]=0,"",Sales[[#This Row],[Anggaran Murni]]-Sales[[#This Row],[Target s.d. Januari]])</f>
        <v/>
      </c>
      <c r="H1639" s="19" t="s">
        <v>70</v>
      </c>
      <c r="I1639" s="20" t="s">
        <v>1</v>
      </c>
      <c r="J1639" s="20">
        <v>80000000</v>
      </c>
      <c r="K1639" s="19" t="s">
        <v>17</v>
      </c>
      <c r="L1639" s="19" t="s">
        <v>5</v>
      </c>
      <c r="M1639" s="21" t="s">
        <v>67</v>
      </c>
      <c r="N1639" s="20" t="s">
        <v>82</v>
      </c>
      <c r="O1639" s="19" t="s">
        <v>14</v>
      </c>
      <c r="P1639" s="10"/>
      <c r="Q1639" s="11"/>
    </row>
    <row r="1640" spans="2:17" ht="21" customHeight="1" x14ac:dyDescent="0.35">
      <c r="B1640" s="1">
        <v>44022</v>
      </c>
      <c r="C1640" s="1" t="str">
        <f>TEXT(Sales[[#This Row],[Kode Program/Kegiatan ]],"D")</f>
        <v>10</v>
      </c>
      <c r="D1640" s="2" t="str">
        <f>TEXT(Sales[[#This Row],[Kode Program/Kegiatan ]],"mmm")</f>
        <v>Jul</v>
      </c>
      <c r="E1640" s="3">
        <v>9</v>
      </c>
      <c r="F1640" s="2">
        <v>9</v>
      </c>
      <c r="G1640" s="3" t="str">
        <f>IF(Sales[[#This Row],[Anggaran Murni]]-Sales[[#This Row],[Target s.d. Januari]]=0,"",Sales[[#This Row],[Anggaran Murni]]-Sales[[#This Row],[Target s.d. Januari]])</f>
        <v/>
      </c>
      <c r="H1640" s="2" t="s">
        <v>74</v>
      </c>
      <c r="I1640" s="3" t="s">
        <v>77</v>
      </c>
      <c r="J1640" s="3">
        <v>60000000</v>
      </c>
      <c r="K1640" s="2" t="s">
        <v>33</v>
      </c>
      <c r="L1640" s="2" t="s">
        <v>4</v>
      </c>
      <c r="M1640" s="4" t="s">
        <v>67</v>
      </c>
      <c r="N1640" s="3" t="s">
        <v>80</v>
      </c>
      <c r="O1640" s="2" t="s">
        <v>11</v>
      </c>
      <c r="P1640" s="10"/>
      <c r="Q1640" s="11"/>
    </row>
    <row r="1641" spans="2:17" ht="21" customHeight="1" x14ac:dyDescent="0.35">
      <c r="B1641" s="18">
        <v>44022</v>
      </c>
      <c r="C1641" s="18" t="str">
        <f>TEXT(Sales[[#This Row],[Kode Program/Kegiatan ]],"D")</f>
        <v>10</v>
      </c>
      <c r="D1641" s="19" t="str">
        <f>TEXT(Sales[[#This Row],[Kode Program/Kegiatan ]],"mmm")</f>
        <v>Jul</v>
      </c>
      <c r="E1641" s="20">
        <v>8</v>
      </c>
      <c r="F1641" s="19">
        <v>8</v>
      </c>
      <c r="G1641" s="20" t="str">
        <f>IF(Sales[[#This Row],[Anggaran Murni]]-Sales[[#This Row],[Target s.d. Januari]]=0,"",Sales[[#This Row],[Anggaran Murni]]-Sales[[#This Row],[Target s.d. Januari]])</f>
        <v/>
      </c>
      <c r="H1641" s="19" t="s">
        <v>71</v>
      </c>
      <c r="I1641" s="20" t="s">
        <v>6</v>
      </c>
      <c r="J1641" s="20">
        <v>80000000</v>
      </c>
      <c r="K1641" s="19" t="s">
        <v>45</v>
      </c>
      <c r="L1641" s="19" t="s">
        <v>5</v>
      </c>
      <c r="M1641" s="21" t="s">
        <v>67</v>
      </c>
      <c r="N1641" s="20" t="s">
        <v>81</v>
      </c>
      <c r="O1641" s="19" t="s">
        <v>11</v>
      </c>
      <c r="P1641" s="10"/>
      <c r="Q1641" s="11"/>
    </row>
    <row r="1642" spans="2:17" ht="21" customHeight="1" x14ac:dyDescent="0.35">
      <c r="B1642" s="1">
        <v>44022</v>
      </c>
      <c r="C1642" s="1" t="str">
        <f>TEXT(Sales[[#This Row],[Kode Program/Kegiatan ]],"D")</f>
        <v>10</v>
      </c>
      <c r="D1642" s="2" t="str">
        <f>TEXT(Sales[[#This Row],[Kode Program/Kegiatan ]],"mmm")</f>
        <v>Jul</v>
      </c>
      <c r="E1642" s="3">
        <v>7</v>
      </c>
      <c r="F1642" s="2">
        <v>7</v>
      </c>
      <c r="G1642" s="3" t="str">
        <f>IF(Sales[[#This Row],[Anggaran Murni]]-Sales[[#This Row],[Target s.d. Januari]]=0,"",Sales[[#This Row],[Anggaran Murni]]-Sales[[#This Row],[Target s.d. Januari]])</f>
        <v/>
      </c>
      <c r="H1642" s="2" t="s">
        <v>114</v>
      </c>
      <c r="I1642" s="3" t="s">
        <v>3</v>
      </c>
      <c r="J1642" s="3">
        <v>40000000</v>
      </c>
      <c r="K1642" s="2" t="s">
        <v>63</v>
      </c>
      <c r="L1642" s="2" t="s">
        <v>5</v>
      </c>
      <c r="M1642" s="4" t="s">
        <v>67</v>
      </c>
      <c r="N1642" s="3" t="s">
        <v>81</v>
      </c>
      <c r="O1642" s="2" t="s">
        <v>13</v>
      </c>
      <c r="P1642" s="10"/>
      <c r="Q1642" s="11"/>
    </row>
    <row r="1643" spans="2:17" ht="21" customHeight="1" x14ac:dyDescent="0.35">
      <c r="B1643" s="18">
        <v>44022</v>
      </c>
      <c r="C1643" s="18" t="str">
        <f>TEXT(Sales[[#This Row],[Kode Program/Kegiatan ]],"D")</f>
        <v>10</v>
      </c>
      <c r="D1643" s="19" t="str">
        <f>TEXT(Sales[[#This Row],[Kode Program/Kegiatan ]],"mmm")</f>
        <v>Jul</v>
      </c>
      <c r="E1643" s="20">
        <v>6</v>
      </c>
      <c r="F1643" s="19">
        <v>6</v>
      </c>
      <c r="G1643" s="20" t="str">
        <f>IF(Sales[[#This Row],[Anggaran Murni]]-Sales[[#This Row],[Target s.d. Januari]]=0,"",Sales[[#This Row],[Anggaran Murni]]-Sales[[#This Row],[Target s.d. Januari]])</f>
        <v/>
      </c>
      <c r="H1643" s="19" t="s">
        <v>71</v>
      </c>
      <c r="I1643" s="20" t="s">
        <v>6</v>
      </c>
      <c r="J1643" s="20">
        <v>40000000</v>
      </c>
      <c r="K1643" s="19" t="s">
        <v>29</v>
      </c>
      <c r="L1643" s="19" t="s">
        <v>5</v>
      </c>
      <c r="M1643" s="21" t="s">
        <v>67</v>
      </c>
      <c r="N1643" s="20" t="s">
        <v>81</v>
      </c>
      <c r="O1643" s="19" t="s">
        <v>12</v>
      </c>
      <c r="P1643" s="10"/>
      <c r="Q1643" s="11"/>
    </row>
    <row r="1644" spans="2:17" ht="21" customHeight="1" x14ac:dyDescent="0.35">
      <c r="B1644" s="1">
        <v>44022</v>
      </c>
      <c r="C1644" s="1" t="str">
        <f>TEXT(Sales[[#This Row],[Kode Program/Kegiatan ]],"D")</f>
        <v>10</v>
      </c>
      <c r="D1644" s="2" t="str">
        <f>TEXT(Sales[[#This Row],[Kode Program/Kegiatan ]],"mmm")</f>
        <v>Jul</v>
      </c>
      <c r="E1644" s="3">
        <v>5</v>
      </c>
      <c r="F1644" s="2">
        <v>5</v>
      </c>
      <c r="G1644" s="3" t="str">
        <f>IF(Sales[[#This Row],[Anggaran Murni]]-Sales[[#This Row],[Target s.d. Januari]]=0,"",Sales[[#This Row],[Anggaran Murni]]-Sales[[#This Row],[Target s.d. Januari]])</f>
        <v/>
      </c>
      <c r="H1644" s="2" t="s">
        <v>114</v>
      </c>
      <c r="I1644" s="3" t="s">
        <v>3</v>
      </c>
      <c r="J1644" s="3">
        <v>120000000</v>
      </c>
      <c r="K1644" s="2" t="s">
        <v>46</v>
      </c>
      <c r="L1644" s="2" t="s">
        <v>9</v>
      </c>
      <c r="M1644" s="4" t="s">
        <v>67</v>
      </c>
      <c r="N1644" s="3" t="s">
        <v>81</v>
      </c>
      <c r="O1644" s="2" t="s">
        <v>13</v>
      </c>
      <c r="P1644" s="10"/>
      <c r="Q1644" s="11"/>
    </row>
    <row r="1645" spans="2:17" ht="21" customHeight="1" x14ac:dyDescent="0.35">
      <c r="B1645" s="18">
        <v>44022</v>
      </c>
      <c r="C1645" s="18" t="str">
        <f>TEXT(Sales[[#This Row],[Kode Program/Kegiatan ]],"D")</f>
        <v>10</v>
      </c>
      <c r="D1645" s="19" t="str">
        <f>TEXT(Sales[[#This Row],[Kode Program/Kegiatan ]],"mmm")</f>
        <v>Jul</v>
      </c>
      <c r="E1645" s="20">
        <v>5</v>
      </c>
      <c r="F1645" s="19">
        <v>5</v>
      </c>
      <c r="G1645" s="20" t="str">
        <f>IF(Sales[[#This Row],[Anggaran Murni]]-Sales[[#This Row],[Target s.d. Januari]]=0,"",Sales[[#This Row],[Anggaran Murni]]-Sales[[#This Row],[Target s.d. Januari]])</f>
        <v/>
      </c>
      <c r="H1645" s="19" t="s">
        <v>114</v>
      </c>
      <c r="I1645" s="20" t="s">
        <v>3</v>
      </c>
      <c r="J1645" s="20">
        <v>140000000</v>
      </c>
      <c r="K1645" s="19" t="s">
        <v>63</v>
      </c>
      <c r="L1645" s="19" t="s">
        <v>9</v>
      </c>
      <c r="M1645" s="21" t="s">
        <v>67</v>
      </c>
      <c r="N1645" s="20" t="s">
        <v>82</v>
      </c>
      <c r="O1645" s="19" t="s">
        <v>14</v>
      </c>
      <c r="P1645" s="10"/>
      <c r="Q1645" s="11"/>
    </row>
    <row r="1646" spans="2:17" ht="21" customHeight="1" x14ac:dyDescent="0.35">
      <c r="B1646" s="1">
        <v>44023</v>
      </c>
      <c r="C1646" s="1" t="str">
        <f>TEXT(Sales[[#This Row],[Kode Program/Kegiatan ]],"D")</f>
        <v>11</v>
      </c>
      <c r="D1646" s="2" t="str">
        <f>TEXT(Sales[[#This Row],[Kode Program/Kegiatan ]],"mmm")</f>
        <v>Jul</v>
      </c>
      <c r="E1646" s="3">
        <v>10</v>
      </c>
      <c r="F1646" s="2">
        <v>10</v>
      </c>
      <c r="G1646" s="3" t="str">
        <f>IF(Sales[[#This Row],[Anggaran Murni]]-Sales[[#This Row],[Target s.d. Januari]]=0,"",Sales[[#This Row],[Anggaran Murni]]-Sales[[#This Row],[Target s.d. Januari]])</f>
        <v/>
      </c>
      <c r="H1646" s="2" t="s">
        <v>72</v>
      </c>
      <c r="I1646" s="3" t="s">
        <v>78</v>
      </c>
      <c r="J1646" s="3">
        <v>140000000</v>
      </c>
      <c r="K1646" s="2" t="s">
        <v>40</v>
      </c>
      <c r="L1646" s="2" t="s">
        <v>2</v>
      </c>
      <c r="M1646" s="4" t="s">
        <v>67</v>
      </c>
      <c r="N1646" s="3" t="s">
        <v>82</v>
      </c>
      <c r="O1646" s="2" t="s">
        <v>14</v>
      </c>
      <c r="P1646" s="10"/>
      <c r="Q1646" s="11"/>
    </row>
    <row r="1647" spans="2:17" ht="21" customHeight="1" x14ac:dyDescent="0.35">
      <c r="B1647" s="18">
        <v>44023</v>
      </c>
      <c r="C1647" s="18" t="str">
        <f>TEXT(Sales[[#This Row],[Kode Program/Kegiatan ]],"D")</f>
        <v>11</v>
      </c>
      <c r="D1647" s="19" t="str">
        <f>TEXT(Sales[[#This Row],[Kode Program/Kegiatan ]],"mmm")</f>
        <v>Jul</v>
      </c>
      <c r="E1647" s="20">
        <v>10</v>
      </c>
      <c r="F1647" s="19">
        <v>10</v>
      </c>
      <c r="G1647" s="20" t="str">
        <f>IF(Sales[[#This Row],[Anggaran Murni]]-Sales[[#This Row],[Target s.d. Januari]]=0,"",Sales[[#This Row],[Anggaran Murni]]-Sales[[#This Row],[Target s.d. Januari]])</f>
        <v/>
      </c>
      <c r="H1647" s="19" t="s">
        <v>72</v>
      </c>
      <c r="I1647" s="20" t="s">
        <v>78</v>
      </c>
      <c r="J1647" s="20">
        <v>120000000</v>
      </c>
      <c r="K1647" s="19" t="s">
        <v>20</v>
      </c>
      <c r="L1647" s="19" t="s">
        <v>7</v>
      </c>
      <c r="M1647" s="21" t="s">
        <v>67</v>
      </c>
      <c r="N1647" s="20" t="s">
        <v>80</v>
      </c>
      <c r="O1647" s="19" t="s">
        <v>14</v>
      </c>
      <c r="P1647" s="10"/>
      <c r="Q1647" s="11"/>
    </row>
    <row r="1648" spans="2:17" ht="21" customHeight="1" x14ac:dyDescent="0.35">
      <c r="B1648" s="1">
        <v>44023</v>
      </c>
      <c r="C1648" s="1" t="str">
        <f>TEXT(Sales[[#This Row],[Kode Program/Kegiatan ]],"D")</f>
        <v>11</v>
      </c>
      <c r="D1648" s="2" t="str">
        <f>TEXT(Sales[[#This Row],[Kode Program/Kegiatan ]],"mmm")</f>
        <v>Jul</v>
      </c>
      <c r="E1648" s="3">
        <v>8</v>
      </c>
      <c r="F1648" s="2">
        <v>8</v>
      </c>
      <c r="G1648" s="3" t="str">
        <f>IF(Sales[[#This Row],[Anggaran Murni]]-Sales[[#This Row],[Target s.d. Januari]]=0,"",Sales[[#This Row],[Anggaran Murni]]-Sales[[#This Row],[Target s.d. Januari]])</f>
        <v/>
      </c>
      <c r="H1648" s="2" t="s">
        <v>72</v>
      </c>
      <c r="I1648" s="3" t="s">
        <v>78</v>
      </c>
      <c r="J1648" s="3">
        <v>100000000</v>
      </c>
      <c r="K1648" s="2" t="s">
        <v>59</v>
      </c>
      <c r="L1648" s="2" t="s">
        <v>2</v>
      </c>
      <c r="M1648" s="4" t="s">
        <v>67</v>
      </c>
      <c r="N1648" s="3" t="s">
        <v>81</v>
      </c>
      <c r="O1648" s="2" t="s">
        <v>12</v>
      </c>
      <c r="P1648" s="10"/>
      <c r="Q1648" s="11"/>
    </row>
    <row r="1649" spans="2:17" ht="21" customHeight="1" x14ac:dyDescent="0.35">
      <c r="B1649" s="18">
        <v>44023</v>
      </c>
      <c r="C1649" s="18" t="str">
        <f>TEXT(Sales[[#This Row],[Kode Program/Kegiatan ]],"D")</f>
        <v>11</v>
      </c>
      <c r="D1649" s="19" t="str">
        <f>TEXT(Sales[[#This Row],[Kode Program/Kegiatan ]],"mmm")</f>
        <v>Jul</v>
      </c>
      <c r="E1649" s="20">
        <v>8</v>
      </c>
      <c r="F1649" s="19">
        <v>8</v>
      </c>
      <c r="G1649" s="20" t="str">
        <f>IF(Sales[[#This Row],[Anggaran Murni]]-Sales[[#This Row],[Target s.d. Januari]]=0,"",Sales[[#This Row],[Anggaran Murni]]-Sales[[#This Row],[Target s.d. Januari]])</f>
        <v/>
      </c>
      <c r="H1649" s="19" t="s">
        <v>75</v>
      </c>
      <c r="I1649" s="20" t="s">
        <v>6</v>
      </c>
      <c r="J1649" s="20">
        <v>100000000</v>
      </c>
      <c r="K1649" s="19" t="s">
        <v>15</v>
      </c>
      <c r="L1649" s="19" t="s">
        <v>2</v>
      </c>
      <c r="M1649" s="21" t="s">
        <v>67</v>
      </c>
      <c r="N1649" s="20" t="s">
        <v>82</v>
      </c>
      <c r="O1649" s="19" t="s">
        <v>13</v>
      </c>
      <c r="P1649" s="10"/>
      <c r="Q1649" s="11"/>
    </row>
    <row r="1650" spans="2:17" ht="21" customHeight="1" x14ac:dyDescent="0.35">
      <c r="B1650" s="1">
        <v>44023</v>
      </c>
      <c r="C1650" s="1" t="str">
        <f>TEXT(Sales[[#This Row],[Kode Program/Kegiatan ]],"D")</f>
        <v>11</v>
      </c>
      <c r="D1650" s="2" t="str">
        <f>TEXT(Sales[[#This Row],[Kode Program/Kegiatan ]],"mmm")</f>
        <v>Jul</v>
      </c>
      <c r="E1650" s="3">
        <v>8</v>
      </c>
      <c r="F1650" s="2">
        <v>8</v>
      </c>
      <c r="G1650" s="3" t="str">
        <f>IF(Sales[[#This Row],[Anggaran Murni]]-Sales[[#This Row],[Target s.d. Januari]]=0,"",Sales[[#This Row],[Anggaran Murni]]-Sales[[#This Row],[Target s.d. Januari]])</f>
        <v/>
      </c>
      <c r="H1650" s="2" t="s">
        <v>73</v>
      </c>
      <c r="I1650" s="3" t="s">
        <v>78</v>
      </c>
      <c r="J1650" s="3">
        <v>100000000</v>
      </c>
      <c r="K1650" s="2" t="s">
        <v>45</v>
      </c>
      <c r="L1650" s="2" t="s">
        <v>5</v>
      </c>
      <c r="M1650" s="4" t="s">
        <v>67</v>
      </c>
      <c r="N1650" s="3" t="s">
        <v>82</v>
      </c>
      <c r="O1650" s="2" t="s">
        <v>13</v>
      </c>
      <c r="P1650" s="10"/>
      <c r="Q1650" s="11"/>
    </row>
    <row r="1651" spans="2:17" ht="21" customHeight="1" x14ac:dyDescent="0.35">
      <c r="B1651" s="18">
        <v>44023</v>
      </c>
      <c r="C1651" s="18" t="str">
        <f>TEXT(Sales[[#This Row],[Kode Program/Kegiatan ]],"D")</f>
        <v>11</v>
      </c>
      <c r="D1651" s="19" t="str">
        <f>TEXT(Sales[[#This Row],[Kode Program/Kegiatan ]],"mmm")</f>
        <v>Jul</v>
      </c>
      <c r="E1651" s="20">
        <v>7</v>
      </c>
      <c r="F1651" s="19">
        <v>7</v>
      </c>
      <c r="G1651" s="20" t="str">
        <f>IF(Sales[[#This Row],[Anggaran Murni]]-Sales[[#This Row],[Target s.d. Januari]]=0,"",Sales[[#This Row],[Anggaran Murni]]-Sales[[#This Row],[Target s.d. Januari]])</f>
        <v/>
      </c>
      <c r="H1651" s="19" t="s">
        <v>72</v>
      </c>
      <c r="I1651" s="20" t="s">
        <v>78</v>
      </c>
      <c r="J1651" s="20">
        <v>100000000</v>
      </c>
      <c r="K1651" s="19" t="s">
        <v>16</v>
      </c>
      <c r="L1651" s="19" t="s">
        <v>5</v>
      </c>
      <c r="M1651" s="21" t="s">
        <v>67</v>
      </c>
      <c r="N1651" s="20" t="s">
        <v>82</v>
      </c>
      <c r="O1651" s="19" t="s">
        <v>12</v>
      </c>
      <c r="P1651" s="10"/>
      <c r="Q1651" s="11"/>
    </row>
    <row r="1652" spans="2:17" ht="21" customHeight="1" x14ac:dyDescent="0.35">
      <c r="B1652" s="1">
        <v>44023</v>
      </c>
      <c r="C1652" s="1" t="str">
        <f>TEXT(Sales[[#This Row],[Kode Program/Kegiatan ]],"D")</f>
        <v>11</v>
      </c>
      <c r="D1652" s="2" t="str">
        <f>TEXT(Sales[[#This Row],[Kode Program/Kegiatan ]],"mmm")</f>
        <v>Jul</v>
      </c>
      <c r="E1652" s="3">
        <v>7</v>
      </c>
      <c r="F1652" s="2">
        <v>7</v>
      </c>
      <c r="G1652" s="3" t="str">
        <f>IF(Sales[[#This Row],[Anggaran Murni]]-Sales[[#This Row],[Target s.d. Januari]]=0,"",Sales[[#This Row],[Anggaran Murni]]-Sales[[#This Row],[Target s.d. Januari]])</f>
        <v/>
      </c>
      <c r="H1652" s="2" t="s">
        <v>114</v>
      </c>
      <c r="I1652" s="3" t="s">
        <v>3</v>
      </c>
      <c r="J1652" s="3">
        <v>60000000</v>
      </c>
      <c r="K1652" s="2" t="s">
        <v>30</v>
      </c>
      <c r="L1652" s="2" t="s">
        <v>2</v>
      </c>
      <c r="M1652" s="4" t="s">
        <v>67</v>
      </c>
      <c r="N1652" s="3" t="s">
        <v>81</v>
      </c>
      <c r="O1652" s="2" t="s">
        <v>14</v>
      </c>
      <c r="P1652" s="10"/>
      <c r="Q1652" s="11"/>
    </row>
    <row r="1653" spans="2:17" ht="21" customHeight="1" x14ac:dyDescent="0.35">
      <c r="B1653" s="18">
        <v>44023</v>
      </c>
      <c r="C1653" s="18" t="str">
        <f>TEXT(Sales[[#This Row],[Kode Program/Kegiatan ]],"D")</f>
        <v>11</v>
      </c>
      <c r="D1653" s="19" t="str">
        <f>TEXT(Sales[[#This Row],[Kode Program/Kegiatan ]],"mmm")</f>
        <v>Jul</v>
      </c>
      <c r="E1653" s="20">
        <v>6</v>
      </c>
      <c r="F1653" s="19">
        <v>6</v>
      </c>
      <c r="G1653" s="20" t="str">
        <f>IF(Sales[[#This Row],[Anggaran Murni]]-Sales[[#This Row],[Target s.d. Januari]]=0,"",Sales[[#This Row],[Anggaran Murni]]-Sales[[#This Row],[Target s.d. Januari]])</f>
        <v/>
      </c>
      <c r="H1653" s="19" t="s">
        <v>75</v>
      </c>
      <c r="I1653" s="20" t="s">
        <v>6</v>
      </c>
      <c r="J1653" s="20">
        <v>100000000</v>
      </c>
      <c r="K1653" s="19" t="s">
        <v>29</v>
      </c>
      <c r="L1653" s="19" t="s">
        <v>5</v>
      </c>
      <c r="M1653" s="21" t="s">
        <v>67</v>
      </c>
      <c r="N1653" s="20" t="s">
        <v>81</v>
      </c>
      <c r="O1653" s="19" t="s">
        <v>12</v>
      </c>
      <c r="P1653" s="10"/>
      <c r="Q1653" s="11"/>
    </row>
    <row r="1654" spans="2:17" ht="21" customHeight="1" x14ac:dyDescent="0.35">
      <c r="B1654" s="1">
        <v>44023</v>
      </c>
      <c r="C1654" s="1" t="str">
        <f>TEXT(Sales[[#This Row],[Kode Program/Kegiatan ]],"D")</f>
        <v>11</v>
      </c>
      <c r="D1654" s="2" t="str">
        <f>TEXT(Sales[[#This Row],[Kode Program/Kegiatan ]],"mmm")</f>
        <v>Jul</v>
      </c>
      <c r="E1654" s="3">
        <v>5</v>
      </c>
      <c r="F1654" s="2">
        <v>5</v>
      </c>
      <c r="G1654" s="3" t="str">
        <f>IF(Sales[[#This Row],[Anggaran Murni]]-Sales[[#This Row],[Target s.d. Januari]]=0,"",Sales[[#This Row],[Anggaran Murni]]-Sales[[#This Row],[Target s.d. Januari]])</f>
        <v/>
      </c>
      <c r="H1654" s="2" t="s">
        <v>113</v>
      </c>
      <c r="I1654" s="3" t="s">
        <v>77</v>
      </c>
      <c r="J1654" s="3">
        <v>60000000</v>
      </c>
      <c r="K1654" s="2" t="s">
        <v>15</v>
      </c>
      <c r="L1654" s="2" t="s">
        <v>2</v>
      </c>
      <c r="M1654" s="4" t="s">
        <v>67</v>
      </c>
      <c r="N1654" s="3" t="s">
        <v>80</v>
      </c>
      <c r="O1654" s="2" t="s">
        <v>14</v>
      </c>
      <c r="P1654" s="10"/>
      <c r="Q1654" s="11"/>
    </row>
    <row r="1655" spans="2:17" ht="21" customHeight="1" x14ac:dyDescent="0.35">
      <c r="B1655" s="18">
        <v>44023</v>
      </c>
      <c r="C1655" s="18" t="str">
        <f>TEXT(Sales[[#This Row],[Kode Program/Kegiatan ]],"D")</f>
        <v>11</v>
      </c>
      <c r="D1655" s="19" t="str">
        <f>TEXT(Sales[[#This Row],[Kode Program/Kegiatan ]],"mmm")</f>
        <v>Jul</v>
      </c>
      <c r="E1655" s="20">
        <v>4</v>
      </c>
      <c r="F1655" s="19">
        <v>4</v>
      </c>
      <c r="G1655" s="20" t="str">
        <f>IF(Sales[[#This Row],[Anggaran Murni]]-Sales[[#This Row],[Target s.d. Januari]]=0,"",Sales[[#This Row],[Anggaran Murni]]-Sales[[#This Row],[Target s.d. Januari]])</f>
        <v/>
      </c>
      <c r="H1655" s="19" t="s">
        <v>74</v>
      </c>
      <c r="I1655" s="20" t="s">
        <v>77</v>
      </c>
      <c r="J1655" s="20">
        <v>80000000</v>
      </c>
      <c r="K1655" s="19" t="s">
        <v>57</v>
      </c>
      <c r="L1655" s="19" t="s">
        <v>2</v>
      </c>
      <c r="M1655" s="21" t="s">
        <v>67</v>
      </c>
      <c r="N1655" s="20" t="s">
        <v>80</v>
      </c>
      <c r="O1655" s="19" t="s">
        <v>13</v>
      </c>
      <c r="P1655" s="10"/>
      <c r="Q1655" s="11"/>
    </row>
    <row r="1656" spans="2:17" ht="21" customHeight="1" x14ac:dyDescent="0.35">
      <c r="B1656" s="1">
        <v>44023</v>
      </c>
      <c r="C1656" s="1" t="str">
        <f>TEXT(Sales[[#This Row],[Kode Program/Kegiatan ]],"D")</f>
        <v>11</v>
      </c>
      <c r="D1656" s="2" t="str">
        <f>TEXT(Sales[[#This Row],[Kode Program/Kegiatan ]],"mmm")</f>
        <v>Jul</v>
      </c>
      <c r="E1656" s="3">
        <v>3</v>
      </c>
      <c r="F1656" s="2">
        <v>3</v>
      </c>
      <c r="G1656" s="3" t="str">
        <f>IF(Sales[[#This Row],[Anggaran Murni]]-Sales[[#This Row],[Target s.d. Januari]]=0,"",Sales[[#This Row],[Anggaran Murni]]-Sales[[#This Row],[Target s.d. Januari]])</f>
        <v/>
      </c>
      <c r="H1656" s="2" t="s">
        <v>72</v>
      </c>
      <c r="I1656" s="3" t="s">
        <v>78</v>
      </c>
      <c r="J1656" s="3">
        <v>40000000</v>
      </c>
      <c r="K1656" s="2" t="s">
        <v>27</v>
      </c>
      <c r="L1656" s="2" t="s">
        <v>5</v>
      </c>
      <c r="M1656" s="4" t="s">
        <v>67</v>
      </c>
      <c r="N1656" s="3" t="s">
        <v>81</v>
      </c>
      <c r="O1656" s="2" t="s">
        <v>11</v>
      </c>
      <c r="P1656" s="10"/>
      <c r="Q1656" s="11"/>
    </row>
    <row r="1657" spans="2:17" ht="21" customHeight="1" x14ac:dyDescent="0.35">
      <c r="B1657" s="18">
        <v>44023</v>
      </c>
      <c r="C1657" s="18" t="str">
        <f>TEXT(Sales[[#This Row],[Kode Program/Kegiatan ]],"D")</f>
        <v>11</v>
      </c>
      <c r="D1657" s="19" t="str">
        <f>TEXT(Sales[[#This Row],[Kode Program/Kegiatan ]],"mmm")</f>
        <v>Jul</v>
      </c>
      <c r="E1657" s="20">
        <v>3</v>
      </c>
      <c r="F1657" s="19">
        <v>3</v>
      </c>
      <c r="G1657" s="20" t="str">
        <f>IF(Sales[[#This Row],[Anggaran Murni]]-Sales[[#This Row],[Target s.d. Januari]]=0,"",Sales[[#This Row],[Anggaran Murni]]-Sales[[#This Row],[Target s.d. Januari]])</f>
        <v/>
      </c>
      <c r="H1657" s="19" t="s">
        <v>70</v>
      </c>
      <c r="I1657" s="20" t="s">
        <v>1</v>
      </c>
      <c r="J1657" s="20">
        <v>60000000</v>
      </c>
      <c r="K1657" s="19" t="s">
        <v>43</v>
      </c>
      <c r="L1657" s="19" t="s">
        <v>2</v>
      </c>
      <c r="M1657" s="21" t="s">
        <v>67</v>
      </c>
      <c r="N1657" s="20" t="s">
        <v>81</v>
      </c>
      <c r="O1657" s="19" t="s">
        <v>13</v>
      </c>
      <c r="P1657" s="10"/>
      <c r="Q1657" s="11"/>
    </row>
    <row r="1658" spans="2:17" ht="21" customHeight="1" x14ac:dyDescent="0.35">
      <c r="B1658" s="1">
        <v>44024</v>
      </c>
      <c r="C1658" s="1" t="str">
        <f>TEXT(Sales[[#This Row],[Kode Program/Kegiatan ]],"D")</f>
        <v>12</v>
      </c>
      <c r="D1658" s="2" t="str">
        <f>TEXT(Sales[[#This Row],[Kode Program/Kegiatan ]],"mmm")</f>
        <v>Jul</v>
      </c>
      <c r="E1658" s="3">
        <v>10</v>
      </c>
      <c r="F1658" s="2">
        <v>10</v>
      </c>
      <c r="G1658" s="3" t="str">
        <f>IF(Sales[[#This Row],[Anggaran Murni]]-Sales[[#This Row],[Target s.d. Januari]]=0,"",Sales[[#This Row],[Anggaran Murni]]-Sales[[#This Row],[Target s.d. Januari]])</f>
        <v/>
      </c>
      <c r="H1658" s="2" t="s">
        <v>70</v>
      </c>
      <c r="I1658" s="3" t="s">
        <v>1</v>
      </c>
      <c r="J1658" s="3">
        <v>40000000</v>
      </c>
      <c r="K1658" s="2" t="s">
        <v>34</v>
      </c>
      <c r="L1658" s="2" t="s">
        <v>5</v>
      </c>
      <c r="M1658" s="4" t="s">
        <v>67</v>
      </c>
      <c r="N1658" s="3" t="s">
        <v>80</v>
      </c>
      <c r="O1658" s="2" t="s">
        <v>14</v>
      </c>
      <c r="P1658" s="10"/>
      <c r="Q1658" s="11"/>
    </row>
    <row r="1659" spans="2:17" ht="21" customHeight="1" x14ac:dyDescent="0.35">
      <c r="B1659" s="18">
        <v>44024</v>
      </c>
      <c r="C1659" s="18" t="str">
        <f>TEXT(Sales[[#This Row],[Kode Program/Kegiatan ]],"D")</f>
        <v>12</v>
      </c>
      <c r="D1659" s="19" t="str">
        <f>TEXT(Sales[[#This Row],[Kode Program/Kegiatan ]],"mmm")</f>
        <v>Jul</v>
      </c>
      <c r="E1659" s="20">
        <v>7</v>
      </c>
      <c r="F1659" s="19">
        <v>7</v>
      </c>
      <c r="G1659" s="20" t="str">
        <f>IF(Sales[[#This Row],[Anggaran Murni]]-Sales[[#This Row],[Target s.d. Januari]]=0,"",Sales[[#This Row],[Anggaran Murni]]-Sales[[#This Row],[Target s.d. Januari]])</f>
        <v/>
      </c>
      <c r="H1659" s="19" t="s">
        <v>113</v>
      </c>
      <c r="I1659" s="20" t="s">
        <v>77</v>
      </c>
      <c r="J1659" s="20">
        <v>140000000</v>
      </c>
      <c r="K1659" s="19" t="s">
        <v>22</v>
      </c>
      <c r="L1659" s="19" t="s">
        <v>2</v>
      </c>
      <c r="M1659" s="21" t="s">
        <v>67</v>
      </c>
      <c r="N1659" s="20" t="s">
        <v>82</v>
      </c>
      <c r="O1659" s="19" t="s">
        <v>11</v>
      </c>
      <c r="P1659" s="10"/>
      <c r="Q1659" s="11"/>
    </row>
    <row r="1660" spans="2:17" ht="21" customHeight="1" x14ac:dyDescent="0.35">
      <c r="B1660" s="1">
        <v>44024</v>
      </c>
      <c r="C1660" s="1" t="str">
        <f>TEXT(Sales[[#This Row],[Kode Program/Kegiatan ]],"D")</f>
        <v>12</v>
      </c>
      <c r="D1660" s="2" t="str">
        <f>TEXT(Sales[[#This Row],[Kode Program/Kegiatan ]],"mmm")</f>
        <v>Jul</v>
      </c>
      <c r="E1660" s="3">
        <v>6</v>
      </c>
      <c r="F1660" s="2">
        <v>6</v>
      </c>
      <c r="G1660" s="3" t="str">
        <f>IF(Sales[[#This Row],[Anggaran Murni]]-Sales[[#This Row],[Target s.d. Januari]]=0,"",Sales[[#This Row],[Anggaran Murni]]-Sales[[#This Row],[Target s.d. Januari]])</f>
        <v/>
      </c>
      <c r="H1660" s="2" t="s">
        <v>76</v>
      </c>
      <c r="I1660" s="3" t="s">
        <v>79</v>
      </c>
      <c r="J1660" s="3">
        <v>120000000</v>
      </c>
      <c r="K1660" s="2" t="s">
        <v>15</v>
      </c>
      <c r="L1660" s="2" t="s">
        <v>5</v>
      </c>
      <c r="M1660" s="4" t="s">
        <v>67</v>
      </c>
      <c r="N1660" s="3" t="s">
        <v>81</v>
      </c>
      <c r="O1660" s="2" t="s">
        <v>14</v>
      </c>
      <c r="P1660" s="10"/>
      <c r="Q1660" s="11"/>
    </row>
    <row r="1661" spans="2:17" ht="21" customHeight="1" x14ac:dyDescent="0.35">
      <c r="B1661" s="18">
        <v>44024</v>
      </c>
      <c r="C1661" s="18" t="str">
        <f>TEXT(Sales[[#This Row],[Kode Program/Kegiatan ]],"D")</f>
        <v>12</v>
      </c>
      <c r="D1661" s="19" t="str">
        <f>TEXT(Sales[[#This Row],[Kode Program/Kegiatan ]],"mmm")</f>
        <v>Jul</v>
      </c>
      <c r="E1661" s="20">
        <v>6</v>
      </c>
      <c r="F1661" s="19">
        <v>6</v>
      </c>
      <c r="G1661" s="20" t="str">
        <f>IF(Sales[[#This Row],[Anggaran Murni]]-Sales[[#This Row],[Target s.d. Januari]]=0,"",Sales[[#This Row],[Anggaran Murni]]-Sales[[#This Row],[Target s.d. Januari]])</f>
        <v/>
      </c>
      <c r="H1661" s="19" t="s">
        <v>113</v>
      </c>
      <c r="I1661" s="20" t="s">
        <v>77</v>
      </c>
      <c r="J1661" s="20">
        <v>100000000</v>
      </c>
      <c r="K1661" s="19" t="s">
        <v>60</v>
      </c>
      <c r="L1661" s="19" t="s">
        <v>5</v>
      </c>
      <c r="M1661" s="21" t="s">
        <v>67</v>
      </c>
      <c r="N1661" s="20" t="s">
        <v>80</v>
      </c>
      <c r="O1661" s="19" t="s">
        <v>12</v>
      </c>
      <c r="P1661" s="10"/>
      <c r="Q1661" s="11"/>
    </row>
    <row r="1662" spans="2:17" ht="21" customHeight="1" x14ac:dyDescent="0.35">
      <c r="B1662" s="1">
        <v>44024</v>
      </c>
      <c r="C1662" s="1" t="str">
        <f>TEXT(Sales[[#This Row],[Kode Program/Kegiatan ]],"D")</f>
        <v>12</v>
      </c>
      <c r="D1662" s="2" t="str">
        <f>TEXT(Sales[[#This Row],[Kode Program/Kegiatan ]],"mmm")</f>
        <v>Jul</v>
      </c>
      <c r="E1662" s="3">
        <v>6</v>
      </c>
      <c r="F1662" s="2">
        <v>6</v>
      </c>
      <c r="G1662" s="3" t="str">
        <f>IF(Sales[[#This Row],[Anggaran Murni]]-Sales[[#This Row],[Target s.d. Januari]]=0,"",Sales[[#This Row],[Anggaran Murni]]-Sales[[#This Row],[Target s.d. Januari]])</f>
        <v/>
      </c>
      <c r="H1662" s="2" t="s">
        <v>70</v>
      </c>
      <c r="I1662" s="3" t="s">
        <v>1</v>
      </c>
      <c r="J1662" s="3">
        <v>40000000</v>
      </c>
      <c r="K1662" s="2" t="s">
        <v>63</v>
      </c>
      <c r="L1662" s="2" t="s">
        <v>7</v>
      </c>
      <c r="M1662" s="4" t="s">
        <v>67</v>
      </c>
      <c r="N1662" s="3" t="s">
        <v>80</v>
      </c>
      <c r="O1662" s="2" t="s">
        <v>12</v>
      </c>
      <c r="P1662" s="10"/>
      <c r="Q1662" s="11"/>
    </row>
    <row r="1663" spans="2:17" ht="21" customHeight="1" x14ac:dyDescent="0.35">
      <c r="B1663" s="18">
        <v>44024</v>
      </c>
      <c r="C1663" s="18" t="str">
        <f>TEXT(Sales[[#This Row],[Kode Program/Kegiatan ]],"D")</f>
        <v>12</v>
      </c>
      <c r="D1663" s="19" t="str">
        <f>TEXT(Sales[[#This Row],[Kode Program/Kegiatan ]],"mmm")</f>
        <v>Jul</v>
      </c>
      <c r="E1663" s="20">
        <v>4</v>
      </c>
      <c r="F1663" s="19">
        <v>4</v>
      </c>
      <c r="G1663" s="20" t="str">
        <f>IF(Sales[[#This Row],[Anggaran Murni]]-Sales[[#This Row],[Target s.d. Januari]]=0,"",Sales[[#This Row],[Anggaran Murni]]-Sales[[#This Row],[Target s.d. Januari]])</f>
        <v/>
      </c>
      <c r="H1663" s="19" t="s">
        <v>75</v>
      </c>
      <c r="I1663" s="20" t="s">
        <v>6</v>
      </c>
      <c r="J1663" s="20">
        <v>120000000</v>
      </c>
      <c r="K1663" s="19" t="s">
        <v>57</v>
      </c>
      <c r="L1663" s="19" t="s">
        <v>7</v>
      </c>
      <c r="M1663" s="21" t="s">
        <v>67</v>
      </c>
      <c r="N1663" s="20" t="s">
        <v>80</v>
      </c>
      <c r="O1663" s="19" t="s">
        <v>13</v>
      </c>
      <c r="P1663" s="10"/>
      <c r="Q1663" s="11"/>
    </row>
    <row r="1664" spans="2:17" ht="21" customHeight="1" x14ac:dyDescent="0.35">
      <c r="B1664" s="1">
        <v>44024</v>
      </c>
      <c r="C1664" s="1" t="str">
        <f>TEXT(Sales[[#This Row],[Kode Program/Kegiatan ]],"D")</f>
        <v>12</v>
      </c>
      <c r="D1664" s="2" t="str">
        <f>TEXT(Sales[[#This Row],[Kode Program/Kegiatan ]],"mmm")</f>
        <v>Jul</v>
      </c>
      <c r="E1664" s="3">
        <v>3</v>
      </c>
      <c r="F1664" s="2">
        <v>3</v>
      </c>
      <c r="G1664" s="3" t="str">
        <f>IF(Sales[[#This Row],[Anggaran Murni]]-Sales[[#This Row],[Target s.d. Januari]]=0,"",Sales[[#This Row],[Anggaran Murni]]-Sales[[#This Row],[Target s.d. Januari]])</f>
        <v/>
      </c>
      <c r="H1664" s="2" t="s">
        <v>72</v>
      </c>
      <c r="I1664" s="3" t="s">
        <v>78</v>
      </c>
      <c r="J1664" s="3">
        <v>140000000</v>
      </c>
      <c r="K1664" s="2" t="s">
        <v>22</v>
      </c>
      <c r="L1664" s="2" t="s">
        <v>5</v>
      </c>
      <c r="M1664" s="4" t="s">
        <v>67</v>
      </c>
      <c r="N1664" s="3" t="s">
        <v>82</v>
      </c>
      <c r="O1664" s="2" t="s">
        <v>14</v>
      </c>
      <c r="P1664" s="10"/>
      <c r="Q1664" s="11"/>
    </row>
    <row r="1665" spans="2:17" ht="21" customHeight="1" x14ac:dyDescent="0.35">
      <c r="B1665" s="18">
        <v>44024</v>
      </c>
      <c r="C1665" s="18" t="str">
        <f>TEXT(Sales[[#This Row],[Kode Program/Kegiatan ]],"D")</f>
        <v>12</v>
      </c>
      <c r="D1665" s="19" t="str">
        <f>TEXT(Sales[[#This Row],[Kode Program/Kegiatan ]],"mmm")</f>
        <v>Jul</v>
      </c>
      <c r="E1665" s="20">
        <v>3</v>
      </c>
      <c r="F1665" s="19">
        <v>3</v>
      </c>
      <c r="G1665" s="20" t="str">
        <f>IF(Sales[[#This Row],[Anggaran Murni]]-Sales[[#This Row],[Target s.d. Januari]]=0,"",Sales[[#This Row],[Anggaran Murni]]-Sales[[#This Row],[Target s.d. Januari]])</f>
        <v/>
      </c>
      <c r="H1665" s="19" t="s">
        <v>76</v>
      </c>
      <c r="I1665" s="20" t="s">
        <v>79</v>
      </c>
      <c r="J1665" s="20">
        <v>120000000</v>
      </c>
      <c r="K1665" s="19" t="s">
        <v>17</v>
      </c>
      <c r="L1665" s="19" t="s">
        <v>8</v>
      </c>
      <c r="M1665" s="21" t="s">
        <v>67</v>
      </c>
      <c r="N1665" s="20" t="s">
        <v>80</v>
      </c>
      <c r="O1665" s="19" t="s">
        <v>13</v>
      </c>
      <c r="P1665" s="10"/>
      <c r="Q1665" s="11"/>
    </row>
    <row r="1666" spans="2:17" ht="21" customHeight="1" x14ac:dyDescent="0.35">
      <c r="B1666" s="1">
        <v>44024</v>
      </c>
      <c r="C1666" s="1" t="str">
        <f>TEXT(Sales[[#This Row],[Kode Program/Kegiatan ]],"D")</f>
        <v>12</v>
      </c>
      <c r="D1666" s="2" t="str">
        <f>TEXT(Sales[[#This Row],[Kode Program/Kegiatan ]],"mmm")</f>
        <v>Jul</v>
      </c>
      <c r="E1666" s="3">
        <v>3</v>
      </c>
      <c r="F1666" s="2">
        <v>3</v>
      </c>
      <c r="G1666" s="3" t="str">
        <f>IF(Sales[[#This Row],[Anggaran Murni]]-Sales[[#This Row],[Target s.d. Januari]]=0,"",Sales[[#This Row],[Anggaran Murni]]-Sales[[#This Row],[Target s.d. Januari]])</f>
        <v/>
      </c>
      <c r="H1666" s="2" t="s">
        <v>75</v>
      </c>
      <c r="I1666" s="3" t="s">
        <v>6</v>
      </c>
      <c r="J1666" s="3">
        <v>140000000</v>
      </c>
      <c r="K1666" s="2" t="s">
        <v>17</v>
      </c>
      <c r="L1666" s="2" t="s">
        <v>2</v>
      </c>
      <c r="M1666" s="4" t="s">
        <v>67</v>
      </c>
      <c r="N1666" s="3" t="s">
        <v>82</v>
      </c>
      <c r="O1666" s="2" t="s">
        <v>12</v>
      </c>
      <c r="P1666" s="10"/>
      <c r="Q1666" s="11"/>
    </row>
    <row r="1667" spans="2:17" ht="21" customHeight="1" x14ac:dyDescent="0.35">
      <c r="B1667" s="18">
        <v>44025</v>
      </c>
      <c r="C1667" s="18" t="str">
        <f>TEXT(Sales[[#This Row],[Kode Program/Kegiatan ]],"D")</f>
        <v>13</v>
      </c>
      <c r="D1667" s="19" t="str">
        <f>TEXT(Sales[[#This Row],[Kode Program/Kegiatan ]],"mmm")</f>
        <v>Jul</v>
      </c>
      <c r="E1667" s="20">
        <v>10</v>
      </c>
      <c r="F1667" s="19">
        <v>10</v>
      </c>
      <c r="G1667" s="20" t="str">
        <f>IF(Sales[[#This Row],[Anggaran Murni]]-Sales[[#This Row],[Target s.d. Januari]]=0,"",Sales[[#This Row],[Anggaran Murni]]-Sales[[#This Row],[Target s.d. Januari]])</f>
        <v/>
      </c>
      <c r="H1667" s="19" t="s">
        <v>72</v>
      </c>
      <c r="I1667" s="20" t="s">
        <v>78</v>
      </c>
      <c r="J1667" s="20">
        <v>120000000</v>
      </c>
      <c r="K1667" s="19" t="s">
        <v>38</v>
      </c>
      <c r="L1667" s="19" t="s">
        <v>5</v>
      </c>
      <c r="M1667" s="21" t="s">
        <v>67</v>
      </c>
      <c r="N1667" s="20" t="s">
        <v>80</v>
      </c>
      <c r="O1667" s="19" t="s">
        <v>14</v>
      </c>
      <c r="P1667" s="10"/>
      <c r="Q1667" s="11"/>
    </row>
    <row r="1668" spans="2:17" ht="21" customHeight="1" x14ac:dyDescent="0.35">
      <c r="B1668" s="1">
        <v>44025</v>
      </c>
      <c r="C1668" s="1" t="str">
        <f>TEXT(Sales[[#This Row],[Kode Program/Kegiatan ]],"D")</f>
        <v>13</v>
      </c>
      <c r="D1668" s="2" t="str">
        <f>TEXT(Sales[[#This Row],[Kode Program/Kegiatan ]],"mmm")</f>
        <v>Jul</v>
      </c>
      <c r="E1668" s="3">
        <v>10</v>
      </c>
      <c r="F1668" s="2">
        <v>10</v>
      </c>
      <c r="G1668" s="3" t="str">
        <f>IF(Sales[[#This Row],[Anggaran Murni]]-Sales[[#This Row],[Target s.d. Januari]]=0,"",Sales[[#This Row],[Anggaran Murni]]-Sales[[#This Row],[Target s.d. Januari]])</f>
        <v/>
      </c>
      <c r="H1668" s="2" t="s">
        <v>74</v>
      </c>
      <c r="I1668" s="3" t="s">
        <v>77</v>
      </c>
      <c r="J1668" s="3">
        <v>100000000</v>
      </c>
      <c r="K1668" s="2" t="s">
        <v>29</v>
      </c>
      <c r="L1668" s="2" t="s">
        <v>4</v>
      </c>
      <c r="M1668" s="4" t="s">
        <v>67</v>
      </c>
      <c r="N1668" s="3" t="s">
        <v>82</v>
      </c>
      <c r="O1668" s="2" t="s">
        <v>12</v>
      </c>
      <c r="P1668" s="10"/>
      <c r="Q1668" s="11"/>
    </row>
    <row r="1669" spans="2:17" ht="21" customHeight="1" x14ac:dyDescent="0.35">
      <c r="B1669" s="18">
        <v>44025</v>
      </c>
      <c r="C1669" s="18" t="str">
        <f>TEXT(Sales[[#This Row],[Kode Program/Kegiatan ]],"D")</f>
        <v>13</v>
      </c>
      <c r="D1669" s="19" t="str">
        <f>TEXT(Sales[[#This Row],[Kode Program/Kegiatan ]],"mmm")</f>
        <v>Jul</v>
      </c>
      <c r="E1669" s="20">
        <v>10</v>
      </c>
      <c r="F1669" s="19">
        <v>10</v>
      </c>
      <c r="G1669" s="20" t="str">
        <f>IF(Sales[[#This Row],[Anggaran Murni]]-Sales[[#This Row],[Target s.d. Januari]]=0,"",Sales[[#This Row],[Anggaran Murni]]-Sales[[#This Row],[Target s.d. Januari]])</f>
        <v/>
      </c>
      <c r="H1669" s="19" t="s">
        <v>70</v>
      </c>
      <c r="I1669" s="20" t="s">
        <v>1</v>
      </c>
      <c r="J1669" s="20">
        <v>120000000</v>
      </c>
      <c r="K1669" s="19" t="s">
        <v>46</v>
      </c>
      <c r="L1669" s="19" t="s">
        <v>2</v>
      </c>
      <c r="M1669" s="21" t="s">
        <v>67</v>
      </c>
      <c r="N1669" s="20" t="s">
        <v>81</v>
      </c>
      <c r="O1669" s="19" t="s">
        <v>13</v>
      </c>
      <c r="P1669" s="10"/>
      <c r="Q1669" s="11"/>
    </row>
    <row r="1670" spans="2:17" ht="21" customHeight="1" x14ac:dyDescent="0.35">
      <c r="B1670" s="1">
        <v>44025</v>
      </c>
      <c r="C1670" s="1" t="str">
        <f>TEXT(Sales[[#This Row],[Kode Program/Kegiatan ]],"D")</f>
        <v>13</v>
      </c>
      <c r="D1670" s="2" t="str">
        <f>TEXT(Sales[[#This Row],[Kode Program/Kegiatan ]],"mmm")</f>
        <v>Jul</v>
      </c>
      <c r="E1670" s="3">
        <v>9</v>
      </c>
      <c r="F1670" s="2">
        <v>9</v>
      </c>
      <c r="G1670" s="3" t="str">
        <f>IF(Sales[[#This Row],[Anggaran Murni]]-Sales[[#This Row],[Target s.d. Januari]]=0,"",Sales[[#This Row],[Anggaran Murni]]-Sales[[#This Row],[Target s.d. Januari]])</f>
        <v/>
      </c>
      <c r="H1670" s="2" t="s">
        <v>76</v>
      </c>
      <c r="I1670" s="3" t="s">
        <v>79</v>
      </c>
      <c r="J1670" s="3">
        <v>80000000</v>
      </c>
      <c r="K1670" s="2" t="s">
        <v>56</v>
      </c>
      <c r="L1670" s="2" t="s">
        <v>7</v>
      </c>
      <c r="M1670" s="4" t="s">
        <v>67</v>
      </c>
      <c r="N1670" s="3" t="s">
        <v>81</v>
      </c>
      <c r="O1670" s="2" t="s">
        <v>11</v>
      </c>
      <c r="P1670" s="10"/>
      <c r="Q1670" s="11"/>
    </row>
    <row r="1671" spans="2:17" ht="21" customHeight="1" x14ac:dyDescent="0.35">
      <c r="B1671" s="18">
        <v>44025</v>
      </c>
      <c r="C1671" s="18" t="str">
        <f>TEXT(Sales[[#This Row],[Kode Program/Kegiatan ]],"D")</f>
        <v>13</v>
      </c>
      <c r="D1671" s="19" t="str">
        <f>TEXT(Sales[[#This Row],[Kode Program/Kegiatan ]],"mmm")</f>
        <v>Jul</v>
      </c>
      <c r="E1671" s="20">
        <v>8</v>
      </c>
      <c r="F1671" s="19">
        <v>8</v>
      </c>
      <c r="G1671" s="20" t="str">
        <f>IF(Sales[[#This Row],[Anggaran Murni]]-Sales[[#This Row],[Target s.d. Januari]]=0,"",Sales[[#This Row],[Anggaran Murni]]-Sales[[#This Row],[Target s.d. Januari]])</f>
        <v/>
      </c>
      <c r="H1671" s="19" t="s">
        <v>113</v>
      </c>
      <c r="I1671" s="20" t="s">
        <v>77</v>
      </c>
      <c r="J1671" s="20">
        <v>80000000</v>
      </c>
      <c r="K1671" s="19" t="s">
        <v>21</v>
      </c>
      <c r="L1671" s="19" t="s">
        <v>2</v>
      </c>
      <c r="M1671" s="21" t="s">
        <v>67</v>
      </c>
      <c r="N1671" s="20" t="s">
        <v>80</v>
      </c>
      <c r="O1671" s="19" t="s">
        <v>12</v>
      </c>
      <c r="P1671" s="10"/>
      <c r="Q1671" s="11"/>
    </row>
    <row r="1672" spans="2:17" ht="21" customHeight="1" x14ac:dyDescent="0.35">
      <c r="B1672" s="1">
        <v>44025</v>
      </c>
      <c r="C1672" s="1" t="str">
        <f>TEXT(Sales[[#This Row],[Kode Program/Kegiatan ]],"D")</f>
        <v>13</v>
      </c>
      <c r="D1672" s="2" t="str">
        <f>TEXT(Sales[[#This Row],[Kode Program/Kegiatan ]],"mmm")</f>
        <v>Jul</v>
      </c>
      <c r="E1672" s="3">
        <v>6</v>
      </c>
      <c r="F1672" s="2">
        <v>6</v>
      </c>
      <c r="G1672" s="3" t="str">
        <f>IF(Sales[[#This Row],[Anggaran Murni]]-Sales[[#This Row],[Target s.d. Januari]]=0,"",Sales[[#This Row],[Anggaran Murni]]-Sales[[#This Row],[Target s.d. Januari]])</f>
        <v/>
      </c>
      <c r="H1672" s="2" t="s">
        <v>76</v>
      </c>
      <c r="I1672" s="3" t="s">
        <v>79</v>
      </c>
      <c r="J1672" s="3">
        <v>40000000</v>
      </c>
      <c r="K1672" s="2" t="s">
        <v>56</v>
      </c>
      <c r="L1672" s="2" t="s">
        <v>5</v>
      </c>
      <c r="M1672" s="4" t="s">
        <v>67</v>
      </c>
      <c r="N1672" s="3" t="s">
        <v>81</v>
      </c>
      <c r="O1672" s="2" t="s">
        <v>14</v>
      </c>
      <c r="P1672" s="10"/>
      <c r="Q1672" s="11"/>
    </row>
    <row r="1673" spans="2:17" ht="21" customHeight="1" x14ac:dyDescent="0.35">
      <c r="B1673" s="18">
        <v>44025</v>
      </c>
      <c r="C1673" s="18" t="str">
        <f>TEXT(Sales[[#This Row],[Kode Program/Kegiatan ]],"D")</f>
        <v>13</v>
      </c>
      <c r="D1673" s="19" t="str">
        <f>TEXT(Sales[[#This Row],[Kode Program/Kegiatan ]],"mmm")</f>
        <v>Jul</v>
      </c>
      <c r="E1673" s="20">
        <v>6</v>
      </c>
      <c r="F1673" s="19">
        <v>6</v>
      </c>
      <c r="G1673" s="20" t="str">
        <f>IF(Sales[[#This Row],[Anggaran Murni]]-Sales[[#This Row],[Target s.d. Januari]]=0,"",Sales[[#This Row],[Anggaran Murni]]-Sales[[#This Row],[Target s.d. Januari]])</f>
        <v/>
      </c>
      <c r="H1673" s="19" t="s">
        <v>72</v>
      </c>
      <c r="I1673" s="20" t="s">
        <v>78</v>
      </c>
      <c r="J1673" s="20">
        <v>120000000</v>
      </c>
      <c r="K1673" s="19" t="s">
        <v>52</v>
      </c>
      <c r="L1673" s="19" t="s">
        <v>5</v>
      </c>
      <c r="M1673" s="21" t="s">
        <v>67</v>
      </c>
      <c r="N1673" s="20" t="s">
        <v>82</v>
      </c>
      <c r="O1673" s="19" t="s">
        <v>11</v>
      </c>
      <c r="P1673" s="10"/>
      <c r="Q1673" s="11"/>
    </row>
    <row r="1674" spans="2:17" ht="21" customHeight="1" x14ac:dyDescent="0.35">
      <c r="B1674" s="1">
        <v>44025</v>
      </c>
      <c r="C1674" s="1" t="str">
        <f>TEXT(Sales[[#This Row],[Kode Program/Kegiatan ]],"D")</f>
        <v>13</v>
      </c>
      <c r="D1674" s="2" t="str">
        <f>TEXT(Sales[[#This Row],[Kode Program/Kegiatan ]],"mmm")</f>
        <v>Jul</v>
      </c>
      <c r="E1674" s="3">
        <v>6</v>
      </c>
      <c r="F1674" s="2">
        <v>6</v>
      </c>
      <c r="G1674" s="3" t="str">
        <f>IF(Sales[[#This Row],[Anggaran Murni]]-Sales[[#This Row],[Target s.d. Januari]]=0,"",Sales[[#This Row],[Anggaran Murni]]-Sales[[#This Row],[Target s.d. Januari]])</f>
        <v/>
      </c>
      <c r="H1674" s="2" t="s">
        <v>74</v>
      </c>
      <c r="I1674" s="3" t="s">
        <v>77</v>
      </c>
      <c r="J1674" s="3">
        <v>80000000</v>
      </c>
      <c r="K1674" s="2" t="s">
        <v>60</v>
      </c>
      <c r="L1674" s="2" t="s">
        <v>2</v>
      </c>
      <c r="M1674" s="4" t="s">
        <v>67</v>
      </c>
      <c r="N1674" s="3" t="s">
        <v>82</v>
      </c>
      <c r="O1674" s="2" t="s">
        <v>11</v>
      </c>
      <c r="P1674" s="10"/>
      <c r="Q1674" s="11"/>
    </row>
    <row r="1675" spans="2:17" ht="21" customHeight="1" x14ac:dyDescent="0.35">
      <c r="B1675" s="18">
        <v>44025</v>
      </c>
      <c r="C1675" s="18" t="str">
        <f>TEXT(Sales[[#This Row],[Kode Program/Kegiatan ]],"D")</f>
        <v>13</v>
      </c>
      <c r="D1675" s="19" t="str">
        <f>TEXT(Sales[[#This Row],[Kode Program/Kegiatan ]],"mmm")</f>
        <v>Jul</v>
      </c>
      <c r="E1675" s="20">
        <v>5</v>
      </c>
      <c r="F1675" s="19">
        <v>5</v>
      </c>
      <c r="G1675" s="20" t="str">
        <f>IF(Sales[[#This Row],[Anggaran Murni]]-Sales[[#This Row],[Target s.d. Januari]]=0,"",Sales[[#This Row],[Anggaran Murni]]-Sales[[#This Row],[Target s.d. Januari]])</f>
        <v/>
      </c>
      <c r="H1675" s="19" t="s">
        <v>72</v>
      </c>
      <c r="I1675" s="20" t="s">
        <v>78</v>
      </c>
      <c r="J1675" s="20">
        <v>40000000</v>
      </c>
      <c r="K1675" s="19" t="s">
        <v>42</v>
      </c>
      <c r="L1675" s="19" t="s">
        <v>5</v>
      </c>
      <c r="M1675" s="21" t="s">
        <v>67</v>
      </c>
      <c r="N1675" s="20" t="s">
        <v>81</v>
      </c>
      <c r="O1675" s="19" t="s">
        <v>13</v>
      </c>
      <c r="P1675" s="10"/>
      <c r="Q1675" s="11"/>
    </row>
    <row r="1676" spans="2:17" ht="21" customHeight="1" x14ac:dyDescent="0.35">
      <c r="B1676" s="1">
        <v>44026</v>
      </c>
      <c r="C1676" s="1" t="str">
        <f>TEXT(Sales[[#This Row],[Kode Program/Kegiatan ]],"D")</f>
        <v>14</v>
      </c>
      <c r="D1676" s="2" t="str">
        <f>TEXT(Sales[[#This Row],[Kode Program/Kegiatan ]],"mmm")</f>
        <v>Jul</v>
      </c>
      <c r="E1676" s="3">
        <v>10</v>
      </c>
      <c r="F1676" s="2">
        <v>10</v>
      </c>
      <c r="G1676" s="3" t="str">
        <f>IF(Sales[[#This Row],[Anggaran Murni]]-Sales[[#This Row],[Target s.d. Januari]]=0,"",Sales[[#This Row],[Anggaran Murni]]-Sales[[#This Row],[Target s.d. Januari]])</f>
        <v/>
      </c>
      <c r="H1676" s="2" t="s">
        <v>73</v>
      </c>
      <c r="I1676" s="3" t="s">
        <v>78</v>
      </c>
      <c r="J1676" s="3">
        <v>60000000</v>
      </c>
      <c r="K1676" s="2" t="s">
        <v>44</v>
      </c>
      <c r="L1676" s="2" t="s">
        <v>2</v>
      </c>
      <c r="M1676" s="4" t="s">
        <v>67</v>
      </c>
      <c r="N1676" s="3" t="s">
        <v>80</v>
      </c>
      <c r="O1676" s="2" t="s">
        <v>14</v>
      </c>
      <c r="P1676" s="10"/>
      <c r="Q1676" s="11"/>
    </row>
    <row r="1677" spans="2:17" ht="21" customHeight="1" x14ac:dyDescent="0.35">
      <c r="B1677" s="18">
        <v>44026</v>
      </c>
      <c r="C1677" s="18" t="str">
        <f>TEXT(Sales[[#This Row],[Kode Program/Kegiatan ]],"D")</f>
        <v>14</v>
      </c>
      <c r="D1677" s="19" t="str">
        <f>TEXT(Sales[[#This Row],[Kode Program/Kegiatan ]],"mmm")</f>
        <v>Jul</v>
      </c>
      <c r="E1677" s="20">
        <v>9</v>
      </c>
      <c r="F1677" s="19">
        <v>9</v>
      </c>
      <c r="G1677" s="20" t="str">
        <f>IF(Sales[[#This Row],[Anggaran Murni]]-Sales[[#This Row],[Target s.d. Januari]]=0,"",Sales[[#This Row],[Anggaran Murni]]-Sales[[#This Row],[Target s.d. Januari]])</f>
        <v/>
      </c>
      <c r="H1677" s="19" t="s">
        <v>113</v>
      </c>
      <c r="I1677" s="20" t="s">
        <v>77</v>
      </c>
      <c r="J1677" s="20">
        <v>40000000</v>
      </c>
      <c r="K1677" s="19" t="s">
        <v>34</v>
      </c>
      <c r="L1677" s="19" t="s">
        <v>7</v>
      </c>
      <c r="M1677" s="21" t="s">
        <v>67</v>
      </c>
      <c r="N1677" s="20" t="s">
        <v>80</v>
      </c>
      <c r="O1677" s="19" t="s">
        <v>13</v>
      </c>
      <c r="P1677" s="10"/>
      <c r="Q1677" s="11"/>
    </row>
    <row r="1678" spans="2:17" ht="21" customHeight="1" x14ac:dyDescent="0.35">
      <c r="B1678" s="1">
        <v>44026</v>
      </c>
      <c r="C1678" s="1" t="str">
        <f>TEXT(Sales[[#This Row],[Kode Program/Kegiatan ]],"D")</f>
        <v>14</v>
      </c>
      <c r="D1678" s="2" t="str">
        <f>TEXT(Sales[[#This Row],[Kode Program/Kegiatan ]],"mmm")</f>
        <v>Jul</v>
      </c>
      <c r="E1678" s="3">
        <v>7</v>
      </c>
      <c r="F1678" s="2">
        <v>7</v>
      </c>
      <c r="G1678" s="3" t="str">
        <f>IF(Sales[[#This Row],[Anggaran Murni]]-Sales[[#This Row],[Target s.d. Januari]]=0,"",Sales[[#This Row],[Anggaran Murni]]-Sales[[#This Row],[Target s.d. Januari]])</f>
        <v/>
      </c>
      <c r="H1678" s="2" t="s">
        <v>114</v>
      </c>
      <c r="I1678" s="3" t="s">
        <v>3</v>
      </c>
      <c r="J1678" s="3">
        <v>140000000</v>
      </c>
      <c r="K1678" s="2" t="s">
        <v>25</v>
      </c>
      <c r="L1678" s="2" t="s">
        <v>5</v>
      </c>
      <c r="M1678" s="4" t="s">
        <v>67</v>
      </c>
      <c r="N1678" s="3" t="s">
        <v>82</v>
      </c>
      <c r="O1678" s="2" t="s">
        <v>12</v>
      </c>
      <c r="P1678" s="10"/>
      <c r="Q1678" s="11"/>
    </row>
    <row r="1679" spans="2:17" ht="21" customHeight="1" x14ac:dyDescent="0.35">
      <c r="B1679" s="18">
        <v>44026</v>
      </c>
      <c r="C1679" s="18" t="str">
        <f>TEXT(Sales[[#This Row],[Kode Program/Kegiatan ]],"D")</f>
        <v>14</v>
      </c>
      <c r="D1679" s="19" t="str">
        <f>TEXT(Sales[[#This Row],[Kode Program/Kegiatan ]],"mmm")</f>
        <v>Jul</v>
      </c>
      <c r="E1679" s="20">
        <v>6</v>
      </c>
      <c r="F1679" s="19">
        <v>6</v>
      </c>
      <c r="G1679" s="20" t="str">
        <f>IF(Sales[[#This Row],[Anggaran Murni]]-Sales[[#This Row],[Target s.d. Januari]]=0,"",Sales[[#This Row],[Anggaran Murni]]-Sales[[#This Row],[Target s.d. Januari]])</f>
        <v/>
      </c>
      <c r="H1679" s="19" t="s">
        <v>76</v>
      </c>
      <c r="I1679" s="20" t="s">
        <v>79</v>
      </c>
      <c r="J1679" s="20">
        <v>60000000</v>
      </c>
      <c r="K1679" s="19" t="s">
        <v>28</v>
      </c>
      <c r="L1679" s="19" t="s">
        <v>2</v>
      </c>
      <c r="M1679" s="21" t="s">
        <v>67</v>
      </c>
      <c r="N1679" s="20" t="s">
        <v>82</v>
      </c>
      <c r="O1679" s="19" t="s">
        <v>13</v>
      </c>
      <c r="P1679" s="10"/>
      <c r="Q1679" s="11"/>
    </row>
    <row r="1680" spans="2:17" ht="21" customHeight="1" x14ac:dyDescent="0.35">
      <c r="B1680" s="1">
        <v>44026</v>
      </c>
      <c r="C1680" s="1" t="str">
        <f>TEXT(Sales[[#This Row],[Kode Program/Kegiatan ]],"D")</f>
        <v>14</v>
      </c>
      <c r="D1680" s="2" t="str">
        <f>TEXT(Sales[[#This Row],[Kode Program/Kegiatan ]],"mmm")</f>
        <v>Jul</v>
      </c>
      <c r="E1680" s="3">
        <v>5</v>
      </c>
      <c r="F1680" s="2">
        <v>5</v>
      </c>
      <c r="G1680" s="3" t="str">
        <f>IF(Sales[[#This Row],[Anggaran Murni]]-Sales[[#This Row],[Target s.d. Januari]]=0,"",Sales[[#This Row],[Anggaran Murni]]-Sales[[#This Row],[Target s.d. Januari]])</f>
        <v/>
      </c>
      <c r="H1680" s="2" t="s">
        <v>70</v>
      </c>
      <c r="I1680" s="3" t="s">
        <v>1</v>
      </c>
      <c r="J1680" s="3">
        <v>100000000</v>
      </c>
      <c r="K1680" s="2" t="s">
        <v>29</v>
      </c>
      <c r="L1680" s="2" t="s">
        <v>5</v>
      </c>
      <c r="M1680" s="4" t="s">
        <v>67</v>
      </c>
      <c r="N1680" s="3" t="s">
        <v>82</v>
      </c>
      <c r="O1680" s="2" t="s">
        <v>12</v>
      </c>
      <c r="P1680" s="10"/>
      <c r="Q1680" s="11"/>
    </row>
    <row r="1681" spans="2:17" ht="21" customHeight="1" x14ac:dyDescent="0.35">
      <c r="B1681" s="18">
        <v>44026</v>
      </c>
      <c r="C1681" s="18" t="str">
        <f>TEXT(Sales[[#This Row],[Kode Program/Kegiatan ]],"D")</f>
        <v>14</v>
      </c>
      <c r="D1681" s="19" t="str">
        <f>TEXT(Sales[[#This Row],[Kode Program/Kegiatan ]],"mmm")</f>
        <v>Jul</v>
      </c>
      <c r="E1681" s="20">
        <v>5</v>
      </c>
      <c r="F1681" s="19">
        <v>5</v>
      </c>
      <c r="G1681" s="20" t="str">
        <f>IF(Sales[[#This Row],[Anggaran Murni]]-Sales[[#This Row],[Target s.d. Januari]]=0,"",Sales[[#This Row],[Anggaran Murni]]-Sales[[#This Row],[Target s.d. Januari]])</f>
        <v/>
      </c>
      <c r="H1681" s="19" t="s">
        <v>75</v>
      </c>
      <c r="I1681" s="20" t="s">
        <v>6</v>
      </c>
      <c r="J1681" s="20">
        <v>80000000</v>
      </c>
      <c r="K1681" s="19" t="s">
        <v>64</v>
      </c>
      <c r="L1681" s="19" t="s">
        <v>5</v>
      </c>
      <c r="M1681" s="21" t="s">
        <v>67</v>
      </c>
      <c r="N1681" s="20" t="s">
        <v>81</v>
      </c>
      <c r="O1681" s="19" t="s">
        <v>12</v>
      </c>
      <c r="P1681" s="10"/>
      <c r="Q1681" s="11"/>
    </row>
    <row r="1682" spans="2:17" ht="21" customHeight="1" x14ac:dyDescent="0.35">
      <c r="B1682" s="1">
        <v>44027</v>
      </c>
      <c r="C1682" s="1" t="str">
        <f>TEXT(Sales[[#This Row],[Kode Program/Kegiatan ]],"D")</f>
        <v>15</v>
      </c>
      <c r="D1682" s="2" t="str">
        <f>TEXT(Sales[[#This Row],[Kode Program/Kegiatan ]],"mmm")</f>
        <v>Jul</v>
      </c>
      <c r="E1682" s="3">
        <v>10</v>
      </c>
      <c r="F1682" s="2">
        <v>10</v>
      </c>
      <c r="G1682" s="3" t="str">
        <f>IF(Sales[[#This Row],[Anggaran Murni]]-Sales[[#This Row],[Target s.d. Januari]]=0,"",Sales[[#This Row],[Anggaran Murni]]-Sales[[#This Row],[Target s.d. Januari]])</f>
        <v/>
      </c>
      <c r="H1682" s="2" t="s">
        <v>74</v>
      </c>
      <c r="I1682" s="3" t="s">
        <v>77</v>
      </c>
      <c r="J1682" s="3">
        <v>40000000</v>
      </c>
      <c r="K1682" s="2" t="s">
        <v>20</v>
      </c>
      <c r="L1682" s="2" t="s">
        <v>7</v>
      </c>
      <c r="M1682" s="4" t="s">
        <v>67</v>
      </c>
      <c r="N1682" s="3" t="s">
        <v>81</v>
      </c>
      <c r="O1682" s="2" t="s">
        <v>13</v>
      </c>
      <c r="P1682" s="10"/>
      <c r="Q1682" s="11"/>
    </row>
    <row r="1683" spans="2:17" ht="21" customHeight="1" x14ac:dyDescent="0.35">
      <c r="B1683" s="18">
        <v>44027</v>
      </c>
      <c r="C1683" s="18" t="str">
        <f>TEXT(Sales[[#This Row],[Kode Program/Kegiatan ]],"D")</f>
        <v>15</v>
      </c>
      <c r="D1683" s="19" t="str">
        <f>TEXT(Sales[[#This Row],[Kode Program/Kegiatan ]],"mmm")</f>
        <v>Jul</v>
      </c>
      <c r="E1683" s="20">
        <v>10</v>
      </c>
      <c r="F1683" s="19">
        <v>10</v>
      </c>
      <c r="G1683" s="20" t="str">
        <f>IF(Sales[[#This Row],[Anggaran Murni]]-Sales[[#This Row],[Target s.d. Januari]]=0,"",Sales[[#This Row],[Anggaran Murni]]-Sales[[#This Row],[Target s.d. Januari]])</f>
        <v/>
      </c>
      <c r="H1683" s="19" t="s">
        <v>72</v>
      </c>
      <c r="I1683" s="20" t="s">
        <v>78</v>
      </c>
      <c r="J1683" s="20">
        <v>40000000</v>
      </c>
      <c r="K1683" s="19" t="s">
        <v>33</v>
      </c>
      <c r="L1683" s="19" t="s">
        <v>2</v>
      </c>
      <c r="M1683" s="21" t="s">
        <v>67</v>
      </c>
      <c r="N1683" s="20" t="s">
        <v>82</v>
      </c>
      <c r="O1683" s="19" t="s">
        <v>12</v>
      </c>
      <c r="P1683" s="10"/>
      <c r="Q1683" s="11"/>
    </row>
    <row r="1684" spans="2:17" ht="21" customHeight="1" x14ac:dyDescent="0.35">
      <c r="B1684" s="1">
        <v>44027</v>
      </c>
      <c r="C1684" s="1" t="str">
        <f>TEXT(Sales[[#This Row],[Kode Program/Kegiatan ]],"D")</f>
        <v>15</v>
      </c>
      <c r="D1684" s="2" t="str">
        <f>TEXT(Sales[[#This Row],[Kode Program/Kegiatan ]],"mmm")</f>
        <v>Jul</v>
      </c>
      <c r="E1684" s="3">
        <v>9</v>
      </c>
      <c r="F1684" s="2">
        <v>9</v>
      </c>
      <c r="G1684" s="3" t="str">
        <f>IF(Sales[[#This Row],[Anggaran Murni]]-Sales[[#This Row],[Target s.d. Januari]]=0,"",Sales[[#This Row],[Anggaran Murni]]-Sales[[#This Row],[Target s.d. Januari]])</f>
        <v/>
      </c>
      <c r="H1684" s="2" t="s">
        <v>71</v>
      </c>
      <c r="I1684" s="3" t="s">
        <v>6</v>
      </c>
      <c r="J1684" s="3">
        <v>80000000</v>
      </c>
      <c r="K1684" s="2" t="s">
        <v>18</v>
      </c>
      <c r="L1684" s="2" t="s">
        <v>8</v>
      </c>
      <c r="M1684" s="4" t="s">
        <v>67</v>
      </c>
      <c r="N1684" s="3" t="s">
        <v>80</v>
      </c>
      <c r="O1684" s="2" t="s">
        <v>11</v>
      </c>
      <c r="P1684" s="10"/>
      <c r="Q1684" s="11"/>
    </row>
    <row r="1685" spans="2:17" ht="21" customHeight="1" x14ac:dyDescent="0.35">
      <c r="B1685" s="18">
        <v>44027</v>
      </c>
      <c r="C1685" s="18" t="str">
        <f>TEXT(Sales[[#This Row],[Kode Program/Kegiatan ]],"D")</f>
        <v>15</v>
      </c>
      <c r="D1685" s="19" t="str">
        <f>TEXT(Sales[[#This Row],[Kode Program/Kegiatan ]],"mmm")</f>
        <v>Jul</v>
      </c>
      <c r="E1685" s="20">
        <v>7</v>
      </c>
      <c r="F1685" s="19">
        <v>7</v>
      </c>
      <c r="G1685" s="20" t="str">
        <f>IF(Sales[[#This Row],[Anggaran Murni]]-Sales[[#This Row],[Target s.d. Januari]]=0,"",Sales[[#This Row],[Anggaran Murni]]-Sales[[#This Row],[Target s.d. Januari]])</f>
        <v/>
      </c>
      <c r="H1685" s="19" t="s">
        <v>114</v>
      </c>
      <c r="I1685" s="20" t="s">
        <v>3</v>
      </c>
      <c r="J1685" s="20">
        <v>80000000</v>
      </c>
      <c r="K1685" s="19" t="s">
        <v>28</v>
      </c>
      <c r="L1685" s="19" t="s">
        <v>2</v>
      </c>
      <c r="M1685" s="21" t="s">
        <v>67</v>
      </c>
      <c r="N1685" s="20" t="s">
        <v>81</v>
      </c>
      <c r="O1685" s="19" t="s">
        <v>13</v>
      </c>
      <c r="P1685" s="10"/>
      <c r="Q1685" s="11"/>
    </row>
    <row r="1686" spans="2:17" ht="21" customHeight="1" x14ac:dyDescent="0.35">
      <c r="B1686" s="1">
        <v>44027</v>
      </c>
      <c r="C1686" s="1" t="str">
        <f>TEXT(Sales[[#This Row],[Kode Program/Kegiatan ]],"D")</f>
        <v>15</v>
      </c>
      <c r="D1686" s="2" t="str">
        <f>TEXT(Sales[[#This Row],[Kode Program/Kegiatan ]],"mmm")</f>
        <v>Jul</v>
      </c>
      <c r="E1686" s="3">
        <v>7</v>
      </c>
      <c r="F1686" s="2">
        <v>7</v>
      </c>
      <c r="G1686" s="3" t="str">
        <f>IF(Sales[[#This Row],[Anggaran Murni]]-Sales[[#This Row],[Target s.d. Januari]]=0,"",Sales[[#This Row],[Anggaran Murni]]-Sales[[#This Row],[Target s.d. Januari]])</f>
        <v/>
      </c>
      <c r="H1686" s="2" t="s">
        <v>74</v>
      </c>
      <c r="I1686" s="3" t="s">
        <v>77</v>
      </c>
      <c r="J1686" s="3">
        <v>80000000</v>
      </c>
      <c r="K1686" s="2" t="s">
        <v>25</v>
      </c>
      <c r="L1686" s="2" t="s">
        <v>2</v>
      </c>
      <c r="M1686" s="4" t="s">
        <v>67</v>
      </c>
      <c r="N1686" s="3" t="s">
        <v>82</v>
      </c>
      <c r="O1686" s="2" t="s">
        <v>12</v>
      </c>
      <c r="P1686" s="10"/>
      <c r="Q1686" s="11"/>
    </row>
    <row r="1687" spans="2:17" ht="21" customHeight="1" x14ac:dyDescent="0.35">
      <c r="B1687" s="18">
        <v>44027</v>
      </c>
      <c r="C1687" s="18" t="str">
        <f>TEXT(Sales[[#This Row],[Kode Program/Kegiatan ]],"D")</f>
        <v>15</v>
      </c>
      <c r="D1687" s="19" t="str">
        <f>TEXT(Sales[[#This Row],[Kode Program/Kegiatan ]],"mmm")</f>
        <v>Jul</v>
      </c>
      <c r="E1687" s="20">
        <v>6</v>
      </c>
      <c r="F1687" s="19">
        <v>6</v>
      </c>
      <c r="G1687" s="20" t="str">
        <f>IF(Sales[[#This Row],[Anggaran Murni]]-Sales[[#This Row],[Target s.d. Januari]]=0,"",Sales[[#This Row],[Anggaran Murni]]-Sales[[#This Row],[Target s.d. Januari]])</f>
        <v/>
      </c>
      <c r="H1687" s="19" t="s">
        <v>76</v>
      </c>
      <c r="I1687" s="20" t="s">
        <v>79</v>
      </c>
      <c r="J1687" s="20">
        <v>40000000</v>
      </c>
      <c r="K1687" s="19" t="s">
        <v>64</v>
      </c>
      <c r="L1687" s="19" t="s">
        <v>2</v>
      </c>
      <c r="M1687" s="21" t="s">
        <v>67</v>
      </c>
      <c r="N1687" s="20" t="s">
        <v>80</v>
      </c>
      <c r="O1687" s="19" t="s">
        <v>14</v>
      </c>
      <c r="P1687" s="10"/>
      <c r="Q1687" s="11"/>
    </row>
    <row r="1688" spans="2:17" ht="21" customHeight="1" x14ac:dyDescent="0.35">
      <c r="B1688" s="1">
        <v>44027</v>
      </c>
      <c r="C1688" s="1" t="str">
        <f>TEXT(Sales[[#This Row],[Kode Program/Kegiatan ]],"D")</f>
        <v>15</v>
      </c>
      <c r="D1688" s="2" t="str">
        <f>TEXT(Sales[[#This Row],[Kode Program/Kegiatan ]],"mmm")</f>
        <v>Jul</v>
      </c>
      <c r="E1688" s="3">
        <v>5</v>
      </c>
      <c r="F1688" s="2">
        <v>5</v>
      </c>
      <c r="G1688" s="3" t="str">
        <f>IF(Sales[[#This Row],[Anggaran Murni]]-Sales[[#This Row],[Target s.d. Januari]]=0,"",Sales[[#This Row],[Anggaran Murni]]-Sales[[#This Row],[Target s.d. Januari]])</f>
        <v/>
      </c>
      <c r="H1688" s="2" t="s">
        <v>72</v>
      </c>
      <c r="I1688" s="3" t="s">
        <v>78</v>
      </c>
      <c r="J1688" s="3">
        <v>140000000</v>
      </c>
      <c r="K1688" s="2" t="s">
        <v>21</v>
      </c>
      <c r="L1688" s="2" t="s">
        <v>9</v>
      </c>
      <c r="M1688" s="4" t="s">
        <v>67</v>
      </c>
      <c r="N1688" s="3" t="s">
        <v>82</v>
      </c>
      <c r="O1688" s="2" t="s">
        <v>13</v>
      </c>
      <c r="P1688" s="10"/>
      <c r="Q1688" s="11"/>
    </row>
    <row r="1689" spans="2:17" ht="21" customHeight="1" x14ac:dyDescent="0.35">
      <c r="B1689" s="18">
        <v>44027</v>
      </c>
      <c r="C1689" s="18" t="str">
        <f>TEXT(Sales[[#This Row],[Kode Program/Kegiatan ]],"D")</f>
        <v>15</v>
      </c>
      <c r="D1689" s="19" t="str">
        <f>TEXT(Sales[[#This Row],[Kode Program/Kegiatan ]],"mmm")</f>
        <v>Jul</v>
      </c>
      <c r="E1689" s="20">
        <v>5</v>
      </c>
      <c r="F1689" s="19">
        <v>5</v>
      </c>
      <c r="G1689" s="20" t="str">
        <f>IF(Sales[[#This Row],[Anggaran Murni]]-Sales[[#This Row],[Target s.d. Januari]]=0,"",Sales[[#This Row],[Anggaran Murni]]-Sales[[#This Row],[Target s.d. Januari]])</f>
        <v/>
      </c>
      <c r="H1689" s="19" t="s">
        <v>76</v>
      </c>
      <c r="I1689" s="20" t="s">
        <v>79</v>
      </c>
      <c r="J1689" s="20">
        <v>120000000</v>
      </c>
      <c r="K1689" s="19" t="s">
        <v>33</v>
      </c>
      <c r="L1689" s="19" t="s">
        <v>5</v>
      </c>
      <c r="M1689" s="21" t="s">
        <v>67</v>
      </c>
      <c r="N1689" s="20" t="s">
        <v>80</v>
      </c>
      <c r="O1689" s="19" t="s">
        <v>12</v>
      </c>
      <c r="P1689" s="10"/>
      <c r="Q1689" s="11"/>
    </row>
    <row r="1690" spans="2:17" ht="21" customHeight="1" x14ac:dyDescent="0.35">
      <c r="B1690" s="1">
        <v>44027</v>
      </c>
      <c r="C1690" s="1" t="str">
        <f>TEXT(Sales[[#This Row],[Kode Program/Kegiatan ]],"D")</f>
        <v>15</v>
      </c>
      <c r="D1690" s="2" t="str">
        <f>TEXT(Sales[[#This Row],[Kode Program/Kegiatan ]],"mmm")</f>
        <v>Jul</v>
      </c>
      <c r="E1690" s="3">
        <v>3</v>
      </c>
      <c r="F1690" s="2">
        <v>3</v>
      </c>
      <c r="G1690" s="3" t="str">
        <f>IF(Sales[[#This Row],[Anggaran Murni]]-Sales[[#This Row],[Target s.d. Januari]]=0,"",Sales[[#This Row],[Anggaran Murni]]-Sales[[#This Row],[Target s.d. Januari]])</f>
        <v/>
      </c>
      <c r="H1690" s="2" t="s">
        <v>113</v>
      </c>
      <c r="I1690" s="3" t="s">
        <v>77</v>
      </c>
      <c r="J1690" s="3">
        <v>100000000</v>
      </c>
      <c r="K1690" s="2" t="s">
        <v>22</v>
      </c>
      <c r="L1690" s="2" t="s">
        <v>2</v>
      </c>
      <c r="M1690" s="4" t="s">
        <v>67</v>
      </c>
      <c r="N1690" s="3" t="s">
        <v>82</v>
      </c>
      <c r="O1690" s="2" t="s">
        <v>12</v>
      </c>
      <c r="P1690" s="10"/>
      <c r="Q1690" s="11"/>
    </row>
    <row r="1691" spans="2:17" ht="21" customHeight="1" x14ac:dyDescent="0.35">
      <c r="B1691" s="18">
        <v>44028</v>
      </c>
      <c r="C1691" s="18" t="str">
        <f>TEXT(Sales[[#This Row],[Kode Program/Kegiatan ]],"D")</f>
        <v>16</v>
      </c>
      <c r="D1691" s="19" t="str">
        <f>TEXT(Sales[[#This Row],[Kode Program/Kegiatan ]],"mmm")</f>
        <v>Jul</v>
      </c>
      <c r="E1691" s="20">
        <v>10</v>
      </c>
      <c r="F1691" s="19">
        <v>10</v>
      </c>
      <c r="G1691" s="20" t="str">
        <f>IF(Sales[[#This Row],[Anggaran Murni]]-Sales[[#This Row],[Target s.d. Januari]]=0,"",Sales[[#This Row],[Anggaran Murni]]-Sales[[#This Row],[Target s.d. Januari]])</f>
        <v/>
      </c>
      <c r="H1691" s="19" t="s">
        <v>72</v>
      </c>
      <c r="I1691" s="20" t="s">
        <v>78</v>
      </c>
      <c r="J1691" s="20">
        <v>40000000</v>
      </c>
      <c r="K1691" s="19" t="s">
        <v>32</v>
      </c>
      <c r="L1691" s="19" t="s">
        <v>5</v>
      </c>
      <c r="M1691" s="21" t="s">
        <v>67</v>
      </c>
      <c r="N1691" s="20" t="s">
        <v>80</v>
      </c>
      <c r="O1691" s="19" t="s">
        <v>14</v>
      </c>
      <c r="P1691" s="10"/>
      <c r="Q1691" s="11"/>
    </row>
    <row r="1692" spans="2:17" ht="21" customHeight="1" x14ac:dyDescent="0.35">
      <c r="B1692" s="1">
        <v>44028</v>
      </c>
      <c r="C1692" s="1" t="str">
        <f>TEXT(Sales[[#This Row],[Kode Program/Kegiatan ]],"D")</f>
        <v>16</v>
      </c>
      <c r="D1692" s="2" t="str">
        <f>TEXT(Sales[[#This Row],[Kode Program/Kegiatan ]],"mmm")</f>
        <v>Jul</v>
      </c>
      <c r="E1692" s="3">
        <v>9</v>
      </c>
      <c r="F1692" s="2">
        <v>9</v>
      </c>
      <c r="G1692" s="3" t="str">
        <f>IF(Sales[[#This Row],[Anggaran Murni]]-Sales[[#This Row],[Target s.d. Januari]]=0,"",Sales[[#This Row],[Anggaran Murni]]-Sales[[#This Row],[Target s.d. Januari]])</f>
        <v/>
      </c>
      <c r="H1692" s="2" t="s">
        <v>114</v>
      </c>
      <c r="I1692" s="3" t="s">
        <v>3</v>
      </c>
      <c r="J1692" s="3">
        <v>140000000</v>
      </c>
      <c r="K1692" s="2" t="s">
        <v>56</v>
      </c>
      <c r="L1692" s="2" t="s">
        <v>5</v>
      </c>
      <c r="M1692" s="4" t="s">
        <v>67</v>
      </c>
      <c r="N1692" s="3" t="s">
        <v>80</v>
      </c>
      <c r="O1692" s="2" t="s">
        <v>12</v>
      </c>
      <c r="P1692" s="10"/>
      <c r="Q1692" s="11"/>
    </row>
    <row r="1693" spans="2:17" ht="21" customHeight="1" x14ac:dyDescent="0.35">
      <c r="B1693" s="18">
        <v>44028</v>
      </c>
      <c r="C1693" s="18" t="str">
        <f>TEXT(Sales[[#This Row],[Kode Program/Kegiatan ]],"D")</f>
        <v>16</v>
      </c>
      <c r="D1693" s="19" t="str">
        <f>TEXT(Sales[[#This Row],[Kode Program/Kegiatan ]],"mmm")</f>
        <v>Jul</v>
      </c>
      <c r="E1693" s="20">
        <v>8</v>
      </c>
      <c r="F1693" s="19">
        <v>8</v>
      </c>
      <c r="G1693" s="20" t="str">
        <f>IF(Sales[[#This Row],[Anggaran Murni]]-Sales[[#This Row],[Target s.d. Januari]]=0,"",Sales[[#This Row],[Anggaran Murni]]-Sales[[#This Row],[Target s.d. Januari]])</f>
        <v/>
      </c>
      <c r="H1693" s="19" t="s">
        <v>75</v>
      </c>
      <c r="I1693" s="20" t="s">
        <v>6</v>
      </c>
      <c r="J1693" s="20">
        <v>80000000</v>
      </c>
      <c r="K1693" s="19" t="s">
        <v>40</v>
      </c>
      <c r="L1693" s="19" t="s">
        <v>5</v>
      </c>
      <c r="M1693" s="21" t="s">
        <v>67</v>
      </c>
      <c r="N1693" s="20" t="s">
        <v>82</v>
      </c>
      <c r="O1693" s="19" t="s">
        <v>14</v>
      </c>
      <c r="P1693" s="10"/>
      <c r="Q1693" s="11"/>
    </row>
    <row r="1694" spans="2:17" ht="21" customHeight="1" x14ac:dyDescent="0.35">
      <c r="B1694" s="1">
        <v>44028</v>
      </c>
      <c r="C1694" s="1" t="str">
        <f>TEXT(Sales[[#This Row],[Kode Program/Kegiatan ]],"D")</f>
        <v>16</v>
      </c>
      <c r="D1694" s="2" t="str">
        <f>TEXT(Sales[[#This Row],[Kode Program/Kegiatan ]],"mmm")</f>
        <v>Jul</v>
      </c>
      <c r="E1694" s="3">
        <v>6</v>
      </c>
      <c r="F1694" s="2">
        <v>6</v>
      </c>
      <c r="G1694" s="3" t="str">
        <f>IF(Sales[[#This Row],[Anggaran Murni]]-Sales[[#This Row],[Target s.d. Januari]]=0,"",Sales[[#This Row],[Anggaran Murni]]-Sales[[#This Row],[Target s.d. Januari]])</f>
        <v/>
      </c>
      <c r="H1694" s="2" t="s">
        <v>113</v>
      </c>
      <c r="I1694" s="3" t="s">
        <v>77</v>
      </c>
      <c r="J1694" s="3">
        <v>80000000</v>
      </c>
      <c r="K1694" s="2" t="s">
        <v>57</v>
      </c>
      <c r="L1694" s="2" t="s">
        <v>9</v>
      </c>
      <c r="M1694" s="4" t="s">
        <v>67</v>
      </c>
      <c r="N1694" s="3" t="s">
        <v>80</v>
      </c>
      <c r="O1694" s="2" t="s">
        <v>11</v>
      </c>
      <c r="P1694" s="10"/>
      <c r="Q1694" s="11"/>
    </row>
    <row r="1695" spans="2:17" ht="21" customHeight="1" x14ac:dyDescent="0.35">
      <c r="B1695" s="18">
        <v>44028</v>
      </c>
      <c r="C1695" s="18" t="str">
        <f>TEXT(Sales[[#This Row],[Kode Program/Kegiatan ]],"D")</f>
        <v>16</v>
      </c>
      <c r="D1695" s="19" t="str">
        <f>TEXT(Sales[[#This Row],[Kode Program/Kegiatan ]],"mmm")</f>
        <v>Jul</v>
      </c>
      <c r="E1695" s="20">
        <v>6</v>
      </c>
      <c r="F1695" s="19">
        <v>6</v>
      </c>
      <c r="G1695" s="20" t="str">
        <f>IF(Sales[[#This Row],[Anggaran Murni]]-Sales[[#This Row],[Target s.d. Januari]]=0,"",Sales[[#This Row],[Anggaran Murni]]-Sales[[#This Row],[Target s.d. Januari]])</f>
        <v/>
      </c>
      <c r="H1695" s="19" t="s">
        <v>114</v>
      </c>
      <c r="I1695" s="20" t="s">
        <v>3</v>
      </c>
      <c r="J1695" s="20">
        <v>140000000</v>
      </c>
      <c r="K1695" s="19" t="s">
        <v>28</v>
      </c>
      <c r="L1695" s="19" t="s">
        <v>7</v>
      </c>
      <c r="M1695" s="21" t="s">
        <v>67</v>
      </c>
      <c r="N1695" s="20" t="s">
        <v>82</v>
      </c>
      <c r="O1695" s="19" t="s">
        <v>12</v>
      </c>
      <c r="P1695" s="10"/>
      <c r="Q1695" s="11"/>
    </row>
    <row r="1696" spans="2:17" ht="21" customHeight="1" x14ac:dyDescent="0.35">
      <c r="B1696" s="1">
        <v>44028</v>
      </c>
      <c r="C1696" s="1" t="str">
        <f>TEXT(Sales[[#This Row],[Kode Program/Kegiatan ]],"D")</f>
        <v>16</v>
      </c>
      <c r="D1696" s="2" t="str">
        <f>TEXT(Sales[[#This Row],[Kode Program/Kegiatan ]],"mmm")</f>
        <v>Jul</v>
      </c>
      <c r="E1696" s="3">
        <v>6</v>
      </c>
      <c r="F1696" s="2">
        <v>6</v>
      </c>
      <c r="G1696" s="3" t="str">
        <f>IF(Sales[[#This Row],[Anggaran Murni]]-Sales[[#This Row],[Target s.d. Januari]]=0,"",Sales[[#This Row],[Anggaran Murni]]-Sales[[#This Row],[Target s.d. Januari]])</f>
        <v/>
      </c>
      <c r="H1696" s="2" t="s">
        <v>114</v>
      </c>
      <c r="I1696" s="3" t="s">
        <v>3</v>
      </c>
      <c r="J1696" s="3">
        <v>40000000</v>
      </c>
      <c r="K1696" s="2" t="s">
        <v>47</v>
      </c>
      <c r="L1696" s="2" t="s">
        <v>4</v>
      </c>
      <c r="M1696" s="4" t="s">
        <v>67</v>
      </c>
      <c r="N1696" s="3" t="s">
        <v>80</v>
      </c>
      <c r="O1696" s="2" t="s">
        <v>14</v>
      </c>
      <c r="P1696" s="10"/>
      <c r="Q1696" s="11"/>
    </row>
    <row r="1697" spans="2:17" ht="21" customHeight="1" x14ac:dyDescent="0.35">
      <c r="B1697" s="18">
        <v>44028</v>
      </c>
      <c r="C1697" s="18" t="str">
        <f>TEXT(Sales[[#This Row],[Kode Program/Kegiatan ]],"D")</f>
        <v>16</v>
      </c>
      <c r="D1697" s="19" t="str">
        <f>TEXT(Sales[[#This Row],[Kode Program/Kegiatan ]],"mmm")</f>
        <v>Jul</v>
      </c>
      <c r="E1697" s="20">
        <v>4</v>
      </c>
      <c r="F1697" s="19">
        <v>4</v>
      </c>
      <c r="G1697" s="20" t="str">
        <f>IF(Sales[[#This Row],[Anggaran Murni]]-Sales[[#This Row],[Target s.d. Januari]]=0,"",Sales[[#This Row],[Anggaran Murni]]-Sales[[#This Row],[Target s.d. Januari]])</f>
        <v/>
      </c>
      <c r="H1697" s="19" t="s">
        <v>76</v>
      </c>
      <c r="I1697" s="20" t="s">
        <v>79</v>
      </c>
      <c r="J1697" s="20">
        <v>60000000</v>
      </c>
      <c r="K1697" s="19" t="s">
        <v>31</v>
      </c>
      <c r="L1697" s="19" t="s">
        <v>5</v>
      </c>
      <c r="M1697" s="21" t="s">
        <v>67</v>
      </c>
      <c r="N1697" s="20" t="s">
        <v>80</v>
      </c>
      <c r="O1697" s="19" t="s">
        <v>14</v>
      </c>
      <c r="P1697" s="10"/>
      <c r="Q1697" s="11"/>
    </row>
    <row r="1698" spans="2:17" ht="21" customHeight="1" x14ac:dyDescent="0.35">
      <c r="B1698" s="1">
        <v>44029</v>
      </c>
      <c r="C1698" s="1" t="str">
        <f>TEXT(Sales[[#This Row],[Kode Program/Kegiatan ]],"D")</f>
        <v>17</v>
      </c>
      <c r="D1698" s="2" t="str">
        <f>TEXT(Sales[[#This Row],[Kode Program/Kegiatan ]],"mmm")</f>
        <v>Jul</v>
      </c>
      <c r="E1698" s="3">
        <v>10</v>
      </c>
      <c r="F1698" s="2">
        <v>10</v>
      </c>
      <c r="G1698" s="3" t="str">
        <f>IF(Sales[[#This Row],[Anggaran Murni]]-Sales[[#This Row],[Target s.d. Januari]]=0,"",Sales[[#This Row],[Anggaran Murni]]-Sales[[#This Row],[Target s.d. Januari]])</f>
        <v/>
      </c>
      <c r="H1698" s="2" t="s">
        <v>114</v>
      </c>
      <c r="I1698" s="3" t="s">
        <v>3</v>
      </c>
      <c r="J1698" s="3">
        <v>40000000</v>
      </c>
      <c r="K1698" s="2" t="s">
        <v>25</v>
      </c>
      <c r="L1698" s="2" t="s">
        <v>2</v>
      </c>
      <c r="M1698" s="4" t="s">
        <v>67</v>
      </c>
      <c r="N1698" s="3" t="s">
        <v>82</v>
      </c>
      <c r="O1698" s="2" t="s">
        <v>13</v>
      </c>
      <c r="P1698" s="10"/>
      <c r="Q1698" s="11"/>
    </row>
    <row r="1699" spans="2:17" ht="21" customHeight="1" x14ac:dyDescent="0.35">
      <c r="B1699" s="18">
        <v>44029</v>
      </c>
      <c r="C1699" s="18" t="str">
        <f>TEXT(Sales[[#This Row],[Kode Program/Kegiatan ]],"D")</f>
        <v>17</v>
      </c>
      <c r="D1699" s="19" t="str">
        <f>TEXT(Sales[[#This Row],[Kode Program/Kegiatan ]],"mmm")</f>
        <v>Jul</v>
      </c>
      <c r="E1699" s="20">
        <v>10</v>
      </c>
      <c r="F1699" s="19">
        <v>10</v>
      </c>
      <c r="G1699" s="20" t="str">
        <f>IF(Sales[[#This Row],[Anggaran Murni]]-Sales[[#This Row],[Target s.d. Januari]]=0,"",Sales[[#This Row],[Anggaran Murni]]-Sales[[#This Row],[Target s.d. Januari]])</f>
        <v/>
      </c>
      <c r="H1699" s="19" t="s">
        <v>75</v>
      </c>
      <c r="I1699" s="20" t="s">
        <v>6</v>
      </c>
      <c r="J1699" s="20">
        <v>60000000</v>
      </c>
      <c r="K1699" s="19" t="s">
        <v>15</v>
      </c>
      <c r="L1699" s="19" t="s">
        <v>5</v>
      </c>
      <c r="M1699" s="21" t="s">
        <v>67</v>
      </c>
      <c r="N1699" s="20" t="s">
        <v>81</v>
      </c>
      <c r="O1699" s="19" t="s">
        <v>11</v>
      </c>
      <c r="P1699" s="10"/>
      <c r="Q1699" s="11"/>
    </row>
    <row r="1700" spans="2:17" ht="21" customHeight="1" x14ac:dyDescent="0.35">
      <c r="B1700" s="1">
        <v>44029</v>
      </c>
      <c r="C1700" s="1" t="str">
        <f>TEXT(Sales[[#This Row],[Kode Program/Kegiatan ]],"D")</f>
        <v>17</v>
      </c>
      <c r="D1700" s="2" t="str">
        <f>TEXT(Sales[[#This Row],[Kode Program/Kegiatan ]],"mmm")</f>
        <v>Jul</v>
      </c>
      <c r="E1700" s="3">
        <v>10</v>
      </c>
      <c r="F1700" s="2">
        <v>10</v>
      </c>
      <c r="G1700" s="3" t="str">
        <f>IF(Sales[[#This Row],[Anggaran Murni]]-Sales[[#This Row],[Target s.d. Januari]]=0,"",Sales[[#This Row],[Anggaran Murni]]-Sales[[#This Row],[Target s.d. Januari]])</f>
        <v/>
      </c>
      <c r="H1700" s="2" t="s">
        <v>74</v>
      </c>
      <c r="I1700" s="3" t="s">
        <v>77</v>
      </c>
      <c r="J1700" s="3">
        <v>40000000</v>
      </c>
      <c r="K1700" s="2" t="s">
        <v>31</v>
      </c>
      <c r="L1700" s="2" t="s">
        <v>2</v>
      </c>
      <c r="M1700" s="4" t="s">
        <v>67</v>
      </c>
      <c r="N1700" s="3" t="s">
        <v>80</v>
      </c>
      <c r="O1700" s="2" t="s">
        <v>11</v>
      </c>
      <c r="P1700" s="10"/>
      <c r="Q1700" s="11"/>
    </row>
    <row r="1701" spans="2:17" ht="21" customHeight="1" x14ac:dyDescent="0.35">
      <c r="B1701" s="18">
        <v>44029</v>
      </c>
      <c r="C1701" s="18" t="str">
        <f>TEXT(Sales[[#This Row],[Kode Program/Kegiatan ]],"D")</f>
        <v>17</v>
      </c>
      <c r="D1701" s="19" t="str">
        <f>TEXT(Sales[[#This Row],[Kode Program/Kegiatan ]],"mmm")</f>
        <v>Jul</v>
      </c>
      <c r="E1701" s="20">
        <v>10</v>
      </c>
      <c r="F1701" s="19">
        <v>10</v>
      </c>
      <c r="G1701" s="20" t="str">
        <f>IF(Sales[[#This Row],[Anggaran Murni]]-Sales[[#This Row],[Target s.d. Januari]]=0,"",Sales[[#This Row],[Anggaran Murni]]-Sales[[#This Row],[Target s.d. Januari]])</f>
        <v/>
      </c>
      <c r="H1701" s="19" t="s">
        <v>75</v>
      </c>
      <c r="I1701" s="20" t="s">
        <v>6</v>
      </c>
      <c r="J1701" s="20">
        <v>40000000</v>
      </c>
      <c r="K1701" s="19" t="s">
        <v>44</v>
      </c>
      <c r="L1701" s="19" t="s">
        <v>5</v>
      </c>
      <c r="M1701" s="21" t="s">
        <v>67</v>
      </c>
      <c r="N1701" s="20" t="s">
        <v>80</v>
      </c>
      <c r="O1701" s="19" t="s">
        <v>12</v>
      </c>
      <c r="P1701" s="10"/>
      <c r="Q1701" s="11"/>
    </row>
    <row r="1702" spans="2:17" ht="21" customHeight="1" x14ac:dyDescent="0.35">
      <c r="B1702" s="1">
        <v>44029</v>
      </c>
      <c r="C1702" s="1" t="str">
        <f>TEXT(Sales[[#This Row],[Kode Program/Kegiatan ]],"D")</f>
        <v>17</v>
      </c>
      <c r="D1702" s="2" t="str">
        <f>TEXT(Sales[[#This Row],[Kode Program/Kegiatan ]],"mmm")</f>
        <v>Jul</v>
      </c>
      <c r="E1702" s="3">
        <v>8</v>
      </c>
      <c r="F1702" s="2">
        <v>8</v>
      </c>
      <c r="G1702" s="3" t="str">
        <f>IF(Sales[[#This Row],[Anggaran Murni]]-Sales[[#This Row],[Target s.d. Januari]]=0,"",Sales[[#This Row],[Anggaran Murni]]-Sales[[#This Row],[Target s.d. Januari]])</f>
        <v/>
      </c>
      <c r="H1702" s="2" t="s">
        <v>72</v>
      </c>
      <c r="I1702" s="3" t="s">
        <v>78</v>
      </c>
      <c r="J1702" s="3">
        <v>120000000</v>
      </c>
      <c r="K1702" s="2" t="s">
        <v>18</v>
      </c>
      <c r="L1702" s="2" t="s">
        <v>5</v>
      </c>
      <c r="M1702" s="4" t="s">
        <v>67</v>
      </c>
      <c r="N1702" s="3" t="s">
        <v>80</v>
      </c>
      <c r="O1702" s="2" t="s">
        <v>13</v>
      </c>
      <c r="P1702" s="10"/>
      <c r="Q1702" s="11"/>
    </row>
    <row r="1703" spans="2:17" ht="21" customHeight="1" x14ac:dyDescent="0.35">
      <c r="B1703" s="18">
        <v>44029</v>
      </c>
      <c r="C1703" s="18" t="str">
        <f>TEXT(Sales[[#This Row],[Kode Program/Kegiatan ]],"D")</f>
        <v>17</v>
      </c>
      <c r="D1703" s="19" t="str">
        <f>TEXT(Sales[[#This Row],[Kode Program/Kegiatan ]],"mmm")</f>
        <v>Jul</v>
      </c>
      <c r="E1703" s="20">
        <v>8</v>
      </c>
      <c r="F1703" s="19">
        <v>8</v>
      </c>
      <c r="G1703" s="20" t="str">
        <f>IF(Sales[[#This Row],[Anggaran Murni]]-Sales[[#This Row],[Target s.d. Januari]]=0,"",Sales[[#This Row],[Anggaran Murni]]-Sales[[#This Row],[Target s.d. Januari]])</f>
        <v/>
      </c>
      <c r="H1703" s="19" t="s">
        <v>75</v>
      </c>
      <c r="I1703" s="20" t="s">
        <v>6</v>
      </c>
      <c r="J1703" s="20">
        <v>80000000</v>
      </c>
      <c r="K1703" s="19" t="s">
        <v>24</v>
      </c>
      <c r="L1703" s="19" t="s">
        <v>4</v>
      </c>
      <c r="M1703" s="21" t="s">
        <v>67</v>
      </c>
      <c r="N1703" s="20" t="s">
        <v>82</v>
      </c>
      <c r="O1703" s="19" t="s">
        <v>13</v>
      </c>
      <c r="P1703" s="10"/>
      <c r="Q1703" s="11"/>
    </row>
    <row r="1704" spans="2:17" ht="21" customHeight="1" x14ac:dyDescent="0.35">
      <c r="B1704" s="1">
        <v>44029</v>
      </c>
      <c r="C1704" s="1" t="str">
        <f>TEXT(Sales[[#This Row],[Kode Program/Kegiatan ]],"D")</f>
        <v>17</v>
      </c>
      <c r="D1704" s="2" t="str">
        <f>TEXT(Sales[[#This Row],[Kode Program/Kegiatan ]],"mmm")</f>
        <v>Jul</v>
      </c>
      <c r="E1704" s="3">
        <v>6</v>
      </c>
      <c r="F1704" s="2">
        <v>6</v>
      </c>
      <c r="G1704" s="3" t="str">
        <f>IF(Sales[[#This Row],[Anggaran Murni]]-Sales[[#This Row],[Target s.d. Januari]]=0,"",Sales[[#This Row],[Anggaran Murni]]-Sales[[#This Row],[Target s.d. Januari]])</f>
        <v/>
      </c>
      <c r="H1704" s="2" t="s">
        <v>76</v>
      </c>
      <c r="I1704" s="3" t="s">
        <v>79</v>
      </c>
      <c r="J1704" s="3">
        <v>80000000</v>
      </c>
      <c r="K1704" s="2" t="s">
        <v>34</v>
      </c>
      <c r="L1704" s="2" t="s">
        <v>8</v>
      </c>
      <c r="M1704" s="4" t="s">
        <v>67</v>
      </c>
      <c r="N1704" s="3" t="s">
        <v>81</v>
      </c>
      <c r="O1704" s="2" t="s">
        <v>12</v>
      </c>
      <c r="P1704" s="10"/>
      <c r="Q1704" s="11"/>
    </row>
    <row r="1705" spans="2:17" ht="21" customHeight="1" x14ac:dyDescent="0.35">
      <c r="B1705" s="18">
        <v>44029</v>
      </c>
      <c r="C1705" s="18" t="str">
        <f>TEXT(Sales[[#This Row],[Kode Program/Kegiatan ]],"D")</f>
        <v>17</v>
      </c>
      <c r="D1705" s="19" t="str">
        <f>TEXT(Sales[[#This Row],[Kode Program/Kegiatan ]],"mmm")</f>
        <v>Jul</v>
      </c>
      <c r="E1705" s="20">
        <v>6</v>
      </c>
      <c r="F1705" s="19">
        <v>6</v>
      </c>
      <c r="G1705" s="20" t="str">
        <f>IF(Sales[[#This Row],[Anggaran Murni]]-Sales[[#This Row],[Target s.d. Januari]]=0,"",Sales[[#This Row],[Anggaran Murni]]-Sales[[#This Row],[Target s.d. Januari]])</f>
        <v/>
      </c>
      <c r="H1705" s="19" t="s">
        <v>73</v>
      </c>
      <c r="I1705" s="20" t="s">
        <v>78</v>
      </c>
      <c r="J1705" s="20">
        <v>60000000</v>
      </c>
      <c r="K1705" s="19" t="s">
        <v>40</v>
      </c>
      <c r="L1705" s="19" t="s">
        <v>5</v>
      </c>
      <c r="M1705" s="21" t="s">
        <v>67</v>
      </c>
      <c r="N1705" s="20" t="s">
        <v>81</v>
      </c>
      <c r="O1705" s="19" t="s">
        <v>11</v>
      </c>
      <c r="P1705" s="10"/>
      <c r="Q1705" s="11"/>
    </row>
    <row r="1706" spans="2:17" ht="21" customHeight="1" x14ac:dyDescent="0.35">
      <c r="B1706" s="1">
        <v>44029</v>
      </c>
      <c r="C1706" s="1" t="str">
        <f>TEXT(Sales[[#This Row],[Kode Program/Kegiatan ]],"D")</f>
        <v>17</v>
      </c>
      <c r="D1706" s="2" t="str">
        <f>TEXT(Sales[[#This Row],[Kode Program/Kegiatan ]],"mmm")</f>
        <v>Jul</v>
      </c>
      <c r="E1706" s="3">
        <v>4</v>
      </c>
      <c r="F1706" s="2">
        <v>4</v>
      </c>
      <c r="G1706" s="3" t="str">
        <f>IF(Sales[[#This Row],[Anggaran Murni]]-Sales[[#This Row],[Target s.d. Januari]]=0,"",Sales[[#This Row],[Anggaran Murni]]-Sales[[#This Row],[Target s.d. Januari]])</f>
        <v/>
      </c>
      <c r="H1706" s="2" t="s">
        <v>72</v>
      </c>
      <c r="I1706" s="3" t="s">
        <v>78</v>
      </c>
      <c r="J1706" s="3">
        <v>100000000</v>
      </c>
      <c r="K1706" s="2" t="s">
        <v>28</v>
      </c>
      <c r="L1706" s="2" t="s">
        <v>5</v>
      </c>
      <c r="M1706" s="4" t="s">
        <v>67</v>
      </c>
      <c r="N1706" s="3" t="s">
        <v>80</v>
      </c>
      <c r="O1706" s="2" t="s">
        <v>11</v>
      </c>
      <c r="P1706" s="10"/>
      <c r="Q1706" s="11"/>
    </row>
    <row r="1707" spans="2:17" ht="21" customHeight="1" x14ac:dyDescent="0.35">
      <c r="B1707" s="18">
        <v>44029</v>
      </c>
      <c r="C1707" s="18" t="str">
        <f>TEXT(Sales[[#This Row],[Kode Program/Kegiatan ]],"D")</f>
        <v>17</v>
      </c>
      <c r="D1707" s="19" t="str">
        <f>TEXT(Sales[[#This Row],[Kode Program/Kegiatan ]],"mmm")</f>
        <v>Jul</v>
      </c>
      <c r="E1707" s="20">
        <v>4</v>
      </c>
      <c r="F1707" s="19">
        <v>4</v>
      </c>
      <c r="G1707" s="20" t="str">
        <f>IF(Sales[[#This Row],[Anggaran Murni]]-Sales[[#This Row],[Target s.d. Januari]]=0,"",Sales[[#This Row],[Anggaran Murni]]-Sales[[#This Row],[Target s.d. Januari]])</f>
        <v/>
      </c>
      <c r="H1707" s="19" t="s">
        <v>71</v>
      </c>
      <c r="I1707" s="20" t="s">
        <v>6</v>
      </c>
      <c r="J1707" s="20">
        <v>100000000</v>
      </c>
      <c r="K1707" s="19" t="s">
        <v>57</v>
      </c>
      <c r="L1707" s="19" t="s">
        <v>2</v>
      </c>
      <c r="M1707" s="21" t="s">
        <v>67</v>
      </c>
      <c r="N1707" s="20" t="s">
        <v>82</v>
      </c>
      <c r="O1707" s="19" t="s">
        <v>14</v>
      </c>
      <c r="P1707" s="10"/>
      <c r="Q1707" s="11"/>
    </row>
    <row r="1708" spans="2:17" ht="21" customHeight="1" x14ac:dyDescent="0.35">
      <c r="B1708" s="1">
        <v>44029</v>
      </c>
      <c r="C1708" s="1" t="str">
        <f>TEXT(Sales[[#This Row],[Kode Program/Kegiatan ]],"D")</f>
        <v>17</v>
      </c>
      <c r="D1708" s="2" t="str">
        <f>TEXT(Sales[[#This Row],[Kode Program/Kegiatan ]],"mmm")</f>
        <v>Jul</v>
      </c>
      <c r="E1708" s="3">
        <v>4</v>
      </c>
      <c r="F1708" s="2">
        <v>4</v>
      </c>
      <c r="G1708" s="3" t="str">
        <f>IF(Sales[[#This Row],[Anggaran Murni]]-Sales[[#This Row],[Target s.d. Januari]]=0,"",Sales[[#This Row],[Anggaran Murni]]-Sales[[#This Row],[Target s.d. Januari]])</f>
        <v/>
      </c>
      <c r="H1708" s="2" t="s">
        <v>76</v>
      </c>
      <c r="I1708" s="3" t="s">
        <v>79</v>
      </c>
      <c r="J1708" s="3">
        <v>120000000</v>
      </c>
      <c r="K1708" s="2" t="s">
        <v>45</v>
      </c>
      <c r="L1708" s="2" t="s">
        <v>2</v>
      </c>
      <c r="M1708" s="4" t="s">
        <v>67</v>
      </c>
      <c r="N1708" s="3" t="s">
        <v>81</v>
      </c>
      <c r="O1708" s="2" t="s">
        <v>14</v>
      </c>
      <c r="P1708" s="10"/>
      <c r="Q1708" s="11"/>
    </row>
    <row r="1709" spans="2:17" ht="21" customHeight="1" x14ac:dyDescent="0.35">
      <c r="B1709" s="18">
        <v>44029</v>
      </c>
      <c r="C1709" s="18" t="str">
        <f>TEXT(Sales[[#This Row],[Kode Program/Kegiatan ]],"D")</f>
        <v>17</v>
      </c>
      <c r="D1709" s="19" t="str">
        <f>TEXT(Sales[[#This Row],[Kode Program/Kegiatan ]],"mmm")</f>
        <v>Jul</v>
      </c>
      <c r="E1709" s="20">
        <v>4</v>
      </c>
      <c r="F1709" s="19">
        <v>4</v>
      </c>
      <c r="G1709" s="20" t="str">
        <f>IF(Sales[[#This Row],[Anggaran Murni]]-Sales[[#This Row],[Target s.d. Januari]]=0,"",Sales[[#This Row],[Anggaran Murni]]-Sales[[#This Row],[Target s.d. Januari]])</f>
        <v/>
      </c>
      <c r="H1709" s="19" t="s">
        <v>71</v>
      </c>
      <c r="I1709" s="20" t="s">
        <v>6</v>
      </c>
      <c r="J1709" s="20">
        <v>40000000</v>
      </c>
      <c r="K1709" s="19" t="s">
        <v>23</v>
      </c>
      <c r="L1709" s="19" t="s">
        <v>2</v>
      </c>
      <c r="M1709" s="21" t="s">
        <v>67</v>
      </c>
      <c r="N1709" s="20" t="s">
        <v>81</v>
      </c>
      <c r="O1709" s="19" t="s">
        <v>12</v>
      </c>
      <c r="P1709" s="10"/>
      <c r="Q1709" s="11"/>
    </row>
    <row r="1710" spans="2:17" ht="21" customHeight="1" x14ac:dyDescent="0.35">
      <c r="B1710" s="1">
        <v>44029</v>
      </c>
      <c r="C1710" s="1" t="str">
        <f>TEXT(Sales[[#This Row],[Kode Program/Kegiatan ]],"D")</f>
        <v>17</v>
      </c>
      <c r="D1710" s="2" t="str">
        <f>TEXT(Sales[[#This Row],[Kode Program/Kegiatan ]],"mmm")</f>
        <v>Jul</v>
      </c>
      <c r="E1710" s="3">
        <v>3</v>
      </c>
      <c r="F1710" s="2">
        <v>3</v>
      </c>
      <c r="G1710" s="3" t="str">
        <f>IF(Sales[[#This Row],[Anggaran Murni]]-Sales[[#This Row],[Target s.d. Januari]]=0,"",Sales[[#This Row],[Anggaran Murni]]-Sales[[#This Row],[Target s.d. Januari]])</f>
        <v/>
      </c>
      <c r="H1710" s="2" t="s">
        <v>75</v>
      </c>
      <c r="I1710" s="3" t="s">
        <v>6</v>
      </c>
      <c r="J1710" s="3">
        <v>40000000</v>
      </c>
      <c r="K1710" s="2" t="s">
        <v>27</v>
      </c>
      <c r="L1710" s="2" t="s">
        <v>5</v>
      </c>
      <c r="M1710" s="4" t="s">
        <v>67</v>
      </c>
      <c r="N1710" s="3" t="s">
        <v>82</v>
      </c>
      <c r="O1710" s="2" t="s">
        <v>12</v>
      </c>
      <c r="P1710" s="10"/>
      <c r="Q1710" s="11"/>
    </row>
    <row r="1711" spans="2:17" ht="21" customHeight="1" x14ac:dyDescent="0.35">
      <c r="B1711" s="18">
        <v>44030</v>
      </c>
      <c r="C1711" s="18" t="str">
        <f>TEXT(Sales[[#This Row],[Kode Program/Kegiatan ]],"D")</f>
        <v>18</v>
      </c>
      <c r="D1711" s="19" t="str">
        <f>TEXT(Sales[[#This Row],[Kode Program/Kegiatan ]],"mmm")</f>
        <v>Jul</v>
      </c>
      <c r="E1711" s="20">
        <v>10</v>
      </c>
      <c r="F1711" s="19">
        <v>10</v>
      </c>
      <c r="G1711" s="20" t="str">
        <f>IF(Sales[[#This Row],[Anggaran Murni]]-Sales[[#This Row],[Target s.d. Januari]]=0,"",Sales[[#This Row],[Anggaran Murni]]-Sales[[#This Row],[Target s.d. Januari]])</f>
        <v/>
      </c>
      <c r="H1711" s="19" t="s">
        <v>72</v>
      </c>
      <c r="I1711" s="20" t="s">
        <v>78</v>
      </c>
      <c r="J1711" s="20">
        <v>120000000</v>
      </c>
      <c r="K1711" s="19" t="s">
        <v>31</v>
      </c>
      <c r="L1711" s="19" t="s">
        <v>9</v>
      </c>
      <c r="M1711" s="21" t="s">
        <v>67</v>
      </c>
      <c r="N1711" s="20" t="s">
        <v>80</v>
      </c>
      <c r="O1711" s="19" t="s">
        <v>12</v>
      </c>
      <c r="P1711" s="10"/>
      <c r="Q1711" s="11"/>
    </row>
    <row r="1712" spans="2:17" ht="21" customHeight="1" x14ac:dyDescent="0.35">
      <c r="B1712" s="1">
        <v>44030</v>
      </c>
      <c r="C1712" s="1" t="str">
        <f>TEXT(Sales[[#This Row],[Kode Program/Kegiatan ]],"D")</f>
        <v>18</v>
      </c>
      <c r="D1712" s="2" t="str">
        <f>TEXT(Sales[[#This Row],[Kode Program/Kegiatan ]],"mmm")</f>
        <v>Jul</v>
      </c>
      <c r="E1712" s="3">
        <v>10</v>
      </c>
      <c r="F1712" s="2">
        <v>10</v>
      </c>
      <c r="G1712" s="3" t="str">
        <f>IF(Sales[[#This Row],[Anggaran Murni]]-Sales[[#This Row],[Target s.d. Januari]]=0,"",Sales[[#This Row],[Anggaran Murni]]-Sales[[#This Row],[Target s.d. Januari]])</f>
        <v/>
      </c>
      <c r="H1712" s="2" t="s">
        <v>75</v>
      </c>
      <c r="I1712" s="3" t="s">
        <v>6</v>
      </c>
      <c r="J1712" s="3">
        <v>120000000</v>
      </c>
      <c r="K1712" s="2" t="s">
        <v>16</v>
      </c>
      <c r="L1712" s="2" t="s">
        <v>5</v>
      </c>
      <c r="M1712" s="4" t="s">
        <v>67</v>
      </c>
      <c r="N1712" s="3" t="s">
        <v>82</v>
      </c>
      <c r="O1712" s="2" t="s">
        <v>13</v>
      </c>
      <c r="P1712" s="10"/>
      <c r="Q1712" s="11"/>
    </row>
    <row r="1713" spans="2:17" ht="21" customHeight="1" x14ac:dyDescent="0.35">
      <c r="B1713" s="18">
        <v>44030</v>
      </c>
      <c r="C1713" s="18" t="str">
        <f>TEXT(Sales[[#This Row],[Kode Program/Kegiatan ]],"D")</f>
        <v>18</v>
      </c>
      <c r="D1713" s="19" t="str">
        <f>TEXT(Sales[[#This Row],[Kode Program/Kegiatan ]],"mmm")</f>
        <v>Jul</v>
      </c>
      <c r="E1713" s="20">
        <v>10</v>
      </c>
      <c r="F1713" s="19">
        <v>10</v>
      </c>
      <c r="G1713" s="20" t="str">
        <f>IF(Sales[[#This Row],[Anggaran Murni]]-Sales[[#This Row],[Target s.d. Januari]]=0,"",Sales[[#This Row],[Anggaran Murni]]-Sales[[#This Row],[Target s.d. Januari]])</f>
        <v/>
      </c>
      <c r="H1713" s="19" t="s">
        <v>114</v>
      </c>
      <c r="I1713" s="20" t="s">
        <v>3</v>
      </c>
      <c r="J1713" s="20">
        <v>60000000</v>
      </c>
      <c r="K1713" s="19" t="s">
        <v>30</v>
      </c>
      <c r="L1713" s="19" t="s">
        <v>2</v>
      </c>
      <c r="M1713" s="21" t="s">
        <v>67</v>
      </c>
      <c r="N1713" s="20" t="s">
        <v>82</v>
      </c>
      <c r="O1713" s="19" t="s">
        <v>12</v>
      </c>
      <c r="P1713" s="10"/>
      <c r="Q1713" s="11"/>
    </row>
    <row r="1714" spans="2:17" ht="21" customHeight="1" x14ac:dyDescent="0.35">
      <c r="B1714" s="1">
        <v>44030</v>
      </c>
      <c r="C1714" s="1" t="str">
        <f>TEXT(Sales[[#This Row],[Kode Program/Kegiatan ]],"D")</f>
        <v>18</v>
      </c>
      <c r="D1714" s="2" t="str">
        <f>TEXT(Sales[[#This Row],[Kode Program/Kegiatan ]],"mmm")</f>
        <v>Jul</v>
      </c>
      <c r="E1714" s="3">
        <v>9</v>
      </c>
      <c r="F1714" s="2">
        <v>9</v>
      </c>
      <c r="G1714" s="3" t="str">
        <f>IF(Sales[[#This Row],[Anggaran Murni]]-Sales[[#This Row],[Target s.d. Januari]]=0,"",Sales[[#This Row],[Anggaran Murni]]-Sales[[#This Row],[Target s.d. Januari]])</f>
        <v/>
      </c>
      <c r="H1714" s="2" t="s">
        <v>70</v>
      </c>
      <c r="I1714" s="3" t="s">
        <v>1</v>
      </c>
      <c r="J1714" s="3">
        <v>60000000</v>
      </c>
      <c r="K1714" s="2" t="s">
        <v>50</v>
      </c>
      <c r="L1714" s="2" t="s">
        <v>9</v>
      </c>
      <c r="M1714" s="4" t="s">
        <v>67</v>
      </c>
      <c r="N1714" s="3" t="s">
        <v>81</v>
      </c>
      <c r="O1714" s="2" t="s">
        <v>13</v>
      </c>
      <c r="P1714" s="10"/>
      <c r="Q1714" s="11"/>
    </row>
    <row r="1715" spans="2:17" ht="21" customHeight="1" x14ac:dyDescent="0.35">
      <c r="B1715" s="18">
        <v>44030</v>
      </c>
      <c r="C1715" s="18" t="str">
        <f>TEXT(Sales[[#This Row],[Kode Program/Kegiatan ]],"D")</f>
        <v>18</v>
      </c>
      <c r="D1715" s="19" t="str">
        <f>TEXT(Sales[[#This Row],[Kode Program/Kegiatan ]],"mmm")</f>
        <v>Jul</v>
      </c>
      <c r="E1715" s="20">
        <v>9</v>
      </c>
      <c r="F1715" s="19">
        <v>9</v>
      </c>
      <c r="G1715" s="20" t="str">
        <f>IF(Sales[[#This Row],[Anggaran Murni]]-Sales[[#This Row],[Target s.d. Januari]]=0,"",Sales[[#This Row],[Anggaran Murni]]-Sales[[#This Row],[Target s.d. Januari]])</f>
        <v/>
      </c>
      <c r="H1715" s="19" t="s">
        <v>114</v>
      </c>
      <c r="I1715" s="20" t="s">
        <v>3</v>
      </c>
      <c r="J1715" s="20">
        <v>80000000</v>
      </c>
      <c r="K1715" s="19" t="s">
        <v>49</v>
      </c>
      <c r="L1715" s="19" t="s">
        <v>2</v>
      </c>
      <c r="M1715" s="21" t="s">
        <v>67</v>
      </c>
      <c r="N1715" s="20" t="s">
        <v>82</v>
      </c>
      <c r="O1715" s="19" t="s">
        <v>12</v>
      </c>
      <c r="P1715" s="10"/>
      <c r="Q1715" s="11"/>
    </row>
    <row r="1716" spans="2:17" ht="21" customHeight="1" x14ac:dyDescent="0.35">
      <c r="B1716" s="1">
        <v>44030</v>
      </c>
      <c r="C1716" s="1" t="str">
        <f>TEXT(Sales[[#This Row],[Kode Program/Kegiatan ]],"D")</f>
        <v>18</v>
      </c>
      <c r="D1716" s="2" t="str">
        <f>TEXT(Sales[[#This Row],[Kode Program/Kegiatan ]],"mmm")</f>
        <v>Jul</v>
      </c>
      <c r="E1716" s="3">
        <v>8</v>
      </c>
      <c r="F1716" s="2">
        <v>8</v>
      </c>
      <c r="G1716" s="3" t="str">
        <f>IF(Sales[[#This Row],[Anggaran Murni]]-Sales[[#This Row],[Target s.d. Januari]]=0,"",Sales[[#This Row],[Anggaran Murni]]-Sales[[#This Row],[Target s.d. Januari]])</f>
        <v/>
      </c>
      <c r="H1716" s="2" t="s">
        <v>76</v>
      </c>
      <c r="I1716" s="3" t="s">
        <v>79</v>
      </c>
      <c r="J1716" s="3">
        <v>40000000</v>
      </c>
      <c r="K1716" s="2" t="s">
        <v>52</v>
      </c>
      <c r="L1716" s="2" t="s">
        <v>2</v>
      </c>
      <c r="M1716" s="4" t="s">
        <v>67</v>
      </c>
      <c r="N1716" s="3" t="s">
        <v>82</v>
      </c>
      <c r="O1716" s="2" t="s">
        <v>12</v>
      </c>
      <c r="P1716" s="10"/>
      <c r="Q1716" s="11"/>
    </row>
    <row r="1717" spans="2:17" ht="21" customHeight="1" x14ac:dyDescent="0.35">
      <c r="B1717" s="18">
        <v>44030</v>
      </c>
      <c r="C1717" s="18" t="str">
        <f>TEXT(Sales[[#This Row],[Kode Program/Kegiatan ]],"D")</f>
        <v>18</v>
      </c>
      <c r="D1717" s="19" t="str">
        <f>TEXT(Sales[[#This Row],[Kode Program/Kegiatan ]],"mmm")</f>
        <v>Jul</v>
      </c>
      <c r="E1717" s="20">
        <v>7</v>
      </c>
      <c r="F1717" s="19">
        <v>7</v>
      </c>
      <c r="G1717" s="20" t="str">
        <f>IF(Sales[[#This Row],[Anggaran Murni]]-Sales[[#This Row],[Target s.d. Januari]]=0,"",Sales[[#This Row],[Anggaran Murni]]-Sales[[#This Row],[Target s.d. Januari]])</f>
        <v/>
      </c>
      <c r="H1717" s="19" t="s">
        <v>74</v>
      </c>
      <c r="I1717" s="20" t="s">
        <v>77</v>
      </c>
      <c r="J1717" s="20">
        <v>140000000</v>
      </c>
      <c r="K1717" s="19" t="s">
        <v>29</v>
      </c>
      <c r="L1717" s="19" t="s">
        <v>4</v>
      </c>
      <c r="M1717" s="21" t="s">
        <v>67</v>
      </c>
      <c r="N1717" s="20" t="s">
        <v>82</v>
      </c>
      <c r="O1717" s="19" t="s">
        <v>12</v>
      </c>
      <c r="P1717" s="10"/>
      <c r="Q1717" s="11"/>
    </row>
    <row r="1718" spans="2:17" ht="21" customHeight="1" x14ac:dyDescent="0.35">
      <c r="B1718" s="1">
        <v>44030</v>
      </c>
      <c r="C1718" s="1" t="str">
        <f>TEXT(Sales[[#This Row],[Kode Program/Kegiatan ]],"D")</f>
        <v>18</v>
      </c>
      <c r="D1718" s="2" t="str">
        <f>TEXT(Sales[[#This Row],[Kode Program/Kegiatan ]],"mmm")</f>
        <v>Jul</v>
      </c>
      <c r="E1718" s="3">
        <v>7</v>
      </c>
      <c r="F1718" s="2">
        <v>7</v>
      </c>
      <c r="G1718" s="3" t="str">
        <f>IF(Sales[[#This Row],[Anggaran Murni]]-Sales[[#This Row],[Target s.d. Januari]]=0,"",Sales[[#This Row],[Anggaran Murni]]-Sales[[#This Row],[Target s.d. Januari]])</f>
        <v/>
      </c>
      <c r="H1718" s="2" t="s">
        <v>113</v>
      </c>
      <c r="I1718" s="3" t="s">
        <v>77</v>
      </c>
      <c r="J1718" s="3">
        <v>100000000</v>
      </c>
      <c r="K1718" s="2" t="s">
        <v>42</v>
      </c>
      <c r="L1718" s="2" t="s">
        <v>2</v>
      </c>
      <c r="M1718" s="4" t="s">
        <v>67</v>
      </c>
      <c r="N1718" s="3" t="s">
        <v>80</v>
      </c>
      <c r="O1718" s="2" t="s">
        <v>12</v>
      </c>
      <c r="P1718" s="10"/>
      <c r="Q1718" s="11"/>
    </row>
    <row r="1719" spans="2:17" ht="21" customHeight="1" x14ac:dyDescent="0.35">
      <c r="B1719" s="18">
        <v>44030</v>
      </c>
      <c r="C1719" s="18" t="str">
        <f>TEXT(Sales[[#This Row],[Kode Program/Kegiatan ]],"D")</f>
        <v>18</v>
      </c>
      <c r="D1719" s="19" t="str">
        <f>TEXT(Sales[[#This Row],[Kode Program/Kegiatan ]],"mmm")</f>
        <v>Jul</v>
      </c>
      <c r="E1719" s="20">
        <v>6</v>
      </c>
      <c r="F1719" s="19">
        <v>6</v>
      </c>
      <c r="G1719" s="20" t="str">
        <f>IF(Sales[[#This Row],[Anggaran Murni]]-Sales[[#This Row],[Target s.d. Januari]]=0,"",Sales[[#This Row],[Anggaran Murni]]-Sales[[#This Row],[Target s.d. Januari]])</f>
        <v/>
      </c>
      <c r="H1719" s="19" t="s">
        <v>72</v>
      </c>
      <c r="I1719" s="20" t="s">
        <v>78</v>
      </c>
      <c r="J1719" s="20">
        <v>120000000</v>
      </c>
      <c r="K1719" s="19" t="s">
        <v>46</v>
      </c>
      <c r="L1719" s="19" t="s">
        <v>9</v>
      </c>
      <c r="M1719" s="21" t="s">
        <v>67</v>
      </c>
      <c r="N1719" s="20" t="s">
        <v>82</v>
      </c>
      <c r="O1719" s="19" t="s">
        <v>14</v>
      </c>
      <c r="P1719" s="10"/>
      <c r="Q1719" s="11"/>
    </row>
    <row r="1720" spans="2:17" ht="21" customHeight="1" x14ac:dyDescent="0.35">
      <c r="B1720" s="1">
        <v>44030</v>
      </c>
      <c r="C1720" s="1" t="str">
        <f>TEXT(Sales[[#This Row],[Kode Program/Kegiatan ]],"D")</f>
        <v>18</v>
      </c>
      <c r="D1720" s="2" t="str">
        <f>TEXT(Sales[[#This Row],[Kode Program/Kegiatan ]],"mmm")</f>
        <v>Jul</v>
      </c>
      <c r="E1720" s="3">
        <v>5</v>
      </c>
      <c r="F1720" s="2">
        <v>5</v>
      </c>
      <c r="G1720" s="3" t="str">
        <f>IF(Sales[[#This Row],[Anggaran Murni]]-Sales[[#This Row],[Target s.d. Januari]]=0,"",Sales[[#This Row],[Anggaran Murni]]-Sales[[#This Row],[Target s.d. Januari]])</f>
        <v/>
      </c>
      <c r="H1720" s="2" t="s">
        <v>113</v>
      </c>
      <c r="I1720" s="3" t="s">
        <v>77</v>
      </c>
      <c r="J1720" s="3">
        <v>80000000</v>
      </c>
      <c r="K1720" s="2" t="s">
        <v>20</v>
      </c>
      <c r="L1720" s="2" t="s">
        <v>2</v>
      </c>
      <c r="M1720" s="4" t="s">
        <v>67</v>
      </c>
      <c r="N1720" s="3" t="s">
        <v>82</v>
      </c>
      <c r="O1720" s="2" t="s">
        <v>11</v>
      </c>
      <c r="P1720" s="10"/>
      <c r="Q1720" s="11"/>
    </row>
    <row r="1721" spans="2:17" ht="21" customHeight="1" x14ac:dyDescent="0.35">
      <c r="B1721" s="18">
        <v>44030</v>
      </c>
      <c r="C1721" s="18" t="str">
        <f>TEXT(Sales[[#This Row],[Kode Program/Kegiatan ]],"D")</f>
        <v>18</v>
      </c>
      <c r="D1721" s="19" t="str">
        <f>TEXT(Sales[[#This Row],[Kode Program/Kegiatan ]],"mmm")</f>
        <v>Jul</v>
      </c>
      <c r="E1721" s="20">
        <v>5</v>
      </c>
      <c r="F1721" s="19">
        <v>5</v>
      </c>
      <c r="G1721" s="20" t="str">
        <f>IF(Sales[[#This Row],[Anggaran Murni]]-Sales[[#This Row],[Target s.d. Januari]]=0,"",Sales[[#This Row],[Anggaran Murni]]-Sales[[#This Row],[Target s.d. Januari]])</f>
        <v/>
      </c>
      <c r="H1721" s="19" t="s">
        <v>73</v>
      </c>
      <c r="I1721" s="20" t="s">
        <v>78</v>
      </c>
      <c r="J1721" s="20">
        <v>100000000</v>
      </c>
      <c r="K1721" s="19" t="s">
        <v>29</v>
      </c>
      <c r="L1721" s="19" t="s">
        <v>5</v>
      </c>
      <c r="M1721" s="21" t="s">
        <v>67</v>
      </c>
      <c r="N1721" s="20" t="s">
        <v>82</v>
      </c>
      <c r="O1721" s="19" t="s">
        <v>12</v>
      </c>
      <c r="P1721" s="10"/>
      <c r="Q1721" s="11"/>
    </row>
    <row r="1722" spans="2:17" ht="21" customHeight="1" x14ac:dyDescent="0.35">
      <c r="B1722" s="1">
        <v>44030</v>
      </c>
      <c r="C1722" s="1" t="str">
        <f>TEXT(Sales[[#This Row],[Kode Program/Kegiatan ]],"D")</f>
        <v>18</v>
      </c>
      <c r="D1722" s="2" t="str">
        <f>TEXT(Sales[[#This Row],[Kode Program/Kegiatan ]],"mmm")</f>
        <v>Jul</v>
      </c>
      <c r="E1722" s="3">
        <v>3</v>
      </c>
      <c r="F1722" s="2">
        <v>3</v>
      </c>
      <c r="G1722" s="3" t="str">
        <f>IF(Sales[[#This Row],[Anggaran Murni]]-Sales[[#This Row],[Target s.d. Januari]]=0,"",Sales[[#This Row],[Anggaran Murni]]-Sales[[#This Row],[Target s.d. Januari]])</f>
        <v/>
      </c>
      <c r="H1722" s="2" t="s">
        <v>76</v>
      </c>
      <c r="I1722" s="3" t="s">
        <v>79</v>
      </c>
      <c r="J1722" s="3">
        <v>40000000</v>
      </c>
      <c r="K1722" s="2" t="s">
        <v>61</v>
      </c>
      <c r="L1722" s="2" t="s">
        <v>8</v>
      </c>
      <c r="M1722" s="4" t="s">
        <v>67</v>
      </c>
      <c r="N1722" s="3" t="s">
        <v>82</v>
      </c>
      <c r="O1722" s="2" t="s">
        <v>13</v>
      </c>
      <c r="P1722" s="10"/>
      <c r="Q1722" s="11"/>
    </row>
    <row r="1723" spans="2:17" ht="21" customHeight="1" x14ac:dyDescent="0.35">
      <c r="B1723" s="18">
        <v>44031</v>
      </c>
      <c r="C1723" s="18" t="str">
        <f>TEXT(Sales[[#This Row],[Kode Program/Kegiatan ]],"D")</f>
        <v>19</v>
      </c>
      <c r="D1723" s="19" t="str">
        <f>TEXT(Sales[[#This Row],[Kode Program/Kegiatan ]],"mmm")</f>
        <v>Jul</v>
      </c>
      <c r="E1723" s="20">
        <v>10</v>
      </c>
      <c r="F1723" s="19">
        <v>10</v>
      </c>
      <c r="G1723" s="20" t="str">
        <f>IF(Sales[[#This Row],[Anggaran Murni]]-Sales[[#This Row],[Target s.d. Januari]]=0,"",Sales[[#This Row],[Anggaran Murni]]-Sales[[#This Row],[Target s.d. Januari]])</f>
        <v/>
      </c>
      <c r="H1723" s="19" t="s">
        <v>113</v>
      </c>
      <c r="I1723" s="20" t="s">
        <v>77</v>
      </c>
      <c r="J1723" s="20">
        <v>140000000</v>
      </c>
      <c r="K1723" s="19" t="s">
        <v>48</v>
      </c>
      <c r="L1723" s="19" t="s">
        <v>5</v>
      </c>
      <c r="M1723" s="21" t="s">
        <v>67</v>
      </c>
      <c r="N1723" s="20" t="s">
        <v>80</v>
      </c>
      <c r="O1723" s="19" t="s">
        <v>14</v>
      </c>
      <c r="P1723" s="10"/>
      <c r="Q1723" s="11"/>
    </row>
    <row r="1724" spans="2:17" ht="21" customHeight="1" x14ac:dyDescent="0.35">
      <c r="B1724" s="1">
        <v>44031</v>
      </c>
      <c r="C1724" s="1" t="str">
        <f>TEXT(Sales[[#This Row],[Kode Program/Kegiatan ]],"D")</f>
        <v>19</v>
      </c>
      <c r="D1724" s="2" t="str">
        <f>TEXT(Sales[[#This Row],[Kode Program/Kegiatan ]],"mmm")</f>
        <v>Jul</v>
      </c>
      <c r="E1724" s="3">
        <v>10</v>
      </c>
      <c r="F1724" s="2">
        <v>10</v>
      </c>
      <c r="G1724" s="3" t="str">
        <f>IF(Sales[[#This Row],[Anggaran Murni]]-Sales[[#This Row],[Target s.d. Januari]]=0,"",Sales[[#This Row],[Anggaran Murni]]-Sales[[#This Row],[Target s.d. Januari]])</f>
        <v/>
      </c>
      <c r="H1724" s="2" t="s">
        <v>114</v>
      </c>
      <c r="I1724" s="3" t="s">
        <v>3</v>
      </c>
      <c r="J1724" s="3">
        <v>120000000</v>
      </c>
      <c r="K1724" s="2" t="s">
        <v>36</v>
      </c>
      <c r="L1724" s="2" t="s">
        <v>2</v>
      </c>
      <c r="M1724" s="4" t="s">
        <v>67</v>
      </c>
      <c r="N1724" s="3" t="s">
        <v>81</v>
      </c>
      <c r="O1724" s="2" t="s">
        <v>13</v>
      </c>
      <c r="P1724" s="10"/>
      <c r="Q1724" s="11"/>
    </row>
    <row r="1725" spans="2:17" ht="21" customHeight="1" x14ac:dyDescent="0.35">
      <c r="B1725" s="18">
        <v>44031</v>
      </c>
      <c r="C1725" s="18" t="str">
        <f>TEXT(Sales[[#This Row],[Kode Program/Kegiatan ]],"D")</f>
        <v>19</v>
      </c>
      <c r="D1725" s="19" t="str">
        <f>TEXT(Sales[[#This Row],[Kode Program/Kegiatan ]],"mmm")</f>
        <v>Jul</v>
      </c>
      <c r="E1725" s="20">
        <v>9</v>
      </c>
      <c r="F1725" s="19">
        <v>9</v>
      </c>
      <c r="G1725" s="20" t="str">
        <f>IF(Sales[[#This Row],[Anggaran Murni]]-Sales[[#This Row],[Target s.d. Januari]]=0,"",Sales[[#This Row],[Anggaran Murni]]-Sales[[#This Row],[Target s.d. Januari]])</f>
        <v/>
      </c>
      <c r="H1725" s="19" t="s">
        <v>113</v>
      </c>
      <c r="I1725" s="20" t="s">
        <v>77</v>
      </c>
      <c r="J1725" s="20">
        <v>60000000</v>
      </c>
      <c r="K1725" s="19" t="s">
        <v>63</v>
      </c>
      <c r="L1725" s="19" t="s">
        <v>5</v>
      </c>
      <c r="M1725" s="21" t="s">
        <v>67</v>
      </c>
      <c r="N1725" s="20" t="s">
        <v>80</v>
      </c>
      <c r="O1725" s="19" t="s">
        <v>13</v>
      </c>
      <c r="P1725" s="10"/>
      <c r="Q1725" s="11"/>
    </row>
    <row r="1726" spans="2:17" ht="21" customHeight="1" x14ac:dyDescent="0.35">
      <c r="B1726" s="1">
        <v>44031</v>
      </c>
      <c r="C1726" s="1" t="str">
        <f>TEXT(Sales[[#This Row],[Kode Program/Kegiatan ]],"D")</f>
        <v>19</v>
      </c>
      <c r="D1726" s="2" t="str">
        <f>TEXT(Sales[[#This Row],[Kode Program/Kegiatan ]],"mmm")</f>
        <v>Jul</v>
      </c>
      <c r="E1726" s="3">
        <v>8</v>
      </c>
      <c r="F1726" s="2">
        <v>8</v>
      </c>
      <c r="G1726" s="3" t="str">
        <f>IF(Sales[[#This Row],[Anggaran Murni]]-Sales[[#This Row],[Target s.d. Januari]]=0,"",Sales[[#This Row],[Anggaran Murni]]-Sales[[#This Row],[Target s.d. Januari]])</f>
        <v/>
      </c>
      <c r="H1726" s="2" t="s">
        <v>70</v>
      </c>
      <c r="I1726" s="3" t="s">
        <v>1</v>
      </c>
      <c r="J1726" s="3">
        <v>120000000</v>
      </c>
      <c r="K1726" s="2" t="s">
        <v>62</v>
      </c>
      <c r="L1726" s="2" t="s">
        <v>7</v>
      </c>
      <c r="M1726" s="4" t="s">
        <v>67</v>
      </c>
      <c r="N1726" s="3" t="s">
        <v>80</v>
      </c>
      <c r="O1726" s="2" t="s">
        <v>12</v>
      </c>
      <c r="P1726" s="10"/>
      <c r="Q1726" s="11"/>
    </row>
    <row r="1727" spans="2:17" ht="21" customHeight="1" x14ac:dyDescent="0.35">
      <c r="B1727" s="18">
        <v>44031</v>
      </c>
      <c r="C1727" s="18" t="str">
        <f>TEXT(Sales[[#This Row],[Kode Program/Kegiatan ]],"D")</f>
        <v>19</v>
      </c>
      <c r="D1727" s="19" t="str">
        <f>TEXT(Sales[[#This Row],[Kode Program/Kegiatan ]],"mmm")</f>
        <v>Jul</v>
      </c>
      <c r="E1727" s="20">
        <v>8</v>
      </c>
      <c r="F1727" s="19">
        <v>8</v>
      </c>
      <c r="G1727" s="20" t="str">
        <f>IF(Sales[[#This Row],[Anggaran Murni]]-Sales[[#This Row],[Target s.d. Januari]]=0,"",Sales[[#This Row],[Anggaran Murni]]-Sales[[#This Row],[Target s.d. Januari]])</f>
        <v/>
      </c>
      <c r="H1727" s="19" t="s">
        <v>73</v>
      </c>
      <c r="I1727" s="20" t="s">
        <v>78</v>
      </c>
      <c r="J1727" s="20">
        <v>100000000</v>
      </c>
      <c r="K1727" s="19" t="s">
        <v>40</v>
      </c>
      <c r="L1727" s="19" t="s">
        <v>2</v>
      </c>
      <c r="M1727" s="21" t="s">
        <v>67</v>
      </c>
      <c r="N1727" s="20" t="s">
        <v>80</v>
      </c>
      <c r="O1727" s="19" t="s">
        <v>14</v>
      </c>
      <c r="P1727" s="10"/>
      <c r="Q1727" s="11"/>
    </row>
    <row r="1728" spans="2:17" ht="21" customHeight="1" x14ac:dyDescent="0.35">
      <c r="B1728" s="1">
        <v>44031</v>
      </c>
      <c r="C1728" s="1" t="str">
        <f>TEXT(Sales[[#This Row],[Kode Program/Kegiatan ]],"D")</f>
        <v>19</v>
      </c>
      <c r="D1728" s="2" t="str">
        <f>TEXT(Sales[[#This Row],[Kode Program/Kegiatan ]],"mmm")</f>
        <v>Jul</v>
      </c>
      <c r="E1728" s="3">
        <v>7</v>
      </c>
      <c r="F1728" s="2">
        <v>7</v>
      </c>
      <c r="G1728" s="3" t="str">
        <f>IF(Sales[[#This Row],[Anggaran Murni]]-Sales[[#This Row],[Target s.d. Januari]]=0,"",Sales[[#This Row],[Anggaran Murni]]-Sales[[#This Row],[Target s.d. Januari]])</f>
        <v/>
      </c>
      <c r="H1728" s="2" t="s">
        <v>71</v>
      </c>
      <c r="I1728" s="3" t="s">
        <v>6</v>
      </c>
      <c r="J1728" s="3">
        <v>140000000</v>
      </c>
      <c r="K1728" s="2" t="s">
        <v>46</v>
      </c>
      <c r="L1728" s="2" t="s">
        <v>2</v>
      </c>
      <c r="M1728" s="4" t="s">
        <v>67</v>
      </c>
      <c r="N1728" s="3" t="s">
        <v>81</v>
      </c>
      <c r="O1728" s="2" t="s">
        <v>11</v>
      </c>
      <c r="P1728" s="10"/>
      <c r="Q1728" s="11"/>
    </row>
    <row r="1729" spans="2:17" ht="21" customHeight="1" x14ac:dyDescent="0.35">
      <c r="B1729" s="18">
        <v>44031</v>
      </c>
      <c r="C1729" s="18" t="str">
        <f>TEXT(Sales[[#This Row],[Kode Program/Kegiatan ]],"D")</f>
        <v>19</v>
      </c>
      <c r="D1729" s="19" t="str">
        <f>TEXT(Sales[[#This Row],[Kode Program/Kegiatan ]],"mmm")</f>
        <v>Jul</v>
      </c>
      <c r="E1729" s="20">
        <v>7</v>
      </c>
      <c r="F1729" s="19">
        <v>7</v>
      </c>
      <c r="G1729" s="20" t="str">
        <f>IF(Sales[[#This Row],[Anggaran Murni]]-Sales[[#This Row],[Target s.d. Januari]]=0,"",Sales[[#This Row],[Anggaran Murni]]-Sales[[#This Row],[Target s.d. Januari]])</f>
        <v/>
      </c>
      <c r="H1729" s="19" t="s">
        <v>75</v>
      </c>
      <c r="I1729" s="20" t="s">
        <v>6</v>
      </c>
      <c r="J1729" s="20">
        <v>120000000</v>
      </c>
      <c r="K1729" s="19" t="s">
        <v>43</v>
      </c>
      <c r="L1729" s="19" t="s">
        <v>2</v>
      </c>
      <c r="M1729" s="21" t="s">
        <v>67</v>
      </c>
      <c r="N1729" s="20" t="s">
        <v>81</v>
      </c>
      <c r="O1729" s="19" t="s">
        <v>12</v>
      </c>
      <c r="P1729" s="10"/>
      <c r="Q1729" s="11"/>
    </row>
    <row r="1730" spans="2:17" ht="21" customHeight="1" x14ac:dyDescent="0.35">
      <c r="B1730" s="1">
        <v>44031</v>
      </c>
      <c r="C1730" s="1" t="str">
        <f>TEXT(Sales[[#This Row],[Kode Program/Kegiatan ]],"D")</f>
        <v>19</v>
      </c>
      <c r="D1730" s="2" t="str">
        <f>TEXT(Sales[[#This Row],[Kode Program/Kegiatan ]],"mmm")</f>
        <v>Jul</v>
      </c>
      <c r="E1730" s="3">
        <v>5</v>
      </c>
      <c r="F1730" s="2">
        <v>5</v>
      </c>
      <c r="G1730" s="3" t="str">
        <f>IF(Sales[[#This Row],[Anggaran Murni]]-Sales[[#This Row],[Target s.d. Januari]]=0,"",Sales[[#This Row],[Anggaran Murni]]-Sales[[#This Row],[Target s.d. Januari]])</f>
        <v/>
      </c>
      <c r="H1730" s="2" t="s">
        <v>73</v>
      </c>
      <c r="I1730" s="3" t="s">
        <v>78</v>
      </c>
      <c r="J1730" s="3">
        <v>80000000</v>
      </c>
      <c r="K1730" s="2" t="s">
        <v>42</v>
      </c>
      <c r="L1730" s="2" t="s">
        <v>5</v>
      </c>
      <c r="M1730" s="4" t="s">
        <v>67</v>
      </c>
      <c r="N1730" s="3" t="s">
        <v>81</v>
      </c>
      <c r="O1730" s="2" t="s">
        <v>14</v>
      </c>
      <c r="P1730" s="10"/>
      <c r="Q1730" s="11"/>
    </row>
    <row r="1731" spans="2:17" ht="21" customHeight="1" x14ac:dyDescent="0.35">
      <c r="B1731" s="18">
        <v>44031</v>
      </c>
      <c r="C1731" s="18" t="str">
        <f>TEXT(Sales[[#This Row],[Kode Program/Kegiatan ]],"D")</f>
        <v>19</v>
      </c>
      <c r="D1731" s="19" t="str">
        <f>TEXT(Sales[[#This Row],[Kode Program/Kegiatan ]],"mmm")</f>
        <v>Jul</v>
      </c>
      <c r="E1731" s="20">
        <v>5</v>
      </c>
      <c r="F1731" s="19">
        <v>5</v>
      </c>
      <c r="G1731" s="20" t="str">
        <f>IF(Sales[[#This Row],[Anggaran Murni]]-Sales[[#This Row],[Target s.d. Januari]]=0,"",Sales[[#This Row],[Anggaran Murni]]-Sales[[#This Row],[Target s.d. Januari]])</f>
        <v/>
      </c>
      <c r="H1731" s="19" t="s">
        <v>73</v>
      </c>
      <c r="I1731" s="20" t="s">
        <v>78</v>
      </c>
      <c r="J1731" s="20">
        <v>40000000</v>
      </c>
      <c r="K1731" s="19" t="s">
        <v>60</v>
      </c>
      <c r="L1731" s="19" t="s">
        <v>5</v>
      </c>
      <c r="M1731" s="21" t="s">
        <v>67</v>
      </c>
      <c r="N1731" s="20" t="s">
        <v>80</v>
      </c>
      <c r="O1731" s="19" t="s">
        <v>14</v>
      </c>
      <c r="P1731" s="10"/>
      <c r="Q1731" s="11"/>
    </row>
    <row r="1732" spans="2:17" ht="21" customHeight="1" x14ac:dyDescent="0.35">
      <c r="B1732" s="1">
        <v>44031</v>
      </c>
      <c r="C1732" s="1" t="str">
        <f>TEXT(Sales[[#This Row],[Kode Program/Kegiatan ]],"D")</f>
        <v>19</v>
      </c>
      <c r="D1732" s="2" t="str">
        <f>TEXT(Sales[[#This Row],[Kode Program/Kegiatan ]],"mmm")</f>
        <v>Jul</v>
      </c>
      <c r="E1732" s="3">
        <v>5</v>
      </c>
      <c r="F1732" s="2">
        <v>5</v>
      </c>
      <c r="G1732" s="3" t="str">
        <f>IF(Sales[[#This Row],[Anggaran Murni]]-Sales[[#This Row],[Target s.d. Januari]]=0,"",Sales[[#This Row],[Anggaran Murni]]-Sales[[#This Row],[Target s.d. Januari]])</f>
        <v/>
      </c>
      <c r="H1732" s="2" t="s">
        <v>113</v>
      </c>
      <c r="I1732" s="3" t="s">
        <v>77</v>
      </c>
      <c r="J1732" s="3">
        <v>40000000</v>
      </c>
      <c r="K1732" s="2" t="s">
        <v>53</v>
      </c>
      <c r="L1732" s="2" t="s">
        <v>5</v>
      </c>
      <c r="M1732" s="4" t="s">
        <v>67</v>
      </c>
      <c r="N1732" s="3" t="s">
        <v>80</v>
      </c>
      <c r="O1732" s="2" t="s">
        <v>13</v>
      </c>
      <c r="P1732" s="10"/>
      <c r="Q1732" s="11"/>
    </row>
    <row r="1733" spans="2:17" ht="21" customHeight="1" x14ac:dyDescent="0.35">
      <c r="B1733" s="18">
        <v>44031</v>
      </c>
      <c r="C1733" s="18" t="str">
        <f>TEXT(Sales[[#This Row],[Kode Program/Kegiatan ]],"D")</f>
        <v>19</v>
      </c>
      <c r="D1733" s="19" t="str">
        <f>TEXT(Sales[[#This Row],[Kode Program/Kegiatan ]],"mmm")</f>
        <v>Jul</v>
      </c>
      <c r="E1733" s="20">
        <v>4</v>
      </c>
      <c r="F1733" s="19">
        <v>4</v>
      </c>
      <c r="G1733" s="20" t="str">
        <f>IF(Sales[[#This Row],[Anggaran Murni]]-Sales[[#This Row],[Target s.d. Januari]]=0,"",Sales[[#This Row],[Anggaran Murni]]-Sales[[#This Row],[Target s.d. Januari]])</f>
        <v/>
      </c>
      <c r="H1733" s="19" t="s">
        <v>70</v>
      </c>
      <c r="I1733" s="20" t="s">
        <v>1</v>
      </c>
      <c r="J1733" s="20">
        <v>80000000</v>
      </c>
      <c r="K1733" s="19" t="s">
        <v>48</v>
      </c>
      <c r="L1733" s="19" t="s">
        <v>7</v>
      </c>
      <c r="M1733" s="21" t="s">
        <v>67</v>
      </c>
      <c r="N1733" s="20" t="s">
        <v>80</v>
      </c>
      <c r="O1733" s="19" t="s">
        <v>12</v>
      </c>
      <c r="P1733" s="10"/>
      <c r="Q1733" s="11"/>
    </row>
    <row r="1734" spans="2:17" ht="21" customHeight="1" x14ac:dyDescent="0.35">
      <c r="B1734" s="1">
        <v>44031</v>
      </c>
      <c r="C1734" s="1" t="str">
        <f>TEXT(Sales[[#This Row],[Kode Program/Kegiatan ]],"D")</f>
        <v>19</v>
      </c>
      <c r="D1734" s="2" t="str">
        <f>TEXT(Sales[[#This Row],[Kode Program/Kegiatan ]],"mmm")</f>
        <v>Jul</v>
      </c>
      <c r="E1734" s="3">
        <v>4</v>
      </c>
      <c r="F1734" s="2">
        <v>4</v>
      </c>
      <c r="G1734" s="3" t="str">
        <f>IF(Sales[[#This Row],[Anggaran Murni]]-Sales[[#This Row],[Target s.d. Januari]]=0,"",Sales[[#This Row],[Anggaran Murni]]-Sales[[#This Row],[Target s.d. Januari]])</f>
        <v/>
      </c>
      <c r="H1734" s="2" t="s">
        <v>114</v>
      </c>
      <c r="I1734" s="3" t="s">
        <v>3</v>
      </c>
      <c r="J1734" s="3">
        <v>140000000</v>
      </c>
      <c r="K1734" s="2" t="s">
        <v>42</v>
      </c>
      <c r="L1734" s="2" t="s">
        <v>2</v>
      </c>
      <c r="M1734" s="4" t="s">
        <v>67</v>
      </c>
      <c r="N1734" s="3" t="s">
        <v>82</v>
      </c>
      <c r="O1734" s="2" t="s">
        <v>14</v>
      </c>
      <c r="P1734" s="10"/>
      <c r="Q1734" s="11"/>
    </row>
    <row r="1735" spans="2:17" ht="21" customHeight="1" x14ac:dyDescent="0.35">
      <c r="B1735" s="18">
        <v>44031</v>
      </c>
      <c r="C1735" s="18" t="str">
        <f>TEXT(Sales[[#This Row],[Kode Program/Kegiatan ]],"D")</f>
        <v>19</v>
      </c>
      <c r="D1735" s="19" t="str">
        <f>TEXT(Sales[[#This Row],[Kode Program/Kegiatan ]],"mmm")</f>
        <v>Jul</v>
      </c>
      <c r="E1735" s="20">
        <v>3</v>
      </c>
      <c r="F1735" s="19">
        <v>3</v>
      </c>
      <c r="G1735" s="20" t="str">
        <f>IF(Sales[[#This Row],[Anggaran Murni]]-Sales[[#This Row],[Target s.d. Januari]]=0,"",Sales[[#This Row],[Anggaran Murni]]-Sales[[#This Row],[Target s.d. Januari]])</f>
        <v/>
      </c>
      <c r="H1735" s="19" t="s">
        <v>75</v>
      </c>
      <c r="I1735" s="20" t="s">
        <v>6</v>
      </c>
      <c r="J1735" s="20">
        <v>100000000</v>
      </c>
      <c r="K1735" s="19" t="s">
        <v>23</v>
      </c>
      <c r="L1735" s="19" t="s">
        <v>2</v>
      </c>
      <c r="M1735" s="21" t="s">
        <v>67</v>
      </c>
      <c r="N1735" s="20" t="s">
        <v>82</v>
      </c>
      <c r="O1735" s="19" t="s">
        <v>13</v>
      </c>
      <c r="P1735" s="10"/>
      <c r="Q1735" s="11"/>
    </row>
    <row r="1736" spans="2:17" ht="21" customHeight="1" x14ac:dyDescent="0.35">
      <c r="B1736" s="1">
        <v>44031</v>
      </c>
      <c r="C1736" s="1" t="str">
        <f>TEXT(Sales[[#This Row],[Kode Program/Kegiatan ]],"D")</f>
        <v>19</v>
      </c>
      <c r="D1736" s="2" t="str">
        <f>TEXT(Sales[[#This Row],[Kode Program/Kegiatan ]],"mmm")</f>
        <v>Jul</v>
      </c>
      <c r="E1736" s="3">
        <v>3</v>
      </c>
      <c r="F1736" s="2">
        <v>3</v>
      </c>
      <c r="G1736" s="3" t="str">
        <f>IF(Sales[[#This Row],[Anggaran Murni]]-Sales[[#This Row],[Target s.d. Januari]]=0,"",Sales[[#This Row],[Anggaran Murni]]-Sales[[#This Row],[Target s.d. Januari]])</f>
        <v/>
      </c>
      <c r="H1736" s="2" t="s">
        <v>70</v>
      </c>
      <c r="I1736" s="3" t="s">
        <v>1</v>
      </c>
      <c r="J1736" s="3">
        <v>120000000</v>
      </c>
      <c r="K1736" s="2" t="s">
        <v>18</v>
      </c>
      <c r="L1736" s="2" t="s">
        <v>2</v>
      </c>
      <c r="M1736" s="4" t="s">
        <v>67</v>
      </c>
      <c r="N1736" s="3" t="s">
        <v>80</v>
      </c>
      <c r="O1736" s="2" t="s">
        <v>11</v>
      </c>
      <c r="P1736" s="10"/>
      <c r="Q1736" s="11"/>
    </row>
    <row r="1737" spans="2:17" ht="21" customHeight="1" x14ac:dyDescent="0.35">
      <c r="B1737" s="18">
        <v>44032</v>
      </c>
      <c r="C1737" s="18" t="str">
        <f>TEXT(Sales[[#This Row],[Kode Program/Kegiatan ]],"D")</f>
        <v>20</v>
      </c>
      <c r="D1737" s="19" t="str">
        <f>TEXT(Sales[[#This Row],[Kode Program/Kegiatan ]],"mmm")</f>
        <v>Jul</v>
      </c>
      <c r="E1737" s="20">
        <v>10</v>
      </c>
      <c r="F1737" s="19">
        <v>10</v>
      </c>
      <c r="G1737" s="20" t="str">
        <f>IF(Sales[[#This Row],[Anggaran Murni]]-Sales[[#This Row],[Target s.d. Januari]]=0,"",Sales[[#This Row],[Anggaran Murni]]-Sales[[#This Row],[Target s.d. Januari]])</f>
        <v/>
      </c>
      <c r="H1737" s="19" t="s">
        <v>114</v>
      </c>
      <c r="I1737" s="20" t="s">
        <v>3</v>
      </c>
      <c r="J1737" s="20">
        <v>40000000</v>
      </c>
      <c r="K1737" s="19" t="s">
        <v>61</v>
      </c>
      <c r="L1737" s="19" t="s">
        <v>2</v>
      </c>
      <c r="M1737" s="21" t="s">
        <v>67</v>
      </c>
      <c r="N1737" s="20" t="s">
        <v>80</v>
      </c>
      <c r="O1737" s="19" t="s">
        <v>14</v>
      </c>
      <c r="P1737" s="10"/>
      <c r="Q1737" s="11"/>
    </row>
    <row r="1738" spans="2:17" ht="21" customHeight="1" x14ac:dyDescent="0.35">
      <c r="B1738" s="1">
        <v>44032</v>
      </c>
      <c r="C1738" s="1" t="str">
        <f>TEXT(Sales[[#This Row],[Kode Program/Kegiatan ]],"D")</f>
        <v>20</v>
      </c>
      <c r="D1738" s="2" t="str">
        <f>TEXT(Sales[[#This Row],[Kode Program/Kegiatan ]],"mmm")</f>
        <v>Jul</v>
      </c>
      <c r="E1738" s="3">
        <v>8</v>
      </c>
      <c r="F1738" s="2">
        <v>8</v>
      </c>
      <c r="G1738" s="3" t="str">
        <f>IF(Sales[[#This Row],[Anggaran Murni]]-Sales[[#This Row],[Target s.d. Januari]]=0,"",Sales[[#This Row],[Anggaran Murni]]-Sales[[#This Row],[Target s.d. Januari]])</f>
        <v/>
      </c>
      <c r="H1738" s="2" t="s">
        <v>74</v>
      </c>
      <c r="I1738" s="3" t="s">
        <v>77</v>
      </c>
      <c r="J1738" s="3">
        <v>140000000</v>
      </c>
      <c r="K1738" s="2" t="s">
        <v>35</v>
      </c>
      <c r="L1738" s="2" t="s">
        <v>5</v>
      </c>
      <c r="M1738" s="4" t="s">
        <v>67</v>
      </c>
      <c r="N1738" s="3" t="s">
        <v>82</v>
      </c>
      <c r="O1738" s="2" t="s">
        <v>12</v>
      </c>
      <c r="P1738" s="10"/>
      <c r="Q1738" s="11"/>
    </row>
    <row r="1739" spans="2:17" ht="21" customHeight="1" x14ac:dyDescent="0.35">
      <c r="B1739" s="18">
        <v>44032</v>
      </c>
      <c r="C1739" s="18" t="str">
        <f>TEXT(Sales[[#This Row],[Kode Program/Kegiatan ]],"D")</f>
        <v>20</v>
      </c>
      <c r="D1739" s="19" t="str">
        <f>TEXT(Sales[[#This Row],[Kode Program/Kegiatan ]],"mmm")</f>
        <v>Jul</v>
      </c>
      <c r="E1739" s="20">
        <v>8</v>
      </c>
      <c r="F1739" s="19">
        <v>8</v>
      </c>
      <c r="G1739" s="20" t="str">
        <f>IF(Sales[[#This Row],[Anggaran Murni]]-Sales[[#This Row],[Target s.d. Januari]]=0,"",Sales[[#This Row],[Anggaran Murni]]-Sales[[#This Row],[Target s.d. Januari]])</f>
        <v/>
      </c>
      <c r="H1739" s="19" t="s">
        <v>71</v>
      </c>
      <c r="I1739" s="20" t="s">
        <v>6</v>
      </c>
      <c r="J1739" s="20">
        <v>80000000</v>
      </c>
      <c r="K1739" s="19" t="s">
        <v>30</v>
      </c>
      <c r="L1739" s="19" t="s">
        <v>7</v>
      </c>
      <c r="M1739" s="21" t="s">
        <v>67</v>
      </c>
      <c r="N1739" s="20" t="s">
        <v>82</v>
      </c>
      <c r="O1739" s="19" t="s">
        <v>13</v>
      </c>
      <c r="P1739" s="10"/>
      <c r="Q1739" s="11"/>
    </row>
    <row r="1740" spans="2:17" ht="21" customHeight="1" x14ac:dyDescent="0.35">
      <c r="B1740" s="1">
        <v>44032</v>
      </c>
      <c r="C1740" s="1" t="str">
        <f>TEXT(Sales[[#This Row],[Kode Program/Kegiatan ]],"D")</f>
        <v>20</v>
      </c>
      <c r="D1740" s="2" t="str">
        <f>TEXT(Sales[[#This Row],[Kode Program/Kegiatan ]],"mmm")</f>
        <v>Jul</v>
      </c>
      <c r="E1740" s="3">
        <v>8</v>
      </c>
      <c r="F1740" s="2">
        <v>8</v>
      </c>
      <c r="G1740" s="3" t="str">
        <f>IF(Sales[[#This Row],[Anggaran Murni]]-Sales[[#This Row],[Target s.d. Januari]]=0,"",Sales[[#This Row],[Anggaran Murni]]-Sales[[#This Row],[Target s.d. Januari]])</f>
        <v/>
      </c>
      <c r="H1740" s="2" t="s">
        <v>74</v>
      </c>
      <c r="I1740" s="3" t="s">
        <v>77</v>
      </c>
      <c r="J1740" s="3">
        <v>40000000</v>
      </c>
      <c r="K1740" s="2" t="s">
        <v>35</v>
      </c>
      <c r="L1740" s="2" t="s">
        <v>2</v>
      </c>
      <c r="M1740" s="4" t="s">
        <v>67</v>
      </c>
      <c r="N1740" s="3" t="s">
        <v>81</v>
      </c>
      <c r="O1740" s="2" t="s">
        <v>13</v>
      </c>
      <c r="P1740" s="10"/>
      <c r="Q1740" s="11"/>
    </row>
    <row r="1741" spans="2:17" ht="21" customHeight="1" x14ac:dyDescent="0.35">
      <c r="B1741" s="18">
        <v>44032</v>
      </c>
      <c r="C1741" s="18" t="str">
        <f>TEXT(Sales[[#This Row],[Kode Program/Kegiatan ]],"D")</f>
        <v>20</v>
      </c>
      <c r="D1741" s="19" t="str">
        <f>TEXT(Sales[[#This Row],[Kode Program/Kegiatan ]],"mmm")</f>
        <v>Jul</v>
      </c>
      <c r="E1741" s="20">
        <v>6</v>
      </c>
      <c r="F1741" s="19">
        <v>6</v>
      </c>
      <c r="G1741" s="20" t="str">
        <f>IF(Sales[[#This Row],[Anggaran Murni]]-Sales[[#This Row],[Target s.d. Januari]]=0,"",Sales[[#This Row],[Anggaran Murni]]-Sales[[#This Row],[Target s.d. Januari]])</f>
        <v/>
      </c>
      <c r="H1741" s="19" t="s">
        <v>71</v>
      </c>
      <c r="I1741" s="20" t="s">
        <v>6</v>
      </c>
      <c r="J1741" s="20">
        <v>100000000</v>
      </c>
      <c r="K1741" s="19" t="s">
        <v>40</v>
      </c>
      <c r="L1741" s="19" t="s">
        <v>2</v>
      </c>
      <c r="M1741" s="21" t="s">
        <v>67</v>
      </c>
      <c r="N1741" s="20" t="s">
        <v>82</v>
      </c>
      <c r="O1741" s="19" t="s">
        <v>14</v>
      </c>
      <c r="P1741" s="10"/>
      <c r="Q1741" s="11"/>
    </row>
    <row r="1742" spans="2:17" ht="21" customHeight="1" x14ac:dyDescent="0.35">
      <c r="B1742" s="1">
        <v>44032</v>
      </c>
      <c r="C1742" s="1" t="str">
        <f>TEXT(Sales[[#This Row],[Kode Program/Kegiatan ]],"D")</f>
        <v>20</v>
      </c>
      <c r="D1742" s="2" t="str">
        <f>TEXT(Sales[[#This Row],[Kode Program/Kegiatan ]],"mmm")</f>
        <v>Jul</v>
      </c>
      <c r="E1742" s="3">
        <v>6</v>
      </c>
      <c r="F1742" s="2">
        <v>6</v>
      </c>
      <c r="G1742" s="3" t="str">
        <f>IF(Sales[[#This Row],[Anggaran Murni]]-Sales[[#This Row],[Target s.d. Januari]]=0,"",Sales[[#This Row],[Anggaran Murni]]-Sales[[#This Row],[Target s.d. Januari]])</f>
        <v/>
      </c>
      <c r="H1742" s="2" t="s">
        <v>73</v>
      </c>
      <c r="I1742" s="3" t="s">
        <v>78</v>
      </c>
      <c r="J1742" s="3">
        <v>140000000</v>
      </c>
      <c r="K1742" s="2" t="s">
        <v>56</v>
      </c>
      <c r="L1742" s="2" t="s">
        <v>5</v>
      </c>
      <c r="M1742" s="4" t="s">
        <v>67</v>
      </c>
      <c r="N1742" s="3" t="s">
        <v>80</v>
      </c>
      <c r="O1742" s="2" t="s">
        <v>11</v>
      </c>
      <c r="P1742" s="10"/>
      <c r="Q1742" s="11"/>
    </row>
    <row r="1743" spans="2:17" ht="21" customHeight="1" x14ac:dyDescent="0.35">
      <c r="B1743" s="18">
        <v>44032</v>
      </c>
      <c r="C1743" s="18" t="str">
        <f>TEXT(Sales[[#This Row],[Kode Program/Kegiatan ]],"D")</f>
        <v>20</v>
      </c>
      <c r="D1743" s="19" t="str">
        <f>TEXT(Sales[[#This Row],[Kode Program/Kegiatan ]],"mmm")</f>
        <v>Jul</v>
      </c>
      <c r="E1743" s="20">
        <v>5</v>
      </c>
      <c r="F1743" s="19">
        <v>5</v>
      </c>
      <c r="G1743" s="20" t="str">
        <f>IF(Sales[[#This Row],[Anggaran Murni]]-Sales[[#This Row],[Target s.d. Januari]]=0,"",Sales[[#This Row],[Anggaran Murni]]-Sales[[#This Row],[Target s.d. Januari]])</f>
        <v/>
      </c>
      <c r="H1743" s="19" t="s">
        <v>74</v>
      </c>
      <c r="I1743" s="20" t="s">
        <v>77</v>
      </c>
      <c r="J1743" s="20">
        <v>100000000</v>
      </c>
      <c r="K1743" s="19" t="s">
        <v>58</v>
      </c>
      <c r="L1743" s="19" t="s">
        <v>2</v>
      </c>
      <c r="M1743" s="21" t="s">
        <v>67</v>
      </c>
      <c r="N1743" s="20" t="s">
        <v>82</v>
      </c>
      <c r="O1743" s="19" t="s">
        <v>12</v>
      </c>
      <c r="P1743" s="10"/>
      <c r="Q1743" s="11"/>
    </row>
    <row r="1744" spans="2:17" ht="21" customHeight="1" x14ac:dyDescent="0.35">
      <c r="B1744" s="1">
        <v>44032</v>
      </c>
      <c r="C1744" s="1" t="str">
        <f>TEXT(Sales[[#This Row],[Kode Program/Kegiatan ]],"D")</f>
        <v>20</v>
      </c>
      <c r="D1744" s="2" t="str">
        <f>TEXT(Sales[[#This Row],[Kode Program/Kegiatan ]],"mmm")</f>
        <v>Jul</v>
      </c>
      <c r="E1744" s="3">
        <v>3</v>
      </c>
      <c r="F1744" s="2">
        <v>3</v>
      </c>
      <c r="G1744" s="3" t="str">
        <f>IF(Sales[[#This Row],[Anggaran Murni]]-Sales[[#This Row],[Target s.d. Januari]]=0,"",Sales[[#This Row],[Anggaran Murni]]-Sales[[#This Row],[Target s.d. Januari]])</f>
        <v/>
      </c>
      <c r="H1744" s="2" t="s">
        <v>73</v>
      </c>
      <c r="I1744" s="3" t="s">
        <v>78</v>
      </c>
      <c r="J1744" s="3">
        <v>60000000</v>
      </c>
      <c r="K1744" s="2" t="s">
        <v>59</v>
      </c>
      <c r="L1744" s="2" t="s">
        <v>4</v>
      </c>
      <c r="M1744" s="4" t="s">
        <v>67</v>
      </c>
      <c r="N1744" s="3" t="s">
        <v>81</v>
      </c>
      <c r="O1744" s="2" t="s">
        <v>12</v>
      </c>
      <c r="P1744" s="10"/>
      <c r="Q1744" s="11"/>
    </row>
    <row r="1745" spans="2:17" ht="21" customHeight="1" x14ac:dyDescent="0.35">
      <c r="B1745" s="18">
        <v>44033</v>
      </c>
      <c r="C1745" s="18" t="str">
        <f>TEXT(Sales[[#This Row],[Kode Program/Kegiatan ]],"D")</f>
        <v>21</v>
      </c>
      <c r="D1745" s="19" t="str">
        <f>TEXT(Sales[[#This Row],[Kode Program/Kegiatan ]],"mmm")</f>
        <v>Jul</v>
      </c>
      <c r="E1745" s="20">
        <v>9</v>
      </c>
      <c r="F1745" s="19">
        <v>9</v>
      </c>
      <c r="G1745" s="20" t="str">
        <f>IF(Sales[[#This Row],[Anggaran Murni]]-Sales[[#This Row],[Target s.d. Januari]]=0,"",Sales[[#This Row],[Anggaran Murni]]-Sales[[#This Row],[Target s.d. Januari]])</f>
        <v/>
      </c>
      <c r="H1745" s="19" t="s">
        <v>73</v>
      </c>
      <c r="I1745" s="20" t="s">
        <v>78</v>
      </c>
      <c r="J1745" s="20">
        <v>100000000</v>
      </c>
      <c r="K1745" s="19" t="s">
        <v>40</v>
      </c>
      <c r="L1745" s="19" t="s">
        <v>7</v>
      </c>
      <c r="M1745" s="21" t="s">
        <v>67</v>
      </c>
      <c r="N1745" s="20" t="s">
        <v>82</v>
      </c>
      <c r="O1745" s="19" t="s">
        <v>13</v>
      </c>
      <c r="P1745" s="10"/>
      <c r="Q1745" s="11"/>
    </row>
    <row r="1746" spans="2:17" ht="21" customHeight="1" x14ac:dyDescent="0.35">
      <c r="B1746" s="1">
        <v>44033</v>
      </c>
      <c r="C1746" s="1" t="str">
        <f>TEXT(Sales[[#This Row],[Kode Program/Kegiatan ]],"D")</f>
        <v>21</v>
      </c>
      <c r="D1746" s="2" t="str">
        <f>TEXT(Sales[[#This Row],[Kode Program/Kegiatan ]],"mmm")</f>
        <v>Jul</v>
      </c>
      <c r="E1746" s="3">
        <v>9</v>
      </c>
      <c r="F1746" s="2">
        <v>9</v>
      </c>
      <c r="G1746" s="3" t="str">
        <f>IF(Sales[[#This Row],[Anggaran Murni]]-Sales[[#This Row],[Target s.d. Januari]]=0,"",Sales[[#This Row],[Anggaran Murni]]-Sales[[#This Row],[Target s.d. Januari]])</f>
        <v/>
      </c>
      <c r="H1746" s="2" t="s">
        <v>76</v>
      </c>
      <c r="I1746" s="3" t="s">
        <v>79</v>
      </c>
      <c r="J1746" s="3">
        <v>60000000</v>
      </c>
      <c r="K1746" s="2" t="s">
        <v>59</v>
      </c>
      <c r="L1746" s="2" t="s">
        <v>2</v>
      </c>
      <c r="M1746" s="4" t="s">
        <v>67</v>
      </c>
      <c r="N1746" s="3" t="s">
        <v>80</v>
      </c>
      <c r="O1746" s="2" t="s">
        <v>12</v>
      </c>
      <c r="P1746" s="10"/>
      <c r="Q1746" s="11"/>
    </row>
    <row r="1747" spans="2:17" ht="21" customHeight="1" x14ac:dyDescent="0.35">
      <c r="B1747" s="18">
        <v>44033</v>
      </c>
      <c r="C1747" s="18" t="str">
        <f>TEXT(Sales[[#This Row],[Kode Program/Kegiatan ]],"D")</f>
        <v>21</v>
      </c>
      <c r="D1747" s="19" t="str">
        <f>TEXT(Sales[[#This Row],[Kode Program/Kegiatan ]],"mmm")</f>
        <v>Jul</v>
      </c>
      <c r="E1747" s="20">
        <v>9</v>
      </c>
      <c r="F1747" s="19">
        <v>9</v>
      </c>
      <c r="G1747" s="20" t="str">
        <f>IF(Sales[[#This Row],[Anggaran Murni]]-Sales[[#This Row],[Target s.d. Januari]]=0,"",Sales[[#This Row],[Anggaran Murni]]-Sales[[#This Row],[Target s.d. Januari]])</f>
        <v/>
      </c>
      <c r="H1747" s="19" t="s">
        <v>114</v>
      </c>
      <c r="I1747" s="20" t="s">
        <v>3</v>
      </c>
      <c r="J1747" s="20">
        <v>120000000</v>
      </c>
      <c r="K1747" s="19" t="s">
        <v>49</v>
      </c>
      <c r="L1747" s="19" t="s">
        <v>2</v>
      </c>
      <c r="M1747" s="21" t="s">
        <v>67</v>
      </c>
      <c r="N1747" s="20" t="s">
        <v>80</v>
      </c>
      <c r="O1747" s="19" t="s">
        <v>14</v>
      </c>
      <c r="P1747" s="10"/>
      <c r="Q1747" s="11"/>
    </row>
    <row r="1748" spans="2:17" ht="21" customHeight="1" x14ac:dyDescent="0.35">
      <c r="B1748" s="1">
        <v>44033</v>
      </c>
      <c r="C1748" s="1" t="str">
        <f>TEXT(Sales[[#This Row],[Kode Program/Kegiatan ]],"D")</f>
        <v>21</v>
      </c>
      <c r="D1748" s="2" t="str">
        <f>TEXT(Sales[[#This Row],[Kode Program/Kegiatan ]],"mmm")</f>
        <v>Jul</v>
      </c>
      <c r="E1748" s="3">
        <v>8</v>
      </c>
      <c r="F1748" s="2">
        <v>8</v>
      </c>
      <c r="G1748" s="3" t="str">
        <f>IF(Sales[[#This Row],[Anggaran Murni]]-Sales[[#This Row],[Target s.d. Januari]]=0,"",Sales[[#This Row],[Anggaran Murni]]-Sales[[#This Row],[Target s.d. Januari]])</f>
        <v/>
      </c>
      <c r="H1748" s="2" t="s">
        <v>113</v>
      </c>
      <c r="I1748" s="3" t="s">
        <v>77</v>
      </c>
      <c r="J1748" s="3">
        <v>40000000</v>
      </c>
      <c r="K1748" s="2" t="s">
        <v>51</v>
      </c>
      <c r="L1748" s="2" t="s">
        <v>5</v>
      </c>
      <c r="M1748" s="4" t="s">
        <v>67</v>
      </c>
      <c r="N1748" s="3" t="s">
        <v>80</v>
      </c>
      <c r="O1748" s="2" t="s">
        <v>12</v>
      </c>
      <c r="P1748" s="10"/>
      <c r="Q1748" s="11"/>
    </row>
    <row r="1749" spans="2:17" ht="21" customHeight="1" x14ac:dyDescent="0.35">
      <c r="B1749" s="18">
        <v>44033</v>
      </c>
      <c r="C1749" s="18" t="str">
        <f>TEXT(Sales[[#This Row],[Kode Program/Kegiatan ]],"D")</f>
        <v>21</v>
      </c>
      <c r="D1749" s="19" t="str">
        <f>TEXT(Sales[[#This Row],[Kode Program/Kegiatan ]],"mmm")</f>
        <v>Jul</v>
      </c>
      <c r="E1749" s="20">
        <v>7</v>
      </c>
      <c r="F1749" s="19">
        <v>7</v>
      </c>
      <c r="G1749" s="20" t="str">
        <f>IF(Sales[[#This Row],[Anggaran Murni]]-Sales[[#This Row],[Target s.d. Januari]]=0,"",Sales[[#This Row],[Anggaran Murni]]-Sales[[#This Row],[Target s.d. Januari]])</f>
        <v/>
      </c>
      <c r="H1749" s="19" t="s">
        <v>76</v>
      </c>
      <c r="I1749" s="20" t="s">
        <v>79</v>
      </c>
      <c r="J1749" s="20">
        <v>40000000</v>
      </c>
      <c r="K1749" s="19" t="s">
        <v>17</v>
      </c>
      <c r="L1749" s="19" t="s">
        <v>8</v>
      </c>
      <c r="M1749" s="21" t="s">
        <v>67</v>
      </c>
      <c r="N1749" s="20" t="s">
        <v>80</v>
      </c>
      <c r="O1749" s="19" t="s">
        <v>11</v>
      </c>
      <c r="P1749" s="10"/>
      <c r="Q1749" s="11"/>
    </row>
    <row r="1750" spans="2:17" ht="21" customHeight="1" x14ac:dyDescent="0.35">
      <c r="B1750" s="1">
        <v>44033</v>
      </c>
      <c r="C1750" s="1" t="str">
        <f>TEXT(Sales[[#This Row],[Kode Program/Kegiatan ]],"D")</f>
        <v>21</v>
      </c>
      <c r="D1750" s="2" t="str">
        <f>TEXT(Sales[[#This Row],[Kode Program/Kegiatan ]],"mmm")</f>
        <v>Jul</v>
      </c>
      <c r="E1750" s="3">
        <v>6</v>
      </c>
      <c r="F1750" s="2">
        <v>6</v>
      </c>
      <c r="G1750" s="3" t="str">
        <f>IF(Sales[[#This Row],[Anggaran Murni]]-Sales[[#This Row],[Target s.d. Januari]]=0,"",Sales[[#This Row],[Anggaran Murni]]-Sales[[#This Row],[Target s.d. Januari]])</f>
        <v/>
      </c>
      <c r="H1750" s="2" t="s">
        <v>70</v>
      </c>
      <c r="I1750" s="3" t="s">
        <v>1</v>
      </c>
      <c r="J1750" s="3">
        <v>120000000</v>
      </c>
      <c r="K1750" s="2" t="s">
        <v>30</v>
      </c>
      <c r="L1750" s="2" t="s">
        <v>7</v>
      </c>
      <c r="M1750" s="4" t="s">
        <v>67</v>
      </c>
      <c r="N1750" s="3" t="s">
        <v>80</v>
      </c>
      <c r="O1750" s="2" t="s">
        <v>11</v>
      </c>
      <c r="P1750" s="10"/>
      <c r="Q1750" s="11"/>
    </row>
    <row r="1751" spans="2:17" ht="21" customHeight="1" x14ac:dyDescent="0.35">
      <c r="B1751" s="18">
        <v>44033</v>
      </c>
      <c r="C1751" s="18" t="str">
        <f>TEXT(Sales[[#This Row],[Kode Program/Kegiatan ]],"D")</f>
        <v>21</v>
      </c>
      <c r="D1751" s="19" t="str">
        <f>TEXT(Sales[[#This Row],[Kode Program/Kegiatan ]],"mmm")</f>
        <v>Jul</v>
      </c>
      <c r="E1751" s="20">
        <v>5</v>
      </c>
      <c r="F1751" s="19">
        <v>5</v>
      </c>
      <c r="G1751" s="20" t="str">
        <f>IF(Sales[[#This Row],[Anggaran Murni]]-Sales[[#This Row],[Target s.d. Januari]]=0,"",Sales[[#This Row],[Anggaran Murni]]-Sales[[#This Row],[Target s.d. Januari]])</f>
        <v/>
      </c>
      <c r="H1751" s="19" t="s">
        <v>73</v>
      </c>
      <c r="I1751" s="20" t="s">
        <v>78</v>
      </c>
      <c r="J1751" s="20">
        <v>120000000</v>
      </c>
      <c r="K1751" s="19" t="s">
        <v>56</v>
      </c>
      <c r="L1751" s="19" t="s">
        <v>7</v>
      </c>
      <c r="M1751" s="21" t="s">
        <v>67</v>
      </c>
      <c r="N1751" s="20" t="s">
        <v>81</v>
      </c>
      <c r="O1751" s="19" t="s">
        <v>11</v>
      </c>
      <c r="P1751" s="10"/>
      <c r="Q1751" s="11"/>
    </row>
    <row r="1752" spans="2:17" ht="21" customHeight="1" x14ac:dyDescent="0.35">
      <c r="B1752" s="1">
        <v>44033</v>
      </c>
      <c r="C1752" s="1" t="str">
        <f>TEXT(Sales[[#This Row],[Kode Program/Kegiatan ]],"D")</f>
        <v>21</v>
      </c>
      <c r="D1752" s="2" t="str">
        <f>TEXT(Sales[[#This Row],[Kode Program/Kegiatan ]],"mmm")</f>
        <v>Jul</v>
      </c>
      <c r="E1752" s="3">
        <v>3</v>
      </c>
      <c r="F1752" s="2">
        <v>3</v>
      </c>
      <c r="G1752" s="3" t="str">
        <f>IF(Sales[[#This Row],[Anggaran Murni]]-Sales[[#This Row],[Target s.d. Januari]]=0,"",Sales[[#This Row],[Anggaran Murni]]-Sales[[#This Row],[Target s.d. Januari]])</f>
        <v/>
      </c>
      <c r="H1752" s="2" t="s">
        <v>73</v>
      </c>
      <c r="I1752" s="3" t="s">
        <v>78</v>
      </c>
      <c r="J1752" s="3">
        <v>120000000</v>
      </c>
      <c r="K1752" s="2" t="s">
        <v>42</v>
      </c>
      <c r="L1752" s="2" t="s">
        <v>7</v>
      </c>
      <c r="M1752" s="4" t="s">
        <v>67</v>
      </c>
      <c r="N1752" s="3" t="s">
        <v>82</v>
      </c>
      <c r="O1752" s="2" t="s">
        <v>14</v>
      </c>
      <c r="P1752" s="10"/>
      <c r="Q1752" s="11"/>
    </row>
    <row r="1753" spans="2:17" ht="21" customHeight="1" x14ac:dyDescent="0.35">
      <c r="B1753" s="18">
        <v>44033</v>
      </c>
      <c r="C1753" s="18" t="str">
        <f>TEXT(Sales[[#This Row],[Kode Program/Kegiatan ]],"D")</f>
        <v>21</v>
      </c>
      <c r="D1753" s="19" t="str">
        <f>TEXT(Sales[[#This Row],[Kode Program/Kegiatan ]],"mmm")</f>
        <v>Jul</v>
      </c>
      <c r="E1753" s="20">
        <v>3</v>
      </c>
      <c r="F1753" s="19">
        <v>3</v>
      </c>
      <c r="G1753" s="20" t="str">
        <f>IF(Sales[[#This Row],[Anggaran Murni]]-Sales[[#This Row],[Target s.d. Januari]]=0,"",Sales[[#This Row],[Anggaran Murni]]-Sales[[#This Row],[Target s.d. Januari]])</f>
        <v/>
      </c>
      <c r="H1753" s="19" t="s">
        <v>71</v>
      </c>
      <c r="I1753" s="20" t="s">
        <v>6</v>
      </c>
      <c r="J1753" s="20">
        <v>80000000</v>
      </c>
      <c r="K1753" s="19" t="s">
        <v>16</v>
      </c>
      <c r="L1753" s="19" t="s">
        <v>5</v>
      </c>
      <c r="M1753" s="21" t="s">
        <v>67</v>
      </c>
      <c r="N1753" s="20" t="s">
        <v>81</v>
      </c>
      <c r="O1753" s="19" t="s">
        <v>14</v>
      </c>
      <c r="P1753" s="10"/>
      <c r="Q1753" s="11"/>
    </row>
    <row r="1754" spans="2:17" ht="21" customHeight="1" x14ac:dyDescent="0.35">
      <c r="B1754" s="1">
        <v>44034</v>
      </c>
      <c r="C1754" s="1" t="str">
        <f>TEXT(Sales[[#This Row],[Kode Program/Kegiatan ]],"D")</f>
        <v>22</v>
      </c>
      <c r="D1754" s="2" t="str">
        <f>TEXT(Sales[[#This Row],[Kode Program/Kegiatan ]],"mmm")</f>
        <v>Jul</v>
      </c>
      <c r="E1754" s="3">
        <v>9</v>
      </c>
      <c r="F1754" s="2">
        <v>9</v>
      </c>
      <c r="G1754" s="3" t="str">
        <f>IF(Sales[[#This Row],[Anggaran Murni]]-Sales[[#This Row],[Target s.d. Januari]]=0,"",Sales[[#This Row],[Anggaran Murni]]-Sales[[#This Row],[Target s.d. Januari]])</f>
        <v/>
      </c>
      <c r="H1754" s="2" t="s">
        <v>114</v>
      </c>
      <c r="I1754" s="3" t="s">
        <v>3</v>
      </c>
      <c r="J1754" s="3">
        <v>100000000</v>
      </c>
      <c r="K1754" s="2" t="s">
        <v>15</v>
      </c>
      <c r="L1754" s="2" t="s">
        <v>4</v>
      </c>
      <c r="M1754" s="4" t="s">
        <v>67</v>
      </c>
      <c r="N1754" s="3" t="s">
        <v>82</v>
      </c>
      <c r="O1754" s="2" t="s">
        <v>11</v>
      </c>
      <c r="P1754" s="10"/>
      <c r="Q1754" s="11"/>
    </row>
    <row r="1755" spans="2:17" ht="21" customHeight="1" x14ac:dyDescent="0.35">
      <c r="B1755" s="18">
        <v>44034</v>
      </c>
      <c r="C1755" s="18" t="str">
        <f>TEXT(Sales[[#This Row],[Kode Program/Kegiatan ]],"D")</f>
        <v>22</v>
      </c>
      <c r="D1755" s="19" t="str">
        <f>TEXT(Sales[[#This Row],[Kode Program/Kegiatan ]],"mmm")</f>
        <v>Jul</v>
      </c>
      <c r="E1755" s="20">
        <v>9</v>
      </c>
      <c r="F1755" s="19">
        <v>9</v>
      </c>
      <c r="G1755" s="20" t="str">
        <f>IF(Sales[[#This Row],[Anggaran Murni]]-Sales[[#This Row],[Target s.d. Januari]]=0,"",Sales[[#This Row],[Anggaran Murni]]-Sales[[#This Row],[Target s.d. Januari]])</f>
        <v/>
      </c>
      <c r="H1755" s="19" t="s">
        <v>71</v>
      </c>
      <c r="I1755" s="20" t="s">
        <v>6</v>
      </c>
      <c r="J1755" s="20">
        <v>40000000</v>
      </c>
      <c r="K1755" s="19" t="s">
        <v>58</v>
      </c>
      <c r="L1755" s="19" t="s">
        <v>2</v>
      </c>
      <c r="M1755" s="21" t="s">
        <v>67</v>
      </c>
      <c r="N1755" s="20" t="s">
        <v>81</v>
      </c>
      <c r="O1755" s="19" t="s">
        <v>13</v>
      </c>
      <c r="P1755" s="10"/>
      <c r="Q1755" s="11"/>
    </row>
    <row r="1756" spans="2:17" ht="21" customHeight="1" x14ac:dyDescent="0.35">
      <c r="B1756" s="1">
        <v>44034</v>
      </c>
      <c r="C1756" s="1" t="str">
        <f>TEXT(Sales[[#This Row],[Kode Program/Kegiatan ]],"D")</f>
        <v>22</v>
      </c>
      <c r="D1756" s="2" t="str">
        <f>TEXT(Sales[[#This Row],[Kode Program/Kegiatan ]],"mmm")</f>
        <v>Jul</v>
      </c>
      <c r="E1756" s="3">
        <v>8</v>
      </c>
      <c r="F1756" s="2">
        <v>8</v>
      </c>
      <c r="G1756" s="3" t="str">
        <f>IF(Sales[[#This Row],[Anggaran Murni]]-Sales[[#This Row],[Target s.d. Januari]]=0,"",Sales[[#This Row],[Anggaran Murni]]-Sales[[#This Row],[Target s.d. Januari]])</f>
        <v/>
      </c>
      <c r="H1756" s="2" t="s">
        <v>76</v>
      </c>
      <c r="I1756" s="3" t="s">
        <v>79</v>
      </c>
      <c r="J1756" s="3">
        <v>60000000</v>
      </c>
      <c r="K1756" s="2" t="s">
        <v>19</v>
      </c>
      <c r="L1756" s="2" t="s">
        <v>4</v>
      </c>
      <c r="M1756" s="4" t="s">
        <v>67</v>
      </c>
      <c r="N1756" s="3" t="s">
        <v>80</v>
      </c>
      <c r="O1756" s="2" t="s">
        <v>13</v>
      </c>
      <c r="P1756" s="10"/>
      <c r="Q1756" s="11"/>
    </row>
    <row r="1757" spans="2:17" ht="21" customHeight="1" x14ac:dyDescent="0.35">
      <c r="B1757" s="18">
        <v>44034</v>
      </c>
      <c r="C1757" s="18" t="str">
        <f>TEXT(Sales[[#This Row],[Kode Program/Kegiatan ]],"D")</f>
        <v>22</v>
      </c>
      <c r="D1757" s="19" t="str">
        <f>TEXT(Sales[[#This Row],[Kode Program/Kegiatan ]],"mmm")</f>
        <v>Jul</v>
      </c>
      <c r="E1757" s="20">
        <v>6</v>
      </c>
      <c r="F1757" s="19">
        <v>6</v>
      </c>
      <c r="G1757" s="20" t="str">
        <f>IF(Sales[[#This Row],[Anggaran Murni]]-Sales[[#This Row],[Target s.d. Januari]]=0,"",Sales[[#This Row],[Anggaran Murni]]-Sales[[#This Row],[Target s.d. Januari]])</f>
        <v/>
      </c>
      <c r="H1757" s="19" t="s">
        <v>71</v>
      </c>
      <c r="I1757" s="20" t="s">
        <v>6</v>
      </c>
      <c r="J1757" s="20">
        <v>40000000</v>
      </c>
      <c r="K1757" s="19" t="s">
        <v>35</v>
      </c>
      <c r="L1757" s="19" t="s">
        <v>2</v>
      </c>
      <c r="M1757" s="21" t="s">
        <v>67</v>
      </c>
      <c r="N1757" s="20" t="s">
        <v>82</v>
      </c>
      <c r="O1757" s="19" t="s">
        <v>12</v>
      </c>
      <c r="P1757" s="10"/>
      <c r="Q1757" s="11"/>
    </row>
    <row r="1758" spans="2:17" ht="21" customHeight="1" x14ac:dyDescent="0.35">
      <c r="B1758" s="1">
        <v>44034</v>
      </c>
      <c r="C1758" s="1" t="str">
        <f>TEXT(Sales[[#This Row],[Kode Program/Kegiatan ]],"D")</f>
        <v>22</v>
      </c>
      <c r="D1758" s="2" t="str">
        <f>TEXT(Sales[[#This Row],[Kode Program/Kegiatan ]],"mmm")</f>
        <v>Jul</v>
      </c>
      <c r="E1758" s="3">
        <v>6</v>
      </c>
      <c r="F1758" s="2">
        <v>6</v>
      </c>
      <c r="G1758" s="3" t="str">
        <f>IF(Sales[[#This Row],[Anggaran Murni]]-Sales[[#This Row],[Target s.d. Januari]]=0,"",Sales[[#This Row],[Anggaran Murni]]-Sales[[#This Row],[Target s.d. Januari]])</f>
        <v/>
      </c>
      <c r="H1758" s="2" t="s">
        <v>72</v>
      </c>
      <c r="I1758" s="3" t="s">
        <v>78</v>
      </c>
      <c r="J1758" s="3">
        <v>120000000</v>
      </c>
      <c r="K1758" s="2" t="s">
        <v>62</v>
      </c>
      <c r="L1758" s="2" t="s">
        <v>5</v>
      </c>
      <c r="M1758" s="4" t="s">
        <v>67</v>
      </c>
      <c r="N1758" s="3" t="s">
        <v>82</v>
      </c>
      <c r="O1758" s="2" t="s">
        <v>13</v>
      </c>
      <c r="P1758" s="10"/>
      <c r="Q1758" s="11"/>
    </row>
    <row r="1759" spans="2:17" ht="21" customHeight="1" x14ac:dyDescent="0.35">
      <c r="B1759" s="18">
        <v>44034</v>
      </c>
      <c r="C1759" s="18" t="str">
        <f>TEXT(Sales[[#This Row],[Kode Program/Kegiatan ]],"D")</f>
        <v>22</v>
      </c>
      <c r="D1759" s="19" t="str">
        <f>TEXT(Sales[[#This Row],[Kode Program/Kegiatan ]],"mmm")</f>
        <v>Jul</v>
      </c>
      <c r="E1759" s="20">
        <v>5</v>
      </c>
      <c r="F1759" s="19">
        <v>5</v>
      </c>
      <c r="G1759" s="20" t="str">
        <f>IF(Sales[[#This Row],[Anggaran Murni]]-Sales[[#This Row],[Target s.d. Januari]]=0,"",Sales[[#This Row],[Anggaran Murni]]-Sales[[#This Row],[Target s.d. Januari]])</f>
        <v/>
      </c>
      <c r="H1759" s="19" t="s">
        <v>70</v>
      </c>
      <c r="I1759" s="20" t="s">
        <v>1</v>
      </c>
      <c r="J1759" s="20">
        <v>60000000</v>
      </c>
      <c r="K1759" s="19" t="s">
        <v>31</v>
      </c>
      <c r="L1759" s="19" t="s">
        <v>5</v>
      </c>
      <c r="M1759" s="21" t="s">
        <v>67</v>
      </c>
      <c r="N1759" s="20" t="s">
        <v>82</v>
      </c>
      <c r="O1759" s="19" t="s">
        <v>13</v>
      </c>
      <c r="P1759" s="10"/>
      <c r="Q1759" s="11"/>
    </row>
    <row r="1760" spans="2:17" ht="21" customHeight="1" x14ac:dyDescent="0.35">
      <c r="B1760" s="1">
        <v>44035</v>
      </c>
      <c r="C1760" s="1" t="str">
        <f>TEXT(Sales[[#This Row],[Kode Program/Kegiatan ]],"D")</f>
        <v>23</v>
      </c>
      <c r="D1760" s="2" t="str">
        <f>TEXT(Sales[[#This Row],[Kode Program/Kegiatan ]],"mmm")</f>
        <v>Jul</v>
      </c>
      <c r="E1760" s="3">
        <v>10</v>
      </c>
      <c r="F1760" s="2">
        <v>10</v>
      </c>
      <c r="G1760" s="3" t="str">
        <f>IF(Sales[[#This Row],[Anggaran Murni]]-Sales[[#This Row],[Target s.d. Januari]]=0,"",Sales[[#This Row],[Anggaran Murni]]-Sales[[#This Row],[Target s.d. Januari]])</f>
        <v/>
      </c>
      <c r="H1760" s="2" t="s">
        <v>73</v>
      </c>
      <c r="I1760" s="3" t="s">
        <v>78</v>
      </c>
      <c r="J1760" s="3">
        <v>100000000</v>
      </c>
      <c r="K1760" s="2" t="s">
        <v>63</v>
      </c>
      <c r="L1760" s="2" t="s">
        <v>5</v>
      </c>
      <c r="M1760" s="4" t="s">
        <v>67</v>
      </c>
      <c r="N1760" s="3" t="s">
        <v>82</v>
      </c>
      <c r="O1760" s="2" t="s">
        <v>14</v>
      </c>
      <c r="P1760" s="10"/>
      <c r="Q1760" s="11"/>
    </row>
    <row r="1761" spans="2:17" ht="21" customHeight="1" x14ac:dyDescent="0.35">
      <c r="B1761" s="18">
        <v>44035</v>
      </c>
      <c r="C1761" s="18" t="str">
        <f>TEXT(Sales[[#This Row],[Kode Program/Kegiatan ]],"D")</f>
        <v>23</v>
      </c>
      <c r="D1761" s="19" t="str">
        <f>TEXT(Sales[[#This Row],[Kode Program/Kegiatan ]],"mmm")</f>
        <v>Jul</v>
      </c>
      <c r="E1761" s="20">
        <v>7</v>
      </c>
      <c r="F1761" s="19">
        <v>7</v>
      </c>
      <c r="G1761" s="20" t="str">
        <f>IF(Sales[[#This Row],[Anggaran Murni]]-Sales[[#This Row],[Target s.d. Januari]]=0,"",Sales[[#This Row],[Anggaran Murni]]-Sales[[#This Row],[Target s.d. Januari]])</f>
        <v/>
      </c>
      <c r="H1761" s="19" t="s">
        <v>74</v>
      </c>
      <c r="I1761" s="20" t="s">
        <v>77</v>
      </c>
      <c r="J1761" s="20">
        <v>100000000</v>
      </c>
      <c r="K1761" s="19" t="s">
        <v>30</v>
      </c>
      <c r="L1761" s="19" t="s">
        <v>5</v>
      </c>
      <c r="M1761" s="21" t="s">
        <v>67</v>
      </c>
      <c r="N1761" s="20" t="s">
        <v>82</v>
      </c>
      <c r="O1761" s="19" t="s">
        <v>13</v>
      </c>
      <c r="P1761" s="10"/>
      <c r="Q1761" s="11"/>
    </row>
    <row r="1762" spans="2:17" ht="21" customHeight="1" x14ac:dyDescent="0.35">
      <c r="B1762" s="1">
        <v>44036</v>
      </c>
      <c r="C1762" s="1" t="str">
        <f>TEXT(Sales[[#This Row],[Kode Program/Kegiatan ]],"D")</f>
        <v>24</v>
      </c>
      <c r="D1762" s="2" t="str">
        <f>TEXT(Sales[[#This Row],[Kode Program/Kegiatan ]],"mmm")</f>
        <v>Jul</v>
      </c>
      <c r="E1762" s="3">
        <v>9</v>
      </c>
      <c r="F1762" s="2">
        <v>9</v>
      </c>
      <c r="G1762" s="3" t="str">
        <f>IF(Sales[[#This Row],[Anggaran Murni]]-Sales[[#This Row],[Target s.d. Januari]]=0,"",Sales[[#This Row],[Anggaran Murni]]-Sales[[#This Row],[Target s.d. Januari]])</f>
        <v/>
      </c>
      <c r="H1762" s="2" t="s">
        <v>72</v>
      </c>
      <c r="I1762" s="3" t="s">
        <v>78</v>
      </c>
      <c r="J1762" s="3">
        <v>80000000</v>
      </c>
      <c r="K1762" s="2" t="s">
        <v>41</v>
      </c>
      <c r="L1762" s="2" t="s">
        <v>2</v>
      </c>
      <c r="M1762" s="4" t="s">
        <v>67</v>
      </c>
      <c r="N1762" s="3" t="s">
        <v>81</v>
      </c>
      <c r="O1762" s="2" t="s">
        <v>11</v>
      </c>
      <c r="P1762" s="10"/>
      <c r="Q1762" s="11"/>
    </row>
    <row r="1763" spans="2:17" ht="21" customHeight="1" x14ac:dyDescent="0.35">
      <c r="B1763" s="18">
        <v>44036</v>
      </c>
      <c r="C1763" s="18" t="str">
        <f>TEXT(Sales[[#This Row],[Kode Program/Kegiatan ]],"D")</f>
        <v>24</v>
      </c>
      <c r="D1763" s="19" t="str">
        <f>TEXT(Sales[[#This Row],[Kode Program/Kegiatan ]],"mmm")</f>
        <v>Jul</v>
      </c>
      <c r="E1763" s="20">
        <v>9</v>
      </c>
      <c r="F1763" s="19">
        <v>9</v>
      </c>
      <c r="G1763" s="20" t="str">
        <f>IF(Sales[[#This Row],[Anggaran Murni]]-Sales[[#This Row],[Target s.d. Januari]]=0,"",Sales[[#This Row],[Anggaran Murni]]-Sales[[#This Row],[Target s.d. Januari]])</f>
        <v/>
      </c>
      <c r="H1763" s="19" t="s">
        <v>114</v>
      </c>
      <c r="I1763" s="20" t="s">
        <v>3</v>
      </c>
      <c r="J1763" s="20">
        <v>40000000</v>
      </c>
      <c r="K1763" s="19" t="s">
        <v>31</v>
      </c>
      <c r="L1763" s="19" t="s">
        <v>5</v>
      </c>
      <c r="M1763" s="21" t="s">
        <v>67</v>
      </c>
      <c r="N1763" s="20" t="s">
        <v>81</v>
      </c>
      <c r="O1763" s="19" t="s">
        <v>14</v>
      </c>
      <c r="P1763" s="10"/>
      <c r="Q1763" s="11"/>
    </row>
    <row r="1764" spans="2:17" ht="21" customHeight="1" x14ac:dyDescent="0.35">
      <c r="B1764" s="1">
        <v>44036</v>
      </c>
      <c r="C1764" s="1" t="str">
        <f>TEXT(Sales[[#This Row],[Kode Program/Kegiatan ]],"D")</f>
        <v>24</v>
      </c>
      <c r="D1764" s="2" t="str">
        <f>TEXT(Sales[[#This Row],[Kode Program/Kegiatan ]],"mmm")</f>
        <v>Jul</v>
      </c>
      <c r="E1764" s="3">
        <v>9</v>
      </c>
      <c r="F1764" s="2">
        <v>9</v>
      </c>
      <c r="G1764" s="3" t="str">
        <f>IF(Sales[[#This Row],[Anggaran Murni]]-Sales[[#This Row],[Target s.d. Januari]]=0,"",Sales[[#This Row],[Anggaran Murni]]-Sales[[#This Row],[Target s.d. Januari]])</f>
        <v/>
      </c>
      <c r="H1764" s="2" t="s">
        <v>73</v>
      </c>
      <c r="I1764" s="3" t="s">
        <v>78</v>
      </c>
      <c r="J1764" s="3">
        <v>120000000</v>
      </c>
      <c r="K1764" s="2" t="s">
        <v>16</v>
      </c>
      <c r="L1764" s="2" t="s">
        <v>7</v>
      </c>
      <c r="M1764" s="4" t="s">
        <v>67</v>
      </c>
      <c r="N1764" s="3" t="s">
        <v>81</v>
      </c>
      <c r="O1764" s="2" t="s">
        <v>12</v>
      </c>
      <c r="P1764" s="10"/>
      <c r="Q1764" s="11"/>
    </row>
    <row r="1765" spans="2:17" ht="21" customHeight="1" x14ac:dyDescent="0.35">
      <c r="B1765" s="18">
        <v>44036</v>
      </c>
      <c r="C1765" s="18" t="str">
        <f>TEXT(Sales[[#This Row],[Kode Program/Kegiatan ]],"D")</f>
        <v>24</v>
      </c>
      <c r="D1765" s="19" t="str">
        <f>TEXT(Sales[[#This Row],[Kode Program/Kegiatan ]],"mmm")</f>
        <v>Jul</v>
      </c>
      <c r="E1765" s="20">
        <v>8</v>
      </c>
      <c r="F1765" s="19">
        <v>8</v>
      </c>
      <c r="G1765" s="20" t="str">
        <f>IF(Sales[[#This Row],[Anggaran Murni]]-Sales[[#This Row],[Target s.d. Januari]]=0,"",Sales[[#This Row],[Anggaran Murni]]-Sales[[#This Row],[Target s.d. Januari]])</f>
        <v/>
      </c>
      <c r="H1765" s="19" t="s">
        <v>72</v>
      </c>
      <c r="I1765" s="20" t="s">
        <v>78</v>
      </c>
      <c r="J1765" s="20">
        <v>120000000</v>
      </c>
      <c r="K1765" s="19" t="s">
        <v>28</v>
      </c>
      <c r="L1765" s="19" t="s">
        <v>2</v>
      </c>
      <c r="M1765" s="21" t="s">
        <v>67</v>
      </c>
      <c r="N1765" s="20" t="s">
        <v>82</v>
      </c>
      <c r="O1765" s="19" t="s">
        <v>14</v>
      </c>
      <c r="P1765" s="10"/>
      <c r="Q1765" s="11"/>
    </row>
    <row r="1766" spans="2:17" ht="21" customHeight="1" x14ac:dyDescent="0.35">
      <c r="B1766" s="1">
        <v>44036</v>
      </c>
      <c r="C1766" s="1" t="str">
        <f>TEXT(Sales[[#This Row],[Kode Program/Kegiatan ]],"D")</f>
        <v>24</v>
      </c>
      <c r="D1766" s="2" t="str">
        <f>TEXT(Sales[[#This Row],[Kode Program/Kegiatan ]],"mmm")</f>
        <v>Jul</v>
      </c>
      <c r="E1766" s="3">
        <v>7</v>
      </c>
      <c r="F1766" s="2">
        <v>7</v>
      </c>
      <c r="G1766" s="3" t="str">
        <f>IF(Sales[[#This Row],[Anggaran Murni]]-Sales[[#This Row],[Target s.d. Januari]]=0,"",Sales[[#This Row],[Anggaran Murni]]-Sales[[#This Row],[Target s.d. Januari]])</f>
        <v/>
      </c>
      <c r="H1766" s="2" t="s">
        <v>70</v>
      </c>
      <c r="I1766" s="3" t="s">
        <v>1</v>
      </c>
      <c r="J1766" s="3">
        <v>140000000</v>
      </c>
      <c r="K1766" s="2" t="s">
        <v>60</v>
      </c>
      <c r="L1766" s="2" t="s">
        <v>2</v>
      </c>
      <c r="M1766" s="4" t="s">
        <v>67</v>
      </c>
      <c r="N1766" s="3" t="s">
        <v>81</v>
      </c>
      <c r="O1766" s="2" t="s">
        <v>13</v>
      </c>
      <c r="P1766" s="10"/>
      <c r="Q1766" s="11"/>
    </row>
    <row r="1767" spans="2:17" ht="21" customHeight="1" x14ac:dyDescent="0.35">
      <c r="B1767" s="18">
        <v>44036</v>
      </c>
      <c r="C1767" s="18" t="str">
        <f>TEXT(Sales[[#This Row],[Kode Program/Kegiatan ]],"D")</f>
        <v>24</v>
      </c>
      <c r="D1767" s="19" t="str">
        <f>TEXT(Sales[[#This Row],[Kode Program/Kegiatan ]],"mmm")</f>
        <v>Jul</v>
      </c>
      <c r="E1767" s="20">
        <v>7</v>
      </c>
      <c r="F1767" s="19">
        <v>7</v>
      </c>
      <c r="G1767" s="20" t="str">
        <f>IF(Sales[[#This Row],[Anggaran Murni]]-Sales[[#This Row],[Target s.d. Januari]]=0,"",Sales[[#This Row],[Anggaran Murni]]-Sales[[#This Row],[Target s.d. Januari]])</f>
        <v/>
      </c>
      <c r="H1767" s="19" t="s">
        <v>114</v>
      </c>
      <c r="I1767" s="20" t="s">
        <v>3</v>
      </c>
      <c r="J1767" s="20">
        <v>60000000</v>
      </c>
      <c r="K1767" s="19" t="s">
        <v>44</v>
      </c>
      <c r="L1767" s="19" t="s">
        <v>5</v>
      </c>
      <c r="M1767" s="21" t="s">
        <v>67</v>
      </c>
      <c r="N1767" s="20" t="s">
        <v>82</v>
      </c>
      <c r="O1767" s="19" t="s">
        <v>11</v>
      </c>
      <c r="P1767" s="10"/>
      <c r="Q1767" s="11"/>
    </row>
    <row r="1768" spans="2:17" ht="21" customHeight="1" x14ac:dyDescent="0.35">
      <c r="B1768" s="1">
        <v>44036</v>
      </c>
      <c r="C1768" s="1" t="str">
        <f>TEXT(Sales[[#This Row],[Kode Program/Kegiatan ]],"D")</f>
        <v>24</v>
      </c>
      <c r="D1768" s="2" t="str">
        <f>TEXT(Sales[[#This Row],[Kode Program/Kegiatan ]],"mmm")</f>
        <v>Jul</v>
      </c>
      <c r="E1768" s="3">
        <v>6</v>
      </c>
      <c r="F1768" s="2">
        <v>6</v>
      </c>
      <c r="G1768" s="3" t="str">
        <f>IF(Sales[[#This Row],[Anggaran Murni]]-Sales[[#This Row],[Target s.d. Januari]]=0,"",Sales[[#This Row],[Anggaran Murni]]-Sales[[#This Row],[Target s.d. Januari]])</f>
        <v/>
      </c>
      <c r="H1768" s="2" t="s">
        <v>113</v>
      </c>
      <c r="I1768" s="3" t="s">
        <v>77</v>
      </c>
      <c r="J1768" s="3">
        <v>40000000</v>
      </c>
      <c r="K1768" s="2" t="s">
        <v>51</v>
      </c>
      <c r="L1768" s="2" t="s">
        <v>5</v>
      </c>
      <c r="M1768" s="4" t="s">
        <v>67</v>
      </c>
      <c r="N1768" s="3" t="s">
        <v>82</v>
      </c>
      <c r="O1768" s="2" t="s">
        <v>11</v>
      </c>
      <c r="P1768" s="10"/>
      <c r="Q1768" s="11"/>
    </row>
    <row r="1769" spans="2:17" ht="21" customHeight="1" x14ac:dyDescent="0.35">
      <c r="B1769" s="18">
        <v>44036</v>
      </c>
      <c r="C1769" s="18" t="str">
        <f>TEXT(Sales[[#This Row],[Kode Program/Kegiatan ]],"D")</f>
        <v>24</v>
      </c>
      <c r="D1769" s="19" t="str">
        <f>TEXT(Sales[[#This Row],[Kode Program/Kegiatan ]],"mmm")</f>
        <v>Jul</v>
      </c>
      <c r="E1769" s="20">
        <v>6</v>
      </c>
      <c r="F1769" s="19">
        <v>6</v>
      </c>
      <c r="G1769" s="20" t="str">
        <f>IF(Sales[[#This Row],[Anggaran Murni]]-Sales[[#This Row],[Target s.d. Januari]]=0,"",Sales[[#This Row],[Anggaran Murni]]-Sales[[#This Row],[Target s.d. Januari]])</f>
        <v/>
      </c>
      <c r="H1769" s="19" t="s">
        <v>74</v>
      </c>
      <c r="I1769" s="20" t="s">
        <v>77</v>
      </c>
      <c r="J1769" s="20">
        <v>40000000</v>
      </c>
      <c r="K1769" s="19" t="s">
        <v>21</v>
      </c>
      <c r="L1769" s="19" t="s">
        <v>4</v>
      </c>
      <c r="M1769" s="21" t="s">
        <v>67</v>
      </c>
      <c r="N1769" s="20" t="s">
        <v>80</v>
      </c>
      <c r="O1769" s="19" t="s">
        <v>13</v>
      </c>
      <c r="P1769" s="10"/>
      <c r="Q1769" s="11"/>
    </row>
    <row r="1770" spans="2:17" ht="21" customHeight="1" x14ac:dyDescent="0.35">
      <c r="B1770" s="1">
        <v>44036</v>
      </c>
      <c r="C1770" s="1" t="str">
        <f>TEXT(Sales[[#This Row],[Kode Program/Kegiatan ]],"D")</f>
        <v>24</v>
      </c>
      <c r="D1770" s="2" t="str">
        <f>TEXT(Sales[[#This Row],[Kode Program/Kegiatan ]],"mmm")</f>
        <v>Jul</v>
      </c>
      <c r="E1770" s="3">
        <v>5</v>
      </c>
      <c r="F1770" s="2">
        <v>5</v>
      </c>
      <c r="G1770" s="3" t="str">
        <f>IF(Sales[[#This Row],[Anggaran Murni]]-Sales[[#This Row],[Target s.d. Januari]]=0,"",Sales[[#This Row],[Anggaran Murni]]-Sales[[#This Row],[Target s.d. Januari]])</f>
        <v/>
      </c>
      <c r="H1770" s="2" t="s">
        <v>70</v>
      </c>
      <c r="I1770" s="3" t="s">
        <v>1</v>
      </c>
      <c r="J1770" s="3">
        <v>40000000</v>
      </c>
      <c r="K1770" s="2" t="s">
        <v>58</v>
      </c>
      <c r="L1770" s="2" t="s">
        <v>5</v>
      </c>
      <c r="M1770" s="4" t="s">
        <v>67</v>
      </c>
      <c r="N1770" s="3" t="s">
        <v>80</v>
      </c>
      <c r="O1770" s="2" t="s">
        <v>13</v>
      </c>
      <c r="P1770" s="10"/>
      <c r="Q1770" s="11"/>
    </row>
    <row r="1771" spans="2:17" ht="21" customHeight="1" x14ac:dyDescent="0.35">
      <c r="B1771" s="18">
        <v>44036</v>
      </c>
      <c r="C1771" s="18" t="str">
        <f>TEXT(Sales[[#This Row],[Kode Program/Kegiatan ]],"D")</f>
        <v>24</v>
      </c>
      <c r="D1771" s="19" t="str">
        <f>TEXT(Sales[[#This Row],[Kode Program/Kegiatan ]],"mmm")</f>
        <v>Jul</v>
      </c>
      <c r="E1771" s="20">
        <v>5</v>
      </c>
      <c r="F1771" s="19">
        <v>5</v>
      </c>
      <c r="G1771" s="20" t="str">
        <f>IF(Sales[[#This Row],[Anggaran Murni]]-Sales[[#This Row],[Target s.d. Januari]]=0,"",Sales[[#This Row],[Anggaran Murni]]-Sales[[#This Row],[Target s.d. Januari]])</f>
        <v/>
      </c>
      <c r="H1771" s="19" t="s">
        <v>70</v>
      </c>
      <c r="I1771" s="20" t="s">
        <v>1</v>
      </c>
      <c r="J1771" s="20">
        <v>60000000</v>
      </c>
      <c r="K1771" s="19" t="s">
        <v>22</v>
      </c>
      <c r="L1771" s="19" t="s">
        <v>5</v>
      </c>
      <c r="M1771" s="21" t="s">
        <v>67</v>
      </c>
      <c r="N1771" s="20" t="s">
        <v>80</v>
      </c>
      <c r="O1771" s="19" t="s">
        <v>14</v>
      </c>
      <c r="P1771" s="10"/>
      <c r="Q1771" s="11"/>
    </row>
    <row r="1772" spans="2:17" ht="21" customHeight="1" x14ac:dyDescent="0.35">
      <c r="B1772" s="1">
        <v>44036</v>
      </c>
      <c r="C1772" s="1" t="str">
        <f>TEXT(Sales[[#This Row],[Kode Program/Kegiatan ]],"D")</f>
        <v>24</v>
      </c>
      <c r="D1772" s="2" t="str">
        <f>TEXT(Sales[[#This Row],[Kode Program/Kegiatan ]],"mmm")</f>
        <v>Jul</v>
      </c>
      <c r="E1772" s="3">
        <v>5</v>
      </c>
      <c r="F1772" s="2">
        <v>5</v>
      </c>
      <c r="G1772" s="3" t="str">
        <f>IF(Sales[[#This Row],[Anggaran Murni]]-Sales[[#This Row],[Target s.d. Januari]]=0,"",Sales[[#This Row],[Anggaran Murni]]-Sales[[#This Row],[Target s.d. Januari]])</f>
        <v/>
      </c>
      <c r="H1772" s="2" t="s">
        <v>71</v>
      </c>
      <c r="I1772" s="3" t="s">
        <v>6</v>
      </c>
      <c r="J1772" s="3">
        <v>140000000</v>
      </c>
      <c r="K1772" s="2" t="s">
        <v>43</v>
      </c>
      <c r="L1772" s="2" t="s">
        <v>5</v>
      </c>
      <c r="M1772" s="4" t="s">
        <v>67</v>
      </c>
      <c r="N1772" s="3" t="s">
        <v>82</v>
      </c>
      <c r="O1772" s="2" t="s">
        <v>14</v>
      </c>
      <c r="P1772" s="10"/>
      <c r="Q1772" s="11"/>
    </row>
    <row r="1773" spans="2:17" ht="21" customHeight="1" x14ac:dyDescent="0.35">
      <c r="B1773" s="18">
        <v>44036</v>
      </c>
      <c r="C1773" s="18" t="str">
        <f>TEXT(Sales[[#This Row],[Kode Program/Kegiatan ]],"D")</f>
        <v>24</v>
      </c>
      <c r="D1773" s="19" t="str">
        <f>TEXT(Sales[[#This Row],[Kode Program/Kegiatan ]],"mmm")</f>
        <v>Jul</v>
      </c>
      <c r="E1773" s="20">
        <v>5</v>
      </c>
      <c r="F1773" s="19">
        <v>5</v>
      </c>
      <c r="G1773" s="20" t="str">
        <f>IF(Sales[[#This Row],[Anggaran Murni]]-Sales[[#This Row],[Target s.d. Januari]]=0,"",Sales[[#This Row],[Anggaran Murni]]-Sales[[#This Row],[Target s.d. Januari]])</f>
        <v/>
      </c>
      <c r="H1773" s="19" t="s">
        <v>73</v>
      </c>
      <c r="I1773" s="20" t="s">
        <v>78</v>
      </c>
      <c r="J1773" s="20">
        <v>40000000</v>
      </c>
      <c r="K1773" s="19" t="s">
        <v>23</v>
      </c>
      <c r="L1773" s="19" t="s">
        <v>2</v>
      </c>
      <c r="M1773" s="21" t="s">
        <v>67</v>
      </c>
      <c r="N1773" s="20" t="s">
        <v>82</v>
      </c>
      <c r="O1773" s="19" t="s">
        <v>11</v>
      </c>
      <c r="P1773" s="10"/>
      <c r="Q1773" s="11"/>
    </row>
    <row r="1774" spans="2:17" ht="21" customHeight="1" x14ac:dyDescent="0.35">
      <c r="B1774" s="1">
        <v>44036</v>
      </c>
      <c r="C1774" s="1" t="str">
        <f>TEXT(Sales[[#This Row],[Kode Program/Kegiatan ]],"D")</f>
        <v>24</v>
      </c>
      <c r="D1774" s="2" t="str">
        <f>TEXT(Sales[[#This Row],[Kode Program/Kegiatan ]],"mmm")</f>
        <v>Jul</v>
      </c>
      <c r="E1774" s="3">
        <v>4</v>
      </c>
      <c r="F1774" s="2">
        <v>4</v>
      </c>
      <c r="G1774" s="3" t="str">
        <f>IF(Sales[[#This Row],[Anggaran Murni]]-Sales[[#This Row],[Target s.d. Januari]]=0,"",Sales[[#This Row],[Anggaran Murni]]-Sales[[#This Row],[Target s.d. Januari]])</f>
        <v/>
      </c>
      <c r="H1774" s="2" t="s">
        <v>114</v>
      </c>
      <c r="I1774" s="3" t="s">
        <v>3</v>
      </c>
      <c r="J1774" s="3">
        <v>140000000</v>
      </c>
      <c r="K1774" s="2" t="s">
        <v>41</v>
      </c>
      <c r="L1774" s="2" t="s">
        <v>7</v>
      </c>
      <c r="M1774" s="4" t="s">
        <v>67</v>
      </c>
      <c r="N1774" s="3" t="s">
        <v>80</v>
      </c>
      <c r="O1774" s="2" t="s">
        <v>14</v>
      </c>
      <c r="P1774" s="10"/>
      <c r="Q1774" s="11"/>
    </row>
    <row r="1775" spans="2:17" ht="21" customHeight="1" x14ac:dyDescent="0.35">
      <c r="B1775" s="18">
        <v>44036</v>
      </c>
      <c r="C1775" s="18" t="str">
        <f>TEXT(Sales[[#This Row],[Kode Program/Kegiatan ]],"D")</f>
        <v>24</v>
      </c>
      <c r="D1775" s="19" t="str">
        <f>TEXT(Sales[[#This Row],[Kode Program/Kegiatan ]],"mmm")</f>
        <v>Jul</v>
      </c>
      <c r="E1775" s="20">
        <v>4</v>
      </c>
      <c r="F1775" s="19">
        <v>4</v>
      </c>
      <c r="G1775" s="20" t="str">
        <f>IF(Sales[[#This Row],[Anggaran Murni]]-Sales[[#This Row],[Target s.d. Januari]]=0,"",Sales[[#This Row],[Anggaran Murni]]-Sales[[#This Row],[Target s.d. Januari]])</f>
        <v/>
      </c>
      <c r="H1775" s="19" t="s">
        <v>74</v>
      </c>
      <c r="I1775" s="20" t="s">
        <v>77</v>
      </c>
      <c r="J1775" s="20">
        <v>100000000</v>
      </c>
      <c r="K1775" s="19" t="s">
        <v>42</v>
      </c>
      <c r="L1775" s="19" t="s">
        <v>9</v>
      </c>
      <c r="M1775" s="21" t="s">
        <v>67</v>
      </c>
      <c r="N1775" s="20" t="s">
        <v>82</v>
      </c>
      <c r="O1775" s="19" t="s">
        <v>11</v>
      </c>
      <c r="P1775" s="10"/>
      <c r="Q1775" s="11"/>
    </row>
    <row r="1776" spans="2:17" ht="21" customHeight="1" x14ac:dyDescent="0.35">
      <c r="B1776" s="1">
        <v>44036</v>
      </c>
      <c r="C1776" s="1" t="str">
        <f>TEXT(Sales[[#This Row],[Kode Program/Kegiatan ]],"D")</f>
        <v>24</v>
      </c>
      <c r="D1776" s="2" t="str">
        <f>TEXT(Sales[[#This Row],[Kode Program/Kegiatan ]],"mmm")</f>
        <v>Jul</v>
      </c>
      <c r="E1776" s="3">
        <v>3</v>
      </c>
      <c r="F1776" s="2">
        <v>3</v>
      </c>
      <c r="G1776" s="3" t="str">
        <f>IF(Sales[[#This Row],[Anggaran Murni]]-Sales[[#This Row],[Target s.d. Januari]]=0,"",Sales[[#This Row],[Anggaran Murni]]-Sales[[#This Row],[Target s.d. Januari]])</f>
        <v/>
      </c>
      <c r="H1776" s="2" t="s">
        <v>114</v>
      </c>
      <c r="I1776" s="3" t="s">
        <v>3</v>
      </c>
      <c r="J1776" s="3">
        <v>100000000</v>
      </c>
      <c r="K1776" s="2" t="s">
        <v>51</v>
      </c>
      <c r="L1776" s="2" t="s">
        <v>2</v>
      </c>
      <c r="M1776" s="4" t="s">
        <v>67</v>
      </c>
      <c r="N1776" s="3" t="s">
        <v>82</v>
      </c>
      <c r="O1776" s="2" t="s">
        <v>12</v>
      </c>
      <c r="P1776" s="10"/>
      <c r="Q1776" s="11"/>
    </row>
    <row r="1777" spans="2:17" ht="21" customHeight="1" x14ac:dyDescent="0.35">
      <c r="B1777" s="18">
        <v>44037</v>
      </c>
      <c r="C1777" s="18" t="str">
        <f>TEXT(Sales[[#This Row],[Kode Program/Kegiatan ]],"D")</f>
        <v>25</v>
      </c>
      <c r="D1777" s="19" t="str">
        <f>TEXT(Sales[[#This Row],[Kode Program/Kegiatan ]],"mmm")</f>
        <v>Jul</v>
      </c>
      <c r="E1777" s="20">
        <v>10</v>
      </c>
      <c r="F1777" s="19">
        <v>10</v>
      </c>
      <c r="G1777" s="20" t="str">
        <f>IF(Sales[[#This Row],[Anggaran Murni]]-Sales[[#This Row],[Target s.d. Januari]]=0,"",Sales[[#This Row],[Anggaran Murni]]-Sales[[#This Row],[Target s.d. Januari]])</f>
        <v/>
      </c>
      <c r="H1777" s="19" t="s">
        <v>74</v>
      </c>
      <c r="I1777" s="20" t="s">
        <v>77</v>
      </c>
      <c r="J1777" s="20">
        <v>140000000</v>
      </c>
      <c r="K1777" s="19" t="s">
        <v>16</v>
      </c>
      <c r="L1777" s="19" t="s">
        <v>2</v>
      </c>
      <c r="M1777" s="21" t="s">
        <v>67</v>
      </c>
      <c r="N1777" s="20" t="s">
        <v>82</v>
      </c>
      <c r="O1777" s="19" t="s">
        <v>11</v>
      </c>
      <c r="P1777" s="10"/>
      <c r="Q1777" s="11"/>
    </row>
    <row r="1778" spans="2:17" ht="21" customHeight="1" x14ac:dyDescent="0.35">
      <c r="B1778" s="1">
        <v>44037</v>
      </c>
      <c r="C1778" s="1" t="str">
        <f>TEXT(Sales[[#This Row],[Kode Program/Kegiatan ]],"D")</f>
        <v>25</v>
      </c>
      <c r="D1778" s="2" t="str">
        <f>TEXT(Sales[[#This Row],[Kode Program/Kegiatan ]],"mmm")</f>
        <v>Jul</v>
      </c>
      <c r="E1778" s="3">
        <v>10</v>
      </c>
      <c r="F1778" s="2">
        <v>10</v>
      </c>
      <c r="G1778" s="3" t="str">
        <f>IF(Sales[[#This Row],[Anggaran Murni]]-Sales[[#This Row],[Target s.d. Januari]]=0,"",Sales[[#This Row],[Anggaran Murni]]-Sales[[#This Row],[Target s.d. Januari]])</f>
        <v/>
      </c>
      <c r="H1778" s="2" t="s">
        <v>71</v>
      </c>
      <c r="I1778" s="3" t="s">
        <v>6</v>
      </c>
      <c r="J1778" s="3">
        <v>140000000</v>
      </c>
      <c r="K1778" s="2" t="s">
        <v>32</v>
      </c>
      <c r="L1778" s="2" t="s">
        <v>7</v>
      </c>
      <c r="M1778" s="4" t="s">
        <v>67</v>
      </c>
      <c r="N1778" s="3" t="s">
        <v>81</v>
      </c>
      <c r="O1778" s="2" t="s">
        <v>11</v>
      </c>
      <c r="P1778" s="10"/>
      <c r="Q1778" s="11"/>
    </row>
    <row r="1779" spans="2:17" ht="21" customHeight="1" x14ac:dyDescent="0.35">
      <c r="B1779" s="18">
        <v>44037</v>
      </c>
      <c r="C1779" s="18" t="str">
        <f>TEXT(Sales[[#This Row],[Kode Program/Kegiatan ]],"D")</f>
        <v>25</v>
      </c>
      <c r="D1779" s="19" t="str">
        <f>TEXT(Sales[[#This Row],[Kode Program/Kegiatan ]],"mmm")</f>
        <v>Jul</v>
      </c>
      <c r="E1779" s="20">
        <v>9</v>
      </c>
      <c r="F1779" s="19">
        <v>9</v>
      </c>
      <c r="G1779" s="20" t="str">
        <f>IF(Sales[[#This Row],[Anggaran Murni]]-Sales[[#This Row],[Target s.d. Januari]]=0,"",Sales[[#This Row],[Anggaran Murni]]-Sales[[#This Row],[Target s.d. Januari]])</f>
        <v/>
      </c>
      <c r="H1779" s="19" t="s">
        <v>71</v>
      </c>
      <c r="I1779" s="20" t="s">
        <v>6</v>
      </c>
      <c r="J1779" s="20">
        <v>100000000</v>
      </c>
      <c r="K1779" s="19" t="s">
        <v>28</v>
      </c>
      <c r="L1779" s="19" t="s">
        <v>2</v>
      </c>
      <c r="M1779" s="21" t="s">
        <v>67</v>
      </c>
      <c r="N1779" s="20" t="s">
        <v>82</v>
      </c>
      <c r="O1779" s="19" t="s">
        <v>11</v>
      </c>
      <c r="P1779" s="10"/>
      <c r="Q1779" s="11"/>
    </row>
    <row r="1780" spans="2:17" ht="21" customHeight="1" x14ac:dyDescent="0.35">
      <c r="B1780" s="1">
        <v>44037</v>
      </c>
      <c r="C1780" s="1" t="str">
        <f>TEXT(Sales[[#This Row],[Kode Program/Kegiatan ]],"D")</f>
        <v>25</v>
      </c>
      <c r="D1780" s="2" t="str">
        <f>TEXT(Sales[[#This Row],[Kode Program/Kegiatan ]],"mmm")</f>
        <v>Jul</v>
      </c>
      <c r="E1780" s="3">
        <v>8</v>
      </c>
      <c r="F1780" s="2">
        <v>8</v>
      </c>
      <c r="G1780" s="3" t="str">
        <f>IF(Sales[[#This Row],[Anggaran Murni]]-Sales[[#This Row],[Target s.d. Januari]]=0,"",Sales[[#This Row],[Anggaran Murni]]-Sales[[#This Row],[Target s.d. Januari]])</f>
        <v/>
      </c>
      <c r="H1780" s="2" t="s">
        <v>75</v>
      </c>
      <c r="I1780" s="3" t="s">
        <v>6</v>
      </c>
      <c r="J1780" s="3">
        <v>100000000</v>
      </c>
      <c r="K1780" s="2" t="s">
        <v>19</v>
      </c>
      <c r="L1780" s="2" t="s">
        <v>2</v>
      </c>
      <c r="M1780" s="4" t="s">
        <v>67</v>
      </c>
      <c r="N1780" s="3" t="s">
        <v>82</v>
      </c>
      <c r="O1780" s="2" t="s">
        <v>11</v>
      </c>
      <c r="P1780" s="10"/>
      <c r="Q1780" s="11"/>
    </row>
    <row r="1781" spans="2:17" ht="21" customHeight="1" x14ac:dyDescent="0.35">
      <c r="B1781" s="18">
        <v>44037</v>
      </c>
      <c r="C1781" s="18" t="str">
        <f>TEXT(Sales[[#This Row],[Kode Program/Kegiatan ]],"D")</f>
        <v>25</v>
      </c>
      <c r="D1781" s="19" t="str">
        <f>TEXT(Sales[[#This Row],[Kode Program/Kegiatan ]],"mmm")</f>
        <v>Jul</v>
      </c>
      <c r="E1781" s="20">
        <v>7</v>
      </c>
      <c r="F1781" s="19">
        <v>7</v>
      </c>
      <c r="G1781" s="20" t="str">
        <f>IF(Sales[[#This Row],[Anggaran Murni]]-Sales[[#This Row],[Target s.d. Januari]]=0,"",Sales[[#This Row],[Anggaran Murni]]-Sales[[#This Row],[Target s.d. Januari]])</f>
        <v/>
      </c>
      <c r="H1781" s="19" t="s">
        <v>75</v>
      </c>
      <c r="I1781" s="20" t="s">
        <v>6</v>
      </c>
      <c r="J1781" s="20">
        <v>80000000</v>
      </c>
      <c r="K1781" s="19" t="s">
        <v>48</v>
      </c>
      <c r="L1781" s="19" t="s">
        <v>2</v>
      </c>
      <c r="M1781" s="21" t="s">
        <v>67</v>
      </c>
      <c r="N1781" s="20" t="s">
        <v>82</v>
      </c>
      <c r="O1781" s="19" t="s">
        <v>12</v>
      </c>
      <c r="P1781" s="10"/>
      <c r="Q1781" s="11"/>
    </row>
    <row r="1782" spans="2:17" ht="21" customHeight="1" x14ac:dyDescent="0.35">
      <c r="B1782" s="1">
        <v>44037</v>
      </c>
      <c r="C1782" s="1" t="str">
        <f>TEXT(Sales[[#This Row],[Kode Program/Kegiatan ]],"D")</f>
        <v>25</v>
      </c>
      <c r="D1782" s="2" t="str">
        <f>TEXT(Sales[[#This Row],[Kode Program/Kegiatan ]],"mmm")</f>
        <v>Jul</v>
      </c>
      <c r="E1782" s="3">
        <v>7</v>
      </c>
      <c r="F1782" s="2">
        <v>7</v>
      </c>
      <c r="G1782" s="3" t="str">
        <f>IF(Sales[[#This Row],[Anggaran Murni]]-Sales[[#This Row],[Target s.d. Januari]]=0,"",Sales[[#This Row],[Anggaran Murni]]-Sales[[#This Row],[Target s.d. Januari]])</f>
        <v/>
      </c>
      <c r="H1782" s="2" t="s">
        <v>114</v>
      </c>
      <c r="I1782" s="3" t="s">
        <v>3</v>
      </c>
      <c r="J1782" s="3">
        <v>120000000</v>
      </c>
      <c r="K1782" s="2" t="s">
        <v>34</v>
      </c>
      <c r="L1782" s="2" t="s">
        <v>5</v>
      </c>
      <c r="M1782" s="4" t="s">
        <v>67</v>
      </c>
      <c r="N1782" s="3" t="s">
        <v>82</v>
      </c>
      <c r="O1782" s="2" t="s">
        <v>13</v>
      </c>
      <c r="P1782" s="10"/>
      <c r="Q1782" s="11"/>
    </row>
    <row r="1783" spans="2:17" ht="21" customHeight="1" x14ac:dyDescent="0.35">
      <c r="B1783" s="18">
        <v>44037</v>
      </c>
      <c r="C1783" s="18" t="str">
        <f>TEXT(Sales[[#This Row],[Kode Program/Kegiatan ]],"D")</f>
        <v>25</v>
      </c>
      <c r="D1783" s="19" t="str">
        <f>TEXT(Sales[[#This Row],[Kode Program/Kegiatan ]],"mmm")</f>
        <v>Jul</v>
      </c>
      <c r="E1783" s="20">
        <v>4</v>
      </c>
      <c r="F1783" s="19">
        <v>4</v>
      </c>
      <c r="G1783" s="20" t="str">
        <f>IF(Sales[[#This Row],[Anggaran Murni]]-Sales[[#This Row],[Target s.d. Januari]]=0,"",Sales[[#This Row],[Anggaran Murni]]-Sales[[#This Row],[Target s.d. Januari]])</f>
        <v/>
      </c>
      <c r="H1783" s="19" t="s">
        <v>114</v>
      </c>
      <c r="I1783" s="20" t="s">
        <v>3</v>
      </c>
      <c r="J1783" s="20">
        <v>60000000</v>
      </c>
      <c r="K1783" s="19" t="s">
        <v>58</v>
      </c>
      <c r="L1783" s="19" t="s">
        <v>2</v>
      </c>
      <c r="M1783" s="21" t="s">
        <v>67</v>
      </c>
      <c r="N1783" s="20" t="s">
        <v>81</v>
      </c>
      <c r="O1783" s="19" t="s">
        <v>11</v>
      </c>
      <c r="P1783" s="10"/>
      <c r="Q1783" s="11"/>
    </row>
    <row r="1784" spans="2:17" ht="21" customHeight="1" x14ac:dyDescent="0.35">
      <c r="B1784" s="1">
        <v>44037</v>
      </c>
      <c r="C1784" s="1" t="str">
        <f>TEXT(Sales[[#This Row],[Kode Program/Kegiatan ]],"D")</f>
        <v>25</v>
      </c>
      <c r="D1784" s="2" t="str">
        <f>TEXT(Sales[[#This Row],[Kode Program/Kegiatan ]],"mmm")</f>
        <v>Jul</v>
      </c>
      <c r="E1784" s="3">
        <v>4</v>
      </c>
      <c r="F1784" s="2">
        <v>4</v>
      </c>
      <c r="G1784" s="3" t="str">
        <f>IF(Sales[[#This Row],[Anggaran Murni]]-Sales[[#This Row],[Target s.d. Januari]]=0,"",Sales[[#This Row],[Anggaran Murni]]-Sales[[#This Row],[Target s.d. Januari]])</f>
        <v/>
      </c>
      <c r="H1784" s="2" t="s">
        <v>71</v>
      </c>
      <c r="I1784" s="3" t="s">
        <v>6</v>
      </c>
      <c r="J1784" s="3">
        <v>120000000</v>
      </c>
      <c r="K1784" s="2" t="s">
        <v>61</v>
      </c>
      <c r="L1784" s="2" t="s">
        <v>2</v>
      </c>
      <c r="M1784" s="4" t="s">
        <v>67</v>
      </c>
      <c r="N1784" s="3" t="s">
        <v>81</v>
      </c>
      <c r="O1784" s="2" t="s">
        <v>12</v>
      </c>
      <c r="P1784" s="10"/>
      <c r="Q1784" s="11"/>
    </row>
    <row r="1785" spans="2:17" ht="21" customHeight="1" x14ac:dyDescent="0.35">
      <c r="B1785" s="18">
        <v>44037</v>
      </c>
      <c r="C1785" s="18" t="str">
        <f>TEXT(Sales[[#This Row],[Kode Program/Kegiatan ]],"D")</f>
        <v>25</v>
      </c>
      <c r="D1785" s="19" t="str">
        <f>TEXT(Sales[[#This Row],[Kode Program/Kegiatan ]],"mmm")</f>
        <v>Jul</v>
      </c>
      <c r="E1785" s="20">
        <v>3</v>
      </c>
      <c r="F1785" s="19">
        <v>3</v>
      </c>
      <c r="G1785" s="20" t="str">
        <f>IF(Sales[[#This Row],[Anggaran Murni]]-Sales[[#This Row],[Target s.d. Januari]]=0,"",Sales[[#This Row],[Anggaran Murni]]-Sales[[#This Row],[Target s.d. Januari]])</f>
        <v/>
      </c>
      <c r="H1785" s="19" t="s">
        <v>70</v>
      </c>
      <c r="I1785" s="20" t="s">
        <v>1</v>
      </c>
      <c r="J1785" s="20">
        <v>40000000</v>
      </c>
      <c r="K1785" s="19" t="s">
        <v>51</v>
      </c>
      <c r="L1785" s="19" t="s">
        <v>2</v>
      </c>
      <c r="M1785" s="21" t="s">
        <v>67</v>
      </c>
      <c r="N1785" s="20" t="s">
        <v>82</v>
      </c>
      <c r="O1785" s="19" t="s">
        <v>11</v>
      </c>
      <c r="P1785" s="10"/>
      <c r="Q1785" s="11"/>
    </row>
    <row r="1786" spans="2:17" ht="21" customHeight="1" x14ac:dyDescent="0.35">
      <c r="B1786" s="1">
        <v>44037</v>
      </c>
      <c r="C1786" s="1" t="str">
        <f>TEXT(Sales[[#This Row],[Kode Program/Kegiatan ]],"D")</f>
        <v>25</v>
      </c>
      <c r="D1786" s="2" t="str">
        <f>TEXT(Sales[[#This Row],[Kode Program/Kegiatan ]],"mmm")</f>
        <v>Jul</v>
      </c>
      <c r="E1786" s="3">
        <v>3</v>
      </c>
      <c r="F1786" s="2">
        <v>3</v>
      </c>
      <c r="G1786" s="3" t="str">
        <f>IF(Sales[[#This Row],[Anggaran Murni]]-Sales[[#This Row],[Target s.d. Januari]]=0,"",Sales[[#This Row],[Anggaran Murni]]-Sales[[#This Row],[Target s.d. Januari]])</f>
        <v/>
      </c>
      <c r="H1786" s="2" t="s">
        <v>70</v>
      </c>
      <c r="I1786" s="3" t="s">
        <v>1</v>
      </c>
      <c r="J1786" s="3">
        <v>140000000</v>
      </c>
      <c r="K1786" s="2" t="s">
        <v>25</v>
      </c>
      <c r="L1786" s="2" t="s">
        <v>5</v>
      </c>
      <c r="M1786" s="4" t="s">
        <v>67</v>
      </c>
      <c r="N1786" s="3" t="s">
        <v>82</v>
      </c>
      <c r="O1786" s="2" t="s">
        <v>13</v>
      </c>
      <c r="P1786" s="10"/>
      <c r="Q1786" s="11"/>
    </row>
    <row r="1787" spans="2:17" ht="21" customHeight="1" x14ac:dyDescent="0.35">
      <c r="B1787" s="18">
        <v>44038</v>
      </c>
      <c r="C1787" s="18" t="str">
        <f>TEXT(Sales[[#This Row],[Kode Program/Kegiatan ]],"D")</f>
        <v>26</v>
      </c>
      <c r="D1787" s="19" t="str">
        <f>TEXT(Sales[[#This Row],[Kode Program/Kegiatan ]],"mmm")</f>
        <v>Jul</v>
      </c>
      <c r="E1787" s="20">
        <v>10</v>
      </c>
      <c r="F1787" s="19">
        <v>6</v>
      </c>
      <c r="G1787" s="20">
        <f>IF(Sales[[#This Row],[Anggaran Murni]]-Sales[[#This Row],[Target s.d. Januari]]=0,"",Sales[[#This Row],[Anggaran Murni]]-Sales[[#This Row],[Target s.d. Januari]])</f>
        <v>4</v>
      </c>
      <c r="H1787" s="19" t="s">
        <v>75</v>
      </c>
      <c r="I1787" s="20" t="s">
        <v>6</v>
      </c>
      <c r="J1787" s="20">
        <v>100000000</v>
      </c>
      <c r="K1787" s="19" t="s">
        <v>20</v>
      </c>
      <c r="L1787" s="19" t="s">
        <v>4</v>
      </c>
      <c r="M1787" s="21" t="s">
        <v>67</v>
      </c>
      <c r="N1787" s="20" t="s">
        <v>81</v>
      </c>
      <c r="O1787" s="19" t="s">
        <v>12</v>
      </c>
      <c r="P1787" s="10"/>
      <c r="Q1787" s="11"/>
    </row>
    <row r="1788" spans="2:17" ht="21" customHeight="1" x14ac:dyDescent="0.35">
      <c r="B1788" s="1">
        <v>44038</v>
      </c>
      <c r="C1788" s="1" t="str">
        <f>TEXT(Sales[[#This Row],[Kode Program/Kegiatan ]],"D")</f>
        <v>26</v>
      </c>
      <c r="D1788" s="2" t="str">
        <f>TEXT(Sales[[#This Row],[Kode Program/Kegiatan ]],"mmm")</f>
        <v>Jul</v>
      </c>
      <c r="E1788" s="3">
        <v>10</v>
      </c>
      <c r="F1788" s="2">
        <v>7</v>
      </c>
      <c r="G1788" s="3">
        <f>IF(Sales[[#This Row],[Anggaran Murni]]-Sales[[#This Row],[Target s.d. Januari]]=0,"",Sales[[#This Row],[Anggaran Murni]]-Sales[[#This Row],[Target s.d. Januari]])</f>
        <v>3</v>
      </c>
      <c r="H1788" s="2" t="s">
        <v>114</v>
      </c>
      <c r="I1788" s="3" t="s">
        <v>3</v>
      </c>
      <c r="J1788" s="3">
        <v>140000000</v>
      </c>
      <c r="K1788" s="2" t="s">
        <v>18</v>
      </c>
      <c r="L1788" s="2" t="s">
        <v>5</v>
      </c>
      <c r="M1788" s="4" t="s">
        <v>67</v>
      </c>
      <c r="N1788" s="3" t="s">
        <v>82</v>
      </c>
      <c r="O1788" s="2" t="s">
        <v>12</v>
      </c>
      <c r="P1788" s="10"/>
      <c r="Q1788" s="11"/>
    </row>
    <row r="1789" spans="2:17" ht="21" customHeight="1" x14ac:dyDescent="0.35">
      <c r="B1789" s="18">
        <v>44038</v>
      </c>
      <c r="C1789" s="18" t="str">
        <f>TEXT(Sales[[#This Row],[Kode Program/Kegiatan ]],"D")</f>
        <v>26</v>
      </c>
      <c r="D1789" s="19" t="str">
        <f>TEXT(Sales[[#This Row],[Kode Program/Kegiatan ]],"mmm")</f>
        <v>Jul</v>
      </c>
      <c r="E1789" s="20">
        <v>7</v>
      </c>
      <c r="F1789" s="19">
        <v>4</v>
      </c>
      <c r="G1789" s="20">
        <f>IF(Sales[[#This Row],[Anggaran Murni]]-Sales[[#This Row],[Target s.d. Januari]]=0,"",Sales[[#This Row],[Anggaran Murni]]-Sales[[#This Row],[Target s.d. Januari]])</f>
        <v>3</v>
      </c>
      <c r="H1789" s="19" t="s">
        <v>113</v>
      </c>
      <c r="I1789" s="20" t="s">
        <v>77</v>
      </c>
      <c r="J1789" s="20">
        <v>40000000</v>
      </c>
      <c r="K1789" s="19" t="s">
        <v>55</v>
      </c>
      <c r="L1789" s="19" t="s">
        <v>2</v>
      </c>
      <c r="M1789" s="21" t="s">
        <v>67</v>
      </c>
      <c r="N1789" s="20" t="s">
        <v>81</v>
      </c>
      <c r="O1789" s="19" t="s">
        <v>12</v>
      </c>
      <c r="P1789" s="10"/>
      <c r="Q1789" s="11"/>
    </row>
    <row r="1790" spans="2:17" ht="21" customHeight="1" x14ac:dyDescent="0.35">
      <c r="B1790" s="1">
        <v>44038</v>
      </c>
      <c r="C1790" s="1" t="str">
        <f>TEXT(Sales[[#This Row],[Kode Program/Kegiatan ]],"D")</f>
        <v>26</v>
      </c>
      <c r="D1790" s="2" t="str">
        <f>TEXT(Sales[[#This Row],[Kode Program/Kegiatan ]],"mmm")</f>
        <v>Jul</v>
      </c>
      <c r="E1790" s="3">
        <v>5</v>
      </c>
      <c r="F1790" s="2">
        <v>3</v>
      </c>
      <c r="G1790" s="3">
        <f>IF(Sales[[#This Row],[Anggaran Murni]]-Sales[[#This Row],[Target s.d. Januari]]=0,"",Sales[[#This Row],[Anggaran Murni]]-Sales[[#This Row],[Target s.d. Januari]])</f>
        <v>2</v>
      </c>
      <c r="H1790" s="2" t="s">
        <v>74</v>
      </c>
      <c r="I1790" s="3" t="s">
        <v>77</v>
      </c>
      <c r="J1790" s="3">
        <v>100000000</v>
      </c>
      <c r="K1790" s="2" t="s">
        <v>59</v>
      </c>
      <c r="L1790" s="2" t="s">
        <v>5</v>
      </c>
      <c r="M1790" s="4" t="s">
        <v>67</v>
      </c>
      <c r="N1790" s="3" t="s">
        <v>82</v>
      </c>
      <c r="O1790" s="2" t="s">
        <v>13</v>
      </c>
      <c r="P1790" s="10"/>
      <c r="Q1790" s="11"/>
    </row>
    <row r="1791" spans="2:17" ht="21" customHeight="1" x14ac:dyDescent="0.35">
      <c r="B1791" s="18">
        <v>44038</v>
      </c>
      <c r="C1791" s="18" t="str">
        <f>TEXT(Sales[[#This Row],[Kode Program/Kegiatan ]],"D")</f>
        <v>26</v>
      </c>
      <c r="D1791" s="19" t="str">
        <f>TEXT(Sales[[#This Row],[Kode Program/Kegiatan ]],"mmm")</f>
        <v>Jul</v>
      </c>
      <c r="E1791" s="20">
        <v>5</v>
      </c>
      <c r="F1791" s="19">
        <v>3</v>
      </c>
      <c r="G1791" s="20">
        <f>IF(Sales[[#This Row],[Anggaran Murni]]-Sales[[#This Row],[Target s.d. Januari]]=0,"",Sales[[#This Row],[Anggaran Murni]]-Sales[[#This Row],[Target s.d. Januari]])</f>
        <v>2</v>
      </c>
      <c r="H1791" s="19" t="s">
        <v>72</v>
      </c>
      <c r="I1791" s="20" t="s">
        <v>78</v>
      </c>
      <c r="J1791" s="20">
        <v>40000000</v>
      </c>
      <c r="K1791" s="19" t="s">
        <v>39</v>
      </c>
      <c r="L1791" s="19" t="s">
        <v>5</v>
      </c>
      <c r="M1791" s="21" t="s">
        <v>67</v>
      </c>
      <c r="N1791" s="20" t="s">
        <v>80</v>
      </c>
      <c r="O1791" s="19" t="s">
        <v>11</v>
      </c>
      <c r="P1791" s="10"/>
      <c r="Q1791" s="11"/>
    </row>
    <row r="1792" spans="2:17" ht="21" customHeight="1" x14ac:dyDescent="0.35">
      <c r="B1792" s="1">
        <v>44038</v>
      </c>
      <c r="C1792" s="1" t="str">
        <f>TEXT(Sales[[#This Row],[Kode Program/Kegiatan ]],"D")</f>
        <v>26</v>
      </c>
      <c r="D1792" s="2" t="str">
        <f>TEXT(Sales[[#This Row],[Kode Program/Kegiatan ]],"mmm")</f>
        <v>Jul</v>
      </c>
      <c r="E1792" s="3">
        <v>5</v>
      </c>
      <c r="F1792" s="2">
        <v>4</v>
      </c>
      <c r="G1792" s="3">
        <f>IF(Sales[[#This Row],[Anggaran Murni]]-Sales[[#This Row],[Target s.d. Januari]]=0,"",Sales[[#This Row],[Anggaran Murni]]-Sales[[#This Row],[Target s.d. Januari]])</f>
        <v>1</v>
      </c>
      <c r="H1792" s="2" t="s">
        <v>72</v>
      </c>
      <c r="I1792" s="3" t="s">
        <v>78</v>
      </c>
      <c r="J1792" s="3">
        <v>100000000</v>
      </c>
      <c r="K1792" s="2" t="s">
        <v>16</v>
      </c>
      <c r="L1792" s="2" t="s">
        <v>7</v>
      </c>
      <c r="M1792" s="4" t="s">
        <v>67</v>
      </c>
      <c r="N1792" s="3" t="s">
        <v>80</v>
      </c>
      <c r="O1792" s="2" t="s">
        <v>13</v>
      </c>
      <c r="P1792" s="10"/>
      <c r="Q1792" s="11"/>
    </row>
    <row r="1793" spans="2:17" ht="21" customHeight="1" x14ac:dyDescent="0.35">
      <c r="B1793" s="18">
        <v>44038</v>
      </c>
      <c r="C1793" s="18" t="str">
        <f>TEXT(Sales[[#This Row],[Kode Program/Kegiatan ]],"D")</f>
        <v>26</v>
      </c>
      <c r="D1793" s="19" t="str">
        <f>TEXT(Sales[[#This Row],[Kode Program/Kegiatan ]],"mmm")</f>
        <v>Jul</v>
      </c>
      <c r="E1793" s="20">
        <v>4</v>
      </c>
      <c r="F1793" s="19">
        <v>2</v>
      </c>
      <c r="G1793" s="20">
        <f>IF(Sales[[#This Row],[Anggaran Murni]]-Sales[[#This Row],[Target s.d. Januari]]=0,"",Sales[[#This Row],[Anggaran Murni]]-Sales[[#This Row],[Target s.d. Januari]])</f>
        <v>2</v>
      </c>
      <c r="H1793" s="19" t="s">
        <v>73</v>
      </c>
      <c r="I1793" s="20" t="s">
        <v>78</v>
      </c>
      <c r="J1793" s="20">
        <v>60000000</v>
      </c>
      <c r="K1793" s="19" t="s">
        <v>59</v>
      </c>
      <c r="L1793" s="19" t="s">
        <v>8</v>
      </c>
      <c r="M1793" s="21" t="s">
        <v>67</v>
      </c>
      <c r="N1793" s="20" t="s">
        <v>82</v>
      </c>
      <c r="O1793" s="19" t="s">
        <v>13</v>
      </c>
      <c r="P1793" s="10"/>
      <c r="Q1793" s="11"/>
    </row>
    <row r="1794" spans="2:17" ht="21" customHeight="1" x14ac:dyDescent="0.35">
      <c r="B1794" s="1">
        <v>44038</v>
      </c>
      <c r="C1794" s="1" t="str">
        <f>TEXT(Sales[[#This Row],[Kode Program/Kegiatan ]],"D")</f>
        <v>26</v>
      </c>
      <c r="D1794" s="2" t="str">
        <f>TEXT(Sales[[#This Row],[Kode Program/Kegiatan ]],"mmm")</f>
        <v>Jul</v>
      </c>
      <c r="E1794" s="3">
        <v>3</v>
      </c>
      <c r="F1794" s="2">
        <v>1</v>
      </c>
      <c r="G1794" s="3">
        <f>IF(Sales[[#This Row],[Anggaran Murni]]-Sales[[#This Row],[Target s.d. Januari]]=0,"",Sales[[#This Row],[Anggaran Murni]]-Sales[[#This Row],[Target s.d. Januari]])</f>
        <v>2</v>
      </c>
      <c r="H1794" s="2" t="s">
        <v>71</v>
      </c>
      <c r="I1794" s="3" t="s">
        <v>6</v>
      </c>
      <c r="J1794" s="3">
        <v>40000000</v>
      </c>
      <c r="K1794" s="2" t="s">
        <v>58</v>
      </c>
      <c r="L1794" s="2" t="s">
        <v>2</v>
      </c>
      <c r="M1794" s="4" t="s">
        <v>67</v>
      </c>
      <c r="N1794" s="3" t="s">
        <v>81</v>
      </c>
      <c r="O1794" s="2" t="s">
        <v>12</v>
      </c>
      <c r="P1794" s="10"/>
      <c r="Q1794" s="11"/>
    </row>
    <row r="1795" spans="2:17" ht="21" customHeight="1" x14ac:dyDescent="0.35">
      <c r="B1795" s="18">
        <v>44038</v>
      </c>
      <c r="C1795" s="18" t="str">
        <f>TEXT(Sales[[#This Row],[Kode Program/Kegiatan ]],"D")</f>
        <v>26</v>
      </c>
      <c r="D1795" s="19" t="str">
        <f>TEXT(Sales[[#This Row],[Kode Program/Kegiatan ]],"mmm")</f>
        <v>Jul</v>
      </c>
      <c r="E1795" s="20">
        <v>3</v>
      </c>
      <c r="F1795" s="19">
        <v>1</v>
      </c>
      <c r="G1795" s="20">
        <f>IF(Sales[[#This Row],[Anggaran Murni]]-Sales[[#This Row],[Target s.d. Januari]]=0,"",Sales[[#This Row],[Anggaran Murni]]-Sales[[#This Row],[Target s.d. Januari]])</f>
        <v>2</v>
      </c>
      <c r="H1795" s="19" t="s">
        <v>114</v>
      </c>
      <c r="I1795" s="20" t="s">
        <v>3</v>
      </c>
      <c r="J1795" s="20">
        <v>60000000</v>
      </c>
      <c r="K1795" s="19" t="s">
        <v>54</v>
      </c>
      <c r="L1795" s="19" t="s">
        <v>5</v>
      </c>
      <c r="M1795" s="21" t="s">
        <v>67</v>
      </c>
      <c r="N1795" s="20" t="s">
        <v>81</v>
      </c>
      <c r="O1795" s="19" t="s">
        <v>11</v>
      </c>
      <c r="P1795" s="10"/>
      <c r="Q1795" s="11"/>
    </row>
    <row r="1796" spans="2:17" ht="21" customHeight="1" x14ac:dyDescent="0.35">
      <c r="B1796" s="1">
        <v>44039</v>
      </c>
      <c r="C1796" s="1" t="str">
        <f>TEXT(Sales[[#This Row],[Kode Program/Kegiatan ]],"D")</f>
        <v>27</v>
      </c>
      <c r="D1796" s="2" t="str">
        <f>TEXT(Sales[[#This Row],[Kode Program/Kegiatan ]],"mmm")</f>
        <v>Jul</v>
      </c>
      <c r="E1796" s="3">
        <v>10</v>
      </c>
      <c r="F1796" s="2">
        <v>6</v>
      </c>
      <c r="G1796" s="3">
        <f>IF(Sales[[#This Row],[Anggaran Murni]]-Sales[[#This Row],[Target s.d. Januari]]=0,"",Sales[[#This Row],[Anggaran Murni]]-Sales[[#This Row],[Target s.d. Januari]])</f>
        <v>4</v>
      </c>
      <c r="H1796" s="2" t="s">
        <v>72</v>
      </c>
      <c r="I1796" s="3" t="s">
        <v>78</v>
      </c>
      <c r="J1796" s="3">
        <v>140000000</v>
      </c>
      <c r="K1796" s="2" t="s">
        <v>26</v>
      </c>
      <c r="L1796" s="2" t="s">
        <v>5</v>
      </c>
      <c r="M1796" s="4" t="s">
        <v>67</v>
      </c>
      <c r="N1796" s="3" t="s">
        <v>81</v>
      </c>
      <c r="O1796" s="2" t="s">
        <v>12</v>
      </c>
      <c r="P1796" s="10"/>
      <c r="Q1796" s="11"/>
    </row>
    <row r="1797" spans="2:17" ht="21" customHeight="1" x14ac:dyDescent="0.35">
      <c r="B1797" s="18">
        <v>44039</v>
      </c>
      <c r="C1797" s="18" t="str">
        <f>TEXT(Sales[[#This Row],[Kode Program/Kegiatan ]],"D")</f>
        <v>27</v>
      </c>
      <c r="D1797" s="19" t="str">
        <f>TEXT(Sales[[#This Row],[Kode Program/Kegiatan ]],"mmm")</f>
        <v>Jul</v>
      </c>
      <c r="E1797" s="20">
        <v>10</v>
      </c>
      <c r="F1797" s="19">
        <v>8</v>
      </c>
      <c r="G1797" s="20">
        <f>IF(Sales[[#This Row],[Anggaran Murni]]-Sales[[#This Row],[Target s.d. Januari]]=0,"",Sales[[#This Row],[Anggaran Murni]]-Sales[[#This Row],[Target s.d. Januari]])</f>
        <v>2</v>
      </c>
      <c r="H1797" s="19" t="s">
        <v>113</v>
      </c>
      <c r="I1797" s="20" t="s">
        <v>77</v>
      </c>
      <c r="J1797" s="20">
        <v>100000000</v>
      </c>
      <c r="K1797" s="19" t="s">
        <v>24</v>
      </c>
      <c r="L1797" s="19" t="s">
        <v>2</v>
      </c>
      <c r="M1797" s="21" t="s">
        <v>67</v>
      </c>
      <c r="N1797" s="20" t="s">
        <v>82</v>
      </c>
      <c r="O1797" s="19" t="s">
        <v>13</v>
      </c>
      <c r="P1797" s="10"/>
      <c r="Q1797" s="11"/>
    </row>
    <row r="1798" spans="2:17" ht="21" customHeight="1" x14ac:dyDescent="0.35">
      <c r="B1798" s="1">
        <v>44039</v>
      </c>
      <c r="C1798" s="1" t="str">
        <f>TEXT(Sales[[#This Row],[Kode Program/Kegiatan ]],"D")</f>
        <v>27</v>
      </c>
      <c r="D1798" s="2" t="str">
        <f>TEXT(Sales[[#This Row],[Kode Program/Kegiatan ]],"mmm")</f>
        <v>Jul</v>
      </c>
      <c r="E1798" s="3">
        <v>10</v>
      </c>
      <c r="F1798" s="2">
        <v>7</v>
      </c>
      <c r="G1798" s="3">
        <f>IF(Sales[[#This Row],[Anggaran Murni]]-Sales[[#This Row],[Target s.d. Januari]]=0,"",Sales[[#This Row],[Anggaran Murni]]-Sales[[#This Row],[Target s.d. Januari]])</f>
        <v>3</v>
      </c>
      <c r="H1798" s="2" t="s">
        <v>70</v>
      </c>
      <c r="I1798" s="3" t="s">
        <v>1</v>
      </c>
      <c r="J1798" s="3">
        <v>60000000</v>
      </c>
      <c r="K1798" s="2" t="s">
        <v>60</v>
      </c>
      <c r="L1798" s="2" t="s">
        <v>2</v>
      </c>
      <c r="M1798" s="4" t="s">
        <v>67</v>
      </c>
      <c r="N1798" s="3" t="s">
        <v>82</v>
      </c>
      <c r="O1798" s="2" t="s">
        <v>14</v>
      </c>
      <c r="P1798" s="10"/>
      <c r="Q1798" s="11"/>
    </row>
    <row r="1799" spans="2:17" ht="21" customHeight="1" x14ac:dyDescent="0.35">
      <c r="B1799" s="18">
        <v>44039</v>
      </c>
      <c r="C1799" s="18" t="str">
        <f>TEXT(Sales[[#This Row],[Kode Program/Kegiatan ]],"D")</f>
        <v>27</v>
      </c>
      <c r="D1799" s="19" t="str">
        <f>TEXT(Sales[[#This Row],[Kode Program/Kegiatan ]],"mmm")</f>
        <v>Jul</v>
      </c>
      <c r="E1799" s="20">
        <v>9</v>
      </c>
      <c r="F1799" s="19">
        <v>6</v>
      </c>
      <c r="G1799" s="20">
        <f>IF(Sales[[#This Row],[Anggaran Murni]]-Sales[[#This Row],[Target s.d. Januari]]=0,"",Sales[[#This Row],[Anggaran Murni]]-Sales[[#This Row],[Target s.d. Januari]])</f>
        <v>3</v>
      </c>
      <c r="H1799" s="19" t="s">
        <v>72</v>
      </c>
      <c r="I1799" s="20" t="s">
        <v>78</v>
      </c>
      <c r="J1799" s="20">
        <v>100000000</v>
      </c>
      <c r="K1799" s="19" t="s">
        <v>50</v>
      </c>
      <c r="L1799" s="19" t="s">
        <v>8</v>
      </c>
      <c r="M1799" s="21" t="s">
        <v>67</v>
      </c>
      <c r="N1799" s="20" t="s">
        <v>80</v>
      </c>
      <c r="O1799" s="19" t="s">
        <v>11</v>
      </c>
      <c r="P1799" s="10"/>
      <c r="Q1799" s="11"/>
    </row>
    <row r="1800" spans="2:17" ht="21" customHeight="1" x14ac:dyDescent="0.35">
      <c r="B1800" s="1">
        <v>44039</v>
      </c>
      <c r="C1800" s="1" t="str">
        <f>TEXT(Sales[[#This Row],[Kode Program/Kegiatan ]],"D")</f>
        <v>27</v>
      </c>
      <c r="D1800" s="2" t="str">
        <f>TEXT(Sales[[#This Row],[Kode Program/Kegiatan ]],"mmm")</f>
        <v>Jul</v>
      </c>
      <c r="E1800" s="3">
        <v>7</v>
      </c>
      <c r="F1800" s="2">
        <v>5</v>
      </c>
      <c r="G1800" s="3">
        <f>IF(Sales[[#This Row],[Anggaran Murni]]-Sales[[#This Row],[Target s.d. Januari]]=0,"",Sales[[#This Row],[Anggaran Murni]]-Sales[[#This Row],[Target s.d. Januari]])</f>
        <v>2</v>
      </c>
      <c r="H1800" s="2" t="s">
        <v>71</v>
      </c>
      <c r="I1800" s="3" t="s">
        <v>6</v>
      </c>
      <c r="J1800" s="3">
        <v>140000000</v>
      </c>
      <c r="K1800" s="2" t="s">
        <v>16</v>
      </c>
      <c r="L1800" s="2" t="s">
        <v>2</v>
      </c>
      <c r="M1800" s="4" t="s">
        <v>67</v>
      </c>
      <c r="N1800" s="3" t="s">
        <v>80</v>
      </c>
      <c r="O1800" s="2" t="s">
        <v>14</v>
      </c>
      <c r="P1800" s="10"/>
      <c r="Q1800" s="11"/>
    </row>
    <row r="1801" spans="2:17" ht="21" customHeight="1" x14ac:dyDescent="0.35">
      <c r="B1801" s="18">
        <v>44039</v>
      </c>
      <c r="C1801" s="18" t="str">
        <f>TEXT(Sales[[#This Row],[Kode Program/Kegiatan ]],"D")</f>
        <v>27</v>
      </c>
      <c r="D1801" s="19" t="str">
        <f>TEXT(Sales[[#This Row],[Kode Program/Kegiatan ]],"mmm")</f>
        <v>Jul</v>
      </c>
      <c r="E1801" s="20">
        <v>7</v>
      </c>
      <c r="F1801" s="19">
        <v>6</v>
      </c>
      <c r="G1801" s="20">
        <f>IF(Sales[[#This Row],[Anggaran Murni]]-Sales[[#This Row],[Target s.d. Januari]]=0,"",Sales[[#This Row],[Anggaran Murni]]-Sales[[#This Row],[Target s.d. Januari]])</f>
        <v>1</v>
      </c>
      <c r="H1801" s="19" t="s">
        <v>72</v>
      </c>
      <c r="I1801" s="20" t="s">
        <v>78</v>
      </c>
      <c r="J1801" s="20">
        <v>100000000</v>
      </c>
      <c r="K1801" s="19" t="s">
        <v>58</v>
      </c>
      <c r="L1801" s="19" t="s">
        <v>4</v>
      </c>
      <c r="M1801" s="21" t="s">
        <v>67</v>
      </c>
      <c r="N1801" s="20" t="s">
        <v>81</v>
      </c>
      <c r="O1801" s="19" t="s">
        <v>13</v>
      </c>
      <c r="P1801" s="10"/>
      <c r="Q1801" s="11"/>
    </row>
    <row r="1802" spans="2:17" ht="21" customHeight="1" x14ac:dyDescent="0.35">
      <c r="B1802" s="1">
        <v>44039</v>
      </c>
      <c r="C1802" s="1" t="str">
        <f>TEXT(Sales[[#This Row],[Kode Program/Kegiatan ]],"D")</f>
        <v>27</v>
      </c>
      <c r="D1802" s="2" t="str">
        <f>TEXT(Sales[[#This Row],[Kode Program/Kegiatan ]],"mmm")</f>
        <v>Jul</v>
      </c>
      <c r="E1802" s="3">
        <v>7</v>
      </c>
      <c r="F1802" s="2">
        <v>4</v>
      </c>
      <c r="G1802" s="3">
        <f>IF(Sales[[#This Row],[Anggaran Murni]]-Sales[[#This Row],[Target s.d. Januari]]=0,"",Sales[[#This Row],[Anggaran Murni]]-Sales[[#This Row],[Target s.d. Januari]])</f>
        <v>3</v>
      </c>
      <c r="H1802" s="2" t="s">
        <v>70</v>
      </c>
      <c r="I1802" s="3" t="s">
        <v>1</v>
      </c>
      <c r="J1802" s="3">
        <v>80000000</v>
      </c>
      <c r="K1802" s="2" t="s">
        <v>61</v>
      </c>
      <c r="L1802" s="2" t="s">
        <v>8</v>
      </c>
      <c r="M1802" s="4" t="s">
        <v>67</v>
      </c>
      <c r="N1802" s="3" t="s">
        <v>81</v>
      </c>
      <c r="O1802" s="2" t="s">
        <v>13</v>
      </c>
      <c r="P1802" s="10"/>
      <c r="Q1802" s="11"/>
    </row>
    <row r="1803" spans="2:17" ht="21" customHeight="1" x14ac:dyDescent="0.35">
      <c r="B1803" s="18">
        <v>44039</v>
      </c>
      <c r="C1803" s="18" t="str">
        <f>TEXT(Sales[[#This Row],[Kode Program/Kegiatan ]],"D")</f>
        <v>27</v>
      </c>
      <c r="D1803" s="19" t="str">
        <f>TEXT(Sales[[#This Row],[Kode Program/Kegiatan ]],"mmm")</f>
        <v>Jul</v>
      </c>
      <c r="E1803" s="20">
        <v>5</v>
      </c>
      <c r="F1803" s="19">
        <v>4</v>
      </c>
      <c r="G1803" s="20">
        <f>IF(Sales[[#This Row],[Anggaran Murni]]-Sales[[#This Row],[Target s.d. Januari]]=0,"",Sales[[#This Row],[Anggaran Murni]]-Sales[[#This Row],[Target s.d. Januari]])</f>
        <v>1</v>
      </c>
      <c r="H1803" s="19" t="s">
        <v>70</v>
      </c>
      <c r="I1803" s="20" t="s">
        <v>1</v>
      </c>
      <c r="J1803" s="20">
        <v>40000000</v>
      </c>
      <c r="K1803" s="19" t="s">
        <v>53</v>
      </c>
      <c r="L1803" s="19" t="s">
        <v>7</v>
      </c>
      <c r="M1803" s="21" t="s">
        <v>67</v>
      </c>
      <c r="N1803" s="20" t="s">
        <v>80</v>
      </c>
      <c r="O1803" s="19" t="s">
        <v>11</v>
      </c>
      <c r="P1803" s="10"/>
      <c r="Q1803" s="11"/>
    </row>
    <row r="1804" spans="2:17" ht="21" customHeight="1" x14ac:dyDescent="0.35">
      <c r="B1804" s="1">
        <v>44039</v>
      </c>
      <c r="C1804" s="1" t="str">
        <f>TEXT(Sales[[#This Row],[Kode Program/Kegiatan ]],"D")</f>
        <v>27</v>
      </c>
      <c r="D1804" s="2" t="str">
        <f>TEXT(Sales[[#This Row],[Kode Program/Kegiatan ]],"mmm")</f>
        <v>Jul</v>
      </c>
      <c r="E1804" s="3">
        <v>4</v>
      </c>
      <c r="F1804" s="2">
        <v>2</v>
      </c>
      <c r="G1804" s="3">
        <f>IF(Sales[[#This Row],[Anggaran Murni]]-Sales[[#This Row],[Target s.d. Januari]]=0,"",Sales[[#This Row],[Anggaran Murni]]-Sales[[#This Row],[Target s.d. Januari]])</f>
        <v>2</v>
      </c>
      <c r="H1804" s="2" t="s">
        <v>113</v>
      </c>
      <c r="I1804" s="3" t="s">
        <v>77</v>
      </c>
      <c r="J1804" s="3">
        <v>60000000</v>
      </c>
      <c r="K1804" s="2" t="s">
        <v>22</v>
      </c>
      <c r="L1804" s="2" t="s">
        <v>2</v>
      </c>
      <c r="M1804" s="4" t="s">
        <v>67</v>
      </c>
      <c r="N1804" s="3" t="s">
        <v>82</v>
      </c>
      <c r="O1804" s="2" t="s">
        <v>14</v>
      </c>
      <c r="P1804" s="10"/>
      <c r="Q1804" s="11"/>
    </row>
    <row r="1805" spans="2:17" ht="21" customHeight="1" x14ac:dyDescent="0.35">
      <c r="B1805" s="18">
        <v>44040</v>
      </c>
      <c r="C1805" s="18" t="str">
        <f>TEXT(Sales[[#This Row],[Kode Program/Kegiatan ]],"D")</f>
        <v>28</v>
      </c>
      <c r="D1805" s="19" t="str">
        <f>TEXT(Sales[[#This Row],[Kode Program/Kegiatan ]],"mmm")</f>
        <v>Jul</v>
      </c>
      <c r="E1805" s="20">
        <v>9</v>
      </c>
      <c r="F1805" s="19">
        <v>7</v>
      </c>
      <c r="G1805" s="20">
        <f>IF(Sales[[#This Row],[Anggaran Murni]]-Sales[[#This Row],[Target s.d. Januari]]=0,"",Sales[[#This Row],[Anggaran Murni]]-Sales[[#This Row],[Target s.d. Januari]])</f>
        <v>2</v>
      </c>
      <c r="H1805" s="19" t="s">
        <v>70</v>
      </c>
      <c r="I1805" s="20" t="s">
        <v>1</v>
      </c>
      <c r="J1805" s="20">
        <v>140000000</v>
      </c>
      <c r="K1805" s="19" t="s">
        <v>19</v>
      </c>
      <c r="L1805" s="19" t="s">
        <v>7</v>
      </c>
      <c r="M1805" s="21" t="s">
        <v>67</v>
      </c>
      <c r="N1805" s="20" t="s">
        <v>82</v>
      </c>
      <c r="O1805" s="19" t="s">
        <v>13</v>
      </c>
      <c r="P1805" s="10"/>
      <c r="Q1805" s="11"/>
    </row>
    <row r="1806" spans="2:17" ht="21" customHeight="1" x14ac:dyDescent="0.35">
      <c r="B1806" s="1">
        <v>44040</v>
      </c>
      <c r="C1806" s="1" t="str">
        <f>TEXT(Sales[[#This Row],[Kode Program/Kegiatan ]],"D")</f>
        <v>28</v>
      </c>
      <c r="D1806" s="2" t="str">
        <f>TEXT(Sales[[#This Row],[Kode Program/Kegiatan ]],"mmm")</f>
        <v>Jul</v>
      </c>
      <c r="E1806" s="3">
        <v>9</v>
      </c>
      <c r="F1806" s="2">
        <v>7</v>
      </c>
      <c r="G1806" s="3">
        <f>IF(Sales[[#This Row],[Anggaran Murni]]-Sales[[#This Row],[Target s.d. Januari]]=0,"",Sales[[#This Row],[Anggaran Murni]]-Sales[[#This Row],[Target s.d. Januari]])</f>
        <v>2</v>
      </c>
      <c r="H1806" s="2" t="s">
        <v>71</v>
      </c>
      <c r="I1806" s="3" t="s">
        <v>6</v>
      </c>
      <c r="J1806" s="3">
        <v>60000000</v>
      </c>
      <c r="K1806" s="2" t="s">
        <v>41</v>
      </c>
      <c r="L1806" s="2" t="s">
        <v>5</v>
      </c>
      <c r="M1806" s="4" t="s">
        <v>67</v>
      </c>
      <c r="N1806" s="3" t="s">
        <v>81</v>
      </c>
      <c r="O1806" s="2" t="s">
        <v>11</v>
      </c>
      <c r="P1806" s="10"/>
      <c r="Q1806" s="11"/>
    </row>
    <row r="1807" spans="2:17" ht="21" customHeight="1" x14ac:dyDescent="0.35">
      <c r="B1807" s="18">
        <v>44040</v>
      </c>
      <c r="C1807" s="18" t="str">
        <f>TEXT(Sales[[#This Row],[Kode Program/Kegiatan ]],"D")</f>
        <v>28</v>
      </c>
      <c r="D1807" s="19" t="str">
        <f>TEXT(Sales[[#This Row],[Kode Program/Kegiatan ]],"mmm")</f>
        <v>Jul</v>
      </c>
      <c r="E1807" s="20">
        <v>7</v>
      </c>
      <c r="F1807" s="19">
        <v>4</v>
      </c>
      <c r="G1807" s="20">
        <f>IF(Sales[[#This Row],[Anggaran Murni]]-Sales[[#This Row],[Target s.d. Januari]]=0,"",Sales[[#This Row],[Anggaran Murni]]-Sales[[#This Row],[Target s.d. Januari]])</f>
        <v>3</v>
      </c>
      <c r="H1807" s="19" t="s">
        <v>114</v>
      </c>
      <c r="I1807" s="20" t="s">
        <v>3</v>
      </c>
      <c r="J1807" s="20">
        <v>100000000</v>
      </c>
      <c r="K1807" s="19" t="s">
        <v>50</v>
      </c>
      <c r="L1807" s="19" t="s">
        <v>5</v>
      </c>
      <c r="M1807" s="21" t="s">
        <v>67</v>
      </c>
      <c r="N1807" s="20" t="s">
        <v>80</v>
      </c>
      <c r="O1807" s="19" t="s">
        <v>13</v>
      </c>
      <c r="P1807" s="10"/>
      <c r="Q1807" s="11"/>
    </row>
    <row r="1808" spans="2:17" ht="21" customHeight="1" x14ac:dyDescent="0.35">
      <c r="B1808" s="1">
        <v>44040</v>
      </c>
      <c r="C1808" s="1" t="str">
        <f>TEXT(Sales[[#This Row],[Kode Program/Kegiatan ]],"D")</f>
        <v>28</v>
      </c>
      <c r="D1808" s="2" t="str">
        <f>TEXT(Sales[[#This Row],[Kode Program/Kegiatan ]],"mmm")</f>
        <v>Jul</v>
      </c>
      <c r="E1808" s="3">
        <v>6</v>
      </c>
      <c r="F1808" s="2">
        <v>3</v>
      </c>
      <c r="G1808" s="3">
        <f>IF(Sales[[#This Row],[Anggaran Murni]]-Sales[[#This Row],[Target s.d. Januari]]=0,"",Sales[[#This Row],[Anggaran Murni]]-Sales[[#This Row],[Target s.d. Januari]])</f>
        <v>3</v>
      </c>
      <c r="H1808" s="2" t="s">
        <v>73</v>
      </c>
      <c r="I1808" s="3" t="s">
        <v>78</v>
      </c>
      <c r="J1808" s="3">
        <v>40000000</v>
      </c>
      <c r="K1808" s="2" t="s">
        <v>43</v>
      </c>
      <c r="L1808" s="2" t="s">
        <v>5</v>
      </c>
      <c r="M1808" s="4" t="s">
        <v>67</v>
      </c>
      <c r="N1808" s="3" t="s">
        <v>82</v>
      </c>
      <c r="O1808" s="2" t="s">
        <v>14</v>
      </c>
      <c r="P1808" s="10"/>
      <c r="Q1808" s="11"/>
    </row>
    <row r="1809" spans="2:17" ht="21" customHeight="1" x14ac:dyDescent="0.35">
      <c r="B1809" s="18">
        <v>44040</v>
      </c>
      <c r="C1809" s="18" t="str">
        <f>TEXT(Sales[[#This Row],[Kode Program/Kegiatan ]],"D")</f>
        <v>28</v>
      </c>
      <c r="D1809" s="19" t="str">
        <f>TEXT(Sales[[#This Row],[Kode Program/Kegiatan ]],"mmm")</f>
        <v>Jul</v>
      </c>
      <c r="E1809" s="20">
        <v>4</v>
      </c>
      <c r="F1809" s="19">
        <v>2</v>
      </c>
      <c r="G1809" s="20">
        <f>IF(Sales[[#This Row],[Anggaran Murni]]-Sales[[#This Row],[Target s.d. Januari]]=0,"",Sales[[#This Row],[Anggaran Murni]]-Sales[[#This Row],[Target s.d. Januari]])</f>
        <v>2</v>
      </c>
      <c r="H1809" s="19" t="s">
        <v>70</v>
      </c>
      <c r="I1809" s="20" t="s">
        <v>1</v>
      </c>
      <c r="J1809" s="20">
        <v>120000000</v>
      </c>
      <c r="K1809" s="19" t="s">
        <v>36</v>
      </c>
      <c r="L1809" s="19" t="s">
        <v>7</v>
      </c>
      <c r="M1809" s="21" t="s">
        <v>67</v>
      </c>
      <c r="N1809" s="20" t="s">
        <v>80</v>
      </c>
      <c r="O1809" s="19" t="s">
        <v>11</v>
      </c>
      <c r="P1809" s="10"/>
      <c r="Q1809" s="11"/>
    </row>
    <row r="1810" spans="2:17" ht="21" customHeight="1" x14ac:dyDescent="0.35">
      <c r="B1810" s="1">
        <v>44041</v>
      </c>
      <c r="C1810" s="1" t="str">
        <f>TEXT(Sales[[#This Row],[Kode Program/Kegiatan ]],"D")</f>
        <v>29</v>
      </c>
      <c r="D1810" s="2" t="str">
        <f>TEXT(Sales[[#This Row],[Kode Program/Kegiatan ]],"mmm")</f>
        <v>Jul</v>
      </c>
      <c r="E1810" s="3">
        <v>10</v>
      </c>
      <c r="F1810" s="2">
        <v>6</v>
      </c>
      <c r="G1810" s="3">
        <f>IF(Sales[[#This Row],[Anggaran Murni]]-Sales[[#This Row],[Target s.d. Januari]]=0,"",Sales[[#This Row],[Anggaran Murni]]-Sales[[#This Row],[Target s.d. Januari]])</f>
        <v>4</v>
      </c>
      <c r="H1810" s="2" t="s">
        <v>76</v>
      </c>
      <c r="I1810" s="3" t="s">
        <v>79</v>
      </c>
      <c r="J1810" s="3">
        <v>60000000</v>
      </c>
      <c r="K1810" s="2" t="s">
        <v>35</v>
      </c>
      <c r="L1810" s="2" t="s">
        <v>5</v>
      </c>
      <c r="M1810" s="4" t="s">
        <v>67</v>
      </c>
      <c r="N1810" s="3" t="s">
        <v>82</v>
      </c>
      <c r="O1810" s="2" t="s">
        <v>12</v>
      </c>
      <c r="P1810" s="10"/>
      <c r="Q1810" s="11"/>
    </row>
    <row r="1811" spans="2:17" ht="21" customHeight="1" x14ac:dyDescent="0.35">
      <c r="B1811" s="18">
        <v>44041</v>
      </c>
      <c r="C1811" s="18" t="str">
        <f>TEXT(Sales[[#This Row],[Kode Program/Kegiatan ]],"D")</f>
        <v>29</v>
      </c>
      <c r="D1811" s="19" t="str">
        <f>TEXT(Sales[[#This Row],[Kode Program/Kegiatan ]],"mmm")</f>
        <v>Jul</v>
      </c>
      <c r="E1811" s="20">
        <v>10</v>
      </c>
      <c r="F1811" s="19">
        <v>6</v>
      </c>
      <c r="G1811" s="20">
        <f>IF(Sales[[#This Row],[Anggaran Murni]]-Sales[[#This Row],[Target s.d. Januari]]=0,"",Sales[[#This Row],[Anggaran Murni]]-Sales[[#This Row],[Target s.d. Januari]])</f>
        <v>4</v>
      </c>
      <c r="H1811" s="19" t="s">
        <v>70</v>
      </c>
      <c r="I1811" s="20" t="s">
        <v>1</v>
      </c>
      <c r="J1811" s="20">
        <v>100000000</v>
      </c>
      <c r="K1811" s="19" t="s">
        <v>48</v>
      </c>
      <c r="L1811" s="19" t="s">
        <v>5</v>
      </c>
      <c r="M1811" s="21" t="s">
        <v>67</v>
      </c>
      <c r="N1811" s="20" t="s">
        <v>80</v>
      </c>
      <c r="O1811" s="19" t="s">
        <v>13</v>
      </c>
      <c r="P1811" s="10"/>
      <c r="Q1811" s="11"/>
    </row>
    <row r="1812" spans="2:17" ht="21" customHeight="1" x14ac:dyDescent="0.35">
      <c r="B1812" s="1">
        <v>44041</v>
      </c>
      <c r="C1812" s="1" t="str">
        <f>TEXT(Sales[[#This Row],[Kode Program/Kegiatan ]],"D")</f>
        <v>29</v>
      </c>
      <c r="D1812" s="2" t="str">
        <f>TEXT(Sales[[#This Row],[Kode Program/Kegiatan ]],"mmm")</f>
        <v>Jul</v>
      </c>
      <c r="E1812" s="3">
        <v>9</v>
      </c>
      <c r="F1812" s="2">
        <v>7</v>
      </c>
      <c r="G1812" s="3">
        <f>IF(Sales[[#This Row],[Anggaran Murni]]-Sales[[#This Row],[Target s.d. Januari]]=0,"",Sales[[#This Row],[Anggaran Murni]]-Sales[[#This Row],[Target s.d. Januari]])</f>
        <v>2</v>
      </c>
      <c r="H1812" s="2" t="s">
        <v>113</v>
      </c>
      <c r="I1812" s="3" t="s">
        <v>77</v>
      </c>
      <c r="J1812" s="3">
        <v>120000000</v>
      </c>
      <c r="K1812" s="2" t="s">
        <v>48</v>
      </c>
      <c r="L1812" s="2" t="s">
        <v>7</v>
      </c>
      <c r="M1812" s="4" t="s">
        <v>67</v>
      </c>
      <c r="N1812" s="3" t="s">
        <v>81</v>
      </c>
      <c r="O1812" s="2" t="s">
        <v>11</v>
      </c>
      <c r="P1812" s="10"/>
      <c r="Q1812" s="11"/>
    </row>
    <row r="1813" spans="2:17" ht="21" customHeight="1" x14ac:dyDescent="0.35">
      <c r="B1813" s="18">
        <v>44041</v>
      </c>
      <c r="C1813" s="18" t="str">
        <f>TEXT(Sales[[#This Row],[Kode Program/Kegiatan ]],"D")</f>
        <v>29</v>
      </c>
      <c r="D1813" s="19" t="str">
        <f>TEXT(Sales[[#This Row],[Kode Program/Kegiatan ]],"mmm")</f>
        <v>Jul</v>
      </c>
      <c r="E1813" s="20">
        <v>8</v>
      </c>
      <c r="F1813" s="19">
        <v>4</v>
      </c>
      <c r="G1813" s="20">
        <f>IF(Sales[[#This Row],[Anggaran Murni]]-Sales[[#This Row],[Target s.d. Januari]]=0,"",Sales[[#This Row],[Anggaran Murni]]-Sales[[#This Row],[Target s.d. Januari]])</f>
        <v>4</v>
      </c>
      <c r="H1813" s="19" t="s">
        <v>113</v>
      </c>
      <c r="I1813" s="20" t="s">
        <v>77</v>
      </c>
      <c r="J1813" s="20">
        <v>100000000</v>
      </c>
      <c r="K1813" s="19" t="s">
        <v>47</v>
      </c>
      <c r="L1813" s="19" t="s">
        <v>5</v>
      </c>
      <c r="M1813" s="21" t="s">
        <v>67</v>
      </c>
      <c r="N1813" s="20" t="s">
        <v>81</v>
      </c>
      <c r="O1813" s="19" t="s">
        <v>13</v>
      </c>
      <c r="P1813" s="10"/>
      <c r="Q1813" s="11"/>
    </row>
    <row r="1814" spans="2:17" ht="21" customHeight="1" x14ac:dyDescent="0.35">
      <c r="B1814" s="1">
        <v>44041</v>
      </c>
      <c r="C1814" s="1" t="str">
        <f>TEXT(Sales[[#This Row],[Kode Program/Kegiatan ]],"D")</f>
        <v>29</v>
      </c>
      <c r="D1814" s="2" t="str">
        <f>TEXT(Sales[[#This Row],[Kode Program/Kegiatan ]],"mmm")</f>
        <v>Jul</v>
      </c>
      <c r="E1814" s="3">
        <v>8</v>
      </c>
      <c r="F1814" s="2">
        <v>7</v>
      </c>
      <c r="G1814" s="3">
        <f>IF(Sales[[#This Row],[Anggaran Murni]]-Sales[[#This Row],[Target s.d. Januari]]=0,"",Sales[[#This Row],[Anggaran Murni]]-Sales[[#This Row],[Target s.d. Januari]])</f>
        <v>1</v>
      </c>
      <c r="H1814" s="2" t="s">
        <v>72</v>
      </c>
      <c r="I1814" s="3" t="s">
        <v>78</v>
      </c>
      <c r="J1814" s="3">
        <v>80000000</v>
      </c>
      <c r="K1814" s="2" t="s">
        <v>45</v>
      </c>
      <c r="L1814" s="2" t="s">
        <v>2</v>
      </c>
      <c r="M1814" s="4" t="s">
        <v>67</v>
      </c>
      <c r="N1814" s="3" t="s">
        <v>80</v>
      </c>
      <c r="O1814" s="2" t="s">
        <v>14</v>
      </c>
      <c r="P1814" s="10"/>
      <c r="Q1814" s="11"/>
    </row>
    <row r="1815" spans="2:17" ht="21" customHeight="1" x14ac:dyDescent="0.35">
      <c r="B1815" s="18">
        <v>44041</v>
      </c>
      <c r="C1815" s="18" t="str">
        <f>TEXT(Sales[[#This Row],[Kode Program/Kegiatan ]],"D")</f>
        <v>29</v>
      </c>
      <c r="D1815" s="19" t="str">
        <f>TEXT(Sales[[#This Row],[Kode Program/Kegiatan ]],"mmm")</f>
        <v>Jul</v>
      </c>
      <c r="E1815" s="20">
        <v>5</v>
      </c>
      <c r="F1815" s="19">
        <v>4</v>
      </c>
      <c r="G1815" s="20">
        <f>IF(Sales[[#This Row],[Anggaran Murni]]-Sales[[#This Row],[Target s.d. Januari]]=0,"",Sales[[#This Row],[Anggaran Murni]]-Sales[[#This Row],[Target s.d. Januari]])</f>
        <v>1</v>
      </c>
      <c r="H1815" s="19" t="s">
        <v>73</v>
      </c>
      <c r="I1815" s="20" t="s">
        <v>78</v>
      </c>
      <c r="J1815" s="20">
        <v>100000000</v>
      </c>
      <c r="K1815" s="19" t="s">
        <v>20</v>
      </c>
      <c r="L1815" s="19" t="s">
        <v>2</v>
      </c>
      <c r="M1815" s="21" t="s">
        <v>67</v>
      </c>
      <c r="N1815" s="20" t="s">
        <v>81</v>
      </c>
      <c r="O1815" s="19" t="s">
        <v>13</v>
      </c>
      <c r="P1815" s="10"/>
      <c r="Q1815" s="11"/>
    </row>
    <row r="1816" spans="2:17" ht="21" customHeight="1" x14ac:dyDescent="0.35">
      <c r="B1816" s="1">
        <v>44041</v>
      </c>
      <c r="C1816" s="1" t="str">
        <f>TEXT(Sales[[#This Row],[Kode Program/Kegiatan ]],"D")</f>
        <v>29</v>
      </c>
      <c r="D1816" s="2" t="str">
        <f>TEXT(Sales[[#This Row],[Kode Program/Kegiatan ]],"mmm")</f>
        <v>Jul</v>
      </c>
      <c r="E1816" s="3">
        <v>5</v>
      </c>
      <c r="F1816" s="2">
        <v>4</v>
      </c>
      <c r="G1816" s="3">
        <f>IF(Sales[[#This Row],[Anggaran Murni]]-Sales[[#This Row],[Target s.d. Januari]]=0,"",Sales[[#This Row],[Anggaran Murni]]-Sales[[#This Row],[Target s.d. Januari]])</f>
        <v>1</v>
      </c>
      <c r="H1816" s="2" t="s">
        <v>75</v>
      </c>
      <c r="I1816" s="3" t="s">
        <v>6</v>
      </c>
      <c r="J1816" s="3">
        <v>60000000</v>
      </c>
      <c r="K1816" s="2" t="s">
        <v>20</v>
      </c>
      <c r="L1816" s="2" t="s">
        <v>7</v>
      </c>
      <c r="M1816" s="4" t="s">
        <v>67</v>
      </c>
      <c r="N1816" s="3" t="s">
        <v>81</v>
      </c>
      <c r="O1816" s="2" t="s">
        <v>14</v>
      </c>
      <c r="P1816" s="10"/>
      <c r="Q1816" s="11"/>
    </row>
    <row r="1817" spans="2:17" ht="21" customHeight="1" x14ac:dyDescent="0.35">
      <c r="B1817" s="18">
        <v>44041</v>
      </c>
      <c r="C1817" s="18" t="str">
        <f>TEXT(Sales[[#This Row],[Kode Program/Kegiatan ]],"D")</f>
        <v>29</v>
      </c>
      <c r="D1817" s="19" t="str">
        <f>TEXT(Sales[[#This Row],[Kode Program/Kegiatan ]],"mmm")</f>
        <v>Jul</v>
      </c>
      <c r="E1817" s="20">
        <v>3</v>
      </c>
      <c r="F1817" s="19">
        <v>1</v>
      </c>
      <c r="G1817" s="20">
        <f>IF(Sales[[#This Row],[Anggaran Murni]]-Sales[[#This Row],[Target s.d. Januari]]=0,"",Sales[[#This Row],[Anggaran Murni]]-Sales[[#This Row],[Target s.d. Januari]])</f>
        <v>2</v>
      </c>
      <c r="H1817" s="19" t="s">
        <v>73</v>
      </c>
      <c r="I1817" s="20" t="s">
        <v>78</v>
      </c>
      <c r="J1817" s="20">
        <v>100000000</v>
      </c>
      <c r="K1817" s="19" t="s">
        <v>48</v>
      </c>
      <c r="L1817" s="19" t="s">
        <v>7</v>
      </c>
      <c r="M1817" s="21" t="s">
        <v>67</v>
      </c>
      <c r="N1817" s="20" t="s">
        <v>81</v>
      </c>
      <c r="O1817" s="19" t="s">
        <v>14</v>
      </c>
      <c r="P1817" s="10"/>
      <c r="Q1817" s="11"/>
    </row>
    <row r="1818" spans="2:17" ht="21" customHeight="1" x14ac:dyDescent="0.35">
      <c r="B1818" s="1">
        <v>44041</v>
      </c>
      <c r="C1818" s="1" t="str">
        <f>TEXT(Sales[[#This Row],[Kode Program/Kegiatan ]],"D")</f>
        <v>29</v>
      </c>
      <c r="D1818" s="2" t="str">
        <f>TEXT(Sales[[#This Row],[Kode Program/Kegiatan ]],"mmm")</f>
        <v>Jul</v>
      </c>
      <c r="E1818" s="3">
        <v>3</v>
      </c>
      <c r="F1818" s="2">
        <v>1</v>
      </c>
      <c r="G1818" s="3">
        <f>IF(Sales[[#This Row],[Anggaran Murni]]-Sales[[#This Row],[Target s.d. Januari]]=0,"",Sales[[#This Row],[Anggaran Murni]]-Sales[[#This Row],[Target s.d. Januari]])</f>
        <v>2</v>
      </c>
      <c r="H1818" s="2" t="s">
        <v>71</v>
      </c>
      <c r="I1818" s="3" t="s">
        <v>6</v>
      </c>
      <c r="J1818" s="3">
        <v>60000000</v>
      </c>
      <c r="K1818" s="2" t="s">
        <v>61</v>
      </c>
      <c r="L1818" s="2" t="s">
        <v>2</v>
      </c>
      <c r="M1818" s="4" t="s">
        <v>67</v>
      </c>
      <c r="N1818" s="3" t="s">
        <v>82</v>
      </c>
      <c r="O1818" s="2" t="s">
        <v>12</v>
      </c>
      <c r="P1818" s="10"/>
      <c r="Q1818" s="11"/>
    </row>
    <row r="1819" spans="2:17" ht="21" customHeight="1" x14ac:dyDescent="0.35">
      <c r="B1819" s="18">
        <v>44042</v>
      </c>
      <c r="C1819" s="18" t="str">
        <f>TEXT(Sales[[#This Row],[Kode Program/Kegiatan ]],"D")</f>
        <v>30</v>
      </c>
      <c r="D1819" s="19" t="str">
        <f>TEXT(Sales[[#This Row],[Kode Program/Kegiatan ]],"mmm")</f>
        <v>Jul</v>
      </c>
      <c r="E1819" s="20">
        <v>10</v>
      </c>
      <c r="F1819" s="19">
        <v>8</v>
      </c>
      <c r="G1819" s="20">
        <f>IF(Sales[[#This Row],[Anggaran Murni]]-Sales[[#This Row],[Target s.d. Januari]]=0,"",Sales[[#This Row],[Anggaran Murni]]-Sales[[#This Row],[Target s.d. Januari]])</f>
        <v>2</v>
      </c>
      <c r="H1819" s="19" t="s">
        <v>72</v>
      </c>
      <c r="I1819" s="20" t="s">
        <v>78</v>
      </c>
      <c r="J1819" s="20">
        <v>40000000</v>
      </c>
      <c r="K1819" s="19" t="s">
        <v>31</v>
      </c>
      <c r="L1819" s="19" t="s">
        <v>2</v>
      </c>
      <c r="M1819" s="21" t="s">
        <v>67</v>
      </c>
      <c r="N1819" s="20" t="s">
        <v>80</v>
      </c>
      <c r="O1819" s="19" t="s">
        <v>14</v>
      </c>
      <c r="P1819" s="10"/>
      <c r="Q1819" s="11"/>
    </row>
    <row r="1820" spans="2:17" ht="21" customHeight="1" x14ac:dyDescent="0.35">
      <c r="B1820" s="1">
        <v>44042</v>
      </c>
      <c r="C1820" s="1" t="str">
        <f>TEXT(Sales[[#This Row],[Kode Program/Kegiatan ]],"D")</f>
        <v>30</v>
      </c>
      <c r="D1820" s="2" t="str">
        <f>TEXT(Sales[[#This Row],[Kode Program/Kegiatan ]],"mmm")</f>
        <v>Jul</v>
      </c>
      <c r="E1820" s="3">
        <v>10</v>
      </c>
      <c r="F1820" s="2">
        <v>6</v>
      </c>
      <c r="G1820" s="3">
        <f>IF(Sales[[#This Row],[Anggaran Murni]]-Sales[[#This Row],[Target s.d. Januari]]=0,"",Sales[[#This Row],[Anggaran Murni]]-Sales[[#This Row],[Target s.d. Januari]])</f>
        <v>4</v>
      </c>
      <c r="H1820" s="2" t="s">
        <v>72</v>
      </c>
      <c r="I1820" s="3" t="s">
        <v>78</v>
      </c>
      <c r="J1820" s="3">
        <v>80000000</v>
      </c>
      <c r="K1820" s="2" t="s">
        <v>52</v>
      </c>
      <c r="L1820" s="2" t="s">
        <v>2</v>
      </c>
      <c r="M1820" s="4" t="s">
        <v>67</v>
      </c>
      <c r="N1820" s="3" t="s">
        <v>82</v>
      </c>
      <c r="O1820" s="2" t="s">
        <v>13</v>
      </c>
      <c r="P1820" s="10"/>
      <c r="Q1820" s="11"/>
    </row>
    <row r="1821" spans="2:17" ht="21" customHeight="1" x14ac:dyDescent="0.35">
      <c r="B1821" s="18">
        <v>44042</v>
      </c>
      <c r="C1821" s="18" t="str">
        <f>TEXT(Sales[[#This Row],[Kode Program/Kegiatan ]],"D")</f>
        <v>30</v>
      </c>
      <c r="D1821" s="19" t="str">
        <f>TEXT(Sales[[#This Row],[Kode Program/Kegiatan ]],"mmm")</f>
        <v>Jul</v>
      </c>
      <c r="E1821" s="20">
        <v>8</v>
      </c>
      <c r="F1821" s="19">
        <v>7</v>
      </c>
      <c r="G1821" s="20">
        <f>IF(Sales[[#This Row],[Anggaran Murni]]-Sales[[#This Row],[Target s.d. Januari]]=0,"",Sales[[#This Row],[Anggaran Murni]]-Sales[[#This Row],[Target s.d. Januari]])</f>
        <v>1</v>
      </c>
      <c r="H1821" s="19" t="s">
        <v>75</v>
      </c>
      <c r="I1821" s="20" t="s">
        <v>6</v>
      </c>
      <c r="J1821" s="20">
        <v>140000000</v>
      </c>
      <c r="K1821" s="19" t="s">
        <v>19</v>
      </c>
      <c r="L1821" s="19" t="s">
        <v>5</v>
      </c>
      <c r="M1821" s="21" t="s">
        <v>67</v>
      </c>
      <c r="N1821" s="20" t="s">
        <v>80</v>
      </c>
      <c r="O1821" s="19" t="s">
        <v>12</v>
      </c>
      <c r="P1821" s="10"/>
      <c r="Q1821" s="11"/>
    </row>
    <row r="1822" spans="2:17" ht="21" customHeight="1" x14ac:dyDescent="0.35">
      <c r="B1822" s="1">
        <v>44042</v>
      </c>
      <c r="C1822" s="1" t="str">
        <f>TEXT(Sales[[#This Row],[Kode Program/Kegiatan ]],"D")</f>
        <v>30</v>
      </c>
      <c r="D1822" s="2" t="str">
        <f>TEXT(Sales[[#This Row],[Kode Program/Kegiatan ]],"mmm")</f>
        <v>Jul</v>
      </c>
      <c r="E1822" s="3">
        <v>8</v>
      </c>
      <c r="F1822" s="2">
        <v>4</v>
      </c>
      <c r="G1822" s="3">
        <f>IF(Sales[[#This Row],[Anggaran Murni]]-Sales[[#This Row],[Target s.d. Januari]]=0,"",Sales[[#This Row],[Anggaran Murni]]-Sales[[#This Row],[Target s.d. Januari]])</f>
        <v>4</v>
      </c>
      <c r="H1822" s="2" t="s">
        <v>114</v>
      </c>
      <c r="I1822" s="3" t="s">
        <v>3</v>
      </c>
      <c r="J1822" s="3">
        <v>120000000</v>
      </c>
      <c r="K1822" s="2" t="s">
        <v>36</v>
      </c>
      <c r="L1822" s="2" t="s">
        <v>2</v>
      </c>
      <c r="M1822" s="4" t="s">
        <v>67</v>
      </c>
      <c r="N1822" s="3" t="s">
        <v>80</v>
      </c>
      <c r="O1822" s="2" t="s">
        <v>11</v>
      </c>
      <c r="P1822" s="10"/>
      <c r="Q1822" s="11"/>
    </row>
    <row r="1823" spans="2:17" ht="21" customHeight="1" x14ac:dyDescent="0.35">
      <c r="B1823" s="18">
        <v>44042</v>
      </c>
      <c r="C1823" s="18" t="str">
        <f>TEXT(Sales[[#This Row],[Kode Program/Kegiatan ]],"D")</f>
        <v>30</v>
      </c>
      <c r="D1823" s="19" t="str">
        <f>TEXT(Sales[[#This Row],[Kode Program/Kegiatan ]],"mmm")</f>
        <v>Jul</v>
      </c>
      <c r="E1823" s="20">
        <v>8</v>
      </c>
      <c r="F1823" s="19">
        <v>6</v>
      </c>
      <c r="G1823" s="20">
        <f>IF(Sales[[#This Row],[Anggaran Murni]]-Sales[[#This Row],[Target s.d. Januari]]=0,"",Sales[[#This Row],[Anggaran Murni]]-Sales[[#This Row],[Target s.d. Januari]])</f>
        <v>2</v>
      </c>
      <c r="H1823" s="19" t="s">
        <v>114</v>
      </c>
      <c r="I1823" s="20" t="s">
        <v>3</v>
      </c>
      <c r="J1823" s="20">
        <v>60000000</v>
      </c>
      <c r="K1823" s="19" t="s">
        <v>56</v>
      </c>
      <c r="L1823" s="19" t="s">
        <v>5</v>
      </c>
      <c r="M1823" s="21" t="s">
        <v>67</v>
      </c>
      <c r="N1823" s="20" t="s">
        <v>82</v>
      </c>
      <c r="O1823" s="19" t="s">
        <v>14</v>
      </c>
      <c r="P1823" s="10"/>
      <c r="Q1823" s="11"/>
    </row>
    <row r="1824" spans="2:17" ht="21" customHeight="1" x14ac:dyDescent="0.35">
      <c r="B1824" s="1">
        <v>44042</v>
      </c>
      <c r="C1824" s="1" t="str">
        <f>TEXT(Sales[[#This Row],[Kode Program/Kegiatan ]],"D")</f>
        <v>30</v>
      </c>
      <c r="D1824" s="2" t="str">
        <f>TEXT(Sales[[#This Row],[Kode Program/Kegiatan ]],"mmm")</f>
        <v>Jul</v>
      </c>
      <c r="E1824" s="3">
        <v>7</v>
      </c>
      <c r="F1824" s="2">
        <v>4</v>
      </c>
      <c r="G1824" s="3">
        <f>IF(Sales[[#This Row],[Anggaran Murni]]-Sales[[#This Row],[Target s.d. Januari]]=0,"",Sales[[#This Row],[Anggaran Murni]]-Sales[[#This Row],[Target s.d. Januari]])</f>
        <v>3</v>
      </c>
      <c r="H1824" s="2" t="s">
        <v>73</v>
      </c>
      <c r="I1824" s="3" t="s">
        <v>78</v>
      </c>
      <c r="J1824" s="3">
        <v>120000000</v>
      </c>
      <c r="K1824" s="2" t="s">
        <v>47</v>
      </c>
      <c r="L1824" s="2" t="s">
        <v>2</v>
      </c>
      <c r="M1824" s="4" t="s">
        <v>67</v>
      </c>
      <c r="N1824" s="3" t="s">
        <v>80</v>
      </c>
      <c r="O1824" s="2" t="s">
        <v>11</v>
      </c>
      <c r="P1824" s="10"/>
      <c r="Q1824" s="11"/>
    </row>
    <row r="1825" spans="2:17" ht="21" customHeight="1" x14ac:dyDescent="0.35">
      <c r="B1825" s="18">
        <v>44042</v>
      </c>
      <c r="C1825" s="18" t="str">
        <f>TEXT(Sales[[#This Row],[Kode Program/Kegiatan ]],"D")</f>
        <v>30</v>
      </c>
      <c r="D1825" s="19" t="str">
        <f>TEXT(Sales[[#This Row],[Kode Program/Kegiatan ]],"mmm")</f>
        <v>Jul</v>
      </c>
      <c r="E1825" s="20">
        <v>6</v>
      </c>
      <c r="F1825" s="19">
        <v>4</v>
      </c>
      <c r="G1825" s="20">
        <f>IF(Sales[[#This Row],[Anggaran Murni]]-Sales[[#This Row],[Target s.d. Januari]]=0,"",Sales[[#This Row],[Anggaran Murni]]-Sales[[#This Row],[Target s.d. Januari]])</f>
        <v>2</v>
      </c>
      <c r="H1825" s="19" t="s">
        <v>113</v>
      </c>
      <c r="I1825" s="20" t="s">
        <v>77</v>
      </c>
      <c r="J1825" s="20">
        <v>100000000</v>
      </c>
      <c r="K1825" s="19" t="s">
        <v>30</v>
      </c>
      <c r="L1825" s="19" t="s">
        <v>2</v>
      </c>
      <c r="M1825" s="21" t="s">
        <v>67</v>
      </c>
      <c r="N1825" s="20" t="s">
        <v>80</v>
      </c>
      <c r="O1825" s="19" t="s">
        <v>14</v>
      </c>
      <c r="P1825" s="10"/>
      <c r="Q1825" s="11"/>
    </row>
    <row r="1826" spans="2:17" ht="21" customHeight="1" x14ac:dyDescent="0.35">
      <c r="B1826" s="1">
        <v>44042</v>
      </c>
      <c r="C1826" s="1" t="str">
        <f>TEXT(Sales[[#This Row],[Kode Program/Kegiatan ]],"D")</f>
        <v>30</v>
      </c>
      <c r="D1826" s="2" t="str">
        <f>TEXT(Sales[[#This Row],[Kode Program/Kegiatan ]],"mmm")</f>
        <v>Jul</v>
      </c>
      <c r="E1826" s="3">
        <v>5</v>
      </c>
      <c r="F1826" s="2">
        <v>4</v>
      </c>
      <c r="G1826" s="3">
        <f>IF(Sales[[#This Row],[Anggaran Murni]]-Sales[[#This Row],[Target s.d. Januari]]=0,"",Sales[[#This Row],[Anggaran Murni]]-Sales[[#This Row],[Target s.d. Januari]])</f>
        <v>1</v>
      </c>
      <c r="H1826" s="2" t="s">
        <v>74</v>
      </c>
      <c r="I1826" s="3" t="s">
        <v>77</v>
      </c>
      <c r="J1826" s="3">
        <v>120000000</v>
      </c>
      <c r="K1826" s="2" t="s">
        <v>61</v>
      </c>
      <c r="L1826" s="2" t="s">
        <v>2</v>
      </c>
      <c r="M1826" s="4" t="s">
        <v>67</v>
      </c>
      <c r="N1826" s="3" t="s">
        <v>82</v>
      </c>
      <c r="O1826" s="2" t="s">
        <v>14</v>
      </c>
      <c r="P1826" s="10"/>
      <c r="Q1826" s="11"/>
    </row>
    <row r="1827" spans="2:17" ht="21" customHeight="1" x14ac:dyDescent="0.35">
      <c r="B1827" s="18">
        <v>44042</v>
      </c>
      <c r="C1827" s="18" t="str">
        <f>TEXT(Sales[[#This Row],[Kode Program/Kegiatan ]],"D")</f>
        <v>30</v>
      </c>
      <c r="D1827" s="19" t="str">
        <f>TEXT(Sales[[#This Row],[Kode Program/Kegiatan ]],"mmm")</f>
        <v>Jul</v>
      </c>
      <c r="E1827" s="20">
        <v>5</v>
      </c>
      <c r="F1827" s="19">
        <v>4</v>
      </c>
      <c r="G1827" s="20">
        <f>IF(Sales[[#This Row],[Anggaran Murni]]-Sales[[#This Row],[Target s.d. Januari]]=0,"",Sales[[#This Row],[Anggaran Murni]]-Sales[[#This Row],[Target s.d. Januari]])</f>
        <v>1</v>
      </c>
      <c r="H1827" s="19" t="s">
        <v>75</v>
      </c>
      <c r="I1827" s="20" t="s">
        <v>6</v>
      </c>
      <c r="J1827" s="20">
        <v>80000000</v>
      </c>
      <c r="K1827" s="19" t="s">
        <v>30</v>
      </c>
      <c r="L1827" s="19" t="s">
        <v>2</v>
      </c>
      <c r="M1827" s="21" t="s">
        <v>67</v>
      </c>
      <c r="N1827" s="20" t="s">
        <v>80</v>
      </c>
      <c r="O1827" s="19" t="s">
        <v>11</v>
      </c>
      <c r="P1827" s="10"/>
      <c r="Q1827" s="11"/>
    </row>
    <row r="1828" spans="2:17" ht="21" customHeight="1" x14ac:dyDescent="0.35">
      <c r="B1828" s="1">
        <v>44042</v>
      </c>
      <c r="C1828" s="1" t="str">
        <f>TEXT(Sales[[#This Row],[Kode Program/Kegiatan ]],"D")</f>
        <v>30</v>
      </c>
      <c r="D1828" s="2" t="str">
        <f>TEXT(Sales[[#This Row],[Kode Program/Kegiatan ]],"mmm")</f>
        <v>Jul</v>
      </c>
      <c r="E1828" s="3">
        <v>3</v>
      </c>
      <c r="F1828" s="2">
        <v>2</v>
      </c>
      <c r="G1828" s="3">
        <f>IF(Sales[[#This Row],[Anggaran Murni]]-Sales[[#This Row],[Target s.d. Januari]]=0,"",Sales[[#This Row],[Anggaran Murni]]-Sales[[#This Row],[Target s.d. Januari]])</f>
        <v>1</v>
      </c>
      <c r="H1828" s="2" t="s">
        <v>73</v>
      </c>
      <c r="I1828" s="3" t="s">
        <v>78</v>
      </c>
      <c r="J1828" s="3">
        <v>140000000</v>
      </c>
      <c r="K1828" s="2" t="s">
        <v>42</v>
      </c>
      <c r="L1828" s="2" t="s">
        <v>2</v>
      </c>
      <c r="M1828" s="4" t="s">
        <v>67</v>
      </c>
      <c r="N1828" s="3" t="s">
        <v>81</v>
      </c>
      <c r="O1828" s="2" t="s">
        <v>11</v>
      </c>
      <c r="P1828" s="10"/>
      <c r="Q1828" s="11"/>
    </row>
    <row r="1829" spans="2:17" ht="21" customHeight="1" x14ac:dyDescent="0.35">
      <c r="B1829" s="18">
        <v>44042</v>
      </c>
      <c r="C1829" s="18" t="str">
        <f>TEXT(Sales[[#This Row],[Kode Program/Kegiatan ]],"D")</f>
        <v>30</v>
      </c>
      <c r="D1829" s="19" t="str">
        <f>TEXT(Sales[[#This Row],[Kode Program/Kegiatan ]],"mmm")</f>
        <v>Jul</v>
      </c>
      <c r="E1829" s="20">
        <v>3</v>
      </c>
      <c r="F1829" s="19">
        <v>2</v>
      </c>
      <c r="G1829" s="20">
        <f>IF(Sales[[#This Row],[Anggaran Murni]]-Sales[[#This Row],[Target s.d. Januari]]=0,"",Sales[[#This Row],[Anggaran Murni]]-Sales[[#This Row],[Target s.d. Januari]])</f>
        <v>1</v>
      </c>
      <c r="H1829" s="19" t="s">
        <v>74</v>
      </c>
      <c r="I1829" s="20" t="s">
        <v>77</v>
      </c>
      <c r="J1829" s="20">
        <v>60000000</v>
      </c>
      <c r="K1829" s="19" t="s">
        <v>41</v>
      </c>
      <c r="L1829" s="19" t="s">
        <v>9</v>
      </c>
      <c r="M1829" s="21" t="s">
        <v>67</v>
      </c>
      <c r="N1829" s="20" t="s">
        <v>81</v>
      </c>
      <c r="O1829" s="19" t="s">
        <v>14</v>
      </c>
      <c r="P1829" s="10"/>
      <c r="Q1829" s="11"/>
    </row>
    <row r="1830" spans="2:17" ht="21" customHeight="1" x14ac:dyDescent="0.35">
      <c r="B1830" s="1">
        <v>44042</v>
      </c>
      <c r="C1830" s="1" t="str">
        <f>TEXT(Sales[[#This Row],[Kode Program/Kegiatan ]],"D")</f>
        <v>30</v>
      </c>
      <c r="D1830" s="2" t="str">
        <f>TEXT(Sales[[#This Row],[Kode Program/Kegiatan ]],"mmm")</f>
        <v>Jul</v>
      </c>
      <c r="E1830" s="3">
        <v>3</v>
      </c>
      <c r="F1830" s="2">
        <v>1</v>
      </c>
      <c r="G1830" s="3">
        <f>IF(Sales[[#This Row],[Anggaran Murni]]-Sales[[#This Row],[Target s.d. Januari]]=0,"",Sales[[#This Row],[Anggaran Murni]]-Sales[[#This Row],[Target s.d. Januari]])</f>
        <v>2</v>
      </c>
      <c r="H1830" s="2" t="s">
        <v>72</v>
      </c>
      <c r="I1830" s="3" t="s">
        <v>78</v>
      </c>
      <c r="J1830" s="3">
        <v>140000000</v>
      </c>
      <c r="K1830" s="2" t="s">
        <v>49</v>
      </c>
      <c r="L1830" s="2" t="s">
        <v>8</v>
      </c>
      <c r="M1830" s="4" t="s">
        <v>67</v>
      </c>
      <c r="N1830" s="3" t="s">
        <v>81</v>
      </c>
      <c r="O1830" s="2" t="s">
        <v>11</v>
      </c>
      <c r="P1830" s="10"/>
      <c r="Q1830" s="11"/>
    </row>
    <row r="1831" spans="2:17" ht="21" customHeight="1" x14ac:dyDescent="0.35">
      <c r="B1831" s="18">
        <v>44043</v>
      </c>
      <c r="C1831" s="18" t="str">
        <f>TEXT(Sales[[#This Row],[Kode Program/Kegiatan ]],"D")</f>
        <v>31</v>
      </c>
      <c r="D1831" s="19" t="str">
        <f>TEXT(Sales[[#This Row],[Kode Program/Kegiatan ]],"mmm")</f>
        <v>Jul</v>
      </c>
      <c r="E1831" s="20">
        <v>10</v>
      </c>
      <c r="F1831" s="19">
        <v>8</v>
      </c>
      <c r="G1831" s="20">
        <f>IF(Sales[[#This Row],[Anggaran Murni]]-Sales[[#This Row],[Target s.d. Januari]]=0,"",Sales[[#This Row],[Anggaran Murni]]-Sales[[#This Row],[Target s.d. Januari]])</f>
        <v>2</v>
      </c>
      <c r="H1831" s="19" t="s">
        <v>74</v>
      </c>
      <c r="I1831" s="20" t="s">
        <v>77</v>
      </c>
      <c r="J1831" s="20">
        <v>40000000</v>
      </c>
      <c r="K1831" s="19" t="s">
        <v>29</v>
      </c>
      <c r="L1831" s="19" t="s">
        <v>2</v>
      </c>
      <c r="M1831" s="21" t="s">
        <v>67</v>
      </c>
      <c r="N1831" s="20" t="s">
        <v>80</v>
      </c>
      <c r="O1831" s="19" t="s">
        <v>14</v>
      </c>
      <c r="P1831" s="10"/>
      <c r="Q1831" s="11"/>
    </row>
    <row r="1832" spans="2:17" ht="21" customHeight="1" x14ac:dyDescent="0.35">
      <c r="B1832" s="1">
        <v>44043</v>
      </c>
      <c r="C1832" s="1" t="str">
        <f>TEXT(Sales[[#This Row],[Kode Program/Kegiatan ]],"D")</f>
        <v>31</v>
      </c>
      <c r="D1832" s="2" t="str">
        <f>TEXT(Sales[[#This Row],[Kode Program/Kegiatan ]],"mmm")</f>
        <v>Jul</v>
      </c>
      <c r="E1832" s="3">
        <v>8</v>
      </c>
      <c r="F1832" s="2">
        <v>4</v>
      </c>
      <c r="G1832" s="3">
        <f>IF(Sales[[#This Row],[Anggaran Murni]]-Sales[[#This Row],[Target s.d. Januari]]=0,"",Sales[[#This Row],[Anggaran Murni]]-Sales[[#This Row],[Target s.d. Januari]])</f>
        <v>4</v>
      </c>
      <c r="H1832" s="2" t="s">
        <v>76</v>
      </c>
      <c r="I1832" s="3" t="s">
        <v>79</v>
      </c>
      <c r="J1832" s="3">
        <v>60000000</v>
      </c>
      <c r="K1832" s="2" t="s">
        <v>47</v>
      </c>
      <c r="L1832" s="2" t="s">
        <v>2</v>
      </c>
      <c r="M1832" s="4" t="s">
        <v>67</v>
      </c>
      <c r="N1832" s="3" t="s">
        <v>82</v>
      </c>
      <c r="O1832" s="2" t="s">
        <v>12</v>
      </c>
      <c r="P1832" s="10"/>
      <c r="Q1832" s="11"/>
    </row>
    <row r="1833" spans="2:17" ht="21" customHeight="1" x14ac:dyDescent="0.35">
      <c r="B1833" s="18">
        <v>44043</v>
      </c>
      <c r="C1833" s="18" t="str">
        <f>TEXT(Sales[[#This Row],[Kode Program/Kegiatan ]],"D")</f>
        <v>31</v>
      </c>
      <c r="D1833" s="19" t="str">
        <f>TEXT(Sales[[#This Row],[Kode Program/Kegiatan ]],"mmm")</f>
        <v>Jul</v>
      </c>
      <c r="E1833" s="20">
        <v>7</v>
      </c>
      <c r="F1833" s="19">
        <v>5</v>
      </c>
      <c r="G1833" s="20">
        <f>IF(Sales[[#This Row],[Anggaran Murni]]-Sales[[#This Row],[Target s.d. Januari]]=0,"",Sales[[#This Row],[Anggaran Murni]]-Sales[[#This Row],[Target s.d. Januari]])</f>
        <v>2</v>
      </c>
      <c r="H1833" s="19" t="s">
        <v>72</v>
      </c>
      <c r="I1833" s="20" t="s">
        <v>78</v>
      </c>
      <c r="J1833" s="20">
        <v>100000000</v>
      </c>
      <c r="K1833" s="19" t="s">
        <v>23</v>
      </c>
      <c r="L1833" s="19" t="s">
        <v>5</v>
      </c>
      <c r="M1833" s="21" t="s">
        <v>67</v>
      </c>
      <c r="N1833" s="20" t="s">
        <v>81</v>
      </c>
      <c r="O1833" s="19" t="s">
        <v>12</v>
      </c>
      <c r="P1833" s="10"/>
      <c r="Q1833" s="11"/>
    </row>
    <row r="1834" spans="2:17" ht="21" customHeight="1" x14ac:dyDescent="0.35">
      <c r="B1834" s="1">
        <v>44043</v>
      </c>
      <c r="C1834" s="1" t="str">
        <f>TEXT(Sales[[#This Row],[Kode Program/Kegiatan ]],"D")</f>
        <v>31</v>
      </c>
      <c r="D1834" s="2" t="str">
        <f>TEXT(Sales[[#This Row],[Kode Program/Kegiatan ]],"mmm")</f>
        <v>Jul</v>
      </c>
      <c r="E1834" s="3">
        <v>7</v>
      </c>
      <c r="F1834" s="2">
        <v>4</v>
      </c>
      <c r="G1834" s="3">
        <f>IF(Sales[[#This Row],[Anggaran Murni]]-Sales[[#This Row],[Target s.d. Januari]]=0,"",Sales[[#This Row],[Anggaran Murni]]-Sales[[#This Row],[Target s.d. Januari]])</f>
        <v>3</v>
      </c>
      <c r="H1834" s="2" t="s">
        <v>72</v>
      </c>
      <c r="I1834" s="3" t="s">
        <v>78</v>
      </c>
      <c r="J1834" s="3">
        <v>100000000</v>
      </c>
      <c r="K1834" s="2" t="s">
        <v>34</v>
      </c>
      <c r="L1834" s="2" t="s">
        <v>2</v>
      </c>
      <c r="M1834" s="4" t="s">
        <v>67</v>
      </c>
      <c r="N1834" s="3" t="s">
        <v>80</v>
      </c>
      <c r="O1834" s="2" t="s">
        <v>12</v>
      </c>
      <c r="P1834" s="10"/>
      <c r="Q1834" s="11"/>
    </row>
    <row r="1835" spans="2:17" ht="21" customHeight="1" x14ac:dyDescent="0.35">
      <c r="B1835" s="18">
        <v>44043</v>
      </c>
      <c r="C1835" s="18" t="str">
        <f>TEXT(Sales[[#This Row],[Kode Program/Kegiatan ]],"D")</f>
        <v>31</v>
      </c>
      <c r="D1835" s="19" t="str">
        <f>TEXT(Sales[[#This Row],[Kode Program/Kegiatan ]],"mmm")</f>
        <v>Jul</v>
      </c>
      <c r="E1835" s="20">
        <v>3</v>
      </c>
      <c r="F1835" s="19">
        <v>1</v>
      </c>
      <c r="G1835" s="20">
        <f>IF(Sales[[#This Row],[Anggaran Murni]]-Sales[[#This Row],[Target s.d. Januari]]=0,"",Sales[[#This Row],[Anggaran Murni]]-Sales[[#This Row],[Target s.d. Januari]])</f>
        <v>2</v>
      </c>
      <c r="H1835" s="19" t="s">
        <v>74</v>
      </c>
      <c r="I1835" s="20" t="s">
        <v>77</v>
      </c>
      <c r="J1835" s="20">
        <v>100000000</v>
      </c>
      <c r="K1835" s="19" t="s">
        <v>61</v>
      </c>
      <c r="L1835" s="19" t="s">
        <v>2</v>
      </c>
      <c r="M1835" s="21" t="s">
        <v>67</v>
      </c>
      <c r="N1835" s="20" t="s">
        <v>82</v>
      </c>
      <c r="O1835" s="19" t="s">
        <v>11</v>
      </c>
      <c r="P1835" s="10"/>
      <c r="Q1835" s="11"/>
    </row>
    <row r="1836" spans="2:17" ht="21" customHeight="1" x14ac:dyDescent="0.35">
      <c r="B1836" s="1">
        <v>44044</v>
      </c>
      <c r="C1836" s="1" t="str">
        <f>TEXT(Sales[[#This Row],[Kode Program/Kegiatan ]],"D")</f>
        <v>1</v>
      </c>
      <c r="D1836" s="2" t="str">
        <f>TEXT(Sales[[#This Row],[Kode Program/Kegiatan ]],"mmm")</f>
        <v>Aug</v>
      </c>
      <c r="E1836" s="3">
        <v>8</v>
      </c>
      <c r="F1836" s="2">
        <v>8</v>
      </c>
      <c r="G1836" s="3" t="str">
        <f>IF(Sales[[#This Row],[Anggaran Murni]]-Sales[[#This Row],[Target s.d. Januari]]=0,"",Sales[[#This Row],[Anggaran Murni]]-Sales[[#This Row],[Target s.d. Januari]])</f>
        <v/>
      </c>
      <c r="H1836" s="2" t="s">
        <v>75</v>
      </c>
      <c r="I1836" s="3" t="s">
        <v>6</v>
      </c>
      <c r="J1836" s="3">
        <v>140000000</v>
      </c>
      <c r="K1836" s="2" t="s">
        <v>23</v>
      </c>
      <c r="L1836" s="2" t="s">
        <v>2</v>
      </c>
      <c r="M1836" s="4" t="s">
        <v>67</v>
      </c>
      <c r="N1836" s="3" t="s">
        <v>80</v>
      </c>
      <c r="O1836" s="2" t="s">
        <v>11</v>
      </c>
      <c r="P1836" s="10"/>
      <c r="Q1836" s="11"/>
    </row>
    <row r="1837" spans="2:17" ht="21" customHeight="1" x14ac:dyDescent="0.35">
      <c r="B1837" s="18">
        <v>44044</v>
      </c>
      <c r="C1837" s="18" t="str">
        <f>TEXT(Sales[[#This Row],[Kode Program/Kegiatan ]],"D")</f>
        <v>1</v>
      </c>
      <c r="D1837" s="19" t="str">
        <f>TEXT(Sales[[#This Row],[Kode Program/Kegiatan ]],"mmm")</f>
        <v>Aug</v>
      </c>
      <c r="E1837" s="20">
        <v>6</v>
      </c>
      <c r="F1837" s="19">
        <v>6</v>
      </c>
      <c r="G1837" s="20" t="str">
        <f>IF(Sales[[#This Row],[Anggaran Murni]]-Sales[[#This Row],[Target s.d. Januari]]=0,"",Sales[[#This Row],[Anggaran Murni]]-Sales[[#This Row],[Target s.d. Januari]])</f>
        <v/>
      </c>
      <c r="H1837" s="19" t="s">
        <v>76</v>
      </c>
      <c r="I1837" s="20" t="s">
        <v>79</v>
      </c>
      <c r="J1837" s="20">
        <v>40000000</v>
      </c>
      <c r="K1837" s="19" t="s">
        <v>61</v>
      </c>
      <c r="L1837" s="19" t="s">
        <v>8</v>
      </c>
      <c r="M1837" s="21" t="s">
        <v>67</v>
      </c>
      <c r="N1837" s="20" t="s">
        <v>80</v>
      </c>
      <c r="O1837" s="19" t="s">
        <v>11</v>
      </c>
      <c r="P1837" s="10"/>
      <c r="Q1837" s="11"/>
    </row>
    <row r="1838" spans="2:17" ht="21" customHeight="1" x14ac:dyDescent="0.35">
      <c r="B1838" s="1">
        <v>44044</v>
      </c>
      <c r="C1838" s="1" t="str">
        <f>TEXT(Sales[[#This Row],[Kode Program/Kegiatan ]],"D")</f>
        <v>1</v>
      </c>
      <c r="D1838" s="2" t="str">
        <f>TEXT(Sales[[#This Row],[Kode Program/Kegiatan ]],"mmm")</f>
        <v>Aug</v>
      </c>
      <c r="E1838" s="3">
        <v>6</v>
      </c>
      <c r="F1838" s="2">
        <v>6</v>
      </c>
      <c r="G1838" s="3" t="str">
        <f>IF(Sales[[#This Row],[Anggaran Murni]]-Sales[[#This Row],[Target s.d. Januari]]=0,"",Sales[[#This Row],[Anggaran Murni]]-Sales[[#This Row],[Target s.d. Januari]])</f>
        <v/>
      </c>
      <c r="H1838" s="2" t="s">
        <v>74</v>
      </c>
      <c r="I1838" s="3" t="s">
        <v>77</v>
      </c>
      <c r="J1838" s="3">
        <v>140000000</v>
      </c>
      <c r="K1838" s="2" t="s">
        <v>28</v>
      </c>
      <c r="L1838" s="2" t="s">
        <v>9</v>
      </c>
      <c r="M1838" s="4" t="s">
        <v>67</v>
      </c>
      <c r="N1838" s="3" t="s">
        <v>82</v>
      </c>
      <c r="O1838" s="2" t="s">
        <v>13</v>
      </c>
      <c r="P1838" s="10"/>
      <c r="Q1838" s="11"/>
    </row>
    <row r="1839" spans="2:17" ht="21" customHeight="1" x14ac:dyDescent="0.35">
      <c r="B1839" s="18">
        <v>44044</v>
      </c>
      <c r="C1839" s="18" t="str">
        <f>TEXT(Sales[[#This Row],[Kode Program/Kegiatan ]],"D")</f>
        <v>1</v>
      </c>
      <c r="D1839" s="19" t="str">
        <f>TEXT(Sales[[#This Row],[Kode Program/Kegiatan ]],"mmm")</f>
        <v>Aug</v>
      </c>
      <c r="E1839" s="20">
        <v>5</v>
      </c>
      <c r="F1839" s="19">
        <v>5</v>
      </c>
      <c r="G1839" s="20" t="str">
        <f>IF(Sales[[#This Row],[Anggaran Murni]]-Sales[[#This Row],[Target s.d. Januari]]=0,"",Sales[[#This Row],[Anggaran Murni]]-Sales[[#This Row],[Target s.d. Januari]])</f>
        <v/>
      </c>
      <c r="H1839" s="19" t="s">
        <v>70</v>
      </c>
      <c r="I1839" s="20" t="s">
        <v>1</v>
      </c>
      <c r="J1839" s="20">
        <v>80000000</v>
      </c>
      <c r="K1839" s="19" t="s">
        <v>26</v>
      </c>
      <c r="L1839" s="19" t="s">
        <v>5</v>
      </c>
      <c r="M1839" s="21" t="s">
        <v>67</v>
      </c>
      <c r="N1839" s="20" t="s">
        <v>80</v>
      </c>
      <c r="O1839" s="19" t="s">
        <v>13</v>
      </c>
      <c r="P1839" s="10"/>
      <c r="Q1839" s="11"/>
    </row>
    <row r="1840" spans="2:17" ht="21" customHeight="1" x14ac:dyDescent="0.35">
      <c r="B1840" s="1">
        <v>44045</v>
      </c>
      <c r="C1840" s="1" t="str">
        <f>TEXT(Sales[[#This Row],[Kode Program/Kegiatan ]],"D")</f>
        <v>2</v>
      </c>
      <c r="D1840" s="2" t="str">
        <f>TEXT(Sales[[#This Row],[Kode Program/Kegiatan ]],"mmm")</f>
        <v>Aug</v>
      </c>
      <c r="E1840" s="3">
        <v>10</v>
      </c>
      <c r="F1840" s="2">
        <v>10</v>
      </c>
      <c r="G1840" s="3" t="str">
        <f>IF(Sales[[#This Row],[Anggaran Murni]]-Sales[[#This Row],[Target s.d. Januari]]=0,"",Sales[[#This Row],[Anggaran Murni]]-Sales[[#This Row],[Target s.d. Januari]])</f>
        <v/>
      </c>
      <c r="H1840" s="2" t="s">
        <v>70</v>
      </c>
      <c r="I1840" s="3" t="s">
        <v>1</v>
      </c>
      <c r="J1840" s="3">
        <v>40000000</v>
      </c>
      <c r="K1840" s="2" t="s">
        <v>33</v>
      </c>
      <c r="L1840" s="2" t="s">
        <v>5</v>
      </c>
      <c r="M1840" s="4" t="s">
        <v>67</v>
      </c>
      <c r="N1840" s="3" t="s">
        <v>82</v>
      </c>
      <c r="O1840" s="2" t="s">
        <v>14</v>
      </c>
      <c r="P1840" s="10"/>
      <c r="Q1840" s="11"/>
    </row>
    <row r="1841" spans="2:17" ht="21" customHeight="1" x14ac:dyDescent="0.35">
      <c r="B1841" s="18">
        <v>44045</v>
      </c>
      <c r="C1841" s="18" t="str">
        <f>TEXT(Sales[[#This Row],[Kode Program/Kegiatan ]],"D")</f>
        <v>2</v>
      </c>
      <c r="D1841" s="19" t="str">
        <f>TEXT(Sales[[#This Row],[Kode Program/Kegiatan ]],"mmm")</f>
        <v>Aug</v>
      </c>
      <c r="E1841" s="20">
        <v>10</v>
      </c>
      <c r="F1841" s="19">
        <v>10</v>
      </c>
      <c r="G1841" s="20" t="str">
        <f>IF(Sales[[#This Row],[Anggaran Murni]]-Sales[[#This Row],[Target s.d. Januari]]=0,"",Sales[[#This Row],[Anggaran Murni]]-Sales[[#This Row],[Target s.d. Januari]])</f>
        <v/>
      </c>
      <c r="H1841" s="19" t="s">
        <v>76</v>
      </c>
      <c r="I1841" s="20" t="s">
        <v>79</v>
      </c>
      <c r="J1841" s="20">
        <v>40000000</v>
      </c>
      <c r="K1841" s="19" t="s">
        <v>32</v>
      </c>
      <c r="L1841" s="19" t="s">
        <v>2</v>
      </c>
      <c r="M1841" s="21" t="s">
        <v>67</v>
      </c>
      <c r="N1841" s="20" t="s">
        <v>80</v>
      </c>
      <c r="O1841" s="19" t="s">
        <v>11</v>
      </c>
      <c r="P1841" s="10"/>
      <c r="Q1841" s="11"/>
    </row>
    <row r="1842" spans="2:17" ht="21" customHeight="1" x14ac:dyDescent="0.35">
      <c r="B1842" s="1">
        <v>44045</v>
      </c>
      <c r="C1842" s="1" t="str">
        <f>TEXT(Sales[[#This Row],[Kode Program/Kegiatan ]],"D")</f>
        <v>2</v>
      </c>
      <c r="D1842" s="2" t="str">
        <f>TEXT(Sales[[#This Row],[Kode Program/Kegiatan ]],"mmm")</f>
        <v>Aug</v>
      </c>
      <c r="E1842" s="3">
        <v>6</v>
      </c>
      <c r="F1842" s="2">
        <v>6</v>
      </c>
      <c r="G1842" s="3" t="str">
        <f>IF(Sales[[#This Row],[Anggaran Murni]]-Sales[[#This Row],[Target s.d. Januari]]=0,"",Sales[[#This Row],[Anggaran Murni]]-Sales[[#This Row],[Target s.d. Januari]])</f>
        <v/>
      </c>
      <c r="H1842" s="2" t="s">
        <v>71</v>
      </c>
      <c r="I1842" s="3" t="s">
        <v>6</v>
      </c>
      <c r="J1842" s="3">
        <v>100000000</v>
      </c>
      <c r="K1842" s="2" t="s">
        <v>41</v>
      </c>
      <c r="L1842" s="2" t="s">
        <v>5</v>
      </c>
      <c r="M1842" s="4" t="s">
        <v>67</v>
      </c>
      <c r="N1842" s="3" t="s">
        <v>81</v>
      </c>
      <c r="O1842" s="2" t="s">
        <v>14</v>
      </c>
      <c r="P1842" s="10"/>
      <c r="Q1842" s="11"/>
    </row>
    <row r="1843" spans="2:17" ht="21" customHeight="1" x14ac:dyDescent="0.35">
      <c r="B1843" s="18">
        <v>44045</v>
      </c>
      <c r="C1843" s="18" t="str">
        <f>TEXT(Sales[[#This Row],[Kode Program/Kegiatan ]],"D")</f>
        <v>2</v>
      </c>
      <c r="D1843" s="19" t="str">
        <f>TEXT(Sales[[#This Row],[Kode Program/Kegiatan ]],"mmm")</f>
        <v>Aug</v>
      </c>
      <c r="E1843" s="20">
        <v>5</v>
      </c>
      <c r="F1843" s="19">
        <v>5</v>
      </c>
      <c r="G1843" s="20" t="str">
        <f>IF(Sales[[#This Row],[Anggaran Murni]]-Sales[[#This Row],[Target s.d. Januari]]=0,"",Sales[[#This Row],[Anggaran Murni]]-Sales[[#This Row],[Target s.d. Januari]])</f>
        <v/>
      </c>
      <c r="H1843" s="19" t="s">
        <v>71</v>
      </c>
      <c r="I1843" s="20" t="s">
        <v>6</v>
      </c>
      <c r="J1843" s="20">
        <v>120000000</v>
      </c>
      <c r="K1843" s="19" t="s">
        <v>37</v>
      </c>
      <c r="L1843" s="19" t="s">
        <v>5</v>
      </c>
      <c r="M1843" s="21" t="s">
        <v>67</v>
      </c>
      <c r="N1843" s="20" t="s">
        <v>80</v>
      </c>
      <c r="O1843" s="19" t="s">
        <v>12</v>
      </c>
      <c r="P1843" s="10"/>
      <c r="Q1843" s="11"/>
    </row>
    <row r="1844" spans="2:17" ht="21" customHeight="1" x14ac:dyDescent="0.35">
      <c r="B1844" s="1">
        <v>44045</v>
      </c>
      <c r="C1844" s="1" t="str">
        <f>TEXT(Sales[[#This Row],[Kode Program/Kegiatan ]],"D")</f>
        <v>2</v>
      </c>
      <c r="D1844" s="2" t="str">
        <f>TEXT(Sales[[#This Row],[Kode Program/Kegiatan ]],"mmm")</f>
        <v>Aug</v>
      </c>
      <c r="E1844" s="3">
        <v>5</v>
      </c>
      <c r="F1844" s="2">
        <v>5</v>
      </c>
      <c r="G1844" s="3" t="str">
        <f>IF(Sales[[#This Row],[Anggaran Murni]]-Sales[[#This Row],[Target s.d. Januari]]=0,"",Sales[[#This Row],[Anggaran Murni]]-Sales[[#This Row],[Target s.d. Januari]])</f>
        <v/>
      </c>
      <c r="H1844" s="2" t="s">
        <v>73</v>
      </c>
      <c r="I1844" s="3" t="s">
        <v>78</v>
      </c>
      <c r="J1844" s="3">
        <v>100000000</v>
      </c>
      <c r="K1844" s="2" t="s">
        <v>56</v>
      </c>
      <c r="L1844" s="2" t="s">
        <v>5</v>
      </c>
      <c r="M1844" s="4" t="s">
        <v>67</v>
      </c>
      <c r="N1844" s="3" t="s">
        <v>81</v>
      </c>
      <c r="O1844" s="2" t="s">
        <v>14</v>
      </c>
      <c r="P1844" s="10"/>
      <c r="Q1844" s="11"/>
    </row>
    <row r="1845" spans="2:17" ht="21" customHeight="1" x14ac:dyDescent="0.35">
      <c r="B1845" s="18">
        <v>44045</v>
      </c>
      <c r="C1845" s="18" t="str">
        <f>TEXT(Sales[[#This Row],[Kode Program/Kegiatan ]],"D")</f>
        <v>2</v>
      </c>
      <c r="D1845" s="19" t="str">
        <f>TEXT(Sales[[#This Row],[Kode Program/Kegiatan ]],"mmm")</f>
        <v>Aug</v>
      </c>
      <c r="E1845" s="20">
        <v>5</v>
      </c>
      <c r="F1845" s="19">
        <v>5</v>
      </c>
      <c r="G1845" s="20" t="str">
        <f>IF(Sales[[#This Row],[Anggaran Murni]]-Sales[[#This Row],[Target s.d. Januari]]=0,"",Sales[[#This Row],[Anggaran Murni]]-Sales[[#This Row],[Target s.d. Januari]])</f>
        <v/>
      </c>
      <c r="H1845" s="19" t="s">
        <v>71</v>
      </c>
      <c r="I1845" s="20" t="s">
        <v>6</v>
      </c>
      <c r="J1845" s="20">
        <v>80000000</v>
      </c>
      <c r="K1845" s="19" t="s">
        <v>39</v>
      </c>
      <c r="L1845" s="19" t="s">
        <v>4</v>
      </c>
      <c r="M1845" s="21" t="s">
        <v>67</v>
      </c>
      <c r="N1845" s="20" t="s">
        <v>82</v>
      </c>
      <c r="O1845" s="19" t="s">
        <v>11</v>
      </c>
      <c r="P1845" s="10"/>
      <c r="Q1845" s="11"/>
    </row>
    <row r="1846" spans="2:17" ht="21" customHeight="1" x14ac:dyDescent="0.35">
      <c r="B1846" s="1">
        <v>44045</v>
      </c>
      <c r="C1846" s="1" t="str">
        <f>TEXT(Sales[[#This Row],[Kode Program/Kegiatan ]],"D")</f>
        <v>2</v>
      </c>
      <c r="D1846" s="2" t="str">
        <f>TEXT(Sales[[#This Row],[Kode Program/Kegiatan ]],"mmm")</f>
        <v>Aug</v>
      </c>
      <c r="E1846" s="3">
        <v>3</v>
      </c>
      <c r="F1846" s="2">
        <v>3</v>
      </c>
      <c r="G1846" s="3" t="str">
        <f>IF(Sales[[#This Row],[Anggaran Murni]]-Sales[[#This Row],[Target s.d. Januari]]=0,"",Sales[[#This Row],[Anggaran Murni]]-Sales[[#This Row],[Target s.d. Januari]])</f>
        <v/>
      </c>
      <c r="H1846" s="2" t="s">
        <v>113</v>
      </c>
      <c r="I1846" s="3" t="s">
        <v>77</v>
      </c>
      <c r="J1846" s="3">
        <v>140000000</v>
      </c>
      <c r="K1846" s="2" t="s">
        <v>48</v>
      </c>
      <c r="L1846" s="2" t="s">
        <v>8</v>
      </c>
      <c r="M1846" s="4" t="s">
        <v>67</v>
      </c>
      <c r="N1846" s="3" t="s">
        <v>82</v>
      </c>
      <c r="O1846" s="2" t="s">
        <v>11</v>
      </c>
      <c r="P1846" s="10"/>
      <c r="Q1846" s="11"/>
    </row>
    <row r="1847" spans="2:17" ht="21" customHeight="1" x14ac:dyDescent="0.35">
      <c r="B1847" s="18">
        <v>44046</v>
      </c>
      <c r="C1847" s="18" t="str">
        <f>TEXT(Sales[[#This Row],[Kode Program/Kegiatan ]],"D")</f>
        <v>3</v>
      </c>
      <c r="D1847" s="19" t="str">
        <f>TEXT(Sales[[#This Row],[Kode Program/Kegiatan ]],"mmm")</f>
        <v>Aug</v>
      </c>
      <c r="E1847" s="20">
        <v>9</v>
      </c>
      <c r="F1847" s="19">
        <v>9</v>
      </c>
      <c r="G1847" s="20" t="str">
        <f>IF(Sales[[#This Row],[Anggaran Murni]]-Sales[[#This Row],[Target s.d. Januari]]=0,"",Sales[[#This Row],[Anggaran Murni]]-Sales[[#This Row],[Target s.d. Januari]])</f>
        <v/>
      </c>
      <c r="H1847" s="19" t="s">
        <v>73</v>
      </c>
      <c r="I1847" s="20" t="s">
        <v>78</v>
      </c>
      <c r="J1847" s="20">
        <v>120000000</v>
      </c>
      <c r="K1847" s="19" t="s">
        <v>27</v>
      </c>
      <c r="L1847" s="19" t="s">
        <v>2</v>
      </c>
      <c r="M1847" s="21" t="s">
        <v>67</v>
      </c>
      <c r="N1847" s="20" t="s">
        <v>82</v>
      </c>
      <c r="O1847" s="19" t="s">
        <v>12</v>
      </c>
      <c r="P1847" s="10"/>
      <c r="Q1847" s="11"/>
    </row>
    <row r="1848" spans="2:17" ht="21" customHeight="1" x14ac:dyDescent="0.35">
      <c r="B1848" s="1">
        <v>44046</v>
      </c>
      <c r="C1848" s="1" t="str">
        <f>TEXT(Sales[[#This Row],[Kode Program/Kegiatan ]],"D")</f>
        <v>3</v>
      </c>
      <c r="D1848" s="2" t="str">
        <f>TEXT(Sales[[#This Row],[Kode Program/Kegiatan ]],"mmm")</f>
        <v>Aug</v>
      </c>
      <c r="E1848" s="3">
        <v>8</v>
      </c>
      <c r="F1848" s="2">
        <v>8</v>
      </c>
      <c r="G1848" s="3" t="str">
        <f>IF(Sales[[#This Row],[Anggaran Murni]]-Sales[[#This Row],[Target s.d. Januari]]=0,"",Sales[[#This Row],[Anggaran Murni]]-Sales[[#This Row],[Target s.d. Januari]])</f>
        <v/>
      </c>
      <c r="H1848" s="2" t="s">
        <v>113</v>
      </c>
      <c r="I1848" s="3" t="s">
        <v>77</v>
      </c>
      <c r="J1848" s="3">
        <v>140000000</v>
      </c>
      <c r="K1848" s="2" t="s">
        <v>58</v>
      </c>
      <c r="L1848" s="2" t="s">
        <v>5</v>
      </c>
      <c r="M1848" s="4" t="s">
        <v>67</v>
      </c>
      <c r="N1848" s="3" t="s">
        <v>82</v>
      </c>
      <c r="O1848" s="2" t="s">
        <v>11</v>
      </c>
      <c r="P1848" s="10"/>
      <c r="Q1848" s="11"/>
    </row>
    <row r="1849" spans="2:17" ht="21" customHeight="1" x14ac:dyDescent="0.35">
      <c r="B1849" s="18">
        <v>44046</v>
      </c>
      <c r="C1849" s="18" t="str">
        <f>TEXT(Sales[[#This Row],[Kode Program/Kegiatan ]],"D")</f>
        <v>3</v>
      </c>
      <c r="D1849" s="19" t="str">
        <f>TEXT(Sales[[#This Row],[Kode Program/Kegiatan ]],"mmm")</f>
        <v>Aug</v>
      </c>
      <c r="E1849" s="20">
        <v>8</v>
      </c>
      <c r="F1849" s="19">
        <v>8</v>
      </c>
      <c r="G1849" s="20" t="str">
        <f>IF(Sales[[#This Row],[Anggaran Murni]]-Sales[[#This Row],[Target s.d. Januari]]=0,"",Sales[[#This Row],[Anggaran Murni]]-Sales[[#This Row],[Target s.d. Januari]])</f>
        <v/>
      </c>
      <c r="H1849" s="19" t="s">
        <v>71</v>
      </c>
      <c r="I1849" s="20" t="s">
        <v>6</v>
      </c>
      <c r="J1849" s="20">
        <v>60000000</v>
      </c>
      <c r="K1849" s="19" t="s">
        <v>16</v>
      </c>
      <c r="L1849" s="19" t="s">
        <v>8</v>
      </c>
      <c r="M1849" s="21" t="s">
        <v>67</v>
      </c>
      <c r="N1849" s="20" t="s">
        <v>82</v>
      </c>
      <c r="O1849" s="19" t="s">
        <v>12</v>
      </c>
      <c r="P1849" s="10"/>
      <c r="Q1849" s="11"/>
    </row>
    <row r="1850" spans="2:17" ht="21" customHeight="1" x14ac:dyDescent="0.35">
      <c r="B1850" s="1">
        <v>44046</v>
      </c>
      <c r="C1850" s="1" t="str">
        <f>TEXT(Sales[[#This Row],[Kode Program/Kegiatan ]],"D")</f>
        <v>3</v>
      </c>
      <c r="D1850" s="2" t="str">
        <f>TEXT(Sales[[#This Row],[Kode Program/Kegiatan ]],"mmm")</f>
        <v>Aug</v>
      </c>
      <c r="E1850" s="3">
        <v>7</v>
      </c>
      <c r="F1850" s="2">
        <v>7</v>
      </c>
      <c r="G1850" s="3" t="str">
        <f>IF(Sales[[#This Row],[Anggaran Murni]]-Sales[[#This Row],[Target s.d. Januari]]=0,"",Sales[[#This Row],[Anggaran Murni]]-Sales[[#This Row],[Target s.d. Januari]])</f>
        <v/>
      </c>
      <c r="H1850" s="2" t="s">
        <v>70</v>
      </c>
      <c r="I1850" s="3" t="s">
        <v>1</v>
      </c>
      <c r="J1850" s="3">
        <v>60000000</v>
      </c>
      <c r="K1850" s="2" t="s">
        <v>55</v>
      </c>
      <c r="L1850" s="2" t="s">
        <v>5</v>
      </c>
      <c r="M1850" s="4" t="s">
        <v>67</v>
      </c>
      <c r="N1850" s="3" t="s">
        <v>80</v>
      </c>
      <c r="O1850" s="2" t="s">
        <v>13</v>
      </c>
      <c r="P1850" s="10"/>
      <c r="Q1850" s="11"/>
    </row>
    <row r="1851" spans="2:17" ht="21" customHeight="1" x14ac:dyDescent="0.35">
      <c r="B1851" s="18">
        <v>44046</v>
      </c>
      <c r="C1851" s="18" t="str">
        <f>TEXT(Sales[[#This Row],[Kode Program/Kegiatan ]],"D")</f>
        <v>3</v>
      </c>
      <c r="D1851" s="19" t="str">
        <f>TEXT(Sales[[#This Row],[Kode Program/Kegiatan ]],"mmm")</f>
        <v>Aug</v>
      </c>
      <c r="E1851" s="20">
        <v>6</v>
      </c>
      <c r="F1851" s="19">
        <v>6</v>
      </c>
      <c r="G1851" s="20" t="str">
        <f>IF(Sales[[#This Row],[Anggaran Murni]]-Sales[[#This Row],[Target s.d. Januari]]=0,"",Sales[[#This Row],[Anggaran Murni]]-Sales[[#This Row],[Target s.d. Januari]])</f>
        <v/>
      </c>
      <c r="H1851" s="19" t="s">
        <v>74</v>
      </c>
      <c r="I1851" s="20" t="s">
        <v>77</v>
      </c>
      <c r="J1851" s="20">
        <v>40000000</v>
      </c>
      <c r="K1851" s="19" t="s">
        <v>20</v>
      </c>
      <c r="L1851" s="19" t="s">
        <v>8</v>
      </c>
      <c r="M1851" s="21" t="s">
        <v>67</v>
      </c>
      <c r="N1851" s="20" t="s">
        <v>81</v>
      </c>
      <c r="O1851" s="19" t="s">
        <v>14</v>
      </c>
      <c r="P1851" s="10"/>
      <c r="Q1851" s="11"/>
    </row>
    <row r="1852" spans="2:17" ht="21" customHeight="1" x14ac:dyDescent="0.35">
      <c r="B1852" s="1">
        <v>44046</v>
      </c>
      <c r="C1852" s="1" t="str">
        <f>TEXT(Sales[[#This Row],[Kode Program/Kegiatan ]],"D")</f>
        <v>3</v>
      </c>
      <c r="D1852" s="2" t="str">
        <f>TEXT(Sales[[#This Row],[Kode Program/Kegiatan ]],"mmm")</f>
        <v>Aug</v>
      </c>
      <c r="E1852" s="3">
        <v>6</v>
      </c>
      <c r="F1852" s="2">
        <v>6</v>
      </c>
      <c r="G1852" s="3" t="str">
        <f>IF(Sales[[#This Row],[Anggaran Murni]]-Sales[[#This Row],[Target s.d. Januari]]=0,"",Sales[[#This Row],[Anggaran Murni]]-Sales[[#This Row],[Target s.d. Januari]])</f>
        <v/>
      </c>
      <c r="H1852" s="2" t="s">
        <v>73</v>
      </c>
      <c r="I1852" s="3" t="s">
        <v>78</v>
      </c>
      <c r="J1852" s="3">
        <v>140000000</v>
      </c>
      <c r="K1852" s="2" t="s">
        <v>34</v>
      </c>
      <c r="L1852" s="2" t="s">
        <v>5</v>
      </c>
      <c r="M1852" s="4" t="s">
        <v>67</v>
      </c>
      <c r="N1852" s="3" t="s">
        <v>81</v>
      </c>
      <c r="O1852" s="2" t="s">
        <v>13</v>
      </c>
      <c r="P1852" s="10"/>
      <c r="Q1852" s="11"/>
    </row>
    <row r="1853" spans="2:17" ht="21" customHeight="1" x14ac:dyDescent="0.35">
      <c r="B1853" s="18">
        <v>44046</v>
      </c>
      <c r="C1853" s="18" t="str">
        <f>TEXT(Sales[[#This Row],[Kode Program/Kegiatan ]],"D")</f>
        <v>3</v>
      </c>
      <c r="D1853" s="19" t="str">
        <f>TEXT(Sales[[#This Row],[Kode Program/Kegiatan ]],"mmm")</f>
        <v>Aug</v>
      </c>
      <c r="E1853" s="20">
        <v>5</v>
      </c>
      <c r="F1853" s="19">
        <v>5</v>
      </c>
      <c r="G1853" s="20" t="str">
        <f>IF(Sales[[#This Row],[Anggaran Murni]]-Sales[[#This Row],[Target s.d. Januari]]=0,"",Sales[[#This Row],[Anggaran Murni]]-Sales[[#This Row],[Target s.d. Januari]])</f>
        <v/>
      </c>
      <c r="H1853" s="19" t="s">
        <v>74</v>
      </c>
      <c r="I1853" s="20" t="s">
        <v>77</v>
      </c>
      <c r="J1853" s="20">
        <v>140000000</v>
      </c>
      <c r="K1853" s="19" t="s">
        <v>61</v>
      </c>
      <c r="L1853" s="19" t="s">
        <v>5</v>
      </c>
      <c r="M1853" s="21" t="s">
        <v>67</v>
      </c>
      <c r="N1853" s="20" t="s">
        <v>80</v>
      </c>
      <c r="O1853" s="19" t="s">
        <v>13</v>
      </c>
      <c r="P1853" s="10"/>
      <c r="Q1853" s="11"/>
    </row>
    <row r="1854" spans="2:17" ht="21" customHeight="1" x14ac:dyDescent="0.35">
      <c r="B1854" s="1">
        <v>44046</v>
      </c>
      <c r="C1854" s="1" t="str">
        <f>TEXT(Sales[[#This Row],[Kode Program/Kegiatan ]],"D")</f>
        <v>3</v>
      </c>
      <c r="D1854" s="2" t="str">
        <f>TEXT(Sales[[#This Row],[Kode Program/Kegiatan ]],"mmm")</f>
        <v>Aug</v>
      </c>
      <c r="E1854" s="3">
        <v>5</v>
      </c>
      <c r="F1854" s="2">
        <v>5</v>
      </c>
      <c r="G1854" s="3" t="str">
        <f>IF(Sales[[#This Row],[Anggaran Murni]]-Sales[[#This Row],[Target s.d. Januari]]=0,"",Sales[[#This Row],[Anggaran Murni]]-Sales[[#This Row],[Target s.d. Januari]])</f>
        <v/>
      </c>
      <c r="H1854" s="2" t="s">
        <v>76</v>
      </c>
      <c r="I1854" s="3" t="s">
        <v>79</v>
      </c>
      <c r="J1854" s="3">
        <v>120000000</v>
      </c>
      <c r="K1854" s="2" t="s">
        <v>42</v>
      </c>
      <c r="L1854" s="2" t="s">
        <v>8</v>
      </c>
      <c r="M1854" s="4" t="s">
        <v>67</v>
      </c>
      <c r="N1854" s="3" t="s">
        <v>81</v>
      </c>
      <c r="O1854" s="2" t="s">
        <v>12</v>
      </c>
      <c r="P1854" s="10"/>
      <c r="Q1854" s="11"/>
    </row>
    <row r="1855" spans="2:17" ht="21" customHeight="1" x14ac:dyDescent="0.35">
      <c r="B1855" s="18">
        <v>44046</v>
      </c>
      <c r="C1855" s="18" t="str">
        <f>TEXT(Sales[[#This Row],[Kode Program/Kegiatan ]],"D")</f>
        <v>3</v>
      </c>
      <c r="D1855" s="19" t="str">
        <f>TEXT(Sales[[#This Row],[Kode Program/Kegiatan ]],"mmm")</f>
        <v>Aug</v>
      </c>
      <c r="E1855" s="20">
        <v>4</v>
      </c>
      <c r="F1855" s="19">
        <v>4</v>
      </c>
      <c r="G1855" s="20" t="str">
        <f>IF(Sales[[#This Row],[Anggaran Murni]]-Sales[[#This Row],[Target s.d. Januari]]=0,"",Sales[[#This Row],[Anggaran Murni]]-Sales[[#This Row],[Target s.d. Januari]])</f>
        <v/>
      </c>
      <c r="H1855" s="19" t="s">
        <v>72</v>
      </c>
      <c r="I1855" s="20" t="s">
        <v>78</v>
      </c>
      <c r="J1855" s="20">
        <v>120000000</v>
      </c>
      <c r="K1855" s="19" t="s">
        <v>30</v>
      </c>
      <c r="L1855" s="19" t="s">
        <v>5</v>
      </c>
      <c r="M1855" s="21" t="s">
        <v>67</v>
      </c>
      <c r="N1855" s="20" t="s">
        <v>82</v>
      </c>
      <c r="O1855" s="19" t="s">
        <v>13</v>
      </c>
      <c r="P1855" s="10"/>
      <c r="Q1855" s="11"/>
    </row>
    <row r="1856" spans="2:17" ht="21" customHeight="1" x14ac:dyDescent="0.35">
      <c r="B1856" s="1">
        <v>44047</v>
      </c>
      <c r="C1856" s="1" t="str">
        <f>TEXT(Sales[[#This Row],[Kode Program/Kegiatan ]],"D")</f>
        <v>4</v>
      </c>
      <c r="D1856" s="2" t="str">
        <f>TEXT(Sales[[#This Row],[Kode Program/Kegiatan ]],"mmm")</f>
        <v>Aug</v>
      </c>
      <c r="E1856" s="3">
        <v>9</v>
      </c>
      <c r="F1856" s="2">
        <v>9</v>
      </c>
      <c r="G1856" s="3" t="str">
        <f>IF(Sales[[#This Row],[Anggaran Murni]]-Sales[[#This Row],[Target s.d. Januari]]=0,"",Sales[[#This Row],[Anggaran Murni]]-Sales[[#This Row],[Target s.d. Januari]])</f>
        <v/>
      </c>
      <c r="H1856" s="2" t="s">
        <v>76</v>
      </c>
      <c r="I1856" s="3" t="s">
        <v>79</v>
      </c>
      <c r="J1856" s="3">
        <v>100000000</v>
      </c>
      <c r="K1856" s="2" t="s">
        <v>20</v>
      </c>
      <c r="L1856" s="2" t="s">
        <v>8</v>
      </c>
      <c r="M1856" s="4" t="s">
        <v>67</v>
      </c>
      <c r="N1856" s="3" t="s">
        <v>81</v>
      </c>
      <c r="O1856" s="2" t="s">
        <v>14</v>
      </c>
      <c r="P1856" s="10"/>
      <c r="Q1856" s="11"/>
    </row>
    <row r="1857" spans="2:17" ht="21" customHeight="1" x14ac:dyDescent="0.35">
      <c r="B1857" s="18">
        <v>44047</v>
      </c>
      <c r="C1857" s="18" t="str">
        <f>TEXT(Sales[[#This Row],[Kode Program/Kegiatan ]],"D")</f>
        <v>4</v>
      </c>
      <c r="D1857" s="19" t="str">
        <f>TEXT(Sales[[#This Row],[Kode Program/Kegiatan ]],"mmm")</f>
        <v>Aug</v>
      </c>
      <c r="E1857" s="20">
        <v>9</v>
      </c>
      <c r="F1857" s="19">
        <v>9</v>
      </c>
      <c r="G1857" s="20" t="str">
        <f>IF(Sales[[#This Row],[Anggaran Murni]]-Sales[[#This Row],[Target s.d. Januari]]=0,"",Sales[[#This Row],[Anggaran Murni]]-Sales[[#This Row],[Target s.d. Januari]])</f>
        <v/>
      </c>
      <c r="H1857" s="19" t="s">
        <v>71</v>
      </c>
      <c r="I1857" s="20" t="s">
        <v>6</v>
      </c>
      <c r="J1857" s="20">
        <v>40000000</v>
      </c>
      <c r="K1857" s="19" t="s">
        <v>16</v>
      </c>
      <c r="L1857" s="19" t="s">
        <v>2</v>
      </c>
      <c r="M1857" s="21" t="s">
        <v>67</v>
      </c>
      <c r="N1857" s="20" t="s">
        <v>82</v>
      </c>
      <c r="O1857" s="19" t="s">
        <v>12</v>
      </c>
      <c r="P1857" s="10"/>
      <c r="Q1857" s="11"/>
    </row>
    <row r="1858" spans="2:17" ht="21" customHeight="1" x14ac:dyDescent="0.35">
      <c r="B1858" s="1">
        <v>44047</v>
      </c>
      <c r="C1858" s="1" t="str">
        <f>TEXT(Sales[[#This Row],[Kode Program/Kegiatan ]],"D")</f>
        <v>4</v>
      </c>
      <c r="D1858" s="2" t="str">
        <f>TEXT(Sales[[#This Row],[Kode Program/Kegiatan ]],"mmm")</f>
        <v>Aug</v>
      </c>
      <c r="E1858" s="3">
        <v>6</v>
      </c>
      <c r="F1858" s="2">
        <v>6</v>
      </c>
      <c r="G1858" s="3" t="str">
        <f>IF(Sales[[#This Row],[Anggaran Murni]]-Sales[[#This Row],[Target s.d. Januari]]=0,"",Sales[[#This Row],[Anggaran Murni]]-Sales[[#This Row],[Target s.d. Januari]])</f>
        <v/>
      </c>
      <c r="H1858" s="2" t="s">
        <v>75</v>
      </c>
      <c r="I1858" s="3" t="s">
        <v>6</v>
      </c>
      <c r="J1858" s="3">
        <v>140000000</v>
      </c>
      <c r="K1858" s="2" t="s">
        <v>29</v>
      </c>
      <c r="L1858" s="2" t="s">
        <v>2</v>
      </c>
      <c r="M1858" s="4" t="s">
        <v>67</v>
      </c>
      <c r="N1858" s="3" t="s">
        <v>81</v>
      </c>
      <c r="O1858" s="2" t="s">
        <v>13</v>
      </c>
      <c r="P1858" s="10"/>
      <c r="Q1858" s="11"/>
    </row>
    <row r="1859" spans="2:17" ht="21" customHeight="1" x14ac:dyDescent="0.35">
      <c r="B1859" s="18">
        <v>44047</v>
      </c>
      <c r="C1859" s="18" t="str">
        <f>TEXT(Sales[[#This Row],[Kode Program/Kegiatan ]],"D")</f>
        <v>4</v>
      </c>
      <c r="D1859" s="19" t="str">
        <f>TEXT(Sales[[#This Row],[Kode Program/Kegiatan ]],"mmm")</f>
        <v>Aug</v>
      </c>
      <c r="E1859" s="20">
        <v>6</v>
      </c>
      <c r="F1859" s="19">
        <v>6</v>
      </c>
      <c r="G1859" s="20" t="str">
        <f>IF(Sales[[#This Row],[Anggaran Murni]]-Sales[[#This Row],[Target s.d. Januari]]=0,"",Sales[[#This Row],[Anggaran Murni]]-Sales[[#This Row],[Target s.d. Januari]])</f>
        <v/>
      </c>
      <c r="H1859" s="19" t="s">
        <v>72</v>
      </c>
      <c r="I1859" s="20" t="s">
        <v>78</v>
      </c>
      <c r="J1859" s="20">
        <v>140000000</v>
      </c>
      <c r="K1859" s="19" t="s">
        <v>17</v>
      </c>
      <c r="L1859" s="19" t="s">
        <v>2</v>
      </c>
      <c r="M1859" s="21" t="s">
        <v>67</v>
      </c>
      <c r="N1859" s="20" t="s">
        <v>81</v>
      </c>
      <c r="O1859" s="19" t="s">
        <v>14</v>
      </c>
      <c r="P1859" s="10"/>
      <c r="Q1859" s="11"/>
    </row>
    <row r="1860" spans="2:17" ht="21" customHeight="1" x14ac:dyDescent="0.35">
      <c r="B1860" s="1">
        <v>44047</v>
      </c>
      <c r="C1860" s="1" t="str">
        <f>TEXT(Sales[[#This Row],[Kode Program/Kegiatan ]],"D")</f>
        <v>4</v>
      </c>
      <c r="D1860" s="2" t="str">
        <f>TEXT(Sales[[#This Row],[Kode Program/Kegiatan ]],"mmm")</f>
        <v>Aug</v>
      </c>
      <c r="E1860" s="3">
        <v>6</v>
      </c>
      <c r="F1860" s="2">
        <v>6</v>
      </c>
      <c r="G1860" s="3" t="str">
        <f>IF(Sales[[#This Row],[Anggaran Murni]]-Sales[[#This Row],[Target s.d. Januari]]=0,"",Sales[[#This Row],[Anggaran Murni]]-Sales[[#This Row],[Target s.d. Januari]])</f>
        <v/>
      </c>
      <c r="H1860" s="2" t="s">
        <v>71</v>
      </c>
      <c r="I1860" s="3" t="s">
        <v>6</v>
      </c>
      <c r="J1860" s="3">
        <v>80000000</v>
      </c>
      <c r="K1860" s="2" t="s">
        <v>60</v>
      </c>
      <c r="L1860" s="2" t="s">
        <v>5</v>
      </c>
      <c r="M1860" s="4" t="s">
        <v>67</v>
      </c>
      <c r="N1860" s="3" t="s">
        <v>82</v>
      </c>
      <c r="O1860" s="2" t="s">
        <v>11</v>
      </c>
      <c r="P1860" s="10"/>
      <c r="Q1860" s="11"/>
    </row>
    <row r="1861" spans="2:17" ht="21" customHeight="1" x14ac:dyDescent="0.35">
      <c r="B1861" s="18">
        <v>44047</v>
      </c>
      <c r="C1861" s="18" t="str">
        <f>TEXT(Sales[[#This Row],[Kode Program/Kegiatan ]],"D")</f>
        <v>4</v>
      </c>
      <c r="D1861" s="19" t="str">
        <f>TEXT(Sales[[#This Row],[Kode Program/Kegiatan ]],"mmm")</f>
        <v>Aug</v>
      </c>
      <c r="E1861" s="20">
        <v>5</v>
      </c>
      <c r="F1861" s="19">
        <v>5</v>
      </c>
      <c r="G1861" s="20" t="str">
        <f>IF(Sales[[#This Row],[Anggaran Murni]]-Sales[[#This Row],[Target s.d. Januari]]=0,"",Sales[[#This Row],[Anggaran Murni]]-Sales[[#This Row],[Target s.d. Januari]])</f>
        <v/>
      </c>
      <c r="H1861" s="19" t="s">
        <v>74</v>
      </c>
      <c r="I1861" s="20" t="s">
        <v>77</v>
      </c>
      <c r="J1861" s="20">
        <v>40000000</v>
      </c>
      <c r="K1861" s="19" t="s">
        <v>42</v>
      </c>
      <c r="L1861" s="19" t="s">
        <v>2</v>
      </c>
      <c r="M1861" s="21" t="s">
        <v>67</v>
      </c>
      <c r="N1861" s="20" t="s">
        <v>81</v>
      </c>
      <c r="O1861" s="19" t="s">
        <v>14</v>
      </c>
      <c r="P1861" s="10"/>
      <c r="Q1861" s="11"/>
    </row>
    <row r="1862" spans="2:17" ht="21" customHeight="1" x14ac:dyDescent="0.35">
      <c r="B1862" s="1">
        <v>44047</v>
      </c>
      <c r="C1862" s="1" t="str">
        <f>TEXT(Sales[[#This Row],[Kode Program/Kegiatan ]],"D")</f>
        <v>4</v>
      </c>
      <c r="D1862" s="2" t="str">
        <f>TEXT(Sales[[#This Row],[Kode Program/Kegiatan ]],"mmm")</f>
        <v>Aug</v>
      </c>
      <c r="E1862" s="3">
        <v>5</v>
      </c>
      <c r="F1862" s="2">
        <v>5</v>
      </c>
      <c r="G1862" s="3" t="str">
        <f>IF(Sales[[#This Row],[Anggaran Murni]]-Sales[[#This Row],[Target s.d. Januari]]=0,"",Sales[[#This Row],[Anggaran Murni]]-Sales[[#This Row],[Target s.d. Januari]])</f>
        <v/>
      </c>
      <c r="H1862" s="2" t="s">
        <v>76</v>
      </c>
      <c r="I1862" s="3" t="s">
        <v>79</v>
      </c>
      <c r="J1862" s="3">
        <v>100000000</v>
      </c>
      <c r="K1862" s="2" t="s">
        <v>41</v>
      </c>
      <c r="L1862" s="2" t="s">
        <v>7</v>
      </c>
      <c r="M1862" s="4" t="s">
        <v>67</v>
      </c>
      <c r="N1862" s="3" t="s">
        <v>80</v>
      </c>
      <c r="O1862" s="2" t="s">
        <v>12</v>
      </c>
      <c r="P1862" s="10"/>
      <c r="Q1862" s="11"/>
    </row>
    <row r="1863" spans="2:17" ht="21" customHeight="1" x14ac:dyDescent="0.35">
      <c r="B1863" s="18">
        <v>44047</v>
      </c>
      <c r="C1863" s="18" t="str">
        <f>TEXT(Sales[[#This Row],[Kode Program/Kegiatan ]],"D")</f>
        <v>4</v>
      </c>
      <c r="D1863" s="19" t="str">
        <f>TEXT(Sales[[#This Row],[Kode Program/Kegiatan ]],"mmm")</f>
        <v>Aug</v>
      </c>
      <c r="E1863" s="20">
        <v>4</v>
      </c>
      <c r="F1863" s="19">
        <v>4</v>
      </c>
      <c r="G1863" s="20" t="str">
        <f>IF(Sales[[#This Row],[Anggaran Murni]]-Sales[[#This Row],[Target s.d. Januari]]=0,"",Sales[[#This Row],[Anggaran Murni]]-Sales[[#This Row],[Target s.d. Januari]])</f>
        <v/>
      </c>
      <c r="H1863" s="19" t="s">
        <v>74</v>
      </c>
      <c r="I1863" s="20" t="s">
        <v>77</v>
      </c>
      <c r="J1863" s="20">
        <v>40000000</v>
      </c>
      <c r="K1863" s="19" t="s">
        <v>19</v>
      </c>
      <c r="L1863" s="19" t="s">
        <v>2</v>
      </c>
      <c r="M1863" s="21" t="s">
        <v>67</v>
      </c>
      <c r="N1863" s="20" t="s">
        <v>81</v>
      </c>
      <c r="O1863" s="19" t="s">
        <v>12</v>
      </c>
      <c r="P1863" s="10"/>
      <c r="Q1863" s="11"/>
    </row>
    <row r="1864" spans="2:17" ht="21" customHeight="1" x14ac:dyDescent="0.35">
      <c r="B1864" s="1">
        <v>44047</v>
      </c>
      <c r="C1864" s="1" t="str">
        <f>TEXT(Sales[[#This Row],[Kode Program/Kegiatan ]],"D")</f>
        <v>4</v>
      </c>
      <c r="D1864" s="2" t="str">
        <f>TEXT(Sales[[#This Row],[Kode Program/Kegiatan ]],"mmm")</f>
        <v>Aug</v>
      </c>
      <c r="E1864" s="3">
        <v>4</v>
      </c>
      <c r="F1864" s="2">
        <v>4</v>
      </c>
      <c r="G1864" s="3" t="str">
        <f>IF(Sales[[#This Row],[Anggaran Murni]]-Sales[[#This Row],[Target s.d. Januari]]=0,"",Sales[[#This Row],[Anggaran Murni]]-Sales[[#This Row],[Target s.d. Januari]])</f>
        <v/>
      </c>
      <c r="H1864" s="2" t="s">
        <v>71</v>
      </c>
      <c r="I1864" s="3" t="s">
        <v>6</v>
      </c>
      <c r="J1864" s="3">
        <v>100000000</v>
      </c>
      <c r="K1864" s="2" t="s">
        <v>36</v>
      </c>
      <c r="L1864" s="2" t="s">
        <v>8</v>
      </c>
      <c r="M1864" s="4" t="s">
        <v>67</v>
      </c>
      <c r="N1864" s="3" t="s">
        <v>80</v>
      </c>
      <c r="O1864" s="2" t="s">
        <v>14</v>
      </c>
      <c r="P1864" s="10"/>
      <c r="Q1864" s="11"/>
    </row>
    <row r="1865" spans="2:17" ht="21" customHeight="1" x14ac:dyDescent="0.35">
      <c r="B1865" s="18">
        <v>44047</v>
      </c>
      <c r="C1865" s="18" t="str">
        <f>TEXT(Sales[[#This Row],[Kode Program/Kegiatan ]],"D")</f>
        <v>4</v>
      </c>
      <c r="D1865" s="19" t="str">
        <f>TEXT(Sales[[#This Row],[Kode Program/Kegiatan ]],"mmm")</f>
        <v>Aug</v>
      </c>
      <c r="E1865" s="20">
        <v>3</v>
      </c>
      <c r="F1865" s="19">
        <v>3</v>
      </c>
      <c r="G1865" s="20" t="str">
        <f>IF(Sales[[#This Row],[Anggaran Murni]]-Sales[[#This Row],[Target s.d. Januari]]=0,"",Sales[[#This Row],[Anggaran Murni]]-Sales[[#This Row],[Target s.d. Januari]])</f>
        <v/>
      </c>
      <c r="H1865" s="19" t="s">
        <v>75</v>
      </c>
      <c r="I1865" s="20" t="s">
        <v>6</v>
      </c>
      <c r="J1865" s="20">
        <v>140000000</v>
      </c>
      <c r="K1865" s="19" t="s">
        <v>27</v>
      </c>
      <c r="L1865" s="19" t="s">
        <v>2</v>
      </c>
      <c r="M1865" s="21" t="s">
        <v>67</v>
      </c>
      <c r="N1865" s="20" t="s">
        <v>81</v>
      </c>
      <c r="O1865" s="19" t="s">
        <v>14</v>
      </c>
      <c r="P1865" s="10"/>
      <c r="Q1865" s="11"/>
    </row>
    <row r="1866" spans="2:17" ht="21" customHeight="1" x14ac:dyDescent="0.35">
      <c r="B1866" s="1">
        <v>44047</v>
      </c>
      <c r="C1866" s="1" t="str">
        <f>TEXT(Sales[[#This Row],[Kode Program/Kegiatan ]],"D")</f>
        <v>4</v>
      </c>
      <c r="D1866" s="2" t="str">
        <f>TEXT(Sales[[#This Row],[Kode Program/Kegiatan ]],"mmm")</f>
        <v>Aug</v>
      </c>
      <c r="E1866" s="3">
        <v>3</v>
      </c>
      <c r="F1866" s="2">
        <v>3</v>
      </c>
      <c r="G1866" s="3" t="str">
        <f>IF(Sales[[#This Row],[Anggaran Murni]]-Sales[[#This Row],[Target s.d. Januari]]=0,"",Sales[[#This Row],[Anggaran Murni]]-Sales[[#This Row],[Target s.d. Januari]])</f>
        <v/>
      </c>
      <c r="H1866" s="2" t="s">
        <v>73</v>
      </c>
      <c r="I1866" s="3" t="s">
        <v>78</v>
      </c>
      <c r="J1866" s="3">
        <v>100000000</v>
      </c>
      <c r="K1866" s="2" t="s">
        <v>47</v>
      </c>
      <c r="L1866" s="2" t="s">
        <v>7</v>
      </c>
      <c r="M1866" s="4" t="s">
        <v>67</v>
      </c>
      <c r="N1866" s="3" t="s">
        <v>82</v>
      </c>
      <c r="O1866" s="2" t="s">
        <v>14</v>
      </c>
      <c r="P1866" s="10"/>
      <c r="Q1866" s="11"/>
    </row>
    <row r="1867" spans="2:17" ht="21" customHeight="1" x14ac:dyDescent="0.35">
      <c r="B1867" s="18">
        <v>44048</v>
      </c>
      <c r="C1867" s="18" t="str">
        <f>TEXT(Sales[[#This Row],[Kode Program/Kegiatan ]],"D")</f>
        <v>5</v>
      </c>
      <c r="D1867" s="19" t="str">
        <f>TEXT(Sales[[#This Row],[Kode Program/Kegiatan ]],"mmm")</f>
        <v>Aug</v>
      </c>
      <c r="E1867" s="20">
        <v>9</v>
      </c>
      <c r="F1867" s="19">
        <v>9</v>
      </c>
      <c r="G1867" s="20" t="str">
        <f>IF(Sales[[#This Row],[Anggaran Murni]]-Sales[[#This Row],[Target s.d. Januari]]=0,"",Sales[[#This Row],[Anggaran Murni]]-Sales[[#This Row],[Target s.d. Januari]])</f>
        <v/>
      </c>
      <c r="H1867" s="19" t="s">
        <v>73</v>
      </c>
      <c r="I1867" s="20" t="s">
        <v>78</v>
      </c>
      <c r="J1867" s="20">
        <v>120000000</v>
      </c>
      <c r="K1867" s="19" t="s">
        <v>18</v>
      </c>
      <c r="L1867" s="19" t="s">
        <v>5</v>
      </c>
      <c r="M1867" s="21" t="s">
        <v>67</v>
      </c>
      <c r="N1867" s="20" t="s">
        <v>80</v>
      </c>
      <c r="O1867" s="19" t="s">
        <v>12</v>
      </c>
      <c r="P1867" s="10"/>
      <c r="Q1867" s="11"/>
    </row>
    <row r="1868" spans="2:17" ht="21" customHeight="1" x14ac:dyDescent="0.35">
      <c r="B1868" s="1">
        <v>44048</v>
      </c>
      <c r="C1868" s="1" t="str">
        <f>TEXT(Sales[[#This Row],[Kode Program/Kegiatan ]],"D")</f>
        <v>5</v>
      </c>
      <c r="D1868" s="2" t="str">
        <f>TEXT(Sales[[#This Row],[Kode Program/Kegiatan ]],"mmm")</f>
        <v>Aug</v>
      </c>
      <c r="E1868" s="3">
        <v>8</v>
      </c>
      <c r="F1868" s="2">
        <v>8</v>
      </c>
      <c r="G1868" s="3" t="str">
        <f>IF(Sales[[#This Row],[Anggaran Murni]]-Sales[[#This Row],[Target s.d. Januari]]=0,"",Sales[[#This Row],[Anggaran Murni]]-Sales[[#This Row],[Target s.d. Januari]])</f>
        <v/>
      </c>
      <c r="H1868" s="2" t="s">
        <v>70</v>
      </c>
      <c r="I1868" s="3" t="s">
        <v>1</v>
      </c>
      <c r="J1868" s="3">
        <v>60000000</v>
      </c>
      <c r="K1868" s="2" t="s">
        <v>46</v>
      </c>
      <c r="L1868" s="2" t="s">
        <v>2</v>
      </c>
      <c r="M1868" s="4" t="s">
        <v>67</v>
      </c>
      <c r="N1868" s="3" t="s">
        <v>82</v>
      </c>
      <c r="O1868" s="2" t="s">
        <v>12</v>
      </c>
      <c r="P1868" s="10"/>
      <c r="Q1868" s="11"/>
    </row>
    <row r="1869" spans="2:17" ht="21" customHeight="1" x14ac:dyDescent="0.35">
      <c r="B1869" s="18">
        <v>44048</v>
      </c>
      <c r="C1869" s="18" t="str">
        <f>TEXT(Sales[[#This Row],[Kode Program/Kegiatan ]],"D")</f>
        <v>5</v>
      </c>
      <c r="D1869" s="19" t="str">
        <f>TEXT(Sales[[#This Row],[Kode Program/Kegiatan ]],"mmm")</f>
        <v>Aug</v>
      </c>
      <c r="E1869" s="20">
        <v>8</v>
      </c>
      <c r="F1869" s="19">
        <v>8</v>
      </c>
      <c r="G1869" s="20" t="str">
        <f>IF(Sales[[#This Row],[Anggaran Murni]]-Sales[[#This Row],[Target s.d. Januari]]=0,"",Sales[[#This Row],[Anggaran Murni]]-Sales[[#This Row],[Target s.d. Januari]])</f>
        <v/>
      </c>
      <c r="H1869" s="19" t="s">
        <v>70</v>
      </c>
      <c r="I1869" s="20" t="s">
        <v>1</v>
      </c>
      <c r="J1869" s="20">
        <v>80000000</v>
      </c>
      <c r="K1869" s="19" t="s">
        <v>34</v>
      </c>
      <c r="L1869" s="19" t="s">
        <v>2</v>
      </c>
      <c r="M1869" s="21" t="s">
        <v>67</v>
      </c>
      <c r="N1869" s="20" t="s">
        <v>81</v>
      </c>
      <c r="O1869" s="19" t="s">
        <v>12</v>
      </c>
      <c r="P1869" s="10"/>
      <c r="Q1869" s="11"/>
    </row>
    <row r="1870" spans="2:17" ht="21" customHeight="1" x14ac:dyDescent="0.35">
      <c r="B1870" s="1">
        <v>44048</v>
      </c>
      <c r="C1870" s="1" t="str">
        <f>TEXT(Sales[[#This Row],[Kode Program/Kegiatan ]],"D")</f>
        <v>5</v>
      </c>
      <c r="D1870" s="2" t="str">
        <f>TEXT(Sales[[#This Row],[Kode Program/Kegiatan ]],"mmm")</f>
        <v>Aug</v>
      </c>
      <c r="E1870" s="3">
        <v>6</v>
      </c>
      <c r="F1870" s="2">
        <v>6</v>
      </c>
      <c r="G1870" s="3" t="str">
        <f>IF(Sales[[#This Row],[Anggaran Murni]]-Sales[[#This Row],[Target s.d. Januari]]=0,"",Sales[[#This Row],[Anggaran Murni]]-Sales[[#This Row],[Target s.d. Januari]])</f>
        <v/>
      </c>
      <c r="H1870" s="2" t="s">
        <v>70</v>
      </c>
      <c r="I1870" s="3" t="s">
        <v>1</v>
      </c>
      <c r="J1870" s="3">
        <v>60000000</v>
      </c>
      <c r="K1870" s="2" t="s">
        <v>60</v>
      </c>
      <c r="L1870" s="2" t="s">
        <v>5</v>
      </c>
      <c r="M1870" s="4" t="s">
        <v>67</v>
      </c>
      <c r="N1870" s="3" t="s">
        <v>81</v>
      </c>
      <c r="O1870" s="2" t="s">
        <v>14</v>
      </c>
      <c r="P1870" s="10"/>
      <c r="Q1870" s="11"/>
    </row>
    <row r="1871" spans="2:17" ht="21" customHeight="1" x14ac:dyDescent="0.35">
      <c r="B1871" s="18">
        <v>44048</v>
      </c>
      <c r="C1871" s="18" t="str">
        <f>TEXT(Sales[[#This Row],[Kode Program/Kegiatan ]],"D")</f>
        <v>5</v>
      </c>
      <c r="D1871" s="19" t="str">
        <f>TEXT(Sales[[#This Row],[Kode Program/Kegiatan ]],"mmm")</f>
        <v>Aug</v>
      </c>
      <c r="E1871" s="20">
        <v>6</v>
      </c>
      <c r="F1871" s="19">
        <v>6</v>
      </c>
      <c r="G1871" s="20" t="str">
        <f>IF(Sales[[#This Row],[Anggaran Murni]]-Sales[[#This Row],[Target s.d. Januari]]=0,"",Sales[[#This Row],[Anggaran Murni]]-Sales[[#This Row],[Target s.d. Januari]])</f>
        <v/>
      </c>
      <c r="H1871" s="19" t="s">
        <v>114</v>
      </c>
      <c r="I1871" s="20" t="s">
        <v>3</v>
      </c>
      <c r="J1871" s="20">
        <v>80000000</v>
      </c>
      <c r="K1871" s="19" t="s">
        <v>40</v>
      </c>
      <c r="L1871" s="19" t="s">
        <v>2</v>
      </c>
      <c r="M1871" s="21" t="s">
        <v>67</v>
      </c>
      <c r="N1871" s="20" t="s">
        <v>80</v>
      </c>
      <c r="O1871" s="19" t="s">
        <v>12</v>
      </c>
      <c r="P1871" s="10"/>
      <c r="Q1871" s="11"/>
    </row>
    <row r="1872" spans="2:17" ht="21" customHeight="1" x14ac:dyDescent="0.35">
      <c r="B1872" s="1">
        <v>44049</v>
      </c>
      <c r="C1872" s="1" t="str">
        <f>TEXT(Sales[[#This Row],[Kode Program/Kegiatan ]],"D")</f>
        <v>6</v>
      </c>
      <c r="D1872" s="2" t="str">
        <f>TEXT(Sales[[#This Row],[Kode Program/Kegiatan ]],"mmm")</f>
        <v>Aug</v>
      </c>
      <c r="E1872" s="3">
        <v>10</v>
      </c>
      <c r="F1872" s="2">
        <v>10</v>
      </c>
      <c r="G1872" s="3" t="str">
        <f>IF(Sales[[#This Row],[Anggaran Murni]]-Sales[[#This Row],[Target s.d. Januari]]=0,"",Sales[[#This Row],[Anggaran Murni]]-Sales[[#This Row],[Target s.d. Januari]])</f>
        <v/>
      </c>
      <c r="H1872" s="2" t="s">
        <v>72</v>
      </c>
      <c r="I1872" s="3" t="s">
        <v>78</v>
      </c>
      <c r="J1872" s="3">
        <v>120000000</v>
      </c>
      <c r="K1872" s="2" t="s">
        <v>50</v>
      </c>
      <c r="L1872" s="2" t="s">
        <v>5</v>
      </c>
      <c r="M1872" s="4" t="s">
        <v>67</v>
      </c>
      <c r="N1872" s="3" t="s">
        <v>81</v>
      </c>
      <c r="O1872" s="2" t="s">
        <v>12</v>
      </c>
      <c r="P1872" s="10"/>
      <c r="Q1872" s="11"/>
    </row>
    <row r="1873" spans="2:17" ht="21" customHeight="1" x14ac:dyDescent="0.35">
      <c r="B1873" s="18">
        <v>44049</v>
      </c>
      <c r="C1873" s="18" t="str">
        <f>TEXT(Sales[[#This Row],[Kode Program/Kegiatan ]],"D")</f>
        <v>6</v>
      </c>
      <c r="D1873" s="19" t="str">
        <f>TEXT(Sales[[#This Row],[Kode Program/Kegiatan ]],"mmm")</f>
        <v>Aug</v>
      </c>
      <c r="E1873" s="20">
        <v>8</v>
      </c>
      <c r="F1873" s="19">
        <v>8</v>
      </c>
      <c r="G1873" s="20" t="str">
        <f>IF(Sales[[#This Row],[Anggaran Murni]]-Sales[[#This Row],[Target s.d. Januari]]=0,"",Sales[[#This Row],[Anggaran Murni]]-Sales[[#This Row],[Target s.d. Januari]])</f>
        <v/>
      </c>
      <c r="H1873" s="19" t="s">
        <v>113</v>
      </c>
      <c r="I1873" s="20" t="s">
        <v>77</v>
      </c>
      <c r="J1873" s="20">
        <v>60000000</v>
      </c>
      <c r="K1873" s="19" t="s">
        <v>30</v>
      </c>
      <c r="L1873" s="19" t="s">
        <v>9</v>
      </c>
      <c r="M1873" s="21" t="s">
        <v>67</v>
      </c>
      <c r="N1873" s="20" t="s">
        <v>80</v>
      </c>
      <c r="O1873" s="19" t="s">
        <v>12</v>
      </c>
      <c r="P1873" s="10"/>
      <c r="Q1873" s="11"/>
    </row>
    <row r="1874" spans="2:17" ht="21" customHeight="1" x14ac:dyDescent="0.35">
      <c r="B1874" s="1">
        <v>44049</v>
      </c>
      <c r="C1874" s="1" t="str">
        <f>TEXT(Sales[[#This Row],[Kode Program/Kegiatan ]],"D")</f>
        <v>6</v>
      </c>
      <c r="D1874" s="2" t="str">
        <f>TEXT(Sales[[#This Row],[Kode Program/Kegiatan ]],"mmm")</f>
        <v>Aug</v>
      </c>
      <c r="E1874" s="3">
        <v>8</v>
      </c>
      <c r="F1874" s="2">
        <v>8</v>
      </c>
      <c r="G1874" s="3" t="str">
        <f>IF(Sales[[#This Row],[Anggaran Murni]]-Sales[[#This Row],[Target s.d. Januari]]=0,"",Sales[[#This Row],[Anggaran Murni]]-Sales[[#This Row],[Target s.d. Januari]])</f>
        <v/>
      </c>
      <c r="H1874" s="2" t="s">
        <v>70</v>
      </c>
      <c r="I1874" s="3" t="s">
        <v>1</v>
      </c>
      <c r="J1874" s="3">
        <v>120000000</v>
      </c>
      <c r="K1874" s="2" t="s">
        <v>60</v>
      </c>
      <c r="L1874" s="2" t="s">
        <v>5</v>
      </c>
      <c r="M1874" s="4" t="s">
        <v>67</v>
      </c>
      <c r="N1874" s="3" t="s">
        <v>82</v>
      </c>
      <c r="O1874" s="2" t="s">
        <v>11</v>
      </c>
      <c r="P1874" s="10"/>
      <c r="Q1874" s="11"/>
    </row>
    <row r="1875" spans="2:17" ht="21" customHeight="1" x14ac:dyDescent="0.35">
      <c r="B1875" s="18">
        <v>44049</v>
      </c>
      <c r="C1875" s="18" t="str">
        <f>TEXT(Sales[[#This Row],[Kode Program/Kegiatan ]],"D")</f>
        <v>6</v>
      </c>
      <c r="D1875" s="19" t="str">
        <f>TEXT(Sales[[#This Row],[Kode Program/Kegiatan ]],"mmm")</f>
        <v>Aug</v>
      </c>
      <c r="E1875" s="20">
        <v>8</v>
      </c>
      <c r="F1875" s="19">
        <v>8</v>
      </c>
      <c r="G1875" s="20" t="str">
        <f>IF(Sales[[#This Row],[Anggaran Murni]]-Sales[[#This Row],[Target s.d. Januari]]=0,"",Sales[[#This Row],[Anggaran Murni]]-Sales[[#This Row],[Target s.d. Januari]])</f>
        <v/>
      </c>
      <c r="H1875" s="19" t="s">
        <v>73</v>
      </c>
      <c r="I1875" s="20" t="s">
        <v>78</v>
      </c>
      <c r="J1875" s="20">
        <v>120000000</v>
      </c>
      <c r="K1875" s="19" t="s">
        <v>32</v>
      </c>
      <c r="L1875" s="19" t="s">
        <v>2</v>
      </c>
      <c r="M1875" s="21" t="s">
        <v>67</v>
      </c>
      <c r="N1875" s="20" t="s">
        <v>82</v>
      </c>
      <c r="O1875" s="19" t="s">
        <v>13</v>
      </c>
      <c r="P1875" s="10"/>
      <c r="Q1875" s="11"/>
    </row>
    <row r="1876" spans="2:17" ht="21" customHeight="1" x14ac:dyDescent="0.35">
      <c r="B1876" s="1">
        <v>44049</v>
      </c>
      <c r="C1876" s="1" t="str">
        <f>TEXT(Sales[[#This Row],[Kode Program/Kegiatan ]],"D")</f>
        <v>6</v>
      </c>
      <c r="D1876" s="2" t="str">
        <f>TEXT(Sales[[#This Row],[Kode Program/Kegiatan ]],"mmm")</f>
        <v>Aug</v>
      </c>
      <c r="E1876" s="3">
        <v>6</v>
      </c>
      <c r="F1876" s="2">
        <v>6</v>
      </c>
      <c r="G1876" s="3" t="str">
        <f>IF(Sales[[#This Row],[Anggaran Murni]]-Sales[[#This Row],[Target s.d. Januari]]=0,"",Sales[[#This Row],[Anggaran Murni]]-Sales[[#This Row],[Target s.d. Januari]])</f>
        <v/>
      </c>
      <c r="H1876" s="2" t="s">
        <v>70</v>
      </c>
      <c r="I1876" s="3" t="s">
        <v>1</v>
      </c>
      <c r="J1876" s="3">
        <v>60000000</v>
      </c>
      <c r="K1876" s="2" t="s">
        <v>21</v>
      </c>
      <c r="L1876" s="2" t="s">
        <v>2</v>
      </c>
      <c r="M1876" s="4" t="s">
        <v>67</v>
      </c>
      <c r="N1876" s="3" t="s">
        <v>81</v>
      </c>
      <c r="O1876" s="2" t="s">
        <v>11</v>
      </c>
      <c r="P1876" s="10"/>
      <c r="Q1876" s="11"/>
    </row>
    <row r="1877" spans="2:17" ht="21" customHeight="1" x14ac:dyDescent="0.35">
      <c r="B1877" s="18">
        <v>44049</v>
      </c>
      <c r="C1877" s="18" t="str">
        <f>TEXT(Sales[[#This Row],[Kode Program/Kegiatan ]],"D")</f>
        <v>6</v>
      </c>
      <c r="D1877" s="19" t="str">
        <f>TEXT(Sales[[#This Row],[Kode Program/Kegiatan ]],"mmm")</f>
        <v>Aug</v>
      </c>
      <c r="E1877" s="20">
        <v>5</v>
      </c>
      <c r="F1877" s="19">
        <v>5</v>
      </c>
      <c r="G1877" s="20" t="str">
        <f>IF(Sales[[#This Row],[Anggaran Murni]]-Sales[[#This Row],[Target s.d. Januari]]=0,"",Sales[[#This Row],[Anggaran Murni]]-Sales[[#This Row],[Target s.d. Januari]])</f>
        <v/>
      </c>
      <c r="H1877" s="19" t="s">
        <v>72</v>
      </c>
      <c r="I1877" s="20" t="s">
        <v>78</v>
      </c>
      <c r="J1877" s="20">
        <v>120000000</v>
      </c>
      <c r="K1877" s="19" t="s">
        <v>45</v>
      </c>
      <c r="L1877" s="19" t="s">
        <v>5</v>
      </c>
      <c r="M1877" s="21" t="s">
        <v>67</v>
      </c>
      <c r="N1877" s="20" t="s">
        <v>81</v>
      </c>
      <c r="O1877" s="19" t="s">
        <v>11</v>
      </c>
      <c r="P1877" s="10"/>
      <c r="Q1877" s="11"/>
    </row>
    <row r="1878" spans="2:17" ht="21" customHeight="1" x14ac:dyDescent="0.35">
      <c r="B1878" s="1">
        <v>44049</v>
      </c>
      <c r="C1878" s="1" t="str">
        <f>TEXT(Sales[[#This Row],[Kode Program/Kegiatan ]],"D")</f>
        <v>6</v>
      </c>
      <c r="D1878" s="2" t="str">
        <f>TEXT(Sales[[#This Row],[Kode Program/Kegiatan ]],"mmm")</f>
        <v>Aug</v>
      </c>
      <c r="E1878" s="3">
        <v>5</v>
      </c>
      <c r="F1878" s="2">
        <v>5</v>
      </c>
      <c r="G1878" s="3" t="str">
        <f>IF(Sales[[#This Row],[Anggaran Murni]]-Sales[[#This Row],[Target s.d. Januari]]=0,"",Sales[[#This Row],[Anggaran Murni]]-Sales[[#This Row],[Target s.d. Januari]])</f>
        <v/>
      </c>
      <c r="H1878" s="2" t="s">
        <v>72</v>
      </c>
      <c r="I1878" s="3" t="s">
        <v>78</v>
      </c>
      <c r="J1878" s="3">
        <v>120000000</v>
      </c>
      <c r="K1878" s="2" t="s">
        <v>20</v>
      </c>
      <c r="L1878" s="2" t="s">
        <v>2</v>
      </c>
      <c r="M1878" s="4" t="s">
        <v>67</v>
      </c>
      <c r="N1878" s="3" t="s">
        <v>81</v>
      </c>
      <c r="O1878" s="2" t="s">
        <v>14</v>
      </c>
      <c r="P1878" s="10"/>
      <c r="Q1878" s="11"/>
    </row>
    <row r="1879" spans="2:17" ht="21" customHeight="1" x14ac:dyDescent="0.35">
      <c r="B1879" s="18">
        <v>44049</v>
      </c>
      <c r="C1879" s="18" t="str">
        <f>TEXT(Sales[[#This Row],[Kode Program/Kegiatan ]],"D")</f>
        <v>6</v>
      </c>
      <c r="D1879" s="19" t="str">
        <f>TEXT(Sales[[#This Row],[Kode Program/Kegiatan ]],"mmm")</f>
        <v>Aug</v>
      </c>
      <c r="E1879" s="20">
        <v>4</v>
      </c>
      <c r="F1879" s="19">
        <v>4</v>
      </c>
      <c r="G1879" s="20" t="str">
        <f>IF(Sales[[#This Row],[Anggaran Murni]]-Sales[[#This Row],[Target s.d. Januari]]=0,"",Sales[[#This Row],[Anggaran Murni]]-Sales[[#This Row],[Target s.d. Januari]])</f>
        <v/>
      </c>
      <c r="H1879" s="19" t="s">
        <v>75</v>
      </c>
      <c r="I1879" s="20" t="s">
        <v>6</v>
      </c>
      <c r="J1879" s="20">
        <v>40000000</v>
      </c>
      <c r="K1879" s="19" t="s">
        <v>18</v>
      </c>
      <c r="L1879" s="19" t="s">
        <v>8</v>
      </c>
      <c r="M1879" s="21" t="s">
        <v>67</v>
      </c>
      <c r="N1879" s="20" t="s">
        <v>82</v>
      </c>
      <c r="O1879" s="19" t="s">
        <v>12</v>
      </c>
      <c r="P1879" s="10"/>
      <c r="Q1879" s="11"/>
    </row>
    <row r="1880" spans="2:17" ht="21" customHeight="1" x14ac:dyDescent="0.35">
      <c r="B1880" s="1">
        <v>44050</v>
      </c>
      <c r="C1880" s="1" t="str">
        <f>TEXT(Sales[[#This Row],[Kode Program/Kegiatan ]],"D")</f>
        <v>7</v>
      </c>
      <c r="D1880" s="2" t="str">
        <f>TEXT(Sales[[#This Row],[Kode Program/Kegiatan ]],"mmm")</f>
        <v>Aug</v>
      </c>
      <c r="E1880" s="3">
        <v>10</v>
      </c>
      <c r="F1880" s="2">
        <v>10</v>
      </c>
      <c r="G1880" s="3" t="str">
        <f>IF(Sales[[#This Row],[Anggaran Murni]]-Sales[[#This Row],[Target s.d. Januari]]=0,"",Sales[[#This Row],[Anggaran Murni]]-Sales[[#This Row],[Target s.d. Januari]])</f>
        <v/>
      </c>
      <c r="H1880" s="2" t="s">
        <v>73</v>
      </c>
      <c r="I1880" s="3" t="s">
        <v>78</v>
      </c>
      <c r="J1880" s="3">
        <v>40000000</v>
      </c>
      <c r="K1880" s="2" t="s">
        <v>49</v>
      </c>
      <c r="L1880" s="2" t="s">
        <v>5</v>
      </c>
      <c r="M1880" s="4" t="s">
        <v>67</v>
      </c>
      <c r="N1880" s="3" t="s">
        <v>81</v>
      </c>
      <c r="O1880" s="2" t="s">
        <v>13</v>
      </c>
      <c r="P1880" s="10"/>
      <c r="Q1880" s="11"/>
    </row>
    <row r="1881" spans="2:17" ht="21" customHeight="1" x14ac:dyDescent="0.35">
      <c r="B1881" s="18">
        <v>44050</v>
      </c>
      <c r="C1881" s="18" t="str">
        <f>TEXT(Sales[[#This Row],[Kode Program/Kegiatan ]],"D")</f>
        <v>7</v>
      </c>
      <c r="D1881" s="19" t="str">
        <f>TEXT(Sales[[#This Row],[Kode Program/Kegiatan ]],"mmm")</f>
        <v>Aug</v>
      </c>
      <c r="E1881" s="20">
        <v>8</v>
      </c>
      <c r="F1881" s="19">
        <v>8</v>
      </c>
      <c r="G1881" s="20" t="str">
        <f>IF(Sales[[#This Row],[Anggaran Murni]]-Sales[[#This Row],[Target s.d. Januari]]=0,"",Sales[[#This Row],[Anggaran Murni]]-Sales[[#This Row],[Target s.d. Januari]])</f>
        <v/>
      </c>
      <c r="H1881" s="19" t="s">
        <v>113</v>
      </c>
      <c r="I1881" s="20" t="s">
        <v>77</v>
      </c>
      <c r="J1881" s="20">
        <v>60000000</v>
      </c>
      <c r="K1881" s="19" t="s">
        <v>56</v>
      </c>
      <c r="L1881" s="19" t="s">
        <v>9</v>
      </c>
      <c r="M1881" s="21" t="s">
        <v>67</v>
      </c>
      <c r="N1881" s="20" t="s">
        <v>81</v>
      </c>
      <c r="O1881" s="19" t="s">
        <v>11</v>
      </c>
      <c r="P1881" s="10"/>
      <c r="Q1881" s="11"/>
    </row>
    <row r="1882" spans="2:17" ht="21" customHeight="1" x14ac:dyDescent="0.35">
      <c r="B1882" s="1">
        <v>44050</v>
      </c>
      <c r="C1882" s="1" t="str">
        <f>TEXT(Sales[[#This Row],[Kode Program/Kegiatan ]],"D")</f>
        <v>7</v>
      </c>
      <c r="D1882" s="2" t="str">
        <f>TEXT(Sales[[#This Row],[Kode Program/Kegiatan ]],"mmm")</f>
        <v>Aug</v>
      </c>
      <c r="E1882" s="3">
        <v>7</v>
      </c>
      <c r="F1882" s="2">
        <v>7</v>
      </c>
      <c r="G1882" s="3" t="str">
        <f>IF(Sales[[#This Row],[Anggaran Murni]]-Sales[[#This Row],[Target s.d. Januari]]=0,"",Sales[[#This Row],[Anggaran Murni]]-Sales[[#This Row],[Target s.d. Januari]])</f>
        <v/>
      </c>
      <c r="H1882" s="2" t="s">
        <v>114</v>
      </c>
      <c r="I1882" s="3" t="s">
        <v>3</v>
      </c>
      <c r="J1882" s="3">
        <v>140000000</v>
      </c>
      <c r="K1882" s="2" t="s">
        <v>24</v>
      </c>
      <c r="L1882" s="2" t="s">
        <v>9</v>
      </c>
      <c r="M1882" s="4" t="s">
        <v>67</v>
      </c>
      <c r="N1882" s="3" t="s">
        <v>82</v>
      </c>
      <c r="O1882" s="2" t="s">
        <v>14</v>
      </c>
      <c r="P1882" s="10"/>
      <c r="Q1882" s="11"/>
    </row>
    <row r="1883" spans="2:17" ht="21" customHeight="1" x14ac:dyDescent="0.35">
      <c r="B1883" s="18">
        <v>44050</v>
      </c>
      <c r="C1883" s="18" t="str">
        <f>TEXT(Sales[[#This Row],[Kode Program/Kegiatan ]],"D")</f>
        <v>7</v>
      </c>
      <c r="D1883" s="19" t="str">
        <f>TEXT(Sales[[#This Row],[Kode Program/Kegiatan ]],"mmm")</f>
        <v>Aug</v>
      </c>
      <c r="E1883" s="20">
        <v>6</v>
      </c>
      <c r="F1883" s="19">
        <v>6</v>
      </c>
      <c r="G1883" s="20" t="str">
        <f>IF(Sales[[#This Row],[Anggaran Murni]]-Sales[[#This Row],[Target s.d. Januari]]=0,"",Sales[[#This Row],[Anggaran Murni]]-Sales[[#This Row],[Target s.d. Januari]])</f>
        <v/>
      </c>
      <c r="H1883" s="19" t="s">
        <v>75</v>
      </c>
      <c r="I1883" s="20" t="s">
        <v>6</v>
      </c>
      <c r="J1883" s="20">
        <v>120000000</v>
      </c>
      <c r="K1883" s="19" t="s">
        <v>30</v>
      </c>
      <c r="L1883" s="19" t="s">
        <v>2</v>
      </c>
      <c r="M1883" s="21" t="s">
        <v>67</v>
      </c>
      <c r="N1883" s="20" t="s">
        <v>82</v>
      </c>
      <c r="O1883" s="19" t="s">
        <v>11</v>
      </c>
      <c r="P1883" s="10"/>
      <c r="Q1883" s="11"/>
    </row>
    <row r="1884" spans="2:17" ht="21" customHeight="1" x14ac:dyDescent="0.35">
      <c r="B1884" s="1">
        <v>44050</v>
      </c>
      <c r="C1884" s="1" t="str">
        <f>TEXT(Sales[[#This Row],[Kode Program/Kegiatan ]],"D")</f>
        <v>7</v>
      </c>
      <c r="D1884" s="2" t="str">
        <f>TEXT(Sales[[#This Row],[Kode Program/Kegiatan ]],"mmm")</f>
        <v>Aug</v>
      </c>
      <c r="E1884" s="3">
        <v>5</v>
      </c>
      <c r="F1884" s="2">
        <v>5</v>
      </c>
      <c r="G1884" s="3" t="str">
        <f>IF(Sales[[#This Row],[Anggaran Murni]]-Sales[[#This Row],[Target s.d. Januari]]=0,"",Sales[[#This Row],[Anggaran Murni]]-Sales[[#This Row],[Target s.d. Januari]])</f>
        <v/>
      </c>
      <c r="H1884" s="2" t="s">
        <v>70</v>
      </c>
      <c r="I1884" s="3" t="s">
        <v>1</v>
      </c>
      <c r="J1884" s="3">
        <v>60000000</v>
      </c>
      <c r="K1884" s="2" t="s">
        <v>31</v>
      </c>
      <c r="L1884" s="2" t="s">
        <v>5</v>
      </c>
      <c r="M1884" s="4" t="s">
        <v>67</v>
      </c>
      <c r="N1884" s="3" t="s">
        <v>82</v>
      </c>
      <c r="O1884" s="2" t="s">
        <v>12</v>
      </c>
      <c r="P1884" s="10"/>
      <c r="Q1884" s="11"/>
    </row>
    <row r="1885" spans="2:17" ht="21" customHeight="1" x14ac:dyDescent="0.35">
      <c r="B1885" s="18">
        <v>44050</v>
      </c>
      <c r="C1885" s="18" t="str">
        <f>TEXT(Sales[[#This Row],[Kode Program/Kegiatan ]],"D")</f>
        <v>7</v>
      </c>
      <c r="D1885" s="19" t="str">
        <f>TEXT(Sales[[#This Row],[Kode Program/Kegiatan ]],"mmm")</f>
        <v>Aug</v>
      </c>
      <c r="E1885" s="20">
        <v>5</v>
      </c>
      <c r="F1885" s="19">
        <v>5</v>
      </c>
      <c r="G1885" s="20" t="str">
        <f>IF(Sales[[#This Row],[Anggaran Murni]]-Sales[[#This Row],[Target s.d. Januari]]=0,"",Sales[[#This Row],[Anggaran Murni]]-Sales[[#This Row],[Target s.d. Januari]])</f>
        <v/>
      </c>
      <c r="H1885" s="19" t="s">
        <v>74</v>
      </c>
      <c r="I1885" s="20" t="s">
        <v>77</v>
      </c>
      <c r="J1885" s="20">
        <v>60000000</v>
      </c>
      <c r="K1885" s="19" t="s">
        <v>27</v>
      </c>
      <c r="L1885" s="19" t="s">
        <v>2</v>
      </c>
      <c r="M1885" s="21" t="s">
        <v>67</v>
      </c>
      <c r="N1885" s="20" t="s">
        <v>80</v>
      </c>
      <c r="O1885" s="19" t="s">
        <v>11</v>
      </c>
      <c r="P1885" s="10"/>
      <c r="Q1885" s="11"/>
    </row>
    <row r="1886" spans="2:17" ht="21" customHeight="1" x14ac:dyDescent="0.35">
      <c r="B1886" s="1">
        <v>44050</v>
      </c>
      <c r="C1886" s="1" t="str">
        <f>TEXT(Sales[[#This Row],[Kode Program/Kegiatan ]],"D")</f>
        <v>7</v>
      </c>
      <c r="D1886" s="2" t="str">
        <f>TEXT(Sales[[#This Row],[Kode Program/Kegiatan ]],"mmm")</f>
        <v>Aug</v>
      </c>
      <c r="E1886" s="3">
        <v>4</v>
      </c>
      <c r="F1886" s="2">
        <v>4</v>
      </c>
      <c r="G1886" s="3" t="str">
        <f>IF(Sales[[#This Row],[Anggaran Murni]]-Sales[[#This Row],[Target s.d. Januari]]=0,"",Sales[[#This Row],[Anggaran Murni]]-Sales[[#This Row],[Target s.d. Januari]])</f>
        <v/>
      </c>
      <c r="H1886" s="2" t="s">
        <v>73</v>
      </c>
      <c r="I1886" s="3" t="s">
        <v>78</v>
      </c>
      <c r="J1886" s="3">
        <v>140000000</v>
      </c>
      <c r="K1886" s="2" t="s">
        <v>32</v>
      </c>
      <c r="L1886" s="2" t="s">
        <v>2</v>
      </c>
      <c r="M1886" s="4" t="s">
        <v>67</v>
      </c>
      <c r="N1886" s="3" t="s">
        <v>81</v>
      </c>
      <c r="O1886" s="2" t="s">
        <v>14</v>
      </c>
      <c r="P1886" s="10"/>
      <c r="Q1886" s="11"/>
    </row>
    <row r="1887" spans="2:17" ht="21" customHeight="1" x14ac:dyDescent="0.35">
      <c r="B1887" s="18">
        <v>44050</v>
      </c>
      <c r="C1887" s="18" t="str">
        <f>TEXT(Sales[[#This Row],[Kode Program/Kegiatan ]],"D")</f>
        <v>7</v>
      </c>
      <c r="D1887" s="19" t="str">
        <f>TEXT(Sales[[#This Row],[Kode Program/Kegiatan ]],"mmm")</f>
        <v>Aug</v>
      </c>
      <c r="E1887" s="20">
        <v>4</v>
      </c>
      <c r="F1887" s="19">
        <v>4</v>
      </c>
      <c r="G1887" s="20" t="str">
        <f>IF(Sales[[#This Row],[Anggaran Murni]]-Sales[[#This Row],[Target s.d. Januari]]=0,"",Sales[[#This Row],[Anggaran Murni]]-Sales[[#This Row],[Target s.d. Januari]])</f>
        <v/>
      </c>
      <c r="H1887" s="19" t="s">
        <v>73</v>
      </c>
      <c r="I1887" s="20" t="s">
        <v>78</v>
      </c>
      <c r="J1887" s="20">
        <v>80000000</v>
      </c>
      <c r="K1887" s="19" t="s">
        <v>24</v>
      </c>
      <c r="L1887" s="19" t="s">
        <v>2</v>
      </c>
      <c r="M1887" s="21" t="s">
        <v>67</v>
      </c>
      <c r="N1887" s="20" t="s">
        <v>82</v>
      </c>
      <c r="O1887" s="19" t="s">
        <v>14</v>
      </c>
      <c r="P1887" s="10"/>
      <c r="Q1887" s="11"/>
    </row>
    <row r="1888" spans="2:17" ht="21" customHeight="1" x14ac:dyDescent="0.35">
      <c r="B1888" s="1">
        <v>44050</v>
      </c>
      <c r="C1888" s="1" t="str">
        <f>TEXT(Sales[[#This Row],[Kode Program/Kegiatan ]],"D")</f>
        <v>7</v>
      </c>
      <c r="D1888" s="2" t="str">
        <f>TEXT(Sales[[#This Row],[Kode Program/Kegiatan ]],"mmm")</f>
        <v>Aug</v>
      </c>
      <c r="E1888" s="3">
        <v>3</v>
      </c>
      <c r="F1888" s="2">
        <v>3</v>
      </c>
      <c r="G1888" s="3" t="str">
        <f>IF(Sales[[#This Row],[Anggaran Murni]]-Sales[[#This Row],[Target s.d. Januari]]=0,"",Sales[[#This Row],[Anggaran Murni]]-Sales[[#This Row],[Target s.d. Januari]])</f>
        <v/>
      </c>
      <c r="H1888" s="2" t="s">
        <v>73</v>
      </c>
      <c r="I1888" s="3" t="s">
        <v>78</v>
      </c>
      <c r="J1888" s="3">
        <v>80000000</v>
      </c>
      <c r="K1888" s="2" t="s">
        <v>31</v>
      </c>
      <c r="L1888" s="2" t="s">
        <v>5</v>
      </c>
      <c r="M1888" s="4" t="s">
        <v>67</v>
      </c>
      <c r="N1888" s="3" t="s">
        <v>82</v>
      </c>
      <c r="O1888" s="2" t="s">
        <v>14</v>
      </c>
      <c r="P1888" s="10"/>
      <c r="Q1888" s="11"/>
    </row>
    <row r="1889" spans="2:17" ht="21" customHeight="1" x14ac:dyDescent="0.35">
      <c r="B1889" s="18">
        <v>44051</v>
      </c>
      <c r="C1889" s="18" t="str">
        <f>TEXT(Sales[[#This Row],[Kode Program/Kegiatan ]],"D")</f>
        <v>8</v>
      </c>
      <c r="D1889" s="19" t="str">
        <f>TEXT(Sales[[#This Row],[Kode Program/Kegiatan ]],"mmm")</f>
        <v>Aug</v>
      </c>
      <c r="E1889" s="20">
        <v>10</v>
      </c>
      <c r="F1889" s="19">
        <v>10</v>
      </c>
      <c r="G1889" s="20" t="str">
        <f>IF(Sales[[#This Row],[Anggaran Murni]]-Sales[[#This Row],[Target s.d. Januari]]=0,"",Sales[[#This Row],[Anggaran Murni]]-Sales[[#This Row],[Target s.d. Januari]])</f>
        <v/>
      </c>
      <c r="H1889" s="19" t="s">
        <v>114</v>
      </c>
      <c r="I1889" s="20" t="s">
        <v>3</v>
      </c>
      <c r="J1889" s="20">
        <v>120000000</v>
      </c>
      <c r="K1889" s="19" t="s">
        <v>52</v>
      </c>
      <c r="L1889" s="19" t="s">
        <v>7</v>
      </c>
      <c r="M1889" s="21" t="s">
        <v>67</v>
      </c>
      <c r="N1889" s="20" t="s">
        <v>81</v>
      </c>
      <c r="O1889" s="19" t="s">
        <v>11</v>
      </c>
      <c r="P1889" s="10"/>
      <c r="Q1889" s="11"/>
    </row>
    <row r="1890" spans="2:17" ht="21" customHeight="1" x14ac:dyDescent="0.35">
      <c r="B1890" s="1">
        <v>44051</v>
      </c>
      <c r="C1890" s="1" t="str">
        <f>TEXT(Sales[[#This Row],[Kode Program/Kegiatan ]],"D")</f>
        <v>8</v>
      </c>
      <c r="D1890" s="2" t="str">
        <f>TEXT(Sales[[#This Row],[Kode Program/Kegiatan ]],"mmm")</f>
        <v>Aug</v>
      </c>
      <c r="E1890" s="3">
        <v>8</v>
      </c>
      <c r="F1890" s="2">
        <v>8</v>
      </c>
      <c r="G1890" s="3" t="str">
        <f>IF(Sales[[#This Row],[Anggaran Murni]]-Sales[[#This Row],[Target s.d. Januari]]=0,"",Sales[[#This Row],[Anggaran Murni]]-Sales[[#This Row],[Target s.d. Januari]])</f>
        <v/>
      </c>
      <c r="H1890" s="2" t="s">
        <v>72</v>
      </c>
      <c r="I1890" s="3" t="s">
        <v>78</v>
      </c>
      <c r="J1890" s="3">
        <v>100000000</v>
      </c>
      <c r="K1890" s="2" t="s">
        <v>22</v>
      </c>
      <c r="L1890" s="2" t="s">
        <v>2</v>
      </c>
      <c r="M1890" s="4" t="s">
        <v>67</v>
      </c>
      <c r="N1890" s="3" t="s">
        <v>82</v>
      </c>
      <c r="O1890" s="2" t="s">
        <v>14</v>
      </c>
      <c r="P1890" s="10"/>
      <c r="Q1890" s="11"/>
    </row>
    <row r="1891" spans="2:17" ht="21" customHeight="1" x14ac:dyDescent="0.35">
      <c r="B1891" s="18">
        <v>44051</v>
      </c>
      <c r="C1891" s="18" t="str">
        <f>TEXT(Sales[[#This Row],[Kode Program/Kegiatan ]],"D")</f>
        <v>8</v>
      </c>
      <c r="D1891" s="19" t="str">
        <f>TEXT(Sales[[#This Row],[Kode Program/Kegiatan ]],"mmm")</f>
        <v>Aug</v>
      </c>
      <c r="E1891" s="20">
        <v>7</v>
      </c>
      <c r="F1891" s="19">
        <v>7</v>
      </c>
      <c r="G1891" s="20" t="str">
        <f>IF(Sales[[#This Row],[Anggaran Murni]]-Sales[[#This Row],[Target s.d. Januari]]=0,"",Sales[[#This Row],[Anggaran Murni]]-Sales[[#This Row],[Target s.d. Januari]])</f>
        <v/>
      </c>
      <c r="H1891" s="19" t="s">
        <v>73</v>
      </c>
      <c r="I1891" s="20" t="s">
        <v>78</v>
      </c>
      <c r="J1891" s="20">
        <v>80000000</v>
      </c>
      <c r="K1891" s="19" t="s">
        <v>16</v>
      </c>
      <c r="L1891" s="19" t="s">
        <v>5</v>
      </c>
      <c r="M1891" s="21" t="s">
        <v>67</v>
      </c>
      <c r="N1891" s="20" t="s">
        <v>80</v>
      </c>
      <c r="O1891" s="19" t="s">
        <v>12</v>
      </c>
      <c r="P1891" s="10"/>
      <c r="Q1891" s="11"/>
    </row>
    <row r="1892" spans="2:17" ht="21" customHeight="1" x14ac:dyDescent="0.35">
      <c r="B1892" s="1">
        <v>44051</v>
      </c>
      <c r="C1892" s="1" t="str">
        <f>TEXT(Sales[[#This Row],[Kode Program/Kegiatan ]],"D")</f>
        <v>8</v>
      </c>
      <c r="D1892" s="2" t="str">
        <f>TEXT(Sales[[#This Row],[Kode Program/Kegiatan ]],"mmm")</f>
        <v>Aug</v>
      </c>
      <c r="E1892" s="3">
        <v>4</v>
      </c>
      <c r="F1892" s="2">
        <v>4</v>
      </c>
      <c r="G1892" s="3" t="str">
        <f>IF(Sales[[#This Row],[Anggaran Murni]]-Sales[[#This Row],[Target s.d. Januari]]=0,"",Sales[[#This Row],[Anggaran Murni]]-Sales[[#This Row],[Target s.d. Januari]])</f>
        <v/>
      </c>
      <c r="H1892" s="2" t="s">
        <v>70</v>
      </c>
      <c r="I1892" s="3" t="s">
        <v>1</v>
      </c>
      <c r="J1892" s="3">
        <v>80000000</v>
      </c>
      <c r="K1892" s="2" t="s">
        <v>21</v>
      </c>
      <c r="L1892" s="2" t="s">
        <v>7</v>
      </c>
      <c r="M1892" s="4" t="s">
        <v>67</v>
      </c>
      <c r="N1892" s="3" t="s">
        <v>81</v>
      </c>
      <c r="O1892" s="2" t="s">
        <v>12</v>
      </c>
      <c r="P1892" s="10"/>
      <c r="Q1892" s="11"/>
    </row>
    <row r="1893" spans="2:17" ht="21" customHeight="1" x14ac:dyDescent="0.35">
      <c r="B1893" s="18">
        <v>44051</v>
      </c>
      <c r="C1893" s="18" t="str">
        <f>TEXT(Sales[[#This Row],[Kode Program/Kegiatan ]],"D")</f>
        <v>8</v>
      </c>
      <c r="D1893" s="19" t="str">
        <f>TEXT(Sales[[#This Row],[Kode Program/Kegiatan ]],"mmm")</f>
        <v>Aug</v>
      </c>
      <c r="E1893" s="20">
        <v>4</v>
      </c>
      <c r="F1893" s="19">
        <v>4</v>
      </c>
      <c r="G1893" s="20" t="str">
        <f>IF(Sales[[#This Row],[Anggaran Murni]]-Sales[[#This Row],[Target s.d. Januari]]=0,"",Sales[[#This Row],[Anggaran Murni]]-Sales[[#This Row],[Target s.d. Januari]])</f>
        <v/>
      </c>
      <c r="H1893" s="19" t="s">
        <v>73</v>
      </c>
      <c r="I1893" s="20" t="s">
        <v>78</v>
      </c>
      <c r="J1893" s="20">
        <v>80000000</v>
      </c>
      <c r="K1893" s="19" t="s">
        <v>63</v>
      </c>
      <c r="L1893" s="19" t="s">
        <v>8</v>
      </c>
      <c r="M1893" s="21" t="s">
        <v>67</v>
      </c>
      <c r="N1893" s="20" t="s">
        <v>80</v>
      </c>
      <c r="O1893" s="19" t="s">
        <v>14</v>
      </c>
      <c r="P1893" s="10"/>
      <c r="Q1893" s="11"/>
    </row>
    <row r="1894" spans="2:17" ht="21" customHeight="1" x14ac:dyDescent="0.35">
      <c r="B1894" s="1">
        <v>44051</v>
      </c>
      <c r="C1894" s="1" t="str">
        <f>TEXT(Sales[[#This Row],[Kode Program/Kegiatan ]],"D")</f>
        <v>8</v>
      </c>
      <c r="D1894" s="2" t="str">
        <f>TEXT(Sales[[#This Row],[Kode Program/Kegiatan ]],"mmm")</f>
        <v>Aug</v>
      </c>
      <c r="E1894" s="3">
        <v>3</v>
      </c>
      <c r="F1894" s="2">
        <v>3</v>
      </c>
      <c r="G1894" s="3" t="str">
        <f>IF(Sales[[#This Row],[Anggaran Murni]]-Sales[[#This Row],[Target s.d. Januari]]=0,"",Sales[[#This Row],[Anggaran Murni]]-Sales[[#This Row],[Target s.d. Januari]])</f>
        <v/>
      </c>
      <c r="H1894" s="2" t="s">
        <v>71</v>
      </c>
      <c r="I1894" s="3" t="s">
        <v>6</v>
      </c>
      <c r="J1894" s="3">
        <v>100000000</v>
      </c>
      <c r="K1894" s="2" t="s">
        <v>56</v>
      </c>
      <c r="L1894" s="2" t="s">
        <v>2</v>
      </c>
      <c r="M1894" s="4" t="s">
        <v>67</v>
      </c>
      <c r="N1894" s="3" t="s">
        <v>82</v>
      </c>
      <c r="O1894" s="2" t="s">
        <v>14</v>
      </c>
      <c r="P1894" s="10"/>
      <c r="Q1894" s="11"/>
    </row>
    <row r="1895" spans="2:17" ht="21" customHeight="1" x14ac:dyDescent="0.35">
      <c r="B1895" s="18">
        <v>44051</v>
      </c>
      <c r="C1895" s="18" t="str">
        <f>TEXT(Sales[[#This Row],[Kode Program/Kegiatan ]],"D")</f>
        <v>8</v>
      </c>
      <c r="D1895" s="19" t="str">
        <f>TEXT(Sales[[#This Row],[Kode Program/Kegiatan ]],"mmm")</f>
        <v>Aug</v>
      </c>
      <c r="E1895" s="20">
        <v>3</v>
      </c>
      <c r="F1895" s="19">
        <v>3</v>
      </c>
      <c r="G1895" s="20" t="str">
        <f>IF(Sales[[#This Row],[Anggaran Murni]]-Sales[[#This Row],[Target s.d. Januari]]=0,"",Sales[[#This Row],[Anggaran Murni]]-Sales[[#This Row],[Target s.d. Januari]])</f>
        <v/>
      </c>
      <c r="H1895" s="19" t="s">
        <v>74</v>
      </c>
      <c r="I1895" s="20" t="s">
        <v>77</v>
      </c>
      <c r="J1895" s="20">
        <v>140000000</v>
      </c>
      <c r="K1895" s="19" t="s">
        <v>20</v>
      </c>
      <c r="L1895" s="19" t="s">
        <v>7</v>
      </c>
      <c r="M1895" s="21" t="s">
        <v>67</v>
      </c>
      <c r="N1895" s="20" t="s">
        <v>81</v>
      </c>
      <c r="O1895" s="19" t="s">
        <v>13</v>
      </c>
      <c r="P1895" s="10"/>
      <c r="Q1895" s="11"/>
    </row>
    <row r="1896" spans="2:17" ht="21" customHeight="1" x14ac:dyDescent="0.35">
      <c r="B1896" s="1">
        <v>44052</v>
      </c>
      <c r="C1896" s="1" t="str">
        <f>TEXT(Sales[[#This Row],[Kode Program/Kegiatan ]],"D")</f>
        <v>9</v>
      </c>
      <c r="D1896" s="2" t="str">
        <f>TEXT(Sales[[#This Row],[Kode Program/Kegiatan ]],"mmm")</f>
        <v>Aug</v>
      </c>
      <c r="E1896" s="3">
        <v>10</v>
      </c>
      <c r="F1896" s="2">
        <v>10</v>
      </c>
      <c r="G1896" s="3" t="str">
        <f>IF(Sales[[#This Row],[Anggaran Murni]]-Sales[[#This Row],[Target s.d. Januari]]=0,"",Sales[[#This Row],[Anggaran Murni]]-Sales[[#This Row],[Target s.d. Januari]])</f>
        <v/>
      </c>
      <c r="H1896" s="2" t="s">
        <v>114</v>
      </c>
      <c r="I1896" s="3" t="s">
        <v>3</v>
      </c>
      <c r="J1896" s="3">
        <v>80000000</v>
      </c>
      <c r="K1896" s="2" t="s">
        <v>59</v>
      </c>
      <c r="L1896" s="2" t="s">
        <v>2</v>
      </c>
      <c r="M1896" s="4" t="s">
        <v>67</v>
      </c>
      <c r="N1896" s="3" t="s">
        <v>81</v>
      </c>
      <c r="O1896" s="2" t="s">
        <v>13</v>
      </c>
      <c r="P1896" s="10"/>
      <c r="Q1896" s="11"/>
    </row>
    <row r="1897" spans="2:17" ht="21" customHeight="1" x14ac:dyDescent="0.35">
      <c r="B1897" s="18">
        <v>44052</v>
      </c>
      <c r="C1897" s="18" t="str">
        <f>TEXT(Sales[[#This Row],[Kode Program/Kegiatan ]],"D")</f>
        <v>9</v>
      </c>
      <c r="D1897" s="19" t="str">
        <f>TEXT(Sales[[#This Row],[Kode Program/Kegiatan ]],"mmm")</f>
        <v>Aug</v>
      </c>
      <c r="E1897" s="20">
        <v>8</v>
      </c>
      <c r="F1897" s="19">
        <v>8</v>
      </c>
      <c r="G1897" s="20" t="str">
        <f>IF(Sales[[#This Row],[Anggaran Murni]]-Sales[[#This Row],[Target s.d. Januari]]=0,"",Sales[[#This Row],[Anggaran Murni]]-Sales[[#This Row],[Target s.d. Januari]])</f>
        <v/>
      </c>
      <c r="H1897" s="19" t="s">
        <v>73</v>
      </c>
      <c r="I1897" s="20" t="s">
        <v>78</v>
      </c>
      <c r="J1897" s="20">
        <v>100000000</v>
      </c>
      <c r="K1897" s="19" t="s">
        <v>20</v>
      </c>
      <c r="L1897" s="19" t="s">
        <v>5</v>
      </c>
      <c r="M1897" s="21" t="s">
        <v>67</v>
      </c>
      <c r="N1897" s="20" t="s">
        <v>82</v>
      </c>
      <c r="O1897" s="19" t="s">
        <v>12</v>
      </c>
      <c r="P1897" s="10"/>
      <c r="Q1897" s="11"/>
    </row>
    <row r="1898" spans="2:17" ht="21" customHeight="1" x14ac:dyDescent="0.35">
      <c r="B1898" s="1">
        <v>44052</v>
      </c>
      <c r="C1898" s="1" t="str">
        <f>TEXT(Sales[[#This Row],[Kode Program/Kegiatan ]],"D")</f>
        <v>9</v>
      </c>
      <c r="D1898" s="2" t="str">
        <f>TEXT(Sales[[#This Row],[Kode Program/Kegiatan ]],"mmm")</f>
        <v>Aug</v>
      </c>
      <c r="E1898" s="3">
        <v>6</v>
      </c>
      <c r="F1898" s="2">
        <v>6</v>
      </c>
      <c r="G1898" s="3" t="str">
        <f>IF(Sales[[#This Row],[Anggaran Murni]]-Sales[[#This Row],[Target s.d. Januari]]=0,"",Sales[[#This Row],[Anggaran Murni]]-Sales[[#This Row],[Target s.d. Januari]])</f>
        <v/>
      </c>
      <c r="H1898" s="2" t="s">
        <v>74</v>
      </c>
      <c r="I1898" s="3" t="s">
        <v>77</v>
      </c>
      <c r="J1898" s="3">
        <v>40000000</v>
      </c>
      <c r="K1898" s="2" t="s">
        <v>21</v>
      </c>
      <c r="L1898" s="2" t="s">
        <v>5</v>
      </c>
      <c r="M1898" s="4" t="s">
        <v>67</v>
      </c>
      <c r="N1898" s="3" t="s">
        <v>82</v>
      </c>
      <c r="O1898" s="2" t="s">
        <v>14</v>
      </c>
      <c r="P1898" s="10"/>
      <c r="Q1898" s="11"/>
    </row>
    <row r="1899" spans="2:17" ht="21" customHeight="1" x14ac:dyDescent="0.35">
      <c r="B1899" s="18">
        <v>44052</v>
      </c>
      <c r="C1899" s="18" t="str">
        <f>TEXT(Sales[[#This Row],[Kode Program/Kegiatan ]],"D")</f>
        <v>9</v>
      </c>
      <c r="D1899" s="19" t="str">
        <f>TEXT(Sales[[#This Row],[Kode Program/Kegiatan ]],"mmm")</f>
        <v>Aug</v>
      </c>
      <c r="E1899" s="20">
        <v>6</v>
      </c>
      <c r="F1899" s="19">
        <v>6</v>
      </c>
      <c r="G1899" s="20" t="str">
        <f>IF(Sales[[#This Row],[Anggaran Murni]]-Sales[[#This Row],[Target s.d. Januari]]=0,"",Sales[[#This Row],[Anggaran Murni]]-Sales[[#This Row],[Target s.d. Januari]])</f>
        <v/>
      </c>
      <c r="H1899" s="19" t="s">
        <v>73</v>
      </c>
      <c r="I1899" s="20" t="s">
        <v>78</v>
      </c>
      <c r="J1899" s="20">
        <v>40000000</v>
      </c>
      <c r="K1899" s="19" t="s">
        <v>51</v>
      </c>
      <c r="L1899" s="19" t="s">
        <v>2</v>
      </c>
      <c r="M1899" s="21" t="s">
        <v>67</v>
      </c>
      <c r="N1899" s="20" t="s">
        <v>80</v>
      </c>
      <c r="O1899" s="19" t="s">
        <v>12</v>
      </c>
      <c r="P1899" s="10"/>
      <c r="Q1899" s="11"/>
    </row>
    <row r="1900" spans="2:17" ht="21" customHeight="1" x14ac:dyDescent="0.35">
      <c r="B1900" s="1">
        <v>44052</v>
      </c>
      <c r="C1900" s="1" t="str">
        <f>TEXT(Sales[[#This Row],[Kode Program/Kegiatan ]],"D")</f>
        <v>9</v>
      </c>
      <c r="D1900" s="2" t="str">
        <f>TEXT(Sales[[#This Row],[Kode Program/Kegiatan ]],"mmm")</f>
        <v>Aug</v>
      </c>
      <c r="E1900" s="3">
        <v>5</v>
      </c>
      <c r="F1900" s="2">
        <v>5</v>
      </c>
      <c r="G1900" s="3" t="str">
        <f>IF(Sales[[#This Row],[Anggaran Murni]]-Sales[[#This Row],[Target s.d. Januari]]=0,"",Sales[[#This Row],[Anggaran Murni]]-Sales[[#This Row],[Target s.d. Januari]])</f>
        <v/>
      </c>
      <c r="H1900" s="2" t="s">
        <v>114</v>
      </c>
      <c r="I1900" s="3" t="s">
        <v>3</v>
      </c>
      <c r="J1900" s="3">
        <v>80000000</v>
      </c>
      <c r="K1900" s="2" t="s">
        <v>41</v>
      </c>
      <c r="L1900" s="2" t="s">
        <v>7</v>
      </c>
      <c r="M1900" s="4" t="s">
        <v>67</v>
      </c>
      <c r="N1900" s="3" t="s">
        <v>81</v>
      </c>
      <c r="O1900" s="2" t="s">
        <v>14</v>
      </c>
      <c r="P1900" s="10"/>
      <c r="Q1900" s="11"/>
    </row>
    <row r="1901" spans="2:17" ht="21" customHeight="1" x14ac:dyDescent="0.35">
      <c r="B1901" s="18">
        <v>44052</v>
      </c>
      <c r="C1901" s="18" t="str">
        <f>TEXT(Sales[[#This Row],[Kode Program/Kegiatan ]],"D")</f>
        <v>9</v>
      </c>
      <c r="D1901" s="19" t="str">
        <f>TEXT(Sales[[#This Row],[Kode Program/Kegiatan ]],"mmm")</f>
        <v>Aug</v>
      </c>
      <c r="E1901" s="20">
        <v>5</v>
      </c>
      <c r="F1901" s="19">
        <v>5</v>
      </c>
      <c r="G1901" s="20" t="str">
        <f>IF(Sales[[#This Row],[Anggaran Murni]]-Sales[[#This Row],[Target s.d. Januari]]=0,"",Sales[[#This Row],[Anggaran Murni]]-Sales[[#This Row],[Target s.d. Januari]])</f>
        <v/>
      </c>
      <c r="H1901" s="19" t="s">
        <v>74</v>
      </c>
      <c r="I1901" s="20" t="s">
        <v>77</v>
      </c>
      <c r="J1901" s="20">
        <v>120000000</v>
      </c>
      <c r="K1901" s="19" t="s">
        <v>63</v>
      </c>
      <c r="L1901" s="19" t="s">
        <v>2</v>
      </c>
      <c r="M1901" s="21" t="s">
        <v>67</v>
      </c>
      <c r="N1901" s="20" t="s">
        <v>81</v>
      </c>
      <c r="O1901" s="19" t="s">
        <v>13</v>
      </c>
      <c r="P1901" s="10"/>
      <c r="Q1901" s="11"/>
    </row>
    <row r="1902" spans="2:17" ht="21" customHeight="1" x14ac:dyDescent="0.35">
      <c r="B1902" s="1">
        <v>44052</v>
      </c>
      <c r="C1902" s="1" t="str">
        <f>TEXT(Sales[[#This Row],[Kode Program/Kegiatan ]],"D")</f>
        <v>9</v>
      </c>
      <c r="D1902" s="2" t="str">
        <f>TEXT(Sales[[#This Row],[Kode Program/Kegiatan ]],"mmm")</f>
        <v>Aug</v>
      </c>
      <c r="E1902" s="3">
        <v>4</v>
      </c>
      <c r="F1902" s="2">
        <v>4</v>
      </c>
      <c r="G1902" s="3" t="str">
        <f>IF(Sales[[#This Row],[Anggaran Murni]]-Sales[[#This Row],[Target s.d. Januari]]=0,"",Sales[[#This Row],[Anggaran Murni]]-Sales[[#This Row],[Target s.d. Januari]])</f>
        <v/>
      </c>
      <c r="H1902" s="2" t="s">
        <v>70</v>
      </c>
      <c r="I1902" s="3" t="s">
        <v>1</v>
      </c>
      <c r="J1902" s="3">
        <v>140000000</v>
      </c>
      <c r="K1902" s="2" t="s">
        <v>17</v>
      </c>
      <c r="L1902" s="2" t="s">
        <v>2</v>
      </c>
      <c r="M1902" s="4" t="s">
        <v>67</v>
      </c>
      <c r="N1902" s="3" t="s">
        <v>81</v>
      </c>
      <c r="O1902" s="2" t="s">
        <v>11</v>
      </c>
      <c r="P1902" s="10"/>
      <c r="Q1902" s="11"/>
    </row>
    <row r="1903" spans="2:17" ht="21" customHeight="1" x14ac:dyDescent="0.35">
      <c r="B1903" s="18">
        <v>44053</v>
      </c>
      <c r="C1903" s="18" t="str">
        <f>TEXT(Sales[[#This Row],[Kode Program/Kegiatan ]],"D")</f>
        <v>10</v>
      </c>
      <c r="D1903" s="19" t="str">
        <f>TEXT(Sales[[#This Row],[Kode Program/Kegiatan ]],"mmm")</f>
        <v>Aug</v>
      </c>
      <c r="E1903" s="20">
        <v>8</v>
      </c>
      <c r="F1903" s="19">
        <v>8</v>
      </c>
      <c r="G1903" s="20" t="str">
        <f>IF(Sales[[#This Row],[Anggaran Murni]]-Sales[[#This Row],[Target s.d. Januari]]=0,"",Sales[[#This Row],[Anggaran Murni]]-Sales[[#This Row],[Target s.d. Januari]])</f>
        <v/>
      </c>
      <c r="H1903" s="19" t="s">
        <v>113</v>
      </c>
      <c r="I1903" s="20" t="s">
        <v>77</v>
      </c>
      <c r="J1903" s="20">
        <v>140000000</v>
      </c>
      <c r="K1903" s="19" t="s">
        <v>36</v>
      </c>
      <c r="L1903" s="19" t="s">
        <v>8</v>
      </c>
      <c r="M1903" s="21" t="s">
        <v>67</v>
      </c>
      <c r="N1903" s="20" t="s">
        <v>81</v>
      </c>
      <c r="O1903" s="19" t="s">
        <v>13</v>
      </c>
      <c r="P1903" s="10"/>
      <c r="Q1903" s="11"/>
    </row>
    <row r="1904" spans="2:17" ht="21" customHeight="1" x14ac:dyDescent="0.35">
      <c r="B1904" s="1">
        <v>44053</v>
      </c>
      <c r="C1904" s="1" t="str">
        <f>TEXT(Sales[[#This Row],[Kode Program/Kegiatan ]],"D")</f>
        <v>10</v>
      </c>
      <c r="D1904" s="2" t="str">
        <f>TEXT(Sales[[#This Row],[Kode Program/Kegiatan ]],"mmm")</f>
        <v>Aug</v>
      </c>
      <c r="E1904" s="3">
        <v>7</v>
      </c>
      <c r="F1904" s="2">
        <v>7</v>
      </c>
      <c r="G1904" s="3" t="str">
        <f>IF(Sales[[#This Row],[Anggaran Murni]]-Sales[[#This Row],[Target s.d. Januari]]=0,"",Sales[[#This Row],[Anggaran Murni]]-Sales[[#This Row],[Target s.d. Januari]])</f>
        <v/>
      </c>
      <c r="H1904" s="2" t="s">
        <v>70</v>
      </c>
      <c r="I1904" s="3" t="s">
        <v>1</v>
      </c>
      <c r="J1904" s="3">
        <v>60000000</v>
      </c>
      <c r="K1904" s="2" t="s">
        <v>56</v>
      </c>
      <c r="L1904" s="2" t="s">
        <v>2</v>
      </c>
      <c r="M1904" s="4" t="s">
        <v>67</v>
      </c>
      <c r="N1904" s="3" t="s">
        <v>82</v>
      </c>
      <c r="O1904" s="2" t="s">
        <v>11</v>
      </c>
      <c r="P1904" s="10"/>
      <c r="Q1904" s="11"/>
    </row>
    <row r="1905" spans="2:17" ht="21" customHeight="1" x14ac:dyDescent="0.35">
      <c r="B1905" s="18">
        <v>44053</v>
      </c>
      <c r="C1905" s="18" t="str">
        <f>TEXT(Sales[[#This Row],[Kode Program/Kegiatan ]],"D")</f>
        <v>10</v>
      </c>
      <c r="D1905" s="19" t="str">
        <f>TEXT(Sales[[#This Row],[Kode Program/Kegiatan ]],"mmm")</f>
        <v>Aug</v>
      </c>
      <c r="E1905" s="20">
        <v>3</v>
      </c>
      <c r="F1905" s="19">
        <v>3</v>
      </c>
      <c r="G1905" s="20" t="str">
        <f>IF(Sales[[#This Row],[Anggaran Murni]]-Sales[[#This Row],[Target s.d. Januari]]=0,"",Sales[[#This Row],[Anggaran Murni]]-Sales[[#This Row],[Target s.d. Januari]])</f>
        <v/>
      </c>
      <c r="H1905" s="19" t="s">
        <v>76</v>
      </c>
      <c r="I1905" s="20" t="s">
        <v>79</v>
      </c>
      <c r="J1905" s="20">
        <v>120000000</v>
      </c>
      <c r="K1905" s="19" t="s">
        <v>46</v>
      </c>
      <c r="L1905" s="19" t="s">
        <v>7</v>
      </c>
      <c r="M1905" s="21" t="s">
        <v>67</v>
      </c>
      <c r="N1905" s="20" t="s">
        <v>81</v>
      </c>
      <c r="O1905" s="19" t="s">
        <v>11</v>
      </c>
      <c r="P1905" s="10"/>
      <c r="Q1905" s="11"/>
    </row>
    <row r="1906" spans="2:17" ht="21" customHeight="1" x14ac:dyDescent="0.35">
      <c r="B1906" s="1">
        <v>44054</v>
      </c>
      <c r="C1906" s="1" t="str">
        <f>TEXT(Sales[[#This Row],[Kode Program/Kegiatan ]],"D")</f>
        <v>11</v>
      </c>
      <c r="D1906" s="2" t="str">
        <f>TEXT(Sales[[#This Row],[Kode Program/Kegiatan ]],"mmm")</f>
        <v>Aug</v>
      </c>
      <c r="E1906" s="3">
        <v>10</v>
      </c>
      <c r="F1906" s="2">
        <v>10</v>
      </c>
      <c r="G1906" s="3" t="str">
        <f>IF(Sales[[#This Row],[Anggaran Murni]]-Sales[[#This Row],[Target s.d. Januari]]=0,"",Sales[[#This Row],[Anggaran Murni]]-Sales[[#This Row],[Target s.d. Januari]])</f>
        <v/>
      </c>
      <c r="H1906" s="2" t="s">
        <v>113</v>
      </c>
      <c r="I1906" s="3" t="s">
        <v>77</v>
      </c>
      <c r="J1906" s="3">
        <v>100000000</v>
      </c>
      <c r="K1906" s="2" t="s">
        <v>33</v>
      </c>
      <c r="L1906" s="2" t="s">
        <v>5</v>
      </c>
      <c r="M1906" s="4" t="s">
        <v>67</v>
      </c>
      <c r="N1906" s="3" t="s">
        <v>81</v>
      </c>
      <c r="O1906" s="2" t="s">
        <v>11</v>
      </c>
      <c r="P1906" s="10"/>
      <c r="Q1906" s="11"/>
    </row>
    <row r="1907" spans="2:17" ht="21" customHeight="1" x14ac:dyDescent="0.35">
      <c r="B1907" s="18">
        <v>44054</v>
      </c>
      <c r="C1907" s="18" t="str">
        <f>TEXT(Sales[[#This Row],[Kode Program/Kegiatan ]],"D")</f>
        <v>11</v>
      </c>
      <c r="D1907" s="19" t="str">
        <f>TEXT(Sales[[#This Row],[Kode Program/Kegiatan ]],"mmm")</f>
        <v>Aug</v>
      </c>
      <c r="E1907" s="20">
        <v>9</v>
      </c>
      <c r="F1907" s="19">
        <v>9</v>
      </c>
      <c r="G1907" s="20" t="str">
        <f>IF(Sales[[#This Row],[Anggaran Murni]]-Sales[[#This Row],[Target s.d. Januari]]=0,"",Sales[[#This Row],[Anggaran Murni]]-Sales[[#This Row],[Target s.d. Januari]])</f>
        <v/>
      </c>
      <c r="H1907" s="19" t="s">
        <v>76</v>
      </c>
      <c r="I1907" s="20" t="s">
        <v>79</v>
      </c>
      <c r="J1907" s="20">
        <v>100000000</v>
      </c>
      <c r="K1907" s="19" t="s">
        <v>30</v>
      </c>
      <c r="L1907" s="19" t="s">
        <v>5</v>
      </c>
      <c r="M1907" s="21" t="s">
        <v>67</v>
      </c>
      <c r="N1907" s="20" t="s">
        <v>81</v>
      </c>
      <c r="O1907" s="19" t="s">
        <v>12</v>
      </c>
      <c r="P1907" s="10"/>
      <c r="Q1907" s="11"/>
    </row>
    <row r="1908" spans="2:17" ht="21" customHeight="1" x14ac:dyDescent="0.35">
      <c r="B1908" s="1">
        <v>44054</v>
      </c>
      <c r="C1908" s="1" t="str">
        <f>TEXT(Sales[[#This Row],[Kode Program/Kegiatan ]],"D")</f>
        <v>11</v>
      </c>
      <c r="D1908" s="2" t="str">
        <f>TEXT(Sales[[#This Row],[Kode Program/Kegiatan ]],"mmm")</f>
        <v>Aug</v>
      </c>
      <c r="E1908" s="3">
        <v>9</v>
      </c>
      <c r="F1908" s="2">
        <v>9</v>
      </c>
      <c r="G1908" s="3" t="str">
        <f>IF(Sales[[#This Row],[Anggaran Murni]]-Sales[[#This Row],[Target s.d. Januari]]=0,"",Sales[[#This Row],[Anggaran Murni]]-Sales[[#This Row],[Target s.d. Januari]])</f>
        <v/>
      </c>
      <c r="H1908" s="2" t="s">
        <v>73</v>
      </c>
      <c r="I1908" s="3" t="s">
        <v>78</v>
      </c>
      <c r="J1908" s="3">
        <v>40000000</v>
      </c>
      <c r="K1908" s="2" t="s">
        <v>48</v>
      </c>
      <c r="L1908" s="2" t="s">
        <v>5</v>
      </c>
      <c r="M1908" s="4" t="s">
        <v>67</v>
      </c>
      <c r="N1908" s="3" t="s">
        <v>82</v>
      </c>
      <c r="O1908" s="2" t="s">
        <v>14</v>
      </c>
      <c r="P1908" s="10"/>
      <c r="Q1908" s="11"/>
    </row>
    <row r="1909" spans="2:17" ht="21" customHeight="1" x14ac:dyDescent="0.35">
      <c r="B1909" s="18">
        <v>44054</v>
      </c>
      <c r="C1909" s="18" t="str">
        <f>TEXT(Sales[[#This Row],[Kode Program/Kegiatan ]],"D")</f>
        <v>11</v>
      </c>
      <c r="D1909" s="19" t="str">
        <f>TEXT(Sales[[#This Row],[Kode Program/Kegiatan ]],"mmm")</f>
        <v>Aug</v>
      </c>
      <c r="E1909" s="20">
        <v>8</v>
      </c>
      <c r="F1909" s="19">
        <v>8</v>
      </c>
      <c r="G1909" s="20" t="str">
        <f>IF(Sales[[#This Row],[Anggaran Murni]]-Sales[[#This Row],[Target s.d. Januari]]=0,"",Sales[[#This Row],[Anggaran Murni]]-Sales[[#This Row],[Target s.d. Januari]])</f>
        <v/>
      </c>
      <c r="H1909" s="19" t="s">
        <v>75</v>
      </c>
      <c r="I1909" s="20" t="s">
        <v>6</v>
      </c>
      <c r="J1909" s="20">
        <v>40000000</v>
      </c>
      <c r="K1909" s="19" t="s">
        <v>49</v>
      </c>
      <c r="L1909" s="19" t="s">
        <v>5</v>
      </c>
      <c r="M1909" s="21" t="s">
        <v>67</v>
      </c>
      <c r="N1909" s="20" t="s">
        <v>80</v>
      </c>
      <c r="O1909" s="19" t="s">
        <v>13</v>
      </c>
      <c r="P1909" s="10"/>
      <c r="Q1909" s="11"/>
    </row>
    <row r="1910" spans="2:17" ht="21" customHeight="1" x14ac:dyDescent="0.35">
      <c r="B1910" s="1">
        <v>44054</v>
      </c>
      <c r="C1910" s="1" t="str">
        <f>TEXT(Sales[[#This Row],[Kode Program/Kegiatan ]],"D")</f>
        <v>11</v>
      </c>
      <c r="D1910" s="2" t="str">
        <f>TEXT(Sales[[#This Row],[Kode Program/Kegiatan ]],"mmm")</f>
        <v>Aug</v>
      </c>
      <c r="E1910" s="3">
        <v>7</v>
      </c>
      <c r="F1910" s="2">
        <v>7</v>
      </c>
      <c r="G1910" s="3" t="str">
        <f>IF(Sales[[#This Row],[Anggaran Murni]]-Sales[[#This Row],[Target s.d. Januari]]=0,"",Sales[[#This Row],[Anggaran Murni]]-Sales[[#This Row],[Target s.d. Januari]])</f>
        <v/>
      </c>
      <c r="H1910" s="2" t="s">
        <v>113</v>
      </c>
      <c r="I1910" s="3" t="s">
        <v>77</v>
      </c>
      <c r="J1910" s="3">
        <v>80000000</v>
      </c>
      <c r="K1910" s="2" t="s">
        <v>54</v>
      </c>
      <c r="L1910" s="2" t="s">
        <v>7</v>
      </c>
      <c r="M1910" s="4" t="s">
        <v>67</v>
      </c>
      <c r="N1910" s="3" t="s">
        <v>82</v>
      </c>
      <c r="O1910" s="2" t="s">
        <v>12</v>
      </c>
      <c r="P1910" s="10"/>
      <c r="Q1910" s="11"/>
    </row>
    <row r="1911" spans="2:17" ht="21" customHeight="1" x14ac:dyDescent="0.35">
      <c r="B1911" s="18">
        <v>44054</v>
      </c>
      <c r="C1911" s="18" t="str">
        <f>TEXT(Sales[[#This Row],[Kode Program/Kegiatan ]],"D")</f>
        <v>11</v>
      </c>
      <c r="D1911" s="19" t="str">
        <f>TEXT(Sales[[#This Row],[Kode Program/Kegiatan ]],"mmm")</f>
        <v>Aug</v>
      </c>
      <c r="E1911" s="20">
        <v>7</v>
      </c>
      <c r="F1911" s="19">
        <v>7</v>
      </c>
      <c r="G1911" s="20" t="str">
        <f>IF(Sales[[#This Row],[Anggaran Murni]]-Sales[[#This Row],[Target s.d. Januari]]=0,"",Sales[[#This Row],[Anggaran Murni]]-Sales[[#This Row],[Target s.d. Januari]])</f>
        <v/>
      </c>
      <c r="H1911" s="19" t="s">
        <v>70</v>
      </c>
      <c r="I1911" s="20" t="s">
        <v>1</v>
      </c>
      <c r="J1911" s="20">
        <v>100000000</v>
      </c>
      <c r="K1911" s="19" t="s">
        <v>62</v>
      </c>
      <c r="L1911" s="19" t="s">
        <v>8</v>
      </c>
      <c r="M1911" s="21" t="s">
        <v>67</v>
      </c>
      <c r="N1911" s="20" t="s">
        <v>81</v>
      </c>
      <c r="O1911" s="19" t="s">
        <v>13</v>
      </c>
      <c r="P1911" s="10"/>
      <c r="Q1911" s="11"/>
    </row>
    <row r="1912" spans="2:17" ht="21" customHeight="1" x14ac:dyDescent="0.35">
      <c r="B1912" s="1">
        <v>44054</v>
      </c>
      <c r="C1912" s="1" t="str">
        <f>TEXT(Sales[[#This Row],[Kode Program/Kegiatan ]],"D")</f>
        <v>11</v>
      </c>
      <c r="D1912" s="2" t="str">
        <f>TEXT(Sales[[#This Row],[Kode Program/Kegiatan ]],"mmm")</f>
        <v>Aug</v>
      </c>
      <c r="E1912" s="3">
        <v>6</v>
      </c>
      <c r="F1912" s="2">
        <v>6</v>
      </c>
      <c r="G1912" s="3" t="str">
        <f>IF(Sales[[#This Row],[Anggaran Murni]]-Sales[[#This Row],[Target s.d. Januari]]=0,"",Sales[[#This Row],[Anggaran Murni]]-Sales[[#This Row],[Target s.d. Januari]])</f>
        <v/>
      </c>
      <c r="H1912" s="2" t="s">
        <v>73</v>
      </c>
      <c r="I1912" s="3" t="s">
        <v>78</v>
      </c>
      <c r="J1912" s="3">
        <v>120000000</v>
      </c>
      <c r="K1912" s="2" t="s">
        <v>56</v>
      </c>
      <c r="L1912" s="2" t="s">
        <v>2</v>
      </c>
      <c r="M1912" s="4" t="s">
        <v>67</v>
      </c>
      <c r="N1912" s="3" t="s">
        <v>82</v>
      </c>
      <c r="O1912" s="2" t="s">
        <v>12</v>
      </c>
      <c r="P1912" s="10"/>
      <c r="Q1912" s="11"/>
    </row>
    <row r="1913" spans="2:17" ht="21" customHeight="1" x14ac:dyDescent="0.35">
      <c r="B1913" s="18">
        <v>44054</v>
      </c>
      <c r="C1913" s="18" t="str">
        <f>TEXT(Sales[[#This Row],[Kode Program/Kegiatan ]],"D")</f>
        <v>11</v>
      </c>
      <c r="D1913" s="19" t="str">
        <f>TEXT(Sales[[#This Row],[Kode Program/Kegiatan ]],"mmm")</f>
        <v>Aug</v>
      </c>
      <c r="E1913" s="20">
        <v>4</v>
      </c>
      <c r="F1913" s="19">
        <v>4</v>
      </c>
      <c r="G1913" s="20" t="str">
        <f>IF(Sales[[#This Row],[Anggaran Murni]]-Sales[[#This Row],[Target s.d. Januari]]=0,"",Sales[[#This Row],[Anggaran Murni]]-Sales[[#This Row],[Target s.d. Januari]])</f>
        <v/>
      </c>
      <c r="H1913" s="19" t="s">
        <v>114</v>
      </c>
      <c r="I1913" s="20" t="s">
        <v>3</v>
      </c>
      <c r="J1913" s="20">
        <v>120000000</v>
      </c>
      <c r="K1913" s="19" t="s">
        <v>35</v>
      </c>
      <c r="L1913" s="19" t="s">
        <v>2</v>
      </c>
      <c r="M1913" s="21" t="s">
        <v>67</v>
      </c>
      <c r="N1913" s="20" t="s">
        <v>80</v>
      </c>
      <c r="O1913" s="19" t="s">
        <v>13</v>
      </c>
      <c r="P1913" s="10"/>
      <c r="Q1913" s="11"/>
    </row>
    <row r="1914" spans="2:17" ht="21" customHeight="1" x14ac:dyDescent="0.35">
      <c r="B1914" s="1">
        <v>44054</v>
      </c>
      <c r="C1914" s="1" t="str">
        <f>TEXT(Sales[[#This Row],[Kode Program/Kegiatan ]],"D")</f>
        <v>11</v>
      </c>
      <c r="D1914" s="2" t="str">
        <f>TEXT(Sales[[#This Row],[Kode Program/Kegiatan ]],"mmm")</f>
        <v>Aug</v>
      </c>
      <c r="E1914" s="3">
        <v>4</v>
      </c>
      <c r="F1914" s="2">
        <v>4</v>
      </c>
      <c r="G1914" s="3" t="str">
        <f>IF(Sales[[#This Row],[Anggaran Murni]]-Sales[[#This Row],[Target s.d. Januari]]=0,"",Sales[[#This Row],[Anggaran Murni]]-Sales[[#This Row],[Target s.d. Januari]])</f>
        <v/>
      </c>
      <c r="H1914" s="2" t="s">
        <v>75</v>
      </c>
      <c r="I1914" s="3" t="s">
        <v>6</v>
      </c>
      <c r="J1914" s="3">
        <v>140000000</v>
      </c>
      <c r="K1914" s="2" t="s">
        <v>16</v>
      </c>
      <c r="L1914" s="2" t="s">
        <v>2</v>
      </c>
      <c r="M1914" s="4" t="s">
        <v>67</v>
      </c>
      <c r="N1914" s="3" t="s">
        <v>82</v>
      </c>
      <c r="O1914" s="2" t="s">
        <v>12</v>
      </c>
      <c r="P1914" s="10"/>
      <c r="Q1914" s="11"/>
    </row>
    <row r="1915" spans="2:17" ht="21" customHeight="1" x14ac:dyDescent="0.35">
      <c r="B1915" s="18">
        <v>44054</v>
      </c>
      <c r="C1915" s="18" t="str">
        <f>TEXT(Sales[[#This Row],[Kode Program/Kegiatan ]],"D")</f>
        <v>11</v>
      </c>
      <c r="D1915" s="19" t="str">
        <f>TEXT(Sales[[#This Row],[Kode Program/Kegiatan ]],"mmm")</f>
        <v>Aug</v>
      </c>
      <c r="E1915" s="20">
        <v>4</v>
      </c>
      <c r="F1915" s="19">
        <v>4</v>
      </c>
      <c r="G1915" s="20" t="str">
        <f>IF(Sales[[#This Row],[Anggaran Murni]]-Sales[[#This Row],[Target s.d. Januari]]=0,"",Sales[[#This Row],[Anggaran Murni]]-Sales[[#This Row],[Target s.d. Januari]])</f>
        <v/>
      </c>
      <c r="H1915" s="19" t="s">
        <v>72</v>
      </c>
      <c r="I1915" s="20" t="s">
        <v>78</v>
      </c>
      <c r="J1915" s="20">
        <v>100000000</v>
      </c>
      <c r="K1915" s="19" t="s">
        <v>47</v>
      </c>
      <c r="L1915" s="19" t="s">
        <v>5</v>
      </c>
      <c r="M1915" s="21" t="s">
        <v>67</v>
      </c>
      <c r="N1915" s="20" t="s">
        <v>81</v>
      </c>
      <c r="O1915" s="19" t="s">
        <v>14</v>
      </c>
      <c r="P1915" s="10"/>
      <c r="Q1915" s="11"/>
    </row>
    <row r="1916" spans="2:17" ht="21" customHeight="1" x14ac:dyDescent="0.35">
      <c r="B1916" s="1">
        <v>44054</v>
      </c>
      <c r="C1916" s="1" t="str">
        <f>TEXT(Sales[[#This Row],[Kode Program/Kegiatan ]],"D")</f>
        <v>11</v>
      </c>
      <c r="D1916" s="2" t="str">
        <f>TEXT(Sales[[#This Row],[Kode Program/Kegiatan ]],"mmm")</f>
        <v>Aug</v>
      </c>
      <c r="E1916" s="3">
        <v>3</v>
      </c>
      <c r="F1916" s="2">
        <v>3</v>
      </c>
      <c r="G1916" s="3" t="str">
        <f>IF(Sales[[#This Row],[Anggaran Murni]]-Sales[[#This Row],[Target s.d. Januari]]=0,"",Sales[[#This Row],[Anggaran Murni]]-Sales[[#This Row],[Target s.d. Januari]])</f>
        <v/>
      </c>
      <c r="H1916" s="2" t="s">
        <v>114</v>
      </c>
      <c r="I1916" s="3" t="s">
        <v>3</v>
      </c>
      <c r="J1916" s="3">
        <v>120000000</v>
      </c>
      <c r="K1916" s="2" t="s">
        <v>60</v>
      </c>
      <c r="L1916" s="2" t="s">
        <v>9</v>
      </c>
      <c r="M1916" s="4" t="s">
        <v>67</v>
      </c>
      <c r="N1916" s="3" t="s">
        <v>82</v>
      </c>
      <c r="O1916" s="2" t="s">
        <v>14</v>
      </c>
      <c r="P1916" s="10"/>
      <c r="Q1916" s="11"/>
    </row>
    <row r="1917" spans="2:17" ht="21" customHeight="1" x14ac:dyDescent="0.35">
      <c r="B1917" s="18">
        <v>44055</v>
      </c>
      <c r="C1917" s="18" t="str">
        <f>TEXT(Sales[[#This Row],[Kode Program/Kegiatan ]],"D")</f>
        <v>12</v>
      </c>
      <c r="D1917" s="19" t="str">
        <f>TEXT(Sales[[#This Row],[Kode Program/Kegiatan ]],"mmm")</f>
        <v>Aug</v>
      </c>
      <c r="E1917" s="20">
        <v>10</v>
      </c>
      <c r="F1917" s="19">
        <v>10</v>
      </c>
      <c r="G1917" s="20" t="str">
        <f>IF(Sales[[#This Row],[Anggaran Murni]]-Sales[[#This Row],[Target s.d. Januari]]=0,"",Sales[[#This Row],[Anggaran Murni]]-Sales[[#This Row],[Target s.d. Januari]])</f>
        <v/>
      </c>
      <c r="H1917" s="19" t="s">
        <v>76</v>
      </c>
      <c r="I1917" s="20" t="s">
        <v>79</v>
      </c>
      <c r="J1917" s="20">
        <v>40000000</v>
      </c>
      <c r="K1917" s="19" t="s">
        <v>49</v>
      </c>
      <c r="L1917" s="19" t="s">
        <v>8</v>
      </c>
      <c r="M1917" s="21" t="s">
        <v>67</v>
      </c>
      <c r="N1917" s="20" t="s">
        <v>80</v>
      </c>
      <c r="O1917" s="19" t="s">
        <v>11</v>
      </c>
      <c r="P1917" s="10"/>
      <c r="Q1917" s="11"/>
    </row>
    <row r="1918" spans="2:17" ht="21" customHeight="1" x14ac:dyDescent="0.35">
      <c r="B1918" s="1">
        <v>44055</v>
      </c>
      <c r="C1918" s="1" t="str">
        <f>TEXT(Sales[[#This Row],[Kode Program/Kegiatan ]],"D")</f>
        <v>12</v>
      </c>
      <c r="D1918" s="2" t="str">
        <f>TEXT(Sales[[#This Row],[Kode Program/Kegiatan ]],"mmm")</f>
        <v>Aug</v>
      </c>
      <c r="E1918" s="3">
        <v>9</v>
      </c>
      <c r="F1918" s="2">
        <v>9</v>
      </c>
      <c r="G1918" s="3" t="str">
        <f>IF(Sales[[#This Row],[Anggaran Murni]]-Sales[[#This Row],[Target s.d. Januari]]=0,"",Sales[[#This Row],[Anggaran Murni]]-Sales[[#This Row],[Target s.d. Januari]])</f>
        <v/>
      </c>
      <c r="H1918" s="2" t="s">
        <v>113</v>
      </c>
      <c r="I1918" s="3" t="s">
        <v>77</v>
      </c>
      <c r="J1918" s="3">
        <v>60000000</v>
      </c>
      <c r="K1918" s="2" t="s">
        <v>40</v>
      </c>
      <c r="L1918" s="2" t="s">
        <v>9</v>
      </c>
      <c r="M1918" s="4" t="s">
        <v>67</v>
      </c>
      <c r="N1918" s="3" t="s">
        <v>81</v>
      </c>
      <c r="O1918" s="2" t="s">
        <v>14</v>
      </c>
      <c r="P1918" s="10"/>
      <c r="Q1918" s="11"/>
    </row>
    <row r="1919" spans="2:17" ht="21" customHeight="1" x14ac:dyDescent="0.35">
      <c r="B1919" s="18">
        <v>44055</v>
      </c>
      <c r="C1919" s="18" t="str">
        <f>TEXT(Sales[[#This Row],[Kode Program/Kegiatan ]],"D")</f>
        <v>12</v>
      </c>
      <c r="D1919" s="19" t="str">
        <f>TEXT(Sales[[#This Row],[Kode Program/Kegiatan ]],"mmm")</f>
        <v>Aug</v>
      </c>
      <c r="E1919" s="20">
        <v>9</v>
      </c>
      <c r="F1919" s="19">
        <v>9</v>
      </c>
      <c r="G1919" s="20" t="str">
        <f>IF(Sales[[#This Row],[Anggaran Murni]]-Sales[[#This Row],[Target s.d. Januari]]=0,"",Sales[[#This Row],[Anggaran Murni]]-Sales[[#This Row],[Target s.d. Januari]])</f>
        <v/>
      </c>
      <c r="H1919" s="19" t="s">
        <v>71</v>
      </c>
      <c r="I1919" s="20" t="s">
        <v>6</v>
      </c>
      <c r="J1919" s="20">
        <v>80000000</v>
      </c>
      <c r="K1919" s="19" t="s">
        <v>30</v>
      </c>
      <c r="L1919" s="19" t="s">
        <v>2</v>
      </c>
      <c r="M1919" s="21" t="s">
        <v>67</v>
      </c>
      <c r="N1919" s="20" t="s">
        <v>80</v>
      </c>
      <c r="O1919" s="19" t="s">
        <v>11</v>
      </c>
      <c r="P1919" s="10"/>
      <c r="Q1919" s="11"/>
    </row>
    <row r="1920" spans="2:17" ht="21" customHeight="1" x14ac:dyDescent="0.35">
      <c r="B1920" s="1">
        <v>44055</v>
      </c>
      <c r="C1920" s="1" t="str">
        <f>TEXT(Sales[[#This Row],[Kode Program/Kegiatan ]],"D")</f>
        <v>12</v>
      </c>
      <c r="D1920" s="2" t="str">
        <f>TEXT(Sales[[#This Row],[Kode Program/Kegiatan ]],"mmm")</f>
        <v>Aug</v>
      </c>
      <c r="E1920" s="3">
        <v>8</v>
      </c>
      <c r="F1920" s="2">
        <v>8</v>
      </c>
      <c r="G1920" s="3" t="str">
        <f>IF(Sales[[#This Row],[Anggaran Murni]]-Sales[[#This Row],[Target s.d. Januari]]=0,"",Sales[[#This Row],[Anggaran Murni]]-Sales[[#This Row],[Target s.d. Januari]])</f>
        <v/>
      </c>
      <c r="H1920" s="2" t="s">
        <v>75</v>
      </c>
      <c r="I1920" s="3" t="s">
        <v>6</v>
      </c>
      <c r="J1920" s="3">
        <v>60000000</v>
      </c>
      <c r="K1920" s="2" t="s">
        <v>56</v>
      </c>
      <c r="L1920" s="2" t="s">
        <v>2</v>
      </c>
      <c r="M1920" s="4" t="s">
        <v>67</v>
      </c>
      <c r="N1920" s="3" t="s">
        <v>82</v>
      </c>
      <c r="O1920" s="2" t="s">
        <v>11</v>
      </c>
      <c r="P1920" s="10"/>
      <c r="Q1920" s="11"/>
    </row>
    <row r="1921" spans="2:17" ht="21" customHeight="1" x14ac:dyDescent="0.35">
      <c r="B1921" s="18">
        <v>44055</v>
      </c>
      <c r="C1921" s="18" t="str">
        <f>TEXT(Sales[[#This Row],[Kode Program/Kegiatan ]],"D")</f>
        <v>12</v>
      </c>
      <c r="D1921" s="19" t="str">
        <f>TEXT(Sales[[#This Row],[Kode Program/Kegiatan ]],"mmm")</f>
        <v>Aug</v>
      </c>
      <c r="E1921" s="20">
        <v>8</v>
      </c>
      <c r="F1921" s="19">
        <v>8</v>
      </c>
      <c r="G1921" s="20" t="str">
        <f>IF(Sales[[#This Row],[Anggaran Murni]]-Sales[[#This Row],[Target s.d. Januari]]=0,"",Sales[[#This Row],[Anggaran Murni]]-Sales[[#This Row],[Target s.d. Januari]])</f>
        <v/>
      </c>
      <c r="H1921" s="19" t="s">
        <v>114</v>
      </c>
      <c r="I1921" s="20" t="s">
        <v>3</v>
      </c>
      <c r="J1921" s="20">
        <v>80000000</v>
      </c>
      <c r="K1921" s="19" t="s">
        <v>41</v>
      </c>
      <c r="L1921" s="19" t="s">
        <v>5</v>
      </c>
      <c r="M1921" s="21" t="s">
        <v>67</v>
      </c>
      <c r="N1921" s="20" t="s">
        <v>82</v>
      </c>
      <c r="O1921" s="19" t="s">
        <v>14</v>
      </c>
      <c r="P1921" s="10"/>
      <c r="Q1921" s="11"/>
    </row>
    <row r="1922" spans="2:17" ht="21" customHeight="1" x14ac:dyDescent="0.35">
      <c r="B1922" s="1">
        <v>44055</v>
      </c>
      <c r="C1922" s="1" t="str">
        <f>TEXT(Sales[[#This Row],[Kode Program/Kegiatan ]],"D")</f>
        <v>12</v>
      </c>
      <c r="D1922" s="2" t="str">
        <f>TEXT(Sales[[#This Row],[Kode Program/Kegiatan ]],"mmm")</f>
        <v>Aug</v>
      </c>
      <c r="E1922" s="3">
        <v>8</v>
      </c>
      <c r="F1922" s="2">
        <v>8</v>
      </c>
      <c r="G1922" s="3" t="str">
        <f>IF(Sales[[#This Row],[Anggaran Murni]]-Sales[[#This Row],[Target s.d. Januari]]=0,"",Sales[[#This Row],[Anggaran Murni]]-Sales[[#This Row],[Target s.d. Januari]])</f>
        <v/>
      </c>
      <c r="H1922" s="2" t="s">
        <v>76</v>
      </c>
      <c r="I1922" s="3" t="s">
        <v>79</v>
      </c>
      <c r="J1922" s="3">
        <v>120000000</v>
      </c>
      <c r="K1922" s="2" t="s">
        <v>31</v>
      </c>
      <c r="L1922" s="2" t="s">
        <v>2</v>
      </c>
      <c r="M1922" s="4" t="s">
        <v>67</v>
      </c>
      <c r="N1922" s="3" t="s">
        <v>80</v>
      </c>
      <c r="O1922" s="2" t="s">
        <v>11</v>
      </c>
      <c r="P1922" s="10"/>
      <c r="Q1922" s="11"/>
    </row>
    <row r="1923" spans="2:17" ht="21" customHeight="1" x14ac:dyDescent="0.35">
      <c r="B1923" s="18">
        <v>44055</v>
      </c>
      <c r="C1923" s="18" t="str">
        <f>TEXT(Sales[[#This Row],[Kode Program/Kegiatan ]],"D")</f>
        <v>12</v>
      </c>
      <c r="D1923" s="19" t="str">
        <f>TEXT(Sales[[#This Row],[Kode Program/Kegiatan ]],"mmm")</f>
        <v>Aug</v>
      </c>
      <c r="E1923" s="20">
        <v>7</v>
      </c>
      <c r="F1923" s="19">
        <v>7</v>
      </c>
      <c r="G1923" s="20" t="str">
        <f>IF(Sales[[#This Row],[Anggaran Murni]]-Sales[[#This Row],[Target s.d. Januari]]=0,"",Sales[[#This Row],[Anggaran Murni]]-Sales[[#This Row],[Target s.d. Januari]])</f>
        <v/>
      </c>
      <c r="H1923" s="19" t="s">
        <v>114</v>
      </c>
      <c r="I1923" s="20" t="s">
        <v>3</v>
      </c>
      <c r="J1923" s="20">
        <v>80000000</v>
      </c>
      <c r="K1923" s="19" t="s">
        <v>20</v>
      </c>
      <c r="L1923" s="19" t="s">
        <v>5</v>
      </c>
      <c r="M1923" s="21" t="s">
        <v>67</v>
      </c>
      <c r="N1923" s="20" t="s">
        <v>80</v>
      </c>
      <c r="O1923" s="19" t="s">
        <v>11</v>
      </c>
      <c r="P1923" s="10"/>
      <c r="Q1923" s="11"/>
    </row>
    <row r="1924" spans="2:17" ht="21" customHeight="1" x14ac:dyDescent="0.35">
      <c r="B1924" s="1">
        <v>44055</v>
      </c>
      <c r="C1924" s="1" t="str">
        <f>TEXT(Sales[[#This Row],[Kode Program/Kegiatan ]],"D")</f>
        <v>12</v>
      </c>
      <c r="D1924" s="2" t="str">
        <f>TEXT(Sales[[#This Row],[Kode Program/Kegiatan ]],"mmm")</f>
        <v>Aug</v>
      </c>
      <c r="E1924" s="3">
        <v>7</v>
      </c>
      <c r="F1924" s="2">
        <v>7</v>
      </c>
      <c r="G1924" s="3" t="str">
        <f>IF(Sales[[#This Row],[Anggaran Murni]]-Sales[[#This Row],[Target s.d. Januari]]=0,"",Sales[[#This Row],[Anggaran Murni]]-Sales[[#This Row],[Target s.d. Januari]])</f>
        <v/>
      </c>
      <c r="H1924" s="2" t="s">
        <v>75</v>
      </c>
      <c r="I1924" s="3" t="s">
        <v>6</v>
      </c>
      <c r="J1924" s="3">
        <v>60000000</v>
      </c>
      <c r="K1924" s="2" t="s">
        <v>39</v>
      </c>
      <c r="L1924" s="2" t="s">
        <v>5</v>
      </c>
      <c r="M1924" s="4" t="s">
        <v>67</v>
      </c>
      <c r="N1924" s="3" t="s">
        <v>80</v>
      </c>
      <c r="O1924" s="2" t="s">
        <v>13</v>
      </c>
      <c r="P1924" s="10"/>
      <c r="Q1924" s="11"/>
    </row>
    <row r="1925" spans="2:17" ht="21" customHeight="1" x14ac:dyDescent="0.35">
      <c r="B1925" s="18">
        <v>44055</v>
      </c>
      <c r="C1925" s="18" t="str">
        <f>TEXT(Sales[[#This Row],[Kode Program/Kegiatan ]],"D")</f>
        <v>12</v>
      </c>
      <c r="D1925" s="19" t="str">
        <f>TEXT(Sales[[#This Row],[Kode Program/Kegiatan ]],"mmm")</f>
        <v>Aug</v>
      </c>
      <c r="E1925" s="20">
        <v>6</v>
      </c>
      <c r="F1925" s="19">
        <v>6</v>
      </c>
      <c r="G1925" s="20" t="str">
        <f>IF(Sales[[#This Row],[Anggaran Murni]]-Sales[[#This Row],[Target s.d. Januari]]=0,"",Sales[[#This Row],[Anggaran Murni]]-Sales[[#This Row],[Target s.d. Januari]])</f>
        <v/>
      </c>
      <c r="H1925" s="19" t="s">
        <v>76</v>
      </c>
      <c r="I1925" s="20" t="s">
        <v>79</v>
      </c>
      <c r="J1925" s="20">
        <v>140000000</v>
      </c>
      <c r="K1925" s="19" t="s">
        <v>27</v>
      </c>
      <c r="L1925" s="19" t="s">
        <v>2</v>
      </c>
      <c r="M1925" s="21" t="s">
        <v>67</v>
      </c>
      <c r="N1925" s="20" t="s">
        <v>80</v>
      </c>
      <c r="O1925" s="19" t="s">
        <v>12</v>
      </c>
      <c r="P1925" s="10"/>
      <c r="Q1925" s="11"/>
    </row>
    <row r="1926" spans="2:17" ht="21" customHeight="1" x14ac:dyDescent="0.35">
      <c r="B1926" s="1">
        <v>44055</v>
      </c>
      <c r="C1926" s="1" t="str">
        <f>TEXT(Sales[[#This Row],[Kode Program/Kegiatan ]],"D")</f>
        <v>12</v>
      </c>
      <c r="D1926" s="2" t="str">
        <f>TEXT(Sales[[#This Row],[Kode Program/Kegiatan ]],"mmm")</f>
        <v>Aug</v>
      </c>
      <c r="E1926" s="3">
        <v>5</v>
      </c>
      <c r="F1926" s="2">
        <v>5</v>
      </c>
      <c r="G1926" s="3" t="str">
        <f>IF(Sales[[#This Row],[Anggaran Murni]]-Sales[[#This Row],[Target s.d. Januari]]=0,"",Sales[[#This Row],[Anggaran Murni]]-Sales[[#This Row],[Target s.d. Januari]])</f>
        <v/>
      </c>
      <c r="H1926" s="2" t="s">
        <v>71</v>
      </c>
      <c r="I1926" s="3" t="s">
        <v>6</v>
      </c>
      <c r="J1926" s="3">
        <v>60000000</v>
      </c>
      <c r="K1926" s="2" t="s">
        <v>59</v>
      </c>
      <c r="L1926" s="2" t="s">
        <v>5</v>
      </c>
      <c r="M1926" s="4" t="s">
        <v>67</v>
      </c>
      <c r="N1926" s="3" t="s">
        <v>80</v>
      </c>
      <c r="O1926" s="2" t="s">
        <v>11</v>
      </c>
      <c r="P1926" s="10"/>
      <c r="Q1926" s="11"/>
    </row>
    <row r="1927" spans="2:17" ht="21" customHeight="1" x14ac:dyDescent="0.35">
      <c r="B1927" s="18">
        <v>44055</v>
      </c>
      <c r="C1927" s="18" t="str">
        <f>TEXT(Sales[[#This Row],[Kode Program/Kegiatan ]],"D")</f>
        <v>12</v>
      </c>
      <c r="D1927" s="19" t="str">
        <f>TEXT(Sales[[#This Row],[Kode Program/Kegiatan ]],"mmm")</f>
        <v>Aug</v>
      </c>
      <c r="E1927" s="20">
        <v>4</v>
      </c>
      <c r="F1927" s="19">
        <v>4</v>
      </c>
      <c r="G1927" s="20" t="str">
        <f>IF(Sales[[#This Row],[Anggaran Murni]]-Sales[[#This Row],[Target s.d. Januari]]=0,"",Sales[[#This Row],[Anggaran Murni]]-Sales[[#This Row],[Target s.d. Januari]])</f>
        <v/>
      </c>
      <c r="H1927" s="19" t="s">
        <v>73</v>
      </c>
      <c r="I1927" s="20" t="s">
        <v>78</v>
      </c>
      <c r="J1927" s="20">
        <v>100000000</v>
      </c>
      <c r="K1927" s="19" t="s">
        <v>25</v>
      </c>
      <c r="L1927" s="19" t="s">
        <v>4</v>
      </c>
      <c r="M1927" s="21" t="s">
        <v>67</v>
      </c>
      <c r="N1927" s="20" t="s">
        <v>82</v>
      </c>
      <c r="O1927" s="19" t="s">
        <v>13</v>
      </c>
      <c r="P1927" s="10"/>
      <c r="Q1927" s="11"/>
    </row>
    <row r="1928" spans="2:17" ht="21" customHeight="1" x14ac:dyDescent="0.35">
      <c r="B1928" s="1">
        <v>44055</v>
      </c>
      <c r="C1928" s="1" t="str">
        <f>TEXT(Sales[[#This Row],[Kode Program/Kegiatan ]],"D")</f>
        <v>12</v>
      </c>
      <c r="D1928" s="2" t="str">
        <f>TEXT(Sales[[#This Row],[Kode Program/Kegiatan ]],"mmm")</f>
        <v>Aug</v>
      </c>
      <c r="E1928" s="3">
        <v>4</v>
      </c>
      <c r="F1928" s="2">
        <v>4</v>
      </c>
      <c r="G1928" s="3" t="str">
        <f>IF(Sales[[#This Row],[Anggaran Murni]]-Sales[[#This Row],[Target s.d. Januari]]=0,"",Sales[[#This Row],[Anggaran Murni]]-Sales[[#This Row],[Target s.d. Januari]])</f>
        <v/>
      </c>
      <c r="H1928" s="2" t="s">
        <v>70</v>
      </c>
      <c r="I1928" s="3" t="s">
        <v>1</v>
      </c>
      <c r="J1928" s="3">
        <v>100000000</v>
      </c>
      <c r="K1928" s="2" t="s">
        <v>22</v>
      </c>
      <c r="L1928" s="2" t="s">
        <v>9</v>
      </c>
      <c r="M1928" s="4" t="s">
        <v>67</v>
      </c>
      <c r="N1928" s="3" t="s">
        <v>80</v>
      </c>
      <c r="O1928" s="2" t="s">
        <v>13</v>
      </c>
      <c r="P1928" s="10"/>
      <c r="Q1928" s="11"/>
    </row>
    <row r="1929" spans="2:17" ht="21" customHeight="1" x14ac:dyDescent="0.35">
      <c r="B1929" s="18">
        <v>44056</v>
      </c>
      <c r="C1929" s="18" t="str">
        <f>TEXT(Sales[[#This Row],[Kode Program/Kegiatan ]],"D")</f>
        <v>13</v>
      </c>
      <c r="D1929" s="19" t="str">
        <f>TEXT(Sales[[#This Row],[Kode Program/Kegiatan ]],"mmm")</f>
        <v>Aug</v>
      </c>
      <c r="E1929" s="20">
        <v>9</v>
      </c>
      <c r="F1929" s="19">
        <v>9</v>
      </c>
      <c r="G1929" s="20" t="str">
        <f>IF(Sales[[#This Row],[Anggaran Murni]]-Sales[[#This Row],[Target s.d. Januari]]=0,"",Sales[[#This Row],[Anggaran Murni]]-Sales[[#This Row],[Target s.d. Januari]])</f>
        <v/>
      </c>
      <c r="H1929" s="19" t="s">
        <v>75</v>
      </c>
      <c r="I1929" s="20" t="s">
        <v>6</v>
      </c>
      <c r="J1929" s="20">
        <v>140000000</v>
      </c>
      <c r="K1929" s="19" t="s">
        <v>24</v>
      </c>
      <c r="L1929" s="19" t="s">
        <v>5</v>
      </c>
      <c r="M1929" s="21" t="s">
        <v>67</v>
      </c>
      <c r="N1929" s="20" t="s">
        <v>81</v>
      </c>
      <c r="O1929" s="19" t="s">
        <v>14</v>
      </c>
      <c r="P1929" s="10"/>
      <c r="Q1929" s="11"/>
    </row>
    <row r="1930" spans="2:17" ht="21" customHeight="1" x14ac:dyDescent="0.35">
      <c r="B1930" s="1">
        <v>44056</v>
      </c>
      <c r="C1930" s="1" t="str">
        <f>TEXT(Sales[[#This Row],[Kode Program/Kegiatan ]],"D")</f>
        <v>13</v>
      </c>
      <c r="D1930" s="2" t="str">
        <f>TEXT(Sales[[#This Row],[Kode Program/Kegiatan ]],"mmm")</f>
        <v>Aug</v>
      </c>
      <c r="E1930" s="3">
        <v>8</v>
      </c>
      <c r="F1930" s="2">
        <v>8</v>
      </c>
      <c r="G1930" s="3" t="str">
        <f>IF(Sales[[#This Row],[Anggaran Murni]]-Sales[[#This Row],[Target s.d. Januari]]=0,"",Sales[[#This Row],[Anggaran Murni]]-Sales[[#This Row],[Target s.d. Januari]])</f>
        <v/>
      </c>
      <c r="H1930" s="2" t="s">
        <v>75</v>
      </c>
      <c r="I1930" s="3" t="s">
        <v>6</v>
      </c>
      <c r="J1930" s="3">
        <v>100000000</v>
      </c>
      <c r="K1930" s="2" t="s">
        <v>64</v>
      </c>
      <c r="L1930" s="2" t="s">
        <v>7</v>
      </c>
      <c r="M1930" s="4" t="s">
        <v>67</v>
      </c>
      <c r="N1930" s="3" t="s">
        <v>80</v>
      </c>
      <c r="O1930" s="2" t="s">
        <v>14</v>
      </c>
      <c r="P1930" s="10"/>
      <c r="Q1930" s="11"/>
    </row>
    <row r="1931" spans="2:17" ht="21" customHeight="1" x14ac:dyDescent="0.35">
      <c r="B1931" s="18">
        <v>44056</v>
      </c>
      <c r="C1931" s="18" t="str">
        <f>TEXT(Sales[[#This Row],[Kode Program/Kegiatan ]],"D")</f>
        <v>13</v>
      </c>
      <c r="D1931" s="19" t="str">
        <f>TEXT(Sales[[#This Row],[Kode Program/Kegiatan ]],"mmm")</f>
        <v>Aug</v>
      </c>
      <c r="E1931" s="20">
        <v>7</v>
      </c>
      <c r="F1931" s="19">
        <v>7</v>
      </c>
      <c r="G1931" s="20" t="str">
        <f>IF(Sales[[#This Row],[Anggaran Murni]]-Sales[[#This Row],[Target s.d. Januari]]=0,"",Sales[[#This Row],[Anggaran Murni]]-Sales[[#This Row],[Target s.d. Januari]])</f>
        <v/>
      </c>
      <c r="H1931" s="19" t="s">
        <v>75</v>
      </c>
      <c r="I1931" s="20" t="s">
        <v>6</v>
      </c>
      <c r="J1931" s="20">
        <v>60000000</v>
      </c>
      <c r="K1931" s="19" t="s">
        <v>60</v>
      </c>
      <c r="L1931" s="19" t="s">
        <v>7</v>
      </c>
      <c r="M1931" s="21" t="s">
        <v>67</v>
      </c>
      <c r="N1931" s="20" t="s">
        <v>80</v>
      </c>
      <c r="O1931" s="19" t="s">
        <v>14</v>
      </c>
      <c r="P1931" s="10"/>
      <c r="Q1931" s="11"/>
    </row>
    <row r="1932" spans="2:17" ht="21" customHeight="1" x14ac:dyDescent="0.35">
      <c r="B1932" s="1">
        <v>44056</v>
      </c>
      <c r="C1932" s="1" t="str">
        <f>TEXT(Sales[[#This Row],[Kode Program/Kegiatan ]],"D")</f>
        <v>13</v>
      </c>
      <c r="D1932" s="2" t="str">
        <f>TEXT(Sales[[#This Row],[Kode Program/Kegiatan ]],"mmm")</f>
        <v>Aug</v>
      </c>
      <c r="E1932" s="3">
        <v>7</v>
      </c>
      <c r="F1932" s="2">
        <v>7</v>
      </c>
      <c r="G1932" s="3" t="str">
        <f>IF(Sales[[#This Row],[Anggaran Murni]]-Sales[[#This Row],[Target s.d. Januari]]=0,"",Sales[[#This Row],[Anggaran Murni]]-Sales[[#This Row],[Target s.d. Januari]])</f>
        <v/>
      </c>
      <c r="H1932" s="2" t="s">
        <v>113</v>
      </c>
      <c r="I1932" s="3" t="s">
        <v>77</v>
      </c>
      <c r="J1932" s="3">
        <v>140000000</v>
      </c>
      <c r="K1932" s="2" t="s">
        <v>58</v>
      </c>
      <c r="L1932" s="2" t="s">
        <v>5</v>
      </c>
      <c r="M1932" s="4" t="s">
        <v>67</v>
      </c>
      <c r="N1932" s="3" t="s">
        <v>82</v>
      </c>
      <c r="O1932" s="2" t="s">
        <v>11</v>
      </c>
      <c r="P1932" s="10"/>
      <c r="Q1932" s="11"/>
    </row>
    <row r="1933" spans="2:17" ht="21" customHeight="1" x14ac:dyDescent="0.35">
      <c r="B1933" s="18">
        <v>44056</v>
      </c>
      <c r="C1933" s="18" t="str">
        <f>TEXT(Sales[[#This Row],[Kode Program/Kegiatan ]],"D")</f>
        <v>13</v>
      </c>
      <c r="D1933" s="19" t="str">
        <f>TEXT(Sales[[#This Row],[Kode Program/Kegiatan ]],"mmm")</f>
        <v>Aug</v>
      </c>
      <c r="E1933" s="20">
        <v>5</v>
      </c>
      <c r="F1933" s="19">
        <v>5</v>
      </c>
      <c r="G1933" s="20" t="str">
        <f>IF(Sales[[#This Row],[Anggaran Murni]]-Sales[[#This Row],[Target s.d. Januari]]=0,"",Sales[[#This Row],[Anggaran Murni]]-Sales[[#This Row],[Target s.d. Januari]])</f>
        <v/>
      </c>
      <c r="H1933" s="19" t="s">
        <v>70</v>
      </c>
      <c r="I1933" s="20" t="s">
        <v>1</v>
      </c>
      <c r="J1933" s="20">
        <v>60000000</v>
      </c>
      <c r="K1933" s="19" t="s">
        <v>42</v>
      </c>
      <c r="L1933" s="19" t="s">
        <v>2</v>
      </c>
      <c r="M1933" s="21" t="s">
        <v>67</v>
      </c>
      <c r="N1933" s="20" t="s">
        <v>80</v>
      </c>
      <c r="O1933" s="19" t="s">
        <v>13</v>
      </c>
      <c r="P1933" s="10"/>
      <c r="Q1933" s="11"/>
    </row>
    <row r="1934" spans="2:17" ht="21" customHeight="1" x14ac:dyDescent="0.35">
      <c r="B1934" s="1">
        <v>44056</v>
      </c>
      <c r="C1934" s="1" t="str">
        <f>TEXT(Sales[[#This Row],[Kode Program/Kegiatan ]],"D")</f>
        <v>13</v>
      </c>
      <c r="D1934" s="2" t="str">
        <f>TEXT(Sales[[#This Row],[Kode Program/Kegiatan ]],"mmm")</f>
        <v>Aug</v>
      </c>
      <c r="E1934" s="3">
        <v>4</v>
      </c>
      <c r="F1934" s="2">
        <v>4</v>
      </c>
      <c r="G1934" s="3" t="str">
        <f>IF(Sales[[#This Row],[Anggaran Murni]]-Sales[[#This Row],[Target s.d. Januari]]=0,"",Sales[[#This Row],[Anggaran Murni]]-Sales[[#This Row],[Target s.d. Januari]])</f>
        <v/>
      </c>
      <c r="H1934" s="2" t="s">
        <v>76</v>
      </c>
      <c r="I1934" s="3" t="s">
        <v>79</v>
      </c>
      <c r="J1934" s="3">
        <v>80000000</v>
      </c>
      <c r="K1934" s="2" t="s">
        <v>30</v>
      </c>
      <c r="L1934" s="2" t="s">
        <v>2</v>
      </c>
      <c r="M1934" s="4" t="s">
        <v>67</v>
      </c>
      <c r="N1934" s="3" t="s">
        <v>80</v>
      </c>
      <c r="O1934" s="2" t="s">
        <v>11</v>
      </c>
      <c r="P1934" s="10"/>
      <c r="Q1934" s="11"/>
    </row>
    <row r="1935" spans="2:17" ht="21" customHeight="1" x14ac:dyDescent="0.35">
      <c r="B1935" s="18">
        <v>44056</v>
      </c>
      <c r="C1935" s="18" t="str">
        <f>TEXT(Sales[[#This Row],[Kode Program/Kegiatan ]],"D")</f>
        <v>13</v>
      </c>
      <c r="D1935" s="19" t="str">
        <f>TEXT(Sales[[#This Row],[Kode Program/Kegiatan ]],"mmm")</f>
        <v>Aug</v>
      </c>
      <c r="E1935" s="20">
        <v>4</v>
      </c>
      <c r="F1935" s="19">
        <v>4</v>
      </c>
      <c r="G1935" s="20" t="str">
        <f>IF(Sales[[#This Row],[Anggaran Murni]]-Sales[[#This Row],[Target s.d. Januari]]=0,"",Sales[[#This Row],[Anggaran Murni]]-Sales[[#This Row],[Target s.d. Januari]])</f>
        <v/>
      </c>
      <c r="H1935" s="19" t="s">
        <v>75</v>
      </c>
      <c r="I1935" s="20" t="s">
        <v>6</v>
      </c>
      <c r="J1935" s="20">
        <v>80000000</v>
      </c>
      <c r="K1935" s="19" t="s">
        <v>39</v>
      </c>
      <c r="L1935" s="19" t="s">
        <v>5</v>
      </c>
      <c r="M1935" s="21" t="s">
        <v>67</v>
      </c>
      <c r="N1935" s="20" t="s">
        <v>80</v>
      </c>
      <c r="O1935" s="19" t="s">
        <v>11</v>
      </c>
      <c r="P1935" s="10"/>
      <c r="Q1935" s="11"/>
    </row>
    <row r="1936" spans="2:17" ht="21" customHeight="1" x14ac:dyDescent="0.35">
      <c r="B1936" s="1">
        <v>44056</v>
      </c>
      <c r="C1936" s="1" t="str">
        <f>TEXT(Sales[[#This Row],[Kode Program/Kegiatan ]],"D")</f>
        <v>13</v>
      </c>
      <c r="D1936" s="2" t="str">
        <f>TEXT(Sales[[#This Row],[Kode Program/Kegiatan ]],"mmm")</f>
        <v>Aug</v>
      </c>
      <c r="E1936" s="3">
        <v>4</v>
      </c>
      <c r="F1936" s="2">
        <v>4</v>
      </c>
      <c r="G1936" s="3" t="str">
        <f>IF(Sales[[#This Row],[Anggaran Murni]]-Sales[[#This Row],[Target s.d. Januari]]=0,"",Sales[[#This Row],[Anggaran Murni]]-Sales[[#This Row],[Target s.d. Januari]])</f>
        <v/>
      </c>
      <c r="H1936" s="2" t="s">
        <v>75</v>
      </c>
      <c r="I1936" s="3" t="s">
        <v>6</v>
      </c>
      <c r="J1936" s="3">
        <v>140000000</v>
      </c>
      <c r="K1936" s="2" t="s">
        <v>24</v>
      </c>
      <c r="L1936" s="2" t="s">
        <v>2</v>
      </c>
      <c r="M1936" s="4" t="s">
        <v>67</v>
      </c>
      <c r="N1936" s="3" t="s">
        <v>81</v>
      </c>
      <c r="O1936" s="2" t="s">
        <v>14</v>
      </c>
      <c r="P1936" s="10"/>
      <c r="Q1936" s="11"/>
    </row>
    <row r="1937" spans="2:17" ht="21" customHeight="1" x14ac:dyDescent="0.35">
      <c r="B1937" s="18">
        <v>44057</v>
      </c>
      <c r="C1937" s="18" t="str">
        <f>TEXT(Sales[[#This Row],[Kode Program/Kegiatan ]],"D")</f>
        <v>14</v>
      </c>
      <c r="D1937" s="19" t="str">
        <f>TEXT(Sales[[#This Row],[Kode Program/Kegiatan ]],"mmm")</f>
        <v>Aug</v>
      </c>
      <c r="E1937" s="20">
        <v>7</v>
      </c>
      <c r="F1937" s="19">
        <v>7</v>
      </c>
      <c r="G1937" s="20" t="str">
        <f>IF(Sales[[#This Row],[Anggaran Murni]]-Sales[[#This Row],[Target s.d. Januari]]=0,"",Sales[[#This Row],[Anggaran Murni]]-Sales[[#This Row],[Target s.d. Januari]])</f>
        <v/>
      </c>
      <c r="H1937" s="19" t="s">
        <v>76</v>
      </c>
      <c r="I1937" s="20" t="s">
        <v>79</v>
      </c>
      <c r="J1937" s="20">
        <v>60000000</v>
      </c>
      <c r="K1937" s="19" t="s">
        <v>31</v>
      </c>
      <c r="L1937" s="19" t="s">
        <v>5</v>
      </c>
      <c r="M1937" s="21" t="s">
        <v>67</v>
      </c>
      <c r="N1937" s="20" t="s">
        <v>80</v>
      </c>
      <c r="O1937" s="19" t="s">
        <v>11</v>
      </c>
      <c r="P1937" s="10"/>
      <c r="Q1937" s="11"/>
    </row>
    <row r="1938" spans="2:17" ht="21" customHeight="1" x14ac:dyDescent="0.35">
      <c r="B1938" s="1">
        <v>44057</v>
      </c>
      <c r="C1938" s="1" t="str">
        <f>TEXT(Sales[[#This Row],[Kode Program/Kegiatan ]],"D")</f>
        <v>14</v>
      </c>
      <c r="D1938" s="2" t="str">
        <f>TEXT(Sales[[#This Row],[Kode Program/Kegiatan ]],"mmm")</f>
        <v>Aug</v>
      </c>
      <c r="E1938" s="3">
        <v>7</v>
      </c>
      <c r="F1938" s="2">
        <v>7</v>
      </c>
      <c r="G1938" s="3" t="str">
        <f>IF(Sales[[#This Row],[Anggaran Murni]]-Sales[[#This Row],[Target s.d. Januari]]=0,"",Sales[[#This Row],[Anggaran Murni]]-Sales[[#This Row],[Target s.d. Januari]])</f>
        <v/>
      </c>
      <c r="H1938" s="2" t="s">
        <v>113</v>
      </c>
      <c r="I1938" s="3" t="s">
        <v>77</v>
      </c>
      <c r="J1938" s="3">
        <v>100000000</v>
      </c>
      <c r="K1938" s="2" t="s">
        <v>36</v>
      </c>
      <c r="L1938" s="2" t="s">
        <v>5</v>
      </c>
      <c r="M1938" s="4" t="s">
        <v>67</v>
      </c>
      <c r="N1938" s="3" t="s">
        <v>80</v>
      </c>
      <c r="O1938" s="2" t="s">
        <v>13</v>
      </c>
      <c r="P1938" s="10"/>
      <c r="Q1938" s="11"/>
    </row>
    <row r="1939" spans="2:17" ht="21" customHeight="1" x14ac:dyDescent="0.35">
      <c r="B1939" s="18">
        <v>44057</v>
      </c>
      <c r="C1939" s="18" t="str">
        <f>TEXT(Sales[[#This Row],[Kode Program/Kegiatan ]],"D")</f>
        <v>14</v>
      </c>
      <c r="D1939" s="19" t="str">
        <f>TEXT(Sales[[#This Row],[Kode Program/Kegiatan ]],"mmm")</f>
        <v>Aug</v>
      </c>
      <c r="E1939" s="20">
        <v>6</v>
      </c>
      <c r="F1939" s="19">
        <v>6</v>
      </c>
      <c r="G1939" s="20" t="str">
        <f>IF(Sales[[#This Row],[Anggaran Murni]]-Sales[[#This Row],[Target s.d. Januari]]=0,"",Sales[[#This Row],[Anggaran Murni]]-Sales[[#This Row],[Target s.d. Januari]])</f>
        <v/>
      </c>
      <c r="H1939" s="19" t="s">
        <v>76</v>
      </c>
      <c r="I1939" s="20" t="s">
        <v>79</v>
      </c>
      <c r="J1939" s="20">
        <v>60000000</v>
      </c>
      <c r="K1939" s="19" t="s">
        <v>17</v>
      </c>
      <c r="L1939" s="19" t="s">
        <v>2</v>
      </c>
      <c r="M1939" s="21" t="s">
        <v>67</v>
      </c>
      <c r="N1939" s="20" t="s">
        <v>81</v>
      </c>
      <c r="O1939" s="19" t="s">
        <v>11</v>
      </c>
      <c r="P1939" s="10"/>
      <c r="Q1939" s="11"/>
    </row>
    <row r="1940" spans="2:17" ht="21" customHeight="1" x14ac:dyDescent="0.35">
      <c r="B1940" s="1">
        <v>44057</v>
      </c>
      <c r="C1940" s="1" t="str">
        <f>TEXT(Sales[[#This Row],[Kode Program/Kegiatan ]],"D")</f>
        <v>14</v>
      </c>
      <c r="D1940" s="2" t="str">
        <f>TEXT(Sales[[#This Row],[Kode Program/Kegiatan ]],"mmm")</f>
        <v>Aug</v>
      </c>
      <c r="E1940" s="3">
        <v>6</v>
      </c>
      <c r="F1940" s="2">
        <v>6</v>
      </c>
      <c r="G1940" s="3" t="str">
        <f>IF(Sales[[#This Row],[Anggaran Murni]]-Sales[[#This Row],[Target s.d. Januari]]=0,"",Sales[[#This Row],[Anggaran Murni]]-Sales[[#This Row],[Target s.d. Januari]])</f>
        <v/>
      </c>
      <c r="H1940" s="2" t="s">
        <v>73</v>
      </c>
      <c r="I1940" s="3" t="s">
        <v>78</v>
      </c>
      <c r="J1940" s="3">
        <v>40000000</v>
      </c>
      <c r="K1940" s="2" t="s">
        <v>18</v>
      </c>
      <c r="L1940" s="2" t="s">
        <v>5</v>
      </c>
      <c r="M1940" s="4" t="s">
        <v>67</v>
      </c>
      <c r="N1940" s="3" t="s">
        <v>82</v>
      </c>
      <c r="O1940" s="2" t="s">
        <v>13</v>
      </c>
      <c r="P1940" s="10"/>
      <c r="Q1940" s="11"/>
    </row>
    <row r="1941" spans="2:17" ht="21" customHeight="1" x14ac:dyDescent="0.35">
      <c r="B1941" s="18">
        <v>44057</v>
      </c>
      <c r="C1941" s="18" t="str">
        <f>TEXT(Sales[[#This Row],[Kode Program/Kegiatan ]],"D")</f>
        <v>14</v>
      </c>
      <c r="D1941" s="19" t="str">
        <f>TEXT(Sales[[#This Row],[Kode Program/Kegiatan ]],"mmm")</f>
        <v>Aug</v>
      </c>
      <c r="E1941" s="20">
        <v>3</v>
      </c>
      <c r="F1941" s="19">
        <v>3</v>
      </c>
      <c r="G1941" s="20" t="str">
        <f>IF(Sales[[#This Row],[Anggaran Murni]]-Sales[[#This Row],[Target s.d. Januari]]=0,"",Sales[[#This Row],[Anggaran Murni]]-Sales[[#This Row],[Target s.d. Januari]])</f>
        <v/>
      </c>
      <c r="H1941" s="19" t="s">
        <v>74</v>
      </c>
      <c r="I1941" s="20" t="s">
        <v>77</v>
      </c>
      <c r="J1941" s="20">
        <v>120000000</v>
      </c>
      <c r="K1941" s="19" t="s">
        <v>16</v>
      </c>
      <c r="L1941" s="19" t="s">
        <v>2</v>
      </c>
      <c r="M1941" s="21" t="s">
        <v>67</v>
      </c>
      <c r="N1941" s="20" t="s">
        <v>80</v>
      </c>
      <c r="O1941" s="19" t="s">
        <v>12</v>
      </c>
      <c r="P1941" s="10"/>
      <c r="Q1941" s="11"/>
    </row>
    <row r="1942" spans="2:17" ht="21" customHeight="1" x14ac:dyDescent="0.35">
      <c r="B1942" s="1">
        <v>44057</v>
      </c>
      <c r="C1942" s="1" t="str">
        <f>TEXT(Sales[[#This Row],[Kode Program/Kegiatan ]],"D")</f>
        <v>14</v>
      </c>
      <c r="D1942" s="2" t="str">
        <f>TEXT(Sales[[#This Row],[Kode Program/Kegiatan ]],"mmm")</f>
        <v>Aug</v>
      </c>
      <c r="E1942" s="3">
        <v>3</v>
      </c>
      <c r="F1942" s="2">
        <v>3</v>
      </c>
      <c r="G1942" s="3" t="str">
        <f>IF(Sales[[#This Row],[Anggaran Murni]]-Sales[[#This Row],[Target s.d. Januari]]=0,"",Sales[[#This Row],[Anggaran Murni]]-Sales[[#This Row],[Target s.d. Januari]])</f>
        <v/>
      </c>
      <c r="H1942" s="2" t="s">
        <v>75</v>
      </c>
      <c r="I1942" s="3" t="s">
        <v>6</v>
      </c>
      <c r="J1942" s="3">
        <v>120000000</v>
      </c>
      <c r="K1942" s="2" t="s">
        <v>25</v>
      </c>
      <c r="L1942" s="2" t="s">
        <v>5</v>
      </c>
      <c r="M1942" s="4" t="s">
        <v>67</v>
      </c>
      <c r="N1942" s="3" t="s">
        <v>80</v>
      </c>
      <c r="O1942" s="2" t="s">
        <v>14</v>
      </c>
      <c r="P1942" s="10"/>
      <c r="Q1942" s="11"/>
    </row>
    <row r="1943" spans="2:17" ht="21" customHeight="1" x14ac:dyDescent="0.35">
      <c r="B1943" s="18">
        <v>44057</v>
      </c>
      <c r="C1943" s="18" t="str">
        <f>TEXT(Sales[[#This Row],[Kode Program/Kegiatan ]],"D")</f>
        <v>14</v>
      </c>
      <c r="D1943" s="19" t="str">
        <f>TEXT(Sales[[#This Row],[Kode Program/Kegiatan ]],"mmm")</f>
        <v>Aug</v>
      </c>
      <c r="E1943" s="20">
        <v>3</v>
      </c>
      <c r="F1943" s="19">
        <v>3</v>
      </c>
      <c r="G1943" s="20" t="str">
        <f>IF(Sales[[#This Row],[Anggaran Murni]]-Sales[[#This Row],[Target s.d. Januari]]=0,"",Sales[[#This Row],[Anggaran Murni]]-Sales[[#This Row],[Target s.d. Januari]])</f>
        <v/>
      </c>
      <c r="H1943" s="19" t="s">
        <v>113</v>
      </c>
      <c r="I1943" s="20" t="s">
        <v>77</v>
      </c>
      <c r="J1943" s="20">
        <v>100000000</v>
      </c>
      <c r="K1943" s="19" t="s">
        <v>27</v>
      </c>
      <c r="L1943" s="19" t="s">
        <v>2</v>
      </c>
      <c r="M1943" s="21" t="s">
        <v>67</v>
      </c>
      <c r="N1943" s="20" t="s">
        <v>81</v>
      </c>
      <c r="O1943" s="19" t="s">
        <v>12</v>
      </c>
      <c r="P1943" s="10"/>
      <c r="Q1943" s="11"/>
    </row>
    <row r="1944" spans="2:17" ht="21" customHeight="1" x14ac:dyDescent="0.35">
      <c r="B1944" s="1">
        <v>44057</v>
      </c>
      <c r="C1944" s="1" t="str">
        <f>TEXT(Sales[[#This Row],[Kode Program/Kegiatan ]],"D")</f>
        <v>14</v>
      </c>
      <c r="D1944" s="2" t="str">
        <f>TEXT(Sales[[#This Row],[Kode Program/Kegiatan ]],"mmm")</f>
        <v>Aug</v>
      </c>
      <c r="E1944" s="3">
        <v>3</v>
      </c>
      <c r="F1944" s="2">
        <v>3</v>
      </c>
      <c r="G1944" s="3" t="str">
        <f>IF(Sales[[#This Row],[Anggaran Murni]]-Sales[[#This Row],[Target s.d. Januari]]=0,"",Sales[[#This Row],[Anggaran Murni]]-Sales[[#This Row],[Target s.d. Januari]])</f>
        <v/>
      </c>
      <c r="H1944" s="2" t="s">
        <v>71</v>
      </c>
      <c r="I1944" s="3" t="s">
        <v>6</v>
      </c>
      <c r="J1944" s="3">
        <v>40000000</v>
      </c>
      <c r="K1944" s="2" t="s">
        <v>42</v>
      </c>
      <c r="L1944" s="2" t="s">
        <v>2</v>
      </c>
      <c r="M1944" s="4" t="s">
        <v>67</v>
      </c>
      <c r="N1944" s="3" t="s">
        <v>80</v>
      </c>
      <c r="O1944" s="2" t="s">
        <v>13</v>
      </c>
      <c r="P1944" s="10"/>
      <c r="Q1944" s="11"/>
    </row>
    <row r="1945" spans="2:17" ht="21" customHeight="1" x14ac:dyDescent="0.35">
      <c r="B1945" s="18">
        <v>44057</v>
      </c>
      <c r="C1945" s="18" t="str">
        <f>TEXT(Sales[[#This Row],[Kode Program/Kegiatan ]],"D")</f>
        <v>14</v>
      </c>
      <c r="D1945" s="19" t="str">
        <f>TEXT(Sales[[#This Row],[Kode Program/Kegiatan ]],"mmm")</f>
        <v>Aug</v>
      </c>
      <c r="E1945" s="20">
        <v>3</v>
      </c>
      <c r="F1945" s="19">
        <v>3</v>
      </c>
      <c r="G1945" s="20" t="str">
        <f>IF(Sales[[#This Row],[Anggaran Murni]]-Sales[[#This Row],[Target s.d. Januari]]=0,"",Sales[[#This Row],[Anggaran Murni]]-Sales[[#This Row],[Target s.d. Januari]])</f>
        <v/>
      </c>
      <c r="H1945" s="19" t="s">
        <v>114</v>
      </c>
      <c r="I1945" s="20" t="s">
        <v>3</v>
      </c>
      <c r="J1945" s="20">
        <v>40000000</v>
      </c>
      <c r="K1945" s="19" t="s">
        <v>30</v>
      </c>
      <c r="L1945" s="19" t="s">
        <v>5</v>
      </c>
      <c r="M1945" s="21" t="s">
        <v>67</v>
      </c>
      <c r="N1945" s="20" t="s">
        <v>80</v>
      </c>
      <c r="O1945" s="19" t="s">
        <v>14</v>
      </c>
      <c r="P1945" s="10"/>
      <c r="Q1945" s="11"/>
    </row>
    <row r="1946" spans="2:17" ht="21" customHeight="1" x14ac:dyDescent="0.35">
      <c r="B1946" s="1">
        <v>44057</v>
      </c>
      <c r="C1946" s="1" t="str">
        <f>TEXT(Sales[[#This Row],[Kode Program/Kegiatan ]],"D")</f>
        <v>14</v>
      </c>
      <c r="D1946" s="2" t="str">
        <f>TEXT(Sales[[#This Row],[Kode Program/Kegiatan ]],"mmm")</f>
        <v>Aug</v>
      </c>
      <c r="E1946" s="3">
        <v>3</v>
      </c>
      <c r="F1946" s="2">
        <v>3</v>
      </c>
      <c r="G1946" s="3" t="str">
        <f>IF(Sales[[#This Row],[Anggaran Murni]]-Sales[[#This Row],[Target s.d. Januari]]=0,"",Sales[[#This Row],[Anggaran Murni]]-Sales[[#This Row],[Target s.d. Januari]])</f>
        <v/>
      </c>
      <c r="H1946" s="2" t="s">
        <v>70</v>
      </c>
      <c r="I1946" s="3" t="s">
        <v>1</v>
      </c>
      <c r="J1946" s="3">
        <v>100000000</v>
      </c>
      <c r="K1946" s="2" t="s">
        <v>37</v>
      </c>
      <c r="L1946" s="2" t="s">
        <v>2</v>
      </c>
      <c r="M1946" s="4" t="s">
        <v>67</v>
      </c>
      <c r="N1946" s="3" t="s">
        <v>82</v>
      </c>
      <c r="O1946" s="2" t="s">
        <v>12</v>
      </c>
      <c r="P1946" s="10"/>
      <c r="Q1946" s="11"/>
    </row>
    <row r="1947" spans="2:17" ht="21" customHeight="1" x14ac:dyDescent="0.35">
      <c r="B1947" s="18">
        <v>44058</v>
      </c>
      <c r="C1947" s="18" t="str">
        <f>TEXT(Sales[[#This Row],[Kode Program/Kegiatan ]],"D")</f>
        <v>15</v>
      </c>
      <c r="D1947" s="19" t="str">
        <f>TEXT(Sales[[#This Row],[Kode Program/Kegiatan ]],"mmm")</f>
        <v>Aug</v>
      </c>
      <c r="E1947" s="20">
        <v>9</v>
      </c>
      <c r="F1947" s="19">
        <v>9</v>
      </c>
      <c r="G1947" s="20" t="str">
        <f>IF(Sales[[#This Row],[Anggaran Murni]]-Sales[[#This Row],[Target s.d. Januari]]=0,"",Sales[[#This Row],[Anggaran Murni]]-Sales[[#This Row],[Target s.d. Januari]])</f>
        <v/>
      </c>
      <c r="H1947" s="19" t="s">
        <v>72</v>
      </c>
      <c r="I1947" s="20" t="s">
        <v>78</v>
      </c>
      <c r="J1947" s="20">
        <v>120000000</v>
      </c>
      <c r="K1947" s="19" t="s">
        <v>60</v>
      </c>
      <c r="L1947" s="19" t="s">
        <v>2</v>
      </c>
      <c r="M1947" s="21" t="s">
        <v>67</v>
      </c>
      <c r="N1947" s="20" t="s">
        <v>80</v>
      </c>
      <c r="O1947" s="19" t="s">
        <v>11</v>
      </c>
      <c r="P1947" s="10"/>
      <c r="Q1947" s="11"/>
    </row>
    <row r="1948" spans="2:17" ht="21" customHeight="1" x14ac:dyDescent="0.35">
      <c r="B1948" s="1">
        <v>44058</v>
      </c>
      <c r="C1948" s="1" t="str">
        <f>TEXT(Sales[[#This Row],[Kode Program/Kegiatan ]],"D")</f>
        <v>15</v>
      </c>
      <c r="D1948" s="2" t="str">
        <f>TEXT(Sales[[#This Row],[Kode Program/Kegiatan ]],"mmm")</f>
        <v>Aug</v>
      </c>
      <c r="E1948" s="3">
        <v>9</v>
      </c>
      <c r="F1948" s="2">
        <v>9</v>
      </c>
      <c r="G1948" s="3" t="str">
        <f>IF(Sales[[#This Row],[Anggaran Murni]]-Sales[[#This Row],[Target s.d. Januari]]=0,"",Sales[[#This Row],[Anggaran Murni]]-Sales[[#This Row],[Target s.d. Januari]])</f>
        <v/>
      </c>
      <c r="H1948" s="2" t="s">
        <v>113</v>
      </c>
      <c r="I1948" s="3" t="s">
        <v>77</v>
      </c>
      <c r="J1948" s="3">
        <v>120000000</v>
      </c>
      <c r="K1948" s="2" t="s">
        <v>33</v>
      </c>
      <c r="L1948" s="2" t="s">
        <v>2</v>
      </c>
      <c r="M1948" s="4" t="s">
        <v>67</v>
      </c>
      <c r="N1948" s="3" t="s">
        <v>82</v>
      </c>
      <c r="O1948" s="2" t="s">
        <v>14</v>
      </c>
      <c r="P1948" s="10"/>
      <c r="Q1948" s="11"/>
    </row>
    <row r="1949" spans="2:17" ht="21" customHeight="1" x14ac:dyDescent="0.35">
      <c r="B1949" s="18">
        <v>44058</v>
      </c>
      <c r="C1949" s="18" t="str">
        <f>TEXT(Sales[[#This Row],[Kode Program/Kegiatan ]],"D")</f>
        <v>15</v>
      </c>
      <c r="D1949" s="19" t="str">
        <f>TEXT(Sales[[#This Row],[Kode Program/Kegiatan ]],"mmm")</f>
        <v>Aug</v>
      </c>
      <c r="E1949" s="20">
        <v>7</v>
      </c>
      <c r="F1949" s="19">
        <v>7</v>
      </c>
      <c r="G1949" s="20" t="str">
        <f>IF(Sales[[#This Row],[Anggaran Murni]]-Sales[[#This Row],[Target s.d. Januari]]=0,"",Sales[[#This Row],[Anggaran Murni]]-Sales[[#This Row],[Target s.d. Januari]])</f>
        <v/>
      </c>
      <c r="H1949" s="19" t="s">
        <v>70</v>
      </c>
      <c r="I1949" s="20" t="s">
        <v>1</v>
      </c>
      <c r="J1949" s="20">
        <v>80000000</v>
      </c>
      <c r="K1949" s="19" t="s">
        <v>54</v>
      </c>
      <c r="L1949" s="19" t="s">
        <v>7</v>
      </c>
      <c r="M1949" s="21" t="s">
        <v>67</v>
      </c>
      <c r="N1949" s="20" t="s">
        <v>80</v>
      </c>
      <c r="O1949" s="19" t="s">
        <v>14</v>
      </c>
      <c r="P1949" s="10"/>
      <c r="Q1949" s="11"/>
    </row>
    <row r="1950" spans="2:17" ht="21" customHeight="1" x14ac:dyDescent="0.35">
      <c r="B1950" s="1">
        <v>44058</v>
      </c>
      <c r="C1950" s="1" t="str">
        <f>TEXT(Sales[[#This Row],[Kode Program/Kegiatan ]],"D")</f>
        <v>15</v>
      </c>
      <c r="D1950" s="2" t="str">
        <f>TEXT(Sales[[#This Row],[Kode Program/Kegiatan ]],"mmm")</f>
        <v>Aug</v>
      </c>
      <c r="E1950" s="3">
        <v>6</v>
      </c>
      <c r="F1950" s="2">
        <v>6</v>
      </c>
      <c r="G1950" s="3" t="str">
        <f>IF(Sales[[#This Row],[Anggaran Murni]]-Sales[[#This Row],[Target s.d. Januari]]=0,"",Sales[[#This Row],[Anggaran Murni]]-Sales[[#This Row],[Target s.d. Januari]])</f>
        <v/>
      </c>
      <c r="H1950" s="2" t="s">
        <v>113</v>
      </c>
      <c r="I1950" s="3" t="s">
        <v>77</v>
      </c>
      <c r="J1950" s="3">
        <v>60000000</v>
      </c>
      <c r="K1950" s="2" t="s">
        <v>30</v>
      </c>
      <c r="L1950" s="2" t="s">
        <v>5</v>
      </c>
      <c r="M1950" s="4" t="s">
        <v>67</v>
      </c>
      <c r="N1950" s="3" t="s">
        <v>81</v>
      </c>
      <c r="O1950" s="2" t="s">
        <v>12</v>
      </c>
      <c r="P1950" s="10"/>
      <c r="Q1950" s="11"/>
    </row>
    <row r="1951" spans="2:17" ht="21" customHeight="1" x14ac:dyDescent="0.35">
      <c r="B1951" s="18">
        <v>44058</v>
      </c>
      <c r="C1951" s="18" t="str">
        <f>TEXT(Sales[[#This Row],[Kode Program/Kegiatan ]],"D")</f>
        <v>15</v>
      </c>
      <c r="D1951" s="19" t="str">
        <f>TEXT(Sales[[#This Row],[Kode Program/Kegiatan ]],"mmm")</f>
        <v>Aug</v>
      </c>
      <c r="E1951" s="20">
        <v>6</v>
      </c>
      <c r="F1951" s="19">
        <v>6</v>
      </c>
      <c r="G1951" s="20" t="str">
        <f>IF(Sales[[#This Row],[Anggaran Murni]]-Sales[[#This Row],[Target s.d. Januari]]=0,"",Sales[[#This Row],[Anggaran Murni]]-Sales[[#This Row],[Target s.d. Januari]])</f>
        <v/>
      </c>
      <c r="H1951" s="19" t="s">
        <v>114</v>
      </c>
      <c r="I1951" s="20" t="s">
        <v>3</v>
      </c>
      <c r="J1951" s="20">
        <v>60000000</v>
      </c>
      <c r="K1951" s="19" t="s">
        <v>29</v>
      </c>
      <c r="L1951" s="19" t="s">
        <v>5</v>
      </c>
      <c r="M1951" s="21" t="s">
        <v>67</v>
      </c>
      <c r="N1951" s="20" t="s">
        <v>81</v>
      </c>
      <c r="O1951" s="19" t="s">
        <v>14</v>
      </c>
      <c r="P1951" s="10"/>
      <c r="Q1951" s="11"/>
    </row>
    <row r="1952" spans="2:17" ht="21" customHeight="1" x14ac:dyDescent="0.35">
      <c r="B1952" s="1">
        <v>44058</v>
      </c>
      <c r="C1952" s="1" t="str">
        <f>TEXT(Sales[[#This Row],[Kode Program/Kegiatan ]],"D")</f>
        <v>15</v>
      </c>
      <c r="D1952" s="2" t="str">
        <f>TEXT(Sales[[#This Row],[Kode Program/Kegiatan ]],"mmm")</f>
        <v>Aug</v>
      </c>
      <c r="E1952" s="3">
        <v>4</v>
      </c>
      <c r="F1952" s="2">
        <v>4</v>
      </c>
      <c r="G1952" s="3" t="str">
        <f>IF(Sales[[#This Row],[Anggaran Murni]]-Sales[[#This Row],[Target s.d. Januari]]=0,"",Sales[[#This Row],[Anggaran Murni]]-Sales[[#This Row],[Target s.d. Januari]])</f>
        <v/>
      </c>
      <c r="H1952" s="2" t="s">
        <v>76</v>
      </c>
      <c r="I1952" s="3" t="s">
        <v>79</v>
      </c>
      <c r="J1952" s="3">
        <v>60000000</v>
      </c>
      <c r="K1952" s="2" t="s">
        <v>43</v>
      </c>
      <c r="L1952" s="2" t="s">
        <v>2</v>
      </c>
      <c r="M1952" s="4" t="s">
        <v>67</v>
      </c>
      <c r="N1952" s="3" t="s">
        <v>82</v>
      </c>
      <c r="O1952" s="2" t="s">
        <v>11</v>
      </c>
      <c r="P1952" s="10"/>
      <c r="Q1952" s="11"/>
    </row>
    <row r="1953" spans="2:17" ht="21" customHeight="1" x14ac:dyDescent="0.35">
      <c r="B1953" s="18">
        <v>44058</v>
      </c>
      <c r="C1953" s="18" t="str">
        <f>TEXT(Sales[[#This Row],[Kode Program/Kegiatan ]],"D")</f>
        <v>15</v>
      </c>
      <c r="D1953" s="19" t="str">
        <f>TEXT(Sales[[#This Row],[Kode Program/Kegiatan ]],"mmm")</f>
        <v>Aug</v>
      </c>
      <c r="E1953" s="20">
        <v>3</v>
      </c>
      <c r="F1953" s="19">
        <v>3</v>
      </c>
      <c r="G1953" s="20" t="str">
        <f>IF(Sales[[#This Row],[Anggaran Murni]]-Sales[[#This Row],[Target s.d. Januari]]=0,"",Sales[[#This Row],[Anggaran Murni]]-Sales[[#This Row],[Target s.d. Januari]])</f>
        <v/>
      </c>
      <c r="H1953" s="19" t="s">
        <v>114</v>
      </c>
      <c r="I1953" s="20" t="s">
        <v>3</v>
      </c>
      <c r="J1953" s="20">
        <v>100000000</v>
      </c>
      <c r="K1953" s="19" t="s">
        <v>56</v>
      </c>
      <c r="L1953" s="19" t="s">
        <v>4</v>
      </c>
      <c r="M1953" s="21" t="s">
        <v>67</v>
      </c>
      <c r="N1953" s="20" t="s">
        <v>80</v>
      </c>
      <c r="O1953" s="19" t="s">
        <v>12</v>
      </c>
      <c r="P1953" s="10"/>
      <c r="Q1953" s="11"/>
    </row>
    <row r="1954" spans="2:17" ht="21" customHeight="1" x14ac:dyDescent="0.35">
      <c r="B1954" s="1">
        <v>44058</v>
      </c>
      <c r="C1954" s="1" t="str">
        <f>TEXT(Sales[[#This Row],[Kode Program/Kegiatan ]],"D")</f>
        <v>15</v>
      </c>
      <c r="D1954" s="2" t="str">
        <f>TEXT(Sales[[#This Row],[Kode Program/Kegiatan ]],"mmm")</f>
        <v>Aug</v>
      </c>
      <c r="E1954" s="3">
        <v>3</v>
      </c>
      <c r="F1954" s="2">
        <v>3</v>
      </c>
      <c r="G1954" s="3" t="str">
        <f>IF(Sales[[#This Row],[Anggaran Murni]]-Sales[[#This Row],[Target s.d. Januari]]=0,"",Sales[[#This Row],[Anggaran Murni]]-Sales[[#This Row],[Target s.d. Januari]])</f>
        <v/>
      </c>
      <c r="H1954" s="2" t="s">
        <v>74</v>
      </c>
      <c r="I1954" s="3" t="s">
        <v>77</v>
      </c>
      <c r="J1954" s="3">
        <v>60000000</v>
      </c>
      <c r="K1954" s="2" t="s">
        <v>21</v>
      </c>
      <c r="L1954" s="2" t="s">
        <v>7</v>
      </c>
      <c r="M1954" s="4" t="s">
        <v>67</v>
      </c>
      <c r="N1954" s="3" t="s">
        <v>81</v>
      </c>
      <c r="O1954" s="2" t="s">
        <v>12</v>
      </c>
      <c r="P1954" s="10"/>
      <c r="Q1954" s="11"/>
    </row>
    <row r="1955" spans="2:17" ht="21" customHeight="1" x14ac:dyDescent="0.35">
      <c r="B1955" s="18">
        <v>44058</v>
      </c>
      <c r="C1955" s="18" t="str">
        <f>TEXT(Sales[[#This Row],[Kode Program/Kegiatan ]],"D")</f>
        <v>15</v>
      </c>
      <c r="D1955" s="19" t="str">
        <f>TEXT(Sales[[#This Row],[Kode Program/Kegiatan ]],"mmm")</f>
        <v>Aug</v>
      </c>
      <c r="E1955" s="20">
        <v>3</v>
      </c>
      <c r="F1955" s="19">
        <v>3</v>
      </c>
      <c r="G1955" s="20" t="str">
        <f>IF(Sales[[#This Row],[Anggaran Murni]]-Sales[[#This Row],[Target s.d. Januari]]=0,"",Sales[[#This Row],[Anggaran Murni]]-Sales[[#This Row],[Target s.d. Januari]])</f>
        <v/>
      </c>
      <c r="H1955" s="19" t="s">
        <v>76</v>
      </c>
      <c r="I1955" s="20" t="s">
        <v>79</v>
      </c>
      <c r="J1955" s="20">
        <v>140000000</v>
      </c>
      <c r="K1955" s="19" t="s">
        <v>45</v>
      </c>
      <c r="L1955" s="19" t="s">
        <v>4</v>
      </c>
      <c r="M1955" s="21" t="s">
        <v>67</v>
      </c>
      <c r="N1955" s="20" t="s">
        <v>81</v>
      </c>
      <c r="O1955" s="19" t="s">
        <v>13</v>
      </c>
      <c r="P1955" s="10"/>
      <c r="Q1955" s="11"/>
    </row>
    <row r="1956" spans="2:17" ht="21" customHeight="1" x14ac:dyDescent="0.35">
      <c r="B1956" s="1">
        <v>44059</v>
      </c>
      <c r="C1956" s="1" t="str">
        <f>TEXT(Sales[[#This Row],[Kode Program/Kegiatan ]],"D")</f>
        <v>16</v>
      </c>
      <c r="D1956" s="2" t="str">
        <f>TEXT(Sales[[#This Row],[Kode Program/Kegiatan ]],"mmm")</f>
        <v>Aug</v>
      </c>
      <c r="E1956" s="3">
        <v>10</v>
      </c>
      <c r="F1956" s="2">
        <v>10</v>
      </c>
      <c r="G1956" s="3" t="str">
        <f>IF(Sales[[#This Row],[Anggaran Murni]]-Sales[[#This Row],[Target s.d. Januari]]=0,"",Sales[[#This Row],[Anggaran Murni]]-Sales[[#This Row],[Target s.d. Januari]])</f>
        <v/>
      </c>
      <c r="H1956" s="2" t="s">
        <v>75</v>
      </c>
      <c r="I1956" s="3" t="s">
        <v>6</v>
      </c>
      <c r="J1956" s="3">
        <v>120000000</v>
      </c>
      <c r="K1956" s="2" t="s">
        <v>17</v>
      </c>
      <c r="L1956" s="2" t="s">
        <v>2</v>
      </c>
      <c r="M1956" s="4" t="s">
        <v>67</v>
      </c>
      <c r="N1956" s="3" t="s">
        <v>81</v>
      </c>
      <c r="O1956" s="2" t="s">
        <v>12</v>
      </c>
      <c r="P1956" s="10"/>
      <c r="Q1956" s="11"/>
    </row>
    <row r="1957" spans="2:17" ht="21" customHeight="1" x14ac:dyDescent="0.35">
      <c r="B1957" s="18">
        <v>44059</v>
      </c>
      <c r="C1957" s="18" t="str">
        <f>TEXT(Sales[[#This Row],[Kode Program/Kegiatan ]],"D")</f>
        <v>16</v>
      </c>
      <c r="D1957" s="19" t="str">
        <f>TEXT(Sales[[#This Row],[Kode Program/Kegiatan ]],"mmm")</f>
        <v>Aug</v>
      </c>
      <c r="E1957" s="20">
        <v>9</v>
      </c>
      <c r="F1957" s="19">
        <v>9</v>
      </c>
      <c r="G1957" s="20" t="str">
        <f>IF(Sales[[#This Row],[Anggaran Murni]]-Sales[[#This Row],[Target s.d. Januari]]=0,"",Sales[[#This Row],[Anggaran Murni]]-Sales[[#This Row],[Target s.d. Januari]])</f>
        <v/>
      </c>
      <c r="H1957" s="19" t="s">
        <v>76</v>
      </c>
      <c r="I1957" s="20" t="s">
        <v>79</v>
      </c>
      <c r="J1957" s="20">
        <v>100000000</v>
      </c>
      <c r="K1957" s="19" t="s">
        <v>31</v>
      </c>
      <c r="L1957" s="19" t="s">
        <v>2</v>
      </c>
      <c r="M1957" s="21" t="s">
        <v>67</v>
      </c>
      <c r="N1957" s="20" t="s">
        <v>81</v>
      </c>
      <c r="O1957" s="19" t="s">
        <v>12</v>
      </c>
      <c r="P1957" s="10"/>
      <c r="Q1957" s="11"/>
    </row>
    <row r="1958" spans="2:17" ht="21" customHeight="1" x14ac:dyDescent="0.35">
      <c r="B1958" s="1">
        <v>44059</v>
      </c>
      <c r="C1958" s="1" t="str">
        <f>TEXT(Sales[[#This Row],[Kode Program/Kegiatan ]],"D")</f>
        <v>16</v>
      </c>
      <c r="D1958" s="2" t="str">
        <f>TEXT(Sales[[#This Row],[Kode Program/Kegiatan ]],"mmm")</f>
        <v>Aug</v>
      </c>
      <c r="E1958" s="3">
        <v>8</v>
      </c>
      <c r="F1958" s="2">
        <v>8</v>
      </c>
      <c r="G1958" s="3" t="str">
        <f>IF(Sales[[#This Row],[Anggaran Murni]]-Sales[[#This Row],[Target s.d. Januari]]=0,"",Sales[[#This Row],[Anggaran Murni]]-Sales[[#This Row],[Target s.d. Januari]])</f>
        <v/>
      </c>
      <c r="H1958" s="2" t="s">
        <v>114</v>
      </c>
      <c r="I1958" s="3" t="s">
        <v>3</v>
      </c>
      <c r="J1958" s="3">
        <v>100000000</v>
      </c>
      <c r="K1958" s="2" t="s">
        <v>55</v>
      </c>
      <c r="L1958" s="2" t="s">
        <v>5</v>
      </c>
      <c r="M1958" s="4" t="s">
        <v>67</v>
      </c>
      <c r="N1958" s="3" t="s">
        <v>82</v>
      </c>
      <c r="O1958" s="2" t="s">
        <v>11</v>
      </c>
      <c r="P1958" s="10"/>
      <c r="Q1958" s="11"/>
    </row>
    <row r="1959" spans="2:17" ht="21" customHeight="1" x14ac:dyDescent="0.35">
      <c r="B1959" s="18">
        <v>44059</v>
      </c>
      <c r="C1959" s="18" t="str">
        <f>TEXT(Sales[[#This Row],[Kode Program/Kegiatan ]],"D")</f>
        <v>16</v>
      </c>
      <c r="D1959" s="19" t="str">
        <f>TEXT(Sales[[#This Row],[Kode Program/Kegiatan ]],"mmm")</f>
        <v>Aug</v>
      </c>
      <c r="E1959" s="20">
        <v>4</v>
      </c>
      <c r="F1959" s="19">
        <v>4</v>
      </c>
      <c r="G1959" s="20" t="str">
        <f>IF(Sales[[#This Row],[Anggaran Murni]]-Sales[[#This Row],[Target s.d. Januari]]=0,"",Sales[[#This Row],[Anggaran Murni]]-Sales[[#This Row],[Target s.d. Januari]])</f>
        <v/>
      </c>
      <c r="H1959" s="19" t="s">
        <v>73</v>
      </c>
      <c r="I1959" s="20" t="s">
        <v>78</v>
      </c>
      <c r="J1959" s="20">
        <v>40000000</v>
      </c>
      <c r="K1959" s="19" t="s">
        <v>25</v>
      </c>
      <c r="L1959" s="19" t="s">
        <v>2</v>
      </c>
      <c r="M1959" s="21" t="s">
        <v>67</v>
      </c>
      <c r="N1959" s="20" t="s">
        <v>80</v>
      </c>
      <c r="O1959" s="19" t="s">
        <v>13</v>
      </c>
      <c r="P1959" s="10"/>
      <c r="Q1959" s="11"/>
    </row>
    <row r="1960" spans="2:17" ht="21" customHeight="1" x14ac:dyDescent="0.35">
      <c r="B1960" s="1">
        <v>44060</v>
      </c>
      <c r="C1960" s="1" t="str">
        <f>TEXT(Sales[[#This Row],[Kode Program/Kegiatan ]],"D")</f>
        <v>17</v>
      </c>
      <c r="D1960" s="2" t="str">
        <f>TEXT(Sales[[#This Row],[Kode Program/Kegiatan ]],"mmm")</f>
        <v>Aug</v>
      </c>
      <c r="E1960" s="3">
        <v>10</v>
      </c>
      <c r="F1960" s="2">
        <v>10</v>
      </c>
      <c r="G1960" s="3" t="str">
        <f>IF(Sales[[#This Row],[Anggaran Murni]]-Sales[[#This Row],[Target s.d. Januari]]=0,"",Sales[[#This Row],[Anggaran Murni]]-Sales[[#This Row],[Target s.d. Januari]])</f>
        <v/>
      </c>
      <c r="H1960" s="2" t="s">
        <v>76</v>
      </c>
      <c r="I1960" s="3" t="s">
        <v>79</v>
      </c>
      <c r="J1960" s="3">
        <v>100000000</v>
      </c>
      <c r="K1960" s="2" t="s">
        <v>17</v>
      </c>
      <c r="L1960" s="2" t="s">
        <v>9</v>
      </c>
      <c r="M1960" s="4" t="s">
        <v>67</v>
      </c>
      <c r="N1960" s="3" t="s">
        <v>81</v>
      </c>
      <c r="O1960" s="2" t="s">
        <v>13</v>
      </c>
      <c r="P1960" s="10"/>
      <c r="Q1960" s="11"/>
    </row>
    <row r="1961" spans="2:17" ht="21" customHeight="1" x14ac:dyDescent="0.35">
      <c r="B1961" s="18">
        <v>44060</v>
      </c>
      <c r="C1961" s="18" t="str">
        <f>TEXT(Sales[[#This Row],[Kode Program/Kegiatan ]],"D")</f>
        <v>17</v>
      </c>
      <c r="D1961" s="19" t="str">
        <f>TEXT(Sales[[#This Row],[Kode Program/Kegiatan ]],"mmm")</f>
        <v>Aug</v>
      </c>
      <c r="E1961" s="20">
        <v>9</v>
      </c>
      <c r="F1961" s="19">
        <v>9</v>
      </c>
      <c r="G1961" s="20" t="str">
        <f>IF(Sales[[#This Row],[Anggaran Murni]]-Sales[[#This Row],[Target s.d. Januari]]=0,"",Sales[[#This Row],[Anggaran Murni]]-Sales[[#This Row],[Target s.d. Januari]])</f>
        <v/>
      </c>
      <c r="H1961" s="19" t="s">
        <v>113</v>
      </c>
      <c r="I1961" s="20" t="s">
        <v>77</v>
      </c>
      <c r="J1961" s="20">
        <v>120000000</v>
      </c>
      <c r="K1961" s="19" t="s">
        <v>47</v>
      </c>
      <c r="L1961" s="19" t="s">
        <v>2</v>
      </c>
      <c r="M1961" s="21" t="s">
        <v>67</v>
      </c>
      <c r="N1961" s="20" t="s">
        <v>82</v>
      </c>
      <c r="O1961" s="19" t="s">
        <v>12</v>
      </c>
      <c r="P1961" s="10"/>
      <c r="Q1961" s="11"/>
    </row>
    <row r="1962" spans="2:17" ht="21" customHeight="1" x14ac:dyDescent="0.35">
      <c r="B1962" s="1">
        <v>44060</v>
      </c>
      <c r="C1962" s="1" t="str">
        <f>TEXT(Sales[[#This Row],[Kode Program/Kegiatan ]],"D")</f>
        <v>17</v>
      </c>
      <c r="D1962" s="2" t="str">
        <f>TEXT(Sales[[#This Row],[Kode Program/Kegiatan ]],"mmm")</f>
        <v>Aug</v>
      </c>
      <c r="E1962" s="3">
        <v>8</v>
      </c>
      <c r="F1962" s="2">
        <v>8</v>
      </c>
      <c r="G1962" s="3" t="str">
        <f>IF(Sales[[#This Row],[Anggaran Murni]]-Sales[[#This Row],[Target s.d. Januari]]=0,"",Sales[[#This Row],[Anggaran Murni]]-Sales[[#This Row],[Target s.d. Januari]])</f>
        <v/>
      </c>
      <c r="H1962" s="2" t="s">
        <v>70</v>
      </c>
      <c r="I1962" s="3" t="s">
        <v>1</v>
      </c>
      <c r="J1962" s="3">
        <v>40000000</v>
      </c>
      <c r="K1962" s="2" t="s">
        <v>31</v>
      </c>
      <c r="L1962" s="2" t="s">
        <v>4</v>
      </c>
      <c r="M1962" s="4" t="s">
        <v>67</v>
      </c>
      <c r="N1962" s="3" t="s">
        <v>82</v>
      </c>
      <c r="O1962" s="2" t="s">
        <v>11</v>
      </c>
      <c r="P1962" s="10"/>
      <c r="Q1962" s="11"/>
    </row>
    <row r="1963" spans="2:17" ht="21" customHeight="1" x14ac:dyDescent="0.35">
      <c r="B1963" s="18">
        <v>44060</v>
      </c>
      <c r="C1963" s="18" t="str">
        <f>TEXT(Sales[[#This Row],[Kode Program/Kegiatan ]],"D")</f>
        <v>17</v>
      </c>
      <c r="D1963" s="19" t="str">
        <f>TEXT(Sales[[#This Row],[Kode Program/Kegiatan ]],"mmm")</f>
        <v>Aug</v>
      </c>
      <c r="E1963" s="20">
        <v>7</v>
      </c>
      <c r="F1963" s="19">
        <v>7</v>
      </c>
      <c r="G1963" s="20" t="str">
        <f>IF(Sales[[#This Row],[Anggaran Murni]]-Sales[[#This Row],[Target s.d. Januari]]=0,"",Sales[[#This Row],[Anggaran Murni]]-Sales[[#This Row],[Target s.d. Januari]])</f>
        <v/>
      </c>
      <c r="H1963" s="19" t="s">
        <v>75</v>
      </c>
      <c r="I1963" s="20" t="s">
        <v>6</v>
      </c>
      <c r="J1963" s="20">
        <v>40000000</v>
      </c>
      <c r="K1963" s="19" t="s">
        <v>45</v>
      </c>
      <c r="L1963" s="19" t="s">
        <v>2</v>
      </c>
      <c r="M1963" s="21" t="s">
        <v>67</v>
      </c>
      <c r="N1963" s="20" t="s">
        <v>81</v>
      </c>
      <c r="O1963" s="19" t="s">
        <v>12</v>
      </c>
      <c r="P1963" s="10"/>
      <c r="Q1963" s="11"/>
    </row>
    <row r="1964" spans="2:17" ht="21" customHeight="1" x14ac:dyDescent="0.35">
      <c r="B1964" s="1">
        <v>44060</v>
      </c>
      <c r="C1964" s="1" t="str">
        <f>TEXT(Sales[[#This Row],[Kode Program/Kegiatan ]],"D")</f>
        <v>17</v>
      </c>
      <c r="D1964" s="2" t="str">
        <f>TEXT(Sales[[#This Row],[Kode Program/Kegiatan ]],"mmm")</f>
        <v>Aug</v>
      </c>
      <c r="E1964" s="3">
        <v>7</v>
      </c>
      <c r="F1964" s="2">
        <v>7</v>
      </c>
      <c r="G1964" s="3" t="str">
        <f>IF(Sales[[#This Row],[Anggaran Murni]]-Sales[[#This Row],[Target s.d. Januari]]=0,"",Sales[[#This Row],[Anggaran Murni]]-Sales[[#This Row],[Target s.d. Januari]])</f>
        <v/>
      </c>
      <c r="H1964" s="2" t="s">
        <v>73</v>
      </c>
      <c r="I1964" s="3" t="s">
        <v>78</v>
      </c>
      <c r="J1964" s="3">
        <v>100000000</v>
      </c>
      <c r="K1964" s="2" t="s">
        <v>16</v>
      </c>
      <c r="L1964" s="2" t="s">
        <v>7</v>
      </c>
      <c r="M1964" s="4" t="s">
        <v>67</v>
      </c>
      <c r="N1964" s="3" t="s">
        <v>82</v>
      </c>
      <c r="O1964" s="2" t="s">
        <v>12</v>
      </c>
      <c r="P1964" s="10"/>
      <c r="Q1964" s="11"/>
    </row>
    <row r="1965" spans="2:17" ht="21" customHeight="1" x14ac:dyDescent="0.35">
      <c r="B1965" s="18">
        <v>44060</v>
      </c>
      <c r="C1965" s="18" t="str">
        <f>TEXT(Sales[[#This Row],[Kode Program/Kegiatan ]],"D")</f>
        <v>17</v>
      </c>
      <c r="D1965" s="19" t="str">
        <f>TEXT(Sales[[#This Row],[Kode Program/Kegiatan ]],"mmm")</f>
        <v>Aug</v>
      </c>
      <c r="E1965" s="20">
        <v>5</v>
      </c>
      <c r="F1965" s="19">
        <v>5</v>
      </c>
      <c r="G1965" s="20" t="str">
        <f>IF(Sales[[#This Row],[Anggaran Murni]]-Sales[[#This Row],[Target s.d. Januari]]=0,"",Sales[[#This Row],[Anggaran Murni]]-Sales[[#This Row],[Target s.d. Januari]])</f>
        <v/>
      </c>
      <c r="H1965" s="19" t="s">
        <v>70</v>
      </c>
      <c r="I1965" s="20" t="s">
        <v>1</v>
      </c>
      <c r="J1965" s="20">
        <v>120000000</v>
      </c>
      <c r="K1965" s="19" t="s">
        <v>60</v>
      </c>
      <c r="L1965" s="19" t="s">
        <v>5</v>
      </c>
      <c r="M1965" s="21" t="s">
        <v>67</v>
      </c>
      <c r="N1965" s="20" t="s">
        <v>82</v>
      </c>
      <c r="O1965" s="19" t="s">
        <v>14</v>
      </c>
      <c r="P1965" s="10"/>
      <c r="Q1965" s="11"/>
    </row>
    <row r="1966" spans="2:17" ht="21" customHeight="1" x14ac:dyDescent="0.35">
      <c r="B1966" s="1">
        <v>44060</v>
      </c>
      <c r="C1966" s="1" t="str">
        <f>TEXT(Sales[[#This Row],[Kode Program/Kegiatan ]],"D")</f>
        <v>17</v>
      </c>
      <c r="D1966" s="2" t="str">
        <f>TEXT(Sales[[#This Row],[Kode Program/Kegiatan ]],"mmm")</f>
        <v>Aug</v>
      </c>
      <c r="E1966" s="3">
        <v>3</v>
      </c>
      <c r="F1966" s="2">
        <v>3</v>
      </c>
      <c r="G1966" s="3" t="str">
        <f>IF(Sales[[#This Row],[Anggaran Murni]]-Sales[[#This Row],[Target s.d. Januari]]=0,"",Sales[[#This Row],[Anggaran Murni]]-Sales[[#This Row],[Target s.d. Januari]])</f>
        <v/>
      </c>
      <c r="H1966" s="2" t="s">
        <v>113</v>
      </c>
      <c r="I1966" s="3" t="s">
        <v>77</v>
      </c>
      <c r="J1966" s="3">
        <v>40000000</v>
      </c>
      <c r="K1966" s="2" t="s">
        <v>44</v>
      </c>
      <c r="L1966" s="2" t="s">
        <v>2</v>
      </c>
      <c r="M1966" s="4" t="s">
        <v>67</v>
      </c>
      <c r="N1966" s="3" t="s">
        <v>82</v>
      </c>
      <c r="O1966" s="2" t="s">
        <v>14</v>
      </c>
      <c r="P1966" s="10"/>
      <c r="Q1966" s="11"/>
    </row>
    <row r="1967" spans="2:17" ht="21" customHeight="1" x14ac:dyDescent="0.35">
      <c r="B1967" s="18">
        <v>44060</v>
      </c>
      <c r="C1967" s="18" t="str">
        <f>TEXT(Sales[[#This Row],[Kode Program/Kegiatan ]],"D")</f>
        <v>17</v>
      </c>
      <c r="D1967" s="19" t="str">
        <f>TEXT(Sales[[#This Row],[Kode Program/Kegiatan ]],"mmm")</f>
        <v>Aug</v>
      </c>
      <c r="E1967" s="20">
        <v>3</v>
      </c>
      <c r="F1967" s="19">
        <v>3</v>
      </c>
      <c r="G1967" s="20" t="str">
        <f>IF(Sales[[#This Row],[Anggaran Murni]]-Sales[[#This Row],[Target s.d. Januari]]=0,"",Sales[[#This Row],[Anggaran Murni]]-Sales[[#This Row],[Target s.d. Januari]])</f>
        <v/>
      </c>
      <c r="H1967" s="19" t="s">
        <v>76</v>
      </c>
      <c r="I1967" s="20" t="s">
        <v>79</v>
      </c>
      <c r="J1967" s="20">
        <v>100000000</v>
      </c>
      <c r="K1967" s="19" t="s">
        <v>39</v>
      </c>
      <c r="L1967" s="19" t="s">
        <v>2</v>
      </c>
      <c r="M1967" s="21" t="s">
        <v>67</v>
      </c>
      <c r="N1967" s="20" t="s">
        <v>80</v>
      </c>
      <c r="O1967" s="19" t="s">
        <v>11</v>
      </c>
      <c r="P1967" s="10"/>
      <c r="Q1967" s="11"/>
    </row>
    <row r="1968" spans="2:17" ht="21" customHeight="1" x14ac:dyDescent="0.35">
      <c r="B1968" s="1">
        <v>44061</v>
      </c>
      <c r="C1968" s="1" t="str">
        <f>TEXT(Sales[[#This Row],[Kode Program/Kegiatan ]],"D")</f>
        <v>18</v>
      </c>
      <c r="D1968" s="2" t="str">
        <f>TEXT(Sales[[#This Row],[Kode Program/Kegiatan ]],"mmm")</f>
        <v>Aug</v>
      </c>
      <c r="E1968" s="3">
        <v>10</v>
      </c>
      <c r="F1968" s="2">
        <v>10</v>
      </c>
      <c r="G1968" s="3" t="str">
        <f>IF(Sales[[#This Row],[Anggaran Murni]]-Sales[[#This Row],[Target s.d. Januari]]=0,"",Sales[[#This Row],[Anggaran Murni]]-Sales[[#This Row],[Target s.d. Januari]])</f>
        <v/>
      </c>
      <c r="H1968" s="2" t="s">
        <v>75</v>
      </c>
      <c r="I1968" s="3" t="s">
        <v>6</v>
      </c>
      <c r="J1968" s="3">
        <v>120000000</v>
      </c>
      <c r="K1968" s="2" t="s">
        <v>59</v>
      </c>
      <c r="L1968" s="2" t="s">
        <v>5</v>
      </c>
      <c r="M1968" s="4" t="s">
        <v>67</v>
      </c>
      <c r="N1968" s="3" t="s">
        <v>82</v>
      </c>
      <c r="O1968" s="2" t="s">
        <v>12</v>
      </c>
      <c r="P1968" s="10"/>
      <c r="Q1968" s="11"/>
    </row>
    <row r="1969" spans="2:17" ht="21" customHeight="1" x14ac:dyDescent="0.35">
      <c r="B1969" s="18">
        <v>44061</v>
      </c>
      <c r="C1969" s="18" t="str">
        <f>TEXT(Sales[[#This Row],[Kode Program/Kegiatan ]],"D")</f>
        <v>18</v>
      </c>
      <c r="D1969" s="19" t="str">
        <f>TEXT(Sales[[#This Row],[Kode Program/Kegiatan ]],"mmm")</f>
        <v>Aug</v>
      </c>
      <c r="E1969" s="20">
        <v>10</v>
      </c>
      <c r="F1969" s="19">
        <v>10</v>
      </c>
      <c r="G1969" s="20" t="str">
        <f>IF(Sales[[#This Row],[Anggaran Murni]]-Sales[[#This Row],[Target s.d. Januari]]=0,"",Sales[[#This Row],[Anggaran Murni]]-Sales[[#This Row],[Target s.d. Januari]])</f>
        <v/>
      </c>
      <c r="H1969" s="19" t="s">
        <v>72</v>
      </c>
      <c r="I1969" s="20" t="s">
        <v>78</v>
      </c>
      <c r="J1969" s="20">
        <v>120000000</v>
      </c>
      <c r="K1969" s="19" t="s">
        <v>49</v>
      </c>
      <c r="L1969" s="19" t="s">
        <v>2</v>
      </c>
      <c r="M1969" s="21" t="s">
        <v>67</v>
      </c>
      <c r="N1969" s="20" t="s">
        <v>81</v>
      </c>
      <c r="O1969" s="19" t="s">
        <v>13</v>
      </c>
      <c r="P1969" s="10"/>
      <c r="Q1969" s="11"/>
    </row>
    <row r="1970" spans="2:17" ht="21" customHeight="1" x14ac:dyDescent="0.35">
      <c r="B1970" s="1">
        <v>44061</v>
      </c>
      <c r="C1970" s="1" t="str">
        <f>TEXT(Sales[[#This Row],[Kode Program/Kegiatan ]],"D")</f>
        <v>18</v>
      </c>
      <c r="D1970" s="2" t="str">
        <f>TEXT(Sales[[#This Row],[Kode Program/Kegiatan ]],"mmm")</f>
        <v>Aug</v>
      </c>
      <c r="E1970" s="3">
        <v>10</v>
      </c>
      <c r="F1970" s="2">
        <v>10</v>
      </c>
      <c r="G1970" s="3" t="str">
        <f>IF(Sales[[#This Row],[Anggaran Murni]]-Sales[[#This Row],[Target s.d. Januari]]=0,"",Sales[[#This Row],[Anggaran Murni]]-Sales[[#This Row],[Target s.d. Januari]])</f>
        <v/>
      </c>
      <c r="H1970" s="2" t="s">
        <v>70</v>
      </c>
      <c r="I1970" s="3" t="s">
        <v>1</v>
      </c>
      <c r="J1970" s="3">
        <v>80000000</v>
      </c>
      <c r="K1970" s="2" t="s">
        <v>46</v>
      </c>
      <c r="L1970" s="2" t="s">
        <v>2</v>
      </c>
      <c r="M1970" s="4" t="s">
        <v>67</v>
      </c>
      <c r="N1970" s="3" t="s">
        <v>80</v>
      </c>
      <c r="O1970" s="2" t="s">
        <v>11</v>
      </c>
      <c r="P1970" s="10"/>
      <c r="Q1970" s="11"/>
    </row>
    <row r="1971" spans="2:17" ht="21" customHeight="1" x14ac:dyDescent="0.35">
      <c r="B1971" s="18">
        <v>44061</v>
      </c>
      <c r="C1971" s="18" t="str">
        <f>TEXT(Sales[[#This Row],[Kode Program/Kegiatan ]],"D")</f>
        <v>18</v>
      </c>
      <c r="D1971" s="19" t="str">
        <f>TEXT(Sales[[#This Row],[Kode Program/Kegiatan ]],"mmm")</f>
        <v>Aug</v>
      </c>
      <c r="E1971" s="20">
        <v>9</v>
      </c>
      <c r="F1971" s="19">
        <v>9</v>
      </c>
      <c r="G1971" s="20" t="str">
        <f>IF(Sales[[#This Row],[Anggaran Murni]]-Sales[[#This Row],[Target s.d. Januari]]=0,"",Sales[[#This Row],[Anggaran Murni]]-Sales[[#This Row],[Target s.d. Januari]])</f>
        <v/>
      </c>
      <c r="H1971" s="19" t="s">
        <v>74</v>
      </c>
      <c r="I1971" s="20" t="s">
        <v>77</v>
      </c>
      <c r="J1971" s="20">
        <v>140000000</v>
      </c>
      <c r="K1971" s="19" t="s">
        <v>47</v>
      </c>
      <c r="L1971" s="19" t="s">
        <v>2</v>
      </c>
      <c r="M1971" s="21" t="s">
        <v>67</v>
      </c>
      <c r="N1971" s="20" t="s">
        <v>82</v>
      </c>
      <c r="O1971" s="19" t="s">
        <v>13</v>
      </c>
      <c r="P1971" s="10"/>
      <c r="Q1971" s="11"/>
    </row>
    <row r="1972" spans="2:17" ht="21" customHeight="1" x14ac:dyDescent="0.35">
      <c r="B1972" s="1">
        <v>44061</v>
      </c>
      <c r="C1972" s="1" t="str">
        <f>TEXT(Sales[[#This Row],[Kode Program/Kegiatan ]],"D")</f>
        <v>18</v>
      </c>
      <c r="D1972" s="2" t="str">
        <f>TEXT(Sales[[#This Row],[Kode Program/Kegiatan ]],"mmm")</f>
        <v>Aug</v>
      </c>
      <c r="E1972" s="3">
        <v>9</v>
      </c>
      <c r="F1972" s="2">
        <v>9</v>
      </c>
      <c r="G1972" s="3" t="str">
        <f>IF(Sales[[#This Row],[Anggaran Murni]]-Sales[[#This Row],[Target s.d. Januari]]=0,"",Sales[[#This Row],[Anggaran Murni]]-Sales[[#This Row],[Target s.d. Januari]])</f>
        <v/>
      </c>
      <c r="H1972" s="2" t="s">
        <v>113</v>
      </c>
      <c r="I1972" s="3" t="s">
        <v>77</v>
      </c>
      <c r="J1972" s="3">
        <v>120000000</v>
      </c>
      <c r="K1972" s="2" t="s">
        <v>24</v>
      </c>
      <c r="L1972" s="2" t="s">
        <v>5</v>
      </c>
      <c r="M1972" s="4" t="s">
        <v>67</v>
      </c>
      <c r="N1972" s="3" t="s">
        <v>81</v>
      </c>
      <c r="O1972" s="2" t="s">
        <v>12</v>
      </c>
      <c r="P1972" s="10"/>
      <c r="Q1972" s="11"/>
    </row>
    <row r="1973" spans="2:17" ht="21" customHeight="1" x14ac:dyDescent="0.35">
      <c r="B1973" s="18">
        <v>44061</v>
      </c>
      <c r="C1973" s="18" t="str">
        <f>TEXT(Sales[[#This Row],[Kode Program/Kegiatan ]],"D")</f>
        <v>18</v>
      </c>
      <c r="D1973" s="19" t="str">
        <f>TEXT(Sales[[#This Row],[Kode Program/Kegiatan ]],"mmm")</f>
        <v>Aug</v>
      </c>
      <c r="E1973" s="20">
        <v>5</v>
      </c>
      <c r="F1973" s="19">
        <v>5</v>
      </c>
      <c r="G1973" s="20" t="str">
        <f>IF(Sales[[#This Row],[Anggaran Murni]]-Sales[[#This Row],[Target s.d. Januari]]=0,"",Sales[[#This Row],[Anggaran Murni]]-Sales[[#This Row],[Target s.d. Januari]])</f>
        <v/>
      </c>
      <c r="H1973" s="19" t="s">
        <v>70</v>
      </c>
      <c r="I1973" s="20" t="s">
        <v>1</v>
      </c>
      <c r="J1973" s="20">
        <v>100000000</v>
      </c>
      <c r="K1973" s="19" t="s">
        <v>15</v>
      </c>
      <c r="L1973" s="19" t="s">
        <v>4</v>
      </c>
      <c r="M1973" s="21" t="s">
        <v>67</v>
      </c>
      <c r="N1973" s="20" t="s">
        <v>81</v>
      </c>
      <c r="O1973" s="19" t="s">
        <v>13</v>
      </c>
      <c r="P1973" s="10"/>
      <c r="Q1973" s="11"/>
    </row>
    <row r="1974" spans="2:17" ht="21" customHeight="1" x14ac:dyDescent="0.35">
      <c r="B1974" s="1">
        <v>44061</v>
      </c>
      <c r="C1974" s="1" t="str">
        <f>TEXT(Sales[[#This Row],[Kode Program/Kegiatan ]],"D")</f>
        <v>18</v>
      </c>
      <c r="D1974" s="2" t="str">
        <f>TEXT(Sales[[#This Row],[Kode Program/Kegiatan ]],"mmm")</f>
        <v>Aug</v>
      </c>
      <c r="E1974" s="3">
        <v>5</v>
      </c>
      <c r="F1974" s="2">
        <v>5</v>
      </c>
      <c r="G1974" s="3" t="str">
        <f>IF(Sales[[#This Row],[Anggaran Murni]]-Sales[[#This Row],[Target s.d. Januari]]=0,"",Sales[[#This Row],[Anggaran Murni]]-Sales[[#This Row],[Target s.d. Januari]])</f>
        <v/>
      </c>
      <c r="H1974" s="2" t="s">
        <v>114</v>
      </c>
      <c r="I1974" s="3" t="s">
        <v>3</v>
      </c>
      <c r="J1974" s="3">
        <v>120000000</v>
      </c>
      <c r="K1974" s="2" t="s">
        <v>46</v>
      </c>
      <c r="L1974" s="2" t="s">
        <v>8</v>
      </c>
      <c r="M1974" s="4" t="s">
        <v>67</v>
      </c>
      <c r="N1974" s="3" t="s">
        <v>82</v>
      </c>
      <c r="O1974" s="2" t="s">
        <v>12</v>
      </c>
      <c r="P1974" s="10"/>
      <c r="Q1974" s="11"/>
    </row>
    <row r="1975" spans="2:17" ht="21" customHeight="1" x14ac:dyDescent="0.35">
      <c r="B1975" s="18">
        <v>44061</v>
      </c>
      <c r="C1975" s="18" t="str">
        <f>TEXT(Sales[[#This Row],[Kode Program/Kegiatan ]],"D")</f>
        <v>18</v>
      </c>
      <c r="D1975" s="19" t="str">
        <f>TEXT(Sales[[#This Row],[Kode Program/Kegiatan ]],"mmm")</f>
        <v>Aug</v>
      </c>
      <c r="E1975" s="20">
        <v>3</v>
      </c>
      <c r="F1975" s="19">
        <v>3</v>
      </c>
      <c r="G1975" s="20" t="str">
        <f>IF(Sales[[#This Row],[Anggaran Murni]]-Sales[[#This Row],[Target s.d. Januari]]=0,"",Sales[[#This Row],[Anggaran Murni]]-Sales[[#This Row],[Target s.d. Januari]])</f>
        <v/>
      </c>
      <c r="H1975" s="19" t="s">
        <v>75</v>
      </c>
      <c r="I1975" s="20" t="s">
        <v>6</v>
      </c>
      <c r="J1975" s="20">
        <v>140000000</v>
      </c>
      <c r="K1975" s="19" t="s">
        <v>18</v>
      </c>
      <c r="L1975" s="19" t="s">
        <v>5</v>
      </c>
      <c r="M1975" s="21" t="s">
        <v>67</v>
      </c>
      <c r="N1975" s="20" t="s">
        <v>82</v>
      </c>
      <c r="O1975" s="19" t="s">
        <v>14</v>
      </c>
      <c r="P1975" s="10"/>
      <c r="Q1975" s="11"/>
    </row>
    <row r="1976" spans="2:17" ht="21" customHeight="1" x14ac:dyDescent="0.35">
      <c r="B1976" s="1">
        <v>44061</v>
      </c>
      <c r="C1976" s="1" t="str">
        <f>TEXT(Sales[[#This Row],[Kode Program/Kegiatan ]],"D")</f>
        <v>18</v>
      </c>
      <c r="D1976" s="2" t="str">
        <f>TEXT(Sales[[#This Row],[Kode Program/Kegiatan ]],"mmm")</f>
        <v>Aug</v>
      </c>
      <c r="E1976" s="3">
        <v>3</v>
      </c>
      <c r="F1976" s="2">
        <v>3</v>
      </c>
      <c r="G1976" s="3" t="str">
        <f>IF(Sales[[#This Row],[Anggaran Murni]]-Sales[[#This Row],[Target s.d. Januari]]=0,"",Sales[[#This Row],[Anggaran Murni]]-Sales[[#This Row],[Target s.d. Januari]])</f>
        <v/>
      </c>
      <c r="H1976" s="2" t="s">
        <v>73</v>
      </c>
      <c r="I1976" s="3" t="s">
        <v>78</v>
      </c>
      <c r="J1976" s="3">
        <v>80000000</v>
      </c>
      <c r="K1976" s="2" t="s">
        <v>48</v>
      </c>
      <c r="L1976" s="2" t="s">
        <v>5</v>
      </c>
      <c r="M1976" s="4" t="s">
        <v>67</v>
      </c>
      <c r="N1976" s="3" t="s">
        <v>80</v>
      </c>
      <c r="O1976" s="2" t="s">
        <v>12</v>
      </c>
      <c r="P1976" s="10"/>
      <c r="Q1976" s="11"/>
    </row>
    <row r="1977" spans="2:17" ht="21" customHeight="1" x14ac:dyDescent="0.35">
      <c r="B1977" s="18">
        <v>44062</v>
      </c>
      <c r="C1977" s="18" t="str">
        <f>TEXT(Sales[[#This Row],[Kode Program/Kegiatan ]],"D")</f>
        <v>19</v>
      </c>
      <c r="D1977" s="19" t="str">
        <f>TEXT(Sales[[#This Row],[Kode Program/Kegiatan ]],"mmm")</f>
        <v>Aug</v>
      </c>
      <c r="E1977" s="20">
        <v>10</v>
      </c>
      <c r="F1977" s="19">
        <v>9</v>
      </c>
      <c r="G1977" s="20">
        <f>IF(Sales[[#This Row],[Anggaran Murni]]-Sales[[#This Row],[Target s.d. Januari]]=0,"",Sales[[#This Row],[Anggaran Murni]]-Sales[[#This Row],[Target s.d. Januari]])</f>
        <v>1</v>
      </c>
      <c r="H1977" s="19" t="s">
        <v>74</v>
      </c>
      <c r="I1977" s="20" t="s">
        <v>77</v>
      </c>
      <c r="J1977" s="20">
        <v>60000000</v>
      </c>
      <c r="K1977" s="19" t="s">
        <v>52</v>
      </c>
      <c r="L1977" s="19" t="s">
        <v>5</v>
      </c>
      <c r="M1977" s="21" t="s">
        <v>67</v>
      </c>
      <c r="N1977" s="20" t="s">
        <v>81</v>
      </c>
      <c r="O1977" s="19" t="s">
        <v>12</v>
      </c>
      <c r="P1977" s="10"/>
      <c r="Q1977" s="11"/>
    </row>
    <row r="1978" spans="2:17" ht="21" customHeight="1" x14ac:dyDescent="0.35">
      <c r="B1978" s="1">
        <v>44062</v>
      </c>
      <c r="C1978" s="1" t="str">
        <f>TEXT(Sales[[#This Row],[Kode Program/Kegiatan ]],"D")</f>
        <v>19</v>
      </c>
      <c r="D1978" s="2" t="str">
        <f>TEXT(Sales[[#This Row],[Kode Program/Kegiatan ]],"mmm")</f>
        <v>Aug</v>
      </c>
      <c r="E1978" s="3">
        <v>10</v>
      </c>
      <c r="F1978" s="2">
        <v>7</v>
      </c>
      <c r="G1978" s="3">
        <f>IF(Sales[[#This Row],[Anggaran Murni]]-Sales[[#This Row],[Target s.d. Januari]]=0,"",Sales[[#This Row],[Anggaran Murni]]-Sales[[#This Row],[Target s.d. Januari]])</f>
        <v>3</v>
      </c>
      <c r="H1978" s="2" t="s">
        <v>114</v>
      </c>
      <c r="I1978" s="3" t="s">
        <v>3</v>
      </c>
      <c r="J1978" s="3">
        <v>80000000</v>
      </c>
      <c r="K1978" s="2" t="s">
        <v>47</v>
      </c>
      <c r="L1978" s="2" t="s">
        <v>2</v>
      </c>
      <c r="M1978" s="4" t="s">
        <v>67</v>
      </c>
      <c r="N1978" s="3" t="s">
        <v>82</v>
      </c>
      <c r="O1978" s="2" t="s">
        <v>14</v>
      </c>
      <c r="P1978" s="10"/>
      <c r="Q1978" s="11"/>
    </row>
    <row r="1979" spans="2:17" ht="21" customHeight="1" x14ac:dyDescent="0.35">
      <c r="B1979" s="18">
        <v>44062</v>
      </c>
      <c r="C1979" s="18" t="str">
        <f>TEXT(Sales[[#This Row],[Kode Program/Kegiatan ]],"D")</f>
        <v>19</v>
      </c>
      <c r="D1979" s="19" t="str">
        <f>TEXT(Sales[[#This Row],[Kode Program/Kegiatan ]],"mmm")</f>
        <v>Aug</v>
      </c>
      <c r="E1979" s="20">
        <v>10</v>
      </c>
      <c r="F1979" s="19">
        <v>7</v>
      </c>
      <c r="G1979" s="20">
        <f>IF(Sales[[#This Row],[Anggaran Murni]]-Sales[[#This Row],[Target s.d. Januari]]=0,"",Sales[[#This Row],[Anggaran Murni]]-Sales[[#This Row],[Target s.d. Januari]])</f>
        <v>3</v>
      </c>
      <c r="H1979" s="19" t="s">
        <v>114</v>
      </c>
      <c r="I1979" s="20" t="s">
        <v>3</v>
      </c>
      <c r="J1979" s="20">
        <v>60000000</v>
      </c>
      <c r="K1979" s="19" t="s">
        <v>46</v>
      </c>
      <c r="L1979" s="19" t="s">
        <v>7</v>
      </c>
      <c r="M1979" s="21" t="s">
        <v>67</v>
      </c>
      <c r="N1979" s="20" t="s">
        <v>80</v>
      </c>
      <c r="O1979" s="19" t="s">
        <v>13</v>
      </c>
      <c r="P1979" s="10"/>
      <c r="Q1979" s="11"/>
    </row>
    <row r="1980" spans="2:17" ht="21" customHeight="1" x14ac:dyDescent="0.35">
      <c r="B1980" s="1">
        <v>44062</v>
      </c>
      <c r="C1980" s="1" t="str">
        <f>TEXT(Sales[[#This Row],[Kode Program/Kegiatan ]],"D")</f>
        <v>19</v>
      </c>
      <c r="D1980" s="2" t="str">
        <f>TEXT(Sales[[#This Row],[Kode Program/Kegiatan ]],"mmm")</f>
        <v>Aug</v>
      </c>
      <c r="E1980" s="3">
        <v>6</v>
      </c>
      <c r="F1980" s="2">
        <v>4</v>
      </c>
      <c r="G1980" s="3">
        <f>IF(Sales[[#This Row],[Anggaran Murni]]-Sales[[#This Row],[Target s.d. Januari]]=0,"",Sales[[#This Row],[Anggaran Murni]]-Sales[[#This Row],[Target s.d. Januari]])</f>
        <v>2</v>
      </c>
      <c r="H1980" s="2" t="s">
        <v>75</v>
      </c>
      <c r="I1980" s="3" t="s">
        <v>6</v>
      </c>
      <c r="J1980" s="3">
        <v>60000000</v>
      </c>
      <c r="K1980" s="2" t="s">
        <v>25</v>
      </c>
      <c r="L1980" s="2" t="s">
        <v>2</v>
      </c>
      <c r="M1980" s="4" t="s">
        <v>67</v>
      </c>
      <c r="N1980" s="3" t="s">
        <v>82</v>
      </c>
      <c r="O1980" s="2" t="s">
        <v>11</v>
      </c>
      <c r="P1980" s="10"/>
      <c r="Q1980" s="11"/>
    </row>
    <row r="1981" spans="2:17" ht="21" customHeight="1" x14ac:dyDescent="0.35">
      <c r="B1981" s="18">
        <v>44062</v>
      </c>
      <c r="C1981" s="18" t="str">
        <f>TEXT(Sales[[#This Row],[Kode Program/Kegiatan ]],"D")</f>
        <v>19</v>
      </c>
      <c r="D1981" s="19" t="str">
        <f>TEXT(Sales[[#This Row],[Kode Program/Kegiatan ]],"mmm")</f>
        <v>Aug</v>
      </c>
      <c r="E1981" s="20">
        <v>6</v>
      </c>
      <c r="F1981" s="19">
        <v>5</v>
      </c>
      <c r="G1981" s="20">
        <f>IF(Sales[[#This Row],[Anggaran Murni]]-Sales[[#This Row],[Target s.d. Januari]]=0,"",Sales[[#This Row],[Anggaran Murni]]-Sales[[#This Row],[Target s.d. Januari]])</f>
        <v>1</v>
      </c>
      <c r="H1981" s="19" t="s">
        <v>70</v>
      </c>
      <c r="I1981" s="20" t="s">
        <v>1</v>
      </c>
      <c r="J1981" s="20">
        <v>140000000</v>
      </c>
      <c r="K1981" s="19" t="s">
        <v>18</v>
      </c>
      <c r="L1981" s="19" t="s">
        <v>2</v>
      </c>
      <c r="M1981" s="21" t="s">
        <v>67</v>
      </c>
      <c r="N1981" s="20" t="s">
        <v>82</v>
      </c>
      <c r="O1981" s="19" t="s">
        <v>13</v>
      </c>
      <c r="P1981" s="10"/>
      <c r="Q1981" s="11"/>
    </row>
    <row r="1982" spans="2:17" ht="21" customHeight="1" x14ac:dyDescent="0.35">
      <c r="B1982" s="1">
        <v>44063</v>
      </c>
      <c r="C1982" s="1" t="str">
        <f>TEXT(Sales[[#This Row],[Kode Program/Kegiatan ]],"D")</f>
        <v>20</v>
      </c>
      <c r="D1982" s="2" t="str">
        <f>TEXT(Sales[[#This Row],[Kode Program/Kegiatan ]],"mmm")</f>
        <v>Aug</v>
      </c>
      <c r="E1982" s="3">
        <v>10</v>
      </c>
      <c r="F1982" s="2">
        <v>6</v>
      </c>
      <c r="G1982" s="3">
        <f>IF(Sales[[#This Row],[Anggaran Murni]]-Sales[[#This Row],[Target s.d. Januari]]=0,"",Sales[[#This Row],[Anggaran Murni]]-Sales[[#This Row],[Target s.d. Januari]])</f>
        <v>4</v>
      </c>
      <c r="H1982" s="2" t="s">
        <v>75</v>
      </c>
      <c r="I1982" s="3" t="s">
        <v>6</v>
      </c>
      <c r="J1982" s="3">
        <v>140000000</v>
      </c>
      <c r="K1982" s="2" t="s">
        <v>33</v>
      </c>
      <c r="L1982" s="2" t="s">
        <v>2</v>
      </c>
      <c r="M1982" s="4" t="s">
        <v>67</v>
      </c>
      <c r="N1982" s="3" t="s">
        <v>80</v>
      </c>
      <c r="O1982" s="2" t="s">
        <v>12</v>
      </c>
      <c r="P1982" s="10"/>
      <c r="Q1982" s="11"/>
    </row>
    <row r="1983" spans="2:17" ht="21" customHeight="1" x14ac:dyDescent="0.35">
      <c r="B1983" s="18">
        <v>44063</v>
      </c>
      <c r="C1983" s="18" t="str">
        <f>TEXT(Sales[[#This Row],[Kode Program/Kegiatan ]],"D")</f>
        <v>20</v>
      </c>
      <c r="D1983" s="19" t="str">
        <f>TEXT(Sales[[#This Row],[Kode Program/Kegiatan ]],"mmm")</f>
        <v>Aug</v>
      </c>
      <c r="E1983" s="20">
        <v>10</v>
      </c>
      <c r="F1983" s="19">
        <v>9</v>
      </c>
      <c r="G1983" s="20">
        <f>IF(Sales[[#This Row],[Anggaran Murni]]-Sales[[#This Row],[Target s.d. Januari]]=0,"",Sales[[#This Row],[Anggaran Murni]]-Sales[[#This Row],[Target s.d. Januari]])</f>
        <v>1</v>
      </c>
      <c r="H1983" s="19" t="s">
        <v>70</v>
      </c>
      <c r="I1983" s="20" t="s">
        <v>1</v>
      </c>
      <c r="J1983" s="20">
        <v>140000000</v>
      </c>
      <c r="K1983" s="19" t="s">
        <v>51</v>
      </c>
      <c r="L1983" s="19" t="s">
        <v>7</v>
      </c>
      <c r="M1983" s="21" t="s">
        <v>67</v>
      </c>
      <c r="N1983" s="20" t="s">
        <v>81</v>
      </c>
      <c r="O1983" s="19" t="s">
        <v>14</v>
      </c>
      <c r="P1983" s="10"/>
      <c r="Q1983" s="11"/>
    </row>
    <row r="1984" spans="2:17" ht="21" customHeight="1" x14ac:dyDescent="0.35">
      <c r="B1984" s="1">
        <v>44063</v>
      </c>
      <c r="C1984" s="1" t="str">
        <f>TEXT(Sales[[#This Row],[Kode Program/Kegiatan ]],"D")</f>
        <v>20</v>
      </c>
      <c r="D1984" s="2" t="str">
        <f>TEXT(Sales[[#This Row],[Kode Program/Kegiatan ]],"mmm")</f>
        <v>Aug</v>
      </c>
      <c r="E1984" s="3">
        <v>10</v>
      </c>
      <c r="F1984" s="2">
        <v>6</v>
      </c>
      <c r="G1984" s="3">
        <f>IF(Sales[[#This Row],[Anggaran Murni]]-Sales[[#This Row],[Target s.d. Januari]]=0,"",Sales[[#This Row],[Anggaran Murni]]-Sales[[#This Row],[Target s.d. Januari]])</f>
        <v>4</v>
      </c>
      <c r="H1984" s="2" t="s">
        <v>74</v>
      </c>
      <c r="I1984" s="3" t="s">
        <v>77</v>
      </c>
      <c r="J1984" s="3">
        <v>100000000</v>
      </c>
      <c r="K1984" s="2" t="s">
        <v>47</v>
      </c>
      <c r="L1984" s="2" t="s">
        <v>9</v>
      </c>
      <c r="M1984" s="4" t="s">
        <v>67</v>
      </c>
      <c r="N1984" s="3" t="s">
        <v>81</v>
      </c>
      <c r="O1984" s="2" t="s">
        <v>13</v>
      </c>
      <c r="P1984" s="10"/>
      <c r="Q1984" s="11"/>
    </row>
    <row r="1985" spans="2:17" ht="21" customHeight="1" x14ac:dyDescent="0.35">
      <c r="B1985" s="18">
        <v>44063</v>
      </c>
      <c r="C1985" s="18" t="str">
        <f>TEXT(Sales[[#This Row],[Kode Program/Kegiatan ]],"D")</f>
        <v>20</v>
      </c>
      <c r="D1985" s="19" t="str">
        <f>TEXT(Sales[[#This Row],[Kode Program/Kegiatan ]],"mmm")</f>
        <v>Aug</v>
      </c>
      <c r="E1985" s="20">
        <v>7</v>
      </c>
      <c r="F1985" s="19">
        <v>4</v>
      </c>
      <c r="G1985" s="20">
        <f>IF(Sales[[#This Row],[Anggaran Murni]]-Sales[[#This Row],[Target s.d. Januari]]=0,"",Sales[[#This Row],[Anggaran Murni]]-Sales[[#This Row],[Target s.d. Januari]])</f>
        <v>3</v>
      </c>
      <c r="H1985" s="19" t="s">
        <v>75</v>
      </c>
      <c r="I1985" s="20" t="s">
        <v>6</v>
      </c>
      <c r="J1985" s="20">
        <v>60000000</v>
      </c>
      <c r="K1985" s="19" t="s">
        <v>35</v>
      </c>
      <c r="L1985" s="19" t="s">
        <v>5</v>
      </c>
      <c r="M1985" s="21" t="s">
        <v>67</v>
      </c>
      <c r="N1985" s="20" t="s">
        <v>82</v>
      </c>
      <c r="O1985" s="19" t="s">
        <v>12</v>
      </c>
      <c r="P1985" s="10"/>
      <c r="Q1985" s="11"/>
    </row>
    <row r="1986" spans="2:17" ht="21" customHeight="1" x14ac:dyDescent="0.35">
      <c r="B1986" s="1">
        <v>44063</v>
      </c>
      <c r="C1986" s="1" t="str">
        <f>TEXT(Sales[[#This Row],[Kode Program/Kegiatan ]],"D")</f>
        <v>20</v>
      </c>
      <c r="D1986" s="2" t="str">
        <f>TEXT(Sales[[#This Row],[Kode Program/Kegiatan ]],"mmm")</f>
        <v>Aug</v>
      </c>
      <c r="E1986" s="3">
        <v>6</v>
      </c>
      <c r="F1986" s="2">
        <v>5</v>
      </c>
      <c r="G1986" s="3">
        <f>IF(Sales[[#This Row],[Anggaran Murni]]-Sales[[#This Row],[Target s.d. Januari]]=0,"",Sales[[#This Row],[Anggaran Murni]]-Sales[[#This Row],[Target s.d. Januari]])</f>
        <v>1</v>
      </c>
      <c r="H1986" s="2" t="s">
        <v>113</v>
      </c>
      <c r="I1986" s="3" t="s">
        <v>77</v>
      </c>
      <c r="J1986" s="3">
        <v>40000000</v>
      </c>
      <c r="K1986" s="2" t="s">
        <v>64</v>
      </c>
      <c r="L1986" s="2" t="s">
        <v>2</v>
      </c>
      <c r="M1986" s="4" t="s">
        <v>67</v>
      </c>
      <c r="N1986" s="3" t="s">
        <v>81</v>
      </c>
      <c r="O1986" s="2" t="s">
        <v>14</v>
      </c>
      <c r="P1986" s="10"/>
      <c r="Q1986" s="11"/>
    </row>
    <row r="1987" spans="2:17" ht="21" customHeight="1" x14ac:dyDescent="0.35">
      <c r="B1987" s="18">
        <v>44063</v>
      </c>
      <c r="C1987" s="18" t="str">
        <f>TEXT(Sales[[#This Row],[Kode Program/Kegiatan ]],"D")</f>
        <v>20</v>
      </c>
      <c r="D1987" s="19" t="str">
        <f>TEXT(Sales[[#This Row],[Kode Program/Kegiatan ]],"mmm")</f>
        <v>Aug</v>
      </c>
      <c r="E1987" s="20">
        <v>5</v>
      </c>
      <c r="F1987" s="19">
        <v>3</v>
      </c>
      <c r="G1987" s="20">
        <f>IF(Sales[[#This Row],[Anggaran Murni]]-Sales[[#This Row],[Target s.d. Januari]]=0,"",Sales[[#This Row],[Anggaran Murni]]-Sales[[#This Row],[Target s.d. Januari]])</f>
        <v>2</v>
      </c>
      <c r="H1987" s="19" t="s">
        <v>73</v>
      </c>
      <c r="I1987" s="20" t="s">
        <v>78</v>
      </c>
      <c r="J1987" s="20">
        <v>140000000</v>
      </c>
      <c r="K1987" s="19" t="s">
        <v>32</v>
      </c>
      <c r="L1987" s="19" t="s">
        <v>8</v>
      </c>
      <c r="M1987" s="21" t="s">
        <v>67</v>
      </c>
      <c r="N1987" s="20" t="s">
        <v>81</v>
      </c>
      <c r="O1987" s="19" t="s">
        <v>11</v>
      </c>
      <c r="P1987" s="10"/>
      <c r="Q1987" s="11"/>
    </row>
    <row r="1988" spans="2:17" ht="21" customHeight="1" x14ac:dyDescent="0.35">
      <c r="B1988" s="1">
        <v>44063</v>
      </c>
      <c r="C1988" s="1" t="str">
        <f>TEXT(Sales[[#This Row],[Kode Program/Kegiatan ]],"D")</f>
        <v>20</v>
      </c>
      <c r="D1988" s="2" t="str">
        <f>TEXT(Sales[[#This Row],[Kode Program/Kegiatan ]],"mmm")</f>
        <v>Aug</v>
      </c>
      <c r="E1988" s="3">
        <v>4</v>
      </c>
      <c r="F1988" s="2">
        <v>2</v>
      </c>
      <c r="G1988" s="3">
        <f>IF(Sales[[#This Row],[Anggaran Murni]]-Sales[[#This Row],[Target s.d. Januari]]=0,"",Sales[[#This Row],[Anggaran Murni]]-Sales[[#This Row],[Target s.d. Januari]])</f>
        <v>2</v>
      </c>
      <c r="H1988" s="2" t="s">
        <v>71</v>
      </c>
      <c r="I1988" s="3" t="s">
        <v>6</v>
      </c>
      <c r="J1988" s="3">
        <v>100000000</v>
      </c>
      <c r="K1988" s="2" t="s">
        <v>21</v>
      </c>
      <c r="L1988" s="2" t="s">
        <v>2</v>
      </c>
      <c r="M1988" s="4" t="s">
        <v>67</v>
      </c>
      <c r="N1988" s="3" t="s">
        <v>82</v>
      </c>
      <c r="O1988" s="2" t="s">
        <v>14</v>
      </c>
      <c r="P1988" s="10"/>
      <c r="Q1988" s="11"/>
    </row>
    <row r="1989" spans="2:17" ht="21" customHeight="1" x14ac:dyDescent="0.35">
      <c r="B1989" s="18">
        <v>44063</v>
      </c>
      <c r="C1989" s="18" t="str">
        <f>TEXT(Sales[[#This Row],[Kode Program/Kegiatan ]],"D")</f>
        <v>20</v>
      </c>
      <c r="D1989" s="19" t="str">
        <f>TEXT(Sales[[#This Row],[Kode Program/Kegiatan ]],"mmm")</f>
        <v>Aug</v>
      </c>
      <c r="E1989" s="20">
        <v>4</v>
      </c>
      <c r="F1989" s="19">
        <v>3</v>
      </c>
      <c r="G1989" s="20">
        <f>IF(Sales[[#This Row],[Anggaran Murni]]-Sales[[#This Row],[Target s.d. Januari]]=0,"",Sales[[#This Row],[Anggaran Murni]]-Sales[[#This Row],[Target s.d. Januari]])</f>
        <v>1</v>
      </c>
      <c r="H1989" s="19" t="s">
        <v>75</v>
      </c>
      <c r="I1989" s="20" t="s">
        <v>6</v>
      </c>
      <c r="J1989" s="20">
        <v>40000000</v>
      </c>
      <c r="K1989" s="19" t="s">
        <v>57</v>
      </c>
      <c r="L1989" s="19" t="s">
        <v>2</v>
      </c>
      <c r="M1989" s="21" t="s">
        <v>67</v>
      </c>
      <c r="N1989" s="20" t="s">
        <v>82</v>
      </c>
      <c r="O1989" s="19" t="s">
        <v>11</v>
      </c>
      <c r="P1989" s="10"/>
      <c r="Q1989" s="11"/>
    </row>
    <row r="1990" spans="2:17" ht="21" customHeight="1" x14ac:dyDescent="0.35">
      <c r="B1990" s="1">
        <v>44063</v>
      </c>
      <c r="C1990" s="1" t="str">
        <f>TEXT(Sales[[#This Row],[Kode Program/Kegiatan ]],"D")</f>
        <v>20</v>
      </c>
      <c r="D1990" s="2" t="str">
        <f>TEXT(Sales[[#This Row],[Kode Program/Kegiatan ]],"mmm")</f>
        <v>Aug</v>
      </c>
      <c r="E1990" s="3">
        <v>3</v>
      </c>
      <c r="F1990" s="2">
        <v>2</v>
      </c>
      <c r="G1990" s="3">
        <f>IF(Sales[[#This Row],[Anggaran Murni]]-Sales[[#This Row],[Target s.d. Januari]]=0,"",Sales[[#This Row],[Anggaran Murni]]-Sales[[#This Row],[Target s.d. Januari]])</f>
        <v>1</v>
      </c>
      <c r="H1990" s="2" t="s">
        <v>113</v>
      </c>
      <c r="I1990" s="3" t="s">
        <v>77</v>
      </c>
      <c r="J1990" s="3">
        <v>120000000</v>
      </c>
      <c r="K1990" s="2" t="s">
        <v>23</v>
      </c>
      <c r="L1990" s="2" t="s">
        <v>4</v>
      </c>
      <c r="M1990" s="4" t="s">
        <v>67</v>
      </c>
      <c r="N1990" s="3" t="s">
        <v>81</v>
      </c>
      <c r="O1990" s="2" t="s">
        <v>12</v>
      </c>
      <c r="P1990" s="10"/>
      <c r="Q1990" s="11"/>
    </row>
    <row r="1991" spans="2:17" ht="21" customHeight="1" x14ac:dyDescent="0.35">
      <c r="B1991" s="18">
        <v>44063</v>
      </c>
      <c r="C1991" s="18" t="str">
        <f>TEXT(Sales[[#This Row],[Kode Program/Kegiatan ]],"D")</f>
        <v>20</v>
      </c>
      <c r="D1991" s="19" t="str">
        <f>TEXT(Sales[[#This Row],[Kode Program/Kegiatan ]],"mmm")</f>
        <v>Aug</v>
      </c>
      <c r="E1991" s="20">
        <v>3</v>
      </c>
      <c r="F1991" s="19">
        <v>1</v>
      </c>
      <c r="G1991" s="20">
        <f>IF(Sales[[#This Row],[Anggaran Murni]]-Sales[[#This Row],[Target s.d. Januari]]=0,"",Sales[[#This Row],[Anggaran Murni]]-Sales[[#This Row],[Target s.d. Januari]])</f>
        <v>2</v>
      </c>
      <c r="H1991" s="19" t="s">
        <v>75</v>
      </c>
      <c r="I1991" s="20" t="s">
        <v>6</v>
      </c>
      <c r="J1991" s="20">
        <v>120000000</v>
      </c>
      <c r="K1991" s="19" t="s">
        <v>15</v>
      </c>
      <c r="L1991" s="19" t="s">
        <v>9</v>
      </c>
      <c r="M1991" s="21" t="s">
        <v>67</v>
      </c>
      <c r="N1991" s="20" t="s">
        <v>80</v>
      </c>
      <c r="O1991" s="19" t="s">
        <v>12</v>
      </c>
      <c r="P1991" s="10"/>
      <c r="Q1991" s="11"/>
    </row>
    <row r="1992" spans="2:17" ht="21" customHeight="1" x14ac:dyDescent="0.35">
      <c r="B1992" s="1">
        <v>44064</v>
      </c>
      <c r="C1992" s="1" t="str">
        <f>TEXT(Sales[[#This Row],[Kode Program/Kegiatan ]],"D")</f>
        <v>21</v>
      </c>
      <c r="D1992" s="2" t="str">
        <f>TEXT(Sales[[#This Row],[Kode Program/Kegiatan ]],"mmm")</f>
        <v>Aug</v>
      </c>
      <c r="E1992" s="3">
        <v>10</v>
      </c>
      <c r="F1992" s="2">
        <v>9</v>
      </c>
      <c r="G1992" s="3">
        <f>IF(Sales[[#This Row],[Anggaran Murni]]-Sales[[#This Row],[Target s.d. Januari]]=0,"",Sales[[#This Row],[Anggaran Murni]]-Sales[[#This Row],[Target s.d. Januari]])</f>
        <v>1</v>
      </c>
      <c r="H1992" s="2" t="s">
        <v>113</v>
      </c>
      <c r="I1992" s="3" t="s">
        <v>77</v>
      </c>
      <c r="J1992" s="3">
        <v>140000000</v>
      </c>
      <c r="K1992" s="2" t="s">
        <v>46</v>
      </c>
      <c r="L1992" s="2" t="s">
        <v>9</v>
      </c>
      <c r="M1992" s="4" t="s">
        <v>67</v>
      </c>
      <c r="N1992" s="3" t="s">
        <v>80</v>
      </c>
      <c r="O1992" s="2" t="s">
        <v>14</v>
      </c>
      <c r="P1992" s="10"/>
      <c r="Q1992" s="11"/>
    </row>
    <row r="1993" spans="2:17" ht="21" customHeight="1" x14ac:dyDescent="0.35">
      <c r="B1993" s="18">
        <v>44064</v>
      </c>
      <c r="C1993" s="18" t="str">
        <f>TEXT(Sales[[#This Row],[Kode Program/Kegiatan ]],"D")</f>
        <v>21</v>
      </c>
      <c r="D1993" s="19" t="str">
        <f>TEXT(Sales[[#This Row],[Kode Program/Kegiatan ]],"mmm")</f>
        <v>Aug</v>
      </c>
      <c r="E1993" s="20">
        <v>10</v>
      </c>
      <c r="F1993" s="19">
        <v>7</v>
      </c>
      <c r="G1993" s="20">
        <f>IF(Sales[[#This Row],[Anggaran Murni]]-Sales[[#This Row],[Target s.d. Januari]]=0,"",Sales[[#This Row],[Anggaran Murni]]-Sales[[#This Row],[Target s.d. Januari]])</f>
        <v>3</v>
      </c>
      <c r="H1993" s="19" t="s">
        <v>70</v>
      </c>
      <c r="I1993" s="20" t="s">
        <v>1</v>
      </c>
      <c r="J1993" s="20">
        <v>120000000</v>
      </c>
      <c r="K1993" s="19" t="s">
        <v>50</v>
      </c>
      <c r="L1993" s="19" t="s">
        <v>7</v>
      </c>
      <c r="M1993" s="21" t="s">
        <v>67</v>
      </c>
      <c r="N1993" s="20" t="s">
        <v>81</v>
      </c>
      <c r="O1993" s="19" t="s">
        <v>14</v>
      </c>
      <c r="P1993" s="10"/>
      <c r="Q1993" s="11"/>
    </row>
    <row r="1994" spans="2:17" ht="21" customHeight="1" x14ac:dyDescent="0.35">
      <c r="B1994" s="1">
        <v>44064</v>
      </c>
      <c r="C1994" s="1" t="str">
        <f>TEXT(Sales[[#This Row],[Kode Program/Kegiatan ]],"D")</f>
        <v>21</v>
      </c>
      <c r="D1994" s="2" t="str">
        <f>TEXT(Sales[[#This Row],[Kode Program/Kegiatan ]],"mmm")</f>
        <v>Aug</v>
      </c>
      <c r="E1994" s="3">
        <v>9</v>
      </c>
      <c r="F1994" s="2">
        <v>8</v>
      </c>
      <c r="G1994" s="3">
        <f>IF(Sales[[#This Row],[Anggaran Murni]]-Sales[[#This Row],[Target s.d. Januari]]=0,"",Sales[[#This Row],[Anggaran Murni]]-Sales[[#This Row],[Target s.d. Januari]])</f>
        <v>1</v>
      </c>
      <c r="H1994" s="2" t="s">
        <v>76</v>
      </c>
      <c r="I1994" s="3" t="s">
        <v>79</v>
      </c>
      <c r="J1994" s="3">
        <v>80000000</v>
      </c>
      <c r="K1994" s="2" t="s">
        <v>18</v>
      </c>
      <c r="L1994" s="2" t="s">
        <v>4</v>
      </c>
      <c r="M1994" s="4" t="s">
        <v>67</v>
      </c>
      <c r="N1994" s="3" t="s">
        <v>81</v>
      </c>
      <c r="O1994" s="2" t="s">
        <v>13</v>
      </c>
      <c r="P1994" s="10"/>
      <c r="Q1994" s="11"/>
    </row>
    <row r="1995" spans="2:17" ht="21" customHeight="1" x14ac:dyDescent="0.35">
      <c r="B1995" s="18">
        <v>44064</v>
      </c>
      <c r="C1995" s="18" t="str">
        <f>TEXT(Sales[[#This Row],[Kode Program/Kegiatan ]],"D")</f>
        <v>21</v>
      </c>
      <c r="D1995" s="19" t="str">
        <f>TEXT(Sales[[#This Row],[Kode Program/Kegiatan ]],"mmm")</f>
        <v>Aug</v>
      </c>
      <c r="E1995" s="20">
        <v>9</v>
      </c>
      <c r="F1995" s="19">
        <v>5</v>
      </c>
      <c r="G1995" s="20">
        <f>IF(Sales[[#This Row],[Anggaran Murni]]-Sales[[#This Row],[Target s.d. Januari]]=0,"",Sales[[#This Row],[Anggaran Murni]]-Sales[[#This Row],[Target s.d. Januari]])</f>
        <v>4</v>
      </c>
      <c r="H1995" s="19" t="s">
        <v>73</v>
      </c>
      <c r="I1995" s="20" t="s">
        <v>78</v>
      </c>
      <c r="J1995" s="20">
        <v>60000000</v>
      </c>
      <c r="K1995" s="19" t="s">
        <v>52</v>
      </c>
      <c r="L1995" s="19" t="s">
        <v>4</v>
      </c>
      <c r="M1995" s="21" t="s">
        <v>67</v>
      </c>
      <c r="N1995" s="20" t="s">
        <v>80</v>
      </c>
      <c r="O1995" s="19" t="s">
        <v>13</v>
      </c>
      <c r="P1995" s="10"/>
      <c r="Q1995" s="11"/>
    </row>
    <row r="1996" spans="2:17" ht="21" customHeight="1" x14ac:dyDescent="0.35">
      <c r="B1996" s="1">
        <v>44064</v>
      </c>
      <c r="C1996" s="1" t="str">
        <f>TEXT(Sales[[#This Row],[Kode Program/Kegiatan ]],"D")</f>
        <v>21</v>
      </c>
      <c r="D1996" s="2" t="str">
        <f>TEXT(Sales[[#This Row],[Kode Program/Kegiatan ]],"mmm")</f>
        <v>Aug</v>
      </c>
      <c r="E1996" s="3">
        <v>9</v>
      </c>
      <c r="F1996" s="2">
        <v>6</v>
      </c>
      <c r="G1996" s="3">
        <f>IF(Sales[[#This Row],[Anggaran Murni]]-Sales[[#This Row],[Target s.d. Januari]]=0,"",Sales[[#This Row],[Anggaran Murni]]-Sales[[#This Row],[Target s.d. Januari]])</f>
        <v>3</v>
      </c>
      <c r="H1996" s="2" t="s">
        <v>76</v>
      </c>
      <c r="I1996" s="3" t="s">
        <v>79</v>
      </c>
      <c r="J1996" s="3">
        <v>120000000</v>
      </c>
      <c r="K1996" s="2" t="s">
        <v>53</v>
      </c>
      <c r="L1996" s="2" t="s">
        <v>9</v>
      </c>
      <c r="M1996" s="4" t="s">
        <v>67</v>
      </c>
      <c r="N1996" s="3" t="s">
        <v>80</v>
      </c>
      <c r="O1996" s="2" t="s">
        <v>11</v>
      </c>
      <c r="P1996" s="10"/>
      <c r="Q1996" s="11"/>
    </row>
    <row r="1997" spans="2:17" ht="21" customHeight="1" x14ac:dyDescent="0.35">
      <c r="B1997" s="18">
        <v>44064</v>
      </c>
      <c r="C1997" s="18" t="str">
        <f>TEXT(Sales[[#This Row],[Kode Program/Kegiatan ]],"D")</f>
        <v>21</v>
      </c>
      <c r="D1997" s="19" t="str">
        <f>TEXT(Sales[[#This Row],[Kode Program/Kegiatan ]],"mmm")</f>
        <v>Aug</v>
      </c>
      <c r="E1997" s="20">
        <v>9</v>
      </c>
      <c r="F1997" s="19">
        <v>8</v>
      </c>
      <c r="G1997" s="20">
        <f>IF(Sales[[#This Row],[Anggaran Murni]]-Sales[[#This Row],[Target s.d. Januari]]=0,"",Sales[[#This Row],[Anggaran Murni]]-Sales[[#This Row],[Target s.d. Januari]])</f>
        <v>1</v>
      </c>
      <c r="H1997" s="19" t="s">
        <v>70</v>
      </c>
      <c r="I1997" s="20" t="s">
        <v>1</v>
      </c>
      <c r="J1997" s="20">
        <v>60000000</v>
      </c>
      <c r="K1997" s="19" t="s">
        <v>32</v>
      </c>
      <c r="L1997" s="19" t="s">
        <v>2</v>
      </c>
      <c r="M1997" s="21" t="s">
        <v>67</v>
      </c>
      <c r="N1997" s="20" t="s">
        <v>81</v>
      </c>
      <c r="O1997" s="19" t="s">
        <v>14</v>
      </c>
      <c r="P1997" s="10"/>
      <c r="Q1997" s="11"/>
    </row>
    <row r="1998" spans="2:17" ht="21" customHeight="1" x14ac:dyDescent="0.35">
      <c r="B1998" s="1">
        <v>44064</v>
      </c>
      <c r="C1998" s="1" t="str">
        <f>TEXT(Sales[[#This Row],[Kode Program/Kegiatan ]],"D")</f>
        <v>21</v>
      </c>
      <c r="D1998" s="2" t="str">
        <f>TEXT(Sales[[#This Row],[Kode Program/Kegiatan ]],"mmm")</f>
        <v>Aug</v>
      </c>
      <c r="E1998" s="3">
        <v>8</v>
      </c>
      <c r="F1998" s="2">
        <v>6</v>
      </c>
      <c r="G1998" s="3">
        <f>IF(Sales[[#This Row],[Anggaran Murni]]-Sales[[#This Row],[Target s.d. Januari]]=0,"",Sales[[#This Row],[Anggaran Murni]]-Sales[[#This Row],[Target s.d. Januari]])</f>
        <v>2</v>
      </c>
      <c r="H1998" s="2" t="s">
        <v>114</v>
      </c>
      <c r="I1998" s="3" t="s">
        <v>3</v>
      </c>
      <c r="J1998" s="3">
        <v>120000000</v>
      </c>
      <c r="K1998" s="2" t="s">
        <v>35</v>
      </c>
      <c r="L1998" s="2" t="s">
        <v>9</v>
      </c>
      <c r="M1998" s="4" t="s">
        <v>67</v>
      </c>
      <c r="N1998" s="3" t="s">
        <v>80</v>
      </c>
      <c r="O1998" s="2" t="s">
        <v>11</v>
      </c>
      <c r="P1998" s="10"/>
      <c r="Q1998" s="11"/>
    </row>
    <row r="1999" spans="2:17" ht="21" customHeight="1" x14ac:dyDescent="0.35">
      <c r="B1999" s="18">
        <v>44064</v>
      </c>
      <c r="C1999" s="18" t="str">
        <f>TEXT(Sales[[#This Row],[Kode Program/Kegiatan ]],"D")</f>
        <v>21</v>
      </c>
      <c r="D1999" s="19" t="str">
        <f>TEXT(Sales[[#This Row],[Kode Program/Kegiatan ]],"mmm")</f>
        <v>Aug</v>
      </c>
      <c r="E1999" s="20">
        <v>8</v>
      </c>
      <c r="F1999" s="19">
        <v>4</v>
      </c>
      <c r="G1999" s="20">
        <f>IF(Sales[[#This Row],[Anggaran Murni]]-Sales[[#This Row],[Target s.d. Januari]]=0,"",Sales[[#This Row],[Anggaran Murni]]-Sales[[#This Row],[Target s.d. Januari]])</f>
        <v>4</v>
      </c>
      <c r="H1999" s="19" t="s">
        <v>76</v>
      </c>
      <c r="I1999" s="20" t="s">
        <v>79</v>
      </c>
      <c r="J1999" s="20">
        <v>80000000</v>
      </c>
      <c r="K1999" s="19" t="s">
        <v>21</v>
      </c>
      <c r="L1999" s="19" t="s">
        <v>5</v>
      </c>
      <c r="M1999" s="21" t="s">
        <v>67</v>
      </c>
      <c r="N1999" s="20" t="s">
        <v>81</v>
      </c>
      <c r="O1999" s="19" t="s">
        <v>13</v>
      </c>
      <c r="P1999" s="10"/>
      <c r="Q1999" s="11"/>
    </row>
    <row r="2000" spans="2:17" ht="21" customHeight="1" x14ac:dyDescent="0.35">
      <c r="B2000" s="1">
        <v>44064</v>
      </c>
      <c r="C2000" s="1" t="str">
        <f>TEXT(Sales[[#This Row],[Kode Program/Kegiatan ]],"D")</f>
        <v>21</v>
      </c>
      <c r="D2000" s="2" t="str">
        <f>TEXT(Sales[[#This Row],[Kode Program/Kegiatan ]],"mmm")</f>
        <v>Aug</v>
      </c>
      <c r="E2000" s="3">
        <v>6</v>
      </c>
      <c r="F2000" s="2">
        <v>4</v>
      </c>
      <c r="G2000" s="3">
        <f>IF(Sales[[#This Row],[Anggaran Murni]]-Sales[[#This Row],[Target s.d. Januari]]=0,"",Sales[[#This Row],[Anggaran Murni]]-Sales[[#This Row],[Target s.d. Januari]])</f>
        <v>2</v>
      </c>
      <c r="H2000" s="2" t="s">
        <v>74</v>
      </c>
      <c r="I2000" s="3" t="s">
        <v>77</v>
      </c>
      <c r="J2000" s="3">
        <v>100000000</v>
      </c>
      <c r="K2000" s="2" t="s">
        <v>16</v>
      </c>
      <c r="L2000" s="2" t="s">
        <v>2</v>
      </c>
      <c r="M2000" s="4" t="s">
        <v>67</v>
      </c>
      <c r="N2000" s="3" t="s">
        <v>80</v>
      </c>
      <c r="O2000" s="2" t="s">
        <v>13</v>
      </c>
      <c r="P2000" s="10"/>
      <c r="Q2000" s="11"/>
    </row>
    <row r="2001" spans="2:17" ht="21" customHeight="1" x14ac:dyDescent="0.35">
      <c r="B2001" s="18">
        <v>44064</v>
      </c>
      <c r="C2001" s="18" t="str">
        <f>TEXT(Sales[[#This Row],[Kode Program/Kegiatan ]],"D")</f>
        <v>21</v>
      </c>
      <c r="D2001" s="19" t="str">
        <f>TEXT(Sales[[#This Row],[Kode Program/Kegiatan ]],"mmm")</f>
        <v>Aug</v>
      </c>
      <c r="E2001" s="20">
        <v>6</v>
      </c>
      <c r="F2001" s="19">
        <v>4</v>
      </c>
      <c r="G2001" s="20">
        <f>IF(Sales[[#This Row],[Anggaran Murni]]-Sales[[#This Row],[Target s.d. Januari]]=0,"",Sales[[#This Row],[Anggaran Murni]]-Sales[[#This Row],[Target s.d. Januari]])</f>
        <v>2</v>
      </c>
      <c r="H2001" s="19" t="s">
        <v>70</v>
      </c>
      <c r="I2001" s="20" t="s">
        <v>1</v>
      </c>
      <c r="J2001" s="20">
        <v>120000000</v>
      </c>
      <c r="K2001" s="19" t="s">
        <v>30</v>
      </c>
      <c r="L2001" s="19" t="s">
        <v>5</v>
      </c>
      <c r="M2001" s="21" t="s">
        <v>67</v>
      </c>
      <c r="N2001" s="20" t="s">
        <v>80</v>
      </c>
      <c r="O2001" s="19" t="s">
        <v>13</v>
      </c>
      <c r="P2001" s="10"/>
      <c r="Q2001" s="11"/>
    </row>
    <row r="2002" spans="2:17" ht="21" customHeight="1" x14ac:dyDescent="0.35">
      <c r="B2002" s="1">
        <v>44064</v>
      </c>
      <c r="C2002" s="1" t="str">
        <f>TEXT(Sales[[#This Row],[Kode Program/Kegiatan ]],"D")</f>
        <v>21</v>
      </c>
      <c r="D2002" s="2" t="str">
        <f>TEXT(Sales[[#This Row],[Kode Program/Kegiatan ]],"mmm")</f>
        <v>Aug</v>
      </c>
      <c r="E2002" s="3">
        <v>5</v>
      </c>
      <c r="F2002" s="2">
        <v>3</v>
      </c>
      <c r="G2002" s="3">
        <f>IF(Sales[[#This Row],[Anggaran Murni]]-Sales[[#This Row],[Target s.d. Januari]]=0,"",Sales[[#This Row],[Anggaran Murni]]-Sales[[#This Row],[Target s.d. Januari]])</f>
        <v>2</v>
      </c>
      <c r="H2002" s="2" t="s">
        <v>70</v>
      </c>
      <c r="I2002" s="3" t="s">
        <v>1</v>
      </c>
      <c r="J2002" s="3">
        <v>100000000</v>
      </c>
      <c r="K2002" s="2" t="s">
        <v>21</v>
      </c>
      <c r="L2002" s="2" t="s">
        <v>5</v>
      </c>
      <c r="M2002" s="4" t="s">
        <v>67</v>
      </c>
      <c r="N2002" s="3" t="s">
        <v>82</v>
      </c>
      <c r="O2002" s="2" t="s">
        <v>12</v>
      </c>
      <c r="P2002" s="10"/>
      <c r="Q2002" s="11"/>
    </row>
    <row r="2003" spans="2:17" ht="21" customHeight="1" x14ac:dyDescent="0.35">
      <c r="B2003" s="18">
        <v>44065</v>
      </c>
      <c r="C2003" s="18" t="str">
        <f>TEXT(Sales[[#This Row],[Kode Program/Kegiatan ]],"D")</f>
        <v>22</v>
      </c>
      <c r="D2003" s="19" t="str">
        <f>TEXT(Sales[[#This Row],[Kode Program/Kegiatan ]],"mmm")</f>
        <v>Aug</v>
      </c>
      <c r="E2003" s="20">
        <v>6</v>
      </c>
      <c r="F2003" s="19">
        <v>5</v>
      </c>
      <c r="G2003" s="20">
        <f>IF(Sales[[#This Row],[Anggaran Murni]]-Sales[[#This Row],[Target s.d. Januari]]=0,"",Sales[[#This Row],[Anggaran Murni]]-Sales[[#This Row],[Target s.d. Januari]])</f>
        <v>1</v>
      </c>
      <c r="H2003" s="19" t="s">
        <v>76</v>
      </c>
      <c r="I2003" s="20" t="s">
        <v>79</v>
      </c>
      <c r="J2003" s="20">
        <v>120000000</v>
      </c>
      <c r="K2003" s="19" t="s">
        <v>54</v>
      </c>
      <c r="L2003" s="19" t="s">
        <v>2</v>
      </c>
      <c r="M2003" s="21" t="s">
        <v>67</v>
      </c>
      <c r="N2003" s="20" t="s">
        <v>80</v>
      </c>
      <c r="O2003" s="19" t="s">
        <v>14</v>
      </c>
      <c r="P2003" s="10"/>
      <c r="Q2003" s="11"/>
    </row>
    <row r="2004" spans="2:17" ht="21" customHeight="1" x14ac:dyDescent="0.35">
      <c r="B2004" s="1">
        <v>44065</v>
      </c>
      <c r="C2004" s="1" t="str">
        <f>TEXT(Sales[[#This Row],[Kode Program/Kegiatan ]],"D")</f>
        <v>22</v>
      </c>
      <c r="D2004" s="2" t="str">
        <f>TEXT(Sales[[#This Row],[Kode Program/Kegiatan ]],"mmm")</f>
        <v>Aug</v>
      </c>
      <c r="E2004" s="3">
        <v>6</v>
      </c>
      <c r="F2004" s="2">
        <v>4</v>
      </c>
      <c r="G2004" s="3">
        <f>IF(Sales[[#This Row],[Anggaran Murni]]-Sales[[#This Row],[Target s.d. Januari]]=0,"",Sales[[#This Row],[Anggaran Murni]]-Sales[[#This Row],[Target s.d. Januari]])</f>
        <v>2</v>
      </c>
      <c r="H2004" s="2" t="s">
        <v>73</v>
      </c>
      <c r="I2004" s="3" t="s">
        <v>78</v>
      </c>
      <c r="J2004" s="3">
        <v>140000000</v>
      </c>
      <c r="K2004" s="2" t="s">
        <v>48</v>
      </c>
      <c r="L2004" s="2" t="s">
        <v>2</v>
      </c>
      <c r="M2004" s="4" t="s">
        <v>67</v>
      </c>
      <c r="N2004" s="3" t="s">
        <v>82</v>
      </c>
      <c r="O2004" s="2" t="s">
        <v>14</v>
      </c>
      <c r="P2004" s="10"/>
      <c r="Q2004" s="11"/>
    </row>
    <row r="2005" spans="2:17" ht="21" customHeight="1" x14ac:dyDescent="0.35">
      <c r="B2005" s="18">
        <v>44065</v>
      </c>
      <c r="C2005" s="18" t="str">
        <f>TEXT(Sales[[#This Row],[Kode Program/Kegiatan ]],"D")</f>
        <v>22</v>
      </c>
      <c r="D2005" s="19" t="str">
        <f>TEXT(Sales[[#This Row],[Kode Program/Kegiatan ]],"mmm")</f>
        <v>Aug</v>
      </c>
      <c r="E2005" s="20">
        <v>5</v>
      </c>
      <c r="F2005" s="19">
        <v>4</v>
      </c>
      <c r="G2005" s="20">
        <f>IF(Sales[[#This Row],[Anggaran Murni]]-Sales[[#This Row],[Target s.d. Januari]]=0,"",Sales[[#This Row],[Anggaran Murni]]-Sales[[#This Row],[Target s.d. Januari]])</f>
        <v>1</v>
      </c>
      <c r="H2005" s="19" t="s">
        <v>74</v>
      </c>
      <c r="I2005" s="20" t="s">
        <v>77</v>
      </c>
      <c r="J2005" s="20">
        <v>120000000</v>
      </c>
      <c r="K2005" s="19" t="s">
        <v>42</v>
      </c>
      <c r="L2005" s="19" t="s">
        <v>2</v>
      </c>
      <c r="M2005" s="21" t="s">
        <v>67</v>
      </c>
      <c r="N2005" s="20" t="s">
        <v>82</v>
      </c>
      <c r="O2005" s="19" t="s">
        <v>11</v>
      </c>
      <c r="P2005" s="10"/>
      <c r="Q2005" s="11"/>
    </row>
    <row r="2006" spans="2:17" ht="21" customHeight="1" x14ac:dyDescent="0.35">
      <c r="B2006" s="1">
        <v>44065</v>
      </c>
      <c r="C2006" s="1" t="str">
        <f>TEXT(Sales[[#This Row],[Kode Program/Kegiatan ]],"D")</f>
        <v>22</v>
      </c>
      <c r="D2006" s="2" t="str">
        <f>TEXT(Sales[[#This Row],[Kode Program/Kegiatan ]],"mmm")</f>
        <v>Aug</v>
      </c>
      <c r="E2006" s="3">
        <v>5</v>
      </c>
      <c r="F2006" s="2">
        <v>3</v>
      </c>
      <c r="G2006" s="3">
        <f>IF(Sales[[#This Row],[Anggaran Murni]]-Sales[[#This Row],[Target s.d. Januari]]=0,"",Sales[[#This Row],[Anggaran Murni]]-Sales[[#This Row],[Target s.d. Januari]])</f>
        <v>2</v>
      </c>
      <c r="H2006" s="2" t="s">
        <v>73</v>
      </c>
      <c r="I2006" s="3" t="s">
        <v>78</v>
      </c>
      <c r="J2006" s="3">
        <v>120000000</v>
      </c>
      <c r="K2006" s="2" t="s">
        <v>44</v>
      </c>
      <c r="L2006" s="2" t="s">
        <v>5</v>
      </c>
      <c r="M2006" s="4" t="s">
        <v>67</v>
      </c>
      <c r="N2006" s="3" t="s">
        <v>81</v>
      </c>
      <c r="O2006" s="2" t="s">
        <v>11</v>
      </c>
      <c r="P2006" s="10"/>
      <c r="Q2006" s="11"/>
    </row>
    <row r="2007" spans="2:17" ht="21" customHeight="1" x14ac:dyDescent="0.35">
      <c r="B2007" s="18">
        <v>44065</v>
      </c>
      <c r="C2007" s="18" t="str">
        <f>TEXT(Sales[[#This Row],[Kode Program/Kegiatan ]],"D")</f>
        <v>22</v>
      </c>
      <c r="D2007" s="19" t="str">
        <f>TEXT(Sales[[#This Row],[Kode Program/Kegiatan ]],"mmm")</f>
        <v>Aug</v>
      </c>
      <c r="E2007" s="20">
        <v>4</v>
      </c>
      <c r="F2007" s="19">
        <v>3</v>
      </c>
      <c r="G2007" s="20">
        <f>IF(Sales[[#This Row],[Anggaran Murni]]-Sales[[#This Row],[Target s.d. Januari]]=0,"",Sales[[#This Row],[Anggaran Murni]]-Sales[[#This Row],[Target s.d. Januari]])</f>
        <v>1</v>
      </c>
      <c r="H2007" s="19" t="s">
        <v>72</v>
      </c>
      <c r="I2007" s="20" t="s">
        <v>78</v>
      </c>
      <c r="J2007" s="20">
        <v>140000000</v>
      </c>
      <c r="K2007" s="19" t="s">
        <v>16</v>
      </c>
      <c r="L2007" s="19" t="s">
        <v>5</v>
      </c>
      <c r="M2007" s="21" t="s">
        <v>67</v>
      </c>
      <c r="N2007" s="20" t="s">
        <v>82</v>
      </c>
      <c r="O2007" s="19" t="s">
        <v>13</v>
      </c>
      <c r="P2007" s="10"/>
      <c r="Q2007" s="11"/>
    </row>
    <row r="2008" spans="2:17" ht="21" customHeight="1" x14ac:dyDescent="0.35">
      <c r="B2008" s="1">
        <v>44065</v>
      </c>
      <c r="C2008" s="1" t="str">
        <f>TEXT(Sales[[#This Row],[Kode Program/Kegiatan ]],"D")</f>
        <v>22</v>
      </c>
      <c r="D2008" s="2" t="str">
        <f>TEXT(Sales[[#This Row],[Kode Program/Kegiatan ]],"mmm")</f>
        <v>Aug</v>
      </c>
      <c r="E2008" s="3">
        <v>3</v>
      </c>
      <c r="F2008" s="2">
        <v>2</v>
      </c>
      <c r="G2008" s="3">
        <f>IF(Sales[[#This Row],[Anggaran Murni]]-Sales[[#This Row],[Target s.d. Januari]]=0,"",Sales[[#This Row],[Anggaran Murni]]-Sales[[#This Row],[Target s.d. Januari]])</f>
        <v>1</v>
      </c>
      <c r="H2008" s="2" t="s">
        <v>75</v>
      </c>
      <c r="I2008" s="3" t="s">
        <v>6</v>
      </c>
      <c r="J2008" s="3">
        <v>100000000</v>
      </c>
      <c r="K2008" s="2" t="s">
        <v>41</v>
      </c>
      <c r="L2008" s="2" t="s">
        <v>2</v>
      </c>
      <c r="M2008" s="4" t="s">
        <v>67</v>
      </c>
      <c r="N2008" s="3" t="s">
        <v>80</v>
      </c>
      <c r="O2008" s="2" t="s">
        <v>14</v>
      </c>
      <c r="P2008" s="10"/>
      <c r="Q2008" s="11"/>
    </row>
    <row r="2009" spans="2:17" ht="21" customHeight="1" x14ac:dyDescent="0.35">
      <c r="B2009" s="18">
        <v>44066</v>
      </c>
      <c r="C2009" s="18" t="str">
        <f>TEXT(Sales[[#This Row],[Kode Program/Kegiatan ]],"D")</f>
        <v>23</v>
      </c>
      <c r="D2009" s="19" t="str">
        <f>TEXT(Sales[[#This Row],[Kode Program/Kegiatan ]],"mmm")</f>
        <v>Aug</v>
      </c>
      <c r="E2009" s="20">
        <v>10</v>
      </c>
      <c r="F2009" s="19">
        <v>8</v>
      </c>
      <c r="G2009" s="20">
        <f>IF(Sales[[#This Row],[Anggaran Murni]]-Sales[[#This Row],[Target s.d. Januari]]=0,"",Sales[[#This Row],[Anggaran Murni]]-Sales[[#This Row],[Target s.d. Januari]])</f>
        <v>2</v>
      </c>
      <c r="H2009" s="19" t="s">
        <v>76</v>
      </c>
      <c r="I2009" s="20" t="s">
        <v>79</v>
      </c>
      <c r="J2009" s="20">
        <v>100000000</v>
      </c>
      <c r="K2009" s="19" t="s">
        <v>24</v>
      </c>
      <c r="L2009" s="19" t="s">
        <v>7</v>
      </c>
      <c r="M2009" s="21" t="s">
        <v>67</v>
      </c>
      <c r="N2009" s="20" t="s">
        <v>80</v>
      </c>
      <c r="O2009" s="19" t="s">
        <v>11</v>
      </c>
      <c r="P2009" s="10"/>
      <c r="Q2009" s="11"/>
    </row>
    <row r="2010" spans="2:17" ht="21" customHeight="1" x14ac:dyDescent="0.35">
      <c r="B2010" s="1">
        <v>44066</v>
      </c>
      <c r="C2010" s="1" t="str">
        <f>TEXT(Sales[[#This Row],[Kode Program/Kegiatan ]],"D")</f>
        <v>23</v>
      </c>
      <c r="D2010" s="2" t="str">
        <f>TEXT(Sales[[#This Row],[Kode Program/Kegiatan ]],"mmm")</f>
        <v>Aug</v>
      </c>
      <c r="E2010" s="3">
        <v>9</v>
      </c>
      <c r="F2010" s="2">
        <v>6</v>
      </c>
      <c r="G2010" s="3">
        <f>IF(Sales[[#This Row],[Anggaran Murni]]-Sales[[#This Row],[Target s.d. Januari]]=0,"",Sales[[#This Row],[Anggaran Murni]]-Sales[[#This Row],[Target s.d. Januari]])</f>
        <v>3</v>
      </c>
      <c r="H2010" s="2" t="s">
        <v>114</v>
      </c>
      <c r="I2010" s="3" t="s">
        <v>3</v>
      </c>
      <c r="J2010" s="3">
        <v>60000000</v>
      </c>
      <c r="K2010" s="2" t="s">
        <v>17</v>
      </c>
      <c r="L2010" s="2" t="s">
        <v>2</v>
      </c>
      <c r="M2010" s="4" t="s">
        <v>67</v>
      </c>
      <c r="N2010" s="3" t="s">
        <v>82</v>
      </c>
      <c r="O2010" s="2" t="s">
        <v>13</v>
      </c>
      <c r="P2010" s="10"/>
      <c r="Q2010" s="11"/>
    </row>
    <row r="2011" spans="2:17" ht="21" customHeight="1" x14ac:dyDescent="0.35">
      <c r="B2011" s="18">
        <v>44066</v>
      </c>
      <c r="C2011" s="18" t="str">
        <f>TEXT(Sales[[#This Row],[Kode Program/Kegiatan ]],"D")</f>
        <v>23</v>
      </c>
      <c r="D2011" s="19" t="str">
        <f>TEXT(Sales[[#This Row],[Kode Program/Kegiatan ]],"mmm")</f>
        <v>Aug</v>
      </c>
      <c r="E2011" s="20">
        <v>9</v>
      </c>
      <c r="F2011" s="19">
        <v>5</v>
      </c>
      <c r="G2011" s="20">
        <f>IF(Sales[[#This Row],[Anggaran Murni]]-Sales[[#This Row],[Target s.d. Januari]]=0,"",Sales[[#This Row],[Anggaran Murni]]-Sales[[#This Row],[Target s.d. Januari]])</f>
        <v>4</v>
      </c>
      <c r="H2011" s="19" t="s">
        <v>75</v>
      </c>
      <c r="I2011" s="20" t="s">
        <v>6</v>
      </c>
      <c r="J2011" s="20">
        <v>40000000</v>
      </c>
      <c r="K2011" s="19" t="s">
        <v>41</v>
      </c>
      <c r="L2011" s="19" t="s">
        <v>2</v>
      </c>
      <c r="M2011" s="21" t="s">
        <v>67</v>
      </c>
      <c r="N2011" s="20" t="s">
        <v>81</v>
      </c>
      <c r="O2011" s="19" t="s">
        <v>12</v>
      </c>
      <c r="P2011" s="10"/>
      <c r="Q2011" s="11"/>
    </row>
    <row r="2012" spans="2:17" ht="21" customHeight="1" x14ac:dyDescent="0.35">
      <c r="B2012" s="1">
        <v>44066</v>
      </c>
      <c r="C2012" s="1" t="str">
        <f>TEXT(Sales[[#This Row],[Kode Program/Kegiatan ]],"D")</f>
        <v>23</v>
      </c>
      <c r="D2012" s="2" t="str">
        <f>TEXT(Sales[[#This Row],[Kode Program/Kegiatan ]],"mmm")</f>
        <v>Aug</v>
      </c>
      <c r="E2012" s="3">
        <v>6</v>
      </c>
      <c r="F2012" s="2">
        <v>4</v>
      </c>
      <c r="G2012" s="3">
        <f>IF(Sales[[#This Row],[Anggaran Murni]]-Sales[[#This Row],[Target s.d. Januari]]=0,"",Sales[[#This Row],[Anggaran Murni]]-Sales[[#This Row],[Target s.d. Januari]])</f>
        <v>2</v>
      </c>
      <c r="H2012" s="2" t="s">
        <v>113</v>
      </c>
      <c r="I2012" s="3" t="s">
        <v>77</v>
      </c>
      <c r="J2012" s="3">
        <v>140000000</v>
      </c>
      <c r="K2012" s="2" t="s">
        <v>54</v>
      </c>
      <c r="L2012" s="2" t="s">
        <v>5</v>
      </c>
      <c r="M2012" s="4" t="s">
        <v>67</v>
      </c>
      <c r="N2012" s="3" t="s">
        <v>81</v>
      </c>
      <c r="O2012" s="2" t="s">
        <v>13</v>
      </c>
      <c r="P2012" s="10"/>
      <c r="Q2012" s="11"/>
    </row>
    <row r="2013" spans="2:17" ht="21" customHeight="1" x14ac:dyDescent="0.35">
      <c r="B2013" s="18">
        <v>44066</v>
      </c>
      <c r="C2013" s="18" t="str">
        <f>TEXT(Sales[[#This Row],[Kode Program/Kegiatan ]],"D")</f>
        <v>23</v>
      </c>
      <c r="D2013" s="19" t="str">
        <f>TEXT(Sales[[#This Row],[Kode Program/Kegiatan ]],"mmm")</f>
        <v>Aug</v>
      </c>
      <c r="E2013" s="20">
        <v>3</v>
      </c>
      <c r="F2013" s="19">
        <v>2</v>
      </c>
      <c r="G2013" s="20">
        <f>IF(Sales[[#This Row],[Anggaran Murni]]-Sales[[#This Row],[Target s.d. Januari]]=0,"",Sales[[#This Row],[Anggaran Murni]]-Sales[[#This Row],[Target s.d. Januari]])</f>
        <v>1</v>
      </c>
      <c r="H2013" s="19" t="s">
        <v>76</v>
      </c>
      <c r="I2013" s="20" t="s">
        <v>79</v>
      </c>
      <c r="J2013" s="20">
        <v>120000000</v>
      </c>
      <c r="K2013" s="19" t="s">
        <v>58</v>
      </c>
      <c r="L2013" s="19" t="s">
        <v>7</v>
      </c>
      <c r="M2013" s="21" t="s">
        <v>67</v>
      </c>
      <c r="N2013" s="20" t="s">
        <v>82</v>
      </c>
      <c r="O2013" s="19" t="s">
        <v>12</v>
      </c>
      <c r="P2013" s="10"/>
      <c r="Q2013" s="11"/>
    </row>
    <row r="2014" spans="2:17" ht="21" customHeight="1" x14ac:dyDescent="0.35">
      <c r="B2014" s="1">
        <v>44066</v>
      </c>
      <c r="C2014" s="1" t="str">
        <f>TEXT(Sales[[#This Row],[Kode Program/Kegiatan ]],"D")</f>
        <v>23</v>
      </c>
      <c r="D2014" s="2" t="str">
        <f>TEXT(Sales[[#This Row],[Kode Program/Kegiatan ]],"mmm")</f>
        <v>Aug</v>
      </c>
      <c r="E2014" s="3">
        <v>3</v>
      </c>
      <c r="F2014" s="2">
        <v>2</v>
      </c>
      <c r="G2014" s="3">
        <f>IF(Sales[[#This Row],[Anggaran Murni]]-Sales[[#This Row],[Target s.d. Januari]]=0,"",Sales[[#This Row],[Anggaran Murni]]-Sales[[#This Row],[Target s.d. Januari]])</f>
        <v>1</v>
      </c>
      <c r="H2014" s="2" t="s">
        <v>113</v>
      </c>
      <c r="I2014" s="3" t="s">
        <v>77</v>
      </c>
      <c r="J2014" s="3">
        <v>80000000</v>
      </c>
      <c r="K2014" s="2" t="s">
        <v>16</v>
      </c>
      <c r="L2014" s="2" t="s">
        <v>5</v>
      </c>
      <c r="M2014" s="4" t="s">
        <v>67</v>
      </c>
      <c r="N2014" s="3" t="s">
        <v>82</v>
      </c>
      <c r="O2014" s="2" t="s">
        <v>13</v>
      </c>
      <c r="P2014" s="10"/>
      <c r="Q2014" s="11"/>
    </row>
    <row r="2015" spans="2:17" ht="21" customHeight="1" x14ac:dyDescent="0.35">
      <c r="B2015" s="18">
        <v>44066</v>
      </c>
      <c r="C2015" s="18" t="str">
        <f>TEXT(Sales[[#This Row],[Kode Program/Kegiatan ]],"D")</f>
        <v>23</v>
      </c>
      <c r="D2015" s="19" t="str">
        <f>TEXT(Sales[[#This Row],[Kode Program/Kegiatan ]],"mmm")</f>
        <v>Aug</v>
      </c>
      <c r="E2015" s="20">
        <v>3</v>
      </c>
      <c r="F2015" s="19">
        <v>1</v>
      </c>
      <c r="G2015" s="20">
        <f>IF(Sales[[#This Row],[Anggaran Murni]]-Sales[[#This Row],[Target s.d. Januari]]=0,"",Sales[[#This Row],[Anggaran Murni]]-Sales[[#This Row],[Target s.d. Januari]])</f>
        <v>2</v>
      </c>
      <c r="H2015" s="19" t="s">
        <v>70</v>
      </c>
      <c r="I2015" s="20" t="s">
        <v>1</v>
      </c>
      <c r="J2015" s="20">
        <v>100000000</v>
      </c>
      <c r="K2015" s="19" t="s">
        <v>61</v>
      </c>
      <c r="L2015" s="19" t="s">
        <v>4</v>
      </c>
      <c r="M2015" s="21" t="s">
        <v>67</v>
      </c>
      <c r="N2015" s="20" t="s">
        <v>82</v>
      </c>
      <c r="O2015" s="19" t="s">
        <v>11</v>
      </c>
      <c r="P2015" s="10"/>
      <c r="Q2015" s="11"/>
    </row>
    <row r="2016" spans="2:17" ht="21" customHeight="1" x14ac:dyDescent="0.35">
      <c r="B2016" s="1">
        <v>44066</v>
      </c>
      <c r="C2016" s="1" t="str">
        <f>TEXT(Sales[[#This Row],[Kode Program/Kegiatan ]],"D")</f>
        <v>23</v>
      </c>
      <c r="D2016" s="2" t="str">
        <f>TEXT(Sales[[#This Row],[Kode Program/Kegiatan ]],"mmm")</f>
        <v>Aug</v>
      </c>
      <c r="E2016" s="3">
        <v>3</v>
      </c>
      <c r="F2016" s="2">
        <v>1</v>
      </c>
      <c r="G2016" s="3">
        <f>IF(Sales[[#This Row],[Anggaran Murni]]-Sales[[#This Row],[Target s.d. Januari]]=0,"",Sales[[#This Row],[Anggaran Murni]]-Sales[[#This Row],[Target s.d. Januari]])</f>
        <v>2</v>
      </c>
      <c r="H2016" s="2" t="s">
        <v>70</v>
      </c>
      <c r="I2016" s="3" t="s">
        <v>1</v>
      </c>
      <c r="J2016" s="3">
        <v>80000000</v>
      </c>
      <c r="K2016" s="2" t="s">
        <v>53</v>
      </c>
      <c r="L2016" s="2" t="s">
        <v>5</v>
      </c>
      <c r="M2016" s="4" t="s">
        <v>67</v>
      </c>
      <c r="N2016" s="3" t="s">
        <v>82</v>
      </c>
      <c r="O2016" s="2" t="s">
        <v>14</v>
      </c>
      <c r="P2016" s="10"/>
      <c r="Q2016" s="11"/>
    </row>
    <row r="2017" spans="2:17" ht="21" customHeight="1" x14ac:dyDescent="0.35">
      <c r="B2017" s="18">
        <v>44067</v>
      </c>
      <c r="C2017" s="18" t="str">
        <f>TEXT(Sales[[#This Row],[Kode Program/Kegiatan ]],"D")</f>
        <v>24</v>
      </c>
      <c r="D2017" s="19" t="str">
        <f>TEXT(Sales[[#This Row],[Kode Program/Kegiatan ]],"mmm")</f>
        <v>Aug</v>
      </c>
      <c r="E2017" s="20">
        <v>10</v>
      </c>
      <c r="F2017" s="19">
        <v>8</v>
      </c>
      <c r="G2017" s="20">
        <f>IF(Sales[[#This Row],[Anggaran Murni]]-Sales[[#This Row],[Target s.d. Januari]]=0,"",Sales[[#This Row],[Anggaran Murni]]-Sales[[#This Row],[Target s.d. Januari]])</f>
        <v>2</v>
      </c>
      <c r="H2017" s="19" t="s">
        <v>72</v>
      </c>
      <c r="I2017" s="20" t="s">
        <v>78</v>
      </c>
      <c r="J2017" s="20">
        <v>80000000</v>
      </c>
      <c r="K2017" s="19" t="s">
        <v>30</v>
      </c>
      <c r="L2017" s="19" t="s">
        <v>2</v>
      </c>
      <c r="M2017" s="21" t="s">
        <v>67</v>
      </c>
      <c r="N2017" s="20" t="s">
        <v>81</v>
      </c>
      <c r="O2017" s="19" t="s">
        <v>14</v>
      </c>
      <c r="P2017" s="10"/>
      <c r="Q2017" s="11"/>
    </row>
    <row r="2018" spans="2:17" ht="21" customHeight="1" x14ac:dyDescent="0.35">
      <c r="B2018" s="1">
        <v>44067</v>
      </c>
      <c r="C2018" s="1" t="str">
        <f>TEXT(Sales[[#This Row],[Kode Program/Kegiatan ]],"D")</f>
        <v>24</v>
      </c>
      <c r="D2018" s="2" t="str">
        <f>TEXT(Sales[[#This Row],[Kode Program/Kegiatan ]],"mmm")</f>
        <v>Aug</v>
      </c>
      <c r="E2018" s="3">
        <v>7</v>
      </c>
      <c r="F2018" s="2">
        <v>4</v>
      </c>
      <c r="G2018" s="3">
        <f>IF(Sales[[#This Row],[Anggaran Murni]]-Sales[[#This Row],[Target s.d. Januari]]=0,"",Sales[[#This Row],[Anggaran Murni]]-Sales[[#This Row],[Target s.d. Januari]])</f>
        <v>3</v>
      </c>
      <c r="H2018" s="2" t="s">
        <v>74</v>
      </c>
      <c r="I2018" s="3" t="s">
        <v>77</v>
      </c>
      <c r="J2018" s="3">
        <v>80000000</v>
      </c>
      <c r="K2018" s="2" t="s">
        <v>44</v>
      </c>
      <c r="L2018" s="2" t="s">
        <v>4</v>
      </c>
      <c r="M2018" s="4" t="s">
        <v>67</v>
      </c>
      <c r="N2018" s="3" t="s">
        <v>82</v>
      </c>
      <c r="O2018" s="2" t="s">
        <v>13</v>
      </c>
      <c r="P2018" s="10"/>
      <c r="Q2018" s="11"/>
    </row>
    <row r="2019" spans="2:17" ht="21" customHeight="1" x14ac:dyDescent="0.35">
      <c r="B2019" s="18">
        <v>44067</v>
      </c>
      <c r="C2019" s="18" t="str">
        <f>TEXT(Sales[[#This Row],[Kode Program/Kegiatan ]],"D")</f>
        <v>24</v>
      </c>
      <c r="D2019" s="19" t="str">
        <f>TEXT(Sales[[#This Row],[Kode Program/Kegiatan ]],"mmm")</f>
        <v>Aug</v>
      </c>
      <c r="E2019" s="20">
        <v>7</v>
      </c>
      <c r="F2019" s="19">
        <v>6</v>
      </c>
      <c r="G2019" s="20">
        <f>IF(Sales[[#This Row],[Anggaran Murni]]-Sales[[#This Row],[Target s.d. Januari]]=0,"",Sales[[#This Row],[Anggaran Murni]]-Sales[[#This Row],[Target s.d. Januari]])</f>
        <v>1</v>
      </c>
      <c r="H2019" s="19" t="s">
        <v>72</v>
      </c>
      <c r="I2019" s="20" t="s">
        <v>78</v>
      </c>
      <c r="J2019" s="20">
        <v>100000000</v>
      </c>
      <c r="K2019" s="19" t="s">
        <v>35</v>
      </c>
      <c r="L2019" s="19" t="s">
        <v>5</v>
      </c>
      <c r="M2019" s="21" t="s">
        <v>67</v>
      </c>
      <c r="N2019" s="20" t="s">
        <v>80</v>
      </c>
      <c r="O2019" s="19" t="s">
        <v>11</v>
      </c>
      <c r="P2019" s="10"/>
      <c r="Q2019" s="11"/>
    </row>
    <row r="2020" spans="2:17" ht="21" customHeight="1" x14ac:dyDescent="0.35">
      <c r="B2020" s="1">
        <v>44067</v>
      </c>
      <c r="C2020" s="1" t="str">
        <f>TEXT(Sales[[#This Row],[Kode Program/Kegiatan ]],"D")</f>
        <v>24</v>
      </c>
      <c r="D2020" s="2" t="str">
        <f>TEXT(Sales[[#This Row],[Kode Program/Kegiatan ]],"mmm")</f>
        <v>Aug</v>
      </c>
      <c r="E2020" s="3">
        <v>6</v>
      </c>
      <c r="F2020" s="2">
        <v>4</v>
      </c>
      <c r="G2020" s="3">
        <f>IF(Sales[[#This Row],[Anggaran Murni]]-Sales[[#This Row],[Target s.d. Januari]]=0,"",Sales[[#This Row],[Anggaran Murni]]-Sales[[#This Row],[Target s.d. Januari]])</f>
        <v>2</v>
      </c>
      <c r="H2020" s="2" t="s">
        <v>73</v>
      </c>
      <c r="I2020" s="3" t="s">
        <v>78</v>
      </c>
      <c r="J2020" s="3">
        <v>100000000</v>
      </c>
      <c r="K2020" s="2" t="s">
        <v>48</v>
      </c>
      <c r="L2020" s="2" t="s">
        <v>7</v>
      </c>
      <c r="M2020" s="4" t="s">
        <v>67</v>
      </c>
      <c r="N2020" s="3" t="s">
        <v>82</v>
      </c>
      <c r="O2020" s="2" t="s">
        <v>12</v>
      </c>
      <c r="P2020" s="10"/>
      <c r="Q2020" s="11"/>
    </row>
    <row r="2021" spans="2:17" ht="21" customHeight="1" x14ac:dyDescent="0.35">
      <c r="B2021" s="18">
        <v>44067</v>
      </c>
      <c r="C2021" s="18" t="str">
        <f>TEXT(Sales[[#This Row],[Kode Program/Kegiatan ]],"D")</f>
        <v>24</v>
      </c>
      <c r="D2021" s="19" t="str">
        <f>TEXT(Sales[[#This Row],[Kode Program/Kegiatan ]],"mmm")</f>
        <v>Aug</v>
      </c>
      <c r="E2021" s="20">
        <v>6</v>
      </c>
      <c r="F2021" s="19">
        <v>4</v>
      </c>
      <c r="G2021" s="20">
        <f>IF(Sales[[#This Row],[Anggaran Murni]]-Sales[[#This Row],[Target s.d. Januari]]=0,"",Sales[[#This Row],[Anggaran Murni]]-Sales[[#This Row],[Target s.d. Januari]])</f>
        <v>2</v>
      </c>
      <c r="H2021" s="19" t="s">
        <v>76</v>
      </c>
      <c r="I2021" s="20" t="s">
        <v>79</v>
      </c>
      <c r="J2021" s="20">
        <v>140000000</v>
      </c>
      <c r="K2021" s="19" t="s">
        <v>24</v>
      </c>
      <c r="L2021" s="19" t="s">
        <v>7</v>
      </c>
      <c r="M2021" s="21" t="s">
        <v>67</v>
      </c>
      <c r="N2021" s="20" t="s">
        <v>81</v>
      </c>
      <c r="O2021" s="19" t="s">
        <v>14</v>
      </c>
      <c r="P2021" s="10"/>
      <c r="Q2021" s="11"/>
    </row>
    <row r="2022" spans="2:17" ht="21" customHeight="1" x14ac:dyDescent="0.35">
      <c r="B2022" s="1">
        <v>44067</v>
      </c>
      <c r="C2022" s="1" t="str">
        <f>TEXT(Sales[[#This Row],[Kode Program/Kegiatan ]],"D")</f>
        <v>24</v>
      </c>
      <c r="D2022" s="2" t="str">
        <f>TEXT(Sales[[#This Row],[Kode Program/Kegiatan ]],"mmm")</f>
        <v>Aug</v>
      </c>
      <c r="E2022" s="3">
        <v>6</v>
      </c>
      <c r="F2022" s="2">
        <v>4</v>
      </c>
      <c r="G2022" s="3">
        <f>IF(Sales[[#This Row],[Anggaran Murni]]-Sales[[#This Row],[Target s.d. Januari]]=0,"",Sales[[#This Row],[Anggaran Murni]]-Sales[[#This Row],[Target s.d. Januari]])</f>
        <v>2</v>
      </c>
      <c r="H2022" s="2" t="s">
        <v>113</v>
      </c>
      <c r="I2022" s="3" t="s">
        <v>77</v>
      </c>
      <c r="J2022" s="3">
        <v>80000000</v>
      </c>
      <c r="K2022" s="2" t="s">
        <v>61</v>
      </c>
      <c r="L2022" s="2" t="s">
        <v>5</v>
      </c>
      <c r="M2022" s="4" t="s">
        <v>67</v>
      </c>
      <c r="N2022" s="3" t="s">
        <v>82</v>
      </c>
      <c r="O2022" s="2" t="s">
        <v>12</v>
      </c>
      <c r="P2022" s="10"/>
      <c r="Q2022" s="11"/>
    </row>
    <row r="2023" spans="2:17" ht="21" customHeight="1" x14ac:dyDescent="0.35">
      <c r="B2023" s="18">
        <v>44067</v>
      </c>
      <c r="C2023" s="18" t="str">
        <f>TEXT(Sales[[#This Row],[Kode Program/Kegiatan ]],"D")</f>
        <v>24</v>
      </c>
      <c r="D2023" s="19" t="str">
        <f>TEXT(Sales[[#This Row],[Kode Program/Kegiatan ]],"mmm")</f>
        <v>Aug</v>
      </c>
      <c r="E2023" s="20">
        <v>6</v>
      </c>
      <c r="F2023" s="19">
        <v>5</v>
      </c>
      <c r="G2023" s="20">
        <f>IF(Sales[[#This Row],[Anggaran Murni]]-Sales[[#This Row],[Target s.d. Januari]]=0,"",Sales[[#This Row],[Anggaran Murni]]-Sales[[#This Row],[Target s.d. Januari]])</f>
        <v>1</v>
      </c>
      <c r="H2023" s="19" t="s">
        <v>76</v>
      </c>
      <c r="I2023" s="20" t="s">
        <v>79</v>
      </c>
      <c r="J2023" s="20">
        <v>100000000</v>
      </c>
      <c r="K2023" s="19" t="s">
        <v>20</v>
      </c>
      <c r="L2023" s="19" t="s">
        <v>7</v>
      </c>
      <c r="M2023" s="21" t="s">
        <v>67</v>
      </c>
      <c r="N2023" s="20" t="s">
        <v>81</v>
      </c>
      <c r="O2023" s="19" t="s">
        <v>12</v>
      </c>
      <c r="P2023" s="10"/>
      <c r="Q2023" s="11"/>
    </row>
    <row r="2024" spans="2:17" ht="21" customHeight="1" x14ac:dyDescent="0.35">
      <c r="B2024" s="1">
        <v>44067</v>
      </c>
      <c r="C2024" s="1" t="str">
        <f>TEXT(Sales[[#This Row],[Kode Program/Kegiatan ]],"D")</f>
        <v>24</v>
      </c>
      <c r="D2024" s="2" t="str">
        <f>TEXT(Sales[[#This Row],[Kode Program/Kegiatan ]],"mmm")</f>
        <v>Aug</v>
      </c>
      <c r="E2024" s="3">
        <v>4</v>
      </c>
      <c r="F2024" s="2">
        <v>2</v>
      </c>
      <c r="G2024" s="3">
        <f>IF(Sales[[#This Row],[Anggaran Murni]]-Sales[[#This Row],[Target s.d. Januari]]=0,"",Sales[[#This Row],[Anggaran Murni]]-Sales[[#This Row],[Target s.d. Januari]])</f>
        <v>2</v>
      </c>
      <c r="H2024" s="2" t="s">
        <v>75</v>
      </c>
      <c r="I2024" s="3" t="s">
        <v>6</v>
      </c>
      <c r="J2024" s="3">
        <v>60000000</v>
      </c>
      <c r="K2024" s="2" t="s">
        <v>37</v>
      </c>
      <c r="L2024" s="2" t="s">
        <v>2</v>
      </c>
      <c r="M2024" s="4" t="s">
        <v>67</v>
      </c>
      <c r="N2024" s="3" t="s">
        <v>80</v>
      </c>
      <c r="O2024" s="2" t="s">
        <v>12</v>
      </c>
      <c r="P2024" s="10"/>
      <c r="Q2024" s="11"/>
    </row>
    <row r="2025" spans="2:17" ht="21" customHeight="1" x14ac:dyDescent="0.35">
      <c r="B2025" s="18">
        <v>44067</v>
      </c>
      <c r="C2025" s="18" t="str">
        <f>TEXT(Sales[[#This Row],[Kode Program/Kegiatan ]],"D")</f>
        <v>24</v>
      </c>
      <c r="D2025" s="19" t="str">
        <f>TEXT(Sales[[#This Row],[Kode Program/Kegiatan ]],"mmm")</f>
        <v>Aug</v>
      </c>
      <c r="E2025" s="20">
        <v>3</v>
      </c>
      <c r="F2025" s="19">
        <v>1</v>
      </c>
      <c r="G2025" s="20">
        <f>IF(Sales[[#This Row],[Anggaran Murni]]-Sales[[#This Row],[Target s.d. Januari]]=0,"",Sales[[#This Row],[Anggaran Murni]]-Sales[[#This Row],[Target s.d. Januari]])</f>
        <v>2</v>
      </c>
      <c r="H2025" s="19" t="s">
        <v>71</v>
      </c>
      <c r="I2025" s="20" t="s">
        <v>6</v>
      </c>
      <c r="J2025" s="20">
        <v>140000000</v>
      </c>
      <c r="K2025" s="19" t="s">
        <v>63</v>
      </c>
      <c r="L2025" s="19" t="s">
        <v>7</v>
      </c>
      <c r="M2025" s="21" t="s">
        <v>67</v>
      </c>
      <c r="N2025" s="20" t="s">
        <v>82</v>
      </c>
      <c r="O2025" s="19" t="s">
        <v>14</v>
      </c>
      <c r="P2025" s="10"/>
      <c r="Q2025" s="11"/>
    </row>
    <row r="2026" spans="2:17" ht="21" customHeight="1" x14ac:dyDescent="0.35">
      <c r="B2026" s="1">
        <v>44068</v>
      </c>
      <c r="C2026" s="1" t="str">
        <f>TEXT(Sales[[#This Row],[Kode Program/Kegiatan ]],"D")</f>
        <v>25</v>
      </c>
      <c r="D2026" s="2" t="str">
        <f>TEXT(Sales[[#This Row],[Kode Program/Kegiatan ]],"mmm")</f>
        <v>Aug</v>
      </c>
      <c r="E2026" s="3">
        <v>10</v>
      </c>
      <c r="F2026" s="2">
        <v>8</v>
      </c>
      <c r="G2026" s="3">
        <f>IF(Sales[[#This Row],[Anggaran Murni]]-Sales[[#This Row],[Target s.d. Januari]]=0,"",Sales[[#This Row],[Anggaran Murni]]-Sales[[#This Row],[Target s.d. Januari]])</f>
        <v>2</v>
      </c>
      <c r="H2026" s="2" t="s">
        <v>73</v>
      </c>
      <c r="I2026" s="3" t="s">
        <v>78</v>
      </c>
      <c r="J2026" s="3">
        <v>80000000</v>
      </c>
      <c r="K2026" s="2" t="s">
        <v>45</v>
      </c>
      <c r="L2026" s="2" t="s">
        <v>8</v>
      </c>
      <c r="M2026" s="4" t="s">
        <v>67</v>
      </c>
      <c r="N2026" s="3" t="s">
        <v>82</v>
      </c>
      <c r="O2026" s="2" t="s">
        <v>13</v>
      </c>
      <c r="P2026" s="10"/>
      <c r="Q2026" s="11"/>
    </row>
    <row r="2027" spans="2:17" ht="21" customHeight="1" x14ac:dyDescent="0.35">
      <c r="B2027" s="18">
        <v>44068</v>
      </c>
      <c r="C2027" s="18" t="str">
        <f>TEXT(Sales[[#This Row],[Kode Program/Kegiatan ]],"D")</f>
        <v>25</v>
      </c>
      <c r="D2027" s="19" t="str">
        <f>TEXT(Sales[[#This Row],[Kode Program/Kegiatan ]],"mmm")</f>
        <v>Aug</v>
      </c>
      <c r="E2027" s="20">
        <v>10</v>
      </c>
      <c r="F2027" s="19">
        <v>6</v>
      </c>
      <c r="G2027" s="20">
        <f>IF(Sales[[#This Row],[Anggaran Murni]]-Sales[[#This Row],[Target s.d. Januari]]=0,"",Sales[[#This Row],[Anggaran Murni]]-Sales[[#This Row],[Target s.d. Januari]])</f>
        <v>4</v>
      </c>
      <c r="H2027" s="19" t="s">
        <v>74</v>
      </c>
      <c r="I2027" s="20" t="s">
        <v>77</v>
      </c>
      <c r="J2027" s="20">
        <v>60000000</v>
      </c>
      <c r="K2027" s="19" t="s">
        <v>15</v>
      </c>
      <c r="L2027" s="19" t="s">
        <v>5</v>
      </c>
      <c r="M2027" s="21" t="s">
        <v>67</v>
      </c>
      <c r="N2027" s="20" t="s">
        <v>80</v>
      </c>
      <c r="O2027" s="19" t="s">
        <v>14</v>
      </c>
      <c r="P2027" s="10"/>
      <c r="Q2027" s="11"/>
    </row>
    <row r="2028" spans="2:17" ht="21" customHeight="1" x14ac:dyDescent="0.35">
      <c r="B2028" s="1">
        <v>44068</v>
      </c>
      <c r="C2028" s="1" t="str">
        <f>TEXT(Sales[[#This Row],[Kode Program/Kegiatan ]],"D")</f>
        <v>25</v>
      </c>
      <c r="D2028" s="2" t="str">
        <f>TEXT(Sales[[#This Row],[Kode Program/Kegiatan ]],"mmm")</f>
        <v>Aug</v>
      </c>
      <c r="E2028" s="3">
        <v>9</v>
      </c>
      <c r="F2028" s="2">
        <v>8</v>
      </c>
      <c r="G2028" s="3">
        <f>IF(Sales[[#This Row],[Anggaran Murni]]-Sales[[#This Row],[Target s.d. Januari]]=0,"",Sales[[#This Row],[Anggaran Murni]]-Sales[[#This Row],[Target s.d. Januari]])</f>
        <v>1</v>
      </c>
      <c r="H2028" s="2" t="s">
        <v>114</v>
      </c>
      <c r="I2028" s="3" t="s">
        <v>3</v>
      </c>
      <c r="J2028" s="3">
        <v>100000000</v>
      </c>
      <c r="K2028" s="2" t="s">
        <v>53</v>
      </c>
      <c r="L2028" s="2" t="s">
        <v>5</v>
      </c>
      <c r="M2028" s="4" t="s">
        <v>67</v>
      </c>
      <c r="N2028" s="3" t="s">
        <v>82</v>
      </c>
      <c r="O2028" s="2" t="s">
        <v>14</v>
      </c>
      <c r="P2028" s="10"/>
      <c r="Q2028" s="11"/>
    </row>
    <row r="2029" spans="2:17" ht="21" customHeight="1" x14ac:dyDescent="0.35">
      <c r="B2029" s="18">
        <v>44068</v>
      </c>
      <c r="C2029" s="18" t="str">
        <f>TEXT(Sales[[#This Row],[Kode Program/Kegiatan ]],"D")</f>
        <v>25</v>
      </c>
      <c r="D2029" s="19" t="str">
        <f>TEXT(Sales[[#This Row],[Kode Program/Kegiatan ]],"mmm")</f>
        <v>Aug</v>
      </c>
      <c r="E2029" s="20">
        <v>9</v>
      </c>
      <c r="F2029" s="19">
        <v>7</v>
      </c>
      <c r="G2029" s="20">
        <f>IF(Sales[[#This Row],[Anggaran Murni]]-Sales[[#This Row],[Target s.d. Januari]]=0,"",Sales[[#This Row],[Anggaran Murni]]-Sales[[#This Row],[Target s.d. Januari]])</f>
        <v>2</v>
      </c>
      <c r="H2029" s="19" t="s">
        <v>114</v>
      </c>
      <c r="I2029" s="20" t="s">
        <v>3</v>
      </c>
      <c r="J2029" s="20">
        <v>40000000</v>
      </c>
      <c r="K2029" s="19" t="s">
        <v>47</v>
      </c>
      <c r="L2029" s="19" t="s">
        <v>7</v>
      </c>
      <c r="M2029" s="21" t="s">
        <v>67</v>
      </c>
      <c r="N2029" s="20" t="s">
        <v>80</v>
      </c>
      <c r="O2029" s="19" t="s">
        <v>13</v>
      </c>
      <c r="P2029" s="10"/>
      <c r="Q2029" s="11"/>
    </row>
    <row r="2030" spans="2:17" ht="21" customHeight="1" x14ac:dyDescent="0.35">
      <c r="B2030" s="1">
        <v>44068</v>
      </c>
      <c r="C2030" s="1" t="str">
        <f>TEXT(Sales[[#This Row],[Kode Program/Kegiatan ]],"D")</f>
        <v>25</v>
      </c>
      <c r="D2030" s="2" t="str">
        <f>TEXT(Sales[[#This Row],[Kode Program/Kegiatan ]],"mmm")</f>
        <v>Aug</v>
      </c>
      <c r="E2030" s="3">
        <v>9</v>
      </c>
      <c r="F2030" s="2">
        <v>8</v>
      </c>
      <c r="G2030" s="3">
        <f>IF(Sales[[#This Row],[Anggaran Murni]]-Sales[[#This Row],[Target s.d. Januari]]=0,"",Sales[[#This Row],[Anggaran Murni]]-Sales[[#This Row],[Target s.d. Januari]])</f>
        <v>1</v>
      </c>
      <c r="H2030" s="2" t="s">
        <v>72</v>
      </c>
      <c r="I2030" s="3" t="s">
        <v>78</v>
      </c>
      <c r="J2030" s="3">
        <v>40000000</v>
      </c>
      <c r="K2030" s="2" t="s">
        <v>36</v>
      </c>
      <c r="L2030" s="2" t="s">
        <v>5</v>
      </c>
      <c r="M2030" s="4" t="s">
        <v>67</v>
      </c>
      <c r="N2030" s="3" t="s">
        <v>81</v>
      </c>
      <c r="O2030" s="2" t="s">
        <v>12</v>
      </c>
      <c r="P2030" s="10"/>
      <c r="Q2030" s="11"/>
    </row>
    <row r="2031" spans="2:17" ht="21" customHeight="1" x14ac:dyDescent="0.35">
      <c r="B2031" s="18">
        <v>44068</v>
      </c>
      <c r="C2031" s="18" t="str">
        <f>TEXT(Sales[[#This Row],[Kode Program/Kegiatan ]],"D")</f>
        <v>25</v>
      </c>
      <c r="D2031" s="19" t="str">
        <f>TEXT(Sales[[#This Row],[Kode Program/Kegiatan ]],"mmm")</f>
        <v>Aug</v>
      </c>
      <c r="E2031" s="20">
        <v>6</v>
      </c>
      <c r="F2031" s="19">
        <v>3</v>
      </c>
      <c r="G2031" s="20">
        <f>IF(Sales[[#This Row],[Anggaran Murni]]-Sales[[#This Row],[Target s.d. Januari]]=0,"",Sales[[#This Row],[Anggaran Murni]]-Sales[[#This Row],[Target s.d. Januari]])</f>
        <v>3</v>
      </c>
      <c r="H2031" s="19" t="s">
        <v>114</v>
      </c>
      <c r="I2031" s="20" t="s">
        <v>3</v>
      </c>
      <c r="J2031" s="20">
        <v>100000000</v>
      </c>
      <c r="K2031" s="19" t="s">
        <v>55</v>
      </c>
      <c r="L2031" s="19" t="s">
        <v>2</v>
      </c>
      <c r="M2031" s="21" t="s">
        <v>67</v>
      </c>
      <c r="N2031" s="20" t="s">
        <v>82</v>
      </c>
      <c r="O2031" s="19" t="s">
        <v>14</v>
      </c>
      <c r="P2031" s="10"/>
      <c r="Q2031" s="11"/>
    </row>
    <row r="2032" spans="2:17" ht="21" customHeight="1" x14ac:dyDescent="0.35">
      <c r="B2032" s="1">
        <v>44068</v>
      </c>
      <c r="C2032" s="1" t="str">
        <f>TEXT(Sales[[#This Row],[Kode Program/Kegiatan ]],"D")</f>
        <v>25</v>
      </c>
      <c r="D2032" s="2" t="str">
        <f>TEXT(Sales[[#This Row],[Kode Program/Kegiatan ]],"mmm")</f>
        <v>Aug</v>
      </c>
      <c r="E2032" s="3">
        <v>6</v>
      </c>
      <c r="F2032" s="2">
        <v>4</v>
      </c>
      <c r="G2032" s="3">
        <f>IF(Sales[[#This Row],[Anggaran Murni]]-Sales[[#This Row],[Target s.d. Januari]]=0,"",Sales[[#This Row],[Anggaran Murni]]-Sales[[#This Row],[Target s.d. Januari]])</f>
        <v>2</v>
      </c>
      <c r="H2032" s="2" t="s">
        <v>73</v>
      </c>
      <c r="I2032" s="3" t="s">
        <v>78</v>
      </c>
      <c r="J2032" s="3">
        <v>140000000</v>
      </c>
      <c r="K2032" s="2" t="s">
        <v>57</v>
      </c>
      <c r="L2032" s="2" t="s">
        <v>2</v>
      </c>
      <c r="M2032" s="4" t="s">
        <v>67</v>
      </c>
      <c r="N2032" s="3" t="s">
        <v>82</v>
      </c>
      <c r="O2032" s="2" t="s">
        <v>14</v>
      </c>
      <c r="P2032" s="10"/>
      <c r="Q2032" s="11"/>
    </row>
    <row r="2033" spans="2:17" ht="21" customHeight="1" x14ac:dyDescent="0.35">
      <c r="B2033" s="18">
        <v>44068</v>
      </c>
      <c r="C2033" s="18" t="str">
        <f>TEXT(Sales[[#This Row],[Kode Program/Kegiatan ]],"D")</f>
        <v>25</v>
      </c>
      <c r="D2033" s="19" t="str">
        <f>TEXT(Sales[[#This Row],[Kode Program/Kegiatan ]],"mmm")</f>
        <v>Aug</v>
      </c>
      <c r="E2033" s="20">
        <v>5</v>
      </c>
      <c r="F2033" s="19">
        <v>4</v>
      </c>
      <c r="G2033" s="20">
        <f>IF(Sales[[#This Row],[Anggaran Murni]]-Sales[[#This Row],[Target s.d. Januari]]=0,"",Sales[[#This Row],[Anggaran Murni]]-Sales[[#This Row],[Target s.d. Januari]])</f>
        <v>1</v>
      </c>
      <c r="H2033" s="19" t="s">
        <v>71</v>
      </c>
      <c r="I2033" s="20" t="s">
        <v>6</v>
      </c>
      <c r="J2033" s="20">
        <v>120000000</v>
      </c>
      <c r="K2033" s="19" t="s">
        <v>32</v>
      </c>
      <c r="L2033" s="19" t="s">
        <v>5</v>
      </c>
      <c r="M2033" s="21" t="s">
        <v>67</v>
      </c>
      <c r="N2033" s="20" t="s">
        <v>80</v>
      </c>
      <c r="O2033" s="19" t="s">
        <v>13</v>
      </c>
      <c r="P2033" s="10"/>
      <c r="Q2033" s="11"/>
    </row>
    <row r="2034" spans="2:17" ht="21" customHeight="1" x14ac:dyDescent="0.35">
      <c r="B2034" s="1">
        <v>44068</v>
      </c>
      <c r="C2034" s="1" t="str">
        <f>TEXT(Sales[[#This Row],[Kode Program/Kegiatan ]],"D")</f>
        <v>25</v>
      </c>
      <c r="D2034" s="2" t="str">
        <f>TEXT(Sales[[#This Row],[Kode Program/Kegiatan ]],"mmm")</f>
        <v>Aug</v>
      </c>
      <c r="E2034" s="3">
        <v>4</v>
      </c>
      <c r="F2034" s="2">
        <v>3</v>
      </c>
      <c r="G2034" s="3">
        <f>IF(Sales[[#This Row],[Anggaran Murni]]-Sales[[#This Row],[Target s.d. Januari]]=0,"",Sales[[#This Row],[Anggaran Murni]]-Sales[[#This Row],[Target s.d. Januari]])</f>
        <v>1</v>
      </c>
      <c r="H2034" s="2" t="s">
        <v>76</v>
      </c>
      <c r="I2034" s="3" t="s">
        <v>79</v>
      </c>
      <c r="J2034" s="3">
        <v>120000000</v>
      </c>
      <c r="K2034" s="2" t="s">
        <v>25</v>
      </c>
      <c r="L2034" s="2" t="s">
        <v>2</v>
      </c>
      <c r="M2034" s="4" t="s">
        <v>67</v>
      </c>
      <c r="N2034" s="3" t="s">
        <v>81</v>
      </c>
      <c r="O2034" s="2" t="s">
        <v>14</v>
      </c>
      <c r="P2034" s="10"/>
      <c r="Q2034" s="11"/>
    </row>
    <row r="2035" spans="2:17" ht="21" customHeight="1" x14ac:dyDescent="0.35">
      <c r="B2035" s="18">
        <v>44068</v>
      </c>
      <c r="C2035" s="18" t="str">
        <f>TEXT(Sales[[#This Row],[Kode Program/Kegiatan ]],"D")</f>
        <v>25</v>
      </c>
      <c r="D2035" s="19" t="str">
        <f>TEXT(Sales[[#This Row],[Kode Program/Kegiatan ]],"mmm")</f>
        <v>Aug</v>
      </c>
      <c r="E2035" s="20">
        <v>3</v>
      </c>
      <c r="F2035" s="19">
        <v>1</v>
      </c>
      <c r="G2035" s="20">
        <f>IF(Sales[[#This Row],[Anggaran Murni]]-Sales[[#This Row],[Target s.d. Januari]]=0,"",Sales[[#This Row],[Anggaran Murni]]-Sales[[#This Row],[Target s.d. Januari]])</f>
        <v>2</v>
      </c>
      <c r="H2035" s="19" t="s">
        <v>71</v>
      </c>
      <c r="I2035" s="20" t="s">
        <v>6</v>
      </c>
      <c r="J2035" s="20">
        <v>60000000</v>
      </c>
      <c r="K2035" s="19" t="s">
        <v>32</v>
      </c>
      <c r="L2035" s="19" t="s">
        <v>2</v>
      </c>
      <c r="M2035" s="21" t="s">
        <v>67</v>
      </c>
      <c r="N2035" s="20" t="s">
        <v>82</v>
      </c>
      <c r="O2035" s="19" t="s">
        <v>14</v>
      </c>
      <c r="P2035" s="10"/>
      <c r="Q2035" s="11"/>
    </row>
    <row r="2036" spans="2:17" ht="21" customHeight="1" x14ac:dyDescent="0.35">
      <c r="B2036" s="1">
        <v>44068</v>
      </c>
      <c r="C2036" s="1" t="str">
        <f>TEXT(Sales[[#This Row],[Kode Program/Kegiatan ]],"D")</f>
        <v>25</v>
      </c>
      <c r="D2036" s="2" t="str">
        <f>TEXT(Sales[[#This Row],[Kode Program/Kegiatan ]],"mmm")</f>
        <v>Aug</v>
      </c>
      <c r="E2036" s="3">
        <v>3</v>
      </c>
      <c r="F2036" s="2">
        <v>1</v>
      </c>
      <c r="G2036" s="3">
        <f>IF(Sales[[#This Row],[Anggaran Murni]]-Sales[[#This Row],[Target s.d. Januari]]=0,"",Sales[[#This Row],[Anggaran Murni]]-Sales[[#This Row],[Target s.d. Januari]])</f>
        <v>2</v>
      </c>
      <c r="H2036" s="2" t="s">
        <v>70</v>
      </c>
      <c r="I2036" s="3" t="s">
        <v>1</v>
      </c>
      <c r="J2036" s="3">
        <v>120000000</v>
      </c>
      <c r="K2036" s="2" t="s">
        <v>31</v>
      </c>
      <c r="L2036" s="2" t="s">
        <v>9</v>
      </c>
      <c r="M2036" s="4" t="s">
        <v>67</v>
      </c>
      <c r="N2036" s="3" t="s">
        <v>80</v>
      </c>
      <c r="O2036" s="2" t="s">
        <v>13</v>
      </c>
      <c r="P2036" s="10"/>
      <c r="Q2036" s="11"/>
    </row>
    <row r="2037" spans="2:17" ht="21" customHeight="1" x14ac:dyDescent="0.35">
      <c r="B2037" s="18">
        <v>44069</v>
      </c>
      <c r="C2037" s="18" t="str">
        <f>TEXT(Sales[[#This Row],[Kode Program/Kegiatan ]],"D")</f>
        <v>26</v>
      </c>
      <c r="D2037" s="19" t="str">
        <f>TEXT(Sales[[#This Row],[Kode Program/Kegiatan ]],"mmm")</f>
        <v>Aug</v>
      </c>
      <c r="E2037" s="20">
        <v>10</v>
      </c>
      <c r="F2037" s="19">
        <v>8</v>
      </c>
      <c r="G2037" s="20">
        <f>IF(Sales[[#This Row],[Anggaran Murni]]-Sales[[#This Row],[Target s.d. Januari]]=0,"",Sales[[#This Row],[Anggaran Murni]]-Sales[[#This Row],[Target s.d. Januari]])</f>
        <v>2</v>
      </c>
      <c r="H2037" s="19" t="s">
        <v>70</v>
      </c>
      <c r="I2037" s="20" t="s">
        <v>1</v>
      </c>
      <c r="J2037" s="20">
        <v>100000000</v>
      </c>
      <c r="K2037" s="19" t="s">
        <v>34</v>
      </c>
      <c r="L2037" s="19" t="s">
        <v>2</v>
      </c>
      <c r="M2037" s="21" t="s">
        <v>67</v>
      </c>
      <c r="N2037" s="20" t="s">
        <v>81</v>
      </c>
      <c r="O2037" s="19" t="s">
        <v>12</v>
      </c>
      <c r="P2037" s="10"/>
      <c r="Q2037" s="11"/>
    </row>
    <row r="2038" spans="2:17" ht="21" customHeight="1" x14ac:dyDescent="0.35">
      <c r="B2038" s="1">
        <v>44069</v>
      </c>
      <c r="C2038" s="1" t="str">
        <f>TEXT(Sales[[#This Row],[Kode Program/Kegiatan ]],"D")</f>
        <v>26</v>
      </c>
      <c r="D2038" s="2" t="str">
        <f>TEXT(Sales[[#This Row],[Kode Program/Kegiatan ]],"mmm")</f>
        <v>Aug</v>
      </c>
      <c r="E2038" s="3">
        <v>10</v>
      </c>
      <c r="F2038" s="2">
        <v>7</v>
      </c>
      <c r="G2038" s="3">
        <f>IF(Sales[[#This Row],[Anggaran Murni]]-Sales[[#This Row],[Target s.d. Januari]]=0,"",Sales[[#This Row],[Anggaran Murni]]-Sales[[#This Row],[Target s.d. Januari]])</f>
        <v>3</v>
      </c>
      <c r="H2038" s="2" t="s">
        <v>75</v>
      </c>
      <c r="I2038" s="3" t="s">
        <v>6</v>
      </c>
      <c r="J2038" s="3">
        <v>60000000</v>
      </c>
      <c r="K2038" s="2" t="s">
        <v>41</v>
      </c>
      <c r="L2038" s="2" t="s">
        <v>7</v>
      </c>
      <c r="M2038" s="4" t="s">
        <v>67</v>
      </c>
      <c r="N2038" s="3" t="s">
        <v>80</v>
      </c>
      <c r="O2038" s="2" t="s">
        <v>12</v>
      </c>
      <c r="P2038" s="10"/>
      <c r="Q2038" s="11"/>
    </row>
    <row r="2039" spans="2:17" ht="21" customHeight="1" x14ac:dyDescent="0.35">
      <c r="B2039" s="18">
        <v>44069</v>
      </c>
      <c r="C2039" s="18" t="str">
        <f>TEXT(Sales[[#This Row],[Kode Program/Kegiatan ]],"D")</f>
        <v>26</v>
      </c>
      <c r="D2039" s="19" t="str">
        <f>TEXT(Sales[[#This Row],[Kode Program/Kegiatan ]],"mmm")</f>
        <v>Aug</v>
      </c>
      <c r="E2039" s="20">
        <v>8</v>
      </c>
      <c r="F2039" s="19">
        <v>6</v>
      </c>
      <c r="G2039" s="20">
        <f>IF(Sales[[#This Row],[Anggaran Murni]]-Sales[[#This Row],[Target s.d. Januari]]=0,"",Sales[[#This Row],[Anggaran Murni]]-Sales[[#This Row],[Target s.d. Januari]])</f>
        <v>2</v>
      </c>
      <c r="H2039" s="19" t="s">
        <v>74</v>
      </c>
      <c r="I2039" s="20" t="s">
        <v>77</v>
      </c>
      <c r="J2039" s="20">
        <v>140000000</v>
      </c>
      <c r="K2039" s="19" t="s">
        <v>25</v>
      </c>
      <c r="L2039" s="19" t="s">
        <v>5</v>
      </c>
      <c r="M2039" s="21" t="s">
        <v>67</v>
      </c>
      <c r="N2039" s="20" t="s">
        <v>81</v>
      </c>
      <c r="O2039" s="19" t="s">
        <v>11</v>
      </c>
      <c r="P2039" s="10"/>
      <c r="Q2039" s="11"/>
    </row>
    <row r="2040" spans="2:17" ht="21" customHeight="1" x14ac:dyDescent="0.35">
      <c r="B2040" s="1">
        <v>44069</v>
      </c>
      <c r="C2040" s="1" t="str">
        <f>TEXT(Sales[[#This Row],[Kode Program/Kegiatan ]],"D")</f>
        <v>26</v>
      </c>
      <c r="D2040" s="2" t="str">
        <f>TEXT(Sales[[#This Row],[Kode Program/Kegiatan ]],"mmm")</f>
        <v>Aug</v>
      </c>
      <c r="E2040" s="3">
        <v>3</v>
      </c>
      <c r="F2040" s="2">
        <v>1</v>
      </c>
      <c r="G2040" s="3">
        <f>IF(Sales[[#This Row],[Anggaran Murni]]-Sales[[#This Row],[Target s.d. Januari]]=0,"",Sales[[#This Row],[Anggaran Murni]]-Sales[[#This Row],[Target s.d. Januari]])</f>
        <v>2</v>
      </c>
      <c r="H2040" s="2" t="s">
        <v>72</v>
      </c>
      <c r="I2040" s="3" t="s">
        <v>78</v>
      </c>
      <c r="J2040" s="3">
        <v>60000000</v>
      </c>
      <c r="K2040" s="2" t="s">
        <v>43</v>
      </c>
      <c r="L2040" s="2" t="s">
        <v>7</v>
      </c>
      <c r="M2040" s="4" t="s">
        <v>67</v>
      </c>
      <c r="N2040" s="3" t="s">
        <v>80</v>
      </c>
      <c r="O2040" s="2" t="s">
        <v>14</v>
      </c>
      <c r="P2040" s="10"/>
      <c r="Q2040" s="11"/>
    </row>
    <row r="2041" spans="2:17" ht="21" customHeight="1" x14ac:dyDescent="0.35">
      <c r="B2041" s="18">
        <v>44070</v>
      </c>
      <c r="C2041" s="18" t="str">
        <f>TEXT(Sales[[#This Row],[Kode Program/Kegiatan ]],"D")</f>
        <v>27</v>
      </c>
      <c r="D2041" s="19" t="str">
        <f>TEXT(Sales[[#This Row],[Kode Program/Kegiatan ]],"mmm")</f>
        <v>Aug</v>
      </c>
      <c r="E2041" s="20">
        <v>10</v>
      </c>
      <c r="F2041" s="19">
        <v>7</v>
      </c>
      <c r="G2041" s="20">
        <f>IF(Sales[[#This Row],[Anggaran Murni]]-Sales[[#This Row],[Target s.d. Januari]]=0,"",Sales[[#This Row],[Anggaran Murni]]-Sales[[#This Row],[Target s.d. Januari]])</f>
        <v>3</v>
      </c>
      <c r="H2041" s="19" t="s">
        <v>74</v>
      </c>
      <c r="I2041" s="20" t="s">
        <v>77</v>
      </c>
      <c r="J2041" s="20">
        <v>80000000</v>
      </c>
      <c r="K2041" s="19" t="s">
        <v>55</v>
      </c>
      <c r="L2041" s="19" t="s">
        <v>8</v>
      </c>
      <c r="M2041" s="21" t="s">
        <v>67</v>
      </c>
      <c r="N2041" s="20" t="s">
        <v>80</v>
      </c>
      <c r="O2041" s="19" t="s">
        <v>14</v>
      </c>
      <c r="P2041" s="10"/>
      <c r="Q2041" s="11"/>
    </row>
    <row r="2042" spans="2:17" ht="21" customHeight="1" x14ac:dyDescent="0.35">
      <c r="B2042" s="1">
        <v>44070</v>
      </c>
      <c r="C2042" s="1" t="str">
        <f>TEXT(Sales[[#This Row],[Kode Program/Kegiatan ]],"D")</f>
        <v>27</v>
      </c>
      <c r="D2042" s="2" t="str">
        <f>TEXT(Sales[[#This Row],[Kode Program/Kegiatan ]],"mmm")</f>
        <v>Aug</v>
      </c>
      <c r="E2042" s="3">
        <v>10</v>
      </c>
      <c r="F2042" s="2">
        <v>9</v>
      </c>
      <c r="G2042" s="3">
        <f>IF(Sales[[#This Row],[Anggaran Murni]]-Sales[[#This Row],[Target s.d. Januari]]=0,"",Sales[[#This Row],[Anggaran Murni]]-Sales[[#This Row],[Target s.d. Januari]])</f>
        <v>1</v>
      </c>
      <c r="H2042" s="2" t="s">
        <v>113</v>
      </c>
      <c r="I2042" s="3" t="s">
        <v>77</v>
      </c>
      <c r="J2042" s="3">
        <v>140000000</v>
      </c>
      <c r="K2042" s="2" t="s">
        <v>50</v>
      </c>
      <c r="L2042" s="2" t="s">
        <v>5</v>
      </c>
      <c r="M2042" s="4" t="s">
        <v>67</v>
      </c>
      <c r="N2042" s="3" t="s">
        <v>81</v>
      </c>
      <c r="O2042" s="2" t="s">
        <v>11</v>
      </c>
      <c r="P2042" s="10"/>
      <c r="Q2042" s="11"/>
    </row>
    <row r="2043" spans="2:17" ht="21" customHeight="1" x14ac:dyDescent="0.35">
      <c r="B2043" s="18">
        <v>44070</v>
      </c>
      <c r="C2043" s="18" t="str">
        <f>TEXT(Sales[[#This Row],[Kode Program/Kegiatan ]],"D")</f>
        <v>27</v>
      </c>
      <c r="D2043" s="19" t="str">
        <f>TEXT(Sales[[#This Row],[Kode Program/Kegiatan ]],"mmm")</f>
        <v>Aug</v>
      </c>
      <c r="E2043" s="20">
        <v>10</v>
      </c>
      <c r="F2043" s="19">
        <v>8</v>
      </c>
      <c r="G2043" s="20">
        <f>IF(Sales[[#This Row],[Anggaran Murni]]-Sales[[#This Row],[Target s.d. Januari]]=0,"",Sales[[#This Row],[Anggaran Murni]]-Sales[[#This Row],[Target s.d. Januari]])</f>
        <v>2</v>
      </c>
      <c r="H2043" s="19" t="s">
        <v>114</v>
      </c>
      <c r="I2043" s="20" t="s">
        <v>3</v>
      </c>
      <c r="J2043" s="20">
        <v>80000000</v>
      </c>
      <c r="K2043" s="19" t="s">
        <v>53</v>
      </c>
      <c r="L2043" s="19" t="s">
        <v>5</v>
      </c>
      <c r="M2043" s="21" t="s">
        <v>67</v>
      </c>
      <c r="N2043" s="20" t="s">
        <v>81</v>
      </c>
      <c r="O2043" s="19" t="s">
        <v>14</v>
      </c>
      <c r="P2043" s="10"/>
      <c r="Q2043" s="11"/>
    </row>
    <row r="2044" spans="2:17" ht="21" customHeight="1" x14ac:dyDescent="0.35">
      <c r="B2044" s="1">
        <v>44070</v>
      </c>
      <c r="C2044" s="1" t="str">
        <f>TEXT(Sales[[#This Row],[Kode Program/Kegiatan ]],"D")</f>
        <v>27</v>
      </c>
      <c r="D2044" s="2" t="str">
        <f>TEXT(Sales[[#This Row],[Kode Program/Kegiatan ]],"mmm")</f>
        <v>Aug</v>
      </c>
      <c r="E2044" s="3">
        <v>10</v>
      </c>
      <c r="F2044" s="2">
        <v>7</v>
      </c>
      <c r="G2044" s="3">
        <f>IF(Sales[[#This Row],[Anggaran Murni]]-Sales[[#This Row],[Target s.d. Januari]]=0,"",Sales[[#This Row],[Anggaran Murni]]-Sales[[#This Row],[Target s.d. Januari]])</f>
        <v>3</v>
      </c>
      <c r="H2044" s="2" t="s">
        <v>72</v>
      </c>
      <c r="I2044" s="3" t="s">
        <v>78</v>
      </c>
      <c r="J2044" s="3">
        <v>140000000</v>
      </c>
      <c r="K2044" s="2" t="s">
        <v>34</v>
      </c>
      <c r="L2044" s="2" t="s">
        <v>7</v>
      </c>
      <c r="M2044" s="4" t="s">
        <v>67</v>
      </c>
      <c r="N2044" s="3" t="s">
        <v>82</v>
      </c>
      <c r="O2044" s="2" t="s">
        <v>14</v>
      </c>
      <c r="P2044" s="10"/>
      <c r="Q2044" s="11"/>
    </row>
    <row r="2045" spans="2:17" ht="21" customHeight="1" x14ac:dyDescent="0.35">
      <c r="B2045" s="18">
        <v>44070</v>
      </c>
      <c r="C2045" s="18" t="str">
        <f>TEXT(Sales[[#This Row],[Kode Program/Kegiatan ]],"D")</f>
        <v>27</v>
      </c>
      <c r="D2045" s="19" t="str">
        <f>TEXT(Sales[[#This Row],[Kode Program/Kegiatan ]],"mmm")</f>
        <v>Aug</v>
      </c>
      <c r="E2045" s="20">
        <v>9</v>
      </c>
      <c r="F2045" s="19">
        <v>8</v>
      </c>
      <c r="G2045" s="20">
        <f>IF(Sales[[#This Row],[Anggaran Murni]]-Sales[[#This Row],[Target s.d. Januari]]=0,"",Sales[[#This Row],[Anggaran Murni]]-Sales[[#This Row],[Target s.d. Januari]])</f>
        <v>1</v>
      </c>
      <c r="H2045" s="19" t="s">
        <v>76</v>
      </c>
      <c r="I2045" s="20" t="s">
        <v>79</v>
      </c>
      <c r="J2045" s="20">
        <v>40000000</v>
      </c>
      <c r="K2045" s="19" t="s">
        <v>34</v>
      </c>
      <c r="L2045" s="19" t="s">
        <v>2</v>
      </c>
      <c r="M2045" s="21" t="s">
        <v>67</v>
      </c>
      <c r="N2045" s="20" t="s">
        <v>82</v>
      </c>
      <c r="O2045" s="19" t="s">
        <v>11</v>
      </c>
      <c r="P2045" s="10"/>
      <c r="Q2045" s="11"/>
    </row>
    <row r="2046" spans="2:17" ht="21" customHeight="1" x14ac:dyDescent="0.35">
      <c r="B2046" s="1">
        <v>44070</v>
      </c>
      <c r="C2046" s="1" t="str">
        <f>TEXT(Sales[[#This Row],[Kode Program/Kegiatan ]],"D")</f>
        <v>27</v>
      </c>
      <c r="D2046" s="2" t="str">
        <f>TEXT(Sales[[#This Row],[Kode Program/Kegiatan ]],"mmm")</f>
        <v>Aug</v>
      </c>
      <c r="E2046" s="3">
        <v>9</v>
      </c>
      <c r="F2046" s="2">
        <v>8</v>
      </c>
      <c r="G2046" s="3">
        <f>IF(Sales[[#This Row],[Anggaran Murni]]-Sales[[#This Row],[Target s.d. Januari]]=0,"",Sales[[#This Row],[Anggaran Murni]]-Sales[[#This Row],[Target s.d. Januari]])</f>
        <v>1</v>
      </c>
      <c r="H2046" s="2" t="s">
        <v>73</v>
      </c>
      <c r="I2046" s="3" t="s">
        <v>78</v>
      </c>
      <c r="J2046" s="3">
        <v>40000000</v>
      </c>
      <c r="K2046" s="2" t="s">
        <v>47</v>
      </c>
      <c r="L2046" s="2" t="s">
        <v>9</v>
      </c>
      <c r="M2046" s="4" t="s">
        <v>67</v>
      </c>
      <c r="N2046" s="3" t="s">
        <v>82</v>
      </c>
      <c r="O2046" s="2" t="s">
        <v>11</v>
      </c>
      <c r="P2046" s="10"/>
      <c r="Q2046" s="11"/>
    </row>
    <row r="2047" spans="2:17" ht="21" customHeight="1" x14ac:dyDescent="0.35">
      <c r="B2047" s="18">
        <v>44070</v>
      </c>
      <c r="C2047" s="18" t="str">
        <f>TEXT(Sales[[#This Row],[Kode Program/Kegiatan ]],"D")</f>
        <v>27</v>
      </c>
      <c r="D2047" s="19" t="str">
        <f>TEXT(Sales[[#This Row],[Kode Program/Kegiatan ]],"mmm")</f>
        <v>Aug</v>
      </c>
      <c r="E2047" s="20">
        <v>7</v>
      </c>
      <c r="F2047" s="19">
        <v>6</v>
      </c>
      <c r="G2047" s="20">
        <f>IF(Sales[[#This Row],[Anggaran Murni]]-Sales[[#This Row],[Target s.d. Januari]]=0,"",Sales[[#This Row],[Anggaran Murni]]-Sales[[#This Row],[Target s.d. Januari]])</f>
        <v>1</v>
      </c>
      <c r="H2047" s="19" t="s">
        <v>114</v>
      </c>
      <c r="I2047" s="20" t="s">
        <v>3</v>
      </c>
      <c r="J2047" s="20">
        <v>40000000</v>
      </c>
      <c r="K2047" s="19" t="s">
        <v>59</v>
      </c>
      <c r="L2047" s="19" t="s">
        <v>2</v>
      </c>
      <c r="M2047" s="21" t="s">
        <v>67</v>
      </c>
      <c r="N2047" s="20" t="s">
        <v>81</v>
      </c>
      <c r="O2047" s="19" t="s">
        <v>13</v>
      </c>
      <c r="P2047" s="10"/>
      <c r="Q2047" s="11"/>
    </row>
    <row r="2048" spans="2:17" ht="21" customHeight="1" x14ac:dyDescent="0.35">
      <c r="B2048" s="1">
        <v>44070</v>
      </c>
      <c r="C2048" s="1" t="str">
        <f>TEXT(Sales[[#This Row],[Kode Program/Kegiatan ]],"D")</f>
        <v>27</v>
      </c>
      <c r="D2048" s="2" t="str">
        <f>TEXT(Sales[[#This Row],[Kode Program/Kegiatan ]],"mmm")</f>
        <v>Aug</v>
      </c>
      <c r="E2048" s="3">
        <v>6</v>
      </c>
      <c r="F2048" s="2">
        <v>5</v>
      </c>
      <c r="G2048" s="3">
        <f>IF(Sales[[#This Row],[Anggaran Murni]]-Sales[[#This Row],[Target s.d. Januari]]=0,"",Sales[[#This Row],[Anggaran Murni]]-Sales[[#This Row],[Target s.d. Januari]])</f>
        <v>1</v>
      </c>
      <c r="H2048" s="2" t="s">
        <v>75</v>
      </c>
      <c r="I2048" s="3" t="s">
        <v>6</v>
      </c>
      <c r="J2048" s="3">
        <v>40000000</v>
      </c>
      <c r="K2048" s="2" t="s">
        <v>35</v>
      </c>
      <c r="L2048" s="2" t="s">
        <v>5</v>
      </c>
      <c r="M2048" s="4" t="s">
        <v>67</v>
      </c>
      <c r="N2048" s="3" t="s">
        <v>80</v>
      </c>
      <c r="O2048" s="2" t="s">
        <v>14</v>
      </c>
      <c r="P2048" s="10"/>
      <c r="Q2048" s="11"/>
    </row>
    <row r="2049" spans="2:17" ht="21" customHeight="1" x14ac:dyDescent="0.35">
      <c r="B2049" s="18">
        <v>44070</v>
      </c>
      <c r="C2049" s="18" t="str">
        <f>TEXT(Sales[[#This Row],[Kode Program/Kegiatan ]],"D")</f>
        <v>27</v>
      </c>
      <c r="D2049" s="19" t="str">
        <f>TEXT(Sales[[#This Row],[Kode Program/Kegiatan ]],"mmm")</f>
        <v>Aug</v>
      </c>
      <c r="E2049" s="20">
        <v>6</v>
      </c>
      <c r="F2049" s="19">
        <v>4</v>
      </c>
      <c r="G2049" s="20">
        <f>IF(Sales[[#This Row],[Anggaran Murni]]-Sales[[#This Row],[Target s.d. Januari]]=0,"",Sales[[#This Row],[Anggaran Murni]]-Sales[[#This Row],[Target s.d. Januari]])</f>
        <v>2</v>
      </c>
      <c r="H2049" s="19" t="s">
        <v>74</v>
      </c>
      <c r="I2049" s="20" t="s">
        <v>77</v>
      </c>
      <c r="J2049" s="20">
        <v>100000000</v>
      </c>
      <c r="K2049" s="19" t="s">
        <v>28</v>
      </c>
      <c r="L2049" s="19" t="s">
        <v>5</v>
      </c>
      <c r="M2049" s="21" t="s">
        <v>67</v>
      </c>
      <c r="N2049" s="20" t="s">
        <v>82</v>
      </c>
      <c r="O2049" s="19" t="s">
        <v>11</v>
      </c>
      <c r="P2049" s="10"/>
      <c r="Q2049" s="11"/>
    </row>
    <row r="2050" spans="2:17" ht="21" customHeight="1" x14ac:dyDescent="0.35">
      <c r="B2050" s="1">
        <v>44070</v>
      </c>
      <c r="C2050" s="1" t="str">
        <f>TEXT(Sales[[#This Row],[Kode Program/Kegiatan ]],"D")</f>
        <v>27</v>
      </c>
      <c r="D2050" s="2" t="str">
        <f>TEXT(Sales[[#This Row],[Kode Program/Kegiatan ]],"mmm")</f>
        <v>Aug</v>
      </c>
      <c r="E2050" s="3">
        <v>5</v>
      </c>
      <c r="F2050" s="2">
        <v>4</v>
      </c>
      <c r="G2050" s="3">
        <f>IF(Sales[[#This Row],[Anggaran Murni]]-Sales[[#This Row],[Target s.d. Januari]]=0,"",Sales[[#This Row],[Anggaran Murni]]-Sales[[#This Row],[Target s.d. Januari]])</f>
        <v>1</v>
      </c>
      <c r="H2050" s="2" t="s">
        <v>74</v>
      </c>
      <c r="I2050" s="3" t="s">
        <v>77</v>
      </c>
      <c r="J2050" s="3">
        <v>120000000</v>
      </c>
      <c r="K2050" s="2" t="s">
        <v>27</v>
      </c>
      <c r="L2050" s="2" t="s">
        <v>8</v>
      </c>
      <c r="M2050" s="4" t="s">
        <v>67</v>
      </c>
      <c r="N2050" s="3" t="s">
        <v>81</v>
      </c>
      <c r="O2050" s="2" t="s">
        <v>12</v>
      </c>
      <c r="P2050" s="10"/>
      <c r="Q2050" s="11"/>
    </row>
    <row r="2051" spans="2:17" ht="21" customHeight="1" x14ac:dyDescent="0.35">
      <c r="B2051" s="18">
        <v>44070</v>
      </c>
      <c r="C2051" s="18" t="str">
        <f>TEXT(Sales[[#This Row],[Kode Program/Kegiatan ]],"D")</f>
        <v>27</v>
      </c>
      <c r="D2051" s="19" t="str">
        <f>TEXT(Sales[[#This Row],[Kode Program/Kegiatan ]],"mmm")</f>
        <v>Aug</v>
      </c>
      <c r="E2051" s="20">
        <v>4</v>
      </c>
      <c r="F2051" s="19">
        <v>2</v>
      </c>
      <c r="G2051" s="20">
        <f>IF(Sales[[#This Row],[Anggaran Murni]]-Sales[[#This Row],[Target s.d. Januari]]=0,"",Sales[[#This Row],[Anggaran Murni]]-Sales[[#This Row],[Target s.d. Januari]])</f>
        <v>2</v>
      </c>
      <c r="H2051" s="19" t="s">
        <v>72</v>
      </c>
      <c r="I2051" s="20" t="s">
        <v>78</v>
      </c>
      <c r="J2051" s="20">
        <v>140000000</v>
      </c>
      <c r="K2051" s="19" t="s">
        <v>16</v>
      </c>
      <c r="L2051" s="19" t="s">
        <v>5</v>
      </c>
      <c r="M2051" s="21" t="s">
        <v>67</v>
      </c>
      <c r="N2051" s="20" t="s">
        <v>81</v>
      </c>
      <c r="O2051" s="19" t="s">
        <v>13</v>
      </c>
      <c r="P2051" s="10"/>
      <c r="Q2051" s="11"/>
    </row>
    <row r="2052" spans="2:17" ht="21" customHeight="1" x14ac:dyDescent="0.35">
      <c r="B2052" s="1">
        <v>44070</v>
      </c>
      <c r="C2052" s="1" t="str">
        <f>TEXT(Sales[[#This Row],[Kode Program/Kegiatan ]],"D")</f>
        <v>27</v>
      </c>
      <c r="D2052" s="2" t="str">
        <f>TEXT(Sales[[#This Row],[Kode Program/Kegiatan ]],"mmm")</f>
        <v>Aug</v>
      </c>
      <c r="E2052" s="3">
        <v>3</v>
      </c>
      <c r="F2052" s="2">
        <v>2</v>
      </c>
      <c r="G2052" s="3">
        <f>IF(Sales[[#This Row],[Anggaran Murni]]-Sales[[#This Row],[Target s.d. Januari]]=0,"",Sales[[#This Row],[Anggaran Murni]]-Sales[[#This Row],[Target s.d. Januari]])</f>
        <v>1</v>
      </c>
      <c r="H2052" s="2" t="s">
        <v>76</v>
      </c>
      <c r="I2052" s="3" t="s">
        <v>79</v>
      </c>
      <c r="J2052" s="3">
        <v>80000000</v>
      </c>
      <c r="K2052" s="2" t="s">
        <v>46</v>
      </c>
      <c r="L2052" s="2" t="s">
        <v>5</v>
      </c>
      <c r="M2052" s="4" t="s">
        <v>67</v>
      </c>
      <c r="N2052" s="3" t="s">
        <v>80</v>
      </c>
      <c r="O2052" s="2" t="s">
        <v>13</v>
      </c>
      <c r="P2052" s="10"/>
      <c r="Q2052" s="11"/>
    </row>
    <row r="2053" spans="2:17" ht="21" customHeight="1" x14ac:dyDescent="0.35">
      <c r="B2053" s="18">
        <v>44070</v>
      </c>
      <c r="C2053" s="18" t="str">
        <f>TEXT(Sales[[#This Row],[Kode Program/Kegiatan ]],"D")</f>
        <v>27</v>
      </c>
      <c r="D2053" s="19" t="str">
        <f>TEXT(Sales[[#This Row],[Kode Program/Kegiatan ]],"mmm")</f>
        <v>Aug</v>
      </c>
      <c r="E2053" s="20">
        <v>3</v>
      </c>
      <c r="F2053" s="19">
        <v>2</v>
      </c>
      <c r="G2053" s="20">
        <f>IF(Sales[[#This Row],[Anggaran Murni]]-Sales[[#This Row],[Target s.d. Januari]]=0,"",Sales[[#This Row],[Anggaran Murni]]-Sales[[#This Row],[Target s.d. Januari]])</f>
        <v>1</v>
      </c>
      <c r="H2053" s="19" t="s">
        <v>71</v>
      </c>
      <c r="I2053" s="20" t="s">
        <v>6</v>
      </c>
      <c r="J2053" s="20">
        <v>100000000</v>
      </c>
      <c r="K2053" s="19" t="s">
        <v>23</v>
      </c>
      <c r="L2053" s="19" t="s">
        <v>2</v>
      </c>
      <c r="M2053" s="21" t="s">
        <v>67</v>
      </c>
      <c r="N2053" s="20" t="s">
        <v>80</v>
      </c>
      <c r="O2053" s="19" t="s">
        <v>11</v>
      </c>
      <c r="P2053" s="10"/>
      <c r="Q2053" s="11"/>
    </row>
    <row r="2054" spans="2:17" ht="21" customHeight="1" x14ac:dyDescent="0.35">
      <c r="B2054" s="1">
        <v>44071</v>
      </c>
      <c r="C2054" s="1" t="str">
        <f>TEXT(Sales[[#This Row],[Kode Program/Kegiatan ]],"D")</f>
        <v>28</v>
      </c>
      <c r="D2054" s="2" t="str">
        <f>TEXT(Sales[[#This Row],[Kode Program/Kegiatan ]],"mmm")</f>
        <v>Aug</v>
      </c>
      <c r="E2054" s="3">
        <v>10</v>
      </c>
      <c r="F2054" s="2">
        <v>8</v>
      </c>
      <c r="G2054" s="3">
        <f>IF(Sales[[#This Row],[Anggaran Murni]]-Sales[[#This Row],[Target s.d. Januari]]=0,"",Sales[[#This Row],[Anggaran Murni]]-Sales[[#This Row],[Target s.d. Januari]])</f>
        <v>2</v>
      </c>
      <c r="H2054" s="2" t="s">
        <v>113</v>
      </c>
      <c r="I2054" s="3" t="s">
        <v>77</v>
      </c>
      <c r="J2054" s="3">
        <v>40000000</v>
      </c>
      <c r="K2054" s="2" t="s">
        <v>27</v>
      </c>
      <c r="L2054" s="2" t="s">
        <v>7</v>
      </c>
      <c r="M2054" s="4" t="s">
        <v>67</v>
      </c>
      <c r="N2054" s="3" t="s">
        <v>82</v>
      </c>
      <c r="O2054" s="2" t="s">
        <v>11</v>
      </c>
      <c r="P2054" s="10"/>
      <c r="Q2054" s="11"/>
    </row>
    <row r="2055" spans="2:17" ht="21" customHeight="1" x14ac:dyDescent="0.35">
      <c r="B2055" s="18">
        <v>44071</v>
      </c>
      <c r="C2055" s="18" t="str">
        <f>TEXT(Sales[[#This Row],[Kode Program/Kegiatan ]],"D")</f>
        <v>28</v>
      </c>
      <c r="D2055" s="19" t="str">
        <f>TEXT(Sales[[#This Row],[Kode Program/Kegiatan ]],"mmm")</f>
        <v>Aug</v>
      </c>
      <c r="E2055" s="20">
        <v>8</v>
      </c>
      <c r="F2055" s="19">
        <v>7</v>
      </c>
      <c r="G2055" s="20">
        <f>IF(Sales[[#This Row],[Anggaran Murni]]-Sales[[#This Row],[Target s.d. Januari]]=0,"",Sales[[#This Row],[Anggaran Murni]]-Sales[[#This Row],[Target s.d. Januari]])</f>
        <v>1</v>
      </c>
      <c r="H2055" s="19" t="s">
        <v>114</v>
      </c>
      <c r="I2055" s="20" t="s">
        <v>3</v>
      </c>
      <c r="J2055" s="20">
        <v>100000000</v>
      </c>
      <c r="K2055" s="19" t="s">
        <v>30</v>
      </c>
      <c r="L2055" s="19" t="s">
        <v>2</v>
      </c>
      <c r="M2055" s="21" t="s">
        <v>67</v>
      </c>
      <c r="N2055" s="20" t="s">
        <v>80</v>
      </c>
      <c r="O2055" s="19" t="s">
        <v>12</v>
      </c>
      <c r="P2055" s="10"/>
      <c r="Q2055" s="11"/>
    </row>
    <row r="2056" spans="2:17" ht="21" customHeight="1" x14ac:dyDescent="0.35">
      <c r="B2056" s="1">
        <v>44071</v>
      </c>
      <c r="C2056" s="1" t="str">
        <f>TEXT(Sales[[#This Row],[Kode Program/Kegiatan ]],"D")</f>
        <v>28</v>
      </c>
      <c r="D2056" s="2" t="str">
        <f>TEXT(Sales[[#This Row],[Kode Program/Kegiatan ]],"mmm")</f>
        <v>Aug</v>
      </c>
      <c r="E2056" s="3">
        <v>6</v>
      </c>
      <c r="F2056" s="2">
        <v>4</v>
      </c>
      <c r="G2056" s="3">
        <f>IF(Sales[[#This Row],[Anggaran Murni]]-Sales[[#This Row],[Target s.d. Januari]]=0,"",Sales[[#This Row],[Anggaran Murni]]-Sales[[#This Row],[Target s.d. Januari]])</f>
        <v>2</v>
      </c>
      <c r="H2056" s="2" t="s">
        <v>70</v>
      </c>
      <c r="I2056" s="3" t="s">
        <v>1</v>
      </c>
      <c r="J2056" s="3">
        <v>60000000</v>
      </c>
      <c r="K2056" s="2" t="s">
        <v>41</v>
      </c>
      <c r="L2056" s="2" t="s">
        <v>2</v>
      </c>
      <c r="M2056" s="4" t="s">
        <v>67</v>
      </c>
      <c r="N2056" s="3" t="s">
        <v>82</v>
      </c>
      <c r="O2056" s="2" t="s">
        <v>12</v>
      </c>
      <c r="P2056" s="10"/>
      <c r="Q2056" s="11"/>
    </row>
    <row r="2057" spans="2:17" ht="21" customHeight="1" x14ac:dyDescent="0.35">
      <c r="B2057" s="18">
        <v>44072</v>
      </c>
      <c r="C2057" s="18" t="str">
        <f>TEXT(Sales[[#This Row],[Kode Program/Kegiatan ]],"D")</f>
        <v>29</v>
      </c>
      <c r="D2057" s="19" t="str">
        <f>TEXT(Sales[[#This Row],[Kode Program/Kegiatan ]],"mmm")</f>
        <v>Aug</v>
      </c>
      <c r="E2057" s="20">
        <v>10</v>
      </c>
      <c r="F2057" s="19">
        <v>9</v>
      </c>
      <c r="G2057" s="20">
        <f>IF(Sales[[#This Row],[Anggaran Murni]]-Sales[[#This Row],[Target s.d. Januari]]=0,"",Sales[[#This Row],[Anggaran Murni]]-Sales[[#This Row],[Target s.d. Januari]])</f>
        <v>1</v>
      </c>
      <c r="H2057" s="19" t="s">
        <v>72</v>
      </c>
      <c r="I2057" s="20" t="s">
        <v>78</v>
      </c>
      <c r="J2057" s="20">
        <v>100000000</v>
      </c>
      <c r="K2057" s="19" t="s">
        <v>64</v>
      </c>
      <c r="L2057" s="19" t="s">
        <v>8</v>
      </c>
      <c r="M2057" s="21" t="s">
        <v>67</v>
      </c>
      <c r="N2057" s="20" t="s">
        <v>81</v>
      </c>
      <c r="O2057" s="19" t="s">
        <v>12</v>
      </c>
      <c r="P2057" s="10"/>
      <c r="Q2057" s="11"/>
    </row>
    <row r="2058" spans="2:17" ht="21" customHeight="1" x14ac:dyDescent="0.35">
      <c r="B2058" s="1">
        <v>44072</v>
      </c>
      <c r="C2058" s="1" t="str">
        <f>TEXT(Sales[[#This Row],[Kode Program/Kegiatan ]],"D")</f>
        <v>29</v>
      </c>
      <c r="D2058" s="2" t="str">
        <f>TEXT(Sales[[#This Row],[Kode Program/Kegiatan ]],"mmm")</f>
        <v>Aug</v>
      </c>
      <c r="E2058" s="3">
        <v>9</v>
      </c>
      <c r="F2058" s="2">
        <v>6</v>
      </c>
      <c r="G2058" s="3">
        <f>IF(Sales[[#This Row],[Anggaran Murni]]-Sales[[#This Row],[Target s.d. Januari]]=0,"",Sales[[#This Row],[Anggaran Murni]]-Sales[[#This Row],[Target s.d. Januari]])</f>
        <v>3</v>
      </c>
      <c r="H2058" s="2" t="s">
        <v>70</v>
      </c>
      <c r="I2058" s="3" t="s">
        <v>1</v>
      </c>
      <c r="J2058" s="3">
        <v>100000000</v>
      </c>
      <c r="K2058" s="2" t="s">
        <v>22</v>
      </c>
      <c r="L2058" s="2" t="s">
        <v>5</v>
      </c>
      <c r="M2058" s="4" t="s">
        <v>67</v>
      </c>
      <c r="N2058" s="3" t="s">
        <v>81</v>
      </c>
      <c r="O2058" s="2" t="s">
        <v>11</v>
      </c>
      <c r="P2058" s="10"/>
      <c r="Q2058" s="11"/>
    </row>
    <row r="2059" spans="2:17" ht="21" customHeight="1" x14ac:dyDescent="0.35">
      <c r="B2059" s="18">
        <v>44072</v>
      </c>
      <c r="C2059" s="18" t="str">
        <f>TEXT(Sales[[#This Row],[Kode Program/Kegiatan ]],"D")</f>
        <v>29</v>
      </c>
      <c r="D2059" s="19" t="str">
        <f>TEXT(Sales[[#This Row],[Kode Program/Kegiatan ]],"mmm")</f>
        <v>Aug</v>
      </c>
      <c r="E2059" s="20">
        <v>8</v>
      </c>
      <c r="F2059" s="19">
        <v>6</v>
      </c>
      <c r="G2059" s="20">
        <f>IF(Sales[[#This Row],[Anggaran Murni]]-Sales[[#This Row],[Target s.d. Januari]]=0,"",Sales[[#This Row],[Anggaran Murni]]-Sales[[#This Row],[Target s.d. Januari]])</f>
        <v>2</v>
      </c>
      <c r="H2059" s="19" t="s">
        <v>72</v>
      </c>
      <c r="I2059" s="20" t="s">
        <v>78</v>
      </c>
      <c r="J2059" s="20">
        <v>80000000</v>
      </c>
      <c r="K2059" s="19" t="s">
        <v>19</v>
      </c>
      <c r="L2059" s="19" t="s">
        <v>9</v>
      </c>
      <c r="M2059" s="21" t="s">
        <v>67</v>
      </c>
      <c r="N2059" s="20" t="s">
        <v>81</v>
      </c>
      <c r="O2059" s="19" t="s">
        <v>13</v>
      </c>
      <c r="P2059" s="10"/>
      <c r="Q2059" s="11"/>
    </row>
    <row r="2060" spans="2:17" ht="21" customHeight="1" x14ac:dyDescent="0.35">
      <c r="B2060" s="1">
        <v>44072</v>
      </c>
      <c r="C2060" s="1" t="str">
        <f>TEXT(Sales[[#This Row],[Kode Program/Kegiatan ]],"D")</f>
        <v>29</v>
      </c>
      <c r="D2060" s="2" t="str">
        <f>TEXT(Sales[[#This Row],[Kode Program/Kegiatan ]],"mmm")</f>
        <v>Aug</v>
      </c>
      <c r="E2060" s="3">
        <v>8</v>
      </c>
      <c r="F2060" s="2">
        <v>6</v>
      </c>
      <c r="G2060" s="3">
        <f>IF(Sales[[#This Row],[Anggaran Murni]]-Sales[[#This Row],[Target s.d. Januari]]=0,"",Sales[[#This Row],[Anggaran Murni]]-Sales[[#This Row],[Target s.d. Januari]])</f>
        <v>2</v>
      </c>
      <c r="H2060" s="2" t="s">
        <v>70</v>
      </c>
      <c r="I2060" s="3" t="s">
        <v>1</v>
      </c>
      <c r="J2060" s="3">
        <v>80000000</v>
      </c>
      <c r="K2060" s="2" t="s">
        <v>56</v>
      </c>
      <c r="L2060" s="2" t="s">
        <v>2</v>
      </c>
      <c r="M2060" s="4" t="s">
        <v>67</v>
      </c>
      <c r="N2060" s="3" t="s">
        <v>80</v>
      </c>
      <c r="O2060" s="2" t="s">
        <v>14</v>
      </c>
      <c r="P2060" s="10"/>
      <c r="Q2060" s="11"/>
    </row>
    <row r="2061" spans="2:17" ht="21" customHeight="1" x14ac:dyDescent="0.35">
      <c r="B2061" s="18">
        <v>44072</v>
      </c>
      <c r="C2061" s="18" t="str">
        <f>TEXT(Sales[[#This Row],[Kode Program/Kegiatan ]],"D")</f>
        <v>29</v>
      </c>
      <c r="D2061" s="19" t="str">
        <f>TEXT(Sales[[#This Row],[Kode Program/Kegiatan ]],"mmm")</f>
        <v>Aug</v>
      </c>
      <c r="E2061" s="20">
        <v>6</v>
      </c>
      <c r="F2061" s="19">
        <v>5</v>
      </c>
      <c r="G2061" s="20">
        <f>IF(Sales[[#This Row],[Anggaran Murni]]-Sales[[#This Row],[Target s.d. Januari]]=0,"",Sales[[#This Row],[Anggaran Murni]]-Sales[[#This Row],[Target s.d. Januari]])</f>
        <v>1</v>
      </c>
      <c r="H2061" s="19" t="s">
        <v>113</v>
      </c>
      <c r="I2061" s="20" t="s">
        <v>77</v>
      </c>
      <c r="J2061" s="20">
        <v>140000000</v>
      </c>
      <c r="K2061" s="19" t="s">
        <v>46</v>
      </c>
      <c r="L2061" s="19" t="s">
        <v>5</v>
      </c>
      <c r="M2061" s="21" t="s">
        <v>67</v>
      </c>
      <c r="N2061" s="20" t="s">
        <v>81</v>
      </c>
      <c r="O2061" s="19" t="s">
        <v>11</v>
      </c>
      <c r="P2061" s="10"/>
      <c r="Q2061" s="11"/>
    </row>
    <row r="2062" spans="2:17" ht="21" customHeight="1" x14ac:dyDescent="0.35">
      <c r="B2062" s="1">
        <v>44072</v>
      </c>
      <c r="C2062" s="1" t="str">
        <f>TEXT(Sales[[#This Row],[Kode Program/Kegiatan ]],"D")</f>
        <v>29</v>
      </c>
      <c r="D2062" s="2" t="str">
        <f>TEXT(Sales[[#This Row],[Kode Program/Kegiatan ]],"mmm")</f>
        <v>Aug</v>
      </c>
      <c r="E2062" s="3">
        <v>6</v>
      </c>
      <c r="F2062" s="2">
        <v>4</v>
      </c>
      <c r="G2062" s="3">
        <f>IF(Sales[[#This Row],[Anggaran Murni]]-Sales[[#This Row],[Target s.d. Januari]]=0,"",Sales[[#This Row],[Anggaran Murni]]-Sales[[#This Row],[Target s.d. Januari]])</f>
        <v>2</v>
      </c>
      <c r="H2062" s="2" t="s">
        <v>75</v>
      </c>
      <c r="I2062" s="3" t="s">
        <v>6</v>
      </c>
      <c r="J2062" s="3">
        <v>100000000</v>
      </c>
      <c r="K2062" s="2" t="s">
        <v>42</v>
      </c>
      <c r="L2062" s="2" t="s">
        <v>2</v>
      </c>
      <c r="M2062" s="4" t="s">
        <v>67</v>
      </c>
      <c r="N2062" s="3" t="s">
        <v>80</v>
      </c>
      <c r="O2062" s="2" t="s">
        <v>13</v>
      </c>
      <c r="P2062" s="10"/>
      <c r="Q2062" s="11"/>
    </row>
    <row r="2063" spans="2:17" ht="21" customHeight="1" x14ac:dyDescent="0.35">
      <c r="B2063" s="18">
        <v>44072</v>
      </c>
      <c r="C2063" s="18" t="str">
        <f>TEXT(Sales[[#This Row],[Kode Program/Kegiatan ]],"D")</f>
        <v>29</v>
      </c>
      <c r="D2063" s="19" t="str">
        <f>TEXT(Sales[[#This Row],[Kode Program/Kegiatan ]],"mmm")</f>
        <v>Aug</v>
      </c>
      <c r="E2063" s="20">
        <v>5</v>
      </c>
      <c r="F2063" s="19">
        <v>3</v>
      </c>
      <c r="G2063" s="20">
        <f>IF(Sales[[#This Row],[Anggaran Murni]]-Sales[[#This Row],[Target s.d. Januari]]=0,"",Sales[[#This Row],[Anggaran Murni]]-Sales[[#This Row],[Target s.d. Januari]])</f>
        <v>2</v>
      </c>
      <c r="H2063" s="19" t="s">
        <v>113</v>
      </c>
      <c r="I2063" s="20" t="s">
        <v>77</v>
      </c>
      <c r="J2063" s="20">
        <v>80000000</v>
      </c>
      <c r="K2063" s="19" t="s">
        <v>19</v>
      </c>
      <c r="L2063" s="19" t="s">
        <v>5</v>
      </c>
      <c r="M2063" s="21" t="s">
        <v>67</v>
      </c>
      <c r="N2063" s="20" t="s">
        <v>81</v>
      </c>
      <c r="O2063" s="19" t="s">
        <v>14</v>
      </c>
      <c r="P2063" s="10"/>
      <c r="Q2063" s="11"/>
    </row>
    <row r="2064" spans="2:17" ht="21" customHeight="1" x14ac:dyDescent="0.35">
      <c r="B2064" s="1">
        <v>44072</v>
      </c>
      <c r="C2064" s="1" t="str">
        <f>TEXT(Sales[[#This Row],[Kode Program/Kegiatan ]],"D")</f>
        <v>29</v>
      </c>
      <c r="D2064" s="2" t="str">
        <f>TEXT(Sales[[#This Row],[Kode Program/Kegiatan ]],"mmm")</f>
        <v>Aug</v>
      </c>
      <c r="E2064" s="3">
        <v>5</v>
      </c>
      <c r="F2064" s="2">
        <v>3</v>
      </c>
      <c r="G2064" s="3">
        <f>IF(Sales[[#This Row],[Anggaran Murni]]-Sales[[#This Row],[Target s.d. Januari]]=0,"",Sales[[#This Row],[Anggaran Murni]]-Sales[[#This Row],[Target s.d. Januari]])</f>
        <v>2</v>
      </c>
      <c r="H2064" s="2" t="s">
        <v>75</v>
      </c>
      <c r="I2064" s="3" t="s">
        <v>6</v>
      </c>
      <c r="J2064" s="3">
        <v>120000000</v>
      </c>
      <c r="K2064" s="2" t="s">
        <v>22</v>
      </c>
      <c r="L2064" s="2" t="s">
        <v>2</v>
      </c>
      <c r="M2064" s="4" t="s">
        <v>67</v>
      </c>
      <c r="N2064" s="3" t="s">
        <v>82</v>
      </c>
      <c r="O2064" s="2" t="s">
        <v>11</v>
      </c>
      <c r="P2064" s="10"/>
      <c r="Q2064" s="11"/>
    </row>
    <row r="2065" spans="2:17" ht="21" customHeight="1" x14ac:dyDescent="0.35">
      <c r="B2065" s="18">
        <v>44072</v>
      </c>
      <c r="C2065" s="18" t="str">
        <f>TEXT(Sales[[#This Row],[Kode Program/Kegiatan ]],"D")</f>
        <v>29</v>
      </c>
      <c r="D2065" s="19" t="str">
        <f>TEXT(Sales[[#This Row],[Kode Program/Kegiatan ]],"mmm")</f>
        <v>Aug</v>
      </c>
      <c r="E2065" s="20">
        <v>4</v>
      </c>
      <c r="F2065" s="19">
        <v>2</v>
      </c>
      <c r="G2065" s="20">
        <f>IF(Sales[[#This Row],[Anggaran Murni]]-Sales[[#This Row],[Target s.d. Januari]]=0,"",Sales[[#This Row],[Anggaran Murni]]-Sales[[#This Row],[Target s.d. Januari]])</f>
        <v>2</v>
      </c>
      <c r="H2065" s="19" t="s">
        <v>74</v>
      </c>
      <c r="I2065" s="20" t="s">
        <v>77</v>
      </c>
      <c r="J2065" s="20">
        <v>140000000</v>
      </c>
      <c r="K2065" s="19" t="s">
        <v>31</v>
      </c>
      <c r="L2065" s="19" t="s">
        <v>9</v>
      </c>
      <c r="M2065" s="21" t="s">
        <v>67</v>
      </c>
      <c r="N2065" s="20" t="s">
        <v>82</v>
      </c>
      <c r="O2065" s="19" t="s">
        <v>12</v>
      </c>
      <c r="P2065" s="10"/>
      <c r="Q2065" s="11"/>
    </row>
    <row r="2066" spans="2:17" ht="21" customHeight="1" x14ac:dyDescent="0.35">
      <c r="B2066" s="1">
        <v>44072</v>
      </c>
      <c r="C2066" s="1" t="str">
        <f>TEXT(Sales[[#This Row],[Kode Program/Kegiatan ]],"D")</f>
        <v>29</v>
      </c>
      <c r="D2066" s="2" t="str">
        <f>TEXT(Sales[[#This Row],[Kode Program/Kegiatan ]],"mmm")</f>
        <v>Aug</v>
      </c>
      <c r="E2066" s="3">
        <v>3</v>
      </c>
      <c r="F2066" s="2">
        <v>1</v>
      </c>
      <c r="G2066" s="3">
        <f>IF(Sales[[#This Row],[Anggaran Murni]]-Sales[[#This Row],[Target s.d. Januari]]=0,"",Sales[[#This Row],[Anggaran Murni]]-Sales[[#This Row],[Target s.d. Januari]])</f>
        <v>2</v>
      </c>
      <c r="H2066" s="2" t="s">
        <v>73</v>
      </c>
      <c r="I2066" s="3" t="s">
        <v>78</v>
      </c>
      <c r="J2066" s="3">
        <v>140000000</v>
      </c>
      <c r="K2066" s="2" t="s">
        <v>29</v>
      </c>
      <c r="L2066" s="2" t="s">
        <v>7</v>
      </c>
      <c r="M2066" s="4" t="s">
        <v>67</v>
      </c>
      <c r="N2066" s="3" t="s">
        <v>82</v>
      </c>
      <c r="O2066" s="2" t="s">
        <v>12</v>
      </c>
      <c r="P2066" s="10"/>
      <c r="Q2066" s="11"/>
    </row>
    <row r="2067" spans="2:17" ht="21" customHeight="1" x14ac:dyDescent="0.35">
      <c r="B2067" s="18">
        <v>44072</v>
      </c>
      <c r="C2067" s="18" t="str">
        <f>TEXT(Sales[[#This Row],[Kode Program/Kegiatan ]],"D")</f>
        <v>29</v>
      </c>
      <c r="D2067" s="19" t="str">
        <f>TEXT(Sales[[#This Row],[Kode Program/Kegiatan ]],"mmm")</f>
        <v>Aug</v>
      </c>
      <c r="E2067" s="20">
        <v>3</v>
      </c>
      <c r="F2067" s="19">
        <v>1</v>
      </c>
      <c r="G2067" s="20">
        <f>IF(Sales[[#This Row],[Anggaran Murni]]-Sales[[#This Row],[Target s.d. Januari]]=0,"",Sales[[#This Row],[Anggaran Murni]]-Sales[[#This Row],[Target s.d. Januari]])</f>
        <v>2</v>
      </c>
      <c r="H2067" s="19" t="s">
        <v>71</v>
      </c>
      <c r="I2067" s="20" t="s">
        <v>6</v>
      </c>
      <c r="J2067" s="20">
        <v>120000000</v>
      </c>
      <c r="K2067" s="19" t="s">
        <v>52</v>
      </c>
      <c r="L2067" s="19" t="s">
        <v>2</v>
      </c>
      <c r="M2067" s="21" t="s">
        <v>67</v>
      </c>
      <c r="N2067" s="20" t="s">
        <v>80</v>
      </c>
      <c r="O2067" s="19" t="s">
        <v>13</v>
      </c>
      <c r="P2067" s="10"/>
      <c r="Q2067" s="11"/>
    </row>
    <row r="2068" spans="2:17" ht="21" customHeight="1" x14ac:dyDescent="0.35">
      <c r="B2068" s="1">
        <v>44073</v>
      </c>
      <c r="C2068" s="1" t="str">
        <f>TEXT(Sales[[#This Row],[Kode Program/Kegiatan ]],"D")</f>
        <v>30</v>
      </c>
      <c r="D2068" s="2" t="str">
        <f>TEXT(Sales[[#This Row],[Kode Program/Kegiatan ]],"mmm")</f>
        <v>Aug</v>
      </c>
      <c r="E2068" s="3">
        <v>10</v>
      </c>
      <c r="F2068" s="2">
        <v>9</v>
      </c>
      <c r="G2068" s="3">
        <f>IF(Sales[[#This Row],[Anggaran Murni]]-Sales[[#This Row],[Target s.d. Januari]]=0,"",Sales[[#This Row],[Anggaran Murni]]-Sales[[#This Row],[Target s.d. Januari]])</f>
        <v>1</v>
      </c>
      <c r="H2068" s="2" t="s">
        <v>73</v>
      </c>
      <c r="I2068" s="3" t="s">
        <v>78</v>
      </c>
      <c r="J2068" s="3">
        <v>100000000</v>
      </c>
      <c r="K2068" s="2" t="s">
        <v>58</v>
      </c>
      <c r="L2068" s="2" t="s">
        <v>2</v>
      </c>
      <c r="M2068" s="4" t="s">
        <v>67</v>
      </c>
      <c r="N2068" s="3" t="s">
        <v>82</v>
      </c>
      <c r="O2068" s="2" t="s">
        <v>14</v>
      </c>
      <c r="P2068" s="10"/>
      <c r="Q2068" s="11"/>
    </row>
    <row r="2069" spans="2:17" ht="21" customHeight="1" x14ac:dyDescent="0.35">
      <c r="B2069" s="18">
        <v>44073</v>
      </c>
      <c r="C2069" s="18" t="str">
        <f>TEXT(Sales[[#This Row],[Kode Program/Kegiatan ]],"D")</f>
        <v>30</v>
      </c>
      <c r="D2069" s="19" t="str">
        <f>TEXT(Sales[[#This Row],[Kode Program/Kegiatan ]],"mmm")</f>
        <v>Aug</v>
      </c>
      <c r="E2069" s="20">
        <v>9</v>
      </c>
      <c r="F2069" s="19">
        <v>5</v>
      </c>
      <c r="G2069" s="20">
        <f>IF(Sales[[#This Row],[Anggaran Murni]]-Sales[[#This Row],[Target s.d. Januari]]=0,"",Sales[[#This Row],[Anggaran Murni]]-Sales[[#This Row],[Target s.d. Januari]])</f>
        <v>4</v>
      </c>
      <c r="H2069" s="19" t="s">
        <v>70</v>
      </c>
      <c r="I2069" s="20" t="s">
        <v>1</v>
      </c>
      <c r="J2069" s="20">
        <v>80000000</v>
      </c>
      <c r="K2069" s="19" t="s">
        <v>47</v>
      </c>
      <c r="L2069" s="19" t="s">
        <v>7</v>
      </c>
      <c r="M2069" s="21" t="s">
        <v>67</v>
      </c>
      <c r="N2069" s="20" t="s">
        <v>80</v>
      </c>
      <c r="O2069" s="19" t="s">
        <v>11</v>
      </c>
      <c r="P2069" s="10"/>
      <c r="Q2069" s="11"/>
    </row>
    <row r="2070" spans="2:17" ht="21" customHeight="1" x14ac:dyDescent="0.35">
      <c r="B2070" s="1">
        <v>44073</v>
      </c>
      <c r="C2070" s="1" t="str">
        <f>TEXT(Sales[[#This Row],[Kode Program/Kegiatan ]],"D")</f>
        <v>30</v>
      </c>
      <c r="D2070" s="2" t="str">
        <f>TEXT(Sales[[#This Row],[Kode Program/Kegiatan ]],"mmm")</f>
        <v>Aug</v>
      </c>
      <c r="E2070" s="3">
        <v>7</v>
      </c>
      <c r="F2070" s="2">
        <v>5</v>
      </c>
      <c r="G2070" s="3">
        <f>IF(Sales[[#This Row],[Anggaran Murni]]-Sales[[#This Row],[Target s.d. Januari]]=0,"",Sales[[#This Row],[Anggaran Murni]]-Sales[[#This Row],[Target s.d. Januari]])</f>
        <v>2</v>
      </c>
      <c r="H2070" s="2" t="s">
        <v>71</v>
      </c>
      <c r="I2070" s="3" t="s">
        <v>6</v>
      </c>
      <c r="J2070" s="3">
        <v>60000000</v>
      </c>
      <c r="K2070" s="2" t="s">
        <v>36</v>
      </c>
      <c r="L2070" s="2" t="s">
        <v>2</v>
      </c>
      <c r="M2070" s="4" t="s">
        <v>67</v>
      </c>
      <c r="N2070" s="3" t="s">
        <v>81</v>
      </c>
      <c r="O2070" s="2" t="s">
        <v>13</v>
      </c>
      <c r="P2070" s="10"/>
      <c r="Q2070" s="11"/>
    </row>
    <row r="2071" spans="2:17" ht="21" customHeight="1" x14ac:dyDescent="0.35">
      <c r="B2071" s="18">
        <v>44073</v>
      </c>
      <c r="C2071" s="18" t="str">
        <f>TEXT(Sales[[#This Row],[Kode Program/Kegiatan ]],"D")</f>
        <v>30</v>
      </c>
      <c r="D2071" s="19" t="str">
        <f>TEXT(Sales[[#This Row],[Kode Program/Kegiatan ]],"mmm")</f>
        <v>Aug</v>
      </c>
      <c r="E2071" s="20">
        <v>5</v>
      </c>
      <c r="F2071" s="19">
        <v>4</v>
      </c>
      <c r="G2071" s="20">
        <f>IF(Sales[[#This Row],[Anggaran Murni]]-Sales[[#This Row],[Target s.d. Januari]]=0,"",Sales[[#This Row],[Anggaran Murni]]-Sales[[#This Row],[Target s.d. Januari]])</f>
        <v>1</v>
      </c>
      <c r="H2071" s="19" t="s">
        <v>71</v>
      </c>
      <c r="I2071" s="20" t="s">
        <v>6</v>
      </c>
      <c r="J2071" s="20">
        <v>100000000</v>
      </c>
      <c r="K2071" s="19" t="s">
        <v>50</v>
      </c>
      <c r="L2071" s="19" t="s">
        <v>2</v>
      </c>
      <c r="M2071" s="21" t="s">
        <v>67</v>
      </c>
      <c r="N2071" s="20" t="s">
        <v>82</v>
      </c>
      <c r="O2071" s="19" t="s">
        <v>11</v>
      </c>
      <c r="P2071" s="10"/>
      <c r="Q2071" s="11"/>
    </row>
    <row r="2072" spans="2:17" ht="21" customHeight="1" x14ac:dyDescent="0.35">
      <c r="B2072" s="1">
        <v>44073</v>
      </c>
      <c r="C2072" s="1" t="str">
        <f>TEXT(Sales[[#This Row],[Kode Program/Kegiatan ]],"D")</f>
        <v>30</v>
      </c>
      <c r="D2072" s="2" t="str">
        <f>TEXT(Sales[[#This Row],[Kode Program/Kegiatan ]],"mmm")</f>
        <v>Aug</v>
      </c>
      <c r="E2072" s="3">
        <v>5</v>
      </c>
      <c r="F2072" s="2">
        <v>3</v>
      </c>
      <c r="G2072" s="3">
        <f>IF(Sales[[#This Row],[Anggaran Murni]]-Sales[[#This Row],[Target s.d. Januari]]=0,"",Sales[[#This Row],[Anggaran Murni]]-Sales[[#This Row],[Target s.d. Januari]])</f>
        <v>2</v>
      </c>
      <c r="H2072" s="2" t="s">
        <v>74</v>
      </c>
      <c r="I2072" s="3" t="s">
        <v>77</v>
      </c>
      <c r="J2072" s="3">
        <v>40000000</v>
      </c>
      <c r="K2072" s="2" t="s">
        <v>37</v>
      </c>
      <c r="L2072" s="2" t="s">
        <v>2</v>
      </c>
      <c r="M2072" s="4" t="s">
        <v>67</v>
      </c>
      <c r="N2072" s="3" t="s">
        <v>81</v>
      </c>
      <c r="O2072" s="2" t="s">
        <v>11</v>
      </c>
      <c r="P2072" s="10"/>
      <c r="Q2072" s="11"/>
    </row>
    <row r="2073" spans="2:17" ht="21" customHeight="1" x14ac:dyDescent="0.35">
      <c r="B2073" s="18">
        <v>44073</v>
      </c>
      <c r="C2073" s="18" t="str">
        <f>TEXT(Sales[[#This Row],[Kode Program/Kegiatan ]],"D")</f>
        <v>30</v>
      </c>
      <c r="D2073" s="19" t="str">
        <f>TEXT(Sales[[#This Row],[Kode Program/Kegiatan ]],"mmm")</f>
        <v>Aug</v>
      </c>
      <c r="E2073" s="20">
        <v>3</v>
      </c>
      <c r="F2073" s="19">
        <v>2</v>
      </c>
      <c r="G2073" s="20">
        <f>IF(Sales[[#This Row],[Anggaran Murni]]-Sales[[#This Row],[Target s.d. Januari]]=0,"",Sales[[#This Row],[Anggaran Murni]]-Sales[[#This Row],[Target s.d. Januari]])</f>
        <v>1</v>
      </c>
      <c r="H2073" s="19" t="s">
        <v>74</v>
      </c>
      <c r="I2073" s="20" t="s">
        <v>77</v>
      </c>
      <c r="J2073" s="20">
        <v>80000000</v>
      </c>
      <c r="K2073" s="19" t="s">
        <v>43</v>
      </c>
      <c r="L2073" s="19" t="s">
        <v>2</v>
      </c>
      <c r="M2073" s="21" t="s">
        <v>67</v>
      </c>
      <c r="N2073" s="20" t="s">
        <v>82</v>
      </c>
      <c r="O2073" s="19" t="s">
        <v>12</v>
      </c>
      <c r="P2073" s="10"/>
      <c r="Q2073" s="11"/>
    </row>
    <row r="2074" spans="2:17" ht="21" customHeight="1" x14ac:dyDescent="0.35">
      <c r="B2074" s="1">
        <v>44073</v>
      </c>
      <c r="C2074" s="1" t="str">
        <f>TEXT(Sales[[#This Row],[Kode Program/Kegiatan ]],"D")</f>
        <v>30</v>
      </c>
      <c r="D2074" s="2" t="str">
        <f>TEXT(Sales[[#This Row],[Kode Program/Kegiatan ]],"mmm")</f>
        <v>Aug</v>
      </c>
      <c r="E2074" s="3">
        <v>3</v>
      </c>
      <c r="F2074" s="2">
        <v>1</v>
      </c>
      <c r="G2074" s="3">
        <f>IF(Sales[[#This Row],[Anggaran Murni]]-Sales[[#This Row],[Target s.d. Januari]]=0,"",Sales[[#This Row],[Anggaran Murni]]-Sales[[#This Row],[Target s.d. Januari]])</f>
        <v>2</v>
      </c>
      <c r="H2074" s="2" t="s">
        <v>71</v>
      </c>
      <c r="I2074" s="3" t="s">
        <v>6</v>
      </c>
      <c r="J2074" s="3">
        <v>80000000</v>
      </c>
      <c r="K2074" s="2" t="s">
        <v>64</v>
      </c>
      <c r="L2074" s="2" t="s">
        <v>2</v>
      </c>
      <c r="M2074" s="4" t="s">
        <v>67</v>
      </c>
      <c r="N2074" s="3" t="s">
        <v>82</v>
      </c>
      <c r="O2074" s="2" t="s">
        <v>12</v>
      </c>
      <c r="P2074" s="10"/>
      <c r="Q2074" s="11"/>
    </row>
    <row r="2075" spans="2:17" ht="21" customHeight="1" x14ac:dyDescent="0.35">
      <c r="B2075" s="18">
        <v>44074</v>
      </c>
      <c r="C2075" s="18" t="str">
        <f>TEXT(Sales[[#This Row],[Kode Program/Kegiatan ]],"D")</f>
        <v>31</v>
      </c>
      <c r="D2075" s="19" t="str">
        <f>TEXT(Sales[[#This Row],[Kode Program/Kegiatan ]],"mmm")</f>
        <v>Aug</v>
      </c>
      <c r="E2075" s="20">
        <v>10</v>
      </c>
      <c r="F2075" s="19">
        <v>8</v>
      </c>
      <c r="G2075" s="20">
        <f>IF(Sales[[#This Row],[Anggaran Murni]]-Sales[[#This Row],[Target s.d. Januari]]=0,"",Sales[[#This Row],[Anggaran Murni]]-Sales[[#This Row],[Target s.d. Januari]])</f>
        <v>2</v>
      </c>
      <c r="H2075" s="19" t="s">
        <v>114</v>
      </c>
      <c r="I2075" s="20" t="s">
        <v>3</v>
      </c>
      <c r="J2075" s="20">
        <v>60000000</v>
      </c>
      <c r="K2075" s="19" t="s">
        <v>50</v>
      </c>
      <c r="L2075" s="19" t="s">
        <v>5</v>
      </c>
      <c r="M2075" s="21" t="s">
        <v>67</v>
      </c>
      <c r="N2075" s="20" t="s">
        <v>80</v>
      </c>
      <c r="O2075" s="19" t="s">
        <v>13</v>
      </c>
      <c r="P2075" s="10"/>
      <c r="Q2075" s="11"/>
    </row>
    <row r="2076" spans="2:17" ht="21" customHeight="1" x14ac:dyDescent="0.35">
      <c r="B2076" s="1">
        <v>44074</v>
      </c>
      <c r="C2076" s="1" t="str">
        <f>TEXT(Sales[[#This Row],[Kode Program/Kegiatan ]],"D")</f>
        <v>31</v>
      </c>
      <c r="D2076" s="2" t="str">
        <f>TEXT(Sales[[#This Row],[Kode Program/Kegiatan ]],"mmm")</f>
        <v>Aug</v>
      </c>
      <c r="E2076" s="3">
        <v>8</v>
      </c>
      <c r="F2076" s="2">
        <v>5</v>
      </c>
      <c r="G2076" s="3">
        <f>IF(Sales[[#This Row],[Anggaran Murni]]-Sales[[#This Row],[Target s.d. Januari]]=0,"",Sales[[#This Row],[Anggaran Murni]]-Sales[[#This Row],[Target s.d. Januari]])</f>
        <v>3</v>
      </c>
      <c r="H2076" s="2" t="s">
        <v>72</v>
      </c>
      <c r="I2076" s="3" t="s">
        <v>78</v>
      </c>
      <c r="J2076" s="3">
        <v>140000000</v>
      </c>
      <c r="K2076" s="2" t="s">
        <v>52</v>
      </c>
      <c r="L2076" s="2" t="s">
        <v>2</v>
      </c>
      <c r="M2076" s="4" t="s">
        <v>67</v>
      </c>
      <c r="N2076" s="3" t="s">
        <v>81</v>
      </c>
      <c r="O2076" s="2" t="s">
        <v>11</v>
      </c>
      <c r="P2076" s="10"/>
      <c r="Q2076" s="11"/>
    </row>
    <row r="2077" spans="2:17" ht="21" customHeight="1" x14ac:dyDescent="0.35">
      <c r="B2077" s="18">
        <v>44074</v>
      </c>
      <c r="C2077" s="18" t="str">
        <f>TEXT(Sales[[#This Row],[Kode Program/Kegiatan ]],"D")</f>
        <v>31</v>
      </c>
      <c r="D2077" s="19" t="str">
        <f>TEXT(Sales[[#This Row],[Kode Program/Kegiatan ]],"mmm")</f>
        <v>Aug</v>
      </c>
      <c r="E2077" s="20">
        <v>8</v>
      </c>
      <c r="F2077" s="19">
        <v>4</v>
      </c>
      <c r="G2077" s="20">
        <f>IF(Sales[[#This Row],[Anggaran Murni]]-Sales[[#This Row],[Target s.d. Januari]]=0,"",Sales[[#This Row],[Anggaran Murni]]-Sales[[#This Row],[Target s.d. Januari]])</f>
        <v>4</v>
      </c>
      <c r="H2077" s="19" t="s">
        <v>71</v>
      </c>
      <c r="I2077" s="20" t="s">
        <v>6</v>
      </c>
      <c r="J2077" s="20">
        <v>40000000</v>
      </c>
      <c r="K2077" s="19" t="s">
        <v>56</v>
      </c>
      <c r="L2077" s="19" t="s">
        <v>8</v>
      </c>
      <c r="M2077" s="21" t="s">
        <v>67</v>
      </c>
      <c r="N2077" s="20" t="s">
        <v>81</v>
      </c>
      <c r="O2077" s="19" t="s">
        <v>14</v>
      </c>
      <c r="P2077" s="10"/>
      <c r="Q2077" s="11"/>
    </row>
    <row r="2078" spans="2:17" ht="21" customHeight="1" x14ac:dyDescent="0.35">
      <c r="B2078" s="1">
        <v>44074</v>
      </c>
      <c r="C2078" s="1" t="str">
        <f>TEXT(Sales[[#This Row],[Kode Program/Kegiatan ]],"D")</f>
        <v>31</v>
      </c>
      <c r="D2078" s="2" t="str">
        <f>TEXT(Sales[[#This Row],[Kode Program/Kegiatan ]],"mmm")</f>
        <v>Aug</v>
      </c>
      <c r="E2078" s="3">
        <v>6</v>
      </c>
      <c r="F2078" s="2">
        <v>4</v>
      </c>
      <c r="G2078" s="3">
        <f>IF(Sales[[#This Row],[Anggaran Murni]]-Sales[[#This Row],[Target s.d. Januari]]=0,"",Sales[[#This Row],[Anggaran Murni]]-Sales[[#This Row],[Target s.d. Januari]])</f>
        <v>2</v>
      </c>
      <c r="H2078" s="2" t="s">
        <v>76</v>
      </c>
      <c r="I2078" s="3" t="s">
        <v>79</v>
      </c>
      <c r="J2078" s="3">
        <v>40000000</v>
      </c>
      <c r="K2078" s="2" t="s">
        <v>22</v>
      </c>
      <c r="L2078" s="2" t="s">
        <v>2</v>
      </c>
      <c r="M2078" s="4" t="s">
        <v>67</v>
      </c>
      <c r="N2078" s="3" t="s">
        <v>82</v>
      </c>
      <c r="O2078" s="2" t="s">
        <v>13</v>
      </c>
      <c r="P2078" s="10"/>
      <c r="Q2078" s="11"/>
    </row>
    <row r="2079" spans="2:17" ht="21" customHeight="1" x14ac:dyDescent="0.35">
      <c r="B2079" s="18">
        <v>44074</v>
      </c>
      <c r="C2079" s="18" t="str">
        <f>TEXT(Sales[[#This Row],[Kode Program/Kegiatan ]],"D")</f>
        <v>31</v>
      </c>
      <c r="D2079" s="19" t="str">
        <f>TEXT(Sales[[#This Row],[Kode Program/Kegiatan ]],"mmm")</f>
        <v>Aug</v>
      </c>
      <c r="E2079" s="20">
        <v>6</v>
      </c>
      <c r="F2079" s="19">
        <v>4</v>
      </c>
      <c r="G2079" s="20">
        <f>IF(Sales[[#This Row],[Anggaran Murni]]-Sales[[#This Row],[Target s.d. Januari]]=0,"",Sales[[#This Row],[Anggaran Murni]]-Sales[[#This Row],[Target s.d. Januari]])</f>
        <v>2</v>
      </c>
      <c r="H2079" s="19" t="s">
        <v>74</v>
      </c>
      <c r="I2079" s="20" t="s">
        <v>77</v>
      </c>
      <c r="J2079" s="20">
        <v>40000000</v>
      </c>
      <c r="K2079" s="19" t="s">
        <v>44</v>
      </c>
      <c r="L2079" s="19" t="s">
        <v>2</v>
      </c>
      <c r="M2079" s="21" t="s">
        <v>67</v>
      </c>
      <c r="N2079" s="20" t="s">
        <v>80</v>
      </c>
      <c r="O2079" s="19" t="s">
        <v>11</v>
      </c>
      <c r="P2079" s="10"/>
      <c r="Q2079" s="11"/>
    </row>
    <row r="2080" spans="2:17" ht="21" customHeight="1" x14ac:dyDescent="0.35">
      <c r="B2080" s="1">
        <v>44074</v>
      </c>
      <c r="C2080" s="1" t="str">
        <f>TEXT(Sales[[#This Row],[Kode Program/Kegiatan ]],"D")</f>
        <v>31</v>
      </c>
      <c r="D2080" s="2" t="str">
        <f>TEXT(Sales[[#This Row],[Kode Program/Kegiatan ]],"mmm")</f>
        <v>Aug</v>
      </c>
      <c r="E2080" s="3">
        <v>6</v>
      </c>
      <c r="F2080" s="2">
        <v>5</v>
      </c>
      <c r="G2080" s="3">
        <f>IF(Sales[[#This Row],[Anggaran Murni]]-Sales[[#This Row],[Target s.d. Januari]]=0,"",Sales[[#This Row],[Anggaran Murni]]-Sales[[#This Row],[Target s.d. Januari]])</f>
        <v>1</v>
      </c>
      <c r="H2080" s="2" t="s">
        <v>74</v>
      </c>
      <c r="I2080" s="3" t="s">
        <v>77</v>
      </c>
      <c r="J2080" s="3">
        <v>120000000</v>
      </c>
      <c r="K2080" s="2" t="s">
        <v>59</v>
      </c>
      <c r="L2080" s="2" t="s">
        <v>2</v>
      </c>
      <c r="M2080" s="4" t="s">
        <v>67</v>
      </c>
      <c r="N2080" s="3" t="s">
        <v>80</v>
      </c>
      <c r="O2080" s="2" t="s">
        <v>12</v>
      </c>
      <c r="P2080" s="10"/>
      <c r="Q2080" s="11"/>
    </row>
    <row r="2081" spans="2:17" ht="21" customHeight="1" x14ac:dyDescent="0.35">
      <c r="B2081" s="18">
        <v>44074</v>
      </c>
      <c r="C2081" s="18" t="str">
        <f>TEXT(Sales[[#This Row],[Kode Program/Kegiatan ]],"D")</f>
        <v>31</v>
      </c>
      <c r="D2081" s="19" t="str">
        <f>TEXT(Sales[[#This Row],[Kode Program/Kegiatan ]],"mmm")</f>
        <v>Aug</v>
      </c>
      <c r="E2081" s="20">
        <v>5</v>
      </c>
      <c r="F2081" s="19">
        <v>4</v>
      </c>
      <c r="G2081" s="20">
        <f>IF(Sales[[#This Row],[Anggaran Murni]]-Sales[[#This Row],[Target s.d. Januari]]=0,"",Sales[[#This Row],[Anggaran Murni]]-Sales[[#This Row],[Target s.d. Januari]])</f>
        <v>1</v>
      </c>
      <c r="H2081" s="19" t="s">
        <v>114</v>
      </c>
      <c r="I2081" s="20" t="s">
        <v>3</v>
      </c>
      <c r="J2081" s="20">
        <v>100000000</v>
      </c>
      <c r="K2081" s="19" t="s">
        <v>32</v>
      </c>
      <c r="L2081" s="19" t="s">
        <v>7</v>
      </c>
      <c r="M2081" s="21" t="s">
        <v>67</v>
      </c>
      <c r="N2081" s="20" t="s">
        <v>81</v>
      </c>
      <c r="O2081" s="19" t="s">
        <v>13</v>
      </c>
      <c r="P2081" s="10"/>
      <c r="Q2081" s="11"/>
    </row>
    <row r="2082" spans="2:17" ht="21" customHeight="1" x14ac:dyDescent="0.35">
      <c r="B2082" s="1">
        <v>44074</v>
      </c>
      <c r="C2082" s="1" t="str">
        <f>TEXT(Sales[[#This Row],[Kode Program/Kegiatan ]],"D")</f>
        <v>31</v>
      </c>
      <c r="D2082" s="2" t="str">
        <f>TEXT(Sales[[#This Row],[Kode Program/Kegiatan ]],"mmm")</f>
        <v>Aug</v>
      </c>
      <c r="E2082" s="3">
        <v>4</v>
      </c>
      <c r="F2082" s="2">
        <v>3</v>
      </c>
      <c r="G2082" s="3">
        <f>IF(Sales[[#This Row],[Anggaran Murni]]-Sales[[#This Row],[Target s.d. Januari]]=0,"",Sales[[#This Row],[Anggaran Murni]]-Sales[[#This Row],[Target s.d. Januari]])</f>
        <v>1</v>
      </c>
      <c r="H2082" s="2" t="s">
        <v>75</v>
      </c>
      <c r="I2082" s="3" t="s">
        <v>6</v>
      </c>
      <c r="J2082" s="3">
        <v>140000000</v>
      </c>
      <c r="K2082" s="2" t="s">
        <v>43</v>
      </c>
      <c r="L2082" s="2" t="s">
        <v>2</v>
      </c>
      <c r="M2082" s="4" t="s">
        <v>67</v>
      </c>
      <c r="N2082" s="3" t="s">
        <v>80</v>
      </c>
      <c r="O2082" s="2" t="s">
        <v>12</v>
      </c>
      <c r="P2082" s="10"/>
      <c r="Q2082" s="11"/>
    </row>
    <row r="2083" spans="2:17" ht="21" customHeight="1" x14ac:dyDescent="0.35">
      <c r="B2083" s="18">
        <v>44074</v>
      </c>
      <c r="C2083" s="18" t="str">
        <f>TEXT(Sales[[#This Row],[Kode Program/Kegiatan ]],"D")</f>
        <v>31</v>
      </c>
      <c r="D2083" s="19" t="str">
        <f>TEXT(Sales[[#This Row],[Kode Program/Kegiatan ]],"mmm")</f>
        <v>Aug</v>
      </c>
      <c r="E2083" s="20">
        <v>3</v>
      </c>
      <c r="F2083" s="19">
        <v>2</v>
      </c>
      <c r="G2083" s="20">
        <f>IF(Sales[[#This Row],[Anggaran Murni]]-Sales[[#This Row],[Target s.d. Januari]]=0,"",Sales[[#This Row],[Anggaran Murni]]-Sales[[#This Row],[Target s.d. Januari]])</f>
        <v>1</v>
      </c>
      <c r="H2083" s="19" t="s">
        <v>114</v>
      </c>
      <c r="I2083" s="20" t="s">
        <v>3</v>
      </c>
      <c r="J2083" s="20">
        <v>80000000</v>
      </c>
      <c r="K2083" s="19" t="s">
        <v>58</v>
      </c>
      <c r="L2083" s="19" t="s">
        <v>5</v>
      </c>
      <c r="M2083" s="21" t="s">
        <v>67</v>
      </c>
      <c r="N2083" s="20" t="s">
        <v>81</v>
      </c>
      <c r="O2083" s="19" t="s">
        <v>11</v>
      </c>
      <c r="P2083" s="10"/>
      <c r="Q2083" s="11"/>
    </row>
    <row r="2084" spans="2:17" ht="21" customHeight="1" x14ac:dyDescent="0.35">
      <c r="B2084" s="1">
        <v>44074</v>
      </c>
      <c r="C2084" s="1" t="str">
        <f>TEXT(Sales[[#This Row],[Kode Program/Kegiatan ]],"D")</f>
        <v>31</v>
      </c>
      <c r="D2084" s="2" t="str">
        <f>TEXT(Sales[[#This Row],[Kode Program/Kegiatan ]],"mmm")</f>
        <v>Aug</v>
      </c>
      <c r="E2084" s="3">
        <v>3</v>
      </c>
      <c r="F2084" s="2">
        <v>2</v>
      </c>
      <c r="G2084" s="3">
        <f>IF(Sales[[#This Row],[Anggaran Murni]]-Sales[[#This Row],[Target s.d. Januari]]=0,"",Sales[[#This Row],[Anggaran Murni]]-Sales[[#This Row],[Target s.d. Januari]])</f>
        <v>1</v>
      </c>
      <c r="H2084" s="2" t="s">
        <v>73</v>
      </c>
      <c r="I2084" s="3" t="s">
        <v>78</v>
      </c>
      <c r="J2084" s="3">
        <v>60000000</v>
      </c>
      <c r="K2084" s="2" t="s">
        <v>32</v>
      </c>
      <c r="L2084" s="2" t="s">
        <v>2</v>
      </c>
      <c r="M2084" s="4" t="s">
        <v>67</v>
      </c>
      <c r="N2084" s="3" t="s">
        <v>82</v>
      </c>
      <c r="O2084" s="2" t="s">
        <v>12</v>
      </c>
      <c r="P2084" s="10"/>
      <c r="Q2084" s="11"/>
    </row>
    <row r="2085" spans="2:17" ht="21" customHeight="1" x14ac:dyDescent="0.35">
      <c r="B2085" s="18">
        <v>44074</v>
      </c>
      <c r="C2085" s="18" t="str">
        <f>TEXT(Sales[[#This Row],[Kode Program/Kegiatan ]],"D")</f>
        <v>31</v>
      </c>
      <c r="D2085" s="19" t="str">
        <f>TEXT(Sales[[#This Row],[Kode Program/Kegiatan ]],"mmm")</f>
        <v>Aug</v>
      </c>
      <c r="E2085" s="20">
        <v>3</v>
      </c>
      <c r="F2085" s="19">
        <v>1</v>
      </c>
      <c r="G2085" s="20">
        <f>IF(Sales[[#This Row],[Anggaran Murni]]-Sales[[#This Row],[Target s.d. Januari]]=0,"",Sales[[#This Row],[Anggaran Murni]]-Sales[[#This Row],[Target s.d. Januari]])</f>
        <v>2</v>
      </c>
      <c r="H2085" s="19" t="s">
        <v>75</v>
      </c>
      <c r="I2085" s="20" t="s">
        <v>6</v>
      </c>
      <c r="J2085" s="20">
        <v>100000000</v>
      </c>
      <c r="K2085" s="19" t="s">
        <v>62</v>
      </c>
      <c r="L2085" s="19" t="s">
        <v>9</v>
      </c>
      <c r="M2085" s="21" t="s">
        <v>67</v>
      </c>
      <c r="N2085" s="20" t="s">
        <v>80</v>
      </c>
      <c r="O2085" s="19" t="s">
        <v>12</v>
      </c>
      <c r="P2085" s="10"/>
      <c r="Q2085" s="11"/>
    </row>
    <row r="2086" spans="2:17" ht="21" customHeight="1" x14ac:dyDescent="0.35">
      <c r="B2086" s="1">
        <v>44074</v>
      </c>
      <c r="C2086" s="1" t="str">
        <f>TEXT(Sales[[#This Row],[Kode Program/Kegiatan ]],"D")</f>
        <v>31</v>
      </c>
      <c r="D2086" s="2" t="str">
        <f>TEXT(Sales[[#This Row],[Kode Program/Kegiatan ]],"mmm")</f>
        <v>Aug</v>
      </c>
      <c r="E2086" s="3">
        <v>3</v>
      </c>
      <c r="F2086" s="2">
        <v>2</v>
      </c>
      <c r="G2086" s="3">
        <f>IF(Sales[[#This Row],[Anggaran Murni]]-Sales[[#This Row],[Target s.d. Januari]]=0,"",Sales[[#This Row],[Anggaran Murni]]-Sales[[#This Row],[Target s.d. Januari]])</f>
        <v>1</v>
      </c>
      <c r="H2086" s="2" t="s">
        <v>113</v>
      </c>
      <c r="I2086" s="3" t="s">
        <v>77</v>
      </c>
      <c r="J2086" s="3">
        <v>120000000</v>
      </c>
      <c r="K2086" s="2" t="s">
        <v>29</v>
      </c>
      <c r="L2086" s="2" t="s">
        <v>7</v>
      </c>
      <c r="M2086" s="4" t="s">
        <v>67</v>
      </c>
      <c r="N2086" s="3" t="s">
        <v>81</v>
      </c>
      <c r="O2086" s="2" t="s">
        <v>12</v>
      </c>
      <c r="P2086" s="10"/>
      <c r="Q2086" s="11"/>
    </row>
    <row r="2087" spans="2:17" ht="21" customHeight="1" x14ac:dyDescent="0.35">
      <c r="B2087" s="18">
        <v>44075</v>
      </c>
      <c r="C2087" s="18" t="str">
        <f>TEXT(Sales[[#This Row],[Kode Program/Kegiatan ]],"D")</f>
        <v>1</v>
      </c>
      <c r="D2087" s="19" t="str">
        <f>TEXT(Sales[[#This Row],[Kode Program/Kegiatan ]],"mmm")</f>
        <v>Sep</v>
      </c>
      <c r="E2087" s="20">
        <v>8</v>
      </c>
      <c r="F2087" s="19">
        <v>7</v>
      </c>
      <c r="G2087" s="20">
        <f>IF(Sales[[#This Row],[Anggaran Murni]]-Sales[[#This Row],[Target s.d. Januari]]=0,"",Sales[[#This Row],[Anggaran Murni]]-Sales[[#This Row],[Target s.d. Januari]])</f>
        <v>1</v>
      </c>
      <c r="H2087" s="19" t="s">
        <v>74</v>
      </c>
      <c r="I2087" s="20" t="s">
        <v>77</v>
      </c>
      <c r="J2087" s="20">
        <v>140000000</v>
      </c>
      <c r="K2087" s="19" t="s">
        <v>48</v>
      </c>
      <c r="L2087" s="19" t="s">
        <v>4</v>
      </c>
      <c r="M2087" s="21" t="s">
        <v>67</v>
      </c>
      <c r="N2087" s="20" t="s">
        <v>82</v>
      </c>
      <c r="O2087" s="19" t="s">
        <v>13</v>
      </c>
      <c r="P2087" s="10"/>
      <c r="Q2087" s="11"/>
    </row>
    <row r="2088" spans="2:17" ht="21" customHeight="1" x14ac:dyDescent="0.35">
      <c r="B2088" s="1">
        <v>44075</v>
      </c>
      <c r="C2088" s="1" t="str">
        <f>TEXT(Sales[[#This Row],[Kode Program/Kegiatan ]],"D")</f>
        <v>1</v>
      </c>
      <c r="D2088" s="2" t="str">
        <f>TEXT(Sales[[#This Row],[Kode Program/Kegiatan ]],"mmm")</f>
        <v>Sep</v>
      </c>
      <c r="E2088" s="3">
        <v>7</v>
      </c>
      <c r="F2088" s="2">
        <v>4</v>
      </c>
      <c r="G2088" s="3">
        <f>IF(Sales[[#This Row],[Anggaran Murni]]-Sales[[#This Row],[Target s.d. Januari]]=0,"",Sales[[#This Row],[Anggaran Murni]]-Sales[[#This Row],[Target s.d. Januari]])</f>
        <v>3</v>
      </c>
      <c r="H2088" s="2" t="s">
        <v>114</v>
      </c>
      <c r="I2088" s="3" t="s">
        <v>3</v>
      </c>
      <c r="J2088" s="3">
        <v>60000000</v>
      </c>
      <c r="K2088" s="2" t="s">
        <v>46</v>
      </c>
      <c r="L2088" s="2" t="s">
        <v>9</v>
      </c>
      <c r="M2088" s="4" t="s">
        <v>67</v>
      </c>
      <c r="N2088" s="3" t="s">
        <v>81</v>
      </c>
      <c r="O2088" s="2" t="s">
        <v>12</v>
      </c>
      <c r="P2088" s="10"/>
      <c r="Q2088" s="11"/>
    </row>
    <row r="2089" spans="2:17" ht="21" customHeight="1" x14ac:dyDescent="0.35">
      <c r="B2089" s="18">
        <v>44075</v>
      </c>
      <c r="C2089" s="18" t="str">
        <f>TEXT(Sales[[#This Row],[Kode Program/Kegiatan ]],"D")</f>
        <v>1</v>
      </c>
      <c r="D2089" s="19" t="str">
        <f>TEXT(Sales[[#This Row],[Kode Program/Kegiatan ]],"mmm")</f>
        <v>Sep</v>
      </c>
      <c r="E2089" s="20">
        <v>6</v>
      </c>
      <c r="F2089" s="19">
        <v>4</v>
      </c>
      <c r="G2089" s="20">
        <f>IF(Sales[[#This Row],[Anggaran Murni]]-Sales[[#This Row],[Target s.d. Januari]]=0,"",Sales[[#This Row],[Anggaran Murni]]-Sales[[#This Row],[Target s.d. Januari]])</f>
        <v>2</v>
      </c>
      <c r="H2089" s="19" t="s">
        <v>76</v>
      </c>
      <c r="I2089" s="20" t="s">
        <v>79</v>
      </c>
      <c r="J2089" s="20">
        <v>140000000</v>
      </c>
      <c r="K2089" s="19" t="s">
        <v>19</v>
      </c>
      <c r="L2089" s="19" t="s">
        <v>2</v>
      </c>
      <c r="M2089" s="21" t="s">
        <v>67</v>
      </c>
      <c r="N2089" s="20" t="s">
        <v>80</v>
      </c>
      <c r="O2089" s="19" t="s">
        <v>12</v>
      </c>
      <c r="P2089" s="10"/>
      <c r="Q2089" s="11"/>
    </row>
    <row r="2090" spans="2:17" ht="21" customHeight="1" x14ac:dyDescent="0.35">
      <c r="B2090" s="1">
        <v>44075</v>
      </c>
      <c r="C2090" s="1" t="str">
        <f>TEXT(Sales[[#This Row],[Kode Program/Kegiatan ]],"D")</f>
        <v>1</v>
      </c>
      <c r="D2090" s="2" t="str">
        <f>TEXT(Sales[[#This Row],[Kode Program/Kegiatan ]],"mmm")</f>
        <v>Sep</v>
      </c>
      <c r="E2090" s="3">
        <v>6</v>
      </c>
      <c r="F2090" s="2">
        <v>4</v>
      </c>
      <c r="G2090" s="3">
        <f>IF(Sales[[#This Row],[Anggaran Murni]]-Sales[[#This Row],[Target s.d. Januari]]=0,"",Sales[[#This Row],[Anggaran Murni]]-Sales[[#This Row],[Target s.d. Januari]])</f>
        <v>2</v>
      </c>
      <c r="H2090" s="2" t="s">
        <v>73</v>
      </c>
      <c r="I2090" s="3" t="s">
        <v>78</v>
      </c>
      <c r="J2090" s="3">
        <v>60000000</v>
      </c>
      <c r="K2090" s="2" t="s">
        <v>15</v>
      </c>
      <c r="L2090" s="2" t="s">
        <v>5</v>
      </c>
      <c r="M2090" s="4" t="s">
        <v>67</v>
      </c>
      <c r="N2090" s="3" t="s">
        <v>82</v>
      </c>
      <c r="O2090" s="2" t="s">
        <v>13</v>
      </c>
      <c r="P2090" s="10"/>
      <c r="Q2090" s="11"/>
    </row>
    <row r="2091" spans="2:17" ht="21" customHeight="1" x14ac:dyDescent="0.35">
      <c r="B2091" s="18">
        <v>44075</v>
      </c>
      <c r="C2091" s="18" t="str">
        <f>TEXT(Sales[[#This Row],[Kode Program/Kegiatan ]],"D")</f>
        <v>1</v>
      </c>
      <c r="D2091" s="19" t="str">
        <f>TEXT(Sales[[#This Row],[Kode Program/Kegiatan ]],"mmm")</f>
        <v>Sep</v>
      </c>
      <c r="E2091" s="20">
        <v>4</v>
      </c>
      <c r="F2091" s="19">
        <v>3</v>
      </c>
      <c r="G2091" s="20">
        <f>IF(Sales[[#This Row],[Anggaran Murni]]-Sales[[#This Row],[Target s.d. Januari]]=0,"",Sales[[#This Row],[Anggaran Murni]]-Sales[[#This Row],[Target s.d. Januari]])</f>
        <v>1</v>
      </c>
      <c r="H2091" s="19" t="s">
        <v>73</v>
      </c>
      <c r="I2091" s="20" t="s">
        <v>78</v>
      </c>
      <c r="J2091" s="20">
        <v>140000000</v>
      </c>
      <c r="K2091" s="19" t="s">
        <v>58</v>
      </c>
      <c r="L2091" s="19" t="s">
        <v>2</v>
      </c>
      <c r="M2091" s="21" t="s">
        <v>67</v>
      </c>
      <c r="N2091" s="20" t="s">
        <v>82</v>
      </c>
      <c r="O2091" s="19" t="s">
        <v>13</v>
      </c>
      <c r="P2091" s="10"/>
      <c r="Q2091" s="11"/>
    </row>
    <row r="2092" spans="2:17" ht="21" customHeight="1" x14ac:dyDescent="0.35">
      <c r="B2092" s="1">
        <v>44075</v>
      </c>
      <c r="C2092" s="1" t="str">
        <f>TEXT(Sales[[#This Row],[Kode Program/Kegiatan ]],"D")</f>
        <v>1</v>
      </c>
      <c r="D2092" s="2" t="str">
        <f>TEXT(Sales[[#This Row],[Kode Program/Kegiatan ]],"mmm")</f>
        <v>Sep</v>
      </c>
      <c r="E2092" s="3">
        <v>3</v>
      </c>
      <c r="F2092" s="2">
        <v>1</v>
      </c>
      <c r="G2092" s="3">
        <f>IF(Sales[[#This Row],[Anggaran Murni]]-Sales[[#This Row],[Target s.d. Januari]]=0,"",Sales[[#This Row],[Anggaran Murni]]-Sales[[#This Row],[Target s.d. Januari]])</f>
        <v>2</v>
      </c>
      <c r="H2092" s="2" t="s">
        <v>75</v>
      </c>
      <c r="I2092" s="3" t="s">
        <v>6</v>
      </c>
      <c r="J2092" s="3">
        <v>100000000</v>
      </c>
      <c r="K2092" s="2" t="s">
        <v>56</v>
      </c>
      <c r="L2092" s="2" t="s">
        <v>7</v>
      </c>
      <c r="M2092" s="4" t="s">
        <v>67</v>
      </c>
      <c r="N2092" s="3" t="s">
        <v>82</v>
      </c>
      <c r="O2092" s="2" t="s">
        <v>13</v>
      </c>
      <c r="P2092" s="10"/>
      <c r="Q2092" s="11"/>
    </row>
    <row r="2093" spans="2:17" ht="21" customHeight="1" x14ac:dyDescent="0.35">
      <c r="B2093" s="18">
        <v>44076</v>
      </c>
      <c r="C2093" s="18" t="str">
        <f>TEXT(Sales[[#This Row],[Kode Program/Kegiatan ]],"D")</f>
        <v>2</v>
      </c>
      <c r="D2093" s="19" t="str">
        <f>TEXT(Sales[[#This Row],[Kode Program/Kegiatan ]],"mmm")</f>
        <v>Sep</v>
      </c>
      <c r="E2093" s="20">
        <v>10</v>
      </c>
      <c r="F2093" s="19">
        <v>9</v>
      </c>
      <c r="G2093" s="20">
        <f>IF(Sales[[#This Row],[Anggaran Murni]]-Sales[[#This Row],[Target s.d. Januari]]=0,"",Sales[[#This Row],[Anggaran Murni]]-Sales[[#This Row],[Target s.d. Januari]])</f>
        <v>1</v>
      </c>
      <c r="H2093" s="19" t="s">
        <v>74</v>
      </c>
      <c r="I2093" s="20" t="s">
        <v>77</v>
      </c>
      <c r="J2093" s="20">
        <v>60000000</v>
      </c>
      <c r="K2093" s="19" t="s">
        <v>41</v>
      </c>
      <c r="L2093" s="19" t="s">
        <v>2</v>
      </c>
      <c r="M2093" s="21" t="s">
        <v>67</v>
      </c>
      <c r="N2093" s="20" t="s">
        <v>80</v>
      </c>
      <c r="O2093" s="19" t="s">
        <v>12</v>
      </c>
      <c r="P2093" s="10"/>
      <c r="Q2093" s="11"/>
    </row>
    <row r="2094" spans="2:17" ht="21" customHeight="1" x14ac:dyDescent="0.35">
      <c r="B2094" s="1">
        <v>44076</v>
      </c>
      <c r="C2094" s="1" t="str">
        <f>TEXT(Sales[[#This Row],[Kode Program/Kegiatan ]],"D")</f>
        <v>2</v>
      </c>
      <c r="D2094" s="2" t="str">
        <f>TEXT(Sales[[#This Row],[Kode Program/Kegiatan ]],"mmm")</f>
        <v>Sep</v>
      </c>
      <c r="E2094" s="3">
        <v>10</v>
      </c>
      <c r="F2094" s="2">
        <v>6</v>
      </c>
      <c r="G2094" s="3">
        <f>IF(Sales[[#This Row],[Anggaran Murni]]-Sales[[#This Row],[Target s.d. Januari]]=0,"",Sales[[#This Row],[Anggaran Murni]]-Sales[[#This Row],[Target s.d. Januari]])</f>
        <v>4</v>
      </c>
      <c r="H2094" s="2" t="s">
        <v>74</v>
      </c>
      <c r="I2094" s="3" t="s">
        <v>77</v>
      </c>
      <c r="J2094" s="3">
        <v>80000000</v>
      </c>
      <c r="K2094" s="2" t="s">
        <v>27</v>
      </c>
      <c r="L2094" s="2" t="s">
        <v>2</v>
      </c>
      <c r="M2094" s="4" t="s">
        <v>67</v>
      </c>
      <c r="N2094" s="3" t="s">
        <v>82</v>
      </c>
      <c r="O2094" s="2" t="s">
        <v>13</v>
      </c>
      <c r="P2094" s="10"/>
      <c r="Q2094" s="11"/>
    </row>
    <row r="2095" spans="2:17" ht="21" customHeight="1" x14ac:dyDescent="0.35">
      <c r="B2095" s="18">
        <v>44076</v>
      </c>
      <c r="C2095" s="18" t="str">
        <f>TEXT(Sales[[#This Row],[Kode Program/Kegiatan ]],"D")</f>
        <v>2</v>
      </c>
      <c r="D2095" s="19" t="str">
        <f>TEXT(Sales[[#This Row],[Kode Program/Kegiatan ]],"mmm")</f>
        <v>Sep</v>
      </c>
      <c r="E2095" s="20">
        <v>8</v>
      </c>
      <c r="F2095" s="19">
        <v>4</v>
      </c>
      <c r="G2095" s="20">
        <f>IF(Sales[[#This Row],[Anggaran Murni]]-Sales[[#This Row],[Target s.d. Januari]]=0,"",Sales[[#This Row],[Anggaran Murni]]-Sales[[#This Row],[Target s.d. Januari]])</f>
        <v>4</v>
      </c>
      <c r="H2095" s="19" t="s">
        <v>73</v>
      </c>
      <c r="I2095" s="20" t="s">
        <v>78</v>
      </c>
      <c r="J2095" s="20">
        <v>140000000</v>
      </c>
      <c r="K2095" s="19" t="s">
        <v>34</v>
      </c>
      <c r="L2095" s="19" t="s">
        <v>8</v>
      </c>
      <c r="M2095" s="21" t="s">
        <v>67</v>
      </c>
      <c r="N2095" s="20" t="s">
        <v>82</v>
      </c>
      <c r="O2095" s="19" t="s">
        <v>14</v>
      </c>
      <c r="P2095" s="10"/>
      <c r="Q2095" s="11"/>
    </row>
    <row r="2096" spans="2:17" ht="21" customHeight="1" x14ac:dyDescent="0.35">
      <c r="B2096" s="1">
        <v>44076</v>
      </c>
      <c r="C2096" s="1" t="str">
        <f>TEXT(Sales[[#This Row],[Kode Program/Kegiatan ]],"D")</f>
        <v>2</v>
      </c>
      <c r="D2096" s="2" t="str">
        <f>TEXT(Sales[[#This Row],[Kode Program/Kegiatan ]],"mmm")</f>
        <v>Sep</v>
      </c>
      <c r="E2096" s="3">
        <v>4</v>
      </c>
      <c r="F2096" s="2">
        <v>3</v>
      </c>
      <c r="G2096" s="3">
        <f>IF(Sales[[#This Row],[Anggaran Murni]]-Sales[[#This Row],[Target s.d. Januari]]=0,"",Sales[[#This Row],[Anggaran Murni]]-Sales[[#This Row],[Target s.d. Januari]])</f>
        <v>1</v>
      </c>
      <c r="H2096" s="2" t="s">
        <v>75</v>
      </c>
      <c r="I2096" s="3" t="s">
        <v>6</v>
      </c>
      <c r="J2096" s="3">
        <v>80000000</v>
      </c>
      <c r="K2096" s="2" t="s">
        <v>63</v>
      </c>
      <c r="L2096" s="2" t="s">
        <v>5</v>
      </c>
      <c r="M2096" s="4" t="s">
        <v>67</v>
      </c>
      <c r="N2096" s="3" t="s">
        <v>82</v>
      </c>
      <c r="O2096" s="2" t="s">
        <v>13</v>
      </c>
      <c r="P2096" s="10"/>
      <c r="Q2096" s="11"/>
    </row>
    <row r="2097" spans="2:17" ht="21" customHeight="1" x14ac:dyDescent="0.35">
      <c r="B2097" s="18">
        <v>44076</v>
      </c>
      <c r="C2097" s="18" t="str">
        <f>TEXT(Sales[[#This Row],[Kode Program/Kegiatan ]],"D")</f>
        <v>2</v>
      </c>
      <c r="D2097" s="19" t="str">
        <f>TEXT(Sales[[#This Row],[Kode Program/Kegiatan ]],"mmm")</f>
        <v>Sep</v>
      </c>
      <c r="E2097" s="20">
        <v>4</v>
      </c>
      <c r="F2097" s="19">
        <v>2</v>
      </c>
      <c r="G2097" s="20">
        <f>IF(Sales[[#This Row],[Anggaran Murni]]-Sales[[#This Row],[Target s.d. Januari]]=0,"",Sales[[#This Row],[Anggaran Murni]]-Sales[[#This Row],[Target s.d. Januari]])</f>
        <v>2</v>
      </c>
      <c r="H2097" s="19" t="s">
        <v>73</v>
      </c>
      <c r="I2097" s="20" t="s">
        <v>78</v>
      </c>
      <c r="J2097" s="20">
        <v>100000000</v>
      </c>
      <c r="K2097" s="19" t="s">
        <v>60</v>
      </c>
      <c r="L2097" s="19" t="s">
        <v>5</v>
      </c>
      <c r="M2097" s="21" t="s">
        <v>67</v>
      </c>
      <c r="N2097" s="20" t="s">
        <v>80</v>
      </c>
      <c r="O2097" s="19" t="s">
        <v>12</v>
      </c>
      <c r="P2097" s="10"/>
      <c r="Q2097" s="11"/>
    </row>
    <row r="2098" spans="2:17" ht="21" customHeight="1" x14ac:dyDescent="0.35">
      <c r="B2098" s="1">
        <v>44076</v>
      </c>
      <c r="C2098" s="1" t="str">
        <f>TEXT(Sales[[#This Row],[Kode Program/Kegiatan ]],"D")</f>
        <v>2</v>
      </c>
      <c r="D2098" s="2" t="str">
        <f>TEXT(Sales[[#This Row],[Kode Program/Kegiatan ]],"mmm")</f>
        <v>Sep</v>
      </c>
      <c r="E2098" s="3">
        <v>4</v>
      </c>
      <c r="F2098" s="2">
        <v>3</v>
      </c>
      <c r="G2098" s="3">
        <f>IF(Sales[[#This Row],[Anggaran Murni]]-Sales[[#This Row],[Target s.d. Januari]]=0,"",Sales[[#This Row],[Anggaran Murni]]-Sales[[#This Row],[Target s.d. Januari]])</f>
        <v>1</v>
      </c>
      <c r="H2098" s="2" t="s">
        <v>71</v>
      </c>
      <c r="I2098" s="3" t="s">
        <v>6</v>
      </c>
      <c r="J2098" s="3">
        <v>100000000</v>
      </c>
      <c r="K2098" s="2" t="s">
        <v>21</v>
      </c>
      <c r="L2098" s="2" t="s">
        <v>9</v>
      </c>
      <c r="M2098" s="4" t="s">
        <v>67</v>
      </c>
      <c r="N2098" s="3" t="s">
        <v>81</v>
      </c>
      <c r="O2098" s="2" t="s">
        <v>11</v>
      </c>
      <c r="P2098" s="10"/>
      <c r="Q2098" s="11"/>
    </row>
    <row r="2099" spans="2:17" ht="21" customHeight="1" x14ac:dyDescent="0.35">
      <c r="B2099" s="18">
        <v>44077</v>
      </c>
      <c r="C2099" s="18" t="str">
        <f>TEXT(Sales[[#This Row],[Kode Program/Kegiatan ]],"D")</f>
        <v>3</v>
      </c>
      <c r="D2099" s="19" t="str">
        <f>TEXT(Sales[[#This Row],[Kode Program/Kegiatan ]],"mmm")</f>
        <v>Sep</v>
      </c>
      <c r="E2099" s="20">
        <v>10</v>
      </c>
      <c r="F2099" s="19">
        <v>9</v>
      </c>
      <c r="G2099" s="20">
        <f>IF(Sales[[#This Row],[Anggaran Murni]]-Sales[[#This Row],[Target s.d. Januari]]=0,"",Sales[[#This Row],[Anggaran Murni]]-Sales[[#This Row],[Target s.d. Januari]])</f>
        <v>1</v>
      </c>
      <c r="H2099" s="19" t="s">
        <v>72</v>
      </c>
      <c r="I2099" s="20" t="s">
        <v>78</v>
      </c>
      <c r="J2099" s="20">
        <v>60000000</v>
      </c>
      <c r="K2099" s="19" t="s">
        <v>31</v>
      </c>
      <c r="L2099" s="19" t="s">
        <v>2</v>
      </c>
      <c r="M2099" s="21" t="s">
        <v>67</v>
      </c>
      <c r="N2099" s="20" t="s">
        <v>81</v>
      </c>
      <c r="O2099" s="19" t="s">
        <v>13</v>
      </c>
      <c r="P2099" s="10"/>
      <c r="Q2099" s="11"/>
    </row>
    <row r="2100" spans="2:17" ht="21" customHeight="1" x14ac:dyDescent="0.35">
      <c r="B2100" s="1">
        <v>44077</v>
      </c>
      <c r="C2100" s="1" t="str">
        <f>TEXT(Sales[[#This Row],[Kode Program/Kegiatan ]],"D")</f>
        <v>3</v>
      </c>
      <c r="D2100" s="2" t="str">
        <f>TEXT(Sales[[#This Row],[Kode Program/Kegiatan ]],"mmm")</f>
        <v>Sep</v>
      </c>
      <c r="E2100" s="3">
        <v>9</v>
      </c>
      <c r="F2100" s="2">
        <v>8</v>
      </c>
      <c r="G2100" s="3">
        <f>IF(Sales[[#This Row],[Anggaran Murni]]-Sales[[#This Row],[Target s.d. Januari]]=0,"",Sales[[#This Row],[Anggaran Murni]]-Sales[[#This Row],[Target s.d. Januari]])</f>
        <v>1</v>
      </c>
      <c r="H2100" s="2" t="s">
        <v>76</v>
      </c>
      <c r="I2100" s="3" t="s">
        <v>79</v>
      </c>
      <c r="J2100" s="3">
        <v>60000000</v>
      </c>
      <c r="K2100" s="2" t="s">
        <v>31</v>
      </c>
      <c r="L2100" s="2" t="s">
        <v>5</v>
      </c>
      <c r="M2100" s="4" t="s">
        <v>67</v>
      </c>
      <c r="N2100" s="3" t="s">
        <v>82</v>
      </c>
      <c r="O2100" s="2" t="s">
        <v>13</v>
      </c>
      <c r="P2100" s="10"/>
      <c r="Q2100" s="11"/>
    </row>
    <row r="2101" spans="2:17" ht="21" customHeight="1" x14ac:dyDescent="0.35">
      <c r="B2101" s="18">
        <v>44077</v>
      </c>
      <c r="C2101" s="18" t="str">
        <f>TEXT(Sales[[#This Row],[Kode Program/Kegiatan ]],"D")</f>
        <v>3</v>
      </c>
      <c r="D2101" s="19" t="str">
        <f>TEXT(Sales[[#This Row],[Kode Program/Kegiatan ]],"mmm")</f>
        <v>Sep</v>
      </c>
      <c r="E2101" s="20">
        <v>9</v>
      </c>
      <c r="F2101" s="19">
        <v>5</v>
      </c>
      <c r="G2101" s="20">
        <f>IF(Sales[[#This Row],[Anggaran Murni]]-Sales[[#This Row],[Target s.d. Januari]]=0,"",Sales[[#This Row],[Anggaran Murni]]-Sales[[#This Row],[Target s.d. Januari]])</f>
        <v>4</v>
      </c>
      <c r="H2101" s="19" t="s">
        <v>76</v>
      </c>
      <c r="I2101" s="20" t="s">
        <v>79</v>
      </c>
      <c r="J2101" s="20">
        <v>40000000</v>
      </c>
      <c r="K2101" s="19" t="s">
        <v>56</v>
      </c>
      <c r="L2101" s="19" t="s">
        <v>2</v>
      </c>
      <c r="M2101" s="21" t="s">
        <v>67</v>
      </c>
      <c r="N2101" s="20" t="s">
        <v>81</v>
      </c>
      <c r="O2101" s="19" t="s">
        <v>11</v>
      </c>
      <c r="P2101" s="10"/>
      <c r="Q2101" s="11"/>
    </row>
    <row r="2102" spans="2:17" ht="21" customHeight="1" x14ac:dyDescent="0.35">
      <c r="B2102" s="1">
        <v>44077</v>
      </c>
      <c r="C2102" s="1" t="str">
        <f>TEXT(Sales[[#This Row],[Kode Program/Kegiatan ]],"D")</f>
        <v>3</v>
      </c>
      <c r="D2102" s="2" t="str">
        <f>TEXT(Sales[[#This Row],[Kode Program/Kegiatan ]],"mmm")</f>
        <v>Sep</v>
      </c>
      <c r="E2102" s="3">
        <v>7</v>
      </c>
      <c r="F2102" s="2">
        <v>5</v>
      </c>
      <c r="G2102" s="3">
        <f>IF(Sales[[#This Row],[Anggaran Murni]]-Sales[[#This Row],[Target s.d. Januari]]=0,"",Sales[[#This Row],[Anggaran Murni]]-Sales[[#This Row],[Target s.d. Januari]])</f>
        <v>2</v>
      </c>
      <c r="H2102" s="2" t="s">
        <v>74</v>
      </c>
      <c r="I2102" s="3" t="s">
        <v>77</v>
      </c>
      <c r="J2102" s="3">
        <v>40000000</v>
      </c>
      <c r="K2102" s="2" t="s">
        <v>42</v>
      </c>
      <c r="L2102" s="2" t="s">
        <v>2</v>
      </c>
      <c r="M2102" s="4" t="s">
        <v>67</v>
      </c>
      <c r="N2102" s="3" t="s">
        <v>81</v>
      </c>
      <c r="O2102" s="2" t="s">
        <v>12</v>
      </c>
      <c r="P2102" s="10"/>
      <c r="Q2102" s="11"/>
    </row>
    <row r="2103" spans="2:17" ht="21" customHeight="1" x14ac:dyDescent="0.35">
      <c r="B2103" s="18">
        <v>44077</v>
      </c>
      <c r="C2103" s="18" t="str">
        <f>TEXT(Sales[[#This Row],[Kode Program/Kegiatan ]],"D")</f>
        <v>3</v>
      </c>
      <c r="D2103" s="19" t="str">
        <f>TEXT(Sales[[#This Row],[Kode Program/Kegiatan ]],"mmm")</f>
        <v>Sep</v>
      </c>
      <c r="E2103" s="20">
        <v>7</v>
      </c>
      <c r="F2103" s="19">
        <v>4</v>
      </c>
      <c r="G2103" s="20">
        <f>IF(Sales[[#This Row],[Anggaran Murni]]-Sales[[#This Row],[Target s.d. Januari]]=0,"",Sales[[#This Row],[Anggaran Murni]]-Sales[[#This Row],[Target s.d. Januari]])</f>
        <v>3</v>
      </c>
      <c r="H2103" s="19" t="s">
        <v>72</v>
      </c>
      <c r="I2103" s="20" t="s">
        <v>78</v>
      </c>
      <c r="J2103" s="20">
        <v>140000000</v>
      </c>
      <c r="K2103" s="19" t="s">
        <v>64</v>
      </c>
      <c r="L2103" s="19" t="s">
        <v>5</v>
      </c>
      <c r="M2103" s="21" t="s">
        <v>67</v>
      </c>
      <c r="N2103" s="20" t="s">
        <v>81</v>
      </c>
      <c r="O2103" s="19" t="s">
        <v>14</v>
      </c>
      <c r="P2103" s="10"/>
      <c r="Q2103" s="11"/>
    </row>
    <row r="2104" spans="2:17" ht="21" customHeight="1" x14ac:dyDescent="0.35">
      <c r="B2104" s="1">
        <v>44077</v>
      </c>
      <c r="C2104" s="1" t="str">
        <f>TEXT(Sales[[#This Row],[Kode Program/Kegiatan ]],"D")</f>
        <v>3</v>
      </c>
      <c r="D2104" s="2" t="str">
        <f>TEXT(Sales[[#This Row],[Kode Program/Kegiatan ]],"mmm")</f>
        <v>Sep</v>
      </c>
      <c r="E2104" s="3">
        <v>7</v>
      </c>
      <c r="F2104" s="2">
        <v>5</v>
      </c>
      <c r="G2104" s="3">
        <f>IF(Sales[[#This Row],[Anggaran Murni]]-Sales[[#This Row],[Target s.d. Januari]]=0,"",Sales[[#This Row],[Anggaran Murni]]-Sales[[#This Row],[Target s.d. Januari]])</f>
        <v>2</v>
      </c>
      <c r="H2104" s="2" t="s">
        <v>72</v>
      </c>
      <c r="I2104" s="3" t="s">
        <v>78</v>
      </c>
      <c r="J2104" s="3">
        <v>140000000</v>
      </c>
      <c r="K2104" s="2" t="s">
        <v>46</v>
      </c>
      <c r="L2104" s="2" t="s">
        <v>8</v>
      </c>
      <c r="M2104" s="4" t="s">
        <v>67</v>
      </c>
      <c r="N2104" s="3" t="s">
        <v>81</v>
      </c>
      <c r="O2104" s="2" t="s">
        <v>11</v>
      </c>
      <c r="P2104" s="10"/>
      <c r="Q2104" s="11"/>
    </row>
    <row r="2105" spans="2:17" ht="21" customHeight="1" x14ac:dyDescent="0.35">
      <c r="B2105" s="18">
        <v>44077</v>
      </c>
      <c r="C2105" s="18" t="str">
        <f>TEXT(Sales[[#This Row],[Kode Program/Kegiatan ]],"D")</f>
        <v>3</v>
      </c>
      <c r="D2105" s="19" t="str">
        <f>TEXT(Sales[[#This Row],[Kode Program/Kegiatan ]],"mmm")</f>
        <v>Sep</v>
      </c>
      <c r="E2105" s="20">
        <v>6</v>
      </c>
      <c r="F2105" s="19">
        <v>5</v>
      </c>
      <c r="G2105" s="20">
        <f>IF(Sales[[#This Row],[Anggaran Murni]]-Sales[[#This Row],[Target s.d. Januari]]=0,"",Sales[[#This Row],[Anggaran Murni]]-Sales[[#This Row],[Target s.d. Januari]])</f>
        <v>1</v>
      </c>
      <c r="H2105" s="19" t="s">
        <v>114</v>
      </c>
      <c r="I2105" s="20" t="s">
        <v>3</v>
      </c>
      <c r="J2105" s="20">
        <v>40000000</v>
      </c>
      <c r="K2105" s="19" t="s">
        <v>45</v>
      </c>
      <c r="L2105" s="19" t="s">
        <v>5</v>
      </c>
      <c r="M2105" s="21" t="s">
        <v>67</v>
      </c>
      <c r="N2105" s="20" t="s">
        <v>81</v>
      </c>
      <c r="O2105" s="19" t="s">
        <v>14</v>
      </c>
      <c r="P2105" s="10"/>
      <c r="Q2105" s="11"/>
    </row>
    <row r="2106" spans="2:17" ht="21" customHeight="1" x14ac:dyDescent="0.35">
      <c r="B2106" s="1">
        <v>44077</v>
      </c>
      <c r="C2106" s="1" t="str">
        <f>TEXT(Sales[[#This Row],[Kode Program/Kegiatan ]],"D")</f>
        <v>3</v>
      </c>
      <c r="D2106" s="2" t="str">
        <f>TEXT(Sales[[#This Row],[Kode Program/Kegiatan ]],"mmm")</f>
        <v>Sep</v>
      </c>
      <c r="E2106" s="3">
        <v>4</v>
      </c>
      <c r="F2106" s="2">
        <v>2</v>
      </c>
      <c r="G2106" s="3">
        <f>IF(Sales[[#This Row],[Anggaran Murni]]-Sales[[#This Row],[Target s.d. Januari]]=0,"",Sales[[#This Row],[Anggaran Murni]]-Sales[[#This Row],[Target s.d. Januari]])</f>
        <v>2</v>
      </c>
      <c r="H2106" s="2" t="s">
        <v>73</v>
      </c>
      <c r="I2106" s="3" t="s">
        <v>78</v>
      </c>
      <c r="J2106" s="3">
        <v>100000000</v>
      </c>
      <c r="K2106" s="2" t="s">
        <v>52</v>
      </c>
      <c r="L2106" s="2" t="s">
        <v>2</v>
      </c>
      <c r="M2106" s="4" t="s">
        <v>67</v>
      </c>
      <c r="N2106" s="3" t="s">
        <v>81</v>
      </c>
      <c r="O2106" s="2" t="s">
        <v>11</v>
      </c>
      <c r="P2106" s="10"/>
      <c r="Q2106" s="11"/>
    </row>
    <row r="2107" spans="2:17" ht="21" customHeight="1" x14ac:dyDescent="0.35">
      <c r="B2107" s="18">
        <v>44077</v>
      </c>
      <c r="C2107" s="18" t="str">
        <f>TEXT(Sales[[#This Row],[Kode Program/Kegiatan ]],"D")</f>
        <v>3</v>
      </c>
      <c r="D2107" s="19" t="str">
        <f>TEXT(Sales[[#This Row],[Kode Program/Kegiatan ]],"mmm")</f>
        <v>Sep</v>
      </c>
      <c r="E2107" s="20">
        <v>4</v>
      </c>
      <c r="F2107" s="19">
        <v>3</v>
      </c>
      <c r="G2107" s="20">
        <f>IF(Sales[[#This Row],[Anggaran Murni]]-Sales[[#This Row],[Target s.d. Januari]]=0,"",Sales[[#This Row],[Anggaran Murni]]-Sales[[#This Row],[Target s.d. Januari]])</f>
        <v>1</v>
      </c>
      <c r="H2107" s="19" t="s">
        <v>113</v>
      </c>
      <c r="I2107" s="20" t="s">
        <v>77</v>
      </c>
      <c r="J2107" s="20">
        <v>60000000</v>
      </c>
      <c r="K2107" s="19" t="s">
        <v>32</v>
      </c>
      <c r="L2107" s="19" t="s">
        <v>4</v>
      </c>
      <c r="M2107" s="21" t="s">
        <v>67</v>
      </c>
      <c r="N2107" s="20" t="s">
        <v>81</v>
      </c>
      <c r="O2107" s="19" t="s">
        <v>13</v>
      </c>
      <c r="P2107" s="10"/>
      <c r="Q2107" s="11"/>
    </row>
    <row r="2108" spans="2:17" ht="21" customHeight="1" x14ac:dyDescent="0.35">
      <c r="B2108" s="1">
        <v>44078</v>
      </c>
      <c r="C2108" s="1" t="str">
        <f>TEXT(Sales[[#This Row],[Kode Program/Kegiatan ]],"D")</f>
        <v>4</v>
      </c>
      <c r="D2108" s="2" t="str">
        <f>TEXT(Sales[[#This Row],[Kode Program/Kegiatan ]],"mmm")</f>
        <v>Sep</v>
      </c>
      <c r="E2108" s="3">
        <v>10</v>
      </c>
      <c r="F2108" s="2">
        <v>8</v>
      </c>
      <c r="G2108" s="3">
        <f>IF(Sales[[#This Row],[Anggaran Murni]]-Sales[[#This Row],[Target s.d. Januari]]=0,"",Sales[[#This Row],[Anggaran Murni]]-Sales[[#This Row],[Target s.d. Januari]])</f>
        <v>2</v>
      </c>
      <c r="H2108" s="2" t="s">
        <v>71</v>
      </c>
      <c r="I2108" s="3" t="s">
        <v>6</v>
      </c>
      <c r="J2108" s="3">
        <v>60000000</v>
      </c>
      <c r="K2108" s="2" t="s">
        <v>15</v>
      </c>
      <c r="L2108" s="2" t="s">
        <v>5</v>
      </c>
      <c r="M2108" s="4" t="s">
        <v>67</v>
      </c>
      <c r="N2108" s="3" t="s">
        <v>82</v>
      </c>
      <c r="O2108" s="2" t="s">
        <v>13</v>
      </c>
      <c r="P2108" s="10"/>
      <c r="Q2108" s="11"/>
    </row>
    <row r="2109" spans="2:17" ht="21" customHeight="1" x14ac:dyDescent="0.35">
      <c r="B2109" s="18">
        <v>44078</v>
      </c>
      <c r="C2109" s="18" t="str">
        <f>TEXT(Sales[[#This Row],[Kode Program/Kegiatan ]],"D")</f>
        <v>4</v>
      </c>
      <c r="D2109" s="19" t="str">
        <f>TEXT(Sales[[#This Row],[Kode Program/Kegiatan ]],"mmm")</f>
        <v>Sep</v>
      </c>
      <c r="E2109" s="20">
        <v>10</v>
      </c>
      <c r="F2109" s="19">
        <v>6</v>
      </c>
      <c r="G2109" s="20">
        <f>IF(Sales[[#This Row],[Anggaran Murni]]-Sales[[#This Row],[Target s.d. Januari]]=0,"",Sales[[#This Row],[Anggaran Murni]]-Sales[[#This Row],[Target s.d. Januari]])</f>
        <v>4</v>
      </c>
      <c r="H2109" s="19" t="s">
        <v>76</v>
      </c>
      <c r="I2109" s="20" t="s">
        <v>79</v>
      </c>
      <c r="J2109" s="20">
        <v>120000000</v>
      </c>
      <c r="K2109" s="19" t="s">
        <v>27</v>
      </c>
      <c r="L2109" s="19" t="s">
        <v>2</v>
      </c>
      <c r="M2109" s="21" t="s">
        <v>67</v>
      </c>
      <c r="N2109" s="20" t="s">
        <v>81</v>
      </c>
      <c r="O2109" s="19" t="s">
        <v>14</v>
      </c>
      <c r="P2109" s="10"/>
      <c r="Q2109" s="11"/>
    </row>
    <row r="2110" spans="2:17" ht="21" customHeight="1" x14ac:dyDescent="0.35">
      <c r="B2110" s="1">
        <v>44078</v>
      </c>
      <c r="C2110" s="1" t="str">
        <f>TEXT(Sales[[#This Row],[Kode Program/Kegiatan ]],"D")</f>
        <v>4</v>
      </c>
      <c r="D2110" s="2" t="str">
        <f>TEXT(Sales[[#This Row],[Kode Program/Kegiatan ]],"mmm")</f>
        <v>Sep</v>
      </c>
      <c r="E2110" s="3">
        <v>10</v>
      </c>
      <c r="F2110" s="2">
        <v>7</v>
      </c>
      <c r="G2110" s="3">
        <f>IF(Sales[[#This Row],[Anggaran Murni]]-Sales[[#This Row],[Target s.d. Januari]]=0,"",Sales[[#This Row],[Anggaran Murni]]-Sales[[#This Row],[Target s.d. Januari]])</f>
        <v>3</v>
      </c>
      <c r="H2110" s="2" t="s">
        <v>113</v>
      </c>
      <c r="I2110" s="3" t="s">
        <v>77</v>
      </c>
      <c r="J2110" s="3">
        <v>80000000</v>
      </c>
      <c r="K2110" s="2" t="s">
        <v>48</v>
      </c>
      <c r="L2110" s="2" t="s">
        <v>5</v>
      </c>
      <c r="M2110" s="4" t="s">
        <v>67</v>
      </c>
      <c r="N2110" s="3" t="s">
        <v>80</v>
      </c>
      <c r="O2110" s="2" t="s">
        <v>12</v>
      </c>
      <c r="P2110" s="10"/>
      <c r="Q2110" s="11"/>
    </row>
    <row r="2111" spans="2:17" ht="21" customHeight="1" x14ac:dyDescent="0.35">
      <c r="B2111" s="18">
        <v>44078</v>
      </c>
      <c r="C2111" s="18" t="str">
        <f>TEXT(Sales[[#This Row],[Kode Program/Kegiatan ]],"D")</f>
        <v>4</v>
      </c>
      <c r="D2111" s="19" t="str">
        <f>TEXT(Sales[[#This Row],[Kode Program/Kegiatan ]],"mmm")</f>
        <v>Sep</v>
      </c>
      <c r="E2111" s="20">
        <v>10</v>
      </c>
      <c r="F2111" s="19">
        <v>6</v>
      </c>
      <c r="G2111" s="20">
        <f>IF(Sales[[#This Row],[Anggaran Murni]]-Sales[[#This Row],[Target s.d. Januari]]=0,"",Sales[[#This Row],[Anggaran Murni]]-Sales[[#This Row],[Target s.d. Januari]])</f>
        <v>4</v>
      </c>
      <c r="H2111" s="19" t="s">
        <v>114</v>
      </c>
      <c r="I2111" s="20" t="s">
        <v>3</v>
      </c>
      <c r="J2111" s="20">
        <v>40000000</v>
      </c>
      <c r="K2111" s="19" t="s">
        <v>31</v>
      </c>
      <c r="L2111" s="19" t="s">
        <v>7</v>
      </c>
      <c r="M2111" s="21" t="s">
        <v>67</v>
      </c>
      <c r="N2111" s="20" t="s">
        <v>81</v>
      </c>
      <c r="O2111" s="19" t="s">
        <v>14</v>
      </c>
      <c r="P2111" s="10"/>
      <c r="Q2111" s="11"/>
    </row>
    <row r="2112" spans="2:17" ht="21" customHeight="1" x14ac:dyDescent="0.35">
      <c r="B2112" s="1">
        <v>44078</v>
      </c>
      <c r="C2112" s="1" t="str">
        <f>TEXT(Sales[[#This Row],[Kode Program/Kegiatan ]],"D")</f>
        <v>4</v>
      </c>
      <c r="D2112" s="2" t="str">
        <f>TEXT(Sales[[#This Row],[Kode Program/Kegiatan ]],"mmm")</f>
        <v>Sep</v>
      </c>
      <c r="E2112" s="3">
        <v>9</v>
      </c>
      <c r="F2112" s="2">
        <v>8</v>
      </c>
      <c r="G2112" s="3">
        <f>IF(Sales[[#This Row],[Anggaran Murni]]-Sales[[#This Row],[Target s.d. Januari]]=0,"",Sales[[#This Row],[Anggaran Murni]]-Sales[[#This Row],[Target s.d. Januari]])</f>
        <v>1</v>
      </c>
      <c r="H2112" s="2" t="s">
        <v>76</v>
      </c>
      <c r="I2112" s="3" t="s">
        <v>79</v>
      </c>
      <c r="J2112" s="3">
        <v>80000000</v>
      </c>
      <c r="K2112" s="2" t="s">
        <v>51</v>
      </c>
      <c r="L2112" s="2" t="s">
        <v>2</v>
      </c>
      <c r="M2112" s="4" t="s">
        <v>67</v>
      </c>
      <c r="N2112" s="3" t="s">
        <v>80</v>
      </c>
      <c r="O2112" s="2" t="s">
        <v>12</v>
      </c>
      <c r="P2112" s="10"/>
      <c r="Q2112" s="11"/>
    </row>
    <row r="2113" spans="2:17" ht="21" customHeight="1" x14ac:dyDescent="0.35">
      <c r="B2113" s="18">
        <v>44078</v>
      </c>
      <c r="C2113" s="18" t="str">
        <f>TEXT(Sales[[#This Row],[Kode Program/Kegiatan ]],"D")</f>
        <v>4</v>
      </c>
      <c r="D2113" s="19" t="str">
        <f>TEXT(Sales[[#This Row],[Kode Program/Kegiatan ]],"mmm")</f>
        <v>Sep</v>
      </c>
      <c r="E2113" s="20">
        <v>8</v>
      </c>
      <c r="F2113" s="19">
        <v>7</v>
      </c>
      <c r="G2113" s="20">
        <f>IF(Sales[[#This Row],[Anggaran Murni]]-Sales[[#This Row],[Target s.d. Januari]]=0,"",Sales[[#This Row],[Anggaran Murni]]-Sales[[#This Row],[Target s.d. Januari]])</f>
        <v>1</v>
      </c>
      <c r="H2113" s="19" t="s">
        <v>72</v>
      </c>
      <c r="I2113" s="20" t="s">
        <v>78</v>
      </c>
      <c r="J2113" s="20">
        <v>120000000</v>
      </c>
      <c r="K2113" s="19" t="s">
        <v>43</v>
      </c>
      <c r="L2113" s="19" t="s">
        <v>2</v>
      </c>
      <c r="M2113" s="21" t="s">
        <v>67</v>
      </c>
      <c r="N2113" s="20" t="s">
        <v>80</v>
      </c>
      <c r="O2113" s="19" t="s">
        <v>12</v>
      </c>
      <c r="P2113" s="10"/>
      <c r="Q2113" s="11"/>
    </row>
    <row r="2114" spans="2:17" ht="21" customHeight="1" x14ac:dyDescent="0.35">
      <c r="B2114" s="1">
        <v>44078</v>
      </c>
      <c r="C2114" s="1" t="str">
        <f>TEXT(Sales[[#This Row],[Kode Program/Kegiatan ]],"D")</f>
        <v>4</v>
      </c>
      <c r="D2114" s="2" t="str">
        <f>TEXT(Sales[[#This Row],[Kode Program/Kegiatan ]],"mmm")</f>
        <v>Sep</v>
      </c>
      <c r="E2114" s="3">
        <v>8</v>
      </c>
      <c r="F2114" s="2">
        <v>5</v>
      </c>
      <c r="G2114" s="3">
        <f>IF(Sales[[#This Row],[Anggaran Murni]]-Sales[[#This Row],[Target s.d. Januari]]=0,"",Sales[[#This Row],[Anggaran Murni]]-Sales[[#This Row],[Target s.d. Januari]])</f>
        <v>3</v>
      </c>
      <c r="H2114" s="2" t="s">
        <v>70</v>
      </c>
      <c r="I2114" s="3" t="s">
        <v>1</v>
      </c>
      <c r="J2114" s="3">
        <v>60000000</v>
      </c>
      <c r="K2114" s="2" t="s">
        <v>39</v>
      </c>
      <c r="L2114" s="2" t="s">
        <v>5</v>
      </c>
      <c r="M2114" s="4" t="s">
        <v>67</v>
      </c>
      <c r="N2114" s="3" t="s">
        <v>80</v>
      </c>
      <c r="O2114" s="2" t="s">
        <v>11</v>
      </c>
      <c r="P2114" s="10"/>
      <c r="Q2114" s="11"/>
    </row>
    <row r="2115" spans="2:17" ht="21" customHeight="1" x14ac:dyDescent="0.35">
      <c r="B2115" s="18">
        <v>44078</v>
      </c>
      <c r="C2115" s="18" t="str">
        <f>TEXT(Sales[[#This Row],[Kode Program/Kegiatan ]],"D")</f>
        <v>4</v>
      </c>
      <c r="D2115" s="19" t="str">
        <f>TEXT(Sales[[#This Row],[Kode Program/Kegiatan ]],"mmm")</f>
        <v>Sep</v>
      </c>
      <c r="E2115" s="20">
        <v>7</v>
      </c>
      <c r="F2115" s="19">
        <v>6</v>
      </c>
      <c r="G2115" s="20">
        <f>IF(Sales[[#This Row],[Anggaran Murni]]-Sales[[#This Row],[Target s.d. Januari]]=0,"",Sales[[#This Row],[Anggaran Murni]]-Sales[[#This Row],[Target s.d. Januari]])</f>
        <v>1</v>
      </c>
      <c r="H2115" s="19" t="s">
        <v>71</v>
      </c>
      <c r="I2115" s="20" t="s">
        <v>6</v>
      </c>
      <c r="J2115" s="20">
        <v>100000000</v>
      </c>
      <c r="K2115" s="19" t="s">
        <v>40</v>
      </c>
      <c r="L2115" s="19" t="s">
        <v>5</v>
      </c>
      <c r="M2115" s="21" t="s">
        <v>67</v>
      </c>
      <c r="N2115" s="20" t="s">
        <v>82</v>
      </c>
      <c r="O2115" s="19" t="s">
        <v>12</v>
      </c>
      <c r="P2115" s="10"/>
      <c r="Q2115" s="11"/>
    </row>
    <row r="2116" spans="2:17" ht="21" customHeight="1" x14ac:dyDescent="0.35">
      <c r="B2116" s="1">
        <v>44078</v>
      </c>
      <c r="C2116" s="1" t="str">
        <f>TEXT(Sales[[#This Row],[Kode Program/Kegiatan ]],"D")</f>
        <v>4</v>
      </c>
      <c r="D2116" s="2" t="str">
        <f>TEXT(Sales[[#This Row],[Kode Program/Kegiatan ]],"mmm")</f>
        <v>Sep</v>
      </c>
      <c r="E2116" s="3">
        <v>5</v>
      </c>
      <c r="F2116" s="2">
        <v>4</v>
      </c>
      <c r="G2116" s="3">
        <f>IF(Sales[[#This Row],[Anggaran Murni]]-Sales[[#This Row],[Target s.d. Januari]]=0,"",Sales[[#This Row],[Anggaran Murni]]-Sales[[#This Row],[Target s.d. Januari]])</f>
        <v>1</v>
      </c>
      <c r="H2116" s="2" t="s">
        <v>70</v>
      </c>
      <c r="I2116" s="3" t="s">
        <v>1</v>
      </c>
      <c r="J2116" s="3">
        <v>100000000</v>
      </c>
      <c r="K2116" s="2" t="s">
        <v>16</v>
      </c>
      <c r="L2116" s="2" t="s">
        <v>2</v>
      </c>
      <c r="M2116" s="4" t="s">
        <v>67</v>
      </c>
      <c r="N2116" s="3" t="s">
        <v>81</v>
      </c>
      <c r="O2116" s="2" t="s">
        <v>14</v>
      </c>
      <c r="P2116" s="10"/>
      <c r="Q2116" s="11"/>
    </row>
    <row r="2117" spans="2:17" ht="21" customHeight="1" x14ac:dyDescent="0.35">
      <c r="B2117" s="18">
        <v>44078</v>
      </c>
      <c r="C2117" s="18" t="str">
        <f>TEXT(Sales[[#This Row],[Kode Program/Kegiatan ]],"D")</f>
        <v>4</v>
      </c>
      <c r="D2117" s="19" t="str">
        <f>TEXT(Sales[[#This Row],[Kode Program/Kegiatan ]],"mmm")</f>
        <v>Sep</v>
      </c>
      <c r="E2117" s="20">
        <v>4</v>
      </c>
      <c r="F2117" s="19">
        <v>3</v>
      </c>
      <c r="G2117" s="20">
        <f>IF(Sales[[#This Row],[Anggaran Murni]]-Sales[[#This Row],[Target s.d. Januari]]=0,"",Sales[[#This Row],[Anggaran Murni]]-Sales[[#This Row],[Target s.d. Januari]])</f>
        <v>1</v>
      </c>
      <c r="H2117" s="19" t="s">
        <v>76</v>
      </c>
      <c r="I2117" s="20" t="s">
        <v>79</v>
      </c>
      <c r="J2117" s="20">
        <v>60000000</v>
      </c>
      <c r="K2117" s="19" t="s">
        <v>49</v>
      </c>
      <c r="L2117" s="19" t="s">
        <v>5</v>
      </c>
      <c r="M2117" s="21" t="s">
        <v>67</v>
      </c>
      <c r="N2117" s="20" t="s">
        <v>80</v>
      </c>
      <c r="O2117" s="19" t="s">
        <v>13</v>
      </c>
      <c r="P2117" s="10"/>
      <c r="Q2117" s="11"/>
    </row>
    <row r="2118" spans="2:17" ht="21" customHeight="1" x14ac:dyDescent="0.35">
      <c r="B2118" s="1">
        <v>44078</v>
      </c>
      <c r="C2118" s="1" t="str">
        <f>TEXT(Sales[[#This Row],[Kode Program/Kegiatan ]],"D")</f>
        <v>4</v>
      </c>
      <c r="D2118" s="2" t="str">
        <f>TEXT(Sales[[#This Row],[Kode Program/Kegiatan ]],"mmm")</f>
        <v>Sep</v>
      </c>
      <c r="E2118" s="3">
        <v>3</v>
      </c>
      <c r="F2118" s="2">
        <v>2</v>
      </c>
      <c r="G2118" s="3">
        <f>IF(Sales[[#This Row],[Anggaran Murni]]-Sales[[#This Row],[Target s.d. Januari]]=0,"",Sales[[#This Row],[Anggaran Murni]]-Sales[[#This Row],[Target s.d. Januari]])</f>
        <v>1</v>
      </c>
      <c r="H2118" s="2" t="s">
        <v>70</v>
      </c>
      <c r="I2118" s="3" t="s">
        <v>1</v>
      </c>
      <c r="J2118" s="3">
        <v>100000000</v>
      </c>
      <c r="K2118" s="2" t="s">
        <v>35</v>
      </c>
      <c r="L2118" s="2" t="s">
        <v>9</v>
      </c>
      <c r="M2118" s="4" t="s">
        <v>67</v>
      </c>
      <c r="N2118" s="3" t="s">
        <v>80</v>
      </c>
      <c r="O2118" s="2" t="s">
        <v>12</v>
      </c>
      <c r="P2118" s="10"/>
      <c r="Q2118" s="11"/>
    </row>
    <row r="2119" spans="2:17" ht="21" customHeight="1" x14ac:dyDescent="0.35">
      <c r="B2119" s="18">
        <v>44079</v>
      </c>
      <c r="C2119" s="18" t="str">
        <f>TEXT(Sales[[#This Row],[Kode Program/Kegiatan ]],"D")</f>
        <v>5</v>
      </c>
      <c r="D2119" s="19" t="str">
        <f>TEXT(Sales[[#This Row],[Kode Program/Kegiatan ]],"mmm")</f>
        <v>Sep</v>
      </c>
      <c r="E2119" s="20">
        <v>10</v>
      </c>
      <c r="F2119" s="19">
        <v>9</v>
      </c>
      <c r="G2119" s="20">
        <f>IF(Sales[[#This Row],[Anggaran Murni]]-Sales[[#This Row],[Target s.d. Januari]]=0,"",Sales[[#This Row],[Anggaran Murni]]-Sales[[#This Row],[Target s.d. Januari]])</f>
        <v>1</v>
      </c>
      <c r="H2119" s="19" t="s">
        <v>114</v>
      </c>
      <c r="I2119" s="20" t="s">
        <v>3</v>
      </c>
      <c r="J2119" s="20">
        <v>120000000</v>
      </c>
      <c r="K2119" s="19" t="s">
        <v>29</v>
      </c>
      <c r="L2119" s="19" t="s">
        <v>5</v>
      </c>
      <c r="M2119" s="21" t="s">
        <v>67</v>
      </c>
      <c r="N2119" s="20" t="s">
        <v>82</v>
      </c>
      <c r="O2119" s="19" t="s">
        <v>13</v>
      </c>
      <c r="P2119" s="10"/>
      <c r="Q2119" s="11"/>
    </row>
    <row r="2120" spans="2:17" ht="21" customHeight="1" x14ac:dyDescent="0.35">
      <c r="B2120" s="1">
        <v>44079</v>
      </c>
      <c r="C2120" s="1" t="str">
        <f>TEXT(Sales[[#This Row],[Kode Program/Kegiatan ]],"D")</f>
        <v>5</v>
      </c>
      <c r="D2120" s="2" t="str">
        <f>TEXT(Sales[[#This Row],[Kode Program/Kegiatan ]],"mmm")</f>
        <v>Sep</v>
      </c>
      <c r="E2120" s="3">
        <v>10</v>
      </c>
      <c r="F2120" s="2">
        <v>7</v>
      </c>
      <c r="G2120" s="3">
        <f>IF(Sales[[#This Row],[Anggaran Murni]]-Sales[[#This Row],[Target s.d. Januari]]=0,"",Sales[[#This Row],[Anggaran Murni]]-Sales[[#This Row],[Target s.d. Januari]])</f>
        <v>3</v>
      </c>
      <c r="H2120" s="2" t="s">
        <v>113</v>
      </c>
      <c r="I2120" s="3" t="s">
        <v>77</v>
      </c>
      <c r="J2120" s="3">
        <v>40000000</v>
      </c>
      <c r="K2120" s="2" t="s">
        <v>24</v>
      </c>
      <c r="L2120" s="2" t="s">
        <v>5</v>
      </c>
      <c r="M2120" s="4" t="s">
        <v>67</v>
      </c>
      <c r="N2120" s="3" t="s">
        <v>80</v>
      </c>
      <c r="O2120" s="2" t="s">
        <v>12</v>
      </c>
      <c r="P2120" s="10"/>
      <c r="Q2120" s="11"/>
    </row>
    <row r="2121" spans="2:17" ht="21" customHeight="1" x14ac:dyDescent="0.35">
      <c r="B2121" s="18">
        <v>44079</v>
      </c>
      <c r="C2121" s="18" t="str">
        <f>TEXT(Sales[[#This Row],[Kode Program/Kegiatan ]],"D")</f>
        <v>5</v>
      </c>
      <c r="D2121" s="19" t="str">
        <f>TEXT(Sales[[#This Row],[Kode Program/Kegiatan ]],"mmm")</f>
        <v>Sep</v>
      </c>
      <c r="E2121" s="20">
        <v>9</v>
      </c>
      <c r="F2121" s="19">
        <v>8</v>
      </c>
      <c r="G2121" s="20">
        <f>IF(Sales[[#This Row],[Anggaran Murni]]-Sales[[#This Row],[Target s.d. Januari]]=0,"",Sales[[#This Row],[Anggaran Murni]]-Sales[[#This Row],[Target s.d. Januari]])</f>
        <v>1</v>
      </c>
      <c r="H2121" s="19" t="s">
        <v>114</v>
      </c>
      <c r="I2121" s="20" t="s">
        <v>3</v>
      </c>
      <c r="J2121" s="20">
        <v>140000000</v>
      </c>
      <c r="K2121" s="19" t="s">
        <v>43</v>
      </c>
      <c r="L2121" s="19" t="s">
        <v>5</v>
      </c>
      <c r="M2121" s="21" t="s">
        <v>67</v>
      </c>
      <c r="N2121" s="20" t="s">
        <v>82</v>
      </c>
      <c r="O2121" s="19" t="s">
        <v>13</v>
      </c>
      <c r="P2121" s="10"/>
      <c r="Q2121" s="11"/>
    </row>
    <row r="2122" spans="2:17" ht="21" customHeight="1" x14ac:dyDescent="0.35">
      <c r="B2122" s="1">
        <v>44079</v>
      </c>
      <c r="C2122" s="1" t="str">
        <f>TEXT(Sales[[#This Row],[Kode Program/Kegiatan ]],"D")</f>
        <v>5</v>
      </c>
      <c r="D2122" s="2" t="str">
        <f>TEXT(Sales[[#This Row],[Kode Program/Kegiatan ]],"mmm")</f>
        <v>Sep</v>
      </c>
      <c r="E2122" s="3">
        <v>9</v>
      </c>
      <c r="F2122" s="2">
        <v>8</v>
      </c>
      <c r="G2122" s="3">
        <f>IF(Sales[[#This Row],[Anggaran Murni]]-Sales[[#This Row],[Target s.d. Januari]]=0,"",Sales[[#This Row],[Anggaran Murni]]-Sales[[#This Row],[Target s.d. Januari]])</f>
        <v>1</v>
      </c>
      <c r="H2122" s="2" t="s">
        <v>113</v>
      </c>
      <c r="I2122" s="3" t="s">
        <v>77</v>
      </c>
      <c r="J2122" s="3">
        <v>60000000</v>
      </c>
      <c r="K2122" s="2" t="s">
        <v>54</v>
      </c>
      <c r="L2122" s="2" t="s">
        <v>5</v>
      </c>
      <c r="M2122" s="4" t="s">
        <v>67</v>
      </c>
      <c r="N2122" s="3" t="s">
        <v>82</v>
      </c>
      <c r="O2122" s="2" t="s">
        <v>12</v>
      </c>
      <c r="P2122" s="10"/>
      <c r="Q2122" s="11"/>
    </row>
    <row r="2123" spans="2:17" ht="21" customHeight="1" x14ac:dyDescent="0.35">
      <c r="B2123" s="18">
        <v>44079</v>
      </c>
      <c r="C2123" s="18" t="str">
        <f>TEXT(Sales[[#This Row],[Kode Program/Kegiatan ]],"D")</f>
        <v>5</v>
      </c>
      <c r="D2123" s="19" t="str">
        <f>TEXT(Sales[[#This Row],[Kode Program/Kegiatan ]],"mmm")</f>
        <v>Sep</v>
      </c>
      <c r="E2123" s="20">
        <v>9</v>
      </c>
      <c r="F2123" s="19">
        <v>5</v>
      </c>
      <c r="G2123" s="20">
        <f>IF(Sales[[#This Row],[Anggaran Murni]]-Sales[[#This Row],[Target s.d. Januari]]=0,"",Sales[[#This Row],[Anggaran Murni]]-Sales[[#This Row],[Target s.d. Januari]])</f>
        <v>4</v>
      </c>
      <c r="H2123" s="19" t="s">
        <v>70</v>
      </c>
      <c r="I2123" s="20" t="s">
        <v>1</v>
      </c>
      <c r="J2123" s="20">
        <v>120000000</v>
      </c>
      <c r="K2123" s="19" t="s">
        <v>40</v>
      </c>
      <c r="L2123" s="19" t="s">
        <v>2</v>
      </c>
      <c r="M2123" s="21" t="s">
        <v>67</v>
      </c>
      <c r="N2123" s="20" t="s">
        <v>82</v>
      </c>
      <c r="O2123" s="19" t="s">
        <v>12</v>
      </c>
      <c r="P2123" s="10"/>
      <c r="Q2123" s="11"/>
    </row>
    <row r="2124" spans="2:17" ht="21" customHeight="1" x14ac:dyDescent="0.35">
      <c r="B2124" s="1">
        <v>44079</v>
      </c>
      <c r="C2124" s="1" t="str">
        <f>TEXT(Sales[[#This Row],[Kode Program/Kegiatan ]],"D")</f>
        <v>5</v>
      </c>
      <c r="D2124" s="2" t="str">
        <f>TEXT(Sales[[#This Row],[Kode Program/Kegiatan ]],"mmm")</f>
        <v>Sep</v>
      </c>
      <c r="E2124" s="3">
        <v>8</v>
      </c>
      <c r="F2124" s="2">
        <v>7</v>
      </c>
      <c r="G2124" s="3">
        <f>IF(Sales[[#This Row],[Anggaran Murni]]-Sales[[#This Row],[Target s.d. Januari]]=0,"",Sales[[#This Row],[Anggaran Murni]]-Sales[[#This Row],[Target s.d. Januari]])</f>
        <v>1</v>
      </c>
      <c r="H2124" s="2" t="s">
        <v>74</v>
      </c>
      <c r="I2124" s="3" t="s">
        <v>77</v>
      </c>
      <c r="J2124" s="3">
        <v>80000000</v>
      </c>
      <c r="K2124" s="2" t="s">
        <v>27</v>
      </c>
      <c r="L2124" s="2" t="s">
        <v>5</v>
      </c>
      <c r="M2124" s="4" t="s">
        <v>67</v>
      </c>
      <c r="N2124" s="3" t="s">
        <v>82</v>
      </c>
      <c r="O2124" s="2" t="s">
        <v>12</v>
      </c>
      <c r="P2124" s="10"/>
      <c r="Q2124" s="11"/>
    </row>
    <row r="2125" spans="2:17" ht="21" customHeight="1" x14ac:dyDescent="0.35">
      <c r="B2125" s="18">
        <v>44079</v>
      </c>
      <c r="C2125" s="18" t="str">
        <f>TEXT(Sales[[#This Row],[Kode Program/Kegiatan ]],"D")</f>
        <v>5</v>
      </c>
      <c r="D2125" s="19" t="str">
        <f>TEXT(Sales[[#This Row],[Kode Program/Kegiatan ]],"mmm")</f>
        <v>Sep</v>
      </c>
      <c r="E2125" s="20">
        <v>8</v>
      </c>
      <c r="F2125" s="19">
        <v>4</v>
      </c>
      <c r="G2125" s="20">
        <f>IF(Sales[[#This Row],[Anggaran Murni]]-Sales[[#This Row],[Target s.d. Januari]]=0,"",Sales[[#This Row],[Anggaran Murni]]-Sales[[#This Row],[Target s.d. Januari]])</f>
        <v>4</v>
      </c>
      <c r="H2125" s="19" t="s">
        <v>74</v>
      </c>
      <c r="I2125" s="20" t="s">
        <v>77</v>
      </c>
      <c r="J2125" s="20">
        <v>80000000</v>
      </c>
      <c r="K2125" s="19" t="s">
        <v>55</v>
      </c>
      <c r="L2125" s="19" t="s">
        <v>5</v>
      </c>
      <c r="M2125" s="21" t="s">
        <v>67</v>
      </c>
      <c r="N2125" s="20" t="s">
        <v>81</v>
      </c>
      <c r="O2125" s="19" t="s">
        <v>13</v>
      </c>
      <c r="P2125" s="10"/>
      <c r="Q2125" s="11"/>
    </row>
    <row r="2126" spans="2:17" ht="21" customHeight="1" x14ac:dyDescent="0.35">
      <c r="B2126" s="1">
        <v>44079</v>
      </c>
      <c r="C2126" s="1" t="str">
        <f>TEXT(Sales[[#This Row],[Kode Program/Kegiatan ]],"D")</f>
        <v>5</v>
      </c>
      <c r="D2126" s="2" t="str">
        <f>TEXT(Sales[[#This Row],[Kode Program/Kegiatan ]],"mmm")</f>
        <v>Sep</v>
      </c>
      <c r="E2126" s="3">
        <v>6</v>
      </c>
      <c r="F2126" s="2">
        <v>5</v>
      </c>
      <c r="G2126" s="3">
        <f>IF(Sales[[#This Row],[Anggaran Murni]]-Sales[[#This Row],[Target s.d. Januari]]=0,"",Sales[[#This Row],[Anggaran Murni]]-Sales[[#This Row],[Target s.d. Januari]])</f>
        <v>1</v>
      </c>
      <c r="H2126" s="2" t="s">
        <v>71</v>
      </c>
      <c r="I2126" s="3" t="s">
        <v>6</v>
      </c>
      <c r="J2126" s="3">
        <v>40000000</v>
      </c>
      <c r="K2126" s="2" t="s">
        <v>37</v>
      </c>
      <c r="L2126" s="2" t="s">
        <v>5</v>
      </c>
      <c r="M2126" s="4" t="s">
        <v>67</v>
      </c>
      <c r="N2126" s="3" t="s">
        <v>81</v>
      </c>
      <c r="O2126" s="2" t="s">
        <v>14</v>
      </c>
      <c r="P2126" s="10"/>
      <c r="Q2126" s="11"/>
    </row>
    <row r="2127" spans="2:17" ht="21" customHeight="1" x14ac:dyDescent="0.35">
      <c r="B2127" s="18">
        <v>44079</v>
      </c>
      <c r="C2127" s="18" t="str">
        <f>TEXT(Sales[[#This Row],[Kode Program/Kegiatan ]],"D")</f>
        <v>5</v>
      </c>
      <c r="D2127" s="19" t="str">
        <f>TEXT(Sales[[#This Row],[Kode Program/Kegiatan ]],"mmm")</f>
        <v>Sep</v>
      </c>
      <c r="E2127" s="20">
        <v>5</v>
      </c>
      <c r="F2127" s="19">
        <v>4</v>
      </c>
      <c r="G2127" s="20">
        <f>IF(Sales[[#This Row],[Anggaran Murni]]-Sales[[#This Row],[Target s.d. Januari]]=0,"",Sales[[#This Row],[Anggaran Murni]]-Sales[[#This Row],[Target s.d. Januari]])</f>
        <v>1</v>
      </c>
      <c r="H2127" s="19" t="s">
        <v>70</v>
      </c>
      <c r="I2127" s="20" t="s">
        <v>1</v>
      </c>
      <c r="J2127" s="20">
        <v>40000000</v>
      </c>
      <c r="K2127" s="19" t="s">
        <v>50</v>
      </c>
      <c r="L2127" s="19" t="s">
        <v>2</v>
      </c>
      <c r="M2127" s="21" t="s">
        <v>67</v>
      </c>
      <c r="N2127" s="20" t="s">
        <v>80</v>
      </c>
      <c r="O2127" s="19" t="s">
        <v>14</v>
      </c>
      <c r="P2127" s="10"/>
      <c r="Q2127" s="11"/>
    </row>
    <row r="2128" spans="2:17" ht="21" customHeight="1" x14ac:dyDescent="0.35">
      <c r="B2128" s="1">
        <v>44079</v>
      </c>
      <c r="C2128" s="1" t="str">
        <f>TEXT(Sales[[#This Row],[Kode Program/Kegiatan ]],"D")</f>
        <v>5</v>
      </c>
      <c r="D2128" s="2" t="str">
        <f>TEXT(Sales[[#This Row],[Kode Program/Kegiatan ]],"mmm")</f>
        <v>Sep</v>
      </c>
      <c r="E2128" s="3">
        <v>4</v>
      </c>
      <c r="F2128" s="2">
        <v>3</v>
      </c>
      <c r="G2128" s="3">
        <f>IF(Sales[[#This Row],[Anggaran Murni]]-Sales[[#This Row],[Target s.d. Januari]]=0,"",Sales[[#This Row],[Anggaran Murni]]-Sales[[#This Row],[Target s.d. Januari]])</f>
        <v>1</v>
      </c>
      <c r="H2128" s="2" t="s">
        <v>113</v>
      </c>
      <c r="I2128" s="3" t="s">
        <v>77</v>
      </c>
      <c r="J2128" s="3">
        <v>100000000</v>
      </c>
      <c r="K2128" s="2" t="s">
        <v>55</v>
      </c>
      <c r="L2128" s="2" t="s">
        <v>5</v>
      </c>
      <c r="M2128" s="4" t="s">
        <v>67</v>
      </c>
      <c r="N2128" s="3" t="s">
        <v>80</v>
      </c>
      <c r="O2128" s="2" t="s">
        <v>14</v>
      </c>
      <c r="P2128" s="10"/>
      <c r="Q2128" s="11"/>
    </row>
    <row r="2129" spans="2:17" ht="21" customHeight="1" x14ac:dyDescent="0.35">
      <c r="B2129" s="18">
        <v>44080</v>
      </c>
      <c r="C2129" s="18" t="str">
        <f>TEXT(Sales[[#This Row],[Kode Program/Kegiatan ]],"D")</f>
        <v>6</v>
      </c>
      <c r="D2129" s="19" t="str">
        <f>TEXT(Sales[[#This Row],[Kode Program/Kegiatan ]],"mmm")</f>
        <v>Sep</v>
      </c>
      <c r="E2129" s="20">
        <v>10</v>
      </c>
      <c r="F2129" s="19">
        <v>9</v>
      </c>
      <c r="G2129" s="20">
        <f>IF(Sales[[#This Row],[Anggaran Murni]]-Sales[[#This Row],[Target s.d. Januari]]=0,"",Sales[[#This Row],[Anggaran Murni]]-Sales[[#This Row],[Target s.d. Januari]])</f>
        <v>1</v>
      </c>
      <c r="H2129" s="19" t="s">
        <v>74</v>
      </c>
      <c r="I2129" s="20" t="s">
        <v>77</v>
      </c>
      <c r="J2129" s="20">
        <v>40000000</v>
      </c>
      <c r="K2129" s="19" t="s">
        <v>29</v>
      </c>
      <c r="L2129" s="19" t="s">
        <v>8</v>
      </c>
      <c r="M2129" s="21" t="s">
        <v>67</v>
      </c>
      <c r="N2129" s="20" t="s">
        <v>82</v>
      </c>
      <c r="O2129" s="19" t="s">
        <v>13</v>
      </c>
      <c r="P2129" s="10"/>
      <c r="Q2129" s="11"/>
    </row>
    <row r="2130" spans="2:17" ht="21" customHeight="1" x14ac:dyDescent="0.35">
      <c r="B2130" s="1">
        <v>44080</v>
      </c>
      <c r="C2130" s="1" t="str">
        <f>TEXT(Sales[[#This Row],[Kode Program/Kegiatan ]],"D")</f>
        <v>6</v>
      </c>
      <c r="D2130" s="2" t="str">
        <f>TEXT(Sales[[#This Row],[Kode Program/Kegiatan ]],"mmm")</f>
        <v>Sep</v>
      </c>
      <c r="E2130" s="3">
        <v>10</v>
      </c>
      <c r="F2130" s="2">
        <v>8</v>
      </c>
      <c r="G2130" s="3">
        <f>IF(Sales[[#This Row],[Anggaran Murni]]-Sales[[#This Row],[Target s.d. Januari]]=0,"",Sales[[#This Row],[Anggaran Murni]]-Sales[[#This Row],[Target s.d. Januari]])</f>
        <v>2</v>
      </c>
      <c r="H2130" s="2" t="s">
        <v>114</v>
      </c>
      <c r="I2130" s="3" t="s">
        <v>3</v>
      </c>
      <c r="J2130" s="3">
        <v>100000000</v>
      </c>
      <c r="K2130" s="2" t="s">
        <v>51</v>
      </c>
      <c r="L2130" s="2" t="s">
        <v>2</v>
      </c>
      <c r="M2130" s="4" t="s">
        <v>67</v>
      </c>
      <c r="N2130" s="3" t="s">
        <v>81</v>
      </c>
      <c r="O2130" s="2" t="s">
        <v>12</v>
      </c>
      <c r="P2130" s="10"/>
      <c r="Q2130" s="11"/>
    </row>
    <row r="2131" spans="2:17" ht="21" customHeight="1" x14ac:dyDescent="0.35">
      <c r="B2131" s="18">
        <v>44080</v>
      </c>
      <c r="C2131" s="18" t="str">
        <f>TEXT(Sales[[#This Row],[Kode Program/Kegiatan ]],"D")</f>
        <v>6</v>
      </c>
      <c r="D2131" s="19" t="str">
        <f>TEXT(Sales[[#This Row],[Kode Program/Kegiatan ]],"mmm")</f>
        <v>Sep</v>
      </c>
      <c r="E2131" s="20">
        <v>8</v>
      </c>
      <c r="F2131" s="19">
        <v>5</v>
      </c>
      <c r="G2131" s="20">
        <f>IF(Sales[[#This Row],[Anggaran Murni]]-Sales[[#This Row],[Target s.d. Januari]]=0,"",Sales[[#This Row],[Anggaran Murni]]-Sales[[#This Row],[Target s.d. Januari]])</f>
        <v>3</v>
      </c>
      <c r="H2131" s="19" t="s">
        <v>73</v>
      </c>
      <c r="I2131" s="20" t="s">
        <v>78</v>
      </c>
      <c r="J2131" s="20">
        <v>100000000</v>
      </c>
      <c r="K2131" s="19" t="s">
        <v>38</v>
      </c>
      <c r="L2131" s="19" t="s">
        <v>2</v>
      </c>
      <c r="M2131" s="21" t="s">
        <v>67</v>
      </c>
      <c r="N2131" s="20" t="s">
        <v>82</v>
      </c>
      <c r="O2131" s="19" t="s">
        <v>11</v>
      </c>
      <c r="P2131" s="10"/>
      <c r="Q2131" s="11"/>
    </row>
    <row r="2132" spans="2:17" ht="21" customHeight="1" x14ac:dyDescent="0.35">
      <c r="B2132" s="1">
        <v>44080</v>
      </c>
      <c r="C2132" s="1" t="str">
        <f>TEXT(Sales[[#This Row],[Kode Program/Kegiatan ]],"D")</f>
        <v>6</v>
      </c>
      <c r="D2132" s="2" t="str">
        <f>TEXT(Sales[[#This Row],[Kode Program/Kegiatan ]],"mmm")</f>
        <v>Sep</v>
      </c>
      <c r="E2132" s="3">
        <v>7</v>
      </c>
      <c r="F2132" s="2">
        <v>5</v>
      </c>
      <c r="G2132" s="3">
        <f>IF(Sales[[#This Row],[Anggaran Murni]]-Sales[[#This Row],[Target s.d. Januari]]=0,"",Sales[[#This Row],[Anggaran Murni]]-Sales[[#This Row],[Target s.d. Januari]])</f>
        <v>2</v>
      </c>
      <c r="H2132" s="2" t="s">
        <v>70</v>
      </c>
      <c r="I2132" s="3" t="s">
        <v>1</v>
      </c>
      <c r="J2132" s="3">
        <v>140000000</v>
      </c>
      <c r="K2132" s="2" t="s">
        <v>21</v>
      </c>
      <c r="L2132" s="2" t="s">
        <v>2</v>
      </c>
      <c r="M2132" s="4" t="s">
        <v>67</v>
      </c>
      <c r="N2132" s="3" t="s">
        <v>80</v>
      </c>
      <c r="O2132" s="2" t="s">
        <v>11</v>
      </c>
      <c r="P2132" s="10"/>
      <c r="Q2132" s="11"/>
    </row>
    <row r="2133" spans="2:17" ht="21" customHeight="1" x14ac:dyDescent="0.35">
      <c r="B2133" s="18">
        <v>44080</v>
      </c>
      <c r="C2133" s="18" t="str">
        <f>TEXT(Sales[[#This Row],[Kode Program/Kegiatan ]],"D")</f>
        <v>6</v>
      </c>
      <c r="D2133" s="19" t="str">
        <f>TEXT(Sales[[#This Row],[Kode Program/Kegiatan ]],"mmm")</f>
        <v>Sep</v>
      </c>
      <c r="E2133" s="20">
        <v>7</v>
      </c>
      <c r="F2133" s="19">
        <v>4</v>
      </c>
      <c r="G2133" s="20">
        <f>IF(Sales[[#This Row],[Anggaran Murni]]-Sales[[#This Row],[Target s.d. Januari]]=0,"",Sales[[#This Row],[Anggaran Murni]]-Sales[[#This Row],[Target s.d. Januari]])</f>
        <v>3</v>
      </c>
      <c r="H2133" s="19" t="s">
        <v>76</v>
      </c>
      <c r="I2133" s="20" t="s">
        <v>79</v>
      </c>
      <c r="J2133" s="20">
        <v>80000000</v>
      </c>
      <c r="K2133" s="19" t="s">
        <v>62</v>
      </c>
      <c r="L2133" s="19" t="s">
        <v>5</v>
      </c>
      <c r="M2133" s="21" t="s">
        <v>67</v>
      </c>
      <c r="N2133" s="20" t="s">
        <v>82</v>
      </c>
      <c r="O2133" s="19" t="s">
        <v>14</v>
      </c>
      <c r="P2133" s="10"/>
      <c r="Q2133" s="11"/>
    </row>
    <row r="2134" spans="2:17" ht="21" customHeight="1" x14ac:dyDescent="0.35">
      <c r="B2134" s="1">
        <v>44080</v>
      </c>
      <c r="C2134" s="1" t="str">
        <f>TEXT(Sales[[#This Row],[Kode Program/Kegiatan ]],"D")</f>
        <v>6</v>
      </c>
      <c r="D2134" s="2" t="str">
        <f>TEXT(Sales[[#This Row],[Kode Program/Kegiatan ]],"mmm")</f>
        <v>Sep</v>
      </c>
      <c r="E2134" s="3">
        <v>4</v>
      </c>
      <c r="F2134" s="2">
        <v>2</v>
      </c>
      <c r="G2134" s="3">
        <f>IF(Sales[[#This Row],[Anggaran Murni]]-Sales[[#This Row],[Target s.d. Januari]]=0,"",Sales[[#This Row],[Anggaran Murni]]-Sales[[#This Row],[Target s.d. Januari]])</f>
        <v>2</v>
      </c>
      <c r="H2134" s="2" t="s">
        <v>70</v>
      </c>
      <c r="I2134" s="3" t="s">
        <v>1</v>
      </c>
      <c r="J2134" s="3">
        <v>100000000</v>
      </c>
      <c r="K2134" s="2" t="s">
        <v>49</v>
      </c>
      <c r="L2134" s="2" t="s">
        <v>2</v>
      </c>
      <c r="M2134" s="4" t="s">
        <v>67</v>
      </c>
      <c r="N2134" s="3" t="s">
        <v>82</v>
      </c>
      <c r="O2134" s="2" t="s">
        <v>14</v>
      </c>
      <c r="P2134" s="10"/>
      <c r="Q2134" s="11"/>
    </row>
    <row r="2135" spans="2:17" ht="21" customHeight="1" x14ac:dyDescent="0.35">
      <c r="B2135" s="18">
        <v>44080</v>
      </c>
      <c r="C2135" s="18" t="str">
        <f>TEXT(Sales[[#This Row],[Kode Program/Kegiatan ]],"D")</f>
        <v>6</v>
      </c>
      <c r="D2135" s="19" t="str">
        <f>TEXT(Sales[[#This Row],[Kode Program/Kegiatan ]],"mmm")</f>
        <v>Sep</v>
      </c>
      <c r="E2135" s="20">
        <v>3</v>
      </c>
      <c r="F2135" s="19">
        <v>1</v>
      </c>
      <c r="G2135" s="20">
        <f>IF(Sales[[#This Row],[Anggaran Murni]]-Sales[[#This Row],[Target s.d. Januari]]=0,"",Sales[[#This Row],[Anggaran Murni]]-Sales[[#This Row],[Target s.d. Januari]])</f>
        <v>2</v>
      </c>
      <c r="H2135" s="19" t="s">
        <v>73</v>
      </c>
      <c r="I2135" s="20" t="s">
        <v>78</v>
      </c>
      <c r="J2135" s="20">
        <v>140000000</v>
      </c>
      <c r="K2135" s="19" t="s">
        <v>16</v>
      </c>
      <c r="L2135" s="19" t="s">
        <v>5</v>
      </c>
      <c r="M2135" s="21" t="s">
        <v>67</v>
      </c>
      <c r="N2135" s="20" t="s">
        <v>82</v>
      </c>
      <c r="O2135" s="19" t="s">
        <v>12</v>
      </c>
      <c r="P2135" s="10"/>
      <c r="Q2135" s="11"/>
    </row>
    <row r="2136" spans="2:17" ht="21" customHeight="1" x14ac:dyDescent="0.35">
      <c r="B2136" s="1">
        <v>44080</v>
      </c>
      <c r="C2136" s="1" t="str">
        <f>TEXT(Sales[[#This Row],[Kode Program/Kegiatan ]],"D")</f>
        <v>6</v>
      </c>
      <c r="D2136" s="2" t="str">
        <f>TEXT(Sales[[#This Row],[Kode Program/Kegiatan ]],"mmm")</f>
        <v>Sep</v>
      </c>
      <c r="E2136" s="3">
        <v>3</v>
      </c>
      <c r="F2136" s="2">
        <v>1</v>
      </c>
      <c r="G2136" s="3">
        <f>IF(Sales[[#This Row],[Anggaran Murni]]-Sales[[#This Row],[Target s.d. Januari]]=0,"",Sales[[#This Row],[Anggaran Murni]]-Sales[[#This Row],[Target s.d. Januari]])</f>
        <v>2</v>
      </c>
      <c r="H2136" s="2" t="s">
        <v>74</v>
      </c>
      <c r="I2136" s="3" t="s">
        <v>77</v>
      </c>
      <c r="J2136" s="3">
        <v>80000000</v>
      </c>
      <c r="K2136" s="2" t="s">
        <v>27</v>
      </c>
      <c r="L2136" s="2" t="s">
        <v>2</v>
      </c>
      <c r="M2136" s="4" t="s">
        <v>67</v>
      </c>
      <c r="N2136" s="3" t="s">
        <v>82</v>
      </c>
      <c r="O2136" s="2" t="s">
        <v>12</v>
      </c>
      <c r="P2136" s="10"/>
      <c r="Q2136" s="11"/>
    </row>
    <row r="2137" spans="2:17" ht="21" customHeight="1" x14ac:dyDescent="0.35">
      <c r="B2137" s="18">
        <v>44081</v>
      </c>
      <c r="C2137" s="18" t="str">
        <f>TEXT(Sales[[#This Row],[Kode Program/Kegiatan ]],"D")</f>
        <v>7</v>
      </c>
      <c r="D2137" s="19" t="str">
        <f>TEXT(Sales[[#This Row],[Kode Program/Kegiatan ]],"mmm")</f>
        <v>Sep</v>
      </c>
      <c r="E2137" s="20">
        <v>10</v>
      </c>
      <c r="F2137" s="19">
        <v>9</v>
      </c>
      <c r="G2137" s="20">
        <f>IF(Sales[[#This Row],[Anggaran Murni]]-Sales[[#This Row],[Target s.d. Januari]]=0,"",Sales[[#This Row],[Anggaran Murni]]-Sales[[#This Row],[Target s.d. Januari]])</f>
        <v>1</v>
      </c>
      <c r="H2137" s="19" t="s">
        <v>114</v>
      </c>
      <c r="I2137" s="20" t="s">
        <v>3</v>
      </c>
      <c r="J2137" s="20">
        <v>80000000</v>
      </c>
      <c r="K2137" s="19" t="s">
        <v>39</v>
      </c>
      <c r="L2137" s="19" t="s">
        <v>5</v>
      </c>
      <c r="M2137" s="21" t="s">
        <v>67</v>
      </c>
      <c r="N2137" s="20" t="s">
        <v>82</v>
      </c>
      <c r="O2137" s="19" t="s">
        <v>12</v>
      </c>
      <c r="P2137" s="10"/>
      <c r="Q2137" s="11"/>
    </row>
    <row r="2138" spans="2:17" ht="21" customHeight="1" x14ac:dyDescent="0.35">
      <c r="B2138" s="1">
        <v>44081</v>
      </c>
      <c r="C2138" s="1" t="str">
        <f>TEXT(Sales[[#This Row],[Kode Program/Kegiatan ]],"D")</f>
        <v>7</v>
      </c>
      <c r="D2138" s="2" t="str">
        <f>TEXT(Sales[[#This Row],[Kode Program/Kegiatan ]],"mmm")</f>
        <v>Sep</v>
      </c>
      <c r="E2138" s="3">
        <v>9</v>
      </c>
      <c r="F2138" s="2">
        <v>6</v>
      </c>
      <c r="G2138" s="3">
        <f>IF(Sales[[#This Row],[Anggaran Murni]]-Sales[[#This Row],[Target s.d. Januari]]=0,"",Sales[[#This Row],[Anggaran Murni]]-Sales[[#This Row],[Target s.d. Januari]])</f>
        <v>3</v>
      </c>
      <c r="H2138" s="2" t="s">
        <v>114</v>
      </c>
      <c r="I2138" s="3" t="s">
        <v>3</v>
      </c>
      <c r="J2138" s="3">
        <v>120000000</v>
      </c>
      <c r="K2138" s="2" t="s">
        <v>54</v>
      </c>
      <c r="L2138" s="2" t="s">
        <v>2</v>
      </c>
      <c r="M2138" s="4" t="s">
        <v>67</v>
      </c>
      <c r="N2138" s="3" t="s">
        <v>82</v>
      </c>
      <c r="O2138" s="2" t="s">
        <v>11</v>
      </c>
      <c r="P2138" s="10"/>
      <c r="Q2138" s="11"/>
    </row>
    <row r="2139" spans="2:17" ht="21" customHeight="1" x14ac:dyDescent="0.35">
      <c r="B2139" s="18">
        <v>44081</v>
      </c>
      <c r="C2139" s="18" t="str">
        <f>TEXT(Sales[[#This Row],[Kode Program/Kegiatan ]],"D")</f>
        <v>7</v>
      </c>
      <c r="D2139" s="19" t="str">
        <f>TEXT(Sales[[#This Row],[Kode Program/Kegiatan ]],"mmm")</f>
        <v>Sep</v>
      </c>
      <c r="E2139" s="20">
        <v>9</v>
      </c>
      <c r="F2139" s="19">
        <v>8</v>
      </c>
      <c r="G2139" s="20">
        <f>IF(Sales[[#This Row],[Anggaran Murni]]-Sales[[#This Row],[Target s.d. Januari]]=0,"",Sales[[#This Row],[Anggaran Murni]]-Sales[[#This Row],[Target s.d. Januari]])</f>
        <v>1</v>
      </c>
      <c r="H2139" s="19" t="s">
        <v>74</v>
      </c>
      <c r="I2139" s="20" t="s">
        <v>77</v>
      </c>
      <c r="J2139" s="20">
        <v>60000000</v>
      </c>
      <c r="K2139" s="19" t="s">
        <v>45</v>
      </c>
      <c r="L2139" s="19" t="s">
        <v>4</v>
      </c>
      <c r="M2139" s="21" t="s">
        <v>67</v>
      </c>
      <c r="N2139" s="20" t="s">
        <v>81</v>
      </c>
      <c r="O2139" s="19" t="s">
        <v>12</v>
      </c>
      <c r="P2139" s="10"/>
      <c r="Q2139" s="11"/>
    </row>
    <row r="2140" spans="2:17" ht="21" customHeight="1" x14ac:dyDescent="0.35">
      <c r="B2140" s="1">
        <v>44081</v>
      </c>
      <c r="C2140" s="1" t="str">
        <f>TEXT(Sales[[#This Row],[Kode Program/Kegiatan ]],"D")</f>
        <v>7</v>
      </c>
      <c r="D2140" s="2" t="str">
        <f>TEXT(Sales[[#This Row],[Kode Program/Kegiatan ]],"mmm")</f>
        <v>Sep</v>
      </c>
      <c r="E2140" s="3">
        <v>8</v>
      </c>
      <c r="F2140" s="2">
        <v>4</v>
      </c>
      <c r="G2140" s="3">
        <f>IF(Sales[[#This Row],[Anggaran Murni]]-Sales[[#This Row],[Target s.d. Januari]]=0,"",Sales[[#This Row],[Anggaran Murni]]-Sales[[#This Row],[Target s.d. Januari]])</f>
        <v>4</v>
      </c>
      <c r="H2140" s="2" t="s">
        <v>114</v>
      </c>
      <c r="I2140" s="3" t="s">
        <v>3</v>
      </c>
      <c r="J2140" s="3">
        <v>80000000</v>
      </c>
      <c r="K2140" s="2" t="s">
        <v>18</v>
      </c>
      <c r="L2140" s="2" t="s">
        <v>5</v>
      </c>
      <c r="M2140" s="4" t="s">
        <v>67</v>
      </c>
      <c r="N2140" s="3" t="s">
        <v>81</v>
      </c>
      <c r="O2140" s="2" t="s">
        <v>11</v>
      </c>
      <c r="P2140" s="10"/>
      <c r="Q2140" s="11"/>
    </row>
    <row r="2141" spans="2:17" ht="21" customHeight="1" x14ac:dyDescent="0.35">
      <c r="B2141" s="18">
        <v>44081</v>
      </c>
      <c r="C2141" s="18" t="str">
        <f>TEXT(Sales[[#This Row],[Kode Program/Kegiatan ]],"D")</f>
        <v>7</v>
      </c>
      <c r="D2141" s="19" t="str">
        <f>TEXT(Sales[[#This Row],[Kode Program/Kegiatan ]],"mmm")</f>
        <v>Sep</v>
      </c>
      <c r="E2141" s="20">
        <v>6</v>
      </c>
      <c r="F2141" s="19">
        <v>4</v>
      </c>
      <c r="G2141" s="20">
        <f>IF(Sales[[#This Row],[Anggaran Murni]]-Sales[[#This Row],[Target s.d. Januari]]=0,"",Sales[[#This Row],[Anggaran Murni]]-Sales[[#This Row],[Target s.d. Januari]])</f>
        <v>2</v>
      </c>
      <c r="H2141" s="19" t="s">
        <v>113</v>
      </c>
      <c r="I2141" s="20" t="s">
        <v>77</v>
      </c>
      <c r="J2141" s="20">
        <v>80000000</v>
      </c>
      <c r="K2141" s="19" t="s">
        <v>56</v>
      </c>
      <c r="L2141" s="19" t="s">
        <v>4</v>
      </c>
      <c r="M2141" s="21" t="s">
        <v>67</v>
      </c>
      <c r="N2141" s="20" t="s">
        <v>81</v>
      </c>
      <c r="O2141" s="19" t="s">
        <v>11</v>
      </c>
      <c r="P2141" s="10"/>
      <c r="Q2141" s="11"/>
    </row>
    <row r="2142" spans="2:17" ht="21" customHeight="1" x14ac:dyDescent="0.35">
      <c r="B2142" s="1">
        <v>44081</v>
      </c>
      <c r="C2142" s="1" t="str">
        <f>TEXT(Sales[[#This Row],[Kode Program/Kegiatan ]],"D")</f>
        <v>7</v>
      </c>
      <c r="D2142" s="2" t="str">
        <f>TEXT(Sales[[#This Row],[Kode Program/Kegiatan ]],"mmm")</f>
        <v>Sep</v>
      </c>
      <c r="E2142" s="3">
        <v>6</v>
      </c>
      <c r="F2142" s="2">
        <v>3</v>
      </c>
      <c r="G2142" s="3">
        <f>IF(Sales[[#This Row],[Anggaran Murni]]-Sales[[#This Row],[Target s.d. Januari]]=0,"",Sales[[#This Row],[Anggaran Murni]]-Sales[[#This Row],[Target s.d. Januari]])</f>
        <v>3</v>
      </c>
      <c r="H2142" s="2" t="s">
        <v>74</v>
      </c>
      <c r="I2142" s="3" t="s">
        <v>77</v>
      </c>
      <c r="J2142" s="3">
        <v>80000000</v>
      </c>
      <c r="K2142" s="2" t="s">
        <v>52</v>
      </c>
      <c r="L2142" s="2" t="s">
        <v>5</v>
      </c>
      <c r="M2142" s="4" t="s">
        <v>67</v>
      </c>
      <c r="N2142" s="3" t="s">
        <v>82</v>
      </c>
      <c r="O2142" s="2" t="s">
        <v>13</v>
      </c>
      <c r="P2142" s="10"/>
      <c r="Q2142" s="11"/>
    </row>
    <row r="2143" spans="2:17" ht="21" customHeight="1" x14ac:dyDescent="0.35">
      <c r="B2143" s="18">
        <v>44081</v>
      </c>
      <c r="C2143" s="18" t="str">
        <f>TEXT(Sales[[#This Row],[Kode Program/Kegiatan ]],"D")</f>
        <v>7</v>
      </c>
      <c r="D2143" s="19" t="str">
        <f>TEXT(Sales[[#This Row],[Kode Program/Kegiatan ]],"mmm")</f>
        <v>Sep</v>
      </c>
      <c r="E2143" s="20">
        <v>6</v>
      </c>
      <c r="F2143" s="19">
        <v>5</v>
      </c>
      <c r="G2143" s="20">
        <f>IF(Sales[[#This Row],[Anggaran Murni]]-Sales[[#This Row],[Target s.d. Januari]]=0,"",Sales[[#This Row],[Anggaran Murni]]-Sales[[#This Row],[Target s.d. Januari]])</f>
        <v>1</v>
      </c>
      <c r="H2143" s="19" t="s">
        <v>75</v>
      </c>
      <c r="I2143" s="20" t="s">
        <v>6</v>
      </c>
      <c r="J2143" s="20">
        <v>40000000</v>
      </c>
      <c r="K2143" s="19" t="s">
        <v>25</v>
      </c>
      <c r="L2143" s="19" t="s">
        <v>2</v>
      </c>
      <c r="M2143" s="21" t="s">
        <v>67</v>
      </c>
      <c r="N2143" s="20" t="s">
        <v>82</v>
      </c>
      <c r="O2143" s="19" t="s">
        <v>12</v>
      </c>
      <c r="P2143" s="10"/>
      <c r="Q2143" s="11"/>
    </row>
    <row r="2144" spans="2:17" ht="21" customHeight="1" x14ac:dyDescent="0.35">
      <c r="B2144" s="1">
        <v>44081</v>
      </c>
      <c r="C2144" s="1" t="str">
        <f>TEXT(Sales[[#This Row],[Kode Program/Kegiatan ]],"D")</f>
        <v>7</v>
      </c>
      <c r="D2144" s="2" t="str">
        <f>TEXT(Sales[[#This Row],[Kode Program/Kegiatan ]],"mmm")</f>
        <v>Sep</v>
      </c>
      <c r="E2144" s="3">
        <v>6</v>
      </c>
      <c r="F2144" s="2">
        <v>3</v>
      </c>
      <c r="G2144" s="3">
        <f>IF(Sales[[#This Row],[Anggaran Murni]]-Sales[[#This Row],[Target s.d. Januari]]=0,"",Sales[[#This Row],[Anggaran Murni]]-Sales[[#This Row],[Target s.d. Januari]])</f>
        <v>3</v>
      </c>
      <c r="H2144" s="2" t="s">
        <v>113</v>
      </c>
      <c r="I2144" s="3" t="s">
        <v>77</v>
      </c>
      <c r="J2144" s="3">
        <v>140000000</v>
      </c>
      <c r="K2144" s="2" t="s">
        <v>41</v>
      </c>
      <c r="L2144" s="2" t="s">
        <v>2</v>
      </c>
      <c r="M2144" s="4" t="s">
        <v>67</v>
      </c>
      <c r="N2144" s="3" t="s">
        <v>80</v>
      </c>
      <c r="O2144" s="2" t="s">
        <v>14</v>
      </c>
      <c r="P2144" s="10"/>
      <c r="Q2144" s="11"/>
    </row>
    <row r="2145" spans="2:17" ht="21" customHeight="1" x14ac:dyDescent="0.35">
      <c r="B2145" s="18">
        <v>44081</v>
      </c>
      <c r="C2145" s="18" t="str">
        <f>TEXT(Sales[[#This Row],[Kode Program/Kegiatan ]],"D")</f>
        <v>7</v>
      </c>
      <c r="D2145" s="19" t="str">
        <f>TEXT(Sales[[#This Row],[Kode Program/Kegiatan ]],"mmm")</f>
        <v>Sep</v>
      </c>
      <c r="E2145" s="20">
        <v>5</v>
      </c>
      <c r="F2145" s="19">
        <v>3</v>
      </c>
      <c r="G2145" s="20">
        <f>IF(Sales[[#This Row],[Anggaran Murni]]-Sales[[#This Row],[Target s.d. Januari]]=0,"",Sales[[#This Row],[Anggaran Murni]]-Sales[[#This Row],[Target s.d. Januari]])</f>
        <v>2</v>
      </c>
      <c r="H2145" s="19" t="s">
        <v>71</v>
      </c>
      <c r="I2145" s="20" t="s">
        <v>6</v>
      </c>
      <c r="J2145" s="20">
        <v>40000000</v>
      </c>
      <c r="K2145" s="19" t="s">
        <v>53</v>
      </c>
      <c r="L2145" s="19" t="s">
        <v>5</v>
      </c>
      <c r="M2145" s="21" t="s">
        <v>67</v>
      </c>
      <c r="N2145" s="20" t="s">
        <v>82</v>
      </c>
      <c r="O2145" s="19" t="s">
        <v>14</v>
      </c>
      <c r="P2145" s="10"/>
      <c r="Q2145" s="11"/>
    </row>
    <row r="2146" spans="2:17" ht="21" customHeight="1" x14ac:dyDescent="0.35">
      <c r="B2146" s="1">
        <v>44081</v>
      </c>
      <c r="C2146" s="1" t="str">
        <f>TEXT(Sales[[#This Row],[Kode Program/Kegiatan ]],"D")</f>
        <v>7</v>
      </c>
      <c r="D2146" s="2" t="str">
        <f>TEXT(Sales[[#This Row],[Kode Program/Kegiatan ]],"mmm")</f>
        <v>Sep</v>
      </c>
      <c r="E2146" s="3">
        <v>5</v>
      </c>
      <c r="F2146" s="2">
        <v>3</v>
      </c>
      <c r="G2146" s="3">
        <f>IF(Sales[[#This Row],[Anggaran Murni]]-Sales[[#This Row],[Target s.d. Januari]]=0,"",Sales[[#This Row],[Anggaran Murni]]-Sales[[#This Row],[Target s.d. Januari]])</f>
        <v>2</v>
      </c>
      <c r="H2146" s="2" t="s">
        <v>71</v>
      </c>
      <c r="I2146" s="3" t="s">
        <v>6</v>
      </c>
      <c r="J2146" s="3">
        <v>140000000</v>
      </c>
      <c r="K2146" s="2" t="s">
        <v>60</v>
      </c>
      <c r="L2146" s="2" t="s">
        <v>2</v>
      </c>
      <c r="M2146" s="4" t="s">
        <v>67</v>
      </c>
      <c r="N2146" s="3" t="s">
        <v>82</v>
      </c>
      <c r="O2146" s="2" t="s">
        <v>12</v>
      </c>
      <c r="P2146" s="10"/>
      <c r="Q2146" s="11"/>
    </row>
    <row r="2147" spans="2:17" ht="21" customHeight="1" x14ac:dyDescent="0.35">
      <c r="B2147" s="18">
        <v>44081</v>
      </c>
      <c r="C2147" s="18" t="str">
        <f>TEXT(Sales[[#This Row],[Kode Program/Kegiatan ]],"D")</f>
        <v>7</v>
      </c>
      <c r="D2147" s="19" t="str">
        <f>TEXT(Sales[[#This Row],[Kode Program/Kegiatan ]],"mmm")</f>
        <v>Sep</v>
      </c>
      <c r="E2147" s="20">
        <v>4</v>
      </c>
      <c r="F2147" s="19">
        <v>3</v>
      </c>
      <c r="G2147" s="20">
        <f>IF(Sales[[#This Row],[Anggaran Murni]]-Sales[[#This Row],[Target s.d. Januari]]=0,"",Sales[[#This Row],[Anggaran Murni]]-Sales[[#This Row],[Target s.d. Januari]])</f>
        <v>1</v>
      </c>
      <c r="H2147" s="19" t="s">
        <v>72</v>
      </c>
      <c r="I2147" s="20" t="s">
        <v>78</v>
      </c>
      <c r="J2147" s="20">
        <v>80000000</v>
      </c>
      <c r="K2147" s="19" t="s">
        <v>28</v>
      </c>
      <c r="L2147" s="19" t="s">
        <v>9</v>
      </c>
      <c r="M2147" s="21" t="s">
        <v>67</v>
      </c>
      <c r="N2147" s="20" t="s">
        <v>80</v>
      </c>
      <c r="O2147" s="19" t="s">
        <v>11</v>
      </c>
      <c r="P2147" s="10"/>
      <c r="Q2147" s="11"/>
    </row>
    <row r="2148" spans="2:17" ht="21" customHeight="1" x14ac:dyDescent="0.35">
      <c r="B2148" s="1">
        <v>44081</v>
      </c>
      <c r="C2148" s="1" t="str">
        <f>TEXT(Sales[[#This Row],[Kode Program/Kegiatan ]],"D")</f>
        <v>7</v>
      </c>
      <c r="D2148" s="2" t="str">
        <f>TEXT(Sales[[#This Row],[Kode Program/Kegiatan ]],"mmm")</f>
        <v>Sep</v>
      </c>
      <c r="E2148" s="3">
        <v>3</v>
      </c>
      <c r="F2148" s="2">
        <v>1</v>
      </c>
      <c r="G2148" s="3">
        <f>IF(Sales[[#This Row],[Anggaran Murni]]-Sales[[#This Row],[Target s.d. Januari]]=0,"",Sales[[#This Row],[Anggaran Murni]]-Sales[[#This Row],[Target s.d. Januari]])</f>
        <v>2</v>
      </c>
      <c r="H2148" s="2" t="s">
        <v>74</v>
      </c>
      <c r="I2148" s="3" t="s">
        <v>77</v>
      </c>
      <c r="J2148" s="3">
        <v>60000000</v>
      </c>
      <c r="K2148" s="2" t="s">
        <v>24</v>
      </c>
      <c r="L2148" s="2" t="s">
        <v>2</v>
      </c>
      <c r="M2148" s="4" t="s">
        <v>67</v>
      </c>
      <c r="N2148" s="3" t="s">
        <v>82</v>
      </c>
      <c r="O2148" s="2" t="s">
        <v>14</v>
      </c>
      <c r="P2148" s="10"/>
      <c r="Q2148" s="11"/>
    </row>
    <row r="2149" spans="2:17" ht="21" customHeight="1" x14ac:dyDescent="0.35">
      <c r="B2149" s="18">
        <v>44082</v>
      </c>
      <c r="C2149" s="18" t="str">
        <f>TEXT(Sales[[#This Row],[Kode Program/Kegiatan ]],"D")</f>
        <v>8</v>
      </c>
      <c r="D2149" s="19" t="str">
        <f>TEXT(Sales[[#This Row],[Kode Program/Kegiatan ]],"mmm")</f>
        <v>Sep</v>
      </c>
      <c r="E2149" s="20">
        <v>10</v>
      </c>
      <c r="F2149" s="19">
        <v>10</v>
      </c>
      <c r="G2149" s="20" t="str">
        <f>IF(Sales[[#This Row],[Anggaran Murni]]-Sales[[#This Row],[Target s.d. Januari]]=0,"",Sales[[#This Row],[Anggaran Murni]]-Sales[[#This Row],[Target s.d. Januari]])</f>
        <v/>
      </c>
      <c r="H2149" s="19" t="s">
        <v>76</v>
      </c>
      <c r="I2149" s="20" t="s">
        <v>79</v>
      </c>
      <c r="J2149" s="20">
        <v>40000000</v>
      </c>
      <c r="K2149" s="19" t="s">
        <v>41</v>
      </c>
      <c r="L2149" s="19" t="s">
        <v>5</v>
      </c>
      <c r="M2149" s="21" t="s">
        <v>67</v>
      </c>
      <c r="N2149" s="20" t="s">
        <v>80</v>
      </c>
      <c r="O2149" s="19" t="s">
        <v>12</v>
      </c>
      <c r="P2149" s="10"/>
      <c r="Q2149" s="11"/>
    </row>
    <row r="2150" spans="2:17" ht="21" customHeight="1" x14ac:dyDescent="0.35">
      <c r="B2150" s="1">
        <v>44082</v>
      </c>
      <c r="C2150" s="1" t="str">
        <f>TEXT(Sales[[#This Row],[Kode Program/Kegiatan ]],"D")</f>
        <v>8</v>
      </c>
      <c r="D2150" s="2" t="str">
        <f>TEXT(Sales[[#This Row],[Kode Program/Kegiatan ]],"mmm")</f>
        <v>Sep</v>
      </c>
      <c r="E2150" s="3">
        <v>9</v>
      </c>
      <c r="F2150" s="2">
        <v>9</v>
      </c>
      <c r="G2150" s="3" t="str">
        <f>IF(Sales[[#This Row],[Anggaran Murni]]-Sales[[#This Row],[Target s.d. Januari]]=0,"",Sales[[#This Row],[Anggaran Murni]]-Sales[[#This Row],[Target s.d. Januari]])</f>
        <v/>
      </c>
      <c r="H2150" s="2" t="s">
        <v>73</v>
      </c>
      <c r="I2150" s="3" t="s">
        <v>78</v>
      </c>
      <c r="J2150" s="3">
        <v>140000000</v>
      </c>
      <c r="K2150" s="2" t="s">
        <v>46</v>
      </c>
      <c r="L2150" s="2" t="s">
        <v>8</v>
      </c>
      <c r="M2150" s="4" t="s">
        <v>67</v>
      </c>
      <c r="N2150" s="3" t="s">
        <v>81</v>
      </c>
      <c r="O2150" s="2" t="s">
        <v>11</v>
      </c>
      <c r="P2150" s="10"/>
      <c r="Q2150" s="11"/>
    </row>
    <row r="2151" spans="2:17" ht="21" customHeight="1" x14ac:dyDescent="0.35">
      <c r="B2151" s="18">
        <v>44082</v>
      </c>
      <c r="C2151" s="18" t="str">
        <f>TEXT(Sales[[#This Row],[Kode Program/Kegiatan ]],"D")</f>
        <v>8</v>
      </c>
      <c r="D2151" s="19" t="str">
        <f>TEXT(Sales[[#This Row],[Kode Program/Kegiatan ]],"mmm")</f>
        <v>Sep</v>
      </c>
      <c r="E2151" s="20">
        <v>9</v>
      </c>
      <c r="F2151" s="19">
        <v>9</v>
      </c>
      <c r="G2151" s="20" t="str">
        <f>IF(Sales[[#This Row],[Anggaran Murni]]-Sales[[#This Row],[Target s.d. Januari]]=0,"",Sales[[#This Row],[Anggaran Murni]]-Sales[[#This Row],[Target s.d. Januari]])</f>
        <v/>
      </c>
      <c r="H2151" s="19" t="s">
        <v>72</v>
      </c>
      <c r="I2151" s="20" t="s">
        <v>78</v>
      </c>
      <c r="J2151" s="20">
        <v>100000000</v>
      </c>
      <c r="K2151" s="19" t="s">
        <v>44</v>
      </c>
      <c r="L2151" s="19" t="s">
        <v>5</v>
      </c>
      <c r="M2151" s="21" t="s">
        <v>67</v>
      </c>
      <c r="N2151" s="20" t="s">
        <v>81</v>
      </c>
      <c r="O2151" s="19" t="s">
        <v>14</v>
      </c>
      <c r="P2151" s="10"/>
      <c r="Q2151" s="11"/>
    </row>
    <row r="2152" spans="2:17" ht="21" customHeight="1" x14ac:dyDescent="0.35">
      <c r="B2152" s="1">
        <v>44082</v>
      </c>
      <c r="C2152" s="1" t="str">
        <f>TEXT(Sales[[#This Row],[Kode Program/Kegiatan ]],"D")</f>
        <v>8</v>
      </c>
      <c r="D2152" s="2" t="str">
        <f>TEXT(Sales[[#This Row],[Kode Program/Kegiatan ]],"mmm")</f>
        <v>Sep</v>
      </c>
      <c r="E2152" s="3">
        <v>8</v>
      </c>
      <c r="F2152" s="2">
        <v>8</v>
      </c>
      <c r="G2152" s="3" t="str">
        <f>IF(Sales[[#This Row],[Anggaran Murni]]-Sales[[#This Row],[Target s.d. Januari]]=0,"",Sales[[#This Row],[Anggaran Murni]]-Sales[[#This Row],[Target s.d. Januari]])</f>
        <v/>
      </c>
      <c r="H2152" s="2" t="s">
        <v>74</v>
      </c>
      <c r="I2152" s="3" t="s">
        <v>77</v>
      </c>
      <c r="J2152" s="3">
        <v>40000000</v>
      </c>
      <c r="K2152" s="2" t="s">
        <v>25</v>
      </c>
      <c r="L2152" s="2" t="s">
        <v>5</v>
      </c>
      <c r="M2152" s="4" t="s">
        <v>67</v>
      </c>
      <c r="N2152" s="3" t="s">
        <v>81</v>
      </c>
      <c r="O2152" s="2" t="s">
        <v>11</v>
      </c>
      <c r="P2152" s="10"/>
      <c r="Q2152" s="11"/>
    </row>
    <row r="2153" spans="2:17" ht="21" customHeight="1" x14ac:dyDescent="0.35">
      <c r="B2153" s="18">
        <v>44082</v>
      </c>
      <c r="C2153" s="18" t="str">
        <f>TEXT(Sales[[#This Row],[Kode Program/Kegiatan ]],"D")</f>
        <v>8</v>
      </c>
      <c r="D2153" s="19" t="str">
        <f>TEXT(Sales[[#This Row],[Kode Program/Kegiatan ]],"mmm")</f>
        <v>Sep</v>
      </c>
      <c r="E2153" s="20">
        <v>6</v>
      </c>
      <c r="F2153" s="19">
        <v>6</v>
      </c>
      <c r="G2153" s="20" t="str">
        <f>IF(Sales[[#This Row],[Anggaran Murni]]-Sales[[#This Row],[Target s.d. Januari]]=0,"",Sales[[#This Row],[Anggaran Murni]]-Sales[[#This Row],[Target s.d. Januari]])</f>
        <v/>
      </c>
      <c r="H2153" s="19" t="s">
        <v>70</v>
      </c>
      <c r="I2153" s="20" t="s">
        <v>1</v>
      </c>
      <c r="J2153" s="20">
        <v>120000000</v>
      </c>
      <c r="K2153" s="19" t="s">
        <v>55</v>
      </c>
      <c r="L2153" s="19" t="s">
        <v>5</v>
      </c>
      <c r="M2153" s="21" t="s">
        <v>67</v>
      </c>
      <c r="N2153" s="20" t="s">
        <v>80</v>
      </c>
      <c r="O2153" s="19" t="s">
        <v>11</v>
      </c>
      <c r="P2153" s="10"/>
      <c r="Q2153" s="11"/>
    </row>
    <row r="2154" spans="2:17" ht="21" customHeight="1" x14ac:dyDescent="0.35">
      <c r="B2154" s="1">
        <v>44082</v>
      </c>
      <c r="C2154" s="1" t="str">
        <f>TEXT(Sales[[#This Row],[Kode Program/Kegiatan ]],"D")</f>
        <v>8</v>
      </c>
      <c r="D2154" s="2" t="str">
        <f>TEXT(Sales[[#This Row],[Kode Program/Kegiatan ]],"mmm")</f>
        <v>Sep</v>
      </c>
      <c r="E2154" s="3">
        <v>6</v>
      </c>
      <c r="F2154" s="2">
        <v>6</v>
      </c>
      <c r="G2154" s="3" t="str">
        <f>IF(Sales[[#This Row],[Anggaran Murni]]-Sales[[#This Row],[Target s.d. Januari]]=0,"",Sales[[#This Row],[Anggaran Murni]]-Sales[[#This Row],[Target s.d. Januari]])</f>
        <v/>
      </c>
      <c r="H2154" s="2" t="s">
        <v>75</v>
      </c>
      <c r="I2154" s="3" t="s">
        <v>6</v>
      </c>
      <c r="J2154" s="3">
        <v>140000000</v>
      </c>
      <c r="K2154" s="2" t="s">
        <v>30</v>
      </c>
      <c r="L2154" s="2" t="s">
        <v>2</v>
      </c>
      <c r="M2154" s="4" t="s">
        <v>67</v>
      </c>
      <c r="N2154" s="3" t="s">
        <v>80</v>
      </c>
      <c r="O2154" s="2" t="s">
        <v>11</v>
      </c>
      <c r="P2154" s="10"/>
      <c r="Q2154" s="11"/>
    </row>
    <row r="2155" spans="2:17" ht="21" customHeight="1" x14ac:dyDescent="0.35">
      <c r="B2155" s="18">
        <v>44082</v>
      </c>
      <c r="C2155" s="18" t="str">
        <f>TEXT(Sales[[#This Row],[Kode Program/Kegiatan ]],"D")</f>
        <v>8</v>
      </c>
      <c r="D2155" s="19" t="str">
        <f>TEXT(Sales[[#This Row],[Kode Program/Kegiatan ]],"mmm")</f>
        <v>Sep</v>
      </c>
      <c r="E2155" s="20">
        <v>4</v>
      </c>
      <c r="F2155" s="19">
        <v>4</v>
      </c>
      <c r="G2155" s="20" t="str">
        <f>IF(Sales[[#This Row],[Anggaran Murni]]-Sales[[#This Row],[Target s.d. Januari]]=0,"",Sales[[#This Row],[Anggaran Murni]]-Sales[[#This Row],[Target s.d. Januari]])</f>
        <v/>
      </c>
      <c r="H2155" s="19" t="s">
        <v>72</v>
      </c>
      <c r="I2155" s="20" t="s">
        <v>78</v>
      </c>
      <c r="J2155" s="20">
        <v>140000000</v>
      </c>
      <c r="K2155" s="19" t="s">
        <v>54</v>
      </c>
      <c r="L2155" s="19" t="s">
        <v>5</v>
      </c>
      <c r="M2155" s="21" t="s">
        <v>67</v>
      </c>
      <c r="N2155" s="20" t="s">
        <v>80</v>
      </c>
      <c r="O2155" s="19" t="s">
        <v>13</v>
      </c>
      <c r="P2155" s="10"/>
      <c r="Q2155" s="11"/>
    </row>
    <row r="2156" spans="2:17" ht="21" customHeight="1" x14ac:dyDescent="0.35">
      <c r="B2156" s="1">
        <v>44083</v>
      </c>
      <c r="C2156" s="1" t="str">
        <f>TEXT(Sales[[#This Row],[Kode Program/Kegiatan ]],"D")</f>
        <v>9</v>
      </c>
      <c r="D2156" s="2" t="str">
        <f>TEXT(Sales[[#This Row],[Kode Program/Kegiatan ]],"mmm")</f>
        <v>Sep</v>
      </c>
      <c r="E2156" s="3">
        <v>8</v>
      </c>
      <c r="F2156" s="2">
        <v>8</v>
      </c>
      <c r="G2156" s="3" t="str">
        <f>IF(Sales[[#This Row],[Anggaran Murni]]-Sales[[#This Row],[Target s.d. Januari]]=0,"",Sales[[#This Row],[Anggaran Murni]]-Sales[[#This Row],[Target s.d. Januari]])</f>
        <v/>
      </c>
      <c r="H2156" s="2" t="s">
        <v>113</v>
      </c>
      <c r="I2156" s="3" t="s">
        <v>77</v>
      </c>
      <c r="J2156" s="3">
        <v>40000000</v>
      </c>
      <c r="K2156" s="2" t="s">
        <v>23</v>
      </c>
      <c r="L2156" s="2" t="s">
        <v>2</v>
      </c>
      <c r="M2156" s="4" t="s">
        <v>67</v>
      </c>
      <c r="N2156" s="3" t="s">
        <v>82</v>
      </c>
      <c r="O2156" s="2" t="s">
        <v>12</v>
      </c>
      <c r="P2156" s="10"/>
      <c r="Q2156" s="11"/>
    </row>
    <row r="2157" spans="2:17" ht="21" customHeight="1" x14ac:dyDescent="0.35">
      <c r="B2157" s="18">
        <v>44083</v>
      </c>
      <c r="C2157" s="18" t="str">
        <f>TEXT(Sales[[#This Row],[Kode Program/Kegiatan ]],"D")</f>
        <v>9</v>
      </c>
      <c r="D2157" s="19" t="str">
        <f>TEXT(Sales[[#This Row],[Kode Program/Kegiatan ]],"mmm")</f>
        <v>Sep</v>
      </c>
      <c r="E2157" s="20">
        <v>7</v>
      </c>
      <c r="F2157" s="19">
        <v>7</v>
      </c>
      <c r="G2157" s="20" t="str">
        <f>IF(Sales[[#This Row],[Anggaran Murni]]-Sales[[#This Row],[Target s.d. Januari]]=0,"",Sales[[#This Row],[Anggaran Murni]]-Sales[[#This Row],[Target s.d. Januari]])</f>
        <v/>
      </c>
      <c r="H2157" s="19" t="s">
        <v>76</v>
      </c>
      <c r="I2157" s="20" t="s">
        <v>79</v>
      </c>
      <c r="J2157" s="20">
        <v>60000000</v>
      </c>
      <c r="K2157" s="19" t="s">
        <v>54</v>
      </c>
      <c r="L2157" s="19" t="s">
        <v>2</v>
      </c>
      <c r="M2157" s="21" t="s">
        <v>67</v>
      </c>
      <c r="N2157" s="20" t="s">
        <v>82</v>
      </c>
      <c r="O2157" s="19" t="s">
        <v>11</v>
      </c>
      <c r="P2157" s="10"/>
      <c r="Q2157" s="11"/>
    </row>
    <row r="2158" spans="2:17" ht="21" customHeight="1" x14ac:dyDescent="0.35">
      <c r="B2158" s="1">
        <v>44083</v>
      </c>
      <c r="C2158" s="1" t="str">
        <f>TEXT(Sales[[#This Row],[Kode Program/Kegiatan ]],"D")</f>
        <v>9</v>
      </c>
      <c r="D2158" s="2" t="str">
        <f>TEXT(Sales[[#This Row],[Kode Program/Kegiatan ]],"mmm")</f>
        <v>Sep</v>
      </c>
      <c r="E2158" s="3">
        <v>5</v>
      </c>
      <c r="F2158" s="2">
        <v>5</v>
      </c>
      <c r="G2158" s="3" t="str">
        <f>IF(Sales[[#This Row],[Anggaran Murni]]-Sales[[#This Row],[Target s.d. Januari]]=0,"",Sales[[#This Row],[Anggaran Murni]]-Sales[[#This Row],[Target s.d. Januari]])</f>
        <v/>
      </c>
      <c r="H2158" s="2" t="s">
        <v>76</v>
      </c>
      <c r="I2158" s="3" t="s">
        <v>79</v>
      </c>
      <c r="J2158" s="3">
        <v>80000000</v>
      </c>
      <c r="K2158" s="2" t="s">
        <v>36</v>
      </c>
      <c r="L2158" s="2" t="s">
        <v>5</v>
      </c>
      <c r="M2158" s="4" t="s">
        <v>67</v>
      </c>
      <c r="N2158" s="3" t="s">
        <v>80</v>
      </c>
      <c r="O2158" s="2" t="s">
        <v>11</v>
      </c>
      <c r="P2158" s="10"/>
      <c r="Q2158" s="11"/>
    </row>
    <row r="2159" spans="2:17" ht="21" customHeight="1" x14ac:dyDescent="0.35">
      <c r="B2159" s="18">
        <v>44083</v>
      </c>
      <c r="C2159" s="18" t="str">
        <f>TEXT(Sales[[#This Row],[Kode Program/Kegiatan ]],"D")</f>
        <v>9</v>
      </c>
      <c r="D2159" s="19" t="str">
        <f>TEXT(Sales[[#This Row],[Kode Program/Kegiatan ]],"mmm")</f>
        <v>Sep</v>
      </c>
      <c r="E2159" s="20">
        <v>3</v>
      </c>
      <c r="F2159" s="19">
        <v>3</v>
      </c>
      <c r="G2159" s="20" t="str">
        <f>IF(Sales[[#This Row],[Anggaran Murni]]-Sales[[#This Row],[Target s.d. Januari]]=0,"",Sales[[#This Row],[Anggaran Murni]]-Sales[[#This Row],[Target s.d. Januari]])</f>
        <v/>
      </c>
      <c r="H2159" s="19" t="s">
        <v>72</v>
      </c>
      <c r="I2159" s="20" t="s">
        <v>78</v>
      </c>
      <c r="J2159" s="20">
        <v>100000000</v>
      </c>
      <c r="K2159" s="19" t="s">
        <v>29</v>
      </c>
      <c r="L2159" s="19" t="s">
        <v>2</v>
      </c>
      <c r="M2159" s="21" t="s">
        <v>67</v>
      </c>
      <c r="N2159" s="20" t="s">
        <v>81</v>
      </c>
      <c r="O2159" s="19" t="s">
        <v>12</v>
      </c>
      <c r="P2159" s="10"/>
      <c r="Q2159" s="11"/>
    </row>
    <row r="2160" spans="2:17" ht="21" customHeight="1" x14ac:dyDescent="0.35">
      <c r="B2160" s="1">
        <v>44084</v>
      </c>
      <c r="C2160" s="1" t="str">
        <f>TEXT(Sales[[#This Row],[Kode Program/Kegiatan ]],"D")</f>
        <v>10</v>
      </c>
      <c r="D2160" s="2" t="str">
        <f>TEXT(Sales[[#This Row],[Kode Program/Kegiatan ]],"mmm")</f>
        <v>Sep</v>
      </c>
      <c r="E2160" s="3">
        <v>10</v>
      </c>
      <c r="F2160" s="2">
        <v>10</v>
      </c>
      <c r="G2160" s="3" t="str">
        <f>IF(Sales[[#This Row],[Anggaran Murni]]-Sales[[#This Row],[Target s.d. Januari]]=0,"",Sales[[#This Row],[Anggaran Murni]]-Sales[[#This Row],[Target s.d. Januari]])</f>
        <v/>
      </c>
      <c r="H2160" s="2" t="s">
        <v>70</v>
      </c>
      <c r="I2160" s="3" t="s">
        <v>1</v>
      </c>
      <c r="J2160" s="3">
        <v>140000000</v>
      </c>
      <c r="K2160" s="2" t="s">
        <v>51</v>
      </c>
      <c r="L2160" s="2" t="s">
        <v>5</v>
      </c>
      <c r="M2160" s="4" t="s">
        <v>67</v>
      </c>
      <c r="N2160" s="3" t="s">
        <v>82</v>
      </c>
      <c r="O2160" s="2" t="s">
        <v>14</v>
      </c>
      <c r="P2160" s="10"/>
      <c r="Q2160" s="11"/>
    </row>
    <row r="2161" spans="2:17" ht="21" customHeight="1" x14ac:dyDescent="0.35">
      <c r="B2161" s="18">
        <v>44084</v>
      </c>
      <c r="C2161" s="18" t="str">
        <f>TEXT(Sales[[#This Row],[Kode Program/Kegiatan ]],"D")</f>
        <v>10</v>
      </c>
      <c r="D2161" s="19" t="str">
        <f>TEXT(Sales[[#This Row],[Kode Program/Kegiatan ]],"mmm")</f>
        <v>Sep</v>
      </c>
      <c r="E2161" s="20">
        <v>4</v>
      </c>
      <c r="F2161" s="19">
        <v>4</v>
      </c>
      <c r="G2161" s="20" t="str">
        <f>IF(Sales[[#This Row],[Anggaran Murni]]-Sales[[#This Row],[Target s.d. Januari]]=0,"",Sales[[#This Row],[Anggaran Murni]]-Sales[[#This Row],[Target s.d. Januari]])</f>
        <v/>
      </c>
      <c r="H2161" s="19" t="s">
        <v>70</v>
      </c>
      <c r="I2161" s="20" t="s">
        <v>1</v>
      </c>
      <c r="J2161" s="20">
        <v>100000000</v>
      </c>
      <c r="K2161" s="19" t="s">
        <v>24</v>
      </c>
      <c r="L2161" s="19" t="s">
        <v>2</v>
      </c>
      <c r="M2161" s="21" t="s">
        <v>67</v>
      </c>
      <c r="N2161" s="20" t="s">
        <v>81</v>
      </c>
      <c r="O2161" s="19" t="s">
        <v>12</v>
      </c>
      <c r="P2161" s="10"/>
      <c r="Q2161" s="11"/>
    </row>
    <row r="2162" spans="2:17" ht="21" customHeight="1" x14ac:dyDescent="0.35">
      <c r="B2162" s="1">
        <v>44084</v>
      </c>
      <c r="C2162" s="1" t="str">
        <f>TEXT(Sales[[#This Row],[Kode Program/Kegiatan ]],"D")</f>
        <v>10</v>
      </c>
      <c r="D2162" s="2" t="str">
        <f>TEXT(Sales[[#This Row],[Kode Program/Kegiatan ]],"mmm")</f>
        <v>Sep</v>
      </c>
      <c r="E2162" s="3">
        <v>3</v>
      </c>
      <c r="F2162" s="2">
        <v>3</v>
      </c>
      <c r="G2162" s="3" t="str">
        <f>IF(Sales[[#This Row],[Anggaran Murni]]-Sales[[#This Row],[Target s.d. Januari]]=0,"",Sales[[#This Row],[Anggaran Murni]]-Sales[[#This Row],[Target s.d. Januari]])</f>
        <v/>
      </c>
      <c r="H2162" s="2" t="s">
        <v>72</v>
      </c>
      <c r="I2162" s="3" t="s">
        <v>78</v>
      </c>
      <c r="J2162" s="3">
        <v>140000000</v>
      </c>
      <c r="K2162" s="2" t="s">
        <v>51</v>
      </c>
      <c r="L2162" s="2" t="s">
        <v>2</v>
      </c>
      <c r="M2162" s="4" t="s">
        <v>67</v>
      </c>
      <c r="N2162" s="3" t="s">
        <v>80</v>
      </c>
      <c r="O2162" s="2" t="s">
        <v>12</v>
      </c>
      <c r="P2162" s="10"/>
      <c r="Q2162" s="11"/>
    </row>
    <row r="2163" spans="2:17" ht="21" customHeight="1" x14ac:dyDescent="0.35">
      <c r="B2163" s="18">
        <v>44085</v>
      </c>
      <c r="C2163" s="18" t="str">
        <f>TEXT(Sales[[#This Row],[Kode Program/Kegiatan ]],"D")</f>
        <v>11</v>
      </c>
      <c r="D2163" s="19" t="str">
        <f>TEXT(Sales[[#This Row],[Kode Program/Kegiatan ]],"mmm")</f>
        <v>Sep</v>
      </c>
      <c r="E2163" s="20">
        <v>10</v>
      </c>
      <c r="F2163" s="19">
        <v>10</v>
      </c>
      <c r="G2163" s="20" t="str">
        <f>IF(Sales[[#This Row],[Anggaran Murni]]-Sales[[#This Row],[Target s.d. Januari]]=0,"",Sales[[#This Row],[Anggaran Murni]]-Sales[[#This Row],[Target s.d. Januari]])</f>
        <v/>
      </c>
      <c r="H2163" s="19" t="s">
        <v>113</v>
      </c>
      <c r="I2163" s="20" t="s">
        <v>77</v>
      </c>
      <c r="J2163" s="20">
        <v>120000000</v>
      </c>
      <c r="K2163" s="19" t="s">
        <v>49</v>
      </c>
      <c r="L2163" s="19" t="s">
        <v>5</v>
      </c>
      <c r="M2163" s="21" t="s">
        <v>67</v>
      </c>
      <c r="N2163" s="20" t="s">
        <v>82</v>
      </c>
      <c r="O2163" s="19" t="s">
        <v>12</v>
      </c>
      <c r="P2163" s="10"/>
      <c r="Q2163" s="11"/>
    </row>
    <row r="2164" spans="2:17" ht="21" customHeight="1" x14ac:dyDescent="0.35">
      <c r="B2164" s="1">
        <v>44085</v>
      </c>
      <c r="C2164" s="1" t="str">
        <f>TEXT(Sales[[#This Row],[Kode Program/Kegiatan ]],"D")</f>
        <v>11</v>
      </c>
      <c r="D2164" s="2" t="str">
        <f>TEXT(Sales[[#This Row],[Kode Program/Kegiatan ]],"mmm")</f>
        <v>Sep</v>
      </c>
      <c r="E2164" s="3">
        <v>10</v>
      </c>
      <c r="F2164" s="2">
        <v>10</v>
      </c>
      <c r="G2164" s="3" t="str">
        <f>IF(Sales[[#This Row],[Anggaran Murni]]-Sales[[#This Row],[Target s.d. Januari]]=0,"",Sales[[#This Row],[Anggaran Murni]]-Sales[[#This Row],[Target s.d. Januari]])</f>
        <v/>
      </c>
      <c r="H2164" s="2" t="s">
        <v>114</v>
      </c>
      <c r="I2164" s="3" t="s">
        <v>3</v>
      </c>
      <c r="J2164" s="3">
        <v>100000000</v>
      </c>
      <c r="K2164" s="2" t="s">
        <v>43</v>
      </c>
      <c r="L2164" s="2" t="s">
        <v>5</v>
      </c>
      <c r="M2164" s="4" t="s">
        <v>67</v>
      </c>
      <c r="N2164" s="3" t="s">
        <v>81</v>
      </c>
      <c r="O2164" s="2" t="s">
        <v>14</v>
      </c>
      <c r="P2164" s="10"/>
      <c r="Q2164" s="11"/>
    </row>
    <row r="2165" spans="2:17" ht="21" customHeight="1" x14ac:dyDescent="0.35">
      <c r="B2165" s="18">
        <v>44085</v>
      </c>
      <c r="C2165" s="18" t="str">
        <f>TEXT(Sales[[#This Row],[Kode Program/Kegiatan ]],"D")</f>
        <v>11</v>
      </c>
      <c r="D2165" s="19" t="str">
        <f>TEXT(Sales[[#This Row],[Kode Program/Kegiatan ]],"mmm")</f>
        <v>Sep</v>
      </c>
      <c r="E2165" s="20">
        <v>6</v>
      </c>
      <c r="F2165" s="19">
        <v>6</v>
      </c>
      <c r="G2165" s="20" t="str">
        <f>IF(Sales[[#This Row],[Anggaran Murni]]-Sales[[#This Row],[Target s.d. Januari]]=0,"",Sales[[#This Row],[Anggaran Murni]]-Sales[[#This Row],[Target s.d. Januari]])</f>
        <v/>
      </c>
      <c r="H2165" s="19" t="s">
        <v>76</v>
      </c>
      <c r="I2165" s="20" t="s">
        <v>79</v>
      </c>
      <c r="J2165" s="20">
        <v>120000000</v>
      </c>
      <c r="K2165" s="19" t="s">
        <v>35</v>
      </c>
      <c r="L2165" s="19" t="s">
        <v>7</v>
      </c>
      <c r="M2165" s="21" t="s">
        <v>67</v>
      </c>
      <c r="N2165" s="20" t="s">
        <v>81</v>
      </c>
      <c r="O2165" s="19" t="s">
        <v>12</v>
      </c>
      <c r="P2165" s="10"/>
      <c r="Q2165" s="11"/>
    </row>
    <row r="2166" spans="2:17" ht="21" customHeight="1" x14ac:dyDescent="0.35">
      <c r="B2166" s="1">
        <v>44085</v>
      </c>
      <c r="C2166" s="1" t="str">
        <f>TEXT(Sales[[#This Row],[Kode Program/Kegiatan ]],"D")</f>
        <v>11</v>
      </c>
      <c r="D2166" s="2" t="str">
        <f>TEXT(Sales[[#This Row],[Kode Program/Kegiatan ]],"mmm")</f>
        <v>Sep</v>
      </c>
      <c r="E2166" s="3">
        <v>5</v>
      </c>
      <c r="F2166" s="2">
        <v>5</v>
      </c>
      <c r="G2166" s="3" t="str">
        <f>IF(Sales[[#This Row],[Anggaran Murni]]-Sales[[#This Row],[Target s.d. Januari]]=0,"",Sales[[#This Row],[Anggaran Murni]]-Sales[[#This Row],[Target s.d. Januari]])</f>
        <v/>
      </c>
      <c r="H2166" s="2" t="s">
        <v>71</v>
      </c>
      <c r="I2166" s="3" t="s">
        <v>6</v>
      </c>
      <c r="J2166" s="3">
        <v>40000000</v>
      </c>
      <c r="K2166" s="2" t="s">
        <v>44</v>
      </c>
      <c r="L2166" s="2" t="s">
        <v>7</v>
      </c>
      <c r="M2166" s="4" t="s">
        <v>67</v>
      </c>
      <c r="N2166" s="3" t="s">
        <v>82</v>
      </c>
      <c r="O2166" s="2" t="s">
        <v>12</v>
      </c>
      <c r="P2166" s="10"/>
      <c r="Q2166" s="11"/>
    </row>
    <row r="2167" spans="2:17" ht="21" customHeight="1" x14ac:dyDescent="0.35">
      <c r="B2167" s="18">
        <v>44085</v>
      </c>
      <c r="C2167" s="18" t="str">
        <f>TEXT(Sales[[#This Row],[Kode Program/Kegiatan ]],"D")</f>
        <v>11</v>
      </c>
      <c r="D2167" s="19" t="str">
        <f>TEXT(Sales[[#This Row],[Kode Program/Kegiatan ]],"mmm")</f>
        <v>Sep</v>
      </c>
      <c r="E2167" s="20">
        <v>5</v>
      </c>
      <c r="F2167" s="19">
        <v>5</v>
      </c>
      <c r="G2167" s="20" t="str">
        <f>IF(Sales[[#This Row],[Anggaran Murni]]-Sales[[#This Row],[Target s.d. Januari]]=0,"",Sales[[#This Row],[Anggaran Murni]]-Sales[[#This Row],[Target s.d. Januari]])</f>
        <v/>
      </c>
      <c r="H2167" s="19" t="s">
        <v>70</v>
      </c>
      <c r="I2167" s="20" t="s">
        <v>1</v>
      </c>
      <c r="J2167" s="20">
        <v>120000000</v>
      </c>
      <c r="K2167" s="19" t="s">
        <v>22</v>
      </c>
      <c r="L2167" s="19" t="s">
        <v>4</v>
      </c>
      <c r="M2167" s="21" t="s">
        <v>67</v>
      </c>
      <c r="N2167" s="20" t="s">
        <v>82</v>
      </c>
      <c r="O2167" s="19" t="s">
        <v>12</v>
      </c>
      <c r="P2167" s="10"/>
      <c r="Q2167" s="11"/>
    </row>
    <row r="2168" spans="2:17" ht="21" customHeight="1" x14ac:dyDescent="0.35">
      <c r="B2168" s="1">
        <v>44085</v>
      </c>
      <c r="C2168" s="1" t="str">
        <f>TEXT(Sales[[#This Row],[Kode Program/Kegiatan ]],"D")</f>
        <v>11</v>
      </c>
      <c r="D2168" s="2" t="str">
        <f>TEXT(Sales[[#This Row],[Kode Program/Kegiatan ]],"mmm")</f>
        <v>Sep</v>
      </c>
      <c r="E2168" s="3">
        <v>3</v>
      </c>
      <c r="F2168" s="2">
        <v>3</v>
      </c>
      <c r="G2168" s="3" t="str">
        <f>IF(Sales[[#This Row],[Anggaran Murni]]-Sales[[#This Row],[Target s.d. Januari]]=0,"",Sales[[#This Row],[Anggaran Murni]]-Sales[[#This Row],[Target s.d. Januari]])</f>
        <v/>
      </c>
      <c r="H2168" s="2" t="s">
        <v>74</v>
      </c>
      <c r="I2168" s="3" t="s">
        <v>77</v>
      </c>
      <c r="J2168" s="3">
        <v>140000000</v>
      </c>
      <c r="K2168" s="2" t="s">
        <v>56</v>
      </c>
      <c r="L2168" s="2" t="s">
        <v>8</v>
      </c>
      <c r="M2168" s="4" t="s">
        <v>67</v>
      </c>
      <c r="N2168" s="3" t="s">
        <v>81</v>
      </c>
      <c r="O2168" s="2" t="s">
        <v>13</v>
      </c>
      <c r="P2168" s="10"/>
      <c r="Q2168" s="11"/>
    </row>
    <row r="2169" spans="2:17" ht="21" customHeight="1" x14ac:dyDescent="0.35">
      <c r="B2169" s="18">
        <v>44085</v>
      </c>
      <c r="C2169" s="18" t="str">
        <f>TEXT(Sales[[#This Row],[Kode Program/Kegiatan ]],"D")</f>
        <v>11</v>
      </c>
      <c r="D2169" s="19" t="str">
        <f>TEXT(Sales[[#This Row],[Kode Program/Kegiatan ]],"mmm")</f>
        <v>Sep</v>
      </c>
      <c r="E2169" s="20">
        <v>3</v>
      </c>
      <c r="F2169" s="19">
        <v>3</v>
      </c>
      <c r="G2169" s="20" t="str">
        <f>IF(Sales[[#This Row],[Anggaran Murni]]-Sales[[#This Row],[Target s.d. Januari]]=0,"",Sales[[#This Row],[Anggaran Murni]]-Sales[[#This Row],[Target s.d. Januari]])</f>
        <v/>
      </c>
      <c r="H2169" s="19" t="s">
        <v>72</v>
      </c>
      <c r="I2169" s="20" t="s">
        <v>78</v>
      </c>
      <c r="J2169" s="20">
        <v>120000000</v>
      </c>
      <c r="K2169" s="19" t="s">
        <v>27</v>
      </c>
      <c r="L2169" s="19" t="s">
        <v>2</v>
      </c>
      <c r="M2169" s="21" t="s">
        <v>67</v>
      </c>
      <c r="N2169" s="20" t="s">
        <v>81</v>
      </c>
      <c r="O2169" s="19" t="s">
        <v>13</v>
      </c>
      <c r="P2169" s="10"/>
      <c r="Q2169" s="11"/>
    </row>
    <row r="2170" spans="2:17" ht="21" customHeight="1" x14ac:dyDescent="0.35">
      <c r="B2170" s="1">
        <v>44086</v>
      </c>
      <c r="C2170" s="1" t="str">
        <f>TEXT(Sales[[#This Row],[Kode Program/Kegiatan ]],"D")</f>
        <v>12</v>
      </c>
      <c r="D2170" s="2" t="str">
        <f>TEXT(Sales[[#This Row],[Kode Program/Kegiatan ]],"mmm")</f>
        <v>Sep</v>
      </c>
      <c r="E2170" s="3">
        <v>10</v>
      </c>
      <c r="F2170" s="2">
        <v>10</v>
      </c>
      <c r="G2170" s="3" t="str">
        <f>IF(Sales[[#This Row],[Anggaran Murni]]-Sales[[#This Row],[Target s.d. Januari]]=0,"",Sales[[#This Row],[Anggaran Murni]]-Sales[[#This Row],[Target s.d. Januari]])</f>
        <v/>
      </c>
      <c r="H2170" s="2" t="s">
        <v>76</v>
      </c>
      <c r="I2170" s="3" t="s">
        <v>79</v>
      </c>
      <c r="J2170" s="3">
        <v>120000000</v>
      </c>
      <c r="K2170" s="2" t="s">
        <v>43</v>
      </c>
      <c r="L2170" s="2" t="s">
        <v>8</v>
      </c>
      <c r="M2170" s="4" t="s">
        <v>67</v>
      </c>
      <c r="N2170" s="3" t="s">
        <v>80</v>
      </c>
      <c r="O2170" s="2" t="s">
        <v>14</v>
      </c>
      <c r="P2170" s="10"/>
      <c r="Q2170" s="11"/>
    </row>
    <row r="2171" spans="2:17" ht="21" customHeight="1" x14ac:dyDescent="0.35">
      <c r="B2171" s="18">
        <v>44086</v>
      </c>
      <c r="C2171" s="18" t="str">
        <f>TEXT(Sales[[#This Row],[Kode Program/Kegiatan ]],"D")</f>
        <v>12</v>
      </c>
      <c r="D2171" s="19" t="str">
        <f>TEXT(Sales[[#This Row],[Kode Program/Kegiatan ]],"mmm")</f>
        <v>Sep</v>
      </c>
      <c r="E2171" s="20">
        <v>9</v>
      </c>
      <c r="F2171" s="19">
        <v>9</v>
      </c>
      <c r="G2171" s="20" t="str">
        <f>IF(Sales[[#This Row],[Anggaran Murni]]-Sales[[#This Row],[Target s.d. Januari]]=0,"",Sales[[#This Row],[Anggaran Murni]]-Sales[[#This Row],[Target s.d. Januari]])</f>
        <v/>
      </c>
      <c r="H2171" s="19" t="s">
        <v>113</v>
      </c>
      <c r="I2171" s="20" t="s">
        <v>77</v>
      </c>
      <c r="J2171" s="20">
        <v>120000000</v>
      </c>
      <c r="K2171" s="19" t="s">
        <v>42</v>
      </c>
      <c r="L2171" s="19" t="s">
        <v>5</v>
      </c>
      <c r="M2171" s="21" t="s">
        <v>67</v>
      </c>
      <c r="N2171" s="20" t="s">
        <v>81</v>
      </c>
      <c r="O2171" s="19" t="s">
        <v>14</v>
      </c>
      <c r="P2171" s="10"/>
      <c r="Q2171" s="11"/>
    </row>
    <row r="2172" spans="2:17" ht="21" customHeight="1" x14ac:dyDescent="0.35">
      <c r="B2172" s="1">
        <v>44086</v>
      </c>
      <c r="C2172" s="1" t="str">
        <f>TEXT(Sales[[#This Row],[Kode Program/Kegiatan ]],"D")</f>
        <v>12</v>
      </c>
      <c r="D2172" s="2" t="str">
        <f>TEXT(Sales[[#This Row],[Kode Program/Kegiatan ]],"mmm")</f>
        <v>Sep</v>
      </c>
      <c r="E2172" s="3">
        <v>7</v>
      </c>
      <c r="F2172" s="2">
        <v>7</v>
      </c>
      <c r="G2172" s="3" t="str">
        <f>IF(Sales[[#This Row],[Anggaran Murni]]-Sales[[#This Row],[Target s.d. Januari]]=0,"",Sales[[#This Row],[Anggaran Murni]]-Sales[[#This Row],[Target s.d. Januari]])</f>
        <v/>
      </c>
      <c r="H2172" s="2" t="s">
        <v>73</v>
      </c>
      <c r="I2172" s="3" t="s">
        <v>78</v>
      </c>
      <c r="J2172" s="3">
        <v>40000000</v>
      </c>
      <c r="K2172" s="2" t="s">
        <v>30</v>
      </c>
      <c r="L2172" s="2" t="s">
        <v>2</v>
      </c>
      <c r="M2172" s="4" t="s">
        <v>67</v>
      </c>
      <c r="N2172" s="3" t="s">
        <v>82</v>
      </c>
      <c r="O2172" s="2" t="s">
        <v>13</v>
      </c>
      <c r="P2172" s="10"/>
      <c r="Q2172" s="11"/>
    </row>
    <row r="2173" spans="2:17" ht="21" customHeight="1" x14ac:dyDescent="0.35">
      <c r="B2173" s="18">
        <v>44086</v>
      </c>
      <c r="C2173" s="18" t="str">
        <f>TEXT(Sales[[#This Row],[Kode Program/Kegiatan ]],"D")</f>
        <v>12</v>
      </c>
      <c r="D2173" s="19" t="str">
        <f>TEXT(Sales[[#This Row],[Kode Program/Kegiatan ]],"mmm")</f>
        <v>Sep</v>
      </c>
      <c r="E2173" s="20">
        <v>7</v>
      </c>
      <c r="F2173" s="19">
        <v>7</v>
      </c>
      <c r="G2173" s="20" t="str">
        <f>IF(Sales[[#This Row],[Anggaran Murni]]-Sales[[#This Row],[Target s.d. Januari]]=0,"",Sales[[#This Row],[Anggaran Murni]]-Sales[[#This Row],[Target s.d. Januari]])</f>
        <v/>
      </c>
      <c r="H2173" s="19" t="s">
        <v>76</v>
      </c>
      <c r="I2173" s="20" t="s">
        <v>79</v>
      </c>
      <c r="J2173" s="20">
        <v>60000000</v>
      </c>
      <c r="K2173" s="19" t="s">
        <v>31</v>
      </c>
      <c r="L2173" s="19" t="s">
        <v>5</v>
      </c>
      <c r="M2173" s="21" t="s">
        <v>67</v>
      </c>
      <c r="N2173" s="20" t="s">
        <v>81</v>
      </c>
      <c r="O2173" s="19" t="s">
        <v>14</v>
      </c>
      <c r="P2173" s="10"/>
      <c r="Q2173" s="11"/>
    </row>
    <row r="2174" spans="2:17" ht="21" customHeight="1" x14ac:dyDescent="0.35">
      <c r="B2174" s="1">
        <v>44086</v>
      </c>
      <c r="C2174" s="1" t="str">
        <f>TEXT(Sales[[#This Row],[Kode Program/Kegiatan ]],"D")</f>
        <v>12</v>
      </c>
      <c r="D2174" s="2" t="str">
        <f>TEXT(Sales[[#This Row],[Kode Program/Kegiatan ]],"mmm")</f>
        <v>Sep</v>
      </c>
      <c r="E2174" s="3">
        <v>3</v>
      </c>
      <c r="F2174" s="2">
        <v>3</v>
      </c>
      <c r="G2174" s="3" t="str">
        <f>IF(Sales[[#This Row],[Anggaran Murni]]-Sales[[#This Row],[Target s.d. Januari]]=0,"",Sales[[#This Row],[Anggaran Murni]]-Sales[[#This Row],[Target s.d. Januari]])</f>
        <v/>
      </c>
      <c r="H2174" s="2" t="s">
        <v>73</v>
      </c>
      <c r="I2174" s="3" t="s">
        <v>78</v>
      </c>
      <c r="J2174" s="3">
        <v>100000000</v>
      </c>
      <c r="K2174" s="2" t="s">
        <v>61</v>
      </c>
      <c r="L2174" s="2" t="s">
        <v>8</v>
      </c>
      <c r="M2174" s="4" t="s">
        <v>67</v>
      </c>
      <c r="N2174" s="3" t="s">
        <v>80</v>
      </c>
      <c r="O2174" s="2" t="s">
        <v>14</v>
      </c>
      <c r="P2174" s="10"/>
      <c r="Q2174" s="11"/>
    </row>
    <row r="2175" spans="2:17" ht="21" customHeight="1" x14ac:dyDescent="0.35">
      <c r="B2175" s="18">
        <v>44087</v>
      </c>
      <c r="C2175" s="18" t="str">
        <f>TEXT(Sales[[#This Row],[Kode Program/Kegiatan ]],"D")</f>
        <v>13</v>
      </c>
      <c r="D2175" s="19" t="str">
        <f>TEXT(Sales[[#This Row],[Kode Program/Kegiatan ]],"mmm")</f>
        <v>Sep</v>
      </c>
      <c r="E2175" s="20">
        <v>10</v>
      </c>
      <c r="F2175" s="19">
        <v>10</v>
      </c>
      <c r="G2175" s="20" t="str">
        <f>IF(Sales[[#This Row],[Anggaran Murni]]-Sales[[#This Row],[Target s.d. Januari]]=0,"",Sales[[#This Row],[Anggaran Murni]]-Sales[[#This Row],[Target s.d. Januari]])</f>
        <v/>
      </c>
      <c r="H2175" s="19" t="s">
        <v>74</v>
      </c>
      <c r="I2175" s="20" t="s">
        <v>77</v>
      </c>
      <c r="J2175" s="20">
        <v>140000000</v>
      </c>
      <c r="K2175" s="19" t="s">
        <v>19</v>
      </c>
      <c r="L2175" s="19" t="s">
        <v>2</v>
      </c>
      <c r="M2175" s="21" t="s">
        <v>67</v>
      </c>
      <c r="N2175" s="20" t="s">
        <v>80</v>
      </c>
      <c r="O2175" s="19" t="s">
        <v>11</v>
      </c>
      <c r="P2175" s="10"/>
      <c r="Q2175" s="11"/>
    </row>
    <row r="2176" spans="2:17" ht="21" customHeight="1" x14ac:dyDescent="0.35">
      <c r="B2176" s="1">
        <v>44087</v>
      </c>
      <c r="C2176" s="1" t="str">
        <f>TEXT(Sales[[#This Row],[Kode Program/Kegiatan ]],"D")</f>
        <v>13</v>
      </c>
      <c r="D2176" s="2" t="str">
        <f>TEXT(Sales[[#This Row],[Kode Program/Kegiatan ]],"mmm")</f>
        <v>Sep</v>
      </c>
      <c r="E2176" s="3">
        <v>10</v>
      </c>
      <c r="F2176" s="2">
        <v>10</v>
      </c>
      <c r="G2176" s="3" t="str">
        <f>IF(Sales[[#This Row],[Anggaran Murni]]-Sales[[#This Row],[Target s.d. Januari]]=0,"",Sales[[#This Row],[Anggaran Murni]]-Sales[[#This Row],[Target s.d. Januari]])</f>
        <v/>
      </c>
      <c r="H2176" s="2" t="s">
        <v>114</v>
      </c>
      <c r="I2176" s="3" t="s">
        <v>3</v>
      </c>
      <c r="J2176" s="3">
        <v>60000000</v>
      </c>
      <c r="K2176" s="2" t="s">
        <v>25</v>
      </c>
      <c r="L2176" s="2" t="s">
        <v>2</v>
      </c>
      <c r="M2176" s="4" t="s">
        <v>67</v>
      </c>
      <c r="N2176" s="3" t="s">
        <v>81</v>
      </c>
      <c r="O2176" s="2" t="s">
        <v>11</v>
      </c>
      <c r="P2176" s="10"/>
      <c r="Q2176" s="11"/>
    </row>
    <row r="2177" spans="2:17" ht="21" customHeight="1" x14ac:dyDescent="0.35">
      <c r="B2177" s="18">
        <v>44087</v>
      </c>
      <c r="C2177" s="18" t="str">
        <f>TEXT(Sales[[#This Row],[Kode Program/Kegiatan ]],"D")</f>
        <v>13</v>
      </c>
      <c r="D2177" s="19" t="str">
        <f>TEXT(Sales[[#This Row],[Kode Program/Kegiatan ]],"mmm")</f>
        <v>Sep</v>
      </c>
      <c r="E2177" s="20">
        <v>10</v>
      </c>
      <c r="F2177" s="19">
        <v>10</v>
      </c>
      <c r="G2177" s="20" t="str">
        <f>IF(Sales[[#This Row],[Anggaran Murni]]-Sales[[#This Row],[Target s.d. Januari]]=0,"",Sales[[#This Row],[Anggaran Murni]]-Sales[[#This Row],[Target s.d. Januari]])</f>
        <v/>
      </c>
      <c r="H2177" s="19" t="s">
        <v>72</v>
      </c>
      <c r="I2177" s="20" t="s">
        <v>78</v>
      </c>
      <c r="J2177" s="20">
        <v>140000000</v>
      </c>
      <c r="K2177" s="19" t="s">
        <v>57</v>
      </c>
      <c r="L2177" s="19" t="s">
        <v>2</v>
      </c>
      <c r="M2177" s="21" t="s">
        <v>67</v>
      </c>
      <c r="N2177" s="20" t="s">
        <v>80</v>
      </c>
      <c r="O2177" s="19" t="s">
        <v>14</v>
      </c>
      <c r="P2177" s="10"/>
      <c r="Q2177" s="11"/>
    </row>
    <row r="2178" spans="2:17" ht="21" customHeight="1" x14ac:dyDescent="0.35">
      <c r="B2178" s="1">
        <v>44087</v>
      </c>
      <c r="C2178" s="1" t="str">
        <f>TEXT(Sales[[#This Row],[Kode Program/Kegiatan ]],"D")</f>
        <v>13</v>
      </c>
      <c r="D2178" s="2" t="str">
        <f>TEXT(Sales[[#This Row],[Kode Program/Kegiatan ]],"mmm")</f>
        <v>Sep</v>
      </c>
      <c r="E2178" s="3">
        <v>10</v>
      </c>
      <c r="F2178" s="2">
        <v>10</v>
      </c>
      <c r="G2178" s="3" t="str">
        <f>IF(Sales[[#This Row],[Anggaran Murni]]-Sales[[#This Row],[Target s.d. Januari]]=0,"",Sales[[#This Row],[Anggaran Murni]]-Sales[[#This Row],[Target s.d. Januari]])</f>
        <v/>
      </c>
      <c r="H2178" s="2" t="s">
        <v>74</v>
      </c>
      <c r="I2178" s="3" t="s">
        <v>77</v>
      </c>
      <c r="J2178" s="3">
        <v>120000000</v>
      </c>
      <c r="K2178" s="2" t="s">
        <v>18</v>
      </c>
      <c r="L2178" s="2" t="s">
        <v>2</v>
      </c>
      <c r="M2178" s="4" t="s">
        <v>67</v>
      </c>
      <c r="N2178" s="3" t="s">
        <v>81</v>
      </c>
      <c r="O2178" s="2" t="s">
        <v>14</v>
      </c>
      <c r="P2178" s="10"/>
      <c r="Q2178" s="11"/>
    </row>
    <row r="2179" spans="2:17" ht="21" customHeight="1" x14ac:dyDescent="0.35">
      <c r="B2179" s="18">
        <v>44087</v>
      </c>
      <c r="C2179" s="18" t="str">
        <f>TEXT(Sales[[#This Row],[Kode Program/Kegiatan ]],"D")</f>
        <v>13</v>
      </c>
      <c r="D2179" s="19" t="str">
        <f>TEXT(Sales[[#This Row],[Kode Program/Kegiatan ]],"mmm")</f>
        <v>Sep</v>
      </c>
      <c r="E2179" s="20">
        <v>9</v>
      </c>
      <c r="F2179" s="19">
        <v>9</v>
      </c>
      <c r="G2179" s="20" t="str">
        <f>IF(Sales[[#This Row],[Anggaran Murni]]-Sales[[#This Row],[Target s.d. Januari]]=0,"",Sales[[#This Row],[Anggaran Murni]]-Sales[[#This Row],[Target s.d. Januari]])</f>
        <v/>
      </c>
      <c r="H2179" s="19" t="s">
        <v>114</v>
      </c>
      <c r="I2179" s="20" t="s">
        <v>3</v>
      </c>
      <c r="J2179" s="20">
        <v>60000000</v>
      </c>
      <c r="K2179" s="19" t="s">
        <v>17</v>
      </c>
      <c r="L2179" s="19" t="s">
        <v>5</v>
      </c>
      <c r="M2179" s="21" t="s">
        <v>67</v>
      </c>
      <c r="N2179" s="20" t="s">
        <v>82</v>
      </c>
      <c r="O2179" s="19" t="s">
        <v>14</v>
      </c>
      <c r="P2179" s="10"/>
      <c r="Q2179" s="11"/>
    </row>
    <row r="2180" spans="2:17" ht="21" customHeight="1" x14ac:dyDescent="0.35">
      <c r="B2180" s="1">
        <v>44087</v>
      </c>
      <c r="C2180" s="1" t="str">
        <f>TEXT(Sales[[#This Row],[Kode Program/Kegiatan ]],"D")</f>
        <v>13</v>
      </c>
      <c r="D2180" s="2" t="str">
        <f>TEXT(Sales[[#This Row],[Kode Program/Kegiatan ]],"mmm")</f>
        <v>Sep</v>
      </c>
      <c r="E2180" s="3">
        <v>9</v>
      </c>
      <c r="F2180" s="2">
        <v>9</v>
      </c>
      <c r="G2180" s="3" t="str">
        <f>IF(Sales[[#This Row],[Anggaran Murni]]-Sales[[#This Row],[Target s.d. Januari]]=0,"",Sales[[#This Row],[Anggaran Murni]]-Sales[[#This Row],[Target s.d. Januari]])</f>
        <v/>
      </c>
      <c r="H2180" s="2" t="s">
        <v>74</v>
      </c>
      <c r="I2180" s="3" t="s">
        <v>77</v>
      </c>
      <c r="J2180" s="3">
        <v>140000000</v>
      </c>
      <c r="K2180" s="2" t="s">
        <v>40</v>
      </c>
      <c r="L2180" s="2" t="s">
        <v>5</v>
      </c>
      <c r="M2180" s="4" t="s">
        <v>67</v>
      </c>
      <c r="N2180" s="3" t="s">
        <v>82</v>
      </c>
      <c r="O2180" s="2" t="s">
        <v>14</v>
      </c>
      <c r="P2180" s="10"/>
      <c r="Q2180" s="11"/>
    </row>
    <row r="2181" spans="2:17" ht="21" customHeight="1" x14ac:dyDescent="0.35">
      <c r="B2181" s="18">
        <v>44087</v>
      </c>
      <c r="C2181" s="18" t="str">
        <f>TEXT(Sales[[#This Row],[Kode Program/Kegiatan ]],"D")</f>
        <v>13</v>
      </c>
      <c r="D2181" s="19" t="str">
        <f>TEXT(Sales[[#This Row],[Kode Program/Kegiatan ]],"mmm")</f>
        <v>Sep</v>
      </c>
      <c r="E2181" s="20">
        <v>8</v>
      </c>
      <c r="F2181" s="19">
        <v>8</v>
      </c>
      <c r="G2181" s="20" t="str">
        <f>IF(Sales[[#This Row],[Anggaran Murni]]-Sales[[#This Row],[Target s.d. Januari]]=0,"",Sales[[#This Row],[Anggaran Murni]]-Sales[[#This Row],[Target s.d. Januari]])</f>
        <v/>
      </c>
      <c r="H2181" s="19" t="s">
        <v>76</v>
      </c>
      <c r="I2181" s="20" t="s">
        <v>79</v>
      </c>
      <c r="J2181" s="20">
        <v>100000000</v>
      </c>
      <c r="K2181" s="19" t="s">
        <v>35</v>
      </c>
      <c r="L2181" s="19" t="s">
        <v>2</v>
      </c>
      <c r="M2181" s="21" t="s">
        <v>67</v>
      </c>
      <c r="N2181" s="20" t="s">
        <v>81</v>
      </c>
      <c r="O2181" s="19" t="s">
        <v>14</v>
      </c>
      <c r="P2181" s="10"/>
      <c r="Q2181" s="11"/>
    </row>
    <row r="2182" spans="2:17" ht="21" customHeight="1" x14ac:dyDescent="0.35">
      <c r="B2182" s="1">
        <v>44087</v>
      </c>
      <c r="C2182" s="1" t="str">
        <f>TEXT(Sales[[#This Row],[Kode Program/Kegiatan ]],"D")</f>
        <v>13</v>
      </c>
      <c r="D2182" s="2" t="str">
        <f>TEXT(Sales[[#This Row],[Kode Program/Kegiatan ]],"mmm")</f>
        <v>Sep</v>
      </c>
      <c r="E2182" s="3">
        <v>8</v>
      </c>
      <c r="F2182" s="2">
        <v>8</v>
      </c>
      <c r="G2182" s="3" t="str">
        <f>IF(Sales[[#This Row],[Anggaran Murni]]-Sales[[#This Row],[Target s.d. Januari]]=0,"",Sales[[#This Row],[Anggaran Murni]]-Sales[[#This Row],[Target s.d. Januari]])</f>
        <v/>
      </c>
      <c r="H2182" s="2" t="s">
        <v>76</v>
      </c>
      <c r="I2182" s="3" t="s">
        <v>79</v>
      </c>
      <c r="J2182" s="3">
        <v>80000000</v>
      </c>
      <c r="K2182" s="2" t="s">
        <v>52</v>
      </c>
      <c r="L2182" s="2" t="s">
        <v>7</v>
      </c>
      <c r="M2182" s="4" t="s">
        <v>67</v>
      </c>
      <c r="N2182" s="3" t="s">
        <v>81</v>
      </c>
      <c r="O2182" s="2" t="s">
        <v>11</v>
      </c>
      <c r="P2182" s="10"/>
      <c r="Q2182" s="11"/>
    </row>
    <row r="2183" spans="2:17" ht="21" customHeight="1" x14ac:dyDescent="0.35">
      <c r="B2183" s="18">
        <v>44087</v>
      </c>
      <c r="C2183" s="18" t="str">
        <f>TEXT(Sales[[#This Row],[Kode Program/Kegiatan ]],"D")</f>
        <v>13</v>
      </c>
      <c r="D2183" s="19" t="str">
        <f>TEXT(Sales[[#This Row],[Kode Program/Kegiatan ]],"mmm")</f>
        <v>Sep</v>
      </c>
      <c r="E2183" s="20">
        <v>7</v>
      </c>
      <c r="F2183" s="19">
        <v>7</v>
      </c>
      <c r="G2183" s="20" t="str">
        <f>IF(Sales[[#This Row],[Anggaran Murni]]-Sales[[#This Row],[Target s.d. Januari]]=0,"",Sales[[#This Row],[Anggaran Murni]]-Sales[[#This Row],[Target s.d. Januari]])</f>
        <v/>
      </c>
      <c r="H2183" s="19" t="s">
        <v>70</v>
      </c>
      <c r="I2183" s="20" t="s">
        <v>1</v>
      </c>
      <c r="J2183" s="20">
        <v>40000000</v>
      </c>
      <c r="K2183" s="19" t="s">
        <v>50</v>
      </c>
      <c r="L2183" s="19" t="s">
        <v>2</v>
      </c>
      <c r="M2183" s="21" t="s">
        <v>67</v>
      </c>
      <c r="N2183" s="20" t="s">
        <v>81</v>
      </c>
      <c r="O2183" s="19" t="s">
        <v>12</v>
      </c>
      <c r="P2183" s="10"/>
      <c r="Q2183" s="11"/>
    </row>
    <row r="2184" spans="2:17" ht="21" customHeight="1" x14ac:dyDescent="0.35">
      <c r="B2184" s="1">
        <v>44087</v>
      </c>
      <c r="C2184" s="1" t="str">
        <f>TEXT(Sales[[#This Row],[Kode Program/Kegiatan ]],"D")</f>
        <v>13</v>
      </c>
      <c r="D2184" s="2" t="str">
        <f>TEXT(Sales[[#This Row],[Kode Program/Kegiatan ]],"mmm")</f>
        <v>Sep</v>
      </c>
      <c r="E2184" s="3">
        <v>5</v>
      </c>
      <c r="F2184" s="2">
        <v>5</v>
      </c>
      <c r="G2184" s="3" t="str">
        <f>IF(Sales[[#This Row],[Anggaran Murni]]-Sales[[#This Row],[Target s.d. Januari]]=0,"",Sales[[#This Row],[Anggaran Murni]]-Sales[[#This Row],[Target s.d. Januari]])</f>
        <v/>
      </c>
      <c r="H2184" s="2" t="s">
        <v>72</v>
      </c>
      <c r="I2184" s="3" t="s">
        <v>78</v>
      </c>
      <c r="J2184" s="3">
        <v>80000000</v>
      </c>
      <c r="K2184" s="2" t="s">
        <v>22</v>
      </c>
      <c r="L2184" s="2" t="s">
        <v>4</v>
      </c>
      <c r="M2184" s="4" t="s">
        <v>67</v>
      </c>
      <c r="N2184" s="3" t="s">
        <v>81</v>
      </c>
      <c r="O2184" s="2" t="s">
        <v>14</v>
      </c>
      <c r="P2184" s="10"/>
      <c r="Q2184" s="11"/>
    </row>
    <row r="2185" spans="2:17" ht="21" customHeight="1" x14ac:dyDescent="0.35">
      <c r="B2185" s="18">
        <v>44087</v>
      </c>
      <c r="C2185" s="18" t="str">
        <f>TEXT(Sales[[#This Row],[Kode Program/Kegiatan ]],"D")</f>
        <v>13</v>
      </c>
      <c r="D2185" s="19" t="str">
        <f>TEXT(Sales[[#This Row],[Kode Program/Kegiatan ]],"mmm")</f>
        <v>Sep</v>
      </c>
      <c r="E2185" s="20">
        <v>4</v>
      </c>
      <c r="F2185" s="19">
        <v>4</v>
      </c>
      <c r="G2185" s="20" t="str">
        <f>IF(Sales[[#This Row],[Anggaran Murni]]-Sales[[#This Row],[Target s.d. Januari]]=0,"",Sales[[#This Row],[Anggaran Murni]]-Sales[[#This Row],[Target s.d. Januari]])</f>
        <v/>
      </c>
      <c r="H2185" s="19" t="s">
        <v>75</v>
      </c>
      <c r="I2185" s="20" t="s">
        <v>6</v>
      </c>
      <c r="J2185" s="20">
        <v>140000000</v>
      </c>
      <c r="K2185" s="19" t="s">
        <v>54</v>
      </c>
      <c r="L2185" s="19" t="s">
        <v>5</v>
      </c>
      <c r="M2185" s="21" t="s">
        <v>67</v>
      </c>
      <c r="N2185" s="20" t="s">
        <v>82</v>
      </c>
      <c r="O2185" s="19" t="s">
        <v>14</v>
      </c>
      <c r="P2185" s="10"/>
      <c r="Q2185" s="11"/>
    </row>
    <row r="2186" spans="2:17" ht="21" customHeight="1" x14ac:dyDescent="0.35">
      <c r="B2186" s="1">
        <v>44087</v>
      </c>
      <c r="C2186" s="1" t="str">
        <f>TEXT(Sales[[#This Row],[Kode Program/Kegiatan ]],"D")</f>
        <v>13</v>
      </c>
      <c r="D2186" s="2" t="str">
        <f>TEXT(Sales[[#This Row],[Kode Program/Kegiatan ]],"mmm")</f>
        <v>Sep</v>
      </c>
      <c r="E2186" s="3">
        <v>3</v>
      </c>
      <c r="F2186" s="2">
        <v>3</v>
      </c>
      <c r="G2186" s="3" t="str">
        <f>IF(Sales[[#This Row],[Anggaran Murni]]-Sales[[#This Row],[Target s.d. Januari]]=0,"",Sales[[#This Row],[Anggaran Murni]]-Sales[[#This Row],[Target s.d. Januari]])</f>
        <v/>
      </c>
      <c r="H2186" s="2" t="s">
        <v>113</v>
      </c>
      <c r="I2186" s="3" t="s">
        <v>77</v>
      </c>
      <c r="J2186" s="3">
        <v>100000000</v>
      </c>
      <c r="K2186" s="2" t="s">
        <v>55</v>
      </c>
      <c r="L2186" s="2" t="s">
        <v>2</v>
      </c>
      <c r="M2186" s="4" t="s">
        <v>67</v>
      </c>
      <c r="N2186" s="3" t="s">
        <v>80</v>
      </c>
      <c r="O2186" s="2" t="s">
        <v>12</v>
      </c>
      <c r="P2186" s="10"/>
      <c r="Q2186" s="11"/>
    </row>
    <row r="2187" spans="2:17" ht="21" customHeight="1" x14ac:dyDescent="0.35">
      <c r="B2187" s="18">
        <v>44088</v>
      </c>
      <c r="C2187" s="18" t="str">
        <f>TEXT(Sales[[#This Row],[Kode Program/Kegiatan ]],"D")</f>
        <v>14</v>
      </c>
      <c r="D2187" s="19" t="str">
        <f>TEXT(Sales[[#This Row],[Kode Program/Kegiatan ]],"mmm")</f>
        <v>Sep</v>
      </c>
      <c r="E2187" s="20">
        <v>8</v>
      </c>
      <c r="F2187" s="19">
        <v>8</v>
      </c>
      <c r="G2187" s="20" t="str">
        <f>IF(Sales[[#This Row],[Anggaran Murni]]-Sales[[#This Row],[Target s.d. Januari]]=0,"",Sales[[#This Row],[Anggaran Murni]]-Sales[[#This Row],[Target s.d. Januari]])</f>
        <v/>
      </c>
      <c r="H2187" s="19" t="s">
        <v>74</v>
      </c>
      <c r="I2187" s="20" t="s">
        <v>77</v>
      </c>
      <c r="J2187" s="20">
        <v>100000000</v>
      </c>
      <c r="K2187" s="19" t="s">
        <v>53</v>
      </c>
      <c r="L2187" s="19" t="s">
        <v>5</v>
      </c>
      <c r="M2187" s="21" t="s">
        <v>67</v>
      </c>
      <c r="N2187" s="20" t="s">
        <v>81</v>
      </c>
      <c r="O2187" s="19" t="s">
        <v>12</v>
      </c>
      <c r="P2187" s="10"/>
      <c r="Q2187" s="11"/>
    </row>
    <row r="2188" spans="2:17" ht="21" customHeight="1" x14ac:dyDescent="0.35">
      <c r="B2188" s="1">
        <v>44088</v>
      </c>
      <c r="C2188" s="1" t="str">
        <f>TEXT(Sales[[#This Row],[Kode Program/Kegiatan ]],"D")</f>
        <v>14</v>
      </c>
      <c r="D2188" s="2" t="str">
        <f>TEXT(Sales[[#This Row],[Kode Program/Kegiatan ]],"mmm")</f>
        <v>Sep</v>
      </c>
      <c r="E2188" s="3">
        <v>8</v>
      </c>
      <c r="F2188" s="2">
        <v>8</v>
      </c>
      <c r="G2188" s="3" t="str">
        <f>IF(Sales[[#This Row],[Anggaran Murni]]-Sales[[#This Row],[Target s.d. Januari]]=0,"",Sales[[#This Row],[Anggaran Murni]]-Sales[[#This Row],[Target s.d. Januari]])</f>
        <v/>
      </c>
      <c r="H2188" s="2" t="s">
        <v>74</v>
      </c>
      <c r="I2188" s="3" t="s">
        <v>77</v>
      </c>
      <c r="J2188" s="3">
        <v>80000000</v>
      </c>
      <c r="K2188" s="2" t="s">
        <v>50</v>
      </c>
      <c r="L2188" s="2" t="s">
        <v>5</v>
      </c>
      <c r="M2188" s="4" t="s">
        <v>67</v>
      </c>
      <c r="N2188" s="3" t="s">
        <v>82</v>
      </c>
      <c r="O2188" s="2" t="s">
        <v>11</v>
      </c>
      <c r="P2188" s="10"/>
      <c r="Q2188" s="11"/>
    </row>
    <row r="2189" spans="2:17" ht="21" customHeight="1" x14ac:dyDescent="0.35">
      <c r="B2189" s="18">
        <v>44088</v>
      </c>
      <c r="C2189" s="18" t="str">
        <f>TEXT(Sales[[#This Row],[Kode Program/Kegiatan ]],"D")</f>
        <v>14</v>
      </c>
      <c r="D2189" s="19" t="str">
        <f>TEXT(Sales[[#This Row],[Kode Program/Kegiatan ]],"mmm")</f>
        <v>Sep</v>
      </c>
      <c r="E2189" s="20">
        <v>6</v>
      </c>
      <c r="F2189" s="19">
        <v>6</v>
      </c>
      <c r="G2189" s="20" t="str">
        <f>IF(Sales[[#This Row],[Anggaran Murni]]-Sales[[#This Row],[Target s.d. Januari]]=0,"",Sales[[#This Row],[Anggaran Murni]]-Sales[[#This Row],[Target s.d. Januari]])</f>
        <v/>
      </c>
      <c r="H2189" s="19" t="s">
        <v>75</v>
      </c>
      <c r="I2189" s="20" t="s">
        <v>6</v>
      </c>
      <c r="J2189" s="20">
        <v>140000000</v>
      </c>
      <c r="K2189" s="19" t="s">
        <v>55</v>
      </c>
      <c r="L2189" s="19" t="s">
        <v>5</v>
      </c>
      <c r="M2189" s="21" t="s">
        <v>67</v>
      </c>
      <c r="N2189" s="20" t="s">
        <v>82</v>
      </c>
      <c r="O2189" s="19" t="s">
        <v>12</v>
      </c>
      <c r="P2189" s="10"/>
      <c r="Q2189" s="11"/>
    </row>
    <row r="2190" spans="2:17" ht="21" customHeight="1" x14ac:dyDescent="0.35">
      <c r="B2190" s="1">
        <v>44088</v>
      </c>
      <c r="C2190" s="1" t="str">
        <f>TEXT(Sales[[#This Row],[Kode Program/Kegiatan ]],"D")</f>
        <v>14</v>
      </c>
      <c r="D2190" s="2" t="str">
        <f>TEXT(Sales[[#This Row],[Kode Program/Kegiatan ]],"mmm")</f>
        <v>Sep</v>
      </c>
      <c r="E2190" s="3">
        <v>5</v>
      </c>
      <c r="F2190" s="2">
        <v>5</v>
      </c>
      <c r="G2190" s="3" t="str">
        <f>IF(Sales[[#This Row],[Anggaran Murni]]-Sales[[#This Row],[Target s.d. Januari]]=0,"",Sales[[#This Row],[Anggaran Murni]]-Sales[[#This Row],[Target s.d. Januari]])</f>
        <v/>
      </c>
      <c r="H2190" s="2" t="s">
        <v>113</v>
      </c>
      <c r="I2190" s="3" t="s">
        <v>77</v>
      </c>
      <c r="J2190" s="3">
        <v>40000000</v>
      </c>
      <c r="K2190" s="2" t="s">
        <v>41</v>
      </c>
      <c r="L2190" s="2" t="s">
        <v>8</v>
      </c>
      <c r="M2190" s="4" t="s">
        <v>67</v>
      </c>
      <c r="N2190" s="3" t="s">
        <v>80</v>
      </c>
      <c r="O2190" s="2" t="s">
        <v>12</v>
      </c>
      <c r="P2190" s="10"/>
      <c r="Q2190" s="11"/>
    </row>
    <row r="2191" spans="2:17" ht="21" customHeight="1" x14ac:dyDescent="0.35">
      <c r="B2191" s="18">
        <v>44088</v>
      </c>
      <c r="C2191" s="18" t="str">
        <f>TEXT(Sales[[#This Row],[Kode Program/Kegiatan ]],"D")</f>
        <v>14</v>
      </c>
      <c r="D2191" s="19" t="str">
        <f>TEXT(Sales[[#This Row],[Kode Program/Kegiatan ]],"mmm")</f>
        <v>Sep</v>
      </c>
      <c r="E2191" s="20">
        <v>5</v>
      </c>
      <c r="F2191" s="19">
        <v>5</v>
      </c>
      <c r="G2191" s="20" t="str">
        <f>IF(Sales[[#This Row],[Anggaran Murni]]-Sales[[#This Row],[Target s.d. Januari]]=0,"",Sales[[#This Row],[Anggaran Murni]]-Sales[[#This Row],[Target s.d. Januari]])</f>
        <v/>
      </c>
      <c r="H2191" s="19" t="s">
        <v>76</v>
      </c>
      <c r="I2191" s="20" t="s">
        <v>79</v>
      </c>
      <c r="J2191" s="20">
        <v>120000000</v>
      </c>
      <c r="K2191" s="19" t="s">
        <v>17</v>
      </c>
      <c r="L2191" s="19" t="s">
        <v>5</v>
      </c>
      <c r="M2191" s="21" t="s">
        <v>67</v>
      </c>
      <c r="N2191" s="20" t="s">
        <v>80</v>
      </c>
      <c r="O2191" s="19" t="s">
        <v>12</v>
      </c>
      <c r="P2191" s="10"/>
      <c r="Q2191" s="11"/>
    </row>
    <row r="2192" spans="2:17" ht="21" customHeight="1" x14ac:dyDescent="0.35">
      <c r="B2192" s="1">
        <v>44088</v>
      </c>
      <c r="C2192" s="1" t="str">
        <f>TEXT(Sales[[#This Row],[Kode Program/Kegiatan ]],"D")</f>
        <v>14</v>
      </c>
      <c r="D2192" s="2" t="str">
        <f>TEXT(Sales[[#This Row],[Kode Program/Kegiatan ]],"mmm")</f>
        <v>Sep</v>
      </c>
      <c r="E2192" s="3">
        <v>5</v>
      </c>
      <c r="F2192" s="2">
        <v>5</v>
      </c>
      <c r="G2192" s="3" t="str">
        <f>IF(Sales[[#This Row],[Anggaran Murni]]-Sales[[#This Row],[Target s.d. Januari]]=0,"",Sales[[#This Row],[Anggaran Murni]]-Sales[[#This Row],[Target s.d. Januari]])</f>
        <v/>
      </c>
      <c r="H2192" s="2" t="s">
        <v>113</v>
      </c>
      <c r="I2192" s="3" t="s">
        <v>77</v>
      </c>
      <c r="J2192" s="3">
        <v>140000000</v>
      </c>
      <c r="K2192" s="2" t="s">
        <v>53</v>
      </c>
      <c r="L2192" s="2" t="s">
        <v>2</v>
      </c>
      <c r="M2192" s="4" t="s">
        <v>67</v>
      </c>
      <c r="N2192" s="3" t="s">
        <v>82</v>
      </c>
      <c r="O2192" s="2" t="s">
        <v>14</v>
      </c>
      <c r="P2192" s="10"/>
      <c r="Q2192" s="11"/>
    </row>
    <row r="2193" spans="2:17" ht="21" customHeight="1" x14ac:dyDescent="0.35">
      <c r="B2193" s="18">
        <v>44088</v>
      </c>
      <c r="C2193" s="18" t="str">
        <f>TEXT(Sales[[#This Row],[Kode Program/Kegiatan ]],"D")</f>
        <v>14</v>
      </c>
      <c r="D2193" s="19" t="str">
        <f>TEXT(Sales[[#This Row],[Kode Program/Kegiatan ]],"mmm")</f>
        <v>Sep</v>
      </c>
      <c r="E2193" s="20">
        <v>4</v>
      </c>
      <c r="F2193" s="19">
        <v>4</v>
      </c>
      <c r="G2193" s="20" t="str">
        <f>IF(Sales[[#This Row],[Anggaran Murni]]-Sales[[#This Row],[Target s.d. Januari]]=0,"",Sales[[#This Row],[Anggaran Murni]]-Sales[[#This Row],[Target s.d. Januari]])</f>
        <v/>
      </c>
      <c r="H2193" s="19" t="s">
        <v>76</v>
      </c>
      <c r="I2193" s="20" t="s">
        <v>79</v>
      </c>
      <c r="J2193" s="20">
        <v>140000000</v>
      </c>
      <c r="K2193" s="19" t="s">
        <v>40</v>
      </c>
      <c r="L2193" s="19" t="s">
        <v>2</v>
      </c>
      <c r="M2193" s="21" t="s">
        <v>67</v>
      </c>
      <c r="N2193" s="20" t="s">
        <v>81</v>
      </c>
      <c r="O2193" s="19" t="s">
        <v>13</v>
      </c>
      <c r="P2193" s="10"/>
      <c r="Q2193" s="11"/>
    </row>
    <row r="2194" spans="2:17" ht="21" customHeight="1" x14ac:dyDescent="0.35">
      <c r="B2194" s="1">
        <v>44088</v>
      </c>
      <c r="C2194" s="1" t="str">
        <f>TEXT(Sales[[#This Row],[Kode Program/Kegiatan ]],"D")</f>
        <v>14</v>
      </c>
      <c r="D2194" s="2" t="str">
        <f>TEXT(Sales[[#This Row],[Kode Program/Kegiatan ]],"mmm")</f>
        <v>Sep</v>
      </c>
      <c r="E2194" s="3">
        <v>4</v>
      </c>
      <c r="F2194" s="2">
        <v>4</v>
      </c>
      <c r="G2194" s="3" t="str">
        <f>IF(Sales[[#This Row],[Anggaran Murni]]-Sales[[#This Row],[Target s.d. Januari]]=0,"",Sales[[#This Row],[Anggaran Murni]]-Sales[[#This Row],[Target s.d. Januari]])</f>
        <v/>
      </c>
      <c r="H2194" s="2" t="s">
        <v>71</v>
      </c>
      <c r="I2194" s="3" t="s">
        <v>6</v>
      </c>
      <c r="J2194" s="3">
        <v>80000000</v>
      </c>
      <c r="K2194" s="2" t="s">
        <v>61</v>
      </c>
      <c r="L2194" s="2" t="s">
        <v>7</v>
      </c>
      <c r="M2194" s="4" t="s">
        <v>67</v>
      </c>
      <c r="N2194" s="3" t="s">
        <v>82</v>
      </c>
      <c r="O2194" s="2" t="s">
        <v>12</v>
      </c>
      <c r="P2194" s="10"/>
      <c r="Q2194" s="11"/>
    </row>
    <row r="2195" spans="2:17" ht="21" customHeight="1" x14ac:dyDescent="0.35">
      <c r="B2195" s="18">
        <v>44088</v>
      </c>
      <c r="C2195" s="18" t="str">
        <f>TEXT(Sales[[#This Row],[Kode Program/Kegiatan ]],"D")</f>
        <v>14</v>
      </c>
      <c r="D2195" s="19" t="str">
        <f>TEXT(Sales[[#This Row],[Kode Program/Kegiatan ]],"mmm")</f>
        <v>Sep</v>
      </c>
      <c r="E2195" s="20">
        <v>3</v>
      </c>
      <c r="F2195" s="19">
        <v>3</v>
      </c>
      <c r="G2195" s="20" t="str">
        <f>IF(Sales[[#This Row],[Anggaran Murni]]-Sales[[#This Row],[Target s.d. Januari]]=0,"",Sales[[#This Row],[Anggaran Murni]]-Sales[[#This Row],[Target s.d. Januari]])</f>
        <v/>
      </c>
      <c r="H2195" s="19" t="s">
        <v>75</v>
      </c>
      <c r="I2195" s="20" t="s">
        <v>6</v>
      </c>
      <c r="J2195" s="20">
        <v>120000000</v>
      </c>
      <c r="K2195" s="19" t="s">
        <v>59</v>
      </c>
      <c r="L2195" s="19" t="s">
        <v>5</v>
      </c>
      <c r="M2195" s="21" t="s">
        <v>67</v>
      </c>
      <c r="N2195" s="20" t="s">
        <v>80</v>
      </c>
      <c r="O2195" s="19" t="s">
        <v>14</v>
      </c>
      <c r="P2195" s="10"/>
      <c r="Q2195" s="11"/>
    </row>
    <row r="2196" spans="2:17" ht="21" customHeight="1" x14ac:dyDescent="0.35">
      <c r="B2196" s="1">
        <v>44089</v>
      </c>
      <c r="C2196" s="1" t="str">
        <f>TEXT(Sales[[#This Row],[Kode Program/Kegiatan ]],"D")</f>
        <v>15</v>
      </c>
      <c r="D2196" s="2" t="str">
        <f>TEXT(Sales[[#This Row],[Kode Program/Kegiatan ]],"mmm")</f>
        <v>Sep</v>
      </c>
      <c r="E2196" s="3">
        <v>10</v>
      </c>
      <c r="F2196" s="2">
        <v>10</v>
      </c>
      <c r="G2196" s="3" t="str">
        <f>IF(Sales[[#This Row],[Anggaran Murni]]-Sales[[#This Row],[Target s.d. Januari]]=0,"",Sales[[#This Row],[Anggaran Murni]]-Sales[[#This Row],[Target s.d. Januari]])</f>
        <v/>
      </c>
      <c r="H2196" s="2" t="s">
        <v>114</v>
      </c>
      <c r="I2196" s="3" t="s">
        <v>3</v>
      </c>
      <c r="J2196" s="3">
        <v>80000000</v>
      </c>
      <c r="K2196" s="2" t="s">
        <v>40</v>
      </c>
      <c r="L2196" s="2" t="s">
        <v>5</v>
      </c>
      <c r="M2196" s="4" t="s">
        <v>67</v>
      </c>
      <c r="N2196" s="3" t="s">
        <v>82</v>
      </c>
      <c r="O2196" s="2" t="s">
        <v>11</v>
      </c>
      <c r="P2196" s="10"/>
      <c r="Q2196" s="11"/>
    </row>
    <row r="2197" spans="2:17" ht="21" customHeight="1" x14ac:dyDescent="0.35">
      <c r="B2197" s="18">
        <v>44089</v>
      </c>
      <c r="C2197" s="18" t="str">
        <f>TEXT(Sales[[#This Row],[Kode Program/Kegiatan ]],"D")</f>
        <v>15</v>
      </c>
      <c r="D2197" s="19" t="str">
        <f>TEXT(Sales[[#This Row],[Kode Program/Kegiatan ]],"mmm")</f>
        <v>Sep</v>
      </c>
      <c r="E2197" s="20">
        <v>10</v>
      </c>
      <c r="F2197" s="19">
        <v>10</v>
      </c>
      <c r="G2197" s="20" t="str">
        <f>IF(Sales[[#This Row],[Anggaran Murni]]-Sales[[#This Row],[Target s.d. Januari]]=0,"",Sales[[#This Row],[Anggaran Murni]]-Sales[[#This Row],[Target s.d. Januari]])</f>
        <v/>
      </c>
      <c r="H2197" s="19" t="s">
        <v>74</v>
      </c>
      <c r="I2197" s="20" t="s">
        <v>77</v>
      </c>
      <c r="J2197" s="20">
        <v>80000000</v>
      </c>
      <c r="K2197" s="19" t="s">
        <v>22</v>
      </c>
      <c r="L2197" s="19" t="s">
        <v>9</v>
      </c>
      <c r="M2197" s="21" t="s">
        <v>67</v>
      </c>
      <c r="N2197" s="20" t="s">
        <v>82</v>
      </c>
      <c r="O2197" s="19" t="s">
        <v>11</v>
      </c>
      <c r="P2197" s="10"/>
      <c r="Q2197" s="11"/>
    </row>
    <row r="2198" spans="2:17" ht="21" customHeight="1" x14ac:dyDescent="0.35">
      <c r="B2198" s="1">
        <v>44089</v>
      </c>
      <c r="C2198" s="1" t="str">
        <f>TEXT(Sales[[#This Row],[Kode Program/Kegiatan ]],"D")</f>
        <v>15</v>
      </c>
      <c r="D2198" s="2" t="str">
        <f>TEXT(Sales[[#This Row],[Kode Program/Kegiatan ]],"mmm")</f>
        <v>Sep</v>
      </c>
      <c r="E2198" s="3">
        <v>10</v>
      </c>
      <c r="F2198" s="2">
        <v>10</v>
      </c>
      <c r="G2198" s="3" t="str">
        <f>IF(Sales[[#This Row],[Anggaran Murni]]-Sales[[#This Row],[Target s.d. Januari]]=0,"",Sales[[#This Row],[Anggaran Murni]]-Sales[[#This Row],[Target s.d. Januari]])</f>
        <v/>
      </c>
      <c r="H2198" s="2" t="s">
        <v>71</v>
      </c>
      <c r="I2198" s="3" t="s">
        <v>6</v>
      </c>
      <c r="J2198" s="3">
        <v>100000000</v>
      </c>
      <c r="K2198" s="2" t="s">
        <v>55</v>
      </c>
      <c r="L2198" s="2" t="s">
        <v>5</v>
      </c>
      <c r="M2198" s="4" t="s">
        <v>67</v>
      </c>
      <c r="N2198" s="3" t="s">
        <v>80</v>
      </c>
      <c r="O2198" s="2" t="s">
        <v>11</v>
      </c>
      <c r="P2198" s="10"/>
      <c r="Q2198" s="11"/>
    </row>
    <row r="2199" spans="2:17" ht="21" customHeight="1" x14ac:dyDescent="0.35">
      <c r="B2199" s="18">
        <v>44089</v>
      </c>
      <c r="C2199" s="18" t="str">
        <f>TEXT(Sales[[#This Row],[Kode Program/Kegiatan ]],"D")</f>
        <v>15</v>
      </c>
      <c r="D2199" s="19" t="str">
        <f>TEXT(Sales[[#This Row],[Kode Program/Kegiatan ]],"mmm")</f>
        <v>Sep</v>
      </c>
      <c r="E2199" s="20">
        <v>7</v>
      </c>
      <c r="F2199" s="19">
        <v>7</v>
      </c>
      <c r="G2199" s="20" t="str">
        <f>IF(Sales[[#This Row],[Anggaran Murni]]-Sales[[#This Row],[Target s.d. Januari]]=0,"",Sales[[#This Row],[Anggaran Murni]]-Sales[[#This Row],[Target s.d. Januari]])</f>
        <v/>
      </c>
      <c r="H2199" s="19" t="s">
        <v>73</v>
      </c>
      <c r="I2199" s="20" t="s">
        <v>78</v>
      </c>
      <c r="J2199" s="20">
        <v>100000000</v>
      </c>
      <c r="K2199" s="19" t="s">
        <v>61</v>
      </c>
      <c r="L2199" s="19" t="s">
        <v>2</v>
      </c>
      <c r="M2199" s="21" t="s">
        <v>67</v>
      </c>
      <c r="N2199" s="20" t="s">
        <v>81</v>
      </c>
      <c r="O2199" s="19" t="s">
        <v>11</v>
      </c>
      <c r="P2199" s="10"/>
      <c r="Q2199" s="11"/>
    </row>
    <row r="2200" spans="2:17" ht="21" customHeight="1" x14ac:dyDescent="0.35">
      <c r="B2200" s="1">
        <v>44089</v>
      </c>
      <c r="C2200" s="1" t="str">
        <f>TEXT(Sales[[#This Row],[Kode Program/Kegiatan ]],"D")</f>
        <v>15</v>
      </c>
      <c r="D2200" s="2" t="str">
        <f>TEXT(Sales[[#This Row],[Kode Program/Kegiatan ]],"mmm")</f>
        <v>Sep</v>
      </c>
      <c r="E2200" s="3">
        <v>7</v>
      </c>
      <c r="F2200" s="2">
        <v>7</v>
      </c>
      <c r="G2200" s="3" t="str">
        <f>IF(Sales[[#This Row],[Anggaran Murni]]-Sales[[#This Row],[Target s.d. Januari]]=0,"",Sales[[#This Row],[Anggaran Murni]]-Sales[[#This Row],[Target s.d. Januari]])</f>
        <v/>
      </c>
      <c r="H2200" s="2" t="s">
        <v>70</v>
      </c>
      <c r="I2200" s="3" t="s">
        <v>1</v>
      </c>
      <c r="J2200" s="3">
        <v>100000000</v>
      </c>
      <c r="K2200" s="2" t="s">
        <v>56</v>
      </c>
      <c r="L2200" s="2" t="s">
        <v>5</v>
      </c>
      <c r="M2200" s="4" t="s">
        <v>67</v>
      </c>
      <c r="N2200" s="3" t="s">
        <v>82</v>
      </c>
      <c r="O2200" s="2" t="s">
        <v>13</v>
      </c>
      <c r="P2200" s="10"/>
      <c r="Q2200" s="11"/>
    </row>
    <row r="2201" spans="2:17" ht="21" customHeight="1" x14ac:dyDescent="0.35">
      <c r="B2201" s="18">
        <v>44089</v>
      </c>
      <c r="C2201" s="18" t="str">
        <f>TEXT(Sales[[#This Row],[Kode Program/Kegiatan ]],"D")</f>
        <v>15</v>
      </c>
      <c r="D2201" s="19" t="str">
        <f>TEXT(Sales[[#This Row],[Kode Program/Kegiatan ]],"mmm")</f>
        <v>Sep</v>
      </c>
      <c r="E2201" s="20">
        <v>5</v>
      </c>
      <c r="F2201" s="19">
        <v>5</v>
      </c>
      <c r="G2201" s="20" t="str">
        <f>IF(Sales[[#This Row],[Anggaran Murni]]-Sales[[#This Row],[Target s.d. Januari]]=0,"",Sales[[#This Row],[Anggaran Murni]]-Sales[[#This Row],[Target s.d. Januari]])</f>
        <v/>
      </c>
      <c r="H2201" s="19" t="s">
        <v>71</v>
      </c>
      <c r="I2201" s="20" t="s">
        <v>6</v>
      </c>
      <c r="J2201" s="20">
        <v>140000000</v>
      </c>
      <c r="K2201" s="19" t="s">
        <v>56</v>
      </c>
      <c r="L2201" s="19" t="s">
        <v>2</v>
      </c>
      <c r="M2201" s="21" t="s">
        <v>67</v>
      </c>
      <c r="N2201" s="20" t="s">
        <v>81</v>
      </c>
      <c r="O2201" s="19" t="s">
        <v>13</v>
      </c>
      <c r="P2201" s="10"/>
      <c r="Q2201" s="11"/>
    </row>
    <row r="2202" spans="2:17" ht="21" customHeight="1" x14ac:dyDescent="0.35">
      <c r="B2202" s="1">
        <v>44089</v>
      </c>
      <c r="C2202" s="1" t="str">
        <f>TEXT(Sales[[#This Row],[Kode Program/Kegiatan ]],"D")</f>
        <v>15</v>
      </c>
      <c r="D2202" s="2" t="str">
        <f>TEXT(Sales[[#This Row],[Kode Program/Kegiatan ]],"mmm")</f>
        <v>Sep</v>
      </c>
      <c r="E2202" s="3">
        <v>5</v>
      </c>
      <c r="F2202" s="2">
        <v>5</v>
      </c>
      <c r="G2202" s="3" t="str">
        <f>IF(Sales[[#This Row],[Anggaran Murni]]-Sales[[#This Row],[Target s.d. Januari]]=0,"",Sales[[#This Row],[Anggaran Murni]]-Sales[[#This Row],[Target s.d. Januari]])</f>
        <v/>
      </c>
      <c r="H2202" s="2" t="s">
        <v>76</v>
      </c>
      <c r="I2202" s="3" t="s">
        <v>79</v>
      </c>
      <c r="J2202" s="3">
        <v>80000000</v>
      </c>
      <c r="K2202" s="2" t="s">
        <v>19</v>
      </c>
      <c r="L2202" s="2" t="s">
        <v>2</v>
      </c>
      <c r="M2202" s="4" t="s">
        <v>67</v>
      </c>
      <c r="N2202" s="3" t="s">
        <v>81</v>
      </c>
      <c r="O2202" s="2" t="s">
        <v>11</v>
      </c>
      <c r="P2202" s="10"/>
      <c r="Q2202" s="11"/>
    </row>
    <row r="2203" spans="2:17" ht="21" customHeight="1" x14ac:dyDescent="0.35">
      <c r="B2203" s="18">
        <v>44089</v>
      </c>
      <c r="C2203" s="18" t="str">
        <f>TEXT(Sales[[#This Row],[Kode Program/Kegiatan ]],"D")</f>
        <v>15</v>
      </c>
      <c r="D2203" s="19" t="str">
        <f>TEXT(Sales[[#This Row],[Kode Program/Kegiatan ]],"mmm")</f>
        <v>Sep</v>
      </c>
      <c r="E2203" s="20">
        <v>3</v>
      </c>
      <c r="F2203" s="19">
        <v>3</v>
      </c>
      <c r="G2203" s="20" t="str">
        <f>IF(Sales[[#This Row],[Anggaran Murni]]-Sales[[#This Row],[Target s.d. Januari]]=0,"",Sales[[#This Row],[Anggaran Murni]]-Sales[[#This Row],[Target s.d. Januari]])</f>
        <v/>
      </c>
      <c r="H2203" s="19" t="s">
        <v>76</v>
      </c>
      <c r="I2203" s="20" t="s">
        <v>79</v>
      </c>
      <c r="J2203" s="20">
        <v>100000000</v>
      </c>
      <c r="K2203" s="19" t="s">
        <v>16</v>
      </c>
      <c r="L2203" s="19" t="s">
        <v>4</v>
      </c>
      <c r="M2203" s="21" t="s">
        <v>67</v>
      </c>
      <c r="N2203" s="20" t="s">
        <v>80</v>
      </c>
      <c r="O2203" s="19" t="s">
        <v>12</v>
      </c>
      <c r="P2203" s="10"/>
      <c r="Q2203" s="11"/>
    </row>
    <row r="2204" spans="2:17" ht="21" customHeight="1" x14ac:dyDescent="0.35">
      <c r="B2204" s="1">
        <v>44089</v>
      </c>
      <c r="C2204" s="1" t="str">
        <f>TEXT(Sales[[#This Row],[Kode Program/Kegiatan ]],"D")</f>
        <v>15</v>
      </c>
      <c r="D2204" s="2" t="str">
        <f>TEXT(Sales[[#This Row],[Kode Program/Kegiatan ]],"mmm")</f>
        <v>Sep</v>
      </c>
      <c r="E2204" s="3">
        <v>3</v>
      </c>
      <c r="F2204" s="2">
        <v>3</v>
      </c>
      <c r="G2204" s="3" t="str">
        <f>IF(Sales[[#This Row],[Anggaran Murni]]-Sales[[#This Row],[Target s.d. Januari]]=0,"",Sales[[#This Row],[Anggaran Murni]]-Sales[[#This Row],[Target s.d. Januari]])</f>
        <v/>
      </c>
      <c r="H2204" s="2" t="s">
        <v>72</v>
      </c>
      <c r="I2204" s="3" t="s">
        <v>78</v>
      </c>
      <c r="J2204" s="3">
        <v>120000000</v>
      </c>
      <c r="K2204" s="2" t="s">
        <v>39</v>
      </c>
      <c r="L2204" s="2" t="s">
        <v>5</v>
      </c>
      <c r="M2204" s="4" t="s">
        <v>67</v>
      </c>
      <c r="N2204" s="3" t="s">
        <v>80</v>
      </c>
      <c r="O2204" s="2" t="s">
        <v>13</v>
      </c>
      <c r="P2204" s="10"/>
      <c r="Q2204" s="11"/>
    </row>
    <row r="2205" spans="2:17" ht="21" customHeight="1" x14ac:dyDescent="0.35">
      <c r="B2205" s="18">
        <v>44089</v>
      </c>
      <c r="C2205" s="18" t="str">
        <f>TEXT(Sales[[#This Row],[Kode Program/Kegiatan ]],"D")</f>
        <v>15</v>
      </c>
      <c r="D2205" s="19" t="str">
        <f>TEXT(Sales[[#This Row],[Kode Program/Kegiatan ]],"mmm")</f>
        <v>Sep</v>
      </c>
      <c r="E2205" s="20">
        <v>3</v>
      </c>
      <c r="F2205" s="19">
        <v>3</v>
      </c>
      <c r="G2205" s="20" t="str">
        <f>IF(Sales[[#This Row],[Anggaran Murni]]-Sales[[#This Row],[Target s.d. Januari]]=0,"",Sales[[#This Row],[Anggaran Murni]]-Sales[[#This Row],[Target s.d. Januari]])</f>
        <v/>
      </c>
      <c r="H2205" s="19" t="s">
        <v>71</v>
      </c>
      <c r="I2205" s="20" t="s">
        <v>6</v>
      </c>
      <c r="J2205" s="20">
        <v>40000000</v>
      </c>
      <c r="K2205" s="19" t="s">
        <v>16</v>
      </c>
      <c r="L2205" s="19" t="s">
        <v>7</v>
      </c>
      <c r="M2205" s="21" t="s">
        <v>67</v>
      </c>
      <c r="N2205" s="20" t="s">
        <v>82</v>
      </c>
      <c r="O2205" s="19" t="s">
        <v>14</v>
      </c>
      <c r="P2205" s="10"/>
      <c r="Q2205" s="11"/>
    </row>
    <row r="2206" spans="2:17" ht="21" customHeight="1" x14ac:dyDescent="0.35">
      <c r="B2206" s="1">
        <v>44090</v>
      </c>
      <c r="C2206" s="1" t="str">
        <f>TEXT(Sales[[#This Row],[Kode Program/Kegiatan ]],"D")</f>
        <v>16</v>
      </c>
      <c r="D2206" s="2" t="str">
        <f>TEXT(Sales[[#This Row],[Kode Program/Kegiatan ]],"mmm")</f>
        <v>Sep</v>
      </c>
      <c r="E2206" s="3">
        <v>10</v>
      </c>
      <c r="F2206" s="2">
        <v>10</v>
      </c>
      <c r="G2206" s="3" t="str">
        <f>IF(Sales[[#This Row],[Anggaran Murni]]-Sales[[#This Row],[Target s.d. Januari]]=0,"",Sales[[#This Row],[Anggaran Murni]]-Sales[[#This Row],[Target s.d. Januari]])</f>
        <v/>
      </c>
      <c r="H2206" s="2" t="s">
        <v>71</v>
      </c>
      <c r="I2206" s="3" t="s">
        <v>6</v>
      </c>
      <c r="J2206" s="3">
        <v>40000000</v>
      </c>
      <c r="K2206" s="2" t="s">
        <v>49</v>
      </c>
      <c r="L2206" s="2" t="s">
        <v>5</v>
      </c>
      <c r="M2206" s="4" t="s">
        <v>67</v>
      </c>
      <c r="N2206" s="3" t="s">
        <v>82</v>
      </c>
      <c r="O2206" s="2" t="s">
        <v>14</v>
      </c>
      <c r="P2206" s="10"/>
      <c r="Q2206" s="11"/>
    </row>
    <row r="2207" spans="2:17" ht="21" customHeight="1" x14ac:dyDescent="0.35">
      <c r="B2207" s="18">
        <v>44090</v>
      </c>
      <c r="C2207" s="18" t="str">
        <f>TEXT(Sales[[#This Row],[Kode Program/Kegiatan ]],"D")</f>
        <v>16</v>
      </c>
      <c r="D2207" s="19" t="str">
        <f>TEXT(Sales[[#This Row],[Kode Program/Kegiatan ]],"mmm")</f>
        <v>Sep</v>
      </c>
      <c r="E2207" s="20">
        <v>8</v>
      </c>
      <c r="F2207" s="19">
        <v>8</v>
      </c>
      <c r="G2207" s="20" t="str">
        <f>IF(Sales[[#This Row],[Anggaran Murni]]-Sales[[#This Row],[Target s.d. Januari]]=0,"",Sales[[#This Row],[Anggaran Murni]]-Sales[[#This Row],[Target s.d. Januari]])</f>
        <v/>
      </c>
      <c r="H2207" s="19" t="s">
        <v>70</v>
      </c>
      <c r="I2207" s="20" t="s">
        <v>1</v>
      </c>
      <c r="J2207" s="20">
        <v>40000000</v>
      </c>
      <c r="K2207" s="19" t="s">
        <v>42</v>
      </c>
      <c r="L2207" s="19" t="s">
        <v>2</v>
      </c>
      <c r="M2207" s="21" t="s">
        <v>67</v>
      </c>
      <c r="N2207" s="20" t="s">
        <v>81</v>
      </c>
      <c r="O2207" s="19" t="s">
        <v>14</v>
      </c>
      <c r="P2207" s="10"/>
      <c r="Q2207" s="11"/>
    </row>
    <row r="2208" spans="2:17" ht="21" customHeight="1" x14ac:dyDescent="0.35">
      <c r="B2208" s="1">
        <v>44090</v>
      </c>
      <c r="C2208" s="1" t="str">
        <f>TEXT(Sales[[#This Row],[Kode Program/Kegiatan ]],"D")</f>
        <v>16</v>
      </c>
      <c r="D2208" s="2" t="str">
        <f>TEXT(Sales[[#This Row],[Kode Program/Kegiatan ]],"mmm")</f>
        <v>Sep</v>
      </c>
      <c r="E2208" s="3">
        <v>8</v>
      </c>
      <c r="F2208" s="2">
        <v>8</v>
      </c>
      <c r="G2208" s="3" t="str">
        <f>IF(Sales[[#This Row],[Anggaran Murni]]-Sales[[#This Row],[Target s.d. Januari]]=0,"",Sales[[#This Row],[Anggaran Murni]]-Sales[[#This Row],[Target s.d. Januari]])</f>
        <v/>
      </c>
      <c r="H2208" s="2" t="s">
        <v>76</v>
      </c>
      <c r="I2208" s="3" t="s">
        <v>79</v>
      </c>
      <c r="J2208" s="3">
        <v>60000000</v>
      </c>
      <c r="K2208" s="2" t="s">
        <v>43</v>
      </c>
      <c r="L2208" s="2" t="s">
        <v>2</v>
      </c>
      <c r="M2208" s="4" t="s">
        <v>67</v>
      </c>
      <c r="N2208" s="3" t="s">
        <v>81</v>
      </c>
      <c r="O2208" s="2" t="s">
        <v>11</v>
      </c>
      <c r="P2208" s="10"/>
      <c r="Q2208" s="11"/>
    </row>
    <row r="2209" spans="2:17" ht="21" customHeight="1" x14ac:dyDescent="0.35">
      <c r="B2209" s="18">
        <v>44090</v>
      </c>
      <c r="C2209" s="18" t="str">
        <f>TEXT(Sales[[#This Row],[Kode Program/Kegiatan ]],"D")</f>
        <v>16</v>
      </c>
      <c r="D2209" s="19" t="str">
        <f>TEXT(Sales[[#This Row],[Kode Program/Kegiatan ]],"mmm")</f>
        <v>Sep</v>
      </c>
      <c r="E2209" s="20">
        <v>7</v>
      </c>
      <c r="F2209" s="19">
        <v>7</v>
      </c>
      <c r="G2209" s="20" t="str">
        <f>IF(Sales[[#This Row],[Anggaran Murni]]-Sales[[#This Row],[Target s.d. Januari]]=0,"",Sales[[#This Row],[Anggaran Murni]]-Sales[[#This Row],[Target s.d. Januari]])</f>
        <v/>
      </c>
      <c r="H2209" s="19" t="s">
        <v>113</v>
      </c>
      <c r="I2209" s="20" t="s">
        <v>77</v>
      </c>
      <c r="J2209" s="20">
        <v>100000000</v>
      </c>
      <c r="K2209" s="19" t="s">
        <v>46</v>
      </c>
      <c r="L2209" s="19" t="s">
        <v>4</v>
      </c>
      <c r="M2209" s="21" t="s">
        <v>67</v>
      </c>
      <c r="N2209" s="20" t="s">
        <v>80</v>
      </c>
      <c r="O2209" s="19" t="s">
        <v>13</v>
      </c>
      <c r="P2209" s="10"/>
      <c r="Q2209" s="11"/>
    </row>
    <row r="2210" spans="2:17" ht="21" customHeight="1" x14ac:dyDescent="0.35">
      <c r="B2210" s="1">
        <v>44090</v>
      </c>
      <c r="C2210" s="1" t="str">
        <f>TEXT(Sales[[#This Row],[Kode Program/Kegiatan ]],"D")</f>
        <v>16</v>
      </c>
      <c r="D2210" s="2" t="str">
        <f>TEXT(Sales[[#This Row],[Kode Program/Kegiatan ]],"mmm")</f>
        <v>Sep</v>
      </c>
      <c r="E2210" s="3">
        <v>7</v>
      </c>
      <c r="F2210" s="2">
        <v>7</v>
      </c>
      <c r="G2210" s="3" t="str">
        <f>IF(Sales[[#This Row],[Anggaran Murni]]-Sales[[#This Row],[Target s.d. Januari]]=0,"",Sales[[#This Row],[Anggaran Murni]]-Sales[[#This Row],[Target s.d. Januari]])</f>
        <v/>
      </c>
      <c r="H2210" s="2" t="s">
        <v>72</v>
      </c>
      <c r="I2210" s="3" t="s">
        <v>78</v>
      </c>
      <c r="J2210" s="3">
        <v>140000000</v>
      </c>
      <c r="K2210" s="2" t="s">
        <v>27</v>
      </c>
      <c r="L2210" s="2" t="s">
        <v>5</v>
      </c>
      <c r="M2210" s="4" t="s">
        <v>67</v>
      </c>
      <c r="N2210" s="3" t="s">
        <v>82</v>
      </c>
      <c r="O2210" s="2" t="s">
        <v>11</v>
      </c>
      <c r="P2210" s="10"/>
      <c r="Q2210" s="11"/>
    </row>
    <row r="2211" spans="2:17" ht="21" customHeight="1" x14ac:dyDescent="0.35">
      <c r="B2211" s="18">
        <v>44090</v>
      </c>
      <c r="C2211" s="18" t="str">
        <f>TEXT(Sales[[#This Row],[Kode Program/Kegiatan ]],"D")</f>
        <v>16</v>
      </c>
      <c r="D2211" s="19" t="str">
        <f>TEXT(Sales[[#This Row],[Kode Program/Kegiatan ]],"mmm")</f>
        <v>Sep</v>
      </c>
      <c r="E2211" s="20">
        <v>7</v>
      </c>
      <c r="F2211" s="19">
        <v>7</v>
      </c>
      <c r="G2211" s="20" t="str">
        <f>IF(Sales[[#This Row],[Anggaran Murni]]-Sales[[#This Row],[Target s.d. Januari]]=0,"",Sales[[#This Row],[Anggaran Murni]]-Sales[[#This Row],[Target s.d. Januari]])</f>
        <v/>
      </c>
      <c r="H2211" s="19" t="s">
        <v>74</v>
      </c>
      <c r="I2211" s="20" t="s">
        <v>77</v>
      </c>
      <c r="J2211" s="20">
        <v>60000000</v>
      </c>
      <c r="K2211" s="19" t="s">
        <v>56</v>
      </c>
      <c r="L2211" s="19" t="s">
        <v>8</v>
      </c>
      <c r="M2211" s="21" t="s">
        <v>67</v>
      </c>
      <c r="N2211" s="20" t="s">
        <v>81</v>
      </c>
      <c r="O2211" s="19" t="s">
        <v>13</v>
      </c>
      <c r="P2211" s="10"/>
      <c r="Q2211" s="11"/>
    </row>
    <row r="2212" spans="2:17" ht="21" customHeight="1" x14ac:dyDescent="0.35">
      <c r="B2212" s="1">
        <v>44090</v>
      </c>
      <c r="C2212" s="1" t="str">
        <f>TEXT(Sales[[#This Row],[Kode Program/Kegiatan ]],"D")</f>
        <v>16</v>
      </c>
      <c r="D2212" s="2" t="str">
        <f>TEXT(Sales[[#This Row],[Kode Program/Kegiatan ]],"mmm")</f>
        <v>Sep</v>
      </c>
      <c r="E2212" s="3">
        <v>6</v>
      </c>
      <c r="F2212" s="2">
        <v>6</v>
      </c>
      <c r="G2212" s="3" t="str">
        <f>IF(Sales[[#This Row],[Anggaran Murni]]-Sales[[#This Row],[Target s.d. Januari]]=0,"",Sales[[#This Row],[Anggaran Murni]]-Sales[[#This Row],[Target s.d. Januari]])</f>
        <v/>
      </c>
      <c r="H2212" s="2" t="s">
        <v>75</v>
      </c>
      <c r="I2212" s="3" t="s">
        <v>6</v>
      </c>
      <c r="J2212" s="3">
        <v>100000000</v>
      </c>
      <c r="K2212" s="2" t="s">
        <v>58</v>
      </c>
      <c r="L2212" s="2" t="s">
        <v>2</v>
      </c>
      <c r="M2212" s="4" t="s">
        <v>67</v>
      </c>
      <c r="N2212" s="3" t="s">
        <v>80</v>
      </c>
      <c r="O2212" s="2" t="s">
        <v>13</v>
      </c>
      <c r="P2212" s="10"/>
      <c r="Q2212" s="11"/>
    </row>
    <row r="2213" spans="2:17" ht="21" customHeight="1" x14ac:dyDescent="0.35">
      <c r="B2213" s="18">
        <v>44090</v>
      </c>
      <c r="C2213" s="18" t="str">
        <f>TEXT(Sales[[#This Row],[Kode Program/Kegiatan ]],"D")</f>
        <v>16</v>
      </c>
      <c r="D2213" s="19" t="str">
        <f>TEXT(Sales[[#This Row],[Kode Program/Kegiatan ]],"mmm")</f>
        <v>Sep</v>
      </c>
      <c r="E2213" s="20">
        <v>6</v>
      </c>
      <c r="F2213" s="19">
        <v>6</v>
      </c>
      <c r="G2213" s="20" t="str">
        <f>IF(Sales[[#This Row],[Anggaran Murni]]-Sales[[#This Row],[Target s.d. Januari]]=0,"",Sales[[#This Row],[Anggaran Murni]]-Sales[[#This Row],[Target s.d. Januari]])</f>
        <v/>
      </c>
      <c r="H2213" s="19" t="s">
        <v>73</v>
      </c>
      <c r="I2213" s="20" t="s">
        <v>78</v>
      </c>
      <c r="J2213" s="20">
        <v>100000000</v>
      </c>
      <c r="K2213" s="19" t="s">
        <v>45</v>
      </c>
      <c r="L2213" s="19" t="s">
        <v>8</v>
      </c>
      <c r="M2213" s="21" t="s">
        <v>67</v>
      </c>
      <c r="N2213" s="20" t="s">
        <v>80</v>
      </c>
      <c r="O2213" s="19" t="s">
        <v>11</v>
      </c>
      <c r="P2213" s="10"/>
      <c r="Q2213" s="11"/>
    </row>
    <row r="2214" spans="2:17" ht="21" customHeight="1" x14ac:dyDescent="0.35">
      <c r="B2214" s="1">
        <v>44090</v>
      </c>
      <c r="C2214" s="1" t="str">
        <f>TEXT(Sales[[#This Row],[Kode Program/Kegiatan ]],"D")</f>
        <v>16</v>
      </c>
      <c r="D2214" s="2" t="str">
        <f>TEXT(Sales[[#This Row],[Kode Program/Kegiatan ]],"mmm")</f>
        <v>Sep</v>
      </c>
      <c r="E2214" s="3">
        <v>6</v>
      </c>
      <c r="F2214" s="2">
        <v>6</v>
      </c>
      <c r="G2214" s="3" t="str">
        <f>IF(Sales[[#This Row],[Anggaran Murni]]-Sales[[#This Row],[Target s.d. Januari]]=0,"",Sales[[#This Row],[Anggaran Murni]]-Sales[[#This Row],[Target s.d. Januari]])</f>
        <v/>
      </c>
      <c r="H2214" s="2" t="s">
        <v>114</v>
      </c>
      <c r="I2214" s="3" t="s">
        <v>3</v>
      </c>
      <c r="J2214" s="3">
        <v>140000000</v>
      </c>
      <c r="K2214" s="2" t="s">
        <v>39</v>
      </c>
      <c r="L2214" s="2" t="s">
        <v>5</v>
      </c>
      <c r="M2214" s="4" t="s">
        <v>67</v>
      </c>
      <c r="N2214" s="3" t="s">
        <v>82</v>
      </c>
      <c r="O2214" s="2" t="s">
        <v>11</v>
      </c>
      <c r="P2214" s="10"/>
      <c r="Q2214" s="11"/>
    </row>
    <row r="2215" spans="2:17" ht="21" customHeight="1" x14ac:dyDescent="0.35">
      <c r="B2215" s="18">
        <v>44090</v>
      </c>
      <c r="C2215" s="18" t="str">
        <f>TEXT(Sales[[#This Row],[Kode Program/Kegiatan ]],"D")</f>
        <v>16</v>
      </c>
      <c r="D2215" s="19" t="str">
        <f>TEXT(Sales[[#This Row],[Kode Program/Kegiatan ]],"mmm")</f>
        <v>Sep</v>
      </c>
      <c r="E2215" s="20">
        <v>3</v>
      </c>
      <c r="F2215" s="19">
        <v>3</v>
      </c>
      <c r="G2215" s="20" t="str">
        <f>IF(Sales[[#This Row],[Anggaran Murni]]-Sales[[#This Row],[Target s.d. Januari]]=0,"",Sales[[#This Row],[Anggaran Murni]]-Sales[[#This Row],[Target s.d. Januari]])</f>
        <v/>
      </c>
      <c r="H2215" s="19" t="s">
        <v>73</v>
      </c>
      <c r="I2215" s="20" t="s">
        <v>78</v>
      </c>
      <c r="J2215" s="20">
        <v>60000000</v>
      </c>
      <c r="K2215" s="19" t="s">
        <v>43</v>
      </c>
      <c r="L2215" s="19" t="s">
        <v>2</v>
      </c>
      <c r="M2215" s="21" t="s">
        <v>67</v>
      </c>
      <c r="N2215" s="20" t="s">
        <v>82</v>
      </c>
      <c r="O2215" s="19" t="s">
        <v>13</v>
      </c>
      <c r="P2215" s="10"/>
      <c r="Q2215" s="11"/>
    </row>
    <row r="2216" spans="2:17" ht="21" customHeight="1" x14ac:dyDescent="0.35">
      <c r="B2216" s="1">
        <v>44090</v>
      </c>
      <c r="C2216" s="1" t="str">
        <f>TEXT(Sales[[#This Row],[Kode Program/Kegiatan ]],"D")</f>
        <v>16</v>
      </c>
      <c r="D2216" s="2" t="str">
        <f>TEXT(Sales[[#This Row],[Kode Program/Kegiatan ]],"mmm")</f>
        <v>Sep</v>
      </c>
      <c r="E2216" s="3">
        <v>3</v>
      </c>
      <c r="F2216" s="2">
        <v>3</v>
      </c>
      <c r="G2216" s="3" t="str">
        <f>IF(Sales[[#This Row],[Anggaran Murni]]-Sales[[#This Row],[Target s.d. Januari]]=0,"",Sales[[#This Row],[Anggaran Murni]]-Sales[[#This Row],[Target s.d. Januari]])</f>
        <v/>
      </c>
      <c r="H2216" s="2" t="s">
        <v>74</v>
      </c>
      <c r="I2216" s="3" t="s">
        <v>77</v>
      </c>
      <c r="J2216" s="3">
        <v>120000000</v>
      </c>
      <c r="K2216" s="2" t="s">
        <v>62</v>
      </c>
      <c r="L2216" s="2" t="s">
        <v>5</v>
      </c>
      <c r="M2216" s="4" t="s">
        <v>67</v>
      </c>
      <c r="N2216" s="3" t="s">
        <v>81</v>
      </c>
      <c r="O2216" s="2" t="s">
        <v>13</v>
      </c>
      <c r="P2216" s="10"/>
      <c r="Q2216" s="11"/>
    </row>
    <row r="2217" spans="2:17" ht="21" customHeight="1" x14ac:dyDescent="0.35">
      <c r="B2217" s="18">
        <v>44091</v>
      </c>
      <c r="C2217" s="18" t="str">
        <f>TEXT(Sales[[#This Row],[Kode Program/Kegiatan ]],"D")</f>
        <v>17</v>
      </c>
      <c r="D2217" s="19" t="str">
        <f>TEXT(Sales[[#This Row],[Kode Program/Kegiatan ]],"mmm")</f>
        <v>Sep</v>
      </c>
      <c r="E2217" s="20">
        <v>10</v>
      </c>
      <c r="F2217" s="19">
        <v>10</v>
      </c>
      <c r="G2217" s="20" t="str">
        <f>IF(Sales[[#This Row],[Anggaran Murni]]-Sales[[#This Row],[Target s.d. Januari]]=0,"",Sales[[#This Row],[Anggaran Murni]]-Sales[[#This Row],[Target s.d. Januari]])</f>
        <v/>
      </c>
      <c r="H2217" s="19" t="s">
        <v>70</v>
      </c>
      <c r="I2217" s="20" t="s">
        <v>1</v>
      </c>
      <c r="J2217" s="20">
        <v>40000000</v>
      </c>
      <c r="K2217" s="19" t="s">
        <v>30</v>
      </c>
      <c r="L2217" s="19" t="s">
        <v>2</v>
      </c>
      <c r="M2217" s="21" t="s">
        <v>67</v>
      </c>
      <c r="N2217" s="20" t="s">
        <v>82</v>
      </c>
      <c r="O2217" s="19" t="s">
        <v>14</v>
      </c>
      <c r="P2217" s="10"/>
      <c r="Q2217" s="11"/>
    </row>
    <row r="2218" spans="2:17" ht="21" customHeight="1" x14ac:dyDescent="0.35">
      <c r="B2218" s="1">
        <v>44091</v>
      </c>
      <c r="C2218" s="1" t="str">
        <f>TEXT(Sales[[#This Row],[Kode Program/Kegiatan ]],"D")</f>
        <v>17</v>
      </c>
      <c r="D2218" s="2" t="str">
        <f>TEXT(Sales[[#This Row],[Kode Program/Kegiatan ]],"mmm")</f>
        <v>Sep</v>
      </c>
      <c r="E2218" s="3">
        <v>9</v>
      </c>
      <c r="F2218" s="2">
        <v>9</v>
      </c>
      <c r="G2218" s="3" t="str">
        <f>IF(Sales[[#This Row],[Anggaran Murni]]-Sales[[#This Row],[Target s.d. Januari]]=0,"",Sales[[#This Row],[Anggaran Murni]]-Sales[[#This Row],[Target s.d. Januari]])</f>
        <v/>
      </c>
      <c r="H2218" s="2" t="s">
        <v>71</v>
      </c>
      <c r="I2218" s="3" t="s">
        <v>6</v>
      </c>
      <c r="J2218" s="3">
        <v>60000000</v>
      </c>
      <c r="K2218" s="2" t="s">
        <v>21</v>
      </c>
      <c r="L2218" s="2" t="s">
        <v>7</v>
      </c>
      <c r="M2218" s="4" t="s">
        <v>67</v>
      </c>
      <c r="N2218" s="3" t="s">
        <v>80</v>
      </c>
      <c r="O2218" s="2" t="s">
        <v>14</v>
      </c>
      <c r="P2218" s="10"/>
      <c r="Q2218" s="11"/>
    </row>
    <row r="2219" spans="2:17" ht="21" customHeight="1" x14ac:dyDescent="0.35">
      <c r="B2219" s="18">
        <v>44091</v>
      </c>
      <c r="C2219" s="18" t="str">
        <f>TEXT(Sales[[#This Row],[Kode Program/Kegiatan ]],"D")</f>
        <v>17</v>
      </c>
      <c r="D2219" s="19" t="str">
        <f>TEXT(Sales[[#This Row],[Kode Program/Kegiatan ]],"mmm")</f>
        <v>Sep</v>
      </c>
      <c r="E2219" s="20">
        <v>6</v>
      </c>
      <c r="F2219" s="19">
        <v>6</v>
      </c>
      <c r="G2219" s="20" t="str">
        <f>IF(Sales[[#This Row],[Anggaran Murni]]-Sales[[#This Row],[Target s.d. Januari]]=0,"",Sales[[#This Row],[Anggaran Murni]]-Sales[[#This Row],[Target s.d. Januari]])</f>
        <v/>
      </c>
      <c r="H2219" s="19" t="s">
        <v>113</v>
      </c>
      <c r="I2219" s="20" t="s">
        <v>77</v>
      </c>
      <c r="J2219" s="20">
        <v>120000000</v>
      </c>
      <c r="K2219" s="19" t="s">
        <v>29</v>
      </c>
      <c r="L2219" s="19" t="s">
        <v>9</v>
      </c>
      <c r="M2219" s="21" t="s">
        <v>67</v>
      </c>
      <c r="N2219" s="20" t="s">
        <v>81</v>
      </c>
      <c r="O2219" s="19" t="s">
        <v>14</v>
      </c>
      <c r="P2219" s="10"/>
      <c r="Q2219" s="11"/>
    </row>
    <row r="2220" spans="2:17" ht="21" customHeight="1" x14ac:dyDescent="0.35">
      <c r="B2220" s="1">
        <v>44091</v>
      </c>
      <c r="C2220" s="1" t="str">
        <f>TEXT(Sales[[#This Row],[Kode Program/Kegiatan ]],"D")</f>
        <v>17</v>
      </c>
      <c r="D2220" s="2" t="str">
        <f>TEXT(Sales[[#This Row],[Kode Program/Kegiatan ]],"mmm")</f>
        <v>Sep</v>
      </c>
      <c r="E2220" s="3">
        <v>6</v>
      </c>
      <c r="F2220" s="2">
        <v>6</v>
      </c>
      <c r="G2220" s="3" t="str">
        <f>IF(Sales[[#This Row],[Anggaran Murni]]-Sales[[#This Row],[Target s.d. Januari]]=0,"",Sales[[#This Row],[Anggaran Murni]]-Sales[[#This Row],[Target s.d. Januari]])</f>
        <v/>
      </c>
      <c r="H2220" s="2" t="s">
        <v>113</v>
      </c>
      <c r="I2220" s="3" t="s">
        <v>77</v>
      </c>
      <c r="J2220" s="3">
        <v>140000000</v>
      </c>
      <c r="K2220" s="2" t="s">
        <v>37</v>
      </c>
      <c r="L2220" s="2" t="s">
        <v>5</v>
      </c>
      <c r="M2220" s="4" t="s">
        <v>67</v>
      </c>
      <c r="N2220" s="3" t="s">
        <v>82</v>
      </c>
      <c r="O2220" s="2" t="s">
        <v>12</v>
      </c>
      <c r="P2220" s="10"/>
      <c r="Q2220" s="11"/>
    </row>
    <row r="2221" spans="2:17" ht="21" customHeight="1" x14ac:dyDescent="0.35">
      <c r="B2221" s="18">
        <v>44091</v>
      </c>
      <c r="C2221" s="18" t="str">
        <f>TEXT(Sales[[#This Row],[Kode Program/Kegiatan ]],"D")</f>
        <v>17</v>
      </c>
      <c r="D2221" s="19" t="str">
        <f>TEXT(Sales[[#This Row],[Kode Program/Kegiatan ]],"mmm")</f>
        <v>Sep</v>
      </c>
      <c r="E2221" s="20">
        <v>5</v>
      </c>
      <c r="F2221" s="19">
        <v>5</v>
      </c>
      <c r="G2221" s="20" t="str">
        <f>IF(Sales[[#This Row],[Anggaran Murni]]-Sales[[#This Row],[Target s.d. Januari]]=0,"",Sales[[#This Row],[Anggaran Murni]]-Sales[[#This Row],[Target s.d. Januari]])</f>
        <v/>
      </c>
      <c r="H2221" s="19" t="s">
        <v>114</v>
      </c>
      <c r="I2221" s="20" t="s">
        <v>3</v>
      </c>
      <c r="J2221" s="20">
        <v>120000000</v>
      </c>
      <c r="K2221" s="19" t="s">
        <v>19</v>
      </c>
      <c r="L2221" s="19" t="s">
        <v>2</v>
      </c>
      <c r="M2221" s="21" t="s">
        <v>67</v>
      </c>
      <c r="N2221" s="20" t="s">
        <v>81</v>
      </c>
      <c r="O2221" s="19" t="s">
        <v>14</v>
      </c>
      <c r="P2221" s="10"/>
      <c r="Q2221" s="11"/>
    </row>
    <row r="2222" spans="2:17" ht="21" customHeight="1" x14ac:dyDescent="0.35">
      <c r="B2222" s="1">
        <v>44091</v>
      </c>
      <c r="C2222" s="1" t="str">
        <f>TEXT(Sales[[#This Row],[Kode Program/Kegiatan ]],"D")</f>
        <v>17</v>
      </c>
      <c r="D2222" s="2" t="str">
        <f>TEXT(Sales[[#This Row],[Kode Program/Kegiatan ]],"mmm")</f>
        <v>Sep</v>
      </c>
      <c r="E2222" s="3">
        <v>5</v>
      </c>
      <c r="F2222" s="2">
        <v>5</v>
      </c>
      <c r="G2222" s="3" t="str">
        <f>IF(Sales[[#This Row],[Anggaran Murni]]-Sales[[#This Row],[Target s.d. Januari]]=0,"",Sales[[#This Row],[Anggaran Murni]]-Sales[[#This Row],[Target s.d. Januari]])</f>
        <v/>
      </c>
      <c r="H2222" s="2" t="s">
        <v>76</v>
      </c>
      <c r="I2222" s="3" t="s">
        <v>79</v>
      </c>
      <c r="J2222" s="3">
        <v>100000000</v>
      </c>
      <c r="K2222" s="2" t="s">
        <v>35</v>
      </c>
      <c r="L2222" s="2" t="s">
        <v>5</v>
      </c>
      <c r="M2222" s="4" t="s">
        <v>67</v>
      </c>
      <c r="N2222" s="3" t="s">
        <v>82</v>
      </c>
      <c r="O2222" s="2" t="s">
        <v>11</v>
      </c>
      <c r="P2222" s="10"/>
      <c r="Q2222" s="11"/>
    </row>
    <row r="2223" spans="2:17" ht="21" customHeight="1" x14ac:dyDescent="0.35">
      <c r="B2223" s="18">
        <v>44091</v>
      </c>
      <c r="C2223" s="18" t="str">
        <f>TEXT(Sales[[#This Row],[Kode Program/Kegiatan ]],"D")</f>
        <v>17</v>
      </c>
      <c r="D2223" s="19" t="str">
        <f>TEXT(Sales[[#This Row],[Kode Program/Kegiatan ]],"mmm")</f>
        <v>Sep</v>
      </c>
      <c r="E2223" s="20">
        <v>5</v>
      </c>
      <c r="F2223" s="19">
        <v>5</v>
      </c>
      <c r="G2223" s="20" t="str">
        <f>IF(Sales[[#This Row],[Anggaran Murni]]-Sales[[#This Row],[Target s.d. Januari]]=0,"",Sales[[#This Row],[Anggaran Murni]]-Sales[[#This Row],[Target s.d. Januari]])</f>
        <v/>
      </c>
      <c r="H2223" s="19" t="s">
        <v>71</v>
      </c>
      <c r="I2223" s="20" t="s">
        <v>6</v>
      </c>
      <c r="J2223" s="20">
        <v>60000000</v>
      </c>
      <c r="K2223" s="19" t="s">
        <v>57</v>
      </c>
      <c r="L2223" s="19" t="s">
        <v>2</v>
      </c>
      <c r="M2223" s="21" t="s">
        <v>67</v>
      </c>
      <c r="N2223" s="20" t="s">
        <v>80</v>
      </c>
      <c r="O2223" s="19" t="s">
        <v>12</v>
      </c>
      <c r="P2223" s="10"/>
      <c r="Q2223" s="11"/>
    </row>
    <row r="2224" spans="2:17" ht="21" customHeight="1" x14ac:dyDescent="0.35">
      <c r="B2224" s="1">
        <v>44091</v>
      </c>
      <c r="C2224" s="1" t="str">
        <f>TEXT(Sales[[#This Row],[Kode Program/Kegiatan ]],"D")</f>
        <v>17</v>
      </c>
      <c r="D2224" s="2" t="str">
        <f>TEXT(Sales[[#This Row],[Kode Program/Kegiatan ]],"mmm")</f>
        <v>Sep</v>
      </c>
      <c r="E2224" s="3">
        <v>4</v>
      </c>
      <c r="F2224" s="2">
        <v>4</v>
      </c>
      <c r="G2224" s="3" t="str">
        <f>IF(Sales[[#This Row],[Anggaran Murni]]-Sales[[#This Row],[Target s.d. Januari]]=0,"",Sales[[#This Row],[Anggaran Murni]]-Sales[[#This Row],[Target s.d. Januari]])</f>
        <v/>
      </c>
      <c r="H2224" s="2" t="s">
        <v>70</v>
      </c>
      <c r="I2224" s="3" t="s">
        <v>1</v>
      </c>
      <c r="J2224" s="3">
        <v>40000000</v>
      </c>
      <c r="K2224" s="2" t="s">
        <v>61</v>
      </c>
      <c r="L2224" s="2" t="s">
        <v>2</v>
      </c>
      <c r="M2224" s="4" t="s">
        <v>67</v>
      </c>
      <c r="N2224" s="3" t="s">
        <v>82</v>
      </c>
      <c r="O2224" s="2" t="s">
        <v>11</v>
      </c>
      <c r="P2224" s="10"/>
      <c r="Q2224" s="11"/>
    </row>
    <row r="2225" spans="2:17" ht="21" customHeight="1" x14ac:dyDescent="0.35">
      <c r="B2225" s="18">
        <v>44091</v>
      </c>
      <c r="C2225" s="18" t="str">
        <f>TEXT(Sales[[#This Row],[Kode Program/Kegiatan ]],"D")</f>
        <v>17</v>
      </c>
      <c r="D2225" s="19" t="str">
        <f>TEXT(Sales[[#This Row],[Kode Program/Kegiatan ]],"mmm")</f>
        <v>Sep</v>
      </c>
      <c r="E2225" s="20">
        <v>3</v>
      </c>
      <c r="F2225" s="19">
        <v>3</v>
      </c>
      <c r="G2225" s="20" t="str">
        <f>IF(Sales[[#This Row],[Anggaran Murni]]-Sales[[#This Row],[Target s.d. Januari]]=0,"",Sales[[#This Row],[Anggaran Murni]]-Sales[[#This Row],[Target s.d. Januari]])</f>
        <v/>
      </c>
      <c r="H2225" s="19" t="s">
        <v>70</v>
      </c>
      <c r="I2225" s="20" t="s">
        <v>1</v>
      </c>
      <c r="J2225" s="20">
        <v>40000000</v>
      </c>
      <c r="K2225" s="19" t="s">
        <v>52</v>
      </c>
      <c r="L2225" s="19" t="s">
        <v>8</v>
      </c>
      <c r="M2225" s="21" t="s">
        <v>67</v>
      </c>
      <c r="N2225" s="20" t="s">
        <v>81</v>
      </c>
      <c r="O2225" s="19" t="s">
        <v>12</v>
      </c>
      <c r="P2225" s="10"/>
      <c r="Q2225" s="11"/>
    </row>
    <row r="2226" spans="2:17" ht="21" customHeight="1" x14ac:dyDescent="0.35">
      <c r="B2226" s="1">
        <v>44091</v>
      </c>
      <c r="C2226" s="1" t="str">
        <f>TEXT(Sales[[#This Row],[Kode Program/Kegiatan ]],"D")</f>
        <v>17</v>
      </c>
      <c r="D2226" s="2" t="str">
        <f>TEXT(Sales[[#This Row],[Kode Program/Kegiatan ]],"mmm")</f>
        <v>Sep</v>
      </c>
      <c r="E2226" s="3">
        <v>3</v>
      </c>
      <c r="F2226" s="2">
        <v>3</v>
      </c>
      <c r="G2226" s="3" t="str">
        <f>IF(Sales[[#This Row],[Anggaran Murni]]-Sales[[#This Row],[Target s.d. Januari]]=0,"",Sales[[#This Row],[Anggaran Murni]]-Sales[[#This Row],[Target s.d. Januari]])</f>
        <v/>
      </c>
      <c r="H2226" s="2" t="s">
        <v>76</v>
      </c>
      <c r="I2226" s="3" t="s">
        <v>79</v>
      </c>
      <c r="J2226" s="3">
        <v>80000000</v>
      </c>
      <c r="K2226" s="2" t="s">
        <v>34</v>
      </c>
      <c r="L2226" s="2" t="s">
        <v>5</v>
      </c>
      <c r="M2226" s="4" t="s">
        <v>67</v>
      </c>
      <c r="N2226" s="3" t="s">
        <v>81</v>
      </c>
      <c r="O2226" s="2" t="s">
        <v>14</v>
      </c>
      <c r="P2226" s="10"/>
      <c r="Q2226" s="11"/>
    </row>
    <row r="2227" spans="2:17" ht="21" customHeight="1" x14ac:dyDescent="0.35">
      <c r="B2227" s="18">
        <v>44092</v>
      </c>
      <c r="C2227" s="18" t="str">
        <f>TEXT(Sales[[#This Row],[Kode Program/Kegiatan ]],"D")</f>
        <v>18</v>
      </c>
      <c r="D2227" s="19" t="str">
        <f>TEXT(Sales[[#This Row],[Kode Program/Kegiatan ]],"mmm")</f>
        <v>Sep</v>
      </c>
      <c r="E2227" s="20">
        <v>10</v>
      </c>
      <c r="F2227" s="19">
        <v>10</v>
      </c>
      <c r="G2227" s="20" t="str">
        <f>IF(Sales[[#This Row],[Anggaran Murni]]-Sales[[#This Row],[Target s.d. Januari]]=0,"",Sales[[#This Row],[Anggaran Murni]]-Sales[[#This Row],[Target s.d. Januari]])</f>
        <v/>
      </c>
      <c r="H2227" s="19" t="s">
        <v>72</v>
      </c>
      <c r="I2227" s="20" t="s">
        <v>78</v>
      </c>
      <c r="J2227" s="20">
        <v>40000000</v>
      </c>
      <c r="K2227" s="19" t="s">
        <v>19</v>
      </c>
      <c r="L2227" s="19" t="s">
        <v>8</v>
      </c>
      <c r="M2227" s="21" t="s">
        <v>67</v>
      </c>
      <c r="N2227" s="20" t="s">
        <v>80</v>
      </c>
      <c r="O2227" s="19" t="s">
        <v>13</v>
      </c>
      <c r="P2227" s="10"/>
      <c r="Q2227" s="11"/>
    </row>
    <row r="2228" spans="2:17" ht="21" customHeight="1" x14ac:dyDescent="0.35">
      <c r="B2228" s="1">
        <v>44092</v>
      </c>
      <c r="C2228" s="1" t="str">
        <f>TEXT(Sales[[#This Row],[Kode Program/Kegiatan ]],"D")</f>
        <v>18</v>
      </c>
      <c r="D2228" s="2" t="str">
        <f>TEXT(Sales[[#This Row],[Kode Program/Kegiatan ]],"mmm")</f>
        <v>Sep</v>
      </c>
      <c r="E2228" s="3">
        <v>7</v>
      </c>
      <c r="F2228" s="2">
        <v>7</v>
      </c>
      <c r="G2228" s="3" t="str">
        <f>IF(Sales[[#This Row],[Anggaran Murni]]-Sales[[#This Row],[Target s.d. Januari]]=0,"",Sales[[#This Row],[Anggaran Murni]]-Sales[[#This Row],[Target s.d. Januari]])</f>
        <v/>
      </c>
      <c r="H2228" s="2" t="s">
        <v>73</v>
      </c>
      <c r="I2228" s="3" t="s">
        <v>78</v>
      </c>
      <c r="J2228" s="3">
        <v>60000000</v>
      </c>
      <c r="K2228" s="2" t="s">
        <v>45</v>
      </c>
      <c r="L2228" s="2" t="s">
        <v>9</v>
      </c>
      <c r="M2228" s="4" t="s">
        <v>67</v>
      </c>
      <c r="N2228" s="3" t="s">
        <v>82</v>
      </c>
      <c r="O2228" s="2" t="s">
        <v>14</v>
      </c>
      <c r="P2228" s="10"/>
      <c r="Q2228" s="11"/>
    </row>
    <row r="2229" spans="2:17" ht="21" customHeight="1" x14ac:dyDescent="0.35">
      <c r="B2229" s="18">
        <v>44092</v>
      </c>
      <c r="C2229" s="18" t="str">
        <f>TEXT(Sales[[#This Row],[Kode Program/Kegiatan ]],"D")</f>
        <v>18</v>
      </c>
      <c r="D2229" s="19" t="str">
        <f>TEXT(Sales[[#This Row],[Kode Program/Kegiatan ]],"mmm")</f>
        <v>Sep</v>
      </c>
      <c r="E2229" s="20">
        <v>7</v>
      </c>
      <c r="F2229" s="19">
        <v>7</v>
      </c>
      <c r="G2229" s="20" t="str">
        <f>IF(Sales[[#This Row],[Anggaran Murni]]-Sales[[#This Row],[Target s.d. Januari]]=0,"",Sales[[#This Row],[Anggaran Murni]]-Sales[[#This Row],[Target s.d. Januari]])</f>
        <v/>
      </c>
      <c r="H2229" s="19" t="s">
        <v>71</v>
      </c>
      <c r="I2229" s="20" t="s">
        <v>6</v>
      </c>
      <c r="J2229" s="20">
        <v>140000000</v>
      </c>
      <c r="K2229" s="19" t="s">
        <v>33</v>
      </c>
      <c r="L2229" s="19" t="s">
        <v>5</v>
      </c>
      <c r="M2229" s="21" t="s">
        <v>67</v>
      </c>
      <c r="N2229" s="20" t="s">
        <v>80</v>
      </c>
      <c r="O2229" s="19" t="s">
        <v>13</v>
      </c>
      <c r="P2229" s="10"/>
      <c r="Q2229" s="11"/>
    </row>
    <row r="2230" spans="2:17" ht="21" customHeight="1" x14ac:dyDescent="0.35">
      <c r="B2230" s="1">
        <v>44092</v>
      </c>
      <c r="C2230" s="1" t="str">
        <f>TEXT(Sales[[#This Row],[Kode Program/Kegiatan ]],"D")</f>
        <v>18</v>
      </c>
      <c r="D2230" s="2" t="str">
        <f>TEXT(Sales[[#This Row],[Kode Program/Kegiatan ]],"mmm")</f>
        <v>Sep</v>
      </c>
      <c r="E2230" s="3">
        <v>6</v>
      </c>
      <c r="F2230" s="2">
        <v>6</v>
      </c>
      <c r="G2230" s="3" t="str">
        <f>IF(Sales[[#This Row],[Anggaran Murni]]-Sales[[#This Row],[Target s.d. Januari]]=0,"",Sales[[#This Row],[Anggaran Murni]]-Sales[[#This Row],[Target s.d. Januari]])</f>
        <v/>
      </c>
      <c r="H2230" s="2" t="s">
        <v>76</v>
      </c>
      <c r="I2230" s="3" t="s">
        <v>79</v>
      </c>
      <c r="J2230" s="3">
        <v>80000000</v>
      </c>
      <c r="K2230" s="2" t="s">
        <v>30</v>
      </c>
      <c r="L2230" s="2" t="s">
        <v>2</v>
      </c>
      <c r="M2230" s="4" t="s">
        <v>67</v>
      </c>
      <c r="N2230" s="3" t="s">
        <v>82</v>
      </c>
      <c r="O2230" s="2" t="s">
        <v>12</v>
      </c>
      <c r="P2230" s="10"/>
      <c r="Q2230" s="11"/>
    </row>
    <row r="2231" spans="2:17" ht="21" customHeight="1" x14ac:dyDescent="0.35">
      <c r="B2231" s="18">
        <v>44092</v>
      </c>
      <c r="C2231" s="18" t="str">
        <f>TEXT(Sales[[#This Row],[Kode Program/Kegiatan ]],"D")</f>
        <v>18</v>
      </c>
      <c r="D2231" s="19" t="str">
        <f>TEXT(Sales[[#This Row],[Kode Program/Kegiatan ]],"mmm")</f>
        <v>Sep</v>
      </c>
      <c r="E2231" s="20">
        <v>6</v>
      </c>
      <c r="F2231" s="19">
        <v>6</v>
      </c>
      <c r="G2231" s="20" t="str">
        <f>IF(Sales[[#This Row],[Anggaran Murni]]-Sales[[#This Row],[Target s.d. Januari]]=0,"",Sales[[#This Row],[Anggaran Murni]]-Sales[[#This Row],[Target s.d. Januari]])</f>
        <v/>
      </c>
      <c r="H2231" s="19" t="s">
        <v>71</v>
      </c>
      <c r="I2231" s="20" t="s">
        <v>6</v>
      </c>
      <c r="J2231" s="20">
        <v>120000000</v>
      </c>
      <c r="K2231" s="19" t="s">
        <v>20</v>
      </c>
      <c r="L2231" s="19" t="s">
        <v>2</v>
      </c>
      <c r="M2231" s="21" t="s">
        <v>67</v>
      </c>
      <c r="N2231" s="20" t="s">
        <v>80</v>
      </c>
      <c r="O2231" s="19" t="s">
        <v>11</v>
      </c>
      <c r="P2231" s="10"/>
      <c r="Q2231" s="11"/>
    </row>
    <row r="2232" spans="2:17" ht="21" customHeight="1" x14ac:dyDescent="0.35">
      <c r="B2232" s="1">
        <v>44092</v>
      </c>
      <c r="C2232" s="1" t="str">
        <f>TEXT(Sales[[#This Row],[Kode Program/Kegiatan ]],"D")</f>
        <v>18</v>
      </c>
      <c r="D2232" s="2" t="str">
        <f>TEXT(Sales[[#This Row],[Kode Program/Kegiatan ]],"mmm")</f>
        <v>Sep</v>
      </c>
      <c r="E2232" s="3">
        <v>6</v>
      </c>
      <c r="F2232" s="2">
        <v>6</v>
      </c>
      <c r="G2232" s="3" t="str">
        <f>IF(Sales[[#This Row],[Anggaran Murni]]-Sales[[#This Row],[Target s.d. Januari]]=0,"",Sales[[#This Row],[Anggaran Murni]]-Sales[[#This Row],[Target s.d. Januari]])</f>
        <v/>
      </c>
      <c r="H2232" s="2" t="s">
        <v>75</v>
      </c>
      <c r="I2232" s="3" t="s">
        <v>6</v>
      </c>
      <c r="J2232" s="3">
        <v>80000000</v>
      </c>
      <c r="K2232" s="2" t="s">
        <v>33</v>
      </c>
      <c r="L2232" s="2" t="s">
        <v>4</v>
      </c>
      <c r="M2232" s="4" t="s">
        <v>67</v>
      </c>
      <c r="N2232" s="3" t="s">
        <v>80</v>
      </c>
      <c r="O2232" s="2" t="s">
        <v>13</v>
      </c>
      <c r="P2232" s="10"/>
      <c r="Q2232" s="11"/>
    </row>
    <row r="2233" spans="2:17" ht="21" customHeight="1" x14ac:dyDescent="0.35">
      <c r="B2233" s="18">
        <v>44092</v>
      </c>
      <c r="C2233" s="18" t="str">
        <f>TEXT(Sales[[#This Row],[Kode Program/Kegiatan ]],"D")</f>
        <v>18</v>
      </c>
      <c r="D2233" s="19" t="str">
        <f>TEXT(Sales[[#This Row],[Kode Program/Kegiatan ]],"mmm")</f>
        <v>Sep</v>
      </c>
      <c r="E2233" s="20">
        <v>5</v>
      </c>
      <c r="F2233" s="19">
        <v>5</v>
      </c>
      <c r="G2233" s="20" t="str">
        <f>IF(Sales[[#This Row],[Anggaran Murni]]-Sales[[#This Row],[Target s.d. Januari]]=0,"",Sales[[#This Row],[Anggaran Murni]]-Sales[[#This Row],[Target s.d. Januari]])</f>
        <v/>
      </c>
      <c r="H2233" s="19" t="s">
        <v>76</v>
      </c>
      <c r="I2233" s="20" t="s">
        <v>79</v>
      </c>
      <c r="J2233" s="20">
        <v>80000000</v>
      </c>
      <c r="K2233" s="19" t="s">
        <v>55</v>
      </c>
      <c r="L2233" s="19" t="s">
        <v>7</v>
      </c>
      <c r="M2233" s="21" t="s">
        <v>67</v>
      </c>
      <c r="N2233" s="20" t="s">
        <v>81</v>
      </c>
      <c r="O2233" s="19" t="s">
        <v>13</v>
      </c>
      <c r="P2233" s="10"/>
      <c r="Q2233" s="11"/>
    </row>
    <row r="2234" spans="2:17" ht="21" customHeight="1" x14ac:dyDescent="0.35">
      <c r="B2234" s="1">
        <v>44092</v>
      </c>
      <c r="C2234" s="1" t="str">
        <f>TEXT(Sales[[#This Row],[Kode Program/Kegiatan ]],"D")</f>
        <v>18</v>
      </c>
      <c r="D2234" s="2" t="str">
        <f>TEXT(Sales[[#This Row],[Kode Program/Kegiatan ]],"mmm")</f>
        <v>Sep</v>
      </c>
      <c r="E2234" s="3">
        <v>4</v>
      </c>
      <c r="F2234" s="2">
        <v>4</v>
      </c>
      <c r="G2234" s="3" t="str">
        <f>IF(Sales[[#This Row],[Anggaran Murni]]-Sales[[#This Row],[Target s.d. Januari]]=0,"",Sales[[#This Row],[Anggaran Murni]]-Sales[[#This Row],[Target s.d. Januari]])</f>
        <v/>
      </c>
      <c r="H2234" s="2" t="s">
        <v>72</v>
      </c>
      <c r="I2234" s="3" t="s">
        <v>78</v>
      </c>
      <c r="J2234" s="3">
        <v>100000000</v>
      </c>
      <c r="K2234" s="2" t="s">
        <v>50</v>
      </c>
      <c r="L2234" s="2" t="s">
        <v>2</v>
      </c>
      <c r="M2234" s="4" t="s">
        <v>67</v>
      </c>
      <c r="N2234" s="3" t="s">
        <v>82</v>
      </c>
      <c r="O2234" s="2" t="s">
        <v>12</v>
      </c>
      <c r="P2234" s="10"/>
      <c r="Q2234" s="11"/>
    </row>
    <row r="2235" spans="2:17" ht="21" customHeight="1" x14ac:dyDescent="0.35">
      <c r="B2235" s="18">
        <v>44092</v>
      </c>
      <c r="C2235" s="18" t="str">
        <f>TEXT(Sales[[#This Row],[Kode Program/Kegiatan ]],"D")</f>
        <v>18</v>
      </c>
      <c r="D2235" s="19" t="str">
        <f>TEXT(Sales[[#This Row],[Kode Program/Kegiatan ]],"mmm")</f>
        <v>Sep</v>
      </c>
      <c r="E2235" s="20">
        <v>4</v>
      </c>
      <c r="F2235" s="19">
        <v>4</v>
      </c>
      <c r="G2235" s="20" t="str">
        <f>IF(Sales[[#This Row],[Anggaran Murni]]-Sales[[#This Row],[Target s.d. Januari]]=0,"",Sales[[#This Row],[Anggaran Murni]]-Sales[[#This Row],[Target s.d. Januari]])</f>
        <v/>
      </c>
      <c r="H2235" s="19" t="s">
        <v>74</v>
      </c>
      <c r="I2235" s="20" t="s">
        <v>77</v>
      </c>
      <c r="J2235" s="20">
        <v>100000000</v>
      </c>
      <c r="K2235" s="19" t="s">
        <v>50</v>
      </c>
      <c r="L2235" s="19" t="s">
        <v>5</v>
      </c>
      <c r="M2235" s="21" t="s">
        <v>67</v>
      </c>
      <c r="N2235" s="20" t="s">
        <v>82</v>
      </c>
      <c r="O2235" s="19" t="s">
        <v>11</v>
      </c>
      <c r="P2235" s="10"/>
      <c r="Q2235" s="11"/>
    </row>
    <row r="2236" spans="2:17" ht="21" customHeight="1" x14ac:dyDescent="0.35">
      <c r="B2236" s="1">
        <v>44092</v>
      </c>
      <c r="C2236" s="1" t="str">
        <f>TEXT(Sales[[#This Row],[Kode Program/Kegiatan ]],"D")</f>
        <v>18</v>
      </c>
      <c r="D2236" s="2" t="str">
        <f>TEXT(Sales[[#This Row],[Kode Program/Kegiatan ]],"mmm")</f>
        <v>Sep</v>
      </c>
      <c r="E2236" s="3">
        <v>4</v>
      </c>
      <c r="F2236" s="2">
        <v>4</v>
      </c>
      <c r="G2236" s="3" t="str">
        <f>IF(Sales[[#This Row],[Anggaran Murni]]-Sales[[#This Row],[Target s.d. Januari]]=0,"",Sales[[#This Row],[Anggaran Murni]]-Sales[[#This Row],[Target s.d. Januari]])</f>
        <v/>
      </c>
      <c r="H2236" s="2" t="s">
        <v>75</v>
      </c>
      <c r="I2236" s="3" t="s">
        <v>6</v>
      </c>
      <c r="J2236" s="3">
        <v>120000000</v>
      </c>
      <c r="K2236" s="2" t="s">
        <v>22</v>
      </c>
      <c r="L2236" s="2" t="s">
        <v>5</v>
      </c>
      <c r="M2236" s="4" t="s">
        <v>67</v>
      </c>
      <c r="N2236" s="3" t="s">
        <v>80</v>
      </c>
      <c r="O2236" s="2" t="s">
        <v>14</v>
      </c>
      <c r="P2236" s="10"/>
      <c r="Q2236" s="11"/>
    </row>
    <row r="2237" spans="2:17" ht="21" customHeight="1" x14ac:dyDescent="0.35">
      <c r="B2237" s="18">
        <v>44092</v>
      </c>
      <c r="C2237" s="18" t="str">
        <f>TEXT(Sales[[#This Row],[Kode Program/Kegiatan ]],"D")</f>
        <v>18</v>
      </c>
      <c r="D2237" s="19" t="str">
        <f>TEXT(Sales[[#This Row],[Kode Program/Kegiatan ]],"mmm")</f>
        <v>Sep</v>
      </c>
      <c r="E2237" s="20">
        <v>3</v>
      </c>
      <c r="F2237" s="19">
        <v>3</v>
      </c>
      <c r="G2237" s="20" t="str">
        <f>IF(Sales[[#This Row],[Anggaran Murni]]-Sales[[#This Row],[Target s.d. Januari]]=0,"",Sales[[#This Row],[Anggaran Murni]]-Sales[[#This Row],[Target s.d. Januari]])</f>
        <v/>
      </c>
      <c r="H2237" s="19" t="s">
        <v>75</v>
      </c>
      <c r="I2237" s="20" t="s">
        <v>6</v>
      </c>
      <c r="J2237" s="20">
        <v>80000000</v>
      </c>
      <c r="K2237" s="19" t="s">
        <v>56</v>
      </c>
      <c r="L2237" s="19" t="s">
        <v>5</v>
      </c>
      <c r="M2237" s="21" t="s">
        <v>67</v>
      </c>
      <c r="N2237" s="20" t="s">
        <v>81</v>
      </c>
      <c r="O2237" s="19" t="s">
        <v>11</v>
      </c>
      <c r="P2237" s="10"/>
      <c r="Q2237" s="11"/>
    </row>
    <row r="2238" spans="2:17" ht="21" customHeight="1" x14ac:dyDescent="0.35">
      <c r="B2238" s="1">
        <v>44093</v>
      </c>
      <c r="C2238" s="1" t="str">
        <f>TEXT(Sales[[#This Row],[Kode Program/Kegiatan ]],"D")</f>
        <v>19</v>
      </c>
      <c r="D2238" s="2" t="str">
        <f>TEXT(Sales[[#This Row],[Kode Program/Kegiatan ]],"mmm")</f>
        <v>Sep</v>
      </c>
      <c r="E2238" s="3">
        <v>7</v>
      </c>
      <c r="F2238" s="2">
        <v>7</v>
      </c>
      <c r="G2238" s="3" t="str">
        <f>IF(Sales[[#This Row],[Anggaran Murni]]-Sales[[#This Row],[Target s.d. Januari]]=0,"",Sales[[#This Row],[Anggaran Murni]]-Sales[[#This Row],[Target s.d. Januari]])</f>
        <v/>
      </c>
      <c r="H2238" s="2" t="s">
        <v>76</v>
      </c>
      <c r="I2238" s="3" t="s">
        <v>79</v>
      </c>
      <c r="J2238" s="3">
        <v>80000000</v>
      </c>
      <c r="K2238" s="2" t="s">
        <v>28</v>
      </c>
      <c r="L2238" s="2" t="s">
        <v>2</v>
      </c>
      <c r="M2238" s="4" t="s">
        <v>67</v>
      </c>
      <c r="N2238" s="3" t="s">
        <v>80</v>
      </c>
      <c r="O2238" s="2" t="s">
        <v>13</v>
      </c>
      <c r="P2238" s="10"/>
      <c r="Q2238" s="11"/>
    </row>
    <row r="2239" spans="2:17" ht="21" customHeight="1" x14ac:dyDescent="0.35">
      <c r="B2239" s="18">
        <v>44093</v>
      </c>
      <c r="C2239" s="18" t="str">
        <f>TEXT(Sales[[#This Row],[Kode Program/Kegiatan ]],"D")</f>
        <v>19</v>
      </c>
      <c r="D2239" s="19" t="str">
        <f>TEXT(Sales[[#This Row],[Kode Program/Kegiatan ]],"mmm")</f>
        <v>Sep</v>
      </c>
      <c r="E2239" s="20">
        <v>6</v>
      </c>
      <c r="F2239" s="19">
        <v>6</v>
      </c>
      <c r="G2239" s="20" t="str">
        <f>IF(Sales[[#This Row],[Anggaran Murni]]-Sales[[#This Row],[Target s.d. Januari]]=0,"",Sales[[#This Row],[Anggaran Murni]]-Sales[[#This Row],[Target s.d. Januari]])</f>
        <v/>
      </c>
      <c r="H2239" s="19" t="s">
        <v>76</v>
      </c>
      <c r="I2239" s="20" t="s">
        <v>79</v>
      </c>
      <c r="J2239" s="20">
        <v>80000000</v>
      </c>
      <c r="K2239" s="19" t="s">
        <v>48</v>
      </c>
      <c r="L2239" s="19" t="s">
        <v>2</v>
      </c>
      <c r="M2239" s="21" t="s">
        <v>67</v>
      </c>
      <c r="N2239" s="20" t="s">
        <v>81</v>
      </c>
      <c r="O2239" s="19" t="s">
        <v>11</v>
      </c>
      <c r="P2239" s="10"/>
      <c r="Q2239" s="11"/>
    </row>
    <row r="2240" spans="2:17" ht="21" customHeight="1" x14ac:dyDescent="0.35">
      <c r="B2240" s="1">
        <v>44093</v>
      </c>
      <c r="C2240" s="1" t="str">
        <f>TEXT(Sales[[#This Row],[Kode Program/Kegiatan ]],"D")</f>
        <v>19</v>
      </c>
      <c r="D2240" s="2" t="str">
        <f>TEXT(Sales[[#This Row],[Kode Program/Kegiatan ]],"mmm")</f>
        <v>Sep</v>
      </c>
      <c r="E2240" s="3">
        <v>6</v>
      </c>
      <c r="F2240" s="2">
        <v>6</v>
      </c>
      <c r="G2240" s="3" t="str">
        <f>IF(Sales[[#This Row],[Anggaran Murni]]-Sales[[#This Row],[Target s.d. Januari]]=0,"",Sales[[#This Row],[Anggaran Murni]]-Sales[[#This Row],[Target s.d. Januari]])</f>
        <v/>
      </c>
      <c r="H2240" s="2" t="s">
        <v>73</v>
      </c>
      <c r="I2240" s="3" t="s">
        <v>78</v>
      </c>
      <c r="J2240" s="3">
        <v>100000000</v>
      </c>
      <c r="K2240" s="2" t="s">
        <v>52</v>
      </c>
      <c r="L2240" s="2" t="s">
        <v>2</v>
      </c>
      <c r="M2240" s="4" t="s">
        <v>67</v>
      </c>
      <c r="N2240" s="3" t="s">
        <v>80</v>
      </c>
      <c r="O2240" s="2" t="s">
        <v>11</v>
      </c>
      <c r="P2240" s="10"/>
      <c r="Q2240" s="11"/>
    </row>
    <row r="2241" spans="2:17" ht="21" customHeight="1" x14ac:dyDescent="0.35">
      <c r="B2241" s="18">
        <v>44093</v>
      </c>
      <c r="C2241" s="18" t="str">
        <f>TEXT(Sales[[#This Row],[Kode Program/Kegiatan ]],"D")</f>
        <v>19</v>
      </c>
      <c r="D2241" s="19" t="str">
        <f>TEXT(Sales[[#This Row],[Kode Program/Kegiatan ]],"mmm")</f>
        <v>Sep</v>
      </c>
      <c r="E2241" s="20">
        <v>5</v>
      </c>
      <c r="F2241" s="19">
        <v>5</v>
      </c>
      <c r="G2241" s="20" t="str">
        <f>IF(Sales[[#This Row],[Anggaran Murni]]-Sales[[#This Row],[Target s.d. Januari]]=0,"",Sales[[#This Row],[Anggaran Murni]]-Sales[[#This Row],[Target s.d. Januari]])</f>
        <v/>
      </c>
      <c r="H2241" s="19" t="s">
        <v>76</v>
      </c>
      <c r="I2241" s="20" t="s">
        <v>79</v>
      </c>
      <c r="J2241" s="20">
        <v>140000000</v>
      </c>
      <c r="K2241" s="19" t="s">
        <v>42</v>
      </c>
      <c r="L2241" s="19" t="s">
        <v>9</v>
      </c>
      <c r="M2241" s="21" t="s">
        <v>67</v>
      </c>
      <c r="N2241" s="20" t="s">
        <v>82</v>
      </c>
      <c r="O2241" s="19" t="s">
        <v>13</v>
      </c>
      <c r="P2241" s="10"/>
      <c r="Q2241" s="11"/>
    </row>
    <row r="2242" spans="2:17" ht="21" customHeight="1" x14ac:dyDescent="0.35">
      <c r="B2242" s="1">
        <v>44093</v>
      </c>
      <c r="C2242" s="1" t="str">
        <f>TEXT(Sales[[#This Row],[Kode Program/Kegiatan ]],"D")</f>
        <v>19</v>
      </c>
      <c r="D2242" s="2" t="str">
        <f>TEXT(Sales[[#This Row],[Kode Program/Kegiatan ]],"mmm")</f>
        <v>Sep</v>
      </c>
      <c r="E2242" s="3">
        <v>4</v>
      </c>
      <c r="F2242" s="2">
        <v>4</v>
      </c>
      <c r="G2242" s="3" t="str">
        <f>IF(Sales[[#This Row],[Anggaran Murni]]-Sales[[#This Row],[Target s.d. Januari]]=0,"",Sales[[#This Row],[Anggaran Murni]]-Sales[[#This Row],[Target s.d. Januari]])</f>
        <v/>
      </c>
      <c r="H2242" s="2" t="s">
        <v>76</v>
      </c>
      <c r="I2242" s="3" t="s">
        <v>79</v>
      </c>
      <c r="J2242" s="3">
        <v>100000000</v>
      </c>
      <c r="K2242" s="2" t="s">
        <v>18</v>
      </c>
      <c r="L2242" s="2" t="s">
        <v>2</v>
      </c>
      <c r="M2242" s="4" t="s">
        <v>67</v>
      </c>
      <c r="N2242" s="3" t="s">
        <v>81</v>
      </c>
      <c r="O2242" s="2" t="s">
        <v>12</v>
      </c>
      <c r="P2242" s="10"/>
      <c r="Q2242" s="11"/>
    </row>
    <row r="2243" spans="2:17" ht="21" customHeight="1" x14ac:dyDescent="0.35">
      <c r="B2243" s="18">
        <v>44093</v>
      </c>
      <c r="C2243" s="18" t="str">
        <f>TEXT(Sales[[#This Row],[Kode Program/Kegiatan ]],"D")</f>
        <v>19</v>
      </c>
      <c r="D2243" s="19" t="str">
        <f>TEXT(Sales[[#This Row],[Kode Program/Kegiatan ]],"mmm")</f>
        <v>Sep</v>
      </c>
      <c r="E2243" s="20">
        <v>4</v>
      </c>
      <c r="F2243" s="19">
        <v>4</v>
      </c>
      <c r="G2243" s="20" t="str">
        <f>IF(Sales[[#This Row],[Anggaran Murni]]-Sales[[#This Row],[Target s.d. Januari]]=0,"",Sales[[#This Row],[Anggaran Murni]]-Sales[[#This Row],[Target s.d. Januari]])</f>
        <v/>
      </c>
      <c r="H2243" s="19" t="s">
        <v>71</v>
      </c>
      <c r="I2243" s="20" t="s">
        <v>6</v>
      </c>
      <c r="J2243" s="20">
        <v>140000000</v>
      </c>
      <c r="K2243" s="19" t="s">
        <v>58</v>
      </c>
      <c r="L2243" s="19" t="s">
        <v>5</v>
      </c>
      <c r="M2243" s="21" t="s">
        <v>67</v>
      </c>
      <c r="N2243" s="20" t="s">
        <v>82</v>
      </c>
      <c r="O2243" s="19" t="s">
        <v>14</v>
      </c>
      <c r="P2243" s="10"/>
      <c r="Q2243" s="11"/>
    </row>
    <row r="2244" spans="2:17" ht="21" customHeight="1" x14ac:dyDescent="0.35">
      <c r="B2244" s="1">
        <v>44093</v>
      </c>
      <c r="C2244" s="1" t="str">
        <f>TEXT(Sales[[#This Row],[Kode Program/Kegiatan ]],"D")</f>
        <v>19</v>
      </c>
      <c r="D2244" s="2" t="str">
        <f>TEXT(Sales[[#This Row],[Kode Program/Kegiatan ]],"mmm")</f>
        <v>Sep</v>
      </c>
      <c r="E2244" s="3">
        <v>4</v>
      </c>
      <c r="F2244" s="2">
        <v>4</v>
      </c>
      <c r="G2244" s="3" t="str">
        <f>IF(Sales[[#This Row],[Anggaran Murni]]-Sales[[#This Row],[Target s.d. Januari]]=0,"",Sales[[#This Row],[Anggaran Murni]]-Sales[[#This Row],[Target s.d. Januari]])</f>
        <v/>
      </c>
      <c r="H2244" s="2" t="s">
        <v>71</v>
      </c>
      <c r="I2244" s="3" t="s">
        <v>6</v>
      </c>
      <c r="J2244" s="3">
        <v>80000000</v>
      </c>
      <c r="K2244" s="2" t="s">
        <v>37</v>
      </c>
      <c r="L2244" s="2" t="s">
        <v>9</v>
      </c>
      <c r="M2244" s="4" t="s">
        <v>67</v>
      </c>
      <c r="N2244" s="3" t="s">
        <v>81</v>
      </c>
      <c r="O2244" s="2" t="s">
        <v>13</v>
      </c>
      <c r="P2244" s="10"/>
      <c r="Q2244" s="11"/>
    </row>
    <row r="2245" spans="2:17" ht="21" customHeight="1" x14ac:dyDescent="0.35">
      <c r="B2245" s="18">
        <v>44093</v>
      </c>
      <c r="C2245" s="18" t="str">
        <f>TEXT(Sales[[#This Row],[Kode Program/Kegiatan ]],"D")</f>
        <v>19</v>
      </c>
      <c r="D2245" s="19" t="str">
        <f>TEXT(Sales[[#This Row],[Kode Program/Kegiatan ]],"mmm")</f>
        <v>Sep</v>
      </c>
      <c r="E2245" s="20">
        <v>3</v>
      </c>
      <c r="F2245" s="19">
        <v>3</v>
      </c>
      <c r="G2245" s="20" t="str">
        <f>IF(Sales[[#This Row],[Anggaran Murni]]-Sales[[#This Row],[Target s.d. Januari]]=0,"",Sales[[#This Row],[Anggaran Murni]]-Sales[[#This Row],[Target s.d. Januari]])</f>
        <v/>
      </c>
      <c r="H2245" s="19" t="s">
        <v>72</v>
      </c>
      <c r="I2245" s="20" t="s">
        <v>78</v>
      </c>
      <c r="J2245" s="20">
        <v>140000000</v>
      </c>
      <c r="K2245" s="19" t="s">
        <v>15</v>
      </c>
      <c r="L2245" s="19" t="s">
        <v>5</v>
      </c>
      <c r="M2245" s="21" t="s">
        <v>67</v>
      </c>
      <c r="N2245" s="20" t="s">
        <v>81</v>
      </c>
      <c r="O2245" s="19" t="s">
        <v>14</v>
      </c>
      <c r="P2245" s="10"/>
      <c r="Q2245" s="11"/>
    </row>
    <row r="2246" spans="2:17" ht="21" customHeight="1" x14ac:dyDescent="0.35">
      <c r="B2246" s="1">
        <v>44094</v>
      </c>
      <c r="C2246" s="1" t="str">
        <f>TEXT(Sales[[#This Row],[Kode Program/Kegiatan ]],"D")</f>
        <v>20</v>
      </c>
      <c r="D2246" s="2" t="str">
        <f>TEXT(Sales[[#This Row],[Kode Program/Kegiatan ]],"mmm")</f>
        <v>Sep</v>
      </c>
      <c r="E2246" s="3">
        <v>8</v>
      </c>
      <c r="F2246" s="2">
        <v>8</v>
      </c>
      <c r="G2246" s="3" t="str">
        <f>IF(Sales[[#This Row],[Anggaran Murni]]-Sales[[#This Row],[Target s.d. Januari]]=0,"",Sales[[#This Row],[Anggaran Murni]]-Sales[[#This Row],[Target s.d. Januari]])</f>
        <v/>
      </c>
      <c r="H2246" s="2" t="s">
        <v>72</v>
      </c>
      <c r="I2246" s="3" t="s">
        <v>78</v>
      </c>
      <c r="J2246" s="3">
        <v>120000000</v>
      </c>
      <c r="K2246" s="2" t="s">
        <v>16</v>
      </c>
      <c r="L2246" s="2" t="s">
        <v>5</v>
      </c>
      <c r="M2246" s="4" t="s">
        <v>67</v>
      </c>
      <c r="N2246" s="3" t="s">
        <v>82</v>
      </c>
      <c r="O2246" s="2" t="s">
        <v>11</v>
      </c>
      <c r="P2246" s="10"/>
      <c r="Q2246" s="11"/>
    </row>
    <row r="2247" spans="2:17" ht="21" customHeight="1" x14ac:dyDescent="0.35">
      <c r="B2247" s="18">
        <v>44094</v>
      </c>
      <c r="C2247" s="18" t="str">
        <f>TEXT(Sales[[#This Row],[Kode Program/Kegiatan ]],"D")</f>
        <v>20</v>
      </c>
      <c r="D2247" s="19" t="str">
        <f>TEXT(Sales[[#This Row],[Kode Program/Kegiatan ]],"mmm")</f>
        <v>Sep</v>
      </c>
      <c r="E2247" s="20">
        <v>7</v>
      </c>
      <c r="F2247" s="19">
        <v>7</v>
      </c>
      <c r="G2247" s="20" t="str">
        <f>IF(Sales[[#This Row],[Anggaran Murni]]-Sales[[#This Row],[Target s.d. Januari]]=0,"",Sales[[#This Row],[Anggaran Murni]]-Sales[[#This Row],[Target s.d. Januari]])</f>
        <v/>
      </c>
      <c r="H2247" s="19" t="s">
        <v>114</v>
      </c>
      <c r="I2247" s="20" t="s">
        <v>3</v>
      </c>
      <c r="J2247" s="20">
        <v>140000000</v>
      </c>
      <c r="K2247" s="19" t="s">
        <v>32</v>
      </c>
      <c r="L2247" s="19" t="s">
        <v>2</v>
      </c>
      <c r="M2247" s="21" t="s">
        <v>67</v>
      </c>
      <c r="N2247" s="20" t="s">
        <v>80</v>
      </c>
      <c r="O2247" s="19" t="s">
        <v>11</v>
      </c>
      <c r="P2247" s="10"/>
      <c r="Q2247" s="11"/>
    </row>
    <row r="2248" spans="2:17" ht="21" customHeight="1" x14ac:dyDescent="0.35">
      <c r="B2248" s="1">
        <v>44094</v>
      </c>
      <c r="C2248" s="1" t="str">
        <f>TEXT(Sales[[#This Row],[Kode Program/Kegiatan ]],"D")</f>
        <v>20</v>
      </c>
      <c r="D2248" s="2" t="str">
        <f>TEXT(Sales[[#This Row],[Kode Program/Kegiatan ]],"mmm")</f>
        <v>Sep</v>
      </c>
      <c r="E2248" s="3">
        <v>6</v>
      </c>
      <c r="F2248" s="2">
        <v>6</v>
      </c>
      <c r="G2248" s="3" t="str">
        <f>IF(Sales[[#This Row],[Anggaran Murni]]-Sales[[#This Row],[Target s.d. Januari]]=0,"",Sales[[#This Row],[Anggaran Murni]]-Sales[[#This Row],[Target s.d. Januari]])</f>
        <v/>
      </c>
      <c r="H2248" s="2" t="s">
        <v>113</v>
      </c>
      <c r="I2248" s="3" t="s">
        <v>77</v>
      </c>
      <c r="J2248" s="3">
        <v>120000000</v>
      </c>
      <c r="K2248" s="2" t="s">
        <v>16</v>
      </c>
      <c r="L2248" s="2" t="s">
        <v>2</v>
      </c>
      <c r="M2248" s="4" t="s">
        <v>67</v>
      </c>
      <c r="N2248" s="3" t="s">
        <v>81</v>
      </c>
      <c r="O2248" s="2" t="s">
        <v>14</v>
      </c>
      <c r="P2248" s="10"/>
      <c r="Q2248" s="11"/>
    </row>
    <row r="2249" spans="2:17" ht="21" customHeight="1" x14ac:dyDescent="0.35">
      <c r="B2249" s="18">
        <v>44094</v>
      </c>
      <c r="C2249" s="18" t="str">
        <f>TEXT(Sales[[#This Row],[Kode Program/Kegiatan ]],"D")</f>
        <v>20</v>
      </c>
      <c r="D2249" s="19" t="str">
        <f>TEXT(Sales[[#This Row],[Kode Program/Kegiatan ]],"mmm")</f>
        <v>Sep</v>
      </c>
      <c r="E2249" s="20">
        <v>6</v>
      </c>
      <c r="F2249" s="19">
        <v>6</v>
      </c>
      <c r="G2249" s="20" t="str">
        <f>IF(Sales[[#This Row],[Anggaran Murni]]-Sales[[#This Row],[Target s.d. Januari]]=0,"",Sales[[#This Row],[Anggaran Murni]]-Sales[[#This Row],[Target s.d. Januari]])</f>
        <v/>
      </c>
      <c r="H2249" s="19" t="s">
        <v>76</v>
      </c>
      <c r="I2249" s="20" t="s">
        <v>79</v>
      </c>
      <c r="J2249" s="20">
        <v>140000000</v>
      </c>
      <c r="K2249" s="19" t="s">
        <v>63</v>
      </c>
      <c r="L2249" s="19" t="s">
        <v>2</v>
      </c>
      <c r="M2249" s="21" t="s">
        <v>67</v>
      </c>
      <c r="N2249" s="20" t="s">
        <v>80</v>
      </c>
      <c r="O2249" s="19" t="s">
        <v>13</v>
      </c>
      <c r="P2249" s="10"/>
      <c r="Q2249" s="11"/>
    </row>
    <row r="2250" spans="2:17" ht="21" customHeight="1" x14ac:dyDescent="0.35">
      <c r="B2250" s="1">
        <v>44094</v>
      </c>
      <c r="C2250" s="1" t="str">
        <f>TEXT(Sales[[#This Row],[Kode Program/Kegiatan ]],"D")</f>
        <v>20</v>
      </c>
      <c r="D2250" s="2" t="str">
        <f>TEXT(Sales[[#This Row],[Kode Program/Kegiatan ]],"mmm")</f>
        <v>Sep</v>
      </c>
      <c r="E2250" s="3">
        <v>6</v>
      </c>
      <c r="F2250" s="2">
        <v>6</v>
      </c>
      <c r="G2250" s="3" t="str">
        <f>IF(Sales[[#This Row],[Anggaran Murni]]-Sales[[#This Row],[Target s.d. Januari]]=0,"",Sales[[#This Row],[Anggaran Murni]]-Sales[[#This Row],[Target s.d. Januari]])</f>
        <v/>
      </c>
      <c r="H2250" s="2" t="s">
        <v>114</v>
      </c>
      <c r="I2250" s="3" t="s">
        <v>3</v>
      </c>
      <c r="J2250" s="3">
        <v>120000000</v>
      </c>
      <c r="K2250" s="2" t="s">
        <v>34</v>
      </c>
      <c r="L2250" s="2" t="s">
        <v>5</v>
      </c>
      <c r="M2250" s="4" t="s">
        <v>67</v>
      </c>
      <c r="N2250" s="3" t="s">
        <v>82</v>
      </c>
      <c r="O2250" s="2" t="s">
        <v>12</v>
      </c>
      <c r="P2250" s="10"/>
      <c r="Q2250" s="11"/>
    </row>
    <row r="2251" spans="2:17" ht="21" customHeight="1" x14ac:dyDescent="0.35">
      <c r="B2251" s="18">
        <v>44094</v>
      </c>
      <c r="C2251" s="18" t="str">
        <f>TEXT(Sales[[#This Row],[Kode Program/Kegiatan ]],"D")</f>
        <v>20</v>
      </c>
      <c r="D2251" s="19" t="str">
        <f>TEXT(Sales[[#This Row],[Kode Program/Kegiatan ]],"mmm")</f>
        <v>Sep</v>
      </c>
      <c r="E2251" s="20">
        <v>5</v>
      </c>
      <c r="F2251" s="19">
        <v>5</v>
      </c>
      <c r="G2251" s="20" t="str">
        <f>IF(Sales[[#This Row],[Anggaran Murni]]-Sales[[#This Row],[Target s.d. Januari]]=0,"",Sales[[#This Row],[Anggaran Murni]]-Sales[[#This Row],[Target s.d. Januari]])</f>
        <v/>
      </c>
      <c r="H2251" s="19" t="s">
        <v>73</v>
      </c>
      <c r="I2251" s="20" t="s">
        <v>78</v>
      </c>
      <c r="J2251" s="20">
        <v>100000000</v>
      </c>
      <c r="K2251" s="19" t="s">
        <v>38</v>
      </c>
      <c r="L2251" s="19" t="s">
        <v>5</v>
      </c>
      <c r="M2251" s="21" t="s">
        <v>67</v>
      </c>
      <c r="N2251" s="20" t="s">
        <v>81</v>
      </c>
      <c r="O2251" s="19" t="s">
        <v>12</v>
      </c>
      <c r="P2251" s="10"/>
      <c r="Q2251" s="11"/>
    </row>
    <row r="2252" spans="2:17" ht="21" customHeight="1" x14ac:dyDescent="0.35">
      <c r="B2252" s="1">
        <v>44094</v>
      </c>
      <c r="C2252" s="1" t="str">
        <f>TEXT(Sales[[#This Row],[Kode Program/Kegiatan ]],"D")</f>
        <v>20</v>
      </c>
      <c r="D2252" s="2" t="str">
        <f>TEXT(Sales[[#This Row],[Kode Program/Kegiatan ]],"mmm")</f>
        <v>Sep</v>
      </c>
      <c r="E2252" s="3">
        <v>5</v>
      </c>
      <c r="F2252" s="2">
        <v>5</v>
      </c>
      <c r="G2252" s="3" t="str">
        <f>IF(Sales[[#This Row],[Anggaran Murni]]-Sales[[#This Row],[Target s.d. Januari]]=0,"",Sales[[#This Row],[Anggaran Murni]]-Sales[[#This Row],[Target s.d. Januari]])</f>
        <v/>
      </c>
      <c r="H2252" s="2" t="s">
        <v>72</v>
      </c>
      <c r="I2252" s="3" t="s">
        <v>78</v>
      </c>
      <c r="J2252" s="3">
        <v>60000000</v>
      </c>
      <c r="K2252" s="2" t="s">
        <v>30</v>
      </c>
      <c r="L2252" s="2" t="s">
        <v>5</v>
      </c>
      <c r="M2252" s="4" t="s">
        <v>67</v>
      </c>
      <c r="N2252" s="3" t="s">
        <v>80</v>
      </c>
      <c r="O2252" s="2" t="s">
        <v>11</v>
      </c>
      <c r="P2252" s="10"/>
      <c r="Q2252" s="11"/>
    </row>
    <row r="2253" spans="2:17" ht="21" customHeight="1" x14ac:dyDescent="0.35">
      <c r="B2253" s="18">
        <v>44094</v>
      </c>
      <c r="C2253" s="18" t="str">
        <f>TEXT(Sales[[#This Row],[Kode Program/Kegiatan ]],"D")</f>
        <v>20</v>
      </c>
      <c r="D2253" s="19" t="str">
        <f>TEXT(Sales[[#This Row],[Kode Program/Kegiatan ]],"mmm")</f>
        <v>Sep</v>
      </c>
      <c r="E2253" s="20">
        <v>4</v>
      </c>
      <c r="F2253" s="19">
        <v>4</v>
      </c>
      <c r="G2253" s="20" t="str">
        <f>IF(Sales[[#This Row],[Anggaran Murni]]-Sales[[#This Row],[Target s.d. Januari]]=0,"",Sales[[#This Row],[Anggaran Murni]]-Sales[[#This Row],[Target s.d. Januari]])</f>
        <v/>
      </c>
      <c r="H2253" s="19" t="s">
        <v>75</v>
      </c>
      <c r="I2253" s="20" t="s">
        <v>6</v>
      </c>
      <c r="J2253" s="20">
        <v>140000000</v>
      </c>
      <c r="K2253" s="19" t="s">
        <v>15</v>
      </c>
      <c r="L2253" s="19" t="s">
        <v>5</v>
      </c>
      <c r="M2253" s="21" t="s">
        <v>67</v>
      </c>
      <c r="N2253" s="20" t="s">
        <v>82</v>
      </c>
      <c r="O2253" s="19" t="s">
        <v>14</v>
      </c>
      <c r="P2253" s="10"/>
      <c r="Q2253" s="11"/>
    </row>
    <row r="2254" spans="2:17" ht="21" customHeight="1" x14ac:dyDescent="0.35">
      <c r="B2254" s="1">
        <v>44094</v>
      </c>
      <c r="C2254" s="1" t="str">
        <f>TEXT(Sales[[#This Row],[Kode Program/Kegiatan ]],"D")</f>
        <v>20</v>
      </c>
      <c r="D2254" s="2" t="str">
        <f>TEXT(Sales[[#This Row],[Kode Program/Kegiatan ]],"mmm")</f>
        <v>Sep</v>
      </c>
      <c r="E2254" s="3">
        <v>3</v>
      </c>
      <c r="F2254" s="2">
        <v>3</v>
      </c>
      <c r="G2254" s="3" t="str">
        <f>IF(Sales[[#This Row],[Anggaran Murni]]-Sales[[#This Row],[Target s.d. Januari]]=0,"",Sales[[#This Row],[Anggaran Murni]]-Sales[[#This Row],[Target s.d. Januari]])</f>
        <v/>
      </c>
      <c r="H2254" s="2" t="s">
        <v>71</v>
      </c>
      <c r="I2254" s="3" t="s">
        <v>6</v>
      </c>
      <c r="J2254" s="3">
        <v>60000000</v>
      </c>
      <c r="K2254" s="2" t="s">
        <v>28</v>
      </c>
      <c r="L2254" s="2" t="s">
        <v>8</v>
      </c>
      <c r="M2254" s="4" t="s">
        <v>67</v>
      </c>
      <c r="N2254" s="3" t="s">
        <v>81</v>
      </c>
      <c r="O2254" s="2" t="s">
        <v>12</v>
      </c>
      <c r="P2254" s="10"/>
      <c r="Q2254" s="11"/>
    </row>
    <row r="2255" spans="2:17" ht="21" customHeight="1" x14ac:dyDescent="0.35">
      <c r="B2255" s="18">
        <v>44094</v>
      </c>
      <c r="C2255" s="18" t="str">
        <f>TEXT(Sales[[#This Row],[Kode Program/Kegiatan ]],"D")</f>
        <v>20</v>
      </c>
      <c r="D2255" s="19" t="str">
        <f>TEXT(Sales[[#This Row],[Kode Program/Kegiatan ]],"mmm")</f>
        <v>Sep</v>
      </c>
      <c r="E2255" s="20">
        <v>3</v>
      </c>
      <c r="F2255" s="19">
        <v>3</v>
      </c>
      <c r="G2255" s="20" t="str">
        <f>IF(Sales[[#This Row],[Anggaran Murni]]-Sales[[#This Row],[Target s.d. Januari]]=0,"",Sales[[#This Row],[Anggaran Murni]]-Sales[[#This Row],[Target s.d. Januari]])</f>
        <v/>
      </c>
      <c r="H2255" s="19" t="s">
        <v>75</v>
      </c>
      <c r="I2255" s="20" t="s">
        <v>6</v>
      </c>
      <c r="J2255" s="20">
        <v>40000000</v>
      </c>
      <c r="K2255" s="19" t="s">
        <v>35</v>
      </c>
      <c r="L2255" s="19" t="s">
        <v>2</v>
      </c>
      <c r="M2255" s="21" t="s">
        <v>67</v>
      </c>
      <c r="N2255" s="20" t="s">
        <v>80</v>
      </c>
      <c r="O2255" s="19" t="s">
        <v>14</v>
      </c>
      <c r="P2255" s="10"/>
      <c r="Q2255" s="11"/>
    </row>
    <row r="2256" spans="2:17" ht="21" customHeight="1" x14ac:dyDescent="0.35">
      <c r="B2256" s="1">
        <v>44094</v>
      </c>
      <c r="C2256" s="1" t="str">
        <f>TEXT(Sales[[#This Row],[Kode Program/Kegiatan ]],"D")</f>
        <v>20</v>
      </c>
      <c r="D2256" s="2" t="str">
        <f>TEXT(Sales[[#This Row],[Kode Program/Kegiatan ]],"mmm")</f>
        <v>Sep</v>
      </c>
      <c r="E2256" s="3">
        <v>3</v>
      </c>
      <c r="F2256" s="2">
        <v>3</v>
      </c>
      <c r="G2256" s="3" t="str">
        <f>IF(Sales[[#This Row],[Anggaran Murni]]-Sales[[#This Row],[Target s.d. Januari]]=0,"",Sales[[#This Row],[Anggaran Murni]]-Sales[[#This Row],[Target s.d. Januari]])</f>
        <v/>
      </c>
      <c r="H2256" s="2" t="s">
        <v>75</v>
      </c>
      <c r="I2256" s="3" t="s">
        <v>6</v>
      </c>
      <c r="J2256" s="3">
        <v>100000000</v>
      </c>
      <c r="K2256" s="2" t="s">
        <v>57</v>
      </c>
      <c r="L2256" s="2" t="s">
        <v>2</v>
      </c>
      <c r="M2256" s="4" t="s">
        <v>67</v>
      </c>
      <c r="N2256" s="3" t="s">
        <v>80</v>
      </c>
      <c r="O2256" s="2" t="s">
        <v>14</v>
      </c>
      <c r="P2256" s="10"/>
      <c r="Q2256" s="11"/>
    </row>
    <row r="2257" spans="2:17" ht="21" customHeight="1" x14ac:dyDescent="0.35">
      <c r="B2257" s="18">
        <v>44095</v>
      </c>
      <c r="C2257" s="18" t="str">
        <f>TEXT(Sales[[#This Row],[Kode Program/Kegiatan ]],"D")</f>
        <v>21</v>
      </c>
      <c r="D2257" s="19" t="str">
        <f>TEXT(Sales[[#This Row],[Kode Program/Kegiatan ]],"mmm")</f>
        <v>Sep</v>
      </c>
      <c r="E2257" s="20">
        <v>10</v>
      </c>
      <c r="F2257" s="19">
        <v>10</v>
      </c>
      <c r="G2257" s="20" t="str">
        <f>IF(Sales[[#This Row],[Anggaran Murni]]-Sales[[#This Row],[Target s.d. Januari]]=0,"",Sales[[#This Row],[Anggaran Murni]]-Sales[[#This Row],[Target s.d. Januari]])</f>
        <v/>
      </c>
      <c r="H2257" s="19" t="s">
        <v>113</v>
      </c>
      <c r="I2257" s="20" t="s">
        <v>77</v>
      </c>
      <c r="J2257" s="20">
        <v>100000000</v>
      </c>
      <c r="K2257" s="19" t="s">
        <v>37</v>
      </c>
      <c r="L2257" s="19" t="s">
        <v>5</v>
      </c>
      <c r="M2257" s="21" t="s">
        <v>67</v>
      </c>
      <c r="N2257" s="20" t="s">
        <v>80</v>
      </c>
      <c r="O2257" s="19" t="s">
        <v>13</v>
      </c>
      <c r="P2257" s="10"/>
      <c r="Q2257" s="11"/>
    </row>
    <row r="2258" spans="2:17" ht="21" customHeight="1" x14ac:dyDescent="0.35">
      <c r="B2258" s="1">
        <v>44095</v>
      </c>
      <c r="C2258" s="1" t="str">
        <f>TEXT(Sales[[#This Row],[Kode Program/Kegiatan ]],"D")</f>
        <v>21</v>
      </c>
      <c r="D2258" s="2" t="str">
        <f>TEXT(Sales[[#This Row],[Kode Program/Kegiatan ]],"mmm")</f>
        <v>Sep</v>
      </c>
      <c r="E2258" s="3">
        <v>10</v>
      </c>
      <c r="F2258" s="2">
        <v>10</v>
      </c>
      <c r="G2258" s="3" t="str">
        <f>IF(Sales[[#This Row],[Anggaran Murni]]-Sales[[#This Row],[Target s.d. Januari]]=0,"",Sales[[#This Row],[Anggaran Murni]]-Sales[[#This Row],[Target s.d. Januari]])</f>
        <v/>
      </c>
      <c r="H2258" s="2" t="s">
        <v>72</v>
      </c>
      <c r="I2258" s="3" t="s">
        <v>78</v>
      </c>
      <c r="J2258" s="3">
        <v>120000000</v>
      </c>
      <c r="K2258" s="2" t="s">
        <v>29</v>
      </c>
      <c r="L2258" s="2" t="s">
        <v>5</v>
      </c>
      <c r="M2258" s="4" t="s">
        <v>67</v>
      </c>
      <c r="N2258" s="3" t="s">
        <v>82</v>
      </c>
      <c r="O2258" s="2" t="s">
        <v>14</v>
      </c>
      <c r="P2258" s="10"/>
      <c r="Q2258" s="11"/>
    </row>
    <row r="2259" spans="2:17" ht="21" customHeight="1" x14ac:dyDescent="0.35">
      <c r="B2259" s="18">
        <v>44095</v>
      </c>
      <c r="C2259" s="18" t="str">
        <f>TEXT(Sales[[#This Row],[Kode Program/Kegiatan ]],"D")</f>
        <v>21</v>
      </c>
      <c r="D2259" s="19" t="str">
        <f>TEXT(Sales[[#This Row],[Kode Program/Kegiatan ]],"mmm")</f>
        <v>Sep</v>
      </c>
      <c r="E2259" s="20">
        <v>9</v>
      </c>
      <c r="F2259" s="19">
        <v>9</v>
      </c>
      <c r="G2259" s="20" t="str">
        <f>IF(Sales[[#This Row],[Anggaran Murni]]-Sales[[#This Row],[Target s.d. Januari]]=0,"",Sales[[#This Row],[Anggaran Murni]]-Sales[[#This Row],[Target s.d. Januari]])</f>
        <v/>
      </c>
      <c r="H2259" s="19" t="s">
        <v>71</v>
      </c>
      <c r="I2259" s="20" t="s">
        <v>6</v>
      </c>
      <c r="J2259" s="20">
        <v>60000000</v>
      </c>
      <c r="K2259" s="19" t="s">
        <v>41</v>
      </c>
      <c r="L2259" s="19" t="s">
        <v>7</v>
      </c>
      <c r="M2259" s="21" t="s">
        <v>67</v>
      </c>
      <c r="N2259" s="20" t="s">
        <v>82</v>
      </c>
      <c r="O2259" s="19" t="s">
        <v>14</v>
      </c>
      <c r="P2259" s="10"/>
      <c r="Q2259" s="11"/>
    </row>
    <row r="2260" spans="2:17" ht="21" customHeight="1" x14ac:dyDescent="0.35">
      <c r="B2260" s="1">
        <v>44095</v>
      </c>
      <c r="C2260" s="1" t="str">
        <f>TEXT(Sales[[#This Row],[Kode Program/Kegiatan ]],"D")</f>
        <v>21</v>
      </c>
      <c r="D2260" s="2" t="str">
        <f>TEXT(Sales[[#This Row],[Kode Program/Kegiatan ]],"mmm")</f>
        <v>Sep</v>
      </c>
      <c r="E2260" s="3">
        <v>7</v>
      </c>
      <c r="F2260" s="2">
        <v>7</v>
      </c>
      <c r="G2260" s="3" t="str">
        <f>IF(Sales[[#This Row],[Anggaran Murni]]-Sales[[#This Row],[Target s.d. Januari]]=0,"",Sales[[#This Row],[Anggaran Murni]]-Sales[[#This Row],[Target s.d. Januari]])</f>
        <v/>
      </c>
      <c r="H2260" s="2" t="s">
        <v>70</v>
      </c>
      <c r="I2260" s="3" t="s">
        <v>1</v>
      </c>
      <c r="J2260" s="3">
        <v>40000000</v>
      </c>
      <c r="K2260" s="2" t="s">
        <v>40</v>
      </c>
      <c r="L2260" s="2" t="s">
        <v>2</v>
      </c>
      <c r="M2260" s="4" t="s">
        <v>67</v>
      </c>
      <c r="N2260" s="3" t="s">
        <v>81</v>
      </c>
      <c r="O2260" s="2" t="s">
        <v>11</v>
      </c>
      <c r="P2260" s="10"/>
      <c r="Q2260" s="11"/>
    </row>
    <row r="2261" spans="2:17" ht="21" customHeight="1" x14ac:dyDescent="0.35">
      <c r="B2261" s="18">
        <v>44095</v>
      </c>
      <c r="C2261" s="18" t="str">
        <f>TEXT(Sales[[#This Row],[Kode Program/Kegiatan ]],"D")</f>
        <v>21</v>
      </c>
      <c r="D2261" s="19" t="str">
        <f>TEXT(Sales[[#This Row],[Kode Program/Kegiatan ]],"mmm")</f>
        <v>Sep</v>
      </c>
      <c r="E2261" s="20">
        <v>7</v>
      </c>
      <c r="F2261" s="19">
        <v>7</v>
      </c>
      <c r="G2261" s="20" t="str">
        <f>IF(Sales[[#This Row],[Anggaran Murni]]-Sales[[#This Row],[Target s.d. Januari]]=0,"",Sales[[#This Row],[Anggaran Murni]]-Sales[[#This Row],[Target s.d. Januari]])</f>
        <v/>
      </c>
      <c r="H2261" s="19" t="s">
        <v>74</v>
      </c>
      <c r="I2261" s="20" t="s">
        <v>77</v>
      </c>
      <c r="J2261" s="20">
        <v>140000000</v>
      </c>
      <c r="K2261" s="19" t="s">
        <v>61</v>
      </c>
      <c r="L2261" s="19" t="s">
        <v>2</v>
      </c>
      <c r="M2261" s="21" t="s">
        <v>67</v>
      </c>
      <c r="N2261" s="20" t="s">
        <v>82</v>
      </c>
      <c r="O2261" s="19" t="s">
        <v>13</v>
      </c>
      <c r="P2261" s="10"/>
      <c r="Q2261" s="11"/>
    </row>
    <row r="2262" spans="2:17" ht="21" customHeight="1" x14ac:dyDescent="0.35">
      <c r="B2262" s="1">
        <v>44095</v>
      </c>
      <c r="C2262" s="1" t="str">
        <f>TEXT(Sales[[#This Row],[Kode Program/Kegiatan ]],"D")</f>
        <v>21</v>
      </c>
      <c r="D2262" s="2" t="str">
        <f>TEXT(Sales[[#This Row],[Kode Program/Kegiatan ]],"mmm")</f>
        <v>Sep</v>
      </c>
      <c r="E2262" s="3">
        <v>6</v>
      </c>
      <c r="F2262" s="2">
        <v>6</v>
      </c>
      <c r="G2262" s="3" t="str">
        <f>IF(Sales[[#This Row],[Anggaran Murni]]-Sales[[#This Row],[Target s.d. Januari]]=0,"",Sales[[#This Row],[Anggaran Murni]]-Sales[[#This Row],[Target s.d. Januari]])</f>
        <v/>
      </c>
      <c r="H2262" s="2" t="s">
        <v>72</v>
      </c>
      <c r="I2262" s="3" t="s">
        <v>78</v>
      </c>
      <c r="J2262" s="3">
        <v>120000000</v>
      </c>
      <c r="K2262" s="2" t="s">
        <v>62</v>
      </c>
      <c r="L2262" s="2" t="s">
        <v>2</v>
      </c>
      <c r="M2262" s="4" t="s">
        <v>67</v>
      </c>
      <c r="N2262" s="3" t="s">
        <v>81</v>
      </c>
      <c r="O2262" s="2" t="s">
        <v>13</v>
      </c>
      <c r="P2262" s="10"/>
      <c r="Q2262" s="11"/>
    </row>
    <row r="2263" spans="2:17" ht="21" customHeight="1" x14ac:dyDescent="0.35">
      <c r="B2263" s="18">
        <v>44095</v>
      </c>
      <c r="C2263" s="18" t="str">
        <f>TEXT(Sales[[#This Row],[Kode Program/Kegiatan ]],"D")</f>
        <v>21</v>
      </c>
      <c r="D2263" s="19" t="str">
        <f>TEXT(Sales[[#This Row],[Kode Program/Kegiatan ]],"mmm")</f>
        <v>Sep</v>
      </c>
      <c r="E2263" s="20">
        <v>6</v>
      </c>
      <c r="F2263" s="19">
        <v>6</v>
      </c>
      <c r="G2263" s="20" t="str">
        <f>IF(Sales[[#This Row],[Anggaran Murni]]-Sales[[#This Row],[Target s.d. Januari]]=0,"",Sales[[#This Row],[Anggaran Murni]]-Sales[[#This Row],[Target s.d. Januari]])</f>
        <v/>
      </c>
      <c r="H2263" s="19" t="s">
        <v>76</v>
      </c>
      <c r="I2263" s="20" t="s">
        <v>79</v>
      </c>
      <c r="J2263" s="20">
        <v>140000000</v>
      </c>
      <c r="K2263" s="19" t="s">
        <v>47</v>
      </c>
      <c r="L2263" s="19" t="s">
        <v>5</v>
      </c>
      <c r="M2263" s="21" t="s">
        <v>67</v>
      </c>
      <c r="N2263" s="20" t="s">
        <v>81</v>
      </c>
      <c r="O2263" s="19" t="s">
        <v>11</v>
      </c>
      <c r="P2263" s="10"/>
      <c r="Q2263" s="11"/>
    </row>
    <row r="2264" spans="2:17" ht="21" customHeight="1" x14ac:dyDescent="0.35">
      <c r="B2264" s="1">
        <v>44095</v>
      </c>
      <c r="C2264" s="1" t="str">
        <f>TEXT(Sales[[#This Row],[Kode Program/Kegiatan ]],"D")</f>
        <v>21</v>
      </c>
      <c r="D2264" s="2" t="str">
        <f>TEXT(Sales[[#This Row],[Kode Program/Kegiatan ]],"mmm")</f>
        <v>Sep</v>
      </c>
      <c r="E2264" s="3">
        <v>5</v>
      </c>
      <c r="F2264" s="2">
        <v>5</v>
      </c>
      <c r="G2264" s="3" t="str">
        <f>IF(Sales[[#This Row],[Anggaran Murni]]-Sales[[#This Row],[Target s.d. Januari]]=0,"",Sales[[#This Row],[Anggaran Murni]]-Sales[[#This Row],[Target s.d. Januari]])</f>
        <v/>
      </c>
      <c r="H2264" s="2" t="s">
        <v>71</v>
      </c>
      <c r="I2264" s="3" t="s">
        <v>6</v>
      </c>
      <c r="J2264" s="3">
        <v>140000000</v>
      </c>
      <c r="K2264" s="2" t="s">
        <v>25</v>
      </c>
      <c r="L2264" s="2" t="s">
        <v>9</v>
      </c>
      <c r="M2264" s="4" t="s">
        <v>67</v>
      </c>
      <c r="N2264" s="3" t="s">
        <v>80</v>
      </c>
      <c r="O2264" s="2" t="s">
        <v>11</v>
      </c>
      <c r="P2264" s="10"/>
      <c r="Q2264" s="11"/>
    </row>
    <row r="2265" spans="2:17" ht="21" customHeight="1" x14ac:dyDescent="0.35">
      <c r="B2265" s="18">
        <v>44095</v>
      </c>
      <c r="C2265" s="18" t="str">
        <f>TEXT(Sales[[#This Row],[Kode Program/Kegiatan ]],"D")</f>
        <v>21</v>
      </c>
      <c r="D2265" s="19" t="str">
        <f>TEXT(Sales[[#This Row],[Kode Program/Kegiatan ]],"mmm")</f>
        <v>Sep</v>
      </c>
      <c r="E2265" s="20">
        <v>5</v>
      </c>
      <c r="F2265" s="19">
        <v>5</v>
      </c>
      <c r="G2265" s="20" t="str">
        <f>IF(Sales[[#This Row],[Anggaran Murni]]-Sales[[#This Row],[Target s.d. Januari]]=0,"",Sales[[#This Row],[Anggaran Murni]]-Sales[[#This Row],[Target s.d. Januari]])</f>
        <v/>
      </c>
      <c r="H2265" s="19" t="s">
        <v>114</v>
      </c>
      <c r="I2265" s="20" t="s">
        <v>3</v>
      </c>
      <c r="J2265" s="20">
        <v>120000000</v>
      </c>
      <c r="K2265" s="19" t="s">
        <v>44</v>
      </c>
      <c r="L2265" s="19" t="s">
        <v>2</v>
      </c>
      <c r="M2265" s="21" t="s">
        <v>67</v>
      </c>
      <c r="N2265" s="20" t="s">
        <v>82</v>
      </c>
      <c r="O2265" s="19" t="s">
        <v>12</v>
      </c>
      <c r="P2265" s="10"/>
      <c r="Q2265" s="11"/>
    </row>
    <row r="2266" spans="2:17" ht="21" customHeight="1" x14ac:dyDescent="0.35">
      <c r="B2266" s="1">
        <v>44095</v>
      </c>
      <c r="C2266" s="1" t="str">
        <f>TEXT(Sales[[#This Row],[Kode Program/Kegiatan ]],"D")</f>
        <v>21</v>
      </c>
      <c r="D2266" s="2" t="str">
        <f>TEXT(Sales[[#This Row],[Kode Program/Kegiatan ]],"mmm")</f>
        <v>Sep</v>
      </c>
      <c r="E2266" s="3">
        <v>5</v>
      </c>
      <c r="F2266" s="2">
        <v>5</v>
      </c>
      <c r="G2266" s="3" t="str">
        <f>IF(Sales[[#This Row],[Anggaran Murni]]-Sales[[#This Row],[Target s.d. Januari]]=0,"",Sales[[#This Row],[Anggaran Murni]]-Sales[[#This Row],[Target s.d. Januari]])</f>
        <v/>
      </c>
      <c r="H2266" s="2" t="s">
        <v>74</v>
      </c>
      <c r="I2266" s="3" t="s">
        <v>77</v>
      </c>
      <c r="J2266" s="3">
        <v>140000000</v>
      </c>
      <c r="K2266" s="2" t="s">
        <v>40</v>
      </c>
      <c r="L2266" s="2" t="s">
        <v>8</v>
      </c>
      <c r="M2266" s="4" t="s">
        <v>67</v>
      </c>
      <c r="N2266" s="3" t="s">
        <v>81</v>
      </c>
      <c r="O2266" s="2" t="s">
        <v>13</v>
      </c>
      <c r="P2266" s="10"/>
      <c r="Q2266" s="11"/>
    </row>
    <row r="2267" spans="2:17" ht="21" customHeight="1" x14ac:dyDescent="0.35">
      <c r="B2267" s="18">
        <v>44095</v>
      </c>
      <c r="C2267" s="18" t="str">
        <f>TEXT(Sales[[#This Row],[Kode Program/Kegiatan ]],"D")</f>
        <v>21</v>
      </c>
      <c r="D2267" s="19" t="str">
        <f>TEXT(Sales[[#This Row],[Kode Program/Kegiatan ]],"mmm")</f>
        <v>Sep</v>
      </c>
      <c r="E2267" s="20">
        <v>4</v>
      </c>
      <c r="F2267" s="19">
        <v>4</v>
      </c>
      <c r="G2267" s="20" t="str">
        <f>IF(Sales[[#This Row],[Anggaran Murni]]-Sales[[#This Row],[Target s.d. Januari]]=0,"",Sales[[#This Row],[Anggaran Murni]]-Sales[[#This Row],[Target s.d. Januari]])</f>
        <v/>
      </c>
      <c r="H2267" s="19" t="s">
        <v>75</v>
      </c>
      <c r="I2267" s="20" t="s">
        <v>6</v>
      </c>
      <c r="J2267" s="20">
        <v>120000000</v>
      </c>
      <c r="K2267" s="19" t="s">
        <v>27</v>
      </c>
      <c r="L2267" s="19" t="s">
        <v>2</v>
      </c>
      <c r="M2267" s="21" t="s">
        <v>67</v>
      </c>
      <c r="N2267" s="20" t="s">
        <v>80</v>
      </c>
      <c r="O2267" s="19" t="s">
        <v>14</v>
      </c>
      <c r="P2267" s="10"/>
      <c r="Q2267" s="11"/>
    </row>
    <row r="2268" spans="2:17" ht="21" customHeight="1" x14ac:dyDescent="0.35">
      <c r="B2268" s="1">
        <v>44095</v>
      </c>
      <c r="C2268" s="1" t="str">
        <f>TEXT(Sales[[#This Row],[Kode Program/Kegiatan ]],"D")</f>
        <v>21</v>
      </c>
      <c r="D2268" s="2" t="str">
        <f>TEXT(Sales[[#This Row],[Kode Program/Kegiatan ]],"mmm")</f>
        <v>Sep</v>
      </c>
      <c r="E2268" s="3">
        <v>4</v>
      </c>
      <c r="F2268" s="2">
        <v>4</v>
      </c>
      <c r="G2268" s="3" t="str">
        <f>IF(Sales[[#This Row],[Anggaran Murni]]-Sales[[#This Row],[Target s.d. Januari]]=0,"",Sales[[#This Row],[Anggaran Murni]]-Sales[[#This Row],[Target s.d. Januari]])</f>
        <v/>
      </c>
      <c r="H2268" s="2" t="s">
        <v>72</v>
      </c>
      <c r="I2268" s="3" t="s">
        <v>78</v>
      </c>
      <c r="J2268" s="3">
        <v>60000000</v>
      </c>
      <c r="K2268" s="2" t="s">
        <v>34</v>
      </c>
      <c r="L2268" s="2" t="s">
        <v>2</v>
      </c>
      <c r="M2268" s="4" t="s">
        <v>67</v>
      </c>
      <c r="N2268" s="3" t="s">
        <v>81</v>
      </c>
      <c r="O2268" s="2" t="s">
        <v>12</v>
      </c>
      <c r="P2268" s="10"/>
      <c r="Q2268" s="11"/>
    </row>
    <row r="2269" spans="2:17" ht="21" customHeight="1" x14ac:dyDescent="0.35">
      <c r="B2269" s="18">
        <v>44095</v>
      </c>
      <c r="C2269" s="18" t="str">
        <f>TEXT(Sales[[#This Row],[Kode Program/Kegiatan ]],"D")</f>
        <v>21</v>
      </c>
      <c r="D2269" s="19" t="str">
        <f>TEXT(Sales[[#This Row],[Kode Program/Kegiatan ]],"mmm")</f>
        <v>Sep</v>
      </c>
      <c r="E2269" s="20">
        <v>4</v>
      </c>
      <c r="F2269" s="19">
        <v>4</v>
      </c>
      <c r="G2269" s="20" t="str">
        <f>IF(Sales[[#This Row],[Anggaran Murni]]-Sales[[#This Row],[Target s.d. Januari]]=0,"",Sales[[#This Row],[Anggaran Murni]]-Sales[[#This Row],[Target s.d. Januari]])</f>
        <v/>
      </c>
      <c r="H2269" s="19" t="s">
        <v>114</v>
      </c>
      <c r="I2269" s="20" t="s">
        <v>3</v>
      </c>
      <c r="J2269" s="20">
        <v>120000000</v>
      </c>
      <c r="K2269" s="19" t="s">
        <v>21</v>
      </c>
      <c r="L2269" s="19" t="s">
        <v>5</v>
      </c>
      <c r="M2269" s="21" t="s">
        <v>67</v>
      </c>
      <c r="N2269" s="20" t="s">
        <v>82</v>
      </c>
      <c r="O2269" s="19" t="s">
        <v>14</v>
      </c>
      <c r="P2269" s="10"/>
      <c r="Q2269" s="11"/>
    </row>
    <row r="2270" spans="2:17" ht="21" customHeight="1" x14ac:dyDescent="0.35">
      <c r="B2270" s="1">
        <v>44095</v>
      </c>
      <c r="C2270" s="1" t="str">
        <f>TEXT(Sales[[#This Row],[Kode Program/Kegiatan ]],"D")</f>
        <v>21</v>
      </c>
      <c r="D2270" s="2" t="str">
        <f>TEXT(Sales[[#This Row],[Kode Program/Kegiatan ]],"mmm")</f>
        <v>Sep</v>
      </c>
      <c r="E2270" s="3">
        <v>4</v>
      </c>
      <c r="F2270" s="2">
        <v>4</v>
      </c>
      <c r="G2270" s="3" t="str">
        <f>IF(Sales[[#This Row],[Anggaran Murni]]-Sales[[#This Row],[Target s.d. Januari]]=0,"",Sales[[#This Row],[Anggaran Murni]]-Sales[[#This Row],[Target s.d. Januari]])</f>
        <v/>
      </c>
      <c r="H2270" s="2" t="s">
        <v>114</v>
      </c>
      <c r="I2270" s="3" t="s">
        <v>3</v>
      </c>
      <c r="J2270" s="3">
        <v>140000000</v>
      </c>
      <c r="K2270" s="2" t="s">
        <v>61</v>
      </c>
      <c r="L2270" s="2" t="s">
        <v>2</v>
      </c>
      <c r="M2270" s="4" t="s">
        <v>67</v>
      </c>
      <c r="N2270" s="3" t="s">
        <v>82</v>
      </c>
      <c r="O2270" s="2" t="s">
        <v>11</v>
      </c>
      <c r="P2270" s="10"/>
      <c r="Q2270" s="11"/>
    </row>
    <row r="2271" spans="2:17" ht="21" customHeight="1" x14ac:dyDescent="0.35">
      <c r="B2271" s="18">
        <v>44095</v>
      </c>
      <c r="C2271" s="18" t="str">
        <f>TEXT(Sales[[#This Row],[Kode Program/Kegiatan ]],"D")</f>
        <v>21</v>
      </c>
      <c r="D2271" s="19" t="str">
        <f>TEXT(Sales[[#This Row],[Kode Program/Kegiatan ]],"mmm")</f>
        <v>Sep</v>
      </c>
      <c r="E2271" s="20">
        <v>3</v>
      </c>
      <c r="F2271" s="19">
        <v>3</v>
      </c>
      <c r="G2271" s="20" t="str">
        <f>IF(Sales[[#This Row],[Anggaran Murni]]-Sales[[#This Row],[Target s.d. Januari]]=0,"",Sales[[#This Row],[Anggaran Murni]]-Sales[[#This Row],[Target s.d. Januari]])</f>
        <v/>
      </c>
      <c r="H2271" s="19" t="s">
        <v>75</v>
      </c>
      <c r="I2271" s="20" t="s">
        <v>6</v>
      </c>
      <c r="J2271" s="20">
        <v>60000000</v>
      </c>
      <c r="K2271" s="19" t="s">
        <v>50</v>
      </c>
      <c r="L2271" s="19" t="s">
        <v>5</v>
      </c>
      <c r="M2271" s="21" t="s">
        <v>67</v>
      </c>
      <c r="N2271" s="20" t="s">
        <v>82</v>
      </c>
      <c r="O2271" s="19" t="s">
        <v>12</v>
      </c>
      <c r="P2271" s="10"/>
      <c r="Q2271" s="11"/>
    </row>
    <row r="2272" spans="2:17" ht="21" customHeight="1" x14ac:dyDescent="0.35">
      <c r="B2272" s="1">
        <v>44095</v>
      </c>
      <c r="C2272" s="1" t="str">
        <f>TEXT(Sales[[#This Row],[Kode Program/Kegiatan ]],"D")</f>
        <v>21</v>
      </c>
      <c r="D2272" s="2" t="str">
        <f>TEXT(Sales[[#This Row],[Kode Program/Kegiatan ]],"mmm")</f>
        <v>Sep</v>
      </c>
      <c r="E2272" s="3">
        <v>3</v>
      </c>
      <c r="F2272" s="2">
        <v>3</v>
      </c>
      <c r="G2272" s="3" t="str">
        <f>IF(Sales[[#This Row],[Anggaran Murni]]-Sales[[#This Row],[Target s.d. Januari]]=0,"",Sales[[#This Row],[Anggaran Murni]]-Sales[[#This Row],[Target s.d. Januari]])</f>
        <v/>
      </c>
      <c r="H2272" s="2" t="s">
        <v>74</v>
      </c>
      <c r="I2272" s="3" t="s">
        <v>77</v>
      </c>
      <c r="J2272" s="3">
        <v>120000000</v>
      </c>
      <c r="K2272" s="2" t="s">
        <v>29</v>
      </c>
      <c r="L2272" s="2" t="s">
        <v>5</v>
      </c>
      <c r="M2272" s="4" t="s">
        <v>67</v>
      </c>
      <c r="N2272" s="3" t="s">
        <v>80</v>
      </c>
      <c r="O2272" s="2" t="s">
        <v>14</v>
      </c>
      <c r="P2272" s="10"/>
      <c r="Q2272" s="11"/>
    </row>
    <row r="2273" spans="2:17" ht="21" customHeight="1" x14ac:dyDescent="0.35">
      <c r="B2273" s="18">
        <v>44096</v>
      </c>
      <c r="C2273" s="18" t="str">
        <f>TEXT(Sales[[#This Row],[Kode Program/Kegiatan ]],"D")</f>
        <v>22</v>
      </c>
      <c r="D2273" s="19" t="str">
        <f>TEXT(Sales[[#This Row],[Kode Program/Kegiatan ]],"mmm")</f>
        <v>Sep</v>
      </c>
      <c r="E2273" s="20">
        <v>9</v>
      </c>
      <c r="F2273" s="19">
        <v>8</v>
      </c>
      <c r="G2273" s="20">
        <f>IF(Sales[[#This Row],[Anggaran Murni]]-Sales[[#This Row],[Target s.d. Januari]]=0,"",Sales[[#This Row],[Anggaran Murni]]-Sales[[#This Row],[Target s.d. Januari]])</f>
        <v>1</v>
      </c>
      <c r="H2273" s="19" t="s">
        <v>73</v>
      </c>
      <c r="I2273" s="20" t="s">
        <v>78</v>
      </c>
      <c r="J2273" s="20">
        <v>60000000</v>
      </c>
      <c r="K2273" s="19" t="s">
        <v>36</v>
      </c>
      <c r="L2273" s="19" t="s">
        <v>2</v>
      </c>
      <c r="M2273" s="21" t="s">
        <v>67</v>
      </c>
      <c r="N2273" s="20" t="s">
        <v>80</v>
      </c>
      <c r="O2273" s="19" t="s">
        <v>11</v>
      </c>
      <c r="P2273" s="10"/>
      <c r="Q2273" s="11"/>
    </row>
    <row r="2274" spans="2:17" ht="21" customHeight="1" x14ac:dyDescent="0.35">
      <c r="B2274" s="1">
        <v>44096</v>
      </c>
      <c r="C2274" s="1" t="str">
        <f>TEXT(Sales[[#This Row],[Kode Program/Kegiatan ]],"D")</f>
        <v>22</v>
      </c>
      <c r="D2274" s="2" t="str">
        <f>TEXT(Sales[[#This Row],[Kode Program/Kegiatan ]],"mmm")</f>
        <v>Sep</v>
      </c>
      <c r="E2274" s="3">
        <v>8</v>
      </c>
      <c r="F2274" s="2">
        <v>4</v>
      </c>
      <c r="G2274" s="3">
        <f>IF(Sales[[#This Row],[Anggaran Murni]]-Sales[[#This Row],[Target s.d. Januari]]=0,"",Sales[[#This Row],[Anggaran Murni]]-Sales[[#This Row],[Target s.d. Januari]])</f>
        <v>4</v>
      </c>
      <c r="H2274" s="2" t="s">
        <v>113</v>
      </c>
      <c r="I2274" s="3" t="s">
        <v>77</v>
      </c>
      <c r="J2274" s="3">
        <v>80000000</v>
      </c>
      <c r="K2274" s="2" t="s">
        <v>25</v>
      </c>
      <c r="L2274" s="2" t="s">
        <v>8</v>
      </c>
      <c r="M2274" s="4" t="s">
        <v>67</v>
      </c>
      <c r="N2274" s="3" t="s">
        <v>80</v>
      </c>
      <c r="O2274" s="2" t="s">
        <v>13</v>
      </c>
      <c r="P2274" s="10"/>
      <c r="Q2274" s="11"/>
    </row>
    <row r="2275" spans="2:17" ht="21" customHeight="1" x14ac:dyDescent="0.35">
      <c r="B2275" s="18">
        <v>44096</v>
      </c>
      <c r="C2275" s="18" t="str">
        <f>TEXT(Sales[[#This Row],[Kode Program/Kegiatan ]],"D")</f>
        <v>22</v>
      </c>
      <c r="D2275" s="19" t="str">
        <f>TEXT(Sales[[#This Row],[Kode Program/Kegiatan ]],"mmm")</f>
        <v>Sep</v>
      </c>
      <c r="E2275" s="20">
        <v>8</v>
      </c>
      <c r="F2275" s="19">
        <v>5</v>
      </c>
      <c r="G2275" s="20">
        <f>IF(Sales[[#This Row],[Anggaran Murni]]-Sales[[#This Row],[Target s.d. Januari]]=0,"",Sales[[#This Row],[Anggaran Murni]]-Sales[[#This Row],[Target s.d. Januari]])</f>
        <v>3</v>
      </c>
      <c r="H2275" s="19" t="s">
        <v>74</v>
      </c>
      <c r="I2275" s="20" t="s">
        <v>77</v>
      </c>
      <c r="J2275" s="20">
        <v>140000000</v>
      </c>
      <c r="K2275" s="19" t="s">
        <v>29</v>
      </c>
      <c r="L2275" s="19" t="s">
        <v>2</v>
      </c>
      <c r="M2275" s="21" t="s">
        <v>67</v>
      </c>
      <c r="N2275" s="20" t="s">
        <v>82</v>
      </c>
      <c r="O2275" s="19" t="s">
        <v>13</v>
      </c>
      <c r="P2275" s="10"/>
      <c r="Q2275" s="11"/>
    </row>
    <row r="2276" spans="2:17" ht="21" customHeight="1" x14ac:dyDescent="0.35">
      <c r="B2276" s="1">
        <v>44096</v>
      </c>
      <c r="C2276" s="1" t="str">
        <f>TEXT(Sales[[#This Row],[Kode Program/Kegiatan ]],"D")</f>
        <v>22</v>
      </c>
      <c r="D2276" s="2" t="str">
        <f>TEXT(Sales[[#This Row],[Kode Program/Kegiatan ]],"mmm")</f>
        <v>Sep</v>
      </c>
      <c r="E2276" s="3">
        <v>8</v>
      </c>
      <c r="F2276" s="2">
        <v>6</v>
      </c>
      <c r="G2276" s="3">
        <f>IF(Sales[[#This Row],[Anggaran Murni]]-Sales[[#This Row],[Target s.d. Januari]]=0,"",Sales[[#This Row],[Anggaran Murni]]-Sales[[#This Row],[Target s.d. Januari]])</f>
        <v>2</v>
      </c>
      <c r="H2276" s="2" t="s">
        <v>72</v>
      </c>
      <c r="I2276" s="3" t="s">
        <v>78</v>
      </c>
      <c r="J2276" s="3">
        <v>120000000</v>
      </c>
      <c r="K2276" s="2" t="s">
        <v>63</v>
      </c>
      <c r="L2276" s="2" t="s">
        <v>2</v>
      </c>
      <c r="M2276" s="4" t="s">
        <v>67</v>
      </c>
      <c r="N2276" s="3" t="s">
        <v>80</v>
      </c>
      <c r="O2276" s="2" t="s">
        <v>11</v>
      </c>
      <c r="P2276" s="10"/>
      <c r="Q2276" s="11"/>
    </row>
    <row r="2277" spans="2:17" ht="21" customHeight="1" x14ac:dyDescent="0.35">
      <c r="B2277" s="18">
        <v>44096</v>
      </c>
      <c r="C2277" s="18" t="str">
        <f>TEXT(Sales[[#This Row],[Kode Program/Kegiatan ]],"D")</f>
        <v>22</v>
      </c>
      <c r="D2277" s="19" t="str">
        <f>TEXT(Sales[[#This Row],[Kode Program/Kegiatan ]],"mmm")</f>
        <v>Sep</v>
      </c>
      <c r="E2277" s="20">
        <v>7</v>
      </c>
      <c r="F2277" s="19">
        <v>6</v>
      </c>
      <c r="G2277" s="20">
        <f>IF(Sales[[#This Row],[Anggaran Murni]]-Sales[[#This Row],[Target s.d. Januari]]=0,"",Sales[[#This Row],[Anggaran Murni]]-Sales[[#This Row],[Target s.d. Januari]])</f>
        <v>1</v>
      </c>
      <c r="H2277" s="19" t="s">
        <v>114</v>
      </c>
      <c r="I2277" s="20" t="s">
        <v>3</v>
      </c>
      <c r="J2277" s="20">
        <v>140000000</v>
      </c>
      <c r="K2277" s="19" t="s">
        <v>39</v>
      </c>
      <c r="L2277" s="19" t="s">
        <v>4</v>
      </c>
      <c r="M2277" s="21" t="s">
        <v>67</v>
      </c>
      <c r="N2277" s="20" t="s">
        <v>81</v>
      </c>
      <c r="O2277" s="19" t="s">
        <v>12</v>
      </c>
      <c r="P2277" s="10"/>
      <c r="Q2277" s="11"/>
    </row>
    <row r="2278" spans="2:17" ht="21" customHeight="1" x14ac:dyDescent="0.35">
      <c r="B2278" s="1">
        <v>44096</v>
      </c>
      <c r="C2278" s="1" t="str">
        <f>TEXT(Sales[[#This Row],[Kode Program/Kegiatan ]],"D")</f>
        <v>22</v>
      </c>
      <c r="D2278" s="2" t="str">
        <f>TEXT(Sales[[#This Row],[Kode Program/Kegiatan ]],"mmm")</f>
        <v>Sep</v>
      </c>
      <c r="E2278" s="3">
        <v>7</v>
      </c>
      <c r="F2278" s="2">
        <v>4</v>
      </c>
      <c r="G2278" s="3">
        <f>IF(Sales[[#This Row],[Anggaran Murni]]-Sales[[#This Row],[Target s.d. Januari]]=0,"",Sales[[#This Row],[Anggaran Murni]]-Sales[[#This Row],[Target s.d. Januari]])</f>
        <v>3</v>
      </c>
      <c r="H2278" s="2" t="s">
        <v>76</v>
      </c>
      <c r="I2278" s="3" t="s">
        <v>79</v>
      </c>
      <c r="J2278" s="3">
        <v>60000000</v>
      </c>
      <c r="K2278" s="2" t="s">
        <v>22</v>
      </c>
      <c r="L2278" s="2" t="s">
        <v>2</v>
      </c>
      <c r="M2278" s="4" t="s">
        <v>67</v>
      </c>
      <c r="N2278" s="3" t="s">
        <v>82</v>
      </c>
      <c r="O2278" s="2" t="s">
        <v>13</v>
      </c>
      <c r="P2278" s="10"/>
      <c r="Q2278" s="11"/>
    </row>
    <row r="2279" spans="2:17" ht="21" customHeight="1" x14ac:dyDescent="0.35">
      <c r="B2279" s="18">
        <v>44096</v>
      </c>
      <c r="C2279" s="18" t="str">
        <f>TEXT(Sales[[#This Row],[Kode Program/Kegiatan ]],"D")</f>
        <v>22</v>
      </c>
      <c r="D2279" s="19" t="str">
        <f>TEXT(Sales[[#This Row],[Kode Program/Kegiatan ]],"mmm")</f>
        <v>Sep</v>
      </c>
      <c r="E2279" s="20">
        <v>5</v>
      </c>
      <c r="F2279" s="19">
        <v>3</v>
      </c>
      <c r="G2279" s="20">
        <f>IF(Sales[[#This Row],[Anggaran Murni]]-Sales[[#This Row],[Target s.d. Januari]]=0,"",Sales[[#This Row],[Anggaran Murni]]-Sales[[#This Row],[Target s.d. Januari]])</f>
        <v>2</v>
      </c>
      <c r="H2279" s="19" t="s">
        <v>114</v>
      </c>
      <c r="I2279" s="20" t="s">
        <v>3</v>
      </c>
      <c r="J2279" s="20">
        <v>100000000</v>
      </c>
      <c r="K2279" s="19" t="s">
        <v>15</v>
      </c>
      <c r="L2279" s="19" t="s">
        <v>5</v>
      </c>
      <c r="M2279" s="21" t="s">
        <v>67</v>
      </c>
      <c r="N2279" s="20" t="s">
        <v>82</v>
      </c>
      <c r="O2279" s="19" t="s">
        <v>11</v>
      </c>
      <c r="P2279" s="10"/>
      <c r="Q2279" s="11"/>
    </row>
    <row r="2280" spans="2:17" ht="21" customHeight="1" x14ac:dyDescent="0.35">
      <c r="B2280" s="1">
        <v>44096</v>
      </c>
      <c r="C2280" s="1" t="str">
        <f>TEXT(Sales[[#This Row],[Kode Program/Kegiatan ]],"D")</f>
        <v>22</v>
      </c>
      <c r="D2280" s="2" t="str">
        <f>TEXT(Sales[[#This Row],[Kode Program/Kegiatan ]],"mmm")</f>
        <v>Sep</v>
      </c>
      <c r="E2280" s="3">
        <v>4</v>
      </c>
      <c r="F2280" s="2">
        <v>2</v>
      </c>
      <c r="G2280" s="3">
        <f>IF(Sales[[#This Row],[Anggaran Murni]]-Sales[[#This Row],[Target s.d. Januari]]=0,"",Sales[[#This Row],[Anggaran Murni]]-Sales[[#This Row],[Target s.d. Januari]])</f>
        <v>2</v>
      </c>
      <c r="H2280" s="2" t="s">
        <v>114</v>
      </c>
      <c r="I2280" s="3" t="s">
        <v>3</v>
      </c>
      <c r="J2280" s="3">
        <v>100000000</v>
      </c>
      <c r="K2280" s="2" t="s">
        <v>54</v>
      </c>
      <c r="L2280" s="2" t="s">
        <v>5</v>
      </c>
      <c r="M2280" s="4" t="s">
        <v>67</v>
      </c>
      <c r="N2280" s="3" t="s">
        <v>80</v>
      </c>
      <c r="O2280" s="2" t="s">
        <v>13</v>
      </c>
      <c r="P2280" s="10"/>
      <c r="Q2280" s="11"/>
    </row>
    <row r="2281" spans="2:17" ht="21" customHeight="1" x14ac:dyDescent="0.35">
      <c r="B2281" s="18">
        <v>44096</v>
      </c>
      <c r="C2281" s="18" t="str">
        <f>TEXT(Sales[[#This Row],[Kode Program/Kegiatan ]],"D")</f>
        <v>22</v>
      </c>
      <c r="D2281" s="19" t="str">
        <f>TEXT(Sales[[#This Row],[Kode Program/Kegiatan ]],"mmm")</f>
        <v>Sep</v>
      </c>
      <c r="E2281" s="20">
        <v>4</v>
      </c>
      <c r="F2281" s="19">
        <v>3</v>
      </c>
      <c r="G2281" s="20">
        <f>IF(Sales[[#This Row],[Anggaran Murni]]-Sales[[#This Row],[Target s.d. Januari]]=0,"",Sales[[#This Row],[Anggaran Murni]]-Sales[[#This Row],[Target s.d. Januari]])</f>
        <v>1</v>
      </c>
      <c r="H2281" s="19" t="s">
        <v>114</v>
      </c>
      <c r="I2281" s="20" t="s">
        <v>3</v>
      </c>
      <c r="J2281" s="20">
        <v>100000000</v>
      </c>
      <c r="K2281" s="19" t="s">
        <v>60</v>
      </c>
      <c r="L2281" s="19" t="s">
        <v>2</v>
      </c>
      <c r="M2281" s="21" t="s">
        <v>67</v>
      </c>
      <c r="N2281" s="20" t="s">
        <v>80</v>
      </c>
      <c r="O2281" s="19" t="s">
        <v>12</v>
      </c>
      <c r="P2281" s="10"/>
      <c r="Q2281" s="11"/>
    </row>
    <row r="2282" spans="2:17" ht="21" customHeight="1" x14ac:dyDescent="0.35">
      <c r="B2282" s="1">
        <v>44096</v>
      </c>
      <c r="C2282" s="1" t="str">
        <f>TEXT(Sales[[#This Row],[Kode Program/Kegiatan ]],"D")</f>
        <v>22</v>
      </c>
      <c r="D2282" s="2" t="str">
        <f>TEXT(Sales[[#This Row],[Kode Program/Kegiatan ]],"mmm")</f>
        <v>Sep</v>
      </c>
      <c r="E2282" s="3">
        <v>4</v>
      </c>
      <c r="F2282" s="2">
        <v>2</v>
      </c>
      <c r="G2282" s="3">
        <f>IF(Sales[[#This Row],[Anggaran Murni]]-Sales[[#This Row],[Target s.d. Januari]]=0,"",Sales[[#This Row],[Anggaran Murni]]-Sales[[#This Row],[Target s.d. Januari]])</f>
        <v>2</v>
      </c>
      <c r="H2282" s="2" t="s">
        <v>72</v>
      </c>
      <c r="I2282" s="3" t="s">
        <v>78</v>
      </c>
      <c r="J2282" s="3">
        <v>40000000</v>
      </c>
      <c r="K2282" s="2" t="s">
        <v>59</v>
      </c>
      <c r="L2282" s="2" t="s">
        <v>5</v>
      </c>
      <c r="M2282" s="4" t="s">
        <v>67</v>
      </c>
      <c r="N2282" s="3" t="s">
        <v>81</v>
      </c>
      <c r="O2282" s="2" t="s">
        <v>13</v>
      </c>
      <c r="P2282" s="10"/>
      <c r="Q2282" s="11"/>
    </row>
    <row r="2283" spans="2:17" ht="21" customHeight="1" x14ac:dyDescent="0.35">
      <c r="B2283" s="18">
        <v>44096</v>
      </c>
      <c r="C2283" s="18" t="str">
        <f>TEXT(Sales[[#This Row],[Kode Program/Kegiatan ]],"D")</f>
        <v>22</v>
      </c>
      <c r="D2283" s="19" t="str">
        <f>TEXT(Sales[[#This Row],[Kode Program/Kegiatan ]],"mmm")</f>
        <v>Sep</v>
      </c>
      <c r="E2283" s="20">
        <v>3</v>
      </c>
      <c r="F2283" s="19">
        <v>2</v>
      </c>
      <c r="G2283" s="20">
        <f>IF(Sales[[#This Row],[Anggaran Murni]]-Sales[[#This Row],[Target s.d. Januari]]=0,"",Sales[[#This Row],[Anggaran Murni]]-Sales[[#This Row],[Target s.d. Januari]])</f>
        <v>1</v>
      </c>
      <c r="H2283" s="19" t="s">
        <v>71</v>
      </c>
      <c r="I2283" s="20" t="s">
        <v>6</v>
      </c>
      <c r="J2283" s="20">
        <v>40000000</v>
      </c>
      <c r="K2283" s="19" t="s">
        <v>51</v>
      </c>
      <c r="L2283" s="19" t="s">
        <v>5</v>
      </c>
      <c r="M2283" s="21" t="s">
        <v>67</v>
      </c>
      <c r="N2283" s="20" t="s">
        <v>81</v>
      </c>
      <c r="O2283" s="19" t="s">
        <v>13</v>
      </c>
      <c r="P2283" s="10"/>
      <c r="Q2283" s="11"/>
    </row>
    <row r="2284" spans="2:17" ht="21" customHeight="1" x14ac:dyDescent="0.35">
      <c r="B2284" s="1">
        <v>44097</v>
      </c>
      <c r="C2284" s="1" t="str">
        <f>TEXT(Sales[[#This Row],[Kode Program/Kegiatan ]],"D")</f>
        <v>23</v>
      </c>
      <c r="D2284" s="2" t="str">
        <f>TEXT(Sales[[#This Row],[Kode Program/Kegiatan ]],"mmm")</f>
        <v>Sep</v>
      </c>
      <c r="E2284" s="3">
        <v>10</v>
      </c>
      <c r="F2284" s="2">
        <v>9</v>
      </c>
      <c r="G2284" s="3">
        <f>IF(Sales[[#This Row],[Anggaran Murni]]-Sales[[#This Row],[Target s.d. Januari]]=0,"",Sales[[#This Row],[Anggaran Murni]]-Sales[[#This Row],[Target s.d. Januari]])</f>
        <v>1</v>
      </c>
      <c r="H2284" s="2" t="s">
        <v>74</v>
      </c>
      <c r="I2284" s="3" t="s">
        <v>77</v>
      </c>
      <c r="J2284" s="3">
        <v>120000000</v>
      </c>
      <c r="K2284" s="2" t="s">
        <v>44</v>
      </c>
      <c r="L2284" s="2" t="s">
        <v>5</v>
      </c>
      <c r="M2284" s="4" t="s">
        <v>67</v>
      </c>
      <c r="N2284" s="3" t="s">
        <v>80</v>
      </c>
      <c r="O2284" s="2" t="s">
        <v>12</v>
      </c>
      <c r="P2284" s="10"/>
      <c r="Q2284" s="11"/>
    </row>
    <row r="2285" spans="2:17" ht="21" customHeight="1" x14ac:dyDescent="0.35">
      <c r="B2285" s="18">
        <v>44097</v>
      </c>
      <c r="C2285" s="18" t="str">
        <f>TEXT(Sales[[#This Row],[Kode Program/Kegiatan ]],"D")</f>
        <v>23</v>
      </c>
      <c r="D2285" s="19" t="str">
        <f>TEXT(Sales[[#This Row],[Kode Program/Kegiatan ]],"mmm")</f>
        <v>Sep</v>
      </c>
      <c r="E2285" s="20">
        <v>10</v>
      </c>
      <c r="F2285" s="19">
        <v>6</v>
      </c>
      <c r="G2285" s="20">
        <f>IF(Sales[[#This Row],[Anggaran Murni]]-Sales[[#This Row],[Target s.d. Januari]]=0,"",Sales[[#This Row],[Anggaran Murni]]-Sales[[#This Row],[Target s.d. Januari]])</f>
        <v>4</v>
      </c>
      <c r="H2285" s="19" t="s">
        <v>70</v>
      </c>
      <c r="I2285" s="20" t="s">
        <v>1</v>
      </c>
      <c r="J2285" s="20">
        <v>60000000</v>
      </c>
      <c r="K2285" s="19" t="s">
        <v>30</v>
      </c>
      <c r="L2285" s="19" t="s">
        <v>9</v>
      </c>
      <c r="M2285" s="21" t="s">
        <v>67</v>
      </c>
      <c r="N2285" s="20" t="s">
        <v>80</v>
      </c>
      <c r="O2285" s="19" t="s">
        <v>12</v>
      </c>
      <c r="P2285" s="10"/>
      <c r="Q2285" s="11"/>
    </row>
    <row r="2286" spans="2:17" ht="21" customHeight="1" x14ac:dyDescent="0.35">
      <c r="B2286" s="1">
        <v>44097</v>
      </c>
      <c r="C2286" s="1" t="str">
        <f>TEXT(Sales[[#This Row],[Kode Program/Kegiatan ]],"D")</f>
        <v>23</v>
      </c>
      <c r="D2286" s="2" t="str">
        <f>TEXT(Sales[[#This Row],[Kode Program/Kegiatan ]],"mmm")</f>
        <v>Sep</v>
      </c>
      <c r="E2286" s="3">
        <v>8</v>
      </c>
      <c r="F2286" s="2">
        <v>5</v>
      </c>
      <c r="G2286" s="3">
        <f>IF(Sales[[#This Row],[Anggaran Murni]]-Sales[[#This Row],[Target s.d. Januari]]=0,"",Sales[[#This Row],[Anggaran Murni]]-Sales[[#This Row],[Target s.d. Januari]])</f>
        <v>3</v>
      </c>
      <c r="H2286" s="2" t="s">
        <v>72</v>
      </c>
      <c r="I2286" s="3" t="s">
        <v>78</v>
      </c>
      <c r="J2286" s="3">
        <v>80000000</v>
      </c>
      <c r="K2286" s="2" t="s">
        <v>45</v>
      </c>
      <c r="L2286" s="2" t="s">
        <v>5</v>
      </c>
      <c r="M2286" s="4" t="s">
        <v>67</v>
      </c>
      <c r="N2286" s="3" t="s">
        <v>82</v>
      </c>
      <c r="O2286" s="2" t="s">
        <v>13</v>
      </c>
      <c r="P2286" s="10"/>
      <c r="Q2286" s="11"/>
    </row>
    <row r="2287" spans="2:17" ht="21" customHeight="1" x14ac:dyDescent="0.35">
      <c r="B2287" s="18">
        <v>44097</v>
      </c>
      <c r="C2287" s="18" t="str">
        <f>TEXT(Sales[[#This Row],[Kode Program/Kegiatan ]],"D")</f>
        <v>23</v>
      </c>
      <c r="D2287" s="19" t="str">
        <f>TEXT(Sales[[#This Row],[Kode Program/Kegiatan ]],"mmm")</f>
        <v>Sep</v>
      </c>
      <c r="E2287" s="20">
        <v>5</v>
      </c>
      <c r="F2287" s="19">
        <v>3</v>
      </c>
      <c r="G2287" s="20">
        <f>IF(Sales[[#This Row],[Anggaran Murni]]-Sales[[#This Row],[Target s.d. Januari]]=0,"",Sales[[#This Row],[Anggaran Murni]]-Sales[[#This Row],[Target s.d. Januari]])</f>
        <v>2</v>
      </c>
      <c r="H2287" s="19" t="s">
        <v>71</v>
      </c>
      <c r="I2287" s="20" t="s">
        <v>6</v>
      </c>
      <c r="J2287" s="20">
        <v>120000000</v>
      </c>
      <c r="K2287" s="19" t="s">
        <v>24</v>
      </c>
      <c r="L2287" s="19" t="s">
        <v>7</v>
      </c>
      <c r="M2287" s="21" t="s">
        <v>67</v>
      </c>
      <c r="N2287" s="20" t="s">
        <v>80</v>
      </c>
      <c r="O2287" s="19" t="s">
        <v>14</v>
      </c>
      <c r="P2287" s="10"/>
      <c r="Q2287" s="11"/>
    </row>
    <row r="2288" spans="2:17" ht="21" customHeight="1" x14ac:dyDescent="0.35">
      <c r="B2288" s="1">
        <v>44097</v>
      </c>
      <c r="C2288" s="1" t="str">
        <f>TEXT(Sales[[#This Row],[Kode Program/Kegiatan ]],"D")</f>
        <v>23</v>
      </c>
      <c r="D2288" s="2" t="str">
        <f>TEXT(Sales[[#This Row],[Kode Program/Kegiatan ]],"mmm")</f>
        <v>Sep</v>
      </c>
      <c r="E2288" s="3">
        <v>3</v>
      </c>
      <c r="F2288" s="2">
        <v>1</v>
      </c>
      <c r="G2288" s="3">
        <f>IF(Sales[[#This Row],[Anggaran Murni]]-Sales[[#This Row],[Target s.d. Januari]]=0,"",Sales[[#This Row],[Anggaran Murni]]-Sales[[#This Row],[Target s.d. Januari]])</f>
        <v>2</v>
      </c>
      <c r="H2288" s="2" t="s">
        <v>72</v>
      </c>
      <c r="I2288" s="3" t="s">
        <v>78</v>
      </c>
      <c r="J2288" s="3">
        <v>60000000</v>
      </c>
      <c r="K2288" s="2" t="s">
        <v>18</v>
      </c>
      <c r="L2288" s="2" t="s">
        <v>5</v>
      </c>
      <c r="M2288" s="4" t="s">
        <v>67</v>
      </c>
      <c r="N2288" s="3" t="s">
        <v>81</v>
      </c>
      <c r="O2288" s="2" t="s">
        <v>12</v>
      </c>
      <c r="P2288" s="10"/>
      <c r="Q2288" s="11"/>
    </row>
    <row r="2289" spans="2:17" ht="21" customHeight="1" x14ac:dyDescent="0.35">
      <c r="B2289" s="18">
        <v>44098</v>
      </c>
      <c r="C2289" s="18" t="str">
        <f>TEXT(Sales[[#This Row],[Kode Program/Kegiatan ]],"D")</f>
        <v>24</v>
      </c>
      <c r="D2289" s="19" t="str">
        <f>TEXT(Sales[[#This Row],[Kode Program/Kegiatan ]],"mmm")</f>
        <v>Sep</v>
      </c>
      <c r="E2289" s="20">
        <v>8</v>
      </c>
      <c r="F2289" s="19">
        <v>6</v>
      </c>
      <c r="G2289" s="20">
        <f>IF(Sales[[#This Row],[Anggaran Murni]]-Sales[[#This Row],[Target s.d. Januari]]=0,"",Sales[[#This Row],[Anggaran Murni]]-Sales[[#This Row],[Target s.d. Januari]])</f>
        <v>2</v>
      </c>
      <c r="H2289" s="19" t="s">
        <v>72</v>
      </c>
      <c r="I2289" s="20" t="s">
        <v>78</v>
      </c>
      <c r="J2289" s="20">
        <v>140000000</v>
      </c>
      <c r="K2289" s="19" t="s">
        <v>45</v>
      </c>
      <c r="L2289" s="19" t="s">
        <v>2</v>
      </c>
      <c r="M2289" s="21" t="s">
        <v>67</v>
      </c>
      <c r="N2289" s="20" t="s">
        <v>82</v>
      </c>
      <c r="O2289" s="19" t="s">
        <v>14</v>
      </c>
      <c r="P2289" s="10"/>
      <c r="Q2289" s="11"/>
    </row>
    <row r="2290" spans="2:17" ht="21" customHeight="1" x14ac:dyDescent="0.35">
      <c r="B2290" s="1">
        <v>44098</v>
      </c>
      <c r="C2290" s="1" t="str">
        <f>TEXT(Sales[[#This Row],[Kode Program/Kegiatan ]],"D")</f>
        <v>24</v>
      </c>
      <c r="D2290" s="2" t="str">
        <f>TEXT(Sales[[#This Row],[Kode Program/Kegiatan ]],"mmm")</f>
        <v>Sep</v>
      </c>
      <c r="E2290" s="3">
        <v>7</v>
      </c>
      <c r="F2290" s="2">
        <v>4</v>
      </c>
      <c r="G2290" s="3">
        <f>IF(Sales[[#This Row],[Anggaran Murni]]-Sales[[#This Row],[Target s.d. Januari]]=0,"",Sales[[#This Row],[Anggaran Murni]]-Sales[[#This Row],[Target s.d. Januari]])</f>
        <v>3</v>
      </c>
      <c r="H2290" s="2" t="s">
        <v>71</v>
      </c>
      <c r="I2290" s="3" t="s">
        <v>6</v>
      </c>
      <c r="J2290" s="3">
        <v>100000000</v>
      </c>
      <c r="K2290" s="2" t="s">
        <v>19</v>
      </c>
      <c r="L2290" s="2" t="s">
        <v>5</v>
      </c>
      <c r="M2290" s="4" t="s">
        <v>67</v>
      </c>
      <c r="N2290" s="3" t="s">
        <v>82</v>
      </c>
      <c r="O2290" s="2" t="s">
        <v>13</v>
      </c>
      <c r="P2290" s="10"/>
      <c r="Q2290" s="11"/>
    </row>
    <row r="2291" spans="2:17" ht="21" customHeight="1" x14ac:dyDescent="0.35">
      <c r="B2291" s="18">
        <v>44098</v>
      </c>
      <c r="C2291" s="18" t="str">
        <f>TEXT(Sales[[#This Row],[Kode Program/Kegiatan ]],"D")</f>
        <v>24</v>
      </c>
      <c r="D2291" s="19" t="str">
        <f>TEXT(Sales[[#This Row],[Kode Program/Kegiatan ]],"mmm")</f>
        <v>Sep</v>
      </c>
      <c r="E2291" s="20">
        <v>7</v>
      </c>
      <c r="F2291" s="19">
        <v>6</v>
      </c>
      <c r="G2291" s="20">
        <f>IF(Sales[[#This Row],[Anggaran Murni]]-Sales[[#This Row],[Target s.d. Januari]]=0,"",Sales[[#This Row],[Anggaran Murni]]-Sales[[#This Row],[Target s.d. Januari]])</f>
        <v>1</v>
      </c>
      <c r="H2291" s="19" t="s">
        <v>74</v>
      </c>
      <c r="I2291" s="20" t="s">
        <v>77</v>
      </c>
      <c r="J2291" s="20">
        <v>40000000</v>
      </c>
      <c r="K2291" s="19" t="s">
        <v>46</v>
      </c>
      <c r="L2291" s="19" t="s">
        <v>2</v>
      </c>
      <c r="M2291" s="21" t="s">
        <v>67</v>
      </c>
      <c r="N2291" s="20" t="s">
        <v>80</v>
      </c>
      <c r="O2291" s="19" t="s">
        <v>14</v>
      </c>
      <c r="P2291" s="10"/>
      <c r="Q2291" s="11"/>
    </row>
    <row r="2292" spans="2:17" ht="21" customHeight="1" x14ac:dyDescent="0.35">
      <c r="B2292" s="1">
        <v>44098</v>
      </c>
      <c r="C2292" s="1" t="str">
        <f>TEXT(Sales[[#This Row],[Kode Program/Kegiatan ]],"D")</f>
        <v>24</v>
      </c>
      <c r="D2292" s="2" t="str">
        <f>TEXT(Sales[[#This Row],[Kode Program/Kegiatan ]],"mmm")</f>
        <v>Sep</v>
      </c>
      <c r="E2292" s="3">
        <v>6</v>
      </c>
      <c r="F2292" s="2">
        <v>5</v>
      </c>
      <c r="G2292" s="3">
        <f>IF(Sales[[#This Row],[Anggaran Murni]]-Sales[[#This Row],[Target s.d. Januari]]=0,"",Sales[[#This Row],[Anggaran Murni]]-Sales[[#This Row],[Target s.d. Januari]])</f>
        <v>1</v>
      </c>
      <c r="H2292" s="2" t="s">
        <v>74</v>
      </c>
      <c r="I2292" s="3" t="s">
        <v>77</v>
      </c>
      <c r="J2292" s="3">
        <v>140000000</v>
      </c>
      <c r="K2292" s="2" t="s">
        <v>36</v>
      </c>
      <c r="L2292" s="2" t="s">
        <v>2</v>
      </c>
      <c r="M2292" s="4" t="s">
        <v>67</v>
      </c>
      <c r="N2292" s="3" t="s">
        <v>81</v>
      </c>
      <c r="O2292" s="2" t="s">
        <v>13</v>
      </c>
      <c r="P2292" s="10"/>
      <c r="Q2292" s="11"/>
    </row>
    <row r="2293" spans="2:17" ht="21" customHeight="1" x14ac:dyDescent="0.35">
      <c r="B2293" s="18">
        <v>44098</v>
      </c>
      <c r="C2293" s="18" t="str">
        <f>TEXT(Sales[[#This Row],[Kode Program/Kegiatan ]],"D")</f>
        <v>24</v>
      </c>
      <c r="D2293" s="19" t="str">
        <f>TEXT(Sales[[#This Row],[Kode Program/Kegiatan ]],"mmm")</f>
        <v>Sep</v>
      </c>
      <c r="E2293" s="20">
        <v>5</v>
      </c>
      <c r="F2293" s="19">
        <v>3</v>
      </c>
      <c r="G2293" s="20">
        <f>IF(Sales[[#This Row],[Anggaran Murni]]-Sales[[#This Row],[Target s.d. Januari]]=0,"",Sales[[#This Row],[Anggaran Murni]]-Sales[[#This Row],[Target s.d. Januari]])</f>
        <v>2</v>
      </c>
      <c r="H2293" s="19" t="s">
        <v>72</v>
      </c>
      <c r="I2293" s="20" t="s">
        <v>78</v>
      </c>
      <c r="J2293" s="20">
        <v>100000000</v>
      </c>
      <c r="K2293" s="19" t="s">
        <v>48</v>
      </c>
      <c r="L2293" s="19" t="s">
        <v>2</v>
      </c>
      <c r="M2293" s="21" t="s">
        <v>67</v>
      </c>
      <c r="N2293" s="20" t="s">
        <v>82</v>
      </c>
      <c r="O2293" s="19" t="s">
        <v>12</v>
      </c>
      <c r="P2293" s="10"/>
      <c r="Q2293" s="11"/>
    </row>
    <row r="2294" spans="2:17" ht="21" customHeight="1" x14ac:dyDescent="0.35">
      <c r="B2294" s="1">
        <v>44098</v>
      </c>
      <c r="C2294" s="1" t="str">
        <f>TEXT(Sales[[#This Row],[Kode Program/Kegiatan ]],"D")</f>
        <v>24</v>
      </c>
      <c r="D2294" s="2" t="str">
        <f>TEXT(Sales[[#This Row],[Kode Program/Kegiatan ]],"mmm")</f>
        <v>Sep</v>
      </c>
      <c r="E2294" s="3">
        <v>4</v>
      </c>
      <c r="F2294" s="2">
        <v>3</v>
      </c>
      <c r="G2294" s="3">
        <f>IF(Sales[[#This Row],[Anggaran Murni]]-Sales[[#This Row],[Target s.d. Januari]]=0,"",Sales[[#This Row],[Anggaran Murni]]-Sales[[#This Row],[Target s.d. Januari]])</f>
        <v>1</v>
      </c>
      <c r="H2294" s="2" t="s">
        <v>73</v>
      </c>
      <c r="I2294" s="3" t="s">
        <v>78</v>
      </c>
      <c r="J2294" s="3">
        <v>60000000</v>
      </c>
      <c r="K2294" s="2" t="s">
        <v>48</v>
      </c>
      <c r="L2294" s="2" t="s">
        <v>2</v>
      </c>
      <c r="M2294" s="4" t="s">
        <v>67</v>
      </c>
      <c r="N2294" s="3" t="s">
        <v>80</v>
      </c>
      <c r="O2294" s="2" t="s">
        <v>12</v>
      </c>
      <c r="P2294" s="10"/>
      <c r="Q2294" s="11"/>
    </row>
    <row r="2295" spans="2:17" ht="21" customHeight="1" x14ac:dyDescent="0.35">
      <c r="B2295" s="18">
        <v>44098</v>
      </c>
      <c r="C2295" s="18" t="str">
        <f>TEXT(Sales[[#This Row],[Kode Program/Kegiatan ]],"D")</f>
        <v>24</v>
      </c>
      <c r="D2295" s="19" t="str">
        <f>TEXT(Sales[[#This Row],[Kode Program/Kegiatan ]],"mmm")</f>
        <v>Sep</v>
      </c>
      <c r="E2295" s="20">
        <v>3</v>
      </c>
      <c r="F2295" s="19">
        <v>2</v>
      </c>
      <c r="G2295" s="20">
        <f>IF(Sales[[#This Row],[Anggaran Murni]]-Sales[[#This Row],[Target s.d. Januari]]=0,"",Sales[[#This Row],[Anggaran Murni]]-Sales[[#This Row],[Target s.d. Januari]])</f>
        <v>1</v>
      </c>
      <c r="H2295" s="19" t="s">
        <v>113</v>
      </c>
      <c r="I2295" s="20" t="s">
        <v>77</v>
      </c>
      <c r="J2295" s="20">
        <v>140000000</v>
      </c>
      <c r="K2295" s="19" t="s">
        <v>62</v>
      </c>
      <c r="L2295" s="19" t="s">
        <v>2</v>
      </c>
      <c r="M2295" s="21" t="s">
        <v>67</v>
      </c>
      <c r="N2295" s="20" t="s">
        <v>81</v>
      </c>
      <c r="O2295" s="19" t="s">
        <v>11</v>
      </c>
      <c r="P2295" s="10"/>
      <c r="Q2295" s="11"/>
    </row>
    <row r="2296" spans="2:17" ht="21" customHeight="1" x14ac:dyDescent="0.35">
      <c r="B2296" s="1">
        <v>44098</v>
      </c>
      <c r="C2296" s="1" t="str">
        <f>TEXT(Sales[[#This Row],[Kode Program/Kegiatan ]],"D")</f>
        <v>24</v>
      </c>
      <c r="D2296" s="2" t="str">
        <f>TEXT(Sales[[#This Row],[Kode Program/Kegiatan ]],"mmm")</f>
        <v>Sep</v>
      </c>
      <c r="E2296" s="3">
        <v>3</v>
      </c>
      <c r="F2296" s="2">
        <v>2</v>
      </c>
      <c r="G2296" s="3">
        <f>IF(Sales[[#This Row],[Anggaran Murni]]-Sales[[#This Row],[Target s.d. Januari]]=0,"",Sales[[#This Row],[Anggaran Murni]]-Sales[[#This Row],[Target s.d. Januari]])</f>
        <v>1</v>
      </c>
      <c r="H2296" s="2" t="s">
        <v>113</v>
      </c>
      <c r="I2296" s="3" t="s">
        <v>77</v>
      </c>
      <c r="J2296" s="3">
        <v>120000000</v>
      </c>
      <c r="K2296" s="2" t="s">
        <v>15</v>
      </c>
      <c r="L2296" s="2" t="s">
        <v>2</v>
      </c>
      <c r="M2296" s="4" t="s">
        <v>67</v>
      </c>
      <c r="N2296" s="3" t="s">
        <v>82</v>
      </c>
      <c r="O2296" s="2" t="s">
        <v>14</v>
      </c>
      <c r="P2296" s="10"/>
      <c r="Q2296" s="11"/>
    </row>
    <row r="2297" spans="2:17" ht="21" customHeight="1" x14ac:dyDescent="0.35">
      <c r="B2297" s="18">
        <v>44098</v>
      </c>
      <c r="C2297" s="18" t="str">
        <f>TEXT(Sales[[#This Row],[Kode Program/Kegiatan ]],"D")</f>
        <v>24</v>
      </c>
      <c r="D2297" s="19" t="str">
        <f>TEXT(Sales[[#This Row],[Kode Program/Kegiatan ]],"mmm")</f>
        <v>Sep</v>
      </c>
      <c r="E2297" s="20">
        <v>3</v>
      </c>
      <c r="F2297" s="19">
        <v>1</v>
      </c>
      <c r="G2297" s="20">
        <f>IF(Sales[[#This Row],[Anggaran Murni]]-Sales[[#This Row],[Target s.d. Januari]]=0,"",Sales[[#This Row],[Anggaran Murni]]-Sales[[#This Row],[Target s.d. Januari]])</f>
        <v>2</v>
      </c>
      <c r="H2297" s="19" t="s">
        <v>76</v>
      </c>
      <c r="I2297" s="20" t="s">
        <v>79</v>
      </c>
      <c r="J2297" s="20">
        <v>80000000</v>
      </c>
      <c r="K2297" s="19" t="s">
        <v>34</v>
      </c>
      <c r="L2297" s="19" t="s">
        <v>5</v>
      </c>
      <c r="M2297" s="21" t="s">
        <v>67</v>
      </c>
      <c r="N2297" s="20" t="s">
        <v>80</v>
      </c>
      <c r="O2297" s="19" t="s">
        <v>11</v>
      </c>
      <c r="P2297" s="10"/>
      <c r="Q2297" s="11"/>
    </row>
    <row r="2298" spans="2:17" ht="21" customHeight="1" x14ac:dyDescent="0.35">
      <c r="B2298" s="1">
        <v>44098</v>
      </c>
      <c r="C2298" s="1" t="str">
        <f>TEXT(Sales[[#This Row],[Kode Program/Kegiatan ]],"D")</f>
        <v>24</v>
      </c>
      <c r="D2298" s="2" t="str">
        <f>TEXT(Sales[[#This Row],[Kode Program/Kegiatan ]],"mmm")</f>
        <v>Sep</v>
      </c>
      <c r="E2298" s="3">
        <v>3</v>
      </c>
      <c r="F2298" s="2">
        <v>1</v>
      </c>
      <c r="G2298" s="3">
        <f>IF(Sales[[#This Row],[Anggaran Murni]]-Sales[[#This Row],[Target s.d. Januari]]=0,"",Sales[[#This Row],[Anggaran Murni]]-Sales[[#This Row],[Target s.d. Januari]])</f>
        <v>2</v>
      </c>
      <c r="H2298" s="2" t="s">
        <v>72</v>
      </c>
      <c r="I2298" s="3" t="s">
        <v>78</v>
      </c>
      <c r="J2298" s="3">
        <v>140000000</v>
      </c>
      <c r="K2298" s="2" t="s">
        <v>26</v>
      </c>
      <c r="L2298" s="2" t="s">
        <v>9</v>
      </c>
      <c r="M2298" s="4" t="s">
        <v>67</v>
      </c>
      <c r="N2298" s="3" t="s">
        <v>81</v>
      </c>
      <c r="O2298" s="2" t="s">
        <v>14</v>
      </c>
      <c r="P2298" s="10"/>
      <c r="Q2298" s="11"/>
    </row>
    <row r="2299" spans="2:17" ht="21" customHeight="1" x14ac:dyDescent="0.35">
      <c r="B2299" s="18">
        <v>44099</v>
      </c>
      <c r="C2299" s="18" t="str">
        <f>TEXT(Sales[[#This Row],[Kode Program/Kegiatan ]],"D")</f>
        <v>25</v>
      </c>
      <c r="D2299" s="19" t="str">
        <f>TEXT(Sales[[#This Row],[Kode Program/Kegiatan ]],"mmm")</f>
        <v>Sep</v>
      </c>
      <c r="E2299" s="20">
        <v>10</v>
      </c>
      <c r="F2299" s="19">
        <v>9</v>
      </c>
      <c r="G2299" s="20">
        <f>IF(Sales[[#This Row],[Anggaran Murni]]-Sales[[#This Row],[Target s.d. Januari]]=0,"",Sales[[#This Row],[Anggaran Murni]]-Sales[[#This Row],[Target s.d. Januari]])</f>
        <v>1</v>
      </c>
      <c r="H2299" s="19" t="s">
        <v>71</v>
      </c>
      <c r="I2299" s="20" t="s">
        <v>6</v>
      </c>
      <c r="J2299" s="20">
        <v>120000000</v>
      </c>
      <c r="K2299" s="19" t="s">
        <v>30</v>
      </c>
      <c r="L2299" s="19" t="s">
        <v>5</v>
      </c>
      <c r="M2299" s="21" t="s">
        <v>67</v>
      </c>
      <c r="N2299" s="20" t="s">
        <v>81</v>
      </c>
      <c r="O2299" s="19" t="s">
        <v>11</v>
      </c>
      <c r="P2299" s="10"/>
      <c r="Q2299" s="11"/>
    </row>
    <row r="2300" spans="2:17" ht="21" customHeight="1" x14ac:dyDescent="0.35">
      <c r="B2300" s="1">
        <v>44099</v>
      </c>
      <c r="C2300" s="1" t="str">
        <f>TEXT(Sales[[#This Row],[Kode Program/Kegiatan ]],"D")</f>
        <v>25</v>
      </c>
      <c r="D2300" s="2" t="str">
        <f>TEXT(Sales[[#This Row],[Kode Program/Kegiatan ]],"mmm")</f>
        <v>Sep</v>
      </c>
      <c r="E2300" s="3">
        <v>9</v>
      </c>
      <c r="F2300" s="2">
        <v>8</v>
      </c>
      <c r="G2300" s="3">
        <f>IF(Sales[[#This Row],[Anggaran Murni]]-Sales[[#This Row],[Target s.d. Januari]]=0,"",Sales[[#This Row],[Anggaran Murni]]-Sales[[#This Row],[Target s.d. Januari]])</f>
        <v>1</v>
      </c>
      <c r="H2300" s="2" t="s">
        <v>75</v>
      </c>
      <c r="I2300" s="3" t="s">
        <v>6</v>
      </c>
      <c r="J2300" s="3">
        <v>40000000</v>
      </c>
      <c r="K2300" s="2" t="s">
        <v>22</v>
      </c>
      <c r="L2300" s="2" t="s">
        <v>7</v>
      </c>
      <c r="M2300" s="4" t="s">
        <v>67</v>
      </c>
      <c r="N2300" s="3" t="s">
        <v>82</v>
      </c>
      <c r="O2300" s="2" t="s">
        <v>12</v>
      </c>
      <c r="P2300" s="10"/>
      <c r="Q2300" s="11"/>
    </row>
    <row r="2301" spans="2:17" ht="21" customHeight="1" x14ac:dyDescent="0.35">
      <c r="B2301" s="18">
        <v>44099</v>
      </c>
      <c r="C2301" s="18" t="str">
        <f>TEXT(Sales[[#This Row],[Kode Program/Kegiatan ]],"D")</f>
        <v>25</v>
      </c>
      <c r="D2301" s="19" t="str">
        <f>TEXT(Sales[[#This Row],[Kode Program/Kegiatan ]],"mmm")</f>
        <v>Sep</v>
      </c>
      <c r="E2301" s="20">
        <v>9</v>
      </c>
      <c r="F2301" s="19">
        <v>5</v>
      </c>
      <c r="G2301" s="20">
        <f>IF(Sales[[#This Row],[Anggaran Murni]]-Sales[[#This Row],[Target s.d. Januari]]=0,"",Sales[[#This Row],[Anggaran Murni]]-Sales[[#This Row],[Target s.d. Januari]])</f>
        <v>4</v>
      </c>
      <c r="H2301" s="19" t="s">
        <v>75</v>
      </c>
      <c r="I2301" s="20" t="s">
        <v>6</v>
      </c>
      <c r="J2301" s="20">
        <v>140000000</v>
      </c>
      <c r="K2301" s="19" t="s">
        <v>49</v>
      </c>
      <c r="L2301" s="19" t="s">
        <v>5</v>
      </c>
      <c r="M2301" s="21" t="s">
        <v>67</v>
      </c>
      <c r="N2301" s="20" t="s">
        <v>82</v>
      </c>
      <c r="O2301" s="19" t="s">
        <v>11</v>
      </c>
      <c r="P2301" s="10"/>
      <c r="Q2301" s="11"/>
    </row>
    <row r="2302" spans="2:17" ht="21" customHeight="1" x14ac:dyDescent="0.35">
      <c r="B2302" s="1">
        <v>44099</v>
      </c>
      <c r="C2302" s="1" t="str">
        <f>TEXT(Sales[[#This Row],[Kode Program/Kegiatan ]],"D")</f>
        <v>25</v>
      </c>
      <c r="D2302" s="2" t="str">
        <f>TEXT(Sales[[#This Row],[Kode Program/Kegiatan ]],"mmm")</f>
        <v>Sep</v>
      </c>
      <c r="E2302" s="3">
        <v>9</v>
      </c>
      <c r="F2302" s="2">
        <v>5</v>
      </c>
      <c r="G2302" s="3">
        <f>IF(Sales[[#This Row],[Anggaran Murni]]-Sales[[#This Row],[Target s.d. Januari]]=0,"",Sales[[#This Row],[Anggaran Murni]]-Sales[[#This Row],[Target s.d. Januari]])</f>
        <v>4</v>
      </c>
      <c r="H2302" s="2" t="s">
        <v>75</v>
      </c>
      <c r="I2302" s="3" t="s">
        <v>6</v>
      </c>
      <c r="J2302" s="3">
        <v>60000000</v>
      </c>
      <c r="K2302" s="2" t="s">
        <v>62</v>
      </c>
      <c r="L2302" s="2" t="s">
        <v>2</v>
      </c>
      <c r="M2302" s="4" t="s">
        <v>67</v>
      </c>
      <c r="N2302" s="3" t="s">
        <v>80</v>
      </c>
      <c r="O2302" s="2" t="s">
        <v>13</v>
      </c>
      <c r="P2302" s="10"/>
      <c r="Q2302" s="11"/>
    </row>
    <row r="2303" spans="2:17" ht="21" customHeight="1" x14ac:dyDescent="0.35">
      <c r="B2303" s="18">
        <v>44099</v>
      </c>
      <c r="C2303" s="18" t="str">
        <f>TEXT(Sales[[#This Row],[Kode Program/Kegiatan ]],"D")</f>
        <v>25</v>
      </c>
      <c r="D2303" s="19" t="str">
        <f>TEXT(Sales[[#This Row],[Kode Program/Kegiatan ]],"mmm")</f>
        <v>Sep</v>
      </c>
      <c r="E2303" s="20">
        <v>8</v>
      </c>
      <c r="F2303" s="19">
        <v>7</v>
      </c>
      <c r="G2303" s="20">
        <f>IF(Sales[[#This Row],[Anggaran Murni]]-Sales[[#This Row],[Target s.d. Januari]]=0,"",Sales[[#This Row],[Anggaran Murni]]-Sales[[#This Row],[Target s.d. Januari]])</f>
        <v>1</v>
      </c>
      <c r="H2303" s="19" t="s">
        <v>113</v>
      </c>
      <c r="I2303" s="20" t="s">
        <v>77</v>
      </c>
      <c r="J2303" s="20">
        <v>140000000</v>
      </c>
      <c r="K2303" s="19" t="s">
        <v>40</v>
      </c>
      <c r="L2303" s="19" t="s">
        <v>7</v>
      </c>
      <c r="M2303" s="21" t="s">
        <v>67</v>
      </c>
      <c r="N2303" s="20" t="s">
        <v>82</v>
      </c>
      <c r="O2303" s="19" t="s">
        <v>13</v>
      </c>
      <c r="P2303" s="10"/>
      <c r="Q2303" s="11"/>
    </row>
    <row r="2304" spans="2:17" ht="21" customHeight="1" x14ac:dyDescent="0.35">
      <c r="B2304" s="1">
        <v>44099</v>
      </c>
      <c r="C2304" s="1" t="str">
        <f>TEXT(Sales[[#This Row],[Kode Program/Kegiatan ]],"D")</f>
        <v>25</v>
      </c>
      <c r="D2304" s="2" t="str">
        <f>TEXT(Sales[[#This Row],[Kode Program/Kegiatan ]],"mmm")</f>
        <v>Sep</v>
      </c>
      <c r="E2304" s="3">
        <v>8</v>
      </c>
      <c r="F2304" s="2">
        <v>6</v>
      </c>
      <c r="G2304" s="3">
        <f>IF(Sales[[#This Row],[Anggaran Murni]]-Sales[[#This Row],[Target s.d. Januari]]=0,"",Sales[[#This Row],[Anggaran Murni]]-Sales[[#This Row],[Target s.d. Januari]])</f>
        <v>2</v>
      </c>
      <c r="H2304" s="2" t="s">
        <v>114</v>
      </c>
      <c r="I2304" s="3" t="s">
        <v>3</v>
      </c>
      <c r="J2304" s="3">
        <v>140000000</v>
      </c>
      <c r="K2304" s="2" t="s">
        <v>46</v>
      </c>
      <c r="L2304" s="2" t="s">
        <v>5</v>
      </c>
      <c r="M2304" s="4" t="s">
        <v>67</v>
      </c>
      <c r="N2304" s="3" t="s">
        <v>81</v>
      </c>
      <c r="O2304" s="2" t="s">
        <v>14</v>
      </c>
      <c r="P2304" s="10"/>
      <c r="Q2304" s="11"/>
    </row>
    <row r="2305" spans="2:17" ht="21" customHeight="1" x14ac:dyDescent="0.35">
      <c r="B2305" s="18">
        <v>44099</v>
      </c>
      <c r="C2305" s="18" t="str">
        <f>TEXT(Sales[[#This Row],[Kode Program/Kegiatan ]],"D")</f>
        <v>25</v>
      </c>
      <c r="D2305" s="19" t="str">
        <f>TEXT(Sales[[#This Row],[Kode Program/Kegiatan ]],"mmm")</f>
        <v>Sep</v>
      </c>
      <c r="E2305" s="20">
        <v>8</v>
      </c>
      <c r="F2305" s="19">
        <v>4</v>
      </c>
      <c r="G2305" s="20">
        <f>IF(Sales[[#This Row],[Anggaran Murni]]-Sales[[#This Row],[Target s.d. Januari]]=0,"",Sales[[#This Row],[Anggaran Murni]]-Sales[[#This Row],[Target s.d. Januari]])</f>
        <v>4</v>
      </c>
      <c r="H2305" s="19" t="s">
        <v>70</v>
      </c>
      <c r="I2305" s="20" t="s">
        <v>1</v>
      </c>
      <c r="J2305" s="20">
        <v>60000000</v>
      </c>
      <c r="K2305" s="19" t="s">
        <v>42</v>
      </c>
      <c r="L2305" s="19" t="s">
        <v>9</v>
      </c>
      <c r="M2305" s="21" t="s">
        <v>67</v>
      </c>
      <c r="N2305" s="20" t="s">
        <v>82</v>
      </c>
      <c r="O2305" s="19" t="s">
        <v>13</v>
      </c>
      <c r="P2305" s="10"/>
      <c r="Q2305" s="11"/>
    </row>
    <row r="2306" spans="2:17" ht="21" customHeight="1" x14ac:dyDescent="0.35">
      <c r="B2306" s="1">
        <v>44099</v>
      </c>
      <c r="C2306" s="1" t="str">
        <f>TEXT(Sales[[#This Row],[Kode Program/Kegiatan ]],"D")</f>
        <v>25</v>
      </c>
      <c r="D2306" s="2" t="str">
        <f>TEXT(Sales[[#This Row],[Kode Program/Kegiatan ]],"mmm")</f>
        <v>Sep</v>
      </c>
      <c r="E2306" s="3">
        <v>8</v>
      </c>
      <c r="F2306" s="2">
        <v>7</v>
      </c>
      <c r="G2306" s="3">
        <f>IF(Sales[[#This Row],[Anggaran Murni]]-Sales[[#This Row],[Target s.d. Januari]]=0,"",Sales[[#This Row],[Anggaran Murni]]-Sales[[#This Row],[Target s.d. Januari]])</f>
        <v>1</v>
      </c>
      <c r="H2306" s="2" t="s">
        <v>74</v>
      </c>
      <c r="I2306" s="3" t="s">
        <v>77</v>
      </c>
      <c r="J2306" s="3">
        <v>40000000</v>
      </c>
      <c r="K2306" s="2" t="s">
        <v>29</v>
      </c>
      <c r="L2306" s="2" t="s">
        <v>2</v>
      </c>
      <c r="M2306" s="4" t="s">
        <v>67</v>
      </c>
      <c r="N2306" s="3" t="s">
        <v>80</v>
      </c>
      <c r="O2306" s="2" t="s">
        <v>11</v>
      </c>
      <c r="P2306" s="10"/>
      <c r="Q2306" s="11"/>
    </row>
    <row r="2307" spans="2:17" ht="21" customHeight="1" x14ac:dyDescent="0.35">
      <c r="B2307" s="18">
        <v>44099</v>
      </c>
      <c r="C2307" s="18" t="str">
        <f>TEXT(Sales[[#This Row],[Kode Program/Kegiatan ]],"D")</f>
        <v>25</v>
      </c>
      <c r="D2307" s="19" t="str">
        <f>TEXT(Sales[[#This Row],[Kode Program/Kegiatan ]],"mmm")</f>
        <v>Sep</v>
      </c>
      <c r="E2307" s="20">
        <v>8</v>
      </c>
      <c r="F2307" s="19">
        <v>7</v>
      </c>
      <c r="G2307" s="20">
        <f>IF(Sales[[#This Row],[Anggaran Murni]]-Sales[[#This Row],[Target s.d. Januari]]=0,"",Sales[[#This Row],[Anggaran Murni]]-Sales[[#This Row],[Target s.d. Januari]])</f>
        <v>1</v>
      </c>
      <c r="H2307" s="19" t="s">
        <v>73</v>
      </c>
      <c r="I2307" s="20" t="s">
        <v>78</v>
      </c>
      <c r="J2307" s="20">
        <v>60000000</v>
      </c>
      <c r="K2307" s="19" t="s">
        <v>43</v>
      </c>
      <c r="L2307" s="19" t="s">
        <v>7</v>
      </c>
      <c r="M2307" s="21" t="s">
        <v>67</v>
      </c>
      <c r="N2307" s="20" t="s">
        <v>82</v>
      </c>
      <c r="O2307" s="19" t="s">
        <v>11</v>
      </c>
      <c r="P2307" s="10"/>
      <c r="Q2307" s="11"/>
    </row>
    <row r="2308" spans="2:17" ht="21" customHeight="1" x14ac:dyDescent="0.35">
      <c r="B2308" s="1">
        <v>44099</v>
      </c>
      <c r="C2308" s="1" t="str">
        <f>TEXT(Sales[[#This Row],[Kode Program/Kegiatan ]],"D")</f>
        <v>25</v>
      </c>
      <c r="D2308" s="2" t="str">
        <f>TEXT(Sales[[#This Row],[Kode Program/Kegiatan ]],"mmm")</f>
        <v>Sep</v>
      </c>
      <c r="E2308" s="3">
        <v>3</v>
      </c>
      <c r="F2308" s="2">
        <v>1</v>
      </c>
      <c r="G2308" s="3">
        <f>IF(Sales[[#This Row],[Anggaran Murni]]-Sales[[#This Row],[Target s.d. Januari]]=0,"",Sales[[#This Row],[Anggaran Murni]]-Sales[[#This Row],[Target s.d. Januari]])</f>
        <v>2</v>
      </c>
      <c r="H2308" s="2" t="s">
        <v>71</v>
      </c>
      <c r="I2308" s="3" t="s">
        <v>6</v>
      </c>
      <c r="J2308" s="3">
        <v>40000000</v>
      </c>
      <c r="K2308" s="2" t="s">
        <v>62</v>
      </c>
      <c r="L2308" s="2" t="s">
        <v>2</v>
      </c>
      <c r="M2308" s="4" t="s">
        <v>67</v>
      </c>
      <c r="N2308" s="3" t="s">
        <v>80</v>
      </c>
      <c r="O2308" s="2" t="s">
        <v>13</v>
      </c>
      <c r="P2308" s="10"/>
      <c r="Q2308" s="11"/>
    </row>
    <row r="2309" spans="2:17" ht="21" customHeight="1" x14ac:dyDescent="0.35">
      <c r="B2309" s="18">
        <v>44100</v>
      </c>
      <c r="C2309" s="18" t="str">
        <f>TEXT(Sales[[#This Row],[Kode Program/Kegiatan ]],"D")</f>
        <v>26</v>
      </c>
      <c r="D2309" s="19" t="str">
        <f>TEXT(Sales[[#This Row],[Kode Program/Kegiatan ]],"mmm")</f>
        <v>Sep</v>
      </c>
      <c r="E2309" s="20">
        <v>8</v>
      </c>
      <c r="F2309" s="19">
        <v>6</v>
      </c>
      <c r="G2309" s="20">
        <f>IF(Sales[[#This Row],[Anggaran Murni]]-Sales[[#This Row],[Target s.d. Januari]]=0,"",Sales[[#This Row],[Anggaran Murni]]-Sales[[#This Row],[Target s.d. Januari]])</f>
        <v>2</v>
      </c>
      <c r="H2309" s="19" t="s">
        <v>114</v>
      </c>
      <c r="I2309" s="20" t="s">
        <v>3</v>
      </c>
      <c r="J2309" s="20">
        <v>40000000</v>
      </c>
      <c r="K2309" s="19" t="s">
        <v>28</v>
      </c>
      <c r="L2309" s="19" t="s">
        <v>2</v>
      </c>
      <c r="M2309" s="21" t="s">
        <v>67</v>
      </c>
      <c r="N2309" s="20" t="s">
        <v>82</v>
      </c>
      <c r="O2309" s="19" t="s">
        <v>12</v>
      </c>
      <c r="P2309" s="10"/>
      <c r="Q2309" s="11"/>
    </row>
    <row r="2310" spans="2:17" ht="21" customHeight="1" x14ac:dyDescent="0.35">
      <c r="B2310" s="1">
        <v>44100</v>
      </c>
      <c r="C2310" s="1" t="str">
        <f>TEXT(Sales[[#This Row],[Kode Program/Kegiatan ]],"D")</f>
        <v>26</v>
      </c>
      <c r="D2310" s="2" t="str">
        <f>TEXT(Sales[[#This Row],[Kode Program/Kegiatan ]],"mmm")</f>
        <v>Sep</v>
      </c>
      <c r="E2310" s="3">
        <v>6</v>
      </c>
      <c r="F2310" s="2">
        <v>3</v>
      </c>
      <c r="G2310" s="3">
        <f>IF(Sales[[#This Row],[Anggaran Murni]]-Sales[[#This Row],[Target s.d. Januari]]=0,"",Sales[[#This Row],[Anggaran Murni]]-Sales[[#This Row],[Target s.d. Januari]])</f>
        <v>3</v>
      </c>
      <c r="H2310" s="2" t="s">
        <v>71</v>
      </c>
      <c r="I2310" s="3" t="s">
        <v>6</v>
      </c>
      <c r="J2310" s="3">
        <v>100000000</v>
      </c>
      <c r="K2310" s="2" t="s">
        <v>39</v>
      </c>
      <c r="L2310" s="2" t="s">
        <v>2</v>
      </c>
      <c r="M2310" s="4" t="s">
        <v>67</v>
      </c>
      <c r="N2310" s="3" t="s">
        <v>81</v>
      </c>
      <c r="O2310" s="2" t="s">
        <v>12</v>
      </c>
      <c r="P2310" s="10"/>
      <c r="Q2310" s="11"/>
    </row>
    <row r="2311" spans="2:17" ht="21" customHeight="1" x14ac:dyDescent="0.35">
      <c r="B2311" s="18">
        <v>44100</v>
      </c>
      <c r="C2311" s="18" t="str">
        <f>TEXT(Sales[[#This Row],[Kode Program/Kegiatan ]],"D")</f>
        <v>26</v>
      </c>
      <c r="D2311" s="19" t="str">
        <f>TEXT(Sales[[#This Row],[Kode Program/Kegiatan ]],"mmm")</f>
        <v>Sep</v>
      </c>
      <c r="E2311" s="20">
        <v>6</v>
      </c>
      <c r="F2311" s="19">
        <v>3</v>
      </c>
      <c r="G2311" s="20">
        <f>IF(Sales[[#This Row],[Anggaran Murni]]-Sales[[#This Row],[Target s.d. Januari]]=0,"",Sales[[#This Row],[Anggaran Murni]]-Sales[[#This Row],[Target s.d. Januari]])</f>
        <v>3</v>
      </c>
      <c r="H2311" s="19" t="s">
        <v>72</v>
      </c>
      <c r="I2311" s="20" t="s">
        <v>78</v>
      </c>
      <c r="J2311" s="20">
        <v>100000000</v>
      </c>
      <c r="K2311" s="19" t="s">
        <v>59</v>
      </c>
      <c r="L2311" s="19" t="s">
        <v>5</v>
      </c>
      <c r="M2311" s="21" t="s">
        <v>67</v>
      </c>
      <c r="N2311" s="20" t="s">
        <v>82</v>
      </c>
      <c r="O2311" s="19" t="s">
        <v>11</v>
      </c>
      <c r="P2311" s="10"/>
      <c r="Q2311" s="11"/>
    </row>
    <row r="2312" spans="2:17" ht="21" customHeight="1" x14ac:dyDescent="0.35">
      <c r="B2312" s="1">
        <v>44100</v>
      </c>
      <c r="C2312" s="1" t="str">
        <f>TEXT(Sales[[#This Row],[Kode Program/Kegiatan ]],"D")</f>
        <v>26</v>
      </c>
      <c r="D2312" s="2" t="str">
        <f>TEXT(Sales[[#This Row],[Kode Program/Kegiatan ]],"mmm")</f>
        <v>Sep</v>
      </c>
      <c r="E2312" s="3">
        <v>5</v>
      </c>
      <c r="F2312" s="2">
        <v>3</v>
      </c>
      <c r="G2312" s="3">
        <f>IF(Sales[[#This Row],[Anggaran Murni]]-Sales[[#This Row],[Target s.d. Januari]]=0,"",Sales[[#This Row],[Anggaran Murni]]-Sales[[#This Row],[Target s.d. Januari]])</f>
        <v>2</v>
      </c>
      <c r="H2312" s="2" t="s">
        <v>76</v>
      </c>
      <c r="I2312" s="3" t="s">
        <v>79</v>
      </c>
      <c r="J2312" s="3">
        <v>80000000</v>
      </c>
      <c r="K2312" s="2" t="s">
        <v>31</v>
      </c>
      <c r="L2312" s="2" t="s">
        <v>7</v>
      </c>
      <c r="M2312" s="4" t="s">
        <v>67</v>
      </c>
      <c r="N2312" s="3" t="s">
        <v>82</v>
      </c>
      <c r="O2312" s="2" t="s">
        <v>12</v>
      </c>
      <c r="P2312" s="10"/>
      <c r="Q2312" s="11"/>
    </row>
    <row r="2313" spans="2:17" ht="21" customHeight="1" x14ac:dyDescent="0.35">
      <c r="B2313" s="18">
        <v>44100</v>
      </c>
      <c r="C2313" s="18" t="str">
        <f>TEXT(Sales[[#This Row],[Kode Program/Kegiatan ]],"D")</f>
        <v>26</v>
      </c>
      <c r="D2313" s="19" t="str">
        <f>TEXT(Sales[[#This Row],[Kode Program/Kegiatan ]],"mmm")</f>
        <v>Sep</v>
      </c>
      <c r="E2313" s="20">
        <v>5</v>
      </c>
      <c r="F2313" s="19">
        <v>4</v>
      </c>
      <c r="G2313" s="20">
        <f>IF(Sales[[#This Row],[Anggaran Murni]]-Sales[[#This Row],[Target s.d. Januari]]=0,"",Sales[[#This Row],[Anggaran Murni]]-Sales[[#This Row],[Target s.d. Januari]])</f>
        <v>1</v>
      </c>
      <c r="H2313" s="19" t="s">
        <v>73</v>
      </c>
      <c r="I2313" s="20" t="s">
        <v>78</v>
      </c>
      <c r="J2313" s="20">
        <v>40000000</v>
      </c>
      <c r="K2313" s="19" t="s">
        <v>30</v>
      </c>
      <c r="L2313" s="19" t="s">
        <v>7</v>
      </c>
      <c r="M2313" s="21" t="s">
        <v>67</v>
      </c>
      <c r="N2313" s="20" t="s">
        <v>80</v>
      </c>
      <c r="O2313" s="19" t="s">
        <v>11</v>
      </c>
      <c r="P2313" s="10"/>
      <c r="Q2313" s="11"/>
    </row>
    <row r="2314" spans="2:17" ht="21" customHeight="1" x14ac:dyDescent="0.35">
      <c r="B2314" s="1">
        <v>44101</v>
      </c>
      <c r="C2314" s="1" t="str">
        <f>TEXT(Sales[[#This Row],[Kode Program/Kegiatan ]],"D")</f>
        <v>27</v>
      </c>
      <c r="D2314" s="2" t="str">
        <f>TEXT(Sales[[#This Row],[Kode Program/Kegiatan ]],"mmm")</f>
        <v>Sep</v>
      </c>
      <c r="E2314" s="3">
        <v>10</v>
      </c>
      <c r="F2314" s="2">
        <v>7</v>
      </c>
      <c r="G2314" s="3">
        <f>IF(Sales[[#This Row],[Anggaran Murni]]-Sales[[#This Row],[Target s.d. Januari]]=0,"",Sales[[#This Row],[Anggaran Murni]]-Sales[[#This Row],[Target s.d. Januari]])</f>
        <v>3</v>
      </c>
      <c r="H2314" s="2" t="s">
        <v>75</v>
      </c>
      <c r="I2314" s="3" t="s">
        <v>6</v>
      </c>
      <c r="J2314" s="3">
        <v>60000000</v>
      </c>
      <c r="K2314" s="2" t="s">
        <v>39</v>
      </c>
      <c r="L2314" s="2" t="s">
        <v>5</v>
      </c>
      <c r="M2314" s="4" t="s">
        <v>67</v>
      </c>
      <c r="N2314" s="3" t="s">
        <v>80</v>
      </c>
      <c r="O2314" s="2" t="s">
        <v>11</v>
      </c>
      <c r="P2314" s="10"/>
      <c r="Q2314" s="11"/>
    </row>
    <row r="2315" spans="2:17" ht="21" customHeight="1" x14ac:dyDescent="0.35">
      <c r="B2315" s="18">
        <v>44101</v>
      </c>
      <c r="C2315" s="18" t="str">
        <f>TEXT(Sales[[#This Row],[Kode Program/Kegiatan ]],"D")</f>
        <v>27</v>
      </c>
      <c r="D2315" s="19" t="str">
        <f>TEXT(Sales[[#This Row],[Kode Program/Kegiatan ]],"mmm")</f>
        <v>Sep</v>
      </c>
      <c r="E2315" s="20">
        <v>9</v>
      </c>
      <c r="F2315" s="19">
        <v>7</v>
      </c>
      <c r="G2315" s="20">
        <f>IF(Sales[[#This Row],[Anggaran Murni]]-Sales[[#This Row],[Target s.d. Januari]]=0,"",Sales[[#This Row],[Anggaran Murni]]-Sales[[#This Row],[Target s.d. Januari]])</f>
        <v>2</v>
      </c>
      <c r="H2315" s="19" t="s">
        <v>113</v>
      </c>
      <c r="I2315" s="20" t="s">
        <v>77</v>
      </c>
      <c r="J2315" s="20">
        <v>140000000</v>
      </c>
      <c r="K2315" s="19" t="s">
        <v>50</v>
      </c>
      <c r="L2315" s="19" t="s">
        <v>7</v>
      </c>
      <c r="M2315" s="21" t="s">
        <v>67</v>
      </c>
      <c r="N2315" s="20" t="s">
        <v>81</v>
      </c>
      <c r="O2315" s="19" t="s">
        <v>11</v>
      </c>
      <c r="P2315" s="10"/>
      <c r="Q2315" s="11"/>
    </row>
    <row r="2316" spans="2:17" ht="21" customHeight="1" x14ac:dyDescent="0.35">
      <c r="B2316" s="1">
        <v>44101</v>
      </c>
      <c r="C2316" s="1" t="str">
        <f>TEXT(Sales[[#This Row],[Kode Program/Kegiatan ]],"D")</f>
        <v>27</v>
      </c>
      <c r="D2316" s="2" t="str">
        <f>TEXT(Sales[[#This Row],[Kode Program/Kegiatan ]],"mmm")</f>
        <v>Sep</v>
      </c>
      <c r="E2316" s="3">
        <v>8</v>
      </c>
      <c r="F2316" s="2">
        <v>5</v>
      </c>
      <c r="G2316" s="3">
        <f>IF(Sales[[#This Row],[Anggaran Murni]]-Sales[[#This Row],[Target s.d. Januari]]=0,"",Sales[[#This Row],[Anggaran Murni]]-Sales[[#This Row],[Target s.d. Januari]])</f>
        <v>3</v>
      </c>
      <c r="H2316" s="2" t="s">
        <v>70</v>
      </c>
      <c r="I2316" s="3" t="s">
        <v>1</v>
      </c>
      <c r="J2316" s="3">
        <v>100000000</v>
      </c>
      <c r="K2316" s="2" t="s">
        <v>18</v>
      </c>
      <c r="L2316" s="2" t="s">
        <v>7</v>
      </c>
      <c r="M2316" s="4" t="s">
        <v>67</v>
      </c>
      <c r="N2316" s="3" t="s">
        <v>81</v>
      </c>
      <c r="O2316" s="2" t="s">
        <v>13</v>
      </c>
      <c r="P2316" s="10"/>
      <c r="Q2316" s="11"/>
    </row>
    <row r="2317" spans="2:17" ht="21" customHeight="1" x14ac:dyDescent="0.35">
      <c r="B2317" s="18">
        <v>44101</v>
      </c>
      <c r="C2317" s="18" t="str">
        <f>TEXT(Sales[[#This Row],[Kode Program/Kegiatan ]],"D")</f>
        <v>27</v>
      </c>
      <c r="D2317" s="19" t="str">
        <f>TEXT(Sales[[#This Row],[Kode Program/Kegiatan ]],"mmm")</f>
        <v>Sep</v>
      </c>
      <c r="E2317" s="20">
        <v>8</v>
      </c>
      <c r="F2317" s="19">
        <v>6</v>
      </c>
      <c r="G2317" s="20">
        <f>IF(Sales[[#This Row],[Anggaran Murni]]-Sales[[#This Row],[Target s.d. Januari]]=0,"",Sales[[#This Row],[Anggaran Murni]]-Sales[[#This Row],[Target s.d. Januari]])</f>
        <v>2</v>
      </c>
      <c r="H2317" s="19" t="s">
        <v>114</v>
      </c>
      <c r="I2317" s="20" t="s">
        <v>3</v>
      </c>
      <c r="J2317" s="20">
        <v>120000000</v>
      </c>
      <c r="K2317" s="19" t="s">
        <v>59</v>
      </c>
      <c r="L2317" s="19" t="s">
        <v>7</v>
      </c>
      <c r="M2317" s="21" t="s">
        <v>67</v>
      </c>
      <c r="N2317" s="20" t="s">
        <v>82</v>
      </c>
      <c r="O2317" s="19" t="s">
        <v>14</v>
      </c>
      <c r="P2317" s="10"/>
      <c r="Q2317" s="11"/>
    </row>
    <row r="2318" spans="2:17" ht="21" customHeight="1" x14ac:dyDescent="0.35">
      <c r="B2318" s="1">
        <v>44101</v>
      </c>
      <c r="C2318" s="1" t="str">
        <f>TEXT(Sales[[#This Row],[Kode Program/Kegiatan ]],"D")</f>
        <v>27</v>
      </c>
      <c r="D2318" s="2" t="str">
        <f>TEXT(Sales[[#This Row],[Kode Program/Kegiatan ]],"mmm")</f>
        <v>Sep</v>
      </c>
      <c r="E2318" s="3">
        <v>7</v>
      </c>
      <c r="F2318" s="2">
        <v>4</v>
      </c>
      <c r="G2318" s="3">
        <f>IF(Sales[[#This Row],[Anggaran Murni]]-Sales[[#This Row],[Target s.d. Januari]]=0,"",Sales[[#This Row],[Anggaran Murni]]-Sales[[#This Row],[Target s.d. Januari]])</f>
        <v>3</v>
      </c>
      <c r="H2318" s="2" t="s">
        <v>72</v>
      </c>
      <c r="I2318" s="3" t="s">
        <v>78</v>
      </c>
      <c r="J2318" s="3">
        <v>80000000</v>
      </c>
      <c r="K2318" s="2" t="s">
        <v>59</v>
      </c>
      <c r="L2318" s="2" t="s">
        <v>5</v>
      </c>
      <c r="M2318" s="4" t="s">
        <v>67</v>
      </c>
      <c r="N2318" s="3" t="s">
        <v>80</v>
      </c>
      <c r="O2318" s="2" t="s">
        <v>14</v>
      </c>
      <c r="P2318" s="10"/>
      <c r="Q2318" s="11"/>
    </row>
    <row r="2319" spans="2:17" ht="21" customHeight="1" x14ac:dyDescent="0.35">
      <c r="B2319" s="18">
        <v>44101</v>
      </c>
      <c r="C2319" s="18" t="str">
        <f>TEXT(Sales[[#This Row],[Kode Program/Kegiatan ]],"D")</f>
        <v>27</v>
      </c>
      <c r="D2319" s="19" t="str">
        <f>TEXT(Sales[[#This Row],[Kode Program/Kegiatan ]],"mmm")</f>
        <v>Sep</v>
      </c>
      <c r="E2319" s="20">
        <v>7</v>
      </c>
      <c r="F2319" s="19">
        <v>5</v>
      </c>
      <c r="G2319" s="20">
        <f>IF(Sales[[#This Row],[Anggaran Murni]]-Sales[[#This Row],[Target s.d. Januari]]=0,"",Sales[[#This Row],[Anggaran Murni]]-Sales[[#This Row],[Target s.d. Januari]])</f>
        <v>2</v>
      </c>
      <c r="H2319" s="19" t="s">
        <v>70</v>
      </c>
      <c r="I2319" s="20" t="s">
        <v>1</v>
      </c>
      <c r="J2319" s="20">
        <v>120000000</v>
      </c>
      <c r="K2319" s="19" t="s">
        <v>43</v>
      </c>
      <c r="L2319" s="19" t="s">
        <v>2</v>
      </c>
      <c r="M2319" s="21" t="s">
        <v>67</v>
      </c>
      <c r="N2319" s="20" t="s">
        <v>82</v>
      </c>
      <c r="O2319" s="19" t="s">
        <v>13</v>
      </c>
      <c r="P2319" s="10"/>
      <c r="Q2319" s="11"/>
    </row>
    <row r="2320" spans="2:17" ht="21" customHeight="1" x14ac:dyDescent="0.35">
      <c r="B2320" s="1">
        <v>44101</v>
      </c>
      <c r="C2320" s="1" t="str">
        <f>TEXT(Sales[[#This Row],[Kode Program/Kegiatan ]],"D")</f>
        <v>27</v>
      </c>
      <c r="D2320" s="2" t="str">
        <f>TEXT(Sales[[#This Row],[Kode Program/Kegiatan ]],"mmm")</f>
        <v>Sep</v>
      </c>
      <c r="E2320" s="3">
        <v>6</v>
      </c>
      <c r="F2320" s="2">
        <v>5</v>
      </c>
      <c r="G2320" s="3">
        <f>IF(Sales[[#This Row],[Anggaran Murni]]-Sales[[#This Row],[Target s.d. Januari]]=0,"",Sales[[#This Row],[Anggaran Murni]]-Sales[[#This Row],[Target s.d. Januari]])</f>
        <v>1</v>
      </c>
      <c r="H2320" s="2" t="s">
        <v>71</v>
      </c>
      <c r="I2320" s="3" t="s">
        <v>6</v>
      </c>
      <c r="J2320" s="3">
        <v>60000000</v>
      </c>
      <c r="K2320" s="2" t="s">
        <v>48</v>
      </c>
      <c r="L2320" s="2" t="s">
        <v>5</v>
      </c>
      <c r="M2320" s="4" t="s">
        <v>67</v>
      </c>
      <c r="N2320" s="3" t="s">
        <v>80</v>
      </c>
      <c r="O2320" s="2" t="s">
        <v>14</v>
      </c>
      <c r="P2320" s="10"/>
      <c r="Q2320" s="11"/>
    </row>
    <row r="2321" spans="2:17" ht="21" customHeight="1" x14ac:dyDescent="0.35">
      <c r="B2321" s="18">
        <v>44101</v>
      </c>
      <c r="C2321" s="18" t="str">
        <f>TEXT(Sales[[#This Row],[Kode Program/Kegiatan ]],"D")</f>
        <v>27</v>
      </c>
      <c r="D2321" s="19" t="str">
        <f>TEXT(Sales[[#This Row],[Kode Program/Kegiatan ]],"mmm")</f>
        <v>Sep</v>
      </c>
      <c r="E2321" s="20">
        <v>5</v>
      </c>
      <c r="F2321" s="19">
        <v>3</v>
      </c>
      <c r="G2321" s="20">
        <f>IF(Sales[[#This Row],[Anggaran Murni]]-Sales[[#This Row],[Target s.d. Januari]]=0,"",Sales[[#This Row],[Anggaran Murni]]-Sales[[#This Row],[Target s.d. Januari]])</f>
        <v>2</v>
      </c>
      <c r="H2321" s="19" t="s">
        <v>73</v>
      </c>
      <c r="I2321" s="20" t="s">
        <v>78</v>
      </c>
      <c r="J2321" s="20">
        <v>80000000</v>
      </c>
      <c r="K2321" s="19" t="s">
        <v>50</v>
      </c>
      <c r="L2321" s="19" t="s">
        <v>5</v>
      </c>
      <c r="M2321" s="21" t="s">
        <v>67</v>
      </c>
      <c r="N2321" s="20" t="s">
        <v>81</v>
      </c>
      <c r="O2321" s="19" t="s">
        <v>14</v>
      </c>
      <c r="P2321" s="10"/>
      <c r="Q2321" s="11"/>
    </row>
    <row r="2322" spans="2:17" ht="21" customHeight="1" x14ac:dyDescent="0.35">
      <c r="B2322" s="1">
        <v>44101</v>
      </c>
      <c r="C2322" s="1" t="str">
        <f>TEXT(Sales[[#This Row],[Kode Program/Kegiatan ]],"D")</f>
        <v>27</v>
      </c>
      <c r="D2322" s="2" t="str">
        <f>TEXT(Sales[[#This Row],[Kode Program/Kegiatan ]],"mmm")</f>
        <v>Sep</v>
      </c>
      <c r="E2322" s="3">
        <v>4</v>
      </c>
      <c r="F2322" s="2">
        <v>2</v>
      </c>
      <c r="G2322" s="3">
        <f>IF(Sales[[#This Row],[Anggaran Murni]]-Sales[[#This Row],[Target s.d. Januari]]=0,"",Sales[[#This Row],[Anggaran Murni]]-Sales[[#This Row],[Target s.d. Januari]])</f>
        <v>2</v>
      </c>
      <c r="H2322" s="2" t="s">
        <v>114</v>
      </c>
      <c r="I2322" s="3" t="s">
        <v>3</v>
      </c>
      <c r="J2322" s="3">
        <v>40000000</v>
      </c>
      <c r="K2322" s="2" t="s">
        <v>18</v>
      </c>
      <c r="L2322" s="2" t="s">
        <v>2</v>
      </c>
      <c r="M2322" s="4" t="s">
        <v>67</v>
      </c>
      <c r="N2322" s="3" t="s">
        <v>80</v>
      </c>
      <c r="O2322" s="2" t="s">
        <v>12</v>
      </c>
      <c r="P2322" s="10"/>
      <c r="Q2322" s="11"/>
    </row>
    <row r="2323" spans="2:17" ht="21" customHeight="1" x14ac:dyDescent="0.35">
      <c r="B2323" s="18">
        <v>44101</v>
      </c>
      <c r="C2323" s="18" t="str">
        <f>TEXT(Sales[[#This Row],[Kode Program/Kegiatan ]],"D")</f>
        <v>27</v>
      </c>
      <c r="D2323" s="19" t="str">
        <f>TEXT(Sales[[#This Row],[Kode Program/Kegiatan ]],"mmm")</f>
        <v>Sep</v>
      </c>
      <c r="E2323" s="20">
        <v>4</v>
      </c>
      <c r="F2323" s="19">
        <v>2</v>
      </c>
      <c r="G2323" s="20">
        <f>IF(Sales[[#This Row],[Anggaran Murni]]-Sales[[#This Row],[Target s.d. Januari]]=0,"",Sales[[#This Row],[Anggaran Murni]]-Sales[[#This Row],[Target s.d. Januari]])</f>
        <v>2</v>
      </c>
      <c r="H2323" s="19" t="s">
        <v>71</v>
      </c>
      <c r="I2323" s="20" t="s">
        <v>6</v>
      </c>
      <c r="J2323" s="20">
        <v>100000000</v>
      </c>
      <c r="K2323" s="19" t="s">
        <v>15</v>
      </c>
      <c r="L2323" s="19" t="s">
        <v>2</v>
      </c>
      <c r="M2323" s="21" t="s">
        <v>67</v>
      </c>
      <c r="N2323" s="20" t="s">
        <v>80</v>
      </c>
      <c r="O2323" s="19" t="s">
        <v>11</v>
      </c>
      <c r="P2323" s="10"/>
      <c r="Q2323" s="11"/>
    </row>
    <row r="2324" spans="2:17" ht="21" customHeight="1" x14ac:dyDescent="0.35">
      <c r="B2324" s="1">
        <v>44102</v>
      </c>
      <c r="C2324" s="1" t="str">
        <f>TEXT(Sales[[#This Row],[Kode Program/Kegiatan ]],"D")</f>
        <v>28</v>
      </c>
      <c r="D2324" s="2" t="str">
        <f>TEXT(Sales[[#This Row],[Kode Program/Kegiatan ]],"mmm")</f>
        <v>Sep</v>
      </c>
      <c r="E2324" s="3">
        <v>10</v>
      </c>
      <c r="F2324" s="2">
        <v>8</v>
      </c>
      <c r="G2324" s="3">
        <f>IF(Sales[[#This Row],[Anggaran Murni]]-Sales[[#This Row],[Target s.d. Januari]]=0,"",Sales[[#This Row],[Anggaran Murni]]-Sales[[#This Row],[Target s.d. Januari]])</f>
        <v>2</v>
      </c>
      <c r="H2324" s="2" t="s">
        <v>75</v>
      </c>
      <c r="I2324" s="3" t="s">
        <v>6</v>
      </c>
      <c r="J2324" s="3">
        <v>100000000</v>
      </c>
      <c r="K2324" s="2" t="s">
        <v>48</v>
      </c>
      <c r="L2324" s="2" t="s">
        <v>2</v>
      </c>
      <c r="M2324" s="4" t="s">
        <v>67</v>
      </c>
      <c r="N2324" s="3" t="s">
        <v>81</v>
      </c>
      <c r="O2324" s="2" t="s">
        <v>11</v>
      </c>
      <c r="P2324" s="10"/>
      <c r="Q2324" s="11"/>
    </row>
    <row r="2325" spans="2:17" ht="21" customHeight="1" x14ac:dyDescent="0.35">
      <c r="B2325" s="18">
        <v>44102</v>
      </c>
      <c r="C2325" s="18" t="str">
        <f>TEXT(Sales[[#This Row],[Kode Program/Kegiatan ]],"D")</f>
        <v>28</v>
      </c>
      <c r="D2325" s="19" t="str">
        <f>TEXT(Sales[[#This Row],[Kode Program/Kegiatan ]],"mmm")</f>
        <v>Sep</v>
      </c>
      <c r="E2325" s="20">
        <v>9</v>
      </c>
      <c r="F2325" s="19">
        <v>8</v>
      </c>
      <c r="G2325" s="20">
        <f>IF(Sales[[#This Row],[Anggaran Murni]]-Sales[[#This Row],[Target s.d. Januari]]=0,"",Sales[[#This Row],[Anggaran Murni]]-Sales[[#This Row],[Target s.d. Januari]])</f>
        <v>1</v>
      </c>
      <c r="H2325" s="19" t="s">
        <v>113</v>
      </c>
      <c r="I2325" s="20" t="s">
        <v>77</v>
      </c>
      <c r="J2325" s="20">
        <v>120000000</v>
      </c>
      <c r="K2325" s="19" t="s">
        <v>40</v>
      </c>
      <c r="L2325" s="19" t="s">
        <v>2</v>
      </c>
      <c r="M2325" s="21" t="s">
        <v>67</v>
      </c>
      <c r="N2325" s="20" t="s">
        <v>81</v>
      </c>
      <c r="O2325" s="19" t="s">
        <v>13</v>
      </c>
      <c r="P2325" s="10"/>
      <c r="Q2325" s="11"/>
    </row>
    <row r="2326" spans="2:17" ht="21" customHeight="1" x14ac:dyDescent="0.35">
      <c r="B2326" s="1">
        <v>44102</v>
      </c>
      <c r="C2326" s="1" t="str">
        <f>TEXT(Sales[[#This Row],[Kode Program/Kegiatan ]],"D")</f>
        <v>28</v>
      </c>
      <c r="D2326" s="2" t="str">
        <f>TEXT(Sales[[#This Row],[Kode Program/Kegiatan ]],"mmm")</f>
        <v>Sep</v>
      </c>
      <c r="E2326" s="3">
        <v>8</v>
      </c>
      <c r="F2326" s="2">
        <v>5</v>
      </c>
      <c r="G2326" s="3">
        <f>IF(Sales[[#This Row],[Anggaran Murni]]-Sales[[#This Row],[Target s.d. Januari]]=0,"",Sales[[#This Row],[Anggaran Murni]]-Sales[[#This Row],[Target s.d. Januari]])</f>
        <v>3</v>
      </c>
      <c r="H2326" s="2" t="s">
        <v>75</v>
      </c>
      <c r="I2326" s="3" t="s">
        <v>6</v>
      </c>
      <c r="J2326" s="3">
        <v>80000000</v>
      </c>
      <c r="K2326" s="2" t="s">
        <v>38</v>
      </c>
      <c r="L2326" s="2" t="s">
        <v>2</v>
      </c>
      <c r="M2326" s="4" t="s">
        <v>67</v>
      </c>
      <c r="N2326" s="3" t="s">
        <v>82</v>
      </c>
      <c r="O2326" s="2" t="s">
        <v>11</v>
      </c>
      <c r="P2326" s="10"/>
      <c r="Q2326" s="11"/>
    </row>
    <row r="2327" spans="2:17" ht="21" customHeight="1" x14ac:dyDescent="0.35">
      <c r="B2327" s="18">
        <v>44102</v>
      </c>
      <c r="C2327" s="18" t="str">
        <f>TEXT(Sales[[#This Row],[Kode Program/Kegiatan ]],"D")</f>
        <v>28</v>
      </c>
      <c r="D2327" s="19" t="str">
        <f>TEXT(Sales[[#This Row],[Kode Program/Kegiatan ]],"mmm")</f>
        <v>Sep</v>
      </c>
      <c r="E2327" s="20">
        <v>6</v>
      </c>
      <c r="F2327" s="19">
        <v>3</v>
      </c>
      <c r="G2327" s="20">
        <f>IF(Sales[[#This Row],[Anggaran Murni]]-Sales[[#This Row],[Target s.d. Januari]]=0,"",Sales[[#This Row],[Anggaran Murni]]-Sales[[#This Row],[Target s.d. Januari]])</f>
        <v>3</v>
      </c>
      <c r="H2327" s="19" t="s">
        <v>73</v>
      </c>
      <c r="I2327" s="20" t="s">
        <v>78</v>
      </c>
      <c r="J2327" s="20">
        <v>40000000</v>
      </c>
      <c r="K2327" s="19" t="s">
        <v>35</v>
      </c>
      <c r="L2327" s="19" t="s">
        <v>2</v>
      </c>
      <c r="M2327" s="21" t="s">
        <v>67</v>
      </c>
      <c r="N2327" s="20" t="s">
        <v>82</v>
      </c>
      <c r="O2327" s="19" t="s">
        <v>13</v>
      </c>
      <c r="P2327" s="10"/>
      <c r="Q2327" s="11"/>
    </row>
    <row r="2328" spans="2:17" ht="21" customHeight="1" x14ac:dyDescent="0.35">
      <c r="B2328" s="1">
        <v>44102</v>
      </c>
      <c r="C2328" s="1" t="str">
        <f>TEXT(Sales[[#This Row],[Kode Program/Kegiatan ]],"D")</f>
        <v>28</v>
      </c>
      <c r="D2328" s="2" t="str">
        <f>TEXT(Sales[[#This Row],[Kode Program/Kegiatan ]],"mmm")</f>
        <v>Sep</v>
      </c>
      <c r="E2328" s="3">
        <v>5</v>
      </c>
      <c r="F2328" s="2">
        <v>4</v>
      </c>
      <c r="G2328" s="3">
        <f>IF(Sales[[#This Row],[Anggaran Murni]]-Sales[[#This Row],[Target s.d. Januari]]=0,"",Sales[[#This Row],[Anggaran Murni]]-Sales[[#This Row],[Target s.d. Januari]])</f>
        <v>1</v>
      </c>
      <c r="H2328" s="2" t="s">
        <v>113</v>
      </c>
      <c r="I2328" s="3" t="s">
        <v>77</v>
      </c>
      <c r="J2328" s="3">
        <v>60000000</v>
      </c>
      <c r="K2328" s="2" t="s">
        <v>53</v>
      </c>
      <c r="L2328" s="2" t="s">
        <v>2</v>
      </c>
      <c r="M2328" s="4" t="s">
        <v>67</v>
      </c>
      <c r="N2328" s="3" t="s">
        <v>82</v>
      </c>
      <c r="O2328" s="2" t="s">
        <v>13</v>
      </c>
      <c r="P2328" s="10"/>
      <c r="Q2328" s="11"/>
    </row>
    <row r="2329" spans="2:17" ht="21" customHeight="1" x14ac:dyDescent="0.35">
      <c r="B2329" s="18">
        <v>44102</v>
      </c>
      <c r="C2329" s="18" t="str">
        <f>TEXT(Sales[[#This Row],[Kode Program/Kegiatan ]],"D")</f>
        <v>28</v>
      </c>
      <c r="D2329" s="19" t="str">
        <f>TEXT(Sales[[#This Row],[Kode Program/Kegiatan ]],"mmm")</f>
        <v>Sep</v>
      </c>
      <c r="E2329" s="20">
        <v>4</v>
      </c>
      <c r="F2329" s="19">
        <v>2</v>
      </c>
      <c r="G2329" s="20">
        <f>IF(Sales[[#This Row],[Anggaran Murni]]-Sales[[#This Row],[Target s.d. Januari]]=0,"",Sales[[#This Row],[Anggaran Murni]]-Sales[[#This Row],[Target s.d. Januari]])</f>
        <v>2</v>
      </c>
      <c r="H2329" s="19" t="s">
        <v>76</v>
      </c>
      <c r="I2329" s="20" t="s">
        <v>79</v>
      </c>
      <c r="J2329" s="20">
        <v>140000000</v>
      </c>
      <c r="K2329" s="19" t="s">
        <v>47</v>
      </c>
      <c r="L2329" s="19" t="s">
        <v>2</v>
      </c>
      <c r="M2329" s="21" t="s">
        <v>67</v>
      </c>
      <c r="N2329" s="20" t="s">
        <v>82</v>
      </c>
      <c r="O2329" s="19" t="s">
        <v>12</v>
      </c>
      <c r="P2329" s="10"/>
      <c r="Q2329" s="11"/>
    </row>
    <row r="2330" spans="2:17" ht="21" customHeight="1" x14ac:dyDescent="0.35">
      <c r="B2330" s="1">
        <v>44102</v>
      </c>
      <c r="C2330" s="1" t="str">
        <f>TEXT(Sales[[#This Row],[Kode Program/Kegiatan ]],"D")</f>
        <v>28</v>
      </c>
      <c r="D2330" s="2" t="str">
        <f>TEXT(Sales[[#This Row],[Kode Program/Kegiatan ]],"mmm")</f>
        <v>Sep</v>
      </c>
      <c r="E2330" s="3">
        <v>4</v>
      </c>
      <c r="F2330" s="2">
        <v>2</v>
      </c>
      <c r="G2330" s="3">
        <f>IF(Sales[[#This Row],[Anggaran Murni]]-Sales[[#This Row],[Target s.d. Januari]]=0,"",Sales[[#This Row],[Anggaran Murni]]-Sales[[#This Row],[Target s.d. Januari]])</f>
        <v>2</v>
      </c>
      <c r="H2330" s="2" t="s">
        <v>114</v>
      </c>
      <c r="I2330" s="3" t="s">
        <v>3</v>
      </c>
      <c r="J2330" s="3">
        <v>100000000</v>
      </c>
      <c r="K2330" s="2" t="s">
        <v>49</v>
      </c>
      <c r="L2330" s="2" t="s">
        <v>9</v>
      </c>
      <c r="M2330" s="4" t="s">
        <v>67</v>
      </c>
      <c r="N2330" s="3" t="s">
        <v>82</v>
      </c>
      <c r="O2330" s="2" t="s">
        <v>13</v>
      </c>
      <c r="P2330" s="10"/>
      <c r="Q2330" s="11"/>
    </row>
    <row r="2331" spans="2:17" ht="21" customHeight="1" x14ac:dyDescent="0.35">
      <c r="B2331" s="18">
        <v>44103</v>
      </c>
      <c r="C2331" s="18" t="str">
        <f>TEXT(Sales[[#This Row],[Kode Program/Kegiatan ]],"D")</f>
        <v>29</v>
      </c>
      <c r="D2331" s="19" t="str">
        <f>TEXT(Sales[[#This Row],[Kode Program/Kegiatan ]],"mmm")</f>
        <v>Sep</v>
      </c>
      <c r="E2331" s="20">
        <v>9</v>
      </c>
      <c r="F2331" s="19">
        <v>8</v>
      </c>
      <c r="G2331" s="20">
        <f>IF(Sales[[#This Row],[Anggaran Murni]]-Sales[[#This Row],[Target s.d. Januari]]=0,"",Sales[[#This Row],[Anggaran Murni]]-Sales[[#This Row],[Target s.d. Januari]])</f>
        <v>1</v>
      </c>
      <c r="H2331" s="19" t="s">
        <v>114</v>
      </c>
      <c r="I2331" s="20" t="s">
        <v>3</v>
      </c>
      <c r="J2331" s="20">
        <v>120000000</v>
      </c>
      <c r="K2331" s="19" t="s">
        <v>60</v>
      </c>
      <c r="L2331" s="19" t="s">
        <v>7</v>
      </c>
      <c r="M2331" s="21" t="s">
        <v>67</v>
      </c>
      <c r="N2331" s="20" t="s">
        <v>81</v>
      </c>
      <c r="O2331" s="19" t="s">
        <v>14</v>
      </c>
      <c r="P2331" s="10"/>
      <c r="Q2331" s="11"/>
    </row>
    <row r="2332" spans="2:17" ht="21" customHeight="1" x14ac:dyDescent="0.35">
      <c r="B2332" s="1">
        <v>44103</v>
      </c>
      <c r="C2332" s="1" t="str">
        <f>TEXT(Sales[[#This Row],[Kode Program/Kegiatan ]],"D")</f>
        <v>29</v>
      </c>
      <c r="D2332" s="2" t="str">
        <f>TEXT(Sales[[#This Row],[Kode Program/Kegiatan ]],"mmm")</f>
        <v>Sep</v>
      </c>
      <c r="E2332" s="3">
        <v>7</v>
      </c>
      <c r="F2332" s="2">
        <v>6</v>
      </c>
      <c r="G2332" s="3">
        <f>IF(Sales[[#This Row],[Anggaran Murni]]-Sales[[#This Row],[Target s.d. Januari]]=0,"",Sales[[#This Row],[Anggaran Murni]]-Sales[[#This Row],[Target s.d. Januari]])</f>
        <v>1</v>
      </c>
      <c r="H2332" s="2" t="s">
        <v>73</v>
      </c>
      <c r="I2332" s="3" t="s">
        <v>78</v>
      </c>
      <c r="J2332" s="3">
        <v>40000000</v>
      </c>
      <c r="K2332" s="2" t="s">
        <v>33</v>
      </c>
      <c r="L2332" s="2" t="s">
        <v>2</v>
      </c>
      <c r="M2332" s="4" t="s">
        <v>67</v>
      </c>
      <c r="N2332" s="3" t="s">
        <v>82</v>
      </c>
      <c r="O2332" s="2" t="s">
        <v>11</v>
      </c>
      <c r="P2332" s="10"/>
      <c r="Q2332" s="11"/>
    </row>
    <row r="2333" spans="2:17" ht="21" customHeight="1" x14ac:dyDescent="0.35">
      <c r="B2333" s="18">
        <v>44103</v>
      </c>
      <c r="C2333" s="18" t="str">
        <f>TEXT(Sales[[#This Row],[Kode Program/Kegiatan ]],"D")</f>
        <v>29</v>
      </c>
      <c r="D2333" s="19" t="str">
        <f>TEXT(Sales[[#This Row],[Kode Program/Kegiatan ]],"mmm")</f>
        <v>Sep</v>
      </c>
      <c r="E2333" s="20">
        <v>5</v>
      </c>
      <c r="F2333" s="19">
        <v>4</v>
      </c>
      <c r="G2333" s="20">
        <f>IF(Sales[[#This Row],[Anggaran Murni]]-Sales[[#This Row],[Target s.d. Januari]]=0,"",Sales[[#This Row],[Anggaran Murni]]-Sales[[#This Row],[Target s.d. Januari]])</f>
        <v>1</v>
      </c>
      <c r="H2333" s="19" t="s">
        <v>73</v>
      </c>
      <c r="I2333" s="20" t="s">
        <v>78</v>
      </c>
      <c r="J2333" s="20">
        <v>100000000</v>
      </c>
      <c r="K2333" s="19" t="s">
        <v>54</v>
      </c>
      <c r="L2333" s="19" t="s">
        <v>4</v>
      </c>
      <c r="M2333" s="21" t="s">
        <v>67</v>
      </c>
      <c r="N2333" s="20" t="s">
        <v>80</v>
      </c>
      <c r="O2333" s="19" t="s">
        <v>13</v>
      </c>
      <c r="P2333" s="10"/>
      <c r="Q2333" s="11"/>
    </row>
    <row r="2334" spans="2:17" ht="21" customHeight="1" x14ac:dyDescent="0.35">
      <c r="B2334" s="1">
        <v>44103</v>
      </c>
      <c r="C2334" s="1" t="str">
        <f>TEXT(Sales[[#This Row],[Kode Program/Kegiatan ]],"D")</f>
        <v>29</v>
      </c>
      <c r="D2334" s="2" t="str">
        <f>TEXT(Sales[[#This Row],[Kode Program/Kegiatan ]],"mmm")</f>
        <v>Sep</v>
      </c>
      <c r="E2334" s="3">
        <v>4</v>
      </c>
      <c r="F2334" s="2">
        <v>3</v>
      </c>
      <c r="G2334" s="3">
        <f>IF(Sales[[#This Row],[Anggaran Murni]]-Sales[[#This Row],[Target s.d. Januari]]=0,"",Sales[[#This Row],[Anggaran Murni]]-Sales[[#This Row],[Target s.d. Januari]])</f>
        <v>1</v>
      </c>
      <c r="H2334" s="2" t="s">
        <v>73</v>
      </c>
      <c r="I2334" s="3" t="s">
        <v>78</v>
      </c>
      <c r="J2334" s="3">
        <v>140000000</v>
      </c>
      <c r="K2334" s="2" t="s">
        <v>56</v>
      </c>
      <c r="L2334" s="2" t="s">
        <v>5</v>
      </c>
      <c r="M2334" s="4" t="s">
        <v>67</v>
      </c>
      <c r="N2334" s="3" t="s">
        <v>81</v>
      </c>
      <c r="O2334" s="2" t="s">
        <v>12</v>
      </c>
      <c r="P2334" s="10"/>
      <c r="Q2334" s="11"/>
    </row>
    <row r="2335" spans="2:17" ht="21" customHeight="1" x14ac:dyDescent="0.35">
      <c r="B2335" s="18">
        <v>44103</v>
      </c>
      <c r="C2335" s="18" t="str">
        <f>TEXT(Sales[[#This Row],[Kode Program/Kegiatan ]],"D")</f>
        <v>29</v>
      </c>
      <c r="D2335" s="19" t="str">
        <f>TEXT(Sales[[#This Row],[Kode Program/Kegiatan ]],"mmm")</f>
        <v>Sep</v>
      </c>
      <c r="E2335" s="20">
        <v>4</v>
      </c>
      <c r="F2335" s="19">
        <v>3</v>
      </c>
      <c r="G2335" s="20">
        <f>IF(Sales[[#This Row],[Anggaran Murni]]-Sales[[#This Row],[Target s.d. Januari]]=0,"",Sales[[#This Row],[Anggaran Murni]]-Sales[[#This Row],[Target s.d. Januari]])</f>
        <v>1</v>
      </c>
      <c r="H2335" s="19" t="s">
        <v>71</v>
      </c>
      <c r="I2335" s="20" t="s">
        <v>6</v>
      </c>
      <c r="J2335" s="20">
        <v>40000000</v>
      </c>
      <c r="K2335" s="19" t="s">
        <v>29</v>
      </c>
      <c r="L2335" s="19" t="s">
        <v>2</v>
      </c>
      <c r="M2335" s="21" t="s">
        <v>67</v>
      </c>
      <c r="N2335" s="20" t="s">
        <v>80</v>
      </c>
      <c r="O2335" s="19" t="s">
        <v>12</v>
      </c>
      <c r="P2335" s="10"/>
      <c r="Q2335" s="11"/>
    </row>
    <row r="2336" spans="2:17" ht="21" customHeight="1" x14ac:dyDescent="0.35">
      <c r="B2336" s="1">
        <v>44104</v>
      </c>
      <c r="C2336" s="1" t="str">
        <f>TEXT(Sales[[#This Row],[Kode Program/Kegiatan ]],"D")</f>
        <v>30</v>
      </c>
      <c r="D2336" s="2" t="str">
        <f>TEXT(Sales[[#This Row],[Kode Program/Kegiatan ]],"mmm")</f>
        <v>Sep</v>
      </c>
      <c r="E2336" s="3">
        <v>8</v>
      </c>
      <c r="F2336" s="2">
        <v>7</v>
      </c>
      <c r="G2336" s="3">
        <f>IF(Sales[[#This Row],[Anggaran Murni]]-Sales[[#This Row],[Target s.d. Januari]]=0,"",Sales[[#This Row],[Anggaran Murni]]-Sales[[#This Row],[Target s.d. Januari]])</f>
        <v>1</v>
      </c>
      <c r="H2336" s="2" t="s">
        <v>75</v>
      </c>
      <c r="I2336" s="3" t="s">
        <v>6</v>
      </c>
      <c r="J2336" s="3">
        <v>100000000</v>
      </c>
      <c r="K2336" s="2" t="s">
        <v>23</v>
      </c>
      <c r="L2336" s="2" t="s">
        <v>7</v>
      </c>
      <c r="M2336" s="4" t="s">
        <v>67</v>
      </c>
      <c r="N2336" s="3" t="s">
        <v>81</v>
      </c>
      <c r="O2336" s="2" t="s">
        <v>11</v>
      </c>
      <c r="P2336" s="10"/>
      <c r="Q2336" s="11"/>
    </row>
    <row r="2337" spans="2:17" ht="21" customHeight="1" x14ac:dyDescent="0.35">
      <c r="B2337" s="18">
        <v>44104</v>
      </c>
      <c r="C2337" s="18" t="str">
        <f>TEXT(Sales[[#This Row],[Kode Program/Kegiatan ]],"D")</f>
        <v>30</v>
      </c>
      <c r="D2337" s="19" t="str">
        <f>TEXT(Sales[[#This Row],[Kode Program/Kegiatan ]],"mmm")</f>
        <v>Sep</v>
      </c>
      <c r="E2337" s="20">
        <v>7</v>
      </c>
      <c r="F2337" s="19">
        <v>4</v>
      </c>
      <c r="G2337" s="20">
        <f>IF(Sales[[#This Row],[Anggaran Murni]]-Sales[[#This Row],[Target s.d. Januari]]=0,"",Sales[[#This Row],[Anggaran Murni]]-Sales[[#This Row],[Target s.d. Januari]])</f>
        <v>3</v>
      </c>
      <c r="H2337" s="19" t="s">
        <v>76</v>
      </c>
      <c r="I2337" s="20" t="s">
        <v>79</v>
      </c>
      <c r="J2337" s="20">
        <v>80000000</v>
      </c>
      <c r="K2337" s="19" t="s">
        <v>59</v>
      </c>
      <c r="L2337" s="19" t="s">
        <v>7</v>
      </c>
      <c r="M2337" s="21" t="s">
        <v>67</v>
      </c>
      <c r="N2337" s="20" t="s">
        <v>80</v>
      </c>
      <c r="O2337" s="19" t="s">
        <v>14</v>
      </c>
      <c r="P2337" s="10"/>
      <c r="Q2337" s="11"/>
    </row>
    <row r="2338" spans="2:17" ht="21" customHeight="1" x14ac:dyDescent="0.35">
      <c r="B2338" s="1">
        <v>44104</v>
      </c>
      <c r="C2338" s="1" t="str">
        <f>TEXT(Sales[[#This Row],[Kode Program/Kegiatan ]],"D")</f>
        <v>30</v>
      </c>
      <c r="D2338" s="2" t="str">
        <f>TEXT(Sales[[#This Row],[Kode Program/Kegiatan ]],"mmm")</f>
        <v>Sep</v>
      </c>
      <c r="E2338" s="3">
        <v>7</v>
      </c>
      <c r="F2338" s="2">
        <v>5</v>
      </c>
      <c r="G2338" s="3">
        <f>IF(Sales[[#This Row],[Anggaran Murni]]-Sales[[#This Row],[Target s.d. Januari]]=0,"",Sales[[#This Row],[Anggaran Murni]]-Sales[[#This Row],[Target s.d. Januari]])</f>
        <v>2</v>
      </c>
      <c r="H2338" s="2" t="s">
        <v>73</v>
      </c>
      <c r="I2338" s="3" t="s">
        <v>78</v>
      </c>
      <c r="J2338" s="3">
        <v>100000000</v>
      </c>
      <c r="K2338" s="2" t="s">
        <v>47</v>
      </c>
      <c r="L2338" s="2" t="s">
        <v>5</v>
      </c>
      <c r="M2338" s="4" t="s">
        <v>67</v>
      </c>
      <c r="N2338" s="3" t="s">
        <v>81</v>
      </c>
      <c r="O2338" s="2" t="s">
        <v>12</v>
      </c>
      <c r="P2338" s="10"/>
      <c r="Q2338" s="11"/>
    </row>
    <row r="2339" spans="2:17" ht="21" customHeight="1" x14ac:dyDescent="0.35">
      <c r="B2339" s="18">
        <v>44104</v>
      </c>
      <c r="C2339" s="18" t="str">
        <f>TEXT(Sales[[#This Row],[Kode Program/Kegiatan ]],"D")</f>
        <v>30</v>
      </c>
      <c r="D2339" s="19" t="str">
        <f>TEXT(Sales[[#This Row],[Kode Program/Kegiatan ]],"mmm")</f>
        <v>Sep</v>
      </c>
      <c r="E2339" s="20">
        <v>7</v>
      </c>
      <c r="F2339" s="19">
        <v>6</v>
      </c>
      <c r="G2339" s="20">
        <f>IF(Sales[[#This Row],[Anggaran Murni]]-Sales[[#This Row],[Target s.d. Januari]]=0,"",Sales[[#This Row],[Anggaran Murni]]-Sales[[#This Row],[Target s.d. Januari]])</f>
        <v>1</v>
      </c>
      <c r="H2339" s="19" t="s">
        <v>113</v>
      </c>
      <c r="I2339" s="20" t="s">
        <v>77</v>
      </c>
      <c r="J2339" s="20">
        <v>40000000</v>
      </c>
      <c r="K2339" s="19" t="s">
        <v>35</v>
      </c>
      <c r="L2339" s="19" t="s">
        <v>2</v>
      </c>
      <c r="M2339" s="21" t="s">
        <v>67</v>
      </c>
      <c r="N2339" s="20" t="s">
        <v>82</v>
      </c>
      <c r="O2339" s="19" t="s">
        <v>11</v>
      </c>
      <c r="P2339" s="10"/>
      <c r="Q2339" s="11"/>
    </row>
    <row r="2340" spans="2:17" ht="21" customHeight="1" x14ac:dyDescent="0.35">
      <c r="B2340" s="1">
        <v>44104</v>
      </c>
      <c r="C2340" s="1" t="str">
        <f>TEXT(Sales[[#This Row],[Kode Program/Kegiatan ]],"D")</f>
        <v>30</v>
      </c>
      <c r="D2340" s="2" t="str">
        <f>TEXT(Sales[[#This Row],[Kode Program/Kegiatan ]],"mmm")</f>
        <v>Sep</v>
      </c>
      <c r="E2340" s="3">
        <v>6</v>
      </c>
      <c r="F2340" s="2">
        <v>4</v>
      </c>
      <c r="G2340" s="3">
        <f>IF(Sales[[#This Row],[Anggaran Murni]]-Sales[[#This Row],[Target s.d. Januari]]=0,"",Sales[[#This Row],[Anggaran Murni]]-Sales[[#This Row],[Target s.d. Januari]])</f>
        <v>2</v>
      </c>
      <c r="H2340" s="2" t="s">
        <v>70</v>
      </c>
      <c r="I2340" s="3" t="s">
        <v>1</v>
      </c>
      <c r="J2340" s="3">
        <v>140000000</v>
      </c>
      <c r="K2340" s="2" t="s">
        <v>20</v>
      </c>
      <c r="L2340" s="2" t="s">
        <v>5</v>
      </c>
      <c r="M2340" s="4" t="s">
        <v>67</v>
      </c>
      <c r="N2340" s="3" t="s">
        <v>82</v>
      </c>
      <c r="O2340" s="2" t="s">
        <v>11</v>
      </c>
      <c r="P2340" s="10"/>
      <c r="Q2340" s="11"/>
    </row>
    <row r="2341" spans="2:17" ht="21" customHeight="1" x14ac:dyDescent="0.35">
      <c r="B2341" s="18">
        <v>44105</v>
      </c>
      <c r="C2341" s="18" t="str">
        <f>TEXT(Sales[[#This Row],[Kode Program/Kegiatan ]],"D")</f>
        <v>1</v>
      </c>
      <c r="D2341" s="19" t="str">
        <f>TEXT(Sales[[#This Row],[Kode Program/Kegiatan ]],"mmm")</f>
        <v>Oct</v>
      </c>
      <c r="E2341" s="20">
        <v>10</v>
      </c>
      <c r="F2341" s="19">
        <v>9</v>
      </c>
      <c r="G2341" s="20">
        <f>IF(Sales[[#This Row],[Anggaran Murni]]-Sales[[#This Row],[Target s.d. Januari]]=0,"",Sales[[#This Row],[Anggaran Murni]]-Sales[[#This Row],[Target s.d. Januari]])</f>
        <v>1</v>
      </c>
      <c r="H2341" s="19" t="s">
        <v>113</v>
      </c>
      <c r="I2341" s="20" t="s">
        <v>77</v>
      </c>
      <c r="J2341" s="20">
        <v>80000000</v>
      </c>
      <c r="K2341" s="19" t="s">
        <v>64</v>
      </c>
      <c r="L2341" s="19" t="s">
        <v>5</v>
      </c>
      <c r="M2341" s="21" t="s">
        <v>67</v>
      </c>
      <c r="N2341" s="20" t="s">
        <v>81</v>
      </c>
      <c r="O2341" s="19" t="s">
        <v>13</v>
      </c>
      <c r="P2341" s="10"/>
      <c r="Q2341" s="11"/>
    </row>
    <row r="2342" spans="2:17" ht="21" customHeight="1" x14ac:dyDescent="0.35">
      <c r="B2342" s="1">
        <v>44105</v>
      </c>
      <c r="C2342" s="1" t="str">
        <f>TEXT(Sales[[#This Row],[Kode Program/Kegiatan ]],"D")</f>
        <v>1</v>
      </c>
      <c r="D2342" s="2" t="str">
        <f>TEXT(Sales[[#This Row],[Kode Program/Kegiatan ]],"mmm")</f>
        <v>Oct</v>
      </c>
      <c r="E2342" s="3">
        <v>9</v>
      </c>
      <c r="F2342" s="2">
        <v>6</v>
      </c>
      <c r="G2342" s="3">
        <f>IF(Sales[[#This Row],[Anggaran Murni]]-Sales[[#This Row],[Target s.d. Januari]]=0,"",Sales[[#This Row],[Anggaran Murni]]-Sales[[#This Row],[Target s.d. Januari]])</f>
        <v>3</v>
      </c>
      <c r="H2342" s="2" t="s">
        <v>70</v>
      </c>
      <c r="I2342" s="3" t="s">
        <v>1</v>
      </c>
      <c r="J2342" s="3">
        <v>40000000</v>
      </c>
      <c r="K2342" s="2" t="s">
        <v>42</v>
      </c>
      <c r="L2342" s="2" t="s">
        <v>7</v>
      </c>
      <c r="M2342" s="4" t="s">
        <v>67</v>
      </c>
      <c r="N2342" s="3" t="s">
        <v>82</v>
      </c>
      <c r="O2342" s="2" t="s">
        <v>13</v>
      </c>
      <c r="P2342" s="10"/>
      <c r="Q2342" s="11"/>
    </row>
    <row r="2343" spans="2:17" ht="21" customHeight="1" x14ac:dyDescent="0.35">
      <c r="B2343" s="18">
        <v>44105</v>
      </c>
      <c r="C2343" s="18" t="str">
        <f>TEXT(Sales[[#This Row],[Kode Program/Kegiatan ]],"D")</f>
        <v>1</v>
      </c>
      <c r="D2343" s="19" t="str">
        <f>TEXT(Sales[[#This Row],[Kode Program/Kegiatan ]],"mmm")</f>
        <v>Oct</v>
      </c>
      <c r="E2343" s="20">
        <v>9</v>
      </c>
      <c r="F2343" s="19">
        <v>8</v>
      </c>
      <c r="G2343" s="20">
        <f>IF(Sales[[#This Row],[Anggaran Murni]]-Sales[[#This Row],[Target s.d. Januari]]=0,"",Sales[[#This Row],[Anggaran Murni]]-Sales[[#This Row],[Target s.d. Januari]])</f>
        <v>1</v>
      </c>
      <c r="H2343" s="19" t="s">
        <v>76</v>
      </c>
      <c r="I2343" s="20" t="s">
        <v>79</v>
      </c>
      <c r="J2343" s="20">
        <v>120000000</v>
      </c>
      <c r="K2343" s="19" t="s">
        <v>31</v>
      </c>
      <c r="L2343" s="19" t="s">
        <v>8</v>
      </c>
      <c r="M2343" s="21" t="s">
        <v>67</v>
      </c>
      <c r="N2343" s="20" t="s">
        <v>81</v>
      </c>
      <c r="O2343" s="19" t="s">
        <v>13</v>
      </c>
      <c r="P2343" s="10"/>
      <c r="Q2343" s="11"/>
    </row>
    <row r="2344" spans="2:17" ht="21" customHeight="1" x14ac:dyDescent="0.35">
      <c r="B2344" s="1">
        <v>44105</v>
      </c>
      <c r="C2344" s="1" t="str">
        <f>TEXT(Sales[[#This Row],[Kode Program/Kegiatan ]],"D")</f>
        <v>1</v>
      </c>
      <c r="D2344" s="2" t="str">
        <f>TEXT(Sales[[#This Row],[Kode Program/Kegiatan ]],"mmm")</f>
        <v>Oct</v>
      </c>
      <c r="E2344" s="3">
        <v>8</v>
      </c>
      <c r="F2344" s="2">
        <v>4</v>
      </c>
      <c r="G2344" s="3">
        <f>IF(Sales[[#This Row],[Anggaran Murni]]-Sales[[#This Row],[Target s.d. Januari]]=0,"",Sales[[#This Row],[Anggaran Murni]]-Sales[[#This Row],[Target s.d. Januari]])</f>
        <v>4</v>
      </c>
      <c r="H2344" s="2" t="s">
        <v>75</v>
      </c>
      <c r="I2344" s="3" t="s">
        <v>6</v>
      </c>
      <c r="J2344" s="3">
        <v>140000000</v>
      </c>
      <c r="K2344" s="2" t="s">
        <v>63</v>
      </c>
      <c r="L2344" s="2" t="s">
        <v>2</v>
      </c>
      <c r="M2344" s="4" t="s">
        <v>67</v>
      </c>
      <c r="N2344" s="3" t="s">
        <v>82</v>
      </c>
      <c r="O2344" s="2" t="s">
        <v>13</v>
      </c>
      <c r="P2344" s="10"/>
      <c r="Q2344" s="11"/>
    </row>
    <row r="2345" spans="2:17" ht="21" customHeight="1" x14ac:dyDescent="0.35">
      <c r="B2345" s="18">
        <v>44105</v>
      </c>
      <c r="C2345" s="18" t="str">
        <f>TEXT(Sales[[#This Row],[Kode Program/Kegiatan ]],"D")</f>
        <v>1</v>
      </c>
      <c r="D2345" s="19" t="str">
        <f>TEXT(Sales[[#This Row],[Kode Program/Kegiatan ]],"mmm")</f>
        <v>Oct</v>
      </c>
      <c r="E2345" s="20">
        <v>7</v>
      </c>
      <c r="F2345" s="19">
        <v>4</v>
      </c>
      <c r="G2345" s="20">
        <f>IF(Sales[[#This Row],[Anggaran Murni]]-Sales[[#This Row],[Target s.d. Januari]]=0,"",Sales[[#This Row],[Anggaran Murni]]-Sales[[#This Row],[Target s.d. Januari]])</f>
        <v>3</v>
      </c>
      <c r="H2345" s="19" t="s">
        <v>114</v>
      </c>
      <c r="I2345" s="20" t="s">
        <v>3</v>
      </c>
      <c r="J2345" s="20">
        <v>80000000</v>
      </c>
      <c r="K2345" s="19" t="s">
        <v>26</v>
      </c>
      <c r="L2345" s="19" t="s">
        <v>9</v>
      </c>
      <c r="M2345" s="21" t="s">
        <v>67</v>
      </c>
      <c r="N2345" s="20" t="s">
        <v>80</v>
      </c>
      <c r="O2345" s="19" t="s">
        <v>13</v>
      </c>
      <c r="P2345" s="10"/>
      <c r="Q2345" s="11"/>
    </row>
    <row r="2346" spans="2:17" ht="21" customHeight="1" x14ac:dyDescent="0.35">
      <c r="B2346" s="1">
        <v>44105</v>
      </c>
      <c r="C2346" s="1" t="str">
        <f>TEXT(Sales[[#This Row],[Kode Program/Kegiatan ]],"D")</f>
        <v>1</v>
      </c>
      <c r="D2346" s="2" t="str">
        <f>TEXT(Sales[[#This Row],[Kode Program/Kegiatan ]],"mmm")</f>
        <v>Oct</v>
      </c>
      <c r="E2346" s="3">
        <v>7</v>
      </c>
      <c r="F2346" s="2">
        <v>5</v>
      </c>
      <c r="G2346" s="3">
        <f>IF(Sales[[#This Row],[Anggaran Murni]]-Sales[[#This Row],[Target s.d. Januari]]=0,"",Sales[[#This Row],[Anggaran Murni]]-Sales[[#This Row],[Target s.d. Januari]])</f>
        <v>2</v>
      </c>
      <c r="H2346" s="2" t="s">
        <v>72</v>
      </c>
      <c r="I2346" s="3" t="s">
        <v>78</v>
      </c>
      <c r="J2346" s="3">
        <v>120000000</v>
      </c>
      <c r="K2346" s="2" t="s">
        <v>50</v>
      </c>
      <c r="L2346" s="2" t="s">
        <v>5</v>
      </c>
      <c r="M2346" s="4" t="s">
        <v>67</v>
      </c>
      <c r="N2346" s="3" t="s">
        <v>81</v>
      </c>
      <c r="O2346" s="2" t="s">
        <v>12</v>
      </c>
      <c r="P2346" s="10"/>
      <c r="Q2346" s="11"/>
    </row>
    <row r="2347" spans="2:17" ht="21" customHeight="1" x14ac:dyDescent="0.35">
      <c r="B2347" s="18">
        <v>44105</v>
      </c>
      <c r="C2347" s="18" t="str">
        <f>TEXT(Sales[[#This Row],[Kode Program/Kegiatan ]],"D")</f>
        <v>1</v>
      </c>
      <c r="D2347" s="19" t="str">
        <f>TEXT(Sales[[#This Row],[Kode Program/Kegiatan ]],"mmm")</f>
        <v>Oct</v>
      </c>
      <c r="E2347" s="20">
        <v>7</v>
      </c>
      <c r="F2347" s="19">
        <v>5</v>
      </c>
      <c r="G2347" s="20">
        <f>IF(Sales[[#This Row],[Anggaran Murni]]-Sales[[#This Row],[Target s.d. Januari]]=0,"",Sales[[#This Row],[Anggaran Murni]]-Sales[[#This Row],[Target s.d. Januari]])</f>
        <v>2</v>
      </c>
      <c r="H2347" s="19" t="s">
        <v>71</v>
      </c>
      <c r="I2347" s="20" t="s">
        <v>6</v>
      </c>
      <c r="J2347" s="20">
        <v>100000000</v>
      </c>
      <c r="K2347" s="19" t="s">
        <v>16</v>
      </c>
      <c r="L2347" s="19" t="s">
        <v>2</v>
      </c>
      <c r="M2347" s="21" t="s">
        <v>67</v>
      </c>
      <c r="N2347" s="20" t="s">
        <v>81</v>
      </c>
      <c r="O2347" s="19" t="s">
        <v>14</v>
      </c>
      <c r="P2347" s="10"/>
      <c r="Q2347" s="11"/>
    </row>
    <row r="2348" spans="2:17" ht="21" customHeight="1" x14ac:dyDescent="0.35">
      <c r="B2348" s="1">
        <v>44105</v>
      </c>
      <c r="C2348" s="1" t="str">
        <f>TEXT(Sales[[#This Row],[Kode Program/Kegiatan ]],"D")</f>
        <v>1</v>
      </c>
      <c r="D2348" s="2" t="str">
        <f>TEXT(Sales[[#This Row],[Kode Program/Kegiatan ]],"mmm")</f>
        <v>Oct</v>
      </c>
      <c r="E2348" s="3">
        <v>7</v>
      </c>
      <c r="F2348" s="2">
        <v>6</v>
      </c>
      <c r="G2348" s="3">
        <f>IF(Sales[[#This Row],[Anggaran Murni]]-Sales[[#This Row],[Target s.d. Januari]]=0,"",Sales[[#This Row],[Anggaran Murni]]-Sales[[#This Row],[Target s.d. Januari]])</f>
        <v>1</v>
      </c>
      <c r="H2348" s="2" t="s">
        <v>113</v>
      </c>
      <c r="I2348" s="3" t="s">
        <v>77</v>
      </c>
      <c r="J2348" s="3">
        <v>40000000</v>
      </c>
      <c r="K2348" s="2" t="s">
        <v>17</v>
      </c>
      <c r="L2348" s="2" t="s">
        <v>5</v>
      </c>
      <c r="M2348" s="4" t="s">
        <v>67</v>
      </c>
      <c r="N2348" s="3" t="s">
        <v>81</v>
      </c>
      <c r="O2348" s="2" t="s">
        <v>12</v>
      </c>
      <c r="P2348" s="10"/>
      <c r="Q2348" s="11"/>
    </row>
    <row r="2349" spans="2:17" ht="21" customHeight="1" x14ac:dyDescent="0.35">
      <c r="B2349" s="18">
        <v>44105</v>
      </c>
      <c r="C2349" s="18" t="str">
        <f>TEXT(Sales[[#This Row],[Kode Program/Kegiatan ]],"D")</f>
        <v>1</v>
      </c>
      <c r="D2349" s="19" t="str">
        <f>TEXT(Sales[[#This Row],[Kode Program/Kegiatan ]],"mmm")</f>
        <v>Oct</v>
      </c>
      <c r="E2349" s="20">
        <v>7</v>
      </c>
      <c r="F2349" s="19">
        <v>4</v>
      </c>
      <c r="G2349" s="20">
        <f>IF(Sales[[#This Row],[Anggaran Murni]]-Sales[[#This Row],[Target s.d. Januari]]=0,"",Sales[[#This Row],[Anggaran Murni]]-Sales[[#This Row],[Target s.d. Januari]])</f>
        <v>3</v>
      </c>
      <c r="H2349" s="19" t="s">
        <v>71</v>
      </c>
      <c r="I2349" s="20" t="s">
        <v>6</v>
      </c>
      <c r="J2349" s="20">
        <v>120000000</v>
      </c>
      <c r="K2349" s="19" t="s">
        <v>21</v>
      </c>
      <c r="L2349" s="19" t="s">
        <v>7</v>
      </c>
      <c r="M2349" s="21" t="s">
        <v>67</v>
      </c>
      <c r="N2349" s="20" t="s">
        <v>81</v>
      </c>
      <c r="O2349" s="19" t="s">
        <v>11</v>
      </c>
      <c r="P2349" s="10"/>
      <c r="Q2349" s="11"/>
    </row>
    <row r="2350" spans="2:17" ht="21" customHeight="1" x14ac:dyDescent="0.35">
      <c r="B2350" s="1">
        <v>44105</v>
      </c>
      <c r="C2350" s="1" t="str">
        <f>TEXT(Sales[[#This Row],[Kode Program/Kegiatan ]],"D")</f>
        <v>1</v>
      </c>
      <c r="D2350" s="2" t="str">
        <f>TEXT(Sales[[#This Row],[Kode Program/Kegiatan ]],"mmm")</f>
        <v>Oct</v>
      </c>
      <c r="E2350" s="3">
        <v>5</v>
      </c>
      <c r="F2350" s="2">
        <v>3</v>
      </c>
      <c r="G2350" s="3">
        <f>IF(Sales[[#This Row],[Anggaran Murni]]-Sales[[#This Row],[Target s.d. Januari]]=0,"",Sales[[#This Row],[Anggaran Murni]]-Sales[[#This Row],[Target s.d. Januari]])</f>
        <v>2</v>
      </c>
      <c r="H2350" s="2" t="s">
        <v>71</v>
      </c>
      <c r="I2350" s="3" t="s">
        <v>6</v>
      </c>
      <c r="J2350" s="3">
        <v>100000000</v>
      </c>
      <c r="K2350" s="2" t="s">
        <v>49</v>
      </c>
      <c r="L2350" s="2" t="s">
        <v>7</v>
      </c>
      <c r="M2350" s="4" t="s">
        <v>67</v>
      </c>
      <c r="N2350" s="3" t="s">
        <v>81</v>
      </c>
      <c r="O2350" s="2" t="s">
        <v>12</v>
      </c>
      <c r="P2350" s="10"/>
      <c r="Q2350" s="11"/>
    </row>
    <row r="2351" spans="2:17" ht="21" customHeight="1" x14ac:dyDescent="0.35">
      <c r="B2351" s="18">
        <v>44106</v>
      </c>
      <c r="C2351" s="18" t="str">
        <f>TEXT(Sales[[#This Row],[Kode Program/Kegiatan ]],"D")</f>
        <v>2</v>
      </c>
      <c r="D2351" s="19" t="str">
        <f>TEXT(Sales[[#This Row],[Kode Program/Kegiatan ]],"mmm")</f>
        <v>Oct</v>
      </c>
      <c r="E2351" s="20">
        <v>9</v>
      </c>
      <c r="F2351" s="19">
        <v>7</v>
      </c>
      <c r="G2351" s="20">
        <f>IF(Sales[[#This Row],[Anggaran Murni]]-Sales[[#This Row],[Target s.d. Januari]]=0,"",Sales[[#This Row],[Anggaran Murni]]-Sales[[#This Row],[Target s.d. Januari]])</f>
        <v>2</v>
      </c>
      <c r="H2351" s="19" t="s">
        <v>72</v>
      </c>
      <c r="I2351" s="20" t="s">
        <v>78</v>
      </c>
      <c r="J2351" s="20">
        <v>40000000</v>
      </c>
      <c r="K2351" s="19" t="s">
        <v>45</v>
      </c>
      <c r="L2351" s="19" t="s">
        <v>4</v>
      </c>
      <c r="M2351" s="21" t="s">
        <v>67</v>
      </c>
      <c r="N2351" s="20" t="s">
        <v>81</v>
      </c>
      <c r="O2351" s="19" t="s">
        <v>13</v>
      </c>
      <c r="P2351" s="10"/>
      <c r="Q2351" s="11"/>
    </row>
    <row r="2352" spans="2:17" ht="21" customHeight="1" x14ac:dyDescent="0.35">
      <c r="B2352" s="1">
        <v>44106</v>
      </c>
      <c r="C2352" s="1" t="str">
        <f>TEXT(Sales[[#This Row],[Kode Program/Kegiatan ]],"D")</f>
        <v>2</v>
      </c>
      <c r="D2352" s="2" t="str">
        <f>TEXT(Sales[[#This Row],[Kode Program/Kegiatan ]],"mmm")</f>
        <v>Oct</v>
      </c>
      <c r="E2352" s="3">
        <v>9</v>
      </c>
      <c r="F2352" s="2">
        <v>5</v>
      </c>
      <c r="G2352" s="3">
        <f>IF(Sales[[#This Row],[Anggaran Murni]]-Sales[[#This Row],[Target s.d. Januari]]=0,"",Sales[[#This Row],[Anggaran Murni]]-Sales[[#This Row],[Target s.d. Januari]])</f>
        <v>4</v>
      </c>
      <c r="H2352" s="2" t="s">
        <v>74</v>
      </c>
      <c r="I2352" s="3" t="s">
        <v>77</v>
      </c>
      <c r="J2352" s="3">
        <v>140000000</v>
      </c>
      <c r="K2352" s="2" t="s">
        <v>32</v>
      </c>
      <c r="L2352" s="2" t="s">
        <v>5</v>
      </c>
      <c r="M2352" s="4" t="s">
        <v>67</v>
      </c>
      <c r="N2352" s="3" t="s">
        <v>81</v>
      </c>
      <c r="O2352" s="2" t="s">
        <v>14</v>
      </c>
      <c r="P2352" s="10"/>
      <c r="Q2352" s="11"/>
    </row>
    <row r="2353" spans="2:17" ht="21" customHeight="1" x14ac:dyDescent="0.35">
      <c r="B2353" s="18">
        <v>44106</v>
      </c>
      <c r="C2353" s="18" t="str">
        <f>TEXT(Sales[[#This Row],[Kode Program/Kegiatan ]],"D")</f>
        <v>2</v>
      </c>
      <c r="D2353" s="19" t="str">
        <f>TEXT(Sales[[#This Row],[Kode Program/Kegiatan ]],"mmm")</f>
        <v>Oct</v>
      </c>
      <c r="E2353" s="20">
        <v>9</v>
      </c>
      <c r="F2353" s="19">
        <v>8</v>
      </c>
      <c r="G2353" s="20">
        <f>IF(Sales[[#This Row],[Anggaran Murni]]-Sales[[#This Row],[Target s.d. Januari]]=0,"",Sales[[#This Row],[Anggaran Murni]]-Sales[[#This Row],[Target s.d. Januari]])</f>
        <v>1</v>
      </c>
      <c r="H2353" s="19" t="s">
        <v>72</v>
      </c>
      <c r="I2353" s="20" t="s">
        <v>78</v>
      </c>
      <c r="J2353" s="20">
        <v>100000000</v>
      </c>
      <c r="K2353" s="19" t="s">
        <v>55</v>
      </c>
      <c r="L2353" s="19" t="s">
        <v>8</v>
      </c>
      <c r="M2353" s="21" t="s">
        <v>67</v>
      </c>
      <c r="N2353" s="20" t="s">
        <v>82</v>
      </c>
      <c r="O2353" s="19" t="s">
        <v>13</v>
      </c>
      <c r="P2353" s="10"/>
      <c r="Q2353" s="11"/>
    </row>
    <row r="2354" spans="2:17" ht="21" customHeight="1" x14ac:dyDescent="0.35">
      <c r="B2354" s="1">
        <v>44106</v>
      </c>
      <c r="C2354" s="1" t="str">
        <f>TEXT(Sales[[#This Row],[Kode Program/Kegiatan ]],"D")</f>
        <v>2</v>
      </c>
      <c r="D2354" s="2" t="str">
        <f>TEXT(Sales[[#This Row],[Kode Program/Kegiatan ]],"mmm")</f>
        <v>Oct</v>
      </c>
      <c r="E2354" s="3">
        <v>8</v>
      </c>
      <c r="F2354" s="2">
        <v>5</v>
      </c>
      <c r="G2354" s="3">
        <f>IF(Sales[[#This Row],[Anggaran Murni]]-Sales[[#This Row],[Target s.d. Januari]]=0,"",Sales[[#This Row],[Anggaran Murni]]-Sales[[#This Row],[Target s.d. Januari]])</f>
        <v>3</v>
      </c>
      <c r="H2354" s="2" t="s">
        <v>71</v>
      </c>
      <c r="I2354" s="3" t="s">
        <v>6</v>
      </c>
      <c r="J2354" s="3">
        <v>40000000</v>
      </c>
      <c r="K2354" s="2" t="s">
        <v>57</v>
      </c>
      <c r="L2354" s="2" t="s">
        <v>2</v>
      </c>
      <c r="M2354" s="4" t="s">
        <v>67</v>
      </c>
      <c r="N2354" s="3" t="s">
        <v>80</v>
      </c>
      <c r="O2354" s="2" t="s">
        <v>14</v>
      </c>
      <c r="P2354" s="10"/>
      <c r="Q2354" s="11"/>
    </row>
    <row r="2355" spans="2:17" ht="21" customHeight="1" x14ac:dyDescent="0.35">
      <c r="B2355" s="18">
        <v>44106</v>
      </c>
      <c r="C2355" s="18" t="str">
        <f>TEXT(Sales[[#This Row],[Kode Program/Kegiatan ]],"D")</f>
        <v>2</v>
      </c>
      <c r="D2355" s="19" t="str">
        <f>TEXT(Sales[[#This Row],[Kode Program/Kegiatan ]],"mmm")</f>
        <v>Oct</v>
      </c>
      <c r="E2355" s="20">
        <v>6</v>
      </c>
      <c r="F2355" s="19">
        <v>3</v>
      </c>
      <c r="G2355" s="20">
        <f>IF(Sales[[#This Row],[Anggaran Murni]]-Sales[[#This Row],[Target s.d. Januari]]=0,"",Sales[[#This Row],[Anggaran Murni]]-Sales[[#This Row],[Target s.d. Januari]])</f>
        <v>3</v>
      </c>
      <c r="H2355" s="19" t="s">
        <v>75</v>
      </c>
      <c r="I2355" s="20" t="s">
        <v>6</v>
      </c>
      <c r="J2355" s="20">
        <v>60000000</v>
      </c>
      <c r="K2355" s="19" t="s">
        <v>32</v>
      </c>
      <c r="L2355" s="19" t="s">
        <v>2</v>
      </c>
      <c r="M2355" s="21" t="s">
        <v>67</v>
      </c>
      <c r="N2355" s="20" t="s">
        <v>81</v>
      </c>
      <c r="O2355" s="19" t="s">
        <v>11</v>
      </c>
      <c r="P2355" s="10"/>
      <c r="Q2355" s="11"/>
    </row>
    <row r="2356" spans="2:17" ht="21" customHeight="1" x14ac:dyDescent="0.35">
      <c r="B2356" s="1">
        <v>44106</v>
      </c>
      <c r="C2356" s="1" t="str">
        <f>TEXT(Sales[[#This Row],[Kode Program/Kegiatan ]],"D")</f>
        <v>2</v>
      </c>
      <c r="D2356" s="2" t="str">
        <f>TEXT(Sales[[#This Row],[Kode Program/Kegiatan ]],"mmm")</f>
        <v>Oct</v>
      </c>
      <c r="E2356" s="3">
        <v>6</v>
      </c>
      <c r="F2356" s="2">
        <v>4</v>
      </c>
      <c r="G2356" s="3">
        <f>IF(Sales[[#This Row],[Anggaran Murni]]-Sales[[#This Row],[Target s.d. Januari]]=0,"",Sales[[#This Row],[Anggaran Murni]]-Sales[[#This Row],[Target s.d. Januari]])</f>
        <v>2</v>
      </c>
      <c r="H2356" s="2" t="s">
        <v>73</v>
      </c>
      <c r="I2356" s="3" t="s">
        <v>78</v>
      </c>
      <c r="J2356" s="3">
        <v>40000000</v>
      </c>
      <c r="K2356" s="2" t="s">
        <v>53</v>
      </c>
      <c r="L2356" s="2" t="s">
        <v>5</v>
      </c>
      <c r="M2356" s="4" t="s">
        <v>67</v>
      </c>
      <c r="N2356" s="3" t="s">
        <v>80</v>
      </c>
      <c r="O2356" s="2" t="s">
        <v>14</v>
      </c>
      <c r="P2356" s="10"/>
      <c r="Q2356" s="11"/>
    </row>
    <row r="2357" spans="2:17" ht="21" customHeight="1" x14ac:dyDescent="0.35">
      <c r="B2357" s="18">
        <v>44106</v>
      </c>
      <c r="C2357" s="18" t="str">
        <f>TEXT(Sales[[#This Row],[Kode Program/Kegiatan ]],"D")</f>
        <v>2</v>
      </c>
      <c r="D2357" s="19" t="str">
        <f>TEXT(Sales[[#This Row],[Kode Program/Kegiatan ]],"mmm")</f>
        <v>Oct</v>
      </c>
      <c r="E2357" s="20">
        <v>5</v>
      </c>
      <c r="F2357" s="19">
        <v>3</v>
      </c>
      <c r="G2357" s="20">
        <f>IF(Sales[[#This Row],[Anggaran Murni]]-Sales[[#This Row],[Target s.d. Januari]]=0,"",Sales[[#This Row],[Anggaran Murni]]-Sales[[#This Row],[Target s.d. Januari]])</f>
        <v>2</v>
      </c>
      <c r="H2357" s="19" t="s">
        <v>113</v>
      </c>
      <c r="I2357" s="20" t="s">
        <v>77</v>
      </c>
      <c r="J2357" s="20">
        <v>80000000</v>
      </c>
      <c r="K2357" s="19" t="s">
        <v>23</v>
      </c>
      <c r="L2357" s="19" t="s">
        <v>9</v>
      </c>
      <c r="M2357" s="21" t="s">
        <v>67</v>
      </c>
      <c r="N2357" s="20" t="s">
        <v>82</v>
      </c>
      <c r="O2357" s="19" t="s">
        <v>12</v>
      </c>
      <c r="P2357" s="10"/>
      <c r="Q2357" s="11"/>
    </row>
    <row r="2358" spans="2:17" ht="21" customHeight="1" x14ac:dyDescent="0.35">
      <c r="B2358" s="1">
        <v>44106</v>
      </c>
      <c r="C2358" s="1" t="str">
        <f>TEXT(Sales[[#This Row],[Kode Program/Kegiatan ]],"D")</f>
        <v>2</v>
      </c>
      <c r="D2358" s="2" t="str">
        <f>TEXT(Sales[[#This Row],[Kode Program/Kegiatan ]],"mmm")</f>
        <v>Oct</v>
      </c>
      <c r="E2358" s="3">
        <v>4</v>
      </c>
      <c r="F2358" s="2">
        <v>3</v>
      </c>
      <c r="G2358" s="3">
        <f>IF(Sales[[#This Row],[Anggaran Murni]]-Sales[[#This Row],[Target s.d. Januari]]=0,"",Sales[[#This Row],[Anggaran Murni]]-Sales[[#This Row],[Target s.d. Januari]])</f>
        <v>1</v>
      </c>
      <c r="H2358" s="2" t="s">
        <v>114</v>
      </c>
      <c r="I2358" s="3" t="s">
        <v>3</v>
      </c>
      <c r="J2358" s="3">
        <v>100000000</v>
      </c>
      <c r="K2358" s="2" t="s">
        <v>52</v>
      </c>
      <c r="L2358" s="2" t="s">
        <v>9</v>
      </c>
      <c r="M2358" s="4" t="s">
        <v>67</v>
      </c>
      <c r="N2358" s="3" t="s">
        <v>82</v>
      </c>
      <c r="O2358" s="2" t="s">
        <v>11</v>
      </c>
      <c r="P2358" s="10"/>
      <c r="Q2358" s="11"/>
    </row>
    <row r="2359" spans="2:17" ht="21" customHeight="1" x14ac:dyDescent="0.35">
      <c r="B2359" s="18">
        <v>44106</v>
      </c>
      <c r="C2359" s="18" t="str">
        <f>TEXT(Sales[[#This Row],[Kode Program/Kegiatan ]],"D")</f>
        <v>2</v>
      </c>
      <c r="D2359" s="19" t="str">
        <f>TEXT(Sales[[#This Row],[Kode Program/Kegiatan ]],"mmm")</f>
        <v>Oct</v>
      </c>
      <c r="E2359" s="20">
        <v>4</v>
      </c>
      <c r="F2359" s="19">
        <v>3</v>
      </c>
      <c r="G2359" s="20">
        <f>IF(Sales[[#This Row],[Anggaran Murni]]-Sales[[#This Row],[Target s.d. Januari]]=0,"",Sales[[#This Row],[Anggaran Murni]]-Sales[[#This Row],[Target s.d. Januari]])</f>
        <v>1</v>
      </c>
      <c r="H2359" s="19" t="s">
        <v>76</v>
      </c>
      <c r="I2359" s="20" t="s">
        <v>79</v>
      </c>
      <c r="J2359" s="20">
        <v>60000000</v>
      </c>
      <c r="K2359" s="19" t="s">
        <v>29</v>
      </c>
      <c r="L2359" s="19" t="s">
        <v>5</v>
      </c>
      <c r="M2359" s="21" t="s">
        <v>67</v>
      </c>
      <c r="N2359" s="20" t="s">
        <v>80</v>
      </c>
      <c r="O2359" s="19" t="s">
        <v>12</v>
      </c>
      <c r="P2359" s="10"/>
      <c r="Q2359" s="11"/>
    </row>
    <row r="2360" spans="2:17" ht="21" customHeight="1" x14ac:dyDescent="0.35">
      <c r="B2360" s="1">
        <v>44106</v>
      </c>
      <c r="C2360" s="1" t="str">
        <f>TEXT(Sales[[#This Row],[Kode Program/Kegiatan ]],"D")</f>
        <v>2</v>
      </c>
      <c r="D2360" s="2" t="str">
        <f>TEXT(Sales[[#This Row],[Kode Program/Kegiatan ]],"mmm")</f>
        <v>Oct</v>
      </c>
      <c r="E2360" s="3">
        <v>4</v>
      </c>
      <c r="F2360" s="2">
        <v>3</v>
      </c>
      <c r="G2360" s="3">
        <f>IF(Sales[[#This Row],[Anggaran Murni]]-Sales[[#This Row],[Target s.d. Januari]]=0,"",Sales[[#This Row],[Anggaran Murni]]-Sales[[#This Row],[Target s.d. Januari]])</f>
        <v>1</v>
      </c>
      <c r="H2360" s="2" t="s">
        <v>113</v>
      </c>
      <c r="I2360" s="3" t="s">
        <v>77</v>
      </c>
      <c r="J2360" s="3">
        <v>60000000</v>
      </c>
      <c r="K2360" s="2" t="s">
        <v>27</v>
      </c>
      <c r="L2360" s="2" t="s">
        <v>5</v>
      </c>
      <c r="M2360" s="4" t="s">
        <v>67</v>
      </c>
      <c r="N2360" s="3" t="s">
        <v>81</v>
      </c>
      <c r="O2360" s="2" t="s">
        <v>14</v>
      </c>
      <c r="P2360" s="10"/>
      <c r="Q2360" s="11"/>
    </row>
    <row r="2361" spans="2:17" ht="21" customHeight="1" x14ac:dyDescent="0.35">
      <c r="B2361" s="18">
        <v>44107</v>
      </c>
      <c r="C2361" s="18" t="str">
        <f>TEXT(Sales[[#This Row],[Kode Program/Kegiatan ]],"D")</f>
        <v>3</v>
      </c>
      <c r="D2361" s="19" t="str">
        <f>TEXT(Sales[[#This Row],[Kode Program/Kegiatan ]],"mmm")</f>
        <v>Oct</v>
      </c>
      <c r="E2361" s="20">
        <v>9</v>
      </c>
      <c r="F2361" s="19">
        <v>6</v>
      </c>
      <c r="G2361" s="20">
        <f>IF(Sales[[#This Row],[Anggaran Murni]]-Sales[[#This Row],[Target s.d. Januari]]=0,"",Sales[[#This Row],[Anggaran Murni]]-Sales[[#This Row],[Target s.d. Januari]])</f>
        <v>3</v>
      </c>
      <c r="H2361" s="19" t="s">
        <v>71</v>
      </c>
      <c r="I2361" s="20" t="s">
        <v>6</v>
      </c>
      <c r="J2361" s="20">
        <v>80000000</v>
      </c>
      <c r="K2361" s="19" t="s">
        <v>61</v>
      </c>
      <c r="L2361" s="19" t="s">
        <v>5</v>
      </c>
      <c r="M2361" s="21" t="s">
        <v>67</v>
      </c>
      <c r="N2361" s="20" t="s">
        <v>81</v>
      </c>
      <c r="O2361" s="19" t="s">
        <v>12</v>
      </c>
      <c r="P2361" s="10"/>
      <c r="Q2361" s="11"/>
    </row>
    <row r="2362" spans="2:17" ht="21" customHeight="1" x14ac:dyDescent="0.35">
      <c r="B2362" s="1">
        <v>44107</v>
      </c>
      <c r="C2362" s="1" t="str">
        <f>TEXT(Sales[[#This Row],[Kode Program/Kegiatan ]],"D")</f>
        <v>3</v>
      </c>
      <c r="D2362" s="2" t="str">
        <f>TEXT(Sales[[#This Row],[Kode Program/Kegiatan ]],"mmm")</f>
        <v>Oct</v>
      </c>
      <c r="E2362" s="3">
        <v>8</v>
      </c>
      <c r="F2362" s="2">
        <v>6</v>
      </c>
      <c r="G2362" s="3">
        <f>IF(Sales[[#This Row],[Anggaran Murni]]-Sales[[#This Row],[Target s.d. Januari]]=0,"",Sales[[#This Row],[Anggaran Murni]]-Sales[[#This Row],[Target s.d. Januari]])</f>
        <v>2</v>
      </c>
      <c r="H2362" s="2" t="s">
        <v>113</v>
      </c>
      <c r="I2362" s="3" t="s">
        <v>77</v>
      </c>
      <c r="J2362" s="3">
        <v>80000000</v>
      </c>
      <c r="K2362" s="2" t="s">
        <v>21</v>
      </c>
      <c r="L2362" s="2" t="s">
        <v>8</v>
      </c>
      <c r="M2362" s="4" t="s">
        <v>67</v>
      </c>
      <c r="N2362" s="3" t="s">
        <v>82</v>
      </c>
      <c r="O2362" s="2" t="s">
        <v>11</v>
      </c>
      <c r="P2362" s="10"/>
      <c r="Q2362" s="11"/>
    </row>
    <row r="2363" spans="2:17" ht="21" customHeight="1" x14ac:dyDescent="0.35">
      <c r="B2363" s="18">
        <v>44107</v>
      </c>
      <c r="C2363" s="18" t="str">
        <f>TEXT(Sales[[#This Row],[Kode Program/Kegiatan ]],"D")</f>
        <v>3</v>
      </c>
      <c r="D2363" s="19" t="str">
        <f>TEXT(Sales[[#This Row],[Kode Program/Kegiatan ]],"mmm")</f>
        <v>Oct</v>
      </c>
      <c r="E2363" s="20">
        <v>8</v>
      </c>
      <c r="F2363" s="19">
        <v>6</v>
      </c>
      <c r="G2363" s="20">
        <f>IF(Sales[[#This Row],[Anggaran Murni]]-Sales[[#This Row],[Target s.d. Januari]]=0,"",Sales[[#This Row],[Anggaran Murni]]-Sales[[#This Row],[Target s.d. Januari]])</f>
        <v>2</v>
      </c>
      <c r="H2363" s="19" t="s">
        <v>70</v>
      </c>
      <c r="I2363" s="20" t="s">
        <v>1</v>
      </c>
      <c r="J2363" s="20">
        <v>80000000</v>
      </c>
      <c r="K2363" s="19" t="s">
        <v>37</v>
      </c>
      <c r="L2363" s="19" t="s">
        <v>9</v>
      </c>
      <c r="M2363" s="21" t="s">
        <v>67</v>
      </c>
      <c r="N2363" s="20" t="s">
        <v>82</v>
      </c>
      <c r="O2363" s="19" t="s">
        <v>12</v>
      </c>
      <c r="P2363" s="10"/>
      <c r="Q2363" s="11"/>
    </row>
    <row r="2364" spans="2:17" ht="21" customHeight="1" x14ac:dyDescent="0.35">
      <c r="B2364" s="1">
        <v>44107</v>
      </c>
      <c r="C2364" s="1" t="str">
        <f>TEXT(Sales[[#This Row],[Kode Program/Kegiatan ]],"D")</f>
        <v>3</v>
      </c>
      <c r="D2364" s="2" t="str">
        <f>TEXT(Sales[[#This Row],[Kode Program/Kegiatan ]],"mmm")</f>
        <v>Oct</v>
      </c>
      <c r="E2364" s="3">
        <v>8</v>
      </c>
      <c r="F2364" s="2">
        <v>6</v>
      </c>
      <c r="G2364" s="3">
        <f>IF(Sales[[#This Row],[Anggaran Murni]]-Sales[[#This Row],[Target s.d. Januari]]=0,"",Sales[[#This Row],[Anggaran Murni]]-Sales[[#This Row],[Target s.d. Januari]])</f>
        <v>2</v>
      </c>
      <c r="H2364" s="2" t="s">
        <v>71</v>
      </c>
      <c r="I2364" s="3" t="s">
        <v>6</v>
      </c>
      <c r="J2364" s="3">
        <v>100000000</v>
      </c>
      <c r="K2364" s="2" t="s">
        <v>51</v>
      </c>
      <c r="L2364" s="2" t="s">
        <v>5</v>
      </c>
      <c r="M2364" s="4" t="s">
        <v>67</v>
      </c>
      <c r="N2364" s="3" t="s">
        <v>80</v>
      </c>
      <c r="O2364" s="2" t="s">
        <v>14</v>
      </c>
      <c r="P2364" s="10"/>
      <c r="Q2364" s="11"/>
    </row>
    <row r="2365" spans="2:17" ht="21" customHeight="1" x14ac:dyDescent="0.35">
      <c r="B2365" s="18">
        <v>44107</v>
      </c>
      <c r="C2365" s="18" t="str">
        <f>TEXT(Sales[[#This Row],[Kode Program/Kegiatan ]],"D")</f>
        <v>3</v>
      </c>
      <c r="D2365" s="19" t="str">
        <f>TEXT(Sales[[#This Row],[Kode Program/Kegiatan ]],"mmm")</f>
        <v>Oct</v>
      </c>
      <c r="E2365" s="20">
        <v>7</v>
      </c>
      <c r="F2365" s="19">
        <v>4</v>
      </c>
      <c r="G2365" s="20">
        <f>IF(Sales[[#This Row],[Anggaran Murni]]-Sales[[#This Row],[Target s.d. Januari]]=0,"",Sales[[#This Row],[Anggaran Murni]]-Sales[[#This Row],[Target s.d. Januari]])</f>
        <v>3</v>
      </c>
      <c r="H2365" s="19" t="s">
        <v>73</v>
      </c>
      <c r="I2365" s="20" t="s">
        <v>78</v>
      </c>
      <c r="J2365" s="20">
        <v>100000000</v>
      </c>
      <c r="K2365" s="19" t="s">
        <v>37</v>
      </c>
      <c r="L2365" s="19" t="s">
        <v>7</v>
      </c>
      <c r="M2365" s="21" t="s">
        <v>67</v>
      </c>
      <c r="N2365" s="20" t="s">
        <v>80</v>
      </c>
      <c r="O2365" s="19" t="s">
        <v>11</v>
      </c>
      <c r="P2365" s="10"/>
      <c r="Q2365" s="11"/>
    </row>
    <row r="2366" spans="2:17" ht="21" customHeight="1" x14ac:dyDescent="0.35">
      <c r="B2366" s="1">
        <v>44107</v>
      </c>
      <c r="C2366" s="1" t="str">
        <f>TEXT(Sales[[#This Row],[Kode Program/Kegiatan ]],"D")</f>
        <v>3</v>
      </c>
      <c r="D2366" s="2" t="str">
        <f>TEXT(Sales[[#This Row],[Kode Program/Kegiatan ]],"mmm")</f>
        <v>Oct</v>
      </c>
      <c r="E2366" s="3">
        <v>7</v>
      </c>
      <c r="F2366" s="2">
        <v>4</v>
      </c>
      <c r="G2366" s="3">
        <f>IF(Sales[[#This Row],[Anggaran Murni]]-Sales[[#This Row],[Target s.d. Januari]]=0,"",Sales[[#This Row],[Anggaran Murni]]-Sales[[#This Row],[Target s.d. Januari]])</f>
        <v>3</v>
      </c>
      <c r="H2366" s="2" t="s">
        <v>114</v>
      </c>
      <c r="I2366" s="3" t="s">
        <v>3</v>
      </c>
      <c r="J2366" s="3">
        <v>40000000</v>
      </c>
      <c r="K2366" s="2" t="s">
        <v>38</v>
      </c>
      <c r="L2366" s="2" t="s">
        <v>5</v>
      </c>
      <c r="M2366" s="4" t="s">
        <v>67</v>
      </c>
      <c r="N2366" s="3" t="s">
        <v>82</v>
      </c>
      <c r="O2366" s="2" t="s">
        <v>13</v>
      </c>
      <c r="P2366" s="10"/>
      <c r="Q2366" s="11"/>
    </row>
    <row r="2367" spans="2:17" ht="21" customHeight="1" x14ac:dyDescent="0.35">
      <c r="B2367" s="18">
        <v>44107</v>
      </c>
      <c r="C2367" s="18" t="str">
        <f>TEXT(Sales[[#This Row],[Kode Program/Kegiatan ]],"D")</f>
        <v>3</v>
      </c>
      <c r="D2367" s="19" t="str">
        <f>TEXT(Sales[[#This Row],[Kode Program/Kegiatan ]],"mmm")</f>
        <v>Oct</v>
      </c>
      <c r="E2367" s="20">
        <v>5</v>
      </c>
      <c r="F2367" s="19">
        <v>4</v>
      </c>
      <c r="G2367" s="20">
        <f>IF(Sales[[#This Row],[Anggaran Murni]]-Sales[[#This Row],[Target s.d. Januari]]=0,"",Sales[[#This Row],[Anggaran Murni]]-Sales[[#This Row],[Target s.d. Januari]])</f>
        <v>1</v>
      </c>
      <c r="H2367" s="19" t="s">
        <v>73</v>
      </c>
      <c r="I2367" s="20" t="s">
        <v>78</v>
      </c>
      <c r="J2367" s="20">
        <v>40000000</v>
      </c>
      <c r="K2367" s="19" t="s">
        <v>31</v>
      </c>
      <c r="L2367" s="19" t="s">
        <v>5</v>
      </c>
      <c r="M2367" s="21" t="s">
        <v>67</v>
      </c>
      <c r="N2367" s="20" t="s">
        <v>82</v>
      </c>
      <c r="O2367" s="19" t="s">
        <v>12</v>
      </c>
      <c r="P2367" s="10"/>
      <c r="Q2367" s="11"/>
    </row>
    <row r="2368" spans="2:17" ht="21" customHeight="1" x14ac:dyDescent="0.35">
      <c r="B2368" s="1">
        <v>44107</v>
      </c>
      <c r="C2368" s="1" t="str">
        <f>TEXT(Sales[[#This Row],[Kode Program/Kegiatan ]],"D")</f>
        <v>3</v>
      </c>
      <c r="D2368" s="2" t="str">
        <f>TEXT(Sales[[#This Row],[Kode Program/Kegiatan ]],"mmm")</f>
        <v>Oct</v>
      </c>
      <c r="E2368" s="3">
        <v>4</v>
      </c>
      <c r="F2368" s="2">
        <v>2</v>
      </c>
      <c r="G2368" s="3">
        <f>IF(Sales[[#This Row],[Anggaran Murni]]-Sales[[#This Row],[Target s.d. Januari]]=0,"",Sales[[#This Row],[Anggaran Murni]]-Sales[[#This Row],[Target s.d. Januari]])</f>
        <v>2</v>
      </c>
      <c r="H2368" s="2" t="s">
        <v>75</v>
      </c>
      <c r="I2368" s="3" t="s">
        <v>6</v>
      </c>
      <c r="J2368" s="3">
        <v>100000000</v>
      </c>
      <c r="K2368" s="2" t="s">
        <v>16</v>
      </c>
      <c r="L2368" s="2" t="s">
        <v>5</v>
      </c>
      <c r="M2368" s="4" t="s">
        <v>67</v>
      </c>
      <c r="N2368" s="3" t="s">
        <v>82</v>
      </c>
      <c r="O2368" s="2" t="s">
        <v>13</v>
      </c>
      <c r="P2368" s="10"/>
      <c r="Q2368" s="11"/>
    </row>
    <row r="2369" spans="2:17" ht="21" customHeight="1" x14ac:dyDescent="0.35">
      <c r="B2369" s="18">
        <v>44107</v>
      </c>
      <c r="C2369" s="18" t="str">
        <f>TEXT(Sales[[#This Row],[Kode Program/Kegiatan ]],"D")</f>
        <v>3</v>
      </c>
      <c r="D2369" s="19" t="str">
        <f>TEXT(Sales[[#This Row],[Kode Program/Kegiatan ]],"mmm")</f>
        <v>Oct</v>
      </c>
      <c r="E2369" s="20">
        <v>4</v>
      </c>
      <c r="F2369" s="19">
        <v>3</v>
      </c>
      <c r="G2369" s="20">
        <f>IF(Sales[[#This Row],[Anggaran Murni]]-Sales[[#This Row],[Target s.d. Januari]]=0,"",Sales[[#This Row],[Anggaran Murni]]-Sales[[#This Row],[Target s.d. Januari]])</f>
        <v>1</v>
      </c>
      <c r="H2369" s="19" t="s">
        <v>75</v>
      </c>
      <c r="I2369" s="20" t="s">
        <v>6</v>
      </c>
      <c r="J2369" s="20">
        <v>140000000</v>
      </c>
      <c r="K2369" s="19" t="s">
        <v>32</v>
      </c>
      <c r="L2369" s="19" t="s">
        <v>2</v>
      </c>
      <c r="M2369" s="21" t="s">
        <v>67</v>
      </c>
      <c r="N2369" s="20" t="s">
        <v>81</v>
      </c>
      <c r="O2369" s="19" t="s">
        <v>13</v>
      </c>
      <c r="P2369" s="10"/>
      <c r="Q2369" s="11"/>
    </row>
    <row r="2370" spans="2:17" ht="21" customHeight="1" x14ac:dyDescent="0.35">
      <c r="B2370" s="1">
        <v>44107</v>
      </c>
      <c r="C2370" s="1" t="str">
        <f>TEXT(Sales[[#This Row],[Kode Program/Kegiatan ]],"D")</f>
        <v>3</v>
      </c>
      <c r="D2370" s="2" t="str">
        <f>TEXT(Sales[[#This Row],[Kode Program/Kegiatan ]],"mmm")</f>
        <v>Oct</v>
      </c>
      <c r="E2370" s="3">
        <v>3</v>
      </c>
      <c r="F2370" s="2">
        <v>2</v>
      </c>
      <c r="G2370" s="3">
        <f>IF(Sales[[#This Row],[Anggaran Murni]]-Sales[[#This Row],[Target s.d. Januari]]=0,"",Sales[[#This Row],[Anggaran Murni]]-Sales[[#This Row],[Target s.d. Januari]])</f>
        <v>1</v>
      </c>
      <c r="H2370" s="2" t="s">
        <v>70</v>
      </c>
      <c r="I2370" s="3" t="s">
        <v>1</v>
      </c>
      <c r="J2370" s="3">
        <v>60000000</v>
      </c>
      <c r="K2370" s="2" t="s">
        <v>27</v>
      </c>
      <c r="L2370" s="2" t="s">
        <v>2</v>
      </c>
      <c r="M2370" s="4" t="s">
        <v>67</v>
      </c>
      <c r="N2370" s="3" t="s">
        <v>82</v>
      </c>
      <c r="O2370" s="2" t="s">
        <v>14</v>
      </c>
      <c r="P2370" s="10"/>
      <c r="Q2370" s="11"/>
    </row>
    <row r="2371" spans="2:17" ht="21" customHeight="1" x14ac:dyDescent="0.35">
      <c r="B2371" s="18">
        <v>44107</v>
      </c>
      <c r="C2371" s="18" t="str">
        <f>TEXT(Sales[[#This Row],[Kode Program/Kegiatan ]],"D")</f>
        <v>3</v>
      </c>
      <c r="D2371" s="19" t="str">
        <f>TEXT(Sales[[#This Row],[Kode Program/Kegiatan ]],"mmm")</f>
        <v>Oct</v>
      </c>
      <c r="E2371" s="20">
        <v>3</v>
      </c>
      <c r="F2371" s="19">
        <v>1</v>
      </c>
      <c r="G2371" s="20">
        <f>IF(Sales[[#This Row],[Anggaran Murni]]-Sales[[#This Row],[Target s.d. Januari]]=0,"",Sales[[#This Row],[Anggaran Murni]]-Sales[[#This Row],[Target s.d. Januari]])</f>
        <v>2</v>
      </c>
      <c r="H2371" s="19" t="s">
        <v>74</v>
      </c>
      <c r="I2371" s="20" t="s">
        <v>77</v>
      </c>
      <c r="J2371" s="20">
        <v>60000000</v>
      </c>
      <c r="K2371" s="19" t="s">
        <v>37</v>
      </c>
      <c r="L2371" s="19" t="s">
        <v>5</v>
      </c>
      <c r="M2371" s="21" t="s">
        <v>67</v>
      </c>
      <c r="N2371" s="20" t="s">
        <v>80</v>
      </c>
      <c r="O2371" s="19" t="s">
        <v>11</v>
      </c>
      <c r="P2371" s="10"/>
      <c r="Q2371" s="11"/>
    </row>
    <row r="2372" spans="2:17" ht="21" customHeight="1" x14ac:dyDescent="0.35">
      <c r="B2372" s="1">
        <v>44108</v>
      </c>
      <c r="C2372" s="1" t="str">
        <f>TEXT(Sales[[#This Row],[Kode Program/Kegiatan ]],"D")</f>
        <v>4</v>
      </c>
      <c r="D2372" s="2" t="str">
        <f>TEXT(Sales[[#This Row],[Kode Program/Kegiatan ]],"mmm")</f>
        <v>Oct</v>
      </c>
      <c r="E2372" s="3">
        <v>9</v>
      </c>
      <c r="F2372" s="2">
        <v>7</v>
      </c>
      <c r="G2372" s="3">
        <f>IF(Sales[[#This Row],[Anggaran Murni]]-Sales[[#This Row],[Target s.d. Januari]]=0,"",Sales[[#This Row],[Anggaran Murni]]-Sales[[#This Row],[Target s.d. Januari]])</f>
        <v>2</v>
      </c>
      <c r="H2372" s="2" t="s">
        <v>113</v>
      </c>
      <c r="I2372" s="3" t="s">
        <v>77</v>
      </c>
      <c r="J2372" s="3">
        <v>100000000</v>
      </c>
      <c r="K2372" s="2" t="s">
        <v>54</v>
      </c>
      <c r="L2372" s="2" t="s">
        <v>5</v>
      </c>
      <c r="M2372" s="4" t="s">
        <v>67</v>
      </c>
      <c r="N2372" s="3" t="s">
        <v>81</v>
      </c>
      <c r="O2372" s="2" t="s">
        <v>11</v>
      </c>
      <c r="P2372" s="10"/>
      <c r="Q2372" s="11"/>
    </row>
    <row r="2373" spans="2:17" ht="21" customHeight="1" x14ac:dyDescent="0.35">
      <c r="B2373" s="18">
        <v>44108</v>
      </c>
      <c r="C2373" s="18" t="str">
        <f>TEXT(Sales[[#This Row],[Kode Program/Kegiatan ]],"D")</f>
        <v>4</v>
      </c>
      <c r="D2373" s="19" t="str">
        <f>TEXT(Sales[[#This Row],[Kode Program/Kegiatan ]],"mmm")</f>
        <v>Oct</v>
      </c>
      <c r="E2373" s="20">
        <v>9</v>
      </c>
      <c r="F2373" s="19">
        <v>5</v>
      </c>
      <c r="G2373" s="20">
        <f>IF(Sales[[#This Row],[Anggaran Murni]]-Sales[[#This Row],[Target s.d. Januari]]=0,"",Sales[[#This Row],[Anggaran Murni]]-Sales[[#This Row],[Target s.d. Januari]])</f>
        <v>4</v>
      </c>
      <c r="H2373" s="19" t="s">
        <v>76</v>
      </c>
      <c r="I2373" s="20" t="s">
        <v>79</v>
      </c>
      <c r="J2373" s="20">
        <v>120000000</v>
      </c>
      <c r="K2373" s="19" t="s">
        <v>50</v>
      </c>
      <c r="L2373" s="19" t="s">
        <v>5</v>
      </c>
      <c r="M2373" s="21" t="s">
        <v>67</v>
      </c>
      <c r="N2373" s="20" t="s">
        <v>81</v>
      </c>
      <c r="O2373" s="19" t="s">
        <v>14</v>
      </c>
      <c r="P2373" s="10"/>
      <c r="Q2373" s="11"/>
    </row>
    <row r="2374" spans="2:17" ht="21" customHeight="1" x14ac:dyDescent="0.35">
      <c r="B2374" s="1">
        <v>44108</v>
      </c>
      <c r="C2374" s="1" t="str">
        <f>TEXT(Sales[[#This Row],[Kode Program/Kegiatan ]],"D")</f>
        <v>4</v>
      </c>
      <c r="D2374" s="2" t="str">
        <f>TEXT(Sales[[#This Row],[Kode Program/Kegiatan ]],"mmm")</f>
        <v>Oct</v>
      </c>
      <c r="E2374" s="3">
        <v>9</v>
      </c>
      <c r="F2374" s="2">
        <v>8</v>
      </c>
      <c r="G2374" s="3">
        <f>IF(Sales[[#This Row],[Anggaran Murni]]-Sales[[#This Row],[Target s.d. Januari]]=0,"",Sales[[#This Row],[Anggaran Murni]]-Sales[[#This Row],[Target s.d. Januari]])</f>
        <v>1</v>
      </c>
      <c r="H2374" s="2" t="s">
        <v>76</v>
      </c>
      <c r="I2374" s="3" t="s">
        <v>79</v>
      </c>
      <c r="J2374" s="3">
        <v>140000000</v>
      </c>
      <c r="K2374" s="2" t="s">
        <v>51</v>
      </c>
      <c r="L2374" s="2" t="s">
        <v>8</v>
      </c>
      <c r="M2374" s="4" t="s">
        <v>67</v>
      </c>
      <c r="N2374" s="3" t="s">
        <v>81</v>
      </c>
      <c r="O2374" s="2" t="s">
        <v>11</v>
      </c>
      <c r="P2374" s="10"/>
      <c r="Q2374" s="11"/>
    </row>
    <row r="2375" spans="2:17" ht="21" customHeight="1" x14ac:dyDescent="0.35">
      <c r="B2375" s="18">
        <v>44108</v>
      </c>
      <c r="C2375" s="18" t="str">
        <f>TEXT(Sales[[#This Row],[Kode Program/Kegiatan ]],"D")</f>
        <v>4</v>
      </c>
      <c r="D2375" s="19" t="str">
        <f>TEXT(Sales[[#This Row],[Kode Program/Kegiatan ]],"mmm")</f>
        <v>Oct</v>
      </c>
      <c r="E2375" s="20">
        <v>7</v>
      </c>
      <c r="F2375" s="19">
        <v>6</v>
      </c>
      <c r="G2375" s="20">
        <f>IF(Sales[[#This Row],[Anggaran Murni]]-Sales[[#This Row],[Target s.d. Januari]]=0,"",Sales[[#This Row],[Anggaran Murni]]-Sales[[#This Row],[Target s.d. Januari]])</f>
        <v>1</v>
      </c>
      <c r="H2375" s="19" t="s">
        <v>70</v>
      </c>
      <c r="I2375" s="20" t="s">
        <v>1</v>
      </c>
      <c r="J2375" s="20">
        <v>60000000</v>
      </c>
      <c r="K2375" s="19" t="s">
        <v>64</v>
      </c>
      <c r="L2375" s="19" t="s">
        <v>5</v>
      </c>
      <c r="M2375" s="21" t="s">
        <v>67</v>
      </c>
      <c r="N2375" s="20" t="s">
        <v>82</v>
      </c>
      <c r="O2375" s="19" t="s">
        <v>11</v>
      </c>
      <c r="P2375" s="10"/>
      <c r="Q2375" s="11"/>
    </row>
    <row r="2376" spans="2:17" ht="21" customHeight="1" x14ac:dyDescent="0.35">
      <c r="B2376" s="1">
        <v>44108</v>
      </c>
      <c r="C2376" s="1" t="str">
        <f>TEXT(Sales[[#This Row],[Kode Program/Kegiatan ]],"D")</f>
        <v>4</v>
      </c>
      <c r="D2376" s="2" t="str">
        <f>TEXT(Sales[[#This Row],[Kode Program/Kegiatan ]],"mmm")</f>
        <v>Oct</v>
      </c>
      <c r="E2376" s="3">
        <v>6</v>
      </c>
      <c r="F2376" s="2">
        <v>5</v>
      </c>
      <c r="G2376" s="3">
        <f>IF(Sales[[#This Row],[Anggaran Murni]]-Sales[[#This Row],[Target s.d. Januari]]=0,"",Sales[[#This Row],[Anggaran Murni]]-Sales[[#This Row],[Target s.d. Januari]])</f>
        <v>1</v>
      </c>
      <c r="H2376" s="2" t="s">
        <v>75</v>
      </c>
      <c r="I2376" s="3" t="s">
        <v>6</v>
      </c>
      <c r="J2376" s="3">
        <v>80000000</v>
      </c>
      <c r="K2376" s="2" t="s">
        <v>36</v>
      </c>
      <c r="L2376" s="2" t="s">
        <v>2</v>
      </c>
      <c r="M2376" s="4" t="s">
        <v>67</v>
      </c>
      <c r="N2376" s="3" t="s">
        <v>81</v>
      </c>
      <c r="O2376" s="2" t="s">
        <v>14</v>
      </c>
      <c r="P2376" s="10"/>
      <c r="Q2376" s="11"/>
    </row>
    <row r="2377" spans="2:17" ht="21" customHeight="1" x14ac:dyDescent="0.35">
      <c r="B2377" s="18">
        <v>44108</v>
      </c>
      <c r="C2377" s="18" t="str">
        <f>TEXT(Sales[[#This Row],[Kode Program/Kegiatan ]],"D")</f>
        <v>4</v>
      </c>
      <c r="D2377" s="19" t="str">
        <f>TEXT(Sales[[#This Row],[Kode Program/Kegiatan ]],"mmm")</f>
        <v>Oct</v>
      </c>
      <c r="E2377" s="20">
        <v>6</v>
      </c>
      <c r="F2377" s="19">
        <v>5</v>
      </c>
      <c r="G2377" s="20">
        <f>IF(Sales[[#This Row],[Anggaran Murni]]-Sales[[#This Row],[Target s.d. Januari]]=0,"",Sales[[#This Row],[Anggaran Murni]]-Sales[[#This Row],[Target s.d. Januari]])</f>
        <v>1</v>
      </c>
      <c r="H2377" s="19" t="s">
        <v>70</v>
      </c>
      <c r="I2377" s="20" t="s">
        <v>1</v>
      </c>
      <c r="J2377" s="20">
        <v>140000000</v>
      </c>
      <c r="K2377" s="19" t="s">
        <v>41</v>
      </c>
      <c r="L2377" s="19" t="s">
        <v>2</v>
      </c>
      <c r="M2377" s="21" t="s">
        <v>67</v>
      </c>
      <c r="N2377" s="20" t="s">
        <v>80</v>
      </c>
      <c r="O2377" s="19" t="s">
        <v>13</v>
      </c>
      <c r="P2377" s="10"/>
      <c r="Q2377" s="11"/>
    </row>
    <row r="2378" spans="2:17" ht="21" customHeight="1" x14ac:dyDescent="0.35">
      <c r="B2378" s="1">
        <v>44108</v>
      </c>
      <c r="C2378" s="1" t="str">
        <f>TEXT(Sales[[#This Row],[Kode Program/Kegiatan ]],"D")</f>
        <v>4</v>
      </c>
      <c r="D2378" s="2" t="str">
        <f>TEXT(Sales[[#This Row],[Kode Program/Kegiatan ]],"mmm")</f>
        <v>Oct</v>
      </c>
      <c r="E2378" s="3">
        <v>6</v>
      </c>
      <c r="F2378" s="2">
        <v>4</v>
      </c>
      <c r="G2378" s="3">
        <f>IF(Sales[[#This Row],[Anggaran Murni]]-Sales[[#This Row],[Target s.d. Januari]]=0,"",Sales[[#This Row],[Anggaran Murni]]-Sales[[#This Row],[Target s.d. Januari]])</f>
        <v>2</v>
      </c>
      <c r="H2378" s="2" t="s">
        <v>70</v>
      </c>
      <c r="I2378" s="3" t="s">
        <v>1</v>
      </c>
      <c r="J2378" s="3">
        <v>120000000</v>
      </c>
      <c r="K2378" s="2" t="s">
        <v>55</v>
      </c>
      <c r="L2378" s="2" t="s">
        <v>8</v>
      </c>
      <c r="M2378" s="4" t="s">
        <v>67</v>
      </c>
      <c r="N2378" s="3" t="s">
        <v>82</v>
      </c>
      <c r="O2378" s="2" t="s">
        <v>11</v>
      </c>
      <c r="P2378" s="10"/>
      <c r="Q2378" s="11"/>
    </row>
    <row r="2379" spans="2:17" ht="21" customHeight="1" x14ac:dyDescent="0.35">
      <c r="B2379" s="18">
        <v>44108</v>
      </c>
      <c r="C2379" s="18" t="str">
        <f>TEXT(Sales[[#This Row],[Kode Program/Kegiatan ]],"D")</f>
        <v>4</v>
      </c>
      <c r="D2379" s="19" t="str">
        <f>TEXT(Sales[[#This Row],[Kode Program/Kegiatan ]],"mmm")</f>
        <v>Oct</v>
      </c>
      <c r="E2379" s="20">
        <v>5</v>
      </c>
      <c r="F2379" s="19">
        <v>4</v>
      </c>
      <c r="G2379" s="20">
        <f>IF(Sales[[#This Row],[Anggaran Murni]]-Sales[[#This Row],[Target s.d. Januari]]=0,"",Sales[[#This Row],[Anggaran Murni]]-Sales[[#This Row],[Target s.d. Januari]])</f>
        <v>1</v>
      </c>
      <c r="H2379" s="19" t="s">
        <v>114</v>
      </c>
      <c r="I2379" s="20" t="s">
        <v>3</v>
      </c>
      <c r="J2379" s="20">
        <v>60000000</v>
      </c>
      <c r="K2379" s="19" t="s">
        <v>33</v>
      </c>
      <c r="L2379" s="19" t="s">
        <v>4</v>
      </c>
      <c r="M2379" s="21" t="s">
        <v>67</v>
      </c>
      <c r="N2379" s="20" t="s">
        <v>80</v>
      </c>
      <c r="O2379" s="19" t="s">
        <v>11</v>
      </c>
      <c r="P2379" s="10"/>
      <c r="Q2379" s="11"/>
    </row>
    <row r="2380" spans="2:17" ht="21" customHeight="1" x14ac:dyDescent="0.35">
      <c r="B2380" s="1">
        <v>44108</v>
      </c>
      <c r="C2380" s="1" t="str">
        <f>TEXT(Sales[[#This Row],[Kode Program/Kegiatan ]],"D")</f>
        <v>4</v>
      </c>
      <c r="D2380" s="2" t="str">
        <f>TEXT(Sales[[#This Row],[Kode Program/Kegiatan ]],"mmm")</f>
        <v>Oct</v>
      </c>
      <c r="E2380" s="3">
        <v>4</v>
      </c>
      <c r="F2380" s="2">
        <v>3</v>
      </c>
      <c r="G2380" s="3">
        <f>IF(Sales[[#This Row],[Anggaran Murni]]-Sales[[#This Row],[Target s.d. Januari]]=0,"",Sales[[#This Row],[Anggaran Murni]]-Sales[[#This Row],[Target s.d. Januari]])</f>
        <v>1</v>
      </c>
      <c r="H2380" s="2" t="s">
        <v>73</v>
      </c>
      <c r="I2380" s="3" t="s">
        <v>78</v>
      </c>
      <c r="J2380" s="3">
        <v>60000000</v>
      </c>
      <c r="K2380" s="2" t="s">
        <v>23</v>
      </c>
      <c r="L2380" s="2" t="s">
        <v>8</v>
      </c>
      <c r="M2380" s="4" t="s">
        <v>67</v>
      </c>
      <c r="N2380" s="3" t="s">
        <v>81</v>
      </c>
      <c r="O2380" s="2" t="s">
        <v>12</v>
      </c>
      <c r="P2380" s="10"/>
      <c r="Q2380" s="11"/>
    </row>
    <row r="2381" spans="2:17" ht="21" customHeight="1" x14ac:dyDescent="0.35">
      <c r="B2381" s="18">
        <v>44108</v>
      </c>
      <c r="C2381" s="18" t="str">
        <f>TEXT(Sales[[#This Row],[Kode Program/Kegiatan ]],"D")</f>
        <v>4</v>
      </c>
      <c r="D2381" s="19" t="str">
        <f>TEXT(Sales[[#This Row],[Kode Program/Kegiatan ]],"mmm")</f>
        <v>Oct</v>
      </c>
      <c r="E2381" s="20">
        <v>3</v>
      </c>
      <c r="F2381" s="19">
        <v>2</v>
      </c>
      <c r="G2381" s="20">
        <f>IF(Sales[[#This Row],[Anggaran Murni]]-Sales[[#This Row],[Target s.d. Januari]]=0,"",Sales[[#This Row],[Anggaran Murni]]-Sales[[#This Row],[Target s.d. Januari]])</f>
        <v>1</v>
      </c>
      <c r="H2381" s="19" t="s">
        <v>71</v>
      </c>
      <c r="I2381" s="20" t="s">
        <v>6</v>
      </c>
      <c r="J2381" s="20">
        <v>100000000</v>
      </c>
      <c r="K2381" s="19" t="s">
        <v>40</v>
      </c>
      <c r="L2381" s="19" t="s">
        <v>2</v>
      </c>
      <c r="M2381" s="21" t="s">
        <v>67</v>
      </c>
      <c r="N2381" s="20" t="s">
        <v>80</v>
      </c>
      <c r="O2381" s="19" t="s">
        <v>13</v>
      </c>
      <c r="P2381" s="10"/>
      <c r="Q2381" s="11"/>
    </row>
    <row r="2382" spans="2:17" ht="21" customHeight="1" x14ac:dyDescent="0.35">
      <c r="B2382" s="1">
        <v>44109</v>
      </c>
      <c r="C2382" s="1" t="str">
        <f>TEXT(Sales[[#This Row],[Kode Program/Kegiatan ]],"D")</f>
        <v>5</v>
      </c>
      <c r="D2382" s="2" t="str">
        <f>TEXT(Sales[[#This Row],[Kode Program/Kegiatan ]],"mmm")</f>
        <v>Oct</v>
      </c>
      <c r="E2382" s="3">
        <v>10</v>
      </c>
      <c r="F2382" s="2">
        <v>8</v>
      </c>
      <c r="G2382" s="3">
        <f>IF(Sales[[#This Row],[Anggaran Murni]]-Sales[[#This Row],[Target s.d. Januari]]=0,"",Sales[[#This Row],[Anggaran Murni]]-Sales[[#This Row],[Target s.d. Januari]])</f>
        <v>2</v>
      </c>
      <c r="H2382" s="2" t="s">
        <v>74</v>
      </c>
      <c r="I2382" s="3" t="s">
        <v>77</v>
      </c>
      <c r="J2382" s="3">
        <v>100000000</v>
      </c>
      <c r="K2382" s="2" t="s">
        <v>28</v>
      </c>
      <c r="L2382" s="2" t="s">
        <v>7</v>
      </c>
      <c r="M2382" s="4" t="s">
        <v>67</v>
      </c>
      <c r="N2382" s="3" t="s">
        <v>81</v>
      </c>
      <c r="O2382" s="2" t="s">
        <v>14</v>
      </c>
      <c r="P2382" s="10"/>
      <c r="Q2382" s="11"/>
    </row>
    <row r="2383" spans="2:17" ht="21" customHeight="1" x14ac:dyDescent="0.35">
      <c r="B2383" s="18">
        <v>44109</v>
      </c>
      <c r="C2383" s="18" t="str">
        <f>TEXT(Sales[[#This Row],[Kode Program/Kegiatan ]],"D")</f>
        <v>5</v>
      </c>
      <c r="D2383" s="19" t="str">
        <f>TEXT(Sales[[#This Row],[Kode Program/Kegiatan ]],"mmm")</f>
        <v>Oct</v>
      </c>
      <c r="E2383" s="20">
        <v>10</v>
      </c>
      <c r="F2383" s="19">
        <v>6</v>
      </c>
      <c r="G2383" s="20">
        <f>IF(Sales[[#This Row],[Anggaran Murni]]-Sales[[#This Row],[Target s.d. Januari]]=0,"",Sales[[#This Row],[Anggaran Murni]]-Sales[[#This Row],[Target s.d. Januari]])</f>
        <v>4</v>
      </c>
      <c r="H2383" s="19" t="s">
        <v>70</v>
      </c>
      <c r="I2383" s="20" t="s">
        <v>1</v>
      </c>
      <c r="J2383" s="20">
        <v>100000000</v>
      </c>
      <c r="K2383" s="19" t="s">
        <v>54</v>
      </c>
      <c r="L2383" s="19" t="s">
        <v>4</v>
      </c>
      <c r="M2383" s="21" t="s">
        <v>67</v>
      </c>
      <c r="N2383" s="20" t="s">
        <v>82</v>
      </c>
      <c r="O2383" s="19" t="s">
        <v>14</v>
      </c>
      <c r="P2383" s="10"/>
      <c r="Q2383" s="11"/>
    </row>
    <row r="2384" spans="2:17" ht="21" customHeight="1" x14ac:dyDescent="0.35">
      <c r="B2384" s="1">
        <v>44109</v>
      </c>
      <c r="C2384" s="1" t="str">
        <f>TEXT(Sales[[#This Row],[Kode Program/Kegiatan ]],"D")</f>
        <v>5</v>
      </c>
      <c r="D2384" s="2" t="str">
        <f>TEXT(Sales[[#This Row],[Kode Program/Kegiatan ]],"mmm")</f>
        <v>Oct</v>
      </c>
      <c r="E2384" s="3">
        <v>9</v>
      </c>
      <c r="F2384" s="2">
        <v>5</v>
      </c>
      <c r="G2384" s="3">
        <f>IF(Sales[[#This Row],[Anggaran Murni]]-Sales[[#This Row],[Target s.d. Januari]]=0,"",Sales[[#This Row],[Anggaran Murni]]-Sales[[#This Row],[Target s.d. Januari]])</f>
        <v>4</v>
      </c>
      <c r="H2384" s="2" t="s">
        <v>74</v>
      </c>
      <c r="I2384" s="3" t="s">
        <v>77</v>
      </c>
      <c r="J2384" s="3">
        <v>40000000</v>
      </c>
      <c r="K2384" s="2" t="s">
        <v>59</v>
      </c>
      <c r="L2384" s="2" t="s">
        <v>8</v>
      </c>
      <c r="M2384" s="4" t="s">
        <v>67</v>
      </c>
      <c r="N2384" s="3" t="s">
        <v>81</v>
      </c>
      <c r="O2384" s="2" t="s">
        <v>12</v>
      </c>
      <c r="P2384" s="10"/>
      <c r="Q2384" s="11"/>
    </row>
    <row r="2385" spans="2:17" ht="21" customHeight="1" x14ac:dyDescent="0.35">
      <c r="B2385" s="18">
        <v>44109</v>
      </c>
      <c r="C2385" s="18" t="str">
        <f>TEXT(Sales[[#This Row],[Kode Program/Kegiatan ]],"D")</f>
        <v>5</v>
      </c>
      <c r="D2385" s="19" t="str">
        <f>TEXT(Sales[[#This Row],[Kode Program/Kegiatan ]],"mmm")</f>
        <v>Oct</v>
      </c>
      <c r="E2385" s="20">
        <v>9</v>
      </c>
      <c r="F2385" s="19">
        <v>6</v>
      </c>
      <c r="G2385" s="20">
        <f>IF(Sales[[#This Row],[Anggaran Murni]]-Sales[[#This Row],[Target s.d. Januari]]=0,"",Sales[[#This Row],[Anggaran Murni]]-Sales[[#This Row],[Target s.d. Januari]])</f>
        <v>3</v>
      </c>
      <c r="H2385" s="19" t="s">
        <v>74</v>
      </c>
      <c r="I2385" s="20" t="s">
        <v>77</v>
      </c>
      <c r="J2385" s="20">
        <v>60000000</v>
      </c>
      <c r="K2385" s="19" t="s">
        <v>23</v>
      </c>
      <c r="L2385" s="19" t="s">
        <v>5</v>
      </c>
      <c r="M2385" s="21" t="s">
        <v>67</v>
      </c>
      <c r="N2385" s="20" t="s">
        <v>80</v>
      </c>
      <c r="O2385" s="19" t="s">
        <v>13</v>
      </c>
      <c r="P2385" s="10"/>
      <c r="Q2385" s="11"/>
    </row>
    <row r="2386" spans="2:17" ht="21" customHeight="1" x14ac:dyDescent="0.35">
      <c r="B2386" s="1">
        <v>44109</v>
      </c>
      <c r="C2386" s="1" t="str">
        <f>TEXT(Sales[[#This Row],[Kode Program/Kegiatan ]],"D")</f>
        <v>5</v>
      </c>
      <c r="D2386" s="2" t="str">
        <f>TEXT(Sales[[#This Row],[Kode Program/Kegiatan ]],"mmm")</f>
        <v>Oct</v>
      </c>
      <c r="E2386" s="3">
        <v>9</v>
      </c>
      <c r="F2386" s="2">
        <v>5</v>
      </c>
      <c r="G2386" s="3">
        <f>IF(Sales[[#This Row],[Anggaran Murni]]-Sales[[#This Row],[Target s.d. Januari]]=0,"",Sales[[#This Row],[Anggaran Murni]]-Sales[[#This Row],[Target s.d. Januari]])</f>
        <v>4</v>
      </c>
      <c r="H2386" s="2" t="s">
        <v>70</v>
      </c>
      <c r="I2386" s="3" t="s">
        <v>1</v>
      </c>
      <c r="J2386" s="3">
        <v>40000000</v>
      </c>
      <c r="K2386" s="2" t="s">
        <v>51</v>
      </c>
      <c r="L2386" s="2" t="s">
        <v>8</v>
      </c>
      <c r="M2386" s="4" t="s">
        <v>67</v>
      </c>
      <c r="N2386" s="3" t="s">
        <v>82</v>
      </c>
      <c r="O2386" s="2" t="s">
        <v>13</v>
      </c>
      <c r="P2386" s="10"/>
      <c r="Q2386" s="11"/>
    </row>
    <row r="2387" spans="2:17" ht="21" customHeight="1" x14ac:dyDescent="0.35">
      <c r="B2387" s="18">
        <v>44109</v>
      </c>
      <c r="C2387" s="18" t="str">
        <f>TEXT(Sales[[#This Row],[Kode Program/Kegiatan ]],"D")</f>
        <v>5</v>
      </c>
      <c r="D2387" s="19" t="str">
        <f>TEXT(Sales[[#This Row],[Kode Program/Kegiatan ]],"mmm")</f>
        <v>Oct</v>
      </c>
      <c r="E2387" s="20">
        <v>8</v>
      </c>
      <c r="F2387" s="19">
        <v>5</v>
      </c>
      <c r="G2387" s="20">
        <f>IF(Sales[[#This Row],[Anggaran Murni]]-Sales[[#This Row],[Target s.d. Januari]]=0,"",Sales[[#This Row],[Anggaran Murni]]-Sales[[#This Row],[Target s.d. Januari]])</f>
        <v>3</v>
      </c>
      <c r="H2387" s="19" t="s">
        <v>76</v>
      </c>
      <c r="I2387" s="20" t="s">
        <v>79</v>
      </c>
      <c r="J2387" s="20">
        <v>40000000</v>
      </c>
      <c r="K2387" s="19" t="s">
        <v>45</v>
      </c>
      <c r="L2387" s="19" t="s">
        <v>2</v>
      </c>
      <c r="M2387" s="21" t="s">
        <v>67</v>
      </c>
      <c r="N2387" s="20" t="s">
        <v>81</v>
      </c>
      <c r="O2387" s="19" t="s">
        <v>12</v>
      </c>
      <c r="P2387" s="10"/>
      <c r="Q2387" s="11"/>
    </row>
    <row r="2388" spans="2:17" ht="21" customHeight="1" x14ac:dyDescent="0.35">
      <c r="B2388" s="1">
        <v>44109</v>
      </c>
      <c r="C2388" s="1" t="str">
        <f>TEXT(Sales[[#This Row],[Kode Program/Kegiatan ]],"D")</f>
        <v>5</v>
      </c>
      <c r="D2388" s="2" t="str">
        <f>TEXT(Sales[[#This Row],[Kode Program/Kegiatan ]],"mmm")</f>
        <v>Oct</v>
      </c>
      <c r="E2388" s="3">
        <v>6</v>
      </c>
      <c r="F2388" s="2">
        <v>5</v>
      </c>
      <c r="G2388" s="3">
        <f>IF(Sales[[#This Row],[Anggaran Murni]]-Sales[[#This Row],[Target s.d. Januari]]=0,"",Sales[[#This Row],[Anggaran Murni]]-Sales[[#This Row],[Target s.d. Januari]])</f>
        <v>1</v>
      </c>
      <c r="H2388" s="2" t="s">
        <v>71</v>
      </c>
      <c r="I2388" s="3" t="s">
        <v>6</v>
      </c>
      <c r="J2388" s="3">
        <v>40000000</v>
      </c>
      <c r="K2388" s="2" t="s">
        <v>42</v>
      </c>
      <c r="L2388" s="2" t="s">
        <v>5</v>
      </c>
      <c r="M2388" s="4" t="s">
        <v>67</v>
      </c>
      <c r="N2388" s="3" t="s">
        <v>81</v>
      </c>
      <c r="O2388" s="2" t="s">
        <v>13</v>
      </c>
      <c r="P2388" s="10"/>
      <c r="Q2388" s="11"/>
    </row>
    <row r="2389" spans="2:17" ht="21" customHeight="1" x14ac:dyDescent="0.35">
      <c r="B2389" s="18">
        <v>44109</v>
      </c>
      <c r="C2389" s="18" t="str">
        <f>TEXT(Sales[[#This Row],[Kode Program/Kegiatan ]],"D")</f>
        <v>5</v>
      </c>
      <c r="D2389" s="19" t="str">
        <f>TEXT(Sales[[#This Row],[Kode Program/Kegiatan ]],"mmm")</f>
        <v>Oct</v>
      </c>
      <c r="E2389" s="20">
        <v>5</v>
      </c>
      <c r="F2389" s="19">
        <v>3</v>
      </c>
      <c r="G2389" s="20">
        <f>IF(Sales[[#This Row],[Anggaran Murni]]-Sales[[#This Row],[Target s.d. Januari]]=0,"",Sales[[#This Row],[Anggaran Murni]]-Sales[[#This Row],[Target s.d. Januari]])</f>
        <v>2</v>
      </c>
      <c r="H2389" s="19" t="s">
        <v>113</v>
      </c>
      <c r="I2389" s="20" t="s">
        <v>77</v>
      </c>
      <c r="J2389" s="20">
        <v>100000000</v>
      </c>
      <c r="K2389" s="19" t="s">
        <v>29</v>
      </c>
      <c r="L2389" s="19" t="s">
        <v>5</v>
      </c>
      <c r="M2389" s="21" t="s">
        <v>67</v>
      </c>
      <c r="N2389" s="20" t="s">
        <v>81</v>
      </c>
      <c r="O2389" s="19" t="s">
        <v>11</v>
      </c>
      <c r="P2389" s="10"/>
      <c r="Q2389" s="11"/>
    </row>
    <row r="2390" spans="2:17" ht="21" customHeight="1" x14ac:dyDescent="0.35">
      <c r="B2390" s="1">
        <v>44110</v>
      </c>
      <c r="C2390" s="1" t="str">
        <f>TEXT(Sales[[#This Row],[Kode Program/Kegiatan ]],"D")</f>
        <v>6</v>
      </c>
      <c r="D2390" s="2" t="str">
        <f>TEXT(Sales[[#This Row],[Kode Program/Kegiatan ]],"mmm")</f>
        <v>Oct</v>
      </c>
      <c r="E2390" s="3">
        <v>9</v>
      </c>
      <c r="F2390" s="2">
        <v>8</v>
      </c>
      <c r="G2390" s="3">
        <f>IF(Sales[[#This Row],[Anggaran Murni]]-Sales[[#This Row],[Target s.d. Januari]]=0,"",Sales[[#This Row],[Anggaran Murni]]-Sales[[#This Row],[Target s.d. Januari]])</f>
        <v>1</v>
      </c>
      <c r="H2390" s="2" t="s">
        <v>70</v>
      </c>
      <c r="I2390" s="3" t="s">
        <v>1</v>
      </c>
      <c r="J2390" s="3">
        <v>140000000</v>
      </c>
      <c r="K2390" s="2" t="s">
        <v>48</v>
      </c>
      <c r="L2390" s="2" t="s">
        <v>2</v>
      </c>
      <c r="M2390" s="4" t="s">
        <v>67</v>
      </c>
      <c r="N2390" s="3" t="s">
        <v>82</v>
      </c>
      <c r="O2390" s="2" t="s">
        <v>11</v>
      </c>
      <c r="P2390" s="10"/>
      <c r="Q2390" s="11"/>
    </row>
    <row r="2391" spans="2:17" ht="21" customHeight="1" x14ac:dyDescent="0.35">
      <c r="B2391" s="18">
        <v>44110</v>
      </c>
      <c r="C2391" s="18" t="str">
        <f>TEXT(Sales[[#This Row],[Kode Program/Kegiatan ]],"D")</f>
        <v>6</v>
      </c>
      <c r="D2391" s="19" t="str">
        <f>TEXT(Sales[[#This Row],[Kode Program/Kegiatan ]],"mmm")</f>
        <v>Oct</v>
      </c>
      <c r="E2391" s="20">
        <v>7</v>
      </c>
      <c r="F2391" s="19">
        <v>5</v>
      </c>
      <c r="G2391" s="20">
        <f>IF(Sales[[#This Row],[Anggaran Murni]]-Sales[[#This Row],[Target s.d. Januari]]=0,"",Sales[[#This Row],[Anggaran Murni]]-Sales[[#This Row],[Target s.d. Januari]])</f>
        <v>2</v>
      </c>
      <c r="H2391" s="19" t="s">
        <v>73</v>
      </c>
      <c r="I2391" s="20" t="s">
        <v>78</v>
      </c>
      <c r="J2391" s="20">
        <v>60000000</v>
      </c>
      <c r="K2391" s="19" t="s">
        <v>45</v>
      </c>
      <c r="L2391" s="19" t="s">
        <v>2</v>
      </c>
      <c r="M2391" s="21" t="s">
        <v>67</v>
      </c>
      <c r="N2391" s="20" t="s">
        <v>82</v>
      </c>
      <c r="O2391" s="19" t="s">
        <v>11</v>
      </c>
      <c r="P2391" s="10"/>
      <c r="Q2391" s="11"/>
    </row>
    <row r="2392" spans="2:17" ht="21" customHeight="1" x14ac:dyDescent="0.35">
      <c r="B2392" s="1">
        <v>44110</v>
      </c>
      <c r="C2392" s="1" t="str">
        <f>TEXT(Sales[[#This Row],[Kode Program/Kegiatan ]],"D")</f>
        <v>6</v>
      </c>
      <c r="D2392" s="2" t="str">
        <f>TEXT(Sales[[#This Row],[Kode Program/Kegiatan ]],"mmm")</f>
        <v>Oct</v>
      </c>
      <c r="E2392" s="3">
        <v>6</v>
      </c>
      <c r="F2392" s="2">
        <v>3</v>
      </c>
      <c r="G2392" s="3">
        <f>IF(Sales[[#This Row],[Anggaran Murni]]-Sales[[#This Row],[Target s.d. Januari]]=0,"",Sales[[#This Row],[Anggaran Murni]]-Sales[[#This Row],[Target s.d. Januari]])</f>
        <v>3</v>
      </c>
      <c r="H2392" s="2" t="s">
        <v>75</v>
      </c>
      <c r="I2392" s="3" t="s">
        <v>6</v>
      </c>
      <c r="J2392" s="3">
        <v>100000000</v>
      </c>
      <c r="K2392" s="2" t="s">
        <v>50</v>
      </c>
      <c r="L2392" s="2" t="s">
        <v>5</v>
      </c>
      <c r="M2392" s="4" t="s">
        <v>67</v>
      </c>
      <c r="N2392" s="3" t="s">
        <v>81</v>
      </c>
      <c r="O2392" s="2" t="s">
        <v>13</v>
      </c>
      <c r="P2392" s="10"/>
      <c r="Q2392" s="11"/>
    </row>
    <row r="2393" spans="2:17" ht="21" customHeight="1" x14ac:dyDescent="0.35">
      <c r="B2393" s="18">
        <v>44110</v>
      </c>
      <c r="C2393" s="18" t="str">
        <f>TEXT(Sales[[#This Row],[Kode Program/Kegiatan ]],"D")</f>
        <v>6</v>
      </c>
      <c r="D2393" s="19" t="str">
        <f>TEXT(Sales[[#This Row],[Kode Program/Kegiatan ]],"mmm")</f>
        <v>Oct</v>
      </c>
      <c r="E2393" s="20">
        <v>4</v>
      </c>
      <c r="F2393" s="19">
        <v>3</v>
      </c>
      <c r="G2393" s="20">
        <f>IF(Sales[[#This Row],[Anggaran Murni]]-Sales[[#This Row],[Target s.d. Januari]]=0,"",Sales[[#This Row],[Anggaran Murni]]-Sales[[#This Row],[Target s.d. Januari]])</f>
        <v>1</v>
      </c>
      <c r="H2393" s="19" t="s">
        <v>76</v>
      </c>
      <c r="I2393" s="20" t="s">
        <v>79</v>
      </c>
      <c r="J2393" s="20">
        <v>120000000</v>
      </c>
      <c r="K2393" s="19" t="s">
        <v>19</v>
      </c>
      <c r="L2393" s="19" t="s">
        <v>2</v>
      </c>
      <c r="M2393" s="21" t="s">
        <v>67</v>
      </c>
      <c r="N2393" s="20" t="s">
        <v>81</v>
      </c>
      <c r="O2393" s="19" t="s">
        <v>11</v>
      </c>
      <c r="P2393" s="10"/>
      <c r="Q2393" s="11"/>
    </row>
    <row r="2394" spans="2:17" ht="21" customHeight="1" x14ac:dyDescent="0.35">
      <c r="B2394" s="1">
        <v>44110</v>
      </c>
      <c r="C2394" s="1" t="str">
        <f>TEXT(Sales[[#This Row],[Kode Program/Kegiatan ]],"D")</f>
        <v>6</v>
      </c>
      <c r="D2394" s="2" t="str">
        <f>TEXT(Sales[[#This Row],[Kode Program/Kegiatan ]],"mmm")</f>
        <v>Oct</v>
      </c>
      <c r="E2394" s="3">
        <v>4</v>
      </c>
      <c r="F2394" s="2">
        <v>3</v>
      </c>
      <c r="G2394" s="3">
        <f>IF(Sales[[#This Row],[Anggaran Murni]]-Sales[[#This Row],[Target s.d. Januari]]=0,"",Sales[[#This Row],[Anggaran Murni]]-Sales[[#This Row],[Target s.d. Januari]])</f>
        <v>1</v>
      </c>
      <c r="H2394" s="2" t="s">
        <v>76</v>
      </c>
      <c r="I2394" s="3" t="s">
        <v>79</v>
      </c>
      <c r="J2394" s="3">
        <v>80000000</v>
      </c>
      <c r="K2394" s="2" t="s">
        <v>25</v>
      </c>
      <c r="L2394" s="2" t="s">
        <v>7</v>
      </c>
      <c r="M2394" s="4" t="s">
        <v>67</v>
      </c>
      <c r="N2394" s="3" t="s">
        <v>80</v>
      </c>
      <c r="O2394" s="2" t="s">
        <v>13</v>
      </c>
      <c r="P2394" s="10"/>
      <c r="Q2394" s="11"/>
    </row>
    <row r="2395" spans="2:17" ht="21" customHeight="1" x14ac:dyDescent="0.35">
      <c r="B2395" s="18">
        <v>44110</v>
      </c>
      <c r="C2395" s="18" t="str">
        <f>TEXT(Sales[[#This Row],[Kode Program/Kegiatan ]],"D")</f>
        <v>6</v>
      </c>
      <c r="D2395" s="19" t="str">
        <f>TEXT(Sales[[#This Row],[Kode Program/Kegiatan ]],"mmm")</f>
        <v>Oct</v>
      </c>
      <c r="E2395" s="20">
        <v>4</v>
      </c>
      <c r="F2395" s="19">
        <v>2</v>
      </c>
      <c r="G2395" s="20">
        <f>IF(Sales[[#This Row],[Anggaran Murni]]-Sales[[#This Row],[Target s.d. Januari]]=0,"",Sales[[#This Row],[Anggaran Murni]]-Sales[[#This Row],[Target s.d. Januari]])</f>
        <v>2</v>
      </c>
      <c r="H2395" s="19" t="s">
        <v>113</v>
      </c>
      <c r="I2395" s="20" t="s">
        <v>77</v>
      </c>
      <c r="J2395" s="20">
        <v>60000000</v>
      </c>
      <c r="K2395" s="19" t="s">
        <v>29</v>
      </c>
      <c r="L2395" s="19" t="s">
        <v>8</v>
      </c>
      <c r="M2395" s="21" t="s">
        <v>67</v>
      </c>
      <c r="N2395" s="20" t="s">
        <v>82</v>
      </c>
      <c r="O2395" s="19" t="s">
        <v>14</v>
      </c>
      <c r="P2395" s="10"/>
      <c r="Q2395" s="11"/>
    </row>
    <row r="2396" spans="2:17" ht="21" customHeight="1" x14ac:dyDescent="0.35">
      <c r="B2396" s="1">
        <v>44110</v>
      </c>
      <c r="C2396" s="1" t="str">
        <f>TEXT(Sales[[#This Row],[Kode Program/Kegiatan ]],"D")</f>
        <v>6</v>
      </c>
      <c r="D2396" s="2" t="str">
        <f>TEXT(Sales[[#This Row],[Kode Program/Kegiatan ]],"mmm")</f>
        <v>Oct</v>
      </c>
      <c r="E2396" s="3">
        <v>4</v>
      </c>
      <c r="F2396" s="2">
        <v>2</v>
      </c>
      <c r="G2396" s="3">
        <f>IF(Sales[[#This Row],[Anggaran Murni]]-Sales[[#This Row],[Target s.d. Januari]]=0,"",Sales[[#This Row],[Anggaran Murni]]-Sales[[#This Row],[Target s.d. Januari]])</f>
        <v>2</v>
      </c>
      <c r="H2396" s="2" t="s">
        <v>70</v>
      </c>
      <c r="I2396" s="3" t="s">
        <v>1</v>
      </c>
      <c r="J2396" s="3">
        <v>80000000</v>
      </c>
      <c r="K2396" s="2" t="s">
        <v>27</v>
      </c>
      <c r="L2396" s="2" t="s">
        <v>7</v>
      </c>
      <c r="M2396" s="4" t="s">
        <v>67</v>
      </c>
      <c r="N2396" s="3" t="s">
        <v>80</v>
      </c>
      <c r="O2396" s="2" t="s">
        <v>14</v>
      </c>
      <c r="P2396" s="10"/>
      <c r="Q2396" s="11"/>
    </row>
    <row r="2397" spans="2:17" ht="21" customHeight="1" x14ac:dyDescent="0.35">
      <c r="B2397" s="18">
        <v>44110</v>
      </c>
      <c r="C2397" s="18" t="str">
        <f>TEXT(Sales[[#This Row],[Kode Program/Kegiatan ]],"D")</f>
        <v>6</v>
      </c>
      <c r="D2397" s="19" t="str">
        <f>TEXT(Sales[[#This Row],[Kode Program/Kegiatan ]],"mmm")</f>
        <v>Oct</v>
      </c>
      <c r="E2397" s="20">
        <v>4</v>
      </c>
      <c r="F2397" s="19">
        <v>2</v>
      </c>
      <c r="G2397" s="20">
        <f>IF(Sales[[#This Row],[Anggaran Murni]]-Sales[[#This Row],[Target s.d. Januari]]=0,"",Sales[[#This Row],[Anggaran Murni]]-Sales[[#This Row],[Target s.d. Januari]])</f>
        <v>2</v>
      </c>
      <c r="H2397" s="19" t="s">
        <v>73</v>
      </c>
      <c r="I2397" s="20" t="s">
        <v>78</v>
      </c>
      <c r="J2397" s="20">
        <v>60000000</v>
      </c>
      <c r="K2397" s="19" t="s">
        <v>25</v>
      </c>
      <c r="L2397" s="19" t="s">
        <v>8</v>
      </c>
      <c r="M2397" s="21" t="s">
        <v>67</v>
      </c>
      <c r="N2397" s="20" t="s">
        <v>81</v>
      </c>
      <c r="O2397" s="19" t="s">
        <v>14</v>
      </c>
      <c r="P2397" s="10"/>
      <c r="Q2397" s="11"/>
    </row>
    <row r="2398" spans="2:17" ht="21" customHeight="1" x14ac:dyDescent="0.35">
      <c r="B2398" s="1">
        <v>44110</v>
      </c>
      <c r="C2398" s="1" t="str">
        <f>TEXT(Sales[[#This Row],[Kode Program/Kegiatan ]],"D")</f>
        <v>6</v>
      </c>
      <c r="D2398" s="2" t="str">
        <f>TEXT(Sales[[#This Row],[Kode Program/Kegiatan ]],"mmm")</f>
        <v>Oct</v>
      </c>
      <c r="E2398" s="3">
        <v>3</v>
      </c>
      <c r="F2398" s="2">
        <v>2</v>
      </c>
      <c r="G2398" s="3">
        <f>IF(Sales[[#This Row],[Anggaran Murni]]-Sales[[#This Row],[Target s.d. Januari]]=0,"",Sales[[#This Row],[Anggaran Murni]]-Sales[[#This Row],[Target s.d. Januari]])</f>
        <v>1</v>
      </c>
      <c r="H2398" s="2" t="s">
        <v>74</v>
      </c>
      <c r="I2398" s="3" t="s">
        <v>77</v>
      </c>
      <c r="J2398" s="3">
        <v>80000000</v>
      </c>
      <c r="K2398" s="2" t="s">
        <v>37</v>
      </c>
      <c r="L2398" s="2" t="s">
        <v>5</v>
      </c>
      <c r="M2398" s="4" t="s">
        <v>67</v>
      </c>
      <c r="N2398" s="3" t="s">
        <v>82</v>
      </c>
      <c r="O2398" s="2" t="s">
        <v>11</v>
      </c>
      <c r="P2398" s="10"/>
      <c r="Q2398" s="11"/>
    </row>
    <row r="2399" spans="2:17" ht="21" customHeight="1" x14ac:dyDescent="0.35">
      <c r="B2399" s="18">
        <v>44111</v>
      </c>
      <c r="C2399" s="18" t="str">
        <f>TEXT(Sales[[#This Row],[Kode Program/Kegiatan ]],"D")</f>
        <v>7</v>
      </c>
      <c r="D2399" s="19" t="str">
        <f>TEXT(Sales[[#This Row],[Kode Program/Kegiatan ]],"mmm")</f>
        <v>Oct</v>
      </c>
      <c r="E2399" s="20">
        <v>10</v>
      </c>
      <c r="F2399" s="19">
        <v>8</v>
      </c>
      <c r="G2399" s="20">
        <f>IF(Sales[[#This Row],[Anggaran Murni]]-Sales[[#This Row],[Target s.d. Januari]]=0,"",Sales[[#This Row],[Anggaran Murni]]-Sales[[#This Row],[Target s.d. Januari]])</f>
        <v>2</v>
      </c>
      <c r="H2399" s="19" t="s">
        <v>71</v>
      </c>
      <c r="I2399" s="20" t="s">
        <v>6</v>
      </c>
      <c r="J2399" s="20">
        <v>60000000</v>
      </c>
      <c r="K2399" s="19" t="s">
        <v>63</v>
      </c>
      <c r="L2399" s="19" t="s">
        <v>2</v>
      </c>
      <c r="M2399" s="21" t="s">
        <v>67</v>
      </c>
      <c r="N2399" s="20" t="s">
        <v>82</v>
      </c>
      <c r="O2399" s="19" t="s">
        <v>14</v>
      </c>
      <c r="P2399" s="10"/>
      <c r="Q2399" s="11"/>
    </row>
    <row r="2400" spans="2:17" ht="21" customHeight="1" x14ac:dyDescent="0.35">
      <c r="B2400" s="1">
        <v>44111</v>
      </c>
      <c r="C2400" s="1" t="str">
        <f>TEXT(Sales[[#This Row],[Kode Program/Kegiatan ]],"D")</f>
        <v>7</v>
      </c>
      <c r="D2400" s="2" t="str">
        <f>TEXT(Sales[[#This Row],[Kode Program/Kegiatan ]],"mmm")</f>
        <v>Oct</v>
      </c>
      <c r="E2400" s="3">
        <v>9</v>
      </c>
      <c r="F2400" s="2">
        <v>6</v>
      </c>
      <c r="G2400" s="3">
        <f>IF(Sales[[#This Row],[Anggaran Murni]]-Sales[[#This Row],[Target s.d. Januari]]=0,"",Sales[[#This Row],[Anggaran Murni]]-Sales[[#This Row],[Target s.d. Januari]])</f>
        <v>3</v>
      </c>
      <c r="H2400" s="2" t="s">
        <v>76</v>
      </c>
      <c r="I2400" s="3" t="s">
        <v>79</v>
      </c>
      <c r="J2400" s="3">
        <v>40000000</v>
      </c>
      <c r="K2400" s="2" t="s">
        <v>53</v>
      </c>
      <c r="L2400" s="2" t="s">
        <v>8</v>
      </c>
      <c r="M2400" s="4" t="s">
        <v>67</v>
      </c>
      <c r="N2400" s="3" t="s">
        <v>81</v>
      </c>
      <c r="O2400" s="2" t="s">
        <v>13</v>
      </c>
      <c r="P2400" s="10"/>
      <c r="Q2400" s="11"/>
    </row>
    <row r="2401" spans="2:17" ht="21" customHeight="1" x14ac:dyDescent="0.35">
      <c r="B2401" s="18">
        <v>44111</v>
      </c>
      <c r="C2401" s="18" t="str">
        <f>TEXT(Sales[[#This Row],[Kode Program/Kegiatan ]],"D")</f>
        <v>7</v>
      </c>
      <c r="D2401" s="19" t="str">
        <f>TEXT(Sales[[#This Row],[Kode Program/Kegiatan ]],"mmm")</f>
        <v>Oct</v>
      </c>
      <c r="E2401" s="20">
        <v>8</v>
      </c>
      <c r="F2401" s="19">
        <v>6</v>
      </c>
      <c r="G2401" s="20">
        <f>IF(Sales[[#This Row],[Anggaran Murni]]-Sales[[#This Row],[Target s.d. Januari]]=0,"",Sales[[#This Row],[Anggaran Murni]]-Sales[[#This Row],[Target s.d. Januari]])</f>
        <v>2</v>
      </c>
      <c r="H2401" s="19" t="s">
        <v>73</v>
      </c>
      <c r="I2401" s="20" t="s">
        <v>78</v>
      </c>
      <c r="J2401" s="20">
        <v>140000000</v>
      </c>
      <c r="K2401" s="19" t="s">
        <v>23</v>
      </c>
      <c r="L2401" s="19" t="s">
        <v>7</v>
      </c>
      <c r="M2401" s="21" t="s">
        <v>67</v>
      </c>
      <c r="N2401" s="20" t="s">
        <v>80</v>
      </c>
      <c r="O2401" s="19" t="s">
        <v>13</v>
      </c>
      <c r="P2401" s="10"/>
      <c r="Q2401" s="11"/>
    </row>
    <row r="2402" spans="2:17" ht="21" customHeight="1" x14ac:dyDescent="0.35">
      <c r="B2402" s="1">
        <v>44111</v>
      </c>
      <c r="C2402" s="1" t="str">
        <f>TEXT(Sales[[#This Row],[Kode Program/Kegiatan ]],"D")</f>
        <v>7</v>
      </c>
      <c r="D2402" s="2" t="str">
        <f>TEXT(Sales[[#This Row],[Kode Program/Kegiatan ]],"mmm")</f>
        <v>Oct</v>
      </c>
      <c r="E2402" s="3">
        <v>8</v>
      </c>
      <c r="F2402" s="2">
        <v>5</v>
      </c>
      <c r="G2402" s="3">
        <f>IF(Sales[[#This Row],[Anggaran Murni]]-Sales[[#This Row],[Target s.d. Januari]]=0,"",Sales[[#This Row],[Anggaran Murni]]-Sales[[#This Row],[Target s.d. Januari]])</f>
        <v>3</v>
      </c>
      <c r="H2402" s="2" t="s">
        <v>113</v>
      </c>
      <c r="I2402" s="3" t="s">
        <v>77</v>
      </c>
      <c r="J2402" s="3">
        <v>100000000</v>
      </c>
      <c r="K2402" s="2" t="s">
        <v>39</v>
      </c>
      <c r="L2402" s="2" t="s">
        <v>2</v>
      </c>
      <c r="M2402" s="4" t="s">
        <v>67</v>
      </c>
      <c r="N2402" s="3" t="s">
        <v>81</v>
      </c>
      <c r="O2402" s="2" t="s">
        <v>11</v>
      </c>
      <c r="P2402" s="10"/>
      <c r="Q2402" s="11"/>
    </row>
    <row r="2403" spans="2:17" ht="21" customHeight="1" x14ac:dyDescent="0.35">
      <c r="B2403" s="18">
        <v>44111</v>
      </c>
      <c r="C2403" s="18" t="str">
        <f>TEXT(Sales[[#This Row],[Kode Program/Kegiatan ]],"D")</f>
        <v>7</v>
      </c>
      <c r="D2403" s="19" t="str">
        <f>TEXT(Sales[[#This Row],[Kode Program/Kegiatan ]],"mmm")</f>
        <v>Oct</v>
      </c>
      <c r="E2403" s="20">
        <v>7</v>
      </c>
      <c r="F2403" s="19">
        <v>6</v>
      </c>
      <c r="G2403" s="20">
        <f>IF(Sales[[#This Row],[Anggaran Murni]]-Sales[[#This Row],[Target s.d. Januari]]=0,"",Sales[[#This Row],[Anggaran Murni]]-Sales[[#This Row],[Target s.d. Januari]])</f>
        <v>1</v>
      </c>
      <c r="H2403" s="19" t="s">
        <v>74</v>
      </c>
      <c r="I2403" s="20" t="s">
        <v>77</v>
      </c>
      <c r="J2403" s="20">
        <v>40000000</v>
      </c>
      <c r="K2403" s="19" t="s">
        <v>32</v>
      </c>
      <c r="L2403" s="19" t="s">
        <v>5</v>
      </c>
      <c r="M2403" s="21" t="s">
        <v>67</v>
      </c>
      <c r="N2403" s="20" t="s">
        <v>82</v>
      </c>
      <c r="O2403" s="19" t="s">
        <v>13</v>
      </c>
      <c r="P2403" s="10"/>
      <c r="Q2403" s="11"/>
    </row>
    <row r="2404" spans="2:17" ht="21" customHeight="1" x14ac:dyDescent="0.35">
      <c r="B2404" s="1">
        <v>44111</v>
      </c>
      <c r="C2404" s="1" t="str">
        <f>TEXT(Sales[[#This Row],[Kode Program/Kegiatan ]],"D")</f>
        <v>7</v>
      </c>
      <c r="D2404" s="2" t="str">
        <f>TEXT(Sales[[#This Row],[Kode Program/Kegiatan ]],"mmm")</f>
        <v>Oct</v>
      </c>
      <c r="E2404" s="3">
        <v>6</v>
      </c>
      <c r="F2404" s="2">
        <v>5</v>
      </c>
      <c r="G2404" s="3">
        <f>IF(Sales[[#This Row],[Anggaran Murni]]-Sales[[#This Row],[Target s.d. Januari]]=0,"",Sales[[#This Row],[Anggaran Murni]]-Sales[[#This Row],[Target s.d. Januari]])</f>
        <v>1</v>
      </c>
      <c r="H2404" s="2" t="s">
        <v>72</v>
      </c>
      <c r="I2404" s="3" t="s">
        <v>78</v>
      </c>
      <c r="J2404" s="3">
        <v>40000000</v>
      </c>
      <c r="K2404" s="2" t="s">
        <v>57</v>
      </c>
      <c r="L2404" s="2" t="s">
        <v>2</v>
      </c>
      <c r="M2404" s="4" t="s">
        <v>67</v>
      </c>
      <c r="N2404" s="3" t="s">
        <v>82</v>
      </c>
      <c r="O2404" s="2" t="s">
        <v>11</v>
      </c>
      <c r="P2404" s="10"/>
      <c r="Q2404" s="11"/>
    </row>
    <row r="2405" spans="2:17" ht="21" customHeight="1" x14ac:dyDescent="0.35">
      <c r="B2405" s="18">
        <v>44111</v>
      </c>
      <c r="C2405" s="18" t="str">
        <f>TEXT(Sales[[#This Row],[Kode Program/Kegiatan ]],"D")</f>
        <v>7</v>
      </c>
      <c r="D2405" s="19" t="str">
        <f>TEXT(Sales[[#This Row],[Kode Program/Kegiatan ]],"mmm")</f>
        <v>Oct</v>
      </c>
      <c r="E2405" s="20">
        <v>6</v>
      </c>
      <c r="F2405" s="19">
        <v>5</v>
      </c>
      <c r="G2405" s="20">
        <f>IF(Sales[[#This Row],[Anggaran Murni]]-Sales[[#This Row],[Target s.d. Januari]]=0,"",Sales[[#This Row],[Anggaran Murni]]-Sales[[#This Row],[Target s.d. Januari]])</f>
        <v>1</v>
      </c>
      <c r="H2405" s="19" t="s">
        <v>114</v>
      </c>
      <c r="I2405" s="20" t="s">
        <v>3</v>
      </c>
      <c r="J2405" s="20">
        <v>60000000</v>
      </c>
      <c r="K2405" s="19" t="s">
        <v>42</v>
      </c>
      <c r="L2405" s="19" t="s">
        <v>9</v>
      </c>
      <c r="M2405" s="21" t="s">
        <v>67</v>
      </c>
      <c r="N2405" s="20" t="s">
        <v>80</v>
      </c>
      <c r="O2405" s="19" t="s">
        <v>12</v>
      </c>
      <c r="P2405" s="10"/>
      <c r="Q2405" s="11"/>
    </row>
    <row r="2406" spans="2:17" ht="21" customHeight="1" x14ac:dyDescent="0.35">
      <c r="B2406" s="1">
        <v>44112</v>
      </c>
      <c r="C2406" s="1" t="str">
        <f>TEXT(Sales[[#This Row],[Kode Program/Kegiatan ]],"D")</f>
        <v>8</v>
      </c>
      <c r="D2406" s="2" t="str">
        <f>TEXT(Sales[[#This Row],[Kode Program/Kegiatan ]],"mmm")</f>
        <v>Oct</v>
      </c>
      <c r="E2406" s="3">
        <v>9</v>
      </c>
      <c r="F2406" s="2">
        <v>8</v>
      </c>
      <c r="G2406" s="3">
        <f>IF(Sales[[#This Row],[Anggaran Murni]]-Sales[[#This Row],[Target s.d. Januari]]=0,"",Sales[[#This Row],[Anggaran Murni]]-Sales[[#This Row],[Target s.d. Januari]])</f>
        <v>1</v>
      </c>
      <c r="H2406" s="2" t="s">
        <v>73</v>
      </c>
      <c r="I2406" s="3" t="s">
        <v>78</v>
      </c>
      <c r="J2406" s="3">
        <v>80000000</v>
      </c>
      <c r="K2406" s="2" t="s">
        <v>17</v>
      </c>
      <c r="L2406" s="2" t="s">
        <v>5</v>
      </c>
      <c r="M2406" s="4" t="s">
        <v>67</v>
      </c>
      <c r="N2406" s="3" t="s">
        <v>81</v>
      </c>
      <c r="O2406" s="2" t="s">
        <v>14</v>
      </c>
      <c r="P2406" s="10"/>
      <c r="Q2406" s="11"/>
    </row>
    <row r="2407" spans="2:17" ht="21" customHeight="1" x14ac:dyDescent="0.35">
      <c r="B2407" s="18">
        <v>44112</v>
      </c>
      <c r="C2407" s="18" t="str">
        <f>TEXT(Sales[[#This Row],[Kode Program/Kegiatan ]],"D")</f>
        <v>8</v>
      </c>
      <c r="D2407" s="19" t="str">
        <f>TEXT(Sales[[#This Row],[Kode Program/Kegiatan ]],"mmm")</f>
        <v>Oct</v>
      </c>
      <c r="E2407" s="20">
        <v>8</v>
      </c>
      <c r="F2407" s="19">
        <v>5</v>
      </c>
      <c r="G2407" s="20">
        <f>IF(Sales[[#This Row],[Anggaran Murni]]-Sales[[#This Row],[Target s.d. Januari]]=0,"",Sales[[#This Row],[Anggaran Murni]]-Sales[[#This Row],[Target s.d. Januari]])</f>
        <v>3</v>
      </c>
      <c r="H2407" s="19" t="s">
        <v>113</v>
      </c>
      <c r="I2407" s="20" t="s">
        <v>77</v>
      </c>
      <c r="J2407" s="20">
        <v>120000000</v>
      </c>
      <c r="K2407" s="19" t="s">
        <v>58</v>
      </c>
      <c r="L2407" s="19" t="s">
        <v>4</v>
      </c>
      <c r="M2407" s="21" t="s">
        <v>67</v>
      </c>
      <c r="N2407" s="20" t="s">
        <v>82</v>
      </c>
      <c r="O2407" s="19" t="s">
        <v>12</v>
      </c>
      <c r="P2407" s="10"/>
      <c r="Q2407" s="11"/>
    </row>
    <row r="2408" spans="2:17" ht="21" customHeight="1" x14ac:dyDescent="0.35">
      <c r="B2408" s="1">
        <v>44112</v>
      </c>
      <c r="C2408" s="1" t="str">
        <f>TEXT(Sales[[#This Row],[Kode Program/Kegiatan ]],"D")</f>
        <v>8</v>
      </c>
      <c r="D2408" s="2" t="str">
        <f>TEXT(Sales[[#This Row],[Kode Program/Kegiatan ]],"mmm")</f>
        <v>Oct</v>
      </c>
      <c r="E2408" s="3">
        <v>8</v>
      </c>
      <c r="F2408" s="2">
        <v>6</v>
      </c>
      <c r="G2408" s="3">
        <f>IF(Sales[[#This Row],[Anggaran Murni]]-Sales[[#This Row],[Target s.d. Januari]]=0,"",Sales[[#This Row],[Anggaran Murni]]-Sales[[#This Row],[Target s.d. Januari]])</f>
        <v>2</v>
      </c>
      <c r="H2408" s="2" t="s">
        <v>73</v>
      </c>
      <c r="I2408" s="3" t="s">
        <v>78</v>
      </c>
      <c r="J2408" s="3">
        <v>120000000</v>
      </c>
      <c r="K2408" s="2" t="s">
        <v>55</v>
      </c>
      <c r="L2408" s="2" t="s">
        <v>5</v>
      </c>
      <c r="M2408" s="4" t="s">
        <v>67</v>
      </c>
      <c r="N2408" s="3" t="s">
        <v>80</v>
      </c>
      <c r="O2408" s="2" t="s">
        <v>11</v>
      </c>
      <c r="P2408" s="10"/>
      <c r="Q2408" s="11"/>
    </row>
    <row r="2409" spans="2:17" ht="21" customHeight="1" x14ac:dyDescent="0.35">
      <c r="B2409" s="18">
        <v>44112</v>
      </c>
      <c r="C2409" s="18" t="str">
        <f>TEXT(Sales[[#This Row],[Kode Program/Kegiatan ]],"D")</f>
        <v>8</v>
      </c>
      <c r="D2409" s="19" t="str">
        <f>TEXT(Sales[[#This Row],[Kode Program/Kegiatan ]],"mmm")</f>
        <v>Oct</v>
      </c>
      <c r="E2409" s="20">
        <v>7</v>
      </c>
      <c r="F2409" s="19">
        <v>4</v>
      </c>
      <c r="G2409" s="20">
        <f>IF(Sales[[#This Row],[Anggaran Murni]]-Sales[[#This Row],[Target s.d. Januari]]=0,"",Sales[[#This Row],[Anggaran Murni]]-Sales[[#This Row],[Target s.d. Januari]])</f>
        <v>3</v>
      </c>
      <c r="H2409" s="19" t="s">
        <v>76</v>
      </c>
      <c r="I2409" s="20" t="s">
        <v>79</v>
      </c>
      <c r="J2409" s="20">
        <v>80000000</v>
      </c>
      <c r="K2409" s="19" t="s">
        <v>15</v>
      </c>
      <c r="L2409" s="19" t="s">
        <v>9</v>
      </c>
      <c r="M2409" s="21" t="s">
        <v>67</v>
      </c>
      <c r="N2409" s="20" t="s">
        <v>80</v>
      </c>
      <c r="O2409" s="19" t="s">
        <v>11</v>
      </c>
      <c r="P2409" s="10"/>
      <c r="Q2409" s="11"/>
    </row>
    <row r="2410" spans="2:17" ht="21" customHeight="1" x14ac:dyDescent="0.35">
      <c r="B2410" s="1">
        <v>44112</v>
      </c>
      <c r="C2410" s="1" t="str">
        <f>TEXT(Sales[[#This Row],[Kode Program/Kegiatan ]],"D")</f>
        <v>8</v>
      </c>
      <c r="D2410" s="2" t="str">
        <f>TEXT(Sales[[#This Row],[Kode Program/Kegiatan ]],"mmm")</f>
        <v>Oct</v>
      </c>
      <c r="E2410" s="3">
        <v>7</v>
      </c>
      <c r="F2410" s="2">
        <v>5</v>
      </c>
      <c r="G2410" s="3">
        <f>IF(Sales[[#This Row],[Anggaran Murni]]-Sales[[#This Row],[Target s.d. Januari]]=0,"",Sales[[#This Row],[Anggaran Murni]]-Sales[[#This Row],[Target s.d. Januari]])</f>
        <v>2</v>
      </c>
      <c r="H2410" s="2" t="s">
        <v>71</v>
      </c>
      <c r="I2410" s="3" t="s">
        <v>6</v>
      </c>
      <c r="J2410" s="3">
        <v>120000000</v>
      </c>
      <c r="K2410" s="2" t="s">
        <v>21</v>
      </c>
      <c r="L2410" s="2" t="s">
        <v>2</v>
      </c>
      <c r="M2410" s="4" t="s">
        <v>67</v>
      </c>
      <c r="N2410" s="3" t="s">
        <v>80</v>
      </c>
      <c r="O2410" s="2" t="s">
        <v>11</v>
      </c>
      <c r="P2410" s="10"/>
      <c r="Q2410" s="11"/>
    </row>
    <row r="2411" spans="2:17" ht="21" customHeight="1" x14ac:dyDescent="0.35">
      <c r="B2411" s="18">
        <v>44112</v>
      </c>
      <c r="C2411" s="18" t="str">
        <f>TEXT(Sales[[#This Row],[Kode Program/Kegiatan ]],"D")</f>
        <v>8</v>
      </c>
      <c r="D2411" s="19" t="str">
        <f>TEXT(Sales[[#This Row],[Kode Program/Kegiatan ]],"mmm")</f>
        <v>Oct</v>
      </c>
      <c r="E2411" s="20">
        <v>6</v>
      </c>
      <c r="F2411" s="19">
        <v>5</v>
      </c>
      <c r="G2411" s="20">
        <f>IF(Sales[[#This Row],[Anggaran Murni]]-Sales[[#This Row],[Target s.d. Januari]]=0,"",Sales[[#This Row],[Anggaran Murni]]-Sales[[#This Row],[Target s.d. Januari]])</f>
        <v>1</v>
      </c>
      <c r="H2411" s="19" t="s">
        <v>75</v>
      </c>
      <c r="I2411" s="20" t="s">
        <v>6</v>
      </c>
      <c r="J2411" s="20">
        <v>60000000</v>
      </c>
      <c r="K2411" s="19" t="s">
        <v>35</v>
      </c>
      <c r="L2411" s="19" t="s">
        <v>5</v>
      </c>
      <c r="M2411" s="21" t="s">
        <v>67</v>
      </c>
      <c r="N2411" s="20" t="s">
        <v>80</v>
      </c>
      <c r="O2411" s="19" t="s">
        <v>11</v>
      </c>
      <c r="P2411" s="10"/>
      <c r="Q2411" s="11"/>
    </row>
    <row r="2412" spans="2:17" ht="21" customHeight="1" x14ac:dyDescent="0.35">
      <c r="B2412" s="1">
        <v>44112</v>
      </c>
      <c r="C2412" s="1" t="str">
        <f>TEXT(Sales[[#This Row],[Kode Program/Kegiatan ]],"D")</f>
        <v>8</v>
      </c>
      <c r="D2412" s="2" t="str">
        <f>TEXT(Sales[[#This Row],[Kode Program/Kegiatan ]],"mmm")</f>
        <v>Oct</v>
      </c>
      <c r="E2412" s="3">
        <v>6</v>
      </c>
      <c r="F2412" s="2">
        <v>4</v>
      </c>
      <c r="G2412" s="3">
        <f>IF(Sales[[#This Row],[Anggaran Murni]]-Sales[[#This Row],[Target s.d. Januari]]=0,"",Sales[[#This Row],[Anggaran Murni]]-Sales[[#This Row],[Target s.d. Januari]])</f>
        <v>2</v>
      </c>
      <c r="H2412" s="2" t="s">
        <v>75</v>
      </c>
      <c r="I2412" s="3" t="s">
        <v>6</v>
      </c>
      <c r="J2412" s="3">
        <v>100000000</v>
      </c>
      <c r="K2412" s="2" t="s">
        <v>51</v>
      </c>
      <c r="L2412" s="2" t="s">
        <v>5</v>
      </c>
      <c r="M2412" s="4" t="s">
        <v>67</v>
      </c>
      <c r="N2412" s="3" t="s">
        <v>82</v>
      </c>
      <c r="O2412" s="2" t="s">
        <v>12</v>
      </c>
      <c r="P2412" s="10"/>
      <c r="Q2412" s="11"/>
    </row>
    <row r="2413" spans="2:17" ht="21" customHeight="1" x14ac:dyDescent="0.35">
      <c r="B2413" s="18">
        <v>44112</v>
      </c>
      <c r="C2413" s="18" t="str">
        <f>TEXT(Sales[[#This Row],[Kode Program/Kegiatan ]],"D")</f>
        <v>8</v>
      </c>
      <c r="D2413" s="19" t="str">
        <f>TEXT(Sales[[#This Row],[Kode Program/Kegiatan ]],"mmm")</f>
        <v>Oct</v>
      </c>
      <c r="E2413" s="20">
        <v>4</v>
      </c>
      <c r="F2413" s="19">
        <v>3</v>
      </c>
      <c r="G2413" s="20">
        <f>IF(Sales[[#This Row],[Anggaran Murni]]-Sales[[#This Row],[Target s.d. Januari]]=0,"",Sales[[#This Row],[Anggaran Murni]]-Sales[[#This Row],[Target s.d. Januari]])</f>
        <v>1</v>
      </c>
      <c r="H2413" s="19" t="s">
        <v>113</v>
      </c>
      <c r="I2413" s="20" t="s">
        <v>77</v>
      </c>
      <c r="J2413" s="20">
        <v>100000000</v>
      </c>
      <c r="K2413" s="19" t="s">
        <v>17</v>
      </c>
      <c r="L2413" s="19" t="s">
        <v>2</v>
      </c>
      <c r="M2413" s="21" t="s">
        <v>67</v>
      </c>
      <c r="N2413" s="20" t="s">
        <v>80</v>
      </c>
      <c r="O2413" s="19" t="s">
        <v>12</v>
      </c>
      <c r="P2413" s="10"/>
      <c r="Q2413" s="11"/>
    </row>
    <row r="2414" spans="2:17" ht="21" customHeight="1" x14ac:dyDescent="0.35">
      <c r="B2414" s="1">
        <v>44112</v>
      </c>
      <c r="C2414" s="1" t="str">
        <f>TEXT(Sales[[#This Row],[Kode Program/Kegiatan ]],"D")</f>
        <v>8</v>
      </c>
      <c r="D2414" s="2" t="str">
        <f>TEXT(Sales[[#This Row],[Kode Program/Kegiatan ]],"mmm")</f>
        <v>Oct</v>
      </c>
      <c r="E2414" s="3">
        <v>4</v>
      </c>
      <c r="F2414" s="2">
        <v>3</v>
      </c>
      <c r="G2414" s="3">
        <f>IF(Sales[[#This Row],[Anggaran Murni]]-Sales[[#This Row],[Target s.d. Januari]]=0,"",Sales[[#This Row],[Anggaran Murni]]-Sales[[#This Row],[Target s.d. Januari]])</f>
        <v>1</v>
      </c>
      <c r="H2414" s="2" t="s">
        <v>76</v>
      </c>
      <c r="I2414" s="3" t="s">
        <v>79</v>
      </c>
      <c r="J2414" s="3">
        <v>60000000</v>
      </c>
      <c r="K2414" s="2" t="s">
        <v>57</v>
      </c>
      <c r="L2414" s="2" t="s">
        <v>7</v>
      </c>
      <c r="M2414" s="4" t="s">
        <v>67</v>
      </c>
      <c r="N2414" s="3" t="s">
        <v>82</v>
      </c>
      <c r="O2414" s="2" t="s">
        <v>13</v>
      </c>
      <c r="P2414" s="10"/>
      <c r="Q2414" s="11"/>
    </row>
    <row r="2415" spans="2:17" ht="21" customHeight="1" x14ac:dyDescent="0.35">
      <c r="B2415" s="18">
        <v>44112</v>
      </c>
      <c r="C2415" s="18" t="str">
        <f>TEXT(Sales[[#This Row],[Kode Program/Kegiatan ]],"D")</f>
        <v>8</v>
      </c>
      <c r="D2415" s="19" t="str">
        <f>TEXT(Sales[[#This Row],[Kode Program/Kegiatan ]],"mmm")</f>
        <v>Oct</v>
      </c>
      <c r="E2415" s="20">
        <v>3</v>
      </c>
      <c r="F2415" s="19">
        <v>1</v>
      </c>
      <c r="G2415" s="20">
        <f>IF(Sales[[#This Row],[Anggaran Murni]]-Sales[[#This Row],[Target s.d. Januari]]=0,"",Sales[[#This Row],[Anggaran Murni]]-Sales[[#This Row],[Target s.d. Januari]])</f>
        <v>2</v>
      </c>
      <c r="H2415" s="19" t="s">
        <v>71</v>
      </c>
      <c r="I2415" s="20" t="s">
        <v>6</v>
      </c>
      <c r="J2415" s="20">
        <v>120000000</v>
      </c>
      <c r="K2415" s="19" t="s">
        <v>45</v>
      </c>
      <c r="L2415" s="19" t="s">
        <v>2</v>
      </c>
      <c r="M2415" s="21" t="s">
        <v>67</v>
      </c>
      <c r="N2415" s="20" t="s">
        <v>80</v>
      </c>
      <c r="O2415" s="19" t="s">
        <v>14</v>
      </c>
      <c r="P2415" s="10"/>
      <c r="Q2415" s="11"/>
    </row>
    <row r="2416" spans="2:17" ht="21" customHeight="1" x14ac:dyDescent="0.35">
      <c r="B2416" s="1">
        <v>44113</v>
      </c>
      <c r="C2416" s="1" t="str">
        <f>TEXT(Sales[[#This Row],[Kode Program/Kegiatan ]],"D")</f>
        <v>9</v>
      </c>
      <c r="D2416" s="2" t="str">
        <f>TEXT(Sales[[#This Row],[Kode Program/Kegiatan ]],"mmm")</f>
        <v>Oct</v>
      </c>
      <c r="E2416" s="3">
        <v>10</v>
      </c>
      <c r="F2416" s="2">
        <v>9</v>
      </c>
      <c r="G2416" s="3">
        <f>IF(Sales[[#This Row],[Anggaran Murni]]-Sales[[#This Row],[Target s.d. Januari]]=0,"",Sales[[#This Row],[Anggaran Murni]]-Sales[[#This Row],[Target s.d. Januari]])</f>
        <v>1</v>
      </c>
      <c r="H2416" s="2" t="s">
        <v>114</v>
      </c>
      <c r="I2416" s="3" t="s">
        <v>3</v>
      </c>
      <c r="J2416" s="3">
        <v>140000000</v>
      </c>
      <c r="K2416" s="2" t="s">
        <v>61</v>
      </c>
      <c r="L2416" s="2" t="s">
        <v>5</v>
      </c>
      <c r="M2416" s="4" t="s">
        <v>67</v>
      </c>
      <c r="N2416" s="3" t="s">
        <v>81</v>
      </c>
      <c r="O2416" s="2" t="s">
        <v>12</v>
      </c>
      <c r="P2416" s="10"/>
      <c r="Q2416" s="11"/>
    </row>
    <row r="2417" spans="2:17" ht="21" customHeight="1" x14ac:dyDescent="0.35">
      <c r="B2417" s="18">
        <v>44113</v>
      </c>
      <c r="C2417" s="18" t="str">
        <f>TEXT(Sales[[#This Row],[Kode Program/Kegiatan ]],"D")</f>
        <v>9</v>
      </c>
      <c r="D2417" s="19" t="str">
        <f>TEXT(Sales[[#This Row],[Kode Program/Kegiatan ]],"mmm")</f>
        <v>Oct</v>
      </c>
      <c r="E2417" s="20">
        <v>10</v>
      </c>
      <c r="F2417" s="19">
        <v>7</v>
      </c>
      <c r="G2417" s="20">
        <f>IF(Sales[[#This Row],[Anggaran Murni]]-Sales[[#This Row],[Target s.d. Januari]]=0,"",Sales[[#This Row],[Anggaran Murni]]-Sales[[#This Row],[Target s.d. Januari]])</f>
        <v>3</v>
      </c>
      <c r="H2417" s="19" t="s">
        <v>70</v>
      </c>
      <c r="I2417" s="20" t="s">
        <v>1</v>
      </c>
      <c r="J2417" s="20">
        <v>120000000</v>
      </c>
      <c r="K2417" s="19" t="s">
        <v>24</v>
      </c>
      <c r="L2417" s="19" t="s">
        <v>7</v>
      </c>
      <c r="M2417" s="21" t="s">
        <v>67</v>
      </c>
      <c r="N2417" s="20" t="s">
        <v>82</v>
      </c>
      <c r="O2417" s="19" t="s">
        <v>14</v>
      </c>
      <c r="P2417" s="10"/>
      <c r="Q2417" s="11"/>
    </row>
    <row r="2418" spans="2:17" ht="21" customHeight="1" x14ac:dyDescent="0.35">
      <c r="B2418" s="1">
        <v>44113</v>
      </c>
      <c r="C2418" s="1" t="str">
        <f>TEXT(Sales[[#This Row],[Kode Program/Kegiatan ]],"D")</f>
        <v>9</v>
      </c>
      <c r="D2418" s="2" t="str">
        <f>TEXT(Sales[[#This Row],[Kode Program/Kegiatan ]],"mmm")</f>
        <v>Oct</v>
      </c>
      <c r="E2418" s="3">
        <v>10</v>
      </c>
      <c r="F2418" s="2">
        <v>8</v>
      </c>
      <c r="G2418" s="3">
        <f>IF(Sales[[#This Row],[Anggaran Murni]]-Sales[[#This Row],[Target s.d. Januari]]=0,"",Sales[[#This Row],[Anggaran Murni]]-Sales[[#This Row],[Target s.d. Januari]])</f>
        <v>2</v>
      </c>
      <c r="H2418" s="2" t="s">
        <v>73</v>
      </c>
      <c r="I2418" s="3" t="s">
        <v>78</v>
      </c>
      <c r="J2418" s="3">
        <v>60000000</v>
      </c>
      <c r="K2418" s="2" t="s">
        <v>39</v>
      </c>
      <c r="L2418" s="2" t="s">
        <v>2</v>
      </c>
      <c r="M2418" s="4" t="s">
        <v>67</v>
      </c>
      <c r="N2418" s="3" t="s">
        <v>80</v>
      </c>
      <c r="O2418" s="2" t="s">
        <v>11</v>
      </c>
      <c r="P2418" s="10"/>
      <c r="Q2418" s="11"/>
    </row>
    <row r="2419" spans="2:17" ht="21" customHeight="1" x14ac:dyDescent="0.35">
      <c r="B2419" s="18">
        <v>44113</v>
      </c>
      <c r="C2419" s="18" t="str">
        <f>TEXT(Sales[[#This Row],[Kode Program/Kegiatan ]],"D")</f>
        <v>9</v>
      </c>
      <c r="D2419" s="19" t="str">
        <f>TEXT(Sales[[#This Row],[Kode Program/Kegiatan ]],"mmm")</f>
        <v>Oct</v>
      </c>
      <c r="E2419" s="20">
        <v>9</v>
      </c>
      <c r="F2419" s="19">
        <v>6</v>
      </c>
      <c r="G2419" s="20">
        <f>IF(Sales[[#This Row],[Anggaran Murni]]-Sales[[#This Row],[Target s.d. Januari]]=0,"",Sales[[#This Row],[Anggaran Murni]]-Sales[[#This Row],[Target s.d. Januari]])</f>
        <v>3</v>
      </c>
      <c r="H2419" s="19" t="s">
        <v>113</v>
      </c>
      <c r="I2419" s="20" t="s">
        <v>77</v>
      </c>
      <c r="J2419" s="20">
        <v>120000000</v>
      </c>
      <c r="K2419" s="19" t="s">
        <v>20</v>
      </c>
      <c r="L2419" s="19" t="s">
        <v>2</v>
      </c>
      <c r="M2419" s="21" t="s">
        <v>67</v>
      </c>
      <c r="N2419" s="20" t="s">
        <v>80</v>
      </c>
      <c r="O2419" s="19" t="s">
        <v>12</v>
      </c>
      <c r="P2419" s="10"/>
      <c r="Q2419" s="11"/>
    </row>
    <row r="2420" spans="2:17" ht="21" customHeight="1" x14ac:dyDescent="0.35">
      <c r="B2420" s="1">
        <v>44113</v>
      </c>
      <c r="C2420" s="1" t="str">
        <f>TEXT(Sales[[#This Row],[Kode Program/Kegiatan ]],"D")</f>
        <v>9</v>
      </c>
      <c r="D2420" s="2" t="str">
        <f>TEXT(Sales[[#This Row],[Kode Program/Kegiatan ]],"mmm")</f>
        <v>Oct</v>
      </c>
      <c r="E2420" s="3">
        <v>8</v>
      </c>
      <c r="F2420" s="2">
        <v>5</v>
      </c>
      <c r="G2420" s="3">
        <f>IF(Sales[[#This Row],[Anggaran Murni]]-Sales[[#This Row],[Target s.d. Januari]]=0,"",Sales[[#This Row],[Anggaran Murni]]-Sales[[#This Row],[Target s.d. Januari]])</f>
        <v>3</v>
      </c>
      <c r="H2420" s="2" t="s">
        <v>113</v>
      </c>
      <c r="I2420" s="3" t="s">
        <v>77</v>
      </c>
      <c r="J2420" s="3">
        <v>100000000</v>
      </c>
      <c r="K2420" s="2" t="s">
        <v>51</v>
      </c>
      <c r="L2420" s="2" t="s">
        <v>2</v>
      </c>
      <c r="M2420" s="4" t="s">
        <v>67</v>
      </c>
      <c r="N2420" s="3" t="s">
        <v>81</v>
      </c>
      <c r="O2420" s="2" t="s">
        <v>11</v>
      </c>
      <c r="P2420" s="10"/>
      <c r="Q2420" s="11"/>
    </row>
    <row r="2421" spans="2:17" ht="21" customHeight="1" x14ac:dyDescent="0.35">
      <c r="B2421" s="18">
        <v>44113</v>
      </c>
      <c r="C2421" s="18" t="str">
        <f>TEXT(Sales[[#This Row],[Kode Program/Kegiatan ]],"D")</f>
        <v>9</v>
      </c>
      <c r="D2421" s="19" t="str">
        <f>TEXT(Sales[[#This Row],[Kode Program/Kegiatan ]],"mmm")</f>
        <v>Oct</v>
      </c>
      <c r="E2421" s="20">
        <v>8</v>
      </c>
      <c r="F2421" s="19">
        <v>6</v>
      </c>
      <c r="G2421" s="20">
        <f>IF(Sales[[#This Row],[Anggaran Murni]]-Sales[[#This Row],[Target s.d. Januari]]=0,"",Sales[[#This Row],[Anggaran Murni]]-Sales[[#This Row],[Target s.d. Januari]])</f>
        <v>2</v>
      </c>
      <c r="H2421" s="19" t="s">
        <v>72</v>
      </c>
      <c r="I2421" s="20" t="s">
        <v>78</v>
      </c>
      <c r="J2421" s="20">
        <v>100000000</v>
      </c>
      <c r="K2421" s="19" t="s">
        <v>51</v>
      </c>
      <c r="L2421" s="19" t="s">
        <v>2</v>
      </c>
      <c r="M2421" s="21" t="s">
        <v>67</v>
      </c>
      <c r="N2421" s="20" t="s">
        <v>81</v>
      </c>
      <c r="O2421" s="19" t="s">
        <v>13</v>
      </c>
      <c r="P2421" s="10"/>
      <c r="Q2421" s="11"/>
    </row>
    <row r="2422" spans="2:17" ht="21" customHeight="1" x14ac:dyDescent="0.35">
      <c r="B2422" s="1">
        <v>44113</v>
      </c>
      <c r="C2422" s="1" t="str">
        <f>TEXT(Sales[[#This Row],[Kode Program/Kegiatan ]],"D")</f>
        <v>9</v>
      </c>
      <c r="D2422" s="2" t="str">
        <f>TEXT(Sales[[#This Row],[Kode Program/Kegiatan ]],"mmm")</f>
        <v>Oct</v>
      </c>
      <c r="E2422" s="3">
        <v>4</v>
      </c>
      <c r="F2422" s="2">
        <v>3</v>
      </c>
      <c r="G2422" s="3">
        <f>IF(Sales[[#This Row],[Anggaran Murni]]-Sales[[#This Row],[Target s.d. Januari]]=0,"",Sales[[#This Row],[Anggaran Murni]]-Sales[[#This Row],[Target s.d. Januari]])</f>
        <v>1</v>
      </c>
      <c r="H2422" s="2" t="s">
        <v>72</v>
      </c>
      <c r="I2422" s="3" t="s">
        <v>78</v>
      </c>
      <c r="J2422" s="3">
        <v>80000000</v>
      </c>
      <c r="K2422" s="2" t="s">
        <v>39</v>
      </c>
      <c r="L2422" s="2" t="s">
        <v>2</v>
      </c>
      <c r="M2422" s="4" t="s">
        <v>67</v>
      </c>
      <c r="N2422" s="3" t="s">
        <v>82</v>
      </c>
      <c r="O2422" s="2" t="s">
        <v>12</v>
      </c>
      <c r="P2422" s="10"/>
      <c r="Q2422" s="11"/>
    </row>
    <row r="2423" spans="2:17" ht="21" customHeight="1" x14ac:dyDescent="0.35">
      <c r="B2423" s="18">
        <v>44113</v>
      </c>
      <c r="C2423" s="18" t="str">
        <f>TEXT(Sales[[#This Row],[Kode Program/Kegiatan ]],"D")</f>
        <v>9</v>
      </c>
      <c r="D2423" s="19" t="str">
        <f>TEXT(Sales[[#This Row],[Kode Program/Kegiatan ]],"mmm")</f>
        <v>Oct</v>
      </c>
      <c r="E2423" s="20">
        <v>3</v>
      </c>
      <c r="F2423" s="19">
        <v>1</v>
      </c>
      <c r="G2423" s="20">
        <f>IF(Sales[[#This Row],[Anggaran Murni]]-Sales[[#This Row],[Target s.d. Januari]]=0,"",Sales[[#This Row],[Anggaran Murni]]-Sales[[#This Row],[Target s.d. Januari]])</f>
        <v>2</v>
      </c>
      <c r="H2423" s="19" t="s">
        <v>71</v>
      </c>
      <c r="I2423" s="20" t="s">
        <v>6</v>
      </c>
      <c r="J2423" s="20">
        <v>120000000</v>
      </c>
      <c r="K2423" s="19" t="s">
        <v>19</v>
      </c>
      <c r="L2423" s="19" t="s">
        <v>5</v>
      </c>
      <c r="M2423" s="21" t="s">
        <v>67</v>
      </c>
      <c r="N2423" s="20" t="s">
        <v>82</v>
      </c>
      <c r="O2423" s="19" t="s">
        <v>12</v>
      </c>
      <c r="P2423" s="10"/>
      <c r="Q2423" s="11"/>
    </row>
    <row r="2424" spans="2:17" ht="21" customHeight="1" x14ac:dyDescent="0.35">
      <c r="B2424" s="1">
        <v>44114</v>
      </c>
      <c r="C2424" s="1" t="str">
        <f>TEXT(Sales[[#This Row],[Kode Program/Kegiatan ]],"D")</f>
        <v>10</v>
      </c>
      <c r="D2424" s="2" t="str">
        <f>TEXT(Sales[[#This Row],[Kode Program/Kegiatan ]],"mmm")</f>
        <v>Oct</v>
      </c>
      <c r="E2424" s="3">
        <v>10</v>
      </c>
      <c r="F2424" s="2">
        <v>10</v>
      </c>
      <c r="G2424" s="3" t="str">
        <f>IF(Sales[[#This Row],[Anggaran Murni]]-Sales[[#This Row],[Target s.d. Januari]]=0,"",Sales[[#This Row],[Anggaran Murni]]-Sales[[#This Row],[Target s.d. Januari]])</f>
        <v/>
      </c>
      <c r="H2424" s="2" t="s">
        <v>70</v>
      </c>
      <c r="I2424" s="3" t="s">
        <v>1</v>
      </c>
      <c r="J2424" s="3">
        <v>80000000</v>
      </c>
      <c r="K2424" s="2" t="s">
        <v>50</v>
      </c>
      <c r="L2424" s="2" t="s">
        <v>5</v>
      </c>
      <c r="M2424" s="4" t="s">
        <v>67</v>
      </c>
      <c r="N2424" s="3" t="s">
        <v>81</v>
      </c>
      <c r="O2424" s="2" t="s">
        <v>14</v>
      </c>
      <c r="P2424" s="10"/>
      <c r="Q2424" s="11"/>
    </row>
    <row r="2425" spans="2:17" ht="21" customHeight="1" x14ac:dyDescent="0.35">
      <c r="B2425" s="18">
        <v>44114</v>
      </c>
      <c r="C2425" s="18" t="str">
        <f>TEXT(Sales[[#This Row],[Kode Program/Kegiatan ]],"D")</f>
        <v>10</v>
      </c>
      <c r="D2425" s="19" t="str">
        <f>TEXT(Sales[[#This Row],[Kode Program/Kegiatan ]],"mmm")</f>
        <v>Oct</v>
      </c>
      <c r="E2425" s="20">
        <v>10</v>
      </c>
      <c r="F2425" s="19">
        <v>10</v>
      </c>
      <c r="G2425" s="20" t="str">
        <f>IF(Sales[[#This Row],[Anggaran Murni]]-Sales[[#This Row],[Target s.d. Januari]]=0,"",Sales[[#This Row],[Anggaran Murni]]-Sales[[#This Row],[Target s.d. Januari]])</f>
        <v/>
      </c>
      <c r="H2425" s="19" t="s">
        <v>75</v>
      </c>
      <c r="I2425" s="20" t="s">
        <v>6</v>
      </c>
      <c r="J2425" s="20">
        <v>40000000</v>
      </c>
      <c r="K2425" s="19" t="s">
        <v>17</v>
      </c>
      <c r="L2425" s="19" t="s">
        <v>5</v>
      </c>
      <c r="M2425" s="21" t="s">
        <v>67</v>
      </c>
      <c r="N2425" s="20" t="s">
        <v>82</v>
      </c>
      <c r="O2425" s="19" t="s">
        <v>13</v>
      </c>
      <c r="P2425" s="10"/>
      <c r="Q2425" s="11"/>
    </row>
    <row r="2426" spans="2:17" ht="21" customHeight="1" x14ac:dyDescent="0.35">
      <c r="B2426" s="1">
        <v>44114</v>
      </c>
      <c r="C2426" s="1" t="str">
        <f>TEXT(Sales[[#This Row],[Kode Program/Kegiatan ]],"D")</f>
        <v>10</v>
      </c>
      <c r="D2426" s="2" t="str">
        <f>TEXT(Sales[[#This Row],[Kode Program/Kegiatan ]],"mmm")</f>
        <v>Oct</v>
      </c>
      <c r="E2426" s="3">
        <v>9</v>
      </c>
      <c r="F2426" s="2">
        <v>9</v>
      </c>
      <c r="G2426" s="3" t="str">
        <f>IF(Sales[[#This Row],[Anggaran Murni]]-Sales[[#This Row],[Target s.d. Januari]]=0,"",Sales[[#This Row],[Anggaran Murni]]-Sales[[#This Row],[Target s.d. Januari]])</f>
        <v/>
      </c>
      <c r="H2426" s="2" t="s">
        <v>74</v>
      </c>
      <c r="I2426" s="3" t="s">
        <v>77</v>
      </c>
      <c r="J2426" s="3">
        <v>40000000</v>
      </c>
      <c r="K2426" s="2" t="s">
        <v>20</v>
      </c>
      <c r="L2426" s="2" t="s">
        <v>5</v>
      </c>
      <c r="M2426" s="4" t="s">
        <v>67</v>
      </c>
      <c r="N2426" s="3" t="s">
        <v>80</v>
      </c>
      <c r="O2426" s="2" t="s">
        <v>14</v>
      </c>
      <c r="P2426" s="10"/>
      <c r="Q2426" s="11"/>
    </row>
    <row r="2427" spans="2:17" ht="21" customHeight="1" x14ac:dyDescent="0.35">
      <c r="B2427" s="18">
        <v>44114</v>
      </c>
      <c r="C2427" s="18" t="str">
        <f>TEXT(Sales[[#This Row],[Kode Program/Kegiatan ]],"D")</f>
        <v>10</v>
      </c>
      <c r="D2427" s="19" t="str">
        <f>TEXT(Sales[[#This Row],[Kode Program/Kegiatan ]],"mmm")</f>
        <v>Oct</v>
      </c>
      <c r="E2427" s="20">
        <v>9</v>
      </c>
      <c r="F2427" s="19">
        <v>9</v>
      </c>
      <c r="G2427" s="20" t="str">
        <f>IF(Sales[[#This Row],[Anggaran Murni]]-Sales[[#This Row],[Target s.d. Januari]]=0,"",Sales[[#This Row],[Anggaran Murni]]-Sales[[#This Row],[Target s.d. Januari]])</f>
        <v/>
      </c>
      <c r="H2427" s="19" t="s">
        <v>76</v>
      </c>
      <c r="I2427" s="20" t="s">
        <v>79</v>
      </c>
      <c r="J2427" s="20">
        <v>40000000</v>
      </c>
      <c r="K2427" s="19" t="s">
        <v>32</v>
      </c>
      <c r="L2427" s="19" t="s">
        <v>4</v>
      </c>
      <c r="M2427" s="21" t="s">
        <v>67</v>
      </c>
      <c r="N2427" s="20" t="s">
        <v>80</v>
      </c>
      <c r="O2427" s="19" t="s">
        <v>12</v>
      </c>
      <c r="P2427" s="10"/>
      <c r="Q2427" s="11"/>
    </row>
    <row r="2428" spans="2:17" ht="21" customHeight="1" x14ac:dyDescent="0.35">
      <c r="B2428" s="1">
        <v>44114</v>
      </c>
      <c r="C2428" s="1" t="str">
        <f>TEXT(Sales[[#This Row],[Kode Program/Kegiatan ]],"D")</f>
        <v>10</v>
      </c>
      <c r="D2428" s="2" t="str">
        <f>TEXT(Sales[[#This Row],[Kode Program/Kegiatan ]],"mmm")</f>
        <v>Oct</v>
      </c>
      <c r="E2428" s="3">
        <v>9</v>
      </c>
      <c r="F2428" s="2">
        <v>9</v>
      </c>
      <c r="G2428" s="3" t="str">
        <f>IF(Sales[[#This Row],[Anggaran Murni]]-Sales[[#This Row],[Target s.d. Januari]]=0,"",Sales[[#This Row],[Anggaran Murni]]-Sales[[#This Row],[Target s.d. Januari]])</f>
        <v/>
      </c>
      <c r="H2428" s="2" t="s">
        <v>75</v>
      </c>
      <c r="I2428" s="3" t="s">
        <v>6</v>
      </c>
      <c r="J2428" s="3">
        <v>60000000</v>
      </c>
      <c r="K2428" s="2" t="s">
        <v>16</v>
      </c>
      <c r="L2428" s="2" t="s">
        <v>4</v>
      </c>
      <c r="M2428" s="4" t="s">
        <v>67</v>
      </c>
      <c r="N2428" s="3" t="s">
        <v>80</v>
      </c>
      <c r="O2428" s="2" t="s">
        <v>11</v>
      </c>
      <c r="P2428" s="10"/>
      <c r="Q2428" s="11"/>
    </row>
    <row r="2429" spans="2:17" ht="21" customHeight="1" x14ac:dyDescent="0.35">
      <c r="B2429" s="18">
        <v>44114</v>
      </c>
      <c r="C2429" s="18" t="str">
        <f>TEXT(Sales[[#This Row],[Kode Program/Kegiatan ]],"D")</f>
        <v>10</v>
      </c>
      <c r="D2429" s="19" t="str">
        <f>TEXT(Sales[[#This Row],[Kode Program/Kegiatan ]],"mmm")</f>
        <v>Oct</v>
      </c>
      <c r="E2429" s="20">
        <v>8</v>
      </c>
      <c r="F2429" s="19">
        <v>8</v>
      </c>
      <c r="G2429" s="20" t="str">
        <f>IF(Sales[[#This Row],[Anggaran Murni]]-Sales[[#This Row],[Target s.d. Januari]]=0,"",Sales[[#This Row],[Anggaran Murni]]-Sales[[#This Row],[Target s.d. Januari]])</f>
        <v/>
      </c>
      <c r="H2429" s="19" t="s">
        <v>76</v>
      </c>
      <c r="I2429" s="20" t="s">
        <v>79</v>
      </c>
      <c r="J2429" s="20">
        <v>100000000</v>
      </c>
      <c r="K2429" s="19" t="s">
        <v>55</v>
      </c>
      <c r="L2429" s="19" t="s">
        <v>5</v>
      </c>
      <c r="M2429" s="21" t="s">
        <v>67</v>
      </c>
      <c r="N2429" s="20" t="s">
        <v>80</v>
      </c>
      <c r="O2429" s="19" t="s">
        <v>14</v>
      </c>
      <c r="P2429" s="10"/>
      <c r="Q2429" s="11"/>
    </row>
    <row r="2430" spans="2:17" ht="21" customHeight="1" x14ac:dyDescent="0.35">
      <c r="B2430" s="1">
        <v>44114</v>
      </c>
      <c r="C2430" s="1" t="str">
        <f>TEXT(Sales[[#This Row],[Kode Program/Kegiatan ]],"D")</f>
        <v>10</v>
      </c>
      <c r="D2430" s="2" t="str">
        <f>TEXT(Sales[[#This Row],[Kode Program/Kegiatan ]],"mmm")</f>
        <v>Oct</v>
      </c>
      <c r="E2430" s="3">
        <v>7</v>
      </c>
      <c r="F2430" s="2">
        <v>7</v>
      </c>
      <c r="G2430" s="3" t="str">
        <f>IF(Sales[[#This Row],[Anggaran Murni]]-Sales[[#This Row],[Target s.d. Januari]]=0,"",Sales[[#This Row],[Anggaran Murni]]-Sales[[#This Row],[Target s.d. Januari]])</f>
        <v/>
      </c>
      <c r="H2430" s="2" t="s">
        <v>76</v>
      </c>
      <c r="I2430" s="3" t="s">
        <v>79</v>
      </c>
      <c r="J2430" s="3">
        <v>80000000</v>
      </c>
      <c r="K2430" s="2" t="s">
        <v>44</v>
      </c>
      <c r="L2430" s="2" t="s">
        <v>2</v>
      </c>
      <c r="M2430" s="4" t="s">
        <v>67</v>
      </c>
      <c r="N2430" s="3" t="s">
        <v>82</v>
      </c>
      <c r="O2430" s="2" t="s">
        <v>14</v>
      </c>
      <c r="P2430" s="10"/>
      <c r="Q2430" s="11"/>
    </row>
    <row r="2431" spans="2:17" ht="21" customHeight="1" x14ac:dyDescent="0.35">
      <c r="B2431" s="18">
        <v>44114</v>
      </c>
      <c r="C2431" s="18" t="str">
        <f>TEXT(Sales[[#This Row],[Kode Program/Kegiatan ]],"D")</f>
        <v>10</v>
      </c>
      <c r="D2431" s="19" t="str">
        <f>TEXT(Sales[[#This Row],[Kode Program/Kegiatan ]],"mmm")</f>
        <v>Oct</v>
      </c>
      <c r="E2431" s="20">
        <v>7</v>
      </c>
      <c r="F2431" s="19">
        <v>7</v>
      </c>
      <c r="G2431" s="20" t="str">
        <f>IF(Sales[[#This Row],[Anggaran Murni]]-Sales[[#This Row],[Target s.d. Januari]]=0,"",Sales[[#This Row],[Anggaran Murni]]-Sales[[#This Row],[Target s.d. Januari]])</f>
        <v/>
      </c>
      <c r="H2431" s="19" t="s">
        <v>72</v>
      </c>
      <c r="I2431" s="20" t="s">
        <v>78</v>
      </c>
      <c r="J2431" s="20">
        <v>60000000</v>
      </c>
      <c r="K2431" s="19" t="s">
        <v>16</v>
      </c>
      <c r="L2431" s="19" t="s">
        <v>7</v>
      </c>
      <c r="M2431" s="21" t="s">
        <v>67</v>
      </c>
      <c r="N2431" s="20" t="s">
        <v>82</v>
      </c>
      <c r="O2431" s="19" t="s">
        <v>14</v>
      </c>
      <c r="P2431" s="10"/>
      <c r="Q2431" s="11"/>
    </row>
    <row r="2432" spans="2:17" ht="21" customHeight="1" x14ac:dyDescent="0.35">
      <c r="B2432" s="1">
        <v>44114</v>
      </c>
      <c r="C2432" s="1" t="str">
        <f>TEXT(Sales[[#This Row],[Kode Program/Kegiatan ]],"D")</f>
        <v>10</v>
      </c>
      <c r="D2432" s="2" t="str">
        <f>TEXT(Sales[[#This Row],[Kode Program/Kegiatan ]],"mmm")</f>
        <v>Oct</v>
      </c>
      <c r="E2432" s="3">
        <v>6</v>
      </c>
      <c r="F2432" s="2">
        <v>6</v>
      </c>
      <c r="G2432" s="3" t="str">
        <f>IF(Sales[[#This Row],[Anggaran Murni]]-Sales[[#This Row],[Target s.d. Januari]]=0,"",Sales[[#This Row],[Anggaran Murni]]-Sales[[#This Row],[Target s.d. Januari]])</f>
        <v/>
      </c>
      <c r="H2432" s="2" t="s">
        <v>71</v>
      </c>
      <c r="I2432" s="3" t="s">
        <v>6</v>
      </c>
      <c r="J2432" s="3">
        <v>100000000</v>
      </c>
      <c r="K2432" s="2" t="s">
        <v>22</v>
      </c>
      <c r="L2432" s="2" t="s">
        <v>7</v>
      </c>
      <c r="M2432" s="4" t="s">
        <v>67</v>
      </c>
      <c r="N2432" s="3" t="s">
        <v>82</v>
      </c>
      <c r="O2432" s="2" t="s">
        <v>12</v>
      </c>
      <c r="P2432" s="10"/>
      <c r="Q2432" s="11"/>
    </row>
    <row r="2433" spans="2:17" ht="21" customHeight="1" x14ac:dyDescent="0.35">
      <c r="B2433" s="18">
        <v>44114</v>
      </c>
      <c r="C2433" s="18" t="str">
        <f>TEXT(Sales[[#This Row],[Kode Program/Kegiatan ]],"D")</f>
        <v>10</v>
      </c>
      <c r="D2433" s="19" t="str">
        <f>TEXT(Sales[[#This Row],[Kode Program/Kegiatan ]],"mmm")</f>
        <v>Oct</v>
      </c>
      <c r="E2433" s="20">
        <v>4</v>
      </c>
      <c r="F2433" s="19">
        <v>4</v>
      </c>
      <c r="G2433" s="20" t="str">
        <f>IF(Sales[[#This Row],[Anggaran Murni]]-Sales[[#This Row],[Target s.d. Januari]]=0,"",Sales[[#This Row],[Anggaran Murni]]-Sales[[#This Row],[Target s.d. Januari]])</f>
        <v/>
      </c>
      <c r="H2433" s="19" t="s">
        <v>71</v>
      </c>
      <c r="I2433" s="20" t="s">
        <v>6</v>
      </c>
      <c r="J2433" s="20">
        <v>100000000</v>
      </c>
      <c r="K2433" s="19" t="s">
        <v>54</v>
      </c>
      <c r="L2433" s="19" t="s">
        <v>5</v>
      </c>
      <c r="M2433" s="21" t="s">
        <v>67</v>
      </c>
      <c r="N2433" s="20" t="s">
        <v>81</v>
      </c>
      <c r="O2433" s="19" t="s">
        <v>13</v>
      </c>
      <c r="P2433" s="10"/>
      <c r="Q2433" s="11"/>
    </row>
    <row r="2434" spans="2:17" ht="21" customHeight="1" x14ac:dyDescent="0.35">
      <c r="B2434" s="1">
        <v>44114</v>
      </c>
      <c r="C2434" s="1" t="str">
        <f>TEXT(Sales[[#This Row],[Kode Program/Kegiatan ]],"D")</f>
        <v>10</v>
      </c>
      <c r="D2434" s="2" t="str">
        <f>TEXT(Sales[[#This Row],[Kode Program/Kegiatan ]],"mmm")</f>
        <v>Oct</v>
      </c>
      <c r="E2434" s="3">
        <v>4</v>
      </c>
      <c r="F2434" s="2">
        <v>4</v>
      </c>
      <c r="G2434" s="3" t="str">
        <f>IF(Sales[[#This Row],[Anggaran Murni]]-Sales[[#This Row],[Target s.d. Januari]]=0,"",Sales[[#This Row],[Anggaran Murni]]-Sales[[#This Row],[Target s.d. Januari]])</f>
        <v/>
      </c>
      <c r="H2434" s="2" t="s">
        <v>76</v>
      </c>
      <c r="I2434" s="3" t="s">
        <v>79</v>
      </c>
      <c r="J2434" s="3">
        <v>80000000</v>
      </c>
      <c r="K2434" s="2" t="s">
        <v>64</v>
      </c>
      <c r="L2434" s="2" t="s">
        <v>2</v>
      </c>
      <c r="M2434" s="4" t="s">
        <v>67</v>
      </c>
      <c r="N2434" s="3" t="s">
        <v>82</v>
      </c>
      <c r="O2434" s="2" t="s">
        <v>11</v>
      </c>
      <c r="P2434" s="10"/>
      <c r="Q2434" s="11"/>
    </row>
    <row r="2435" spans="2:17" ht="21" customHeight="1" x14ac:dyDescent="0.35">
      <c r="B2435" s="18">
        <v>44114</v>
      </c>
      <c r="C2435" s="18" t="str">
        <f>TEXT(Sales[[#This Row],[Kode Program/Kegiatan ]],"D")</f>
        <v>10</v>
      </c>
      <c r="D2435" s="19" t="str">
        <f>TEXT(Sales[[#This Row],[Kode Program/Kegiatan ]],"mmm")</f>
        <v>Oct</v>
      </c>
      <c r="E2435" s="20">
        <v>4</v>
      </c>
      <c r="F2435" s="19">
        <v>4</v>
      </c>
      <c r="G2435" s="20" t="str">
        <f>IF(Sales[[#This Row],[Anggaran Murni]]-Sales[[#This Row],[Target s.d. Januari]]=0,"",Sales[[#This Row],[Anggaran Murni]]-Sales[[#This Row],[Target s.d. Januari]])</f>
        <v/>
      </c>
      <c r="H2435" s="19" t="s">
        <v>70</v>
      </c>
      <c r="I2435" s="20" t="s">
        <v>1</v>
      </c>
      <c r="J2435" s="20">
        <v>80000000</v>
      </c>
      <c r="K2435" s="19" t="s">
        <v>15</v>
      </c>
      <c r="L2435" s="19" t="s">
        <v>2</v>
      </c>
      <c r="M2435" s="21" t="s">
        <v>67</v>
      </c>
      <c r="N2435" s="20" t="s">
        <v>80</v>
      </c>
      <c r="O2435" s="19" t="s">
        <v>12</v>
      </c>
      <c r="P2435" s="10"/>
      <c r="Q2435" s="11"/>
    </row>
    <row r="2436" spans="2:17" ht="21" customHeight="1" x14ac:dyDescent="0.35">
      <c r="B2436" s="1">
        <v>44114</v>
      </c>
      <c r="C2436" s="1" t="str">
        <f>TEXT(Sales[[#This Row],[Kode Program/Kegiatan ]],"D")</f>
        <v>10</v>
      </c>
      <c r="D2436" s="2" t="str">
        <f>TEXT(Sales[[#This Row],[Kode Program/Kegiatan ]],"mmm")</f>
        <v>Oct</v>
      </c>
      <c r="E2436" s="3">
        <v>3</v>
      </c>
      <c r="F2436" s="2">
        <v>3</v>
      </c>
      <c r="G2436" s="3" t="str">
        <f>IF(Sales[[#This Row],[Anggaran Murni]]-Sales[[#This Row],[Target s.d. Januari]]=0,"",Sales[[#This Row],[Anggaran Murni]]-Sales[[#This Row],[Target s.d. Januari]])</f>
        <v/>
      </c>
      <c r="H2436" s="2" t="s">
        <v>76</v>
      </c>
      <c r="I2436" s="3" t="s">
        <v>79</v>
      </c>
      <c r="J2436" s="3">
        <v>120000000</v>
      </c>
      <c r="K2436" s="2" t="s">
        <v>42</v>
      </c>
      <c r="L2436" s="2" t="s">
        <v>5</v>
      </c>
      <c r="M2436" s="4" t="s">
        <v>67</v>
      </c>
      <c r="N2436" s="3" t="s">
        <v>82</v>
      </c>
      <c r="O2436" s="2" t="s">
        <v>11</v>
      </c>
      <c r="P2436" s="10"/>
      <c r="Q2436" s="11"/>
    </row>
    <row r="2437" spans="2:17" ht="21" customHeight="1" x14ac:dyDescent="0.35">
      <c r="B2437" s="18">
        <v>44114</v>
      </c>
      <c r="C2437" s="18" t="str">
        <f>TEXT(Sales[[#This Row],[Kode Program/Kegiatan ]],"D")</f>
        <v>10</v>
      </c>
      <c r="D2437" s="19" t="str">
        <f>TEXT(Sales[[#This Row],[Kode Program/Kegiatan ]],"mmm")</f>
        <v>Oct</v>
      </c>
      <c r="E2437" s="20">
        <v>3</v>
      </c>
      <c r="F2437" s="19">
        <v>3</v>
      </c>
      <c r="G2437" s="20" t="str">
        <f>IF(Sales[[#This Row],[Anggaran Murni]]-Sales[[#This Row],[Target s.d. Januari]]=0,"",Sales[[#This Row],[Anggaran Murni]]-Sales[[#This Row],[Target s.d. Januari]])</f>
        <v/>
      </c>
      <c r="H2437" s="19" t="s">
        <v>73</v>
      </c>
      <c r="I2437" s="20" t="s">
        <v>78</v>
      </c>
      <c r="J2437" s="20">
        <v>80000000</v>
      </c>
      <c r="K2437" s="19" t="s">
        <v>17</v>
      </c>
      <c r="L2437" s="19" t="s">
        <v>2</v>
      </c>
      <c r="M2437" s="21" t="s">
        <v>67</v>
      </c>
      <c r="N2437" s="20" t="s">
        <v>81</v>
      </c>
      <c r="O2437" s="19" t="s">
        <v>11</v>
      </c>
      <c r="P2437" s="10"/>
      <c r="Q2437" s="11"/>
    </row>
    <row r="2438" spans="2:17" ht="21" customHeight="1" x14ac:dyDescent="0.35">
      <c r="B2438" s="1">
        <v>44115</v>
      </c>
      <c r="C2438" s="1" t="str">
        <f>TEXT(Sales[[#This Row],[Kode Program/Kegiatan ]],"D")</f>
        <v>11</v>
      </c>
      <c r="D2438" s="2" t="str">
        <f>TEXT(Sales[[#This Row],[Kode Program/Kegiatan ]],"mmm")</f>
        <v>Oct</v>
      </c>
      <c r="E2438" s="3">
        <v>9</v>
      </c>
      <c r="F2438" s="2">
        <v>9</v>
      </c>
      <c r="G2438" s="3" t="str">
        <f>IF(Sales[[#This Row],[Anggaran Murni]]-Sales[[#This Row],[Target s.d. Januari]]=0,"",Sales[[#This Row],[Anggaran Murni]]-Sales[[#This Row],[Target s.d. Januari]])</f>
        <v/>
      </c>
      <c r="H2438" s="2" t="s">
        <v>76</v>
      </c>
      <c r="I2438" s="3" t="s">
        <v>79</v>
      </c>
      <c r="J2438" s="3">
        <v>100000000</v>
      </c>
      <c r="K2438" s="2" t="s">
        <v>19</v>
      </c>
      <c r="L2438" s="2" t="s">
        <v>5</v>
      </c>
      <c r="M2438" s="4" t="s">
        <v>67</v>
      </c>
      <c r="N2438" s="3" t="s">
        <v>82</v>
      </c>
      <c r="O2438" s="2" t="s">
        <v>14</v>
      </c>
      <c r="P2438" s="10"/>
      <c r="Q2438" s="11"/>
    </row>
    <row r="2439" spans="2:17" ht="21" customHeight="1" x14ac:dyDescent="0.35">
      <c r="B2439" s="18">
        <v>44115</v>
      </c>
      <c r="C2439" s="18" t="str">
        <f>TEXT(Sales[[#This Row],[Kode Program/Kegiatan ]],"D")</f>
        <v>11</v>
      </c>
      <c r="D2439" s="19" t="str">
        <f>TEXT(Sales[[#This Row],[Kode Program/Kegiatan ]],"mmm")</f>
        <v>Oct</v>
      </c>
      <c r="E2439" s="20">
        <v>8</v>
      </c>
      <c r="F2439" s="19">
        <v>8</v>
      </c>
      <c r="G2439" s="20" t="str">
        <f>IF(Sales[[#This Row],[Anggaran Murni]]-Sales[[#This Row],[Target s.d. Januari]]=0,"",Sales[[#This Row],[Anggaran Murni]]-Sales[[#This Row],[Target s.d. Januari]])</f>
        <v/>
      </c>
      <c r="H2439" s="19" t="s">
        <v>71</v>
      </c>
      <c r="I2439" s="20" t="s">
        <v>6</v>
      </c>
      <c r="J2439" s="20">
        <v>40000000</v>
      </c>
      <c r="K2439" s="19" t="s">
        <v>32</v>
      </c>
      <c r="L2439" s="19" t="s">
        <v>7</v>
      </c>
      <c r="M2439" s="21" t="s">
        <v>67</v>
      </c>
      <c r="N2439" s="20" t="s">
        <v>81</v>
      </c>
      <c r="O2439" s="19" t="s">
        <v>12</v>
      </c>
      <c r="P2439" s="10"/>
      <c r="Q2439" s="11"/>
    </row>
    <row r="2440" spans="2:17" ht="21" customHeight="1" x14ac:dyDescent="0.35">
      <c r="B2440" s="1">
        <v>44115</v>
      </c>
      <c r="C2440" s="1" t="str">
        <f>TEXT(Sales[[#This Row],[Kode Program/Kegiatan ]],"D")</f>
        <v>11</v>
      </c>
      <c r="D2440" s="2" t="str">
        <f>TEXT(Sales[[#This Row],[Kode Program/Kegiatan ]],"mmm")</f>
        <v>Oct</v>
      </c>
      <c r="E2440" s="3">
        <v>8</v>
      </c>
      <c r="F2440" s="2">
        <v>8</v>
      </c>
      <c r="G2440" s="3" t="str">
        <f>IF(Sales[[#This Row],[Anggaran Murni]]-Sales[[#This Row],[Target s.d. Januari]]=0,"",Sales[[#This Row],[Anggaran Murni]]-Sales[[#This Row],[Target s.d. Januari]])</f>
        <v/>
      </c>
      <c r="H2440" s="2" t="s">
        <v>113</v>
      </c>
      <c r="I2440" s="3" t="s">
        <v>77</v>
      </c>
      <c r="J2440" s="3">
        <v>40000000</v>
      </c>
      <c r="K2440" s="2" t="s">
        <v>35</v>
      </c>
      <c r="L2440" s="2" t="s">
        <v>5</v>
      </c>
      <c r="M2440" s="4" t="s">
        <v>67</v>
      </c>
      <c r="N2440" s="3" t="s">
        <v>82</v>
      </c>
      <c r="O2440" s="2" t="s">
        <v>13</v>
      </c>
      <c r="P2440" s="10"/>
      <c r="Q2440" s="11"/>
    </row>
    <row r="2441" spans="2:17" ht="21" customHeight="1" x14ac:dyDescent="0.35">
      <c r="B2441" s="18">
        <v>44115</v>
      </c>
      <c r="C2441" s="18" t="str">
        <f>TEXT(Sales[[#This Row],[Kode Program/Kegiatan ]],"D")</f>
        <v>11</v>
      </c>
      <c r="D2441" s="19" t="str">
        <f>TEXT(Sales[[#This Row],[Kode Program/Kegiatan ]],"mmm")</f>
        <v>Oct</v>
      </c>
      <c r="E2441" s="20">
        <v>6</v>
      </c>
      <c r="F2441" s="19">
        <v>6</v>
      </c>
      <c r="G2441" s="20" t="str">
        <f>IF(Sales[[#This Row],[Anggaran Murni]]-Sales[[#This Row],[Target s.d. Januari]]=0,"",Sales[[#This Row],[Anggaran Murni]]-Sales[[#This Row],[Target s.d. Januari]])</f>
        <v/>
      </c>
      <c r="H2441" s="19" t="s">
        <v>73</v>
      </c>
      <c r="I2441" s="20" t="s">
        <v>78</v>
      </c>
      <c r="J2441" s="20">
        <v>60000000</v>
      </c>
      <c r="K2441" s="19" t="s">
        <v>42</v>
      </c>
      <c r="L2441" s="19" t="s">
        <v>5</v>
      </c>
      <c r="M2441" s="21" t="s">
        <v>67</v>
      </c>
      <c r="N2441" s="20" t="s">
        <v>80</v>
      </c>
      <c r="O2441" s="19" t="s">
        <v>12</v>
      </c>
      <c r="P2441" s="10"/>
      <c r="Q2441" s="11"/>
    </row>
    <row r="2442" spans="2:17" ht="21" customHeight="1" x14ac:dyDescent="0.35">
      <c r="B2442" s="1">
        <v>44115</v>
      </c>
      <c r="C2442" s="1" t="str">
        <f>TEXT(Sales[[#This Row],[Kode Program/Kegiatan ]],"D")</f>
        <v>11</v>
      </c>
      <c r="D2442" s="2" t="str">
        <f>TEXT(Sales[[#This Row],[Kode Program/Kegiatan ]],"mmm")</f>
        <v>Oct</v>
      </c>
      <c r="E2442" s="3">
        <v>6</v>
      </c>
      <c r="F2442" s="2">
        <v>6</v>
      </c>
      <c r="G2442" s="3" t="str">
        <f>IF(Sales[[#This Row],[Anggaran Murni]]-Sales[[#This Row],[Target s.d. Januari]]=0,"",Sales[[#This Row],[Anggaran Murni]]-Sales[[#This Row],[Target s.d. Januari]])</f>
        <v/>
      </c>
      <c r="H2442" s="2" t="s">
        <v>74</v>
      </c>
      <c r="I2442" s="3" t="s">
        <v>77</v>
      </c>
      <c r="J2442" s="3">
        <v>120000000</v>
      </c>
      <c r="K2442" s="2" t="s">
        <v>62</v>
      </c>
      <c r="L2442" s="2" t="s">
        <v>2</v>
      </c>
      <c r="M2442" s="4" t="s">
        <v>67</v>
      </c>
      <c r="N2442" s="3" t="s">
        <v>80</v>
      </c>
      <c r="O2442" s="2" t="s">
        <v>13</v>
      </c>
      <c r="P2442" s="10"/>
      <c r="Q2442" s="11"/>
    </row>
    <row r="2443" spans="2:17" ht="21" customHeight="1" x14ac:dyDescent="0.35">
      <c r="B2443" s="18">
        <v>44115</v>
      </c>
      <c r="C2443" s="18" t="str">
        <f>TEXT(Sales[[#This Row],[Kode Program/Kegiatan ]],"D")</f>
        <v>11</v>
      </c>
      <c r="D2443" s="19" t="str">
        <f>TEXT(Sales[[#This Row],[Kode Program/Kegiatan ]],"mmm")</f>
        <v>Oct</v>
      </c>
      <c r="E2443" s="20">
        <v>5</v>
      </c>
      <c r="F2443" s="19">
        <v>5</v>
      </c>
      <c r="G2443" s="20" t="str">
        <f>IF(Sales[[#This Row],[Anggaran Murni]]-Sales[[#This Row],[Target s.d. Januari]]=0,"",Sales[[#This Row],[Anggaran Murni]]-Sales[[#This Row],[Target s.d. Januari]])</f>
        <v/>
      </c>
      <c r="H2443" s="19" t="s">
        <v>70</v>
      </c>
      <c r="I2443" s="20" t="s">
        <v>1</v>
      </c>
      <c r="J2443" s="20">
        <v>120000000</v>
      </c>
      <c r="K2443" s="19" t="s">
        <v>50</v>
      </c>
      <c r="L2443" s="19" t="s">
        <v>2</v>
      </c>
      <c r="M2443" s="21" t="s">
        <v>67</v>
      </c>
      <c r="N2443" s="20" t="s">
        <v>82</v>
      </c>
      <c r="O2443" s="19" t="s">
        <v>12</v>
      </c>
      <c r="P2443" s="10"/>
      <c r="Q2443" s="11"/>
    </row>
    <row r="2444" spans="2:17" ht="21" customHeight="1" x14ac:dyDescent="0.35">
      <c r="B2444" s="1">
        <v>44115</v>
      </c>
      <c r="C2444" s="1" t="str">
        <f>TEXT(Sales[[#This Row],[Kode Program/Kegiatan ]],"D")</f>
        <v>11</v>
      </c>
      <c r="D2444" s="2" t="str">
        <f>TEXT(Sales[[#This Row],[Kode Program/Kegiatan ]],"mmm")</f>
        <v>Oct</v>
      </c>
      <c r="E2444" s="3">
        <v>4</v>
      </c>
      <c r="F2444" s="2">
        <v>4</v>
      </c>
      <c r="G2444" s="3" t="str">
        <f>IF(Sales[[#This Row],[Anggaran Murni]]-Sales[[#This Row],[Target s.d. Januari]]=0,"",Sales[[#This Row],[Anggaran Murni]]-Sales[[#This Row],[Target s.d. Januari]])</f>
        <v/>
      </c>
      <c r="H2444" s="2" t="s">
        <v>113</v>
      </c>
      <c r="I2444" s="3" t="s">
        <v>77</v>
      </c>
      <c r="J2444" s="3">
        <v>60000000</v>
      </c>
      <c r="K2444" s="2" t="s">
        <v>22</v>
      </c>
      <c r="L2444" s="2" t="s">
        <v>2</v>
      </c>
      <c r="M2444" s="4" t="s">
        <v>67</v>
      </c>
      <c r="N2444" s="3" t="s">
        <v>80</v>
      </c>
      <c r="O2444" s="2" t="s">
        <v>11</v>
      </c>
      <c r="P2444" s="10"/>
      <c r="Q2444" s="11"/>
    </row>
    <row r="2445" spans="2:17" ht="21" customHeight="1" x14ac:dyDescent="0.35">
      <c r="B2445" s="18">
        <v>44116</v>
      </c>
      <c r="C2445" s="18" t="str">
        <f>TEXT(Sales[[#This Row],[Kode Program/Kegiatan ]],"D")</f>
        <v>12</v>
      </c>
      <c r="D2445" s="19" t="str">
        <f>TEXT(Sales[[#This Row],[Kode Program/Kegiatan ]],"mmm")</f>
        <v>Oct</v>
      </c>
      <c r="E2445" s="20">
        <v>7</v>
      </c>
      <c r="F2445" s="19">
        <v>7</v>
      </c>
      <c r="G2445" s="20" t="str">
        <f>IF(Sales[[#This Row],[Anggaran Murni]]-Sales[[#This Row],[Target s.d. Januari]]=0,"",Sales[[#This Row],[Anggaran Murni]]-Sales[[#This Row],[Target s.d. Januari]])</f>
        <v/>
      </c>
      <c r="H2445" s="19" t="s">
        <v>76</v>
      </c>
      <c r="I2445" s="20" t="s">
        <v>79</v>
      </c>
      <c r="J2445" s="20">
        <v>80000000</v>
      </c>
      <c r="K2445" s="19" t="s">
        <v>32</v>
      </c>
      <c r="L2445" s="19" t="s">
        <v>2</v>
      </c>
      <c r="M2445" s="21" t="s">
        <v>67</v>
      </c>
      <c r="N2445" s="20" t="s">
        <v>80</v>
      </c>
      <c r="O2445" s="19" t="s">
        <v>11</v>
      </c>
      <c r="P2445" s="10"/>
      <c r="Q2445" s="11"/>
    </row>
    <row r="2446" spans="2:17" ht="21" customHeight="1" x14ac:dyDescent="0.35">
      <c r="B2446" s="1">
        <v>44116</v>
      </c>
      <c r="C2446" s="1" t="str">
        <f>TEXT(Sales[[#This Row],[Kode Program/Kegiatan ]],"D")</f>
        <v>12</v>
      </c>
      <c r="D2446" s="2" t="str">
        <f>TEXT(Sales[[#This Row],[Kode Program/Kegiatan ]],"mmm")</f>
        <v>Oct</v>
      </c>
      <c r="E2446" s="3">
        <v>7</v>
      </c>
      <c r="F2446" s="2">
        <v>7</v>
      </c>
      <c r="G2446" s="3" t="str">
        <f>IF(Sales[[#This Row],[Anggaran Murni]]-Sales[[#This Row],[Target s.d. Januari]]=0,"",Sales[[#This Row],[Anggaran Murni]]-Sales[[#This Row],[Target s.d. Januari]])</f>
        <v/>
      </c>
      <c r="H2446" s="2" t="s">
        <v>76</v>
      </c>
      <c r="I2446" s="3" t="s">
        <v>79</v>
      </c>
      <c r="J2446" s="3">
        <v>40000000</v>
      </c>
      <c r="K2446" s="2" t="s">
        <v>21</v>
      </c>
      <c r="L2446" s="2" t="s">
        <v>5</v>
      </c>
      <c r="M2446" s="4" t="s">
        <v>67</v>
      </c>
      <c r="N2446" s="3" t="s">
        <v>82</v>
      </c>
      <c r="O2446" s="2" t="s">
        <v>14</v>
      </c>
      <c r="P2446" s="10"/>
      <c r="Q2446" s="11"/>
    </row>
    <row r="2447" spans="2:17" ht="21" customHeight="1" x14ac:dyDescent="0.35">
      <c r="B2447" s="18">
        <v>44116</v>
      </c>
      <c r="C2447" s="18" t="str">
        <f>TEXT(Sales[[#This Row],[Kode Program/Kegiatan ]],"D")</f>
        <v>12</v>
      </c>
      <c r="D2447" s="19" t="str">
        <f>TEXT(Sales[[#This Row],[Kode Program/Kegiatan ]],"mmm")</f>
        <v>Oct</v>
      </c>
      <c r="E2447" s="20">
        <v>3</v>
      </c>
      <c r="F2447" s="19">
        <v>3</v>
      </c>
      <c r="G2447" s="20" t="str">
        <f>IF(Sales[[#This Row],[Anggaran Murni]]-Sales[[#This Row],[Target s.d. Januari]]=0,"",Sales[[#This Row],[Anggaran Murni]]-Sales[[#This Row],[Target s.d. Januari]])</f>
        <v/>
      </c>
      <c r="H2447" s="19" t="s">
        <v>72</v>
      </c>
      <c r="I2447" s="20" t="s">
        <v>78</v>
      </c>
      <c r="J2447" s="20">
        <v>80000000</v>
      </c>
      <c r="K2447" s="19" t="s">
        <v>43</v>
      </c>
      <c r="L2447" s="19" t="s">
        <v>2</v>
      </c>
      <c r="M2447" s="21" t="s">
        <v>67</v>
      </c>
      <c r="N2447" s="20" t="s">
        <v>80</v>
      </c>
      <c r="O2447" s="19" t="s">
        <v>12</v>
      </c>
      <c r="P2447" s="10"/>
      <c r="Q2447" s="11"/>
    </row>
    <row r="2448" spans="2:17" ht="21" customHeight="1" x14ac:dyDescent="0.35">
      <c r="B2448" s="1">
        <v>44117</v>
      </c>
      <c r="C2448" s="1" t="str">
        <f>TEXT(Sales[[#This Row],[Kode Program/Kegiatan ]],"D")</f>
        <v>13</v>
      </c>
      <c r="D2448" s="2" t="str">
        <f>TEXT(Sales[[#This Row],[Kode Program/Kegiatan ]],"mmm")</f>
        <v>Oct</v>
      </c>
      <c r="E2448" s="3">
        <v>10</v>
      </c>
      <c r="F2448" s="2">
        <v>10</v>
      </c>
      <c r="G2448" s="3" t="str">
        <f>IF(Sales[[#This Row],[Anggaran Murni]]-Sales[[#This Row],[Target s.d. Januari]]=0,"",Sales[[#This Row],[Anggaran Murni]]-Sales[[#This Row],[Target s.d. Januari]])</f>
        <v/>
      </c>
      <c r="H2448" s="2" t="s">
        <v>76</v>
      </c>
      <c r="I2448" s="3" t="s">
        <v>79</v>
      </c>
      <c r="J2448" s="3">
        <v>40000000</v>
      </c>
      <c r="K2448" s="2" t="s">
        <v>59</v>
      </c>
      <c r="L2448" s="2" t="s">
        <v>7</v>
      </c>
      <c r="M2448" s="4" t="s">
        <v>67</v>
      </c>
      <c r="N2448" s="3" t="s">
        <v>81</v>
      </c>
      <c r="O2448" s="2" t="s">
        <v>11</v>
      </c>
      <c r="P2448" s="10"/>
      <c r="Q2448" s="11"/>
    </row>
    <row r="2449" spans="2:17" ht="21" customHeight="1" x14ac:dyDescent="0.35">
      <c r="B2449" s="18">
        <v>44117</v>
      </c>
      <c r="C2449" s="18" t="str">
        <f>TEXT(Sales[[#This Row],[Kode Program/Kegiatan ]],"D")</f>
        <v>13</v>
      </c>
      <c r="D2449" s="19" t="str">
        <f>TEXT(Sales[[#This Row],[Kode Program/Kegiatan ]],"mmm")</f>
        <v>Oct</v>
      </c>
      <c r="E2449" s="20">
        <v>10</v>
      </c>
      <c r="F2449" s="19">
        <v>10</v>
      </c>
      <c r="G2449" s="20" t="str">
        <f>IF(Sales[[#This Row],[Anggaran Murni]]-Sales[[#This Row],[Target s.d. Januari]]=0,"",Sales[[#This Row],[Anggaran Murni]]-Sales[[#This Row],[Target s.d. Januari]])</f>
        <v/>
      </c>
      <c r="H2449" s="19" t="s">
        <v>114</v>
      </c>
      <c r="I2449" s="20" t="s">
        <v>3</v>
      </c>
      <c r="J2449" s="20">
        <v>40000000</v>
      </c>
      <c r="K2449" s="19" t="s">
        <v>48</v>
      </c>
      <c r="L2449" s="19" t="s">
        <v>8</v>
      </c>
      <c r="M2449" s="21" t="s">
        <v>67</v>
      </c>
      <c r="N2449" s="20" t="s">
        <v>80</v>
      </c>
      <c r="O2449" s="19" t="s">
        <v>13</v>
      </c>
      <c r="P2449" s="10"/>
      <c r="Q2449" s="11"/>
    </row>
    <row r="2450" spans="2:17" ht="21" customHeight="1" x14ac:dyDescent="0.35">
      <c r="B2450" s="1">
        <v>44117</v>
      </c>
      <c r="C2450" s="1" t="str">
        <f>TEXT(Sales[[#This Row],[Kode Program/Kegiatan ]],"D")</f>
        <v>13</v>
      </c>
      <c r="D2450" s="2" t="str">
        <f>TEXT(Sales[[#This Row],[Kode Program/Kegiatan ]],"mmm")</f>
        <v>Oct</v>
      </c>
      <c r="E2450" s="3">
        <v>8</v>
      </c>
      <c r="F2450" s="2">
        <v>8</v>
      </c>
      <c r="G2450" s="3" t="str">
        <f>IF(Sales[[#This Row],[Anggaran Murni]]-Sales[[#This Row],[Target s.d. Januari]]=0,"",Sales[[#This Row],[Anggaran Murni]]-Sales[[#This Row],[Target s.d. Januari]])</f>
        <v/>
      </c>
      <c r="H2450" s="2" t="s">
        <v>72</v>
      </c>
      <c r="I2450" s="3" t="s">
        <v>78</v>
      </c>
      <c r="J2450" s="3">
        <v>100000000</v>
      </c>
      <c r="K2450" s="2" t="s">
        <v>51</v>
      </c>
      <c r="L2450" s="2" t="s">
        <v>8</v>
      </c>
      <c r="M2450" s="4" t="s">
        <v>67</v>
      </c>
      <c r="N2450" s="3" t="s">
        <v>80</v>
      </c>
      <c r="O2450" s="2" t="s">
        <v>13</v>
      </c>
      <c r="P2450" s="10"/>
      <c r="Q2450" s="11"/>
    </row>
    <row r="2451" spans="2:17" ht="21" customHeight="1" x14ac:dyDescent="0.35">
      <c r="B2451" s="18">
        <v>44117</v>
      </c>
      <c r="C2451" s="18" t="str">
        <f>TEXT(Sales[[#This Row],[Kode Program/Kegiatan ]],"D")</f>
        <v>13</v>
      </c>
      <c r="D2451" s="19" t="str">
        <f>TEXT(Sales[[#This Row],[Kode Program/Kegiatan ]],"mmm")</f>
        <v>Oct</v>
      </c>
      <c r="E2451" s="20">
        <v>8</v>
      </c>
      <c r="F2451" s="19">
        <v>8</v>
      </c>
      <c r="G2451" s="20" t="str">
        <f>IF(Sales[[#This Row],[Anggaran Murni]]-Sales[[#This Row],[Target s.d. Januari]]=0,"",Sales[[#This Row],[Anggaran Murni]]-Sales[[#This Row],[Target s.d. Januari]])</f>
        <v/>
      </c>
      <c r="H2451" s="19" t="s">
        <v>76</v>
      </c>
      <c r="I2451" s="20" t="s">
        <v>79</v>
      </c>
      <c r="J2451" s="20">
        <v>100000000</v>
      </c>
      <c r="K2451" s="19" t="s">
        <v>22</v>
      </c>
      <c r="L2451" s="19" t="s">
        <v>2</v>
      </c>
      <c r="M2451" s="21" t="s">
        <v>67</v>
      </c>
      <c r="N2451" s="20" t="s">
        <v>81</v>
      </c>
      <c r="O2451" s="19" t="s">
        <v>12</v>
      </c>
      <c r="P2451" s="10"/>
      <c r="Q2451" s="11"/>
    </row>
    <row r="2452" spans="2:17" ht="21" customHeight="1" x14ac:dyDescent="0.35">
      <c r="B2452" s="1">
        <v>44117</v>
      </c>
      <c r="C2452" s="1" t="str">
        <f>TEXT(Sales[[#This Row],[Kode Program/Kegiatan ]],"D")</f>
        <v>13</v>
      </c>
      <c r="D2452" s="2" t="str">
        <f>TEXT(Sales[[#This Row],[Kode Program/Kegiatan ]],"mmm")</f>
        <v>Oct</v>
      </c>
      <c r="E2452" s="3">
        <v>7</v>
      </c>
      <c r="F2452" s="2">
        <v>7</v>
      </c>
      <c r="G2452" s="3" t="str">
        <f>IF(Sales[[#This Row],[Anggaran Murni]]-Sales[[#This Row],[Target s.d. Januari]]=0,"",Sales[[#This Row],[Anggaran Murni]]-Sales[[#This Row],[Target s.d. Januari]])</f>
        <v/>
      </c>
      <c r="H2452" s="2" t="s">
        <v>73</v>
      </c>
      <c r="I2452" s="3" t="s">
        <v>78</v>
      </c>
      <c r="J2452" s="3">
        <v>120000000</v>
      </c>
      <c r="K2452" s="2" t="s">
        <v>15</v>
      </c>
      <c r="L2452" s="2" t="s">
        <v>2</v>
      </c>
      <c r="M2452" s="4" t="s">
        <v>67</v>
      </c>
      <c r="N2452" s="3" t="s">
        <v>82</v>
      </c>
      <c r="O2452" s="2" t="s">
        <v>13</v>
      </c>
      <c r="P2452" s="10"/>
      <c r="Q2452" s="11"/>
    </row>
    <row r="2453" spans="2:17" ht="21" customHeight="1" x14ac:dyDescent="0.35">
      <c r="B2453" s="18">
        <v>44117</v>
      </c>
      <c r="C2453" s="18" t="str">
        <f>TEXT(Sales[[#This Row],[Kode Program/Kegiatan ]],"D")</f>
        <v>13</v>
      </c>
      <c r="D2453" s="19" t="str">
        <f>TEXT(Sales[[#This Row],[Kode Program/Kegiatan ]],"mmm")</f>
        <v>Oct</v>
      </c>
      <c r="E2453" s="20">
        <v>6</v>
      </c>
      <c r="F2453" s="19">
        <v>6</v>
      </c>
      <c r="G2453" s="20" t="str">
        <f>IF(Sales[[#This Row],[Anggaran Murni]]-Sales[[#This Row],[Target s.d. Januari]]=0,"",Sales[[#This Row],[Anggaran Murni]]-Sales[[#This Row],[Target s.d. Januari]])</f>
        <v/>
      </c>
      <c r="H2453" s="19" t="s">
        <v>114</v>
      </c>
      <c r="I2453" s="20" t="s">
        <v>3</v>
      </c>
      <c r="J2453" s="20">
        <v>40000000</v>
      </c>
      <c r="K2453" s="19" t="s">
        <v>49</v>
      </c>
      <c r="L2453" s="19" t="s">
        <v>7</v>
      </c>
      <c r="M2453" s="21" t="s">
        <v>67</v>
      </c>
      <c r="N2453" s="20" t="s">
        <v>80</v>
      </c>
      <c r="O2453" s="19" t="s">
        <v>12</v>
      </c>
      <c r="P2453" s="10"/>
      <c r="Q2453" s="11"/>
    </row>
    <row r="2454" spans="2:17" ht="21" customHeight="1" x14ac:dyDescent="0.35">
      <c r="B2454" s="1">
        <v>44117</v>
      </c>
      <c r="C2454" s="1" t="str">
        <f>TEXT(Sales[[#This Row],[Kode Program/Kegiatan ]],"D")</f>
        <v>13</v>
      </c>
      <c r="D2454" s="2" t="str">
        <f>TEXT(Sales[[#This Row],[Kode Program/Kegiatan ]],"mmm")</f>
        <v>Oct</v>
      </c>
      <c r="E2454" s="3">
        <v>5</v>
      </c>
      <c r="F2454" s="2">
        <v>5</v>
      </c>
      <c r="G2454" s="3" t="str">
        <f>IF(Sales[[#This Row],[Anggaran Murni]]-Sales[[#This Row],[Target s.d. Januari]]=0,"",Sales[[#This Row],[Anggaran Murni]]-Sales[[#This Row],[Target s.d. Januari]])</f>
        <v/>
      </c>
      <c r="H2454" s="2" t="s">
        <v>76</v>
      </c>
      <c r="I2454" s="3" t="s">
        <v>79</v>
      </c>
      <c r="J2454" s="3">
        <v>120000000</v>
      </c>
      <c r="K2454" s="2" t="s">
        <v>42</v>
      </c>
      <c r="L2454" s="2" t="s">
        <v>5</v>
      </c>
      <c r="M2454" s="4" t="s">
        <v>67</v>
      </c>
      <c r="N2454" s="3" t="s">
        <v>82</v>
      </c>
      <c r="O2454" s="2" t="s">
        <v>11</v>
      </c>
      <c r="P2454" s="10"/>
      <c r="Q2454" s="11"/>
    </row>
    <row r="2455" spans="2:17" ht="21" customHeight="1" x14ac:dyDescent="0.35">
      <c r="B2455" s="18">
        <v>44117</v>
      </c>
      <c r="C2455" s="18" t="str">
        <f>TEXT(Sales[[#This Row],[Kode Program/Kegiatan ]],"D")</f>
        <v>13</v>
      </c>
      <c r="D2455" s="19" t="str">
        <f>TEXT(Sales[[#This Row],[Kode Program/Kegiatan ]],"mmm")</f>
        <v>Oct</v>
      </c>
      <c r="E2455" s="20">
        <v>5</v>
      </c>
      <c r="F2455" s="19">
        <v>5</v>
      </c>
      <c r="G2455" s="20" t="str">
        <f>IF(Sales[[#This Row],[Anggaran Murni]]-Sales[[#This Row],[Target s.d. Januari]]=0,"",Sales[[#This Row],[Anggaran Murni]]-Sales[[#This Row],[Target s.d. Januari]])</f>
        <v/>
      </c>
      <c r="H2455" s="19" t="s">
        <v>70</v>
      </c>
      <c r="I2455" s="20" t="s">
        <v>1</v>
      </c>
      <c r="J2455" s="20">
        <v>80000000</v>
      </c>
      <c r="K2455" s="19" t="s">
        <v>44</v>
      </c>
      <c r="L2455" s="19" t="s">
        <v>7</v>
      </c>
      <c r="M2455" s="21" t="s">
        <v>67</v>
      </c>
      <c r="N2455" s="20" t="s">
        <v>80</v>
      </c>
      <c r="O2455" s="19" t="s">
        <v>14</v>
      </c>
      <c r="P2455" s="10"/>
      <c r="Q2455" s="11"/>
    </row>
    <row r="2456" spans="2:17" ht="21" customHeight="1" x14ac:dyDescent="0.35">
      <c r="B2456" s="1">
        <v>44117</v>
      </c>
      <c r="C2456" s="1" t="str">
        <f>TEXT(Sales[[#This Row],[Kode Program/Kegiatan ]],"D")</f>
        <v>13</v>
      </c>
      <c r="D2456" s="2" t="str">
        <f>TEXT(Sales[[#This Row],[Kode Program/Kegiatan ]],"mmm")</f>
        <v>Oct</v>
      </c>
      <c r="E2456" s="3">
        <v>4</v>
      </c>
      <c r="F2456" s="2">
        <v>4</v>
      </c>
      <c r="G2456" s="3" t="str">
        <f>IF(Sales[[#This Row],[Anggaran Murni]]-Sales[[#This Row],[Target s.d. Januari]]=0,"",Sales[[#This Row],[Anggaran Murni]]-Sales[[#This Row],[Target s.d. Januari]])</f>
        <v/>
      </c>
      <c r="H2456" s="2" t="s">
        <v>75</v>
      </c>
      <c r="I2456" s="3" t="s">
        <v>6</v>
      </c>
      <c r="J2456" s="3">
        <v>60000000</v>
      </c>
      <c r="K2456" s="2" t="s">
        <v>23</v>
      </c>
      <c r="L2456" s="2" t="s">
        <v>2</v>
      </c>
      <c r="M2456" s="4" t="s">
        <v>67</v>
      </c>
      <c r="N2456" s="3" t="s">
        <v>81</v>
      </c>
      <c r="O2456" s="2" t="s">
        <v>11</v>
      </c>
      <c r="P2456" s="10"/>
      <c r="Q2456" s="11"/>
    </row>
    <row r="2457" spans="2:17" ht="21" customHeight="1" x14ac:dyDescent="0.35">
      <c r="B2457" s="18">
        <v>44117</v>
      </c>
      <c r="C2457" s="18" t="str">
        <f>TEXT(Sales[[#This Row],[Kode Program/Kegiatan ]],"D")</f>
        <v>13</v>
      </c>
      <c r="D2457" s="19" t="str">
        <f>TEXT(Sales[[#This Row],[Kode Program/Kegiatan ]],"mmm")</f>
        <v>Oct</v>
      </c>
      <c r="E2457" s="20">
        <v>4</v>
      </c>
      <c r="F2457" s="19">
        <v>4</v>
      </c>
      <c r="G2457" s="20" t="str">
        <f>IF(Sales[[#This Row],[Anggaran Murni]]-Sales[[#This Row],[Target s.d. Januari]]=0,"",Sales[[#This Row],[Anggaran Murni]]-Sales[[#This Row],[Target s.d. Januari]])</f>
        <v/>
      </c>
      <c r="H2457" s="19" t="s">
        <v>72</v>
      </c>
      <c r="I2457" s="20" t="s">
        <v>78</v>
      </c>
      <c r="J2457" s="20">
        <v>40000000</v>
      </c>
      <c r="K2457" s="19" t="s">
        <v>54</v>
      </c>
      <c r="L2457" s="19" t="s">
        <v>5</v>
      </c>
      <c r="M2457" s="21" t="s">
        <v>67</v>
      </c>
      <c r="N2457" s="20" t="s">
        <v>80</v>
      </c>
      <c r="O2457" s="19" t="s">
        <v>14</v>
      </c>
      <c r="P2457" s="10"/>
      <c r="Q2457" s="11"/>
    </row>
    <row r="2458" spans="2:17" ht="21" customHeight="1" x14ac:dyDescent="0.35">
      <c r="B2458" s="1">
        <v>44117</v>
      </c>
      <c r="C2458" s="1" t="str">
        <f>TEXT(Sales[[#This Row],[Kode Program/Kegiatan ]],"D")</f>
        <v>13</v>
      </c>
      <c r="D2458" s="2" t="str">
        <f>TEXT(Sales[[#This Row],[Kode Program/Kegiatan ]],"mmm")</f>
        <v>Oct</v>
      </c>
      <c r="E2458" s="3">
        <v>4</v>
      </c>
      <c r="F2458" s="2">
        <v>4</v>
      </c>
      <c r="G2458" s="3" t="str">
        <f>IF(Sales[[#This Row],[Anggaran Murni]]-Sales[[#This Row],[Target s.d. Januari]]=0,"",Sales[[#This Row],[Anggaran Murni]]-Sales[[#This Row],[Target s.d. Januari]])</f>
        <v/>
      </c>
      <c r="H2458" s="2" t="s">
        <v>114</v>
      </c>
      <c r="I2458" s="3" t="s">
        <v>3</v>
      </c>
      <c r="J2458" s="3">
        <v>80000000</v>
      </c>
      <c r="K2458" s="2" t="s">
        <v>48</v>
      </c>
      <c r="L2458" s="2" t="s">
        <v>5</v>
      </c>
      <c r="M2458" s="4" t="s">
        <v>67</v>
      </c>
      <c r="N2458" s="3" t="s">
        <v>82</v>
      </c>
      <c r="O2458" s="2" t="s">
        <v>11</v>
      </c>
      <c r="P2458" s="10"/>
      <c r="Q2458" s="11"/>
    </row>
    <row r="2459" spans="2:17" ht="21" customHeight="1" x14ac:dyDescent="0.35">
      <c r="B2459" s="18">
        <v>44118</v>
      </c>
      <c r="C2459" s="18" t="str">
        <f>TEXT(Sales[[#This Row],[Kode Program/Kegiatan ]],"D")</f>
        <v>14</v>
      </c>
      <c r="D2459" s="19" t="str">
        <f>TEXT(Sales[[#This Row],[Kode Program/Kegiatan ]],"mmm")</f>
        <v>Oct</v>
      </c>
      <c r="E2459" s="20">
        <v>10</v>
      </c>
      <c r="F2459" s="19">
        <v>10</v>
      </c>
      <c r="G2459" s="20" t="str">
        <f>IF(Sales[[#This Row],[Anggaran Murni]]-Sales[[#This Row],[Target s.d. Januari]]=0,"",Sales[[#This Row],[Anggaran Murni]]-Sales[[#This Row],[Target s.d. Januari]])</f>
        <v/>
      </c>
      <c r="H2459" s="19" t="s">
        <v>70</v>
      </c>
      <c r="I2459" s="20" t="s">
        <v>1</v>
      </c>
      <c r="J2459" s="20">
        <v>40000000</v>
      </c>
      <c r="K2459" s="19" t="s">
        <v>24</v>
      </c>
      <c r="L2459" s="19" t="s">
        <v>5</v>
      </c>
      <c r="M2459" s="21" t="s">
        <v>67</v>
      </c>
      <c r="N2459" s="20" t="s">
        <v>80</v>
      </c>
      <c r="O2459" s="19" t="s">
        <v>13</v>
      </c>
      <c r="P2459" s="10"/>
      <c r="Q2459" s="11"/>
    </row>
    <row r="2460" spans="2:17" ht="21" customHeight="1" x14ac:dyDescent="0.35">
      <c r="B2460" s="1">
        <v>44118</v>
      </c>
      <c r="C2460" s="1" t="str">
        <f>TEXT(Sales[[#This Row],[Kode Program/Kegiatan ]],"D")</f>
        <v>14</v>
      </c>
      <c r="D2460" s="2" t="str">
        <f>TEXT(Sales[[#This Row],[Kode Program/Kegiatan ]],"mmm")</f>
        <v>Oct</v>
      </c>
      <c r="E2460" s="3">
        <v>10</v>
      </c>
      <c r="F2460" s="2">
        <v>10</v>
      </c>
      <c r="G2460" s="3" t="str">
        <f>IF(Sales[[#This Row],[Anggaran Murni]]-Sales[[#This Row],[Target s.d. Januari]]=0,"",Sales[[#This Row],[Anggaran Murni]]-Sales[[#This Row],[Target s.d. Januari]])</f>
        <v/>
      </c>
      <c r="H2460" s="2" t="s">
        <v>71</v>
      </c>
      <c r="I2460" s="3" t="s">
        <v>6</v>
      </c>
      <c r="J2460" s="3">
        <v>120000000</v>
      </c>
      <c r="K2460" s="2" t="s">
        <v>25</v>
      </c>
      <c r="L2460" s="2" t="s">
        <v>2</v>
      </c>
      <c r="M2460" s="4" t="s">
        <v>67</v>
      </c>
      <c r="N2460" s="3" t="s">
        <v>82</v>
      </c>
      <c r="O2460" s="2" t="s">
        <v>12</v>
      </c>
      <c r="P2460" s="10"/>
      <c r="Q2460" s="11"/>
    </row>
    <row r="2461" spans="2:17" ht="21" customHeight="1" x14ac:dyDescent="0.35">
      <c r="B2461" s="18">
        <v>44118</v>
      </c>
      <c r="C2461" s="18" t="str">
        <f>TEXT(Sales[[#This Row],[Kode Program/Kegiatan ]],"D")</f>
        <v>14</v>
      </c>
      <c r="D2461" s="19" t="str">
        <f>TEXT(Sales[[#This Row],[Kode Program/Kegiatan ]],"mmm")</f>
        <v>Oct</v>
      </c>
      <c r="E2461" s="20">
        <v>6</v>
      </c>
      <c r="F2461" s="19">
        <v>6</v>
      </c>
      <c r="G2461" s="20" t="str">
        <f>IF(Sales[[#This Row],[Anggaran Murni]]-Sales[[#This Row],[Target s.d. Januari]]=0,"",Sales[[#This Row],[Anggaran Murni]]-Sales[[#This Row],[Target s.d. Januari]])</f>
        <v/>
      </c>
      <c r="H2461" s="19" t="s">
        <v>76</v>
      </c>
      <c r="I2461" s="20" t="s">
        <v>79</v>
      </c>
      <c r="J2461" s="20">
        <v>100000000</v>
      </c>
      <c r="K2461" s="19" t="s">
        <v>43</v>
      </c>
      <c r="L2461" s="19" t="s">
        <v>2</v>
      </c>
      <c r="M2461" s="21" t="s">
        <v>67</v>
      </c>
      <c r="N2461" s="20" t="s">
        <v>82</v>
      </c>
      <c r="O2461" s="19" t="s">
        <v>12</v>
      </c>
      <c r="P2461" s="10"/>
      <c r="Q2461" s="11"/>
    </row>
    <row r="2462" spans="2:17" ht="21" customHeight="1" x14ac:dyDescent="0.35">
      <c r="B2462" s="1">
        <v>44118</v>
      </c>
      <c r="C2462" s="1" t="str">
        <f>TEXT(Sales[[#This Row],[Kode Program/Kegiatan ]],"D")</f>
        <v>14</v>
      </c>
      <c r="D2462" s="2" t="str">
        <f>TEXT(Sales[[#This Row],[Kode Program/Kegiatan ]],"mmm")</f>
        <v>Oct</v>
      </c>
      <c r="E2462" s="3">
        <v>5</v>
      </c>
      <c r="F2462" s="2">
        <v>5</v>
      </c>
      <c r="G2462" s="3" t="str">
        <f>IF(Sales[[#This Row],[Anggaran Murni]]-Sales[[#This Row],[Target s.d. Januari]]=0,"",Sales[[#This Row],[Anggaran Murni]]-Sales[[#This Row],[Target s.d. Januari]])</f>
        <v/>
      </c>
      <c r="H2462" s="2" t="s">
        <v>74</v>
      </c>
      <c r="I2462" s="3" t="s">
        <v>77</v>
      </c>
      <c r="J2462" s="3">
        <v>80000000</v>
      </c>
      <c r="K2462" s="2" t="s">
        <v>57</v>
      </c>
      <c r="L2462" s="2" t="s">
        <v>5</v>
      </c>
      <c r="M2462" s="4" t="s">
        <v>67</v>
      </c>
      <c r="N2462" s="3" t="s">
        <v>80</v>
      </c>
      <c r="O2462" s="2" t="s">
        <v>12</v>
      </c>
      <c r="P2462" s="10"/>
      <c r="Q2462" s="11"/>
    </row>
    <row r="2463" spans="2:17" ht="21" customHeight="1" x14ac:dyDescent="0.35">
      <c r="B2463" s="18">
        <v>44118</v>
      </c>
      <c r="C2463" s="18" t="str">
        <f>TEXT(Sales[[#This Row],[Kode Program/Kegiatan ]],"D")</f>
        <v>14</v>
      </c>
      <c r="D2463" s="19" t="str">
        <f>TEXT(Sales[[#This Row],[Kode Program/Kegiatan ]],"mmm")</f>
        <v>Oct</v>
      </c>
      <c r="E2463" s="20">
        <v>4</v>
      </c>
      <c r="F2463" s="19">
        <v>4</v>
      </c>
      <c r="G2463" s="20" t="str">
        <f>IF(Sales[[#This Row],[Anggaran Murni]]-Sales[[#This Row],[Target s.d. Januari]]=0,"",Sales[[#This Row],[Anggaran Murni]]-Sales[[#This Row],[Target s.d. Januari]])</f>
        <v/>
      </c>
      <c r="H2463" s="19" t="s">
        <v>71</v>
      </c>
      <c r="I2463" s="20" t="s">
        <v>6</v>
      </c>
      <c r="J2463" s="20">
        <v>80000000</v>
      </c>
      <c r="K2463" s="19" t="s">
        <v>31</v>
      </c>
      <c r="L2463" s="19" t="s">
        <v>5</v>
      </c>
      <c r="M2463" s="21" t="s">
        <v>67</v>
      </c>
      <c r="N2463" s="20" t="s">
        <v>81</v>
      </c>
      <c r="O2463" s="19" t="s">
        <v>13</v>
      </c>
      <c r="P2463" s="10"/>
      <c r="Q2463" s="11"/>
    </row>
    <row r="2464" spans="2:17" ht="21" customHeight="1" x14ac:dyDescent="0.35">
      <c r="B2464" s="1">
        <v>44118</v>
      </c>
      <c r="C2464" s="1" t="str">
        <f>TEXT(Sales[[#This Row],[Kode Program/Kegiatan ]],"D")</f>
        <v>14</v>
      </c>
      <c r="D2464" s="2" t="str">
        <f>TEXT(Sales[[#This Row],[Kode Program/Kegiatan ]],"mmm")</f>
        <v>Oct</v>
      </c>
      <c r="E2464" s="3">
        <v>3</v>
      </c>
      <c r="F2464" s="2">
        <v>3</v>
      </c>
      <c r="G2464" s="3" t="str">
        <f>IF(Sales[[#This Row],[Anggaran Murni]]-Sales[[#This Row],[Target s.d. Januari]]=0,"",Sales[[#This Row],[Anggaran Murni]]-Sales[[#This Row],[Target s.d. Januari]])</f>
        <v/>
      </c>
      <c r="H2464" s="2" t="s">
        <v>74</v>
      </c>
      <c r="I2464" s="3" t="s">
        <v>77</v>
      </c>
      <c r="J2464" s="3">
        <v>140000000</v>
      </c>
      <c r="K2464" s="2" t="s">
        <v>15</v>
      </c>
      <c r="L2464" s="2" t="s">
        <v>2</v>
      </c>
      <c r="M2464" s="4" t="s">
        <v>67</v>
      </c>
      <c r="N2464" s="3" t="s">
        <v>82</v>
      </c>
      <c r="O2464" s="2" t="s">
        <v>13</v>
      </c>
      <c r="P2464" s="10"/>
      <c r="Q2464" s="11"/>
    </row>
    <row r="2465" spans="2:17" ht="21" customHeight="1" x14ac:dyDescent="0.35">
      <c r="B2465" s="18">
        <v>44119</v>
      </c>
      <c r="C2465" s="18" t="str">
        <f>TEXT(Sales[[#This Row],[Kode Program/Kegiatan ]],"D")</f>
        <v>15</v>
      </c>
      <c r="D2465" s="19" t="str">
        <f>TEXT(Sales[[#This Row],[Kode Program/Kegiatan ]],"mmm")</f>
        <v>Oct</v>
      </c>
      <c r="E2465" s="20">
        <v>10</v>
      </c>
      <c r="F2465" s="19">
        <v>10</v>
      </c>
      <c r="G2465" s="20" t="str">
        <f>IF(Sales[[#This Row],[Anggaran Murni]]-Sales[[#This Row],[Target s.d. Januari]]=0,"",Sales[[#This Row],[Anggaran Murni]]-Sales[[#This Row],[Target s.d. Januari]])</f>
        <v/>
      </c>
      <c r="H2465" s="19" t="s">
        <v>73</v>
      </c>
      <c r="I2465" s="20" t="s">
        <v>78</v>
      </c>
      <c r="J2465" s="20">
        <v>60000000</v>
      </c>
      <c r="K2465" s="19" t="s">
        <v>48</v>
      </c>
      <c r="L2465" s="19" t="s">
        <v>4</v>
      </c>
      <c r="M2465" s="21" t="s">
        <v>67</v>
      </c>
      <c r="N2465" s="20" t="s">
        <v>82</v>
      </c>
      <c r="O2465" s="19" t="s">
        <v>11</v>
      </c>
      <c r="P2465" s="10"/>
      <c r="Q2465" s="11"/>
    </row>
    <row r="2466" spans="2:17" ht="21" customHeight="1" x14ac:dyDescent="0.35">
      <c r="B2466" s="1">
        <v>44119</v>
      </c>
      <c r="C2466" s="1" t="str">
        <f>TEXT(Sales[[#This Row],[Kode Program/Kegiatan ]],"D")</f>
        <v>15</v>
      </c>
      <c r="D2466" s="2" t="str">
        <f>TEXT(Sales[[#This Row],[Kode Program/Kegiatan ]],"mmm")</f>
        <v>Oct</v>
      </c>
      <c r="E2466" s="3">
        <v>8</v>
      </c>
      <c r="F2466" s="2">
        <v>8</v>
      </c>
      <c r="G2466" s="3" t="str">
        <f>IF(Sales[[#This Row],[Anggaran Murni]]-Sales[[#This Row],[Target s.d. Januari]]=0,"",Sales[[#This Row],[Anggaran Murni]]-Sales[[#This Row],[Target s.d. Januari]])</f>
        <v/>
      </c>
      <c r="H2466" s="2" t="s">
        <v>114</v>
      </c>
      <c r="I2466" s="3" t="s">
        <v>3</v>
      </c>
      <c r="J2466" s="3">
        <v>120000000</v>
      </c>
      <c r="K2466" s="2" t="s">
        <v>60</v>
      </c>
      <c r="L2466" s="2" t="s">
        <v>7</v>
      </c>
      <c r="M2466" s="4" t="s">
        <v>67</v>
      </c>
      <c r="N2466" s="3" t="s">
        <v>81</v>
      </c>
      <c r="O2466" s="2" t="s">
        <v>14</v>
      </c>
      <c r="P2466" s="10"/>
      <c r="Q2466" s="11"/>
    </row>
    <row r="2467" spans="2:17" ht="21" customHeight="1" x14ac:dyDescent="0.35">
      <c r="B2467" s="18">
        <v>44119</v>
      </c>
      <c r="C2467" s="18" t="str">
        <f>TEXT(Sales[[#This Row],[Kode Program/Kegiatan ]],"D")</f>
        <v>15</v>
      </c>
      <c r="D2467" s="19" t="str">
        <f>TEXT(Sales[[#This Row],[Kode Program/Kegiatan ]],"mmm")</f>
        <v>Oct</v>
      </c>
      <c r="E2467" s="20">
        <v>8</v>
      </c>
      <c r="F2467" s="19">
        <v>8</v>
      </c>
      <c r="G2467" s="20" t="str">
        <f>IF(Sales[[#This Row],[Anggaran Murni]]-Sales[[#This Row],[Target s.d. Januari]]=0,"",Sales[[#This Row],[Anggaran Murni]]-Sales[[#This Row],[Target s.d. Januari]])</f>
        <v/>
      </c>
      <c r="H2467" s="19" t="s">
        <v>114</v>
      </c>
      <c r="I2467" s="20" t="s">
        <v>3</v>
      </c>
      <c r="J2467" s="20">
        <v>140000000</v>
      </c>
      <c r="K2467" s="19" t="s">
        <v>62</v>
      </c>
      <c r="L2467" s="19" t="s">
        <v>2</v>
      </c>
      <c r="M2467" s="21" t="s">
        <v>67</v>
      </c>
      <c r="N2467" s="20" t="s">
        <v>81</v>
      </c>
      <c r="O2467" s="19" t="s">
        <v>11</v>
      </c>
      <c r="P2467" s="10"/>
      <c r="Q2467" s="11"/>
    </row>
    <row r="2468" spans="2:17" ht="21" customHeight="1" x14ac:dyDescent="0.35">
      <c r="B2468" s="1">
        <v>44119</v>
      </c>
      <c r="C2468" s="1" t="str">
        <f>TEXT(Sales[[#This Row],[Kode Program/Kegiatan ]],"D")</f>
        <v>15</v>
      </c>
      <c r="D2468" s="2" t="str">
        <f>TEXT(Sales[[#This Row],[Kode Program/Kegiatan ]],"mmm")</f>
        <v>Oct</v>
      </c>
      <c r="E2468" s="3">
        <v>6</v>
      </c>
      <c r="F2468" s="2">
        <v>6</v>
      </c>
      <c r="G2468" s="3" t="str">
        <f>IF(Sales[[#This Row],[Anggaran Murni]]-Sales[[#This Row],[Target s.d. Januari]]=0,"",Sales[[#This Row],[Anggaran Murni]]-Sales[[#This Row],[Target s.d. Januari]])</f>
        <v/>
      </c>
      <c r="H2468" s="2" t="s">
        <v>114</v>
      </c>
      <c r="I2468" s="3" t="s">
        <v>3</v>
      </c>
      <c r="J2468" s="3">
        <v>60000000</v>
      </c>
      <c r="K2468" s="2" t="s">
        <v>60</v>
      </c>
      <c r="L2468" s="2" t="s">
        <v>7</v>
      </c>
      <c r="M2468" s="4" t="s">
        <v>67</v>
      </c>
      <c r="N2468" s="3" t="s">
        <v>80</v>
      </c>
      <c r="O2468" s="2" t="s">
        <v>14</v>
      </c>
      <c r="P2468" s="10"/>
      <c r="Q2468" s="11"/>
    </row>
    <row r="2469" spans="2:17" ht="21" customHeight="1" x14ac:dyDescent="0.35">
      <c r="B2469" s="18">
        <v>44119</v>
      </c>
      <c r="C2469" s="18" t="str">
        <f>TEXT(Sales[[#This Row],[Kode Program/Kegiatan ]],"D")</f>
        <v>15</v>
      </c>
      <c r="D2469" s="19" t="str">
        <f>TEXT(Sales[[#This Row],[Kode Program/Kegiatan ]],"mmm")</f>
        <v>Oct</v>
      </c>
      <c r="E2469" s="20">
        <v>5</v>
      </c>
      <c r="F2469" s="19">
        <v>5</v>
      </c>
      <c r="G2469" s="20" t="str">
        <f>IF(Sales[[#This Row],[Anggaran Murni]]-Sales[[#This Row],[Target s.d. Januari]]=0,"",Sales[[#This Row],[Anggaran Murni]]-Sales[[#This Row],[Target s.d. Januari]])</f>
        <v/>
      </c>
      <c r="H2469" s="19" t="s">
        <v>75</v>
      </c>
      <c r="I2469" s="20" t="s">
        <v>6</v>
      </c>
      <c r="J2469" s="20">
        <v>60000000</v>
      </c>
      <c r="K2469" s="19" t="s">
        <v>31</v>
      </c>
      <c r="L2469" s="19" t="s">
        <v>5</v>
      </c>
      <c r="M2469" s="21" t="s">
        <v>67</v>
      </c>
      <c r="N2469" s="20" t="s">
        <v>81</v>
      </c>
      <c r="O2469" s="19" t="s">
        <v>13</v>
      </c>
      <c r="P2469" s="10"/>
      <c r="Q2469" s="11"/>
    </row>
    <row r="2470" spans="2:17" ht="21" customHeight="1" x14ac:dyDescent="0.35">
      <c r="B2470" s="1">
        <v>44119</v>
      </c>
      <c r="C2470" s="1" t="str">
        <f>TEXT(Sales[[#This Row],[Kode Program/Kegiatan ]],"D")</f>
        <v>15</v>
      </c>
      <c r="D2470" s="2" t="str">
        <f>TEXT(Sales[[#This Row],[Kode Program/Kegiatan ]],"mmm")</f>
        <v>Oct</v>
      </c>
      <c r="E2470" s="3">
        <v>5</v>
      </c>
      <c r="F2470" s="2">
        <v>5</v>
      </c>
      <c r="G2470" s="3" t="str">
        <f>IF(Sales[[#This Row],[Anggaran Murni]]-Sales[[#This Row],[Target s.d. Januari]]=0,"",Sales[[#This Row],[Anggaran Murni]]-Sales[[#This Row],[Target s.d. Januari]])</f>
        <v/>
      </c>
      <c r="H2470" s="2" t="s">
        <v>72</v>
      </c>
      <c r="I2470" s="3" t="s">
        <v>78</v>
      </c>
      <c r="J2470" s="3">
        <v>40000000</v>
      </c>
      <c r="K2470" s="2" t="s">
        <v>54</v>
      </c>
      <c r="L2470" s="2" t="s">
        <v>5</v>
      </c>
      <c r="M2470" s="4" t="s">
        <v>67</v>
      </c>
      <c r="N2470" s="3" t="s">
        <v>81</v>
      </c>
      <c r="O2470" s="2" t="s">
        <v>14</v>
      </c>
      <c r="P2470" s="10"/>
      <c r="Q2470" s="11"/>
    </row>
    <row r="2471" spans="2:17" ht="21" customHeight="1" x14ac:dyDescent="0.35">
      <c r="B2471" s="18">
        <v>44119</v>
      </c>
      <c r="C2471" s="18" t="str">
        <f>TEXT(Sales[[#This Row],[Kode Program/Kegiatan ]],"D")</f>
        <v>15</v>
      </c>
      <c r="D2471" s="19" t="str">
        <f>TEXT(Sales[[#This Row],[Kode Program/Kegiatan ]],"mmm")</f>
        <v>Oct</v>
      </c>
      <c r="E2471" s="20">
        <v>5</v>
      </c>
      <c r="F2471" s="19">
        <v>5</v>
      </c>
      <c r="G2471" s="20" t="str">
        <f>IF(Sales[[#This Row],[Anggaran Murni]]-Sales[[#This Row],[Target s.d. Januari]]=0,"",Sales[[#This Row],[Anggaran Murni]]-Sales[[#This Row],[Target s.d. Januari]])</f>
        <v/>
      </c>
      <c r="H2471" s="19" t="s">
        <v>76</v>
      </c>
      <c r="I2471" s="20" t="s">
        <v>79</v>
      </c>
      <c r="J2471" s="20">
        <v>80000000</v>
      </c>
      <c r="K2471" s="19" t="s">
        <v>57</v>
      </c>
      <c r="L2471" s="19" t="s">
        <v>5</v>
      </c>
      <c r="M2471" s="21" t="s">
        <v>67</v>
      </c>
      <c r="N2471" s="20" t="s">
        <v>81</v>
      </c>
      <c r="O2471" s="19" t="s">
        <v>14</v>
      </c>
      <c r="P2471" s="10"/>
      <c r="Q2471" s="11"/>
    </row>
    <row r="2472" spans="2:17" ht="21" customHeight="1" x14ac:dyDescent="0.35">
      <c r="B2472" s="1">
        <v>44119</v>
      </c>
      <c r="C2472" s="1" t="str">
        <f>TEXT(Sales[[#This Row],[Kode Program/Kegiatan ]],"D")</f>
        <v>15</v>
      </c>
      <c r="D2472" s="2" t="str">
        <f>TEXT(Sales[[#This Row],[Kode Program/Kegiatan ]],"mmm")</f>
        <v>Oct</v>
      </c>
      <c r="E2472" s="3">
        <v>5</v>
      </c>
      <c r="F2472" s="2">
        <v>5</v>
      </c>
      <c r="G2472" s="3" t="str">
        <f>IF(Sales[[#This Row],[Anggaran Murni]]-Sales[[#This Row],[Target s.d. Januari]]=0,"",Sales[[#This Row],[Anggaran Murni]]-Sales[[#This Row],[Target s.d. Januari]])</f>
        <v/>
      </c>
      <c r="H2472" s="2" t="s">
        <v>75</v>
      </c>
      <c r="I2472" s="3" t="s">
        <v>6</v>
      </c>
      <c r="J2472" s="3">
        <v>40000000</v>
      </c>
      <c r="K2472" s="2" t="s">
        <v>24</v>
      </c>
      <c r="L2472" s="2" t="s">
        <v>2</v>
      </c>
      <c r="M2472" s="4" t="s">
        <v>67</v>
      </c>
      <c r="N2472" s="3" t="s">
        <v>80</v>
      </c>
      <c r="O2472" s="2" t="s">
        <v>14</v>
      </c>
      <c r="P2472" s="10"/>
      <c r="Q2472" s="11"/>
    </row>
    <row r="2473" spans="2:17" ht="21" customHeight="1" x14ac:dyDescent="0.35">
      <c r="B2473" s="18">
        <v>44119</v>
      </c>
      <c r="C2473" s="18" t="str">
        <f>TEXT(Sales[[#This Row],[Kode Program/Kegiatan ]],"D")</f>
        <v>15</v>
      </c>
      <c r="D2473" s="19" t="str">
        <f>TEXT(Sales[[#This Row],[Kode Program/Kegiatan ]],"mmm")</f>
        <v>Oct</v>
      </c>
      <c r="E2473" s="20">
        <v>4</v>
      </c>
      <c r="F2473" s="19">
        <v>4</v>
      </c>
      <c r="G2473" s="20" t="str">
        <f>IF(Sales[[#This Row],[Anggaran Murni]]-Sales[[#This Row],[Target s.d. Januari]]=0,"",Sales[[#This Row],[Anggaran Murni]]-Sales[[#This Row],[Target s.d. Januari]])</f>
        <v/>
      </c>
      <c r="H2473" s="19" t="s">
        <v>71</v>
      </c>
      <c r="I2473" s="20" t="s">
        <v>6</v>
      </c>
      <c r="J2473" s="20">
        <v>120000000</v>
      </c>
      <c r="K2473" s="19" t="s">
        <v>46</v>
      </c>
      <c r="L2473" s="19" t="s">
        <v>2</v>
      </c>
      <c r="M2473" s="21" t="s">
        <v>67</v>
      </c>
      <c r="N2473" s="20" t="s">
        <v>80</v>
      </c>
      <c r="O2473" s="19" t="s">
        <v>11</v>
      </c>
      <c r="P2473" s="10"/>
      <c r="Q2473" s="11"/>
    </row>
    <row r="2474" spans="2:17" ht="21" customHeight="1" x14ac:dyDescent="0.35">
      <c r="B2474" s="1">
        <v>44119</v>
      </c>
      <c r="C2474" s="1" t="str">
        <f>TEXT(Sales[[#This Row],[Kode Program/Kegiatan ]],"D")</f>
        <v>15</v>
      </c>
      <c r="D2474" s="2" t="str">
        <f>TEXT(Sales[[#This Row],[Kode Program/Kegiatan ]],"mmm")</f>
        <v>Oct</v>
      </c>
      <c r="E2474" s="3">
        <v>4</v>
      </c>
      <c r="F2474" s="2">
        <v>4</v>
      </c>
      <c r="G2474" s="3" t="str">
        <f>IF(Sales[[#This Row],[Anggaran Murni]]-Sales[[#This Row],[Target s.d. Januari]]=0,"",Sales[[#This Row],[Anggaran Murni]]-Sales[[#This Row],[Target s.d. Januari]])</f>
        <v/>
      </c>
      <c r="H2474" s="2" t="s">
        <v>114</v>
      </c>
      <c r="I2474" s="3" t="s">
        <v>3</v>
      </c>
      <c r="J2474" s="3">
        <v>100000000</v>
      </c>
      <c r="K2474" s="2" t="s">
        <v>31</v>
      </c>
      <c r="L2474" s="2" t="s">
        <v>8</v>
      </c>
      <c r="M2474" s="4" t="s">
        <v>67</v>
      </c>
      <c r="N2474" s="3" t="s">
        <v>81</v>
      </c>
      <c r="O2474" s="2" t="s">
        <v>11</v>
      </c>
      <c r="P2474" s="10"/>
      <c r="Q2474" s="11"/>
    </row>
    <row r="2475" spans="2:17" ht="21" customHeight="1" x14ac:dyDescent="0.35">
      <c r="B2475" s="18">
        <v>44119</v>
      </c>
      <c r="C2475" s="18" t="str">
        <f>TEXT(Sales[[#This Row],[Kode Program/Kegiatan ]],"D")</f>
        <v>15</v>
      </c>
      <c r="D2475" s="19" t="str">
        <f>TEXT(Sales[[#This Row],[Kode Program/Kegiatan ]],"mmm")</f>
        <v>Oct</v>
      </c>
      <c r="E2475" s="20">
        <v>3</v>
      </c>
      <c r="F2475" s="19">
        <v>3</v>
      </c>
      <c r="G2475" s="20" t="str">
        <f>IF(Sales[[#This Row],[Anggaran Murni]]-Sales[[#This Row],[Target s.d. Januari]]=0,"",Sales[[#This Row],[Anggaran Murni]]-Sales[[#This Row],[Target s.d. Januari]])</f>
        <v/>
      </c>
      <c r="H2475" s="19" t="s">
        <v>114</v>
      </c>
      <c r="I2475" s="20" t="s">
        <v>3</v>
      </c>
      <c r="J2475" s="20">
        <v>60000000</v>
      </c>
      <c r="K2475" s="19" t="s">
        <v>41</v>
      </c>
      <c r="L2475" s="19" t="s">
        <v>5</v>
      </c>
      <c r="M2475" s="21" t="s">
        <v>67</v>
      </c>
      <c r="N2475" s="20" t="s">
        <v>80</v>
      </c>
      <c r="O2475" s="19" t="s">
        <v>12</v>
      </c>
      <c r="P2475" s="10"/>
      <c r="Q2475" s="11"/>
    </row>
    <row r="2476" spans="2:17" ht="21" customHeight="1" x14ac:dyDescent="0.35">
      <c r="B2476" s="1">
        <v>44119</v>
      </c>
      <c r="C2476" s="1" t="str">
        <f>TEXT(Sales[[#This Row],[Kode Program/Kegiatan ]],"D")</f>
        <v>15</v>
      </c>
      <c r="D2476" s="2" t="str">
        <f>TEXT(Sales[[#This Row],[Kode Program/Kegiatan ]],"mmm")</f>
        <v>Oct</v>
      </c>
      <c r="E2476" s="3">
        <v>3</v>
      </c>
      <c r="F2476" s="2">
        <v>3</v>
      </c>
      <c r="G2476" s="3" t="str">
        <f>IF(Sales[[#This Row],[Anggaran Murni]]-Sales[[#This Row],[Target s.d. Januari]]=0,"",Sales[[#This Row],[Anggaran Murni]]-Sales[[#This Row],[Target s.d. Januari]])</f>
        <v/>
      </c>
      <c r="H2476" s="2" t="s">
        <v>70</v>
      </c>
      <c r="I2476" s="3" t="s">
        <v>1</v>
      </c>
      <c r="J2476" s="3">
        <v>80000000</v>
      </c>
      <c r="K2476" s="2" t="s">
        <v>51</v>
      </c>
      <c r="L2476" s="2" t="s">
        <v>7</v>
      </c>
      <c r="M2476" s="4" t="s">
        <v>67</v>
      </c>
      <c r="N2476" s="3" t="s">
        <v>82</v>
      </c>
      <c r="O2476" s="2" t="s">
        <v>13</v>
      </c>
      <c r="P2476" s="10"/>
      <c r="Q2476" s="11"/>
    </row>
    <row r="2477" spans="2:17" ht="21" customHeight="1" x14ac:dyDescent="0.35">
      <c r="B2477" s="18">
        <v>44119</v>
      </c>
      <c r="C2477" s="18" t="str">
        <f>TEXT(Sales[[#This Row],[Kode Program/Kegiatan ]],"D")</f>
        <v>15</v>
      </c>
      <c r="D2477" s="19" t="str">
        <f>TEXT(Sales[[#This Row],[Kode Program/Kegiatan ]],"mmm")</f>
        <v>Oct</v>
      </c>
      <c r="E2477" s="20">
        <v>3</v>
      </c>
      <c r="F2477" s="19">
        <v>3</v>
      </c>
      <c r="G2477" s="20" t="str">
        <f>IF(Sales[[#This Row],[Anggaran Murni]]-Sales[[#This Row],[Target s.d. Januari]]=0,"",Sales[[#This Row],[Anggaran Murni]]-Sales[[#This Row],[Target s.d. Januari]])</f>
        <v/>
      </c>
      <c r="H2477" s="19" t="s">
        <v>114</v>
      </c>
      <c r="I2477" s="20" t="s">
        <v>3</v>
      </c>
      <c r="J2477" s="20">
        <v>40000000</v>
      </c>
      <c r="K2477" s="19" t="s">
        <v>56</v>
      </c>
      <c r="L2477" s="19" t="s">
        <v>9</v>
      </c>
      <c r="M2477" s="21" t="s">
        <v>67</v>
      </c>
      <c r="N2477" s="20" t="s">
        <v>81</v>
      </c>
      <c r="O2477" s="19" t="s">
        <v>14</v>
      </c>
      <c r="P2477" s="10"/>
      <c r="Q2477" s="11"/>
    </row>
    <row r="2478" spans="2:17" ht="21" customHeight="1" x14ac:dyDescent="0.35">
      <c r="B2478" s="1">
        <v>44120</v>
      </c>
      <c r="C2478" s="1" t="str">
        <f>TEXT(Sales[[#This Row],[Kode Program/Kegiatan ]],"D")</f>
        <v>16</v>
      </c>
      <c r="D2478" s="2" t="str">
        <f>TEXT(Sales[[#This Row],[Kode Program/Kegiatan ]],"mmm")</f>
        <v>Oct</v>
      </c>
      <c r="E2478" s="3">
        <v>10</v>
      </c>
      <c r="F2478" s="2">
        <v>10</v>
      </c>
      <c r="G2478" s="3" t="str">
        <f>IF(Sales[[#This Row],[Anggaran Murni]]-Sales[[#This Row],[Target s.d. Januari]]=0,"",Sales[[#This Row],[Anggaran Murni]]-Sales[[#This Row],[Target s.d. Januari]])</f>
        <v/>
      </c>
      <c r="H2478" s="2" t="s">
        <v>70</v>
      </c>
      <c r="I2478" s="3" t="s">
        <v>1</v>
      </c>
      <c r="J2478" s="3">
        <v>120000000</v>
      </c>
      <c r="K2478" s="2" t="s">
        <v>63</v>
      </c>
      <c r="L2478" s="2" t="s">
        <v>2</v>
      </c>
      <c r="M2478" s="4" t="s">
        <v>67</v>
      </c>
      <c r="N2478" s="3" t="s">
        <v>82</v>
      </c>
      <c r="O2478" s="2" t="s">
        <v>14</v>
      </c>
      <c r="P2478" s="10"/>
      <c r="Q2478" s="11"/>
    </row>
    <row r="2479" spans="2:17" ht="21" customHeight="1" x14ac:dyDescent="0.35">
      <c r="B2479" s="18">
        <v>44120</v>
      </c>
      <c r="C2479" s="18" t="str">
        <f>TEXT(Sales[[#This Row],[Kode Program/Kegiatan ]],"D")</f>
        <v>16</v>
      </c>
      <c r="D2479" s="19" t="str">
        <f>TEXT(Sales[[#This Row],[Kode Program/Kegiatan ]],"mmm")</f>
        <v>Oct</v>
      </c>
      <c r="E2479" s="20">
        <v>9</v>
      </c>
      <c r="F2479" s="19">
        <v>9</v>
      </c>
      <c r="G2479" s="20" t="str">
        <f>IF(Sales[[#This Row],[Anggaran Murni]]-Sales[[#This Row],[Target s.d. Januari]]=0,"",Sales[[#This Row],[Anggaran Murni]]-Sales[[#This Row],[Target s.d. Januari]])</f>
        <v/>
      </c>
      <c r="H2479" s="19" t="s">
        <v>73</v>
      </c>
      <c r="I2479" s="20" t="s">
        <v>78</v>
      </c>
      <c r="J2479" s="20">
        <v>40000000</v>
      </c>
      <c r="K2479" s="19" t="s">
        <v>58</v>
      </c>
      <c r="L2479" s="19" t="s">
        <v>5</v>
      </c>
      <c r="M2479" s="21" t="s">
        <v>67</v>
      </c>
      <c r="N2479" s="20" t="s">
        <v>82</v>
      </c>
      <c r="O2479" s="19" t="s">
        <v>11</v>
      </c>
      <c r="P2479" s="10"/>
      <c r="Q2479" s="11"/>
    </row>
    <row r="2480" spans="2:17" ht="21" customHeight="1" x14ac:dyDescent="0.35">
      <c r="B2480" s="1">
        <v>44120</v>
      </c>
      <c r="C2480" s="1" t="str">
        <f>TEXT(Sales[[#This Row],[Kode Program/Kegiatan ]],"D")</f>
        <v>16</v>
      </c>
      <c r="D2480" s="2" t="str">
        <f>TEXT(Sales[[#This Row],[Kode Program/Kegiatan ]],"mmm")</f>
        <v>Oct</v>
      </c>
      <c r="E2480" s="3">
        <v>8</v>
      </c>
      <c r="F2480" s="2">
        <v>8</v>
      </c>
      <c r="G2480" s="3" t="str">
        <f>IF(Sales[[#This Row],[Anggaran Murni]]-Sales[[#This Row],[Target s.d. Januari]]=0,"",Sales[[#This Row],[Anggaran Murni]]-Sales[[#This Row],[Target s.d. Januari]])</f>
        <v/>
      </c>
      <c r="H2480" s="2" t="s">
        <v>70</v>
      </c>
      <c r="I2480" s="3" t="s">
        <v>1</v>
      </c>
      <c r="J2480" s="3">
        <v>140000000</v>
      </c>
      <c r="K2480" s="2" t="s">
        <v>33</v>
      </c>
      <c r="L2480" s="2" t="s">
        <v>5</v>
      </c>
      <c r="M2480" s="4" t="s">
        <v>67</v>
      </c>
      <c r="N2480" s="3" t="s">
        <v>80</v>
      </c>
      <c r="O2480" s="2" t="s">
        <v>12</v>
      </c>
      <c r="P2480" s="10"/>
      <c r="Q2480" s="11"/>
    </row>
    <row r="2481" spans="2:17" ht="21" customHeight="1" x14ac:dyDescent="0.35">
      <c r="B2481" s="18">
        <v>44120</v>
      </c>
      <c r="C2481" s="18" t="str">
        <f>TEXT(Sales[[#This Row],[Kode Program/Kegiatan ]],"D")</f>
        <v>16</v>
      </c>
      <c r="D2481" s="19" t="str">
        <f>TEXT(Sales[[#This Row],[Kode Program/Kegiatan ]],"mmm")</f>
        <v>Oct</v>
      </c>
      <c r="E2481" s="20">
        <v>6</v>
      </c>
      <c r="F2481" s="19">
        <v>6</v>
      </c>
      <c r="G2481" s="20" t="str">
        <f>IF(Sales[[#This Row],[Anggaran Murni]]-Sales[[#This Row],[Target s.d. Januari]]=0,"",Sales[[#This Row],[Anggaran Murni]]-Sales[[#This Row],[Target s.d. Januari]])</f>
        <v/>
      </c>
      <c r="H2481" s="19" t="s">
        <v>70</v>
      </c>
      <c r="I2481" s="20" t="s">
        <v>1</v>
      </c>
      <c r="J2481" s="20">
        <v>60000000</v>
      </c>
      <c r="K2481" s="19" t="s">
        <v>56</v>
      </c>
      <c r="L2481" s="19" t="s">
        <v>8</v>
      </c>
      <c r="M2481" s="21" t="s">
        <v>67</v>
      </c>
      <c r="N2481" s="20" t="s">
        <v>82</v>
      </c>
      <c r="O2481" s="19" t="s">
        <v>14</v>
      </c>
      <c r="P2481" s="10"/>
      <c r="Q2481" s="11"/>
    </row>
    <row r="2482" spans="2:17" ht="21" customHeight="1" x14ac:dyDescent="0.35">
      <c r="B2482" s="1">
        <v>44120</v>
      </c>
      <c r="C2482" s="1" t="str">
        <f>TEXT(Sales[[#This Row],[Kode Program/Kegiatan ]],"D")</f>
        <v>16</v>
      </c>
      <c r="D2482" s="2" t="str">
        <f>TEXT(Sales[[#This Row],[Kode Program/Kegiatan ]],"mmm")</f>
        <v>Oct</v>
      </c>
      <c r="E2482" s="3">
        <v>6</v>
      </c>
      <c r="F2482" s="2">
        <v>6</v>
      </c>
      <c r="G2482" s="3" t="str">
        <f>IF(Sales[[#This Row],[Anggaran Murni]]-Sales[[#This Row],[Target s.d. Januari]]=0,"",Sales[[#This Row],[Anggaran Murni]]-Sales[[#This Row],[Target s.d. Januari]])</f>
        <v/>
      </c>
      <c r="H2482" s="2" t="s">
        <v>114</v>
      </c>
      <c r="I2482" s="3" t="s">
        <v>3</v>
      </c>
      <c r="J2482" s="3">
        <v>40000000</v>
      </c>
      <c r="K2482" s="2" t="s">
        <v>31</v>
      </c>
      <c r="L2482" s="2" t="s">
        <v>5</v>
      </c>
      <c r="M2482" s="4" t="s">
        <v>67</v>
      </c>
      <c r="N2482" s="3" t="s">
        <v>82</v>
      </c>
      <c r="O2482" s="2" t="s">
        <v>14</v>
      </c>
      <c r="P2482" s="10"/>
      <c r="Q2482" s="11"/>
    </row>
    <row r="2483" spans="2:17" ht="21" customHeight="1" x14ac:dyDescent="0.35">
      <c r="B2483" s="18">
        <v>44120</v>
      </c>
      <c r="C2483" s="18" t="str">
        <f>TEXT(Sales[[#This Row],[Kode Program/Kegiatan ]],"D")</f>
        <v>16</v>
      </c>
      <c r="D2483" s="19" t="str">
        <f>TEXT(Sales[[#This Row],[Kode Program/Kegiatan ]],"mmm")</f>
        <v>Oct</v>
      </c>
      <c r="E2483" s="20">
        <v>3</v>
      </c>
      <c r="F2483" s="19">
        <v>3</v>
      </c>
      <c r="G2483" s="20" t="str">
        <f>IF(Sales[[#This Row],[Anggaran Murni]]-Sales[[#This Row],[Target s.d. Januari]]=0,"",Sales[[#This Row],[Anggaran Murni]]-Sales[[#This Row],[Target s.d. Januari]])</f>
        <v/>
      </c>
      <c r="H2483" s="19" t="s">
        <v>73</v>
      </c>
      <c r="I2483" s="20" t="s">
        <v>78</v>
      </c>
      <c r="J2483" s="20">
        <v>80000000</v>
      </c>
      <c r="K2483" s="19" t="s">
        <v>44</v>
      </c>
      <c r="L2483" s="19" t="s">
        <v>2</v>
      </c>
      <c r="M2483" s="21" t="s">
        <v>67</v>
      </c>
      <c r="N2483" s="20" t="s">
        <v>80</v>
      </c>
      <c r="O2483" s="19" t="s">
        <v>11</v>
      </c>
      <c r="P2483" s="10"/>
      <c r="Q2483" s="11"/>
    </row>
    <row r="2484" spans="2:17" ht="21" customHeight="1" x14ac:dyDescent="0.35">
      <c r="B2484" s="1">
        <v>44120</v>
      </c>
      <c r="C2484" s="1" t="str">
        <f>TEXT(Sales[[#This Row],[Kode Program/Kegiatan ]],"D")</f>
        <v>16</v>
      </c>
      <c r="D2484" s="2" t="str">
        <f>TEXT(Sales[[#This Row],[Kode Program/Kegiatan ]],"mmm")</f>
        <v>Oct</v>
      </c>
      <c r="E2484" s="3">
        <v>3</v>
      </c>
      <c r="F2484" s="2">
        <v>3</v>
      </c>
      <c r="G2484" s="3" t="str">
        <f>IF(Sales[[#This Row],[Anggaran Murni]]-Sales[[#This Row],[Target s.d. Januari]]=0,"",Sales[[#This Row],[Anggaran Murni]]-Sales[[#This Row],[Target s.d. Januari]])</f>
        <v/>
      </c>
      <c r="H2484" s="2" t="s">
        <v>74</v>
      </c>
      <c r="I2484" s="3" t="s">
        <v>77</v>
      </c>
      <c r="J2484" s="3">
        <v>60000000</v>
      </c>
      <c r="K2484" s="2" t="s">
        <v>16</v>
      </c>
      <c r="L2484" s="2" t="s">
        <v>2</v>
      </c>
      <c r="M2484" s="4" t="s">
        <v>67</v>
      </c>
      <c r="N2484" s="3" t="s">
        <v>80</v>
      </c>
      <c r="O2484" s="2" t="s">
        <v>14</v>
      </c>
      <c r="P2484" s="10"/>
      <c r="Q2484" s="11"/>
    </row>
    <row r="2485" spans="2:17" ht="21" customHeight="1" x14ac:dyDescent="0.35">
      <c r="B2485" s="18">
        <v>44121</v>
      </c>
      <c r="C2485" s="18" t="str">
        <f>TEXT(Sales[[#This Row],[Kode Program/Kegiatan ]],"D")</f>
        <v>17</v>
      </c>
      <c r="D2485" s="19" t="str">
        <f>TEXT(Sales[[#This Row],[Kode Program/Kegiatan ]],"mmm")</f>
        <v>Oct</v>
      </c>
      <c r="E2485" s="20">
        <v>10</v>
      </c>
      <c r="F2485" s="19">
        <v>10</v>
      </c>
      <c r="G2485" s="20" t="str">
        <f>IF(Sales[[#This Row],[Anggaran Murni]]-Sales[[#This Row],[Target s.d. Januari]]=0,"",Sales[[#This Row],[Anggaran Murni]]-Sales[[#This Row],[Target s.d. Januari]])</f>
        <v/>
      </c>
      <c r="H2485" s="19" t="s">
        <v>113</v>
      </c>
      <c r="I2485" s="20" t="s">
        <v>77</v>
      </c>
      <c r="J2485" s="20">
        <v>140000000</v>
      </c>
      <c r="K2485" s="19" t="s">
        <v>22</v>
      </c>
      <c r="L2485" s="19" t="s">
        <v>9</v>
      </c>
      <c r="M2485" s="21" t="s">
        <v>67</v>
      </c>
      <c r="N2485" s="20" t="s">
        <v>81</v>
      </c>
      <c r="O2485" s="19" t="s">
        <v>13</v>
      </c>
      <c r="P2485" s="10"/>
      <c r="Q2485" s="11"/>
    </row>
    <row r="2486" spans="2:17" ht="21" customHeight="1" x14ac:dyDescent="0.35">
      <c r="B2486" s="1">
        <v>44121</v>
      </c>
      <c r="C2486" s="1" t="str">
        <f>TEXT(Sales[[#This Row],[Kode Program/Kegiatan ]],"D")</f>
        <v>17</v>
      </c>
      <c r="D2486" s="2" t="str">
        <f>TEXT(Sales[[#This Row],[Kode Program/Kegiatan ]],"mmm")</f>
        <v>Oct</v>
      </c>
      <c r="E2486" s="3">
        <v>9</v>
      </c>
      <c r="F2486" s="2">
        <v>9</v>
      </c>
      <c r="G2486" s="3" t="str">
        <f>IF(Sales[[#This Row],[Anggaran Murni]]-Sales[[#This Row],[Target s.d. Januari]]=0,"",Sales[[#This Row],[Anggaran Murni]]-Sales[[#This Row],[Target s.d. Januari]])</f>
        <v/>
      </c>
      <c r="H2486" s="2" t="s">
        <v>70</v>
      </c>
      <c r="I2486" s="3" t="s">
        <v>1</v>
      </c>
      <c r="J2486" s="3">
        <v>140000000</v>
      </c>
      <c r="K2486" s="2" t="s">
        <v>45</v>
      </c>
      <c r="L2486" s="2" t="s">
        <v>2</v>
      </c>
      <c r="M2486" s="4" t="s">
        <v>67</v>
      </c>
      <c r="N2486" s="3" t="s">
        <v>80</v>
      </c>
      <c r="O2486" s="2" t="s">
        <v>12</v>
      </c>
      <c r="P2486" s="10"/>
      <c r="Q2486" s="11"/>
    </row>
    <row r="2487" spans="2:17" ht="21" customHeight="1" x14ac:dyDescent="0.35">
      <c r="B2487" s="18">
        <v>44121</v>
      </c>
      <c r="C2487" s="18" t="str">
        <f>TEXT(Sales[[#This Row],[Kode Program/Kegiatan ]],"D")</f>
        <v>17</v>
      </c>
      <c r="D2487" s="19" t="str">
        <f>TEXT(Sales[[#This Row],[Kode Program/Kegiatan ]],"mmm")</f>
        <v>Oct</v>
      </c>
      <c r="E2487" s="20">
        <v>6</v>
      </c>
      <c r="F2487" s="19">
        <v>6</v>
      </c>
      <c r="G2487" s="20" t="str">
        <f>IF(Sales[[#This Row],[Anggaran Murni]]-Sales[[#This Row],[Target s.d. Januari]]=0,"",Sales[[#This Row],[Anggaran Murni]]-Sales[[#This Row],[Target s.d. Januari]])</f>
        <v/>
      </c>
      <c r="H2487" s="19" t="s">
        <v>70</v>
      </c>
      <c r="I2487" s="20" t="s">
        <v>1</v>
      </c>
      <c r="J2487" s="20">
        <v>60000000</v>
      </c>
      <c r="K2487" s="19" t="s">
        <v>24</v>
      </c>
      <c r="L2487" s="19" t="s">
        <v>5</v>
      </c>
      <c r="M2487" s="21" t="s">
        <v>67</v>
      </c>
      <c r="N2487" s="20" t="s">
        <v>81</v>
      </c>
      <c r="O2487" s="19" t="s">
        <v>12</v>
      </c>
      <c r="P2487" s="10"/>
      <c r="Q2487" s="11"/>
    </row>
    <row r="2488" spans="2:17" ht="21" customHeight="1" x14ac:dyDescent="0.35">
      <c r="B2488" s="1">
        <v>44121</v>
      </c>
      <c r="C2488" s="1" t="str">
        <f>TEXT(Sales[[#This Row],[Kode Program/Kegiatan ]],"D")</f>
        <v>17</v>
      </c>
      <c r="D2488" s="2" t="str">
        <f>TEXT(Sales[[#This Row],[Kode Program/Kegiatan ]],"mmm")</f>
        <v>Oct</v>
      </c>
      <c r="E2488" s="3">
        <v>5</v>
      </c>
      <c r="F2488" s="2">
        <v>5</v>
      </c>
      <c r="G2488" s="3" t="str">
        <f>IF(Sales[[#This Row],[Anggaran Murni]]-Sales[[#This Row],[Target s.d. Januari]]=0,"",Sales[[#This Row],[Anggaran Murni]]-Sales[[#This Row],[Target s.d. Januari]])</f>
        <v/>
      </c>
      <c r="H2488" s="2" t="s">
        <v>114</v>
      </c>
      <c r="I2488" s="3" t="s">
        <v>3</v>
      </c>
      <c r="J2488" s="3">
        <v>60000000</v>
      </c>
      <c r="K2488" s="2" t="s">
        <v>49</v>
      </c>
      <c r="L2488" s="2" t="s">
        <v>2</v>
      </c>
      <c r="M2488" s="4" t="s">
        <v>67</v>
      </c>
      <c r="N2488" s="3" t="s">
        <v>80</v>
      </c>
      <c r="O2488" s="2" t="s">
        <v>12</v>
      </c>
      <c r="P2488" s="10"/>
      <c r="Q2488" s="11"/>
    </row>
    <row r="2489" spans="2:17" ht="21" customHeight="1" x14ac:dyDescent="0.35">
      <c r="B2489" s="18">
        <v>44122</v>
      </c>
      <c r="C2489" s="18" t="str">
        <f>TEXT(Sales[[#This Row],[Kode Program/Kegiatan ]],"D")</f>
        <v>18</v>
      </c>
      <c r="D2489" s="19" t="str">
        <f>TEXT(Sales[[#This Row],[Kode Program/Kegiatan ]],"mmm")</f>
        <v>Oct</v>
      </c>
      <c r="E2489" s="20">
        <v>10</v>
      </c>
      <c r="F2489" s="19">
        <v>10</v>
      </c>
      <c r="G2489" s="20" t="str">
        <f>IF(Sales[[#This Row],[Anggaran Murni]]-Sales[[#This Row],[Target s.d. Januari]]=0,"",Sales[[#This Row],[Anggaran Murni]]-Sales[[#This Row],[Target s.d. Januari]])</f>
        <v/>
      </c>
      <c r="H2489" s="19" t="s">
        <v>74</v>
      </c>
      <c r="I2489" s="20" t="s">
        <v>77</v>
      </c>
      <c r="J2489" s="20">
        <v>40000000</v>
      </c>
      <c r="K2489" s="19" t="s">
        <v>44</v>
      </c>
      <c r="L2489" s="19" t="s">
        <v>2</v>
      </c>
      <c r="M2489" s="21" t="s">
        <v>67</v>
      </c>
      <c r="N2489" s="20" t="s">
        <v>80</v>
      </c>
      <c r="O2489" s="19" t="s">
        <v>12</v>
      </c>
      <c r="P2489" s="10"/>
      <c r="Q2489" s="11"/>
    </row>
    <row r="2490" spans="2:17" ht="21" customHeight="1" x14ac:dyDescent="0.35">
      <c r="B2490" s="1">
        <v>44122</v>
      </c>
      <c r="C2490" s="1" t="str">
        <f>TEXT(Sales[[#This Row],[Kode Program/Kegiatan ]],"D")</f>
        <v>18</v>
      </c>
      <c r="D2490" s="2" t="str">
        <f>TEXT(Sales[[#This Row],[Kode Program/Kegiatan ]],"mmm")</f>
        <v>Oct</v>
      </c>
      <c r="E2490" s="3">
        <v>9</v>
      </c>
      <c r="F2490" s="2">
        <v>9</v>
      </c>
      <c r="G2490" s="3" t="str">
        <f>IF(Sales[[#This Row],[Anggaran Murni]]-Sales[[#This Row],[Target s.d. Januari]]=0,"",Sales[[#This Row],[Anggaran Murni]]-Sales[[#This Row],[Target s.d. Januari]])</f>
        <v/>
      </c>
      <c r="H2490" s="2" t="s">
        <v>73</v>
      </c>
      <c r="I2490" s="3" t="s">
        <v>78</v>
      </c>
      <c r="J2490" s="3">
        <v>40000000</v>
      </c>
      <c r="K2490" s="2" t="s">
        <v>18</v>
      </c>
      <c r="L2490" s="2" t="s">
        <v>4</v>
      </c>
      <c r="M2490" s="4" t="s">
        <v>67</v>
      </c>
      <c r="N2490" s="3" t="s">
        <v>81</v>
      </c>
      <c r="O2490" s="2" t="s">
        <v>13</v>
      </c>
      <c r="P2490" s="10"/>
      <c r="Q2490" s="11"/>
    </row>
    <row r="2491" spans="2:17" ht="21" customHeight="1" x14ac:dyDescent="0.35">
      <c r="B2491" s="18">
        <v>44122</v>
      </c>
      <c r="C2491" s="18" t="str">
        <f>TEXT(Sales[[#This Row],[Kode Program/Kegiatan ]],"D")</f>
        <v>18</v>
      </c>
      <c r="D2491" s="19" t="str">
        <f>TEXT(Sales[[#This Row],[Kode Program/Kegiatan ]],"mmm")</f>
        <v>Oct</v>
      </c>
      <c r="E2491" s="20">
        <v>7</v>
      </c>
      <c r="F2491" s="19">
        <v>7</v>
      </c>
      <c r="G2491" s="20" t="str">
        <f>IF(Sales[[#This Row],[Anggaran Murni]]-Sales[[#This Row],[Target s.d. Januari]]=0,"",Sales[[#This Row],[Anggaran Murni]]-Sales[[#This Row],[Target s.d. Januari]])</f>
        <v/>
      </c>
      <c r="H2491" s="19" t="s">
        <v>73</v>
      </c>
      <c r="I2491" s="20" t="s">
        <v>78</v>
      </c>
      <c r="J2491" s="20">
        <v>40000000</v>
      </c>
      <c r="K2491" s="19" t="s">
        <v>36</v>
      </c>
      <c r="L2491" s="19" t="s">
        <v>5</v>
      </c>
      <c r="M2491" s="21" t="s">
        <v>67</v>
      </c>
      <c r="N2491" s="20" t="s">
        <v>80</v>
      </c>
      <c r="O2491" s="19" t="s">
        <v>12</v>
      </c>
      <c r="P2491" s="10"/>
      <c r="Q2491" s="11"/>
    </row>
    <row r="2492" spans="2:17" ht="21" customHeight="1" x14ac:dyDescent="0.35">
      <c r="B2492" s="1">
        <v>44122</v>
      </c>
      <c r="C2492" s="1" t="str">
        <f>TEXT(Sales[[#This Row],[Kode Program/Kegiatan ]],"D")</f>
        <v>18</v>
      </c>
      <c r="D2492" s="2" t="str">
        <f>TEXT(Sales[[#This Row],[Kode Program/Kegiatan ]],"mmm")</f>
        <v>Oct</v>
      </c>
      <c r="E2492" s="3">
        <v>6</v>
      </c>
      <c r="F2492" s="2">
        <v>6</v>
      </c>
      <c r="G2492" s="3" t="str">
        <f>IF(Sales[[#This Row],[Anggaran Murni]]-Sales[[#This Row],[Target s.d. Januari]]=0,"",Sales[[#This Row],[Anggaran Murni]]-Sales[[#This Row],[Target s.d. Januari]])</f>
        <v/>
      </c>
      <c r="H2492" s="2" t="s">
        <v>70</v>
      </c>
      <c r="I2492" s="3" t="s">
        <v>1</v>
      </c>
      <c r="J2492" s="3">
        <v>40000000</v>
      </c>
      <c r="K2492" s="2" t="s">
        <v>56</v>
      </c>
      <c r="L2492" s="2" t="s">
        <v>5</v>
      </c>
      <c r="M2492" s="4" t="s">
        <v>67</v>
      </c>
      <c r="N2492" s="3" t="s">
        <v>81</v>
      </c>
      <c r="O2492" s="2" t="s">
        <v>11</v>
      </c>
      <c r="P2492" s="10"/>
      <c r="Q2492" s="11"/>
    </row>
    <row r="2493" spans="2:17" ht="21" customHeight="1" x14ac:dyDescent="0.35">
      <c r="B2493" s="18">
        <v>44122</v>
      </c>
      <c r="C2493" s="18" t="str">
        <f>TEXT(Sales[[#This Row],[Kode Program/Kegiatan ]],"D")</f>
        <v>18</v>
      </c>
      <c r="D2493" s="19" t="str">
        <f>TEXT(Sales[[#This Row],[Kode Program/Kegiatan ]],"mmm")</f>
        <v>Oct</v>
      </c>
      <c r="E2493" s="20">
        <v>6</v>
      </c>
      <c r="F2493" s="19">
        <v>6</v>
      </c>
      <c r="G2493" s="20" t="str">
        <f>IF(Sales[[#This Row],[Anggaran Murni]]-Sales[[#This Row],[Target s.d. Januari]]=0,"",Sales[[#This Row],[Anggaran Murni]]-Sales[[#This Row],[Target s.d. Januari]])</f>
        <v/>
      </c>
      <c r="H2493" s="19" t="s">
        <v>75</v>
      </c>
      <c r="I2493" s="20" t="s">
        <v>6</v>
      </c>
      <c r="J2493" s="20">
        <v>60000000</v>
      </c>
      <c r="K2493" s="19" t="s">
        <v>15</v>
      </c>
      <c r="L2493" s="19" t="s">
        <v>2</v>
      </c>
      <c r="M2493" s="21" t="s">
        <v>67</v>
      </c>
      <c r="N2493" s="20" t="s">
        <v>80</v>
      </c>
      <c r="O2493" s="19" t="s">
        <v>13</v>
      </c>
      <c r="P2493" s="10"/>
      <c r="Q2493" s="11"/>
    </row>
    <row r="2494" spans="2:17" ht="21" customHeight="1" x14ac:dyDescent="0.35">
      <c r="B2494" s="1">
        <v>44122</v>
      </c>
      <c r="C2494" s="1" t="str">
        <f>TEXT(Sales[[#This Row],[Kode Program/Kegiatan ]],"D")</f>
        <v>18</v>
      </c>
      <c r="D2494" s="2" t="str">
        <f>TEXT(Sales[[#This Row],[Kode Program/Kegiatan ]],"mmm")</f>
        <v>Oct</v>
      </c>
      <c r="E2494" s="3">
        <v>5</v>
      </c>
      <c r="F2494" s="2">
        <v>5</v>
      </c>
      <c r="G2494" s="3" t="str">
        <f>IF(Sales[[#This Row],[Anggaran Murni]]-Sales[[#This Row],[Target s.d. Januari]]=0,"",Sales[[#This Row],[Anggaran Murni]]-Sales[[#This Row],[Target s.d. Januari]])</f>
        <v/>
      </c>
      <c r="H2494" s="2" t="s">
        <v>71</v>
      </c>
      <c r="I2494" s="3" t="s">
        <v>6</v>
      </c>
      <c r="J2494" s="3">
        <v>60000000</v>
      </c>
      <c r="K2494" s="2" t="s">
        <v>46</v>
      </c>
      <c r="L2494" s="2" t="s">
        <v>2</v>
      </c>
      <c r="M2494" s="4" t="s">
        <v>67</v>
      </c>
      <c r="N2494" s="3" t="s">
        <v>80</v>
      </c>
      <c r="O2494" s="2" t="s">
        <v>14</v>
      </c>
      <c r="P2494" s="10"/>
      <c r="Q2494" s="11"/>
    </row>
    <row r="2495" spans="2:17" ht="21" customHeight="1" x14ac:dyDescent="0.35">
      <c r="B2495" s="18">
        <v>44122</v>
      </c>
      <c r="C2495" s="18" t="str">
        <f>TEXT(Sales[[#This Row],[Kode Program/Kegiatan ]],"D")</f>
        <v>18</v>
      </c>
      <c r="D2495" s="19" t="str">
        <f>TEXT(Sales[[#This Row],[Kode Program/Kegiatan ]],"mmm")</f>
        <v>Oct</v>
      </c>
      <c r="E2495" s="20">
        <v>5</v>
      </c>
      <c r="F2495" s="19">
        <v>5</v>
      </c>
      <c r="G2495" s="20" t="str">
        <f>IF(Sales[[#This Row],[Anggaran Murni]]-Sales[[#This Row],[Target s.d. Januari]]=0,"",Sales[[#This Row],[Anggaran Murni]]-Sales[[#This Row],[Target s.d. Januari]])</f>
        <v/>
      </c>
      <c r="H2495" s="19" t="s">
        <v>76</v>
      </c>
      <c r="I2495" s="20" t="s">
        <v>79</v>
      </c>
      <c r="J2495" s="20">
        <v>100000000</v>
      </c>
      <c r="K2495" s="19" t="s">
        <v>22</v>
      </c>
      <c r="L2495" s="19" t="s">
        <v>8</v>
      </c>
      <c r="M2495" s="21" t="s">
        <v>67</v>
      </c>
      <c r="N2495" s="20" t="s">
        <v>81</v>
      </c>
      <c r="O2495" s="19" t="s">
        <v>11</v>
      </c>
      <c r="P2495" s="10"/>
      <c r="Q2495" s="11"/>
    </row>
    <row r="2496" spans="2:17" ht="21" customHeight="1" x14ac:dyDescent="0.35">
      <c r="B2496" s="1">
        <v>44122</v>
      </c>
      <c r="C2496" s="1" t="str">
        <f>TEXT(Sales[[#This Row],[Kode Program/Kegiatan ]],"D")</f>
        <v>18</v>
      </c>
      <c r="D2496" s="2" t="str">
        <f>TEXT(Sales[[#This Row],[Kode Program/Kegiatan ]],"mmm")</f>
        <v>Oct</v>
      </c>
      <c r="E2496" s="3">
        <v>4</v>
      </c>
      <c r="F2496" s="2">
        <v>4</v>
      </c>
      <c r="G2496" s="3" t="str">
        <f>IF(Sales[[#This Row],[Anggaran Murni]]-Sales[[#This Row],[Target s.d. Januari]]=0,"",Sales[[#This Row],[Anggaran Murni]]-Sales[[#This Row],[Target s.d. Januari]])</f>
        <v/>
      </c>
      <c r="H2496" s="2" t="s">
        <v>71</v>
      </c>
      <c r="I2496" s="3" t="s">
        <v>6</v>
      </c>
      <c r="J2496" s="3">
        <v>140000000</v>
      </c>
      <c r="K2496" s="2" t="s">
        <v>60</v>
      </c>
      <c r="L2496" s="2" t="s">
        <v>5</v>
      </c>
      <c r="M2496" s="4" t="s">
        <v>67</v>
      </c>
      <c r="N2496" s="3" t="s">
        <v>82</v>
      </c>
      <c r="O2496" s="2" t="s">
        <v>11</v>
      </c>
      <c r="P2496" s="10"/>
      <c r="Q2496" s="11"/>
    </row>
    <row r="2497" spans="2:17" ht="21" customHeight="1" x14ac:dyDescent="0.35">
      <c r="B2497" s="18">
        <v>44122</v>
      </c>
      <c r="C2497" s="18" t="str">
        <f>TEXT(Sales[[#This Row],[Kode Program/Kegiatan ]],"D")</f>
        <v>18</v>
      </c>
      <c r="D2497" s="19" t="str">
        <f>TEXT(Sales[[#This Row],[Kode Program/Kegiatan ]],"mmm")</f>
        <v>Oct</v>
      </c>
      <c r="E2497" s="20">
        <v>4</v>
      </c>
      <c r="F2497" s="19">
        <v>4</v>
      </c>
      <c r="G2497" s="20" t="str">
        <f>IF(Sales[[#This Row],[Anggaran Murni]]-Sales[[#This Row],[Target s.d. Januari]]=0,"",Sales[[#This Row],[Anggaran Murni]]-Sales[[#This Row],[Target s.d. Januari]])</f>
        <v/>
      </c>
      <c r="H2497" s="19" t="s">
        <v>75</v>
      </c>
      <c r="I2497" s="20" t="s">
        <v>6</v>
      </c>
      <c r="J2497" s="20">
        <v>140000000</v>
      </c>
      <c r="K2497" s="19" t="s">
        <v>17</v>
      </c>
      <c r="L2497" s="19" t="s">
        <v>5</v>
      </c>
      <c r="M2497" s="21" t="s">
        <v>67</v>
      </c>
      <c r="N2497" s="20" t="s">
        <v>82</v>
      </c>
      <c r="O2497" s="19" t="s">
        <v>11</v>
      </c>
      <c r="P2497" s="10"/>
      <c r="Q2497" s="11"/>
    </row>
    <row r="2498" spans="2:17" ht="21" customHeight="1" x14ac:dyDescent="0.35">
      <c r="B2498" s="1">
        <v>44122</v>
      </c>
      <c r="C2498" s="1" t="str">
        <f>TEXT(Sales[[#This Row],[Kode Program/Kegiatan ]],"D")</f>
        <v>18</v>
      </c>
      <c r="D2498" s="2" t="str">
        <f>TEXT(Sales[[#This Row],[Kode Program/Kegiatan ]],"mmm")</f>
        <v>Oct</v>
      </c>
      <c r="E2498" s="3">
        <v>3</v>
      </c>
      <c r="F2498" s="2">
        <v>3</v>
      </c>
      <c r="G2498" s="3" t="str">
        <f>IF(Sales[[#This Row],[Anggaran Murni]]-Sales[[#This Row],[Target s.d. Januari]]=0,"",Sales[[#This Row],[Anggaran Murni]]-Sales[[#This Row],[Target s.d. Januari]])</f>
        <v/>
      </c>
      <c r="H2498" s="2" t="s">
        <v>74</v>
      </c>
      <c r="I2498" s="3" t="s">
        <v>77</v>
      </c>
      <c r="J2498" s="3">
        <v>120000000</v>
      </c>
      <c r="K2498" s="2" t="s">
        <v>35</v>
      </c>
      <c r="L2498" s="2" t="s">
        <v>2</v>
      </c>
      <c r="M2498" s="4" t="s">
        <v>67</v>
      </c>
      <c r="N2498" s="3" t="s">
        <v>82</v>
      </c>
      <c r="O2498" s="2" t="s">
        <v>11</v>
      </c>
      <c r="P2498" s="10"/>
      <c r="Q2498" s="11"/>
    </row>
    <row r="2499" spans="2:17" ht="21" customHeight="1" x14ac:dyDescent="0.35">
      <c r="B2499" s="18">
        <v>44123</v>
      </c>
      <c r="C2499" s="18" t="str">
        <f>TEXT(Sales[[#This Row],[Kode Program/Kegiatan ]],"D")</f>
        <v>19</v>
      </c>
      <c r="D2499" s="19" t="str">
        <f>TEXT(Sales[[#This Row],[Kode Program/Kegiatan ]],"mmm")</f>
        <v>Oct</v>
      </c>
      <c r="E2499" s="20">
        <v>10</v>
      </c>
      <c r="F2499" s="19">
        <v>10</v>
      </c>
      <c r="G2499" s="20" t="str">
        <f>IF(Sales[[#This Row],[Anggaran Murni]]-Sales[[#This Row],[Target s.d. Januari]]=0,"",Sales[[#This Row],[Anggaran Murni]]-Sales[[#This Row],[Target s.d. Januari]])</f>
        <v/>
      </c>
      <c r="H2499" s="19" t="s">
        <v>72</v>
      </c>
      <c r="I2499" s="20" t="s">
        <v>78</v>
      </c>
      <c r="J2499" s="20">
        <v>60000000</v>
      </c>
      <c r="K2499" s="19" t="s">
        <v>42</v>
      </c>
      <c r="L2499" s="19" t="s">
        <v>5</v>
      </c>
      <c r="M2499" s="21" t="s">
        <v>67</v>
      </c>
      <c r="N2499" s="20" t="s">
        <v>81</v>
      </c>
      <c r="O2499" s="19" t="s">
        <v>14</v>
      </c>
      <c r="P2499" s="10"/>
      <c r="Q2499" s="11"/>
    </row>
    <row r="2500" spans="2:17" ht="21" customHeight="1" x14ac:dyDescent="0.35">
      <c r="B2500" s="1">
        <v>44123</v>
      </c>
      <c r="C2500" s="1" t="str">
        <f>TEXT(Sales[[#This Row],[Kode Program/Kegiatan ]],"D")</f>
        <v>19</v>
      </c>
      <c r="D2500" s="2" t="str">
        <f>TEXT(Sales[[#This Row],[Kode Program/Kegiatan ]],"mmm")</f>
        <v>Oct</v>
      </c>
      <c r="E2500" s="3">
        <v>8</v>
      </c>
      <c r="F2500" s="2">
        <v>8</v>
      </c>
      <c r="G2500" s="3" t="str">
        <f>IF(Sales[[#This Row],[Anggaran Murni]]-Sales[[#This Row],[Target s.d. Januari]]=0,"",Sales[[#This Row],[Anggaran Murni]]-Sales[[#This Row],[Target s.d. Januari]])</f>
        <v/>
      </c>
      <c r="H2500" s="2" t="s">
        <v>76</v>
      </c>
      <c r="I2500" s="3" t="s">
        <v>79</v>
      </c>
      <c r="J2500" s="3">
        <v>120000000</v>
      </c>
      <c r="K2500" s="2" t="s">
        <v>48</v>
      </c>
      <c r="L2500" s="2" t="s">
        <v>2</v>
      </c>
      <c r="M2500" s="4" t="s">
        <v>67</v>
      </c>
      <c r="N2500" s="3" t="s">
        <v>81</v>
      </c>
      <c r="O2500" s="2" t="s">
        <v>12</v>
      </c>
      <c r="P2500" s="10"/>
      <c r="Q2500" s="11"/>
    </row>
    <row r="2501" spans="2:17" ht="21" customHeight="1" x14ac:dyDescent="0.35">
      <c r="B2501" s="18">
        <v>44123</v>
      </c>
      <c r="C2501" s="18" t="str">
        <f>TEXT(Sales[[#This Row],[Kode Program/Kegiatan ]],"D")</f>
        <v>19</v>
      </c>
      <c r="D2501" s="19" t="str">
        <f>TEXT(Sales[[#This Row],[Kode Program/Kegiatan ]],"mmm")</f>
        <v>Oct</v>
      </c>
      <c r="E2501" s="20">
        <v>7</v>
      </c>
      <c r="F2501" s="19">
        <v>7</v>
      </c>
      <c r="G2501" s="20" t="str">
        <f>IF(Sales[[#This Row],[Anggaran Murni]]-Sales[[#This Row],[Target s.d. Januari]]=0,"",Sales[[#This Row],[Anggaran Murni]]-Sales[[#This Row],[Target s.d. Januari]])</f>
        <v/>
      </c>
      <c r="H2501" s="19" t="s">
        <v>74</v>
      </c>
      <c r="I2501" s="20" t="s">
        <v>77</v>
      </c>
      <c r="J2501" s="20">
        <v>100000000</v>
      </c>
      <c r="K2501" s="19" t="s">
        <v>50</v>
      </c>
      <c r="L2501" s="19" t="s">
        <v>5</v>
      </c>
      <c r="M2501" s="21" t="s">
        <v>67</v>
      </c>
      <c r="N2501" s="20" t="s">
        <v>80</v>
      </c>
      <c r="O2501" s="19" t="s">
        <v>14</v>
      </c>
      <c r="P2501" s="10"/>
      <c r="Q2501" s="11"/>
    </row>
    <row r="2502" spans="2:17" ht="21" customHeight="1" x14ac:dyDescent="0.35">
      <c r="B2502" s="1">
        <v>44123</v>
      </c>
      <c r="C2502" s="1" t="str">
        <f>TEXT(Sales[[#This Row],[Kode Program/Kegiatan ]],"D")</f>
        <v>19</v>
      </c>
      <c r="D2502" s="2" t="str">
        <f>TEXT(Sales[[#This Row],[Kode Program/Kegiatan ]],"mmm")</f>
        <v>Oct</v>
      </c>
      <c r="E2502" s="3">
        <v>7</v>
      </c>
      <c r="F2502" s="2">
        <v>7</v>
      </c>
      <c r="G2502" s="3" t="str">
        <f>IF(Sales[[#This Row],[Anggaran Murni]]-Sales[[#This Row],[Target s.d. Januari]]=0,"",Sales[[#This Row],[Anggaran Murni]]-Sales[[#This Row],[Target s.d. Januari]])</f>
        <v/>
      </c>
      <c r="H2502" s="2" t="s">
        <v>113</v>
      </c>
      <c r="I2502" s="3" t="s">
        <v>77</v>
      </c>
      <c r="J2502" s="3">
        <v>80000000</v>
      </c>
      <c r="K2502" s="2" t="s">
        <v>62</v>
      </c>
      <c r="L2502" s="2" t="s">
        <v>2</v>
      </c>
      <c r="M2502" s="4" t="s">
        <v>67</v>
      </c>
      <c r="N2502" s="3" t="s">
        <v>82</v>
      </c>
      <c r="O2502" s="2" t="s">
        <v>13</v>
      </c>
      <c r="P2502" s="10"/>
      <c r="Q2502" s="11"/>
    </row>
    <row r="2503" spans="2:17" ht="21" customHeight="1" x14ac:dyDescent="0.35">
      <c r="B2503" s="18">
        <v>44123</v>
      </c>
      <c r="C2503" s="18" t="str">
        <f>TEXT(Sales[[#This Row],[Kode Program/Kegiatan ]],"D")</f>
        <v>19</v>
      </c>
      <c r="D2503" s="19" t="str">
        <f>TEXT(Sales[[#This Row],[Kode Program/Kegiatan ]],"mmm")</f>
        <v>Oct</v>
      </c>
      <c r="E2503" s="20">
        <v>6</v>
      </c>
      <c r="F2503" s="19">
        <v>6</v>
      </c>
      <c r="G2503" s="20" t="str">
        <f>IF(Sales[[#This Row],[Anggaran Murni]]-Sales[[#This Row],[Target s.d. Januari]]=0,"",Sales[[#This Row],[Anggaran Murni]]-Sales[[#This Row],[Target s.d. Januari]])</f>
        <v/>
      </c>
      <c r="H2503" s="19" t="s">
        <v>76</v>
      </c>
      <c r="I2503" s="20" t="s">
        <v>79</v>
      </c>
      <c r="J2503" s="20">
        <v>40000000</v>
      </c>
      <c r="K2503" s="19" t="s">
        <v>35</v>
      </c>
      <c r="L2503" s="19" t="s">
        <v>2</v>
      </c>
      <c r="M2503" s="21" t="s">
        <v>67</v>
      </c>
      <c r="N2503" s="20" t="s">
        <v>81</v>
      </c>
      <c r="O2503" s="19" t="s">
        <v>12</v>
      </c>
      <c r="P2503" s="10"/>
      <c r="Q2503" s="11"/>
    </row>
    <row r="2504" spans="2:17" ht="21" customHeight="1" x14ac:dyDescent="0.35">
      <c r="B2504" s="1">
        <v>44123</v>
      </c>
      <c r="C2504" s="1" t="str">
        <f>TEXT(Sales[[#This Row],[Kode Program/Kegiatan ]],"D")</f>
        <v>19</v>
      </c>
      <c r="D2504" s="2" t="str">
        <f>TEXT(Sales[[#This Row],[Kode Program/Kegiatan ]],"mmm")</f>
        <v>Oct</v>
      </c>
      <c r="E2504" s="3">
        <v>3</v>
      </c>
      <c r="F2504" s="2">
        <v>3</v>
      </c>
      <c r="G2504" s="3" t="str">
        <f>IF(Sales[[#This Row],[Anggaran Murni]]-Sales[[#This Row],[Target s.d. Januari]]=0,"",Sales[[#This Row],[Anggaran Murni]]-Sales[[#This Row],[Target s.d. Januari]])</f>
        <v/>
      </c>
      <c r="H2504" s="2" t="s">
        <v>76</v>
      </c>
      <c r="I2504" s="3" t="s">
        <v>79</v>
      </c>
      <c r="J2504" s="3">
        <v>120000000</v>
      </c>
      <c r="K2504" s="2" t="s">
        <v>64</v>
      </c>
      <c r="L2504" s="2" t="s">
        <v>7</v>
      </c>
      <c r="M2504" s="4" t="s">
        <v>67</v>
      </c>
      <c r="N2504" s="3" t="s">
        <v>82</v>
      </c>
      <c r="O2504" s="2" t="s">
        <v>12</v>
      </c>
      <c r="P2504" s="10"/>
      <c r="Q2504" s="11"/>
    </row>
    <row r="2505" spans="2:17" ht="21" customHeight="1" x14ac:dyDescent="0.35">
      <c r="B2505" s="18">
        <v>44124</v>
      </c>
      <c r="C2505" s="18" t="str">
        <f>TEXT(Sales[[#This Row],[Kode Program/Kegiatan ]],"D")</f>
        <v>20</v>
      </c>
      <c r="D2505" s="19" t="str">
        <f>TEXT(Sales[[#This Row],[Kode Program/Kegiatan ]],"mmm")</f>
        <v>Oct</v>
      </c>
      <c r="E2505" s="20">
        <v>10</v>
      </c>
      <c r="F2505" s="19">
        <v>10</v>
      </c>
      <c r="G2505" s="20" t="str">
        <f>IF(Sales[[#This Row],[Anggaran Murni]]-Sales[[#This Row],[Target s.d. Januari]]=0,"",Sales[[#This Row],[Anggaran Murni]]-Sales[[#This Row],[Target s.d. Januari]])</f>
        <v/>
      </c>
      <c r="H2505" s="19" t="s">
        <v>71</v>
      </c>
      <c r="I2505" s="20" t="s">
        <v>6</v>
      </c>
      <c r="J2505" s="20">
        <v>100000000</v>
      </c>
      <c r="K2505" s="19" t="s">
        <v>54</v>
      </c>
      <c r="L2505" s="19" t="s">
        <v>7</v>
      </c>
      <c r="M2505" s="21" t="s">
        <v>67</v>
      </c>
      <c r="N2505" s="20" t="s">
        <v>80</v>
      </c>
      <c r="O2505" s="19" t="s">
        <v>11</v>
      </c>
      <c r="P2505" s="10"/>
      <c r="Q2505" s="11"/>
    </row>
    <row r="2506" spans="2:17" ht="21" customHeight="1" x14ac:dyDescent="0.35">
      <c r="B2506" s="1">
        <v>44124</v>
      </c>
      <c r="C2506" s="1" t="str">
        <f>TEXT(Sales[[#This Row],[Kode Program/Kegiatan ]],"D")</f>
        <v>20</v>
      </c>
      <c r="D2506" s="2" t="str">
        <f>TEXT(Sales[[#This Row],[Kode Program/Kegiatan ]],"mmm")</f>
        <v>Oct</v>
      </c>
      <c r="E2506" s="3">
        <v>10</v>
      </c>
      <c r="F2506" s="2">
        <v>10</v>
      </c>
      <c r="G2506" s="3" t="str">
        <f>IF(Sales[[#This Row],[Anggaran Murni]]-Sales[[#This Row],[Target s.d. Januari]]=0,"",Sales[[#This Row],[Anggaran Murni]]-Sales[[#This Row],[Target s.d. Januari]])</f>
        <v/>
      </c>
      <c r="H2506" s="2" t="s">
        <v>76</v>
      </c>
      <c r="I2506" s="3" t="s">
        <v>79</v>
      </c>
      <c r="J2506" s="3">
        <v>40000000</v>
      </c>
      <c r="K2506" s="2" t="s">
        <v>44</v>
      </c>
      <c r="L2506" s="2" t="s">
        <v>2</v>
      </c>
      <c r="M2506" s="4" t="s">
        <v>67</v>
      </c>
      <c r="N2506" s="3" t="s">
        <v>80</v>
      </c>
      <c r="O2506" s="2" t="s">
        <v>13</v>
      </c>
      <c r="P2506" s="10"/>
      <c r="Q2506" s="11"/>
    </row>
    <row r="2507" spans="2:17" ht="21" customHeight="1" x14ac:dyDescent="0.35">
      <c r="B2507" s="18">
        <v>44124</v>
      </c>
      <c r="C2507" s="18" t="str">
        <f>TEXT(Sales[[#This Row],[Kode Program/Kegiatan ]],"D")</f>
        <v>20</v>
      </c>
      <c r="D2507" s="19" t="str">
        <f>TEXT(Sales[[#This Row],[Kode Program/Kegiatan ]],"mmm")</f>
        <v>Oct</v>
      </c>
      <c r="E2507" s="20">
        <v>8</v>
      </c>
      <c r="F2507" s="19">
        <v>8</v>
      </c>
      <c r="G2507" s="20" t="str">
        <f>IF(Sales[[#This Row],[Anggaran Murni]]-Sales[[#This Row],[Target s.d. Januari]]=0,"",Sales[[#This Row],[Anggaran Murni]]-Sales[[#This Row],[Target s.d. Januari]])</f>
        <v/>
      </c>
      <c r="H2507" s="19" t="s">
        <v>76</v>
      </c>
      <c r="I2507" s="20" t="s">
        <v>79</v>
      </c>
      <c r="J2507" s="20">
        <v>40000000</v>
      </c>
      <c r="K2507" s="19" t="s">
        <v>15</v>
      </c>
      <c r="L2507" s="19" t="s">
        <v>2</v>
      </c>
      <c r="M2507" s="21" t="s">
        <v>67</v>
      </c>
      <c r="N2507" s="20" t="s">
        <v>82</v>
      </c>
      <c r="O2507" s="19" t="s">
        <v>11</v>
      </c>
      <c r="P2507" s="10"/>
      <c r="Q2507" s="11"/>
    </row>
    <row r="2508" spans="2:17" ht="21" customHeight="1" x14ac:dyDescent="0.35">
      <c r="B2508" s="1">
        <v>44124</v>
      </c>
      <c r="C2508" s="1" t="str">
        <f>TEXT(Sales[[#This Row],[Kode Program/Kegiatan ]],"D")</f>
        <v>20</v>
      </c>
      <c r="D2508" s="2" t="str">
        <f>TEXT(Sales[[#This Row],[Kode Program/Kegiatan ]],"mmm")</f>
        <v>Oct</v>
      </c>
      <c r="E2508" s="3">
        <v>7</v>
      </c>
      <c r="F2508" s="2">
        <v>7</v>
      </c>
      <c r="G2508" s="3" t="str">
        <f>IF(Sales[[#This Row],[Anggaran Murni]]-Sales[[#This Row],[Target s.d. Januari]]=0,"",Sales[[#This Row],[Anggaran Murni]]-Sales[[#This Row],[Target s.d. Januari]])</f>
        <v/>
      </c>
      <c r="H2508" s="2" t="s">
        <v>114</v>
      </c>
      <c r="I2508" s="3" t="s">
        <v>3</v>
      </c>
      <c r="J2508" s="3">
        <v>40000000</v>
      </c>
      <c r="K2508" s="2" t="s">
        <v>64</v>
      </c>
      <c r="L2508" s="2" t="s">
        <v>8</v>
      </c>
      <c r="M2508" s="4" t="s">
        <v>67</v>
      </c>
      <c r="N2508" s="3" t="s">
        <v>82</v>
      </c>
      <c r="O2508" s="2" t="s">
        <v>14</v>
      </c>
      <c r="P2508" s="10"/>
      <c r="Q2508" s="11"/>
    </row>
    <row r="2509" spans="2:17" ht="21" customHeight="1" x14ac:dyDescent="0.35">
      <c r="B2509" s="18">
        <v>44124</v>
      </c>
      <c r="C2509" s="18" t="str">
        <f>TEXT(Sales[[#This Row],[Kode Program/Kegiatan ]],"D")</f>
        <v>20</v>
      </c>
      <c r="D2509" s="19" t="str">
        <f>TEXT(Sales[[#This Row],[Kode Program/Kegiatan ]],"mmm")</f>
        <v>Oct</v>
      </c>
      <c r="E2509" s="20">
        <v>5</v>
      </c>
      <c r="F2509" s="19">
        <v>5</v>
      </c>
      <c r="G2509" s="20" t="str">
        <f>IF(Sales[[#This Row],[Anggaran Murni]]-Sales[[#This Row],[Target s.d. Januari]]=0,"",Sales[[#This Row],[Anggaran Murni]]-Sales[[#This Row],[Target s.d. Januari]])</f>
        <v/>
      </c>
      <c r="H2509" s="19" t="s">
        <v>71</v>
      </c>
      <c r="I2509" s="20" t="s">
        <v>6</v>
      </c>
      <c r="J2509" s="20">
        <v>40000000</v>
      </c>
      <c r="K2509" s="19" t="s">
        <v>32</v>
      </c>
      <c r="L2509" s="19" t="s">
        <v>5</v>
      </c>
      <c r="M2509" s="21" t="s">
        <v>67</v>
      </c>
      <c r="N2509" s="20" t="s">
        <v>81</v>
      </c>
      <c r="O2509" s="19" t="s">
        <v>11</v>
      </c>
      <c r="P2509" s="10"/>
      <c r="Q2509" s="11"/>
    </row>
    <row r="2510" spans="2:17" ht="21" customHeight="1" x14ac:dyDescent="0.35">
      <c r="B2510" s="1">
        <v>44124</v>
      </c>
      <c r="C2510" s="1" t="str">
        <f>TEXT(Sales[[#This Row],[Kode Program/Kegiatan ]],"D")</f>
        <v>20</v>
      </c>
      <c r="D2510" s="2" t="str">
        <f>TEXT(Sales[[#This Row],[Kode Program/Kegiatan ]],"mmm")</f>
        <v>Oct</v>
      </c>
      <c r="E2510" s="3">
        <v>4</v>
      </c>
      <c r="F2510" s="2">
        <v>4</v>
      </c>
      <c r="G2510" s="3" t="str">
        <f>IF(Sales[[#This Row],[Anggaran Murni]]-Sales[[#This Row],[Target s.d. Januari]]=0,"",Sales[[#This Row],[Anggaran Murni]]-Sales[[#This Row],[Target s.d. Januari]])</f>
        <v/>
      </c>
      <c r="H2510" s="2" t="s">
        <v>75</v>
      </c>
      <c r="I2510" s="3" t="s">
        <v>6</v>
      </c>
      <c r="J2510" s="3">
        <v>80000000</v>
      </c>
      <c r="K2510" s="2" t="s">
        <v>33</v>
      </c>
      <c r="L2510" s="2" t="s">
        <v>8</v>
      </c>
      <c r="M2510" s="4" t="s">
        <v>67</v>
      </c>
      <c r="N2510" s="3" t="s">
        <v>82</v>
      </c>
      <c r="O2510" s="2" t="s">
        <v>12</v>
      </c>
      <c r="P2510" s="10"/>
      <c r="Q2510" s="11"/>
    </row>
    <row r="2511" spans="2:17" ht="21" customHeight="1" x14ac:dyDescent="0.35">
      <c r="B2511" s="18">
        <v>44124</v>
      </c>
      <c r="C2511" s="18" t="str">
        <f>TEXT(Sales[[#This Row],[Kode Program/Kegiatan ]],"D")</f>
        <v>20</v>
      </c>
      <c r="D2511" s="19" t="str">
        <f>TEXT(Sales[[#This Row],[Kode Program/Kegiatan ]],"mmm")</f>
        <v>Oct</v>
      </c>
      <c r="E2511" s="20">
        <v>3</v>
      </c>
      <c r="F2511" s="19">
        <v>3</v>
      </c>
      <c r="G2511" s="20" t="str">
        <f>IF(Sales[[#This Row],[Anggaran Murni]]-Sales[[#This Row],[Target s.d. Januari]]=0,"",Sales[[#This Row],[Anggaran Murni]]-Sales[[#This Row],[Target s.d. Januari]])</f>
        <v/>
      </c>
      <c r="H2511" s="19" t="s">
        <v>114</v>
      </c>
      <c r="I2511" s="20" t="s">
        <v>3</v>
      </c>
      <c r="J2511" s="20">
        <v>60000000</v>
      </c>
      <c r="K2511" s="19" t="s">
        <v>36</v>
      </c>
      <c r="L2511" s="19" t="s">
        <v>2</v>
      </c>
      <c r="M2511" s="21" t="s">
        <v>67</v>
      </c>
      <c r="N2511" s="20" t="s">
        <v>81</v>
      </c>
      <c r="O2511" s="19" t="s">
        <v>14</v>
      </c>
      <c r="P2511" s="10"/>
      <c r="Q2511" s="11"/>
    </row>
    <row r="2512" spans="2:17" ht="21" customHeight="1" x14ac:dyDescent="0.35">
      <c r="B2512" s="1">
        <v>44125</v>
      </c>
      <c r="C2512" s="1" t="str">
        <f>TEXT(Sales[[#This Row],[Kode Program/Kegiatan ]],"D")</f>
        <v>21</v>
      </c>
      <c r="D2512" s="2" t="str">
        <f>TEXT(Sales[[#This Row],[Kode Program/Kegiatan ]],"mmm")</f>
        <v>Oct</v>
      </c>
      <c r="E2512" s="3">
        <v>10</v>
      </c>
      <c r="F2512" s="2">
        <v>10</v>
      </c>
      <c r="G2512" s="3" t="str">
        <f>IF(Sales[[#This Row],[Anggaran Murni]]-Sales[[#This Row],[Target s.d. Januari]]=0,"",Sales[[#This Row],[Anggaran Murni]]-Sales[[#This Row],[Target s.d. Januari]])</f>
        <v/>
      </c>
      <c r="H2512" s="2" t="s">
        <v>113</v>
      </c>
      <c r="I2512" s="3" t="s">
        <v>77</v>
      </c>
      <c r="J2512" s="3">
        <v>100000000</v>
      </c>
      <c r="K2512" s="2" t="s">
        <v>26</v>
      </c>
      <c r="L2512" s="2" t="s">
        <v>2</v>
      </c>
      <c r="M2512" s="4" t="s">
        <v>67</v>
      </c>
      <c r="N2512" s="3" t="s">
        <v>80</v>
      </c>
      <c r="O2512" s="2" t="s">
        <v>13</v>
      </c>
      <c r="P2512" s="10"/>
      <c r="Q2512" s="11"/>
    </row>
    <row r="2513" spans="2:17" ht="21" customHeight="1" x14ac:dyDescent="0.35">
      <c r="B2513" s="18">
        <v>44125</v>
      </c>
      <c r="C2513" s="18" t="str">
        <f>TEXT(Sales[[#This Row],[Kode Program/Kegiatan ]],"D")</f>
        <v>21</v>
      </c>
      <c r="D2513" s="19" t="str">
        <f>TEXT(Sales[[#This Row],[Kode Program/Kegiatan ]],"mmm")</f>
        <v>Oct</v>
      </c>
      <c r="E2513" s="20">
        <v>9</v>
      </c>
      <c r="F2513" s="19">
        <v>9</v>
      </c>
      <c r="G2513" s="20" t="str">
        <f>IF(Sales[[#This Row],[Anggaran Murni]]-Sales[[#This Row],[Target s.d. Januari]]=0,"",Sales[[#This Row],[Anggaran Murni]]-Sales[[#This Row],[Target s.d. Januari]])</f>
        <v/>
      </c>
      <c r="H2513" s="19" t="s">
        <v>72</v>
      </c>
      <c r="I2513" s="20" t="s">
        <v>78</v>
      </c>
      <c r="J2513" s="20">
        <v>40000000</v>
      </c>
      <c r="K2513" s="19" t="s">
        <v>15</v>
      </c>
      <c r="L2513" s="19" t="s">
        <v>5</v>
      </c>
      <c r="M2513" s="21" t="s">
        <v>67</v>
      </c>
      <c r="N2513" s="20" t="s">
        <v>80</v>
      </c>
      <c r="O2513" s="19" t="s">
        <v>13</v>
      </c>
      <c r="P2513" s="10"/>
      <c r="Q2513" s="11"/>
    </row>
    <row r="2514" spans="2:17" ht="21" customHeight="1" x14ac:dyDescent="0.35">
      <c r="B2514" s="1">
        <v>44125</v>
      </c>
      <c r="C2514" s="1" t="str">
        <f>TEXT(Sales[[#This Row],[Kode Program/Kegiatan ]],"D")</f>
        <v>21</v>
      </c>
      <c r="D2514" s="2" t="str">
        <f>TEXT(Sales[[#This Row],[Kode Program/Kegiatan ]],"mmm")</f>
        <v>Oct</v>
      </c>
      <c r="E2514" s="3">
        <v>9</v>
      </c>
      <c r="F2514" s="2">
        <v>9</v>
      </c>
      <c r="G2514" s="3" t="str">
        <f>IF(Sales[[#This Row],[Anggaran Murni]]-Sales[[#This Row],[Target s.d. Januari]]=0,"",Sales[[#This Row],[Anggaran Murni]]-Sales[[#This Row],[Target s.d. Januari]])</f>
        <v/>
      </c>
      <c r="H2514" s="2" t="s">
        <v>71</v>
      </c>
      <c r="I2514" s="3" t="s">
        <v>6</v>
      </c>
      <c r="J2514" s="3">
        <v>40000000</v>
      </c>
      <c r="K2514" s="2" t="s">
        <v>55</v>
      </c>
      <c r="L2514" s="2" t="s">
        <v>2</v>
      </c>
      <c r="M2514" s="4" t="s">
        <v>67</v>
      </c>
      <c r="N2514" s="3" t="s">
        <v>82</v>
      </c>
      <c r="O2514" s="2" t="s">
        <v>11</v>
      </c>
      <c r="P2514" s="10"/>
      <c r="Q2514" s="11"/>
    </row>
    <row r="2515" spans="2:17" ht="21" customHeight="1" x14ac:dyDescent="0.35">
      <c r="B2515" s="18">
        <v>44125</v>
      </c>
      <c r="C2515" s="18" t="str">
        <f>TEXT(Sales[[#This Row],[Kode Program/Kegiatan ]],"D")</f>
        <v>21</v>
      </c>
      <c r="D2515" s="19" t="str">
        <f>TEXT(Sales[[#This Row],[Kode Program/Kegiatan ]],"mmm")</f>
        <v>Oct</v>
      </c>
      <c r="E2515" s="20">
        <v>8</v>
      </c>
      <c r="F2515" s="19">
        <v>8</v>
      </c>
      <c r="G2515" s="20" t="str">
        <f>IF(Sales[[#This Row],[Anggaran Murni]]-Sales[[#This Row],[Target s.d. Januari]]=0,"",Sales[[#This Row],[Anggaran Murni]]-Sales[[#This Row],[Target s.d. Januari]])</f>
        <v/>
      </c>
      <c r="H2515" s="19" t="s">
        <v>113</v>
      </c>
      <c r="I2515" s="20" t="s">
        <v>77</v>
      </c>
      <c r="J2515" s="20">
        <v>80000000</v>
      </c>
      <c r="K2515" s="19" t="s">
        <v>64</v>
      </c>
      <c r="L2515" s="19" t="s">
        <v>5</v>
      </c>
      <c r="M2515" s="21" t="s">
        <v>67</v>
      </c>
      <c r="N2515" s="20" t="s">
        <v>81</v>
      </c>
      <c r="O2515" s="19" t="s">
        <v>11</v>
      </c>
      <c r="P2515" s="10"/>
      <c r="Q2515" s="11"/>
    </row>
    <row r="2516" spans="2:17" ht="21" customHeight="1" x14ac:dyDescent="0.35">
      <c r="B2516" s="1">
        <v>44125</v>
      </c>
      <c r="C2516" s="1" t="str">
        <f>TEXT(Sales[[#This Row],[Kode Program/Kegiatan ]],"D")</f>
        <v>21</v>
      </c>
      <c r="D2516" s="2" t="str">
        <f>TEXT(Sales[[#This Row],[Kode Program/Kegiatan ]],"mmm")</f>
        <v>Oct</v>
      </c>
      <c r="E2516" s="3">
        <v>7</v>
      </c>
      <c r="F2516" s="2">
        <v>7</v>
      </c>
      <c r="G2516" s="3" t="str">
        <f>IF(Sales[[#This Row],[Anggaran Murni]]-Sales[[#This Row],[Target s.d. Januari]]=0,"",Sales[[#This Row],[Anggaran Murni]]-Sales[[#This Row],[Target s.d. Januari]])</f>
        <v/>
      </c>
      <c r="H2516" s="2" t="s">
        <v>114</v>
      </c>
      <c r="I2516" s="3" t="s">
        <v>3</v>
      </c>
      <c r="J2516" s="3">
        <v>60000000</v>
      </c>
      <c r="K2516" s="2" t="s">
        <v>60</v>
      </c>
      <c r="L2516" s="2" t="s">
        <v>2</v>
      </c>
      <c r="M2516" s="4" t="s">
        <v>67</v>
      </c>
      <c r="N2516" s="3" t="s">
        <v>82</v>
      </c>
      <c r="O2516" s="2" t="s">
        <v>11</v>
      </c>
      <c r="P2516" s="10"/>
      <c r="Q2516" s="11"/>
    </row>
    <row r="2517" spans="2:17" ht="21" customHeight="1" x14ac:dyDescent="0.35">
      <c r="B2517" s="18">
        <v>44125</v>
      </c>
      <c r="C2517" s="18" t="str">
        <f>TEXT(Sales[[#This Row],[Kode Program/Kegiatan ]],"D")</f>
        <v>21</v>
      </c>
      <c r="D2517" s="19" t="str">
        <f>TEXT(Sales[[#This Row],[Kode Program/Kegiatan ]],"mmm")</f>
        <v>Oct</v>
      </c>
      <c r="E2517" s="20">
        <v>7</v>
      </c>
      <c r="F2517" s="19">
        <v>7</v>
      </c>
      <c r="G2517" s="20" t="str">
        <f>IF(Sales[[#This Row],[Anggaran Murni]]-Sales[[#This Row],[Target s.d. Januari]]=0,"",Sales[[#This Row],[Anggaran Murni]]-Sales[[#This Row],[Target s.d. Januari]])</f>
        <v/>
      </c>
      <c r="H2517" s="19" t="s">
        <v>114</v>
      </c>
      <c r="I2517" s="20" t="s">
        <v>3</v>
      </c>
      <c r="J2517" s="20">
        <v>140000000</v>
      </c>
      <c r="K2517" s="19" t="s">
        <v>59</v>
      </c>
      <c r="L2517" s="19" t="s">
        <v>2</v>
      </c>
      <c r="M2517" s="21" t="s">
        <v>67</v>
      </c>
      <c r="N2517" s="20" t="s">
        <v>82</v>
      </c>
      <c r="O2517" s="19" t="s">
        <v>13</v>
      </c>
      <c r="P2517" s="10"/>
      <c r="Q2517" s="11"/>
    </row>
    <row r="2518" spans="2:17" ht="21" customHeight="1" x14ac:dyDescent="0.35">
      <c r="B2518" s="1">
        <v>44125</v>
      </c>
      <c r="C2518" s="1" t="str">
        <f>TEXT(Sales[[#This Row],[Kode Program/Kegiatan ]],"D")</f>
        <v>21</v>
      </c>
      <c r="D2518" s="2" t="str">
        <f>TEXT(Sales[[#This Row],[Kode Program/Kegiatan ]],"mmm")</f>
        <v>Oct</v>
      </c>
      <c r="E2518" s="3">
        <v>5</v>
      </c>
      <c r="F2518" s="2">
        <v>5</v>
      </c>
      <c r="G2518" s="3" t="str">
        <f>IF(Sales[[#This Row],[Anggaran Murni]]-Sales[[#This Row],[Target s.d. Januari]]=0,"",Sales[[#This Row],[Anggaran Murni]]-Sales[[#This Row],[Target s.d. Januari]])</f>
        <v/>
      </c>
      <c r="H2518" s="2" t="s">
        <v>73</v>
      </c>
      <c r="I2518" s="3" t="s">
        <v>78</v>
      </c>
      <c r="J2518" s="3">
        <v>140000000</v>
      </c>
      <c r="K2518" s="2" t="s">
        <v>46</v>
      </c>
      <c r="L2518" s="2" t="s">
        <v>5</v>
      </c>
      <c r="M2518" s="4" t="s">
        <v>67</v>
      </c>
      <c r="N2518" s="3" t="s">
        <v>80</v>
      </c>
      <c r="O2518" s="2" t="s">
        <v>11</v>
      </c>
      <c r="P2518" s="10"/>
      <c r="Q2518" s="11"/>
    </row>
    <row r="2519" spans="2:17" ht="21" customHeight="1" x14ac:dyDescent="0.35">
      <c r="B2519" s="18">
        <v>44125</v>
      </c>
      <c r="C2519" s="18" t="str">
        <f>TEXT(Sales[[#This Row],[Kode Program/Kegiatan ]],"D")</f>
        <v>21</v>
      </c>
      <c r="D2519" s="19" t="str">
        <f>TEXT(Sales[[#This Row],[Kode Program/Kegiatan ]],"mmm")</f>
        <v>Oct</v>
      </c>
      <c r="E2519" s="20">
        <v>5</v>
      </c>
      <c r="F2519" s="19">
        <v>5</v>
      </c>
      <c r="G2519" s="20" t="str">
        <f>IF(Sales[[#This Row],[Anggaran Murni]]-Sales[[#This Row],[Target s.d. Januari]]=0,"",Sales[[#This Row],[Anggaran Murni]]-Sales[[#This Row],[Target s.d. Januari]])</f>
        <v/>
      </c>
      <c r="H2519" s="19" t="s">
        <v>114</v>
      </c>
      <c r="I2519" s="20" t="s">
        <v>3</v>
      </c>
      <c r="J2519" s="20">
        <v>100000000</v>
      </c>
      <c r="K2519" s="19" t="s">
        <v>55</v>
      </c>
      <c r="L2519" s="19" t="s">
        <v>9</v>
      </c>
      <c r="M2519" s="21" t="s">
        <v>67</v>
      </c>
      <c r="N2519" s="20" t="s">
        <v>80</v>
      </c>
      <c r="O2519" s="19" t="s">
        <v>14</v>
      </c>
      <c r="P2519" s="10"/>
      <c r="Q2519" s="11"/>
    </row>
    <row r="2520" spans="2:17" ht="21" customHeight="1" x14ac:dyDescent="0.35">
      <c r="B2520" s="1">
        <v>44125</v>
      </c>
      <c r="C2520" s="1" t="str">
        <f>TEXT(Sales[[#This Row],[Kode Program/Kegiatan ]],"D")</f>
        <v>21</v>
      </c>
      <c r="D2520" s="2" t="str">
        <f>TEXT(Sales[[#This Row],[Kode Program/Kegiatan ]],"mmm")</f>
        <v>Oct</v>
      </c>
      <c r="E2520" s="3">
        <v>3</v>
      </c>
      <c r="F2520" s="2">
        <v>3</v>
      </c>
      <c r="G2520" s="3" t="str">
        <f>IF(Sales[[#This Row],[Anggaran Murni]]-Sales[[#This Row],[Target s.d. Januari]]=0,"",Sales[[#This Row],[Anggaran Murni]]-Sales[[#This Row],[Target s.d. Januari]])</f>
        <v/>
      </c>
      <c r="H2520" s="2" t="s">
        <v>76</v>
      </c>
      <c r="I2520" s="3" t="s">
        <v>79</v>
      </c>
      <c r="J2520" s="3">
        <v>120000000</v>
      </c>
      <c r="K2520" s="2" t="s">
        <v>58</v>
      </c>
      <c r="L2520" s="2" t="s">
        <v>2</v>
      </c>
      <c r="M2520" s="4" t="s">
        <v>67</v>
      </c>
      <c r="N2520" s="3" t="s">
        <v>82</v>
      </c>
      <c r="O2520" s="2" t="s">
        <v>12</v>
      </c>
      <c r="P2520" s="10"/>
      <c r="Q2520" s="11"/>
    </row>
    <row r="2521" spans="2:17" ht="21" customHeight="1" x14ac:dyDescent="0.35">
      <c r="B2521" s="18">
        <v>44125</v>
      </c>
      <c r="C2521" s="18" t="str">
        <f>TEXT(Sales[[#This Row],[Kode Program/Kegiatan ]],"D")</f>
        <v>21</v>
      </c>
      <c r="D2521" s="19" t="str">
        <f>TEXT(Sales[[#This Row],[Kode Program/Kegiatan ]],"mmm")</f>
        <v>Oct</v>
      </c>
      <c r="E2521" s="20">
        <v>3</v>
      </c>
      <c r="F2521" s="19">
        <v>3</v>
      </c>
      <c r="G2521" s="20" t="str">
        <f>IF(Sales[[#This Row],[Anggaran Murni]]-Sales[[#This Row],[Target s.d. Januari]]=0,"",Sales[[#This Row],[Anggaran Murni]]-Sales[[#This Row],[Target s.d. Januari]])</f>
        <v/>
      </c>
      <c r="H2521" s="19" t="s">
        <v>75</v>
      </c>
      <c r="I2521" s="20" t="s">
        <v>6</v>
      </c>
      <c r="J2521" s="20">
        <v>60000000</v>
      </c>
      <c r="K2521" s="19" t="s">
        <v>39</v>
      </c>
      <c r="L2521" s="19" t="s">
        <v>5</v>
      </c>
      <c r="M2521" s="21" t="s">
        <v>67</v>
      </c>
      <c r="N2521" s="20" t="s">
        <v>80</v>
      </c>
      <c r="O2521" s="19" t="s">
        <v>13</v>
      </c>
      <c r="P2521" s="10"/>
      <c r="Q2521" s="11"/>
    </row>
    <row r="2522" spans="2:17" ht="21" customHeight="1" x14ac:dyDescent="0.35">
      <c r="B2522" s="1">
        <v>44125</v>
      </c>
      <c r="C2522" s="1" t="str">
        <f>TEXT(Sales[[#This Row],[Kode Program/Kegiatan ]],"D")</f>
        <v>21</v>
      </c>
      <c r="D2522" s="2" t="str">
        <f>TEXT(Sales[[#This Row],[Kode Program/Kegiatan ]],"mmm")</f>
        <v>Oct</v>
      </c>
      <c r="E2522" s="3">
        <v>3</v>
      </c>
      <c r="F2522" s="2">
        <v>3</v>
      </c>
      <c r="G2522" s="3" t="str">
        <f>IF(Sales[[#This Row],[Anggaran Murni]]-Sales[[#This Row],[Target s.d. Januari]]=0,"",Sales[[#This Row],[Anggaran Murni]]-Sales[[#This Row],[Target s.d. Januari]])</f>
        <v/>
      </c>
      <c r="H2522" s="2" t="s">
        <v>73</v>
      </c>
      <c r="I2522" s="3" t="s">
        <v>78</v>
      </c>
      <c r="J2522" s="3">
        <v>140000000</v>
      </c>
      <c r="K2522" s="2" t="s">
        <v>35</v>
      </c>
      <c r="L2522" s="2" t="s">
        <v>5</v>
      </c>
      <c r="M2522" s="4" t="s">
        <v>67</v>
      </c>
      <c r="N2522" s="3" t="s">
        <v>82</v>
      </c>
      <c r="O2522" s="2" t="s">
        <v>12</v>
      </c>
      <c r="P2522" s="10"/>
      <c r="Q2522" s="11"/>
    </row>
    <row r="2523" spans="2:17" ht="21" customHeight="1" x14ac:dyDescent="0.35">
      <c r="B2523" s="18">
        <v>44125</v>
      </c>
      <c r="C2523" s="18" t="str">
        <f>TEXT(Sales[[#This Row],[Kode Program/Kegiatan ]],"D")</f>
        <v>21</v>
      </c>
      <c r="D2523" s="19" t="str">
        <f>TEXT(Sales[[#This Row],[Kode Program/Kegiatan ]],"mmm")</f>
        <v>Oct</v>
      </c>
      <c r="E2523" s="20">
        <v>3</v>
      </c>
      <c r="F2523" s="19">
        <v>3</v>
      </c>
      <c r="G2523" s="20" t="str">
        <f>IF(Sales[[#This Row],[Anggaran Murni]]-Sales[[#This Row],[Target s.d. Januari]]=0,"",Sales[[#This Row],[Anggaran Murni]]-Sales[[#This Row],[Target s.d. Januari]])</f>
        <v/>
      </c>
      <c r="H2523" s="19" t="s">
        <v>76</v>
      </c>
      <c r="I2523" s="20" t="s">
        <v>79</v>
      </c>
      <c r="J2523" s="20">
        <v>120000000</v>
      </c>
      <c r="K2523" s="19" t="s">
        <v>49</v>
      </c>
      <c r="L2523" s="19" t="s">
        <v>7</v>
      </c>
      <c r="M2523" s="21" t="s">
        <v>67</v>
      </c>
      <c r="N2523" s="20" t="s">
        <v>80</v>
      </c>
      <c r="O2523" s="19" t="s">
        <v>14</v>
      </c>
      <c r="P2523" s="10"/>
      <c r="Q2523" s="11"/>
    </row>
    <row r="2524" spans="2:17" ht="21" customHeight="1" x14ac:dyDescent="0.35">
      <c r="B2524" s="1">
        <v>44126</v>
      </c>
      <c r="C2524" s="1" t="str">
        <f>TEXT(Sales[[#This Row],[Kode Program/Kegiatan ]],"D")</f>
        <v>22</v>
      </c>
      <c r="D2524" s="2" t="str">
        <f>TEXT(Sales[[#This Row],[Kode Program/Kegiatan ]],"mmm")</f>
        <v>Oct</v>
      </c>
      <c r="E2524" s="3">
        <v>10</v>
      </c>
      <c r="F2524" s="2">
        <v>10</v>
      </c>
      <c r="G2524" s="3" t="str">
        <f>IF(Sales[[#This Row],[Anggaran Murni]]-Sales[[#This Row],[Target s.d. Januari]]=0,"",Sales[[#This Row],[Anggaran Murni]]-Sales[[#This Row],[Target s.d. Januari]])</f>
        <v/>
      </c>
      <c r="H2524" s="2" t="s">
        <v>70</v>
      </c>
      <c r="I2524" s="3" t="s">
        <v>1</v>
      </c>
      <c r="J2524" s="3">
        <v>40000000</v>
      </c>
      <c r="K2524" s="2" t="s">
        <v>26</v>
      </c>
      <c r="L2524" s="2" t="s">
        <v>8</v>
      </c>
      <c r="M2524" s="4" t="s">
        <v>67</v>
      </c>
      <c r="N2524" s="3" t="s">
        <v>81</v>
      </c>
      <c r="O2524" s="2" t="s">
        <v>13</v>
      </c>
      <c r="P2524" s="10"/>
      <c r="Q2524" s="11"/>
    </row>
    <row r="2525" spans="2:17" ht="21" customHeight="1" x14ac:dyDescent="0.35">
      <c r="B2525" s="18">
        <v>44126</v>
      </c>
      <c r="C2525" s="18" t="str">
        <f>TEXT(Sales[[#This Row],[Kode Program/Kegiatan ]],"D")</f>
        <v>22</v>
      </c>
      <c r="D2525" s="19" t="str">
        <f>TEXT(Sales[[#This Row],[Kode Program/Kegiatan ]],"mmm")</f>
        <v>Oct</v>
      </c>
      <c r="E2525" s="20">
        <v>10</v>
      </c>
      <c r="F2525" s="19">
        <v>10</v>
      </c>
      <c r="G2525" s="20" t="str">
        <f>IF(Sales[[#This Row],[Anggaran Murni]]-Sales[[#This Row],[Target s.d. Januari]]=0,"",Sales[[#This Row],[Anggaran Murni]]-Sales[[#This Row],[Target s.d. Januari]])</f>
        <v/>
      </c>
      <c r="H2525" s="19" t="s">
        <v>72</v>
      </c>
      <c r="I2525" s="20" t="s">
        <v>78</v>
      </c>
      <c r="J2525" s="20">
        <v>140000000</v>
      </c>
      <c r="K2525" s="19" t="s">
        <v>28</v>
      </c>
      <c r="L2525" s="19" t="s">
        <v>7</v>
      </c>
      <c r="M2525" s="21" t="s">
        <v>67</v>
      </c>
      <c r="N2525" s="20" t="s">
        <v>80</v>
      </c>
      <c r="O2525" s="19" t="s">
        <v>14</v>
      </c>
      <c r="P2525" s="10"/>
      <c r="Q2525" s="11"/>
    </row>
    <row r="2526" spans="2:17" ht="21" customHeight="1" x14ac:dyDescent="0.35">
      <c r="B2526" s="1">
        <v>44126</v>
      </c>
      <c r="C2526" s="1" t="str">
        <f>TEXT(Sales[[#This Row],[Kode Program/Kegiatan ]],"D")</f>
        <v>22</v>
      </c>
      <c r="D2526" s="2" t="str">
        <f>TEXT(Sales[[#This Row],[Kode Program/Kegiatan ]],"mmm")</f>
        <v>Oct</v>
      </c>
      <c r="E2526" s="3">
        <v>7</v>
      </c>
      <c r="F2526" s="2">
        <v>7</v>
      </c>
      <c r="G2526" s="3" t="str">
        <f>IF(Sales[[#This Row],[Anggaran Murni]]-Sales[[#This Row],[Target s.d. Januari]]=0,"",Sales[[#This Row],[Anggaran Murni]]-Sales[[#This Row],[Target s.d. Januari]])</f>
        <v/>
      </c>
      <c r="H2526" s="2" t="s">
        <v>113</v>
      </c>
      <c r="I2526" s="3" t="s">
        <v>77</v>
      </c>
      <c r="J2526" s="3">
        <v>140000000</v>
      </c>
      <c r="K2526" s="2" t="s">
        <v>16</v>
      </c>
      <c r="L2526" s="2" t="s">
        <v>7</v>
      </c>
      <c r="M2526" s="4" t="s">
        <v>67</v>
      </c>
      <c r="N2526" s="3" t="s">
        <v>81</v>
      </c>
      <c r="O2526" s="2" t="s">
        <v>12</v>
      </c>
      <c r="P2526" s="10"/>
      <c r="Q2526" s="11"/>
    </row>
    <row r="2527" spans="2:17" ht="21" customHeight="1" x14ac:dyDescent="0.35">
      <c r="B2527" s="18">
        <v>44126</v>
      </c>
      <c r="C2527" s="18" t="str">
        <f>TEXT(Sales[[#This Row],[Kode Program/Kegiatan ]],"D")</f>
        <v>22</v>
      </c>
      <c r="D2527" s="19" t="str">
        <f>TEXT(Sales[[#This Row],[Kode Program/Kegiatan ]],"mmm")</f>
        <v>Oct</v>
      </c>
      <c r="E2527" s="20">
        <v>7</v>
      </c>
      <c r="F2527" s="19">
        <v>7</v>
      </c>
      <c r="G2527" s="20" t="str">
        <f>IF(Sales[[#This Row],[Anggaran Murni]]-Sales[[#This Row],[Target s.d. Januari]]=0,"",Sales[[#This Row],[Anggaran Murni]]-Sales[[#This Row],[Target s.d. Januari]])</f>
        <v/>
      </c>
      <c r="H2527" s="19" t="s">
        <v>76</v>
      </c>
      <c r="I2527" s="20" t="s">
        <v>79</v>
      </c>
      <c r="J2527" s="20">
        <v>120000000</v>
      </c>
      <c r="K2527" s="19" t="s">
        <v>26</v>
      </c>
      <c r="L2527" s="19" t="s">
        <v>2</v>
      </c>
      <c r="M2527" s="21" t="s">
        <v>67</v>
      </c>
      <c r="N2527" s="20" t="s">
        <v>81</v>
      </c>
      <c r="O2527" s="19" t="s">
        <v>13</v>
      </c>
      <c r="P2527" s="10"/>
      <c r="Q2527" s="11"/>
    </row>
    <row r="2528" spans="2:17" ht="21" customHeight="1" x14ac:dyDescent="0.35">
      <c r="B2528" s="1">
        <v>44126</v>
      </c>
      <c r="C2528" s="1" t="str">
        <f>TEXT(Sales[[#This Row],[Kode Program/Kegiatan ]],"D")</f>
        <v>22</v>
      </c>
      <c r="D2528" s="2" t="str">
        <f>TEXT(Sales[[#This Row],[Kode Program/Kegiatan ]],"mmm")</f>
        <v>Oct</v>
      </c>
      <c r="E2528" s="3">
        <v>6</v>
      </c>
      <c r="F2528" s="2">
        <v>6</v>
      </c>
      <c r="G2528" s="3" t="str">
        <f>IF(Sales[[#This Row],[Anggaran Murni]]-Sales[[#This Row],[Target s.d. Januari]]=0,"",Sales[[#This Row],[Anggaran Murni]]-Sales[[#This Row],[Target s.d. Januari]])</f>
        <v/>
      </c>
      <c r="H2528" s="2" t="s">
        <v>74</v>
      </c>
      <c r="I2528" s="3" t="s">
        <v>77</v>
      </c>
      <c r="J2528" s="3">
        <v>120000000</v>
      </c>
      <c r="K2528" s="2" t="s">
        <v>22</v>
      </c>
      <c r="L2528" s="2" t="s">
        <v>2</v>
      </c>
      <c r="M2528" s="4" t="s">
        <v>67</v>
      </c>
      <c r="N2528" s="3" t="s">
        <v>81</v>
      </c>
      <c r="O2528" s="2" t="s">
        <v>12</v>
      </c>
      <c r="P2528" s="10"/>
      <c r="Q2528" s="11"/>
    </row>
    <row r="2529" spans="2:17" ht="21" customHeight="1" x14ac:dyDescent="0.35">
      <c r="B2529" s="18">
        <v>44126</v>
      </c>
      <c r="C2529" s="18" t="str">
        <f>TEXT(Sales[[#This Row],[Kode Program/Kegiatan ]],"D")</f>
        <v>22</v>
      </c>
      <c r="D2529" s="19" t="str">
        <f>TEXT(Sales[[#This Row],[Kode Program/Kegiatan ]],"mmm")</f>
        <v>Oct</v>
      </c>
      <c r="E2529" s="20">
        <v>6</v>
      </c>
      <c r="F2529" s="19">
        <v>6</v>
      </c>
      <c r="G2529" s="20" t="str">
        <f>IF(Sales[[#This Row],[Anggaran Murni]]-Sales[[#This Row],[Target s.d. Januari]]=0,"",Sales[[#This Row],[Anggaran Murni]]-Sales[[#This Row],[Target s.d. Januari]])</f>
        <v/>
      </c>
      <c r="H2529" s="19" t="s">
        <v>71</v>
      </c>
      <c r="I2529" s="20" t="s">
        <v>6</v>
      </c>
      <c r="J2529" s="20">
        <v>80000000</v>
      </c>
      <c r="K2529" s="19" t="s">
        <v>28</v>
      </c>
      <c r="L2529" s="19" t="s">
        <v>2</v>
      </c>
      <c r="M2529" s="21" t="s">
        <v>67</v>
      </c>
      <c r="N2529" s="20" t="s">
        <v>80</v>
      </c>
      <c r="O2529" s="19" t="s">
        <v>14</v>
      </c>
      <c r="P2529" s="10"/>
      <c r="Q2529" s="11"/>
    </row>
    <row r="2530" spans="2:17" ht="21" customHeight="1" x14ac:dyDescent="0.35">
      <c r="B2530" s="1">
        <v>44126</v>
      </c>
      <c r="C2530" s="1" t="str">
        <f>TEXT(Sales[[#This Row],[Kode Program/Kegiatan ]],"D")</f>
        <v>22</v>
      </c>
      <c r="D2530" s="2" t="str">
        <f>TEXT(Sales[[#This Row],[Kode Program/Kegiatan ]],"mmm")</f>
        <v>Oct</v>
      </c>
      <c r="E2530" s="3">
        <v>5</v>
      </c>
      <c r="F2530" s="2">
        <v>5</v>
      </c>
      <c r="G2530" s="3" t="str">
        <f>IF(Sales[[#This Row],[Anggaran Murni]]-Sales[[#This Row],[Target s.d. Januari]]=0,"",Sales[[#This Row],[Anggaran Murni]]-Sales[[#This Row],[Target s.d. Januari]])</f>
        <v/>
      </c>
      <c r="H2530" s="2" t="s">
        <v>74</v>
      </c>
      <c r="I2530" s="3" t="s">
        <v>77</v>
      </c>
      <c r="J2530" s="3">
        <v>120000000</v>
      </c>
      <c r="K2530" s="2" t="s">
        <v>61</v>
      </c>
      <c r="L2530" s="2" t="s">
        <v>2</v>
      </c>
      <c r="M2530" s="4" t="s">
        <v>67</v>
      </c>
      <c r="N2530" s="3" t="s">
        <v>81</v>
      </c>
      <c r="O2530" s="2" t="s">
        <v>11</v>
      </c>
      <c r="P2530" s="10"/>
      <c r="Q2530" s="11"/>
    </row>
    <row r="2531" spans="2:17" ht="21" customHeight="1" x14ac:dyDescent="0.35">
      <c r="B2531" s="18">
        <v>44126</v>
      </c>
      <c r="C2531" s="18" t="str">
        <f>TEXT(Sales[[#This Row],[Kode Program/Kegiatan ]],"D")</f>
        <v>22</v>
      </c>
      <c r="D2531" s="19" t="str">
        <f>TEXT(Sales[[#This Row],[Kode Program/Kegiatan ]],"mmm")</f>
        <v>Oct</v>
      </c>
      <c r="E2531" s="20">
        <v>3</v>
      </c>
      <c r="F2531" s="19">
        <v>3</v>
      </c>
      <c r="G2531" s="20" t="str">
        <f>IF(Sales[[#This Row],[Anggaran Murni]]-Sales[[#This Row],[Target s.d. Januari]]=0,"",Sales[[#This Row],[Anggaran Murni]]-Sales[[#This Row],[Target s.d. Januari]])</f>
        <v/>
      </c>
      <c r="H2531" s="19" t="s">
        <v>73</v>
      </c>
      <c r="I2531" s="20" t="s">
        <v>78</v>
      </c>
      <c r="J2531" s="20">
        <v>40000000</v>
      </c>
      <c r="K2531" s="19" t="s">
        <v>19</v>
      </c>
      <c r="L2531" s="19" t="s">
        <v>5</v>
      </c>
      <c r="M2531" s="21" t="s">
        <v>67</v>
      </c>
      <c r="N2531" s="20" t="s">
        <v>80</v>
      </c>
      <c r="O2531" s="19" t="s">
        <v>13</v>
      </c>
      <c r="P2531" s="10"/>
      <c r="Q2531" s="11"/>
    </row>
    <row r="2532" spans="2:17" ht="21" customHeight="1" x14ac:dyDescent="0.35">
      <c r="B2532" s="1">
        <v>44127</v>
      </c>
      <c r="C2532" s="1" t="str">
        <f>TEXT(Sales[[#This Row],[Kode Program/Kegiatan ]],"D")</f>
        <v>23</v>
      </c>
      <c r="D2532" s="2" t="str">
        <f>TEXT(Sales[[#This Row],[Kode Program/Kegiatan ]],"mmm")</f>
        <v>Oct</v>
      </c>
      <c r="E2532" s="3">
        <v>10</v>
      </c>
      <c r="F2532" s="2">
        <v>10</v>
      </c>
      <c r="G2532" s="3" t="str">
        <f>IF(Sales[[#This Row],[Anggaran Murni]]-Sales[[#This Row],[Target s.d. Januari]]=0,"",Sales[[#This Row],[Anggaran Murni]]-Sales[[#This Row],[Target s.d. Januari]])</f>
        <v/>
      </c>
      <c r="H2532" s="2" t="s">
        <v>71</v>
      </c>
      <c r="I2532" s="3" t="s">
        <v>6</v>
      </c>
      <c r="J2532" s="3">
        <v>140000000</v>
      </c>
      <c r="K2532" s="2" t="s">
        <v>31</v>
      </c>
      <c r="L2532" s="2" t="s">
        <v>2</v>
      </c>
      <c r="M2532" s="4" t="s">
        <v>67</v>
      </c>
      <c r="N2532" s="3" t="s">
        <v>80</v>
      </c>
      <c r="O2532" s="2" t="s">
        <v>11</v>
      </c>
      <c r="P2532" s="10"/>
      <c r="Q2532" s="11"/>
    </row>
    <row r="2533" spans="2:17" ht="21" customHeight="1" x14ac:dyDescent="0.35">
      <c r="B2533" s="18">
        <v>44127</v>
      </c>
      <c r="C2533" s="18" t="str">
        <f>TEXT(Sales[[#This Row],[Kode Program/Kegiatan ]],"D")</f>
        <v>23</v>
      </c>
      <c r="D2533" s="19" t="str">
        <f>TEXT(Sales[[#This Row],[Kode Program/Kegiatan ]],"mmm")</f>
        <v>Oct</v>
      </c>
      <c r="E2533" s="20">
        <v>9</v>
      </c>
      <c r="F2533" s="19">
        <v>9</v>
      </c>
      <c r="G2533" s="20" t="str">
        <f>IF(Sales[[#This Row],[Anggaran Murni]]-Sales[[#This Row],[Target s.d. Januari]]=0,"",Sales[[#This Row],[Anggaran Murni]]-Sales[[#This Row],[Target s.d. Januari]])</f>
        <v/>
      </c>
      <c r="H2533" s="19" t="s">
        <v>71</v>
      </c>
      <c r="I2533" s="20" t="s">
        <v>6</v>
      </c>
      <c r="J2533" s="20">
        <v>80000000</v>
      </c>
      <c r="K2533" s="19" t="s">
        <v>54</v>
      </c>
      <c r="L2533" s="19" t="s">
        <v>7</v>
      </c>
      <c r="M2533" s="21" t="s">
        <v>67</v>
      </c>
      <c r="N2533" s="20" t="s">
        <v>82</v>
      </c>
      <c r="O2533" s="19" t="s">
        <v>14</v>
      </c>
      <c r="P2533" s="10"/>
      <c r="Q2533" s="11"/>
    </row>
    <row r="2534" spans="2:17" ht="21" customHeight="1" x14ac:dyDescent="0.35">
      <c r="B2534" s="1">
        <v>44127</v>
      </c>
      <c r="C2534" s="1" t="str">
        <f>TEXT(Sales[[#This Row],[Kode Program/Kegiatan ]],"D")</f>
        <v>23</v>
      </c>
      <c r="D2534" s="2" t="str">
        <f>TEXT(Sales[[#This Row],[Kode Program/Kegiatan ]],"mmm")</f>
        <v>Oct</v>
      </c>
      <c r="E2534" s="3">
        <v>9</v>
      </c>
      <c r="F2534" s="2">
        <v>9</v>
      </c>
      <c r="G2534" s="3" t="str">
        <f>IF(Sales[[#This Row],[Anggaran Murni]]-Sales[[#This Row],[Target s.d. Januari]]=0,"",Sales[[#This Row],[Anggaran Murni]]-Sales[[#This Row],[Target s.d. Januari]])</f>
        <v/>
      </c>
      <c r="H2534" s="2" t="s">
        <v>74</v>
      </c>
      <c r="I2534" s="3" t="s">
        <v>77</v>
      </c>
      <c r="J2534" s="3">
        <v>40000000</v>
      </c>
      <c r="K2534" s="2" t="s">
        <v>32</v>
      </c>
      <c r="L2534" s="2" t="s">
        <v>2</v>
      </c>
      <c r="M2534" s="4" t="s">
        <v>67</v>
      </c>
      <c r="N2534" s="3" t="s">
        <v>82</v>
      </c>
      <c r="O2534" s="2" t="s">
        <v>11</v>
      </c>
      <c r="P2534" s="10"/>
      <c r="Q2534" s="11"/>
    </row>
    <row r="2535" spans="2:17" ht="21" customHeight="1" x14ac:dyDescent="0.35">
      <c r="B2535" s="18">
        <v>44127</v>
      </c>
      <c r="C2535" s="18" t="str">
        <f>TEXT(Sales[[#This Row],[Kode Program/Kegiatan ]],"D")</f>
        <v>23</v>
      </c>
      <c r="D2535" s="19" t="str">
        <f>TEXT(Sales[[#This Row],[Kode Program/Kegiatan ]],"mmm")</f>
        <v>Oct</v>
      </c>
      <c r="E2535" s="20">
        <v>9</v>
      </c>
      <c r="F2535" s="19">
        <v>9</v>
      </c>
      <c r="G2535" s="20" t="str">
        <f>IF(Sales[[#This Row],[Anggaran Murni]]-Sales[[#This Row],[Target s.d. Januari]]=0,"",Sales[[#This Row],[Anggaran Murni]]-Sales[[#This Row],[Target s.d. Januari]])</f>
        <v/>
      </c>
      <c r="H2535" s="19" t="s">
        <v>70</v>
      </c>
      <c r="I2535" s="20" t="s">
        <v>1</v>
      </c>
      <c r="J2535" s="20">
        <v>80000000</v>
      </c>
      <c r="K2535" s="19" t="s">
        <v>29</v>
      </c>
      <c r="L2535" s="19" t="s">
        <v>2</v>
      </c>
      <c r="M2535" s="21" t="s">
        <v>67</v>
      </c>
      <c r="N2535" s="20" t="s">
        <v>81</v>
      </c>
      <c r="O2535" s="19" t="s">
        <v>13</v>
      </c>
      <c r="P2535" s="10"/>
      <c r="Q2535" s="11"/>
    </row>
    <row r="2536" spans="2:17" ht="21" customHeight="1" x14ac:dyDescent="0.35">
      <c r="B2536" s="1">
        <v>44127</v>
      </c>
      <c r="C2536" s="1" t="str">
        <f>TEXT(Sales[[#This Row],[Kode Program/Kegiatan ]],"D")</f>
        <v>23</v>
      </c>
      <c r="D2536" s="2" t="str">
        <f>TEXT(Sales[[#This Row],[Kode Program/Kegiatan ]],"mmm")</f>
        <v>Oct</v>
      </c>
      <c r="E2536" s="3">
        <v>8</v>
      </c>
      <c r="F2536" s="2">
        <v>8</v>
      </c>
      <c r="G2536" s="3" t="str">
        <f>IF(Sales[[#This Row],[Anggaran Murni]]-Sales[[#This Row],[Target s.d. Januari]]=0,"",Sales[[#This Row],[Anggaran Murni]]-Sales[[#This Row],[Target s.d. Januari]])</f>
        <v/>
      </c>
      <c r="H2536" s="2" t="s">
        <v>76</v>
      </c>
      <c r="I2536" s="3" t="s">
        <v>79</v>
      </c>
      <c r="J2536" s="3">
        <v>80000000</v>
      </c>
      <c r="K2536" s="2" t="s">
        <v>55</v>
      </c>
      <c r="L2536" s="2" t="s">
        <v>7</v>
      </c>
      <c r="M2536" s="4" t="s">
        <v>67</v>
      </c>
      <c r="N2536" s="3" t="s">
        <v>82</v>
      </c>
      <c r="O2536" s="2" t="s">
        <v>14</v>
      </c>
      <c r="P2536" s="10"/>
      <c r="Q2536" s="11"/>
    </row>
    <row r="2537" spans="2:17" ht="21" customHeight="1" x14ac:dyDescent="0.35">
      <c r="B2537" s="18">
        <v>44127</v>
      </c>
      <c r="C2537" s="18" t="str">
        <f>TEXT(Sales[[#This Row],[Kode Program/Kegiatan ]],"D")</f>
        <v>23</v>
      </c>
      <c r="D2537" s="19" t="str">
        <f>TEXT(Sales[[#This Row],[Kode Program/Kegiatan ]],"mmm")</f>
        <v>Oct</v>
      </c>
      <c r="E2537" s="20">
        <v>8</v>
      </c>
      <c r="F2537" s="19">
        <v>8</v>
      </c>
      <c r="G2537" s="20" t="str">
        <f>IF(Sales[[#This Row],[Anggaran Murni]]-Sales[[#This Row],[Target s.d. Januari]]=0,"",Sales[[#This Row],[Anggaran Murni]]-Sales[[#This Row],[Target s.d. Januari]])</f>
        <v/>
      </c>
      <c r="H2537" s="19" t="s">
        <v>72</v>
      </c>
      <c r="I2537" s="20" t="s">
        <v>78</v>
      </c>
      <c r="J2537" s="20">
        <v>60000000</v>
      </c>
      <c r="K2537" s="19" t="s">
        <v>19</v>
      </c>
      <c r="L2537" s="19" t="s">
        <v>2</v>
      </c>
      <c r="M2537" s="21" t="s">
        <v>67</v>
      </c>
      <c r="N2537" s="20" t="s">
        <v>81</v>
      </c>
      <c r="O2537" s="19" t="s">
        <v>14</v>
      </c>
      <c r="P2537" s="10"/>
      <c r="Q2537" s="11"/>
    </row>
    <row r="2538" spans="2:17" ht="21" customHeight="1" x14ac:dyDescent="0.35">
      <c r="B2538" s="1">
        <v>44127</v>
      </c>
      <c r="C2538" s="1" t="str">
        <f>TEXT(Sales[[#This Row],[Kode Program/Kegiatan ]],"D")</f>
        <v>23</v>
      </c>
      <c r="D2538" s="2" t="str">
        <f>TEXT(Sales[[#This Row],[Kode Program/Kegiatan ]],"mmm")</f>
        <v>Oct</v>
      </c>
      <c r="E2538" s="3">
        <v>8</v>
      </c>
      <c r="F2538" s="2">
        <v>8</v>
      </c>
      <c r="G2538" s="3" t="str">
        <f>IF(Sales[[#This Row],[Anggaran Murni]]-Sales[[#This Row],[Target s.d. Januari]]=0,"",Sales[[#This Row],[Anggaran Murni]]-Sales[[#This Row],[Target s.d. Januari]])</f>
        <v/>
      </c>
      <c r="H2538" s="2" t="s">
        <v>73</v>
      </c>
      <c r="I2538" s="3" t="s">
        <v>78</v>
      </c>
      <c r="J2538" s="3">
        <v>100000000</v>
      </c>
      <c r="K2538" s="2" t="s">
        <v>45</v>
      </c>
      <c r="L2538" s="2" t="s">
        <v>7</v>
      </c>
      <c r="M2538" s="4" t="s">
        <v>67</v>
      </c>
      <c r="N2538" s="3" t="s">
        <v>81</v>
      </c>
      <c r="O2538" s="2" t="s">
        <v>12</v>
      </c>
      <c r="P2538" s="10"/>
      <c r="Q2538" s="11"/>
    </row>
    <row r="2539" spans="2:17" ht="21" customHeight="1" x14ac:dyDescent="0.35">
      <c r="B2539" s="18">
        <v>44127</v>
      </c>
      <c r="C2539" s="18" t="str">
        <f>TEXT(Sales[[#This Row],[Kode Program/Kegiatan ]],"D")</f>
        <v>23</v>
      </c>
      <c r="D2539" s="19" t="str">
        <f>TEXT(Sales[[#This Row],[Kode Program/Kegiatan ]],"mmm")</f>
        <v>Oct</v>
      </c>
      <c r="E2539" s="20">
        <v>8</v>
      </c>
      <c r="F2539" s="19">
        <v>8</v>
      </c>
      <c r="G2539" s="20" t="str">
        <f>IF(Sales[[#This Row],[Anggaran Murni]]-Sales[[#This Row],[Target s.d. Januari]]=0,"",Sales[[#This Row],[Anggaran Murni]]-Sales[[#This Row],[Target s.d. Januari]])</f>
        <v/>
      </c>
      <c r="H2539" s="19" t="s">
        <v>114</v>
      </c>
      <c r="I2539" s="20" t="s">
        <v>3</v>
      </c>
      <c r="J2539" s="20">
        <v>80000000</v>
      </c>
      <c r="K2539" s="19" t="s">
        <v>25</v>
      </c>
      <c r="L2539" s="19" t="s">
        <v>2</v>
      </c>
      <c r="M2539" s="21" t="s">
        <v>67</v>
      </c>
      <c r="N2539" s="20" t="s">
        <v>82</v>
      </c>
      <c r="O2539" s="19" t="s">
        <v>11</v>
      </c>
      <c r="P2539" s="10"/>
      <c r="Q2539" s="11"/>
    </row>
    <row r="2540" spans="2:17" ht="21" customHeight="1" x14ac:dyDescent="0.35">
      <c r="B2540" s="1">
        <v>44127</v>
      </c>
      <c r="C2540" s="1" t="str">
        <f>TEXT(Sales[[#This Row],[Kode Program/Kegiatan ]],"D")</f>
        <v>23</v>
      </c>
      <c r="D2540" s="2" t="str">
        <f>TEXT(Sales[[#This Row],[Kode Program/Kegiatan ]],"mmm")</f>
        <v>Oct</v>
      </c>
      <c r="E2540" s="3">
        <v>7</v>
      </c>
      <c r="F2540" s="2">
        <v>7</v>
      </c>
      <c r="G2540" s="3" t="str">
        <f>IF(Sales[[#This Row],[Anggaran Murni]]-Sales[[#This Row],[Target s.d. Januari]]=0,"",Sales[[#This Row],[Anggaran Murni]]-Sales[[#This Row],[Target s.d. Januari]])</f>
        <v/>
      </c>
      <c r="H2540" s="2" t="s">
        <v>114</v>
      </c>
      <c r="I2540" s="3" t="s">
        <v>3</v>
      </c>
      <c r="J2540" s="3">
        <v>40000000</v>
      </c>
      <c r="K2540" s="2" t="s">
        <v>24</v>
      </c>
      <c r="L2540" s="2" t="s">
        <v>5</v>
      </c>
      <c r="M2540" s="4" t="s">
        <v>67</v>
      </c>
      <c r="N2540" s="3" t="s">
        <v>81</v>
      </c>
      <c r="O2540" s="2" t="s">
        <v>13</v>
      </c>
      <c r="P2540" s="10"/>
      <c r="Q2540" s="11"/>
    </row>
    <row r="2541" spans="2:17" ht="21" customHeight="1" x14ac:dyDescent="0.35">
      <c r="B2541" s="18">
        <v>44127</v>
      </c>
      <c r="C2541" s="18" t="str">
        <f>TEXT(Sales[[#This Row],[Kode Program/Kegiatan ]],"D")</f>
        <v>23</v>
      </c>
      <c r="D2541" s="19" t="str">
        <f>TEXT(Sales[[#This Row],[Kode Program/Kegiatan ]],"mmm")</f>
        <v>Oct</v>
      </c>
      <c r="E2541" s="20">
        <v>5</v>
      </c>
      <c r="F2541" s="19">
        <v>5</v>
      </c>
      <c r="G2541" s="20" t="str">
        <f>IF(Sales[[#This Row],[Anggaran Murni]]-Sales[[#This Row],[Target s.d. Januari]]=0,"",Sales[[#This Row],[Anggaran Murni]]-Sales[[#This Row],[Target s.d. Januari]])</f>
        <v/>
      </c>
      <c r="H2541" s="19" t="s">
        <v>114</v>
      </c>
      <c r="I2541" s="20" t="s">
        <v>3</v>
      </c>
      <c r="J2541" s="20">
        <v>100000000</v>
      </c>
      <c r="K2541" s="19" t="s">
        <v>45</v>
      </c>
      <c r="L2541" s="19" t="s">
        <v>8</v>
      </c>
      <c r="M2541" s="21" t="s">
        <v>67</v>
      </c>
      <c r="N2541" s="20" t="s">
        <v>80</v>
      </c>
      <c r="O2541" s="19" t="s">
        <v>12</v>
      </c>
      <c r="P2541" s="10"/>
      <c r="Q2541" s="11"/>
    </row>
    <row r="2542" spans="2:17" ht="21" customHeight="1" x14ac:dyDescent="0.35">
      <c r="B2542" s="1">
        <v>44127</v>
      </c>
      <c r="C2542" s="1" t="str">
        <f>TEXT(Sales[[#This Row],[Kode Program/Kegiatan ]],"D")</f>
        <v>23</v>
      </c>
      <c r="D2542" s="2" t="str">
        <f>TEXT(Sales[[#This Row],[Kode Program/Kegiatan ]],"mmm")</f>
        <v>Oct</v>
      </c>
      <c r="E2542" s="3">
        <v>5</v>
      </c>
      <c r="F2542" s="2">
        <v>5</v>
      </c>
      <c r="G2542" s="3" t="str">
        <f>IF(Sales[[#This Row],[Anggaran Murni]]-Sales[[#This Row],[Target s.d. Januari]]=0,"",Sales[[#This Row],[Anggaran Murni]]-Sales[[#This Row],[Target s.d. Januari]])</f>
        <v/>
      </c>
      <c r="H2542" s="2" t="s">
        <v>114</v>
      </c>
      <c r="I2542" s="3" t="s">
        <v>3</v>
      </c>
      <c r="J2542" s="3">
        <v>140000000</v>
      </c>
      <c r="K2542" s="2" t="s">
        <v>15</v>
      </c>
      <c r="L2542" s="2" t="s">
        <v>2</v>
      </c>
      <c r="M2542" s="4" t="s">
        <v>67</v>
      </c>
      <c r="N2542" s="3" t="s">
        <v>80</v>
      </c>
      <c r="O2542" s="2" t="s">
        <v>14</v>
      </c>
      <c r="P2542" s="10"/>
      <c r="Q2542" s="11"/>
    </row>
    <row r="2543" spans="2:17" ht="21" customHeight="1" x14ac:dyDescent="0.35">
      <c r="B2543" s="18">
        <v>44128</v>
      </c>
      <c r="C2543" s="18" t="str">
        <f>TEXT(Sales[[#This Row],[Kode Program/Kegiatan ]],"D")</f>
        <v>24</v>
      </c>
      <c r="D2543" s="19" t="str">
        <f>TEXT(Sales[[#This Row],[Kode Program/Kegiatan ]],"mmm")</f>
        <v>Oct</v>
      </c>
      <c r="E2543" s="20">
        <v>6</v>
      </c>
      <c r="F2543" s="19">
        <v>6</v>
      </c>
      <c r="G2543" s="20" t="str">
        <f>IF(Sales[[#This Row],[Anggaran Murni]]-Sales[[#This Row],[Target s.d. Januari]]=0,"",Sales[[#This Row],[Anggaran Murni]]-Sales[[#This Row],[Target s.d. Januari]])</f>
        <v/>
      </c>
      <c r="H2543" s="19" t="s">
        <v>74</v>
      </c>
      <c r="I2543" s="20" t="s">
        <v>77</v>
      </c>
      <c r="J2543" s="20">
        <v>120000000</v>
      </c>
      <c r="K2543" s="19" t="s">
        <v>60</v>
      </c>
      <c r="L2543" s="19" t="s">
        <v>7</v>
      </c>
      <c r="M2543" s="21" t="s">
        <v>67</v>
      </c>
      <c r="N2543" s="20" t="s">
        <v>80</v>
      </c>
      <c r="O2543" s="19" t="s">
        <v>11</v>
      </c>
      <c r="P2543" s="10"/>
      <c r="Q2543" s="11"/>
    </row>
    <row r="2544" spans="2:17" ht="21" customHeight="1" x14ac:dyDescent="0.35">
      <c r="B2544" s="1">
        <v>44128</v>
      </c>
      <c r="C2544" s="1" t="str">
        <f>TEXT(Sales[[#This Row],[Kode Program/Kegiatan ]],"D")</f>
        <v>24</v>
      </c>
      <c r="D2544" s="2" t="str">
        <f>TEXT(Sales[[#This Row],[Kode Program/Kegiatan ]],"mmm")</f>
        <v>Oct</v>
      </c>
      <c r="E2544" s="3">
        <v>6</v>
      </c>
      <c r="F2544" s="2">
        <v>6</v>
      </c>
      <c r="G2544" s="3" t="str">
        <f>IF(Sales[[#This Row],[Anggaran Murni]]-Sales[[#This Row],[Target s.d. Januari]]=0,"",Sales[[#This Row],[Anggaran Murni]]-Sales[[#This Row],[Target s.d. Januari]])</f>
        <v/>
      </c>
      <c r="H2544" s="2" t="s">
        <v>113</v>
      </c>
      <c r="I2544" s="3" t="s">
        <v>77</v>
      </c>
      <c r="J2544" s="3">
        <v>140000000</v>
      </c>
      <c r="K2544" s="2" t="s">
        <v>30</v>
      </c>
      <c r="L2544" s="2" t="s">
        <v>2</v>
      </c>
      <c r="M2544" s="4" t="s">
        <v>67</v>
      </c>
      <c r="N2544" s="3" t="s">
        <v>80</v>
      </c>
      <c r="O2544" s="2" t="s">
        <v>14</v>
      </c>
      <c r="P2544" s="10"/>
      <c r="Q2544" s="11"/>
    </row>
    <row r="2545" spans="2:17" ht="21" customHeight="1" x14ac:dyDescent="0.35">
      <c r="B2545" s="18">
        <v>44128</v>
      </c>
      <c r="C2545" s="18" t="str">
        <f>TEXT(Sales[[#This Row],[Kode Program/Kegiatan ]],"D")</f>
        <v>24</v>
      </c>
      <c r="D2545" s="19" t="str">
        <f>TEXT(Sales[[#This Row],[Kode Program/Kegiatan ]],"mmm")</f>
        <v>Oct</v>
      </c>
      <c r="E2545" s="20">
        <v>5</v>
      </c>
      <c r="F2545" s="19">
        <v>5</v>
      </c>
      <c r="G2545" s="20" t="str">
        <f>IF(Sales[[#This Row],[Anggaran Murni]]-Sales[[#This Row],[Target s.d. Januari]]=0,"",Sales[[#This Row],[Anggaran Murni]]-Sales[[#This Row],[Target s.d. Januari]])</f>
        <v/>
      </c>
      <c r="H2545" s="19" t="s">
        <v>76</v>
      </c>
      <c r="I2545" s="20" t="s">
        <v>79</v>
      </c>
      <c r="J2545" s="20">
        <v>100000000</v>
      </c>
      <c r="K2545" s="19" t="s">
        <v>57</v>
      </c>
      <c r="L2545" s="19" t="s">
        <v>7</v>
      </c>
      <c r="M2545" s="21" t="s">
        <v>67</v>
      </c>
      <c r="N2545" s="20" t="s">
        <v>80</v>
      </c>
      <c r="O2545" s="19" t="s">
        <v>14</v>
      </c>
      <c r="P2545" s="10"/>
      <c r="Q2545" s="11"/>
    </row>
    <row r="2546" spans="2:17" ht="21" customHeight="1" x14ac:dyDescent="0.35">
      <c r="B2546" s="1">
        <v>44128</v>
      </c>
      <c r="C2546" s="1" t="str">
        <f>TEXT(Sales[[#This Row],[Kode Program/Kegiatan ]],"D")</f>
        <v>24</v>
      </c>
      <c r="D2546" s="2" t="str">
        <f>TEXT(Sales[[#This Row],[Kode Program/Kegiatan ]],"mmm")</f>
        <v>Oct</v>
      </c>
      <c r="E2546" s="3">
        <v>5</v>
      </c>
      <c r="F2546" s="2">
        <v>5</v>
      </c>
      <c r="G2546" s="3" t="str">
        <f>IF(Sales[[#This Row],[Anggaran Murni]]-Sales[[#This Row],[Target s.d. Januari]]=0,"",Sales[[#This Row],[Anggaran Murni]]-Sales[[#This Row],[Target s.d. Januari]])</f>
        <v/>
      </c>
      <c r="H2546" s="2" t="s">
        <v>70</v>
      </c>
      <c r="I2546" s="3" t="s">
        <v>1</v>
      </c>
      <c r="J2546" s="3">
        <v>60000000</v>
      </c>
      <c r="K2546" s="2" t="s">
        <v>49</v>
      </c>
      <c r="L2546" s="2" t="s">
        <v>9</v>
      </c>
      <c r="M2546" s="4" t="s">
        <v>67</v>
      </c>
      <c r="N2546" s="3" t="s">
        <v>80</v>
      </c>
      <c r="O2546" s="2" t="s">
        <v>13</v>
      </c>
      <c r="P2546" s="10"/>
      <c r="Q2546" s="11"/>
    </row>
    <row r="2547" spans="2:17" ht="21" customHeight="1" x14ac:dyDescent="0.35">
      <c r="B2547" s="18">
        <v>44128</v>
      </c>
      <c r="C2547" s="18" t="str">
        <f>TEXT(Sales[[#This Row],[Kode Program/Kegiatan ]],"D")</f>
        <v>24</v>
      </c>
      <c r="D2547" s="19" t="str">
        <f>TEXT(Sales[[#This Row],[Kode Program/Kegiatan ]],"mmm")</f>
        <v>Oct</v>
      </c>
      <c r="E2547" s="20">
        <v>4</v>
      </c>
      <c r="F2547" s="19">
        <v>4</v>
      </c>
      <c r="G2547" s="20" t="str">
        <f>IF(Sales[[#This Row],[Anggaran Murni]]-Sales[[#This Row],[Target s.d. Januari]]=0,"",Sales[[#This Row],[Anggaran Murni]]-Sales[[#This Row],[Target s.d. Januari]])</f>
        <v/>
      </c>
      <c r="H2547" s="19" t="s">
        <v>114</v>
      </c>
      <c r="I2547" s="20" t="s">
        <v>3</v>
      </c>
      <c r="J2547" s="20">
        <v>80000000</v>
      </c>
      <c r="K2547" s="19" t="s">
        <v>20</v>
      </c>
      <c r="L2547" s="19" t="s">
        <v>4</v>
      </c>
      <c r="M2547" s="21" t="s">
        <v>67</v>
      </c>
      <c r="N2547" s="20" t="s">
        <v>81</v>
      </c>
      <c r="O2547" s="19" t="s">
        <v>11</v>
      </c>
      <c r="P2547" s="10"/>
      <c r="Q2547" s="11"/>
    </row>
    <row r="2548" spans="2:17" ht="21" customHeight="1" x14ac:dyDescent="0.35">
      <c r="B2548" s="1">
        <v>44128</v>
      </c>
      <c r="C2548" s="1" t="str">
        <f>TEXT(Sales[[#This Row],[Kode Program/Kegiatan ]],"D")</f>
        <v>24</v>
      </c>
      <c r="D2548" s="2" t="str">
        <f>TEXT(Sales[[#This Row],[Kode Program/Kegiatan ]],"mmm")</f>
        <v>Oct</v>
      </c>
      <c r="E2548" s="3">
        <v>3</v>
      </c>
      <c r="F2548" s="2">
        <v>3</v>
      </c>
      <c r="G2548" s="3" t="str">
        <f>IF(Sales[[#This Row],[Anggaran Murni]]-Sales[[#This Row],[Target s.d. Januari]]=0,"",Sales[[#This Row],[Anggaran Murni]]-Sales[[#This Row],[Target s.d. Januari]])</f>
        <v/>
      </c>
      <c r="H2548" s="2" t="s">
        <v>74</v>
      </c>
      <c r="I2548" s="3" t="s">
        <v>77</v>
      </c>
      <c r="J2548" s="3">
        <v>80000000</v>
      </c>
      <c r="K2548" s="2" t="s">
        <v>41</v>
      </c>
      <c r="L2548" s="2" t="s">
        <v>5</v>
      </c>
      <c r="M2548" s="4" t="s">
        <v>67</v>
      </c>
      <c r="N2548" s="3" t="s">
        <v>82</v>
      </c>
      <c r="O2548" s="2" t="s">
        <v>11</v>
      </c>
      <c r="P2548" s="10"/>
      <c r="Q2548" s="11"/>
    </row>
    <row r="2549" spans="2:17" ht="21" customHeight="1" x14ac:dyDescent="0.35">
      <c r="B2549" s="18">
        <v>44128</v>
      </c>
      <c r="C2549" s="18" t="str">
        <f>TEXT(Sales[[#This Row],[Kode Program/Kegiatan ]],"D")</f>
        <v>24</v>
      </c>
      <c r="D2549" s="19" t="str">
        <f>TEXT(Sales[[#This Row],[Kode Program/Kegiatan ]],"mmm")</f>
        <v>Oct</v>
      </c>
      <c r="E2549" s="20">
        <v>3</v>
      </c>
      <c r="F2549" s="19">
        <v>3</v>
      </c>
      <c r="G2549" s="20" t="str">
        <f>IF(Sales[[#This Row],[Anggaran Murni]]-Sales[[#This Row],[Target s.d. Januari]]=0,"",Sales[[#This Row],[Anggaran Murni]]-Sales[[#This Row],[Target s.d. Januari]])</f>
        <v/>
      </c>
      <c r="H2549" s="19" t="s">
        <v>74</v>
      </c>
      <c r="I2549" s="20" t="s">
        <v>77</v>
      </c>
      <c r="J2549" s="20">
        <v>100000000</v>
      </c>
      <c r="K2549" s="19" t="s">
        <v>58</v>
      </c>
      <c r="L2549" s="19" t="s">
        <v>8</v>
      </c>
      <c r="M2549" s="21" t="s">
        <v>67</v>
      </c>
      <c r="N2549" s="20" t="s">
        <v>81</v>
      </c>
      <c r="O2549" s="19" t="s">
        <v>12</v>
      </c>
      <c r="P2549" s="10"/>
      <c r="Q2549" s="11"/>
    </row>
    <row r="2550" spans="2:17" ht="21" customHeight="1" x14ac:dyDescent="0.35">
      <c r="B2550" s="1">
        <v>44128</v>
      </c>
      <c r="C2550" s="1" t="str">
        <f>TEXT(Sales[[#This Row],[Kode Program/Kegiatan ]],"D")</f>
        <v>24</v>
      </c>
      <c r="D2550" s="2" t="str">
        <f>TEXT(Sales[[#This Row],[Kode Program/Kegiatan ]],"mmm")</f>
        <v>Oct</v>
      </c>
      <c r="E2550" s="3">
        <v>3</v>
      </c>
      <c r="F2550" s="2">
        <v>3</v>
      </c>
      <c r="G2550" s="3" t="str">
        <f>IF(Sales[[#This Row],[Anggaran Murni]]-Sales[[#This Row],[Target s.d. Januari]]=0,"",Sales[[#This Row],[Anggaran Murni]]-Sales[[#This Row],[Target s.d. Januari]])</f>
        <v/>
      </c>
      <c r="H2550" s="2" t="s">
        <v>114</v>
      </c>
      <c r="I2550" s="3" t="s">
        <v>3</v>
      </c>
      <c r="J2550" s="3">
        <v>80000000</v>
      </c>
      <c r="K2550" s="2" t="s">
        <v>62</v>
      </c>
      <c r="L2550" s="2" t="s">
        <v>2</v>
      </c>
      <c r="M2550" s="4" t="s">
        <v>67</v>
      </c>
      <c r="N2550" s="3" t="s">
        <v>80</v>
      </c>
      <c r="O2550" s="2" t="s">
        <v>12</v>
      </c>
      <c r="P2550" s="10"/>
      <c r="Q2550" s="11"/>
    </row>
    <row r="2551" spans="2:17" ht="21" customHeight="1" x14ac:dyDescent="0.35">
      <c r="B2551" s="18">
        <v>44129</v>
      </c>
      <c r="C2551" s="18" t="str">
        <f>TEXT(Sales[[#This Row],[Kode Program/Kegiatan ]],"D")</f>
        <v>25</v>
      </c>
      <c r="D2551" s="19" t="str">
        <f>TEXT(Sales[[#This Row],[Kode Program/Kegiatan ]],"mmm")</f>
        <v>Oct</v>
      </c>
      <c r="E2551" s="20">
        <v>9</v>
      </c>
      <c r="F2551" s="19">
        <v>9</v>
      </c>
      <c r="G2551" s="20" t="str">
        <f>IF(Sales[[#This Row],[Anggaran Murni]]-Sales[[#This Row],[Target s.d. Januari]]=0,"",Sales[[#This Row],[Anggaran Murni]]-Sales[[#This Row],[Target s.d. Januari]])</f>
        <v/>
      </c>
      <c r="H2551" s="19" t="s">
        <v>113</v>
      </c>
      <c r="I2551" s="20" t="s">
        <v>77</v>
      </c>
      <c r="J2551" s="20">
        <v>100000000</v>
      </c>
      <c r="K2551" s="19" t="s">
        <v>40</v>
      </c>
      <c r="L2551" s="19" t="s">
        <v>2</v>
      </c>
      <c r="M2551" s="21" t="s">
        <v>67</v>
      </c>
      <c r="N2551" s="20" t="s">
        <v>82</v>
      </c>
      <c r="O2551" s="19" t="s">
        <v>14</v>
      </c>
      <c r="P2551" s="10"/>
      <c r="Q2551" s="11"/>
    </row>
    <row r="2552" spans="2:17" ht="21" customHeight="1" x14ac:dyDescent="0.35">
      <c r="B2552" s="1">
        <v>44129</v>
      </c>
      <c r="C2552" s="1" t="str">
        <f>TEXT(Sales[[#This Row],[Kode Program/Kegiatan ]],"D")</f>
        <v>25</v>
      </c>
      <c r="D2552" s="2" t="str">
        <f>TEXT(Sales[[#This Row],[Kode Program/Kegiatan ]],"mmm")</f>
        <v>Oct</v>
      </c>
      <c r="E2552" s="3">
        <v>9</v>
      </c>
      <c r="F2552" s="2">
        <v>9</v>
      </c>
      <c r="G2552" s="3" t="str">
        <f>IF(Sales[[#This Row],[Anggaran Murni]]-Sales[[#This Row],[Target s.d. Januari]]=0,"",Sales[[#This Row],[Anggaran Murni]]-Sales[[#This Row],[Target s.d. Januari]])</f>
        <v/>
      </c>
      <c r="H2552" s="2" t="s">
        <v>75</v>
      </c>
      <c r="I2552" s="3" t="s">
        <v>6</v>
      </c>
      <c r="J2552" s="3">
        <v>100000000</v>
      </c>
      <c r="K2552" s="2" t="s">
        <v>62</v>
      </c>
      <c r="L2552" s="2" t="s">
        <v>5</v>
      </c>
      <c r="M2552" s="4" t="s">
        <v>67</v>
      </c>
      <c r="N2552" s="3" t="s">
        <v>80</v>
      </c>
      <c r="O2552" s="2" t="s">
        <v>12</v>
      </c>
      <c r="P2552" s="10"/>
      <c r="Q2552" s="11"/>
    </row>
    <row r="2553" spans="2:17" ht="21" customHeight="1" x14ac:dyDescent="0.35">
      <c r="B2553" s="18">
        <v>44129</v>
      </c>
      <c r="C2553" s="18" t="str">
        <f>TEXT(Sales[[#This Row],[Kode Program/Kegiatan ]],"D")</f>
        <v>25</v>
      </c>
      <c r="D2553" s="19" t="str">
        <f>TEXT(Sales[[#This Row],[Kode Program/Kegiatan ]],"mmm")</f>
        <v>Oct</v>
      </c>
      <c r="E2553" s="20">
        <v>9</v>
      </c>
      <c r="F2553" s="19">
        <v>9</v>
      </c>
      <c r="G2553" s="20" t="str">
        <f>IF(Sales[[#This Row],[Anggaran Murni]]-Sales[[#This Row],[Target s.d. Januari]]=0,"",Sales[[#This Row],[Anggaran Murni]]-Sales[[#This Row],[Target s.d. Januari]])</f>
        <v/>
      </c>
      <c r="H2553" s="19" t="s">
        <v>70</v>
      </c>
      <c r="I2553" s="20" t="s">
        <v>1</v>
      </c>
      <c r="J2553" s="20">
        <v>140000000</v>
      </c>
      <c r="K2553" s="19" t="s">
        <v>53</v>
      </c>
      <c r="L2553" s="19" t="s">
        <v>2</v>
      </c>
      <c r="M2553" s="21" t="s">
        <v>67</v>
      </c>
      <c r="N2553" s="20" t="s">
        <v>80</v>
      </c>
      <c r="O2553" s="19" t="s">
        <v>12</v>
      </c>
      <c r="P2553" s="10"/>
      <c r="Q2553" s="11"/>
    </row>
    <row r="2554" spans="2:17" ht="21" customHeight="1" x14ac:dyDescent="0.35">
      <c r="B2554" s="1">
        <v>44129</v>
      </c>
      <c r="C2554" s="1" t="str">
        <f>TEXT(Sales[[#This Row],[Kode Program/Kegiatan ]],"D")</f>
        <v>25</v>
      </c>
      <c r="D2554" s="2" t="str">
        <f>TEXT(Sales[[#This Row],[Kode Program/Kegiatan ]],"mmm")</f>
        <v>Oct</v>
      </c>
      <c r="E2554" s="3">
        <v>8</v>
      </c>
      <c r="F2554" s="2">
        <v>8</v>
      </c>
      <c r="G2554" s="3" t="str">
        <f>IF(Sales[[#This Row],[Anggaran Murni]]-Sales[[#This Row],[Target s.d. Januari]]=0,"",Sales[[#This Row],[Anggaran Murni]]-Sales[[#This Row],[Target s.d. Januari]])</f>
        <v/>
      </c>
      <c r="H2554" s="2" t="s">
        <v>74</v>
      </c>
      <c r="I2554" s="3" t="s">
        <v>77</v>
      </c>
      <c r="J2554" s="3">
        <v>80000000</v>
      </c>
      <c r="K2554" s="2" t="s">
        <v>30</v>
      </c>
      <c r="L2554" s="2" t="s">
        <v>9</v>
      </c>
      <c r="M2554" s="4" t="s">
        <v>67</v>
      </c>
      <c r="N2554" s="3" t="s">
        <v>82</v>
      </c>
      <c r="O2554" s="2" t="s">
        <v>11</v>
      </c>
      <c r="P2554" s="10"/>
      <c r="Q2554" s="11"/>
    </row>
    <row r="2555" spans="2:17" ht="21" customHeight="1" x14ac:dyDescent="0.35">
      <c r="B2555" s="18">
        <v>44129</v>
      </c>
      <c r="C2555" s="18" t="str">
        <f>TEXT(Sales[[#This Row],[Kode Program/Kegiatan ]],"D")</f>
        <v>25</v>
      </c>
      <c r="D2555" s="19" t="str">
        <f>TEXT(Sales[[#This Row],[Kode Program/Kegiatan ]],"mmm")</f>
        <v>Oct</v>
      </c>
      <c r="E2555" s="20">
        <v>7</v>
      </c>
      <c r="F2555" s="19">
        <v>7</v>
      </c>
      <c r="G2555" s="20" t="str">
        <f>IF(Sales[[#This Row],[Anggaran Murni]]-Sales[[#This Row],[Target s.d. Januari]]=0,"",Sales[[#This Row],[Anggaran Murni]]-Sales[[#This Row],[Target s.d. Januari]])</f>
        <v/>
      </c>
      <c r="H2555" s="19" t="s">
        <v>70</v>
      </c>
      <c r="I2555" s="20" t="s">
        <v>1</v>
      </c>
      <c r="J2555" s="20">
        <v>80000000</v>
      </c>
      <c r="K2555" s="19" t="s">
        <v>44</v>
      </c>
      <c r="L2555" s="19" t="s">
        <v>9</v>
      </c>
      <c r="M2555" s="21" t="s">
        <v>67</v>
      </c>
      <c r="N2555" s="20" t="s">
        <v>80</v>
      </c>
      <c r="O2555" s="19" t="s">
        <v>12</v>
      </c>
      <c r="P2555" s="10"/>
      <c r="Q2555" s="11"/>
    </row>
    <row r="2556" spans="2:17" ht="21" customHeight="1" x14ac:dyDescent="0.35">
      <c r="B2556" s="1">
        <v>44129</v>
      </c>
      <c r="C2556" s="1" t="str">
        <f>TEXT(Sales[[#This Row],[Kode Program/Kegiatan ]],"D")</f>
        <v>25</v>
      </c>
      <c r="D2556" s="2" t="str">
        <f>TEXT(Sales[[#This Row],[Kode Program/Kegiatan ]],"mmm")</f>
        <v>Oct</v>
      </c>
      <c r="E2556" s="3">
        <v>7</v>
      </c>
      <c r="F2556" s="2">
        <v>7</v>
      </c>
      <c r="G2556" s="3" t="str">
        <f>IF(Sales[[#This Row],[Anggaran Murni]]-Sales[[#This Row],[Target s.d. Januari]]=0,"",Sales[[#This Row],[Anggaran Murni]]-Sales[[#This Row],[Target s.d. Januari]])</f>
        <v/>
      </c>
      <c r="H2556" s="2" t="s">
        <v>71</v>
      </c>
      <c r="I2556" s="3" t="s">
        <v>6</v>
      </c>
      <c r="J2556" s="3">
        <v>80000000</v>
      </c>
      <c r="K2556" s="2" t="s">
        <v>45</v>
      </c>
      <c r="L2556" s="2" t="s">
        <v>9</v>
      </c>
      <c r="M2556" s="4" t="s">
        <v>67</v>
      </c>
      <c r="N2556" s="3" t="s">
        <v>82</v>
      </c>
      <c r="O2556" s="2" t="s">
        <v>12</v>
      </c>
      <c r="P2556" s="10"/>
      <c r="Q2556" s="11"/>
    </row>
    <row r="2557" spans="2:17" ht="21" customHeight="1" x14ac:dyDescent="0.35">
      <c r="B2557" s="18">
        <v>44129</v>
      </c>
      <c r="C2557" s="18" t="str">
        <f>TEXT(Sales[[#This Row],[Kode Program/Kegiatan ]],"D")</f>
        <v>25</v>
      </c>
      <c r="D2557" s="19" t="str">
        <f>TEXT(Sales[[#This Row],[Kode Program/Kegiatan ]],"mmm")</f>
        <v>Oct</v>
      </c>
      <c r="E2557" s="20">
        <v>7</v>
      </c>
      <c r="F2557" s="19">
        <v>7</v>
      </c>
      <c r="G2557" s="20" t="str">
        <f>IF(Sales[[#This Row],[Anggaran Murni]]-Sales[[#This Row],[Target s.d. Januari]]=0,"",Sales[[#This Row],[Anggaran Murni]]-Sales[[#This Row],[Target s.d. Januari]])</f>
        <v/>
      </c>
      <c r="H2557" s="19" t="s">
        <v>113</v>
      </c>
      <c r="I2557" s="20" t="s">
        <v>77</v>
      </c>
      <c r="J2557" s="20">
        <v>60000000</v>
      </c>
      <c r="K2557" s="19" t="s">
        <v>64</v>
      </c>
      <c r="L2557" s="19" t="s">
        <v>2</v>
      </c>
      <c r="M2557" s="21" t="s">
        <v>67</v>
      </c>
      <c r="N2557" s="20" t="s">
        <v>80</v>
      </c>
      <c r="O2557" s="19" t="s">
        <v>13</v>
      </c>
      <c r="P2557" s="10"/>
      <c r="Q2557" s="11"/>
    </row>
    <row r="2558" spans="2:17" ht="21" customHeight="1" x14ac:dyDescent="0.35">
      <c r="B2558" s="1">
        <v>44129</v>
      </c>
      <c r="C2558" s="1" t="str">
        <f>TEXT(Sales[[#This Row],[Kode Program/Kegiatan ]],"D")</f>
        <v>25</v>
      </c>
      <c r="D2558" s="2" t="str">
        <f>TEXT(Sales[[#This Row],[Kode Program/Kegiatan ]],"mmm")</f>
        <v>Oct</v>
      </c>
      <c r="E2558" s="3">
        <v>6</v>
      </c>
      <c r="F2558" s="2">
        <v>6</v>
      </c>
      <c r="G2558" s="3" t="str">
        <f>IF(Sales[[#This Row],[Anggaran Murni]]-Sales[[#This Row],[Target s.d. Januari]]=0,"",Sales[[#This Row],[Anggaran Murni]]-Sales[[#This Row],[Target s.d. Januari]])</f>
        <v/>
      </c>
      <c r="H2558" s="2" t="s">
        <v>114</v>
      </c>
      <c r="I2558" s="3" t="s">
        <v>3</v>
      </c>
      <c r="J2558" s="3">
        <v>140000000</v>
      </c>
      <c r="K2558" s="2" t="s">
        <v>45</v>
      </c>
      <c r="L2558" s="2" t="s">
        <v>5</v>
      </c>
      <c r="M2558" s="4" t="s">
        <v>67</v>
      </c>
      <c r="N2558" s="3" t="s">
        <v>80</v>
      </c>
      <c r="O2558" s="2" t="s">
        <v>13</v>
      </c>
      <c r="P2558" s="10"/>
      <c r="Q2558" s="11"/>
    </row>
    <row r="2559" spans="2:17" ht="21" customHeight="1" x14ac:dyDescent="0.35">
      <c r="B2559" s="18">
        <v>44129</v>
      </c>
      <c r="C2559" s="18" t="str">
        <f>TEXT(Sales[[#This Row],[Kode Program/Kegiatan ]],"D")</f>
        <v>25</v>
      </c>
      <c r="D2559" s="19" t="str">
        <f>TEXT(Sales[[#This Row],[Kode Program/Kegiatan ]],"mmm")</f>
        <v>Oct</v>
      </c>
      <c r="E2559" s="20">
        <v>4</v>
      </c>
      <c r="F2559" s="19">
        <v>4</v>
      </c>
      <c r="G2559" s="20" t="str">
        <f>IF(Sales[[#This Row],[Anggaran Murni]]-Sales[[#This Row],[Target s.d. Januari]]=0,"",Sales[[#This Row],[Anggaran Murni]]-Sales[[#This Row],[Target s.d. Januari]])</f>
        <v/>
      </c>
      <c r="H2559" s="19" t="s">
        <v>75</v>
      </c>
      <c r="I2559" s="20" t="s">
        <v>6</v>
      </c>
      <c r="J2559" s="20">
        <v>120000000</v>
      </c>
      <c r="K2559" s="19" t="s">
        <v>30</v>
      </c>
      <c r="L2559" s="19" t="s">
        <v>5</v>
      </c>
      <c r="M2559" s="21" t="s">
        <v>67</v>
      </c>
      <c r="N2559" s="20" t="s">
        <v>82</v>
      </c>
      <c r="O2559" s="19" t="s">
        <v>11</v>
      </c>
      <c r="P2559" s="10"/>
      <c r="Q2559" s="11"/>
    </row>
    <row r="2560" spans="2:17" ht="21" customHeight="1" x14ac:dyDescent="0.35">
      <c r="B2560" s="1">
        <v>44129</v>
      </c>
      <c r="C2560" s="1" t="str">
        <f>TEXT(Sales[[#This Row],[Kode Program/Kegiatan ]],"D")</f>
        <v>25</v>
      </c>
      <c r="D2560" s="2" t="str">
        <f>TEXT(Sales[[#This Row],[Kode Program/Kegiatan ]],"mmm")</f>
        <v>Oct</v>
      </c>
      <c r="E2560" s="3">
        <v>3</v>
      </c>
      <c r="F2560" s="2">
        <v>3</v>
      </c>
      <c r="G2560" s="3" t="str">
        <f>IF(Sales[[#This Row],[Anggaran Murni]]-Sales[[#This Row],[Target s.d. Januari]]=0,"",Sales[[#This Row],[Anggaran Murni]]-Sales[[#This Row],[Target s.d. Januari]])</f>
        <v/>
      </c>
      <c r="H2560" s="2" t="s">
        <v>113</v>
      </c>
      <c r="I2560" s="3" t="s">
        <v>77</v>
      </c>
      <c r="J2560" s="3">
        <v>60000000</v>
      </c>
      <c r="K2560" s="2" t="s">
        <v>40</v>
      </c>
      <c r="L2560" s="2" t="s">
        <v>5</v>
      </c>
      <c r="M2560" s="4" t="s">
        <v>67</v>
      </c>
      <c r="N2560" s="3" t="s">
        <v>82</v>
      </c>
      <c r="O2560" s="2" t="s">
        <v>13</v>
      </c>
      <c r="P2560" s="10"/>
      <c r="Q2560" s="11"/>
    </row>
    <row r="2561" spans="2:17" ht="21" customHeight="1" x14ac:dyDescent="0.35">
      <c r="B2561" s="18">
        <v>44129</v>
      </c>
      <c r="C2561" s="18" t="str">
        <f>TEXT(Sales[[#This Row],[Kode Program/Kegiatan ]],"D")</f>
        <v>25</v>
      </c>
      <c r="D2561" s="19" t="str">
        <f>TEXT(Sales[[#This Row],[Kode Program/Kegiatan ]],"mmm")</f>
        <v>Oct</v>
      </c>
      <c r="E2561" s="20">
        <v>3</v>
      </c>
      <c r="F2561" s="19">
        <v>3</v>
      </c>
      <c r="G2561" s="20" t="str">
        <f>IF(Sales[[#This Row],[Anggaran Murni]]-Sales[[#This Row],[Target s.d. Januari]]=0,"",Sales[[#This Row],[Anggaran Murni]]-Sales[[#This Row],[Target s.d. Januari]])</f>
        <v/>
      </c>
      <c r="H2561" s="19" t="s">
        <v>71</v>
      </c>
      <c r="I2561" s="20" t="s">
        <v>6</v>
      </c>
      <c r="J2561" s="20">
        <v>140000000</v>
      </c>
      <c r="K2561" s="19" t="s">
        <v>58</v>
      </c>
      <c r="L2561" s="19" t="s">
        <v>2</v>
      </c>
      <c r="M2561" s="21" t="s">
        <v>67</v>
      </c>
      <c r="N2561" s="20" t="s">
        <v>81</v>
      </c>
      <c r="O2561" s="19" t="s">
        <v>12</v>
      </c>
      <c r="P2561" s="10"/>
      <c r="Q2561" s="11"/>
    </row>
    <row r="2562" spans="2:17" ht="21" customHeight="1" x14ac:dyDescent="0.35">
      <c r="B2562" s="1">
        <v>44130</v>
      </c>
      <c r="C2562" s="1" t="str">
        <f>TEXT(Sales[[#This Row],[Kode Program/Kegiatan ]],"D")</f>
        <v>26</v>
      </c>
      <c r="D2562" s="2" t="str">
        <f>TEXT(Sales[[#This Row],[Kode Program/Kegiatan ]],"mmm")</f>
        <v>Oct</v>
      </c>
      <c r="E2562" s="3">
        <v>10</v>
      </c>
      <c r="F2562" s="2">
        <v>10</v>
      </c>
      <c r="G2562" s="3" t="str">
        <f>IF(Sales[[#This Row],[Anggaran Murni]]-Sales[[#This Row],[Target s.d. Januari]]=0,"",Sales[[#This Row],[Anggaran Murni]]-Sales[[#This Row],[Target s.d. Januari]])</f>
        <v/>
      </c>
      <c r="H2562" s="2" t="s">
        <v>74</v>
      </c>
      <c r="I2562" s="3" t="s">
        <v>77</v>
      </c>
      <c r="J2562" s="3">
        <v>140000000</v>
      </c>
      <c r="K2562" s="2" t="s">
        <v>16</v>
      </c>
      <c r="L2562" s="2" t="s">
        <v>5</v>
      </c>
      <c r="M2562" s="4" t="s">
        <v>67</v>
      </c>
      <c r="N2562" s="3" t="s">
        <v>80</v>
      </c>
      <c r="O2562" s="2" t="s">
        <v>12</v>
      </c>
      <c r="P2562" s="10"/>
      <c r="Q2562" s="11"/>
    </row>
    <row r="2563" spans="2:17" ht="21" customHeight="1" x14ac:dyDescent="0.35">
      <c r="B2563" s="18">
        <v>44130</v>
      </c>
      <c r="C2563" s="18" t="str">
        <f>TEXT(Sales[[#This Row],[Kode Program/Kegiatan ]],"D")</f>
        <v>26</v>
      </c>
      <c r="D2563" s="19" t="str">
        <f>TEXT(Sales[[#This Row],[Kode Program/Kegiatan ]],"mmm")</f>
        <v>Oct</v>
      </c>
      <c r="E2563" s="20">
        <v>10</v>
      </c>
      <c r="F2563" s="19">
        <v>10</v>
      </c>
      <c r="G2563" s="20" t="str">
        <f>IF(Sales[[#This Row],[Anggaran Murni]]-Sales[[#This Row],[Target s.d. Januari]]=0,"",Sales[[#This Row],[Anggaran Murni]]-Sales[[#This Row],[Target s.d. Januari]])</f>
        <v/>
      </c>
      <c r="H2563" s="19" t="s">
        <v>75</v>
      </c>
      <c r="I2563" s="20" t="s">
        <v>6</v>
      </c>
      <c r="J2563" s="20">
        <v>100000000</v>
      </c>
      <c r="K2563" s="19" t="s">
        <v>49</v>
      </c>
      <c r="L2563" s="19" t="s">
        <v>2</v>
      </c>
      <c r="M2563" s="21" t="s">
        <v>67</v>
      </c>
      <c r="N2563" s="20" t="s">
        <v>81</v>
      </c>
      <c r="O2563" s="19" t="s">
        <v>14</v>
      </c>
      <c r="P2563" s="10"/>
      <c r="Q2563" s="11"/>
    </row>
    <row r="2564" spans="2:17" ht="21" customHeight="1" x14ac:dyDescent="0.35">
      <c r="B2564" s="1">
        <v>44130</v>
      </c>
      <c r="C2564" s="1" t="str">
        <f>TEXT(Sales[[#This Row],[Kode Program/Kegiatan ]],"D")</f>
        <v>26</v>
      </c>
      <c r="D2564" s="2" t="str">
        <f>TEXT(Sales[[#This Row],[Kode Program/Kegiatan ]],"mmm")</f>
        <v>Oct</v>
      </c>
      <c r="E2564" s="3">
        <v>10</v>
      </c>
      <c r="F2564" s="2">
        <v>10</v>
      </c>
      <c r="G2564" s="3" t="str">
        <f>IF(Sales[[#This Row],[Anggaran Murni]]-Sales[[#This Row],[Target s.d. Januari]]=0,"",Sales[[#This Row],[Anggaran Murni]]-Sales[[#This Row],[Target s.d. Januari]])</f>
        <v/>
      </c>
      <c r="H2564" s="2" t="s">
        <v>73</v>
      </c>
      <c r="I2564" s="3" t="s">
        <v>78</v>
      </c>
      <c r="J2564" s="3">
        <v>100000000</v>
      </c>
      <c r="K2564" s="2" t="s">
        <v>53</v>
      </c>
      <c r="L2564" s="2" t="s">
        <v>5</v>
      </c>
      <c r="M2564" s="4" t="s">
        <v>67</v>
      </c>
      <c r="N2564" s="3" t="s">
        <v>82</v>
      </c>
      <c r="O2564" s="2" t="s">
        <v>12</v>
      </c>
      <c r="P2564" s="10"/>
      <c r="Q2564" s="11"/>
    </row>
    <row r="2565" spans="2:17" ht="21" customHeight="1" x14ac:dyDescent="0.35">
      <c r="B2565" s="18">
        <v>44130</v>
      </c>
      <c r="C2565" s="18" t="str">
        <f>TEXT(Sales[[#This Row],[Kode Program/Kegiatan ]],"D")</f>
        <v>26</v>
      </c>
      <c r="D2565" s="19" t="str">
        <f>TEXT(Sales[[#This Row],[Kode Program/Kegiatan ]],"mmm")</f>
        <v>Oct</v>
      </c>
      <c r="E2565" s="20">
        <v>10</v>
      </c>
      <c r="F2565" s="19">
        <v>10</v>
      </c>
      <c r="G2565" s="20" t="str">
        <f>IF(Sales[[#This Row],[Anggaran Murni]]-Sales[[#This Row],[Target s.d. Januari]]=0,"",Sales[[#This Row],[Anggaran Murni]]-Sales[[#This Row],[Target s.d. Januari]])</f>
        <v/>
      </c>
      <c r="H2565" s="19" t="s">
        <v>72</v>
      </c>
      <c r="I2565" s="20" t="s">
        <v>78</v>
      </c>
      <c r="J2565" s="20">
        <v>120000000</v>
      </c>
      <c r="K2565" s="19" t="s">
        <v>62</v>
      </c>
      <c r="L2565" s="19" t="s">
        <v>2</v>
      </c>
      <c r="M2565" s="21" t="s">
        <v>67</v>
      </c>
      <c r="N2565" s="20" t="s">
        <v>80</v>
      </c>
      <c r="O2565" s="19" t="s">
        <v>14</v>
      </c>
      <c r="P2565" s="10"/>
      <c r="Q2565" s="11"/>
    </row>
    <row r="2566" spans="2:17" ht="21" customHeight="1" x14ac:dyDescent="0.35">
      <c r="B2566" s="1">
        <v>44130</v>
      </c>
      <c r="C2566" s="1" t="str">
        <f>TEXT(Sales[[#This Row],[Kode Program/Kegiatan ]],"D")</f>
        <v>26</v>
      </c>
      <c r="D2566" s="2" t="str">
        <f>TEXT(Sales[[#This Row],[Kode Program/Kegiatan ]],"mmm")</f>
        <v>Oct</v>
      </c>
      <c r="E2566" s="3">
        <v>10</v>
      </c>
      <c r="F2566" s="2">
        <v>10</v>
      </c>
      <c r="G2566" s="3" t="str">
        <f>IF(Sales[[#This Row],[Anggaran Murni]]-Sales[[#This Row],[Target s.d. Januari]]=0,"",Sales[[#This Row],[Anggaran Murni]]-Sales[[#This Row],[Target s.d. Januari]])</f>
        <v/>
      </c>
      <c r="H2566" s="2" t="s">
        <v>71</v>
      </c>
      <c r="I2566" s="3" t="s">
        <v>6</v>
      </c>
      <c r="J2566" s="3">
        <v>100000000</v>
      </c>
      <c r="K2566" s="2" t="s">
        <v>54</v>
      </c>
      <c r="L2566" s="2" t="s">
        <v>8</v>
      </c>
      <c r="M2566" s="4" t="s">
        <v>67</v>
      </c>
      <c r="N2566" s="3" t="s">
        <v>82</v>
      </c>
      <c r="O2566" s="2" t="s">
        <v>13</v>
      </c>
      <c r="P2566" s="10"/>
      <c r="Q2566" s="11"/>
    </row>
    <row r="2567" spans="2:17" ht="21" customHeight="1" x14ac:dyDescent="0.35">
      <c r="B2567" s="18">
        <v>44130</v>
      </c>
      <c r="C2567" s="18" t="str">
        <f>TEXT(Sales[[#This Row],[Kode Program/Kegiatan ]],"D")</f>
        <v>26</v>
      </c>
      <c r="D2567" s="19" t="str">
        <f>TEXT(Sales[[#This Row],[Kode Program/Kegiatan ]],"mmm")</f>
        <v>Oct</v>
      </c>
      <c r="E2567" s="20">
        <v>9</v>
      </c>
      <c r="F2567" s="19">
        <v>9</v>
      </c>
      <c r="G2567" s="20" t="str">
        <f>IF(Sales[[#This Row],[Anggaran Murni]]-Sales[[#This Row],[Target s.d. Januari]]=0,"",Sales[[#This Row],[Anggaran Murni]]-Sales[[#This Row],[Target s.d. Januari]])</f>
        <v/>
      </c>
      <c r="H2567" s="19" t="s">
        <v>73</v>
      </c>
      <c r="I2567" s="20" t="s">
        <v>78</v>
      </c>
      <c r="J2567" s="20">
        <v>140000000</v>
      </c>
      <c r="K2567" s="19" t="s">
        <v>17</v>
      </c>
      <c r="L2567" s="19" t="s">
        <v>7</v>
      </c>
      <c r="M2567" s="21" t="s">
        <v>67</v>
      </c>
      <c r="N2567" s="20" t="s">
        <v>82</v>
      </c>
      <c r="O2567" s="19" t="s">
        <v>11</v>
      </c>
      <c r="P2567" s="10"/>
      <c r="Q2567" s="11"/>
    </row>
    <row r="2568" spans="2:17" ht="21" customHeight="1" x14ac:dyDescent="0.35">
      <c r="B2568" s="1">
        <v>44130</v>
      </c>
      <c r="C2568" s="1" t="str">
        <f>TEXT(Sales[[#This Row],[Kode Program/Kegiatan ]],"D")</f>
        <v>26</v>
      </c>
      <c r="D2568" s="2" t="str">
        <f>TEXT(Sales[[#This Row],[Kode Program/Kegiatan ]],"mmm")</f>
        <v>Oct</v>
      </c>
      <c r="E2568" s="3">
        <v>8</v>
      </c>
      <c r="F2568" s="2">
        <v>8</v>
      </c>
      <c r="G2568" s="3" t="str">
        <f>IF(Sales[[#This Row],[Anggaran Murni]]-Sales[[#This Row],[Target s.d. Januari]]=0,"",Sales[[#This Row],[Anggaran Murni]]-Sales[[#This Row],[Target s.d. Januari]])</f>
        <v/>
      </c>
      <c r="H2568" s="2" t="s">
        <v>74</v>
      </c>
      <c r="I2568" s="3" t="s">
        <v>77</v>
      </c>
      <c r="J2568" s="3">
        <v>120000000</v>
      </c>
      <c r="K2568" s="2" t="s">
        <v>49</v>
      </c>
      <c r="L2568" s="2" t="s">
        <v>5</v>
      </c>
      <c r="M2568" s="4" t="s">
        <v>67</v>
      </c>
      <c r="N2568" s="3" t="s">
        <v>81</v>
      </c>
      <c r="O2568" s="2" t="s">
        <v>14</v>
      </c>
      <c r="P2568" s="10"/>
      <c r="Q2568" s="11"/>
    </row>
    <row r="2569" spans="2:17" ht="21" customHeight="1" x14ac:dyDescent="0.35">
      <c r="B2569" s="18">
        <v>44130</v>
      </c>
      <c r="C2569" s="18" t="str">
        <f>TEXT(Sales[[#This Row],[Kode Program/Kegiatan ]],"D")</f>
        <v>26</v>
      </c>
      <c r="D2569" s="19" t="str">
        <f>TEXT(Sales[[#This Row],[Kode Program/Kegiatan ]],"mmm")</f>
        <v>Oct</v>
      </c>
      <c r="E2569" s="20">
        <v>6</v>
      </c>
      <c r="F2569" s="19">
        <v>6</v>
      </c>
      <c r="G2569" s="20" t="str">
        <f>IF(Sales[[#This Row],[Anggaran Murni]]-Sales[[#This Row],[Target s.d. Januari]]=0,"",Sales[[#This Row],[Anggaran Murni]]-Sales[[#This Row],[Target s.d. Januari]])</f>
        <v/>
      </c>
      <c r="H2569" s="19" t="s">
        <v>71</v>
      </c>
      <c r="I2569" s="20" t="s">
        <v>6</v>
      </c>
      <c r="J2569" s="20">
        <v>80000000</v>
      </c>
      <c r="K2569" s="19" t="s">
        <v>45</v>
      </c>
      <c r="L2569" s="19" t="s">
        <v>9</v>
      </c>
      <c r="M2569" s="21" t="s">
        <v>67</v>
      </c>
      <c r="N2569" s="20" t="s">
        <v>81</v>
      </c>
      <c r="O2569" s="19" t="s">
        <v>12</v>
      </c>
      <c r="P2569" s="10"/>
      <c r="Q2569" s="11"/>
    </row>
    <row r="2570" spans="2:17" ht="21" customHeight="1" x14ac:dyDescent="0.35">
      <c r="B2570" s="1">
        <v>44130</v>
      </c>
      <c r="C2570" s="1" t="str">
        <f>TEXT(Sales[[#This Row],[Kode Program/Kegiatan ]],"D")</f>
        <v>26</v>
      </c>
      <c r="D2570" s="2" t="str">
        <f>TEXT(Sales[[#This Row],[Kode Program/Kegiatan ]],"mmm")</f>
        <v>Oct</v>
      </c>
      <c r="E2570" s="3">
        <v>3</v>
      </c>
      <c r="F2570" s="2">
        <v>3</v>
      </c>
      <c r="G2570" s="3" t="str">
        <f>IF(Sales[[#This Row],[Anggaran Murni]]-Sales[[#This Row],[Target s.d. Januari]]=0,"",Sales[[#This Row],[Anggaran Murni]]-Sales[[#This Row],[Target s.d. Januari]])</f>
        <v/>
      </c>
      <c r="H2570" s="2" t="s">
        <v>70</v>
      </c>
      <c r="I2570" s="3" t="s">
        <v>1</v>
      </c>
      <c r="J2570" s="3">
        <v>80000000</v>
      </c>
      <c r="K2570" s="2" t="s">
        <v>33</v>
      </c>
      <c r="L2570" s="2" t="s">
        <v>2</v>
      </c>
      <c r="M2570" s="4" t="s">
        <v>67</v>
      </c>
      <c r="N2570" s="3" t="s">
        <v>81</v>
      </c>
      <c r="O2570" s="2" t="s">
        <v>13</v>
      </c>
      <c r="P2570" s="10"/>
      <c r="Q2570" s="11"/>
    </row>
    <row r="2571" spans="2:17" ht="21" customHeight="1" x14ac:dyDescent="0.35">
      <c r="B2571" s="18">
        <v>44131</v>
      </c>
      <c r="C2571" s="18" t="str">
        <f>TEXT(Sales[[#This Row],[Kode Program/Kegiatan ]],"D")</f>
        <v>27</v>
      </c>
      <c r="D2571" s="19" t="str">
        <f>TEXT(Sales[[#This Row],[Kode Program/Kegiatan ]],"mmm")</f>
        <v>Oct</v>
      </c>
      <c r="E2571" s="20">
        <v>10</v>
      </c>
      <c r="F2571" s="19">
        <v>10</v>
      </c>
      <c r="G2571" s="20" t="str">
        <f>IF(Sales[[#This Row],[Anggaran Murni]]-Sales[[#This Row],[Target s.d. Januari]]=0,"",Sales[[#This Row],[Anggaran Murni]]-Sales[[#This Row],[Target s.d. Januari]])</f>
        <v/>
      </c>
      <c r="H2571" s="19" t="s">
        <v>76</v>
      </c>
      <c r="I2571" s="20" t="s">
        <v>79</v>
      </c>
      <c r="J2571" s="20">
        <v>100000000</v>
      </c>
      <c r="K2571" s="19" t="s">
        <v>35</v>
      </c>
      <c r="L2571" s="19" t="s">
        <v>8</v>
      </c>
      <c r="M2571" s="21" t="s">
        <v>67</v>
      </c>
      <c r="N2571" s="20" t="s">
        <v>80</v>
      </c>
      <c r="O2571" s="19" t="s">
        <v>12</v>
      </c>
      <c r="P2571" s="10"/>
      <c r="Q2571" s="11"/>
    </row>
    <row r="2572" spans="2:17" ht="21" customHeight="1" x14ac:dyDescent="0.35">
      <c r="B2572" s="1">
        <v>44131</v>
      </c>
      <c r="C2572" s="1" t="str">
        <f>TEXT(Sales[[#This Row],[Kode Program/Kegiatan ]],"D")</f>
        <v>27</v>
      </c>
      <c r="D2572" s="2" t="str">
        <f>TEXT(Sales[[#This Row],[Kode Program/Kegiatan ]],"mmm")</f>
        <v>Oct</v>
      </c>
      <c r="E2572" s="3">
        <v>10</v>
      </c>
      <c r="F2572" s="2">
        <v>10</v>
      </c>
      <c r="G2572" s="3" t="str">
        <f>IF(Sales[[#This Row],[Anggaran Murni]]-Sales[[#This Row],[Target s.d. Januari]]=0,"",Sales[[#This Row],[Anggaran Murni]]-Sales[[#This Row],[Target s.d. Januari]])</f>
        <v/>
      </c>
      <c r="H2572" s="2" t="s">
        <v>76</v>
      </c>
      <c r="I2572" s="3" t="s">
        <v>79</v>
      </c>
      <c r="J2572" s="3">
        <v>60000000</v>
      </c>
      <c r="K2572" s="2" t="s">
        <v>20</v>
      </c>
      <c r="L2572" s="2" t="s">
        <v>7</v>
      </c>
      <c r="M2572" s="4" t="s">
        <v>67</v>
      </c>
      <c r="N2572" s="3" t="s">
        <v>82</v>
      </c>
      <c r="O2572" s="2" t="s">
        <v>12</v>
      </c>
      <c r="P2572" s="10"/>
      <c r="Q2572" s="11"/>
    </row>
    <row r="2573" spans="2:17" ht="21" customHeight="1" x14ac:dyDescent="0.35">
      <c r="B2573" s="18">
        <v>44131</v>
      </c>
      <c r="C2573" s="18" t="str">
        <f>TEXT(Sales[[#This Row],[Kode Program/Kegiatan ]],"D")</f>
        <v>27</v>
      </c>
      <c r="D2573" s="19" t="str">
        <f>TEXT(Sales[[#This Row],[Kode Program/Kegiatan ]],"mmm")</f>
        <v>Oct</v>
      </c>
      <c r="E2573" s="20">
        <v>8</v>
      </c>
      <c r="F2573" s="19">
        <v>8</v>
      </c>
      <c r="G2573" s="20" t="str">
        <f>IF(Sales[[#This Row],[Anggaran Murni]]-Sales[[#This Row],[Target s.d. Januari]]=0,"",Sales[[#This Row],[Anggaran Murni]]-Sales[[#This Row],[Target s.d. Januari]])</f>
        <v/>
      </c>
      <c r="H2573" s="19" t="s">
        <v>74</v>
      </c>
      <c r="I2573" s="20" t="s">
        <v>77</v>
      </c>
      <c r="J2573" s="20">
        <v>80000000</v>
      </c>
      <c r="K2573" s="19" t="s">
        <v>29</v>
      </c>
      <c r="L2573" s="19" t="s">
        <v>5</v>
      </c>
      <c r="M2573" s="21" t="s">
        <v>67</v>
      </c>
      <c r="N2573" s="20" t="s">
        <v>80</v>
      </c>
      <c r="O2573" s="19" t="s">
        <v>11</v>
      </c>
      <c r="P2573" s="10"/>
      <c r="Q2573" s="11"/>
    </row>
    <row r="2574" spans="2:17" ht="21" customHeight="1" x14ac:dyDescent="0.35">
      <c r="B2574" s="1">
        <v>44131</v>
      </c>
      <c r="C2574" s="1" t="str">
        <f>TEXT(Sales[[#This Row],[Kode Program/Kegiatan ]],"D")</f>
        <v>27</v>
      </c>
      <c r="D2574" s="2" t="str">
        <f>TEXT(Sales[[#This Row],[Kode Program/Kegiatan ]],"mmm")</f>
        <v>Oct</v>
      </c>
      <c r="E2574" s="3">
        <v>6</v>
      </c>
      <c r="F2574" s="2">
        <v>6</v>
      </c>
      <c r="G2574" s="3" t="str">
        <f>IF(Sales[[#This Row],[Anggaran Murni]]-Sales[[#This Row],[Target s.d. Januari]]=0,"",Sales[[#This Row],[Anggaran Murni]]-Sales[[#This Row],[Target s.d. Januari]])</f>
        <v/>
      </c>
      <c r="H2574" s="2" t="s">
        <v>75</v>
      </c>
      <c r="I2574" s="3" t="s">
        <v>6</v>
      </c>
      <c r="J2574" s="3">
        <v>40000000</v>
      </c>
      <c r="K2574" s="2" t="s">
        <v>63</v>
      </c>
      <c r="L2574" s="2" t="s">
        <v>5</v>
      </c>
      <c r="M2574" s="4" t="s">
        <v>67</v>
      </c>
      <c r="N2574" s="3" t="s">
        <v>80</v>
      </c>
      <c r="O2574" s="2" t="s">
        <v>13</v>
      </c>
      <c r="P2574" s="10"/>
      <c r="Q2574" s="11"/>
    </row>
    <row r="2575" spans="2:17" ht="21" customHeight="1" x14ac:dyDescent="0.35">
      <c r="B2575" s="18">
        <v>44131</v>
      </c>
      <c r="C2575" s="18" t="str">
        <f>TEXT(Sales[[#This Row],[Kode Program/Kegiatan ]],"D")</f>
        <v>27</v>
      </c>
      <c r="D2575" s="19" t="str">
        <f>TEXT(Sales[[#This Row],[Kode Program/Kegiatan ]],"mmm")</f>
        <v>Oct</v>
      </c>
      <c r="E2575" s="20">
        <v>5</v>
      </c>
      <c r="F2575" s="19">
        <v>5</v>
      </c>
      <c r="G2575" s="20" t="str">
        <f>IF(Sales[[#This Row],[Anggaran Murni]]-Sales[[#This Row],[Target s.d. Januari]]=0,"",Sales[[#This Row],[Anggaran Murni]]-Sales[[#This Row],[Target s.d. Januari]])</f>
        <v/>
      </c>
      <c r="H2575" s="19" t="s">
        <v>73</v>
      </c>
      <c r="I2575" s="20" t="s">
        <v>78</v>
      </c>
      <c r="J2575" s="20">
        <v>120000000</v>
      </c>
      <c r="K2575" s="19" t="s">
        <v>35</v>
      </c>
      <c r="L2575" s="19" t="s">
        <v>5</v>
      </c>
      <c r="M2575" s="21" t="s">
        <v>67</v>
      </c>
      <c r="N2575" s="20" t="s">
        <v>80</v>
      </c>
      <c r="O2575" s="19" t="s">
        <v>14</v>
      </c>
      <c r="P2575" s="10"/>
      <c r="Q2575" s="11"/>
    </row>
    <row r="2576" spans="2:17" ht="21" customHeight="1" x14ac:dyDescent="0.35">
      <c r="B2576" s="1">
        <v>44131</v>
      </c>
      <c r="C2576" s="1" t="str">
        <f>TEXT(Sales[[#This Row],[Kode Program/Kegiatan ]],"D")</f>
        <v>27</v>
      </c>
      <c r="D2576" s="2" t="str">
        <f>TEXT(Sales[[#This Row],[Kode Program/Kegiatan ]],"mmm")</f>
        <v>Oct</v>
      </c>
      <c r="E2576" s="3">
        <v>5</v>
      </c>
      <c r="F2576" s="2">
        <v>5</v>
      </c>
      <c r="G2576" s="3" t="str">
        <f>IF(Sales[[#This Row],[Anggaran Murni]]-Sales[[#This Row],[Target s.d. Januari]]=0,"",Sales[[#This Row],[Anggaran Murni]]-Sales[[#This Row],[Target s.d. Januari]])</f>
        <v/>
      </c>
      <c r="H2576" s="2" t="s">
        <v>74</v>
      </c>
      <c r="I2576" s="3" t="s">
        <v>77</v>
      </c>
      <c r="J2576" s="3">
        <v>40000000</v>
      </c>
      <c r="K2576" s="2" t="s">
        <v>26</v>
      </c>
      <c r="L2576" s="2" t="s">
        <v>2</v>
      </c>
      <c r="M2576" s="4" t="s">
        <v>67</v>
      </c>
      <c r="N2576" s="3" t="s">
        <v>82</v>
      </c>
      <c r="O2576" s="2" t="s">
        <v>13</v>
      </c>
      <c r="P2576" s="10"/>
      <c r="Q2576" s="11"/>
    </row>
    <row r="2577" spans="2:17" ht="21" customHeight="1" x14ac:dyDescent="0.35">
      <c r="B2577" s="18">
        <v>44131</v>
      </c>
      <c r="C2577" s="18" t="str">
        <f>TEXT(Sales[[#This Row],[Kode Program/Kegiatan ]],"D")</f>
        <v>27</v>
      </c>
      <c r="D2577" s="19" t="str">
        <f>TEXT(Sales[[#This Row],[Kode Program/Kegiatan ]],"mmm")</f>
        <v>Oct</v>
      </c>
      <c r="E2577" s="20">
        <v>5</v>
      </c>
      <c r="F2577" s="19">
        <v>5</v>
      </c>
      <c r="G2577" s="20" t="str">
        <f>IF(Sales[[#This Row],[Anggaran Murni]]-Sales[[#This Row],[Target s.d. Januari]]=0,"",Sales[[#This Row],[Anggaran Murni]]-Sales[[#This Row],[Target s.d. Januari]])</f>
        <v/>
      </c>
      <c r="H2577" s="19" t="s">
        <v>114</v>
      </c>
      <c r="I2577" s="20" t="s">
        <v>3</v>
      </c>
      <c r="J2577" s="20">
        <v>80000000</v>
      </c>
      <c r="K2577" s="19" t="s">
        <v>48</v>
      </c>
      <c r="L2577" s="19" t="s">
        <v>5</v>
      </c>
      <c r="M2577" s="21" t="s">
        <v>67</v>
      </c>
      <c r="N2577" s="20" t="s">
        <v>82</v>
      </c>
      <c r="O2577" s="19" t="s">
        <v>12</v>
      </c>
      <c r="P2577" s="10"/>
      <c r="Q2577" s="11"/>
    </row>
    <row r="2578" spans="2:17" ht="21" customHeight="1" x14ac:dyDescent="0.35">
      <c r="B2578" s="1">
        <v>44131</v>
      </c>
      <c r="C2578" s="1" t="str">
        <f>TEXT(Sales[[#This Row],[Kode Program/Kegiatan ]],"D")</f>
        <v>27</v>
      </c>
      <c r="D2578" s="2" t="str">
        <f>TEXT(Sales[[#This Row],[Kode Program/Kegiatan ]],"mmm")</f>
        <v>Oct</v>
      </c>
      <c r="E2578" s="3">
        <v>4</v>
      </c>
      <c r="F2578" s="2">
        <v>4</v>
      </c>
      <c r="G2578" s="3" t="str">
        <f>IF(Sales[[#This Row],[Anggaran Murni]]-Sales[[#This Row],[Target s.d. Januari]]=0,"",Sales[[#This Row],[Anggaran Murni]]-Sales[[#This Row],[Target s.d. Januari]])</f>
        <v/>
      </c>
      <c r="H2578" s="2" t="s">
        <v>72</v>
      </c>
      <c r="I2578" s="3" t="s">
        <v>78</v>
      </c>
      <c r="J2578" s="3">
        <v>60000000</v>
      </c>
      <c r="K2578" s="2" t="s">
        <v>35</v>
      </c>
      <c r="L2578" s="2" t="s">
        <v>2</v>
      </c>
      <c r="M2578" s="4" t="s">
        <v>67</v>
      </c>
      <c r="N2578" s="3" t="s">
        <v>82</v>
      </c>
      <c r="O2578" s="2" t="s">
        <v>11</v>
      </c>
      <c r="P2578" s="10"/>
      <c r="Q2578" s="11"/>
    </row>
    <row r="2579" spans="2:17" ht="21" customHeight="1" x14ac:dyDescent="0.35">
      <c r="B2579" s="18">
        <v>44131</v>
      </c>
      <c r="C2579" s="18" t="str">
        <f>TEXT(Sales[[#This Row],[Kode Program/Kegiatan ]],"D")</f>
        <v>27</v>
      </c>
      <c r="D2579" s="19" t="str">
        <f>TEXT(Sales[[#This Row],[Kode Program/Kegiatan ]],"mmm")</f>
        <v>Oct</v>
      </c>
      <c r="E2579" s="20">
        <v>3</v>
      </c>
      <c r="F2579" s="19">
        <v>3</v>
      </c>
      <c r="G2579" s="20" t="str">
        <f>IF(Sales[[#This Row],[Anggaran Murni]]-Sales[[#This Row],[Target s.d. Januari]]=0,"",Sales[[#This Row],[Anggaran Murni]]-Sales[[#This Row],[Target s.d. Januari]])</f>
        <v/>
      </c>
      <c r="H2579" s="19" t="s">
        <v>76</v>
      </c>
      <c r="I2579" s="20" t="s">
        <v>79</v>
      </c>
      <c r="J2579" s="20">
        <v>120000000</v>
      </c>
      <c r="K2579" s="19" t="s">
        <v>43</v>
      </c>
      <c r="L2579" s="19" t="s">
        <v>2</v>
      </c>
      <c r="M2579" s="21" t="s">
        <v>67</v>
      </c>
      <c r="N2579" s="20" t="s">
        <v>80</v>
      </c>
      <c r="O2579" s="19" t="s">
        <v>11</v>
      </c>
      <c r="P2579" s="10"/>
      <c r="Q2579" s="11"/>
    </row>
    <row r="2580" spans="2:17" ht="21" customHeight="1" x14ac:dyDescent="0.35">
      <c r="B2580" s="1">
        <v>44132</v>
      </c>
      <c r="C2580" s="1" t="str">
        <f>TEXT(Sales[[#This Row],[Kode Program/Kegiatan ]],"D")</f>
        <v>28</v>
      </c>
      <c r="D2580" s="2" t="str">
        <f>TEXT(Sales[[#This Row],[Kode Program/Kegiatan ]],"mmm")</f>
        <v>Oct</v>
      </c>
      <c r="E2580" s="3">
        <v>10</v>
      </c>
      <c r="F2580" s="2">
        <v>10</v>
      </c>
      <c r="G2580" s="3" t="str">
        <f>IF(Sales[[#This Row],[Anggaran Murni]]-Sales[[#This Row],[Target s.d. Januari]]=0,"",Sales[[#This Row],[Anggaran Murni]]-Sales[[#This Row],[Target s.d. Januari]])</f>
        <v/>
      </c>
      <c r="H2580" s="2" t="s">
        <v>76</v>
      </c>
      <c r="I2580" s="3" t="s">
        <v>79</v>
      </c>
      <c r="J2580" s="3">
        <v>100000000</v>
      </c>
      <c r="K2580" s="2" t="s">
        <v>54</v>
      </c>
      <c r="L2580" s="2" t="s">
        <v>2</v>
      </c>
      <c r="M2580" s="4" t="s">
        <v>67</v>
      </c>
      <c r="N2580" s="3" t="s">
        <v>80</v>
      </c>
      <c r="O2580" s="2" t="s">
        <v>12</v>
      </c>
      <c r="P2580" s="10"/>
      <c r="Q2580" s="11"/>
    </row>
    <row r="2581" spans="2:17" ht="21" customHeight="1" x14ac:dyDescent="0.35">
      <c r="B2581" s="18">
        <v>44132</v>
      </c>
      <c r="C2581" s="18" t="str">
        <f>TEXT(Sales[[#This Row],[Kode Program/Kegiatan ]],"D")</f>
        <v>28</v>
      </c>
      <c r="D2581" s="19" t="str">
        <f>TEXT(Sales[[#This Row],[Kode Program/Kegiatan ]],"mmm")</f>
        <v>Oct</v>
      </c>
      <c r="E2581" s="20">
        <v>9</v>
      </c>
      <c r="F2581" s="19">
        <v>9</v>
      </c>
      <c r="G2581" s="20" t="str">
        <f>IF(Sales[[#This Row],[Anggaran Murni]]-Sales[[#This Row],[Target s.d. Januari]]=0,"",Sales[[#This Row],[Anggaran Murni]]-Sales[[#This Row],[Target s.d. Januari]])</f>
        <v/>
      </c>
      <c r="H2581" s="19" t="s">
        <v>114</v>
      </c>
      <c r="I2581" s="20" t="s">
        <v>3</v>
      </c>
      <c r="J2581" s="20">
        <v>120000000</v>
      </c>
      <c r="K2581" s="19" t="s">
        <v>27</v>
      </c>
      <c r="L2581" s="19" t="s">
        <v>2</v>
      </c>
      <c r="M2581" s="21" t="s">
        <v>67</v>
      </c>
      <c r="N2581" s="20" t="s">
        <v>80</v>
      </c>
      <c r="O2581" s="19" t="s">
        <v>13</v>
      </c>
      <c r="P2581" s="10"/>
      <c r="Q2581" s="11"/>
    </row>
    <row r="2582" spans="2:17" ht="21" customHeight="1" x14ac:dyDescent="0.35">
      <c r="B2582" s="1">
        <v>44132</v>
      </c>
      <c r="C2582" s="1" t="str">
        <f>TEXT(Sales[[#This Row],[Kode Program/Kegiatan ]],"D")</f>
        <v>28</v>
      </c>
      <c r="D2582" s="2" t="str">
        <f>TEXT(Sales[[#This Row],[Kode Program/Kegiatan ]],"mmm")</f>
        <v>Oct</v>
      </c>
      <c r="E2582" s="3">
        <v>8</v>
      </c>
      <c r="F2582" s="2">
        <v>8</v>
      </c>
      <c r="G2582" s="3" t="str">
        <f>IF(Sales[[#This Row],[Anggaran Murni]]-Sales[[#This Row],[Target s.d. Januari]]=0,"",Sales[[#This Row],[Anggaran Murni]]-Sales[[#This Row],[Target s.d. Januari]])</f>
        <v/>
      </c>
      <c r="H2582" s="2" t="s">
        <v>113</v>
      </c>
      <c r="I2582" s="3" t="s">
        <v>77</v>
      </c>
      <c r="J2582" s="3">
        <v>60000000</v>
      </c>
      <c r="K2582" s="2" t="s">
        <v>51</v>
      </c>
      <c r="L2582" s="2" t="s">
        <v>2</v>
      </c>
      <c r="M2582" s="4" t="s">
        <v>67</v>
      </c>
      <c r="N2582" s="3" t="s">
        <v>81</v>
      </c>
      <c r="O2582" s="2" t="s">
        <v>12</v>
      </c>
      <c r="P2582" s="10"/>
      <c r="Q2582" s="11"/>
    </row>
    <row r="2583" spans="2:17" ht="21" customHeight="1" x14ac:dyDescent="0.35">
      <c r="B2583" s="18">
        <v>44132</v>
      </c>
      <c r="C2583" s="18" t="str">
        <f>TEXT(Sales[[#This Row],[Kode Program/Kegiatan ]],"D")</f>
        <v>28</v>
      </c>
      <c r="D2583" s="19" t="str">
        <f>TEXT(Sales[[#This Row],[Kode Program/Kegiatan ]],"mmm")</f>
        <v>Oct</v>
      </c>
      <c r="E2583" s="20">
        <v>7</v>
      </c>
      <c r="F2583" s="19">
        <v>7</v>
      </c>
      <c r="G2583" s="20" t="str">
        <f>IF(Sales[[#This Row],[Anggaran Murni]]-Sales[[#This Row],[Target s.d. Januari]]=0,"",Sales[[#This Row],[Anggaran Murni]]-Sales[[#This Row],[Target s.d. Januari]])</f>
        <v/>
      </c>
      <c r="H2583" s="19" t="s">
        <v>73</v>
      </c>
      <c r="I2583" s="20" t="s">
        <v>78</v>
      </c>
      <c r="J2583" s="20">
        <v>100000000</v>
      </c>
      <c r="K2583" s="19" t="s">
        <v>46</v>
      </c>
      <c r="L2583" s="19" t="s">
        <v>5</v>
      </c>
      <c r="M2583" s="21" t="s">
        <v>67</v>
      </c>
      <c r="N2583" s="20" t="s">
        <v>80</v>
      </c>
      <c r="O2583" s="19" t="s">
        <v>12</v>
      </c>
      <c r="P2583" s="10"/>
      <c r="Q2583" s="11"/>
    </row>
    <row r="2584" spans="2:17" ht="21" customHeight="1" x14ac:dyDescent="0.35">
      <c r="B2584" s="1">
        <v>44132</v>
      </c>
      <c r="C2584" s="1" t="str">
        <f>TEXT(Sales[[#This Row],[Kode Program/Kegiatan ]],"D")</f>
        <v>28</v>
      </c>
      <c r="D2584" s="2" t="str">
        <f>TEXT(Sales[[#This Row],[Kode Program/Kegiatan ]],"mmm")</f>
        <v>Oct</v>
      </c>
      <c r="E2584" s="3">
        <v>6</v>
      </c>
      <c r="F2584" s="2">
        <v>6</v>
      </c>
      <c r="G2584" s="3" t="str">
        <f>IF(Sales[[#This Row],[Anggaran Murni]]-Sales[[#This Row],[Target s.d. Januari]]=0,"",Sales[[#This Row],[Anggaran Murni]]-Sales[[#This Row],[Target s.d. Januari]])</f>
        <v/>
      </c>
      <c r="H2584" s="2" t="s">
        <v>76</v>
      </c>
      <c r="I2584" s="3" t="s">
        <v>79</v>
      </c>
      <c r="J2584" s="3">
        <v>140000000</v>
      </c>
      <c r="K2584" s="2" t="s">
        <v>57</v>
      </c>
      <c r="L2584" s="2" t="s">
        <v>2</v>
      </c>
      <c r="M2584" s="4" t="s">
        <v>67</v>
      </c>
      <c r="N2584" s="3" t="s">
        <v>82</v>
      </c>
      <c r="O2584" s="2" t="s">
        <v>11</v>
      </c>
      <c r="P2584" s="10"/>
      <c r="Q2584" s="11"/>
    </row>
    <row r="2585" spans="2:17" ht="21" customHeight="1" x14ac:dyDescent="0.35">
      <c r="B2585" s="18">
        <v>44132</v>
      </c>
      <c r="C2585" s="18" t="str">
        <f>TEXT(Sales[[#This Row],[Kode Program/Kegiatan ]],"D")</f>
        <v>28</v>
      </c>
      <c r="D2585" s="19" t="str">
        <f>TEXT(Sales[[#This Row],[Kode Program/Kegiatan ]],"mmm")</f>
        <v>Oct</v>
      </c>
      <c r="E2585" s="20">
        <v>4</v>
      </c>
      <c r="F2585" s="19">
        <v>4</v>
      </c>
      <c r="G2585" s="20" t="str">
        <f>IF(Sales[[#This Row],[Anggaran Murni]]-Sales[[#This Row],[Target s.d. Januari]]=0,"",Sales[[#This Row],[Anggaran Murni]]-Sales[[#This Row],[Target s.d. Januari]])</f>
        <v/>
      </c>
      <c r="H2585" s="19" t="s">
        <v>114</v>
      </c>
      <c r="I2585" s="20" t="s">
        <v>3</v>
      </c>
      <c r="J2585" s="20">
        <v>40000000</v>
      </c>
      <c r="K2585" s="19" t="s">
        <v>29</v>
      </c>
      <c r="L2585" s="19" t="s">
        <v>8</v>
      </c>
      <c r="M2585" s="21" t="s">
        <v>67</v>
      </c>
      <c r="N2585" s="20" t="s">
        <v>80</v>
      </c>
      <c r="O2585" s="19" t="s">
        <v>14</v>
      </c>
      <c r="P2585" s="10"/>
      <c r="Q2585" s="11"/>
    </row>
    <row r="2586" spans="2:17" ht="21" customHeight="1" x14ac:dyDescent="0.35">
      <c r="B2586" s="1">
        <v>44132</v>
      </c>
      <c r="C2586" s="1" t="str">
        <f>TEXT(Sales[[#This Row],[Kode Program/Kegiatan ]],"D")</f>
        <v>28</v>
      </c>
      <c r="D2586" s="2" t="str">
        <f>TEXT(Sales[[#This Row],[Kode Program/Kegiatan ]],"mmm")</f>
        <v>Oct</v>
      </c>
      <c r="E2586" s="3">
        <v>4</v>
      </c>
      <c r="F2586" s="2">
        <v>4</v>
      </c>
      <c r="G2586" s="3" t="str">
        <f>IF(Sales[[#This Row],[Anggaran Murni]]-Sales[[#This Row],[Target s.d. Januari]]=0,"",Sales[[#This Row],[Anggaran Murni]]-Sales[[#This Row],[Target s.d. Januari]])</f>
        <v/>
      </c>
      <c r="H2586" s="2" t="s">
        <v>76</v>
      </c>
      <c r="I2586" s="3" t="s">
        <v>79</v>
      </c>
      <c r="J2586" s="3">
        <v>80000000</v>
      </c>
      <c r="K2586" s="2" t="s">
        <v>54</v>
      </c>
      <c r="L2586" s="2" t="s">
        <v>2</v>
      </c>
      <c r="M2586" s="4" t="s">
        <v>67</v>
      </c>
      <c r="N2586" s="3" t="s">
        <v>81</v>
      </c>
      <c r="O2586" s="2" t="s">
        <v>11</v>
      </c>
      <c r="P2586" s="10"/>
      <c r="Q2586" s="11"/>
    </row>
    <row r="2587" spans="2:17" ht="21" customHeight="1" x14ac:dyDescent="0.35">
      <c r="B2587" s="18">
        <v>44132</v>
      </c>
      <c r="C2587" s="18" t="str">
        <f>TEXT(Sales[[#This Row],[Kode Program/Kegiatan ]],"D")</f>
        <v>28</v>
      </c>
      <c r="D2587" s="19" t="str">
        <f>TEXT(Sales[[#This Row],[Kode Program/Kegiatan ]],"mmm")</f>
        <v>Oct</v>
      </c>
      <c r="E2587" s="20">
        <v>3</v>
      </c>
      <c r="F2587" s="19">
        <v>3</v>
      </c>
      <c r="G2587" s="20" t="str">
        <f>IF(Sales[[#This Row],[Anggaran Murni]]-Sales[[#This Row],[Target s.d. Januari]]=0,"",Sales[[#This Row],[Anggaran Murni]]-Sales[[#This Row],[Target s.d. Januari]])</f>
        <v/>
      </c>
      <c r="H2587" s="19" t="s">
        <v>113</v>
      </c>
      <c r="I2587" s="20" t="s">
        <v>77</v>
      </c>
      <c r="J2587" s="20">
        <v>100000000</v>
      </c>
      <c r="K2587" s="19" t="s">
        <v>22</v>
      </c>
      <c r="L2587" s="19" t="s">
        <v>5</v>
      </c>
      <c r="M2587" s="21" t="s">
        <v>67</v>
      </c>
      <c r="N2587" s="20" t="s">
        <v>82</v>
      </c>
      <c r="O2587" s="19" t="s">
        <v>11</v>
      </c>
      <c r="P2587" s="10"/>
      <c r="Q2587" s="11"/>
    </row>
    <row r="2588" spans="2:17" ht="21" customHeight="1" x14ac:dyDescent="0.35">
      <c r="B2588" s="1">
        <v>44132</v>
      </c>
      <c r="C2588" s="1" t="str">
        <f>TEXT(Sales[[#This Row],[Kode Program/Kegiatan ]],"D")</f>
        <v>28</v>
      </c>
      <c r="D2588" s="2" t="str">
        <f>TEXT(Sales[[#This Row],[Kode Program/Kegiatan ]],"mmm")</f>
        <v>Oct</v>
      </c>
      <c r="E2588" s="3">
        <v>3</v>
      </c>
      <c r="F2588" s="2">
        <v>3</v>
      </c>
      <c r="G2588" s="3" t="str">
        <f>IF(Sales[[#This Row],[Anggaran Murni]]-Sales[[#This Row],[Target s.d. Januari]]=0,"",Sales[[#This Row],[Anggaran Murni]]-Sales[[#This Row],[Target s.d. Januari]])</f>
        <v/>
      </c>
      <c r="H2588" s="2" t="s">
        <v>72</v>
      </c>
      <c r="I2588" s="3" t="s">
        <v>78</v>
      </c>
      <c r="J2588" s="3">
        <v>120000000</v>
      </c>
      <c r="K2588" s="2" t="s">
        <v>31</v>
      </c>
      <c r="L2588" s="2" t="s">
        <v>7</v>
      </c>
      <c r="M2588" s="4" t="s">
        <v>67</v>
      </c>
      <c r="N2588" s="3" t="s">
        <v>81</v>
      </c>
      <c r="O2588" s="2" t="s">
        <v>12</v>
      </c>
      <c r="P2588" s="10"/>
      <c r="Q2588" s="11"/>
    </row>
    <row r="2589" spans="2:17" ht="21" customHeight="1" x14ac:dyDescent="0.35">
      <c r="B2589" s="18">
        <v>44133</v>
      </c>
      <c r="C2589" s="18" t="str">
        <f>TEXT(Sales[[#This Row],[Kode Program/Kegiatan ]],"D")</f>
        <v>29</v>
      </c>
      <c r="D2589" s="19" t="str">
        <f>TEXT(Sales[[#This Row],[Kode Program/Kegiatan ]],"mmm")</f>
        <v>Oct</v>
      </c>
      <c r="E2589" s="20">
        <v>9</v>
      </c>
      <c r="F2589" s="19">
        <v>9</v>
      </c>
      <c r="G2589" s="20" t="str">
        <f>IF(Sales[[#This Row],[Anggaran Murni]]-Sales[[#This Row],[Target s.d. Januari]]=0,"",Sales[[#This Row],[Anggaran Murni]]-Sales[[#This Row],[Target s.d. Januari]])</f>
        <v/>
      </c>
      <c r="H2589" s="19" t="s">
        <v>74</v>
      </c>
      <c r="I2589" s="20" t="s">
        <v>77</v>
      </c>
      <c r="J2589" s="20">
        <v>100000000</v>
      </c>
      <c r="K2589" s="19" t="s">
        <v>34</v>
      </c>
      <c r="L2589" s="19" t="s">
        <v>2</v>
      </c>
      <c r="M2589" s="21" t="s">
        <v>67</v>
      </c>
      <c r="N2589" s="20" t="s">
        <v>81</v>
      </c>
      <c r="O2589" s="19" t="s">
        <v>11</v>
      </c>
      <c r="P2589" s="10"/>
      <c r="Q2589" s="11"/>
    </row>
    <row r="2590" spans="2:17" ht="21" customHeight="1" x14ac:dyDescent="0.35">
      <c r="B2590" s="1">
        <v>44133</v>
      </c>
      <c r="C2590" s="1" t="str">
        <f>TEXT(Sales[[#This Row],[Kode Program/Kegiatan ]],"D")</f>
        <v>29</v>
      </c>
      <c r="D2590" s="2" t="str">
        <f>TEXT(Sales[[#This Row],[Kode Program/Kegiatan ]],"mmm")</f>
        <v>Oct</v>
      </c>
      <c r="E2590" s="3">
        <v>9</v>
      </c>
      <c r="F2590" s="2">
        <v>9</v>
      </c>
      <c r="G2590" s="3" t="str">
        <f>IF(Sales[[#This Row],[Anggaran Murni]]-Sales[[#This Row],[Target s.d. Januari]]=0,"",Sales[[#This Row],[Anggaran Murni]]-Sales[[#This Row],[Target s.d. Januari]])</f>
        <v/>
      </c>
      <c r="H2590" s="2" t="s">
        <v>73</v>
      </c>
      <c r="I2590" s="3" t="s">
        <v>78</v>
      </c>
      <c r="J2590" s="3">
        <v>100000000</v>
      </c>
      <c r="K2590" s="2" t="s">
        <v>56</v>
      </c>
      <c r="L2590" s="2" t="s">
        <v>8</v>
      </c>
      <c r="M2590" s="4" t="s">
        <v>67</v>
      </c>
      <c r="N2590" s="3" t="s">
        <v>82</v>
      </c>
      <c r="O2590" s="2" t="s">
        <v>12</v>
      </c>
      <c r="P2590" s="10"/>
      <c r="Q2590" s="11"/>
    </row>
    <row r="2591" spans="2:17" ht="21" customHeight="1" x14ac:dyDescent="0.35">
      <c r="B2591" s="18">
        <v>44133</v>
      </c>
      <c r="C2591" s="18" t="str">
        <f>TEXT(Sales[[#This Row],[Kode Program/Kegiatan ]],"D")</f>
        <v>29</v>
      </c>
      <c r="D2591" s="19" t="str">
        <f>TEXT(Sales[[#This Row],[Kode Program/Kegiatan ]],"mmm")</f>
        <v>Oct</v>
      </c>
      <c r="E2591" s="20">
        <v>8</v>
      </c>
      <c r="F2591" s="19">
        <v>8</v>
      </c>
      <c r="G2591" s="20" t="str">
        <f>IF(Sales[[#This Row],[Anggaran Murni]]-Sales[[#This Row],[Target s.d. Januari]]=0,"",Sales[[#This Row],[Anggaran Murni]]-Sales[[#This Row],[Target s.d. Januari]])</f>
        <v/>
      </c>
      <c r="H2591" s="19" t="s">
        <v>70</v>
      </c>
      <c r="I2591" s="20" t="s">
        <v>1</v>
      </c>
      <c r="J2591" s="20">
        <v>80000000</v>
      </c>
      <c r="K2591" s="19" t="s">
        <v>51</v>
      </c>
      <c r="L2591" s="19" t="s">
        <v>5</v>
      </c>
      <c r="M2591" s="21" t="s">
        <v>67</v>
      </c>
      <c r="N2591" s="20" t="s">
        <v>82</v>
      </c>
      <c r="O2591" s="19" t="s">
        <v>12</v>
      </c>
      <c r="P2591" s="10"/>
      <c r="Q2591" s="11"/>
    </row>
    <row r="2592" spans="2:17" ht="21" customHeight="1" x14ac:dyDescent="0.35">
      <c r="B2592" s="1">
        <v>44133</v>
      </c>
      <c r="C2592" s="1" t="str">
        <f>TEXT(Sales[[#This Row],[Kode Program/Kegiatan ]],"D")</f>
        <v>29</v>
      </c>
      <c r="D2592" s="2" t="str">
        <f>TEXT(Sales[[#This Row],[Kode Program/Kegiatan ]],"mmm")</f>
        <v>Oct</v>
      </c>
      <c r="E2592" s="3">
        <v>8</v>
      </c>
      <c r="F2592" s="2">
        <v>8</v>
      </c>
      <c r="G2592" s="3" t="str">
        <f>IF(Sales[[#This Row],[Anggaran Murni]]-Sales[[#This Row],[Target s.d. Januari]]=0,"",Sales[[#This Row],[Anggaran Murni]]-Sales[[#This Row],[Target s.d. Januari]])</f>
        <v/>
      </c>
      <c r="H2592" s="2" t="s">
        <v>73</v>
      </c>
      <c r="I2592" s="3" t="s">
        <v>78</v>
      </c>
      <c r="J2592" s="3">
        <v>80000000</v>
      </c>
      <c r="K2592" s="2" t="s">
        <v>53</v>
      </c>
      <c r="L2592" s="2" t="s">
        <v>2</v>
      </c>
      <c r="M2592" s="4" t="s">
        <v>67</v>
      </c>
      <c r="N2592" s="3" t="s">
        <v>81</v>
      </c>
      <c r="O2592" s="2" t="s">
        <v>13</v>
      </c>
      <c r="P2592" s="10"/>
      <c r="Q2592" s="11"/>
    </row>
    <row r="2593" spans="2:17" ht="21" customHeight="1" x14ac:dyDescent="0.35">
      <c r="B2593" s="18">
        <v>44133</v>
      </c>
      <c r="C2593" s="18" t="str">
        <f>TEXT(Sales[[#This Row],[Kode Program/Kegiatan ]],"D")</f>
        <v>29</v>
      </c>
      <c r="D2593" s="19" t="str">
        <f>TEXT(Sales[[#This Row],[Kode Program/Kegiatan ]],"mmm")</f>
        <v>Oct</v>
      </c>
      <c r="E2593" s="20">
        <v>8</v>
      </c>
      <c r="F2593" s="19">
        <v>8</v>
      </c>
      <c r="G2593" s="20" t="str">
        <f>IF(Sales[[#This Row],[Anggaran Murni]]-Sales[[#This Row],[Target s.d. Januari]]=0,"",Sales[[#This Row],[Anggaran Murni]]-Sales[[#This Row],[Target s.d. Januari]])</f>
        <v/>
      </c>
      <c r="H2593" s="19" t="s">
        <v>113</v>
      </c>
      <c r="I2593" s="20" t="s">
        <v>77</v>
      </c>
      <c r="J2593" s="20">
        <v>140000000</v>
      </c>
      <c r="K2593" s="19" t="s">
        <v>37</v>
      </c>
      <c r="L2593" s="19" t="s">
        <v>2</v>
      </c>
      <c r="M2593" s="21" t="s">
        <v>67</v>
      </c>
      <c r="N2593" s="20" t="s">
        <v>81</v>
      </c>
      <c r="O2593" s="19" t="s">
        <v>14</v>
      </c>
      <c r="P2593" s="10"/>
      <c r="Q2593" s="11"/>
    </row>
    <row r="2594" spans="2:17" ht="21" customHeight="1" x14ac:dyDescent="0.35">
      <c r="B2594" s="1">
        <v>44133</v>
      </c>
      <c r="C2594" s="1" t="str">
        <f>TEXT(Sales[[#This Row],[Kode Program/Kegiatan ]],"D")</f>
        <v>29</v>
      </c>
      <c r="D2594" s="2" t="str">
        <f>TEXT(Sales[[#This Row],[Kode Program/Kegiatan ]],"mmm")</f>
        <v>Oct</v>
      </c>
      <c r="E2594" s="3">
        <v>7</v>
      </c>
      <c r="F2594" s="2">
        <v>7</v>
      </c>
      <c r="G2594" s="3" t="str">
        <f>IF(Sales[[#This Row],[Anggaran Murni]]-Sales[[#This Row],[Target s.d. Januari]]=0,"",Sales[[#This Row],[Anggaran Murni]]-Sales[[#This Row],[Target s.d. Januari]])</f>
        <v/>
      </c>
      <c r="H2594" s="2" t="s">
        <v>71</v>
      </c>
      <c r="I2594" s="3" t="s">
        <v>6</v>
      </c>
      <c r="J2594" s="3">
        <v>60000000</v>
      </c>
      <c r="K2594" s="2" t="s">
        <v>27</v>
      </c>
      <c r="L2594" s="2" t="s">
        <v>5</v>
      </c>
      <c r="M2594" s="4" t="s">
        <v>67</v>
      </c>
      <c r="N2594" s="3" t="s">
        <v>81</v>
      </c>
      <c r="O2594" s="2" t="s">
        <v>14</v>
      </c>
      <c r="P2594" s="10"/>
      <c r="Q2594" s="11"/>
    </row>
    <row r="2595" spans="2:17" ht="21" customHeight="1" x14ac:dyDescent="0.35">
      <c r="B2595" s="18">
        <v>44133</v>
      </c>
      <c r="C2595" s="18" t="str">
        <f>TEXT(Sales[[#This Row],[Kode Program/Kegiatan ]],"D")</f>
        <v>29</v>
      </c>
      <c r="D2595" s="19" t="str">
        <f>TEXT(Sales[[#This Row],[Kode Program/Kegiatan ]],"mmm")</f>
        <v>Oct</v>
      </c>
      <c r="E2595" s="20">
        <v>5</v>
      </c>
      <c r="F2595" s="19">
        <v>5</v>
      </c>
      <c r="G2595" s="20" t="str">
        <f>IF(Sales[[#This Row],[Anggaran Murni]]-Sales[[#This Row],[Target s.d. Januari]]=0,"",Sales[[#This Row],[Anggaran Murni]]-Sales[[#This Row],[Target s.d. Januari]])</f>
        <v/>
      </c>
      <c r="H2595" s="19" t="s">
        <v>114</v>
      </c>
      <c r="I2595" s="20" t="s">
        <v>3</v>
      </c>
      <c r="J2595" s="20">
        <v>60000000</v>
      </c>
      <c r="K2595" s="19" t="s">
        <v>23</v>
      </c>
      <c r="L2595" s="19" t="s">
        <v>9</v>
      </c>
      <c r="M2595" s="21" t="s">
        <v>67</v>
      </c>
      <c r="N2595" s="20" t="s">
        <v>80</v>
      </c>
      <c r="O2595" s="19" t="s">
        <v>11</v>
      </c>
      <c r="P2595" s="10"/>
      <c r="Q2595" s="11"/>
    </row>
    <row r="2596" spans="2:17" ht="21" customHeight="1" x14ac:dyDescent="0.35">
      <c r="B2596" s="1">
        <v>44133</v>
      </c>
      <c r="C2596" s="1" t="str">
        <f>TEXT(Sales[[#This Row],[Kode Program/Kegiatan ]],"D")</f>
        <v>29</v>
      </c>
      <c r="D2596" s="2" t="str">
        <f>TEXT(Sales[[#This Row],[Kode Program/Kegiatan ]],"mmm")</f>
        <v>Oct</v>
      </c>
      <c r="E2596" s="3">
        <v>3</v>
      </c>
      <c r="F2596" s="2">
        <v>3</v>
      </c>
      <c r="G2596" s="3" t="str">
        <f>IF(Sales[[#This Row],[Anggaran Murni]]-Sales[[#This Row],[Target s.d. Januari]]=0,"",Sales[[#This Row],[Anggaran Murni]]-Sales[[#This Row],[Target s.d. Januari]])</f>
        <v/>
      </c>
      <c r="H2596" s="2" t="s">
        <v>74</v>
      </c>
      <c r="I2596" s="3" t="s">
        <v>77</v>
      </c>
      <c r="J2596" s="3">
        <v>100000000</v>
      </c>
      <c r="K2596" s="2" t="s">
        <v>35</v>
      </c>
      <c r="L2596" s="2" t="s">
        <v>8</v>
      </c>
      <c r="M2596" s="4" t="s">
        <v>67</v>
      </c>
      <c r="N2596" s="3" t="s">
        <v>80</v>
      </c>
      <c r="O2596" s="2" t="s">
        <v>14</v>
      </c>
      <c r="P2596" s="10"/>
      <c r="Q2596" s="11"/>
    </row>
    <row r="2597" spans="2:17" ht="21" customHeight="1" x14ac:dyDescent="0.35">
      <c r="B2597" s="18">
        <v>44134</v>
      </c>
      <c r="C2597" s="18" t="str">
        <f>TEXT(Sales[[#This Row],[Kode Program/Kegiatan ]],"D")</f>
        <v>30</v>
      </c>
      <c r="D2597" s="19" t="str">
        <f>TEXT(Sales[[#This Row],[Kode Program/Kegiatan ]],"mmm")</f>
        <v>Oct</v>
      </c>
      <c r="E2597" s="20">
        <v>9</v>
      </c>
      <c r="F2597" s="19">
        <v>9</v>
      </c>
      <c r="G2597" s="20" t="str">
        <f>IF(Sales[[#This Row],[Anggaran Murni]]-Sales[[#This Row],[Target s.d. Januari]]=0,"",Sales[[#This Row],[Anggaran Murni]]-Sales[[#This Row],[Target s.d. Januari]])</f>
        <v/>
      </c>
      <c r="H2597" s="19" t="s">
        <v>70</v>
      </c>
      <c r="I2597" s="20" t="s">
        <v>1</v>
      </c>
      <c r="J2597" s="20">
        <v>60000000</v>
      </c>
      <c r="K2597" s="19" t="s">
        <v>63</v>
      </c>
      <c r="L2597" s="19" t="s">
        <v>2</v>
      </c>
      <c r="M2597" s="21" t="s">
        <v>67</v>
      </c>
      <c r="N2597" s="20" t="s">
        <v>82</v>
      </c>
      <c r="O2597" s="19" t="s">
        <v>11</v>
      </c>
      <c r="P2597" s="10"/>
      <c r="Q2597" s="11"/>
    </row>
    <row r="2598" spans="2:17" ht="21" customHeight="1" x14ac:dyDescent="0.35">
      <c r="B2598" s="1">
        <v>44134</v>
      </c>
      <c r="C2598" s="1" t="str">
        <f>TEXT(Sales[[#This Row],[Kode Program/Kegiatan ]],"D")</f>
        <v>30</v>
      </c>
      <c r="D2598" s="2" t="str">
        <f>TEXT(Sales[[#This Row],[Kode Program/Kegiatan ]],"mmm")</f>
        <v>Oct</v>
      </c>
      <c r="E2598" s="3">
        <v>9</v>
      </c>
      <c r="F2598" s="2">
        <v>9</v>
      </c>
      <c r="G2598" s="3" t="str">
        <f>IF(Sales[[#This Row],[Anggaran Murni]]-Sales[[#This Row],[Target s.d. Januari]]=0,"",Sales[[#This Row],[Anggaran Murni]]-Sales[[#This Row],[Target s.d. Januari]])</f>
        <v/>
      </c>
      <c r="H2598" s="2" t="s">
        <v>72</v>
      </c>
      <c r="I2598" s="3" t="s">
        <v>78</v>
      </c>
      <c r="J2598" s="3">
        <v>100000000</v>
      </c>
      <c r="K2598" s="2" t="s">
        <v>19</v>
      </c>
      <c r="L2598" s="2" t="s">
        <v>2</v>
      </c>
      <c r="M2598" s="4" t="s">
        <v>67</v>
      </c>
      <c r="N2598" s="3" t="s">
        <v>82</v>
      </c>
      <c r="O2598" s="2" t="s">
        <v>14</v>
      </c>
      <c r="P2598" s="10"/>
      <c r="Q2598" s="11"/>
    </row>
    <row r="2599" spans="2:17" ht="21" customHeight="1" x14ac:dyDescent="0.35">
      <c r="B2599" s="18">
        <v>44134</v>
      </c>
      <c r="C2599" s="18" t="str">
        <f>TEXT(Sales[[#This Row],[Kode Program/Kegiatan ]],"D")</f>
        <v>30</v>
      </c>
      <c r="D2599" s="19" t="str">
        <f>TEXT(Sales[[#This Row],[Kode Program/Kegiatan ]],"mmm")</f>
        <v>Oct</v>
      </c>
      <c r="E2599" s="20">
        <v>8</v>
      </c>
      <c r="F2599" s="19">
        <v>8</v>
      </c>
      <c r="G2599" s="20" t="str">
        <f>IF(Sales[[#This Row],[Anggaran Murni]]-Sales[[#This Row],[Target s.d. Januari]]=0,"",Sales[[#This Row],[Anggaran Murni]]-Sales[[#This Row],[Target s.d. Januari]])</f>
        <v/>
      </c>
      <c r="H2599" s="19" t="s">
        <v>73</v>
      </c>
      <c r="I2599" s="20" t="s">
        <v>78</v>
      </c>
      <c r="J2599" s="20">
        <v>40000000</v>
      </c>
      <c r="K2599" s="19" t="s">
        <v>15</v>
      </c>
      <c r="L2599" s="19" t="s">
        <v>2</v>
      </c>
      <c r="M2599" s="21" t="s">
        <v>67</v>
      </c>
      <c r="N2599" s="20" t="s">
        <v>82</v>
      </c>
      <c r="O2599" s="19" t="s">
        <v>14</v>
      </c>
      <c r="P2599" s="10"/>
      <c r="Q2599" s="11"/>
    </row>
    <row r="2600" spans="2:17" ht="21" customHeight="1" x14ac:dyDescent="0.35">
      <c r="B2600" s="1">
        <v>44134</v>
      </c>
      <c r="C2600" s="1" t="str">
        <f>TEXT(Sales[[#This Row],[Kode Program/Kegiatan ]],"D")</f>
        <v>30</v>
      </c>
      <c r="D2600" s="2" t="str">
        <f>TEXT(Sales[[#This Row],[Kode Program/Kegiatan ]],"mmm")</f>
        <v>Oct</v>
      </c>
      <c r="E2600" s="3">
        <v>7</v>
      </c>
      <c r="F2600" s="2">
        <v>7</v>
      </c>
      <c r="G2600" s="3" t="str">
        <f>IF(Sales[[#This Row],[Anggaran Murni]]-Sales[[#This Row],[Target s.d. Januari]]=0,"",Sales[[#This Row],[Anggaran Murni]]-Sales[[#This Row],[Target s.d. Januari]])</f>
        <v/>
      </c>
      <c r="H2600" s="2" t="s">
        <v>76</v>
      </c>
      <c r="I2600" s="3" t="s">
        <v>79</v>
      </c>
      <c r="J2600" s="3">
        <v>80000000</v>
      </c>
      <c r="K2600" s="2" t="s">
        <v>45</v>
      </c>
      <c r="L2600" s="2" t="s">
        <v>2</v>
      </c>
      <c r="M2600" s="4" t="s">
        <v>67</v>
      </c>
      <c r="N2600" s="3" t="s">
        <v>80</v>
      </c>
      <c r="O2600" s="2" t="s">
        <v>14</v>
      </c>
      <c r="P2600" s="10"/>
      <c r="Q2600" s="11"/>
    </row>
    <row r="2601" spans="2:17" ht="21" customHeight="1" x14ac:dyDescent="0.35">
      <c r="B2601" s="18">
        <v>44134</v>
      </c>
      <c r="C2601" s="18" t="str">
        <f>TEXT(Sales[[#This Row],[Kode Program/Kegiatan ]],"D")</f>
        <v>30</v>
      </c>
      <c r="D2601" s="19" t="str">
        <f>TEXT(Sales[[#This Row],[Kode Program/Kegiatan ]],"mmm")</f>
        <v>Oct</v>
      </c>
      <c r="E2601" s="20">
        <v>7</v>
      </c>
      <c r="F2601" s="19">
        <v>7</v>
      </c>
      <c r="G2601" s="20" t="str">
        <f>IF(Sales[[#This Row],[Anggaran Murni]]-Sales[[#This Row],[Target s.d. Januari]]=0,"",Sales[[#This Row],[Anggaran Murni]]-Sales[[#This Row],[Target s.d. Januari]])</f>
        <v/>
      </c>
      <c r="H2601" s="19" t="s">
        <v>70</v>
      </c>
      <c r="I2601" s="20" t="s">
        <v>1</v>
      </c>
      <c r="J2601" s="20">
        <v>100000000</v>
      </c>
      <c r="K2601" s="19" t="s">
        <v>27</v>
      </c>
      <c r="L2601" s="19" t="s">
        <v>4</v>
      </c>
      <c r="M2601" s="21" t="s">
        <v>67</v>
      </c>
      <c r="N2601" s="20" t="s">
        <v>82</v>
      </c>
      <c r="O2601" s="19" t="s">
        <v>13</v>
      </c>
      <c r="P2601" s="10"/>
      <c r="Q2601" s="11"/>
    </row>
    <row r="2602" spans="2:17" ht="21" customHeight="1" x14ac:dyDescent="0.35">
      <c r="B2602" s="1">
        <v>44134</v>
      </c>
      <c r="C2602" s="1" t="str">
        <f>TEXT(Sales[[#This Row],[Kode Program/Kegiatan ]],"D")</f>
        <v>30</v>
      </c>
      <c r="D2602" s="2" t="str">
        <f>TEXT(Sales[[#This Row],[Kode Program/Kegiatan ]],"mmm")</f>
        <v>Oct</v>
      </c>
      <c r="E2602" s="3">
        <v>6</v>
      </c>
      <c r="F2602" s="2">
        <v>6</v>
      </c>
      <c r="G2602" s="3" t="str">
        <f>IF(Sales[[#This Row],[Anggaran Murni]]-Sales[[#This Row],[Target s.d. Januari]]=0,"",Sales[[#This Row],[Anggaran Murni]]-Sales[[#This Row],[Target s.d. Januari]])</f>
        <v/>
      </c>
      <c r="H2602" s="2" t="s">
        <v>74</v>
      </c>
      <c r="I2602" s="3" t="s">
        <v>77</v>
      </c>
      <c r="J2602" s="3">
        <v>40000000</v>
      </c>
      <c r="K2602" s="2" t="s">
        <v>58</v>
      </c>
      <c r="L2602" s="2" t="s">
        <v>9</v>
      </c>
      <c r="M2602" s="4" t="s">
        <v>67</v>
      </c>
      <c r="N2602" s="3" t="s">
        <v>82</v>
      </c>
      <c r="O2602" s="2" t="s">
        <v>12</v>
      </c>
      <c r="P2602" s="10"/>
      <c r="Q2602" s="11"/>
    </row>
    <row r="2603" spans="2:17" ht="21" customHeight="1" x14ac:dyDescent="0.35">
      <c r="B2603" s="18">
        <v>44134</v>
      </c>
      <c r="C2603" s="18" t="str">
        <f>TEXT(Sales[[#This Row],[Kode Program/Kegiatan ]],"D")</f>
        <v>30</v>
      </c>
      <c r="D2603" s="19" t="str">
        <f>TEXT(Sales[[#This Row],[Kode Program/Kegiatan ]],"mmm")</f>
        <v>Oct</v>
      </c>
      <c r="E2603" s="20">
        <v>5</v>
      </c>
      <c r="F2603" s="19">
        <v>5</v>
      </c>
      <c r="G2603" s="20" t="str">
        <f>IF(Sales[[#This Row],[Anggaran Murni]]-Sales[[#This Row],[Target s.d. Januari]]=0,"",Sales[[#This Row],[Anggaran Murni]]-Sales[[#This Row],[Target s.d. Januari]])</f>
        <v/>
      </c>
      <c r="H2603" s="19" t="s">
        <v>75</v>
      </c>
      <c r="I2603" s="20" t="s">
        <v>6</v>
      </c>
      <c r="J2603" s="20">
        <v>120000000</v>
      </c>
      <c r="K2603" s="19" t="s">
        <v>20</v>
      </c>
      <c r="L2603" s="19" t="s">
        <v>5</v>
      </c>
      <c r="M2603" s="21" t="s">
        <v>67</v>
      </c>
      <c r="N2603" s="20" t="s">
        <v>82</v>
      </c>
      <c r="O2603" s="19" t="s">
        <v>11</v>
      </c>
      <c r="P2603" s="10"/>
      <c r="Q2603" s="11"/>
    </row>
    <row r="2604" spans="2:17" ht="21" customHeight="1" x14ac:dyDescent="0.35">
      <c r="B2604" s="1">
        <v>44134</v>
      </c>
      <c r="C2604" s="1" t="str">
        <f>TEXT(Sales[[#This Row],[Kode Program/Kegiatan ]],"D")</f>
        <v>30</v>
      </c>
      <c r="D2604" s="2" t="str">
        <f>TEXT(Sales[[#This Row],[Kode Program/Kegiatan ]],"mmm")</f>
        <v>Oct</v>
      </c>
      <c r="E2604" s="3">
        <v>5</v>
      </c>
      <c r="F2604" s="2">
        <v>5</v>
      </c>
      <c r="G2604" s="3" t="str">
        <f>IF(Sales[[#This Row],[Anggaran Murni]]-Sales[[#This Row],[Target s.d. Januari]]=0,"",Sales[[#This Row],[Anggaran Murni]]-Sales[[#This Row],[Target s.d. Januari]])</f>
        <v/>
      </c>
      <c r="H2604" s="2" t="s">
        <v>73</v>
      </c>
      <c r="I2604" s="3" t="s">
        <v>78</v>
      </c>
      <c r="J2604" s="3">
        <v>80000000</v>
      </c>
      <c r="K2604" s="2" t="s">
        <v>63</v>
      </c>
      <c r="L2604" s="2" t="s">
        <v>5</v>
      </c>
      <c r="M2604" s="4" t="s">
        <v>67</v>
      </c>
      <c r="N2604" s="3" t="s">
        <v>80</v>
      </c>
      <c r="O2604" s="2" t="s">
        <v>11</v>
      </c>
      <c r="P2604" s="10"/>
      <c r="Q2604" s="11"/>
    </row>
    <row r="2605" spans="2:17" ht="21" customHeight="1" x14ac:dyDescent="0.35">
      <c r="B2605" s="18">
        <v>44134</v>
      </c>
      <c r="C2605" s="18" t="str">
        <f>TEXT(Sales[[#This Row],[Kode Program/Kegiatan ]],"D")</f>
        <v>30</v>
      </c>
      <c r="D2605" s="19" t="str">
        <f>TEXT(Sales[[#This Row],[Kode Program/Kegiatan ]],"mmm")</f>
        <v>Oct</v>
      </c>
      <c r="E2605" s="20">
        <v>5</v>
      </c>
      <c r="F2605" s="19">
        <v>5</v>
      </c>
      <c r="G2605" s="20" t="str">
        <f>IF(Sales[[#This Row],[Anggaran Murni]]-Sales[[#This Row],[Target s.d. Januari]]=0,"",Sales[[#This Row],[Anggaran Murni]]-Sales[[#This Row],[Target s.d. Januari]])</f>
        <v/>
      </c>
      <c r="H2605" s="19" t="s">
        <v>74</v>
      </c>
      <c r="I2605" s="20" t="s">
        <v>77</v>
      </c>
      <c r="J2605" s="20">
        <v>80000000</v>
      </c>
      <c r="K2605" s="19" t="s">
        <v>50</v>
      </c>
      <c r="L2605" s="19" t="s">
        <v>2</v>
      </c>
      <c r="M2605" s="21" t="s">
        <v>67</v>
      </c>
      <c r="N2605" s="20" t="s">
        <v>80</v>
      </c>
      <c r="O2605" s="19" t="s">
        <v>11</v>
      </c>
      <c r="P2605" s="10"/>
      <c r="Q2605" s="11"/>
    </row>
    <row r="2606" spans="2:17" ht="21" customHeight="1" x14ac:dyDescent="0.35">
      <c r="B2606" s="1">
        <v>44134</v>
      </c>
      <c r="C2606" s="1" t="str">
        <f>TEXT(Sales[[#This Row],[Kode Program/Kegiatan ]],"D")</f>
        <v>30</v>
      </c>
      <c r="D2606" s="2" t="str">
        <f>TEXT(Sales[[#This Row],[Kode Program/Kegiatan ]],"mmm")</f>
        <v>Oct</v>
      </c>
      <c r="E2606" s="3">
        <v>5</v>
      </c>
      <c r="F2606" s="2">
        <v>5</v>
      </c>
      <c r="G2606" s="3" t="str">
        <f>IF(Sales[[#This Row],[Anggaran Murni]]-Sales[[#This Row],[Target s.d. Januari]]=0,"",Sales[[#This Row],[Anggaran Murni]]-Sales[[#This Row],[Target s.d. Januari]])</f>
        <v/>
      </c>
      <c r="H2606" s="2" t="s">
        <v>71</v>
      </c>
      <c r="I2606" s="3" t="s">
        <v>6</v>
      </c>
      <c r="J2606" s="3">
        <v>80000000</v>
      </c>
      <c r="K2606" s="2" t="s">
        <v>23</v>
      </c>
      <c r="L2606" s="2" t="s">
        <v>5</v>
      </c>
      <c r="M2606" s="4" t="s">
        <v>67</v>
      </c>
      <c r="N2606" s="3" t="s">
        <v>82</v>
      </c>
      <c r="O2606" s="2" t="s">
        <v>11</v>
      </c>
      <c r="P2606" s="10"/>
      <c r="Q2606" s="11"/>
    </row>
    <row r="2607" spans="2:17" ht="21" customHeight="1" x14ac:dyDescent="0.35">
      <c r="B2607" s="18">
        <v>44134</v>
      </c>
      <c r="C2607" s="18" t="str">
        <f>TEXT(Sales[[#This Row],[Kode Program/Kegiatan ]],"D")</f>
        <v>30</v>
      </c>
      <c r="D2607" s="19" t="str">
        <f>TEXT(Sales[[#This Row],[Kode Program/Kegiatan ]],"mmm")</f>
        <v>Oct</v>
      </c>
      <c r="E2607" s="20">
        <v>4</v>
      </c>
      <c r="F2607" s="19">
        <v>4</v>
      </c>
      <c r="G2607" s="20" t="str">
        <f>IF(Sales[[#This Row],[Anggaran Murni]]-Sales[[#This Row],[Target s.d. Januari]]=0,"",Sales[[#This Row],[Anggaran Murni]]-Sales[[#This Row],[Target s.d. Januari]])</f>
        <v/>
      </c>
      <c r="H2607" s="19" t="s">
        <v>114</v>
      </c>
      <c r="I2607" s="20" t="s">
        <v>3</v>
      </c>
      <c r="J2607" s="20">
        <v>100000000</v>
      </c>
      <c r="K2607" s="19" t="s">
        <v>17</v>
      </c>
      <c r="L2607" s="19" t="s">
        <v>7</v>
      </c>
      <c r="M2607" s="21" t="s">
        <v>67</v>
      </c>
      <c r="N2607" s="20" t="s">
        <v>81</v>
      </c>
      <c r="O2607" s="19" t="s">
        <v>13</v>
      </c>
      <c r="P2607" s="10"/>
      <c r="Q2607" s="11"/>
    </row>
    <row r="2608" spans="2:17" ht="21" customHeight="1" x14ac:dyDescent="0.35">
      <c r="B2608" s="1">
        <v>44134</v>
      </c>
      <c r="C2608" s="1" t="str">
        <f>TEXT(Sales[[#This Row],[Kode Program/Kegiatan ]],"D")</f>
        <v>30</v>
      </c>
      <c r="D2608" s="2" t="str">
        <f>TEXT(Sales[[#This Row],[Kode Program/Kegiatan ]],"mmm")</f>
        <v>Oct</v>
      </c>
      <c r="E2608" s="3">
        <v>4</v>
      </c>
      <c r="F2608" s="2">
        <v>4</v>
      </c>
      <c r="G2608" s="3" t="str">
        <f>IF(Sales[[#This Row],[Anggaran Murni]]-Sales[[#This Row],[Target s.d. Januari]]=0,"",Sales[[#This Row],[Anggaran Murni]]-Sales[[#This Row],[Target s.d. Januari]])</f>
        <v/>
      </c>
      <c r="H2608" s="2" t="s">
        <v>73</v>
      </c>
      <c r="I2608" s="3" t="s">
        <v>78</v>
      </c>
      <c r="J2608" s="3">
        <v>100000000</v>
      </c>
      <c r="K2608" s="2" t="s">
        <v>42</v>
      </c>
      <c r="L2608" s="2" t="s">
        <v>5</v>
      </c>
      <c r="M2608" s="4" t="s">
        <v>67</v>
      </c>
      <c r="N2608" s="3" t="s">
        <v>81</v>
      </c>
      <c r="O2608" s="2" t="s">
        <v>14</v>
      </c>
      <c r="P2608" s="10"/>
      <c r="Q2608" s="11"/>
    </row>
    <row r="2609" spans="2:17" ht="21" customHeight="1" x14ac:dyDescent="0.35">
      <c r="B2609" s="18">
        <v>44134</v>
      </c>
      <c r="C2609" s="18" t="str">
        <f>TEXT(Sales[[#This Row],[Kode Program/Kegiatan ]],"D")</f>
        <v>30</v>
      </c>
      <c r="D2609" s="19" t="str">
        <f>TEXT(Sales[[#This Row],[Kode Program/Kegiatan ]],"mmm")</f>
        <v>Oct</v>
      </c>
      <c r="E2609" s="20">
        <v>4</v>
      </c>
      <c r="F2609" s="19">
        <v>4</v>
      </c>
      <c r="G2609" s="20" t="str">
        <f>IF(Sales[[#This Row],[Anggaran Murni]]-Sales[[#This Row],[Target s.d. Januari]]=0,"",Sales[[#This Row],[Anggaran Murni]]-Sales[[#This Row],[Target s.d. Januari]])</f>
        <v/>
      </c>
      <c r="H2609" s="19" t="s">
        <v>73</v>
      </c>
      <c r="I2609" s="20" t="s">
        <v>78</v>
      </c>
      <c r="J2609" s="20">
        <v>60000000</v>
      </c>
      <c r="K2609" s="19" t="s">
        <v>48</v>
      </c>
      <c r="L2609" s="19" t="s">
        <v>2</v>
      </c>
      <c r="M2609" s="21" t="s">
        <v>67</v>
      </c>
      <c r="N2609" s="20" t="s">
        <v>82</v>
      </c>
      <c r="O2609" s="19" t="s">
        <v>11</v>
      </c>
      <c r="P2609" s="10"/>
      <c r="Q2609" s="11"/>
    </row>
    <row r="2610" spans="2:17" ht="21" customHeight="1" x14ac:dyDescent="0.35">
      <c r="B2610" s="1">
        <v>44134</v>
      </c>
      <c r="C2610" s="1" t="str">
        <f>TEXT(Sales[[#This Row],[Kode Program/Kegiatan ]],"D")</f>
        <v>30</v>
      </c>
      <c r="D2610" s="2" t="str">
        <f>TEXT(Sales[[#This Row],[Kode Program/Kegiatan ]],"mmm")</f>
        <v>Oct</v>
      </c>
      <c r="E2610" s="3">
        <v>3</v>
      </c>
      <c r="F2610" s="2">
        <v>3</v>
      </c>
      <c r="G2610" s="3" t="str">
        <f>IF(Sales[[#This Row],[Anggaran Murni]]-Sales[[#This Row],[Target s.d. Januari]]=0,"",Sales[[#This Row],[Anggaran Murni]]-Sales[[#This Row],[Target s.d. Januari]])</f>
        <v/>
      </c>
      <c r="H2610" s="2" t="s">
        <v>70</v>
      </c>
      <c r="I2610" s="3" t="s">
        <v>1</v>
      </c>
      <c r="J2610" s="3">
        <v>100000000</v>
      </c>
      <c r="K2610" s="2" t="s">
        <v>34</v>
      </c>
      <c r="L2610" s="2" t="s">
        <v>8</v>
      </c>
      <c r="M2610" s="4" t="s">
        <v>67</v>
      </c>
      <c r="N2610" s="3" t="s">
        <v>82</v>
      </c>
      <c r="O2610" s="2" t="s">
        <v>11</v>
      </c>
      <c r="P2610" s="10"/>
      <c r="Q2610" s="11"/>
    </row>
    <row r="2611" spans="2:17" ht="21" customHeight="1" x14ac:dyDescent="0.35">
      <c r="B2611" s="18">
        <v>44135</v>
      </c>
      <c r="C2611" s="18" t="str">
        <f>TEXT(Sales[[#This Row],[Kode Program/Kegiatan ]],"D")</f>
        <v>31</v>
      </c>
      <c r="D2611" s="19" t="str">
        <f>TEXT(Sales[[#This Row],[Kode Program/Kegiatan ]],"mmm")</f>
        <v>Oct</v>
      </c>
      <c r="E2611" s="20">
        <v>10</v>
      </c>
      <c r="F2611" s="19">
        <v>10</v>
      </c>
      <c r="G2611" s="20" t="str">
        <f>IF(Sales[[#This Row],[Anggaran Murni]]-Sales[[#This Row],[Target s.d. Januari]]=0,"",Sales[[#This Row],[Anggaran Murni]]-Sales[[#This Row],[Target s.d. Januari]])</f>
        <v/>
      </c>
      <c r="H2611" s="19" t="s">
        <v>113</v>
      </c>
      <c r="I2611" s="20" t="s">
        <v>77</v>
      </c>
      <c r="J2611" s="20">
        <v>80000000</v>
      </c>
      <c r="K2611" s="19" t="s">
        <v>29</v>
      </c>
      <c r="L2611" s="19" t="s">
        <v>2</v>
      </c>
      <c r="M2611" s="21" t="s">
        <v>67</v>
      </c>
      <c r="N2611" s="20" t="s">
        <v>81</v>
      </c>
      <c r="O2611" s="19" t="s">
        <v>12</v>
      </c>
      <c r="P2611" s="10"/>
      <c r="Q2611" s="11"/>
    </row>
    <row r="2612" spans="2:17" ht="21" customHeight="1" x14ac:dyDescent="0.35">
      <c r="B2612" s="1">
        <v>44135</v>
      </c>
      <c r="C2612" s="1" t="str">
        <f>TEXT(Sales[[#This Row],[Kode Program/Kegiatan ]],"D")</f>
        <v>31</v>
      </c>
      <c r="D2612" s="2" t="str">
        <f>TEXT(Sales[[#This Row],[Kode Program/Kegiatan ]],"mmm")</f>
        <v>Oct</v>
      </c>
      <c r="E2612" s="3">
        <v>8</v>
      </c>
      <c r="F2612" s="2">
        <v>8</v>
      </c>
      <c r="G2612" s="3" t="str">
        <f>IF(Sales[[#This Row],[Anggaran Murni]]-Sales[[#This Row],[Target s.d. Januari]]=0,"",Sales[[#This Row],[Anggaran Murni]]-Sales[[#This Row],[Target s.d. Januari]])</f>
        <v/>
      </c>
      <c r="H2612" s="2" t="s">
        <v>75</v>
      </c>
      <c r="I2612" s="3" t="s">
        <v>6</v>
      </c>
      <c r="J2612" s="3">
        <v>40000000</v>
      </c>
      <c r="K2612" s="2" t="s">
        <v>33</v>
      </c>
      <c r="L2612" s="2" t="s">
        <v>2</v>
      </c>
      <c r="M2612" s="4" t="s">
        <v>67</v>
      </c>
      <c r="N2612" s="3" t="s">
        <v>81</v>
      </c>
      <c r="O2612" s="2" t="s">
        <v>13</v>
      </c>
      <c r="P2612" s="10"/>
      <c r="Q2612" s="11"/>
    </row>
    <row r="2613" spans="2:17" ht="21" customHeight="1" x14ac:dyDescent="0.35">
      <c r="B2613" s="18">
        <v>44135</v>
      </c>
      <c r="C2613" s="18" t="str">
        <f>TEXT(Sales[[#This Row],[Kode Program/Kegiatan ]],"D")</f>
        <v>31</v>
      </c>
      <c r="D2613" s="19" t="str">
        <f>TEXT(Sales[[#This Row],[Kode Program/Kegiatan ]],"mmm")</f>
        <v>Oct</v>
      </c>
      <c r="E2613" s="20">
        <v>8</v>
      </c>
      <c r="F2613" s="19">
        <v>8</v>
      </c>
      <c r="G2613" s="20" t="str">
        <f>IF(Sales[[#This Row],[Anggaran Murni]]-Sales[[#This Row],[Target s.d. Januari]]=0,"",Sales[[#This Row],[Anggaran Murni]]-Sales[[#This Row],[Target s.d. Januari]])</f>
        <v/>
      </c>
      <c r="H2613" s="19" t="s">
        <v>73</v>
      </c>
      <c r="I2613" s="20" t="s">
        <v>78</v>
      </c>
      <c r="J2613" s="20">
        <v>40000000</v>
      </c>
      <c r="K2613" s="19" t="s">
        <v>49</v>
      </c>
      <c r="L2613" s="19" t="s">
        <v>9</v>
      </c>
      <c r="M2613" s="21" t="s">
        <v>67</v>
      </c>
      <c r="N2613" s="20" t="s">
        <v>81</v>
      </c>
      <c r="O2613" s="19" t="s">
        <v>13</v>
      </c>
      <c r="P2613" s="10"/>
      <c r="Q2613" s="11"/>
    </row>
    <row r="2614" spans="2:17" ht="21" customHeight="1" x14ac:dyDescent="0.35">
      <c r="B2614" s="1">
        <v>44135</v>
      </c>
      <c r="C2614" s="1" t="str">
        <f>TEXT(Sales[[#This Row],[Kode Program/Kegiatan ]],"D")</f>
        <v>31</v>
      </c>
      <c r="D2614" s="2" t="str">
        <f>TEXT(Sales[[#This Row],[Kode Program/Kegiatan ]],"mmm")</f>
        <v>Oct</v>
      </c>
      <c r="E2614" s="3">
        <v>7</v>
      </c>
      <c r="F2614" s="2">
        <v>7</v>
      </c>
      <c r="G2614" s="3" t="str">
        <f>IF(Sales[[#This Row],[Anggaran Murni]]-Sales[[#This Row],[Target s.d. Januari]]=0,"",Sales[[#This Row],[Anggaran Murni]]-Sales[[#This Row],[Target s.d. Januari]])</f>
        <v/>
      </c>
      <c r="H2614" s="2" t="s">
        <v>71</v>
      </c>
      <c r="I2614" s="3" t="s">
        <v>6</v>
      </c>
      <c r="J2614" s="3">
        <v>40000000</v>
      </c>
      <c r="K2614" s="2" t="s">
        <v>27</v>
      </c>
      <c r="L2614" s="2" t="s">
        <v>2</v>
      </c>
      <c r="M2614" s="4" t="s">
        <v>67</v>
      </c>
      <c r="N2614" s="3" t="s">
        <v>80</v>
      </c>
      <c r="O2614" s="2" t="s">
        <v>13</v>
      </c>
      <c r="P2614" s="10"/>
      <c r="Q2614" s="11"/>
    </row>
    <row r="2615" spans="2:17" ht="21" customHeight="1" x14ac:dyDescent="0.35">
      <c r="B2615" s="18">
        <v>44135</v>
      </c>
      <c r="C2615" s="18" t="str">
        <f>TEXT(Sales[[#This Row],[Kode Program/Kegiatan ]],"D")</f>
        <v>31</v>
      </c>
      <c r="D2615" s="19" t="str">
        <f>TEXT(Sales[[#This Row],[Kode Program/Kegiatan ]],"mmm")</f>
        <v>Oct</v>
      </c>
      <c r="E2615" s="20">
        <v>5</v>
      </c>
      <c r="F2615" s="19">
        <v>5</v>
      </c>
      <c r="G2615" s="20" t="str">
        <f>IF(Sales[[#This Row],[Anggaran Murni]]-Sales[[#This Row],[Target s.d. Januari]]=0,"",Sales[[#This Row],[Anggaran Murni]]-Sales[[#This Row],[Target s.d. Januari]])</f>
        <v/>
      </c>
      <c r="H2615" s="19" t="s">
        <v>74</v>
      </c>
      <c r="I2615" s="20" t="s">
        <v>77</v>
      </c>
      <c r="J2615" s="20">
        <v>80000000</v>
      </c>
      <c r="K2615" s="19" t="s">
        <v>56</v>
      </c>
      <c r="L2615" s="19" t="s">
        <v>5</v>
      </c>
      <c r="M2615" s="21" t="s">
        <v>67</v>
      </c>
      <c r="N2615" s="20" t="s">
        <v>81</v>
      </c>
      <c r="O2615" s="19" t="s">
        <v>12</v>
      </c>
      <c r="P2615" s="10"/>
      <c r="Q2615" s="11"/>
    </row>
    <row r="2616" spans="2:17" ht="21" customHeight="1" x14ac:dyDescent="0.35">
      <c r="B2616" s="1">
        <v>44135</v>
      </c>
      <c r="C2616" s="1" t="str">
        <f>TEXT(Sales[[#This Row],[Kode Program/Kegiatan ]],"D")</f>
        <v>31</v>
      </c>
      <c r="D2616" s="2" t="str">
        <f>TEXT(Sales[[#This Row],[Kode Program/Kegiatan ]],"mmm")</f>
        <v>Oct</v>
      </c>
      <c r="E2616" s="3">
        <v>5</v>
      </c>
      <c r="F2616" s="2">
        <v>5</v>
      </c>
      <c r="G2616" s="3" t="str">
        <f>IF(Sales[[#This Row],[Anggaran Murni]]-Sales[[#This Row],[Target s.d. Januari]]=0,"",Sales[[#This Row],[Anggaran Murni]]-Sales[[#This Row],[Target s.d. Januari]])</f>
        <v/>
      </c>
      <c r="H2616" s="2" t="s">
        <v>74</v>
      </c>
      <c r="I2616" s="3" t="s">
        <v>77</v>
      </c>
      <c r="J2616" s="3">
        <v>60000000</v>
      </c>
      <c r="K2616" s="2" t="s">
        <v>43</v>
      </c>
      <c r="L2616" s="2" t="s">
        <v>9</v>
      </c>
      <c r="M2616" s="4" t="s">
        <v>67</v>
      </c>
      <c r="N2616" s="3" t="s">
        <v>82</v>
      </c>
      <c r="O2616" s="2" t="s">
        <v>12</v>
      </c>
      <c r="P2616" s="10"/>
      <c r="Q2616" s="11"/>
    </row>
    <row r="2617" spans="2:17" ht="21" customHeight="1" x14ac:dyDescent="0.35">
      <c r="B2617" s="18">
        <v>44135</v>
      </c>
      <c r="C2617" s="18" t="str">
        <f>TEXT(Sales[[#This Row],[Kode Program/Kegiatan ]],"D")</f>
        <v>31</v>
      </c>
      <c r="D2617" s="19" t="str">
        <f>TEXT(Sales[[#This Row],[Kode Program/Kegiatan ]],"mmm")</f>
        <v>Oct</v>
      </c>
      <c r="E2617" s="20">
        <v>5</v>
      </c>
      <c r="F2617" s="19">
        <v>5</v>
      </c>
      <c r="G2617" s="20" t="str">
        <f>IF(Sales[[#This Row],[Anggaran Murni]]-Sales[[#This Row],[Target s.d. Januari]]=0,"",Sales[[#This Row],[Anggaran Murni]]-Sales[[#This Row],[Target s.d. Januari]])</f>
        <v/>
      </c>
      <c r="H2617" s="19" t="s">
        <v>74</v>
      </c>
      <c r="I2617" s="20" t="s">
        <v>77</v>
      </c>
      <c r="J2617" s="20">
        <v>60000000</v>
      </c>
      <c r="K2617" s="19" t="s">
        <v>27</v>
      </c>
      <c r="L2617" s="19" t="s">
        <v>8</v>
      </c>
      <c r="M2617" s="21" t="s">
        <v>67</v>
      </c>
      <c r="N2617" s="20" t="s">
        <v>81</v>
      </c>
      <c r="O2617" s="19" t="s">
        <v>11</v>
      </c>
      <c r="P2617" s="10"/>
      <c r="Q2617" s="11"/>
    </row>
    <row r="2618" spans="2:17" ht="21" customHeight="1" x14ac:dyDescent="0.35">
      <c r="B2618" s="1">
        <v>44135</v>
      </c>
      <c r="C2618" s="1" t="str">
        <f>TEXT(Sales[[#This Row],[Kode Program/Kegiatan ]],"D")</f>
        <v>31</v>
      </c>
      <c r="D2618" s="2" t="str">
        <f>TEXT(Sales[[#This Row],[Kode Program/Kegiatan ]],"mmm")</f>
        <v>Oct</v>
      </c>
      <c r="E2618" s="3">
        <v>4</v>
      </c>
      <c r="F2618" s="2">
        <v>4</v>
      </c>
      <c r="G2618" s="3" t="str">
        <f>IF(Sales[[#This Row],[Anggaran Murni]]-Sales[[#This Row],[Target s.d. Januari]]=0,"",Sales[[#This Row],[Anggaran Murni]]-Sales[[#This Row],[Target s.d. Januari]])</f>
        <v/>
      </c>
      <c r="H2618" s="2" t="s">
        <v>114</v>
      </c>
      <c r="I2618" s="3" t="s">
        <v>3</v>
      </c>
      <c r="J2618" s="3">
        <v>120000000</v>
      </c>
      <c r="K2618" s="2" t="s">
        <v>26</v>
      </c>
      <c r="L2618" s="2" t="s">
        <v>5</v>
      </c>
      <c r="M2618" s="4" t="s">
        <v>67</v>
      </c>
      <c r="N2618" s="3" t="s">
        <v>80</v>
      </c>
      <c r="O2618" s="2" t="s">
        <v>13</v>
      </c>
      <c r="P2618" s="10"/>
      <c r="Q2618" s="11"/>
    </row>
    <row r="2619" spans="2:17" ht="21" customHeight="1" x14ac:dyDescent="0.35">
      <c r="B2619" s="18">
        <v>44135</v>
      </c>
      <c r="C2619" s="18" t="str">
        <f>TEXT(Sales[[#This Row],[Kode Program/Kegiatan ]],"D")</f>
        <v>31</v>
      </c>
      <c r="D2619" s="19" t="str">
        <f>TEXT(Sales[[#This Row],[Kode Program/Kegiatan ]],"mmm")</f>
        <v>Oct</v>
      </c>
      <c r="E2619" s="20">
        <v>3</v>
      </c>
      <c r="F2619" s="19">
        <v>3</v>
      </c>
      <c r="G2619" s="20" t="str">
        <f>IF(Sales[[#This Row],[Anggaran Murni]]-Sales[[#This Row],[Target s.d. Januari]]=0,"",Sales[[#This Row],[Anggaran Murni]]-Sales[[#This Row],[Target s.d. Januari]])</f>
        <v/>
      </c>
      <c r="H2619" s="19" t="s">
        <v>75</v>
      </c>
      <c r="I2619" s="20" t="s">
        <v>6</v>
      </c>
      <c r="J2619" s="20">
        <v>80000000</v>
      </c>
      <c r="K2619" s="19" t="s">
        <v>26</v>
      </c>
      <c r="L2619" s="19" t="s">
        <v>8</v>
      </c>
      <c r="M2619" s="21" t="s">
        <v>67</v>
      </c>
      <c r="N2619" s="20" t="s">
        <v>80</v>
      </c>
      <c r="O2619" s="19" t="s">
        <v>11</v>
      </c>
      <c r="P2619" s="10"/>
      <c r="Q2619" s="11"/>
    </row>
    <row r="2620" spans="2:17" ht="21" customHeight="1" x14ac:dyDescent="0.35">
      <c r="B2620" s="1">
        <v>44135</v>
      </c>
      <c r="C2620" s="1" t="str">
        <f>TEXT(Sales[[#This Row],[Kode Program/Kegiatan ]],"D")</f>
        <v>31</v>
      </c>
      <c r="D2620" s="2" t="str">
        <f>TEXT(Sales[[#This Row],[Kode Program/Kegiatan ]],"mmm")</f>
        <v>Oct</v>
      </c>
      <c r="E2620" s="3">
        <v>3</v>
      </c>
      <c r="F2620" s="2">
        <v>3</v>
      </c>
      <c r="G2620" s="3" t="str">
        <f>IF(Sales[[#This Row],[Anggaran Murni]]-Sales[[#This Row],[Target s.d. Januari]]=0,"",Sales[[#This Row],[Anggaran Murni]]-Sales[[#This Row],[Target s.d. Januari]])</f>
        <v/>
      </c>
      <c r="H2620" s="2" t="s">
        <v>76</v>
      </c>
      <c r="I2620" s="3" t="s">
        <v>79</v>
      </c>
      <c r="J2620" s="3">
        <v>140000000</v>
      </c>
      <c r="K2620" s="2" t="s">
        <v>26</v>
      </c>
      <c r="L2620" s="2" t="s">
        <v>7</v>
      </c>
      <c r="M2620" s="4" t="s">
        <v>67</v>
      </c>
      <c r="N2620" s="3" t="s">
        <v>80</v>
      </c>
      <c r="O2620" s="2" t="s">
        <v>14</v>
      </c>
      <c r="P2620" s="10"/>
      <c r="Q2620" s="11"/>
    </row>
    <row r="2621" spans="2:17" ht="21" customHeight="1" x14ac:dyDescent="0.35">
      <c r="B2621" s="18">
        <v>44135</v>
      </c>
      <c r="C2621" s="18" t="str">
        <f>TEXT(Sales[[#This Row],[Kode Program/Kegiatan ]],"D")</f>
        <v>31</v>
      </c>
      <c r="D2621" s="19" t="str">
        <f>TEXT(Sales[[#This Row],[Kode Program/Kegiatan ]],"mmm")</f>
        <v>Oct</v>
      </c>
      <c r="E2621" s="20">
        <v>3</v>
      </c>
      <c r="F2621" s="19">
        <v>3</v>
      </c>
      <c r="G2621" s="20" t="str">
        <f>IF(Sales[[#This Row],[Anggaran Murni]]-Sales[[#This Row],[Target s.d. Januari]]=0,"",Sales[[#This Row],[Anggaran Murni]]-Sales[[#This Row],[Target s.d. Januari]])</f>
        <v/>
      </c>
      <c r="H2621" s="19" t="s">
        <v>76</v>
      </c>
      <c r="I2621" s="20" t="s">
        <v>79</v>
      </c>
      <c r="J2621" s="20">
        <v>100000000</v>
      </c>
      <c r="K2621" s="19" t="s">
        <v>45</v>
      </c>
      <c r="L2621" s="19" t="s">
        <v>8</v>
      </c>
      <c r="M2621" s="21" t="s">
        <v>67</v>
      </c>
      <c r="N2621" s="20" t="s">
        <v>80</v>
      </c>
      <c r="O2621" s="19" t="s">
        <v>14</v>
      </c>
      <c r="P2621" s="10"/>
      <c r="Q2621" s="11"/>
    </row>
    <row r="2622" spans="2:17" ht="21" customHeight="1" x14ac:dyDescent="0.35">
      <c r="B2622" s="1">
        <v>44135</v>
      </c>
      <c r="C2622" s="1" t="str">
        <f>TEXT(Sales[[#This Row],[Kode Program/Kegiatan ]],"D")</f>
        <v>31</v>
      </c>
      <c r="D2622" s="2" t="str">
        <f>TEXT(Sales[[#This Row],[Kode Program/Kegiatan ]],"mmm")</f>
        <v>Oct</v>
      </c>
      <c r="E2622" s="3">
        <v>3</v>
      </c>
      <c r="F2622" s="2">
        <v>3</v>
      </c>
      <c r="G2622" s="3" t="str">
        <f>IF(Sales[[#This Row],[Anggaran Murni]]-Sales[[#This Row],[Target s.d. Januari]]=0,"",Sales[[#This Row],[Anggaran Murni]]-Sales[[#This Row],[Target s.d. Januari]])</f>
        <v/>
      </c>
      <c r="H2622" s="2" t="s">
        <v>71</v>
      </c>
      <c r="I2622" s="3" t="s">
        <v>6</v>
      </c>
      <c r="J2622" s="3">
        <v>80000000</v>
      </c>
      <c r="K2622" s="2" t="s">
        <v>40</v>
      </c>
      <c r="L2622" s="2" t="s">
        <v>2</v>
      </c>
      <c r="M2622" s="4" t="s">
        <v>67</v>
      </c>
      <c r="N2622" s="3" t="s">
        <v>80</v>
      </c>
      <c r="O2622" s="2" t="s">
        <v>11</v>
      </c>
      <c r="P2622" s="10"/>
      <c r="Q2622" s="11"/>
    </row>
    <row r="2623" spans="2:17" ht="21" customHeight="1" x14ac:dyDescent="0.35">
      <c r="B2623" s="18">
        <v>44136</v>
      </c>
      <c r="C2623" s="18" t="str">
        <f>TEXT(Sales[[#This Row],[Kode Program/Kegiatan ]],"D")</f>
        <v>1</v>
      </c>
      <c r="D2623" s="19" t="str">
        <f>TEXT(Sales[[#This Row],[Kode Program/Kegiatan ]],"mmm")</f>
        <v>Nov</v>
      </c>
      <c r="E2623" s="20">
        <v>10</v>
      </c>
      <c r="F2623" s="19">
        <v>10</v>
      </c>
      <c r="G2623" s="20" t="str">
        <f>IF(Sales[[#This Row],[Anggaran Murni]]-Sales[[#This Row],[Target s.d. Januari]]=0,"",Sales[[#This Row],[Anggaran Murni]]-Sales[[#This Row],[Target s.d. Januari]])</f>
        <v/>
      </c>
      <c r="H2623" s="19" t="s">
        <v>76</v>
      </c>
      <c r="I2623" s="20" t="s">
        <v>79</v>
      </c>
      <c r="J2623" s="20">
        <v>100000000</v>
      </c>
      <c r="K2623" s="19" t="s">
        <v>27</v>
      </c>
      <c r="L2623" s="19" t="s">
        <v>5</v>
      </c>
      <c r="M2623" s="21" t="s">
        <v>67</v>
      </c>
      <c r="N2623" s="20" t="s">
        <v>80</v>
      </c>
      <c r="O2623" s="19" t="s">
        <v>13</v>
      </c>
      <c r="P2623" s="10"/>
      <c r="Q2623" s="11"/>
    </row>
    <row r="2624" spans="2:17" ht="21" customHeight="1" x14ac:dyDescent="0.35">
      <c r="B2624" s="1">
        <v>44136</v>
      </c>
      <c r="C2624" s="1" t="str">
        <f>TEXT(Sales[[#This Row],[Kode Program/Kegiatan ]],"D")</f>
        <v>1</v>
      </c>
      <c r="D2624" s="2" t="str">
        <f>TEXT(Sales[[#This Row],[Kode Program/Kegiatan ]],"mmm")</f>
        <v>Nov</v>
      </c>
      <c r="E2624" s="3">
        <v>10</v>
      </c>
      <c r="F2624" s="2">
        <v>10</v>
      </c>
      <c r="G2624" s="3" t="str">
        <f>IF(Sales[[#This Row],[Anggaran Murni]]-Sales[[#This Row],[Target s.d. Januari]]=0,"",Sales[[#This Row],[Anggaran Murni]]-Sales[[#This Row],[Target s.d. Januari]])</f>
        <v/>
      </c>
      <c r="H2624" s="2" t="s">
        <v>75</v>
      </c>
      <c r="I2624" s="3" t="s">
        <v>6</v>
      </c>
      <c r="J2624" s="3">
        <v>80000000</v>
      </c>
      <c r="K2624" s="2" t="s">
        <v>55</v>
      </c>
      <c r="L2624" s="2" t="s">
        <v>2</v>
      </c>
      <c r="M2624" s="4" t="s">
        <v>67</v>
      </c>
      <c r="N2624" s="3" t="s">
        <v>82</v>
      </c>
      <c r="O2624" s="2" t="s">
        <v>13</v>
      </c>
      <c r="P2624" s="10"/>
      <c r="Q2624" s="11"/>
    </row>
    <row r="2625" spans="2:17" ht="21" customHeight="1" x14ac:dyDescent="0.35">
      <c r="B2625" s="18">
        <v>44136</v>
      </c>
      <c r="C2625" s="18" t="str">
        <f>TEXT(Sales[[#This Row],[Kode Program/Kegiatan ]],"D")</f>
        <v>1</v>
      </c>
      <c r="D2625" s="19" t="str">
        <f>TEXT(Sales[[#This Row],[Kode Program/Kegiatan ]],"mmm")</f>
        <v>Nov</v>
      </c>
      <c r="E2625" s="20">
        <v>9</v>
      </c>
      <c r="F2625" s="19">
        <v>9</v>
      </c>
      <c r="G2625" s="20" t="str">
        <f>IF(Sales[[#This Row],[Anggaran Murni]]-Sales[[#This Row],[Target s.d. Januari]]=0,"",Sales[[#This Row],[Anggaran Murni]]-Sales[[#This Row],[Target s.d. Januari]])</f>
        <v/>
      </c>
      <c r="H2625" s="19" t="s">
        <v>71</v>
      </c>
      <c r="I2625" s="20" t="s">
        <v>6</v>
      </c>
      <c r="J2625" s="20">
        <v>80000000</v>
      </c>
      <c r="K2625" s="19" t="s">
        <v>23</v>
      </c>
      <c r="L2625" s="19" t="s">
        <v>9</v>
      </c>
      <c r="M2625" s="21" t="s">
        <v>67</v>
      </c>
      <c r="N2625" s="20" t="s">
        <v>82</v>
      </c>
      <c r="O2625" s="19" t="s">
        <v>11</v>
      </c>
      <c r="P2625" s="10"/>
      <c r="Q2625" s="11"/>
    </row>
    <row r="2626" spans="2:17" ht="21" customHeight="1" x14ac:dyDescent="0.35">
      <c r="B2626" s="1">
        <v>44136</v>
      </c>
      <c r="C2626" s="1" t="str">
        <f>TEXT(Sales[[#This Row],[Kode Program/Kegiatan ]],"D")</f>
        <v>1</v>
      </c>
      <c r="D2626" s="2" t="str">
        <f>TEXT(Sales[[#This Row],[Kode Program/Kegiatan ]],"mmm")</f>
        <v>Nov</v>
      </c>
      <c r="E2626" s="3">
        <v>7</v>
      </c>
      <c r="F2626" s="2">
        <v>7</v>
      </c>
      <c r="G2626" s="3" t="str">
        <f>IF(Sales[[#This Row],[Anggaran Murni]]-Sales[[#This Row],[Target s.d. Januari]]=0,"",Sales[[#This Row],[Anggaran Murni]]-Sales[[#This Row],[Target s.d. Januari]])</f>
        <v/>
      </c>
      <c r="H2626" s="2" t="s">
        <v>113</v>
      </c>
      <c r="I2626" s="3" t="s">
        <v>77</v>
      </c>
      <c r="J2626" s="3">
        <v>140000000</v>
      </c>
      <c r="K2626" s="2" t="s">
        <v>42</v>
      </c>
      <c r="L2626" s="2" t="s">
        <v>5</v>
      </c>
      <c r="M2626" s="4" t="s">
        <v>67</v>
      </c>
      <c r="N2626" s="3" t="s">
        <v>81</v>
      </c>
      <c r="O2626" s="2" t="s">
        <v>12</v>
      </c>
      <c r="P2626" s="10"/>
      <c r="Q2626" s="11"/>
    </row>
    <row r="2627" spans="2:17" ht="21" customHeight="1" x14ac:dyDescent="0.35">
      <c r="B2627" s="18">
        <v>44136</v>
      </c>
      <c r="C2627" s="18" t="str">
        <f>TEXT(Sales[[#This Row],[Kode Program/Kegiatan ]],"D")</f>
        <v>1</v>
      </c>
      <c r="D2627" s="19" t="str">
        <f>TEXT(Sales[[#This Row],[Kode Program/Kegiatan ]],"mmm")</f>
        <v>Nov</v>
      </c>
      <c r="E2627" s="20">
        <v>6</v>
      </c>
      <c r="F2627" s="19">
        <v>6</v>
      </c>
      <c r="G2627" s="20" t="str">
        <f>IF(Sales[[#This Row],[Anggaran Murni]]-Sales[[#This Row],[Target s.d. Januari]]=0,"",Sales[[#This Row],[Anggaran Murni]]-Sales[[#This Row],[Target s.d. Januari]])</f>
        <v/>
      </c>
      <c r="H2627" s="19" t="s">
        <v>71</v>
      </c>
      <c r="I2627" s="20" t="s">
        <v>6</v>
      </c>
      <c r="J2627" s="20">
        <v>80000000</v>
      </c>
      <c r="K2627" s="19" t="s">
        <v>27</v>
      </c>
      <c r="L2627" s="19" t="s">
        <v>9</v>
      </c>
      <c r="M2627" s="21" t="s">
        <v>67</v>
      </c>
      <c r="N2627" s="20" t="s">
        <v>80</v>
      </c>
      <c r="O2627" s="19" t="s">
        <v>12</v>
      </c>
      <c r="P2627" s="10"/>
      <c r="Q2627" s="11"/>
    </row>
    <row r="2628" spans="2:17" ht="21" customHeight="1" x14ac:dyDescent="0.35">
      <c r="B2628" s="1">
        <v>44136</v>
      </c>
      <c r="C2628" s="1" t="str">
        <f>TEXT(Sales[[#This Row],[Kode Program/Kegiatan ]],"D")</f>
        <v>1</v>
      </c>
      <c r="D2628" s="2" t="str">
        <f>TEXT(Sales[[#This Row],[Kode Program/Kegiatan ]],"mmm")</f>
        <v>Nov</v>
      </c>
      <c r="E2628" s="3">
        <v>6</v>
      </c>
      <c r="F2628" s="2">
        <v>6</v>
      </c>
      <c r="G2628" s="3" t="str">
        <f>IF(Sales[[#This Row],[Anggaran Murni]]-Sales[[#This Row],[Target s.d. Januari]]=0,"",Sales[[#This Row],[Anggaran Murni]]-Sales[[#This Row],[Target s.d. Januari]])</f>
        <v/>
      </c>
      <c r="H2628" s="2" t="s">
        <v>72</v>
      </c>
      <c r="I2628" s="3" t="s">
        <v>78</v>
      </c>
      <c r="J2628" s="3">
        <v>140000000</v>
      </c>
      <c r="K2628" s="2" t="s">
        <v>43</v>
      </c>
      <c r="L2628" s="2" t="s">
        <v>2</v>
      </c>
      <c r="M2628" s="4" t="s">
        <v>67</v>
      </c>
      <c r="N2628" s="3" t="s">
        <v>82</v>
      </c>
      <c r="O2628" s="2" t="s">
        <v>12</v>
      </c>
      <c r="P2628" s="10"/>
      <c r="Q2628" s="11"/>
    </row>
    <row r="2629" spans="2:17" ht="21" customHeight="1" x14ac:dyDescent="0.35">
      <c r="B2629" s="18">
        <v>44136</v>
      </c>
      <c r="C2629" s="18" t="str">
        <f>TEXT(Sales[[#This Row],[Kode Program/Kegiatan ]],"D")</f>
        <v>1</v>
      </c>
      <c r="D2629" s="19" t="str">
        <f>TEXT(Sales[[#This Row],[Kode Program/Kegiatan ]],"mmm")</f>
        <v>Nov</v>
      </c>
      <c r="E2629" s="20">
        <v>6</v>
      </c>
      <c r="F2629" s="19">
        <v>6</v>
      </c>
      <c r="G2629" s="20" t="str">
        <f>IF(Sales[[#This Row],[Anggaran Murni]]-Sales[[#This Row],[Target s.d. Januari]]=0,"",Sales[[#This Row],[Anggaran Murni]]-Sales[[#This Row],[Target s.d. Januari]])</f>
        <v/>
      </c>
      <c r="H2629" s="19" t="s">
        <v>113</v>
      </c>
      <c r="I2629" s="20" t="s">
        <v>77</v>
      </c>
      <c r="J2629" s="20">
        <v>60000000</v>
      </c>
      <c r="K2629" s="19" t="s">
        <v>26</v>
      </c>
      <c r="L2629" s="19" t="s">
        <v>5</v>
      </c>
      <c r="M2629" s="21" t="s">
        <v>67</v>
      </c>
      <c r="N2629" s="20" t="s">
        <v>82</v>
      </c>
      <c r="O2629" s="19" t="s">
        <v>11</v>
      </c>
      <c r="P2629" s="10"/>
      <c r="Q2629" s="11"/>
    </row>
    <row r="2630" spans="2:17" ht="21" customHeight="1" x14ac:dyDescent="0.35">
      <c r="B2630" s="1">
        <v>44136</v>
      </c>
      <c r="C2630" s="1" t="str">
        <f>TEXT(Sales[[#This Row],[Kode Program/Kegiatan ]],"D")</f>
        <v>1</v>
      </c>
      <c r="D2630" s="2" t="str">
        <f>TEXT(Sales[[#This Row],[Kode Program/Kegiatan ]],"mmm")</f>
        <v>Nov</v>
      </c>
      <c r="E2630" s="3">
        <v>5</v>
      </c>
      <c r="F2630" s="2">
        <v>5</v>
      </c>
      <c r="G2630" s="3" t="str">
        <f>IF(Sales[[#This Row],[Anggaran Murni]]-Sales[[#This Row],[Target s.d. Januari]]=0,"",Sales[[#This Row],[Anggaran Murni]]-Sales[[#This Row],[Target s.d. Januari]])</f>
        <v/>
      </c>
      <c r="H2630" s="2" t="s">
        <v>114</v>
      </c>
      <c r="I2630" s="3" t="s">
        <v>3</v>
      </c>
      <c r="J2630" s="3">
        <v>80000000</v>
      </c>
      <c r="K2630" s="2" t="s">
        <v>26</v>
      </c>
      <c r="L2630" s="2" t="s">
        <v>9</v>
      </c>
      <c r="M2630" s="4" t="s">
        <v>67</v>
      </c>
      <c r="N2630" s="3" t="s">
        <v>81</v>
      </c>
      <c r="O2630" s="2" t="s">
        <v>12</v>
      </c>
      <c r="P2630" s="10"/>
      <c r="Q2630" s="11"/>
    </row>
    <row r="2631" spans="2:17" ht="21" customHeight="1" x14ac:dyDescent="0.35">
      <c r="B2631" s="18">
        <v>44136</v>
      </c>
      <c r="C2631" s="18" t="str">
        <f>TEXT(Sales[[#This Row],[Kode Program/Kegiatan ]],"D")</f>
        <v>1</v>
      </c>
      <c r="D2631" s="19" t="str">
        <f>TEXT(Sales[[#This Row],[Kode Program/Kegiatan ]],"mmm")</f>
        <v>Nov</v>
      </c>
      <c r="E2631" s="20">
        <v>5</v>
      </c>
      <c r="F2631" s="19">
        <v>5</v>
      </c>
      <c r="G2631" s="20" t="str">
        <f>IF(Sales[[#This Row],[Anggaran Murni]]-Sales[[#This Row],[Target s.d. Januari]]=0,"",Sales[[#This Row],[Anggaran Murni]]-Sales[[#This Row],[Target s.d. Januari]])</f>
        <v/>
      </c>
      <c r="H2631" s="19" t="s">
        <v>72</v>
      </c>
      <c r="I2631" s="20" t="s">
        <v>78</v>
      </c>
      <c r="J2631" s="20">
        <v>40000000</v>
      </c>
      <c r="K2631" s="19" t="s">
        <v>47</v>
      </c>
      <c r="L2631" s="19" t="s">
        <v>5</v>
      </c>
      <c r="M2631" s="21" t="s">
        <v>67</v>
      </c>
      <c r="N2631" s="20" t="s">
        <v>81</v>
      </c>
      <c r="O2631" s="19" t="s">
        <v>13</v>
      </c>
      <c r="P2631" s="10"/>
      <c r="Q2631" s="11"/>
    </row>
    <row r="2632" spans="2:17" ht="21" customHeight="1" x14ac:dyDescent="0.35">
      <c r="B2632" s="1">
        <v>44136</v>
      </c>
      <c r="C2632" s="1" t="str">
        <f>TEXT(Sales[[#This Row],[Kode Program/Kegiatan ]],"D")</f>
        <v>1</v>
      </c>
      <c r="D2632" s="2" t="str">
        <f>TEXT(Sales[[#This Row],[Kode Program/Kegiatan ]],"mmm")</f>
        <v>Nov</v>
      </c>
      <c r="E2632" s="3">
        <v>5</v>
      </c>
      <c r="F2632" s="2">
        <v>5</v>
      </c>
      <c r="G2632" s="3" t="str">
        <f>IF(Sales[[#This Row],[Anggaran Murni]]-Sales[[#This Row],[Target s.d. Januari]]=0,"",Sales[[#This Row],[Anggaran Murni]]-Sales[[#This Row],[Target s.d. Januari]])</f>
        <v/>
      </c>
      <c r="H2632" s="2" t="s">
        <v>76</v>
      </c>
      <c r="I2632" s="3" t="s">
        <v>79</v>
      </c>
      <c r="J2632" s="3">
        <v>140000000</v>
      </c>
      <c r="K2632" s="2" t="s">
        <v>46</v>
      </c>
      <c r="L2632" s="2" t="s">
        <v>2</v>
      </c>
      <c r="M2632" s="4" t="s">
        <v>67</v>
      </c>
      <c r="N2632" s="3" t="s">
        <v>80</v>
      </c>
      <c r="O2632" s="2" t="s">
        <v>12</v>
      </c>
      <c r="P2632" s="10"/>
      <c r="Q2632" s="11"/>
    </row>
    <row r="2633" spans="2:17" ht="21" customHeight="1" x14ac:dyDescent="0.35">
      <c r="B2633" s="18">
        <v>44136</v>
      </c>
      <c r="C2633" s="18" t="str">
        <f>TEXT(Sales[[#This Row],[Kode Program/Kegiatan ]],"D")</f>
        <v>1</v>
      </c>
      <c r="D2633" s="19" t="str">
        <f>TEXT(Sales[[#This Row],[Kode Program/Kegiatan ]],"mmm")</f>
        <v>Nov</v>
      </c>
      <c r="E2633" s="20">
        <v>4</v>
      </c>
      <c r="F2633" s="19">
        <v>4</v>
      </c>
      <c r="G2633" s="20" t="str">
        <f>IF(Sales[[#This Row],[Anggaran Murni]]-Sales[[#This Row],[Target s.d. Januari]]=0,"",Sales[[#This Row],[Anggaran Murni]]-Sales[[#This Row],[Target s.d. Januari]])</f>
        <v/>
      </c>
      <c r="H2633" s="19" t="s">
        <v>75</v>
      </c>
      <c r="I2633" s="20" t="s">
        <v>6</v>
      </c>
      <c r="J2633" s="20">
        <v>100000000</v>
      </c>
      <c r="K2633" s="19" t="s">
        <v>58</v>
      </c>
      <c r="L2633" s="19" t="s">
        <v>2</v>
      </c>
      <c r="M2633" s="21" t="s">
        <v>67</v>
      </c>
      <c r="N2633" s="20" t="s">
        <v>80</v>
      </c>
      <c r="O2633" s="19" t="s">
        <v>14</v>
      </c>
      <c r="P2633" s="10"/>
      <c r="Q2633" s="11"/>
    </row>
    <row r="2634" spans="2:17" ht="21" customHeight="1" x14ac:dyDescent="0.35">
      <c r="B2634" s="1">
        <v>44136</v>
      </c>
      <c r="C2634" s="1" t="str">
        <f>TEXT(Sales[[#This Row],[Kode Program/Kegiatan ]],"D")</f>
        <v>1</v>
      </c>
      <c r="D2634" s="2" t="str">
        <f>TEXT(Sales[[#This Row],[Kode Program/Kegiatan ]],"mmm")</f>
        <v>Nov</v>
      </c>
      <c r="E2634" s="3">
        <v>4</v>
      </c>
      <c r="F2634" s="2">
        <v>4</v>
      </c>
      <c r="G2634" s="3" t="str">
        <f>IF(Sales[[#This Row],[Anggaran Murni]]-Sales[[#This Row],[Target s.d. Januari]]=0,"",Sales[[#This Row],[Anggaran Murni]]-Sales[[#This Row],[Target s.d. Januari]])</f>
        <v/>
      </c>
      <c r="H2634" s="2" t="s">
        <v>114</v>
      </c>
      <c r="I2634" s="3" t="s">
        <v>3</v>
      </c>
      <c r="J2634" s="3">
        <v>100000000</v>
      </c>
      <c r="K2634" s="2" t="s">
        <v>61</v>
      </c>
      <c r="L2634" s="2" t="s">
        <v>2</v>
      </c>
      <c r="M2634" s="4" t="s">
        <v>67</v>
      </c>
      <c r="N2634" s="3" t="s">
        <v>81</v>
      </c>
      <c r="O2634" s="2" t="s">
        <v>13</v>
      </c>
      <c r="P2634" s="10"/>
      <c r="Q2634" s="11"/>
    </row>
    <row r="2635" spans="2:17" ht="21" customHeight="1" x14ac:dyDescent="0.35">
      <c r="B2635" s="18">
        <v>44136</v>
      </c>
      <c r="C2635" s="18" t="str">
        <f>TEXT(Sales[[#This Row],[Kode Program/Kegiatan ]],"D")</f>
        <v>1</v>
      </c>
      <c r="D2635" s="19" t="str">
        <f>TEXT(Sales[[#This Row],[Kode Program/Kegiatan ]],"mmm")</f>
        <v>Nov</v>
      </c>
      <c r="E2635" s="20">
        <v>4</v>
      </c>
      <c r="F2635" s="19">
        <v>4</v>
      </c>
      <c r="G2635" s="20" t="str">
        <f>IF(Sales[[#This Row],[Anggaran Murni]]-Sales[[#This Row],[Target s.d. Januari]]=0,"",Sales[[#This Row],[Anggaran Murni]]-Sales[[#This Row],[Target s.d. Januari]])</f>
        <v/>
      </c>
      <c r="H2635" s="19" t="s">
        <v>74</v>
      </c>
      <c r="I2635" s="20" t="s">
        <v>77</v>
      </c>
      <c r="J2635" s="20">
        <v>120000000</v>
      </c>
      <c r="K2635" s="19" t="s">
        <v>25</v>
      </c>
      <c r="L2635" s="19" t="s">
        <v>2</v>
      </c>
      <c r="M2635" s="21" t="s">
        <v>67</v>
      </c>
      <c r="N2635" s="20" t="s">
        <v>82</v>
      </c>
      <c r="O2635" s="19" t="s">
        <v>12</v>
      </c>
      <c r="P2635" s="10"/>
      <c r="Q2635" s="11"/>
    </row>
    <row r="2636" spans="2:17" ht="21" customHeight="1" x14ac:dyDescent="0.35">
      <c r="B2636" s="1">
        <v>44136</v>
      </c>
      <c r="C2636" s="1" t="str">
        <f>TEXT(Sales[[#This Row],[Kode Program/Kegiatan ]],"D")</f>
        <v>1</v>
      </c>
      <c r="D2636" s="2" t="str">
        <f>TEXT(Sales[[#This Row],[Kode Program/Kegiatan ]],"mmm")</f>
        <v>Nov</v>
      </c>
      <c r="E2636" s="3">
        <v>3</v>
      </c>
      <c r="F2636" s="2">
        <v>3</v>
      </c>
      <c r="G2636" s="3" t="str">
        <f>IF(Sales[[#This Row],[Anggaran Murni]]-Sales[[#This Row],[Target s.d. Januari]]=0,"",Sales[[#This Row],[Anggaran Murni]]-Sales[[#This Row],[Target s.d. Januari]])</f>
        <v/>
      </c>
      <c r="H2636" s="2" t="s">
        <v>72</v>
      </c>
      <c r="I2636" s="3" t="s">
        <v>78</v>
      </c>
      <c r="J2636" s="3">
        <v>80000000</v>
      </c>
      <c r="K2636" s="2" t="s">
        <v>30</v>
      </c>
      <c r="L2636" s="2" t="s">
        <v>2</v>
      </c>
      <c r="M2636" s="4" t="s">
        <v>67</v>
      </c>
      <c r="N2636" s="3" t="s">
        <v>80</v>
      </c>
      <c r="O2636" s="2" t="s">
        <v>12</v>
      </c>
      <c r="P2636" s="10"/>
      <c r="Q2636" s="11"/>
    </row>
    <row r="2637" spans="2:17" ht="21" customHeight="1" x14ac:dyDescent="0.35">
      <c r="B2637" s="18">
        <v>44137</v>
      </c>
      <c r="C2637" s="18" t="str">
        <f>TEXT(Sales[[#This Row],[Kode Program/Kegiatan ]],"D")</f>
        <v>2</v>
      </c>
      <c r="D2637" s="19" t="str">
        <f>TEXT(Sales[[#This Row],[Kode Program/Kegiatan ]],"mmm")</f>
        <v>Nov</v>
      </c>
      <c r="E2637" s="20">
        <v>10</v>
      </c>
      <c r="F2637" s="19">
        <v>10</v>
      </c>
      <c r="G2637" s="20" t="str">
        <f>IF(Sales[[#This Row],[Anggaran Murni]]-Sales[[#This Row],[Target s.d. Januari]]=0,"",Sales[[#This Row],[Anggaran Murni]]-Sales[[#This Row],[Target s.d. Januari]])</f>
        <v/>
      </c>
      <c r="H2637" s="19" t="s">
        <v>70</v>
      </c>
      <c r="I2637" s="20" t="s">
        <v>1</v>
      </c>
      <c r="J2637" s="20">
        <v>100000000</v>
      </c>
      <c r="K2637" s="19" t="s">
        <v>53</v>
      </c>
      <c r="L2637" s="19" t="s">
        <v>5</v>
      </c>
      <c r="M2637" s="21" t="s">
        <v>67</v>
      </c>
      <c r="N2637" s="20" t="s">
        <v>81</v>
      </c>
      <c r="O2637" s="19" t="s">
        <v>12</v>
      </c>
      <c r="P2637" s="10"/>
      <c r="Q2637" s="11"/>
    </row>
    <row r="2638" spans="2:17" ht="21" customHeight="1" x14ac:dyDescent="0.35">
      <c r="B2638" s="1">
        <v>44137</v>
      </c>
      <c r="C2638" s="1" t="str">
        <f>TEXT(Sales[[#This Row],[Kode Program/Kegiatan ]],"D")</f>
        <v>2</v>
      </c>
      <c r="D2638" s="2" t="str">
        <f>TEXT(Sales[[#This Row],[Kode Program/Kegiatan ]],"mmm")</f>
        <v>Nov</v>
      </c>
      <c r="E2638" s="3">
        <v>7</v>
      </c>
      <c r="F2638" s="2">
        <v>7</v>
      </c>
      <c r="G2638" s="3" t="str">
        <f>IF(Sales[[#This Row],[Anggaran Murni]]-Sales[[#This Row],[Target s.d. Januari]]=0,"",Sales[[#This Row],[Anggaran Murni]]-Sales[[#This Row],[Target s.d. Januari]])</f>
        <v/>
      </c>
      <c r="H2638" s="2" t="s">
        <v>75</v>
      </c>
      <c r="I2638" s="3" t="s">
        <v>6</v>
      </c>
      <c r="J2638" s="3">
        <v>40000000</v>
      </c>
      <c r="K2638" s="2" t="s">
        <v>36</v>
      </c>
      <c r="L2638" s="2" t="s">
        <v>2</v>
      </c>
      <c r="M2638" s="4" t="s">
        <v>67</v>
      </c>
      <c r="N2638" s="3" t="s">
        <v>82</v>
      </c>
      <c r="O2638" s="2" t="s">
        <v>13</v>
      </c>
      <c r="P2638" s="10"/>
      <c r="Q2638" s="11"/>
    </row>
    <row r="2639" spans="2:17" ht="21" customHeight="1" x14ac:dyDescent="0.35">
      <c r="B2639" s="18">
        <v>44137</v>
      </c>
      <c r="C2639" s="18" t="str">
        <f>TEXT(Sales[[#This Row],[Kode Program/Kegiatan ]],"D")</f>
        <v>2</v>
      </c>
      <c r="D2639" s="19" t="str">
        <f>TEXT(Sales[[#This Row],[Kode Program/Kegiatan ]],"mmm")</f>
        <v>Nov</v>
      </c>
      <c r="E2639" s="20">
        <v>6</v>
      </c>
      <c r="F2639" s="19">
        <v>6</v>
      </c>
      <c r="G2639" s="20" t="str">
        <f>IF(Sales[[#This Row],[Anggaran Murni]]-Sales[[#This Row],[Target s.d. Januari]]=0,"",Sales[[#This Row],[Anggaran Murni]]-Sales[[#This Row],[Target s.d. Januari]])</f>
        <v/>
      </c>
      <c r="H2639" s="19" t="s">
        <v>75</v>
      </c>
      <c r="I2639" s="20" t="s">
        <v>6</v>
      </c>
      <c r="J2639" s="20">
        <v>40000000</v>
      </c>
      <c r="K2639" s="19" t="s">
        <v>20</v>
      </c>
      <c r="L2639" s="19" t="s">
        <v>9</v>
      </c>
      <c r="M2639" s="21" t="s">
        <v>67</v>
      </c>
      <c r="N2639" s="20" t="s">
        <v>82</v>
      </c>
      <c r="O2639" s="19" t="s">
        <v>12</v>
      </c>
      <c r="P2639" s="10"/>
      <c r="Q2639" s="11"/>
    </row>
    <row r="2640" spans="2:17" ht="21" customHeight="1" x14ac:dyDescent="0.35">
      <c r="B2640" s="1">
        <v>44137</v>
      </c>
      <c r="C2640" s="1" t="str">
        <f>TEXT(Sales[[#This Row],[Kode Program/Kegiatan ]],"D")</f>
        <v>2</v>
      </c>
      <c r="D2640" s="2" t="str">
        <f>TEXT(Sales[[#This Row],[Kode Program/Kegiatan ]],"mmm")</f>
        <v>Nov</v>
      </c>
      <c r="E2640" s="3">
        <v>6</v>
      </c>
      <c r="F2640" s="2">
        <v>6</v>
      </c>
      <c r="G2640" s="3" t="str">
        <f>IF(Sales[[#This Row],[Anggaran Murni]]-Sales[[#This Row],[Target s.d. Januari]]=0,"",Sales[[#This Row],[Anggaran Murni]]-Sales[[#This Row],[Target s.d. Januari]])</f>
        <v/>
      </c>
      <c r="H2640" s="2" t="s">
        <v>71</v>
      </c>
      <c r="I2640" s="3" t="s">
        <v>6</v>
      </c>
      <c r="J2640" s="3">
        <v>60000000</v>
      </c>
      <c r="K2640" s="2" t="s">
        <v>55</v>
      </c>
      <c r="L2640" s="2" t="s">
        <v>8</v>
      </c>
      <c r="M2640" s="4" t="s">
        <v>67</v>
      </c>
      <c r="N2640" s="3" t="s">
        <v>82</v>
      </c>
      <c r="O2640" s="2" t="s">
        <v>11</v>
      </c>
      <c r="P2640" s="10"/>
      <c r="Q2640" s="11"/>
    </row>
    <row r="2641" spans="2:17" ht="21" customHeight="1" x14ac:dyDescent="0.35">
      <c r="B2641" s="18">
        <v>44137</v>
      </c>
      <c r="C2641" s="18" t="str">
        <f>TEXT(Sales[[#This Row],[Kode Program/Kegiatan ]],"D")</f>
        <v>2</v>
      </c>
      <c r="D2641" s="19" t="str">
        <f>TEXT(Sales[[#This Row],[Kode Program/Kegiatan ]],"mmm")</f>
        <v>Nov</v>
      </c>
      <c r="E2641" s="20">
        <v>4</v>
      </c>
      <c r="F2641" s="19">
        <v>4</v>
      </c>
      <c r="G2641" s="20" t="str">
        <f>IF(Sales[[#This Row],[Anggaran Murni]]-Sales[[#This Row],[Target s.d. Januari]]=0,"",Sales[[#This Row],[Anggaran Murni]]-Sales[[#This Row],[Target s.d. Januari]])</f>
        <v/>
      </c>
      <c r="H2641" s="19" t="s">
        <v>73</v>
      </c>
      <c r="I2641" s="20" t="s">
        <v>78</v>
      </c>
      <c r="J2641" s="20">
        <v>140000000</v>
      </c>
      <c r="K2641" s="19" t="s">
        <v>33</v>
      </c>
      <c r="L2641" s="19" t="s">
        <v>5</v>
      </c>
      <c r="M2641" s="21" t="s">
        <v>67</v>
      </c>
      <c r="N2641" s="20" t="s">
        <v>82</v>
      </c>
      <c r="O2641" s="19" t="s">
        <v>14</v>
      </c>
      <c r="P2641" s="10"/>
      <c r="Q2641" s="11"/>
    </row>
    <row r="2642" spans="2:17" ht="21" customHeight="1" x14ac:dyDescent="0.35">
      <c r="B2642" s="1">
        <v>44137</v>
      </c>
      <c r="C2642" s="1" t="str">
        <f>TEXT(Sales[[#This Row],[Kode Program/Kegiatan ]],"D")</f>
        <v>2</v>
      </c>
      <c r="D2642" s="2" t="str">
        <f>TEXT(Sales[[#This Row],[Kode Program/Kegiatan ]],"mmm")</f>
        <v>Nov</v>
      </c>
      <c r="E2642" s="3">
        <v>3</v>
      </c>
      <c r="F2642" s="2">
        <v>3</v>
      </c>
      <c r="G2642" s="3" t="str">
        <f>IF(Sales[[#This Row],[Anggaran Murni]]-Sales[[#This Row],[Target s.d. Januari]]=0,"",Sales[[#This Row],[Anggaran Murni]]-Sales[[#This Row],[Target s.d. Januari]])</f>
        <v/>
      </c>
      <c r="H2642" s="2" t="s">
        <v>114</v>
      </c>
      <c r="I2642" s="3" t="s">
        <v>3</v>
      </c>
      <c r="J2642" s="3">
        <v>60000000</v>
      </c>
      <c r="K2642" s="2" t="s">
        <v>32</v>
      </c>
      <c r="L2642" s="2" t="s">
        <v>7</v>
      </c>
      <c r="M2642" s="4" t="s">
        <v>67</v>
      </c>
      <c r="N2642" s="3" t="s">
        <v>82</v>
      </c>
      <c r="O2642" s="2" t="s">
        <v>11</v>
      </c>
      <c r="P2642" s="10"/>
      <c r="Q2642" s="11"/>
    </row>
    <row r="2643" spans="2:17" ht="21" customHeight="1" x14ac:dyDescent="0.35">
      <c r="B2643" s="18">
        <v>44138</v>
      </c>
      <c r="C2643" s="18" t="str">
        <f>TEXT(Sales[[#This Row],[Kode Program/Kegiatan ]],"D")</f>
        <v>3</v>
      </c>
      <c r="D2643" s="19" t="str">
        <f>TEXT(Sales[[#This Row],[Kode Program/Kegiatan ]],"mmm")</f>
        <v>Nov</v>
      </c>
      <c r="E2643" s="20">
        <v>8</v>
      </c>
      <c r="F2643" s="19">
        <v>8</v>
      </c>
      <c r="G2643" s="20" t="str">
        <f>IF(Sales[[#This Row],[Anggaran Murni]]-Sales[[#This Row],[Target s.d. Januari]]=0,"",Sales[[#This Row],[Anggaran Murni]]-Sales[[#This Row],[Target s.d. Januari]])</f>
        <v/>
      </c>
      <c r="H2643" s="19" t="s">
        <v>73</v>
      </c>
      <c r="I2643" s="20" t="s">
        <v>78</v>
      </c>
      <c r="J2643" s="20">
        <v>60000000</v>
      </c>
      <c r="K2643" s="19" t="s">
        <v>59</v>
      </c>
      <c r="L2643" s="19" t="s">
        <v>7</v>
      </c>
      <c r="M2643" s="21" t="s">
        <v>67</v>
      </c>
      <c r="N2643" s="20" t="s">
        <v>81</v>
      </c>
      <c r="O2643" s="19" t="s">
        <v>12</v>
      </c>
      <c r="P2643" s="10"/>
      <c r="Q2643" s="11"/>
    </row>
    <row r="2644" spans="2:17" ht="21" customHeight="1" x14ac:dyDescent="0.35">
      <c r="B2644" s="1">
        <v>44138</v>
      </c>
      <c r="C2644" s="1" t="str">
        <f>TEXT(Sales[[#This Row],[Kode Program/Kegiatan ]],"D")</f>
        <v>3</v>
      </c>
      <c r="D2644" s="2" t="str">
        <f>TEXT(Sales[[#This Row],[Kode Program/Kegiatan ]],"mmm")</f>
        <v>Nov</v>
      </c>
      <c r="E2644" s="3">
        <v>7</v>
      </c>
      <c r="F2644" s="2">
        <v>7</v>
      </c>
      <c r="G2644" s="3" t="str">
        <f>IF(Sales[[#This Row],[Anggaran Murni]]-Sales[[#This Row],[Target s.d. Januari]]=0,"",Sales[[#This Row],[Anggaran Murni]]-Sales[[#This Row],[Target s.d. Januari]])</f>
        <v/>
      </c>
      <c r="H2644" s="2" t="s">
        <v>114</v>
      </c>
      <c r="I2644" s="3" t="s">
        <v>3</v>
      </c>
      <c r="J2644" s="3">
        <v>60000000</v>
      </c>
      <c r="K2644" s="2" t="s">
        <v>38</v>
      </c>
      <c r="L2644" s="2" t="s">
        <v>2</v>
      </c>
      <c r="M2644" s="4" t="s">
        <v>67</v>
      </c>
      <c r="N2644" s="3" t="s">
        <v>82</v>
      </c>
      <c r="O2644" s="2" t="s">
        <v>11</v>
      </c>
      <c r="P2644" s="10"/>
      <c r="Q2644" s="11"/>
    </row>
    <row r="2645" spans="2:17" ht="21" customHeight="1" x14ac:dyDescent="0.35">
      <c r="B2645" s="18">
        <v>44138</v>
      </c>
      <c r="C2645" s="18" t="str">
        <f>TEXT(Sales[[#This Row],[Kode Program/Kegiatan ]],"D")</f>
        <v>3</v>
      </c>
      <c r="D2645" s="19" t="str">
        <f>TEXT(Sales[[#This Row],[Kode Program/Kegiatan ]],"mmm")</f>
        <v>Nov</v>
      </c>
      <c r="E2645" s="20">
        <v>7</v>
      </c>
      <c r="F2645" s="19">
        <v>7</v>
      </c>
      <c r="G2645" s="20" t="str">
        <f>IF(Sales[[#This Row],[Anggaran Murni]]-Sales[[#This Row],[Target s.d. Januari]]=0,"",Sales[[#This Row],[Anggaran Murni]]-Sales[[#This Row],[Target s.d. Januari]])</f>
        <v/>
      </c>
      <c r="H2645" s="19" t="s">
        <v>70</v>
      </c>
      <c r="I2645" s="20" t="s">
        <v>1</v>
      </c>
      <c r="J2645" s="20">
        <v>120000000</v>
      </c>
      <c r="K2645" s="19" t="s">
        <v>15</v>
      </c>
      <c r="L2645" s="19" t="s">
        <v>8</v>
      </c>
      <c r="M2645" s="21" t="s">
        <v>67</v>
      </c>
      <c r="N2645" s="20" t="s">
        <v>81</v>
      </c>
      <c r="O2645" s="19" t="s">
        <v>11</v>
      </c>
      <c r="P2645" s="10"/>
      <c r="Q2645" s="11"/>
    </row>
    <row r="2646" spans="2:17" ht="21" customHeight="1" x14ac:dyDescent="0.35">
      <c r="B2646" s="1">
        <v>44138</v>
      </c>
      <c r="C2646" s="1" t="str">
        <f>TEXT(Sales[[#This Row],[Kode Program/Kegiatan ]],"D")</f>
        <v>3</v>
      </c>
      <c r="D2646" s="2" t="str">
        <f>TEXT(Sales[[#This Row],[Kode Program/Kegiatan ]],"mmm")</f>
        <v>Nov</v>
      </c>
      <c r="E2646" s="3">
        <v>7</v>
      </c>
      <c r="F2646" s="2">
        <v>7</v>
      </c>
      <c r="G2646" s="3" t="str">
        <f>IF(Sales[[#This Row],[Anggaran Murni]]-Sales[[#This Row],[Target s.d. Januari]]=0,"",Sales[[#This Row],[Anggaran Murni]]-Sales[[#This Row],[Target s.d. Januari]])</f>
        <v/>
      </c>
      <c r="H2646" s="2" t="s">
        <v>75</v>
      </c>
      <c r="I2646" s="3" t="s">
        <v>6</v>
      </c>
      <c r="J2646" s="3">
        <v>120000000</v>
      </c>
      <c r="K2646" s="2" t="s">
        <v>31</v>
      </c>
      <c r="L2646" s="2" t="s">
        <v>5</v>
      </c>
      <c r="M2646" s="4" t="s">
        <v>67</v>
      </c>
      <c r="N2646" s="3" t="s">
        <v>81</v>
      </c>
      <c r="O2646" s="2" t="s">
        <v>11</v>
      </c>
      <c r="P2646" s="10"/>
      <c r="Q2646" s="11"/>
    </row>
    <row r="2647" spans="2:17" ht="21" customHeight="1" x14ac:dyDescent="0.35">
      <c r="B2647" s="18">
        <v>44138</v>
      </c>
      <c r="C2647" s="18" t="str">
        <f>TEXT(Sales[[#This Row],[Kode Program/Kegiatan ]],"D")</f>
        <v>3</v>
      </c>
      <c r="D2647" s="19" t="str">
        <f>TEXT(Sales[[#This Row],[Kode Program/Kegiatan ]],"mmm")</f>
        <v>Nov</v>
      </c>
      <c r="E2647" s="20">
        <v>6</v>
      </c>
      <c r="F2647" s="19">
        <v>6</v>
      </c>
      <c r="G2647" s="20" t="str">
        <f>IF(Sales[[#This Row],[Anggaran Murni]]-Sales[[#This Row],[Target s.d. Januari]]=0,"",Sales[[#This Row],[Anggaran Murni]]-Sales[[#This Row],[Target s.d. Januari]])</f>
        <v/>
      </c>
      <c r="H2647" s="19" t="s">
        <v>71</v>
      </c>
      <c r="I2647" s="20" t="s">
        <v>6</v>
      </c>
      <c r="J2647" s="20">
        <v>60000000</v>
      </c>
      <c r="K2647" s="19" t="s">
        <v>45</v>
      </c>
      <c r="L2647" s="19" t="s">
        <v>7</v>
      </c>
      <c r="M2647" s="21" t="s">
        <v>67</v>
      </c>
      <c r="N2647" s="20" t="s">
        <v>82</v>
      </c>
      <c r="O2647" s="19" t="s">
        <v>13</v>
      </c>
      <c r="P2647" s="10"/>
      <c r="Q2647" s="11"/>
    </row>
    <row r="2648" spans="2:17" ht="21" customHeight="1" x14ac:dyDescent="0.35">
      <c r="B2648" s="1">
        <v>44138</v>
      </c>
      <c r="C2648" s="1" t="str">
        <f>TEXT(Sales[[#This Row],[Kode Program/Kegiatan ]],"D")</f>
        <v>3</v>
      </c>
      <c r="D2648" s="2" t="str">
        <f>TEXT(Sales[[#This Row],[Kode Program/Kegiatan ]],"mmm")</f>
        <v>Nov</v>
      </c>
      <c r="E2648" s="3">
        <v>4</v>
      </c>
      <c r="F2648" s="2">
        <v>4</v>
      </c>
      <c r="G2648" s="3" t="str">
        <f>IF(Sales[[#This Row],[Anggaran Murni]]-Sales[[#This Row],[Target s.d. Januari]]=0,"",Sales[[#This Row],[Anggaran Murni]]-Sales[[#This Row],[Target s.d. Januari]])</f>
        <v/>
      </c>
      <c r="H2648" s="2" t="s">
        <v>73</v>
      </c>
      <c r="I2648" s="3" t="s">
        <v>78</v>
      </c>
      <c r="J2648" s="3">
        <v>60000000</v>
      </c>
      <c r="K2648" s="2" t="s">
        <v>32</v>
      </c>
      <c r="L2648" s="2" t="s">
        <v>2</v>
      </c>
      <c r="M2648" s="4" t="s">
        <v>67</v>
      </c>
      <c r="N2648" s="3" t="s">
        <v>81</v>
      </c>
      <c r="O2648" s="2" t="s">
        <v>14</v>
      </c>
      <c r="P2648" s="10"/>
      <c r="Q2648" s="11"/>
    </row>
    <row r="2649" spans="2:17" ht="21" customHeight="1" x14ac:dyDescent="0.35">
      <c r="B2649" s="18">
        <v>44138</v>
      </c>
      <c r="C2649" s="18" t="str">
        <f>TEXT(Sales[[#This Row],[Kode Program/Kegiatan ]],"D")</f>
        <v>3</v>
      </c>
      <c r="D2649" s="19" t="str">
        <f>TEXT(Sales[[#This Row],[Kode Program/Kegiatan ]],"mmm")</f>
        <v>Nov</v>
      </c>
      <c r="E2649" s="20">
        <v>3</v>
      </c>
      <c r="F2649" s="19">
        <v>3</v>
      </c>
      <c r="G2649" s="20" t="str">
        <f>IF(Sales[[#This Row],[Anggaran Murni]]-Sales[[#This Row],[Target s.d. Januari]]=0,"",Sales[[#This Row],[Anggaran Murni]]-Sales[[#This Row],[Target s.d. Januari]])</f>
        <v/>
      </c>
      <c r="H2649" s="19" t="s">
        <v>73</v>
      </c>
      <c r="I2649" s="20" t="s">
        <v>78</v>
      </c>
      <c r="J2649" s="20">
        <v>100000000</v>
      </c>
      <c r="K2649" s="19" t="s">
        <v>24</v>
      </c>
      <c r="L2649" s="19" t="s">
        <v>5</v>
      </c>
      <c r="M2649" s="21" t="s">
        <v>67</v>
      </c>
      <c r="N2649" s="20" t="s">
        <v>81</v>
      </c>
      <c r="O2649" s="19" t="s">
        <v>11</v>
      </c>
      <c r="P2649" s="10"/>
      <c r="Q2649" s="11"/>
    </row>
    <row r="2650" spans="2:17" ht="21" customHeight="1" x14ac:dyDescent="0.35">
      <c r="B2650" s="1">
        <v>44138</v>
      </c>
      <c r="C2650" s="1" t="str">
        <f>TEXT(Sales[[#This Row],[Kode Program/Kegiatan ]],"D")</f>
        <v>3</v>
      </c>
      <c r="D2650" s="2" t="str">
        <f>TEXT(Sales[[#This Row],[Kode Program/Kegiatan ]],"mmm")</f>
        <v>Nov</v>
      </c>
      <c r="E2650" s="3">
        <v>3</v>
      </c>
      <c r="F2650" s="2">
        <v>3</v>
      </c>
      <c r="G2650" s="3" t="str">
        <f>IF(Sales[[#This Row],[Anggaran Murni]]-Sales[[#This Row],[Target s.d. Januari]]=0,"",Sales[[#This Row],[Anggaran Murni]]-Sales[[#This Row],[Target s.d. Januari]])</f>
        <v/>
      </c>
      <c r="H2650" s="2" t="s">
        <v>75</v>
      </c>
      <c r="I2650" s="3" t="s">
        <v>6</v>
      </c>
      <c r="J2650" s="3">
        <v>80000000</v>
      </c>
      <c r="K2650" s="2" t="s">
        <v>37</v>
      </c>
      <c r="L2650" s="2" t="s">
        <v>2</v>
      </c>
      <c r="M2650" s="4" t="s">
        <v>67</v>
      </c>
      <c r="N2650" s="3" t="s">
        <v>82</v>
      </c>
      <c r="O2650" s="2" t="s">
        <v>12</v>
      </c>
      <c r="P2650" s="10"/>
      <c r="Q2650" s="11"/>
    </row>
    <row r="2651" spans="2:17" ht="21" customHeight="1" x14ac:dyDescent="0.35">
      <c r="B2651" s="18">
        <v>44139</v>
      </c>
      <c r="C2651" s="18" t="str">
        <f>TEXT(Sales[[#This Row],[Kode Program/Kegiatan ]],"D")</f>
        <v>4</v>
      </c>
      <c r="D2651" s="19" t="str">
        <f>TEXT(Sales[[#This Row],[Kode Program/Kegiatan ]],"mmm")</f>
        <v>Nov</v>
      </c>
      <c r="E2651" s="20">
        <v>10</v>
      </c>
      <c r="F2651" s="19">
        <v>10</v>
      </c>
      <c r="G2651" s="20" t="str">
        <f>IF(Sales[[#This Row],[Anggaran Murni]]-Sales[[#This Row],[Target s.d. Januari]]=0,"",Sales[[#This Row],[Anggaran Murni]]-Sales[[#This Row],[Target s.d. Januari]])</f>
        <v/>
      </c>
      <c r="H2651" s="19" t="s">
        <v>76</v>
      </c>
      <c r="I2651" s="20" t="s">
        <v>79</v>
      </c>
      <c r="J2651" s="20">
        <v>40000000</v>
      </c>
      <c r="K2651" s="19" t="s">
        <v>19</v>
      </c>
      <c r="L2651" s="19" t="s">
        <v>8</v>
      </c>
      <c r="M2651" s="21" t="s">
        <v>67</v>
      </c>
      <c r="N2651" s="20" t="s">
        <v>82</v>
      </c>
      <c r="O2651" s="19" t="s">
        <v>11</v>
      </c>
      <c r="P2651" s="10"/>
      <c r="Q2651" s="11"/>
    </row>
    <row r="2652" spans="2:17" ht="21" customHeight="1" x14ac:dyDescent="0.35">
      <c r="B2652" s="1">
        <v>44139</v>
      </c>
      <c r="C2652" s="1" t="str">
        <f>TEXT(Sales[[#This Row],[Kode Program/Kegiatan ]],"D")</f>
        <v>4</v>
      </c>
      <c r="D2652" s="2" t="str">
        <f>TEXT(Sales[[#This Row],[Kode Program/Kegiatan ]],"mmm")</f>
        <v>Nov</v>
      </c>
      <c r="E2652" s="3">
        <v>10</v>
      </c>
      <c r="F2652" s="2">
        <v>10</v>
      </c>
      <c r="G2652" s="3" t="str">
        <f>IF(Sales[[#This Row],[Anggaran Murni]]-Sales[[#This Row],[Target s.d. Januari]]=0,"",Sales[[#This Row],[Anggaran Murni]]-Sales[[#This Row],[Target s.d. Januari]])</f>
        <v/>
      </c>
      <c r="H2652" s="2" t="s">
        <v>70</v>
      </c>
      <c r="I2652" s="3" t="s">
        <v>1</v>
      </c>
      <c r="J2652" s="3">
        <v>80000000</v>
      </c>
      <c r="K2652" s="2" t="s">
        <v>40</v>
      </c>
      <c r="L2652" s="2" t="s">
        <v>8</v>
      </c>
      <c r="M2652" s="4" t="s">
        <v>67</v>
      </c>
      <c r="N2652" s="3" t="s">
        <v>80</v>
      </c>
      <c r="O2652" s="2" t="s">
        <v>13</v>
      </c>
      <c r="P2652" s="10"/>
      <c r="Q2652" s="11"/>
    </row>
    <row r="2653" spans="2:17" ht="21" customHeight="1" x14ac:dyDescent="0.35">
      <c r="B2653" s="18">
        <v>44139</v>
      </c>
      <c r="C2653" s="18" t="str">
        <f>TEXT(Sales[[#This Row],[Kode Program/Kegiatan ]],"D")</f>
        <v>4</v>
      </c>
      <c r="D2653" s="19" t="str">
        <f>TEXT(Sales[[#This Row],[Kode Program/Kegiatan ]],"mmm")</f>
        <v>Nov</v>
      </c>
      <c r="E2653" s="20">
        <v>5</v>
      </c>
      <c r="F2653" s="19">
        <v>5</v>
      </c>
      <c r="G2653" s="20" t="str">
        <f>IF(Sales[[#This Row],[Anggaran Murni]]-Sales[[#This Row],[Target s.d. Januari]]=0,"",Sales[[#This Row],[Anggaran Murni]]-Sales[[#This Row],[Target s.d. Januari]])</f>
        <v/>
      </c>
      <c r="H2653" s="19" t="s">
        <v>72</v>
      </c>
      <c r="I2653" s="20" t="s">
        <v>78</v>
      </c>
      <c r="J2653" s="20">
        <v>120000000</v>
      </c>
      <c r="K2653" s="19" t="s">
        <v>44</v>
      </c>
      <c r="L2653" s="19" t="s">
        <v>2</v>
      </c>
      <c r="M2653" s="21" t="s">
        <v>67</v>
      </c>
      <c r="N2653" s="20" t="s">
        <v>82</v>
      </c>
      <c r="O2653" s="19" t="s">
        <v>12</v>
      </c>
      <c r="P2653" s="10"/>
      <c r="Q2653" s="11"/>
    </row>
    <row r="2654" spans="2:17" ht="21" customHeight="1" x14ac:dyDescent="0.35">
      <c r="B2654" s="1">
        <v>44139</v>
      </c>
      <c r="C2654" s="1" t="str">
        <f>TEXT(Sales[[#This Row],[Kode Program/Kegiatan ]],"D")</f>
        <v>4</v>
      </c>
      <c r="D2654" s="2" t="str">
        <f>TEXT(Sales[[#This Row],[Kode Program/Kegiatan ]],"mmm")</f>
        <v>Nov</v>
      </c>
      <c r="E2654" s="3">
        <v>4</v>
      </c>
      <c r="F2654" s="2">
        <v>4</v>
      </c>
      <c r="G2654" s="3" t="str">
        <f>IF(Sales[[#This Row],[Anggaran Murni]]-Sales[[#This Row],[Target s.d. Januari]]=0,"",Sales[[#This Row],[Anggaran Murni]]-Sales[[#This Row],[Target s.d. Januari]])</f>
        <v/>
      </c>
      <c r="H2654" s="2" t="s">
        <v>73</v>
      </c>
      <c r="I2654" s="3" t="s">
        <v>78</v>
      </c>
      <c r="J2654" s="3">
        <v>120000000</v>
      </c>
      <c r="K2654" s="2" t="s">
        <v>64</v>
      </c>
      <c r="L2654" s="2" t="s">
        <v>7</v>
      </c>
      <c r="M2654" s="4" t="s">
        <v>67</v>
      </c>
      <c r="N2654" s="3" t="s">
        <v>80</v>
      </c>
      <c r="O2654" s="2" t="s">
        <v>14</v>
      </c>
      <c r="P2654" s="10"/>
      <c r="Q2654" s="11"/>
    </row>
    <row r="2655" spans="2:17" ht="21" customHeight="1" x14ac:dyDescent="0.35">
      <c r="B2655" s="18">
        <v>44139</v>
      </c>
      <c r="C2655" s="18" t="str">
        <f>TEXT(Sales[[#This Row],[Kode Program/Kegiatan ]],"D")</f>
        <v>4</v>
      </c>
      <c r="D2655" s="19" t="str">
        <f>TEXT(Sales[[#This Row],[Kode Program/Kegiatan ]],"mmm")</f>
        <v>Nov</v>
      </c>
      <c r="E2655" s="20">
        <v>4</v>
      </c>
      <c r="F2655" s="19">
        <v>4</v>
      </c>
      <c r="G2655" s="20" t="str">
        <f>IF(Sales[[#This Row],[Anggaran Murni]]-Sales[[#This Row],[Target s.d. Januari]]=0,"",Sales[[#This Row],[Anggaran Murni]]-Sales[[#This Row],[Target s.d. Januari]])</f>
        <v/>
      </c>
      <c r="H2655" s="19" t="s">
        <v>70</v>
      </c>
      <c r="I2655" s="20" t="s">
        <v>1</v>
      </c>
      <c r="J2655" s="20">
        <v>120000000</v>
      </c>
      <c r="K2655" s="19" t="s">
        <v>28</v>
      </c>
      <c r="L2655" s="19" t="s">
        <v>5</v>
      </c>
      <c r="M2655" s="21" t="s">
        <v>67</v>
      </c>
      <c r="N2655" s="20" t="s">
        <v>80</v>
      </c>
      <c r="O2655" s="19" t="s">
        <v>11</v>
      </c>
      <c r="P2655" s="10"/>
      <c r="Q2655" s="11"/>
    </row>
    <row r="2656" spans="2:17" ht="21" customHeight="1" x14ac:dyDescent="0.35">
      <c r="B2656" s="1">
        <v>44139</v>
      </c>
      <c r="C2656" s="1" t="str">
        <f>TEXT(Sales[[#This Row],[Kode Program/Kegiatan ]],"D")</f>
        <v>4</v>
      </c>
      <c r="D2656" s="2" t="str">
        <f>TEXT(Sales[[#This Row],[Kode Program/Kegiatan ]],"mmm")</f>
        <v>Nov</v>
      </c>
      <c r="E2656" s="3">
        <v>4</v>
      </c>
      <c r="F2656" s="2">
        <v>4</v>
      </c>
      <c r="G2656" s="3" t="str">
        <f>IF(Sales[[#This Row],[Anggaran Murni]]-Sales[[#This Row],[Target s.d. Januari]]=0,"",Sales[[#This Row],[Anggaran Murni]]-Sales[[#This Row],[Target s.d. Januari]])</f>
        <v/>
      </c>
      <c r="H2656" s="2" t="s">
        <v>73</v>
      </c>
      <c r="I2656" s="3" t="s">
        <v>78</v>
      </c>
      <c r="J2656" s="3">
        <v>60000000</v>
      </c>
      <c r="K2656" s="2" t="s">
        <v>29</v>
      </c>
      <c r="L2656" s="2" t="s">
        <v>4</v>
      </c>
      <c r="M2656" s="4" t="s">
        <v>67</v>
      </c>
      <c r="N2656" s="3" t="s">
        <v>82</v>
      </c>
      <c r="O2656" s="2" t="s">
        <v>11</v>
      </c>
      <c r="P2656" s="10"/>
      <c r="Q2656" s="11"/>
    </row>
    <row r="2657" spans="2:17" ht="21" customHeight="1" x14ac:dyDescent="0.35">
      <c r="B2657" s="18">
        <v>44139</v>
      </c>
      <c r="C2657" s="18" t="str">
        <f>TEXT(Sales[[#This Row],[Kode Program/Kegiatan ]],"D")</f>
        <v>4</v>
      </c>
      <c r="D2657" s="19" t="str">
        <f>TEXT(Sales[[#This Row],[Kode Program/Kegiatan ]],"mmm")</f>
        <v>Nov</v>
      </c>
      <c r="E2657" s="20">
        <v>4</v>
      </c>
      <c r="F2657" s="19">
        <v>4</v>
      </c>
      <c r="G2657" s="20" t="str">
        <f>IF(Sales[[#This Row],[Anggaran Murni]]-Sales[[#This Row],[Target s.d. Januari]]=0,"",Sales[[#This Row],[Anggaran Murni]]-Sales[[#This Row],[Target s.d. Januari]])</f>
        <v/>
      </c>
      <c r="H2657" s="19" t="s">
        <v>71</v>
      </c>
      <c r="I2657" s="20" t="s">
        <v>6</v>
      </c>
      <c r="J2657" s="20">
        <v>120000000</v>
      </c>
      <c r="K2657" s="19" t="s">
        <v>50</v>
      </c>
      <c r="L2657" s="19" t="s">
        <v>9</v>
      </c>
      <c r="M2657" s="21" t="s">
        <v>67</v>
      </c>
      <c r="N2657" s="20" t="s">
        <v>80</v>
      </c>
      <c r="O2657" s="19" t="s">
        <v>12</v>
      </c>
      <c r="P2657" s="10"/>
      <c r="Q2657" s="11"/>
    </row>
    <row r="2658" spans="2:17" ht="21" customHeight="1" x14ac:dyDescent="0.35">
      <c r="B2658" s="1">
        <v>44140</v>
      </c>
      <c r="C2658" s="1" t="str">
        <f>TEXT(Sales[[#This Row],[Kode Program/Kegiatan ]],"D")</f>
        <v>5</v>
      </c>
      <c r="D2658" s="2" t="str">
        <f>TEXT(Sales[[#This Row],[Kode Program/Kegiatan ]],"mmm")</f>
        <v>Nov</v>
      </c>
      <c r="E2658" s="3">
        <v>10</v>
      </c>
      <c r="F2658" s="2">
        <v>10</v>
      </c>
      <c r="G2658" s="3" t="str">
        <f>IF(Sales[[#This Row],[Anggaran Murni]]-Sales[[#This Row],[Target s.d. Januari]]=0,"",Sales[[#This Row],[Anggaran Murni]]-Sales[[#This Row],[Target s.d. Januari]])</f>
        <v/>
      </c>
      <c r="H2658" s="2" t="s">
        <v>76</v>
      </c>
      <c r="I2658" s="3" t="s">
        <v>79</v>
      </c>
      <c r="J2658" s="3">
        <v>40000000</v>
      </c>
      <c r="K2658" s="2" t="s">
        <v>55</v>
      </c>
      <c r="L2658" s="2" t="s">
        <v>2</v>
      </c>
      <c r="M2658" s="4" t="s">
        <v>67</v>
      </c>
      <c r="N2658" s="3" t="s">
        <v>80</v>
      </c>
      <c r="O2658" s="2" t="s">
        <v>11</v>
      </c>
      <c r="P2658" s="10"/>
      <c r="Q2658" s="11"/>
    </row>
    <row r="2659" spans="2:17" ht="21" customHeight="1" x14ac:dyDescent="0.35">
      <c r="B2659" s="18">
        <v>44140</v>
      </c>
      <c r="C2659" s="18" t="str">
        <f>TEXT(Sales[[#This Row],[Kode Program/Kegiatan ]],"D")</f>
        <v>5</v>
      </c>
      <c r="D2659" s="19" t="str">
        <f>TEXT(Sales[[#This Row],[Kode Program/Kegiatan ]],"mmm")</f>
        <v>Nov</v>
      </c>
      <c r="E2659" s="20">
        <v>10</v>
      </c>
      <c r="F2659" s="19">
        <v>10</v>
      </c>
      <c r="G2659" s="20" t="str">
        <f>IF(Sales[[#This Row],[Anggaran Murni]]-Sales[[#This Row],[Target s.d. Januari]]=0,"",Sales[[#This Row],[Anggaran Murni]]-Sales[[#This Row],[Target s.d. Januari]])</f>
        <v/>
      </c>
      <c r="H2659" s="19" t="s">
        <v>70</v>
      </c>
      <c r="I2659" s="20" t="s">
        <v>1</v>
      </c>
      <c r="J2659" s="20">
        <v>40000000</v>
      </c>
      <c r="K2659" s="19" t="s">
        <v>18</v>
      </c>
      <c r="L2659" s="19" t="s">
        <v>2</v>
      </c>
      <c r="M2659" s="21" t="s">
        <v>67</v>
      </c>
      <c r="N2659" s="20" t="s">
        <v>82</v>
      </c>
      <c r="O2659" s="19" t="s">
        <v>13</v>
      </c>
      <c r="P2659" s="10"/>
      <c r="Q2659" s="11"/>
    </row>
    <row r="2660" spans="2:17" ht="21" customHeight="1" x14ac:dyDescent="0.35">
      <c r="B2660" s="1">
        <v>44140</v>
      </c>
      <c r="C2660" s="1" t="str">
        <f>TEXT(Sales[[#This Row],[Kode Program/Kegiatan ]],"D")</f>
        <v>5</v>
      </c>
      <c r="D2660" s="2" t="str">
        <f>TEXT(Sales[[#This Row],[Kode Program/Kegiatan ]],"mmm")</f>
        <v>Nov</v>
      </c>
      <c r="E2660" s="3">
        <v>9</v>
      </c>
      <c r="F2660" s="2">
        <v>9</v>
      </c>
      <c r="G2660" s="3" t="str">
        <f>IF(Sales[[#This Row],[Anggaran Murni]]-Sales[[#This Row],[Target s.d. Januari]]=0,"",Sales[[#This Row],[Anggaran Murni]]-Sales[[#This Row],[Target s.d. Januari]])</f>
        <v/>
      </c>
      <c r="H2660" s="2" t="s">
        <v>72</v>
      </c>
      <c r="I2660" s="3" t="s">
        <v>78</v>
      </c>
      <c r="J2660" s="3">
        <v>40000000</v>
      </c>
      <c r="K2660" s="2" t="s">
        <v>62</v>
      </c>
      <c r="L2660" s="2" t="s">
        <v>5</v>
      </c>
      <c r="M2660" s="4" t="s">
        <v>67</v>
      </c>
      <c r="N2660" s="3" t="s">
        <v>80</v>
      </c>
      <c r="O2660" s="2" t="s">
        <v>13</v>
      </c>
      <c r="P2660" s="10"/>
      <c r="Q2660" s="11"/>
    </row>
    <row r="2661" spans="2:17" ht="21" customHeight="1" x14ac:dyDescent="0.35">
      <c r="B2661" s="18">
        <v>44140</v>
      </c>
      <c r="C2661" s="18" t="str">
        <f>TEXT(Sales[[#This Row],[Kode Program/Kegiatan ]],"D")</f>
        <v>5</v>
      </c>
      <c r="D2661" s="19" t="str">
        <f>TEXT(Sales[[#This Row],[Kode Program/Kegiatan ]],"mmm")</f>
        <v>Nov</v>
      </c>
      <c r="E2661" s="20">
        <v>9</v>
      </c>
      <c r="F2661" s="19">
        <v>9</v>
      </c>
      <c r="G2661" s="20" t="str">
        <f>IF(Sales[[#This Row],[Anggaran Murni]]-Sales[[#This Row],[Target s.d. Januari]]=0,"",Sales[[#This Row],[Anggaran Murni]]-Sales[[#This Row],[Target s.d. Januari]])</f>
        <v/>
      </c>
      <c r="H2661" s="19" t="s">
        <v>70</v>
      </c>
      <c r="I2661" s="20" t="s">
        <v>1</v>
      </c>
      <c r="J2661" s="20">
        <v>80000000</v>
      </c>
      <c r="K2661" s="19" t="s">
        <v>17</v>
      </c>
      <c r="L2661" s="19" t="s">
        <v>5</v>
      </c>
      <c r="M2661" s="21" t="s">
        <v>67</v>
      </c>
      <c r="N2661" s="20" t="s">
        <v>80</v>
      </c>
      <c r="O2661" s="19" t="s">
        <v>14</v>
      </c>
      <c r="P2661" s="10"/>
      <c r="Q2661" s="11"/>
    </row>
    <row r="2662" spans="2:17" ht="21" customHeight="1" x14ac:dyDescent="0.35">
      <c r="B2662" s="1">
        <v>44140</v>
      </c>
      <c r="C2662" s="1" t="str">
        <f>TEXT(Sales[[#This Row],[Kode Program/Kegiatan ]],"D")</f>
        <v>5</v>
      </c>
      <c r="D2662" s="2" t="str">
        <f>TEXT(Sales[[#This Row],[Kode Program/Kegiatan ]],"mmm")</f>
        <v>Nov</v>
      </c>
      <c r="E2662" s="3">
        <v>6</v>
      </c>
      <c r="F2662" s="2">
        <v>6</v>
      </c>
      <c r="G2662" s="3" t="str">
        <f>IF(Sales[[#This Row],[Anggaran Murni]]-Sales[[#This Row],[Target s.d. Januari]]=0,"",Sales[[#This Row],[Anggaran Murni]]-Sales[[#This Row],[Target s.d. Januari]])</f>
        <v/>
      </c>
      <c r="H2662" s="2" t="s">
        <v>72</v>
      </c>
      <c r="I2662" s="3" t="s">
        <v>78</v>
      </c>
      <c r="J2662" s="3">
        <v>120000000</v>
      </c>
      <c r="K2662" s="2" t="s">
        <v>36</v>
      </c>
      <c r="L2662" s="2" t="s">
        <v>2</v>
      </c>
      <c r="M2662" s="4" t="s">
        <v>67</v>
      </c>
      <c r="N2662" s="3" t="s">
        <v>80</v>
      </c>
      <c r="O2662" s="2" t="s">
        <v>11</v>
      </c>
      <c r="P2662" s="10"/>
      <c r="Q2662" s="11"/>
    </row>
    <row r="2663" spans="2:17" ht="21" customHeight="1" x14ac:dyDescent="0.35">
      <c r="B2663" s="18">
        <v>44140</v>
      </c>
      <c r="C2663" s="18" t="str">
        <f>TEXT(Sales[[#This Row],[Kode Program/Kegiatan ]],"D")</f>
        <v>5</v>
      </c>
      <c r="D2663" s="19" t="str">
        <f>TEXT(Sales[[#This Row],[Kode Program/Kegiatan ]],"mmm")</f>
        <v>Nov</v>
      </c>
      <c r="E2663" s="20">
        <v>6</v>
      </c>
      <c r="F2663" s="19">
        <v>6</v>
      </c>
      <c r="G2663" s="20" t="str">
        <f>IF(Sales[[#This Row],[Anggaran Murni]]-Sales[[#This Row],[Target s.d. Januari]]=0,"",Sales[[#This Row],[Anggaran Murni]]-Sales[[#This Row],[Target s.d. Januari]])</f>
        <v/>
      </c>
      <c r="H2663" s="19" t="s">
        <v>114</v>
      </c>
      <c r="I2663" s="20" t="s">
        <v>3</v>
      </c>
      <c r="J2663" s="20">
        <v>140000000</v>
      </c>
      <c r="K2663" s="19" t="s">
        <v>29</v>
      </c>
      <c r="L2663" s="19" t="s">
        <v>2</v>
      </c>
      <c r="M2663" s="21" t="s">
        <v>67</v>
      </c>
      <c r="N2663" s="20" t="s">
        <v>82</v>
      </c>
      <c r="O2663" s="19" t="s">
        <v>12</v>
      </c>
      <c r="P2663" s="10"/>
      <c r="Q2663" s="11"/>
    </row>
    <row r="2664" spans="2:17" ht="21" customHeight="1" x14ac:dyDescent="0.35">
      <c r="B2664" s="1">
        <v>44140</v>
      </c>
      <c r="C2664" s="1" t="str">
        <f>TEXT(Sales[[#This Row],[Kode Program/Kegiatan ]],"D")</f>
        <v>5</v>
      </c>
      <c r="D2664" s="2" t="str">
        <f>TEXT(Sales[[#This Row],[Kode Program/Kegiatan ]],"mmm")</f>
        <v>Nov</v>
      </c>
      <c r="E2664" s="3">
        <v>5</v>
      </c>
      <c r="F2664" s="2">
        <v>5</v>
      </c>
      <c r="G2664" s="3" t="str">
        <f>IF(Sales[[#This Row],[Anggaran Murni]]-Sales[[#This Row],[Target s.d. Januari]]=0,"",Sales[[#This Row],[Anggaran Murni]]-Sales[[#This Row],[Target s.d. Januari]])</f>
        <v/>
      </c>
      <c r="H2664" s="2" t="s">
        <v>74</v>
      </c>
      <c r="I2664" s="3" t="s">
        <v>77</v>
      </c>
      <c r="J2664" s="3">
        <v>60000000</v>
      </c>
      <c r="K2664" s="2" t="s">
        <v>23</v>
      </c>
      <c r="L2664" s="2" t="s">
        <v>5</v>
      </c>
      <c r="M2664" s="4" t="s">
        <v>67</v>
      </c>
      <c r="N2664" s="3" t="s">
        <v>80</v>
      </c>
      <c r="O2664" s="2" t="s">
        <v>11</v>
      </c>
      <c r="P2664" s="10"/>
      <c r="Q2664" s="11"/>
    </row>
    <row r="2665" spans="2:17" ht="21" customHeight="1" x14ac:dyDescent="0.35">
      <c r="B2665" s="18">
        <v>44140</v>
      </c>
      <c r="C2665" s="18" t="str">
        <f>TEXT(Sales[[#This Row],[Kode Program/Kegiatan ]],"D")</f>
        <v>5</v>
      </c>
      <c r="D2665" s="19" t="str">
        <f>TEXT(Sales[[#This Row],[Kode Program/Kegiatan ]],"mmm")</f>
        <v>Nov</v>
      </c>
      <c r="E2665" s="20">
        <v>5</v>
      </c>
      <c r="F2665" s="19">
        <v>5</v>
      </c>
      <c r="G2665" s="20" t="str">
        <f>IF(Sales[[#This Row],[Anggaran Murni]]-Sales[[#This Row],[Target s.d. Januari]]=0,"",Sales[[#This Row],[Anggaran Murni]]-Sales[[#This Row],[Target s.d. Januari]])</f>
        <v/>
      </c>
      <c r="H2665" s="19" t="s">
        <v>76</v>
      </c>
      <c r="I2665" s="20" t="s">
        <v>79</v>
      </c>
      <c r="J2665" s="20">
        <v>40000000</v>
      </c>
      <c r="K2665" s="19" t="s">
        <v>24</v>
      </c>
      <c r="L2665" s="19" t="s">
        <v>2</v>
      </c>
      <c r="M2665" s="21" t="s">
        <v>67</v>
      </c>
      <c r="N2665" s="20" t="s">
        <v>81</v>
      </c>
      <c r="O2665" s="19" t="s">
        <v>12</v>
      </c>
      <c r="P2665" s="10"/>
      <c r="Q2665" s="11"/>
    </row>
    <row r="2666" spans="2:17" ht="21" customHeight="1" x14ac:dyDescent="0.35">
      <c r="B2666" s="1">
        <v>44140</v>
      </c>
      <c r="C2666" s="1" t="str">
        <f>TEXT(Sales[[#This Row],[Kode Program/Kegiatan ]],"D")</f>
        <v>5</v>
      </c>
      <c r="D2666" s="2" t="str">
        <f>TEXT(Sales[[#This Row],[Kode Program/Kegiatan ]],"mmm")</f>
        <v>Nov</v>
      </c>
      <c r="E2666" s="3">
        <v>3</v>
      </c>
      <c r="F2666" s="2">
        <v>3</v>
      </c>
      <c r="G2666" s="3" t="str">
        <f>IF(Sales[[#This Row],[Anggaran Murni]]-Sales[[#This Row],[Target s.d. Januari]]=0,"",Sales[[#This Row],[Anggaran Murni]]-Sales[[#This Row],[Target s.d. Januari]])</f>
        <v/>
      </c>
      <c r="H2666" s="2" t="s">
        <v>71</v>
      </c>
      <c r="I2666" s="3" t="s">
        <v>6</v>
      </c>
      <c r="J2666" s="3">
        <v>80000000</v>
      </c>
      <c r="K2666" s="2" t="s">
        <v>35</v>
      </c>
      <c r="L2666" s="2" t="s">
        <v>2</v>
      </c>
      <c r="M2666" s="4" t="s">
        <v>67</v>
      </c>
      <c r="N2666" s="3" t="s">
        <v>81</v>
      </c>
      <c r="O2666" s="2" t="s">
        <v>11</v>
      </c>
      <c r="P2666" s="10"/>
      <c r="Q2666" s="11"/>
    </row>
    <row r="2667" spans="2:17" ht="21" customHeight="1" x14ac:dyDescent="0.35">
      <c r="B2667" s="18">
        <v>44141</v>
      </c>
      <c r="C2667" s="18" t="str">
        <f>TEXT(Sales[[#This Row],[Kode Program/Kegiatan ]],"D")</f>
        <v>6</v>
      </c>
      <c r="D2667" s="19" t="str">
        <f>TEXT(Sales[[#This Row],[Kode Program/Kegiatan ]],"mmm")</f>
        <v>Nov</v>
      </c>
      <c r="E2667" s="20">
        <v>10</v>
      </c>
      <c r="F2667" s="19">
        <v>10</v>
      </c>
      <c r="G2667" s="20" t="str">
        <f>IF(Sales[[#This Row],[Anggaran Murni]]-Sales[[#This Row],[Target s.d. Januari]]=0,"",Sales[[#This Row],[Anggaran Murni]]-Sales[[#This Row],[Target s.d. Januari]])</f>
        <v/>
      </c>
      <c r="H2667" s="19" t="s">
        <v>70</v>
      </c>
      <c r="I2667" s="20" t="s">
        <v>1</v>
      </c>
      <c r="J2667" s="20">
        <v>80000000</v>
      </c>
      <c r="K2667" s="19" t="s">
        <v>52</v>
      </c>
      <c r="L2667" s="19" t="s">
        <v>5</v>
      </c>
      <c r="M2667" s="21" t="s">
        <v>86</v>
      </c>
      <c r="N2667" s="20" t="s">
        <v>83</v>
      </c>
      <c r="O2667" s="19" t="s">
        <v>11</v>
      </c>
      <c r="P2667" s="10"/>
      <c r="Q2667" s="11"/>
    </row>
    <row r="2668" spans="2:17" ht="21" customHeight="1" x14ac:dyDescent="0.35">
      <c r="B2668" s="1">
        <v>44141</v>
      </c>
      <c r="C2668" s="1" t="str">
        <f>TEXT(Sales[[#This Row],[Kode Program/Kegiatan ]],"D")</f>
        <v>6</v>
      </c>
      <c r="D2668" s="2" t="str">
        <f>TEXT(Sales[[#This Row],[Kode Program/Kegiatan ]],"mmm")</f>
        <v>Nov</v>
      </c>
      <c r="E2668" s="3">
        <v>10</v>
      </c>
      <c r="F2668" s="2">
        <v>10</v>
      </c>
      <c r="G2668" s="3" t="str">
        <f>IF(Sales[[#This Row],[Anggaran Murni]]-Sales[[#This Row],[Target s.d. Januari]]=0,"",Sales[[#This Row],[Anggaran Murni]]-Sales[[#This Row],[Target s.d. Januari]])</f>
        <v/>
      </c>
      <c r="H2668" s="2" t="s">
        <v>74</v>
      </c>
      <c r="I2668" s="3" t="s">
        <v>77</v>
      </c>
      <c r="J2668" s="3">
        <v>100000000</v>
      </c>
      <c r="K2668" s="2" t="s">
        <v>20</v>
      </c>
      <c r="L2668" s="2" t="s">
        <v>7</v>
      </c>
      <c r="M2668" s="4" t="s">
        <v>86</v>
      </c>
      <c r="N2668" s="3" t="s">
        <v>83</v>
      </c>
      <c r="O2668" s="2" t="s">
        <v>14</v>
      </c>
      <c r="P2668" s="10"/>
      <c r="Q2668" s="11"/>
    </row>
    <row r="2669" spans="2:17" ht="21" customHeight="1" x14ac:dyDescent="0.35">
      <c r="B2669" s="18">
        <v>44141</v>
      </c>
      <c r="C2669" s="18" t="str">
        <f>TEXT(Sales[[#This Row],[Kode Program/Kegiatan ]],"D")</f>
        <v>6</v>
      </c>
      <c r="D2669" s="19" t="str">
        <f>TEXT(Sales[[#This Row],[Kode Program/Kegiatan ]],"mmm")</f>
        <v>Nov</v>
      </c>
      <c r="E2669" s="20">
        <v>10</v>
      </c>
      <c r="F2669" s="19">
        <v>10</v>
      </c>
      <c r="G2669" s="20" t="str">
        <f>IF(Sales[[#This Row],[Anggaran Murni]]-Sales[[#This Row],[Target s.d. Januari]]=0,"",Sales[[#This Row],[Anggaran Murni]]-Sales[[#This Row],[Target s.d. Januari]])</f>
        <v/>
      </c>
      <c r="H2669" s="19" t="s">
        <v>72</v>
      </c>
      <c r="I2669" s="20" t="s">
        <v>78</v>
      </c>
      <c r="J2669" s="20">
        <v>80000000</v>
      </c>
      <c r="K2669" s="19" t="s">
        <v>16</v>
      </c>
      <c r="L2669" s="19" t="s">
        <v>8</v>
      </c>
      <c r="M2669" s="21" t="s">
        <v>86</v>
      </c>
      <c r="N2669" s="20" t="s">
        <v>83</v>
      </c>
      <c r="O2669" s="19" t="s">
        <v>11</v>
      </c>
      <c r="P2669" s="10"/>
      <c r="Q2669" s="11"/>
    </row>
    <row r="2670" spans="2:17" ht="21" customHeight="1" x14ac:dyDescent="0.35">
      <c r="B2670" s="1">
        <v>44141</v>
      </c>
      <c r="C2670" s="1" t="str">
        <f>TEXT(Sales[[#This Row],[Kode Program/Kegiatan ]],"D")</f>
        <v>6</v>
      </c>
      <c r="D2670" s="2" t="str">
        <f>TEXT(Sales[[#This Row],[Kode Program/Kegiatan ]],"mmm")</f>
        <v>Nov</v>
      </c>
      <c r="E2670" s="3">
        <v>9</v>
      </c>
      <c r="F2670" s="2">
        <v>9</v>
      </c>
      <c r="G2670" s="3" t="str">
        <f>IF(Sales[[#This Row],[Anggaran Murni]]-Sales[[#This Row],[Target s.d. Januari]]=0,"",Sales[[#This Row],[Anggaran Murni]]-Sales[[#This Row],[Target s.d. Januari]])</f>
        <v/>
      </c>
      <c r="H2670" s="2" t="s">
        <v>73</v>
      </c>
      <c r="I2670" s="3" t="s">
        <v>78</v>
      </c>
      <c r="J2670" s="3">
        <v>100000000</v>
      </c>
      <c r="K2670" s="2" t="s">
        <v>59</v>
      </c>
      <c r="L2670" s="2" t="s">
        <v>2</v>
      </c>
      <c r="M2670" s="4" t="s">
        <v>86</v>
      </c>
      <c r="N2670" s="3" t="s">
        <v>83</v>
      </c>
      <c r="O2670" s="2" t="s">
        <v>11</v>
      </c>
      <c r="P2670" s="10"/>
      <c r="Q2670" s="11"/>
    </row>
    <row r="2671" spans="2:17" ht="21" customHeight="1" x14ac:dyDescent="0.35">
      <c r="B2671" s="18">
        <v>44141</v>
      </c>
      <c r="C2671" s="18" t="str">
        <f>TEXT(Sales[[#This Row],[Kode Program/Kegiatan ]],"D")</f>
        <v>6</v>
      </c>
      <c r="D2671" s="19" t="str">
        <f>TEXT(Sales[[#This Row],[Kode Program/Kegiatan ]],"mmm")</f>
        <v>Nov</v>
      </c>
      <c r="E2671" s="20">
        <v>8</v>
      </c>
      <c r="F2671" s="19">
        <v>8</v>
      </c>
      <c r="G2671" s="20" t="str">
        <f>IF(Sales[[#This Row],[Anggaran Murni]]-Sales[[#This Row],[Target s.d. Januari]]=0,"",Sales[[#This Row],[Anggaran Murni]]-Sales[[#This Row],[Target s.d. Januari]])</f>
        <v/>
      </c>
      <c r="H2671" s="19" t="s">
        <v>70</v>
      </c>
      <c r="I2671" s="20" t="s">
        <v>1</v>
      </c>
      <c r="J2671" s="20">
        <v>60000000</v>
      </c>
      <c r="K2671" s="19" t="s">
        <v>40</v>
      </c>
      <c r="L2671" s="19" t="s">
        <v>5</v>
      </c>
      <c r="M2671" s="21" t="s">
        <v>86</v>
      </c>
      <c r="N2671" s="20" t="s">
        <v>83</v>
      </c>
      <c r="O2671" s="19" t="s">
        <v>14</v>
      </c>
      <c r="P2671" s="10"/>
      <c r="Q2671" s="11"/>
    </row>
    <row r="2672" spans="2:17" ht="21" customHeight="1" x14ac:dyDescent="0.35">
      <c r="B2672" s="1">
        <v>44141</v>
      </c>
      <c r="C2672" s="1" t="str">
        <f>TEXT(Sales[[#This Row],[Kode Program/Kegiatan ]],"D")</f>
        <v>6</v>
      </c>
      <c r="D2672" s="2" t="str">
        <f>TEXT(Sales[[#This Row],[Kode Program/Kegiatan ]],"mmm")</f>
        <v>Nov</v>
      </c>
      <c r="E2672" s="3">
        <v>5</v>
      </c>
      <c r="F2672" s="2">
        <v>5</v>
      </c>
      <c r="G2672" s="3" t="str">
        <f>IF(Sales[[#This Row],[Anggaran Murni]]-Sales[[#This Row],[Target s.d. Januari]]=0,"",Sales[[#This Row],[Anggaran Murni]]-Sales[[#This Row],[Target s.d. Januari]])</f>
        <v/>
      </c>
      <c r="H2672" s="2" t="s">
        <v>73</v>
      </c>
      <c r="I2672" s="3" t="s">
        <v>78</v>
      </c>
      <c r="J2672" s="3">
        <v>140000000</v>
      </c>
      <c r="K2672" s="2" t="s">
        <v>37</v>
      </c>
      <c r="L2672" s="2" t="s">
        <v>2</v>
      </c>
      <c r="M2672" s="4" t="s">
        <v>67</v>
      </c>
      <c r="N2672" s="3" t="s">
        <v>81</v>
      </c>
      <c r="O2672" s="2" t="s">
        <v>13</v>
      </c>
      <c r="P2672" s="10"/>
      <c r="Q2672" s="11"/>
    </row>
    <row r="2673" spans="2:17" ht="21" customHeight="1" x14ac:dyDescent="0.35">
      <c r="B2673" s="18">
        <v>44141</v>
      </c>
      <c r="C2673" s="18" t="str">
        <f>TEXT(Sales[[#This Row],[Kode Program/Kegiatan ]],"D")</f>
        <v>6</v>
      </c>
      <c r="D2673" s="19" t="str">
        <f>TEXT(Sales[[#This Row],[Kode Program/Kegiatan ]],"mmm")</f>
        <v>Nov</v>
      </c>
      <c r="E2673" s="20">
        <v>5</v>
      </c>
      <c r="F2673" s="19">
        <v>5</v>
      </c>
      <c r="G2673" s="20" t="str">
        <f>IF(Sales[[#This Row],[Anggaran Murni]]-Sales[[#This Row],[Target s.d. Januari]]=0,"",Sales[[#This Row],[Anggaran Murni]]-Sales[[#This Row],[Target s.d. Januari]])</f>
        <v/>
      </c>
      <c r="H2673" s="19" t="s">
        <v>72</v>
      </c>
      <c r="I2673" s="20" t="s">
        <v>78</v>
      </c>
      <c r="J2673" s="20">
        <v>120000000</v>
      </c>
      <c r="K2673" s="19" t="s">
        <v>61</v>
      </c>
      <c r="L2673" s="19" t="s">
        <v>7</v>
      </c>
      <c r="M2673" s="21" t="s">
        <v>86</v>
      </c>
      <c r="N2673" s="20" t="s">
        <v>83</v>
      </c>
      <c r="O2673" s="19" t="s">
        <v>13</v>
      </c>
      <c r="P2673" s="10"/>
      <c r="Q2673" s="11"/>
    </row>
    <row r="2674" spans="2:17" ht="21" customHeight="1" x14ac:dyDescent="0.35">
      <c r="B2674" s="1">
        <v>44142</v>
      </c>
      <c r="C2674" s="1" t="str">
        <f>TEXT(Sales[[#This Row],[Kode Program/Kegiatan ]],"D")</f>
        <v>7</v>
      </c>
      <c r="D2674" s="2" t="str">
        <f>TEXT(Sales[[#This Row],[Kode Program/Kegiatan ]],"mmm")</f>
        <v>Nov</v>
      </c>
      <c r="E2674" s="3">
        <v>7</v>
      </c>
      <c r="F2674" s="2">
        <v>7</v>
      </c>
      <c r="G2674" s="3" t="str">
        <f>IF(Sales[[#This Row],[Anggaran Murni]]-Sales[[#This Row],[Target s.d. Januari]]=0,"",Sales[[#This Row],[Anggaran Murni]]-Sales[[#This Row],[Target s.d. Januari]])</f>
        <v/>
      </c>
      <c r="H2674" s="2" t="s">
        <v>71</v>
      </c>
      <c r="I2674" s="3" t="s">
        <v>6</v>
      </c>
      <c r="J2674" s="3">
        <v>120000000</v>
      </c>
      <c r="K2674" s="2" t="s">
        <v>25</v>
      </c>
      <c r="L2674" s="2" t="s">
        <v>5</v>
      </c>
      <c r="M2674" s="4" t="s">
        <v>86</v>
      </c>
      <c r="N2674" s="3" t="s">
        <v>83</v>
      </c>
      <c r="O2674" s="2" t="s">
        <v>13</v>
      </c>
      <c r="P2674" s="10"/>
      <c r="Q2674" s="11"/>
    </row>
    <row r="2675" spans="2:17" ht="21" customHeight="1" x14ac:dyDescent="0.35">
      <c r="B2675" s="18">
        <v>44142</v>
      </c>
      <c r="C2675" s="18" t="str">
        <f>TEXT(Sales[[#This Row],[Kode Program/Kegiatan ]],"D")</f>
        <v>7</v>
      </c>
      <c r="D2675" s="19" t="str">
        <f>TEXT(Sales[[#This Row],[Kode Program/Kegiatan ]],"mmm")</f>
        <v>Nov</v>
      </c>
      <c r="E2675" s="20">
        <v>6</v>
      </c>
      <c r="F2675" s="19">
        <v>6</v>
      </c>
      <c r="G2675" s="20" t="str">
        <f>IF(Sales[[#This Row],[Anggaran Murni]]-Sales[[#This Row],[Target s.d. Januari]]=0,"",Sales[[#This Row],[Anggaran Murni]]-Sales[[#This Row],[Target s.d. Januari]])</f>
        <v/>
      </c>
      <c r="H2675" s="19" t="s">
        <v>73</v>
      </c>
      <c r="I2675" s="20" t="s">
        <v>78</v>
      </c>
      <c r="J2675" s="20">
        <v>100000000</v>
      </c>
      <c r="K2675" s="19" t="s">
        <v>38</v>
      </c>
      <c r="L2675" s="19" t="s">
        <v>5</v>
      </c>
      <c r="M2675" s="21" t="s">
        <v>86</v>
      </c>
      <c r="N2675" s="20" t="s">
        <v>83</v>
      </c>
      <c r="O2675" s="19" t="s">
        <v>11</v>
      </c>
      <c r="P2675" s="10"/>
      <c r="Q2675" s="11"/>
    </row>
    <row r="2676" spans="2:17" ht="21" customHeight="1" x14ac:dyDescent="0.35">
      <c r="B2676" s="1">
        <v>44142</v>
      </c>
      <c r="C2676" s="1" t="str">
        <f>TEXT(Sales[[#This Row],[Kode Program/Kegiatan ]],"D")</f>
        <v>7</v>
      </c>
      <c r="D2676" s="2" t="str">
        <f>TEXT(Sales[[#This Row],[Kode Program/Kegiatan ]],"mmm")</f>
        <v>Nov</v>
      </c>
      <c r="E2676" s="3">
        <v>6</v>
      </c>
      <c r="F2676" s="2">
        <v>6</v>
      </c>
      <c r="G2676" s="3" t="str">
        <f>IF(Sales[[#This Row],[Anggaran Murni]]-Sales[[#This Row],[Target s.d. Januari]]=0,"",Sales[[#This Row],[Anggaran Murni]]-Sales[[#This Row],[Target s.d. Januari]])</f>
        <v/>
      </c>
      <c r="H2676" s="2" t="s">
        <v>72</v>
      </c>
      <c r="I2676" s="3" t="s">
        <v>78</v>
      </c>
      <c r="J2676" s="3">
        <v>40000000</v>
      </c>
      <c r="K2676" s="2" t="s">
        <v>20</v>
      </c>
      <c r="L2676" s="2" t="s">
        <v>7</v>
      </c>
      <c r="M2676" s="4" t="s">
        <v>86</v>
      </c>
      <c r="N2676" s="3" t="s">
        <v>83</v>
      </c>
      <c r="O2676" s="2" t="s">
        <v>14</v>
      </c>
      <c r="P2676" s="10"/>
      <c r="Q2676" s="11"/>
    </row>
    <row r="2677" spans="2:17" ht="21" customHeight="1" x14ac:dyDescent="0.35">
      <c r="B2677" s="18">
        <v>44142</v>
      </c>
      <c r="C2677" s="18" t="str">
        <f>TEXT(Sales[[#This Row],[Kode Program/Kegiatan ]],"D")</f>
        <v>7</v>
      </c>
      <c r="D2677" s="19" t="str">
        <f>TEXT(Sales[[#This Row],[Kode Program/Kegiatan ]],"mmm")</f>
        <v>Nov</v>
      </c>
      <c r="E2677" s="20">
        <v>6</v>
      </c>
      <c r="F2677" s="19">
        <v>6</v>
      </c>
      <c r="G2677" s="20" t="str">
        <f>IF(Sales[[#This Row],[Anggaran Murni]]-Sales[[#This Row],[Target s.d. Januari]]=0,"",Sales[[#This Row],[Anggaran Murni]]-Sales[[#This Row],[Target s.d. Januari]])</f>
        <v/>
      </c>
      <c r="H2677" s="19" t="s">
        <v>75</v>
      </c>
      <c r="I2677" s="20" t="s">
        <v>6</v>
      </c>
      <c r="J2677" s="20">
        <v>140000000</v>
      </c>
      <c r="K2677" s="19" t="s">
        <v>46</v>
      </c>
      <c r="L2677" s="19" t="s">
        <v>7</v>
      </c>
      <c r="M2677" s="21" t="s">
        <v>86</v>
      </c>
      <c r="N2677" s="20" t="s">
        <v>83</v>
      </c>
      <c r="O2677" s="19" t="s">
        <v>14</v>
      </c>
      <c r="P2677" s="10"/>
      <c r="Q2677" s="11"/>
    </row>
    <row r="2678" spans="2:17" ht="21" customHeight="1" x14ac:dyDescent="0.35">
      <c r="B2678" s="1">
        <v>44142</v>
      </c>
      <c r="C2678" s="1" t="str">
        <f>TEXT(Sales[[#This Row],[Kode Program/Kegiatan ]],"D")</f>
        <v>7</v>
      </c>
      <c r="D2678" s="2" t="str">
        <f>TEXT(Sales[[#This Row],[Kode Program/Kegiatan ]],"mmm")</f>
        <v>Nov</v>
      </c>
      <c r="E2678" s="3">
        <v>4</v>
      </c>
      <c r="F2678" s="2">
        <v>4</v>
      </c>
      <c r="G2678" s="3" t="str">
        <f>IF(Sales[[#This Row],[Anggaran Murni]]-Sales[[#This Row],[Target s.d. Januari]]=0,"",Sales[[#This Row],[Anggaran Murni]]-Sales[[#This Row],[Target s.d. Januari]])</f>
        <v/>
      </c>
      <c r="H2678" s="2" t="s">
        <v>76</v>
      </c>
      <c r="I2678" s="3" t="s">
        <v>79</v>
      </c>
      <c r="J2678" s="3">
        <v>60000000</v>
      </c>
      <c r="K2678" s="2" t="s">
        <v>27</v>
      </c>
      <c r="L2678" s="2" t="s">
        <v>7</v>
      </c>
      <c r="M2678" s="4" t="s">
        <v>86</v>
      </c>
      <c r="N2678" s="3" t="s">
        <v>83</v>
      </c>
      <c r="O2678" s="2" t="s">
        <v>12</v>
      </c>
      <c r="P2678" s="10"/>
      <c r="Q2678" s="11"/>
    </row>
    <row r="2679" spans="2:17" ht="21" customHeight="1" x14ac:dyDescent="0.35">
      <c r="B2679" s="18">
        <v>44143</v>
      </c>
      <c r="C2679" s="18" t="str">
        <f>TEXT(Sales[[#This Row],[Kode Program/Kegiatan ]],"D")</f>
        <v>8</v>
      </c>
      <c r="D2679" s="19" t="str">
        <f>TEXT(Sales[[#This Row],[Kode Program/Kegiatan ]],"mmm")</f>
        <v>Nov</v>
      </c>
      <c r="E2679" s="20">
        <v>10</v>
      </c>
      <c r="F2679" s="19">
        <v>10</v>
      </c>
      <c r="G2679" s="20" t="str">
        <f>IF(Sales[[#This Row],[Anggaran Murni]]-Sales[[#This Row],[Target s.d. Januari]]=0,"",Sales[[#This Row],[Anggaran Murni]]-Sales[[#This Row],[Target s.d. Januari]])</f>
        <v/>
      </c>
      <c r="H2679" s="19" t="s">
        <v>74</v>
      </c>
      <c r="I2679" s="20" t="s">
        <v>77</v>
      </c>
      <c r="J2679" s="20">
        <v>40000000</v>
      </c>
      <c r="K2679" s="19" t="s">
        <v>15</v>
      </c>
      <c r="L2679" s="19" t="s">
        <v>9</v>
      </c>
      <c r="M2679" s="21" t="s">
        <v>86</v>
      </c>
      <c r="N2679" s="20" t="s">
        <v>83</v>
      </c>
      <c r="O2679" s="19" t="s">
        <v>12</v>
      </c>
      <c r="P2679" s="10"/>
      <c r="Q2679" s="11"/>
    </row>
    <row r="2680" spans="2:17" ht="21" customHeight="1" x14ac:dyDescent="0.35">
      <c r="B2680" s="1">
        <v>44143</v>
      </c>
      <c r="C2680" s="1" t="str">
        <f>TEXT(Sales[[#This Row],[Kode Program/Kegiatan ]],"D")</f>
        <v>8</v>
      </c>
      <c r="D2680" s="2" t="str">
        <f>TEXT(Sales[[#This Row],[Kode Program/Kegiatan ]],"mmm")</f>
        <v>Nov</v>
      </c>
      <c r="E2680" s="3">
        <v>9</v>
      </c>
      <c r="F2680" s="2">
        <v>9</v>
      </c>
      <c r="G2680" s="3" t="str">
        <f>IF(Sales[[#This Row],[Anggaran Murni]]-Sales[[#This Row],[Target s.d. Januari]]=0,"",Sales[[#This Row],[Anggaran Murni]]-Sales[[#This Row],[Target s.d. Januari]])</f>
        <v/>
      </c>
      <c r="H2680" s="2" t="s">
        <v>70</v>
      </c>
      <c r="I2680" s="3" t="s">
        <v>1</v>
      </c>
      <c r="J2680" s="3">
        <v>80000000</v>
      </c>
      <c r="K2680" s="2" t="s">
        <v>23</v>
      </c>
      <c r="L2680" s="2" t="s">
        <v>2</v>
      </c>
      <c r="M2680" s="4" t="s">
        <v>86</v>
      </c>
      <c r="N2680" s="3" t="s">
        <v>83</v>
      </c>
      <c r="O2680" s="2" t="s">
        <v>11</v>
      </c>
      <c r="P2680" s="10"/>
      <c r="Q2680" s="11"/>
    </row>
    <row r="2681" spans="2:17" ht="21" customHeight="1" x14ac:dyDescent="0.35">
      <c r="B2681" s="18">
        <v>44143</v>
      </c>
      <c r="C2681" s="18" t="str">
        <f>TEXT(Sales[[#This Row],[Kode Program/Kegiatan ]],"D")</f>
        <v>8</v>
      </c>
      <c r="D2681" s="19" t="str">
        <f>TEXT(Sales[[#This Row],[Kode Program/Kegiatan ]],"mmm")</f>
        <v>Nov</v>
      </c>
      <c r="E2681" s="20">
        <v>8</v>
      </c>
      <c r="F2681" s="19">
        <v>8</v>
      </c>
      <c r="G2681" s="20" t="str">
        <f>IF(Sales[[#This Row],[Anggaran Murni]]-Sales[[#This Row],[Target s.d. Januari]]=0,"",Sales[[#This Row],[Anggaran Murni]]-Sales[[#This Row],[Target s.d. Januari]])</f>
        <v/>
      </c>
      <c r="H2681" s="19" t="s">
        <v>75</v>
      </c>
      <c r="I2681" s="20" t="s">
        <v>6</v>
      </c>
      <c r="J2681" s="20">
        <v>80000000</v>
      </c>
      <c r="K2681" s="19" t="s">
        <v>16</v>
      </c>
      <c r="L2681" s="19" t="s">
        <v>9</v>
      </c>
      <c r="M2681" s="21" t="s">
        <v>86</v>
      </c>
      <c r="N2681" s="20" t="s">
        <v>83</v>
      </c>
      <c r="O2681" s="19" t="s">
        <v>12</v>
      </c>
      <c r="P2681" s="10"/>
      <c r="Q2681" s="11"/>
    </row>
    <row r="2682" spans="2:17" ht="21" customHeight="1" x14ac:dyDescent="0.35">
      <c r="B2682" s="1">
        <v>44143</v>
      </c>
      <c r="C2682" s="1" t="str">
        <f>TEXT(Sales[[#This Row],[Kode Program/Kegiatan ]],"D")</f>
        <v>8</v>
      </c>
      <c r="D2682" s="2" t="str">
        <f>TEXT(Sales[[#This Row],[Kode Program/Kegiatan ]],"mmm")</f>
        <v>Nov</v>
      </c>
      <c r="E2682" s="3">
        <v>7</v>
      </c>
      <c r="F2682" s="2">
        <v>7</v>
      </c>
      <c r="G2682" s="3" t="str">
        <f>IF(Sales[[#This Row],[Anggaran Murni]]-Sales[[#This Row],[Target s.d. Januari]]=0,"",Sales[[#This Row],[Anggaran Murni]]-Sales[[#This Row],[Target s.d. Januari]])</f>
        <v/>
      </c>
      <c r="H2682" s="2" t="s">
        <v>72</v>
      </c>
      <c r="I2682" s="3" t="s">
        <v>78</v>
      </c>
      <c r="J2682" s="3">
        <v>120000000</v>
      </c>
      <c r="K2682" s="2" t="s">
        <v>26</v>
      </c>
      <c r="L2682" s="2" t="s">
        <v>9</v>
      </c>
      <c r="M2682" s="4" t="s">
        <v>86</v>
      </c>
      <c r="N2682" s="3" t="s">
        <v>83</v>
      </c>
      <c r="O2682" s="2" t="s">
        <v>11</v>
      </c>
      <c r="P2682" s="10"/>
      <c r="Q2682" s="11"/>
    </row>
    <row r="2683" spans="2:17" ht="21" customHeight="1" x14ac:dyDescent="0.35">
      <c r="B2683" s="18">
        <v>44143</v>
      </c>
      <c r="C2683" s="18" t="str">
        <f>TEXT(Sales[[#This Row],[Kode Program/Kegiatan ]],"D")</f>
        <v>8</v>
      </c>
      <c r="D2683" s="19" t="str">
        <f>TEXT(Sales[[#This Row],[Kode Program/Kegiatan ]],"mmm")</f>
        <v>Nov</v>
      </c>
      <c r="E2683" s="20">
        <v>7</v>
      </c>
      <c r="F2683" s="19">
        <v>7</v>
      </c>
      <c r="G2683" s="20" t="str">
        <f>IF(Sales[[#This Row],[Anggaran Murni]]-Sales[[#This Row],[Target s.d. Januari]]=0,"",Sales[[#This Row],[Anggaran Murni]]-Sales[[#This Row],[Target s.d. Januari]])</f>
        <v/>
      </c>
      <c r="H2683" s="19" t="s">
        <v>113</v>
      </c>
      <c r="I2683" s="20" t="s">
        <v>77</v>
      </c>
      <c r="J2683" s="20">
        <v>60000000</v>
      </c>
      <c r="K2683" s="19" t="s">
        <v>30</v>
      </c>
      <c r="L2683" s="19" t="s">
        <v>7</v>
      </c>
      <c r="M2683" s="21" t="s">
        <v>86</v>
      </c>
      <c r="N2683" s="20" t="s">
        <v>83</v>
      </c>
      <c r="O2683" s="19" t="s">
        <v>12</v>
      </c>
      <c r="P2683" s="10"/>
      <c r="Q2683" s="11"/>
    </row>
    <row r="2684" spans="2:17" ht="21" customHeight="1" x14ac:dyDescent="0.35">
      <c r="B2684" s="1">
        <v>44143</v>
      </c>
      <c r="C2684" s="1" t="str">
        <f>TEXT(Sales[[#This Row],[Kode Program/Kegiatan ]],"D")</f>
        <v>8</v>
      </c>
      <c r="D2684" s="2" t="str">
        <f>TEXT(Sales[[#This Row],[Kode Program/Kegiatan ]],"mmm")</f>
        <v>Nov</v>
      </c>
      <c r="E2684" s="3">
        <v>6</v>
      </c>
      <c r="F2684" s="2">
        <v>6</v>
      </c>
      <c r="G2684" s="3" t="str">
        <f>IF(Sales[[#This Row],[Anggaran Murni]]-Sales[[#This Row],[Target s.d. Januari]]=0,"",Sales[[#This Row],[Anggaran Murni]]-Sales[[#This Row],[Target s.d. Januari]])</f>
        <v/>
      </c>
      <c r="H2684" s="2" t="s">
        <v>73</v>
      </c>
      <c r="I2684" s="3" t="s">
        <v>78</v>
      </c>
      <c r="J2684" s="3">
        <v>140000000</v>
      </c>
      <c r="K2684" s="2" t="s">
        <v>31</v>
      </c>
      <c r="L2684" s="2" t="s">
        <v>5</v>
      </c>
      <c r="M2684" s="4" t="s">
        <v>86</v>
      </c>
      <c r="N2684" s="3" t="s">
        <v>83</v>
      </c>
      <c r="O2684" s="2" t="s">
        <v>13</v>
      </c>
      <c r="P2684" s="10"/>
      <c r="Q2684" s="11"/>
    </row>
    <row r="2685" spans="2:17" ht="21" customHeight="1" x14ac:dyDescent="0.35">
      <c r="B2685" s="18">
        <v>44143</v>
      </c>
      <c r="C2685" s="18" t="str">
        <f>TEXT(Sales[[#This Row],[Kode Program/Kegiatan ]],"D")</f>
        <v>8</v>
      </c>
      <c r="D2685" s="19" t="str">
        <f>TEXT(Sales[[#This Row],[Kode Program/Kegiatan ]],"mmm")</f>
        <v>Nov</v>
      </c>
      <c r="E2685" s="20">
        <v>5</v>
      </c>
      <c r="F2685" s="19">
        <v>5</v>
      </c>
      <c r="G2685" s="20" t="str">
        <f>IF(Sales[[#This Row],[Anggaran Murni]]-Sales[[#This Row],[Target s.d. Januari]]=0,"",Sales[[#This Row],[Anggaran Murni]]-Sales[[#This Row],[Target s.d. Januari]])</f>
        <v/>
      </c>
      <c r="H2685" s="19" t="s">
        <v>113</v>
      </c>
      <c r="I2685" s="20" t="s">
        <v>77</v>
      </c>
      <c r="J2685" s="20">
        <v>80000000</v>
      </c>
      <c r="K2685" s="19" t="s">
        <v>57</v>
      </c>
      <c r="L2685" s="19" t="s">
        <v>2</v>
      </c>
      <c r="M2685" s="21" t="s">
        <v>86</v>
      </c>
      <c r="N2685" s="20" t="s">
        <v>83</v>
      </c>
      <c r="O2685" s="19" t="s">
        <v>11</v>
      </c>
      <c r="P2685" s="10"/>
      <c r="Q2685" s="11"/>
    </row>
    <row r="2686" spans="2:17" ht="21" customHeight="1" x14ac:dyDescent="0.35">
      <c r="B2686" s="1">
        <v>44143</v>
      </c>
      <c r="C2686" s="1" t="str">
        <f>TEXT(Sales[[#This Row],[Kode Program/Kegiatan ]],"D")</f>
        <v>8</v>
      </c>
      <c r="D2686" s="2" t="str">
        <f>TEXT(Sales[[#This Row],[Kode Program/Kegiatan ]],"mmm")</f>
        <v>Nov</v>
      </c>
      <c r="E2686" s="3">
        <v>4</v>
      </c>
      <c r="F2686" s="2">
        <v>4</v>
      </c>
      <c r="G2686" s="3" t="str">
        <f>IF(Sales[[#This Row],[Anggaran Murni]]-Sales[[#This Row],[Target s.d. Januari]]=0,"",Sales[[#This Row],[Anggaran Murni]]-Sales[[#This Row],[Target s.d. Januari]])</f>
        <v/>
      </c>
      <c r="H2686" s="2" t="s">
        <v>76</v>
      </c>
      <c r="I2686" s="3" t="s">
        <v>79</v>
      </c>
      <c r="J2686" s="3">
        <v>140000000</v>
      </c>
      <c r="K2686" s="2" t="s">
        <v>33</v>
      </c>
      <c r="L2686" s="2" t="s">
        <v>5</v>
      </c>
      <c r="M2686" s="4" t="s">
        <v>86</v>
      </c>
      <c r="N2686" s="3" t="s">
        <v>83</v>
      </c>
      <c r="O2686" s="2" t="s">
        <v>13</v>
      </c>
      <c r="P2686" s="10"/>
      <c r="Q2686" s="11"/>
    </row>
    <row r="2687" spans="2:17" ht="21" customHeight="1" x14ac:dyDescent="0.35">
      <c r="B2687" s="18">
        <v>44144</v>
      </c>
      <c r="C2687" s="18" t="str">
        <f>TEXT(Sales[[#This Row],[Kode Program/Kegiatan ]],"D")</f>
        <v>9</v>
      </c>
      <c r="D2687" s="19" t="str">
        <f>TEXT(Sales[[#This Row],[Kode Program/Kegiatan ]],"mmm")</f>
        <v>Nov</v>
      </c>
      <c r="E2687" s="20">
        <v>10</v>
      </c>
      <c r="F2687" s="19">
        <v>10</v>
      </c>
      <c r="G2687" s="20" t="str">
        <f>IF(Sales[[#This Row],[Anggaran Murni]]-Sales[[#This Row],[Target s.d. Januari]]=0,"",Sales[[#This Row],[Anggaran Murni]]-Sales[[#This Row],[Target s.d. Januari]])</f>
        <v/>
      </c>
      <c r="H2687" s="19" t="s">
        <v>113</v>
      </c>
      <c r="I2687" s="20" t="s">
        <v>77</v>
      </c>
      <c r="J2687" s="20">
        <v>120000000</v>
      </c>
      <c r="K2687" s="19" t="s">
        <v>35</v>
      </c>
      <c r="L2687" s="19" t="s">
        <v>4</v>
      </c>
      <c r="M2687" s="21" t="s">
        <v>86</v>
      </c>
      <c r="N2687" s="20" t="s">
        <v>83</v>
      </c>
      <c r="O2687" s="19" t="s">
        <v>11</v>
      </c>
      <c r="P2687" s="10"/>
      <c r="Q2687" s="11"/>
    </row>
    <row r="2688" spans="2:17" ht="21" customHeight="1" x14ac:dyDescent="0.35">
      <c r="B2688" s="1">
        <v>44144</v>
      </c>
      <c r="C2688" s="1" t="str">
        <f>TEXT(Sales[[#This Row],[Kode Program/Kegiatan ]],"D")</f>
        <v>9</v>
      </c>
      <c r="D2688" s="2" t="str">
        <f>TEXT(Sales[[#This Row],[Kode Program/Kegiatan ]],"mmm")</f>
        <v>Nov</v>
      </c>
      <c r="E2688" s="3">
        <v>10</v>
      </c>
      <c r="F2688" s="2">
        <v>10</v>
      </c>
      <c r="G2688" s="3" t="str">
        <f>IF(Sales[[#This Row],[Anggaran Murni]]-Sales[[#This Row],[Target s.d. Januari]]=0,"",Sales[[#This Row],[Anggaran Murni]]-Sales[[#This Row],[Target s.d. Januari]])</f>
        <v/>
      </c>
      <c r="H2688" s="2" t="s">
        <v>113</v>
      </c>
      <c r="I2688" s="3" t="s">
        <v>77</v>
      </c>
      <c r="J2688" s="3">
        <v>40000000</v>
      </c>
      <c r="K2688" s="2" t="s">
        <v>23</v>
      </c>
      <c r="L2688" s="2" t="s">
        <v>5</v>
      </c>
      <c r="M2688" s="4" t="s">
        <v>86</v>
      </c>
      <c r="N2688" s="3" t="s">
        <v>83</v>
      </c>
      <c r="O2688" s="2" t="s">
        <v>12</v>
      </c>
      <c r="P2688" s="10"/>
      <c r="Q2688" s="11"/>
    </row>
    <row r="2689" spans="2:17" ht="21" customHeight="1" x14ac:dyDescent="0.35">
      <c r="B2689" s="18">
        <v>44144</v>
      </c>
      <c r="C2689" s="18" t="str">
        <f>TEXT(Sales[[#This Row],[Kode Program/Kegiatan ]],"D")</f>
        <v>9</v>
      </c>
      <c r="D2689" s="19" t="str">
        <f>TEXT(Sales[[#This Row],[Kode Program/Kegiatan ]],"mmm")</f>
        <v>Nov</v>
      </c>
      <c r="E2689" s="20">
        <v>10</v>
      </c>
      <c r="F2689" s="19">
        <v>10</v>
      </c>
      <c r="G2689" s="20" t="str">
        <f>IF(Sales[[#This Row],[Anggaran Murni]]-Sales[[#This Row],[Target s.d. Januari]]=0,"",Sales[[#This Row],[Anggaran Murni]]-Sales[[#This Row],[Target s.d. Januari]])</f>
        <v/>
      </c>
      <c r="H2689" s="19" t="s">
        <v>71</v>
      </c>
      <c r="I2689" s="20" t="s">
        <v>6</v>
      </c>
      <c r="J2689" s="20">
        <v>140000000</v>
      </c>
      <c r="K2689" s="19" t="s">
        <v>63</v>
      </c>
      <c r="L2689" s="19" t="s">
        <v>4</v>
      </c>
      <c r="M2689" s="21" t="s">
        <v>67</v>
      </c>
      <c r="N2689" s="20" t="s">
        <v>80</v>
      </c>
      <c r="O2689" s="19" t="s">
        <v>11</v>
      </c>
      <c r="P2689" s="10"/>
      <c r="Q2689" s="11"/>
    </row>
    <row r="2690" spans="2:17" ht="21" customHeight="1" x14ac:dyDescent="0.35">
      <c r="B2690" s="1">
        <v>44144</v>
      </c>
      <c r="C2690" s="1" t="str">
        <f>TEXT(Sales[[#This Row],[Kode Program/Kegiatan ]],"D")</f>
        <v>9</v>
      </c>
      <c r="D2690" s="2" t="str">
        <f>TEXT(Sales[[#This Row],[Kode Program/Kegiatan ]],"mmm")</f>
        <v>Nov</v>
      </c>
      <c r="E2690" s="3">
        <v>9</v>
      </c>
      <c r="F2690" s="2">
        <v>9</v>
      </c>
      <c r="G2690" s="3" t="str">
        <f>IF(Sales[[#This Row],[Anggaran Murni]]-Sales[[#This Row],[Target s.d. Januari]]=0,"",Sales[[#This Row],[Anggaran Murni]]-Sales[[#This Row],[Target s.d. Januari]])</f>
        <v/>
      </c>
      <c r="H2690" s="2" t="s">
        <v>71</v>
      </c>
      <c r="I2690" s="3" t="s">
        <v>6</v>
      </c>
      <c r="J2690" s="3">
        <v>100000000</v>
      </c>
      <c r="K2690" s="2" t="s">
        <v>38</v>
      </c>
      <c r="L2690" s="2" t="s">
        <v>2</v>
      </c>
      <c r="M2690" s="4" t="s">
        <v>86</v>
      </c>
      <c r="N2690" s="3" t="s">
        <v>83</v>
      </c>
      <c r="O2690" s="2" t="s">
        <v>14</v>
      </c>
      <c r="P2690" s="10"/>
      <c r="Q2690" s="11"/>
    </row>
    <row r="2691" spans="2:17" ht="21" customHeight="1" x14ac:dyDescent="0.35">
      <c r="B2691" s="18">
        <v>44144</v>
      </c>
      <c r="C2691" s="18" t="str">
        <f>TEXT(Sales[[#This Row],[Kode Program/Kegiatan ]],"D")</f>
        <v>9</v>
      </c>
      <c r="D2691" s="19" t="str">
        <f>TEXT(Sales[[#This Row],[Kode Program/Kegiatan ]],"mmm")</f>
        <v>Nov</v>
      </c>
      <c r="E2691" s="20">
        <v>9</v>
      </c>
      <c r="F2691" s="19">
        <v>9</v>
      </c>
      <c r="G2691" s="20" t="str">
        <f>IF(Sales[[#This Row],[Anggaran Murni]]-Sales[[#This Row],[Target s.d. Januari]]=0,"",Sales[[#This Row],[Anggaran Murni]]-Sales[[#This Row],[Target s.d. Januari]])</f>
        <v/>
      </c>
      <c r="H2691" s="19" t="s">
        <v>75</v>
      </c>
      <c r="I2691" s="20" t="s">
        <v>6</v>
      </c>
      <c r="J2691" s="20">
        <v>140000000</v>
      </c>
      <c r="K2691" s="19" t="s">
        <v>59</v>
      </c>
      <c r="L2691" s="19" t="s">
        <v>7</v>
      </c>
      <c r="M2691" s="21" t="s">
        <v>67</v>
      </c>
      <c r="N2691" s="20" t="s">
        <v>80</v>
      </c>
      <c r="O2691" s="19" t="s">
        <v>11</v>
      </c>
      <c r="P2691" s="10"/>
      <c r="Q2691" s="11"/>
    </row>
    <row r="2692" spans="2:17" ht="21" customHeight="1" x14ac:dyDescent="0.35">
      <c r="B2692" s="1">
        <v>44144</v>
      </c>
      <c r="C2692" s="1" t="str">
        <f>TEXT(Sales[[#This Row],[Kode Program/Kegiatan ]],"D")</f>
        <v>9</v>
      </c>
      <c r="D2692" s="2" t="str">
        <f>TEXT(Sales[[#This Row],[Kode Program/Kegiatan ]],"mmm")</f>
        <v>Nov</v>
      </c>
      <c r="E2692" s="3">
        <v>6</v>
      </c>
      <c r="F2692" s="2">
        <v>6</v>
      </c>
      <c r="G2692" s="3" t="str">
        <f>IF(Sales[[#This Row],[Anggaran Murni]]-Sales[[#This Row],[Target s.d. Januari]]=0,"",Sales[[#This Row],[Anggaran Murni]]-Sales[[#This Row],[Target s.d. Januari]])</f>
        <v/>
      </c>
      <c r="H2692" s="2" t="s">
        <v>76</v>
      </c>
      <c r="I2692" s="3" t="s">
        <v>79</v>
      </c>
      <c r="J2692" s="3">
        <v>60000000</v>
      </c>
      <c r="K2692" s="2" t="s">
        <v>29</v>
      </c>
      <c r="L2692" s="2" t="s">
        <v>5</v>
      </c>
      <c r="M2692" s="4" t="s">
        <v>67</v>
      </c>
      <c r="N2692" s="3" t="s">
        <v>81</v>
      </c>
      <c r="O2692" s="2" t="s">
        <v>13</v>
      </c>
      <c r="P2692" s="10"/>
      <c r="Q2692" s="11"/>
    </row>
    <row r="2693" spans="2:17" ht="21" customHeight="1" x14ac:dyDescent="0.35">
      <c r="B2693" s="18">
        <v>44144</v>
      </c>
      <c r="C2693" s="18" t="str">
        <f>TEXT(Sales[[#This Row],[Kode Program/Kegiatan ]],"D")</f>
        <v>9</v>
      </c>
      <c r="D2693" s="19" t="str">
        <f>TEXT(Sales[[#This Row],[Kode Program/Kegiatan ]],"mmm")</f>
        <v>Nov</v>
      </c>
      <c r="E2693" s="20">
        <v>6</v>
      </c>
      <c r="F2693" s="19">
        <v>6</v>
      </c>
      <c r="G2693" s="20" t="str">
        <f>IF(Sales[[#This Row],[Anggaran Murni]]-Sales[[#This Row],[Target s.d. Januari]]=0,"",Sales[[#This Row],[Anggaran Murni]]-Sales[[#This Row],[Target s.d. Januari]])</f>
        <v/>
      </c>
      <c r="H2693" s="19" t="s">
        <v>113</v>
      </c>
      <c r="I2693" s="20" t="s">
        <v>77</v>
      </c>
      <c r="J2693" s="20">
        <v>60000000</v>
      </c>
      <c r="K2693" s="19" t="s">
        <v>34</v>
      </c>
      <c r="L2693" s="19" t="s">
        <v>5</v>
      </c>
      <c r="M2693" s="21" t="s">
        <v>67</v>
      </c>
      <c r="N2693" s="20" t="s">
        <v>82</v>
      </c>
      <c r="O2693" s="19" t="s">
        <v>12</v>
      </c>
      <c r="P2693" s="10"/>
      <c r="Q2693" s="11"/>
    </row>
    <row r="2694" spans="2:17" ht="21" customHeight="1" x14ac:dyDescent="0.35">
      <c r="B2694" s="1">
        <v>44144</v>
      </c>
      <c r="C2694" s="1" t="str">
        <f>TEXT(Sales[[#This Row],[Kode Program/Kegiatan ]],"D")</f>
        <v>9</v>
      </c>
      <c r="D2694" s="2" t="str">
        <f>TEXT(Sales[[#This Row],[Kode Program/Kegiatan ]],"mmm")</f>
        <v>Nov</v>
      </c>
      <c r="E2694" s="3">
        <v>5</v>
      </c>
      <c r="F2694" s="2">
        <v>5</v>
      </c>
      <c r="G2694" s="3" t="str">
        <f>IF(Sales[[#This Row],[Anggaran Murni]]-Sales[[#This Row],[Target s.d. Januari]]=0,"",Sales[[#This Row],[Anggaran Murni]]-Sales[[#This Row],[Target s.d. Januari]])</f>
        <v/>
      </c>
      <c r="H2694" s="2" t="s">
        <v>71</v>
      </c>
      <c r="I2694" s="3" t="s">
        <v>6</v>
      </c>
      <c r="J2694" s="3">
        <v>40000000</v>
      </c>
      <c r="K2694" s="2" t="s">
        <v>25</v>
      </c>
      <c r="L2694" s="2" t="s">
        <v>8</v>
      </c>
      <c r="M2694" s="4" t="s">
        <v>86</v>
      </c>
      <c r="N2694" s="3" t="s">
        <v>83</v>
      </c>
      <c r="O2694" s="2" t="s">
        <v>12</v>
      </c>
      <c r="P2694" s="10"/>
      <c r="Q2694" s="11"/>
    </row>
    <row r="2695" spans="2:17" ht="21" customHeight="1" x14ac:dyDescent="0.35">
      <c r="B2695" s="18">
        <v>44144</v>
      </c>
      <c r="C2695" s="18" t="str">
        <f>TEXT(Sales[[#This Row],[Kode Program/Kegiatan ]],"D")</f>
        <v>9</v>
      </c>
      <c r="D2695" s="19" t="str">
        <f>TEXT(Sales[[#This Row],[Kode Program/Kegiatan ]],"mmm")</f>
        <v>Nov</v>
      </c>
      <c r="E2695" s="20">
        <v>4</v>
      </c>
      <c r="F2695" s="19">
        <v>4</v>
      </c>
      <c r="G2695" s="20" t="str">
        <f>IF(Sales[[#This Row],[Anggaran Murni]]-Sales[[#This Row],[Target s.d. Januari]]=0,"",Sales[[#This Row],[Anggaran Murni]]-Sales[[#This Row],[Target s.d. Januari]])</f>
        <v/>
      </c>
      <c r="H2695" s="19" t="s">
        <v>74</v>
      </c>
      <c r="I2695" s="20" t="s">
        <v>77</v>
      </c>
      <c r="J2695" s="20">
        <v>120000000</v>
      </c>
      <c r="K2695" s="19" t="s">
        <v>58</v>
      </c>
      <c r="L2695" s="19" t="s">
        <v>2</v>
      </c>
      <c r="M2695" s="21" t="s">
        <v>86</v>
      </c>
      <c r="N2695" s="20" t="s">
        <v>83</v>
      </c>
      <c r="O2695" s="19" t="s">
        <v>13</v>
      </c>
      <c r="P2695" s="10"/>
      <c r="Q2695" s="11"/>
    </row>
    <row r="2696" spans="2:17" ht="21" customHeight="1" x14ac:dyDescent="0.35">
      <c r="B2696" s="1">
        <v>44145</v>
      </c>
      <c r="C2696" s="1" t="str">
        <f>TEXT(Sales[[#This Row],[Kode Program/Kegiatan ]],"D")</f>
        <v>10</v>
      </c>
      <c r="D2696" s="2" t="str">
        <f>TEXT(Sales[[#This Row],[Kode Program/Kegiatan ]],"mmm")</f>
        <v>Nov</v>
      </c>
      <c r="E2696" s="3">
        <v>10</v>
      </c>
      <c r="F2696" s="2">
        <v>10</v>
      </c>
      <c r="G2696" s="3" t="str">
        <f>IF(Sales[[#This Row],[Anggaran Murni]]-Sales[[#This Row],[Target s.d. Januari]]=0,"",Sales[[#This Row],[Anggaran Murni]]-Sales[[#This Row],[Target s.d. Januari]])</f>
        <v/>
      </c>
      <c r="H2696" s="2" t="s">
        <v>76</v>
      </c>
      <c r="I2696" s="3" t="s">
        <v>79</v>
      </c>
      <c r="J2696" s="3">
        <v>80000000</v>
      </c>
      <c r="K2696" s="2" t="s">
        <v>21</v>
      </c>
      <c r="L2696" s="2" t="s">
        <v>2</v>
      </c>
      <c r="M2696" s="4" t="s">
        <v>67</v>
      </c>
      <c r="N2696" s="3" t="s">
        <v>82</v>
      </c>
      <c r="O2696" s="2" t="s">
        <v>14</v>
      </c>
      <c r="P2696" s="10"/>
      <c r="Q2696" s="11"/>
    </row>
    <row r="2697" spans="2:17" ht="21" customHeight="1" x14ac:dyDescent="0.35">
      <c r="B2697" s="18">
        <v>44145</v>
      </c>
      <c r="C2697" s="18" t="str">
        <f>TEXT(Sales[[#This Row],[Kode Program/Kegiatan ]],"D")</f>
        <v>10</v>
      </c>
      <c r="D2697" s="19" t="str">
        <f>TEXT(Sales[[#This Row],[Kode Program/Kegiatan ]],"mmm")</f>
        <v>Nov</v>
      </c>
      <c r="E2697" s="20">
        <v>8</v>
      </c>
      <c r="F2697" s="19">
        <v>8</v>
      </c>
      <c r="G2697" s="20" t="str">
        <f>IF(Sales[[#This Row],[Anggaran Murni]]-Sales[[#This Row],[Target s.d. Januari]]=0,"",Sales[[#This Row],[Anggaran Murni]]-Sales[[#This Row],[Target s.d. Januari]])</f>
        <v/>
      </c>
      <c r="H2697" s="19" t="s">
        <v>71</v>
      </c>
      <c r="I2697" s="20" t="s">
        <v>6</v>
      </c>
      <c r="J2697" s="20">
        <v>100000000</v>
      </c>
      <c r="K2697" s="19" t="s">
        <v>15</v>
      </c>
      <c r="L2697" s="19" t="s">
        <v>2</v>
      </c>
      <c r="M2697" s="21" t="s">
        <v>67</v>
      </c>
      <c r="N2697" s="20" t="s">
        <v>81</v>
      </c>
      <c r="O2697" s="19" t="s">
        <v>14</v>
      </c>
      <c r="P2697" s="10"/>
      <c r="Q2697" s="11"/>
    </row>
    <row r="2698" spans="2:17" ht="21" customHeight="1" x14ac:dyDescent="0.35">
      <c r="B2698" s="1">
        <v>44145</v>
      </c>
      <c r="C2698" s="1" t="str">
        <f>TEXT(Sales[[#This Row],[Kode Program/Kegiatan ]],"D")</f>
        <v>10</v>
      </c>
      <c r="D2698" s="2" t="str">
        <f>TEXT(Sales[[#This Row],[Kode Program/Kegiatan ]],"mmm")</f>
        <v>Nov</v>
      </c>
      <c r="E2698" s="3">
        <v>8</v>
      </c>
      <c r="F2698" s="2">
        <v>8</v>
      </c>
      <c r="G2698" s="3" t="str">
        <f>IF(Sales[[#This Row],[Anggaran Murni]]-Sales[[#This Row],[Target s.d. Januari]]=0,"",Sales[[#This Row],[Anggaran Murni]]-Sales[[#This Row],[Target s.d. Januari]])</f>
        <v/>
      </c>
      <c r="H2698" s="2" t="s">
        <v>113</v>
      </c>
      <c r="I2698" s="3" t="s">
        <v>77</v>
      </c>
      <c r="J2698" s="3">
        <v>100000000</v>
      </c>
      <c r="K2698" s="2" t="s">
        <v>28</v>
      </c>
      <c r="L2698" s="2" t="s">
        <v>5</v>
      </c>
      <c r="M2698" s="4" t="s">
        <v>67</v>
      </c>
      <c r="N2698" s="3" t="s">
        <v>81</v>
      </c>
      <c r="O2698" s="2" t="s">
        <v>11</v>
      </c>
      <c r="P2698" s="10"/>
      <c r="Q2698" s="11"/>
    </row>
    <row r="2699" spans="2:17" ht="21" customHeight="1" x14ac:dyDescent="0.35">
      <c r="B2699" s="18">
        <v>44145</v>
      </c>
      <c r="C2699" s="18" t="str">
        <f>TEXT(Sales[[#This Row],[Kode Program/Kegiatan ]],"D")</f>
        <v>10</v>
      </c>
      <c r="D2699" s="19" t="str">
        <f>TEXT(Sales[[#This Row],[Kode Program/Kegiatan ]],"mmm")</f>
        <v>Nov</v>
      </c>
      <c r="E2699" s="20">
        <v>8</v>
      </c>
      <c r="F2699" s="19">
        <v>8</v>
      </c>
      <c r="G2699" s="20" t="str">
        <f>IF(Sales[[#This Row],[Anggaran Murni]]-Sales[[#This Row],[Target s.d. Januari]]=0,"",Sales[[#This Row],[Anggaran Murni]]-Sales[[#This Row],[Target s.d. Januari]])</f>
        <v/>
      </c>
      <c r="H2699" s="19" t="s">
        <v>114</v>
      </c>
      <c r="I2699" s="20" t="s">
        <v>3</v>
      </c>
      <c r="J2699" s="20">
        <v>80000000</v>
      </c>
      <c r="K2699" s="19" t="s">
        <v>39</v>
      </c>
      <c r="L2699" s="19" t="s">
        <v>2</v>
      </c>
      <c r="M2699" s="21" t="s">
        <v>67</v>
      </c>
      <c r="N2699" s="20" t="s">
        <v>81</v>
      </c>
      <c r="O2699" s="19" t="s">
        <v>12</v>
      </c>
      <c r="P2699" s="10"/>
      <c r="Q2699" s="11"/>
    </row>
    <row r="2700" spans="2:17" ht="21" customHeight="1" x14ac:dyDescent="0.35">
      <c r="B2700" s="1">
        <v>44145</v>
      </c>
      <c r="C2700" s="1" t="str">
        <f>TEXT(Sales[[#This Row],[Kode Program/Kegiatan ]],"D")</f>
        <v>10</v>
      </c>
      <c r="D2700" s="2" t="str">
        <f>TEXT(Sales[[#This Row],[Kode Program/Kegiatan ]],"mmm")</f>
        <v>Nov</v>
      </c>
      <c r="E2700" s="3">
        <v>7</v>
      </c>
      <c r="F2700" s="2">
        <v>7</v>
      </c>
      <c r="G2700" s="3" t="str">
        <f>IF(Sales[[#This Row],[Anggaran Murni]]-Sales[[#This Row],[Target s.d. Januari]]=0,"",Sales[[#This Row],[Anggaran Murni]]-Sales[[#This Row],[Target s.d. Januari]])</f>
        <v/>
      </c>
      <c r="H2700" s="2" t="s">
        <v>76</v>
      </c>
      <c r="I2700" s="3" t="s">
        <v>79</v>
      </c>
      <c r="J2700" s="3">
        <v>80000000</v>
      </c>
      <c r="K2700" s="2" t="s">
        <v>49</v>
      </c>
      <c r="L2700" s="2" t="s">
        <v>2</v>
      </c>
      <c r="M2700" s="4" t="s">
        <v>67</v>
      </c>
      <c r="N2700" s="3" t="s">
        <v>81</v>
      </c>
      <c r="O2700" s="2" t="s">
        <v>12</v>
      </c>
      <c r="P2700" s="10"/>
      <c r="Q2700" s="11"/>
    </row>
    <row r="2701" spans="2:17" ht="21" customHeight="1" x14ac:dyDescent="0.35">
      <c r="B2701" s="18">
        <v>44145</v>
      </c>
      <c r="C2701" s="18" t="str">
        <f>TEXT(Sales[[#This Row],[Kode Program/Kegiatan ]],"D")</f>
        <v>10</v>
      </c>
      <c r="D2701" s="19" t="str">
        <f>TEXT(Sales[[#This Row],[Kode Program/Kegiatan ]],"mmm")</f>
        <v>Nov</v>
      </c>
      <c r="E2701" s="20">
        <v>6</v>
      </c>
      <c r="F2701" s="19">
        <v>6</v>
      </c>
      <c r="G2701" s="20" t="str">
        <f>IF(Sales[[#This Row],[Anggaran Murni]]-Sales[[#This Row],[Target s.d. Januari]]=0,"",Sales[[#This Row],[Anggaran Murni]]-Sales[[#This Row],[Target s.d. Januari]])</f>
        <v/>
      </c>
      <c r="H2701" s="19" t="s">
        <v>114</v>
      </c>
      <c r="I2701" s="20" t="s">
        <v>3</v>
      </c>
      <c r="J2701" s="20">
        <v>60000000</v>
      </c>
      <c r="K2701" s="19" t="s">
        <v>42</v>
      </c>
      <c r="L2701" s="19" t="s">
        <v>5</v>
      </c>
      <c r="M2701" s="21" t="s">
        <v>67</v>
      </c>
      <c r="N2701" s="20" t="s">
        <v>81</v>
      </c>
      <c r="O2701" s="19" t="s">
        <v>13</v>
      </c>
      <c r="P2701" s="10"/>
      <c r="Q2701" s="11"/>
    </row>
    <row r="2702" spans="2:17" ht="21" customHeight="1" x14ac:dyDescent="0.35">
      <c r="B2702" s="1">
        <v>44145</v>
      </c>
      <c r="C2702" s="1" t="str">
        <f>TEXT(Sales[[#This Row],[Kode Program/Kegiatan ]],"D")</f>
        <v>10</v>
      </c>
      <c r="D2702" s="2" t="str">
        <f>TEXT(Sales[[#This Row],[Kode Program/Kegiatan ]],"mmm")</f>
        <v>Nov</v>
      </c>
      <c r="E2702" s="3">
        <v>6</v>
      </c>
      <c r="F2702" s="2">
        <v>6</v>
      </c>
      <c r="G2702" s="3" t="str">
        <f>IF(Sales[[#This Row],[Anggaran Murni]]-Sales[[#This Row],[Target s.d. Januari]]=0,"",Sales[[#This Row],[Anggaran Murni]]-Sales[[#This Row],[Target s.d. Januari]])</f>
        <v/>
      </c>
      <c r="H2702" s="2" t="s">
        <v>71</v>
      </c>
      <c r="I2702" s="3" t="s">
        <v>6</v>
      </c>
      <c r="J2702" s="3">
        <v>60000000</v>
      </c>
      <c r="K2702" s="2" t="s">
        <v>54</v>
      </c>
      <c r="L2702" s="2" t="s">
        <v>9</v>
      </c>
      <c r="M2702" s="4" t="s">
        <v>67</v>
      </c>
      <c r="N2702" s="3" t="s">
        <v>81</v>
      </c>
      <c r="O2702" s="2" t="s">
        <v>11</v>
      </c>
      <c r="P2702" s="10"/>
      <c r="Q2702" s="11"/>
    </row>
    <row r="2703" spans="2:17" ht="21" customHeight="1" x14ac:dyDescent="0.35">
      <c r="B2703" s="18">
        <v>44145</v>
      </c>
      <c r="C2703" s="18" t="str">
        <f>TEXT(Sales[[#This Row],[Kode Program/Kegiatan ]],"D")</f>
        <v>10</v>
      </c>
      <c r="D2703" s="19" t="str">
        <f>TEXT(Sales[[#This Row],[Kode Program/Kegiatan ]],"mmm")</f>
        <v>Nov</v>
      </c>
      <c r="E2703" s="20">
        <v>3</v>
      </c>
      <c r="F2703" s="19">
        <v>3</v>
      </c>
      <c r="G2703" s="20" t="str">
        <f>IF(Sales[[#This Row],[Anggaran Murni]]-Sales[[#This Row],[Target s.d. Januari]]=0,"",Sales[[#This Row],[Anggaran Murni]]-Sales[[#This Row],[Target s.d. Januari]])</f>
        <v/>
      </c>
      <c r="H2703" s="19" t="s">
        <v>75</v>
      </c>
      <c r="I2703" s="20" t="s">
        <v>6</v>
      </c>
      <c r="J2703" s="20">
        <v>60000000</v>
      </c>
      <c r="K2703" s="19" t="s">
        <v>45</v>
      </c>
      <c r="L2703" s="19" t="s">
        <v>8</v>
      </c>
      <c r="M2703" s="21" t="s">
        <v>67</v>
      </c>
      <c r="N2703" s="20" t="s">
        <v>80</v>
      </c>
      <c r="O2703" s="19" t="s">
        <v>11</v>
      </c>
      <c r="P2703" s="10"/>
      <c r="Q2703" s="11"/>
    </row>
    <row r="2704" spans="2:17" ht="21" customHeight="1" x14ac:dyDescent="0.35">
      <c r="B2704" s="1">
        <v>44146</v>
      </c>
      <c r="C2704" s="1" t="str">
        <f>TEXT(Sales[[#This Row],[Kode Program/Kegiatan ]],"D")</f>
        <v>11</v>
      </c>
      <c r="D2704" s="2" t="str">
        <f>TEXT(Sales[[#This Row],[Kode Program/Kegiatan ]],"mmm")</f>
        <v>Nov</v>
      </c>
      <c r="E2704" s="3">
        <v>10</v>
      </c>
      <c r="F2704" s="2">
        <v>10</v>
      </c>
      <c r="G2704" s="3" t="str">
        <f>IF(Sales[[#This Row],[Anggaran Murni]]-Sales[[#This Row],[Target s.d. Januari]]=0,"",Sales[[#This Row],[Anggaran Murni]]-Sales[[#This Row],[Target s.d. Januari]])</f>
        <v/>
      </c>
      <c r="H2704" s="2" t="s">
        <v>72</v>
      </c>
      <c r="I2704" s="3" t="s">
        <v>78</v>
      </c>
      <c r="J2704" s="3">
        <v>60000000</v>
      </c>
      <c r="K2704" s="2" t="s">
        <v>62</v>
      </c>
      <c r="L2704" s="2" t="s">
        <v>5</v>
      </c>
      <c r="M2704" s="4" t="s">
        <v>67</v>
      </c>
      <c r="N2704" s="3" t="s">
        <v>80</v>
      </c>
      <c r="O2704" s="2" t="s">
        <v>13</v>
      </c>
      <c r="P2704" s="10"/>
      <c r="Q2704" s="11"/>
    </row>
    <row r="2705" spans="2:17" ht="21" customHeight="1" x14ac:dyDescent="0.35">
      <c r="B2705" s="18">
        <v>44146</v>
      </c>
      <c r="C2705" s="18" t="str">
        <f>TEXT(Sales[[#This Row],[Kode Program/Kegiatan ]],"D")</f>
        <v>11</v>
      </c>
      <c r="D2705" s="19" t="str">
        <f>TEXT(Sales[[#This Row],[Kode Program/Kegiatan ]],"mmm")</f>
        <v>Nov</v>
      </c>
      <c r="E2705" s="20">
        <v>9</v>
      </c>
      <c r="F2705" s="19">
        <v>9</v>
      </c>
      <c r="G2705" s="20" t="str">
        <f>IF(Sales[[#This Row],[Anggaran Murni]]-Sales[[#This Row],[Target s.d. Januari]]=0,"",Sales[[#This Row],[Anggaran Murni]]-Sales[[#This Row],[Target s.d. Januari]])</f>
        <v/>
      </c>
      <c r="H2705" s="19" t="s">
        <v>72</v>
      </c>
      <c r="I2705" s="20" t="s">
        <v>78</v>
      </c>
      <c r="J2705" s="20">
        <v>80000000</v>
      </c>
      <c r="K2705" s="19" t="s">
        <v>38</v>
      </c>
      <c r="L2705" s="19" t="s">
        <v>7</v>
      </c>
      <c r="M2705" s="21" t="s">
        <v>67</v>
      </c>
      <c r="N2705" s="20" t="s">
        <v>81</v>
      </c>
      <c r="O2705" s="19" t="s">
        <v>12</v>
      </c>
      <c r="P2705" s="10"/>
      <c r="Q2705" s="11"/>
    </row>
    <row r="2706" spans="2:17" ht="21" customHeight="1" x14ac:dyDescent="0.35">
      <c r="B2706" s="1">
        <v>44146</v>
      </c>
      <c r="C2706" s="1" t="str">
        <f>TEXT(Sales[[#This Row],[Kode Program/Kegiatan ]],"D")</f>
        <v>11</v>
      </c>
      <c r="D2706" s="2" t="str">
        <f>TEXT(Sales[[#This Row],[Kode Program/Kegiatan ]],"mmm")</f>
        <v>Nov</v>
      </c>
      <c r="E2706" s="3">
        <v>8</v>
      </c>
      <c r="F2706" s="2">
        <v>8</v>
      </c>
      <c r="G2706" s="3" t="str">
        <f>IF(Sales[[#This Row],[Anggaran Murni]]-Sales[[#This Row],[Target s.d. Januari]]=0,"",Sales[[#This Row],[Anggaran Murni]]-Sales[[#This Row],[Target s.d. Januari]])</f>
        <v/>
      </c>
      <c r="H2706" s="2" t="s">
        <v>71</v>
      </c>
      <c r="I2706" s="3" t="s">
        <v>6</v>
      </c>
      <c r="J2706" s="3">
        <v>140000000</v>
      </c>
      <c r="K2706" s="2" t="s">
        <v>15</v>
      </c>
      <c r="L2706" s="2" t="s">
        <v>5</v>
      </c>
      <c r="M2706" s="4" t="s">
        <v>67</v>
      </c>
      <c r="N2706" s="3" t="s">
        <v>81</v>
      </c>
      <c r="O2706" s="2" t="s">
        <v>12</v>
      </c>
      <c r="P2706" s="10"/>
      <c r="Q2706" s="11"/>
    </row>
    <row r="2707" spans="2:17" ht="21" customHeight="1" x14ac:dyDescent="0.35">
      <c r="B2707" s="18">
        <v>44146</v>
      </c>
      <c r="C2707" s="18" t="str">
        <f>TEXT(Sales[[#This Row],[Kode Program/Kegiatan ]],"D")</f>
        <v>11</v>
      </c>
      <c r="D2707" s="19" t="str">
        <f>TEXT(Sales[[#This Row],[Kode Program/Kegiatan ]],"mmm")</f>
        <v>Nov</v>
      </c>
      <c r="E2707" s="20">
        <v>8</v>
      </c>
      <c r="F2707" s="19">
        <v>8</v>
      </c>
      <c r="G2707" s="20" t="str">
        <f>IF(Sales[[#This Row],[Anggaran Murni]]-Sales[[#This Row],[Target s.d. Januari]]=0,"",Sales[[#This Row],[Anggaran Murni]]-Sales[[#This Row],[Target s.d. Januari]])</f>
        <v/>
      </c>
      <c r="H2707" s="19" t="s">
        <v>70</v>
      </c>
      <c r="I2707" s="20" t="s">
        <v>1</v>
      </c>
      <c r="J2707" s="20">
        <v>140000000</v>
      </c>
      <c r="K2707" s="19" t="s">
        <v>17</v>
      </c>
      <c r="L2707" s="19" t="s">
        <v>2</v>
      </c>
      <c r="M2707" s="21" t="s">
        <v>67</v>
      </c>
      <c r="N2707" s="20" t="s">
        <v>81</v>
      </c>
      <c r="O2707" s="19" t="s">
        <v>14</v>
      </c>
      <c r="P2707" s="10"/>
      <c r="Q2707" s="11"/>
    </row>
    <row r="2708" spans="2:17" ht="21" customHeight="1" x14ac:dyDescent="0.35">
      <c r="B2708" s="1">
        <v>44146</v>
      </c>
      <c r="C2708" s="1" t="str">
        <f>TEXT(Sales[[#This Row],[Kode Program/Kegiatan ]],"D")</f>
        <v>11</v>
      </c>
      <c r="D2708" s="2" t="str">
        <f>TEXT(Sales[[#This Row],[Kode Program/Kegiatan ]],"mmm")</f>
        <v>Nov</v>
      </c>
      <c r="E2708" s="3">
        <v>8</v>
      </c>
      <c r="F2708" s="2">
        <v>8</v>
      </c>
      <c r="G2708" s="3" t="str">
        <f>IF(Sales[[#This Row],[Anggaran Murni]]-Sales[[#This Row],[Target s.d. Januari]]=0,"",Sales[[#This Row],[Anggaran Murni]]-Sales[[#This Row],[Target s.d. Januari]])</f>
        <v/>
      </c>
      <c r="H2708" s="2" t="s">
        <v>113</v>
      </c>
      <c r="I2708" s="3" t="s">
        <v>77</v>
      </c>
      <c r="J2708" s="3">
        <v>100000000</v>
      </c>
      <c r="K2708" s="2" t="s">
        <v>50</v>
      </c>
      <c r="L2708" s="2" t="s">
        <v>2</v>
      </c>
      <c r="M2708" s="4" t="s">
        <v>67</v>
      </c>
      <c r="N2708" s="3" t="s">
        <v>81</v>
      </c>
      <c r="O2708" s="2" t="s">
        <v>12</v>
      </c>
      <c r="P2708" s="10"/>
      <c r="Q2708" s="11"/>
    </row>
    <row r="2709" spans="2:17" ht="21" customHeight="1" x14ac:dyDescent="0.35">
      <c r="B2709" s="18">
        <v>44146</v>
      </c>
      <c r="C2709" s="18" t="str">
        <f>TEXT(Sales[[#This Row],[Kode Program/Kegiatan ]],"D")</f>
        <v>11</v>
      </c>
      <c r="D2709" s="19" t="str">
        <f>TEXT(Sales[[#This Row],[Kode Program/Kegiatan ]],"mmm")</f>
        <v>Nov</v>
      </c>
      <c r="E2709" s="20">
        <v>7</v>
      </c>
      <c r="F2709" s="19">
        <v>7</v>
      </c>
      <c r="G2709" s="20" t="str">
        <f>IF(Sales[[#This Row],[Anggaran Murni]]-Sales[[#This Row],[Target s.d. Januari]]=0,"",Sales[[#This Row],[Anggaran Murni]]-Sales[[#This Row],[Target s.d. Januari]])</f>
        <v/>
      </c>
      <c r="H2709" s="19" t="s">
        <v>73</v>
      </c>
      <c r="I2709" s="20" t="s">
        <v>78</v>
      </c>
      <c r="J2709" s="20">
        <v>100000000</v>
      </c>
      <c r="K2709" s="19" t="s">
        <v>53</v>
      </c>
      <c r="L2709" s="19" t="s">
        <v>2</v>
      </c>
      <c r="M2709" s="21" t="s">
        <v>67</v>
      </c>
      <c r="N2709" s="20" t="s">
        <v>80</v>
      </c>
      <c r="O2709" s="19" t="s">
        <v>12</v>
      </c>
      <c r="P2709" s="10"/>
      <c r="Q2709" s="11"/>
    </row>
    <row r="2710" spans="2:17" ht="21" customHeight="1" x14ac:dyDescent="0.35">
      <c r="B2710" s="1">
        <v>44146</v>
      </c>
      <c r="C2710" s="1" t="str">
        <f>TEXT(Sales[[#This Row],[Kode Program/Kegiatan ]],"D")</f>
        <v>11</v>
      </c>
      <c r="D2710" s="2" t="str">
        <f>TEXT(Sales[[#This Row],[Kode Program/Kegiatan ]],"mmm")</f>
        <v>Nov</v>
      </c>
      <c r="E2710" s="3">
        <v>7</v>
      </c>
      <c r="F2710" s="2">
        <v>7</v>
      </c>
      <c r="G2710" s="3" t="str">
        <f>IF(Sales[[#This Row],[Anggaran Murni]]-Sales[[#This Row],[Target s.d. Januari]]=0,"",Sales[[#This Row],[Anggaran Murni]]-Sales[[#This Row],[Target s.d. Januari]])</f>
        <v/>
      </c>
      <c r="H2710" s="2" t="s">
        <v>76</v>
      </c>
      <c r="I2710" s="3" t="s">
        <v>79</v>
      </c>
      <c r="J2710" s="3">
        <v>40000000</v>
      </c>
      <c r="K2710" s="2" t="s">
        <v>24</v>
      </c>
      <c r="L2710" s="2" t="s">
        <v>7</v>
      </c>
      <c r="M2710" s="4" t="s">
        <v>67</v>
      </c>
      <c r="N2710" s="3" t="s">
        <v>81</v>
      </c>
      <c r="O2710" s="2" t="s">
        <v>14</v>
      </c>
      <c r="P2710" s="10"/>
      <c r="Q2710" s="11"/>
    </row>
    <row r="2711" spans="2:17" ht="21" customHeight="1" x14ac:dyDescent="0.35">
      <c r="B2711" s="18">
        <v>44147</v>
      </c>
      <c r="C2711" s="18" t="str">
        <f>TEXT(Sales[[#This Row],[Kode Program/Kegiatan ]],"D")</f>
        <v>12</v>
      </c>
      <c r="D2711" s="19" t="str">
        <f>TEXT(Sales[[#This Row],[Kode Program/Kegiatan ]],"mmm")</f>
        <v>Nov</v>
      </c>
      <c r="E2711" s="20">
        <v>10</v>
      </c>
      <c r="F2711" s="19">
        <v>10</v>
      </c>
      <c r="G2711" s="20" t="str">
        <f>IF(Sales[[#This Row],[Anggaran Murni]]-Sales[[#This Row],[Target s.d. Januari]]=0,"",Sales[[#This Row],[Anggaran Murni]]-Sales[[#This Row],[Target s.d. Januari]])</f>
        <v/>
      </c>
      <c r="H2711" s="19" t="s">
        <v>71</v>
      </c>
      <c r="I2711" s="20" t="s">
        <v>6</v>
      </c>
      <c r="J2711" s="20">
        <v>100000000</v>
      </c>
      <c r="K2711" s="19" t="s">
        <v>59</v>
      </c>
      <c r="L2711" s="19" t="s">
        <v>2</v>
      </c>
      <c r="M2711" s="21" t="s">
        <v>67</v>
      </c>
      <c r="N2711" s="20" t="s">
        <v>80</v>
      </c>
      <c r="O2711" s="19" t="s">
        <v>14</v>
      </c>
      <c r="P2711" s="10"/>
      <c r="Q2711" s="11"/>
    </row>
    <row r="2712" spans="2:17" ht="21" customHeight="1" x14ac:dyDescent="0.35">
      <c r="B2712" s="1">
        <v>44147</v>
      </c>
      <c r="C2712" s="1" t="str">
        <f>TEXT(Sales[[#This Row],[Kode Program/Kegiatan ]],"D")</f>
        <v>12</v>
      </c>
      <c r="D2712" s="2" t="str">
        <f>TEXT(Sales[[#This Row],[Kode Program/Kegiatan ]],"mmm")</f>
        <v>Nov</v>
      </c>
      <c r="E2712" s="3">
        <v>10</v>
      </c>
      <c r="F2712" s="2">
        <v>10</v>
      </c>
      <c r="G2712" s="3" t="str">
        <f>IF(Sales[[#This Row],[Anggaran Murni]]-Sales[[#This Row],[Target s.d. Januari]]=0,"",Sales[[#This Row],[Anggaran Murni]]-Sales[[#This Row],[Target s.d. Januari]])</f>
        <v/>
      </c>
      <c r="H2712" s="2" t="s">
        <v>70</v>
      </c>
      <c r="I2712" s="3" t="s">
        <v>1</v>
      </c>
      <c r="J2712" s="3">
        <v>120000000</v>
      </c>
      <c r="K2712" s="2" t="s">
        <v>51</v>
      </c>
      <c r="L2712" s="2" t="s">
        <v>7</v>
      </c>
      <c r="M2712" s="4" t="s">
        <v>67</v>
      </c>
      <c r="N2712" s="3" t="s">
        <v>80</v>
      </c>
      <c r="O2712" s="2" t="s">
        <v>11</v>
      </c>
      <c r="P2712" s="10"/>
      <c r="Q2712" s="11"/>
    </row>
    <row r="2713" spans="2:17" ht="21" customHeight="1" x14ac:dyDescent="0.35">
      <c r="B2713" s="18">
        <v>44147</v>
      </c>
      <c r="C2713" s="18" t="str">
        <f>TEXT(Sales[[#This Row],[Kode Program/Kegiatan ]],"D")</f>
        <v>12</v>
      </c>
      <c r="D2713" s="19" t="str">
        <f>TEXT(Sales[[#This Row],[Kode Program/Kegiatan ]],"mmm")</f>
        <v>Nov</v>
      </c>
      <c r="E2713" s="20">
        <v>10</v>
      </c>
      <c r="F2713" s="19">
        <v>10</v>
      </c>
      <c r="G2713" s="20" t="str">
        <f>IF(Sales[[#This Row],[Anggaran Murni]]-Sales[[#This Row],[Target s.d. Januari]]=0,"",Sales[[#This Row],[Anggaran Murni]]-Sales[[#This Row],[Target s.d. Januari]])</f>
        <v/>
      </c>
      <c r="H2713" s="19" t="s">
        <v>73</v>
      </c>
      <c r="I2713" s="20" t="s">
        <v>78</v>
      </c>
      <c r="J2713" s="20">
        <v>80000000</v>
      </c>
      <c r="K2713" s="19" t="s">
        <v>28</v>
      </c>
      <c r="L2713" s="19" t="s">
        <v>8</v>
      </c>
      <c r="M2713" s="21" t="s">
        <v>67</v>
      </c>
      <c r="N2713" s="20" t="s">
        <v>80</v>
      </c>
      <c r="O2713" s="19" t="s">
        <v>12</v>
      </c>
      <c r="P2713" s="10"/>
      <c r="Q2713" s="11"/>
    </row>
    <row r="2714" spans="2:17" ht="21" customHeight="1" x14ac:dyDescent="0.35">
      <c r="B2714" s="1">
        <v>44147</v>
      </c>
      <c r="C2714" s="1" t="str">
        <f>TEXT(Sales[[#This Row],[Kode Program/Kegiatan ]],"D")</f>
        <v>12</v>
      </c>
      <c r="D2714" s="2" t="str">
        <f>TEXT(Sales[[#This Row],[Kode Program/Kegiatan ]],"mmm")</f>
        <v>Nov</v>
      </c>
      <c r="E2714" s="3">
        <v>10</v>
      </c>
      <c r="F2714" s="2">
        <v>10</v>
      </c>
      <c r="G2714" s="3" t="str">
        <f>IF(Sales[[#This Row],[Anggaran Murni]]-Sales[[#This Row],[Target s.d. Januari]]=0,"",Sales[[#This Row],[Anggaran Murni]]-Sales[[#This Row],[Target s.d. Januari]])</f>
        <v/>
      </c>
      <c r="H2714" s="2" t="s">
        <v>74</v>
      </c>
      <c r="I2714" s="3" t="s">
        <v>77</v>
      </c>
      <c r="J2714" s="3">
        <v>60000000</v>
      </c>
      <c r="K2714" s="2" t="s">
        <v>38</v>
      </c>
      <c r="L2714" s="2" t="s">
        <v>2</v>
      </c>
      <c r="M2714" s="4" t="s">
        <v>67</v>
      </c>
      <c r="N2714" s="3" t="s">
        <v>81</v>
      </c>
      <c r="O2714" s="2" t="s">
        <v>13</v>
      </c>
      <c r="P2714" s="10"/>
      <c r="Q2714" s="11"/>
    </row>
    <row r="2715" spans="2:17" ht="21" customHeight="1" x14ac:dyDescent="0.35">
      <c r="B2715" s="18">
        <v>44147</v>
      </c>
      <c r="C2715" s="18" t="str">
        <f>TEXT(Sales[[#This Row],[Kode Program/Kegiatan ]],"D")</f>
        <v>12</v>
      </c>
      <c r="D2715" s="19" t="str">
        <f>TEXT(Sales[[#This Row],[Kode Program/Kegiatan ]],"mmm")</f>
        <v>Nov</v>
      </c>
      <c r="E2715" s="20">
        <v>9</v>
      </c>
      <c r="F2715" s="19">
        <v>9</v>
      </c>
      <c r="G2715" s="20" t="str">
        <f>IF(Sales[[#This Row],[Anggaran Murni]]-Sales[[#This Row],[Target s.d. Januari]]=0,"",Sales[[#This Row],[Anggaran Murni]]-Sales[[#This Row],[Target s.d. Januari]])</f>
        <v/>
      </c>
      <c r="H2715" s="19" t="s">
        <v>113</v>
      </c>
      <c r="I2715" s="20" t="s">
        <v>77</v>
      </c>
      <c r="J2715" s="20">
        <v>40000000</v>
      </c>
      <c r="K2715" s="19" t="s">
        <v>29</v>
      </c>
      <c r="L2715" s="19" t="s">
        <v>5</v>
      </c>
      <c r="M2715" s="21" t="s">
        <v>67</v>
      </c>
      <c r="N2715" s="20" t="s">
        <v>82</v>
      </c>
      <c r="O2715" s="19" t="s">
        <v>14</v>
      </c>
      <c r="P2715" s="10"/>
      <c r="Q2715" s="11"/>
    </row>
    <row r="2716" spans="2:17" ht="21" customHeight="1" x14ac:dyDescent="0.35">
      <c r="B2716" s="1">
        <v>44147</v>
      </c>
      <c r="C2716" s="1" t="str">
        <f>TEXT(Sales[[#This Row],[Kode Program/Kegiatan ]],"D")</f>
        <v>12</v>
      </c>
      <c r="D2716" s="2" t="str">
        <f>TEXT(Sales[[#This Row],[Kode Program/Kegiatan ]],"mmm")</f>
        <v>Nov</v>
      </c>
      <c r="E2716" s="3">
        <v>9</v>
      </c>
      <c r="F2716" s="2">
        <v>9</v>
      </c>
      <c r="G2716" s="3" t="str">
        <f>IF(Sales[[#This Row],[Anggaran Murni]]-Sales[[#This Row],[Target s.d. Januari]]=0,"",Sales[[#This Row],[Anggaran Murni]]-Sales[[#This Row],[Target s.d. Januari]])</f>
        <v/>
      </c>
      <c r="H2716" s="2" t="s">
        <v>75</v>
      </c>
      <c r="I2716" s="3" t="s">
        <v>6</v>
      </c>
      <c r="J2716" s="3">
        <v>60000000</v>
      </c>
      <c r="K2716" s="2" t="s">
        <v>40</v>
      </c>
      <c r="L2716" s="2" t="s">
        <v>2</v>
      </c>
      <c r="M2716" s="4" t="s">
        <v>67</v>
      </c>
      <c r="N2716" s="3" t="s">
        <v>81</v>
      </c>
      <c r="O2716" s="2" t="s">
        <v>11</v>
      </c>
      <c r="P2716" s="10"/>
      <c r="Q2716" s="11"/>
    </row>
    <row r="2717" spans="2:17" ht="21" customHeight="1" x14ac:dyDescent="0.35">
      <c r="B2717" s="18">
        <v>44147</v>
      </c>
      <c r="C2717" s="18" t="str">
        <f>TEXT(Sales[[#This Row],[Kode Program/Kegiatan ]],"D")</f>
        <v>12</v>
      </c>
      <c r="D2717" s="19" t="str">
        <f>TEXT(Sales[[#This Row],[Kode Program/Kegiatan ]],"mmm")</f>
        <v>Nov</v>
      </c>
      <c r="E2717" s="20">
        <v>7</v>
      </c>
      <c r="F2717" s="19">
        <v>7</v>
      </c>
      <c r="G2717" s="20" t="str">
        <f>IF(Sales[[#This Row],[Anggaran Murni]]-Sales[[#This Row],[Target s.d. Januari]]=0,"",Sales[[#This Row],[Anggaran Murni]]-Sales[[#This Row],[Target s.d. Januari]])</f>
        <v/>
      </c>
      <c r="H2717" s="19" t="s">
        <v>70</v>
      </c>
      <c r="I2717" s="20" t="s">
        <v>1</v>
      </c>
      <c r="J2717" s="20">
        <v>100000000</v>
      </c>
      <c r="K2717" s="19" t="s">
        <v>60</v>
      </c>
      <c r="L2717" s="19" t="s">
        <v>2</v>
      </c>
      <c r="M2717" s="21" t="s">
        <v>67</v>
      </c>
      <c r="N2717" s="20" t="s">
        <v>81</v>
      </c>
      <c r="O2717" s="19" t="s">
        <v>13</v>
      </c>
      <c r="P2717" s="10"/>
      <c r="Q2717" s="11"/>
    </row>
    <row r="2718" spans="2:17" ht="21" customHeight="1" x14ac:dyDescent="0.35">
      <c r="B2718" s="1">
        <v>44147</v>
      </c>
      <c r="C2718" s="1" t="str">
        <f>TEXT(Sales[[#This Row],[Kode Program/Kegiatan ]],"D")</f>
        <v>12</v>
      </c>
      <c r="D2718" s="2" t="str">
        <f>TEXT(Sales[[#This Row],[Kode Program/Kegiatan ]],"mmm")</f>
        <v>Nov</v>
      </c>
      <c r="E2718" s="3">
        <v>5</v>
      </c>
      <c r="F2718" s="2">
        <v>5</v>
      </c>
      <c r="G2718" s="3" t="str">
        <f>IF(Sales[[#This Row],[Anggaran Murni]]-Sales[[#This Row],[Target s.d. Januari]]=0,"",Sales[[#This Row],[Anggaran Murni]]-Sales[[#This Row],[Target s.d. Januari]])</f>
        <v/>
      </c>
      <c r="H2718" s="2" t="s">
        <v>113</v>
      </c>
      <c r="I2718" s="3" t="s">
        <v>77</v>
      </c>
      <c r="J2718" s="3">
        <v>60000000</v>
      </c>
      <c r="K2718" s="2" t="s">
        <v>21</v>
      </c>
      <c r="L2718" s="2" t="s">
        <v>5</v>
      </c>
      <c r="M2718" s="4" t="s">
        <v>67</v>
      </c>
      <c r="N2718" s="3" t="s">
        <v>82</v>
      </c>
      <c r="O2718" s="2" t="s">
        <v>11</v>
      </c>
      <c r="P2718" s="10"/>
      <c r="Q2718" s="11"/>
    </row>
    <row r="2719" spans="2:17" ht="21" customHeight="1" x14ac:dyDescent="0.35">
      <c r="B2719" s="18">
        <v>44147</v>
      </c>
      <c r="C2719" s="18" t="str">
        <f>TEXT(Sales[[#This Row],[Kode Program/Kegiatan ]],"D")</f>
        <v>12</v>
      </c>
      <c r="D2719" s="19" t="str">
        <f>TEXT(Sales[[#This Row],[Kode Program/Kegiatan ]],"mmm")</f>
        <v>Nov</v>
      </c>
      <c r="E2719" s="20">
        <v>5</v>
      </c>
      <c r="F2719" s="19">
        <v>5</v>
      </c>
      <c r="G2719" s="20" t="str">
        <f>IF(Sales[[#This Row],[Anggaran Murni]]-Sales[[#This Row],[Target s.d. Januari]]=0,"",Sales[[#This Row],[Anggaran Murni]]-Sales[[#This Row],[Target s.d. Januari]])</f>
        <v/>
      </c>
      <c r="H2719" s="19" t="s">
        <v>72</v>
      </c>
      <c r="I2719" s="20" t="s">
        <v>78</v>
      </c>
      <c r="J2719" s="20">
        <v>100000000</v>
      </c>
      <c r="K2719" s="19" t="s">
        <v>17</v>
      </c>
      <c r="L2719" s="19" t="s">
        <v>8</v>
      </c>
      <c r="M2719" s="21" t="s">
        <v>67</v>
      </c>
      <c r="N2719" s="20" t="s">
        <v>82</v>
      </c>
      <c r="O2719" s="19" t="s">
        <v>13</v>
      </c>
      <c r="P2719" s="10"/>
      <c r="Q2719" s="11"/>
    </row>
    <row r="2720" spans="2:17" ht="21" customHeight="1" x14ac:dyDescent="0.35">
      <c r="B2720" s="1">
        <v>44147</v>
      </c>
      <c r="C2720" s="1" t="str">
        <f>TEXT(Sales[[#This Row],[Kode Program/Kegiatan ]],"D")</f>
        <v>12</v>
      </c>
      <c r="D2720" s="2" t="str">
        <f>TEXT(Sales[[#This Row],[Kode Program/Kegiatan ]],"mmm")</f>
        <v>Nov</v>
      </c>
      <c r="E2720" s="3">
        <v>4</v>
      </c>
      <c r="F2720" s="2">
        <v>4</v>
      </c>
      <c r="G2720" s="3" t="str">
        <f>IF(Sales[[#This Row],[Anggaran Murni]]-Sales[[#This Row],[Target s.d. Januari]]=0,"",Sales[[#This Row],[Anggaran Murni]]-Sales[[#This Row],[Target s.d. Januari]])</f>
        <v/>
      </c>
      <c r="H2720" s="2" t="s">
        <v>72</v>
      </c>
      <c r="I2720" s="3" t="s">
        <v>78</v>
      </c>
      <c r="J2720" s="3">
        <v>40000000</v>
      </c>
      <c r="K2720" s="2" t="s">
        <v>46</v>
      </c>
      <c r="L2720" s="2" t="s">
        <v>5</v>
      </c>
      <c r="M2720" s="4" t="s">
        <v>67</v>
      </c>
      <c r="N2720" s="3" t="s">
        <v>81</v>
      </c>
      <c r="O2720" s="2" t="s">
        <v>13</v>
      </c>
      <c r="P2720" s="10"/>
      <c r="Q2720" s="11"/>
    </row>
    <row r="2721" spans="2:17" ht="21" customHeight="1" x14ac:dyDescent="0.35">
      <c r="B2721" s="18">
        <v>44147</v>
      </c>
      <c r="C2721" s="18" t="str">
        <f>TEXT(Sales[[#This Row],[Kode Program/Kegiatan ]],"D")</f>
        <v>12</v>
      </c>
      <c r="D2721" s="19" t="str">
        <f>TEXT(Sales[[#This Row],[Kode Program/Kegiatan ]],"mmm")</f>
        <v>Nov</v>
      </c>
      <c r="E2721" s="20">
        <v>3</v>
      </c>
      <c r="F2721" s="19">
        <v>3</v>
      </c>
      <c r="G2721" s="20" t="str">
        <f>IF(Sales[[#This Row],[Anggaran Murni]]-Sales[[#This Row],[Target s.d. Januari]]=0,"",Sales[[#This Row],[Anggaran Murni]]-Sales[[#This Row],[Target s.d. Januari]])</f>
        <v/>
      </c>
      <c r="H2721" s="19" t="s">
        <v>76</v>
      </c>
      <c r="I2721" s="20" t="s">
        <v>79</v>
      </c>
      <c r="J2721" s="20">
        <v>140000000</v>
      </c>
      <c r="K2721" s="19" t="s">
        <v>49</v>
      </c>
      <c r="L2721" s="19" t="s">
        <v>5</v>
      </c>
      <c r="M2721" s="21" t="s">
        <v>67</v>
      </c>
      <c r="N2721" s="20" t="s">
        <v>80</v>
      </c>
      <c r="O2721" s="19" t="s">
        <v>11</v>
      </c>
      <c r="P2721" s="10"/>
      <c r="Q2721" s="11"/>
    </row>
    <row r="2722" spans="2:17" ht="21" customHeight="1" x14ac:dyDescent="0.35">
      <c r="B2722" s="1">
        <v>44148</v>
      </c>
      <c r="C2722" s="1" t="str">
        <f>TEXT(Sales[[#This Row],[Kode Program/Kegiatan ]],"D")</f>
        <v>13</v>
      </c>
      <c r="D2722" s="2" t="str">
        <f>TEXT(Sales[[#This Row],[Kode Program/Kegiatan ]],"mmm")</f>
        <v>Nov</v>
      </c>
      <c r="E2722" s="3">
        <v>10</v>
      </c>
      <c r="F2722" s="2">
        <v>10</v>
      </c>
      <c r="G2722" s="3" t="str">
        <f>IF(Sales[[#This Row],[Anggaran Murni]]-Sales[[#This Row],[Target s.d. Januari]]=0,"",Sales[[#This Row],[Anggaran Murni]]-Sales[[#This Row],[Target s.d. Januari]])</f>
        <v/>
      </c>
      <c r="H2722" s="2" t="s">
        <v>70</v>
      </c>
      <c r="I2722" s="3" t="s">
        <v>1</v>
      </c>
      <c r="J2722" s="3">
        <v>40000000</v>
      </c>
      <c r="K2722" s="2" t="s">
        <v>39</v>
      </c>
      <c r="L2722" s="2" t="s">
        <v>7</v>
      </c>
      <c r="M2722" s="4" t="s">
        <v>67</v>
      </c>
      <c r="N2722" s="3" t="s">
        <v>82</v>
      </c>
      <c r="O2722" s="2" t="s">
        <v>11</v>
      </c>
      <c r="P2722" s="10"/>
      <c r="Q2722" s="11"/>
    </row>
    <row r="2723" spans="2:17" ht="21" customHeight="1" x14ac:dyDescent="0.35">
      <c r="B2723" s="18">
        <v>44148</v>
      </c>
      <c r="C2723" s="18" t="str">
        <f>TEXT(Sales[[#This Row],[Kode Program/Kegiatan ]],"D")</f>
        <v>13</v>
      </c>
      <c r="D2723" s="19" t="str">
        <f>TEXT(Sales[[#This Row],[Kode Program/Kegiatan ]],"mmm")</f>
        <v>Nov</v>
      </c>
      <c r="E2723" s="20">
        <v>10</v>
      </c>
      <c r="F2723" s="19">
        <v>10</v>
      </c>
      <c r="G2723" s="20" t="str">
        <f>IF(Sales[[#This Row],[Anggaran Murni]]-Sales[[#This Row],[Target s.d. Januari]]=0,"",Sales[[#This Row],[Anggaran Murni]]-Sales[[#This Row],[Target s.d. Januari]])</f>
        <v/>
      </c>
      <c r="H2723" s="19" t="s">
        <v>74</v>
      </c>
      <c r="I2723" s="20" t="s">
        <v>77</v>
      </c>
      <c r="J2723" s="20">
        <v>40000000</v>
      </c>
      <c r="K2723" s="19" t="s">
        <v>61</v>
      </c>
      <c r="L2723" s="19" t="s">
        <v>5</v>
      </c>
      <c r="M2723" s="21" t="s">
        <v>67</v>
      </c>
      <c r="N2723" s="20" t="s">
        <v>81</v>
      </c>
      <c r="O2723" s="19" t="s">
        <v>14</v>
      </c>
      <c r="P2723" s="10"/>
      <c r="Q2723" s="11"/>
    </row>
    <row r="2724" spans="2:17" ht="21" customHeight="1" x14ac:dyDescent="0.35">
      <c r="B2724" s="1">
        <v>44148</v>
      </c>
      <c r="C2724" s="1" t="str">
        <f>TEXT(Sales[[#This Row],[Kode Program/Kegiatan ]],"D")</f>
        <v>13</v>
      </c>
      <c r="D2724" s="2" t="str">
        <f>TEXT(Sales[[#This Row],[Kode Program/Kegiatan ]],"mmm")</f>
        <v>Nov</v>
      </c>
      <c r="E2724" s="3">
        <v>10</v>
      </c>
      <c r="F2724" s="2">
        <v>10</v>
      </c>
      <c r="G2724" s="3" t="str">
        <f>IF(Sales[[#This Row],[Anggaran Murni]]-Sales[[#This Row],[Target s.d. Januari]]=0,"",Sales[[#This Row],[Anggaran Murni]]-Sales[[#This Row],[Target s.d. Januari]])</f>
        <v/>
      </c>
      <c r="H2724" s="2" t="s">
        <v>76</v>
      </c>
      <c r="I2724" s="3" t="s">
        <v>79</v>
      </c>
      <c r="J2724" s="3">
        <v>100000000</v>
      </c>
      <c r="K2724" s="2" t="s">
        <v>58</v>
      </c>
      <c r="L2724" s="2" t="s">
        <v>5</v>
      </c>
      <c r="M2724" s="4" t="s">
        <v>67</v>
      </c>
      <c r="N2724" s="3" t="s">
        <v>81</v>
      </c>
      <c r="O2724" s="2" t="s">
        <v>14</v>
      </c>
      <c r="P2724" s="10"/>
      <c r="Q2724" s="11"/>
    </row>
    <row r="2725" spans="2:17" ht="21" customHeight="1" x14ac:dyDescent="0.35">
      <c r="B2725" s="18">
        <v>44148</v>
      </c>
      <c r="C2725" s="18" t="str">
        <f>TEXT(Sales[[#This Row],[Kode Program/Kegiatan ]],"D")</f>
        <v>13</v>
      </c>
      <c r="D2725" s="19" t="str">
        <f>TEXT(Sales[[#This Row],[Kode Program/Kegiatan ]],"mmm")</f>
        <v>Nov</v>
      </c>
      <c r="E2725" s="20">
        <v>8</v>
      </c>
      <c r="F2725" s="19">
        <v>8</v>
      </c>
      <c r="G2725" s="20" t="str">
        <f>IF(Sales[[#This Row],[Anggaran Murni]]-Sales[[#This Row],[Target s.d. Januari]]=0,"",Sales[[#This Row],[Anggaran Murni]]-Sales[[#This Row],[Target s.d. Januari]])</f>
        <v/>
      </c>
      <c r="H2725" s="19" t="s">
        <v>74</v>
      </c>
      <c r="I2725" s="20" t="s">
        <v>77</v>
      </c>
      <c r="J2725" s="20">
        <v>40000000</v>
      </c>
      <c r="K2725" s="19" t="s">
        <v>26</v>
      </c>
      <c r="L2725" s="19" t="s">
        <v>8</v>
      </c>
      <c r="M2725" s="21" t="s">
        <v>67</v>
      </c>
      <c r="N2725" s="20" t="s">
        <v>82</v>
      </c>
      <c r="O2725" s="19" t="s">
        <v>11</v>
      </c>
      <c r="P2725" s="10"/>
      <c r="Q2725" s="11"/>
    </row>
    <row r="2726" spans="2:17" ht="21" customHeight="1" x14ac:dyDescent="0.35">
      <c r="B2726" s="1">
        <v>44148</v>
      </c>
      <c r="C2726" s="1" t="str">
        <f>TEXT(Sales[[#This Row],[Kode Program/Kegiatan ]],"D")</f>
        <v>13</v>
      </c>
      <c r="D2726" s="2" t="str">
        <f>TEXT(Sales[[#This Row],[Kode Program/Kegiatan ]],"mmm")</f>
        <v>Nov</v>
      </c>
      <c r="E2726" s="3">
        <v>6</v>
      </c>
      <c r="F2726" s="2">
        <v>6</v>
      </c>
      <c r="G2726" s="3" t="str">
        <f>IF(Sales[[#This Row],[Anggaran Murni]]-Sales[[#This Row],[Target s.d. Januari]]=0,"",Sales[[#This Row],[Anggaran Murni]]-Sales[[#This Row],[Target s.d. Januari]])</f>
        <v/>
      </c>
      <c r="H2726" s="2" t="s">
        <v>73</v>
      </c>
      <c r="I2726" s="3" t="s">
        <v>78</v>
      </c>
      <c r="J2726" s="3">
        <v>40000000</v>
      </c>
      <c r="K2726" s="2" t="s">
        <v>35</v>
      </c>
      <c r="L2726" s="2" t="s">
        <v>5</v>
      </c>
      <c r="M2726" s="4" t="s">
        <v>67</v>
      </c>
      <c r="N2726" s="3" t="s">
        <v>80</v>
      </c>
      <c r="O2726" s="2" t="s">
        <v>14</v>
      </c>
      <c r="P2726" s="10"/>
      <c r="Q2726" s="11"/>
    </row>
    <row r="2727" spans="2:17" ht="21" customHeight="1" x14ac:dyDescent="0.35">
      <c r="B2727" s="18">
        <v>44148</v>
      </c>
      <c r="C2727" s="18" t="str">
        <f>TEXT(Sales[[#This Row],[Kode Program/Kegiatan ]],"D")</f>
        <v>13</v>
      </c>
      <c r="D2727" s="19" t="str">
        <f>TEXT(Sales[[#This Row],[Kode Program/Kegiatan ]],"mmm")</f>
        <v>Nov</v>
      </c>
      <c r="E2727" s="20">
        <v>5</v>
      </c>
      <c r="F2727" s="19">
        <v>5</v>
      </c>
      <c r="G2727" s="20" t="str">
        <f>IF(Sales[[#This Row],[Anggaran Murni]]-Sales[[#This Row],[Target s.d. Januari]]=0,"",Sales[[#This Row],[Anggaran Murni]]-Sales[[#This Row],[Target s.d. Januari]])</f>
        <v/>
      </c>
      <c r="H2727" s="19" t="s">
        <v>113</v>
      </c>
      <c r="I2727" s="20" t="s">
        <v>77</v>
      </c>
      <c r="J2727" s="20">
        <v>60000000</v>
      </c>
      <c r="K2727" s="19" t="s">
        <v>49</v>
      </c>
      <c r="L2727" s="19" t="s">
        <v>7</v>
      </c>
      <c r="M2727" s="21" t="s">
        <v>67</v>
      </c>
      <c r="N2727" s="20" t="s">
        <v>82</v>
      </c>
      <c r="O2727" s="19" t="s">
        <v>13</v>
      </c>
      <c r="P2727" s="10"/>
      <c r="Q2727" s="11"/>
    </row>
    <row r="2728" spans="2:17" ht="21" customHeight="1" x14ac:dyDescent="0.35">
      <c r="B2728" s="1">
        <v>44148</v>
      </c>
      <c r="C2728" s="1" t="str">
        <f>TEXT(Sales[[#This Row],[Kode Program/Kegiatan ]],"D")</f>
        <v>13</v>
      </c>
      <c r="D2728" s="2" t="str">
        <f>TEXT(Sales[[#This Row],[Kode Program/Kegiatan ]],"mmm")</f>
        <v>Nov</v>
      </c>
      <c r="E2728" s="3">
        <v>5</v>
      </c>
      <c r="F2728" s="2">
        <v>5</v>
      </c>
      <c r="G2728" s="3" t="str">
        <f>IF(Sales[[#This Row],[Anggaran Murni]]-Sales[[#This Row],[Target s.d. Januari]]=0,"",Sales[[#This Row],[Anggaran Murni]]-Sales[[#This Row],[Target s.d. Januari]])</f>
        <v/>
      </c>
      <c r="H2728" s="2" t="s">
        <v>76</v>
      </c>
      <c r="I2728" s="3" t="s">
        <v>79</v>
      </c>
      <c r="J2728" s="3">
        <v>100000000</v>
      </c>
      <c r="K2728" s="2" t="s">
        <v>47</v>
      </c>
      <c r="L2728" s="2" t="s">
        <v>5</v>
      </c>
      <c r="M2728" s="4" t="s">
        <v>67</v>
      </c>
      <c r="N2728" s="3" t="s">
        <v>80</v>
      </c>
      <c r="O2728" s="2" t="s">
        <v>11</v>
      </c>
      <c r="P2728" s="10"/>
      <c r="Q2728" s="11"/>
    </row>
    <row r="2729" spans="2:17" ht="21" customHeight="1" x14ac:dyDescent="0.35">
      <c r="B2729" s="18">
        <v>44149</v>
      </c>
      <c r="C2729" s="18" t="str">
        <f>TEXT(Sales[[#This Row],[Kode Program/Kegiatan ]],"D")</f>
        <v>14</v>
      </c>
      <c r="D2729" s="19" t="str">
        <f>TEXT(Sales[[#This Row],[Kode Program/Kegiatan ]],"mmm")</f>
        <v>Nov</v>
      </c>
      <c r="E2729" s="20">
        <v>10</v>
      </c>
      <c r="F2729" s="19">
        <v>10</v>
      </c>
      <c r="G2729" s="20" t="str">
        <f>IF(Sales[[#This Row],[Anggaran Murni]]-Sales[[#This Row],[Target s.d. Januari]]=0,"",Sales[[#This Row],[Anggaran Murni]]-Sales[[#This Row],[Target s.d. Januari]])</f>
        <v/>
      </c>
      <c r="H2729" s="19" t="s">
        <v>72</v>
      </c>
      <c r="I2729" s="20" t="s">
        <v>78</v>
      </c>
      <c r="J2729" s="20">
        <v>120000000</v>
      </c>
      <c r="K2729" s="19" t="s">
        <v>38</v>
      </c>
      <c r="L2729" s="19" t="s">
        <v>5</v>
      </c>
      <c r="M2729" s="21" t="s">
        <v>67</v>
      </c>
      <c r="N2729" s="20" t="s">
        <v>82</v>
      </c>
      <c r="O2729" s="19" t="s">
        <v>14</v>
      </c>
      <c r="P2729" s="10"/>
      <c r="Q2729" s="11"/>
    </row>
    <row r="2730" spans="2:17" ht="21" customHeight="1" x14ac:dyDescent="0.35">
      <c r="B2730" s="1">
        <v>44149</v>
      </c>
      <c r="C2730" s="1" t="str">
        <f>TEXT(Sales[[#This Row],[Kode Program/Kegiatan ]],"D")</f>
        <v>14</v>
      </c>
      <c r="D2730" s="2" t="str">
        <f>TEXT(Sales[[#This Row],[Kode Program/Kegiatan ]],"mmm")</f>
        <v>Nov</v>
      </c>
      <c r="E2730" s="3">
        <v>10</v>
      </c>
      <c r="F2730" s="2">
        <v>10</v>
      </c>
      <c r="G2730" s="3" t="str">
        <f>IF(Sales[[#This Row],[Anggaran Murni]]-Sales[[#This Row],[Target s.d. Januari]]=0,"",Sales[[#This Row],[Anggaran Murni]]-Sales[[#This Row],[Target s.d. Januari]])</f>
        <v/>
      </c>
      <c r="H2730" s="2" t="s">
        <v>70</v>
      </c>
      <c r="I2730" s="3" t="s">
        <v>1</v>
      </c>
      <c r="J2730" s="3">
        <v>140000000</v>
      </c>
      <c r="K2730" s="2" t="s">
        <v>22</v>
      </c>
      <c r="L2730" s="2" t="s">
        <v>2</v>
      </c>
      <c r="M2730" s="4" t="s">
        <v>67</v>
      </c>
      <c r="N2730" s="3" t="s">
        <v>82</v>
      </c>
      <c r="O2730" s="2" t="s">
        <v>11</v>
      </c>
      <c r="P2730" s="10"/>
      <c r="Q2730" s="11"/>
    </row>
    <row r="2731" spans="2:17" ht="21" customHeight="1" x14ac:dyDescent="0.35">
      <c r="B2731" s="18">
        <v>44149</v>
      </c>
      <c r="C2731" s="18" t="str">
        <f>TEXT(Sales[[#This Row],[Kode Program/Kegiatan ]],"D")</f>
        <v>14</v>
      </c>
      <c r="D2731" s="19" t="str">
        <f>TEXT(Sales[[#This Row],[Kode Program/Kegiatan ]],"mmm")</f>
        <v>Nov</v>
      </c>
      <c r="E2731" s="20">
        <v>9</v>
      </c>
      <c r="F2731" s="19">
        <v>9</v>
      </c>
      <c r="G2731" s="20" t="str">
        <f>IF(Sales[[#This Row],[Anggaran Murni]]-Sales[[#This Row],[Target s.d. Januari]]=0,"",Sales[[#This Row],[Anggaran Murni]]-Sales[[#This Row],[Target s.d. Januari]])</f>
        <v/>
      </c>
      <c r="H2731" s="19" t="s">
        <v>75</v>
      </c>
      <c r="I2731" s="20" t="s">
        <v>6</v>
      </c>
      <c r="J2731" s="20">
        <v>140000000</v>
      </c>
      <c r="K2731" s="19" t="s">
        <v>61</v>
      </c>
      <c r="L2731" s="19" t="s">
        <v>9</v>
      </c>
      <c r="M2731" s="21" t="s">
        <v>67</v>
      </c>
      <c r="N2731" s="20" t="s">
        <v>81</v>
      </c>
      <c r="O2731" s="19" t="s">
        <v>13</v>
      </c>
      <c r="P2731" s="10"/>
      <c r="Q2731" s="11"/>
    </row>
    <row r="2732" spans="2:17" ht="21" customHeight="1" x14ac:dyDescent="0.35">
      <c r="B2732" s="1">
        <v>44149</v>
      </c>
      <c r="C2732" s="1" t="str">
        <f>TEXT(Sales[[#This Row],[Kode Program/Kegiatan ]],"D")</f>
        <v>14</v>
      </c>
      <c r="D2732" s="2" t="str">
        <f>TEXT(Sales[[#This Row],[Kode Program/Kegiatan ]],"mmm")</f>
        <v>Nov</v>
      </c>
      <c r="E2732" s="3">
        <v>8</v>
      </c>
      <c r="F2732" s="2">
        <v>8</v>
      </c>
      <c r="G2732" s="3" t="str">
        <f>IF(Sales[[#This Row],[Anggaran Murni]]-Sales[[#This Row],[Target s.d. Januari]]=0,"",Sales[[#This Row],[Anggaran Murni]]-Sales[[#This Row],[Target s.d. Januari]])</f>
        <v/>
      </c>
      <c r="H2732" s="2" t="s">
        <v>70</v>
      </c>
      <c r="I2732" s="3" t="s">
        <v>1</v>
      </c>
      <c r="J2732" s="3">
        <v>120000000</v>
      </c>
      <c r="K2732" s="2" t="s">
        <v>36</v>
      </c>
      <c r="L2732" s="2" t="s">
        <v>5</v>
      </c>
      <c r="M2732" s="4" t="s">
        <v>67</v>
      </c>
      <c r="N2732" s="3" t="s">
        <v>81</v>
      </c>
      <c r="O2732" s="2" t="s">
        <v>13</v>
      </c>
      <c r="P2732" s="10"/>
      <c r="Q2732" s="11"/>
    </row>
    <row r="2733" spans="2:17" ht="21" customHeight="1" x14ac:dyDescent="0.35">
      <c r="B2733" s="18">
        <v>44149</v>
      </c>
      <c r="C2733" s="18" t="str">
        <f>TEXT(Sales[[#This Row],[Kode Program/Kegiatan ]],"D")</f>
        <v>14</v>
      </c>
      <c r="D2733" s="19" t="str">
        <f>TEXT(Sales[[#This Row],[Kode Program/Kegiatan ]],"mmm")</f>
        <v>Nov</v>
      </c>
      <c r="E2733" s="20">
        <v>8</v>
      </c>
      <c r="F2733" s="19">
        <v>8</v>
      </c>
      <c r="G2733" s="20" t="str">
        <f>IF(Sales[[#This Row],[Anggaran Murni]]-Sales[[#This Row],[Target s.d. Januari]]=0,"",Sales[[#This Row],[Anggaran Murni]]-Sales[[#This Row],[Target s.d. Januari]])</f>
        <v/>
      </c>
      <c r="H2733" s="19" t="s">
        <v>70</v>
      </c>
      <c r="I2733" s="20" t="s">
        <v>1</v>
      </c>
      <c r="J2733" s="20">
        <v>60000000</v>
      </c>
      <c r="K2733" s="19" t="s">
        <v>58</v>
      </c>
      <c r="L2733" s="19" t="s">
        <v>2</v>
      </c>
      <c r="M2733" s="21" t="s">
        <v>67</v>
      </c>
      <c r="N2733" s="20" t="s">
        <v>82</v>
      </c>
      <c r="O2733" s="19" t="s">
        <v>14</v>
      </c>
      <c r="P2733" s="10"/>
      <c r="Q2733" s="11"/>
    </row>
    <row r="2734" spans="2:17" ht="21" customHeight="1" x14ac:dyDescent="0.35">
      <c r="B2734" s="1">
        <v>44149</v>
      </c>
      <c r="C2734" s="1" t="str">
        <f>TEXT(Sales[[#This Row],[Kode Program/Kegiatan ]],"D")</f>
        <v>14</v>
      </c>
      <c r="D2734" s="2" t="str">
        <f>TEXT(Sales[[#This Row],[Kode Program/Kegiatan ]],"mmm")</f>
        <v>Nov</v>
      </c>
      <c r="E2734" s="3">
        <v>8</v>
      </c>
      <c r="F2734" s="2">
        <v>8</v>
      </c>
      <c r="G2734" s="3" t="str">
        <f>IF(Sales[[#This Row],[Anggaran Murni]]-Sales[[#This Row],[Target s.d. Januari]]=0,"",Sales[[#This Row],[Anggaran Murni]]-Sales[[#This Row],[Target s.d. Januari]])</f>
        <v/>
      </c>
      <c r="H2734" s="2" t="s">
        <v>76</v>
      </c>
      <c r="I2734" s="3" t="s">
        <v>79</v>
      </c>
      <c r="J2734" s="3">
        <v>80000000</v>
      </c>
      <c r="K2734" s="2" t="s">
        <v>24</v>
      </c>
      <c r="L2734" s="2" t="s">
        <v>5</v>
      </c>
      <c r="M2734" s="4" t="s">
        <v>67</v>
      </c>
      <c r="N2734" s="3" t="s">
        <v>82</v>
      </c>
      <c r="O2734" s="2" t="s">
        <v>12</v>
      </c>
      <c r="P2734" s="10"/>
      <c r="Q2734" s="11"/>
    </row>
    <row r="2735" spans="2:17" ht="21" customHeight="1" x14ac:dyDescent="0.35">
      <c r="B2735" s="18">
        <v>44149</v>
      </c>
      <c r="C2735" s="18" t="str">
        <f>TEXT(Sales[[#This Row],[Kode Program/Kegiatan ]],"D")</f>
        <v>14</v>
      </c>
      <c r="D2735" s="19" t="str">
        <f>TEXT(Sales[[#This Row],[Kode Program/Kegiatan ]],"mmm")</f>
        <v>Nov</v>
      </c>
      <c r="E2735" s="20">
        <v>7</v>
      </c>
      <c r="F2735" s="19">
        <v>7</v>
      </c>
      <c r="G2735" s="20" t="str">
        <f>IF(Sales[[#This Row],[Anggaran Murni]]-Sales[[#This Row],[Target s.d. Januari]]=0,"",Sales[[#This Row],[Anggaran Murni]]-Sales[[#This Row],[Target s.d. Januari]])</f>
        <v/>
      </c>
      <c r="H2735" s="19" t="s">
        <v>70</v>
      </c>
      <c r="I2735" s="20" t="s">
        <v>1</v>
      </c>
      <c r="J2735" s="20">
        <v>40000000</v>
      </c>
      <c r="K2735" s="19" t="s">
        <v>60</v>
      </c>
      <c r="L2735" s="19" t="s">
        <v>2</v>
      </c>
      <c r="M2735" s="21" t="s">
        <v>67</v>
      </c>
      <c r="N2735" s="20" t="s">
        <v>82</v>
      </c>
      <c r="O2735" s="19" t="s">
        <v>14</v>
      </c>
      <c r="P2735" s="10"/>
      <c r="Q2735" s="11"/>
    </row>
    <row r="2736" spans="2:17" ht="21" customHeight="1" x14ac:dyDescent="0.35">
      <c r="B2736" s="1">
        <v>44149</v>
      </c>
      <c r="C2736" s="1" t="str">
        <f>TEXT(Sales[[#This Row],[Kode Program/Kegiatan ]],"D")</f>
        <v>14</v>
      </c>
      <c r="D2736" s="2" t="str">
        <f>TEXT(Sales[[#This Row],[Kode Program/Kegiatan ]],"mmm")</f>
        <v>Nov</v>
      </c>
      <c r="E2736" s="3">
        <v>6</v>
      </c>
      <c r="F2736" s="2">
        <v>6</v>
      </c>
      <c r="G2736" s="3" t="str">
        <f>IF(Sales[[#This Row],[Anggaran Murni]]-Sales[[#This Row],[Target s.d. Januari]]=0,"",Sales[[#This Row],[Anggaran Murni]]-Sales[[#This Row],[Target s.d. Januari]])</f>
        <v/>
      </c>
      <c r="H2736" s="2" t="s">
        <v>71</v>
      </c>
      <c r="I2736" s="3" t="s">
        <v>6</v>
      </c>
      <c r="J2736" s="3">
        <v>60000000</v>
      </c>
      <c r="K2736" s="2" t="s">
        <v>23</v>
      </c>
      <c r="L2736" s="2" t="s">
        <v>2</v>
      </c>
      <c r="M2736" s="4" t="s">
        <v>67</v>
      </c>
      <c r="N2736" s="3" t="s">
        <v>81</v>
      </c>
      <c r="O2736" s="2" t="s">
        <v>12</v>
      </c>
      <c r="P2736" s="10"/>
      <c r="Q2736" s="11"/>
    </row>
    <row r="2737" spans="2:17" ht="21" customHeight="1" x14ac:dyDescent="0.35">
      <c r="B2737" s="18">
        <v>44149</v>
      </c>
      <c r="C2737" s="18" t="str">
        <f>TEXT(Sales[[#This Row],[Kode Program/Kegiatan ]],"D")</f>
        <v>14</v>
      </c>
      <c r="D2737" s="19" t="str">
        <f>TEXT(Sales[[#This Row],[Kode Program/Kegiatan ]],"mmm")</f>
        <v>Nov</v>
      </c>
      <c r="E2737" s="20">
        <v>5</v>
      </c>
      <c r="F2737" s="19">
        <v>5</v>
      </c>
      <c r="G2737" s="20" t="str">
        <f>IF(Sales[[#This Row],[Anggaran Murni]]-Sales[[#This Row],[Target s.d. Januari]]=0,"",Sales[[#This Row],[Anggaran Murni]]-Sales[[#This Row],[Target s.d. Januari]])</f>
        <v/>
      </c>
      <c r="H2737" s="19" t="s">
        <v>73</v>
      </c>
      <c r="I2737" s="20" t="s">
        <v>78</v>
      </c>
      <c r="J2737" s="20">
        <v>100000000</v>
      </c>
      <c r="K2737" s="19" t="s">
        <v>42</v>
      </c>
      <c r="L2737" s="19" t="s">
        <v>2</v>
      </c>
      <c r="M2737" s="21" t="s">
        <v>67</v>
      </c>
      <c r="N2737" s="20" t="s">
        <v>81</v>
      </c>
      <c r="O2737" s="19" t="s">
        <v>13</v>
      </c>
      <c r="P2737" s="10"/>
      <c r="Q2737" s="11"/>
    </row>
    <row r="2738" spans="2:17" ht="21" customHeight="1" x14ac:dyDescent="0.35">
      <c r="B2738" s="1">
        <v>44149</v>
      </c>
      <c r="C2738" s="1" t="str">
        <f>TEXT(Sales[[#This Row],[Kode Program/Kegiatan ]],"D")</f>
        <v>14</v>
      </c>
      <c r="D2738" s="2" t="str">
        <f>TEXT(Sales[[#This Row],[Kode Program/Kegiatan ]],"mmm")</f>
        <v>Nov</v>
      </c>
      <c r="E2738" s="3">
        <v>5</v>
      </c>
      <c r="F2738" s="2">
        <v>5</v>
      </c>
      <c r="G2738" s="3" t="str">
        <f>IF(Sales[[#This Row],[Anggaran Murni]]-Sales[[#This Row],[Target s.d. Januari]]=0,"",Sales[[#This Row],[Anggaran Murni]]-Sales[[#This Row],[Target s.d. Januari]])</f>
        <v/>
      </c>
      <c r="H2738" s="2" t="s">
        <v>72</v>
      </c>
      <c r="I2738" s="3" t="s">
        <v>78</v>
      </c>
      <c r="J2738" s="3">
        <v>60000000</v>
      </c>
      <c r="K2738" s="2" t="s">
        <v>23</v>
      </c>
      <c r="L2738" s="2" t="s">
        <v>5</v>
      </c>
      <c r="M2738" s="4" t="s">
        <v>67</v>
      </c>
      <c r="N2738" s="3" t="s">
        <v>82</v>
      </c>
      <c r="O2738" s="2" t="s">
        <v>11</v>
      </c>
      <c r="P2738" s="10"/>
      <c r="Q2738" s="11"/>
    </row>
    <row r="2739" spans="2:17" ht="21" customHeight="1" x14ac:dyDescent="0.35">
      <c r="B2739" s="18">
        <v>44149</v>
      </c>
      <c r="C2739" s="18" t="str">
        <f>TEXT(Sales[[#This Row],[Kode Program/Kegiatan ]],"D")</f>
        <v>14</v>
      </c>
      <c r="D2739" s="19" t="str">
        <f>TEXT(Sales[[#This Row],[Kode Program/Kegiatan ]],"mmm")</f>
        <v>Nov</v>
      </c>
      <c r="E2739" s="20">
        <v>3</v>
      </c>
      <c r="F2739" s="19">
        <v>3</v>
      </c>
      <c r="G2739" s="20" t="str">
        <f>IF(Sales[[#This Row],[Anggaran Murni]]-Sales[[#This Row],[Target s.d. Januari]]=0,"",Sales[[#This Row],[Anggaran Murni]]-Sales[[#This Row],[Target s.d. Januari]])</f>
        <v/>
      </c>
      <c r="H2739" s="19" t="s">
        <v>73</v>
      </c>
      <c r="I2739" s="20" t="s">
        <v>78</v>
      </c>
      <c r="J2739" s="20">
        <v>60000000</v>
      </c>
      <c r="K2739" s="19" t="s">
        <v>60</v>
      </c>
      <c r="L2739" s="19" t="s">
        <v>4</v>
      </c>
      <c r="M2739" s="21" t="s">
        <v>67</v>
      </c>
      <c r="N2739" s="20" t="s">
        <v>80</v>
      </c>
      <c r="O2739" s="19" t="s">
        <v>14</v>
      </c>
      <c r="P2739" s="10"/>
      <c r="Q2739" s="11"/>
    </row>
    <row r="2740" spans="2:17" ht="21" customHeight="1" x14ac:dyDescent="0.35">
      <c r="B2740" s="1">
        <v>44150</v>
      </c>
      <c r="C2740" s="1" t="str">
        <f>TEXT(Sales[[#This Row],[Kode Program/Kegiatan ]],"D")</f>
        <v>15</v>
      </c>
      <c r="D2740" s="2" t="str">
        <f>TEXT(Sales[[#This Row],[Kode Program/Kegiatan ]],"mmm")</f>
        <v>Nov</v>
      </c>
      <c r="E2740" s="3">
        <v>10</v>
      </c>
      <c r="F2740" s="2">
        <v>10</v>
      </c>
      <c r="G2740" s="3" t="str">
        <f>IF(Sales[[#This Row],[Anggaran Murni]]-Sales[[#This Row],[Target s.d. Januari]]=0,"",Sales[[#This Row],[Anggaran Murni]]-Sales[[#This Row],[Target s.d. Januari]])</f>
        <v/>
      </c>
      <c r="H2740" s="2" t="s">
        <v>71</v>
      </c>
      <c r="I2740" s="3" t="s">
        <v>6</v>
      </c>
      <c r="J2740" s="3">
        <v>80000000</v>
      </c>
      <c r="K2740" s="2" t="s">
        <v>38</v>
      </c>
      <c r="L2740" s="2" t="s">
        <v>2</v>
      </c>
      <c r="M2740" s="4" t="s">
        <v>67</v>
      </c>
      <c r="N2740" s="3" t="s">
        <v>81</v>
      </c>
      <c r="O2740" s="2" t="s">
        <v>12</v>
      </c>
      <c r="P2740" s="10"/>
      <c r="Q2740" s="11"/>
    </row>
    <row r="2741" spans="2:17" ht="21" customHeight="1" x14ac:dyDescent="0.35">
      <c r="B2741" s="18">
        <v>44150</v>
      </c>
      <c r="C2741" s="18" t="str">
        <f>TEXT(Sales[[#This Row],[Kode Program/Kegiatan ]],"D")</f>
        <v>15</v>
      </c>
      <c r="D2741" s="19" t="str">
        <f>TEXT(Sales[[#This Row],[Kode Program/Kegiatan ]],"mmm")</f>
        <v>Nov</v>
      </c>
      <c r="E2741" s="20">
        <v>8</v>
      </c>
      <c r="F2741" s="19">
        <v>8</v>
      </c>
      <c r="G2741" s="20" t="str">
        <f>IF(Sales[[#This Row],[Anggaran Murni]]-Sales[[#This Row],[Target s.d. Januari]]=0,"",Sales[[#This Row],[Anggaran Murni]]-Sales[[#This Row],[Target s.d. Januari]])</f>
        <v/>
      </c>
      <c r="H2741" s="19" t="s">
        <v>75</v>
      </c>
      <c r="I2741" s="20" t="s">
        <v>6</v>
      </c>
      <c r="J2741" s="20">
        <v>60000000</v>
      </c>
      <c r="K2741" s="19" t="s">
        <v>53</v>
      </c>
      <c r="L2741" s="19" t="s">
        <v>9</v>
      </c>
      <c r="M2741" s="21" t="s">
        <v>67</v>
      </c>
      <c r="N2741" s="20" t="s">
        <v>80</v>
      </c>
      <c r="O2741" s="19" t="s">
        <v>13</v>
      </c>
      <c r="P2741" s="10"/>
      <c r="Q2741" s="11"/>
    </row>
    <row r="2742" spans="2:17" ht="21" customHeight="1" x14ac:dyDescent="0.35">
      <c r="B2742" s="1">
        <v>44150</v>
      </c>
      <c r="C2742" s="1" t="str">
        <f>TEXT(Sales[[#This Row],[Kode Program/Kegiatan ]],"D")</f>
        <v>15</v>
      </c>
      <c r="D2742" s="2" t="str">
        <f>TEXT(Sales[[#This Row],[Kode Program/Kegiatan ]],"mmm")</f>
        <v>Nov</v>
      </c>
      <c r="E2742" s="3">
        <v>8</v>
      </c>
      <c r="F2742" s="2">
        <v>8</v>
      </c>
      <c r="G2742" s="3" t="str">
        <f>IF(Sales[[#This Row],[Anggaran Murni]]-Sales[[#This Row],[Target s.d. Januari]]=0,"",Sales[[#This Row],[Anggaran Murni]]-Sales[[#This Row],[Target s.d. Januari]])</f>
        <v/>
      </c>
      <c r="H2742" s="2" t="s">
        <v>73</v>
      </c>
      <c r="I2742" s="3" t="s">
        <v>78</v>
      </c>
      <c r="J2742" s="3">
        <v>40000000</v>
      </c>
      <c r="K2742" s="2" t="s">
        <v>33</v>
      </c>
      <c r="L2742" s="2" t="s">
        <v>5</v>
      </c>
      <c r="M2742" s="4" t="s">
        <v>67</v>
      </c>
      <c r="N2742" s="3" t="s">
        <v>82</v>
      </c>
      <c r="O2742" s="2" t="s">
        <v>13</v>
      </c>
      <c r="P2742" s="10"/>
      <c r="Q2742" s="11"/>
    </row>
    <row r="2743" spans="2:17" ht="21" customHeight="1" x14ac:dyDescent="0.35">
      <c r="B2743" s="18">
        <v>44150</v>
      </c>
      <c r="C2743" s="18" t="str">
        <f>TEXT(Sales[[#This Row],[Kode Program/Kegiatan ]],"D")</f>
        <v>15</v>
      </c>
      <c r="D2743" s="19" t="str">
        <f>TEXT(Sales[[#This Row],[Kode Program/Kegiatan ]],"mmm")</f>
        <v>Nov</v>
      </c>
      <c r="E2743" s="20">
        <v>7</v>
      </c>
      <c r="F2743" s="19">
        <v>7</v>
      </c>
      <c r="G2743" s="20" t="str">
        <f>IF(Sales[[#This Row],[Anggaran Murni]]-Sales[[#This Row],[Target s.d. Januari]]=0,"",Sales[[#This Row],[Anggaran Murni]]-Sales[[#This Row],[Target s.d. Januari]])</f>
        <v/>
      </c>
      <c r="H2743" s="19" t="s">
        <v>76</v>
      </c>
      <c r="I2743" s="20" t="s">
        <v>79</v>
      </c>
      <c r="J2743" s="20">
        <v>100000000</v>
      </c>
      <c r="K2743" s="19" t="s">
        <v>31</v>
      </c>
      <c r="L2743" s="19" t="s">
        <v>2</v>
      </c>
      <c r="M2743" s="21" t="s">
        <v>67</v>
      </c>
      <c r="N2743" s="20" t="s">
        <v>80</v>
      </c>
      <c r="O2743" s="19" t="s">
        <v>11</v>
      </c>
      <c r="P2743" s="10"/>
      <c r="Q2743" s="11"/>
    </row>
    <row r="2744" spans="2:17" ht="21" customHeight="1" x14ac:dyDescent="0.35">
      <c r="B2744" s="1">
        <v>44150</v>
      </c>
      <c r="C2744" s="1" t="str">
        <f>TEXT(Sales[[#This Row],[Kode Program/Kegiatan ]],"D")</f>
        <v>15</v>
      </c>
      <c r="D2744" s="2" t="str">
        <f>TEXT(Sales[[#This Row],[Kode Program/Kegiatan ]],"mmm")</f>
        <v>Nov</v>
      </c>
      <c r="E2744" s="3">
        <v>5</v>
      </c>
      <c r="F2744" s="2">
        <v>5</v>
      </c>
      <c r="G2744" s="3" t="str">
        <f>IF(Sales[[#This Row],[Anggaran Murni]]-Sales[[#This Row],[Target s.d. Januari]]=0,"",Sales[[#This Row],[Anggaran Murni]]-Sales[[#This Row],[Target s.d. Januari]])</f>
        <v/>
      </c>
      <c r="H2744" s="2" t="s">
        <v>73</v>
      </c>
      <c r="I2744" s="3" t="s">
        <v>78</v>
      </c>
      <c r="J2744" s="3">
        <v>120000000</v>
      </c>
      <c r="K2744" s="2" t="s">
        <v>64</v>
      </c>
      <c r="L2744" s="2" t="s">
        <v>2</v>
      </c>
      <c r="M2744" s="4" t="s">
        <v>67</v>
      </c>
      <c r="N2744" s="3" t="s">
        <v>82</v>
      </c>
      <c r="O2744" s="2" t="s">
        <v>13</v>
      </c>
      <c r="P2744" s="10"/>
      <c r="Q2744" s="11"/>
    </row>
    <row r="2745" spans="2:17" ht="21" customHeight="1" x14ac:dyDescent="0.35">
      <c r="B2745" s="18">
        <v>44150</v>
      </c>
      <c r="C2745" s="18" t="str">
        <f>TEXT(Sales[[#This Row],[Kode Program/Kegiatan ]],"D")</f>
        <v>15</v>
      </c>
      <c r="D2745" s="19" t="str">
        <f>TEXT(Sales[[#This Row],[Kode Program/Kegiatan ]],"mmm")</f>
        <v>Nov</v>
      </c>
      <c r="E2745" s="20">
        <v>3</v>
      </c>
      <c r="F2745" s="19">
        <v>3</v>
      </c>
      <c r="G2745" s="20" t="str">
        <f>IF(Sales[[#This Row],[Anggaran Murni]]-Sales[[#This Row],[Target s.d. Januari]]=0,"",Sales[[#This Row],[Anggaran Murni]]-Sales[[#This Row],[Target s.d. Januari]])</f>
        <v/>
      </c>
      <c r="H2745" s="19" t="s">
        <v>72</v>
      </c>
      <c r="I2745" s="20" t="s">
        <v>78</v>
      </c>
      <c r="J2745" s="20">
        <v>40000000</v>
      </c>
      <c r="K2745" s="19" t="s">
        <v>53</v>
      </c>
      <c r="L2745" s="19" t="s">
        <v>8</v>
      </c>
      <c r="M2745" s="21" t="s">
        <v>67</v>
      </c>
      <c r="N2745" s="20" t="s">
        <v>80</v>
      </c>
      <c r="O2745" s="19" t="s">
        <v>11</v>
      </c>
      <c r="P2745" s="10"/>
      <c r="Q2745" s="11"/>
    </row>
    <row r="2746" spans="2:17" ht="21" customHeight="1" x14ac:dyDescent="0.35">
      <c r="B2746" s="1">
        <v>44150</v>
      </c>
      <c r="C2746" s="1" t="str">
        <f>TEXT(Sales[[#This Row],[Kode Program/Kegiatan ]],"D")</f>
        <v>15</v>
      </c>
      <c r="D2746" s="2" t="str">
        <f>TEXT(Sales[[#This Row],[Kode Program/Kegiatan ]],"mmm")</f>
        <v>Nov</v>
      </c>
      <c r="E2746" s="3">
        <v>3</v>
      </c>
      <c r="F2746" s="2">
        <v>3</v>
      </c>
      <c r="G2746" s="3" t="str">
        <f>IF(Sales[[#This Row],[Anggaran Murni]]-Sales[[#This Row],[Target s.d. Januari]]=0,"",Sales[[#This Row],[Anggaran Murni]]-Sales[[#This Row],[Target s.d. Januari]])</f>
        <v/>
      </c>
      <c r="H2746" s="2" t="s">
        <v>113</v>
      </c>
      <c r="I2746" s="3" t="s">
        <v>77</v>
      </c>
      <c r="J2746" s="3">
        <v>60000000</v>
      </c>
      <c r="K2746" s="2" t="s">
        <v>42</v>
      </c>
      <c r="L2746" s="2" t="s">
        <v>2</v>
      </c>
      <c r="M2746" s="4" t="s">
        <v>67</v>
      </c>
      <c r="N2746" s="3" t="s">
        <v>82</v>
      </c>
      <c r="O2746" s="2" t="s">
        <v>14</v>
      </c>
      <c r="P2746" s="10"/>
      <c r="Q2746" s="11"/>
    </row>
    <row r="2747" spans="2:17" ht="21" customHeight="1" x14ac:dyDescent="0.35">
      <c r="B2747" s="18">
        <v>44151</v>
      </c>
      <c r="C2747" s="18" t="str">
        <f>TEXT(Sales[[#This Row],[Kode Program/Kegiatan ]],"D")</f>
        <v>16</v>
      </c>
      <c r="D2747" s="19" t="str">
        <f>TEXT(Sales[[#This Row],[Kode Program/Kegiatan ]],"mmm")</f>
        <v>Nov</v>
      </c>
      <c r="E2747" s="20">
        <v>9</v>
      </c>
      <c r="F2747" s="19">
        <v>9</v>
      </c>
      <c r="G2747" s="20" t="str">
        <f>IF(Sales[[#This Row],[Anggaran Murni]]-Sales[[#This Row],[Target s.d. Januari]]=0,"",Sales[[#This Row],[Anggaran Murni]]-Sales[[#This Row],[Target s.d. Januari]])</f>
        <v/>
      </c>
      <c r="H2747" s="19" t="s">
        <v>70</v>
      </c>
      <c r="I2747" s="20" t="s">
        <v>1</v>
      </c>
      <c r="J2747" s="20">
        <v>60000000</v>
      </c>
      <c r="K2747" s="19" t="s">
        <v>15</v>
      </c>
      <c r="L2747" s="19" t="s">
        <v>5</v>
      </c>
      <c r="M2747" s="21" t="s">
        <v>67</v>
      </c>
      <c r="N2747" s="20" t="s">
        <v>82</v>
      </c>
      <c r="O2747" s="19" t="s">
        <v>14</v>
      </c>
      <c r="P2747" s="10"/>
      <c r="Q2747" s="11"/>
    </row>
    <row r="2748" spans="2:17" ht="21" customHeight="1" x14ac:dyDescent="0.35">
      <c r="B2748" s="1">
        <v>44151</v>
      </c>
      <c r="C2748" s="1" t="str">
        <f>TEXT(Sales[[#This Row],[Kode Program/Kegiatan ]],"D")</f>
        <v>16</v>
      </c>
      <c r="D2748" s="2" t="str">
        <f>TEXT(Sales[[#This Row],[Kode Program/Kegiatan ]],"mmm")</f>
        <v>Nov</v>
      </c>
      <c r="E2748" s="3">
        <v>9</v>
      </c>
      <c r="F2748" s="2">
        <v>9</v>
      </c>
      <c r="G2748" s="3" t="str">
        <f>IF(Sales[[#This Row],[Anggaran Murni]]-Sales[[#This Row],[Target s.d. Januari]]=0,"",Sales[[#This Row],[Anggaran Murni]]-Sales[[#This Row],[Target s.d. Januari]])</f>
        <v/>
      </c>
      <c r="H2748" s="2" t="s">
        <v>73</v>
      </c>
      <c r="I2748" s="3" t="s">
        <v>78</v>
      </c>
      <c r="J2748" s="3">
        <v>60000000</v>
      </c>
      <c r="K2748" s="2" t="s">
        <v>34</v>
      </c>
      <c r="L2748" s="2" t="s">
        <v>5</v>
      </c>
      <c r="M2748" s="4" t="s">
        <v>67</v>
      </c>
      <c r="N2748" s="3" t="s">
        <v>81</v>
      </c>
      <c r="O2748" s="2" t="s">
        <v>14</v>
      </c>
      <c r="P2748" s="10"/>
      <c r="Q2748" s="11"/>
    </row>
    <row r="2749" spans="2:17" ht="21" customHeight="1" x14ac:dyDescent="0.35">
      <c r="B2749" s="18">
        <v>44151</v>
      </c>
      <c r="C2749" s="18" t="str">
        <f>TEXT(Sales[[#This Row],[Kode Program/Kegiatan ]],"D")</f>
        <v>16</v>
      </c>
      <c r="D2749" s="19" t="str">
        <f>TEXT(Sales[[#This Row],[Kode Program/Kegiatan ]],"mmm")</f>
        <v>Nov</v>
      </c>
      <c r="E2749" s="20">
        <v>8</v>
      </c>
      <c r="F2749" s="19">
        <v>8</v>
      </c>
      <c r="G2749" s="20" t="str">
        <f>IF(Sales[[#This Row],[Anggaran Murni]]-Sales[[#This Row],[Target s.d. Januari]]=0,"",Sales[[#This Row],[Anggaran Murni]]-Sales[[#This Row],[Target s.d. Januari]])</f>
        <v/>
      </c>
      <c r="H2749" s="19" t="s">
        <v>70</v>
      </c>
      <c r="I2749" s="20" t="s">
        <v>1</v>
      </c>
      <c r="J2749" s="20">
        <v>80000000</v>
      </c>
      <c r="K2749" s="19" t="s">
        <v>48</v>
      </c>
      <c r="L2749" s="19" t="s">
        <v>5</v>
      </c>
      <c r="M2749" s="21" t="s">
        <v>67</v>
      </c>
      <c r="N2749" s="20" t="s">
        <v>80</v>
      </c>
      <c r="O2749" s="19" t="s">
        <v>11</v>
      </c>
      <c r="P2749" s="10"/>
      <c r="Q2749" s="11"/>
    </row>
    <row r="2750" spans="2:17" ht="21" customHeight="1" x14ac:dyDescent="0.35">
      <c r="B2750" s="1">
        <v>44151</v>
      </c>
      <c r="C2750" s="1" t="str">
        <f>TEXT(Sales[[#This Row],[Kode Program/Kegiatan ]],"D")</f>
        <v>16</v>
      </c>
      <c r="D2750" s="2" t="str">
        <f>TEXT(Sales[[#This Row],[Kode Program/Kegiatan ]],"mmm")</f>
        <v>Nov</v>
      </c>
      <c r="E2750" s="3">
        <v>7</v>
      </c>
      <c r="F2750" s="2">
        <v>7</v>
      </c>
      <c r="G2750" s="3" t="str">
        <f>IF(Sales[[#This Row],[Anggaran Murni]]-Sales[[#This Row],[Target s.d. Januari]]=0,"",Sales[[#This Row],[Anggaran Murni]]-Sales[[#This Row],[Target s.d. Januari]])</f>
        <v/>
      </c>
      <c r="H2750" s="2" t="s">
        <v>114</v>
      </c>
      <c r="I2750" s="3" t="s">
        <v>3</v>
      </c>
      <c r="J2750" s="3">
        <v>60000000</v>
      </c>
      <c r="K2750" s="2" t="s">
        <v>56</v>
      </c>
      <c r="L2750" s="2" t="s">
        <v>5</v>
      </c>
      <c r="M2750" s="4" t="s">
        <v>67</v>
      </c>
      <c r="N2750" s="3" t="s">
        <v>81</v>
      </c>
      <c r="O2750" s="2" t="s">
        <v>14</v>
      </c>
      <c r="P2750" s="10"/>
      <c r="Q2750" s="11"/>
    </row>
    <row r="2751" spans="2:17" ht="21" customHeight="1" x14ac:dyDescent="0.35">
      <c r="B2751" s="18">
        <v>44151</v>
      </c>
      <c r="C2751" s="18" t="str">
        <f>TEXT(Sales[[#This Row],[Kode Program/Kegiatan ]],"D")</f>
        <v>16</v>
      </c>
      <c r="D2751" s="19" t="str">
        <f>TEXT(Sales[[#This Row],[Kode Program/Kegiatan ]],"mmm")</f>
        <v>Nov</v>
      </c>
      <c r="E2751" s="20">
        <v>6</v>
      </c>
      <c r="F2751" s="19">
        <v>6</v>
      </c>
      <c r="G2751" s="20" t="str">
        <f>IF(Sales[[#This Row],[Anggaran Murni]]-Sales[[#This Row],[Target s.d. Januari]]=0,"",Sales[[#This Row],[Anggaran Murni]]-Sales[[#This Row],[Target s.d. Januari]])</f>
        <v/>
      </c>
      <c r="H2751" s="19" t="s">
        <v>71</v>
      </c>
      <c r="I2751" s="20" t="s">
        <v>6</v>
      </c>
      <c r="J2751" s="20">
        <v>60000000</v>
      </c>
      <c r="K2751" s="19" t="s">
        <v>52</v>
      </c>
      <c r="L2751" s="19" t="s">
        <v>2</v>
      </c>
      <c r="M2751" s="21" t="s">
        <v>67</v>
      </c>
      <c r="N2751" s="20" t="s">
        <v>80</v>
      </c>
      <c r="O2751" s="19" t="s">
        <v>11</v>
      </c>
      <c r="P2751" s="10"/>
      <c r="Q2751" s="11"/>
    </row>
    <row r="2752" spans="2:17" ht="21" customHeight="1" x14ac:dyDescent="0.35">
      <c r="B2752" s="1">
        <v>44151</v>
      </c>
      <c r="C2752" s="1" t="str">
        <f>TEXT(Sales[[#This Row],[Kode Program/Kegiatan ]],"D")</f>
        <v>16</v>
      </c>
      <c r="D2752" s="2" t="str">
        <f>TEXT(Sales[[#This Row],[Kode Program/Kegiatan ]],"mmm")</f>
        <v>Nov</v>
      </c>
      <c r="E2752" s="3">
        <v>6</v>
      </c>
      <c r="F2752" s="2">
        <v>6</v>
      </c>
      <c r="G2752" s="3" t="str">
        <f>IF(Sales[[#This Row],[Anggaran Murni]]-Sales[[#This Row],[Target s.d. Januari]]=0,"",Sales[[#This Row],[Anggaran Murni]]-Sales[[#This Row],[Target s.d. Januari]])</f>
        <v/>
      </c>
      <c r="H2752" s="2" t="s">
        <v>71</v>
      </c>
      <c r="I2752" s="3" t="s">
        <v>6</v>
      </c>
      <c r="J2752" s="3">
        <v>80000000</v>
      </c>
      <c r="K2752" s="2" t="s">
        <v>63</v>
      </c>
      <c r="L2752" s="2" t="s">
        <v>5</v>
      </c>
      <c r="M2752" s="4" t="s">
        <v>67</v>
      </c>
      <c r="N2752" s="3" t="s">
        <v>80</v>
      </c>
      <c r="O2752" s="2" t="s">
        <v>12</v>
      </c>
      <c r="P2752" s="10"/>
      <c r="Q2752" s="11"/>
    </row>
    <row r="2753" spans="2:17" ht="21" customHeight="1" x14ac:dyDescent="0.35">
      <c r="B2753" s="18">
        <v>44151</v>
      </c>
      <c r="C2753" s="18" t="str">
        <f>TEXT(Sales[[#This Row],[Kode Program/Kegiatan ]],"D")</f>
        <v>16</v>
      </c>
      <c r="D2753" s="19" t="str">
        <f>TEXT(Sales[[#This Row],[Kode Program/Kegiatan ]],"mmm")</f>
        <v>Nov</v>
      </c>
      <c r="E2753" s="20">
        <v>6</v>
      </c>
      <c r="F2753" s="19">
        <v>6</v>
      </c>
      <c r="G2753" s="20" t="str">
        <f>IF(Sales[[#This Row],[Anggaran Murni]]-Sales[[#This Row],[Target s.d. Januari]]=0,"",Sales[[#This Row],[Anggaran Murni]]-Sales[[#This Row],[Target s.d. Januari]])</f>
        <v/>
      </c>
      <c r="H2753" s="19" t="s">
        <v>75</v>
      </c>
      <c r="I2753" s="20" t="s">
        <v>6</v>
      </c>
      <c r="J2753" s="20">
        <v>100000000</v>
      </c>
      <c r="K2753" s="19" t="s">
        <v>43</v>
      </c>
      <c r="L2753" s="19" t="s">
        <v>7</v>
      </c>
      <c r="M2753" s="21" t="s">
        <v>67</v>
      </c>
      <c r="N2753" s="20" t="s">
        <v>82</v>
      </c>
      <c r="O2753" s="19" t="s">
        <v>11</v>
      </c>
      <c r="P2753" s="10"/>
      <c r="Q2753" s="11"/>
    </row>
    <row r="2754" spans="2:17" ht="21" customHeight="1" x14ac:dyDescent="0.35">
      <c r="B2754" s="1">
        <v>44151</v>
      </c>
      <c r="C2754" s="1" t="str">
        <f>TEXT(Sales[[#This Row],[Kode Program/Kegiatan ]],"D")</f>
        <v>16</v>
      </c>
      <c r="D2754" s="2" t="str">
        <f>TEXT(Sales[[#This Row],[Kode Program/Kegiatan ]],"mmm")</f>
        <v>Nov</v>
      </c>
      <c r="E2754" s="3">
        <v>6</v>
      </c>
      <c r="F2754" s="2">
        <v>6</v>
      </c>
      <c r="G2754" s="3" t="str">
        <f>IF(Sales[[#This Row],[Anggaran Murni]]-Sales[[#This Row],[Target s.d. Januari]]=0,"",Sales[[#This Row],[Anggaran Murni]]-Sales[[#This Row],[Target s.d. Januari]])</f>
        <v/>
      </c>
      <c r="H2754" s="2" t="s">
        <v>72</v>
      </c>
      <c r="I2754" s="3" t="s">
        <v>78</v>
      </c>
      <c r="J2754" s="3">
        <v>140000000</v>
      </c>
      <c r="K2754" s="2" t="s">
        <v>64</v>
      </c>
      <c r="L2754" s="2" t="s">
        <v>5</v>
      </c>
      <c r="M2754" s="4" t="s">
        <v>67</v>
      </c>
      <c r="N2754" s="3" t="s">
        <v>81</v>
      </c>
      <c r="O2754" s="2" t="s">
        <v>12</v>
      </c>
      <c r="P2754" s="10"/>
      <c r="Q2754" s="11"/>
    </row>
    <row r="2755" spans="2:17" ht="21" customHeight="1" x14ac:dyDescent="0.35">
      <c r="B2755" s="18">
        <v>44151</v>
      </c>
      <c r="C2755" s="18" t="str">
        <f>TEXT(Sales[[#This Row],[Kode Program/Kegiatan ]],"D")</f>
        <v>16</v>
      </c>
      <c r="D2755" s="19" t="str">
        <f>TEXT(Sales[[#This Row],[Kode Program/Kegiatan ]],"mmm")</f>
        <v>Nov</v>
      </c>
      <c r="E2755" s="20">
        <v>5</v>
      </c>
      <c r="F2755" s="19">
        <v>5</v>
      </c>
      <c r="G2755" s="20" t="str">
        <f>IF(Sales[[#This Row],[Anggaran Murni]]-Sales[[#This Row],[Target s.d. Januari]]=0,"",Sales[[#This Row],[Anggaran Murni]]-Sales[[#This Row],[Target s.d. Januari]])</f>
        <v/>
      </c>
      <c r="H2755" s="19" t="s">
        <v>73</v>
      </c>
      <c r="I2755" s="20" t="s">
        <v>78</v>
      </c>
      <c r="J2755" s="20">
        <v>100000000</v>
      </c>
      <c r="K2755" s="19" t="s">
        <v>34</v>
      </c>
      <c r="L2755" s="19" t="s">
        <v>2</v>
      </c>
      <c r="M2755" s="21" t="s">
        <v>67</v>
      </c>
      <c r="N2755" s="20" t="s">
        <v>80</v>
      </c>
      <c r="O2755" s="19" t="s">
        <v>12</v>
      </c>
      <c r="P2755" s="10"/>
      <c r="Q2755" s="11"/>
    </row>
    <row r="2756" spans="2:17" ht="21" customHeight="1" x14ac:dyDescent="0.35">
      <c r="B2756" s="1">
        <v>44151</v>
      </c>
      <c r="C2756" s="1" t="str">
        <f>TEXT(Sales[[#This Row],[Kode Program/Kegiatan ]],"D")</f>
        <v>16</v>
      </c>
      <c r="D2756" s="2" t="str">
        <f>TEXT(Sales[[#This Row],[Kode Program/Kegiatan ]],"mmm")</f>
        <v>Nov</v>
      </c>
      <c r="E2756" s="3">
        <v>5</v>
      </c>
      <c r="F2756" s="2">
        <v>5</v>
      </c>
      <c r="G2756" s="3" t="str">
        <f>IF(Sales[[#This Row],[Anggaran Murni]]-Sales[[#This Row],[Target s.d. Januari]]=0,"",Sales[[#This Row],[Anggaran Murni]]-Sales[[#This Row],[Target s.d. Januari]])</f>
        <v/>
      </c>
      <c r="H2756" s="2" t="s">
        <v>74</v>
      </c>
      <c r="I2756" s="3" t="s">
        <v>77</v>
      </c>
      <c r="J2756" s="3">
        <v>80000000</v>
      </c>
      <c r="K2756" s="2" t="s">
        <v>35</v>
      </c>
      <c r="L2756" s="2" t="s">
        <v>5</v>
      </c>
      <c r="M2756" s="4" t="s">
        <v>67</v>
      </c>
      <c r="N2756" s="3" t="s">
        <v>82</v>
      </c>
      <c r="O2756" s="2" t="s">
        <v>12</v>
      </c>
      <c r="P2756" s="10"/>
      <c r="Q2756" s="11"/>
    </row>
    <row r="2757" spans="2:17" ht="21" customHeight="1" x14ac:dyDescent="0.35">
      <c r="B2757" s="18">
        <v>44151</v>
      </c>
      <c r="C2757" s="18" t="str">
        <f>TEXT(Sales[[#This Row],[Kode Program/Kegiatan ]],"D")</f>
        <v>16</v>
      </c>
      <c r="D2757" s="19" t="str">
        <f>TEXT(Sales[[#This Row],[Kode Program/Kegiatan ]],"mmm")</f>
        <v>Nov</v>
      </c>
      <c r="E2757" s="20">
        <v>4</v>
      </c>
      <c r="F2757" s="19">
        <v>4</v>
      </c>
      <c r="G2757" s="20" t="str">
        <f>IF(Sales[[#This Row],[Anggaran Murni]]-Sales[[#This Row],[Target s.d. Januari]]=0,"",Sales[[#This Row],[Anggaran Murni]]-Sales[[#This Row],[Target s.d. Januari]])</f>
        <v/>
      </c>
      <c r="H2757" s="19" t="s">
        <v>114</v>
      </c>
      <c r="I2757" s="20" t="s">
        <v>3</v>
      </c>
      <c r="J2757" s="20">
        <v>40000000</v>
      </c>
      <c r="K2757" s="19" t="s">
        <v>20</v>
      </c>
      <c r="L2757" s="19" t="s">
        <v>5</v>
      </c>
      <c r="M2757" s="21" t="s">
        <v>67</v>
      </c>
      <c r="N2757" s="20" t="s">
        <v>82</v>
      </c>
      <c r="O2757" s="19" t="s">
        <v>13</v>
      </c>
      <c r="P2757" s="10"/>
      <c r="Q2757" s="11"/>
    </row>
    <row r="2758" spans="2:17" ht="21" customHeight="1" x14ac:dyDescent="0.35">
      <c r="B2758" s="1">
        <v>44151</v>
      </c>
      <c r="C2758" s="1" t="str">
        <f>TEXT(Sales[[#This Row],[Kode Program/Kegiatan ]],"D")</f>
        <v>16</v>
      </c>
      <c r="D2758" s="2" t="str">
        <f>TEXT(Sales[[#This Row],[Kode Program/Kegiatan ]],"mmm")</f>
        <v>Nov</v>
      </c>
      <c r="E2758" s="3">
        <v>4</v>
      </c>
      <c r="F2758" s="2">
        <v>4</v>
      </c>
      <c r="G2758" s="3" t="str">
        <f>IF(Sales[[#This Row],[Anggaran Murni]]-Sales[[#This Row],[Target s.d. Januari]]=0,"",Sales[[#This Row],[Anggaran Murni]]-Sales[[#This Row],[Target s.d. Januari]])</f>
        <v/>
      </c>
      <c r="H2758" s="2" t="s">
        <v>73</v>
      </c>
      <c r="I2758" s="3" t="s">
        <v>78</v>
      </c>
      <c r="J2758" s="3">
        <v>100000000</v>
      </c>
      <c r="K2758" s="2" t="s">
        <v>40</v>
      </c>
      <c r="L2758" s="2" t="s">
        <v>5</v>
      </c>
      <c r="M2758" s="4" t="s">
        <v>67</v>
      </c>
      <c r="N2758" s="3" t="s">
        <v>82</v>
      </c>
      <c r="O2758" s="2" t="s">
        <v>12</v>
      </c>
      <c r="P2758" s="10"/>
      <c r="Q2758" s="11"/>
    </row>
    <row r="2759" spans="2:17" ht="21" customHeight="1" x14ac:dyDescent="0.35">
      <c r="B2759" s="18">
        <v>44151</v>
      </c>
      <c r="C2759" s="18" t="str">
        <f>TEXT(Sales[[#This Row],[Kode Program/Kegiatan ]],"D")</f>
        <v>16</v>
      </c>
      <c r="D2759" s="19" t="str">
        <f>TEXT(Sales[[#This Row],[Kode Program/Kegiatan ]],"mmm")</f>
        <v>Nov</v>
      </c>
      <c r="E2759" s="20">
        <v>4</v>
      </c>
      <c r="F2759" s="19">
        <v>4</v>
      </c>
      <c r="G2759" s="20" t="str">
        <f>IF(Sales[[#This Row],[Anggaran Murni]]-Sales[[#This Row],[Target s.d. Januari]]=0,"",Sales[[#This Row],[Anggaran Murni]]-Sales[[#This Row],[Target s.d. Januari]])</f>
        <v/>
      </c>
      <c r="H2759" s="19" t="s">
        <v>75</v>
      </c>
      <c r="I2759" s="20" t="s">
        <v>6</v>
      </c>
      <c r="J2759" s="20">
        <v>40000000</v>
      </c>
      <c r="K2759" s="19" t="s">
        <v>31</v>
      </c>
      <c r="L2759" s="19" t="s">
        <v>2</v>
      </c>
      <c r="M2759" s="21" t="s">
        <v>67</v>
      </c>
      <c r="N2759" s="20" t="s">
        <v>81</v>
      </c>
      <c r="O2759" s="19" t="s">
        <v>13</v>
      </c>
      <c r="P2759" s="10"/>
      <c r="Q2759" s="11"/>
    </row>
    <row r="2760" spans="2:17" ht="21" customHeight="1" x14ac:dyDescent="0.35">
      <c r="B2760" s="1">
        <v>44151</v>
      </c>
      <c r="C2760" s="1" t="str">
        <f>TEXT(Sales[[#This Row],[Kode Program/Kegiatan ]],"D")</f>
        <v>16</v>
      </c>
      <c r="D2760" s="2" t="str">
        <f>TEXT(Sales[[#This Row],[Kode Program/Kegiatan ]],"mmm")</f>
        <v>Nov</v>
      </c>
      <c r="E2760" s="3">
        <v>3</v>
      </c>
      <c r="F2760" s="2">
        <v>3</v>
      </c>
      <c r="G2760" s="3" t="str">
        <f>IF(Sales[[#This Row],[Anggaran Murni]]-Sales[[#This Row],[Target s.d. Januari]]=0,"",Sales[[#This Row],[Anggaran Murni]]-Sales[[#This Row],[Target s.d. Januari]])</f>
        <v/>
      </c>
      <c r="H2760" s="2" t="s">
        <v>73</v>
      </c>
      <c r="I2760" s="3" t="s">
        <v>78</v>
      </c>
      <c r="J2760" s="3">
        <v>140000000</v>
      </c>
      <c r="K2760" s="2" t="s">
        <v>49</v>
      </c>
      <c r="L2760" s="2" t="s">
        <v>2</v>
      </c>
      <c r="M2760" s="4" t="s">
        <v>67</v>
      </c>
      <c r="N2760" s="3" t="s">
        <v>80</v>
      </c>
      <c r="O2760" s="2" t="s">
        <v>11</v>
      </c>
      <c r="P2760" s="10"/>
      <c r="Q2760" s="11"/>
    </row>
    <row r="2761" spans="2:17" ht="21" customHeight="1" x14ac:dyDescent="0.35">
      <c r="B2761" s="18">
        <v>44151</v>
      </c>
      <c r="C2761" s="18" t="str">
        <f>TEXT(Sales[[#This Row],[Kode Program/Kegiatan ]],"D")</f>
        <v>16</v>
      </c>
      <c r="D2761" s="19" t="str">
        <f>TEXT(Sales[[#This Row],[Kode Program/Kegiatan ]],"mmm")</f>
        <v>Nov</v>
      </c>
      <c r="E2761" s="20">
        <v>3</v>
      </c>
      <c r="F2761" s="19">
        <v>3</v>
      </c>
      <c r="G2761" s="20" t="str">
        <f>IF(Sales[[#This Row],[Anggaran Murni]]-Sales[[#This Row],[Target s.d. Januari]]=0,"",Sales[[#This Row],[Anggaran Murni]]-Sales[[#This Row],[Target s.d. Januari]])</f>
        <v/>
      </c>
      <c r="H2761" s="19" t="s">
        <v>113</v>
      </c>
      <c r="I2761" s="20" t="s">
        <v>77</v>
      </c>
      <c r="J2761" s="20">
        <v>60000000</v>
      </c>
      <c r="K2761" s="19" t="s">
        <v>39</v>
      </c>
      <c r="L2761" s="19" t="s">
        <v>2</v>
      </c>
      <c r="M2761" s="21" t="s">
        <v>67</v>
      </c>
      <c r="N2761" s="20" t="s">
        <v>81</v>
      </c>
      <c r="O2761" s="19" t="s">
        <v>13</v>
      </c>
      <c r="P2761" s="10"/>
      <c r="Q2761" s="11"/>
    </row>
    <row r="2762" spans="2:17" ht="21" customHeight="1" x14ac:dyDescent="0.35">
      <c r="B2762" s="1">
        <v>44152</v>
      </c>
      <c r="C2762" s="1" t="str">
        <f>TEXT(Sales[[#This Row],[Kode Program/Kegiatan ]],"D")</f>
        <v>17</v>
      </c>
      <c r="D2762" s="2" t="str">
        <f>TEXT(Sales[[#This Row],[Kode Program/Kegiatan ]],"mmm")</f>
        <v>Nov</v>
      </c>
      <c r="E2762" s="3">
        <v>10</v>
      </c>
      <c r="F2762" s="2">
        <v>10</v>
      </c>
      <c r="G2762" s="3" t="str">
        <f>IF(Sales[[#This Row],[Anggaran Murni]]-Sales[[#This Row],[Target s.d. Januari]]=0,"",Sales[[#This Row],[Anggaran Murni]]-Sales[[#This Row],[Target s.d. Januari]])</f>
        <v/>
      </c>
      <c r="H2762" s="2" t="s">
        <v>71</v>
      </c>
      <c r="I2762" s="3" t="s">
        <v>6</v>
      </c>
      <c r="J2762" s="3">
        <v>100000000</v>
      </c>
      <c r="K2762" s="2" t="s">
        <v>24</v>
      </c>
      <c r="L2762" s="2" t="s">
        <v>5</v>
      </c>
      <c r="M2762" s="4" t="s">
        <v>67</v>
      </c>
      <c r="N2762" s="3" t="s">
        <v>82</v>
      </c>
      <c r="O2762" s="2" t="s">
        <v>11</v>
      </c>
      <c r="P2762" s="10"/>
      <c r="Q2762" s="11"/>
    </row>
    <row r="2763" spans="2:17" ht="21" customHeight="1" x14ac:dyDescent="0.35">
      <c r="B2763" s="18">
        <v>44152</v>
      </c>
      <c r="C2763" s="18" t="str">
        <f>TEXT(Sales[[#This Row],[Kode Program/Kegiatan ]],"D")</f>
        <v>17</v>
      </c>
      <c r="D2763" s="19" t="str">
        <f>TEXT(Sales[[#This Row],[Kode Program/Kegiatan ]],"mmm")</f>
        <v>Nov</v>
      </c>
      <c r="E2763" s="20">
        <v>10</v>
      </c>
      <c r="F2763" s="19">
        <v>10</v>
      </c>
      <c r="G2763" s="20" t="str">
        <f>IF(Sales[[#This Row],[Anggaran Murni]]-Sales[[#This Row],[Target s.d. Januari]]=0,"",Sales[[#This Row],[Anggaran Murni]]-Sales[[#This Row],[Target s.d. Januari]])</f>
        <v/>
      </c>
      <c r="H2763" s="19" t="s">
        <v>70</v>
      </c>
      <c r="I2763" s="20" t="s">
        <v>1</v>
      </c>
      <c r="J2763" s="20">
        <v>60000000</v>
      </c>
      <c r="K2763" s="19" t="s">
        <v>62</v>
      </c>
      <c r="L2763" s="19" t="s">
        <v>2</v>
      </c>
      <c r="M2763" s="21" t="s">
        <v>67</v>
      </c>
      <c r="N2763" s="20" t="s">
        <v>82</v>
      </c>
      <c r="O2763" s="19" t="s">
        <v>14</v>
      </c>
      <c r="P2763" s="10"/>
      <c r="Q2763" s="11"/>
    </row>
    <row r="2764" spans="2:17" ht="21" customHeight="1" x14ac:dyDescent="0.35">
      <c r="B2764" s="1">
        <v>44152</v>
      </c>
      <c r="C2764" s="1" t="str">
        <f>TEXT(Sales[[#This Row],[Kode Program/Kegiatan ]],"D")</f>
        <v>17</v>
      </c>
      <c r="D2764" s="2" t="str">
        <f>TEXT(Sales[[#This Row],[Kode Program/Kegiatan ]],"mmm")</f>
        <v>Nov</v>
      </c>
      <c r="E2764" s="3">
        <v>10</v>
      </c>
      <c r="F2764" s="2">
        <v>10</v>
      </c>
      <c r="G2764" s="3" t="str">
        <f>IF(Sales[[#This Row],[Anggaran Murni]]-Sales[[#This Row],[Target s.d. Januari]]=0,"",Sales[[#This Row],[Anggaran Murni]]-Sales[[#This Row],[Target s.d. Januari]])</f>
        <v/>
      </c>
      <c r="H2764" s="2" t="s">
        <v>76</v>
      </c>
      <c r="I2764" s="3" t="s">
        <v>79</v>
      </c>
      <c r="J2764" s="3">
        <v>100000000</v>
      </c>
      <c r="K2764" s="2" t="s">
        <v>15</v>
      </c>
      <c r="L2764" s="2" t="s">
        <v>5</v>
      </c>
      <c r="M2764" s="4" t="s">
        <v>67</v>
      </c>
      <c r="N2764" s="3" t="s">
        <v>80</v>
      </c>
      <c r="O2764" s="2" t="s">
        <v>13</v>
      </c>
      <c r="P2764" s="10"/>
      <c r="Q2764" s="11"/>
    </row>
    <row r="2765" spans="2:17" ht="21" customHeight="1" x14ac:dyDescent="0.35">
      <c r="B2765" s="18">
        <v>44152</v>
      </c>
      <c r="C2765" s="18" t="str">
        <f>TEXT(Sales[[#This Row],[Kode Program/Kegiatan ]],"D")</f>
        <v>17</v>
      </c>
      <c r="D2765" s="19" t="str">
        <f>TEXT(Sales[[#This Row],[Kode Program/Kegiatan ]],"mmm")</f>
        <v>Nov</v>
      </c>
      <c r="E2765" s="20">
        <v>9</v>
      </c>
      <c r="F2765" s="19">
        <v>9</v>
      </c>
      <c r="G2765" s="20" t="str">
        <f>IF(Sales[[#This Row],[Anggaran Murni]]-Sales[[#This Row],[Target s.d. Januari]]=0,"",Sales[[#This Row],[Anggaran Murni]]-Sales[[#This Row],[Target s.d. Januari]])</f>
        <v/>
      </c>
      <c r="H2765" s="19" t="s">
        <v>74</v>
      </c>
      <c r="I2765" s="20" t="s">
        <v>77</v>
      </c>
      <c r="J2765" s="20">
        <v>100000000</v>
      </c>
      <c r="K2765" s="19" t="s">
        <v>58</v>
      </c>
      <c r="L2765" s="19" t="s">
        <v>5</v>
      </c>
      <c r="M2765" s="21" t="s">
        <v>67</v>
      </c>
      <c r="N2765" s="20" t="s">
        <v>81</v>
      </c>
      <c r="O2765" s="19" t="s">
        <v>11</v>
      </c>
      <c r="P2765" s="10"/>
      <c r="Q2765" s="11"/>
    </row>
    <row r="2766" spans="2:17" ht="21" customHeight="1" x14ac:dyDescent="0.35">
      <c r="B2766" s="1">
        <v>44152</v>
      </c>
      <c r="C2766" s="1" t="str">
        <f>TEXT(Sales[[#This Row],[Kode Program/Kegiatan ]],"D")</f>
        <v>17</v>
      </c>
      <c r="D2766" s="2" t="str">
        <f>TEXT(Sales[[#This Row],[Kode Program/Kegiatan ]],"mmm")</f>
        <v>Nov</v>
      </c>
      <c r="E2766" s="3">
        <v>7</v>
      </c>
      <c r="F2766" s="2">
        <v>7</v>
      </c>
      <c r="G2766" s="3" t="str">
        <f>IF(Sales[[#This Row],[Anggaran Murni]]-Sales[[#This Row],[Target s.d. Januari]]=0,"",Sales[[#This Row],[Anggaran Murni]]-Sales[[#This Row],[Target s.d. Januari]])</f>
        <v/>
      </c>
      <c r="H2766" s="2" t="s">
        <v>73</v>
      </c>
      <c r="I2766" s="3" t="s">
        <v>78</v>
      </c>
      <c r="J2766" s="3">
        <v>80000000</v>
      </c>
      <c r="K2766" s="2" t="s">
        <v>44</v>
      </c>
      <c r="L2766" s="2" t="s">
        <v>2</v>
      </c>
      <c r="M2766" s="4" t="s">
        <v>67</v>
      </c>
      <c r="N2766" s="3" t="s">
        <v>82</v>
      </c>
      <c r="O2766" s="2" t="s">
        <v>13</v>
      </c>
      <c r="P2766" s="10"/>
      <c r="Q2766" s="11"/>
    </row>
    <row r="2767" spans="2:17" ht="21" customHeight="1" x14ac:dyDescent="0.35">
      <c r="B2767" s="18">
        <v>44152</v>
      </c>
      <c r="C2767" s="18" t="str">
        <f>TEXT(Sales[[#This Row],[Kode Program/Kegiatan ]],"D")</f>
        <v>17</v>
      </c>
      <c r="D2767" s="19" t="str">
        <f>TEXT(Sales[[#This Row],[Kode Program/Kegiatan ]],"mmm")</f>
        <v>Nov</v>
      </c>
      <c r="E2767" s="20">
        <v>7</v>
      </c>
      <c r="F2767" s="19">
        <v>7</v>
      </c>
      <c r="G2767" s="20" t="str">
        <f>IF(Sales[[#This Row],[Anggaran Murni]]-Sales[[#This Row],[Target s.d. Januari]]=0,"",Sales[[#This Row],[Anggaran Murni]]-Sales[[#This Row],[Target s.d. Januari]])</f>
        <v/>
      </c>
      <c r="H2767" s="19" t="s">
        <v>113</v>
      </c>
      <c r="I2767" s="20" t="s">
        <v>77</v>
      </c>
      <c r="J2767" s="20">
        <v>140000000</v>
      </c>
      <c r="K2767" s="19" t="s">
        <v>60</v>
      </c>
      <c r="L2767" s="19" t="s">
        <v>8</v>
      </c>
      <c r="M2767" s="21" t="s">
        <v>67</v>
      </c>
      <c r="N2767" s="20" t="s">
        <v>80</v>
      </c>
      <c r="O2767" s="19" t="s">
        <v>12</v>
      </c>
      <c r="P2767" s="10"/>
      <c r="Q2767" s="11"/>
    </row>
    <row r="2768" spans="2:17" ht="21" customHeight="1" x14ac:dyDescent="0.35">
      <c r="B2768" s="1">
        <v>44152</v>
      </c>
      <c r="C2768" s="1" t="str">
        <f>TEXT(Sales[[#This Row],[Kode Program/Kegiatan ]],"D")</f>
        <v>17</v>
      </c>
      <c r="D2768" s="2" t="str">
        <f>TEXT(Sales[[#This Row],[Kode Program/Kegiatan ]],"mmm")</f>
        <v>Nov</v>
      </c>
      <c r="E2768" s="3">
        <v>7</v>
      </c>
      <c r="F2768" s="2">
        <v>7</v>
      </c>
      <c r="G2768" s="3" t="str">
        <f>IF(Sales[[#This Row],[Anggaran Murni]]-Sales[[#This Row],[Target s.d. Januari]]=0,"",Sales[[#This Row],[Anggaran Murni]]-Sales[[#This Row],[Target s.d. Januari]])</f>
        <v/>
      </c>
      <c r="H2768" s="2" t="s">
        <v>113</v>
      </c>
      <c r="I2768" s="3" t="s">
        <v>77</v>
      </c>
      <c r="J2768" s="3">
        <v>140000000</v>
      </c>
      <c r="K2768" s="2" t="s">
        <v>53</v>
      </c>
      <c r="L2768" s="2" t="s">
        <v>5</v>
      </c>
      <c r="M2768" s="4" t="s">
        <v>67</v>
      </c>
      <c r="N2768" s="3" t="s">
        <v>80</v>
      </c>
      <c r="O2768" s="2" t="s">
        <v>13</v>
      </c>
      <c r="P2768" s="10"/>
      <c r="Q2768" s="11"/>
    </row>
    <row r="2769" spans="2:17" ht="21" customHeight="1" x14ac:dyDescent="0.35">
      <c r="B2769" s="18">
        <v>44152</v>
      </c>
      <c r="C2769" s="18" t="str">
        <f>TEXT(Sales[[#This Row],[Kode Program/Kegiatan ]],"D")</f>
        <v>17</v>
      </c>
      <c r="D2769" s="19" t="str">
        <f>TEXT(Sales[[#This Row],[Kode Program/Kegiatan ]],"mmm")</f>
        <v>Nov</v>
      </c>
      <c r="E2769" s="20">
        <v>6</v>
      </c>
      <c r="F2769" s="19">
        <v>6</v>
      </c>
      <c r="G2769" s="20" t="str">
        <f>IF(Sales[[#This Row],[Anggaran Murni]]-Sales[[#This Row],[Target s.d. Januari]]=0,"",Sales[[#This Row],[Anggaran Murni]]-Sales[[#This Row],[Target s.d. Januari]])</f>
        <v/>
      </c>
      <c r="H2769" s="19" t="s">
        <v>76</v>
      </c>
      <c r="I2769" s="20" t="s">
        <v>79</v>
      </c>
      <c r="J2769" s="20">
        <v>60000000</v>
      </c>
      <c r="K2769" s="19" t="s">
        <v>25</v>
      </c>
      <c r="L2769" s="19" t="s">
        <v>8</v>
      </c>
      <c r="M2769" s="21" t="s">
        <v>67</v>
      </c>
      <c r="N2769" s="20" t="s">
        <v>82</v>
      </c>
      <c r="O2769" s="19" t="s">
        <v>11</v>
      </c>
      <c r="P2769" s="10"/>
      <c r="Q2769" s="11"/>
    </row>
    <row r="2770" spans="2:17" ht="21" customHeight="1" x14ac:dyDescent="0.35">
      <c r="B2770" s="1">
        <v>44152</v>
      </c>
      <c r="C2770" s="1" t="str">
        <f>TEXT(Sales[[#This Row],[Kode Program/Kegiatan ]],"D")</f>
        <v>17</v>
      </c>
      <c r="D2770" s="2" t="str">
        <f>TEXT(Sales[[#This Row],[Kode Program/Kegiatan ]],"mmm")</f>
        <v>Nov</v>
      </c>
      <c r="E2770" s="3">
        <v>6</v>
      </c>
      <c r="F2770" s="2">
        <v>6</v>
      </c>
      <c r="G2770" s="3" t="str">
        <f>IF(Sales[[#This Row],[Anggaran Murni]]-Sales[[#This Row],[Target s.d. Januari]]=0,"",Sales[[#This Row],[Anggaran Murni]]-Sales[[#This Row],[Target s.d. Januari]])</f>
        <v/>
      </c>
      <c r="H2770" s="2" t="s">
        <v>113</v>
      </c>
      <c r="I2770" s="3" t="s">
        <v>77</v>
      </c>
      <c r="J2770" s="3">
        <v>120000000</v>
      </c>
      <c r="K2770" s="2" t="s">
        <v>27</v>
      </c>
      <c r="L2770" s="2" t="s">
        <v>4</v>
      </c>
      <c r="M2770" s="4" t="s">
        <v>67</v>
      </c>
      <c r="N2770" s="3" t="s">
        <v>81</v>
      </c>
      <c r="O2770" s="2" t="s">
        <v>13</v>
      </c>
      <c r="P2770" s="10"/>
      <c r="Q2770" s="11"/>
    </row>
    <row r="2771" spans="2:17" ht="21" customHeight="1" x14ac:dyDescent="0.35">
      <c r="B2771" s="18">
        <v>44152</v>
      </c>
      <c r="C2771" s="18" t="str">
        <f>TEXT(Sales[[#This Row],[Kode Program/Kegiatan ]],"D")</f>
        <v>17</v>
      </c>
      <c r="D2771" s="19" t="str">
        <f>TEXT(Sales[[#This Row],[Kode Program/Kegiatan ]],"mmm")</f>
        <v>Nov</v>
      </c>
      <c r="E2771" s="20">
        <v>6</v>
      </c>
      <c r="F2771" s="19">
        <v>6</v>
      </c>
      <c r="G2771" s="20" t="str">
        <f>IF(Sales[[#This Row],[Anggaran Murni]]-Sales[[#This Row],[Target s.d. Januari]]=0,"",Sales[[#This Row],[Anggaran Murni]]-Sales[[#This Row],[Target s.d. Januari]])</f>
        <v/>
      </c>
      <c r="H2771" s="19" t="s">
        <v>74</v>
      </c>
      <c r="I2771" s="20" t="s">
        <v>77</v>
      </c>
      <c r="J2771" s="20">
        <v>80000000</v>
      </c>
      <c r="K2771" s="19" t="s">
        <v>31</v>
      </c>
      <c r="L2771" s="19" t="s">
        <v>5</v>
      </c>
      <c r="M2771" s="21" t="s">
        <v>67</v>
      </c>
      <c r="N2771" s="20" t="s">
        <v>81</v>
      </c>
      <c r="O2771" s="19" t="s">
        <v>12</v>
      </c>
      <c r="P2771" s="10"/>
      <c r="Q2771" s="11"/>
    </row>
    <row r="2772" spans="2:17" ht="21" customHeight="1" x14ac:dyDescent="0.35">
      <c r="B2772" s="1">
        <v>44152</v>
      </c>
      <c r="C2772" s="1" t="str">
        <f>TEXT(Sales[[#This Row],[Kode Program/Kegiatan ]],"D")</f>
        <v>17</v>
      </c>
      <c r="D2772" s="2" t="str">
        <f>TEXT(Sales[[#This Row],[Kode Program/Kegiatan ]],"mmm")</f>
        <v>Nov</v>
      </c>
      <c r="E2772" s="3">
        <v>4</v>
      </c>
      <c r="F2772" s="2">
        <v>4</v>
      </c>
      <c r="G2772" s="3" t="str">
        <f>IF(Sales[[#This Row],[Anggaran Murni]]-Sales[[#This Row],[Target s.d. Januari]]=0,"",Sales[[#This Row],[Anggaran Murni]]-Sales[[#This Row],[Target s.d. Januari]])</f>
        <v/>
      </c>
      <c r="H2772" s="2" t="s">
        <v>70</v>
      </c>
      <c r="I2772" s="3" t="s">
        <v>1</v>
      </c>
      <c r="J2772" s="3">
        <v>40000000</v>
      </c>
      <c r="K2772" s="2" t="s">
        <v>48</v>
      </c>
      <c r="L2772" s="2" t="s">
        <v>2</v>
      </c>
      <c r="M2772" s="4" t="s">
        <v>67</v>
      </c>
      <c r="N2772" s="3" t="s">
        <v>81</v>
      </c>
      <c r="O2772" s="2" t="s">
        <v>14</v>
      </c>
      <c r="P2772" s="10"/>
      <c r="Q2772" s="11"/>
    </row>
    <row r="2773" spans="2:17" ht="21" customHeight="1" x14ac:dyDescent="0.35">
      <c r="B2773" s="18">
        <v>44152</v>
      </c>
      <c r="C2773" s="18" t="str">
        <f>TEXT(Sales[[#This Row],[Kode Program/Kegiatan ]],"D")</f>
        <v>17</v>
      </c>
      <c r="D2773" s="19" t="str">
        <f>TEXT(Sales[[#This Row],[Kode Program/Kegiatan ]],"mmm")</f>
        <v>Nov</v>
      </c>
      <c r="E2773" s="20">
        <v>4</v>
      </c>
      <c r="F2773" s="19">
        <v>4</v>
      </c>
      <c r="G2773" s="20" t="str">
        <f>IF(Sales[[#This Row],[Anggaran Murni]]-Sales[[#This Row],[Target s.d. Januari]]=0,"",Sales[[#This Row],[Anggaran Murni]]-Sales[[#This Row],[Target s.d. Januari]])</f>
        <v/>
      </c>
      <c r="H2773" s="19" t="s">
        <v>73</v>
      </c>
      <c r="I2773" s="20" t="s">
        <v>78</v>
      </c>
      <c r="J2773" s="20">
        <v>120000000</v>
      </c>
      <c r="K2773" s="19" t="s">
        <v>26</v>
      </c>
      <c r="L2773" s="19" t="s">
        <v>5</v>
      </c>
      <c r="M2773" s="21" t="s">
        <v>67</v>
      </c>
      <c r="N2773" s="20" t="s">
        <v>81</v>
      </c>
      <c r="O2773" s="19" t="s">
        <v>11</v>
      </c>
      <c r="P2773" s="10"/>
      <c r="Q2773" s="11"/>
    </row>
    <row r="2774" spans="2:17" ht="21" customHeight="1" x14ac:dyDescent="0.35">
      <c r="B2774" s="1">
        <v>44152</v>
      </c>
      <c r="C2774" s="1" t="str">
        <f>TEXT(Sales[[#This Row],[Kode Program/Kegiatan ]],"D")</f>
        <v>17</v>
      </c>
      <c r="D2774" s="2" t="str">
        <f>TEXT(Sales[[#This Row],[Kode Program/Kegiatan ]],"mmm")</f>
        <v>Nov</v>
      </c>
      <c r="E2774" s="3">
        <v>3</v>
      </c>
      <c r="F2774" s="2">
        <v>3</v>
      </c>
      <c r="G2774" s="3" t="str">
        <f>IF(Sales[[#This Row],[Anggaran Murni]]-Sales[[#This Row],[Target s.d. Januari]]=0,"",Sales[[#This Row],[Anggaran Murni]]-Sales[[#This Row],[Target s.d. Januari]])</f>
        <v/>
      </c>
      <c r="H2774" s="2" t="s">
        <v>74</v>
      </c>
      <c r="I2774" s="3" t="s">
        <v>77</v>
      </c>
      <c r="J2774" s="3">
        <v>60000000</v>
      </c>
      <c r="K2774" s="2" t="s">
        <v>23</v>
      </c>
      <c r="L2774" s="2" t="s">
        <v>2</v>
      </c>
      <c r="M2774" s="4" t="s">
        <v>67</v>
      </c>
      <c r="N2774" s="3" t="s">
        <v>81</v>
      </c>
      <c r="O2774" s="2" t="s">
        <v>14</v>
      </c>
      <c r="P2774" s="10"/>
      <c r="Q2774" s="11"/>
    </row>
    <row r="2775" spans="2:17" ht="21" customHeight="1" x14ac:dyDescent="0.35">
      <c r="B2775" s="18">
        <v>44152</v>
      </c>
      <c r="C2775" s="18" t="str">
        <f>TEXT(Sales[[#This Row],[Kode Program/Kegiatan ]],"D")</f>
        <v>17</v>
      </c>
      <c r="D2775" s="19" t="str">
        <f>TEXT(Sales[[#This Row],[Kode Program/Kegiatan ]],"mmm")</f>
        <v>Nov</v>
      </c>
      <c r="E2775" s="20">
        <v>3</v>
      </c>
      <c r="F2775" s="19">
        <v>3</v>
      </c>
      <c r="G2775" s="20" t="str">
        <f>IF(Sales[[#This Row],[Anggaran Murni]]-Sales[[#This Row],[Target s.d. Januari]]=0,"",Sales[[#This Row],[Anggaran Murni]]-Sales[[#This Row],[Target s.d. Januari]])</f>
        <v/>
      </c>
      <c r="H2775" s="19" t="s">
        <v>71</v>
      </c>
      <c r="I2775" s="20" t="s">
        <v>6</v>
      </c>
      <c r="J2775" s="20">
        <v>40000000</v>
      </c>
      <c r="K2775" s="19" t="s">
        <v>34</v>
      </c>
      <c r="L2775" s="19" t="s">
        <v>2</v>
      </c>
      <c r="M2775" s="21" t="s">
        <v>67</v>
      </c>
      <c r="N2775" s="20" t="s">
        <v>82</v>
      </c>
      <c r="O2775" s="19" t="s">
        <v>11</v>
      </c>
      <c r="P2775" s="10"/>
      <c r="Q2775" s="11"/>
    </row>
    <row r="2776" spans="2:17" ht="21" customHeight="1" x14ac:dyDescent="0.35">
      <c r="B2776" s="1">
        <v>44153</v>
      </c>
      <c r="C2776" s="1" t="str">
        <f>TEXT(Sales[[#This Row],[Kode Program/Kegiatan ]],"D")</f>
        <v>18</v>
      </c>
      <c r="D2776" s="2" t="str">
        <f>TEXT(Sales[[#This Row],[Kode Program/Kegiatan ]],"mmm")</f>
        <v>Nov</v>
      </c>
      <c r="E2776" s="3">
        <v>10</v>
      </c>
      <c r="F2776" s="2">
        <v>10</v>
      </c>
      <c r="G2776" s="3" t="str">
        <f>IF(Sales[[#This Row],[Anggaran Murni]]-Sales[[#This Row],[Target s.d. Januari]]=0,"",Sales[[#This Row],[Anggaran Murni]]-Sales[[#This Row],[Target s.d. Januari]])</f>
        <v/>
      </c>
      <c r="H2776" s="2" t="s">
        <v>70</v>
      </c>
      <c r="I2776" s="3" t="s">
        <v>1</v>
      </c>
      <c r="J2776" s="3">
        <v>40000000</v>
      </c>
      <c r="K2776" s="2" t="s">
        <v>39</v>
      </c>
      <c r="L2776" s="2" t="s">
        <v>5</v>
      </c>
      <c r="M2776" s="4" t="s">
        <v>86</v>
      </c>
      <c r="N2776" s="3" t="s">
        <v>83</v>
      </c>
      <c r="O2776" s="2" t="s">
        <v>14</v>
      </c>
      <c r="P2776" s="10"/>
      <c r="Q2776" s="11"/>
    </row>
    <row r="2777" spans="2:17" ht="21" customHeight="1" x14ac:dyDescent="0.35">
      <c r="B2777" s="18">
        <v>44153</v>
      </c>
      <c r="C2777" s="18" t="str">
        <f>TEXT(Sales[[#This Row],[Kode Program/Kegiatan ]],"D")</f>
        <v>18</v>
      </c>
      <c r="D2777" s="19" t="str">
        <f>TEXT(Sales[[#This Row],[Kode Program/Kegiatan ]],"mmm")</f>
        <v>Nov</v>
      </c>
      <c r="E2777" s="20">
        <v>9</v>
      </c>
      <c r="F2777" s="19">
        <v>9</v>
      </c>
      <c r="G2777" s="20" t="str">
        <f>IF(Sales[[#This Row],[Anggaran Murni]]-Sales[[#This Row],[Target s.d. Januari]]=0,"",Sales[[#This Row],[Anggaran Murni]]-Sales[[#This Row],[Target s.d. Januari]])</f>
        <v/>
      </c>
      <c r="H2777" s="19" t="s">
        <v>70</v>
      </c>
      <c r="I2777" s="20" t="s">
        <v>1</v>
      </c>
      <c r="J2777" s="20">
        <v>80000000</v>
      </c>
      <c r="K2777" s="19" t="s">
        <v>52</v>
      </c>
      <c r="L2777" s="19" t="s">
        <v>5</v>
      </c>
      <c r="M2777" s="21" t="s">
        <v>67</v>
      </c>
      <c r="N2777" s="20" t="s">
        <v>81</v>
      </c>
      <c r="O2777" s="19" t="s">
        <v>12</v>
      </c>
      <c r="P2777" s="10"/>
      <c r="Q2777" s="11"/>
    </row>
    <row r="2778" spans="2:17" ht="21" customHeight="1" x14ac:dyDescent="0.35">
      <c r="B2778" s="1">
        <v>44153</v>
      </c>
      <c r="C2778" s="1" t="str">
        <f>TEXT(Sales[[#This Row],[Kode Program/Kegiatan ]],"D")</f>
        <v>18</v>
      </c>
      <c r="D2778" s="2" t="str">
        <f>TEXT(Sales[[#This Row],[Kode Program/Kegiatan ]],"mmm")</f>
        <v>Nov</v>
      </c>
      <c r="E2778" s="3">
        <v>9</v>
      </c>
      <c r="F2778" s="2">
        <v>9</v>
      </c>
      <c r="G2778" s="3" t="str">
        <f>IF(Sales[[#This Row],[Anggaran Murni]]-Sales[[#This Row],[Target s.d. Januari]]=0,"",Sales[[#This Row],[Anggaran Murni]]-Sales[[#This Row],[Target s.d. Januari]])</f>
        <v/>
      </c>
      <c r="H2778" s="2" t="s">
        <v>114</v>
      </c>
      <c r="I2778" s="3" t="s">
        <v>3</v>
      </c>
      <c r="J2778" s="3">
        <v>140000000</v>
      </c>
      <c r="K2778" s="2" t="s">
        <v>37</v>
      </c>
      <c r="L2778" s="2" t="s">
        <v>7</v>
      </c>
      <c r="M2778" s="4" t="s">
        <v>86</v>
      </c>
      <c r="N2778" s="3" t="s">
        <v>83</v>
      </c>
      <c r="O2778" s="2" t="s">
        <v>11</v>
      </c>
      <c r="P2778" s="10"/>
      <c r="Q2778" s="11"/>
    </row>
    <row r="2779" spans="2:17" ht="21" customHeight="1" x14ac:dyDescent="0.35">
      <c r="B2779" s="18">
        <v>44153</v>
      </c>
      <c r="C2779" s="18" t="str">
        <f>TEXT(Sales[[#This Row],[Kode Program/Kegiatan ]],"D")</f>
        <v>18</v>
      </c>
      <c r="D2779" s="19" t="str">
        <f>TEXT(Sales[[#This Row],[Kode Program/Kegiatan ]],"mmm")</f>
        <v>Nov</v>
      </c>
      <c r="E2779" s="20">
        <v>5</v>
      </c>
      <c r="F2779" s="19">
        <v>5</v>
      </c>
      <c r="G2779" s="20" t="str">
        <f>IF(Sales[[#This Row],[Anggaran Murni]]-Sales[[#This Row],[Target s.d. Januari]]=0,"",Sales[[#This Row],[Anggaran Murni]]-Sales[[#This Row],[Target s.d. Januari]])</f>
        <v/>
      </c>
      <c r="H2779" s="19" t="s">
        <v>76</v>
      </c>
      <c r="I2779" s="20" t="s">
        <v>79</v>
      </c>
      <c r="J2779" s="20">
        <v>60000000</v>
      </c>
      <c r="K2779" s="19" t="s">
        <v>23</v>
      </c>
      <c r="L2779" s="19" t="s">
        <v>9</v>
      </c>
      <c r="M2779" s="21" t="s">
        <v>67</v>
      </c>
      <c r="N2779" s="20" t="s">
        <v>81</v>
      </c>
      <c r="O2779" s="19" t="s">
        <v>11</v>
      </c>
      <c r="P2779" s="10"/>
      <c r="Q2779" s="11"/>
    </row>
    <row r="2780" spans="2:17" ht="21" customHeight="1" x14ac:dyDescent="0.35">
      <c r="B2780" s="1">
        <v>44153</v>
      </c>
      <c r="C2780" s="1" t="str">
        <f>TEXT(Sales[[#This Row],[Kode Program/Kegiatan ]],"D")</f>
        <v>18</v>
      </c>
      <c r="D2780" s="2" t="str">
        <f>TEXT(Sales[[#This Row],[Kode Program/Kegiatan ]],"mmm")</f>
        <v>Nov</v>
      </c>
      <c r="E2780" s="3">
        <v>3</v>
      </c>
      <c r="F2780" s="2">
        <v>3</v>
      </c>
      <c r="G2780" s="3" t="str">
        <f>IF(Sales[[#This Row],[Anggaran Murni]]-Sales[[#This Row],[Target s.d. Januari]]=0,"",Sales[[#This Row],[Anggaran Murni]]-Sales[[#This Row],[Target s.d. Januari]])</f>
        <v/>
      </c>
      <c r="H2780" s="2" t="s">
        <v>114</v>
      </c>
      <c r="I2780" s="3" t="s">
        <v>3</v>
      </c>
      <c r="J2780" s="3">
        <v>100000000</v>
      </c>
      <c r="K2780" s="2" t="s">
        <v>18</v>
      </c>
      <c r="L2780" s="2" t="s">
        <v>5</v>
      </c>
      <c r="M2780" s="4" t="s">
        <v>67</v>
      </c>
      <c r="N2780" s="3" t="s">
        <v>82</v>
      </c>
      <c r="O2780" s="2" t="s">
        <v>13</v>
      </c>
      <c r="P2780" s="10"/>
      <c r="Q2780" s="11"/>
    </row>
    <row r="2781" spans="2:17" ht="21" customHeight="1" x14ac:dyDescent="0.35">
      <c r="B2781" s="18">
        <v>44153</v>
      </c>
      <c r="C2781" s="18" t="str">
        <f>TEXT(Sales[[#This Row],[Kode Program/Kegiatan ]],"D")</f>
        <v>18</v>
      </c>
      <c r="D2781" s="19" t="str">
        <f>TEXT(Sales[[#This Row],[Kode Program/Kegiatan ]],"mmm")</f>
        <v>Nov</v>
      </c>
      <c r="E2781" s="20">
        <v>3</v>
      </c>
      <c r="F2781" s="19">
        <v>3</v>
      </c>
      <c r="G2781" s="20" t="str">
        <f>IF(Sales[[#This Row],[Anggaran Murni]]-Sales[[#This Row],[Target s.d. Januari]]=0,"",Sales[[#This Row],[Anggaran Murni]]-Sales[[#This Row],[Target s.d. Januari]])</f>
        <v/>
      </c>
      <c r="H2781" s="19" t="s">
        <v>73</v>
      </c>
      <c r="I2781" s="20" t="s">
        <v>78</v>
      </c>
      <c r="J2781" s="20">
        <v>60000000</v>
      </c>
      <c r="K2781" s="19" t="s">
        <v>48</v>
      </c>
      <c r="L2781" s="19" t="s">
        <v>7</v>
      </c>
      <c r="M2781" s="21" t="s">
        <v>86</v>
      </c>
      <c r="N2781" s="20" t="s">
        <v>83</v>
      </c>
      <c r="O2781" s="19" t="s">
        <v>12</v>
      </c>
      <c r="P2781" s="10"/>
      <c r="Q2781" s="11"/>
    </row>
    <row r="2782" spans="2:17" ht="21" customHeight="1" x14ac:dyDescent="0.35">
      <c r="B2782" s="1">
        <v>44153</v>
      </c>
      <c r="C2782" s="1" t="str">
        <f>TEXT(Sales[[#This Row],[Kode Program/Kegiatan ]],"D")</f>
        <v>18</v>
      </c>
      <c r="D2782" s="2" t="str">
        <f>TEXT(Sales[[#This Row],[Kode Program/Kegiatan ]],"mmm")</f>
        <v>Nov</v>
      </c>
      <c r="E2782" s="3">
        <v>3</v>
      </c>
      <c r="F2782" s="2">
        <v>3</v>
      </c>
      <c r="G2782" s="3" t="str">
        <f>IF(Sales[[#This Row],[Anggaran Murni]]-Sales[[#This Row],[Target s.d. Januari]]=0,"",Sales[[#This Row],[Anggaran Murni]]-Sales[[#This Row],[Target s.d. Januari]])</f>
        <v/>
      </c>
      <c r="H2782" s="2" t="s">
        <v>73</v>
      </c>
      <c r="I2782" s="3" t="s">
        <v>78</v>
      </c>
      <c r="J2782" s="3">
        <v>40000000</v>
      </c>
      <c r="K2782" s="2" t="s">
        <v>55</v>
      </c>
      <c r="L2782" s="2" t="s">
        <v>8</v>
      </c>
      <c r="M2782" s="4" t="s">
        <v>86</v>
      </c>
      <c r="N2782" s="3" t="s">
        <v>83</v>
      </c>
      <c r="O2782" s="2" t="s">
        <v>14</v>
      </c>
      <c r="P2782" s="10"/>
      <c r="Q2782" s="11"/>
    </row>
    <row r="2783" spans="2:17" ht="21" customHeight="1" x14ac:dyDescent="0.35">
      <c r="B2783" s="18">
        <v>44154</v>
      </c>
      <c r="C2783" s="18" t="str">
        <f>TEXT(Sales[[#This Row],[Kode Program/Kegiatan ]],"D")</f>
        <v>19</v>
      </c>
      <c r="D2783" s="19" t="str">
        <f>TEXT(Sales[[#This Row],[Kode Program/Kegiatan ]],"mmm")</f>
        <v>Nov</v>
      </c>
      <c r="E2783" s="20">
        <v>8</v>
      </c>
      <c r="F2783" s="19">
        <v>8</v>
      </c>
      <c r="G2783" s="20" t="str">
        <f>IF(Sales[[#This Row],[Anggaran Murni]]-Sales[[#This Row],[Target s.d. Januari]]=0,"",Sales[[#This Row],[Anggaran Murni]]-Sales[[#This Row],[Target s.d. Januari]])</f>
        <v/>
      </c>
      <c r="H2783" s="19" t="s">
        <v>75</v>
      </c>
      <c r="I2783" s="20" t="s">
        <v>6</v>
      </c>
      <c r="J2783" s="20">
        <v>100000000</v>
      </c>
      <c r="K2783" s="19" t="s">
        <v>44</v>
      </c>
      <c r="L2783" s="19" t="s">
        <v>5</v>
      </c>
      <c r="M2783" s="21" t="s">
        <v>86</v>
      </c>
      <c r="N2783" s="20" t="s">
        <v>83</v>
      </c>
      <c r="O2783" s="19" t="s">
        <v>13</v>
      </c>
      <c r="P2783" s="10"/>
      <c r="Q2783" s="11"/>
    </row>
    <row r="2784" spans="2:17" ht="21" customHeight="1" x14ac:dyDescent="0.35">
      <c r="B2784" s="1">
        <v>44154</v>
      </c>
      <c r="C2784" s="1" t="str">
        <f>TEXT(Sales[[#This Row],[Kode Program/Kegiatan ]],"D")</f>
        <v>19</v>
      </c>
      <c r="D2784" s="2" t="str">
        <f>TEXT(Sales[[#This Row],[Kode Program/Kegiatan ]],"mmm")</f>
        <v>Nov</v>
      </c>
      <c r="E2784" s="3">
        <v>8</v>
      </c>
      <c r="F2784" s="2">
        <v>8</v>
      </c>
      <c r="G2784" s="3" t="str">
        <f>IF(Sales[[#This Row],[Anggaran Murni]]-Sales[[#This Row],[Target s.d. Januari]]=0,"",Sales[[#This Row],[Anggaran Murni]]-Sales[[#This Row],[Target s.d. Januari]])</f>
        <v/>
      </c>
      <c r="H2784" s="2" t="s">
        <v>70</v>
      </c>
      <c r="I2784" s="3" t="s">
        <v>1</v>
      </c>
      <c r="J2784" s="3">
        <v>60000000</v>
      </c>
      <c r="K2784" s="2" t="s">
        <v>21</v>
      </c>
      <c r="L2784" s="2" t="s">
        <v>2</v>
      </c>
      <c r="M2784" s="4" t="s">
        <v>86</v>
      </c>
      <c r="N2784" s="3" t="s">
        <v>83</v>
      </c>
      <c r="O2784" s="2" t="s">
        <v>14</v>
      </c>
      <c r="P2784" s="10"/>
      <c r="Q2784" s="11"/>
    </row>
    <row r="2785" spans="2:17" ht="21" customHeight="1" x14ac:dyDescent="0.35">
      <c r="B2785" s="18">
        <v>44154</v>
      </c>
      <c r="C2785" s="18" t="str">
        <f>TEXT(Sales[[#This Row],[Kode Program/Kegiatan ]],"D")</f>
        <v>19</v>
      </c>
      <c r="D2785" s="19" t="str">
        <f>TEXT(Sales[[#This Row],[Kode Program/Kegiatan ]],"mmm")</f>
        <v>Nov</v>
      </c>
      <c r="E2785" s="20">
        <v>8</v>
      </c>
      <c r="F2785" s="19">
        <v>8</v>
      </c>
      <c r="G2785" s="20" t="str">
        <f>IF(Sales[[#This Row],[Anggaran Murni]]-Sales[[#This Row],[Target s.d. Januari]]=0,"",Sales[[#This Row],[Anggaran Murni]]-Sales[[#This Row],[Target s.d. Januari]])</f>
        <v/>
      </c>
      <c r="H2785" s="19" t="s">
        <v>73</v>
      </c>
      <c r="I2785" s="20" t="s">
        <v>78</v>
      </c>
      <c r="J2785" s="20">
        <v>40000000</v>
      </c>
      <c r="K2785" s="19" t="s">
        <v>40</v>
      </c>
      <c r="L2785" s="19" t="s">
        <v>2</v>
      </c>
      <c r="M2785" s="21" t="s">
        <v>86</v>
      </c>
      <c r="N2785" s="20" t="s">
        <v>83</v>
      </c>
      <c r="O2785" s="19" t="s">
        <v>11</v>
      </c>
      <c r="P2785" s="10"/>
      <c r="Q2785" s="11"/>
    </row>
    <row r="2786" spans="2:17" ht="21" customHeight="1" x14ac:dyDescent="0.35">
      <c r="B2786" s="1">
        <v>44154</v>
      </c>
      <c r="C2786" s="1" t="str">
        <f>TEXT(Sales[[#This Row],[Kode Program/Kegiatan ]],"D")</f>
        <v>19</v>
      </c>
      <c r="D2786" s="2" t="str">
        <f>TEXT(Sales[[#This Row],[Kode Program/Kegiatan ]],"mmm")</f>
        <v>Nov</v>
      </c>
      <c r="E2786" s="3">
        <v>6</v>
      </c>
      <c r="F2786" s="2">
        <v>6</v>
      </c>
      <c r="G2786" s="3" t="str">
        <f>IF(Sales[[#This Row],[Anggaran Murni]]-Sales[[#This Row],[Target s.d. Januari]]=0,"",Sales[[#This Row],[Anggaran Murni]]-Sales[[#This Row],[Target s.d. Januari]])</f>
        <v/>
      </c>
      <c r="H2786" s="2" t="s">
        <v>71</v>
      </c>
      <c r="I2786" s="3" t="s">
        <v>6</v>
      </c>
      <c r="J2786" s="3">
        <v>120000000</v>
      </c>
      <c r="K2786" s="2" t="s">
        <v>52</v>
      </c>
      <c r="L2786" s="2" t="s">
        <v>5</v>
      </c>
      <c r="M2786" s="4" t="s">
        <v>86</v>
      </c>
      <c r="N2786" s="3" t="s">
        <v>83</v>
      </c>
      <c r="O2786" s="2" t="s">
        <v>14</v>
      </c>
      <c r="P2786" s="10"/>
      <c r="Q2786" s="11"/>
    </row>
    <row r="2787" spans="2:17" ht="21" customHeight="1" x14ac:dyDescent="0.35">
      <c r="B2787" s="18">
        <v>44154</v>
      </c>
      <c r="C2787" s="18" t="str">
        <f>TEXT(Sales[[#This Row],[Kode Program/Kegiatan ]],"D")</f>
        <v>19</v>
      </c>
      <c r="D2787" s="19" t="str">
        <f>TEXT(Sales[[#This Row],[Kode Program/Kegiatan ]],"mmm")</f>
        <v>Nov</v>
      </c>
      <c r="E2787" s="20">
        <v>6</v>
      </c>
      <c r="F2787" s="19">
        <v>6</v>
      </c>
      <c r="G2787" s="20" t="str">
        <f>IF(Sales[[#This Row],[Anggaran Murni]]-Sales[[#This Row],[Target s.d. Januari]]=0,"",Sales[[#This Row],[Anggaran Murni]]-Sales[[#This Row],[Target s.d. Januari]])</f>
        <v/>
      </c>
      <c r="H2787" s="19" t="s">
        <v>75</v>
      </c>
      <c r="I2787" s="20" t="s">
        <v>6</v>
      </c>
      <c r="J2787" s="20">
        <v>120000000</v>
      </c>
      <c r="K2787" s="19" t="s">
        <v>46</v>
      </c>
      <c r="L2787" s="19" t="s">
        <v>7</v>
      </c>
      <c r="M2787" s="21" t="s">
        <v>86</v>
      </c>
      <c r="N2787" s="20" t="s">
        <v>83</v>
      </c>
      <c r="O2787" s="19" t="s">
        <v>14</v>
      </c>
      <c r="P2787" s="10"/>
      <c r="Q2787" s="11"/>
    </row>
    <row r="2788" spans="2:17" ht="21" customHeight="1" x14ac:dyDescent="0.35">
      <c r="B2788" s="1">
        <v>44154</v>
      </c>
      <c r="C2788" s="1" t="str">
        <f>TEXT(Sales[[#This Row],[Kode Program/Kegiatan ]],"D")</f>
        <v>19</v>
      </c>
      <c r="D2788" s="2" t="str">
        <f>TEXT(Sales[[#This Row],[Kode Program/Kegiatan ]],"mmm")</f>
        <v>Nov</v>
      </c>
      <c r="E2788" s="3">
        <v>5</v>
      </c>
      <c r="F2788" s="2">
        <v>5</v>
      </c>
      <c r="G2788" s="3" t="str">
        <f>IF(Sales[[#This Row],[Anggaran Murni]]-Sales[[#This Row],[Target s.d. Januari]]=0,"",Sales[[#This Row],[Anggaran Murni]]-Sales[[#This Row],[Target s.d. Januari]])</f>
        <v/>
      </c>
      <c r="H2788" s="2" t="s">
        <v>114</v>
      </c>
      <c r="I2788" s="3" t="s">
        <v>3</v>
      </c>
      <c r="J2788" s="3">
        <v>100000000</v>
      </c>
      <c r="K2788" s="2" t="s">
        <v>56</v>
      </c>
      <c r="L2788" s="2" t="s">
        <v>4</v>
      </c>
      <c r="M2788" s="4" t="s">
        <v>86</v>
      </c>
      <c r="N2788" s="3" t="s">
        <v>83</v>
      </c>
      <c r="O2788" s="2" t="s">
        <v>13</v>
      </c>
      <c r="P2788" s="10"/>
      <c r="Q2788" s="11"/>
    </row>
    <row r="2789" spans="2:17" ht="21" customHeight="1" x14ac:dyDescent="0.35">
      <c r="B2789" s="18">
        <v>44154</v>
      </c>
      <c r="C2789" s="18" t="str">
        <f>TEXT(Sales[[#This Row],[Kode Program/Kegiatan ]],"D")</f>
        <v>19</v>
      </c>
      <c r="D2789" s="19" t="str">
        <f>TEXT(Sales[[#This Row],[Kode Program/Kegiatan ]],"mmm")</f>
        <v>Nov</v>
      </c>
      <c r="E2789" s="20">
        <v>4</v>
      </c>
      <c r="F2789" s="19">
        <v>4</v>
      </c>
      <c r="G2789" s="20" t="str">
        <f>IF(Sales[[#This Row],[Anggaran Murni]]-Sales[[#This Row],[Target s.d. Januari]]=0,"",Sales[[#This Row],[Anggaran Murni]]-Sales[[#This Row],[Target s.d. Januari]])</f>
        <v/>
      </c>
      <c r="H2789" s="19" t="s">
        <v>73</v>
      </c>
      <c r="I2789" s="20" t="s">
        <v>78</v>
      </c>
      <c r="J2789" s="20">
        <v>80000000</v>
      </c>
      <c r="K2789" s="19" t="s">
        <v>54</v>
      </c>
      <c r="L2789" s="19" t="s">
        <v>2</v>
      </c>
      <c r="M2789" s="21" t="s">
        <v>86</v>
      </c>
      <c r="N2789" s="20" t="s">
        <v>83</v>
      </c>
      <c r="O2789" s="19" t="s">
        <v>11</v>
      </c>
      <c r="P2789" s="10"/>
      <c r="Q2789" s="11"/>
    </row>
    <row r="2790" spans="2:17" ht="21" customHeight="1" x14ac:dyDescent="0.35">
      <c r="B2790" s="1">
        <v>44154</v>
      </c>
      <c r="C2790" s="1" t="str">
        <f>TEXT(Sales[[#This Row],[Kode Program/Kegiatan ]],"D")</f>
        <v>19</v>
      </c>
      <c r="D2790" s="2" t="str">
        <f>TEXT(Sales[[#This Row],[Kode Program/Kegiatan ]],"mmm")</f>
        <v>Nov</v>
      </c>
      <c r="E2790" s="3">
        <v>3</v>
      </c>
      <c r="F2790" s="2">
        <v>3</v>
      </c>
      <c r="G2790" s="3" t="str">
        <f>IF(Sales[[#This Row],[Anggaran Murni]]-Sales[[#This Row],[Target s.d. Januari]]=0,"",Sales[[#This Row],[Anggaran Murni]]-Sales[[#This Row],[Target s.d. Januari]])</f>
        <v/>
      </c>
      <c r="H2790" s="2" t="s">
        <v>114</v>
      </c>
      <c r="I2790" s="3" t="s">
        <v>3</v>
      </c>
      <c r="J2790" s="3">
        <v>140000000</v>
      </c>
      <c r="K2790" s="2" t="s">
        <v>23</v>
      </c>
      <c r="L2790" s="2" t="s">
        <v>2</v>
      </c>
      <c r="M2790" s="4" t="s">
        <v>86</v>
      </c>
      <c r="N2790" s="3" t="s">
        <v>83</v>
      </c>
      <c r="O2790" s="2" t="s">
        <v>13</v>
      </c>
      <c r="P2790" s="10"/>
      <c r="Q2790" s="11"/>
    </row>
    <row r="2791" spans="2:17" ht="21" customHeight="1" x14ac:dyDescent="0.35">
      <c r="B2791" s="18">
        <v>44155</v>
      </c>
      <c r="C2791" s="18" t="str">
        <f>TEXT(Sales[[#This Row],[Kode Program/Kegiatan ]],"D")</f>
        <v>20</v>
      </c>
      <c r="D2791" s="19" t="str">
        <f>TEXT(Sales[[#This Row],[Kode Program/Kegiatan ]],"mmm")</f>
        <v>Nov</v>
      </c>
      <c r="E2791" s="20">
        <v>8</v>
      </c>
      <c r="F2791" s="19">
        <v>8</v>
      </c>
      <c r="G2791" s="20" t="str">
        <f>IF(Sales[[#This Row],[Anggaran Murni]]-Sales[[#This Row],[Target s.d. Januari]]=0,"",Sales[[#This Row],[Anggaran Murni]]-Sales[[#This Row],[Target s.d. Januari]])</f>
        <v/>
      </c>
      <c r="H2791" s="19" t="s">
        <v>71</v>
      </c>
      <c r="I2791" s="20" t="s">
        <v>6</v>
      </c>
      <c r="J2791" s="20">
        <v>120000000</v>
      </c>
      <c r="K2791" s="19" t="s">
        <v>19</v>
      </c>
      <c r="L2791" s="19" t="s">
        <v>7</v>
      </c>
      <c r="M2791" s="21" t="s">
        <v>86</v>
      </c>
      <c r="N2791" s="20" t="s">
        <v>83</v>
      </c>
      <c r="O2791" s="19" t="s">
        <v>11</v>
      </c>
      <c r="P2791" s="10"/>
      <c r="Q2791" s="11"/>
    </row>
    <row r="2792" spans="2:17" ht="21" customHeight="1" x14ac:dyDescent="0.35">
      <c r="B2792" s="1">
        <v>44155</v>
      </c>
      <c r="C2792" s="1" t="str">
        <f>TEXT(Sales[[#This Row],[Kode Program/Kegiatan ]],"D")</f>
        <v>20</v>
      </c>
      <c r="D2792" s="2" t="str">
        <f>TEXT(Sales[[#This Row],[Kode Program/Kegiatan ]],"mmm")</f>
        <v>Nov</v>
      </c>
      <c r="E2792" s="3">
        <v>7</v>
      </c>
      <c r="F2792" s="2">
        <v>7</v>
      </c>
      <c r="G2792" s="3" t="str">
        <f>IF(Sales[[#This Row],[Anggaran Murni]]-Sales[[#This Row],[Target s.d. Januari]]=0,"",Sales[[#This Row],[Anggaran Murni]]-Sales[[#This Row],[Target s.d. Januari]])</f>
        <v/>
      </c>
      <c r="H2792" s="2" t="s">
        <v>76</v>
      </c>
      <c r="I2792" s="3" t="s">
        <v>79</v>
      </c>
      <c r="J2792" s="3">
        <v>120000000</v>
      </c>
      <c r="K2792" s="2" t="s">
        <v>40</v>
      </c>
      <c r="L2792" s="2" t="s">
        <v>4</v>
      </c>
      <c r="M2792" s="4" t="s">
        <v>86</v>
      </c>
      <c r="N2792" s="3" t="s">
        <v>83</v>
      </c>
      <c r="O2792" s="2" t="s">
        <v>14</v>
      </c>
      <c r="P2792" s="10"/>
      <c r="Q2792" s="11"/>
    </row>
    <row r="2793" spans="2:17" ht="21" customHeight="1" x14ac:dyDescent="0.35">
      <c r="B2793" s="18">
        <v>44155</v>
      </c>
      <c r="C2793" s="18" t="str">
        <f>TEXT(Sales[[#This Row],[Kode Program/Kegiatan ]],"D")</f>
        <v>20</v>
      </c>
      <c r="D2793" s="19" t="str">
        <f>TEXT(Sales[[#This Row],[Kode Program/Kegiatan ]],"mmm")</f>
        <v>Nov</v>
      </c>
      <c r="E2793" s="20">
        <v>7</v>
      </c>
      <c r="F2793" s="19">
        <v>7</v>
      </c>
      <c r="G2793" s="20" t="str">
        <f>IF(Sales[[#This Row],[Anggaran Murni]]-Sales[[#This Row],[Target s.d. Januari]]=0,"",Sales[[#This Row],[Anggaran Murni]]-Sales[[#This Row],[Target s.d. Januari]])</f>
        <v/>
      </c>
      <c r="H2793" s="19" t="s">
        <v>73</v>
      </c>
      <c r="I2793" s="20" t="s">
        <v>78</v>
      </c>
      <c r="J2793" s="20">
        <v>100000000</v>
      </c>
      <c r="K2793" s="19" t="s">
        <v>30</v>
      </c>
      <c r="L2793" s="19" t="s">
        <v>5</v>
      </c>
      <c r="M2793" s="21" t="s">
        <v>86</v>
      </c>
      <c r="N2793" s="20" t="s">
        <v>83</v>
      </c>
      <c r="O2793" s="19" t="s">
        <v>12</v>
      </c>
      <c r="P2793" s="10"/>
      <c r="Q2793" s="11"/>
    </row>
    <row r="2794" spans="2:17" ht="21" customHeight="1" x14ac:dyDescent="0.35">
      <c r="B2794" s="1">
        <v>44155</v>
      </c>
      <c r="C2794" s="1" t="str">
        <f>TEXT(Sales[[#This Row],[Kode Program/Kegiatan ]],"D")</f>
        <v>20</v>
      </c>
      <c r="D2794" s="2" t="str">
        <f>TEXT(Sales[[#This Row],[Kode Program/Kegiatan ]],"mmm")</f>
        <v>Nov</v>
      </c>
      <c r="E2794" s="3">
        <v>6</v>
      </c>
      <c r="F2794" s="2">
        <v>6</v>
      </c>
      <c r="G2794" s="3" t="str">
        <f>IF(Sales[[#This Row],[Anggaran Murni]]-Sales[[#This Row],[Target s.d. Januari]]=0,"",Sales[[#This Row],[Anggaran Murni]]-Sales[[#This Row],[Target s.d. Januari]])</f>
        <v/>
      </c>
      <c r="H2794" s="2" t="s">
        <v>75</v>
      </c>
      <c r="I2794" s="3" t="s">
        <v>6</v>
      </c>
      <c r="J2794" s="3">
        <v>60000000</v>
      </c>
      <c r="K2794" s="2" t="s">
        <v>59</v>
      </c>
      <c r="L2794" s="2" t="s">
        <v>2</v>
      </c>
      <c r="M2794" s="4" t="s">
        <v>86</v>
      </c>
      <c r="N2794" s="3" t="s">
        <v>83</v>
      </c>
      <c r="O2794" s="2" t="s">
        <v>13</v>
      </c>
      <c r="P2794" s="10"/>
      <c r="Q2794" s="11"/>
    </row>
    <row r="2795" spans="2:17" ht="21" customHeight="1" x14ac:dyDescent="0.35">
      <c r="B2795" s="18">
        <v>44155</v>
      </c>
      <c r="C2795" s="18" t="str">
        <f>TEXT(Sales[[#This Row],[Kode Program/Kegiatan ]],"D")</f>
        <v>20</v>
      </c>
      <c r="D2795" s="19" t="str">
        <f>TEXT(Sales[[#This Row],[Kode Program/Kegiatan ]],"mmm")</f>
        <v>Nov</v>
      </c>
      <c r="E2795" s="20">
        <v>6</v>
      </c>
      <c r="F2795" s="19">
        <v>6</v>
      </c>
      <c r="G2795" s="20" t="str">
        <f>IF(Sales[[#This Row],[Anggaran Murni]]-Sales[[#This Row],[Target s.d. Januari]]=0,"",Sales[[#This Row],[Anggaran Murni]]-Sales[[#This Row],[Target s.d. Januari]])</f>
        <v/>
      </c>
      <c r="H2795" s="19" t="s">
        <v>72</v>
      </c>
      <c r="I2795" s="20" t="s">
        <v>78</v>
      </c>
      <c r="J2795" s="20">
        <v>100000000</v>
      </c>
      <c r="K2795" s="19" t="s">
        <v>45</v>
      </c>
      <c r="L2795" s="19" t="s">
        <v>5</v>
      </c>
      <c r="M2795" s="21" t="s">
        <v>86</v>
      </c>
      <c r="N2795" s="20" t="s">
        <v>83</v>
      </c>
      <c r="O2795" s="19" t="s">
        <v>13</v>
      </c>
      <c r="P2795" s="10"/>
      <c r="Q2795" s="11"/>
    </row>
    <row r="2796" spans="2:17" ht="21" customHeight="1" x14ac:dyDescent="0.35">
      <c r="B2796" s="1">
        <v>44155</v>
      </c>
      <c r="C2796" s="1" t="str">
        <f>TEXT(Sales[[#This Row],[Kode Program/Kegiatan ]],"D")</f>
        <v>20</v>
      </c>
      <c r="D2796" s="2" t="str">
        <f>TEXT(Sales[[#This Row],[Kode Program/Kegiatan ]],"mmm")</f>
        <v>Nov</v>
      </c>
      <c r="E2796" s="3">
        <v>6</v>
      </c>
      <c r="F2796" s="2">
        <v>6</v>
      </c>
      <c r="G2796" s="3" t="str">
        <f>IF(Sales[[#This Row],[Anggaran Murni]]-Sales[[#This Row],[Target s.d. Januari]]=0,"",Sales[[#This Row],[Anggaran Murni]]-Sales[[#This Row],[Target s.d. Januari]])</f>
        <v/>
      </c>
      <c r="H2796" s="2" t="s">
        <v>114</v>
      </c>
      <c r="I2796" s="3" t="s">
        <v>3</v>
      </c>
      <c r="J2796" s="3">
        <v>120000000</v>
      </c>
      <c r="K2796" s="2" t="s">
        <v>46</v>
      </c>
      <c r="L2796" s="2" t="s">
        <v>5</v>
      </c>
      <c r="M2796" s="4" t="s">
        <v>86</v>
      </c>
      <c r="N2796" s="3" t="s">
        <v>83</v>
      </c>
      <c r="O2796" s="2" t="s">
        <v>14</v>
      </c>
      <c r="P2796" s="10"/>
      <c r="Q2796" s="11"/>
    </row>
    <row r="2797" spans="2:17" ht="21" customHeight="1" x14ac:dyDescent="0.35">
      <c r="B2797" s="18">
        <v>44155</v>
      </c>
      <c r="C2797" s="18" t="str">
        <f>TEXT(Sales[[#This Row],[Kode Program/Kegiatan ]],"D")</f>
        <v>20</v>
      </c>
      <c r="D2797" s="19" t="str">
        <f>TEXT(Sales[[#This Row],[Kode Program/Kegiatan ]],"mmm")</f>
        <v>Nov</v>
      </c>
      <c r="E2797" s="20">
        <v>3</v>
      </c>
      <c r="F2797" s="19">
        <v>3</v>
      </c>
      <c r="G2797" s="20" t="str">
        <f>IF(Sales[[#This Row],[Anggaran Murni]]-Sales[[#This Row],[Target s.d. Januari]]=0,"",Sales[[#This Row],[Anggaran Murni]]-Sales[[#This Row],[Target s.d. Januari]])</f>
        <v/>
      </c>
      <c r="H2797" s="19" t="s">
        <v>74</v>
      </c>
      <c r="I2797" s="20" t="s">
        <v>77</v>
      </c>
      <c r="J2797" s="20">
        <v>120000000</v>
      </c>
      <c r="K2797" s="19" t="s">
        <v>41</v>
      </c>
      <c r="L2797" s="19" t="s">
        <v>7</v>
      </c>
      <c r="M2797" s="21" t="s">
        <v>86</v>
      </c>
      <c r="N2797" s="20" t="s">
        <v>83</v>
      </c>
      <c r="O2797" s="19" t="s">
        <v>13</v>
      </c>
      <c r="P2797" s="10"/>
      <c r="Q2797" s="11"/>
    </row>
    <row r="2798" spans="2:17" ht="21" customHeight="1" x14ac:dyDescent="0.35">
      <c r="B2798" s="1">
        <v>44156</v>
      </c>
      <c r="C2798" s="1" t="str">
        <f>TEXT(Sales[[#This Row],[Kode Program/Kegiatan ]],"D")</f>
        <v>21</v>
      </c>
      <c r="D2798" s="2" t="str">
        <f>TEXT(Sales[[#This Row],[Kode Program/Kegiatan ]],"mmm")</f>
        <v>Nov</v>
      </c>
      <c r="E2798" s="3">
        <v>10</v>
      </c>
      <c r="F2798" s="2">
        <v>10</v>
      </c>
      <c r="G2798" s="3" t="str">
        <f>IF(Sales[[#This Row],[Anggaran Murni]]-Sales[[#This Row],[Target s.d. Januari]]=0,"",Sales[[#This Row],[Anggaran Murni]]-Sales[[#This Row],[Target s.d. Januari]])</f>
        <v/>
      </c>
      <c r="H2798" s="2" t="s">
        <v>74</v>
      </c>
      <c r="I2798" s="3" t="s">
        <v>77</v>
      </c>
      <c r="J2798" s="3">
        <v>60000000</v>
      </c>
      <c r="K2798" s="2" t="s">
        <v>60</v>
      </c>
      <c r="L2798" s="2" t="s">
        <v>5</v>
      </c>
      <c r="M2798" s="4" t="s">
        <v>86</v>
      </c>
      <c r="N2798" s="3" t="s">
        <v>83</v>
      </c>
      <c r="O2798" s="2" t="s">
        <v>13</v>
      </c>
      <c r="P2798" s="10"/>
      <c r="Q2798" s="11"/>
    </row>
    <row r="2799" spans="2:17" ht="21" customHeight="1" x14ac:dyDescent="0.35">
      <c r="B2799" s="18">
        <v>44156</v>
      </c>
      <c r="C2799" s="18" t="str">
        <f>TEXT(Sales[[#This Row],[Kode Program/Kegiatan ]],"D")</f>
        <v>21</v>
      </c>
      <c r="D2799" s="19" t="str">
        <f>TEXT(Sales[[#This Row],[Kode Program/Kegiatan ]],"mmm")</f>
        <v>Nov</v>
      </c>
      <c r="E2799" s="20">
        <v>10</v>
      </c>
      <c r="F2799" s="19">
        <v>10</v>
      </c>
      <c r="G2799" s="20" t="str">
        <f>IF(Sales[[#This Row],[Anggaran Murni]]-Sales[[#This Row],[Target s.d. Januari]]=0,"",Sales[[#This Row],[Anggaran Murni]]-Sales[[#This Row],[Target s.d. Januari]])</f>
        <v/>
      </c>
      <c r="H2799" s="19" t="s">
        <v>70</v>
      </c>
      <c r="I2799" s="20" t="s">
        <v>1</v>
      </c>
      <c r="J2799" s="20">
        <v>100000000</v>
      </c>
      <c r="K2799" s="19" t="s">
        <v>35</v>
      </c>
      <c r="L2799" s="19" t="s">
        <v>4</v>
      </c>
      <c r="M2799" s="21" t="s">
        <v>86</v>
      </c>
      <c r="N2799" s="20" t="s">
        <v>83</v>
      </c>
      <c r="O2799" s="19" t="s">
        <v>11</v>
      </c>
      <c r="P2799" s="10"/>
      <c r="Q2799" s="11"/>
    </row>
    <row r="2800" spans="2:17" ht="21" customHeight="1" x14ac:dyDescent="0.35">
      <c r="B2800" s="1">
        <v>44156</v>
      </c>
      <c r="C2800" s="1" t="str">
        <f>TEXT(Sales[[#This Row],[Kode Program/Kegiatan ]],"D")</f>
        <v>21</v>
      </c>
      <c r="D2800" s="2" t="str">
        <f>TEXT(Sales[[#This Row],[Kode Program/Kegiatan ]],"mmm")</f>
        <v>Nov</v>
      </c>
      <c r="E2800" s="3">
        <v>10</v>
      </c>
      <c r="F2800" s="2">
        <v>10</v>
      </c>
      <c r="G2800" s="3" t="str">
        <f>IF(Sales[[#This Row],[Anggaran Murni]]-Sales[[#This Row],[Target s.d. Januari]]=0,"",Sales[[#This Row],[Anggaran Murni]]-Sales[[#This Row],[Target s.d. Januari]])</f>
        <v/>
      </c>
      <c r="H2800" s="2" t="s">
        <v>70</v>
      </c>
      <c r="I2800" s="3" t="s">
        <v>1</v>
      </c>
      <c r="J2800" s="3">
        <v>40000000</v>
      </c>
      <c r="K2800" s="2" t="s">
        <v>30</v>
      </c>
      <c r="L2800" s="2" t="s">
        <v>5</v>
      </c>
      <c r="M2800" s="4" t="s">
        <v>86</v>
      </c>
      <c r="N2800" s="3" t="s">
        <v>83</v>
      </c>
      <c r="O2800" s="2" t="s">
        <v>12</v>
      </c>
      <c r="P2800" s="10"/>
      <c r="Q2800" s="11"/>
    </row>
    <row r="2801" spans="2:17" ht="21" customHeight="1" x14ac:dyDescent="0.35">
      <c r="B2801" s="18">
        <v>44156</v>
      </c>
      <c r="C2801" s="18" t="str">
        <f>TEXT(Sales[[#This Row],[Kode Program/Kegiatan ]],"D")</f>
        <v>21</v>
      </c>
      <c r="D2801" s="19" t="str">
        <f>TEXT(Sales[[#This Row],[Kode Program/Kegiatan ]],"mmm")</f>
        <v>Nov</v>
      </c>
      <c r="E2801" s="20">
        <v>10</v>
      </c>
      <c r="F2801" s="19">
        <v>10</v>
      </c>
      <c r="G2801" s="20" t="str">
        <f>IF(Sales[[#This Row],[Anggaran Murni]]-Sales[[#This Row],[Target s.d. Januari]]=0,"",Sales[[#This Row],[Anggaran Murni]]-Sales[[#This Row],[Target s.d. Januari]])</f>
        <v/>
      </c>
      <c r="H2801" s="19" t="s">
        <v>72</v>
      </c>
      <c r="I2801" s="20" t="s">
        <v>78</v>
      </c>
      <c r="J2801" s="20">
        <v>80000000</v>
      </c>
      <c r="K2801" s="19" t="s">
        <v>20</v>
      </c>
      <c r="L2801" s="19" t="s">
        <v>2</v>
      </c>
      <c r="M2801" s="21" t="s">
        <v>86</v>
      </c>
      <c r="N2801" s="20" t="s">
        <v>83</v>
      </c>
      <c r="O2801" s="19" t="s">
        <v>11</v>
      </c>
      <c r="P2801" s="10"/>
      <c r="Q2801" s="11"/>
    </row>
    <row r="2802" spans="2:17" ht="21" customHeight="1" x14ac:dyDescent="0.35">
      <c r="B2802" s="1">
        <v>44156</v>
      </c>
      <c r="C2802" s="1" t="str">
        <f>TEXT(Sales[[#This Row],[Kode Program/Kegiatan ]],"D")</f>
        <v>21</v>
      </c>
      <c r="D2802" s="2" t="str">
        <f>TEXT(Sales[[#This Row],[Kode Program/Kegiatan ]],"mmm")</f>
        <v>Nov</v>
      </c>
      <c r="E2802" s="3">
        <v>9</v>
      </c>
      <c r="F2802" s="2">
        <v>9</v>
      </c>
      <c r="G2802" s="3" t="str">
        <f>IF(Sales[[#This Row],[Anggaran Murni]]-Sales[[#This Row],[Target s.d. Januari]]=0,"",Sales[[#This Row],[Anggaran Murni]]-Sales[[#This Row],[Target s.d. Januari]])</f>
        <v/>
      </c>
      <c r="H2802" s="2" t="s">
        <v>76</v>
      </c>
      <c r="I2802" s="3" t="s">
        <v>79</v>
      </c>
      <c r="J2802" s="3">
        <v>40000000</v>
      </c>
      <c r="K2802" s="2" t="s">
        <v>44</v>
      </c>
      <c r="L2802" s="2" t="s">
        <v>2</v>
      </c>
      <c r="M2802" s="4" t="s">
        <v>86</v>
      </c>
      <c r="N2802" s="3" t="s">
        <v>83</v>
      </c>
      <c r="O2802" s="2" t="s">
        <v>11</v>
      </c>
      <c r="P2802" s="10"/>
      <c r="Q2802" s="11"/>
    </row>
    <row r="2803" spans="2:17" ht="21" customHeight="1" x14ac:dyDescent="0.35">
      <c r="B2803" s="18">
        <v>44156</v>
      </c>
      <c r="C2803" s="18" t="str">
        <f>TEXT(Sales[[#This Row],[Kode Program/Kegiatan ]],"D")</f>
        <v>21</v>
      </c>
      <c r="D2803" s="19" t="str">
        <f>TEXT(Sales[[#This Row],[Kode Program/Kegiatan ]],"mmm")</f>
        <v>Nov</v>
      </c>
      <c r="E2803" s="20">
        <v>8</v>
      </c>
      <c r="F2803" s="19">
        <v>8</v>
      </c>
      <c r="G2803" s="20" t="str">
        <f>IF(Sales[[#This Row],[Anggaran Murni]]-Sales[[#This Row],[Target s.d. Januari]]=0,"",Sales[[#This Row],[Anggaran Murni]]-Sales[[#This Row],[Target s.d. Januari]])</f>
        <v/>
      </c>
      <c r="H2803" s="19" t="s">
        <v>71</v>
      </c>
      <c r="I2803" s="20" t="s">
        <v>6</v>
      </c>
      <c r="J2803" s="20">
        <v>60000000</v>
      </c>
      <c r="K2803" s="19" t="s">
        <v>25</v>
      </c>
      <c r="L2803" s="19" t="s">
        <v>2</v>
      </c>
      <c r="M2803" s="21" t="s">
        <v>86</v>
      </c>
      <c r="N2803" s="20" t="s">
        <v>83</v>
      </c>
      <c r="O2803" s="19" t="s">
        <v>12</v>
      </c>
      <c r="P2803" s="10"/>
      <c r="Q2803" s="11"/>
    </row>
    <row r="2804" spans="2:17" ht="21" customHeight="1" x14ac:dyDescent="0.35">
      <c r="B2804" s="1">
        <v>44156</v>
      </c>
      <c r="C2804" s="1" t="str">
        <f>TEXT(Sales[[#This Row],[Kode Program/Kegiatan ]],"D")</f>
        <v>21</v>
      </c>
      <c r="D2804" s="2" t="str">
        <f>TEXT(Sales[[#This Row],[Kode Program/Kegiatan ]],"mmm")</f>
        <v>Nov</v>
      </c>
      <c r="E2804" s="3">
        <v>7</v>
      </c>
      <c r="F2804" s="2">
        <v>7</v>
      </c>
      <c r="G2804" s="3" t="str">
        <f>IF(Sales[[#This Row],[Anggaran Murni]]-Sales[[#This Row],[Target s.d. Januari]]=0,"",Sales[[#This Row],[Anggaran Murni]]-Sales[[#This Row],[Target s.d. Januari]])</f>
        <v/>
      </c>
      <c r="H2804" s="2" t="s">
        <v>75</v>
      </c>
      <c r="I2804" s="3" t="s">
        <v>6</v>
      </c>
      <c r="J2804" s="3">
        <v>120000000</v>
      </c>
      <c r="K2804" s="2" t="s">
        <v>22</v>
      </c>
      <c r="L2804" s="2" t="s">
        <v>5</v>
      </c>
      <c r="M2804" s="4" t="s">
        <v>86</v>
      </c>
      <c r="N2804" s="3" t="s">
        <v>83</v>
      </c>
      <c r="O2804" s="2" t="s">
        <v>14</v>
      </c>
      <c r="P2804" s="10"/>
      <c r="Q2804" s="11"/>
    </row>
    <row r="2805" spans="2:17" ht="21" customHeight="1" x14ac:dyDescent="0.35">
      <c r="B2805" s="18">
        <v>44156</v>
      </c>
      <c r="C2805" s="18" t="str">
        <f>TEXT(Sales[[#This Row],[Kode Program/Kegiatan ]],"D")</f>
        <v>21</v>
      </c>
      <c r="D2805" s="19" t="str">
        <f>TEXT(Sales[[#This Row],[Kode Program/Kegiatan ]],"mmm")</f>
        <v>Nov</v>
      </c>
      <c r="E2805" s="20">
        <v>7</v>
      </c>
      <c r="F2805" s="19">
        <v>7</v>
      </c>
      <c r="G2805" s="20" t="str">
        <f>IF(Sales[[#This Row],[Anggaran Murni]]-Sales[[#This Row],[Target s.d. Januari]]=0,"",Sales[[#This Row],[Anggaran Murni]]-Sales[[#This Row],[Target s.d. Januari]])</f>
        <v/>
      </c>
      <c r="H2805" s="19" t="s">
        <v>113</v>
      </c>
      <c r="I2805" s="20" t="s">
        <v>77</v>
      </c>
      <c r="J2805" s="20">
        <v>140000000</v>
      </c>
      <c r="K2805" s="19" t="s">
        <v>64</v>
      </c>
      <c r="L2805" s="19" t="s">
        <v>5</v>
      </c>
      <c r="M2805" s="21" t="s">
        <v>86</v>
      </c>
      <c r="N2805" s="20" t="s">
        <v>83</v>
      </c>
      <c r="O2805" s="19" t="s">
        <v>12</v>
      </c>
      <c r="P2805" s="10"/>
      <c r="Q2805" s="11"/>
    </row>
    <row r="2806" spans="2:17" ht="21" customHeight="1" x14ac:dyDescent="0.35">
      <c r="B2806" s="1">
        <v>44156</v>
      </c>
      <c r="C2806" s="1" t="str">
        <f>TEXT(Sales[[#This Row],[Kode Program/Kegiatan ]],"D")</f>
        <v>21</v>
      </c>
      <c r="D2806" s="2" t="str">
        <f>TEXT(Sales[[#This Row],[Kode Program/Kegiatan ]],"mmm")</f>
        <v>Nov</v>
      </c>
      <c r="E2806" s="3">
        <v>7</v>
      </c>
      <c r="F2806" s="2">
        <v>7</v>
      </c>
      <c r="G2806" s="3" t="str">
        <f>IF(Sales[[#This Row],[Anggaran Murni]]-Sales[[#This Row],[Target s.d. Januari]]=0,"",Sales[[#This Row],[Anggaran Murni]]-Sales[[#This Row],[Target s.d. Januari]])</f>
        <v/>
      </c>
      <c r="H2806" s="2" t="s">
        <v>113</v>
      </c>
      <c r="I2806" s="3" t="s">
        <v>77</v>
      </c>
      <c r="J2806" s="3">
        <v>40000000</v>
      </c>
      <c r="K2806" s="2" t="s">
        <v>50</v>
      </c>
      <c r="L2806" s="2" t="s">
        <v>2</v>
      </c>
      <c r="M2806" s="4" t="s">
        <v>86</v>
      </c>
      <c r="N2806" s="3" t="s">
        <v>83</v>
      </c>
      <c r="O2806" s="2" t="s">
        <v>14</v>
      </c>
      <c r="P2806" s="10"/>
      <c r="Q2806" s="11"/>
    </row>
    <row r="2807" spans="2:17" ht="21" customHeight="1" x14ac:dyDescent="0.35">
      <c r="B2807" s="18">
        <v>44156</v>
      </c>
      <c r="C2807" s="18" t="str">
        <f>TEXT(Sales[[#This Row],[Kode Program/Kegiatan ]],"D")</f>
        <v>21</v>
      </c>
      <c r="D2807" s="19" t="str">
        <f>TEXT(Sales[[#This Row],[Kode Program/Kegiatan ]],"mmm")</f>
        <v>Nov</v>
      </c>
      <c r="E2807" s="20">
        <v>6</v>
      </c>
      <c r="F2807" s="19">
        <v>6</v>
      </c>
      <c r="G2807" s="20" t="str">
        <f>IF(Sales[[#This Row],[Anggaran Murni]]-Sales[[#This Row],[Target s.d. Januari]]=0,"",Sales[[#This Row],[Anggaran Murni]]-Sales[[#This Row],[Target s.d. Januari]])</f>
        <v/>
      </c>
      <c r="H2807" s="19" t="s">
        <v>73</v>
      </c>
      <c r="I2807" s="20" t="s">
        <v>78</v>
      </c>
      <c r="J2807" s="20">
        <v>40000000</v>
      </c>
      <c r="K2807" s="19" t="s">
        <v>64</v>
      </c>
      <c r="L2807" s="19" t="s">
        <v>2</v>
      </c>
      <c r="M2807" s="21" t="s">
        <v>86</v>
      </c>
      <c r="N2807" s="20" t="s">
        <v>83</v>
      </c>
      <c r="O2807" s="19" t="s">
        <v>13</v>
      </c>
      <c r="P2807" s="10"/>
      <c r="Q2807" s="11"/>
    </row>
    <row r="2808" spans="2:17" ht="21" customHeight="1" x14ac:dyDescent="0.35">
      <c r="B2808" s="1">
        <v>44156</v>
      </c>
      <c r="C2808" s="1" t="str">
        <f>TEXT(Sales[[#This Row],[Kode Program/Kegiatan ]],"D")</f>
        <v>21</v>
      </c>
      <c r="D2808" s="2" t="str">
        <f>TEXT(Sales[[#This Row],[Kode Program/Kegiatan ]],"mmm")</f>
        <v>Nov</v>
      </c>
      <c r="E2808" s="3">
        <v>4</v>
      </c>
      <c r="F2808" s="2">
        <v>4</v>
      </c>
      <c r="G2808" s="3" t="str">
        <f>IF(Sales[[#This Row],[Anggaran Murni]]-Sales[[#This Row],[Target s.d. Januari]]=0,"",Sales[[#This Row],[Anggaran Murni]]-Sales[[#This Row],[Target s.d. Januari]])</f>
        <v/>
      </c>
      <c r="H2808" s="2" t="s">
        <v>73</v>
      </c>
      <c r="I2808" s="3" t="s">
        <v>78</v>
      </c>
      <c r="J2808" s="3">
        <v>100000000</v>
      </c>
      <c r="K2808" s="2" t="s">
        <v>55</v>
      </c>
      <c r="L2808" s="2" t="s">
        <v>2</v>
      </c>
      <c r="M2808" s="4" t="s">
        <v>86</v>
      </c>
      <c r="N2808" s="3" t="s">
        <v>83</v>
      </c>
      <c r="O2808" s="2" t="s">
        <v>14</v>
      </c>
      <c r="P2808" s="10"/>
      <c r="Q2808" s="11"/>
    </row>
    <row r="2809" spans="2:17" ht="21" customHeight="1" x14ac:dyDescent="0.35">
      <c r="B2809" s="18">
        <v>44156</v>
      </c>
      <c r="C2809" s="18" t="str">
        <f>TEXT(Sales[[#This Row],[Kode Program/Kegiatan ]],"D")</f>
        <v>21</v>
      </c>
      <c r="D2809" s="19" t="str">
        <f>TEXT(Sales[[#This Row],[Kode Program/Kegiatan ]],"mmm")</f>
        <v>Nov</v>
      </c>
      <c r="E2809" s="20">
        <v>4</v>
      </c>
      <c r="F2809" s="19">
        <v>4</v>
      </c>
      <c r="G2809" s="20" t="str">
        <f>IF(Sales[[#This Row],[Anggaran Murni]]-Sales[[#This Row],[Target s.d. Januari]]=0,"",Sales[[#This Row],[Anggaran Murni]]-Sales[[#This Row],[Target s.d. Januari]])</f>
        <v/>
      </c>
      <c r="H2809" s="19" t="s">
        <v>74</v>
      </c>
      <c r="I2809" s="20" t="s">
        <v>77</v>
      </c>
      <c r="J2809" s="20">
        <v>100000000</v>
      </c>
      <c r="K2809" s="19" t="s">
        <v>64</v>
      </c>
      <c r="L2809" s="19" t="s">
        <v>7</v>
      </c>
      <c r="M2809" s="21" t="s">
        <v>86</v>
      </c>
      <c r="N2809" s="20" t="s">
        <v>83</v>
      </c>
      <c r="O2809" s="19" t="s">
        <v>12</v>
      </c>
      <c r="P2809" s="10"/>
      <c r="Q2809" s="11"/>
    </row>
    <row r="2810" spans="2:17" ht="21" customHeight="1" x14ac:dyDescent="0.35">
      <c r="B2810" s="1">
        <v>44156</v>
      </c>
      <c r="C2810" s="1" t="str">
        <f>TEXT(Sales[[#This Row],[Kode Program/Kegiatan ]],"D")</f>
        <v>21</v>
      </c>
      <c r="D2810" s="2" t="str">
        <f>TEXT(Sales[[#This Row],[Kode Program/Kegiatan ]],"mmm")</f>
        <v>Nov</v>
      </c>
      <c r="E2810" s="3">
        <v>4</v>
      </c>
      <c r="F2810" s="2">
        <v>4</v>
      </c>
      <c r="G2810" s="3" t="str">
        <f>IF(Sales[[#This Row],[Anggaran Murni]]-Sales[[#This Row],[Target s.d. Januari]]=0,"",Sales[[#This Row],[Anggaran Murni]]-Sales[[#This Row],[Target s.d. Januari]])</f>
        <v/>
      </c>
      <c r="H2810" s="2" t="s">
        <v>74</v>
      </c>
      <c r="I2810" s="3" t="s">
        <v>77</v>
      </c>
      <c r="J2810" s="3">
        <v>100000000</v>
      </c>
      <c r="K2810" s="2" t="s">
        <v>45</v>
      </c>
      <c r="L2810" s="2" t="s">
        <v>5</v>
      </c>
      <c r="M2810" s="4" t="s">
        <v>86</v>
      </c>
      <c r="N2810" s="3" t="s">
        <v>83</v>
      </c>
      <c r="O2810" s="2" t="s">
        <v>14</v>
      </c>
      <c r="P2810" s="10"/>
      <c r="Q2810" s="11"/>
    </row>
    <row r="2811" spans="2:17" ht="21" customHeight="1" x14ac:dyDescent="0.35">
      <c r="B2811" s="18">
        <v>44157</v>
      </c>
      <c r="C2811" s="18" t="str">
        <f>TEXT(Sales[[#This Row],[Kode Program/Kegiatan ]],"D")</f>
        <v>22</v>
      </c>
      <c r="D2811" s="19" t="str">
        <f>TEXT(Sales[[#This Row],[Kode Program/Kegiatan ]],"mmm")</f>
        <v>Nov</v>
      </c>
      <c r="E2811" s="20">
        <v>10</v>
      </c>
      <c r="F2811" s="19">
        <v>10</v>
      </c>
      <c r="G2811" s="20" t="str">
        <f>IF(Sales[[#This Row],[Anggaran Murni]]-Sales[[#This Row],[Target s.d. Januari]]=0,"",Sales[[#This Row],[Anggaran Murni]]-Sales[[#This Row],[Target s.d. Januari]])</f>
        <v/>
      </c>
      <c r="H2811" s="19" t="s">
        <v>71</v>
      </c>
      <c r="I2811" s="20" t="s">
        <v>6</v>
      </c>
      <c r="J2811" s="20">
        <v>40000000</v>
      </c>
      <c r="K2811" s="19" t="s">
        <v>49</v>
      </c>
      <c r="L2811" s="19" t="s">
        <v>8</v>
      </c>
      <c r="M2811" s="21" t="s">
        <v>86</v>
      </c>
      <c r="N2811" s="20" t="s">
        <v>83</v>
      </c>
      <c r="O2811" s="19" t="s">
        <v>12</v>
      </c>
      <c r="P2811" s="10"/>
      <c r="Q2811" s="11"/>
    </row>
    <row r="2812" spans="2:17" ht="21" customHeight="1" x14ac:dyDescent="0.35">
      <c r="B2812" s="1">
        <v>44157</v>
      </c>
      <c r="C2812" s="1" t="str">
        <f>TEXT(Sales[[#This Row],[Kode Program/Kegiatan ]],"D")</f>
        <v>22</v>
      </c>
      <c r="D2812" s="2" t="str">
        <f>TEXT(Sales[[#This Row],[Kode Program/Kegiatan ]],"mmm")</f>
        <v>Nov</v>
      </c>
      <c r="E2812" s="3">
        <v>8</v>
      </c>
      <c r="F2812" s="2">
        <v>8</v>
      </c>
      <c r="G2812" s="3" t="str">
        <f>IF(Sales[[#This Row],[Anggaran Murni]]-Sales[[#This Row],[Target s.d. Januari]]=0,"",Sales[[#This Row],[Anggaran Murni]]-Sales[[#This Row],[Target s.d. Januari]])</f>
        <v/>
      </c>
      <c r="H2812" s="2" t="s">
        <v>76</v>
      </c>
      <c r="I2812" s="3" t="s">
        <v>79</v>
      </c>
      <c r="J2812" s="3">
        <v>80000000</v>
      </c>
      <c r="K2812" s="2" t="s">
        <v>38</v>
      </c>
      <c r="L2812" s="2" t="s">
        <v>5</v>
      </c>
      <c r="M2812" s="4" t="s">
        <v>86</v>
      </c>
      <c r="N2812" s="3" t="s">
        <v>83</v>
      </c>
      <c r="O2812" s="2" t="s">
        <v>13</v>
      </c>
      <c r="P2812" s="10"/>
      <c r="Q2812" s="11"/>
    </row>
    <row r="2813" spans="2:17" ht="21" customHeight="1" x14ac:dyDescent="0.35">
      <c r="B2813" s="18">
        <v>44157</v>
      </c>
      <c r="C2813" s="18" t="str">
        <f>TEXT(Sales[[#This Row],[Kode Program/Kegiatan ]],"D")</f>
        <v>22</v>
      </c>
      <c r="D2813" s="19" t="str">
        <f>TEXT(Sales[[#This Row],[Kode Program/Kegiatan ]],"mmm")</f>
        <v>Nov</v>
      </c>
      <c r="E2813" s="20">
        <v>6</v>
      </c>
      <c r="F2813" s="19">
        <v>6</v>
      </c>
      <c r="G2813" s="20" t="str">
        <f>IF(Sales[[#This Row],[Anggaran Murni]]-Sales[[#This Row],[Target s.d. Januari]]=0,"",Sales[[#This Row],[Anggaran Murni]]-Sales[[#This Row],[Target s.d. Januari]])</f>
        <v/>
      </c>
      <c r="H2813" s="19" t="s">
        <v>74</v>
      </c>
      <c r="I2813" s="20" t="s">
        <v>77</v>
      </c>
      <c r="J2813" s="20">
        <v>120000000</v>
      </c>
      <c r="K2813" s="19" t="s">
        <v>32</v>
      </c>
      <c r="L2813" s="19" t="s">
        <v>5</v>
      </c>
      <c r="M2813" s="21" t="s">
        <v>86</v>
      </c>
      <c r="N2813" s="20" t="s">
        <v>83</v>
      </c>
      <c r="O2813" s="19" t="s">
        <v>11</v>
      </c>
      <c r="P2813" s="10"/>
      <c r="Q2813" s="11"/>
    </row>
    <row r="2814" spans="2:17" ht="21" customHeight="1" x14ac:dyDescent="0.35">
      <c r="B2814" s="1">
        <v>44157</v>
      </c>
      <c r="C2814" s="1" t="str">
        <f>TEXT(Sales[[#This Row],[Kode Program/Kegiatan ]],"D")</f>
        <v>22</v>
      </c>
      <c r="D2814" s="2" t="str">
        <f>TEXT(Sales[[#This Row],[Kode Program/Kegiatan ]],"mmm")</f>
        <v>Nov</v>
      </c>
      <c r="E2814" s="3">
        <v>6</v>
      </c>
      <c r="F2814" s="2">
        <v>6</v>
      </c>
      <c r="G2814" s="3" t="str">
        <f>IF(Sales[[#This Row],[Anggaran Murni]]-Sales[[#This Row],[Target s.d. Januari]]=0,"",Sales[[#This Row],[Anggaran Murni]]-Sales[[#This Row],[Target s.d. Januari]])</f>
        <v/>
      </c>
      <c r="H2814" s="2" t="s">
        <v>73</v>
      </c>
      <c r="I2814" s="3" t="s">
        <v>78</v>
      </c>
      <c r="J2814" s="3">
        <v>80000000</v>
      </c>
      <c r="K2814" s="2" t="s">
        <v>48</v>
      </c>
      <c r="L2814" s="2" t="s">
        <v>2</v>
      </c>
      <c r="M2814" s="4" t="s">
        <v>86</v>
      </c>
      <c r="N2814" s="3" t="s">
        <v>83</v>
      </c>
      <c r="O2814" s="2" t="s">
        <v>14</v>
      </c>
      <c r="P2814" s="10"/>
      <c r="Q2814" s="11"/>
    </row>
    <row r="2815" spans="2:17" ht="21" customHeight="1" x14ac:dyDescent="0.35">
      <c r="B2815" s="18">
        <v>44157</v>
      </c>
      <c r="C2815" s="18" t="str">
        <f>TEXT(Sales[[#This Row],[Kode Program/Kegiatan ]],"D")</f>
        <v>22</v>
      </c>
      <c r="D2815" s="19" t="str">
        <f>TEXT(Sales[[#This Row],[Kode Program/Kegiatan ]],"mmm")</f>
        <v>Nov</v>
      </c>
      <c r="E2815" s="20">
        <v>6</v>
      </c>
      <c r="F2815" s="19">
        <v>6</v>
      </c>
      <c r="G2815" s="20" t="str">
        <f>IF(Sales[[#This Row],[Anggaran Murni]]-Sales[[#This Row],[Target s.d. Januari]]=0,"",Sales[[#This Row],[Anggaran Murni]]-Sales[[#This Row],[Target s.d. Januari]])</f>
        <v/>
      </c>
      <c r="H2815" s="19" t="s">
        <v>73</v>
      </c>
      <c r="I2815" s="20" t="s">
        <v>78</v>
      </c>
      <c r="J2815" s="20">
        <v>80000000</v>
      </c>
      <c r="K2815" s="19" t="s">
        <v>55</v>
      </c>
      <c r="L2815" s="19" t="s">
        <v>2</v>
      </c>
      <c r="M2815" s="21" t="s">
        <v>86</v>
      </c>
      <c r="N2815" s="20" t="s">
        <v>83</v>
      </c>
      <c r="O2815" s="19" t="s">
        <v>13</v>
      </c>
      <c r="P2815" s="10"/>
      <c r="Q2815" s="11"/>
    </row>
    <row r="2816" spans="2:17" ht="21" customHeight="1" x14ac:dyDescent="0.35">
      <c r="B2816" s="1">
        <v>44157</v>
      </c>
      <c r="C2816" s="1" t="str">
        <f>TEXT(Sales[[#This Row],[Kode Program/Kegiatan ]],"D")</f>
        <v>22</v>
      </c>
      <c r="D2816" s="2" t="str">
        <f>TEXT(Sales[[#This Row],[Kode Program/Kegiatan ]],"mmm")</f>
        <v>Nov</v>
      </c>
      <c r="E2816" s="3">
        <v>3</v>
      </c>
      <c r="F2816" s="2">
        <v>3</v>
      </c>
      <c r="G2816" s="3" t="str">
        <f>IF(Sales[[#This Row],[Anggaran Murni]]-Sales[[#This Row],[Target s.d. Januari]]=0,"",Sales[[#This Row],[Anggaran Murni]]-Sales[[#This Row],[Target s.d. Januari]])</f>
        <v/>
      </c>
      <c r="H2816" s="2" t="s">
        <v>75</v>
      </c>
      <c r="I2816" s="3" t="s">
        <v>6</v>
      </c>
      <c r="J2816" s="3">
        <v>140000000</v>
      </c>
      <c r="K2816" s="2" t="s">
        <v>53</v>
      </c>
      <c r="L2816" s="2" t="s">
        <v>2</v>
      </c>
      <c r="M2816" s="4" t="s">
        <v>86</v>
      </c>
      <c r="N2816" s="3" t="s">
        <v>83</v>
      </c>
      <c r="O2816" s="2" t="s">
        <v>14</v>
      </c>
      <c r="P2816" s="10"/>
      <c r="Q2816" s="11"/>
    </row>
    <row r="2817" spans="2:17" ht="21" customHeight="1" x14ac:dyDescent="0.35">
      <c r="B2817" s="18">
        <v>44158</v>
      </c>
      <c r="C2817" s="18" t="str">
        <f>TEXT(Sales[[#This Row],[Kode Program/Kegiatan ]],"D")</f>
        <v>23</v>
      </c>
      <c r="D2817" s="19" t="str">
        <f>TEXT(Sales[[#This Row],[Kode Program/Kegiatan ]],"mmm")</f>
        <v>Nov</v>
      </c>
      <c r="E2817" s="20">
        <v>10</v>
      </c>
      <c r="F2817" s="19">
        <v>10</v>
      </c>
      <c r="G2817" s="20" t="str">
        <f>IF(Sales[[#This Row],[Anggaran Murni]]-Sales[[#This Row],[Target s.d. Januari]]=0,"",Sales[[#This Row],[Anggaran Murni]]-Sales[[#This Row],[Target s.d. Januari]])</f>
        <v/>
      </c>
      <c r="H2817" s="19" t="s">
        <v>76</v>
      </c>
      <c r="I2817" s="20" t="s">
        <v>79</v>
      </c>
      <c r="J2817" s="20">
        <v>40000000</v>
      </c>
      <c r="K2817" s="19" t="s">
        <v>22</v>
      </c>
      <c r="L2817" s="19" t="s">
        <v>2</v>
      </c>
      <c r="M2817" s="21" t="s">
        <v>86</v>
      </c>
      <c r="N2817" s="20" t="s">
        <v>83</v>
      </c>
      <c r="O2817" s="19" t="s">
        <v>11</v>
      </c>
      <c r="P2817" s="10"/>
      <c r="Q2817" s="11"/>
    </row>
    <row r="2818" spans="2:17" ht="21" customHeight="1" x14ac:dyDescent="0.35">
      <c r="B2818" s="1">
        <v>44158</v>
      </c>
      <c r="C2818" s="1" t="str">
        <f>TEXT(Sales[[#This Row],[Kode Program/Kegiatan ]],"D")</f>
        <v>23</v>
      </c>
      <c r="D2818" s="2" t="str">
        <f>TEXT(Sales[[#This Row],[Kode Program/Kegiatan ]],"mmm")</f>
        <v>Nov</v>
      </c>
      <c r="E2818" s="3">
        <v>10</v>
      </c>
      <c r="F2818" s="2">
        <v>10</v>
      </c>
      <c r="G2818" s="3" t="str">
        <f>IF(Sales[[#This Row],[Anggaran Murni]]-Sales[[#This Row],[Target s.d. Januari]]=0,"",Sales[[#This Row],[Anggaran Murni]]-Sales[[#This Row],[Target s.d. Januari]])</f>
        <v/>
      </c>
      <c r="H2818" s="2" t="s">
        <v>74</v>
      </c>
      <c r="I2818" s="3" t="s">
        <v>77</v>
      </c>
      <c r="J2818" s="3">
        <v>120000000</v>
      </c>
      <c r="K2818" s="2" t="s">
        <v>18</v>
      </c>
      <c r="L2818" s="2" t="s">
        <v>2</v>
      </c>
      <c r="M2818" s="4" t="s">
        <v>86</v>
      </c>
      <c r="N2818" s="3" t="s">
        <v>83</v>
      </c>
      <c r="O2818" s="2" t="s">
        <v>11</v>
      </c>
      <c r="P2818" s="10"/>
      <c r="Q2818" s="11"/>
    </row>
    <row r="2819" spans="2:17" ht="21" customHeight="1" x14ac:dyDescent="0.35">
      <c r="B2819" s="18">
        <v>44158</v>
      </c>
      <c r="C2819" s="18" t="str">
        <f>TEXT(Sales[[#This Row],[Kode Program/Kegiatan ]],"D")</f>
        <v>23</v>
      </c>
      <c r="D2819" s="19" t="str">
        <f>TEXT(Sales[[#This Row],[Kode Program/Kegiatan ]],"mmm")</f>
        <v>Nov</v>
      </c>
      <c r="E2819" s="20">
        <v>9</v>
      </c>
      <c r="F2819" s="19">
        <v>9</v>
      </c>
      <c r="G2819" s="20" t="str">
        <f>IF(Sales[[#This Row],[Anggaran Murni]]-Sales[[#This Row],[Target s.d. Januari]]=0,"",Sales[[#This Row],[Anggaran Murni]]-Sales[[#This Row],[Target s.d. Januari]])</f>
        <v/>
      </c>
      <c r="H2819" s="19" t="s">
        <v>72</v>
      </c>
      <c r="I2819" s="20" t="s">
        <v>78</v>
      </c>
      <c r="J2819" s="20">
        <v>120000000</v>
      </c>
      <c r="K2819" s="19" t="s">
        <v>44</v>
      </c>
      <c r="L2819" s="19" t="s">
        <v>2</v>
      </c>
      <c r="M2819" s="21" t="s">
        <v>86</v>
      </c>
      <c r="N2819" s="20" t="s">
        <v>83</v>
      </c>
      <c r="O2819" s="19" t="s">
        <v>14</v>
      </c>
      <c r="P2819" s="10"/>
      <c r="Q2819" s="11"/>
    </row>
    <row r="2820" spans="2:17" ht="21" customHeight="1" x14ac:dyDescent="0.35">
      <c r="B2820" s="1">
        <v>44158</v>
      </c>
      <c r="C2820" s="1" t="str">
        <f>TEXT(Sales[[#This Row],[Kode Program/Kegiatan ]],"D")</f>
        <v>23</v>
      </c>
      <c r="D2820" s="2" t="str">
        <f>TEXT(Sales[[#This Row],[Kode Program/Kegiatan ]],"mmm")</f>
        <v>Nov</v>
      </c>
      <c r="E2820" s="3">
        <v>8</v>
      </c>
      <c r="F2820" s="2">
        <v>8</v>
      </c>
      <c r="G2820" s="3" t="str">
        <f>IF(Sales[[#This Row],[Anggaran Murni]]-Sales[[#This Row],[Target s.d. Januari]]=0,"",Sales[[#This Row],[Anggaran Murni]]-Sales[[#This Row],[Target s.d. Januari]])</f>
        <v/>
      </c>
      <c r="H2820" s="2" t="s">
        <v>74</v>
      </c>
      <c r="I2820" s="3" t="s">
        <v>77</v>
      </c>
      <c r="J2820" s="3">
        <v>120000000</v>
      </c>
      <c r="K2820" s="2" t="s">
        <v>37</v>
      </c>
      <c r="L2820" s="2" t="s">
        <v>5</v>
      </c>
      <c r="M2820" s="4" t="s">
        <v>86</v>
      </c>
      <c r="N2820" s="3" t="s">
        <v>83</v>
      </c>
      <c r="O2820" s="2" t="s">
        <v>13</v>
      </c>
      <c r="P2820" s="10"/>
      <c r="Q2820" s="11"/>
    </row>
    <row r="2821" spans="2:17" ht="21" customHeight="1" x14ac:dyDescent="0.35">
      <c r="B2821" s="18">
        <v>44158</v>
      </c>
      <c r="C2821" s="18" t="str">
        <f>TEXT(Sales[[#This Row],[Kode Program/Kegiatan ]],"D")</f>
        <v>23</v>
      </c>
      <c r="D2821" s="19" t="str">
        <f>TEXT(Sales[[#This Row],[Kode Program/Kegiatan ]],"mmm")</f>
        <v>Nov</v>
      </c>
      <c r="E2821" s="20">
        <v>8</v>
      </c>
      <c r="F2821" s="19">
        <v>8</v>
      </c>
      <c r="G2821" s="20" t="str">
        <f>IF(Sales[[#This Row],[Anggaran Murni]]-Sales[[#This Row],[Target s.d. Januari]]=0,"",Sales[[#This Row],[Anggaran Murni]]-Sales[[#This Row],[Target s.d. Januari]])</f>
        <v/>
      </c>
      <c r="H2821" s="19" t="s">
        <v>72</v>
      </c>
      <c r="I2821" s="20" t="s">
        <v>78</v>
      </c>
      <c r="J2821" s="20">
        <v>80000000</v>
      </c>
      <c r="K2821" s="19" t="s">
        <v>56</v>
      </c>
      <c r="L2821" s="19" t="s">
        <v>2</v>
      </c>
      <c r="M2821" s="21" t="s">
        <v>86</v>
      </c>
      <c r="N2821" s="20" t="s">
        <v>83</v>
      </c>
      <c r="O2821" s="19" t="s">
        <v>11</v>
      </c>
      <c r="P2821" s="10"/>
      <c r="Q2821" s="11"/>
    </row>
    <row r="2822" spans="2:17" ht="21" customHeight="1" x14ac:dyDescent="0.35">
      <c r="B2822" s="1">
        <v>44158</v>
      </c>
      <c r="C2822" s="1" t="str">
        <f>TEXT(Sales[[#This Row],[Kode Program/Kegiatan ]],"D")</f>
        <v>23</v>
      </c>
      <c r="D2822" s="2" t="str">
        <f>TEXT(Sales[[#This Row],[Kode Program/Kegiatan ]],"mmm")</f>
        <v>Nov</v>
      </c>
      <c r="E2822" s="3">
        <v>8</v>
      </c>
      <c r="F2822" s="2">
        <v>8</v>
      </c>
      <c r="G2822" s="3" t="str">
        <f>IF(Sales[[#This Row],[Anggaran Murni]]-Sales[[#This Row],[Target s.d. Januari]]=0,"",Sales[[#This Row],[Anggaran Murni]]-Sales[[#This Row],[Target s.d. Januari]])</f>
        <v/>
      </c>
      <c r="H2822" s="2" t="s">
        <v>75</v>
      </c>
      <c r="I2822" s="3" t="s">
        <v>6</v>
      </c>
      <c r="J2822" s="3">
        <v>140000000</v>
      </c>
      <c r="K2822" s="2" t="s">
        <v>46</v>
      </c>
      <c r="L2822" s="2" t="s">
        <v>5</v>
      </c>
      <c r="M2822" s="4" t="s">
        <v>86</v>
      </c>
      <c r="N2822" s="3" t="s">
        <v>83</v>
      </c>
      <c r="O2822" s="2" t="s">
        <v>11</v>
      </c>
      <c r="P2822" s="10"/>
      <c r="Q2822" s="11"/>
    </row>
    <row r="2823" spans="2:17" ht="21" customHeight="1" x14ac:dyDescent="0.35">
      <c r="B2823" s="18">
        <v>44158</v>
      </c>
      <c r="C2823" s="18" t="str">
        <f>TEXT(Sales[[#This Row],[Kode Program/Kegiatan ]],"D")</f>
        <v>23</v>
      </c>
      <c r="D2823" s="19" t="str">
        <f>TEXT(Sales[[#This Row],[Kode Program/Kegiatan ]],"mmm")</f>
        <v>Nov</v>
      </c>
      <c r="E2823" s="20">
        <v>7</v>
      </c>
      <c r="F2823" s="19">
        <v>7</v>
      </c>
      <c r="G2823" s="20" t="str">
        <f>IF(Sales[[#This Row],[Anggaran Murni]]-Sales[[#This Row],[Target s.d. Januari]]=0,"",Sales[[#This Row],[Anggaran Murni]]-Sales[[#This Row],[Target s.d. Januari]])</f>
        <v/>
      </c>
      <c r="H2823" s="19" t="s">
        <v>74</v>
      </c>
      <c r="I2823" s="20" t="s">
        <v>77</v>
      </c>
      <c r="J2823" s="20">
        <v>100000000</v>
      </c>
      <c r="K2823" s="19" t="s">
        <v>27</v>
      </c>
      <c r="L2823" s="19" t="s">
        <v>2</v>
      </c>
      <c r="M2823" s="21" t="s">
        <v>86</v>
      </c>
      <c r="N2823" s="20" t="s">
        <v>83</v>
      </c>
      <c r="O2823" s="19" t="s">
        <v>12</v>
      </c>
      <c r="P2823" s="10"/>
      <c r="Q2823" s="11"/>
    </row>
    <row r="2824" spans="2:17" ht="21" customHeight="1" x14ac:dyDescent="0.35">
      <c r="B2824" s="1">
        <v>44158</v>
      </c>
      <c r="C2824" s="1" t="str">
        <f>TEXT(Sales[[#This Row],[Kode Program/Kegiatan ]],"D")</f>
        <v>23</v>
      </c>
      <c r="D2824" s="2" t="str">
        <f>TEXT(Sales[[#This Row],[Kode Program/Kegiatan ]],"mmm")</f>
        <v>Nov</v>
      </c>
      <c r="E2824" s="3">
        <v>7</v>
      </c>
      <c r="F2824" s="2">
        <v>7</v>
      </c>
      <c r="G2824" s="3" t="str">
        <f>IF(Sales[[#This Row],[Anggaran Murni]]-Sales[[#This Row],[Target s.d. Januari]]=0,"",Sales[[#This Row],[Anggaran Murni]]-Sales[[#This Row],[Target s.d. Januari]])</f>
        <v/>
      </c>
      <c r="H2824" s="2" t="s">
        <v>70</v>
      </c>
      <c r="I2824" s="3" t="s">
        <v>1</v>
      </c>
      <c r="J2824" s="3">
        <v>140000000</v>
      </c>
      <c r="K2824" s="2" t="s">
        <v>64</v>
      </c>
      <c r="L2824" s="2" t="s">
        <v>2</v>
      </c>
      <c r="M2824" s="4" t="s">
        <v>86</v>
      </c>
      <c r="N2824" s="3" t="s">
        <v>83</v>
      </c>
      <c r="O2824" s="2" t="s">
        <v>12</v>
      </c>
      <c r="P2824" s="10"/>
      <c r="Q2824" s="11"/>
    </row>
    <row r="2825" spans="2:17" ht="21" customHeight="1" x14ac:dyDescent="0.35">
      <c r="B2825" s="18">
        <v>44158</v>
      </c>
      <c r="C2825" s="18" t="str">
        <f>TEXT(Sales[[#This Row],[Kode Program/Kegiatan ]],"D")</f>
        <v>23</v>
      </c>
      <c r="D2825" s="19" t="str">
        <f>TEXT(Sales[[#This Row],[Kode Program/Kegiatan ]],"mmm")</f>
        <v>Nov</v>
      </c>
      <c r="E2825" s="20">
        <v>7</v>
      </c>
      <c r="F2825" s="19">
        <v>7</v>
      </c>
      <c r="G2825" s="20" t="str">
        <f>IF(Sales[[#This Row],[Anggaran Murni]]-Sales[[#This Row],[Target s.d. Januari]]=0,"",Sales[[#This Row],[Anggaran Murni]]-Sales[[#This Row],[Target s.d. Januari]])</f>
        <v/>
      </c>
      <c r="H2825" s="19" t="s">
        <v>74</v>
      </c>
      <c r="I2825" s="20" t="s">
        <v>77</v>
      </c>
      <c r="J2825" s="20">
        <v>80000000</v>
      </c>
      <c r="K2825" s="19" t="s">
        <v>64</v>
      </c>
      <c r="L2825" s="19" t="s">
        <v>5</v>
      </c>
      <c r="M2825" s="21" t="s">
        <v>86</v>
      </c>
      <c r="N2825" s="20" t="s">
        <v>83</v>
      </c>
      <c r="O2825" s="19" t="s">
        <v>13</v>
      </c>
      <c r="P2825" s="10"/>
      <c r="Q2825" s="11"/>
    </row>
    <row r="2826" spans="2:17" ht="21" customHeight="1" x14ac:dyDescent="0.35">
      <c r="B2826" s="1">
        <v>44158</v>
      </c>
      <c r="C2826" s="1" t="str">
        <f>TEXT(Sales[[#This Row],[Kode Program/Kegiatan ]],"D")</f>
        <v>23</v>
      </c>
      <c r="D2826" s="2" t="str">
        <f>TEXT(Sales[[#This Row],[Kode Program/Kegiatan ]],"mmm")</f>
        <v>Nov</v>
      </c>
      <c r="E2826" s="3">
        <v>5</v>
      </c>
      <c r="F2826" s="2">
        <v>5</v>
      </c>
      <c r="G2826" s="3" t="str">
        <f>IF(Sales[[#This Row],[Anggaran Murni]]-Sales[[#This Row],[Target s.d. Januari]]=0,"",Sales[[#This Row],[Anggaran Murni]]-Sales[[#This Row],[Target s.d. Januari]])</f>
        <v/>
      </c>
      <c r="H2826" s="2" t="s">
        <v>72</v>
      </c>
      <c r="I2826" s="3" t="s">
        <v>78</v>
      </c>
      <c r="J2826" s="3">
        <v>140000000</v>
      </c>
      <c r="K2826" s="2" t="s">
        <v>54</v>
      </c>
      <c r="L2826" s="2" t="s">
        <v>8</v>
      </c>
      <c r="M2826" s="4" t="s">
        <v>86</v>
      </c>
      <c r="N2826" s="3" t="s">
        <v>83</v>
      </c>
      <c r="O2826" s="2" t="s">
        <v>11</v>
      </c>
      <c r="P2826" s="10"/>
      <c r="Q2826" s="11"/>
    </row>
    <row r="2827" spans="2:17" ht="21" customHeight="1" x14ac:dyDescent="0.35">
      <c r="B2827" s="18">
        <v>44158</v>
      </c>
      <c r="C2827" s="18" t="str">
        <f>TEXT(Sales[[#This Row],[Kode Program/Kegiatan ]],"D")</f>
        <v>23</v>
      </c>
      <c r="D2827" s="19" t="str">
        <f>TEXT(Sales[[#This Row],[Kode Program/Kegiatan ]],"mmm")</f>
        <v>Nov</v>
      </c>
      <c r="E2827" s="20">
        <v>4</v>
      </c>
      <c r="F2827" s="19">
        <v>4</v>
      </c>
      <c r="G2827" s="20" t="str">
        <f>IF(Sales[[#This Row],[Anggaran Murni]]-Sales[[#This Row],[Target s.d. Januari]]=0,"",Sales[[#This Row],[Anggaran Murni]]-Sales[[#This Row],[Target s.d. Januari]])</f>
        <v/>
      </c>
      <c r="H2827" s="19" t="s">
        <v>76</v>
      </c>
      <c r="I2827" s="20" t="s">
        <v>79</v>
      </c>
      <c r="J2827" s="20">
        <v>120000000</v>
      </c>
      <c r="K2827" s="19" t="s">
        <v>36</v>
      </c>
      <c r="L2827" s="19" t="s">
        <v>2</v>
      </c>
      <c r="M2827" s="21" t="s">
        <v>86</v>
      </c>
      <c r="N2827" s="20" t="s">
        <v>83</v>
      </c>
      <c r="O2827" s="19" t="s">
        <v>13</v>
      </c>
      <c r="P2827" s="10"/>
      <c r="Q2827" s="11"/>
    </row>
    <row r="2828" spans="2:17" ht="21" customHeight="1" x14ac:dyDescent="0.35">
      <c r="B2828" s="1">
        <v>44159</v>
      </c>
      <c r="C2828" s="1" t="str">
        <f>TEXT(Sales[[#This Row],[Kode Program/Kegiatan ]],"D")</f>
        <v>24</v>
      </c>
      <c r="D2828" s="2" t="str">
        <f>TEXT(Sales[[#This Row],[Kode Program/Kegiatan ]],"mmm")</f>
        <v>Nov</v>
      </c>
      <c r="E2828" s="3">
        <v>10</v>
      </c>
      <c r="F2828" s="2">
        <v>10</v>
      </c>
      <c r="G2828" s="3" t="str">
        <f>IF(Sales[[#This Row],[Anggaran Murni]]-Sales[[#This Row],[Target s.d. Januari]]=0,"",Sales[[#This Row],[Anggaran Murni]]-Sales[[#This Row],[Target s.d. Januari]])</f>
        <v/>
      </c>
      <c r="H2828" s="2" t="s">
        <v>73</v>
      </c>
      <c r="I2828" s="3" t="s">
        <v>78</v>
      </c>
      <c r="J2828" s="3">
        <v>120000000</v>
      </c>
      <c r="K2828" s="2" t="s">
        <v>23</v>
      </c>
      <c r="L2828" s="2" t="s">
        <v>5</v>
      </c>
      <c r="M2828" s="4" t="s">
        <v>86</v>
      </c>
      <c r="N2828" s="3" t="s">
        <v>83</v>
      </c>
      <c r="O2828" s="2" t="s">
        <v>12</v>
      </c>
      <c r="P2828" s="10"/>
      <c r="Q2828" s="11"/>
    </row>
    <row r="2829" spans="2:17" ht="21" customHeight="1" x14ac:dyDescent="0.35">
      <c r="B2829" s="18">
        <v>44159</v>
      </c>
      <c r="C2829" s="18" t="str">
        <f>TEXT(Sales[[#This Row],[Kode Program/Kegiatan ]],"D")</f>
        <v>24</v>
      </c>
      <c r="D2829" s="19" t="str">
        <f>TEXT(Sales[[#This Row],[Kode Program/Kegiatan ]],"mmm")</f>
        <v>Nov</v>
      </c>
      <c r="E2829" s="20">
        <v>10</v>
      </c>
      <c r="F2829" s="19">
        <v>10</v>
      </c>
      <c r="G2829" s="20" t="str">
        <f>IF(Sales[[#This Row],[Anggaran Murni]]-Sales[[#This Row],[Target s.d. Januari]]=0,"",Sales[[#This Row],[Anggaran Murni]]-Sales[[#This Row],[Target s.d. Januari]])</f>
        <v/>
      </c>
      <c r="H2829" s="19" t="s">
        <v>76</v>
      </c>
      <c r="I2829" s="20" t="s">
        <v>79</v>
      </c>
      <c r="J2829" s="20">
        <v>120000000</v>
      </c>
      <c r="K2829" s="19" t="s">
        <v>64</v>
      </c>
      <c r="L2829" s="19" t="s">
        <v>2</v>
      </c>
      <c r="M2829" s="21" t="s">
        <v>86</v>
      </c>
      <c r="N2829" s="20" t="s">
        <v>83</v>
      </c>
      <c r="O2829" s="19" t="s">
        <v>12</v>
      </c>
      <c r="P2829" s="10"/>
      <c r="Q2829" s="11"/>
    </row>
    <row r="2830" spans="2:17" ht="21" customHeight="1" x14ac:dyDescent="0.35">
      <c r="B2830" s="1">
        <v>44159</v>
      </c>
      <c r="C2830" s="1" t="str">
        <f>TEXT(Sales[[#This Row],[Kode Program/Kegiatan ]],"D")</f>
        <v>24</v>
      </c>
      <c r="D2830" s="2" t="str">
        <f>TEXT(Sales[[#This Row],[Kode Program/Kegiatan ]],"mmm")</f>
        <v>Nov</v>
      </c>
      <c r="E2830" s="3">
        <v>9</v>
      </c>
      <c r="F2830" s="2">
        <v>9</v>
      </c>
      <c r="G2830" s="3" t="str">
        <f>IF(Sales[[#This Row],[Anggaran Murni]]-Sales[[#This Row],[Target s.d. Januari]]=0,"",Sales[[#This Row],[Anggaran Murni]]-Sales[[#This Row],[Target s.d. Januari]])</f>
        <v/>
      </c>
      <c r="H2830" s="2" t="s">
        <v>73</v>
      </c>
      <c r="I2830" s="3" t="s">
        <v>78</v>
      </c>
      <c r="J2830" s="3">
        <v>120000000</v>
      </c>
      <c r="K2830" s="2" t="s">
        <v>53</v>
      </c>
      <c r="L2830" s="2" t="s">
        <v>2</v>
      </c>
      <c r="M2830" s="4" t="s">
        <v>86</v>
      </c>
      <c r="N2830" s="3" t="s">
        <v>83</v>
      </c>
      <c r="O2830" s="2" t="s">
        <v>11</v>
      </c>
      <c r="P2830" s="10"/>
      <c r="Q2830" s="11"/>
    </row>
    <row r="2831" spans="2:17" ht="21" customHeight="1" x14ac:dyDescent="0.35">
      <c r="B2831" s="18">
        <v>44159</v>
      </c>
      <c r="C2831" s="18" t="str">
        <f>TEXT(Sales[[#This Row],[Kode Program/Kegiatan ]],"D")</f>
        <v>24</v>
      </c>
      <c r="D2831" s="19" t="str">
        <f>TEXT(Sales[[#This Row],[Kode Program/Kegiatan ]],"mmm")</f>
        <v>Nov</v>
      </c>
      <c r="E2831" s="20">
        <v>8</v>
      </c>
      <c r="F2831" s="19">
        <v>8</v>
      </c>
      <c r="G2831" s="20" t="str">
        <f>IF(Sales[[#This Row],[Anggaran Murni]]-Sales[[#This Row],[Target s.d. Januari]]=0,"",Sales[[#This Row],[Anggaran Murni]]-Sales[[#This Row],[Target s.d. Januari]])</f>
        <v/>
      </c>
      <c r="H2831" s="19" t="s">
        <v>73</v>
      </c>
      <c r="I2831" s="20" t="s">
        <v>78</v>
      </c>
      <c r="J2831" s="20">
        <v>100000000</v>
      </c>
      <c r="K2831" s="19" t="s">
        <v>55</v>
      </c>
      <c r="L2831" s="19" t="s">
        <v>2</v>
      </c>
      <c r="M2831" s="21" t="s">
        <v>86</v>
      </c>
      <c r="N2831" s="20" t="s">
        <v>83</v>
      </c>
      <c r="O2831" s="19" t="s">
        <v>13</v>
      </c>
      <c r="P2831" s="10"/>
      <c r="Q2831" s="11"/>
    </row>
    <row r="2832" spans="2:17" ht="21" customHeight="1" x14ac:dyDescent="0.35">
      <c r="B2832" s="1">
        <v>44159</v>
      </c>
      <c r="C2832" s="1" t="str">
        <f>TEXT(Sales[[#This Row],[Kode Program/Kegiatan ]],"D")</f>
        <v>24</v>
      </c>
      <c r="D2832" s="2" t="str">
        <f>TEXT(Sales[[#This Row],[Kode Program/Kegiatan ]],"mmm")</f>
        <v>Nov</v>
      </c>
      <c r="E2832" s="3">
        <v>8</v>
      </c>
      <c r="F2832" s="2">
        <v>8</v>
      </c>
      <c r="G2832" s="3" t="str">
        <f>IF(Sales[[#This Row],[Anggaran Murni]]-Sales[[#This Row],[Target s.d. Januari]]=0,"",Sales[[#This Row],[Anggaran Murni]]-Sales[[#This Row],[Target s.d. Januari]])</f>
        <v/>
      </c>
      <c r="H2832" s="2" t="s">
        <v>72</v>
      </c>
      <c r="I2832" s="3" t="s">
        <v>78</v>
      </c>
      <c r="J2832" s="3">
        <v>100000000</v>
      </c>
      <c r="K2832" s="2" t="s">
        <v>64</v>
      </c>
      <c r="L2832" s="2" t="s">
        <v>7</v>
      </c>
      <c r="M2832" s="4" t="s">
        <v>86</v>
      </c>
      <c r="N2832" s="3" t="s">
        <v>83</v>
      </c>
      <c r="O2832" s="2" t="s">
        <v>13</v>
      </c>
      <c r="P2832" s="10"/>
      <c r="Q2832" s="11"/>
    </row>
    <row r="2833" spans="2:17" ht="21" customHeight="1" x14ac:dyDescent="0.35">
      <c r="B2833" s="18">
        <v>44159</v>
      </c>
      <c r="C2833" s="18" t="str">
        <f>TEXT(Sales[[#This Row],[Kode Program/Kegiatan ]],"D")</f>
        <v>24</v>
      </c>
      <c r="D2833" s="19" t="str">
        <f>TEXT(Sales[[#This Row],[Kode Program/Kegiatan ]],"mmm")</f>
        <v>Nov</v>
      </c>
      <c r="E2833" s="20">
        <v>8</v>
      </c>
      <c r="F2833" s="19">
        <v>8</v>
      </c>
      <c r="G2833" s="20" t="str">
        <f>IF(Sales[[#This Row],[Anggaran Murni]]-Sales[[#This Row],[Target s.d. Januari]]=0,"",Sales[[#This Row],[Anggaran Murni]]-Sales[[#This Row],[Target s.d. Januari]])</f>
        <v/>
      </c>
      <c r="H2833" s="19" t="s">
        <v>74</v>
      </c>
      <c r="I2833" s="20" t="s">
        <v>77</v>
      </c>
      <c r="J2833" s="20">
        <v>80000000</v>
      </c>
      <c r="K2833" s="19" t="s">
        <v>26</v>
      </c>
      <c r="L2833" s="19" t="s">
        <v>5</v>
      </c>
      <c r="M2833" s="21" t="s">
        <v>86</v>
      </c>
      <c r="N2833" s="20" t="s">
        <v>83</v>
      </c>
      <c r="O2833" s="19" t="s">
        <v>14</v>
      </c>
      <c r="P2833" s="10"/>
      <c r="Q2833" s="11"/>
    </row>
    <row r="2834" spans="2:17" ht="21" customHeight="1" x14ac:dyDescent="0.35">
      <c r="B2834" s="1">
        <v>44159</v>
      </c>
      <c r="C2834" s="1" t="str">
        <f>TEXT(Sales[[#This Row],[Kode Program/Kegiatan ]],"D")</f>
        <v>24</v>
      </c>
      <c r="D2834" s="2" t="str">
        <f>TEXT(Sales[[#This Row],[Kode Program/Kegiatan ]],"mmm")</f>
        <v>Nov</v>
      </c>
      <c r="E2834" s="3">
        <v>6</v>
      </c>
      <c r="F2834" s="2">
        <v>6</v>
      </c>
      <c r="G2834" s="3" t="str">
        <f>IF(Sales[[#This Row],[Anggaran Murni]]-Sales[[#This Row],[Target s.d. Januari]]=0,"",Sales[[#This Row],[Anggaran Murni]]-Sales[[#This Row],[Target s.d. Januari]])</f>
        <v/>
      </c>
      <c r="H2834" s="2" t="s">
        <v>71</v>
      </c>
      <c r="I2834" s="3" t="s">
        <v>6</v>
      </c>
      <c r="J2834" s="3">
        <v>120000000</v>
      </c>
      <c r="K2834" s="2" t="s">
        <v>52</v>
      </c>
      <c r="L2834" s="2" t="s">
        <v>8</v>
      </c>
      <c r="M2834" s="4" t="s">
        <v>86</v>
      </c>
      <c r="N2834" s="3" t="s">
        <v>83</v>
      </c>
      <c r="O2834" s="2" t="s">
        <v>12</v>
      </c>
      <c r="P2834" s="10"/>
      <c r="Q2834" s="11"/>
    </row>
    <row r="2835" spans="2:17" ht="21" customHeight="1" x14ac:dyDescent="0.35">
      <c r="B2835" s="18">
        <v>44159</v>
      </c>
      <c r="C2835" s="18" t="str">
        <f>TEXT(Sales[[#This Row],[Kode Program/Kegiatan ]],"D")</f>
        <v>24</v>
      </c>
      <c r="D2835" s="19" t="str">
        <f>TEXT(Sales[[#This Row],[Kode Program/Kegiatan ]],"mmm")</f>
        <v>Nov</v>
      </c>
      <c r="E2835" s="20">
        <v>5</v>
      </c>
      <c r="F2835" s="19">
        <v>5</v>
      </c>
      <c r="G2835" s="20" t="str">
        <f>IF(Sales[[#This Row],[Anggaran Murni]]-Sales[[#This Row],[Target s.d. Januari]]=0,"",Sales[[#This Row],[Anggaran Murni]]-Sales[[#This Row],[Target s.d. Januari]])</f>
        <v/>
      </c>
      <c r="H2835" s="19" t="s">
        <v>71</v>
      </c>
      <c r="I2835" s="20" t="s">
        <v>6</v>
      </c>
      <c r="J2835" s="20">
        <v>40000000</v>
      </c>
      <c r="K2835" s="19" t="s">
        <v>19</v>
      </c>
      <c r="L2835" s="19" t="s">
        <v>5</v>
      </c>
      <c r="M2835" s="21" t="s">
        <v>86</v>
      </c>
      <c r="N2835" s="20" t="s">
        <v>83</v>
      </c>
      <c r="O2835" s="19" t="s">
        <v>12</v>
      </c>
      <c r="P2835" s="10"/>
      <c r="Q2835" s="11"/>
    </row>
    <row r="2836" spans="2:17" ht="21" customHeight="1" x14ac:dyDescent="0.35">
      <c r="B2836" s="1">
        <v>44159</v>
      </c>
      <c r="C2836" s="1" t="str">
        <f>TEXT(Sales[[#This Row],[Kode Program/Kegiatan ]],"D")</f>
        <v>24</v>
      </c>
      <c r="D2836" s="2" t="str">
        <f>TEXT(Sales[[#This Row],[Kode Program/Kegiatan ]],"mmm")</f>
        <v>Nov</v>
      </c>
      <c r="E2836" s="3">
        <v>4</v>
      </c>
      <c r="F2836" s="2">
        <v>4</v>
      </c>
      <c r="G2836" s="3" t="str">
        <f>IF(Sales[[#This Row],[Anggaran Murni]]-Sales[[#This Row],[Target s.d. Januari]]=0,"",Sales[[#This Row],[Anggaran Murni]]-Sales[[#This Row],[Target s.d. Januari]])</f>
        <v/>
      </c>
      <c r="H2836" s="2" t="s">
        <v>114</v>
      </c>
      <c r="I2836" s="3" t="s">
        <v>3</v>
      </c>
      <c r="J2836" s="3">
        <v>80000000</v>
      </c>
      <c r="K2836" s="2" t="s">
        <v>56</v>
      </c>
      <c r="L2836" s="2" t="s">
        <v>2</v>
      </c>
      <c r="M2836" s="4" t="s">
        <v>86</v>
      </c>
      <c r="N2836" s="3" t="s">
        <v>83</v>
      </c>
      <c r="O2836" s="2" t="s">
        <v>13</v>
      </c>
      <c r="P2836" s="10"/>
      <c r="Q2836" s="11"/>
    </row>
    <row r="2837" spans="2:17" ht="21" customHeight="1" x14ac:dyDescent="0.35">
      <c r="B2837" s="18">
        <v>44159</v>
      </c>
      <c r="C2837" s="18" t="str">
        <f>TEXT(Sales[[#This Row],[Kode Program/Kegiatan ]],"D")</f>
        <v>24</v>
      </c>
      <c r="D2837" s="19" t="str">
        <f>TEXT(Sales[[#This Row],[Kode Program/Kegiatan ]],"mmm")</f>
        <v>Nov</v>
      </c>
      <c r="E2837" s="20">
        <v>3</v>
      </c>
      <c r="F2837" s="19">
        <v>3</v>
      </c>
      <c r="G2837" s="20" t="str">
        <f>IF(Sales[[#This Row],[Anggaran Murni]]-Sales[[#This Row],[Target s.d. Januari]]=0,"",Sales[[#This Row],[Anggaran Murni]]-Sales[[#This Row],[Target s.d. Januari]])</f>
        <v/>
      </c>
      <c r="H2837" s="19" t="s">
        <v>71</v>
      </c>
      <c r="I2837" s="20" t="s">
        <v>6</v>
      </c>
      <c r="J2837" s="20">
        <v>80000000</v>
      </c>
      <c r="K2837" s="19" t="s">
        <v>18</v>
      </c>
      <c r="L2837" s="19" t="s">
        <v>2</v>
      </c>
      <c r="M2837" s="21" t="s">
        <v>86</v>
      </c>
      <c r="N2837" s="20" t="s">
        <v>83</v>
      </c>
      <c r="O2837" s="19" t="s">
        <v>12</v>
      </c>
      <c r="P2837" s="10"/>
      <c r="Q2837" s="11"/>
    </row>
    <row r="2838" spans="2:17" ht="21" customHeight="1" x14ac:dyDescent="0.35">
      <c r="B2838" s="1">
        <v>44159</v>
      </c>
      <c r="C2838" s="1" t="str">
        <f>TEXT(Sales[[#This Row],[Kode Program/Kegiatan ]],"D")</f>
        <v>24</v>
      </c>
      <c r="D2838" s="2" t="str">
        <f>TEXT(Sales[[#This Row],[Kode Program/Kegiatan ]],"mmm")</f>
        <v>Nov</v>
      </c>
      <c r="E2838" s="3">
        <v>3</v>
      </c>
      <c r="F2838" s="2">
        <v>3</v>
      </c>
      <c r="G2838" s="3" t="str">
        <f>IF(Sales[[#This Row],[Anggaran Murni]]-Sales[[#This Row],[Target s.d. Januari]]=0,"",Sales[[#This Row],[Anggaran Murni]]-Sales[[#This Row],[Target s.d. Januari]])</f>
        <v/>
      </c>
      <c r="H2838" s="2" t="s">
        <v>73</v>
      </c>
      <c r="I2838" s="3" t="s">
        <v>78</v>
      </c>
      <c r="J2838" s="3">
        <v>100000000</v>
      </c>
      <c r="K2838" s="2" t="s">
        <v>29</v>
      </c>
      <c r="L2838" s="2" t="s">
        <v>5</v>
      </c>
      <c r="M2838" s="4" t="s">
        <v>86</v>
      </c>
      <c r="N2838" s="3" t="s">
        <v>83</v>
      </c>
      <c r="O2838" s="2" t="s">
        <v>13</v>
      </c>
      <c r="P2838" s="10"/>
      <c r="Q2838" s="11"/>
    </row>
    <row r="2839" spans="2:17" ht="21" customHeight="1" x14ac:dyDescent="0.35">
      <c r="B2839" s="18">
        <v>44160</v>
      </c>
      <c r="C2839" s="18" t="str">
        <f>TEXT(Sales[[#This Row],[Kode Program/Kegiatan ]],"D")</f>
        <v>25</v>
      </c>
      <c r="D2839" s="19" t="str">
        <f>TEXT(Sales[[#This Row],[Kode Program/Kegiatan ]],"mmm")</f>
        <v>Nov</v>
      </c>
      <c r="E2839" s="20">
        <v>10</v>
      </c>
      <c r="F2839" s="19">
        <v>10</v>
      </c>
      <c r="G2839" s="20" t="str">
        <f>IF(Sales[[#This Row],[Anggaran Murni]]-Sales[[#This Row],[Target s.d. Januari]]=0,"",Sales[[#This Row],[Anggaran Murni]]-Sales[[#This Row],[Target s.d. Januari]])</f>
        <v/>
      </c>
      <c r="H2839" s="19" t="s">
        <v>76</v>
      </c>
      <c r="I2839" s="20" t="s">
        <v>79</v>
      </c>
      <c r="J2839" s="20">
        <v>60000000</v>
      </c>
      <c r="K2839" s="19" t="s">
        <v>59</v>
      </c>
      <c r="L2839" s="19" t="s">
        <v>5</v>
      </c>
      <c r="M2839" s="21" t="s">
        <v>86</v>
      </c>
      <c r="N2839" s="20" t="s">
        <v>83</v>
      </c>
      <c r="O2839" s="19" t="s">
        <v>11</v>
      </c>
      <c r="P2839" s="10"/>
      <c r="Q2839" s="11"/>
    </row>
    <row r="2840" spans="2:17" ht="21" customHeight="1" x14ac:dyDescent="0.35">
      <c r="B2840" s="1">
        <v>44160</v>
      </c>
      <c r="C2840" s="1" t="str">
        <f>TEXT(Sales[[#This Row],[Kode Program/Kegiatan ]],"D")</f>
        <v>25</v>
      </c>
      <c r="D2840" s="2" t="str">
        <f>TEXT(Sales[[#This Row],[Kode Program/Kegiatan ]],"mmm")</f>
        <v>Nov</v>
      </c>
      <c r="E2840" s="3">
        <v>9</v>
      </c>
      <c r="F2840" s="2">
        <v>9</v>
      </c>
      <c r="G2840" s="3" t="str">
        <f>IF(Sales[[#This Row],[Anggaran Murni]]-Sales[[#This Row],[Target s.d. Januari]]=0,"",Sales[[#This Row],[Anggaran Murni]]-Sales[[#This Row],[Target s.d. Januari]])</f>
        <v/>
      </c>
      <c r="H2840" s="2" t="s">
        <v>75</v>
      </c>
      <c r="I2840" s="3" t="s">
        <v>6</v>
      </c>
      <c r="J2840" s="3">
        <v>60000000</v>
      </c>
      <c r="K2840" s="2" t="s">
        <v>31</v>
      </c>
      <c r="L2840" s="2" t="s">
        <v>5</v>
      </c>
      <c r="M2840" s="4" t="s">
        <v>86</v>
      </c>
      <c r="N2840" s="3" t="s">
        <v>83</v>
      </c>
      <c r="O2840" s="2" t="s">
        <v>14</v>
      </c>
      <c r="P2840" s="10"/>
      <c r="Q2840" s="11"/>
    </row>
    <row r="2841" spans="2:17" ht="21" customHeight="1" x14ac:dyDescent="0.35">
      <c r="B2841" s="18">
        <v>44160</v>
      </c>
      <c r="C2841" s="18" t="str">
        <f>TEXT(Sales[[#This Row],[Kode Program/Kegiatan ]],"D")</f>
        <v>25</v>
      </c>
      <c r="D2841" s="19" t="str">
        <f>TEXT(Sales[[#This Row],[Kode Program/Kegiatan ]],"mmm")</f>
        <v>Nov</v>
      </c>
      <c r="E2841" s="20">
        <v>8</v>
      </c>
      <c r="F2841" s="19">
        <v>8</v>
      </c>
      <c r="G2841" s="20" t="str">
        <f>IF(Sales[[#This Row],[Anggaran Murni]]-Sales[[#This Row],[Target s.d. Januari]]=0,"",Sales[[#This Row],[Anggaran Murni]]-Sales[[#This Row],[Target s.d. Januari]])</f>
        <v/>
      </c>
      <c r="H2841" s="19" t="s">
        <v>71</v>
      </c>
      <c r="I2841" s="20" t="s">
        <v>6</v>
      </c>
      <c r="J2841" s="20">
        <v>80000000</v>
      </c>
      <c r="K2841" s="19" t="s">
        <v>40</v>
      </c>
      <c r="L2841" s="19" t="s">
        <v>5</v>
      </c>
      <c r="M2841" s="21" t="s">
        <v>86</v>
      </c>
      <c r="N2841" s="20" t="s">
        <v>83</v>
      </c>
      <c r="O2841" s="19" t="s">
        <v>13</v>
      </c>
      <c r="P2841" s="10"/>
      <c r="Q2841" s="11"/>
    </row>
    <row r="2842" spans="2:17" ht="21" customHeight="1" x14ac:dyDescent="0.35">
      <c r="B2842" s="1">
        <v>44160</v>
      </c>
      <c r="C2842" s="1" t="str">
        <f>TEXT(Sales[[#This Row],[Kode Program/Kegiatan ]],"D")</f>
        <v>25</v>
      </c>
      <c r="D2842" s="2" t="str">
        <f>TEXT(Sales[[#This Row],[Kode Program/Kegiatan ]],"mmm")</f>
        <v>Nov</v>
      </c>
      <c r="E2842" s="3">
        <v>7</v>
      </c>
      <c r="F2842" s="2">
        <v>7</v>
      </c>
      <c r="G2842" s="3" t="str">
        <f>IF(Sales[[#This Row],[Anggaran Murni]]-Sales[[#This Row],[Target s.d. Januari]]=0,"",Sales[[#This Row],[Anggaran Murni]]-Sales[[#This Row],[Target s.d. Januari]])</f>
        <v/>
      </c>
      <c r="H2842" s="2" t="s">
        <v>113</v>
      </c>
      <c r="I2842" s="3" t="s">
        <v>77</v>
      </c>
      <c r="J2842" s="3">
        <v>80000000</v>
      </c>
      <c r="K2842" s="2" t="s">
        <v>27</v>
      </c>
      <c r="L2842" s="2" t="s">
        <v>5</v>
      </c>
      <c r="M2842" s="4" t="s">
        <v>86</v>
      </c>
      <c r="N2842" s="3" t="s">
        <v>83</v>
      </c>
      <c r="O2842" s="2" t="s">
        <v>14</v>
      </c>
      <c r="P2842" s="10"/>
      <c r="Q2842" s="11"/>
    </row>
    <row r="2843" spans="2:17" ht="21" customHeight="1" x14ac:dyDescent="0.35">
      <c r="B2843" s="18">
        <v>44160</v>
      </c>
      <c r="C2843" s="18" t="str">
        <f>TEXT(Sales[[#This Row],[Kode Program/Kegiatan ]],"D")</f>
        <v>25</v>
      </c>
      <c r="D2843" s="19" t="str">
        <f>TEXT(Sales[[#This Row],[Kode Program/Kegiatan ]],"mmm")</f>
        <v>Nov</v>
      </c>
      <c r="E2843" s="20">
        <v>6</v>
      </c>
      <c r="F2843" s="19">
        <v>6</v>
      </c>
      <c r="G2843" s="20" t="str">
        <f>IF(Sales[[#This Row],[Anggaran Murni]]-Sales[[#This Row],[Target s.d. Januari]]=0,"",Sales[[#This Row],[Anggaran Murni]]-Sales[[#This Row],[Target s.d. Januari]])</f>
        <v/>
      </c>
      <c r="H2843" s="19" t="s">
        <v>113</v>
      </c>
      <c r="I2843" s="20" t="s">
        <v>77</v>
      </c>
      <c r="J2843" s="20">
        <v>120000000</v>
      </c>
      <c r="K2843" s="19" t="s">
        <v>43</v>
      </c>
      <c r="L2843" s="19" t="s">
        <v>5</v>
      </c>
      <c r="M2843" s="21" t="s">
        <v>86</v>
      </c>
      <c r="N2843" s="20" t="s">
        <v>83</v>
      </c>
      <c r="O2843" s="19" t="s">
        <v>14</v>
      </c>
      <c r="P2843" s="10"/>
      <c r="Q2843" s="11"/>
    </row>
    <row r="2844" spans="2:17" ht="21" customHeight="1" x14ac:dyDescent="0.35">
      <c r="B2844" s="1">
        <v>44160</v>
      </c>
      <c r="C2844" s="1" t="str">
        <f>TEXT(Sales[[#This Row],[Kode Program/Kegiatan ]],"D")</f>
        <v>25</v>
      </c>
      <c r="D2844" s="2" t="str">
        <f>TEXT(Sales[[#This Row],[Kode Program/Kegiatan ]],"mmm")</f>
        <v>Nov</v>
      </c>
      <c r="E2844" s="3">
        <v>6</v>
      </c>
      <c r="F2844" s="2">
        <v>6</v>
      </c>
      <c r="G2844" s="3" t="str">
        <f>IF(Sales[[#This Row],[Anggaran Murni]]-Sales[[#This Row],[Target s.d. Januari]]=0,"",Sales[[#This Row],[Anggaran Murni]]-Sales[[#This Row],[Target s.d. Januari]])</f>
        <v/>
      </c>
      <c r="H2844" s="2" t="s">
        <v>72</v>
      </c>
      <c r="I2844" s="3" t="s">
        <v>78</v>
      </c>
      <c r="J2844" s="3">
        <v>60000000</v>
      </c>
      <c r="K2844" s="2" t="s">
        <v>60</v>
      </c>
      <c r="L2844" s="2" t="s">
        <v>2</v>
      </c>
      <c r="M2844" s="4" t="s">
        <v>86</v>
      </c>
      <c r="N2844" s="3" t="s">
        <v>83</v>
      </c>
      <c r="O2844" s="2" t="s">
        <v>12</v>
      </c>
      <c r="P2844" s="10"/>
      <c r="Q2844" s="11"/>
    </row>
    <row r="2845" spans="2:17" ht="21" customHeight="1" x14ac:dyDescent="0.35">
      <c r="B2845" s="18">
        <v>44160</v>
      </c>
      <c r="C2845" s="18" t="str">
        <f>TEXT(Sales[[#This Row],[Kode Program/Kegiatan ]],"D")</f>
        <v>25</v>
      </c>
      <c r="D2845" s="19" t="str">
        <f>TEXT(Sales[[#This Row],[Kode Program/Kegiatan ]],"mmm")</f>
        <v>Nov</v>
      </c>
      <c r="E2845" s="20">
        <v>4</v>
      </c>
      <c r="F2845" s="19">
        <v>4</v>
      </c>
      <c r="G2845" s="20" t="str">
        <f>IF(Sales[[#This Row],[Anggaran Murni]]-Sales[[#This Row],[Target s.d. Januari]]=0,"",Sales[[#This Row],[Anggaran Murni]]-Sales[[#This Row],[Target s.d. Januari]])</f>
        <v/>
      </c>
      <c r="H2845" s="19" t="s">
        <v>75</v>
      </c>
      <c r="I2845" s="20" t="s">
        <v>6</v>
      </c>
      <c r="J2845" s="20">
        <v>120000000</v>
      </c>
      <c r="K2845" s="19" t="s">
        <v>48</v>
      </c>
      <c r="L2845" s="19" t="s">
        <v>2</v>
      </c>
      <c r="M2845" s="21" t="s">
        <v>86</v>
      </c>
      <c r="N2845" s="20" t="s">
        <v>83</v>
      </c>
      <c r="O2845" s="19" t="s">
        <v>12</v>
      </c>
      <c r="P2845" s="10"/>
      <c r="Q2845" s="11"/>
    </row>
    <row r="2846" spans="2:17" ht="21" customHeight="1" x14ac:dyDescent="0.35">
      <c r="B2846" s="1">
        <v>44160</v>
      </c>
      <c r="C2846" s="1" t="str">
        <f>TEXT(Sales[[#This Row],[Kode Program/Kegiatan ]],"D")</f>
        <v>25</v>
      </c>
      <c r="D2846" s="2" t="str">
        <f>TEXT(Sales[[#This Row],[Kode Program/Kegiatan ]],"mmm")</f>
        <v>Nov</v>
      </c>
      <c r="E2846" s="3">
        <v>4</v>
      </c>
      <c r="F2846" s="2">
        <v>4</v>
      </c>
      <c r="G2846" s="3" t="str">
        <f>IF(Sales[[#This Row],[Anggaran Murni]]-Sales[[#This Row],[Target s.d. Januari]]=0,"",Sales[[#This Row],[Anggaran Murni]]-Sales[[#This Row],[Target s.d. Januari]])</f>
        <v/>
      </c>
      <c r="H2846" s="2" t="s">
        <v>71</v>
      </c>
      <c r="I2846" s="3" t="s">
        <v>6</v>
      </c>
      <c r="J2846" s="3">
        <v>100000000</v>
      </c>
      <c r="K2846" s="2" t="s">
        <v>37</v>
      </c>
      <c r="L2846" s="2" t="s">
        <v>5</v>
      </c>
      <c r="M2846" s="4" t="s">
        <v>86</v>
      </c>
      <c r="N2846" s="3" t="s">
        <v>83</v>
      </c>
      <c r="O2846" s="2" t="s">
        <v>13</v>
      </c>
      <c r="P2846" s="10"/>
      <c r="Q2846" s="11"/>
    </row>
    <row r="2847" spans="2:17" ht="21" customHeight="1" x14ac:dyDescent="0.35">
      <c r="B2847" s="18">
        <v>44160</v>
      </c>
      <c r="C2847" s="18" t="str">
        <f>TEXT(Sales[[#This Row],[Kode Program/Kegiatan ]],"D")</f>
        <v>25</v>
      </c>
      <c r="D2847" s="19" t="str">
        <f>TEXT(Sales[[#This Row],[Kode Program/Kegiatan ]],"mmm")</f>
        <v>Nov</v>
      </c>
      <c r="E2847" s="20">
        <v>3</v>
      </c>
      <c r="F2847" s="19">
        <v>3</v>
      </c>
      <c r="G2847" s="20" t="str">
        <f>IF(Sales[[#This Row],[Anggaran Murni]]-Sales[[#This Row],[Target s.d. Januari]]=0,"",Sales[[#This Row],[Anggaran Murni]]-Sales[[#This Row],[Target s.d. Januari]])</f>
        <v/>
      </c>
      <c r="H2847" s="19" t="s">
        <v>70</v>
      </c>
      <c r="I2847" s="20" t="s">
        <v>1</v>
      </c>
      <c r="J2847" s="20">
        <v>100000000</v>
      </c>
      <c r="K2847" s="19" t="s">
        <v>17</v>
      </c>
      <c r="L2847" s="19" t="s">
        <v>2</v>
      </c>
      <c r="M2847" s="21" t="s">
        <v>86</v>
      </c>
      <c r="N2847" s="20" t="s">
        <v>83</v>
      </c>
      <c r="O2847" s="19" t="s">
        <v>11</v>
      </c>
      <c r="P2847" s="10"/>
      <c r="Q2847" s="11"/>
    </row>
    <row r="2848" spans="2:17" ht="21" customHeight="1" x14ac:dyDescent="0.35">
      <c r="B2848" s="1">
        <v>44161</v>
      </c>
      <c r="C2848" s="1" t="str">
        <f>TEXT(Sales[[#This Row],[Kode Program/Kegiatan ]],"D")</f>
        <v>26</v>
      </c>
      <c r="D2848" s="2" t="str">
        <f>TEXT(Sales[[#This Row],[Kode Program/Kegiatan ]],"mmm")</f>
        <v>Nov</v>
      </c>
      <c r="E2848" s="3">
        <v>10</v>
      </c>
      <c r="F2848" s="2">
        <v>10</v>
      </c>
      <c r="G2848" s="3" t="str">
        <f>IF(Sales[[#This Row],[Anggaran Murni]]-Sales[[#This Row],[Target s.d. Januari]]=0,"",Sales[[#This Row],[Anggaran Murni]]-Sales[[#This Row],[Target s.d. Januari]])</f>
        <v/>
      </c>
      <c r="H2848" s="2" t="s">
        <v>73</v>
      </c>
      <c r="I2848" s="3" t="s">
        <v>78</v>
      </c>
      <c r="J2848" s="3">
        <v>140000000</v>
      </c>
      <c r="K2848" s="2" t="s">
        <v>54</v>
      </c>
      <c r="L2848" s="2" t="s">
        <v>5</v>
      </c>
      <c r="M2848" s="4" t="s">
        <v>86</v>
      </c>
      <c r="N2848" s="3" t="s">
        <v>83</v>
      </c>
      <c r="O2848" s="2" t="s">
        <v>12</v>
      </c>
      <c r="P2848" s="10"/>
      <c r="Q2848" s="11"/>
    </row>
    <row r="2849" spans="2:17" ht="21" customHeight="1" x14ac:dyDescent="0.35">
      <c r="B2849" s="18">
        <v>44161</v>
      </c>
      <c r="C2849" s="18" t="str">
        <f>TEXT(Sales[[#This Row],[Kode Program/Kegiatan ]],"D")</f>
        <v>26</v>
      </c>
      <c r="D2849" s="19" t="str">
        <f>TEXT(Sales[[#This Row],[Kode Program/Kegiatan ]],"mmm")</f>
        <v>Nov</v>
      </c>
      <c r="E2849" s="20">
        <v>10</v>
      </c>
      <c r="F2849" s="19">
        <v>10</v>
      </c>
      <c r="G2849" s="20" t="str">
        <f>IF(Sales[[#This Row],[Anggaran Murni]]-Sales[[#This Row],[Target s.d. Januari]]=0,"",Sales[[#This Row],[Anggaran Murni]]-Sales[[#This Row],[Target s.d. Januari]])</f>
        <v/>
      </c>
      <c r="H2849" s="19" t="s">
        <v>113</v>
      </c>
      <c r="I2849" s="20" t="s">
        <v>77</v>
      </c>
      <c r="J2849" s="20">
        <v>140000000</v>
      </c>
      <c r="K2849" s="19" t="s">
        <v>21</v>
      </c>
      <c r="L2849" s="19" t="s">
        <v>2</v>
      </c>
      <c r="M2849" s="21" t="s">
        <v>86</v>
      </c>
      <c r="N2849" s="20" t="s">
        <v>83</v>
      </c>
      <c r="O2849" s="19" t="s">
        <v>12</v>
      </c>
      <c r="P2849" s="10"/>
      <c r="Q2849" s="11"/>
    </row>
    <row r="2850" spans="2:17" ht="21" customHeight="1" x14ac:dyDescent="0.35">
      <c r="B2850" s="1">
        <v>44161</v>
      </c>
      <c r="C2850" s="1" t="str">
        <f>TEXT(Sales[[#This Row],[Kode Program/Kegiatan ]],"D")</f>
        <v>26</v>
      </c>
      <c r="D2850" s="2" t="str">
        <f>TEXT(Sales[[#This Row],[Kode Program/Kegiatan ]],"mmm")</f>
        <v>Nov</v>
      </c>
      <c r="E2850" s="3">
        <v>9</v>
      </c>
      <c r="F2850" s="2">
        <v>9</v>
      </c>
      <c r="G2850" s="3" t="str">
        <f>IF(Sales[[#This Row],[Anggaran Murni]]-Sales[[#This Row],[Target s.d. Januari]]=0,"",Sales[[#This Row],[Anggaran Murni]]-Sales[[#This Row],[Target s.d. Januari]])</f>
        <v/>
      </c>
      <c r="H2850" s="2" t="s">
        <v>73</v>
      </c>
      <c r="I2850" s="3" t="s">
        <v>78</v>
      </c>
      <c r="J2850" s="3">
        <v>40000000</v>
      </c>
      <c r="K2850" s="2" t="s">
        <v>24</v>
      </c>
      <c r="L2850" s="2" t="s">
        <v>7</v>
      </c>
      <c r="M2850" s="4" t="s">
        <v>86</v>
      </c>
      <c r="N2850" s="3" t="s">
        <v>83</v>
      </c>
      <c r="O2850" s="2" t="s">
        <v>13</v>
      </c>
      <c r="P2850" s="10"/>
      <c r="Q2850" s="11"/>
    </row>
    <row r="2851" spans="2:17" ht="21" customHeight="1" x14ac:dyDescent="0.35">
      <c r="B2851" s="18">
        <v>44161</v>
      </c>
      <c r="C2851" s="18" t="str">
        <f>TEXT(Sales[[#This Row],[Kode Program/Kegiatan ]],"D")</f>
        <v>26</v>
      </c>
      <c r="D2851" s="19" t="str">
        <f>TEXT(Sales[[#This Row],[Kode Program/Kegiatan ]],"mmm")</f>
        <v>Nov</v>
      </c>
      <c r="E2851" s="20">
        <v>6</v>
      </c>
      <c r="F2851" s="19">
        <v>6</v>
      </c>
      <c r="G2851" s="20" t="str">
        <f>IF(Sales[[#This Row],[Anggaran Murni]]-Sales[[#This Row],[Target s.d. Januari]]=0,"",Sales[[#This Row],[Anggaran Murni]]-Sales[[#This Row],[Target s.d. Januari]])</f>
        <v/>
      </c>
      <c r="H2851" s="19" t="s">
        <v>70</v>
      </c>
      <c r="I2851" s="20" t="s">
        <v>1</v>
      </c>
      <c r="J2851" s="20">
        <v>40000000</v>
      </c>
      <c r="K2851" s="19" t="s">
        <v>44</v>
      </c>
      <c r="L2851" s="19" t="s">
        <v>2</v>
      </c>
      <c r="M2851" s="21" t="s">
        <v>86</v>
      </c>
      <c r="N2851" s="20" t="s">
        <v>83</v>
      </c>
      <c r="O2851" s="19" t="s">
        <v>14</v>
      </c>
      <c r="P2851" s="10"/>
      <c r="Q2851" s="11"/>
    </row>
    <row r="2852" spans="2:17" ht="21" customHeight="1" x14ac:dyDescent="0.35">
      <c r="B2852" s="1">
        <v>44161</v>
      </c>
      <c r="C2852" s="1" t="str">
        <f>TEXT(Sales[[#This Row],[Kode Program/Kegiatan ]],"D")</f>
        <v>26</v>
      </c>
      <c r="D2852" s="2" t="str">
        <f>TEXT(Sales[[#This Row],[Kode Program/Kegiatan ]],"mmm")</f>
        <v>Nov</v>
      </c>
      <c r="E2852" s="3">
        <v>4</v>
      </c>
      <c r="F2852" s="2">
        <v>4</v>
      </c>
      <c r="G2852" s="3" t="str">
        <f>IF(Sales[[#This Row],[Anggaran Murni]]-Sales[[#This Row],[Target s.d. Januari]]=0,"",Sales[[#This Row],[Anggaran Murni]]-Sales[[#This Row],[Target s.d. Januari]])</f>
        <v/>
      </c>
      <c r="H2852" s="2" t="s">
        <v>113</v>
      </c>
      <c r="I2852" s="3" t="s">
        <v>77</v>
      </c>
      <c r="J2852" s="3">
        <v>140000000</v>
      </c>
      <c r="K2852" s="2" t="s">
        <v>32</v>
      </c>
      <c r="L2852" s="2" t="s">
        <v>2</v>
      </c>
      <c r="M2852" s="4" t="s">
        <v>86</v>
      </c>
      <c r="N2852" s="3" t="s">
        <v>83</v>
      </c>
      <c r="O2852" s="2" t="s">
        <v>12</v>
      </c>
      <c r="P2852" s="10"/>
      <c r="Q2852" s="11"/>
    </row>
    <row r="2853" spans="2:17" ht="21" customHeight="1" x14ac:dyDescent="0.35">
      <c r="B2853" s="18">
        <v>44161</v>
      </c>
      <c r="C2853" s="18" t="str">
        <f>TEXT(Sales[[#This Row],[Kode Program/Kegiatan ]],"D")</f>
        <v>26</v>
      </c>
      <c r="D2853" s="19" t="str">
        <f>TEXT(Sales[[#This Row],[Kode Program/Kegiatan ]],"mmm")</f>
        <v>Nov</v>
      </c>
      <c r="E2853" s="20">
        <v>3</v>
      </c>
      <c r="F2853" s="19">
        <v>3</v>
      </c>
      <c r="G2853" s="20" t="str">
        <f>IF(Sales[[#This Row],[Anggaran Murni]]-Sales[[#This Row],[Target s.d. Januari]]=0,"",Sales[[#This Row],[Anggaran Murni]]-Sales[[#This Row],[Target s.d. Januari]])</f>
        <v/>
      </c>
      <c r="H2853" s="19" t="s">
        <v>76</v>
      </c>
      <c r="I2853" s="20" t="s">
        <v>79</v>
      </c>
      <c r="J2853" s="20">
        <v>120000000</v>
      </c>
      <c r="K2853" s="19" t="s">
        <v>18</v>
      </c>
      <c r="L2853" s="19" t="s">
        <v>2</v>
      </c>
      <c r="M2853" s="21" t="s">
        <v>86</v>
      </c>
      <c r="N2853" s="20" t="s">
        <v>83</v>
      </c>
      <c r="O2853" s="19" t="s">
        <v>13</v>
      </c>
      <c r="P2853" s="10"/>
      <c r="Q2853" s="11"/>
    </row>
    <row r="2854" spans="2:17" ht="21" customHeight="1" x14ac:dyDescent="0.35">
      <c r="B2854" s="1">
        <v>44161</v>
      </c>
      <c r="C2854" s="1" t="str">
        <f>TEXT(Sales[[#This Row],[Kode Program/Kegiatan ]],"D")</f>
        <v>26</v>
      </c>
      <c r="D2854" s="2" t="str">
        <f>TEXT(Sales[[#This Row],[Kode Program/Kegiatan ]],"mmm")</f>
        <v>Nov</v>
      </c>
      <c r="E2854" s="3">
        <v>3</v>
      </c>
      <c r="F2854" s="2">
        <v>3</v>
      </c>
      <c r="G2854" s="3" t="str">
        <f>IF(Sales[[#This Row],[Anggaran Murni]]-Sales[[#This Row],[Target s.d. Januari]]=0,"",Sales[[#This Row],[Anggaran Murni]]-Sales[[#This Row],[Target s.d. Januari]])</f>
        <v/>
      </c>
      <c r="H2854" s="2" t="s">
        <v>73</v>
      </c>
      <c r="I2854" s="3" t="s">
        <v>78</v>
      </c>
      <c r="J2854" s="3">
        <v>80000000</v>
      </c>
      <c r="K2854" s="2" t="s">
        <v>34</v>
      </c>
      <c r="L2854" s="2" t="s">
        <v>9</v>
      </c>
      <c r="M2854" s="4" t="s">
        <v>86</v>
      </c>
      <c r="N2854" s="3" t="s">
        <v>83</v>
      </c>
      <c r="O2854" s="2" t="s">
        <v>14</v>
      </c>
      <c r="P2854" s="10"/>
      <c r="Q2854" s="11"/>
    </row>
    <row r="2855" spans="2:17" ht="21" customHeight="1" x14ac:dyDescent="0.35">
      <c r="B2855" s="18">
        <v>44162</v>
      </c>
      <c r="C2855" s="18" t="str">
        <f>TEXT(Sales[[#This Row],[Kode Program/Kegiatan ]],"D")</f>
        <v>27</v>
      </c>
      <c r="D2855" s="19" t="str">
        <f>TEXT(Sales[[#This Row],[Kode Program/Kegiatan ]],"mmm")</f>
        <v>Nov</v>
      </c>
      <c r="E2855" s="20">
        <v>4</v>
      </c>
      <c r="F2855" s="19">
        <v>4</v>
      </c>
      <c r="G2855" s="20" t="str">
        <f>IF(Sales[[#This Row],[Anggaran Murni]]-Sales[[#This Row],[Target s.d. Januari]]=0,"",Sales[[#This Row],[Anggaran Murni]]-Sales[[#This Row],[Target s.d. Januari]])</f>
        <v/>
      </c>
      <c r="H2855" s="19" t="s">
        <v>113</v>
      </c>
      <c r="I2855" s="20" t="s">
        <v>77</v>
      </c>
      <c r="J2855" s="20">
        <v>100000000</v>
      </c>
      <c r="K2855" s="19" t="s">
        <v>34</v>
      </c>
      <c r="L2855" s="19" t="s">
        <v>2</v>
      </c>
      <c r="M2855" s="21" t="s">
        <v>86</v>
      </c>
      <c r="N2855" s="20" t="s">
        <v>83</v>
      </c>
      <c r="O2855" s="19" t="s">
        <v>11</v>
      </c>
      <c r="P2855" s="10"/>
      <c r="Q2855" s="11"/>
    </row>
    <row r="2856" spans="2:17" ht="21" customHeight="1" x14ac:dyDescent="0.35">
      <c r="B2856" s="1">
        <v>44163</v>
      </c>
      <c r="C2856" s="1" t="str">
        <f>TEXT(Sales[[#This Row],[Kode Program/Kegiatan ]],"D")</f>
        <v>28</v>
      </c>
      <c r="D2856" s="2" t="str">
        <f>TEXT(Sales[[#This Row],[Kode Program/Kegiatan ]],"mmm")</f>
        <v>Nov</v>
      </c>
      <c r="E2856" s="3">
        <v>10</v>
      </c>
      <c r="F2856" s="2">
        <v>10</v>
      </c>
      <c r="G2856" s="3" t="str">
        <f>IF(Sales[[#This Row],[Anggaran Murni]]-Sales[[#This Row],[Target s.d. Januari]]=0,"",Sales[[#This Row],[Anggaran Murni]]-Sales[[#This Row],[Target s.d. Januari]])</f>
        <v/>
      </c>
      <c r="H2856" s="2" t="s">
        <v>113</v>
      </c>
      <c r="I2856" s="3" t="s">
        <v>77</v>
      </c>
      <c r="J2856" s="3">
        <v>120000000</v>
      </c>
      <c r="K2856" s="2" t="s">
        <v>27</v>
      </c>
      <c r="L2856" s="2" t="s">
        <v>5</v>
      </c>
      <c r="M2856" s="4" t="s">
        <v>86</v>
      </c>
      <c r="N2856" s="3" t="s">
        <v>83</v>
      </c>
      <c r="O2856" s="2" t="s">
        <v>14</v>
      </c>
      <c r="P2856" s="10"/>
      <c r="Q2856" s="11"/>
    </row>
    <row r="2857" spans="2:17" ht="21" customHeight="1" x14ac:dyDescent="0.35">
      <c r="B2857" s="18">
        <v>44163</v>
      </c>
      <c r="C2857" s="18" t="str">
        <f>TEXT(Sales[[#This Row],[Kode Program/Kegiatan ]],"D")</f>
        <v>28</v>
      </c>
      <c r="D2857" s="19" t="str">
        <f>TEXT(Sales[[#This Row],[Kode Program/Kegiatan ]],"mmm")</f>
        <v>Nov</v>
      </c>
      <c r="E2857" s="20">
        <v>10</v>
      </c>
      <c r="F2857" s="19">
        <v>10</v>
      </c>
      <c r="G2857" s="20" t="str">
        <f>IF(Sales[[#This Row],[Anggaran Murni]]-Sales[[#This Row],[Target s.d. Januari]]=0,"",Sales[[#This Row],[Anggaran Murni]]-Sales[[#This Row],[Target s.d. Januari]])</f>
        <v/>
      </c>
      <c r="H2857" s="19" t="s">
        <v>76</v>
      </c>
      <c r="I2857" s="20" t="s">
        <v>79</v>
      </c>
      <c r="J2857" s="20">
        <v>60000000</v>
      </c>
      <c r="K2857" s="19" t="s">
        <v>56</v>
      </c>
      <c r="L2857" s="19" t="s">
        <v>9</v>
      </c>
      <c r="M2857" s="21" t="s">
        <v>86</v>
      </c>
      <c r="N2857" s="20" t="s">
        <v>83</v>
      </c>
      <c r="O2857" s="19" t="s">
        <v>14</v>
      </c>
      <c r="P2857" s="10"/>
      <c r="Q2857" s="11"/>
    </row>
    <row r="2858" spans="2:17" ht="21" customHeight="1" x14ac:dyDescent="0.35">
      <c r="B2858" s="1">
        <v>44163</v>
      </c>
      <c r="C2858" s="1" t="str">
        <f>TEXT(Sales[[#This Row],[Kode Program/Kegiatan ]],"D")</f>
        <v>28</v>
      </c>
      <c r="D2858" s="2" t="str">
        <f>TEXT(Sales[[#This Row],[Kode Program/Kegiatan ]],"mmm")</f>
        <v>Nov</v>
      </c>
      <c r="E2858" s="3">
        <v>9</v>
      </c>
      <c r="F2858" s="2">
        <v>9</v>
      </c>
      <c r="G2858" s="3" t="str">
        <f>IF(Sales[[#This Row],[Anggaran Murni]]-Sales[[#This Row],[Target s.d. Januari]]=0,"",Sales[[#This Row],[Anggaran Murni]]-Sales[[#This Row],[Target s.d. Januari]])</f>
        <v/>
      </c>
      <c r="H2858" s="2" t="s">
        <v>76</v>
      </c>
      <c r="I2858" s="3" t="s">
        <v>79</v>
      </c>
      <c r="J2858" s="3">
        <v>80000000</v>
      </c>
      <c r="K2858" s="2" t="s">
        <v>50</v>
      </c>
      <c r="L2858" s="2" t="s">
        <v>7</v>
      </c>
      <c r="M2858" s="4" t="s">
        <v>86</v>
      </c>
      <c r="N2858" s="3" t="s">
        <v>83</v>
      </c>
      <c r="O2858" s="2" t="s">
        <v>11</v>
      </c>
      <c r="P2858" s="10"/>
      <c r="Q2858" s="11"/>
    </row>
    <row r="2859" spans="2:17" ht="21" customHeight="1" x14ac:dyDescent="0.35">
      <c r="B2859" s="18">
        <v>44163</v>
      </c>
      <c r="C2859" s="18" t="str">
        <f>TEXT(Sales[[#This Row],[Kode Program/Kegiatan ]],"D")</f>
        <v>28</v>
      </c>
      <c r="D2859" s="19" t="str">
        <f>TEXT(Sales[[#This Row],[Kode Program/Kegiatan ]],"mmm")</f>
        <v>Nov</v>
      </c>
      <c r="E2859" s="20">
        <v>7</v>
      </c>
      <c r="F2859" s="19">
        <v>4</v>
      </c>
      <c r="G2859" s="20">
        <f>IF(Sales[[#This Row],[Anggaran Murni]]-Sales[[#This Row],[Target s.d. Januari]]=0,"",Sales[[#This Row],[Anggaran Murni]]-Sales[[#This Row],[Target s.d. Januari]])</f>
        <v>3</v>
      </c>
      <c r="H2859" s="19" t="s">
        <v>113</v>
      </c>
      <c r="I2859" s="20" t="s">
        <v>77</v>
      </c>
      <c r="J2859" s="20">
        <v>80000000</v>
      </c>
      <c r="K2859" s="19" t="s">
        <v>58</v>
      </c>
      <c r="L2859" s="19" t="s">
        <v>7</v>
      </c>
      <c r="M2859" s="21" t="s">
        <v>86</v>
      </c>
      <c r="N2859" s="20" t="s">
        <v>83</v>
      </c>
      <c r="O2859" s="19" t="s">
        <v>11</v>
      </c>
      <c r="P2859" s="10"/>
      <c r="Q2859" s="11"/>
    </row>
    <row r="2860" spans="2:17" ht="21" customHeight="1" x14ac:dyDescent="0.35">
      <c r="B2860" s="1">
        <v>44163</v>
      </c>
      <c r="C2860" s="1" t="str">
        <f>TEXT(Sales[[#This Row],[Kode Program/Kegiatan ]],"D")</f>
        <v>28</v>
      </c>
      <c r="D2860" s="2" t="str">
        <f>TEXT(Sales[[#This Row],[Kode Program/Kegiatan ]],"mmm")</f>
        <v>Nov</v>
      </c>
      <c r="E2860" s="3">
        <v>7</v>
      </c>
      <c r="F2860" s="2">
        <v>5</v>
      </c>
      <c r="G2860" s="3">
        <f>IF(Sales[[#This Row],[Anggaran Murni]]-Sales[[#This Row],[Target s.d. Januari]]=0,"",Sales[[#This Row],[Anggaran Murni]]-Sales[[#This Row],[Target s.d. Januari]])</f>
        <v>2</v>
      </c>
      <c r="H2860" s="2" t="s">
        <v>73</v>
      </c>
      <c r="I2860" s="3" t="s">
        <v>78</v>
      </c>
      <c r="J2860" s="3">
        <v>80000000</v>
      </c>
      <c r="K2860" s="2" t="s">
        <v>56</v>
      </c>
      <c r="L2860" s="2" t="s">
        <v>7</v>
      </c>
      <c r="M2860" s="4" t="s">
        <v>86</v>
      </c>
      <c r="N2860" s="3" t="s">
        <v>83</v>
      </c>
      <c r="O2860" s="2" t="s">
        <v>14</v>
      </c>
      <c r="P2860" s="10"/>
      <c r="Q2860" s="11"/>
    </row>
    <row r="2861" spans="2:17" ht="21" customHeight="1" x14ac:dyDescent="0.35">
      <c r="B2861" s="18">
        <v>44163</v>
      </c>
      <c r="C2861" s="18" t="str">
        <f>TEXT(Sales[[#This Row],[Kode Program/Kegiatan ]],"D")</f>
        <v>28</v>
      </c>
      <c r="D2861" s="19" t="str">
        <f>TEXT(Sales[[#This Row],[Kode Program/Kegiatan ]],"mmm")</f>
        <v>Nov</v>
      </c>
      <c r="E2861" s="20">
        <v>4</v>
      </c>
      <c r="F2861" s="19">
        <v>3</v>
      </c>
      <c r="G2861" s="20">
        <f>IF(Sales[[#This Row],[Anggaran Murni]]-Sales[[#This Row],[Target s.d. Januari]]=0,"",Sales[[#This Row],[Anggaran Murni]]-Sales[[#This Row],[Target s.d. Januari]])</f>
        <v>1</v>
      </c>
      <c r="H2861" s="19" t="s">
        <v>74</v>
      </c>
      <c r="I2861" s="20" t="s">
        <v>77</v>
      </c>
      <c r="J2861" s="20">
        <v>60000000</v>
      </c>
      <c r="K2861" s="19" t="s">
        <v>18</v>
      </c>
      <c r="L2861" s="19" t="s">
        <v>8</v>
      </c>
      <c r="M2861" s="21" t="s">
        <v>86</v>
      </c>
      <c r="N2861" s="20" t="s">
        <v>83</v>
      </c>
      <c r="O2861" s="19" t="s">
        <v>12</v>
      </c>
      <c r="P2861" s="10"/>
      <c r="Q2861" s="11"/>
    </row>
    <row r="2862" spans="2:17" ht="21" customHeight="1" x14ac:dyDescent="0.35">
      <c r="B2862" s="1">
        <v>44163</v>
      </c>
      <c r="C2862" s="1" t="str">
        <f>TEXT(Sales[[#This Row],[Kode Program/Kegiatan ]],"D")</f>
        <v>28</v>
      </c>
      <c r="D2862" s="2" t="str">
        <f>TEXT(Sales[[#This Row],[Kode Program/Kegiatan ]],"mmm")</f>
        <v>Nov</v>
      </c>
      <c r="E2862" s="3">
        <v>4</v>
      </c>
      <c r="F2862" s="2">
        <v>3</v>
      </c>
      <c r="G2862" s="3">
        <f>IF(Sales[[#This Row],[Anggaran Murni]]-Sales[[#This Row],[Target s.d. Januari]]=0,"",Sales[[#This Row],[Anggaran Murni]]-Sales[[#This Row],[Target s.d. Januari]])</f>
        <v>1</v>
      </c>
      <c r="H2862" s="2" t="s">
        <v>113</v>
      </c>
      <c r="I2862" s="3" t="s">
        <v>77</v>
      </c>
      <c r="J2862" s="3">
        <v>120000000</v>
      </c>
      <c r="K2862" s="2" t="s">
        <v>46</v>
      </c>
      <c r="L2862" s="2" t="s">
        <v>2</v>
      </c>
      <c r="M2862" s="4" t="s">
        <v>86</v>
      </c>
      <c r="N2862" s="3" t="s">
        <v>83</v>
      </c>
      <c r="O2862" s="2" t="s">
        <v>11</v>
      </c>
      <c r="P2862" s="10"/>
      <c r="Q2862" s="11"/>
    </row>
    <row r="2863" spans="2:17" ht="21" customHeight="1" x14ac:dyDescent="0.35">
      <c r="B2863" s="18">
        <v>44163</v>
      </c>
      <c r="C2863" s="18" t="str">
        <f>TEXT(Sales[[#This Row],[Kode Program/Kegiatan ]],"D")</f>
        <v>28</v>
      </c>
      <c r="D2863" s="19" t="str">
        <f>TEXT(Sales[[#This Row],[Kode Program/Kegiatan ]],"mmm")</f>
        <v>Nov</v>
      </c>
      <c r="E2863" s="20">
        <v>4</v>
      </c>
      <c r="F2863" s="19">
        <v>3</v>
      </c>
      <c r="G2863" s="20">
        <f>IF(Sales[[#This Row],[Anggaran Murni]]-Sales[[#This Row],[Target s.d. Januari]]=0,"",Sales[[#This Row],[Anggaran Murni]]-Sales[[#This Row],[Target s.d. Januari]])</f>
        <v>1</v>
      </c>
      <c r="H2863" s="19" t="s">
        <v>114</v>
      </c>
      <c r="I2863" s="20" t="s">
        <v>3</v>
      </c>
      <c r="J2863" s="20">
        <v>60000000</v>
      </c>
      <c r="K2863" s="19" t="s">
        <v>53</v>
      </c>
      <c r="L2863" s="19" t="s">
        <v>5</v>
      </c>
      <c r="M2863" s="21" t="s">
        <v>86</v>
      </c>
      <c r="N2863" s="20" t="s">
        <v>83</v>
      </c>
      <c r="O2863" s="19" t="s">
        <v>14</v>
      </c>
      <c r="P2863" s="10"/>
      <c r="Q2863" s="11"/>
    </row>
    <row r="2864" spans="2:17" ht="21" customHeight="1" x14ac:dyDescent="0.35">
      <c r="B2864" s="1">
        <v>44164</v>
      </c>
      <c r="C2864" s="1" t="str">
        <f>TEXT(Sales[[#This Row],[Kode Program/Kegiatan ]],"D")</f>
        <v>29</v>
      </c>
      <c r="D2864" s="2" t="str">
        <f>TEXT(Sales[[#This Row],[Kode Program/Kegiatan ]],"mmm")</f>
        <v>Nov</v>
      </c>
      <c r="E2864" s="3">
        <v>10</v>
      </c>
      <c r="F2864" s="2">
        <v>9</v>
      </c>
      <c r="G2864" s="3">
        <f>IF(Sales[[#This Row],[Anggaran Murni]]-Sales[[#This Row],[Target s.d. Januari]]=0,"",Sales[[#This Row],[Anggaran Murni]]-Sales[[#This Row],[Target s.d. Januari]])</f>
        <v>1</v>
      </c>
      <c r="H2864" s="2" t="s">
        <v>114</v>
      </c>
      <c r="I2864" s="3" t="s">
        <v>3</v>
      </c>
      <c r="J2864" s="3">
        <v>40000000</v>
      </c>
      <c r="K2864" s="2" t="s">
        <v>57</v>
      </c>
      <c r="L2864" s="2" t="s">
        <v>7</v>
      </c>
      <c r="M2864" s="4" t="s">
        <v>86</v>
      </c>
      <c r="N2864" s="3" t="s">
        <v>83</v>
      </c>
      <c r="O2864" s="2" t="s">
        <v>13</v>
      </c>
      <c r="P2864" s="10"/>
      <c r="Q2864" s="11"/>
    </row>
    <row r="2865" spans="2:17" ht="21" customHeight="1" x14ac:dyDescent="0.35">
      <c r="B2865" s="18">
        <v>44164</v>
      </c>
      <c r="C2865" s="18" t="str">
        <f>TEXT(Sales[[#This Row],[Kode Program/Kegiatan ]],"D")</f>
        <v>29</v>
      </c>
      <c r="D2865" s="19" t="str">
        <f>TEXT(Sales[[#This Row],[Kode Program/Kegiatan ]],"mmm")</f>
        <v>Nov</v>
      </c>
      <c r="E2865" s="20">
        <v>10</v>
      </c>
      <c r="F2865" s="19">
        <v>8</v>
      </c>
      <c r="G2865" s="20">
        <f>IF(Sales[[#This Row],[Anggaran Murni]]-Sales[[#This Row],[Target s.d. Januari]]=0,"",Sales[[#This Row],[Anggaran Murni]]-Sales[[#This Row],[Target s.d. Januari]])</f>
        <v>2</v>
      </c>
      <c r="H2865" s="19" t="s">
        <v>74</v>
      </c>
      <c r="I2865" s="20" t="s">
        <v>77</v>
      </c>
      <c r="J2865" s="20">
        <v>40000000</v>
      </c>
      <c r="K2865" s="19" t="s">
        <v>31</v>
      </c>
      <c r="L2865" s="19" t="s">
        <v>2</v>
      </c>
      <c r="M2865" s="21" t="s">
        <v>86</v>
      </c>
      <c r="N2865" s="20" t="s">
        <v>83</v>
      </c>
      <c r="O2865" s="19" t="s">
        <v>13</v>
      </c>
      <c r="P2865" s="10"/>
      <c r="Q2865" s="11"/>
    </row>
    <row r="2866" spans="2:17" ht="21" customHeight="1" x14ac:dyDescent="0.35">
      <c r="B2866" s="1">
        <v>44164</v>
      </c>
      <c r="C2866" s="1" t="str">
        <f>TEXT(Sales[[#This Row],[Kode Program/Kegiatan ]],"D")</f>
        <v>29</v>
      </c>
      <c r="D2866" s="2" t="str">
        <f>TEXT(Sales[[#This Row],[Kode Program/Kegiatan ]],"mmm")</f>
        <v>Nov</v>
      </c>
      <c r="E2866" s="3">
        <v>10</v>
      </c>
      <c r="F2866" s="2">
        <v>7</v>
      </c>
      <c r="G2866" s="3">
        <f>IF(Sales[[#This Row],[Anggaran Murni]]-Sales[[#This Row],[Target s.d. Januari]]=0,"",Sales[[#This Row],[Anggaran Murni]]-Sales[[#This Row],[Target s.d. Januari]])</f>
        <v>3</v>
      </c>
      <c r="H2866" s="2" t="s">
        <v>72</v>
      </c>
      <c r="I2866" s="3" t="s">
        <v>78</v>
      </c>
      <c r="J2866" s="3">
        <v>120000000</v>
      </c>
      <c r="K2866" s="2" t="s">
        <v>51</v>
      </c>
      <c r="L2866" s="2" t="s">
        <v>9</v>
      </c>
      <c r="M2866" s="4" t="s">
        <v>86</v>
      </c>
      <c r="N2866" s="3" t="s">
        <v>83</v>
      </c>
      <c r="O2866" s="2" t="s">
        <v>13</v>
      </c>
      <c r="P2866" s="10"/>
      <c r="Q2866" s="11"/>
    </row>
    <row r="2867" spans="2:17" ht="21" customHeight="1" x14ac:dyDescent="0.35">
      <c r="B2867" s="18">
        <v>44164</v>
      </c>
      <c r="C2867" s="18" t="str">
        <f>TEXT(Sales[[#This Row],[Kode Program/Kegiatan ]],"D")</f>
        <v>29</v>
      </c>
      <c r="D2867" s="19" t="str">
        <f>TEXT(Sales[[#This Row],[Kode Program/Kegiatan ]],"mmm")</f>
        <v>Nov</v>
      </c>
      <c r="E2867" s="20">
        <v>9</v>
      </c>
      <c r="F2867" s="19">
        <v>7</v>
      </c>
      <c r="G2867" s="20">
        <f>IF(Sales[[#This Row],[Anggaran Murni]]-Sales[[#This Row],[Target s.d. Januari]]=0,"",Sales[[#This Row],[Anggaran Murni]]-Sales[[#This Row],[Target s.d. Januari]])</f>
        <v>2</v>
      </c>
      <c r="H2867" s="19" t="s">
        <v>114</v>
      </c>
      <c r="I2867" s="20" t="s">
        <v>3</v>
      </c>
      <c r="J2867" s="20">
        <v>60000000</v>
      </c>
      <c r="K2867" s="19" t="s">
        <v>50</v>
      </c>
      <c r="L2867" s="19" t="s">
        <v>5</v>
      </c>
      <c r="M2867" s="21" t="s">
        <v>86</v>
      </c>
      <c r="N2867" s="20" t="s">
        <v>83</v>
      </c>
      <c r="O2867" s="19" t="s">
        <v>12</v>
      </c>
      <c r="P2867" s="10"/>
      <c r="Q2867" s="11"/>
    </row>
    <row r="2868" spans="2:17" ht="21" customHeight="1" x14ac:dyDescent="0.35">
      <c r="B2868" s="1">
        <v>44164</v>
      </c>
      <c r="C2868" s="1" t="str">
        <f>TEXT(Sales[[#This Row],[Kode Program/Kegiatan ]],"D")</f>
        <v>29</v>
      </c>
      <c r="D2868" s="2" t="str">
        <f>TEXT(Sales[[#This Row],[Kode Program/Kegiatan ]],"mmm")</f>
        <v>Nov</v>
      </c>
      <c r="E2868" s="3">
        <v>8</v>
      </c>
      <c r="F2868" s="2">
        <v>5</v>
      </c>
      <c r="G2868" s="3">
        <f>IF(Sales[[#This Row],[Anggaran Murni]]-Sales[[#This Row],[Target s.d. Januari]]=0,"",Sales[[#This Row],[Anggaran Murni]]-Sales[[#This Row],[Target s.d. Januari]])</f>
        <v>3</v>
      </c>
      <c r="H2868" s="2" t="s">
        <v>76</v>
      </c>
      <c r="I2868" s="3" t="s">
        <v>79</v>
      </c>
      <c r="J2868" s="3">
        <v>40000000</v>
      </c>
      <c r="K2868" s="2" t="s">
        <v>56</v>
      </c>
      <c r="L2868" s="2" t="s">
        <v>9</v>
      </c>
      <c r="M2868" s="4" t="s">
        <v>86</v>
      </c>
      <c r="N2868" s="3" t="s">
        <v>83</v>
      </c>
      <c r="O2868" s="2" t="s">
        <v>13</v>
      </c>
      <c r="P2868" s="10"/>
      <c r="Q2868" s="11"/>
    </row>
    <row r="2869" spans="2:17" ht="21" customHeight="1" x14ac:dyDescent="0.35">
      <c r="B2869" s="18">
        <v>44164</v>
      </c>
      <c r="C2869" s="18" t="str">
        <f>TEXT(Sales[[#This Row],[Kode Program/Kegiatan ]],"D")</f>
        <v>29</v>
      </c>
      <c r="D2869" s="19" t="str">
        <f>TEXT(Sales[[#This Row],[Kode Program/Kegiatan ]],"mmm")</f>
        <v>Nov</v>
      </c>
      <c r="E2869" s="20">
        <v>8</v>
      </c>
      <c r="F2869" s="19">
        <v>6</v>
      </c>
      <c r="G2869" s="20">
        <f>IF(Sales[[#This Row],[Anggaran Murni]]-Sales[[#This Row],[Target s.d. Januari]]=0,"",Sales[[#This Row],[Anggaran Murni]]-Sales[[#This Row],[Target s.d. Januari]])</f>
        <v>2</v>
      </c>
      <c r="H2869" s="19" t="s">
        <v>70</v>
      </c>
      <c r="I2869" s="20" t="s">
        <v>1</v>
      </c>
      <c r="J2869" s="20">
        <v>140000000</v>
      </c>
      <c r="K2869" s="19" t="s">
        <v>55</v>
      </c>
      <c r="L2869" s="19" t="s">
        <v>2</v>
      </c>
      <c r="M2869" s="21" t="s">
        <v>86</v>
      </c>
      <c r="N2869" s="20" t="s">
        <v>83</v>
      </c>
      <c r="O2869" s="19" t="s">
        <v>12</v>
      </c>
      <c r="P2869" s="10"/>
      <c r="Q2869" s="11"/>
    </row>
    <row r="2870" spans="2:17" ht="21" customHeight="1" x14ac:dyDescent="0.35">
      <c r="B2870" s="1">
        <v>44164</v>
      </c>
      <c r="C2870" s="1" t="str">
        <f>TEXT(Sales[[#This Row],[Kode Program/Kegiatan ]],"D")</f>
        <v>29</v>
      </c>
      <c r="D2870" s="2" t="str">
        <f>TEXT(Sales[[#This Row],[Kode Program/Kegiatan ]],"mmm")</f>
        <v>Nov</v>
      </c>
      <c r="E2870" s="3">
        <v>8</v>
      </c>
      <c r="F2870" s="2">
        <v>7</v>
      </c>
      <c r="G2870" s="3">
        <f>IF(Sales[[#This Row],[Anggaran Murni]]-Sales[[#This Row],[Target s.d. Januari]]=0,"",Sales[[#This Row],[Anggaran Murni]]-Sales[[#This Row],[Target s.d. Januari]])</f>
        <v>1</v>
      </c>
      <c r="H2870" s="2" t="s">
        <v>70</v>
      </c>
      <c r="I2870" s="3" t="s">
        <v>1</v>
      </c>
      <c r="J2870" s="3">
        <v>100000000</v>
      </c>
      <c r="K2870" s="2" t="s">
        <v>61</v>
      </c>
      <c r="L2870" s="2" t="s">
        <v>2</v>
      </c>
      <c r="M2870" s="4" t="s">
        <v>86</v>
      </c>
      <c r="N2870" s="3" t="s">
        <v>83</v>
      </c>
      <c r="O2870" s="2" t="s">
        <v>12</v>
      </c>
      <c r="P2870" s="10"/>
      <c r="Q2870" s="11"/>
    </row>
    <row r="2871" spans="2:17" ht="21" customHeight="1" x14ac:dyDescent="0.35">
      <c r="B2871" s="18">
        <v>44164</v>
      </c>
      <c r="C2871" s="18" t="str">
        <f>TEXT(Sales[[#This Row],[Kode Program/Kegiatan ]],"D")</f>
        <v>29</v>
      </c>
      <c r="D2871" s="19" t="str">
        <f>TEXT(Sales[[#This Row],[Kode Program/Kegiatan ]],"mmm")</f>
        <v>Nov</v>
      </c>
      <c r="E2871" s="20">
        <v>7</v>
      </c>
      <c r="F2871" s="19">
        <v>4</v>
      </c>
      <c r="G2871" s="20">
        <f>IF(Sales[[#This Row],[Anggaran Murni]]-Sales[[#This Row],[Target s.d. Januari]]=0,"",Sales[[#This Row],[Anggaran Murni]]-Sales[[#This Row],[Target s.d. Januari]])</f>
        <v>3</v>
      </c>
      <c r="H2871" s="19" t="s">
        <v>74</v>
      </c>
      <c r="I2871" s="20" t="s">
        <v>77</v>
      </c>
      <c r="J2871" s="20">
        <v>140000000</v>
      </c>
      <c r="K2871" s="19" t="s">
        <v>17</v>
      </c>
      <c r="L2871" s="19" t="s">
        <v>8</v>
      </c>
      <c r="M2871" s="21" t="s">
        <v>86</v>
      </c>
      <c r="N2871" s="20" t="s">
        <v>83</v>
      </c>
      <c r="O2871" s="19" t="s">
        <v>13</v>
      </c>
      <c r="P2871" s="10"/>
      <c r="Q2871" s="11"/>
    </row>
    <row r="2872" spans="2:17" ht="21" customHeight="1" x14ac:dyDescent="0.35">
      <c r="B2872" s="1">
        <v>44164</v>
      </c>
      <c r="C2872" s="1" t="str">
        <f>TEXT(Sales[[#This Row],[Kode Program/Kegiatan ]],"D")</f>
        <v>29</v>
      </c>
      <c r="D2872" s="2" t="str">
        <f>TEXT(Sales[[#This Row],[Kode Program/Kegiatan ]],"mmm")</f>
        <v>Nov</v>
      </c>
      <c r="E2872" s="3">
        <v>5</v>
      </c>
      <c r="F2872" s="2">
        <v>3</v>
      </c>
      <c r="G2872" s="3">
        <f>IF(Sales[[#This Row],[Anggaran Murni]]-Sales[[#This Row],[Target s.d. Januari]]=0,"",Sales[[#This Row],[Anggaran Murni]]-Sales[[#This Row],[Target s.d. Januari]])</f>
        <v>2</v>
      </c>
      <c r="H2872" s="2" t="s">
        <v>113</v>
      </c>
      <c r="I2872" s="3" t="s">
        <v>77</v>
      </c>
      <c r="J2872" s="3">
        <v>140000000</v>
      </c>
      <c r="K2872" s="2" t="s">
        <v>15</v>
      </c>
      <c r="L2872" s="2" t="s">
        <v>4</v>
      </c>
      <c r="M2872" s="4" t="s">
        <v>86</v>
      </c>
      <c r="N2872" s="3" t="s">
        <v>83</v>
      </c>
      <c r="O2872" s="2" t="s">
        <v>12</v>
      </c>
      <c r="P2872" s="10"/>
      <c r="Q2872" s="11"/>
    </row>
    <row r="2873" spans="2:17" ht="21" customHeight="1" x14ac:dyDescent="0.35">
      <c r="B2873" s="18">
        <v>44164</v>
      </c>
      <c r="C2873" s="18" t="str">
        <f>TEXT(Sales[[#This Row],[Kode Program/Kegiatan ]],"D")</f>
        <v>29</v>
      </c>
      <c r="D2873" s="19" t="str">
        <f>TEXT(Sales[[#This Row],[Kode Program/Kegiatan ]],"mmm")</f>
        <v>Nov</v>
      </c>
      <c r="E2873" s="20">
        <v>4</v>
      </c>
      <c r="F2873" s="19">
        <v>3</v>
      </c>
      <c r="G2873" s="20">
        <f>IF(Sales[[#This Row],[Anggaran Murni]]-Sales[[#This Row],[Target s.d. Januari]]=0,"",Sales[[#This Row],[Anggaran Murni]]-Sales[[#This Row],[Target s.d. Januari]])</f>
        <v>1</v>
      </c>
      <c r="H2873" s="19" t="s">
        <v>70</v>
      </c>
      <c r="I2873" s="20" t="s">
        <v>1</v>
      </c>
      <c r="J2873" s="20">
        <v>80000000</v>
      </c>
      <c r="K2873" s="19" t="s">
        <v>33</v>
      </c>
      <c r="L2873" s="19" t="s">
        <v>2</v>
      </c>
      <c r="M2873" s="21" t="s">
        <v>86</v>
      </c>
      <c r="N2873" s="20" t="s">
        <v>83</v>
      </c>
      <c r="O2873" s="19" t="s">
        <v>12</v>
      </c>
      <c r="P2873" s="10"/>
      <c r="Q2873" s="11"/>
    </row>
    <row r="2874" spans="2:17" ht="21" customHeight="1" x14ac:dyDescent="0.35">
      <c r="B2874" s="1">
        <v>44164</v>
      </c>
      <c r="C2874" s="1" t="str">
        <f>TEXT(Sales[[#This Row],[Kode Program/Kegiatan ]],"D")</f>
        <v>29</v>
      </c>
      <c r="D2874" s="2" t="str">
        <f>TEXT(Sales[[#This Row],[Kode Program/Kegiatan ]],"mmm")</f>
        <v>Nov</v>
      </c>
      <c r="E2874" s="3">
        <v>3</v>
      </c>
      <c r="F2874" s="2">
        <v>2</v>
      </c>
      <c r="G2874" s="3">
        <f>IF(Sales[[#This Row],[Anggaran Murni]]-Sales[[#This Row],[Target s.d. Januari]]=0,"",Sales[[#This Row],[Anggaran Murni]]-Sales[[#This Row],[Target s.d. Januari]])</f>
        <v>1</v>
      </c>
      <c r="H2874" s="2" t="s">
        <v>114</v>
      </c>
      <c r="I2874" s="3" t="s">
        <v>3</v>
      </c>
      <c r="J2874" s="3">
        <v>80000000</v>
      </c>
      <c r="K2874" s="2" t="s">
        <v>53</v>
      </c>
      <c r="L2874" s="2" t="s">
        <v>8</v>
      </c>
      <c r="M2874" s="4" t="s">
        <v>86</v>
      </c>
      <c r="N2874" s="3" t="s">
        <v>83</v>
      </c>
      <c r="O2874" s="2" t="s">
        <v>12</v>
      </c>
      <c r="P2874" s="10"/>
      <c r="Q2874" s="11"/>
    </row>
    <row r="2875" spans="2:17" ht="21" customHeight="1" x14ac:dyDescent="0.35">
      <c r="B2875" s="18">
        <v>44165</v>
      </c>
      <c r="C2875" s="18" t="str">
        <f>TEXT(Sales[[#This Row],[Kode Program/Kegiatan ]],"D")</f>
        <v>30</v>
      </c>
      <c r="D2875" s="19" t="str">
        <f>TEXT(Sales[[#This Row],[Kode Program/Kegiatan ]],"mmm")</f>
        <v>Nov</v>
      </c>
      <c r="E2875" s="20">
        <v>10</v>
      </c>
      <c r="F2875" s="19">
        <v>7</v>
      </c>
      <c r="G2875" s="20">
        <f>IF(Sales[[#This Row],[Anggaran Murni]]-Sales[[#This Row],[Target s.d. Januari]]=0,"",Sales[[#This Row],[Anggaran Murni]]-Sales[[#This Row],[Target s.d. Januari]])</f>
        <v>3</v>
      </c>
      <c r="H2875" s="19" t="s">
        <v>70</v>
      </c>
      <c r="I2875" s="20" t="s">
        <v>1</v>
      </c>
      <c r="J2875" s="20">
        <v>80000000</v>
      </c>
      <c r="K2875" s="19" t="s">
        <v>21</v>
      </c>
      <c r="L2875" s="19" t="s">
        <v>2</v>
      </c>
      <c r="M2875" s="21" t="s">
        <v>86</v>
      </c>
      <c r="N2875" s="20" t="s">
        <v>83</v>
      </c>
      <c r="O2875" s="19" t="s">
        <v>13</v>
      </c>
      <c r="P2875" s="10"/>
      <c r="Q2875" s="11"/>
    </row>
    <row r="2876" spans="2:17" ht="21" customHeight="1" x14ac:dyDescent="0.35">
      <c r="B2876" s="1">
        <v>44165</v>
      </c>
      <c r="C2876" s="1" t="str">
        <f>TEXT(Sales[[#This Row],[Kode Program/Kegiatan ]],"D")</f>
        <v>30</v>
      </c>
      <c r="D2876" s="2" t="str">
        <f>TEXT(Sales[[#This Row],[Kode Program/Kegiatan ]],"mmm")</f>
        <v>Nov</v>
      </c>
      <c r="E2876" s="3">
        <v>10</v>
      </c>
      <c r="F2876" s="2">
        <v>6</v>
      </c>
      <c r="G2876" s="3">
        <f>IF(Sales[[#This Row],[Anggaran Murni]]-Sales[[#This Row],[Target s.d. Januari]]=0,"",Sales[[#This Row],[Anggaran Murni]]-Sales[[#This Row],[Target s.d. Januari]])</f>
        <v>4</v>
      </c>
      <c r="H2876" s="2" t="s">
        <v>70</v>
      </c>
      <c r="I2876" s="3" t="s">
        <v>1</v>
      </c>
      <c r="J2876" s="3">
        <v>120000000</v>
      </c>
      <c r="K2876" s="2" t="s">
        <v>24</v>
      </c>
      <c r="L2876" s="2" t="s">
        <v>2</v>
      </c>
      <c r="M2876" s="4" t="s">
        <v>86</v>
      </c>
      <c r="N2876" s="3" t="s">
        <v>83</v>
      </c>
      <c r="O2876" s="2" t="s">
        <v>13</v>
      </c>
      <c r="P2876" s="10"/>
      <c r="Q2876" s="11"/>
    </row>
    <row r="2877" spans="2:17" ht="21" customHeight="1" x14ac:dyDescent="0.35">
      <c r="B2877" s="18">
        <v>44165</v>
      </c>
      <c r="C2877" s="18" t="str">
        <f>TEXT(Sales[[#This Row],[Kode Program/Kegiatan ]],"D")</f>
        <v>30</v>
      </c>
      <c r="D2877" s="19" t="str">
        <f>TEXT(Sales[[#This Row],[Kode Program/Kegiatan ]],"mmm")</f>
        <v>Nov</v>
      </c>
      <c r="E2877" s="20">
        <v>8</v>
      </c>
      <c r="F2877" s="19">
        <v>7</v>
      </c>
      <c r="G2877" s="20">
        <f>IF(Sales[[#This Row],[Anggaran Murni]]-Sales[[#This Row],[Target s.d. Januari]]=0,"",Sales[[#This Row],[Anggaran Murni]]-Sales[[#This Row],[Target s.d. Januari]])</f>
        <v>1</v>
      </c>
      <c r="H2877" s="19" t="s">
        <v>75</v>
      </c>
      <c r="I2877" s="20" t="s">
        <v>6</v>
      </c>
      <c r="J2877" s="20">
        <v>80000000</v>
      </c>
      <c r="K2877" s="19" t="s">
        <v>57</v>
      </c>
      <c r="L2877" s="19" t="s">
        <v>2</v>
      </c>
      <c r="M2877" s="21" t="s">
        <v>86</v>
      </c>
      <c r="N2877" s="20" t="s">
        <v>83</v>
      </c>
      <c r="O2877" s="19" t="s">
        <v>11</v>
      </c>
      <c r="P2877" s="10"/>
      <c r="Q2877" s="11"/>
    </row>
    <row r="2878" spans="2:17" ht="21" customHeight="1" x14ac:dyDescent="0.35">
      <c r="B2878" s="1">
        <v>44165</v>
      </c>
      <c r="C2878" s="1" t="str">
        <f>TEXT(Sales[[#This Row],[Kode Program/Kegiatan ]],"D")</f>
        <v>30</v>
      </c>
      <c r="D2878" s="2" t="str">
        <f>TEXT(Sales[[#This Row],[Kode Program/Kegiatan ]],"mmm")</f>
        <v>Nov</v>
      </c>
      <c r="E2878" s="3">
        <v>7</v>
      </c>
      <c r="F2878" s="2">
        <v>6</v>
      </c>
      <c r="G2878" s="3">
        <f>IF(Sales[[#This Row],[Anggaran Murni]]-Sales[[#This Row],[Target s.d. Januari]]=0,"",Sales[[#This Row],[Anggaran Murni]]-Sales[[#This Row],[Target s.d. Januari]])</f>
        <v>1</v>
      </c>
      <c r="H2878" s="2" t="s">
        <v>71</v>
      </c>
      <c r="I2878" s="3" t="s">
        <v>6</v>
      </c>
      <c r="J2878" s="3">
        <v>40000000</v>
      </c>
      <c r="K2878" s="2" t="s">
        <v>34</v>
      </c>
      <c r="L2878" s="2" t="s">
        <v>5</v>
      </c>
      <c r="M2878" s="4" t="s">
        <v>86</v>
      </c>
      <c r="N2878" s="3" t="s">
        <v>83</v>
      </c>
      <c r="O2878" s="2" t="s">
        <v>12</v>
      </c>
      <c r="P2878" s="10"/>
      <c r="Q2878" s="11"/>
    </row>
    <row r="2879" spans="2:17" ht="21" customHeight="1" x14ac:dyDescent="0.35">
      <c r="B2879" s="18">
        <v>44165</v>
      </c>
      <c r="C2879" s="18" t="str">
        <f>TEXT(Sales[[#This Row],[Kode Program/Kegiatan ]],"D")</f>
        <v>30</v>
      </c>
      <c r="D2879" s="19" t="str">
        <f>TEXT(Sales[[#This Row],[Kode Program/Kegiatan ]],"mmm")</f>
        <v>Nov</v>
      </c>
      <c r="E2879" s="20">
        <v>7</v>
      </c>
      <c r="F2879" s="19">
        <v>4</v>
      </c>
      <c r="G2879" s="20">
        <f>IF(Sales[[#This Row],[Anggaran Murni]]-Sales[[#This Row],[Target s.d. Januari]]=0,"",Sales[[#This Row],[Anggaran Murni]]-Sales[[#This Row],[Target s.d. Januari]])</f>
        <v>3</v>
      </c>
      <c r="H2879" s="19" t="s">
        <v>71</v>
      </c>
      <c r="I2879" s="20" t="s">
        <v>6</v>
      </c>
      <c r="J2879" s="20">
        <v>80000000</v>
      </c>
      <c r="K2879" s="19" t="s">
        <v>55</v>
      </c>
      <c r="L2879" s="19" t="s">
        <v>5</v>
      </c>
      <c r="M2879" s="21" t="s">
        <v>86</v>
      </c>
      <c r="N2879" s="20" t="s">
        <v>83</v>
      </c>
      <c r="O2879" s="19" t="s">
        <v>13</v>
      </c>
      <c r="P2879" s="10"/>
      <c r="Q2879" s="11"/>
    </row>
    <row r="2880" spans="2:17" ht="21" customHeight="1" x14ac:dyDescent="0.35">
      <c r="B2880" s="1">
        <v>44165</v>
      </c>
      <c r="C2880" s="1" t="str">
        <f>TEXT(Sales[[#This Row],[Kode Program/Kegiatan ]],"D")</f>
        <v>30</v>
      </c>
      <c r="D2880" s="2" t="str">
        <f>TEXT(Sales[[#This Row],[Kode Program/Kegiatan ]],"mmm")</f>
        <v>Nov</v>
      </c>
      <c r="E2880" s="3">
        <v>5</v>
      </c>
      <c r="F2880" s="2">
        <v>4</v>
      </c>
      <c r="G2880" s="3">
        <f>IF(Sales[[#This Row],[Anggaran Murni]]-Sales[[#This Row],[Target s.d. Januari]]=0,"",Sales[[#This Row],[Anggaran Murni]]-Sales[[#This Row],[Target s.d. Januari]])</f>
        <v>1</v>
      </c>
      <c r="H2880" s="2" t="s">
        <v>73</v>
      </c>
      <c r="I2880" s="3" t="s">
        <v>78</v>
      </c>
      <c r="J2880" s="3">
        <v>100000000</v>
      </c>
      <c r="K2880" s="2" t="s">
        <v>60</v>
      </c>
      <c r="L2880" s="2" t="s">
        <v>2</v>
      </c>
      <c r="M2880" s="4" t="s">
        <v>86</v>
      </c>
      <c r="N2880" s="3" t="s">
        <v>83</v>
      </c>
      <c r="O2880" s="2" t="s">
        <v>14</v>
      </c>
      <c r="P2880" s="10"/>
      <c r="Q2880" s="11"/>
    </row>
    <row r="2881" spans="2:17" ht="21" customHeight="1" x14ac:dyDescent="0.35">
      <c r="B2881" s="18">
        <v>44165</v>
      </c>
      <c r="C2881" s="18" t="str">
        <f>TEXT(Sales[[#This Row],[Kode Program/Kegiatan ]],"D")</f>
        <v>30</v>
      </c>
      <c r="D2881" s="19" t="str">
        <f>TEXT(Sales[[#This Row],[Kode Program/Kegiatan ]],"mmm")</f>
        <v>Nov</v>
      </c>
      <c r="E2881" s="20">
        <v>4</v>
      </c>
      <c r="F2881" s="19">
        <v>3</v>
      </c>
      <c r="G2881" s="20">
        <f>IF(Sales[[#This Row],[Anggaran Murni]]-Sales[[#This Row],[Target s.d. Januari]]=0,"",Sales[[#This Row],[Anggaran Murni]]-Sales[[#This Row],[Target s.d. Januari]])</f>
        <v>1</v>
      </c>
      <c r="H2881" s="19" t="s">
        <v>73</v>
      </c>
      <c r="I2881" s="20" t="s">
        <v>78</v>
      </c>
      <c r="J2881" s="20">
        <v>120000000</v>
      </c>
      <c r="K2881" s="19" t="s">
        <v>52</v>
      </c>
      <c r="L2881" s="19" t="s">
        <v>5</v>
      </c>
      <c r="M2881" s="21" t="s">
        <v>86</v>
      </c>
      <c r="N2881" s="20" t="s">
        <v>83</v>
      </c>
      <c r="O2881" s="19" t="s">
        <v>12</v>
      </c>
      <c r="P2881" s="10"/>
      <c r="Q2881" s="11"/>
    </row>
    <row r="2882" spans="2:17" ht="21" customHeight="1" x14ac:dyDescent="0.35">
      <c r="B2882" s="1">
        <v>44165</v>
      </c>
      <c r="C2882" s="1" t="str">
        <f>TEXT(Sales[[#This Row],[Kode Program/Kegiatan ]],"D")</f>
        <v>30</v>
      </c>
      <c r="D2882" s="2" t="str">
        <f>TEXT(Sales[[#This Row],[Kode Program/Kegiatan ]],"mmm")</f>
        <v>Nov</v>
      </c>
      <c r="E2882" s="3">
        <v>3</v>
      </c>
      <c r="F2882" s="2">
        <v>1</v>
      </c>
      <c r="G2882" s="3">
        <f>IF(Sales[[#This Row],[Anggaran Murni]]-Sales[[#This Row],[Target s.d. Januari]]=0,"",Sales[[#This Row],[Anggaran Murni]]-Sales[[#This Row],[Target s.d. Januari]])</f>
        <v>2</v>
      </c>
      <c r="H2882" s="2" t="s">
        <v>73</v>
      </c>
      <c r="I2882" s="3" t="s">
        <v>78</v>
      </c>
      <c r="J2882" s="3">
        <v>40000000</v>
      </c>
      <c r="K2882" s="2" t="s">
        <v>17</v>
      </c>
      <c r="L2882" s="2" t="s">
        <v>2</v>
      </c>
      <c r="M2882" s="4" t="s">
        <v>86</v>
      </c>
      <c r="N2882" s="3" t="s">
        <v>83</v>
      </c>
      <c r="O2882" s="2" t="s">
        <v>14</v>
      </c>
      <c r="P2882" s="10"/>
      <c r="Q2882" s="11"/>
    </row>
    <row r="2883" spans="2:17" ht="21" customHeight="1" x14ac:dyDescent="0.35">
      <c r="B2883" s="18">
        <v>44165</v>
      </c>
      <c r="C2883" s="18" t="str">
        <f>TEXT(Sales[[#This Row],[Kode Program/Kegiatan ]],"D")</f>
        <v>30</v>
      </c>
      <c r="D2883" s="19" t="str">
        <f>TEXT(Sales[[#This Row],[Kode Program/Kegiatan ]],"mmm")</f>
        <v>Nov</v>
      </c>
      <c r="E2883" s="20">
        <v>3</v>
      </c>
      <c r="F2883" s="19">
        <v>2</v>
      </c>
      <c r="G2883" s="20">
        <f>IF(Sales[[#This Row],[Anggaran Murni]]-Sales[[#This Row],[Target s.d. Januari]]=0,"",Sales[[#This Row],[Anggaran Murni]]-Sales[[#This Row],[Target s.d. Januari]])</f>
        <v>1</v>
      </c>
      <c r="H2883" s="19" t="s">
        <v>76</v>
      </c>
      <c r="I2883" s="20" t="s">
        <v>79</v>
      </c>
      <c r="J2883" s="20">
        <v>40000000</v>
      </c>
      <c r="K2883" s="19" t="s">
        <v>28</v>
      </c>
      <c r="L2883" s="19" t="s">
        <v>2</v>
      </c>
      <c r="M2883" s="21" t="s">
        <v>86</v>
      </c>
      <c r="N2883" s="20" t="s">
        <v>83</v>
      </c>
      <c r="O2883" s="19" t="s">
        <v>13</v>
      </c>
      <c r="P2883" s="10"/>
      <c r="Q2883" s="11"/>
    </row>
    <row r="2884" spans="2:17" ht="21" customHeight="1" x14ac:dyDescent="0.35">
      <c r="B2884" s="1">
        <v>44165</v>
      </c>
      <c r="C2884" s="1" t="str">
        <f>TEXT(Sales[[#This Row],[Kode Program/Kegiatan ]],"D")</f>
        <v>30</v>
      </c>
      <c r="D2884" s="2" t="str">
        <f>TEXT(Sales[[#This Row],[Kode Program/Kegiatan ]],"mmm")</f>
        <v>Nov</v>
      </c>
      <c r="E2884" s="3">
        <v>3</v>
      </c>
      <c r="F2884" s="2">
        <v>2</v>
      </c>
      <c r="G2884" s="3">
        <f>IF(Sales[[#This Row],[Anggaran Murni]]-Sales[[#This Row],[Target s.d. Januari]]=0,"",Sales[[#This Row],[Anggaran Murni]]-Sales[[#This Row],[Target s.d. Januari]])</f>
        <v>1</v>
      </c>
      <c r="H2884" s="2" t="s">
        <v>70</v>
      </c>
      <c r="I2884" s="3" t="s">
        <v>1</v>
      </c>
      <c r="J2884" s="3">
        <v>40000000</v>
      </c>
      <c r="K2884" s="2" t="s">
        <v>45</v>
      </c>
      <c r="L2884" s="2" t="s">
        <v>8</v>
      </c>
      <c r="M2884" s="4" t="s">
        <v>86</v>
      </c>
      <c r="N2884" s="3" t="s">
        <v>83</v>
      </c>
      <c r="O2884" s="2" t="s">
        <v>13</v>
      </c>
      <c r="P2884" s="10"/>
      <c r="Q2884" s="11"/>
    </row>
    <row r="2885" spans="2:17" ht="21" customHeight="1" x14ac:dyDescent="0.35">
      <c r="B2885" s="18">
        <v>44166</v>
      </c>
      <c r="C2885" s="18" t="str">
        <f>TEXT(Sales[[#This Row],[Kode Program/Kegiatan ]],"D")</f>
        <v>1</v>
      </c>
      <c r="D2885" s="19" t="str">
        <f>TEXT(Sales[[#This Row],[Kode Program/Kegiatan ]],"mmm")</f>
        <v>Dec</v>
      </c>
      <c r="E2885" s="20">
        <v>10</v>
      </c>
      <c r="F2885" s="19">
        <v>9</v>
      </c>
      <c r="G2885" s="20">
        <f>IF(Sales[[#This Row],[Anggaran Murni]]-Sales[[#This Row],[Target s.d. Januari]]=0,"",Sales[[#This Row],[Anggaran Murni]]-Sales[[#This Row],[Target s.d. Januari]])</f>
        <v>1</v>
      </c>
      <c r="H2885" s="19" t="s">
        <v>114</v>
      </c>
      <c r="I2885" s="20" t="s">
        <v>3</v>
      </c>
      <c r="J2885" s="20">
        <v>120000000</v>
      </c>
      <c r="K2885" s="19" t="s">
        <v>28</v>
      </c>
      <c r="L2885" s="19" t="s">
        <v>9</v>
      </c>
      <c r="M2885" s="21" t="s">
        <v>67</v>
      </c>
      <c r="N2885" s="20" t="s">
        <v>82</v>
      </c>
      <c r="O2885" s="19" t="s">
        <v>13</v>
      </c>
      <c r="P2885" s="10"/>
      <c r="Q2885" s="11"/>
    </row>
    <row r="2886" spans="2:17" ht="21" customHeight="1" x14ac:dyDescent="0.35">
      <c r="B2886" s="1">
        <v>44166</v>
      </c>
      <c r="C2886" s="1" t="str">
        <f>TEXT(Sales[[#This Row],[Kode Program/Kegiatan ]],"D")</f>
        <v>1</v>
      </c>
      <c r="D2886" s="2" t="str">
        <f>TEXT(Sales[[#This Row],[Kode Program/Kegiatan ]],"mmm")</f>
        <v>Dec</v>
      </c>
      <c r="E2886" s="3">
        <v>8</v>
      </c>
      <c r="F2886" s="2">
        <v>7</v>
      </c>
      <c r="G2886" s="3">
        <f>IF(Sales[[#This Row],[Anggaran Murni]]-Sales[[#This Row],[Target s.d. Januari]]=0,"",Sales[[#This Row],[Anggaran Murni]]-Sales[[#This Row],[Target s.d. Januari]])</f>
        <v>1</v>
      </c>
      <c r="H2886" s="2" t="s">
        <v>113</v>
      </c>
      <c r="I2886" s="3" t="s">
        <v>77</v>
      </c>
      <c r="J2886" s="3">
        <v>80000000</v>
      </c>
      <c r="K2886" s="2" t="s">
        <v>23</v>
      </c>
      <c r="L2886" s="2" t="s">
        <v>7</v>
      </c>
      <c r="M2886" s="4" t="s">
        <v>67</v>
      </c>
      <c r="N2886" s="3" t="s">
        <v>81</v>
      </c>
      <c r="O2886" s="2" t="s">
        <v>11</v>
      </c>
      <c r="P2886" s="10"/>
      <c r="Q2886" s="11"/>
    </row>
    <row r="2887" spans="2:17" ht="21" customHeight="1" x14ac:dyDescent="0.35">
      <c r="B2887" s="18">
        <v>44166</v>
      </c>
      <c r="C2887" s="18" t="str">
        <f>TEXT(Sales[[#This Row],[Kode Program/Kegiatan ]],"D")</f>
        <v>1</v>
      </c>
      <c r="D2887" s="19" t="str">
        <f>TEXT(Sales[[#This Row],[Kode Program/Kegiatan ]],"mmm")</f>
        <v>Dec</v>
      </c>
      <c r="E2887" s="20">
        <v>5</v>
      </c>
      <c r="F2887" s="19">
        <v>3</v>
      </c>
      <c r="G2887" s="20">
        <f>IF(Sales[[#This Row],[Anggaran Murni]]-Sales[[#This Row],[Target s.d. Januari]]=0,"",Sales[[#This Row],[Anggaran Murni]]-Sales[[#This Row],[Target s.d. Januari]])</f>
        <v>2</v>
      </c>
      <c r="H2887" s="19" t="s">
        <v>73</v>
      </c>
      <c r="I2887" s="20" t="s">
        <v>78</v>
      </c>
      <c r="J2887" s="20">
        <v>60000000</v>
      </c>
      <c r="K2887" s="19" t="s">
        <v>30</v>
      </c>
      <c r="L2887" s="19" t="s">
        <v>9</v>
      </c>
      <c r="M2887" s="21" t="s">
        <v>67</v>
      </c>
      <c r="N2887" s="20" t="s">
        <v>82</v>
      </c>
      <c r="O2887" s="19" t="s">
        <v>12</v>
      </c>
      <c r="P2887" s="10"/>
      <c r="Q2887" s="11"/>
    </row>
    <row r="2888" spans="2:17" ht="21" customHeight="1" x14ac:dyDescent="0.35">
      <c r="B2888" s="1">
        <v>44166</v>
      </c>
      <c r="C2888" s="1" t="str">
        <f>TEXT(Sales[[#This Row],[Kode Program/Kegiatan ]],"D")</f>
        <v>1</v>
      </c>
      <c r="D2888" s="2" t="str">
        <f>TEXT(Sales[[#This Row],[Kode Program/Kegiatan ]],"mmm")</f>
        <v>Dec</v>
      </c>
      <c r="E2888" s="3">
        <v>3</v>
      </c>
      <c r="F2888" s="2">
        <v>2</v>
      </c>
      <c r="G2888" s="3">
        <f>IF(Sales[[#This Row],[Anggaran Murni]]-Sales[[#This Row],[Target s.d. Januari]]=0,"",Sales[[#This Row],[Anggaran Murni]]-Sales[[#This Row],[Target s.d. Januari]])</f>
        <v>1</v>
      </c>
      <c r="H2888" s="2" t="s">
        <v>73</v>
      </c>
      <c r="I2888" s="3" t="s">
        <v>78</v>
      </c>
      <c r="J2888" s="3">
        <v>40000000</v>
      </c>
      <c r="K2888" s="2" t="s">
        <v>17</v>
      </c>
      <c r="L2888" s="2" t="s">
        <v>8</v>
      </c>
      <c r="M2888" s="4" t="s">
        <v>67</v>
      </c>
      <c r="N2888" s="3" t="s">
        <v>82</v>
      </c>
      <c r="O2888" s="2" t="s">
        <v>12</v>
      </c>
      <c r="P2888" s="10"/>
      <c r="Q2888" s="11"/>
    </row>
    <row r="2889" spans="2:17" ht="21" customHeight="1" x14ac:dyDescent="0.35">
      <c r="B2889" s="18">
        <v>44167</v>
      </c>
      <c r="C2889" s="18" t="str">
        <f>TEXT(Sales[[#This Row],[Kode Program/Kegiatan ]],"D")</f>
        <v>2</v>
      </c>
      <c r="D2889" s="19" t="str">
        <f>TEXT(Sales[[#This Row],[Kode Program/Kegiatan ]],"mmm")</f>
        <v>Dec</v>
      </c>
      <c r="E2889" s="20">
        <v>10</v>
      </c>
      <c r="F2889" s="19">
        <v>6</v>
      </c>
      <c r="G2889" s="20">
        <f>IF(Sales[[#This Row],[Anggaran Murni]]-Sales[[#This Row],[Target s.d. Januari]]=0,"",Sales[[#This Row],[Anggaran Murni]]-Sales[[#This Row],[Target s.d. Januari]])</f>
        <v>4</v>
      </c>
      <c r="H2889" s="19" t="s">
        <v>74</v>
      </c>
      <c r="I2889" s="20" t="s">
        <v>77</v>
      </c>
      <c r="J2889" s="20">
        <v>40000000</v>
      </c>
      <c r="K2889" s="19" t="s">
        <v>20</v>
      </c>
      <c r="L2889" s="19" t="s">
        <v>2</v>
      </c>
      <c r="M2889" s="21" t="s">
        <v>67</v>
      </c>
      <c r="N2889" s="20" t="s">
        <v>80</v>
      </c>
      <c r="O2889" s="19" t="s">
        <v>11</v>
      </c>
      <c r="P2889" s="10"/>
      <c r="Q2889" s="11"/>
    </row>
    <row r="2890" spans="2:17" ht="21" customHeight="1" x14ac:dyDescent="0.35">
      <c r="B2890" s="1">
        <v>44167</v>
      </c>
      <c r="C2890" s="1" t="str">
        <f>TEXT(Sales[[#This Row],[Kode Program/Kegiatan ]],"D")</f>
        <v>2</v>
      </c>
      <c r="D2890" s="2" t="str">
        <f>TEXT(Sales[[#This Row],[Kode Program/Kegiatan ]],"mmm")</f>
        <v>Dec</v>
      </c>
      <c r="E2890" s="3">
        <v>10</v>
      </c>
      <c r="F2890" s="2">
        <v>8</v>
      </c>
      <c r="G2890" s="3">
        <f>IF(Sales[[#This Row],[Anggaran Murni]]-Sales[[#This Row],[Target s.d. Januari]]=0,"",Sales[[#This Row],[Anggaran Murni]]-Sales[[#This Row],[Target s.d. Januari]])</f>
        <v>2</v>
      </c>
      <c r="H2890" s="2" t="s">
        <v>76</v>
      </c>
      <c r="I2890" s="3" t="s">
        <v>79</v>
      </c>
      <c r="J2890" s="3">
        <v>40000000</v>
      </c>
      <c r="K2890" s="2" t="s">
        <v>42</v>
      </c>
      <c r="L2890" s="2" t="s">
        <v>2</v>
      </c>
      <c r="M2890" s="4" t="s">
        <v>67</v>
      </c>
      <c r="N2890" s="3" t="s">
        <v>82</v>
      </c>
      <c r="O2890" s="2" t="s">
        <v>11</v>
      </c>
      <c r="P2890" s="10"/>
      <c r="Q2890" s="11"/>
    </row>
    <row r="2891" spans="2:17" ht="21" customHeight="1" x14ac:dyDescent="0.35">
      <c r="B2891" s="18">
        <v>44167</v>
      </c>
      <c r="C2891" s="18" t="str">
        <f>TEXT(Sales[[#This Row],[Kode Program/Kegiatan ]],"D")</f>
        <v>2</v>
      </c>
      <c r="D2891" s="19" t="str">
        <f>TEXT(Sales[[#This Row],[Kode Program/Kegiatan ]],"mmm")</f>
        <v>Dec</v>
      </c>
      <c r="E2891" s="20">
        <v>9</v>
      </c>
      <c r="F2891" s="19">
        <v>6</v>
      </c>
      <c r="G2891" s="20">
        <f>IF(Sales[[#This Row],[Anggaran Murni]]-Sales[[#This Row],[Target s.d. Januari]]=0,"",Sales[[#This Row],[Anggaran Murni]]-Sales[[#This Row],[Target s.d. Januari]])</f>
        <v>3</v>
      </c>
      <c r="H2891" s="19" t="s">
        <v>72</v>
      </c>
      <c r="I2891" s="20" t="s">
        <v>78</v>
      </c>
      <c r="J2891" s="20">
        <v>60000000</v>
      </c>
      <c r="K2891" s="19" t="s">
        <v>21</v>
      </c>
      <c r="L2891" s="19" t="s">
        <v>9</v>
      </c>
      <c r="M2891" s="21" t="s">
        <v>67</v>
      </c>
      <c r="N2891" s="20" t="s">
        <v>80</v>
      </c>
      <c r="O2891" s="19" t="s">
        <v>13</v>
      </c>
      <c r="P2891" s="10"/>
      <c r="Q2891" s="11"/>
    </row>
    <row r="2892" spans="2:17" ht="21" customHeight="1" x14ac:dyDescent="0.35">
      <c r="B2892" s="1">
        <v>44167</v>
      </c>
      <c r="C2892" s="1" t="str">
        <f>TEXT(Sales[[#This Row],[Kode Program/Kegiatan ]],"D")</f>
        <v>2</v>
      </c>
      <c r="D2892" s="2" t="str">
        <f>TEXT(Sales[[#This Row],[Kode Program/Kegiatan ]],"mmm")</f>
        <v>Dec</v>
      </c>
      <c r="E2892" s="3">
        <v>9</v>
      </c>
      <c r="F2892" s="2">
        <v>8</v>
      </c>
      <c r="G2892" s="3">
        <f>IF(Sales[[#This Row],[Anggaran Murni]]-Sales[[#This Row],[Target s.d. Januari]]=0,"",Sales[[#This Row],[Anggaran Murni]]-Sales[[#This Row],[Target s.d. Januari]])</f>
        <v>1</v>
      </c>
      <c r="H2892" s="2" t="s">
        <v>74</v>
      </c>
      <c r="I2892" s="3" t="s">
        <v>77</v>
      </c>
      <c r="J2892" s="3">
        <v>120000000</v>
      </c>
      <c r="K2892" s="2" t="s">
        <v>40</v>
      </c>
      <c r="L2892" s="2" t="s">
        <v>7</v>
      </c>
      <c r="M2892" s="4" t="s">
        <v>67</v>
      </c>
      <c r="N2892" s="3" t="s">
        <v>81</v>
      </c>
      <c r="O2892" s="2" t="s">
        <v>14</v>
      </c>
      <c r="P2892" s="10"/>
      <c r="Q2892" s="11"/>
    </row>
    <row r="2893" spans="2:17" ht="21" customHeight="1" x14ac:dyDescent="0.35">
      <c r="B2893" s="18">
        <v>44167</v>
      </c>
      <c r="C2893" s="18" t="str">
        <f>TEXT(Sales[[#This Row],[Kode Program/Kegiatan ]],"D")</f>
        <v>2</v>
      </c>
      <c r="D2893" s="19" t="str">
        <f>TEXT(Sales[[#This Row],[Kode Program/Kegiatan ]],"mmm")</f>
        <v>Dec</v>
      </c>
      <c r="E2893" s="20">
        <v>7</v>
      </c>
      <c r="F2893" s="19">
        <v>5</v>
      </c>
      <c r="G2893" s="20">
        <f>IF(Sales[[#This Row],[Anggaran Murni]]-Sales[[#This Row],[Target s.d. Januari]]=0,"",Sales[[#This Row],[Anggaran Murni]]-Sales[[#This Row],[Target s.d. Januari]])</f>
        <v>2</v>
      </c>
      <c r="H2893" s="19" t="s">
        <v>70</v>
      </c>
      <c r="I2893" s="20" t="s">
        <v>1</v>
      </c>
      <c r="J2893" s="20">
        <v>100000000</v>
      </c>
      <c r="K2893" s="19" t="s">
        <v>49</v>
      </c>
      <c r="L2893" s="19" t="s">
        <v>2</v>
      </c>
      <c r="M2893" s="21" t="s">
        <v>67</v>
      </c>
      <c r="N2893" s="20" t="s">
        <v>81</v>
      </c>
      <c r="O2893" s="19" t="s">
        <v>14</v>
      </c>
      <c r="P2893" s="10"/>
      <c r="Q2893" s="11"/>
    </row>
    <row r="2894" spans="2:17" ht="21" customHeight="1" x14ac:dyDescent="0.35">
      <c r="B2894" s="1">
        <v>44167</v>
      </c>
      <c r="C2894" s="1" t="str">
        <f>TEXT(Sales[[#This Row],[Kode Program/Kegiatan ]],"D")</f>
        <v>2</v>
      </c>
      <c r="D2894" s="2" t="str">
        <f>TEXT(Sales[[#This Row],[Kode Program/Kegiatan ]],"mmm")</f>
        <v>Dec</v>
      </c>
      <c r="E2894" s="3">
        <v>6</v>
      </c>
      <c r="F2894" s="2">
        <v>4</v>
      </c>
      <c r="G2894" s="3">
        <f>IF(Sales[[#This Row],[Anggaran Murni]]-Sales[[#This Row],[Target s.d. Januari]]=0,"",Sales[[#This Row],[Anggaran Murni]]-Sales[[#This Row],[Target s.d. Januari]])</f>
        <v>2</v>
      </c>
      <c r="H2894" s="2" t="s">
        <v>75</v>
      </c>
      <c r="I2894" s="3" t="s">
        <v>6</v>
      </c>
      <c r="J2894" s="3">
        <v>80000000</v>
      </c>
      <c r="K2894" s="2" t="s">
        <v>31</v>
      </c>
      <c r="L2894" s="2" t="s">
        <v>2</v>
      </c>
      <c r="M2894" s="4" t="s">
        <v>67</v>
      </c>
      <c r="N2894" s="3" t="s">
        <v>82</v>
      </c>
      <c r="O2894" s="2" t="s">
        <v>14</v>
      </c>
      <c r="P2894" s="10"/>
      <c r="Q2894" s="11"/>
    </row>
    <row r="2895" spans="2:17" ht="21" customHeight="1" x14ac:dyDescent="0.35">
      <c r="B2895" s="18">
        <v>44167</v>
      </c>
      <c r="C2895" s="18" t="str">
        <f>TEXT(Sales[[#This Row],[Kode Program/Kegiatan ]],"D")</f>
        <v>2</v>
      </c>
      <c r="D2895" s="19" t="str">
        <f>TEXT(Sales[[#This Row],[Kode Program/Kegiatan ]],"mmm")</f>
        <v>Dec</v>
      </c>
      <c r="E2895" s="20">
        <v>6</v>
      </c>
      <c r="F2895" s="19">
        <v>5</v>
      </c>
      <c r="G2895" s="20">
        <f>IF(Sales[[#This Row],[Anggaran Murni]]-Sales[[#This Row],[Target s.d. Januari]]=0,"",Sales[[#This Row],[Anggaran Murni]]-Sales[[#This Row],[Target s.d. Januari]])</f>
        <v>1</v>
      </c>
      <c r="H2895" s="19" t="s">
        <v>113</v>
      </c>
      <c r="I2895" s="20" t="s">
        <v>77</v>
      </c>
      <c r="J2895" s="20">
        <v>120000000</v>
      </c>
      <c r="K2895" s="19" t="s">
        <v>55</v>
      </c>
      <c r="L2895" s="19" t="s">
        <v>5</v>
      </c>
      <c r="M2895" s="21" t="s">
        <v>67</v>
      </c>
      <c r="N2895" s="20" t="s">
        <v>80</v>
      </c>
      <c r="O2895" s="19" t="s">
        <v>14</v>
      </c>
      <c r="P2895" s="10"/>
      <c r="Q2895" s="11"/>
    </row>
    <row r="2896" spans="2:17" ht="21" customHeight="1" x14ac:dyDescent="0.35">
      <c r="B2896" s="1">
        <v>44167</v>
      </c>
      <c r="C2896" s="1" t="str">
        <f>TEXT(Sales[[#This Row],[Kode Program/Kegiatan ]],"D")</f>
        <v>2</v>
      </c>
      <c r="D2896" s="2" t="str">
        <f>TEXT(Sales[[#This Row],[Kode Program/Kegiatan ]],"mmm")</f>
        <v>Dec</v>
      </c>
      <c r="E2896" s="3">
        <v>5</v>
      </c>
      <c r="F2896" s="2">
        <v>4</v>
      </c>
      <c r="G2896" s="3">
        <f>IF(Sales[[#This Row],[Anggaran Murni]]-Sales[[#This Row],[Target s.d. Januari]]=0,"",Sales[[#This Row],[Anggaran Murni]]-Sales[[#This Row],[Target s.d. Januari]])</f>
        <v>1</v>
      </c>
      <c r="H2896" s="2" t="s">
        <v>70</v>
      </c>
      <c r="I2896" s="3" t="s">
        <v>1</v>
      </c>
      <c r="J2896" s="3">
        <v>60000000</v>
      </c>
      <c r="K2896" s="2" t="s">
        <v>57</v>
      </c>
      <c r="L2896" s="2" t="s">
        <v>2</v>
      </c>
      <c r="M2896" s="4" t="s">
        <v>67</v>
      </c>
      <c r="N2896" s="3" t="s">
        <v>82</v>
      </c>
      <c r="O2896" s="2" t="s">
        <v>11</v>
      </c>
      <c r="P2896" s="10"/>
      <c r="Q2896" s="11"/>
    </row>
    <row r="2897" spans="2:17" ht="21" customHeight="1" x14ac:dyDescent="0.35">
      <c r="B2897" s="18">
        <v>44167</v>
      </c>
      <c r="C2897" s="18" t="str">
        <f>TEXT(Sales[[#This Row],[Kode Program/Kegiatan ]],"D")</f>
        <v>2</v>
      </c>
      <c r="D2897" s="19" t="str">
        <f>TEXT(Sales[[#This Row],[Kode Program/Kegiatan ]],"mmm")</f>
        <v>Dec</v>
      </c>
      <c r="E2897" s="20">
        <v>5</v>
      </c>
      <c r="F2897" s="19">
        <v>3</v>
      </c>
      <c r="G2897" s="20">
        <f>IF(Sales[[#This Row],[Anggaran Murni]]-Sales[[#This Row],[Target s.d. Januari]]=0,"",Sales[[#This Row],[Anggaran Murni]]-Sales[[#This Row],[Target s.d. Januari]])</f>
        <v>2</v>
      </c>
      <c r="H2897" s="19" t="s">
        <v>73</v>
      </c>
      <c r="I2897" s="20" t="s">
        <v>78</v>
      </c>
      <c r="J2897" s="20">
        <v>100000000</v>
      </c>
      <c r="K2897" s="19" t="s">
        <v>21</v>
      </c>
      <c r="L2897" s="19" t="s">
        <v>8</v>
      </c>
      <c r="M2897" s="21" t="s">
        <v>67</v>
      </c>
      <c r="N2897" s="20" t="s">
        <v>80</v>
      </c>
      <c r="O2897" s="19" t="s">
        <v>13</v>
      </c>
      <c r="P2897" s="10"/>
      <c r="Q2897" s="11"/>
    </row>
    <row r="2898" spans="2:17" ht="21" customHeight="1" x14ac:dyDescent="0.35">
      <c r="B2898" s="1">
        <v>44167</v>
      </c>
      <c r="C2898" s="1" t="str">
        <f>TEXT(Sales[[#This Row],[Kode Program/Kegiatan ]],"D")</f>
        <v>2</v>
      </c>
      <c r="D2898" s="2" t="str">
        <f>TEXT(Sales[[#This Row],[Kode Program/Kegiatan ]],"mmm")</f>
        <v>Dec</v>
      </c>
      <c r="E2898" s="3">
        <v>4</v>
      </c>
      <c r="F2898" s="2">
        <v>2</v>
      </c>
      <c r="G2898" s="3">
        <f>IF(Sales[[#This Row],[Anggaran Murni]]-Sales[[#This Row],[Target s.d. Januari]]=0,"",Sales[[#This Row],[Anggaran Murni]]-Sales[[#This Row],[Target s.d. Januari]])</f>
        <v>2</v>
      </c>
      <c r="H2898" s="2" t="s">
        <v>73</v>
      </c>
      <c r="I2898" s="3" t="s">
        <v>78</v>
      </c>
      <c r="J2898" s="3">
        <v>40000000</v>
      </c>
      <c r="K2898" s="2" t="s">
        <v>46</v>
      </c>
      <c r="L2898" s="2" t="s">
        <v>8</v>
      </c>
      <c r="M2898" s="4" t="s">
        <v>67</v>
      </c>
      <c r="N2898" s="3" t="s">
        <v>80</v>
      </c>
      <c r="O2898" s="2" t="s">
        <v>13</v>
      </c>
      <c r="P2898" s="10"/>
      <c r="Q2898" s="11"/>
    </row>
    <row r="2899" spans="2:17" ht="21" customHeight="1" x14ac:dyDescent="0.35">
      <c r="B2899" s="18">
        <v>44167</v>
      </c>
      <c r="C2899" s="18" t="str">
        <f>TEXT(Sales[[#This Row],[Kode Program/Kegiatan ]],"D")</f>
        <v>2</v>
      </c>
      <c r="D2899" s="19" t="str">
        <f>TEXT(Sales[[#This Row],[Kode Program/Kegiatan ]],"mmm")</f>
        <v>Dec</v>
      </c>
      <c r="E2899" s="20">
        <v>4</v>
      </c>
      <c r="F2899" s="19">
        <v>2</v>
      </c>
      <c r="G2899" s="20">
        <f>IF(Sales[[#This Row],[Anggaran Murni]]-Sales[[#This Row],[Target s.d. Januari]]=0,"",Sales[[#This Row],[Anggaran Murni]]-Sales[[#This Row],[Target s.d. Januari]])</f>
        <v>2</v>
      </c>
      <c r="H2899" s="19" t="s">
        <v>73</v>
      </c>
      <c r="I2899" s="20" t="s">
        <v>78</v>
      </c>
      <c r="J2899" s="20">
        <v>100000000</v>
      </c>
      <c r="K2899" s="19" t="s">
        <v>58</v>
      </c>
      <c r="L2899" s="19" t="s">
        <v>9</v>
      </c>
      <c r="M2899" s="21" t="s">
        <v>67</v>
      </c>
      <c r="N2899" s="20" t="s">
        <v>80</v>
      </c>
      <c r="O2899" s="19" t="s">
        <v>11</v>
      </c>
      <c r="P2899" s="10"/>
      <c r="Q2899" s="11"/>
    </row>
    <row r="2900" spans="2:17" ht="21" customHeight="1" x14ac:dyDescent="0.35">
      <c r="B2900" s="1">
        <v>44167</v>
      </c>
      <c r="C2900" s="1" t="str">
        <f>TEXT(Sales[[#This Row],[Kode Program/Kegiatan ]],"D")</f>
        <v>2</v>
      </c>
      <c r="D2900" s="2" t="str">
        <f>TEXT(Sales[[#This Row],[Kode Program/Kegiatan ]],"mmm")</f>
        <v>Dec</v>
      </c>
      <c r="E2900" s="3">
        <v>3</v>
      </c>
      <c r="F2900" s="2">
        <v>1</v>
      </c>
      <c r="G2900" s="3">
        <f>IF(Sales[[#This Row],[Anggaran Murni]]-Sales[[#This Row],[Target s.d. Januari]]=0,"",Sales[[#This Row],[Anggaran Murni]]-Sales[[#This Row],[Target s.d. Januari]])</f>
        <v>2</v>
      </c>
      <c r="H2900" s="2" t="s">
        <v>70</v>
      </c>
      <c r="I2900" s="3" t="s">
        <v>1</v>
      </c>
      <c r="J2900" s="3">
        <v>80000000</v>
      </c>
      <c r="K2900" s="2" t="s">
        <v>37</v>
      </c>
      <c r="L2900" s="2" t="s">
        <v>5</v>
      </c>
      <c r="M2900" s="4" t="s">
        <v>67</v>
      </c>
      <c r="N2900" s="3" t="s">
        <v>80</v>
      </c>
      <c r="O2900" s="2" t="s">
        <v>11</v>
      </c>
      <c r="P2900" s="10"/>
      <c r="Q2900" s="11"/>
    </row>
    <row r="2901" spans="2:17" ht="21" customHeight="1" x14ac:dyDescent="0.35">
      <c r="B2901" s="18">
        <v>44168</v>
      </c>
      <c r="C2901" s="18" t="str">
        <f>TEXT(Sales[[#This Row],[Kode Program/Kegiatan ]],"D")</f>
        <v>3</v>
      </c>
      <c r="D2901" s="19" t="str">
        <f>TEXT(Sales[[#This Row],[Kode Program/Kegiatan ]],"mmm")</f>
        <v>Dec</v>
      </c>
      <c r="E2901" s="20">
        <v>8</v>
      </c>
      <c r="F2901" s="19">
        <v>8</v>
      </c>
      <c r="G2901" s="20" t="str">
        <f>IF(Sales[[#This Row],[Anggaran Murni]]-Sales[[#This Row],[Target s.d. Januari]]=0,"",Sales[[#This Row],[Anggaran Murni]]-Sales[[#This Row],[Target s.d. Januari]])</f>
        <v/>
      </c>
      <c r="H2901" s="19" t="s">
        <v>71</v>
      </c>
      <c r="I2901" s="20" t="s">
        <v>6</v>
      </c>
      <c r="J2901" s="20">
        <v>40000000</v>
      </c>
      <c r="K2901" s="19" t="s">
        <v>16</v>
      </c>
      <c r="L2901" s="19" t="s">
        <v>8</v>
      </c>
      <c r="M2901" s="21" t="s">
        <v>67</v>
      </c>
      <c r="N2901" s="20" t="s">
        <v>82</v>
      </c>
      <c r="O2901" s="19" t="s">
        <v>11</v>
      </c>
      <c r="P2901" s="10"/>
      <c r="Q2901" s="11"/>
    </row>
    <row r="2902" spans="2:17" ht="21" customHeight="1" x14ac:dyDescent="0.35">
      <c r="B2902" s="1">
        <v>44168</v>
      </c>
      <c r="C2902" s="1" t="str">
        <f>TEXT(Sales[[#This Row],[Kode Program/Kegiatan ]],"D")</f>
        <v>3</v>
      </c>
      <c r="D2902" s="2" t="str">
        <f>TEXT(Sales[[#This Row],[Kode Program/Kegiatan ]],"mmm")</f>
        <v>Dec</v>
      </c>
      <c r="E2902" s="3">
        <v>7</v>
      </c>
      <c r="F2902" s="2">
        <v>7</v>
      </c>
      <c r="G2902" s="3" t="str">
        <f>IF(Sales[[#This Row],[Anggaran Murni]]-Sales[[#This Row],[Target s.d. Januari]]=0,"",Sales[[#This Row],[Anggaran Murni]]-Sales[[#This Row],[Target s.d. Januari]])</f>
        <v/>
      </c>
      <c r="H2902" s="2" t="s">
        <v>72</v>
      </c>
      <c r="I2902" s="3" t="s">
        <v>78</v>
      </c>
      <c r="J2902" s="3">
        <v>60000000</v>
      </c>
      <c r="K2902" s="2" t="s">
        <v>35</v>
      </c>
      <c r="L2902" s="2" t="s">
        <v>8</v>
      </c>
      <c r="M2902" s="4" t="s">
        <v>67</v>
      </c>
      <c r="N2902" s="3" t="s">
        <v>82</v>
      </c>
      <c r="O2902" s="2" t="s">
        <v>14</v>
      </c>
      <c r="P2902" s="10"/>
      <c r="Q2902" s="11"/>
    </row>
    <row r="2903" spans="2:17" ht="21" customHeight="1" x14ac:dyDescent="0.35">
      <c r="B2903" s="18">
        <v>44168</v>
      </c>
      <c r="C2903" s="18" t="str">
        <f>TEXT(Sales[[#This Row],[Kode Program/Kegiatan ]],"D")</f>
        <v>3</v>
      </c>
      <c r="D2903" s="19" t="str">
        <f>TEXT(Sales[[#This Row],[Kode Program/Kegiatan ]],"mmm")</f>
        <v>Dec</v>
      </c>
      <c r="E2903" s="20">
        <v>7</v>
      </c>
      <c r="F2903" s="19">
        <v>7</v>
      </c>
      <c r="G2903" s="20" t="str">
        <f>IF(Sales[[#This Row],[Anggaran Murni]]-Sales[[#This Row],[Target s.d. Januari]]=0,"",Sales[[#This Row],[Anggaran Murni]]-Sales[[#This Row],[Target s.d. Januari]])</f>
        <v/>
      </c>
      <c r="H2903" s="19" t="s">
        <v>70</v>
      </c>
      <c r="I2903" s="20" t="s">
        <v>1</v>
      </c>
      <c r="J2903" s="20">
        <v>120000000</v>
      </c>
      <c r="K2903" s="19" t="s">
        <v>40</v>
      </c>
      <c r="L2903" s="19" t="s">
        <v>5</v>
      </c>
      <c r="M2903" s="21" t="s">
        <v>67</v>
      </c>
      <c r="N2903" s="20" t="s">
        <v>81</v>
      </c>
      <c r="O2903" s="19" t="s">
        <v>12</v>
      </c>
      <c r="P2903" s="10"/>
      <c r="Q2903" s="11"/>
    </row>
    <row r="2904" spans="2:17" ht="21" customHeight="1" x14ac:dyDescent="0.35">
      <c r="B2904" s="1">
        <v>44168</v>
      </c>
      <c r="C2904" s="1" t="str">
        <f>TEXT(Sales[[#This Row],[Kode Program/Kegiatan ]],"D")</f>
        <v>3</v>
      </c>
      <c r="D2904" s="2" t="str">
        <f>TEXT(Sales[[#This Row],[Kode Program/Kegiatan ]],"mmm")</f>
        <v>Dec</v>
      </c>
      <c r="E2904" s="3">
        <v>5</v>
      </c>
      <c r="F2904" s="2">
        <v>5</v>
      </c>
      <c r="G2904" s="3" t="str">
        <f>IF(Sales[[#This Row],[Anggaran Murni]]-Sales[[#This Row],[Target s.d. Januari]]=0,"",Sales[[#This Row],[Anggaran Murni]]-Sales[[#This Row],[Target s.d. Januari]])</f>
        <v/>
      </c>
      <c r="H2904" s="2" t="s">
        <v>72</v>
      </c>
      <c r="I2904" s="3" t="s">
        <v>78</v>
      </c>
      <c r="J2904" s="3">
        <v>60000000</v>
      </c>
      <c r="K2904" s="2" t="s">
        <v>17</v>
      </c>
      <c r="L2904" s="2" t="s">
        <v>5</v>
      </c>
      <c r="M2904" s="4" t="s">
        <v>67</v>
      </c>
      <c r="N2904" s="3" t="s">
        <v>80</v>
      </c>
      <c r="O2904" s="2" t="s">
        <v>11</v>
      </c>
      <c r="P2904" s="10"/>
      <c r="Q2904" s="11"/>
    </row>
    <row r="2905" spans="2:17" ht="21" customHeight="1" x14ac:dyDescent="0.35">
      <c r="B2905" s="18">
        <v>44168</v>
      </c>
      <c r="C2905" s="18" t="str">
        <f>TEXT(Sales[[#This Row],[Kode Program/Kegiatan ]],"D")</f>
        <v>3</v>
      </c>
      <c r="D2905" s="19" t="str">
        <f>TEXT(Sales[[#This Row],[Kode Program/Kegiatan ]],"mmm")</f>
        <v>Dec</v>
      </c>
      <c r="E2905" s="20">
        <v>4</v>
      </c>
      <c r="F2905" s="19">
        <v>4</v>
      </c>
      <c r="G2905" s="20" t="str">
        <f>IF(Sales[[#This Row],[Anggaran Murni]]-Sales[[#This Row],[Target s.d. Januari]]=0,"",Sales[[#This Row],[Anggaran Murni]]-Sales[[#This Row],[Target s.d. Januari]])</f>
        <v/>
      </c>
      <c r="H2905" s="19" t="s">
        <v>75</v>
      </c>
      <c r="I2905" s="20" t="s">
        <v>6</v>
      </c>
      <c r="J2905" s="20">
        <v>60000000</v>
      </c>
      <c r="K2905" s="19" t="s">
        <v>32</v>
      </c>
      <c r="L2905" s="19" t="s">
        <v>2</v>
      </c>
      <c r="M2905" s="21" t="s">
        <v>67</v>
      </c>
      <c r="N2905" s="20" t="s">
        <v>82</v>
      </c>
      <c r="O2905" s="19" t="s">
        <v>14</v>
      </c>
      <c r="P2905" s="10"/>
      <c r="Q2905" s="11"/>
    </row>
    <row r="2906" spans="2:17" ht="21" customHeight="1" x14ac:dyDescent="0.35">
      <c r="B2906" s="1">
        <v>44169</v>
      </c>
      <c r="C2906" s="1" t="str">
        <f>TEXT(Sales[[#This Row],[Kode Program/Kegiatan ]],"D")</f>
        <v>4</v>
      </c>
      <c r="D2906" s="2" t="str">
        <f>TEXT(Sales[[#This Row],[Kode Program/Kegiatan ]],"mmm")</f>
        <v>Dec</v>
      </c>
      <c r="E2906" s="3">
        <v>8</v>
      </c>
      <c r="F2906" s="2">
        <v>8</v>
      </c>
      <c r="G2906" s="3" t="str">
        <f>IF(Sales[[#This Row],[Anggaran Murni]]-Sales[[#This Row],[Target s.d. Januari]]=0,"",Sales[[#This Row],[Anggaran Murni]]-Sales[[#This Row],[Target s.d. Januari]])</f>
        <v/>
      </c>
      <c r="H2906" s="2" t="s">
        <v>72</v>
      </c>
      <c r="I2906" s="3" t="s">
        <v>78</v>
      </c>
      <c r="J2906" s="3">
        <v>120000000</v>
      </c>
      <c r="K2906" s="2" t="s">
        <v>42</v>
      </c>
      <c r="L2906" s="2" t="s">
        <v>5</v>
      </c>
      <c r="M2906" s="4" t="s">
        <v>67</v>
      </c>
      <c r="N2906" s="3" t="s">
        <v>82</v>
      </c>
      <c r="O2906" s="2" t="s">
        <v>14</v>
      </c>
      <c r="P2906" s="10"/>
      <c r="Q2906" s="11"/>
    </row>
    <row r="2907" spans="2:17" ht="21" customHeight="1" x14ac:dyDescent="0.35">
      <c r="B2907" s="18">
        <v>44169</v>
      </c>
      <c r="C2907" s="18" t="str">
        <f>TEXT(Sales[[#This Row],[Kode Program/Kegiatan ]],"D")</f>
        <v>4</v>
      </c>
      <c r="D2907" s="19" t="str">
        <f>TEXT(Sales[[#This Row],[Kode Program/Kegiatan ]],"mmm")</f>
        <v>Dec</v>
      </c>
      <c r="E2907" s="20">
        <v>5</v>
      </c>
      <c r="F2907" s="19">
        <v>5</v>
      </c>
      <c r="G2907" s="20" t="str">
        <f>IF(Sales[[#This Row],[Anggaran Murni]]-Sales[[#This Row],[Target s.d. Januari]]=0,"",Sales[[#This Row],[Anggaran Murni]]-Sales[[#This Row],[Target s.d. Januari]])</f>
        <v/>
      </c>
      <c r="H2907" s="19" t="s">
        <v>73</v>
      </c>
      <c r="I2907" s="20" t="s">
        <v>78</v>
      </c>
      <c r="J2907" s="20">
        <v>60000000</v>
      </c>
      <c r="K2907" s="19" t="s">
        <v>40</v>
      </c>
      <c r="L2907" s="19" t="s">
        <v>2</v>
      </c>
      <c r="M2907" s="21" t="s">
        <v>67</v>
      </c>
      <c r="N2907" s="20" t="s">
        <v>81</v>
      </c>
      <c r="O2907" s="19" t="s">
        <v>12</v>
      </c>
      <c r="P2907" s="10"/>
      <c r="Q2907" s="11"/>
    </row>
    <row r="2908" spans="2:17" ht="21" customHeight="1" x14ac:dyDescent="0.35">
      <c r="B2908" s="1">
        <v>44169</v>
      </c>
      <c r="C2908" s="1" t="str">
        <f>TEXT(Sales[[#This Row],[Kode Program/Kegiatan ]],"D")</f>
        <v>4</v>
      </c>
      <c r="D2908" s="2" t="str">
        <f>TEXT(Sales[[#This Row],[Kode Program/Kegiatan ]],"mmm")</f>
        <v>Dec</v>
      </c>
      <c r="E2908" s="3">
        <v>4</v>
      </c>
      <c r="F2908" s="2">
        <v>4</v>
      </c>
      <c r="G2908" s="3" t="str">
        <f>IF(Sales[[#This Row],[Anggaran Murni]]-Sales[[#This Row],[Target s.d. Januari]]=0,"",Sales[[#This Row],[Anggaran Murni]]-Sales[[#This Row],[Target s.d. Januari]])</f>
        <v/>
      </c>
      <c r="H2908" s="2" t="s">
        <v>73</v>
      </c>
      <c r="I2908" s="3" t="s">
        <v>78</v>
      </c>
      <c r="J2908" s="3">
        <v>60000000</v>
      </c>
      <c r="K2908" s="2" t="s">
        <v>53</v>
      </c>
      <c r="L2908" s="2" t="s">
        <v>2</v>
      </c>
      <c r="M2908" s="4" t="s">
        <v>67</v>
      </c>
      <c r="N2908" s="3" t="s">
        <v>82</v>
      </c>
      <c r="O2908" s="2" t="s">
        <v>12</v>
      </c>
      <c r="P2908" s="10"/>
      <c r="Q2908" s="11"/>
    </row>
    <row r="2909" spans="2:17" ht="21" customHeight="1" x14ac:dyDescent="0.35">
      <c r="B2909" s="18">
        <v>44170</v>
      </c>
      <c r="C2909" s="18" t="str">
        <f>TEXT(Sales[[#This Row],[Kode Program/Kegiatan ]],"D")</f>
        <v>5</v>
      </c>
      <c r="D2909" s="19" t="str">
        <f>TEXT(Sales[[#This Row],[Kode Program/Kegiatan ]],"mmm")</f>
        <v>Dec</v>
      </c>
      <c r="E2909" s="20">
        <v>10</v>
      </c>
      <c r="F2909" s="19">
        <v>10</v>
      </c>
      <c r="G2909" s="20" t="str">
        <f>IF(Sales[[#This Row],[Anggaran Murni]]-Sales[[#This Row],[Target s.d. Januari]]=0,"",Sales[[#This Row],[Anggaran Murni]]-Sales[[#This Row],[Target s.d. Januari]])</f>
        <v/>
      </c>
      <c r="H2909" s="19" t="s">
        <v>73</v>
      </c>
      <c r="I2909" s="20" t="s">
        <v>78</v>
      </c>
      <c r="J2909" s="20">
        <v>120000000</v>
      </c>
      <c r="K2909" s="19" t="s">
        <v>56</v>
      </c>
      <c r="L2909" s="19" t="s">
        <v>2</v>
      </c>
      <c r="M2909" s="21" t="s">
        <v>67</v>
      </c>
      <c r="N2909" s="20" t="s">
        <v>82</v>
      </c>
      <c r="O2909" s="19" t="s">
        <v>12</v>
      </c>
      <c r="P2909" s="10"/>
      <c r="Q2909" s="11"/>
    </row>
    <row r="2910" spans="2:17" ht="21" customHeight="1" x14ac:dyDescent="0.35">
      <c r="B2910" s="1">
        <v>44170</v>
      </c>
      <c r="C2910" s="1" t="str">
        <f>TEXT(Sales[[#This Row],[Kode Program/Kegiatan ]],"D")</f>
        <v>5</v>
      </c>
      <c r="D2910" s="2" t="str">
        <f>TEXT(Sales[[#This Row],[Kode Program/Kegiatan ]],"mmm")</f>
        <v>Dec</v>
      </c>
      <c r="E2910" s="3">
        <v>10</v>
      </c>
      <c r="F2910" s="2">
        <v>10</v>
      </c>
      <c r="G2910" s="3" t="str">
        <f>IF(Sales[[#This Row],[Anggaran Murni]]-Sales[[#This Row],[Target s.d. Januari]]=0,"",Sales[[#This Row],[Anggaran Murni]]-Sales[[#This Row],[Target s.d. Januari]])</f>
        <v/>
      </c>
      <c r="H2910" s="2" t="s">
        <v>114</v>
      </c>
      <c r="I2910" s="3" t="s">
        <v>3</v>
      </c>
      <c r="J2910" s="3">
        <v>140000000</v>
      </c>
      <c r="K2910" s="2" t="s">
        <v>22</v>
      </c>
      <c r="L2910" s="2" t="s">
        <v>5</v>
      </c>
      <c r="M2910" s="4" t="s">
        <v>67</v>
      </c>
      <c r="N2910" s="3" t="s">
        <v>80</v>
      </c>
      <c r="O2910" s="2" t="s">
        <v>12</v>
      </c>
      <c r="P2910" s="10"/>
      <c r="Q2910" s="11"/>
    </row>
    <row r="2911" spans="2:17" ht="21" customHeight="1" x14ac:dyDescent="0.35">
      <c r="B2911" s="18">
        <v>44170</v>
      </c>
      <c r="C2911" s="18" t="str">
        <f>TEXT(Sales[[#This Row],[Kode Program/Kegiatan ]],"D")</f>
        <v>5</v>
      </c>
      <c r="D2911" s="19" t="str">
        <f>TEXT(Sales[[#This Row],[Kode Program/Kegiatan ]],"mmm")</f>
        <v>Dec</v>
      </c>
      <c r="E2911" s="20">
        <v>10</v>
      </c>
      <c r="F2911" s="19">
        <v>10</v>
      </c>
      <c r="G2911" s="20" t="str">
        <f>IF(Sales[[#This Row],[Anggaran Murni]]-Sales[[#This Row],[Target s.d. Januari]]=0,"",Sales[[#This Row],[Anggaran Murni]]-Sales[[#This Row],[Target s.d. Januari]])</f>
        <v/>
      </c>
      <c r="H2911" s="19" t="s">
        <v>71</v>
      </c>
      <c r="I2911" s="20" t="s">
        <v>6</v>
      </c>
      <c r="J2911" s="20">
        <v>60000000</v>
      </c>
      <c r="K2911" s="19" t="s">
        <v>56</v>
      </c>
      <c r="L2911" s="19" t="s">
        <v>5</v>
      </c>
      <c r="M2911" s="21" t="s">
        <v>67</v>
      </c>
      <c r="N2911" s="20" t="s">
        <v>82</v>
      </c>
      <c r="O2911" s="19" t="s">
        <v>13</v>
      </c>
      <c r="P2911" s="10"/>
      <c r="Q2911" s="11"/>
    </row>
    <row r="2912" spans="2:17" ht="21" customHeight="1" x14ac:dyDescent="0.35">
      <c r="B2912" s="1">
        <v>44170</v>
      </c>
      <c r="C2912" s="1" t="str">
        <f>TEXT(Sales[[#This Row],[Kode Program/Kegiatan ]],"D")</f>
        <v>5</v>
      </c>
      <c r="D2912" s="2" t="str">
        <f>TEXT(Sales[[#This Row],[Kode Program/Kegiatan ]],"mmm")</f>
        <v>Dec</v>
      </c>
      <c r="E2912" s="3">
        <v>8</v>
      </c>
      <c r="F2912" s="2">
        <v>8</v>
      </c>
      <c r="G2912" s="3" t="str">
        <f>IF(Sales[[#This Row],[Anggaran Murni]]-Sales[[#This Row],[Target s.d. Januari]]=0,"",Sales[[#This Row],[Anggaran Murni]]-Sales[[#This Row],[Target s.d. Januari]])</f>
        <v/>
      </c>
      <c r="H2912" s="2" t="s">
        <v>71</v>
      </c>
      <c r="I2912" s="3" t="s">
        <v>6</v>
      </c>
      <c r="J2912" s="3">
        <v>100000000</v>
      </c>
      <c r="K2912" s="2" t="s">
        <v>56</v>
      </c>
      <c r="L2912" s="2" t="s">
        <v>9</v>
      </c>
      <c r="M2912" s="4" t="s">
        <v>67</v>
      </c>
      <c r="N2912" s="3" t="s">
        <v>80</v>
      </c>
      <c r="O2912" s="2" t="s">
        <v>12</v>
      </c>
      <c r="P2912" s="10"/>
      <c r="Q2912" s="11"/>
    </row>
    <row r="2913" spans="2:17" ht="21" customHeight="1" x14ac:dyDescent="0.35">
      <c r="B2913" s="18">
        <v>44170</v>
      </c>
      <c r="C2913" s="18" t="str">
        <f>TEXT(Sales[[#This Row],[Kode Program/Kegiatan ]],"D")</f>
        <v>5</v>
      </c>
      <c r="D2913" s="19" t="str">
        <f>TEXT(Sales[[#This Row],[Kode Program/Kegiatan ]],"mmm")</f>
        <v>Dec</v>
      </c>
      <c r="E2913" s="20">
        <v>7</v>
      </c>
      <c r="F2913" s="19">
        <v>7</v>
      </c>
      <c r="G2913" s="20" t="str">
        <f>IF(Sales[[#This Row],[Anggaran Murni]]-Sales[[#This Row],[Target s.d. Januari]]=0,"",Sales[[#This Row],[Anggaran Murni]]-Sales[[#This Row],[Target s.d. Januari]])</f>
        <v/>
      </c>
      <c r="H2913" s="19" t="s">
        <v>71</v>
      </c>
      <c r="I2913" s="20" t="s">
        <v>6</v>
      </c>
      <c r="J2913" s="20">
        <v>120000000</v>
      </c>
      <c r="K2913" s="19" t="s">
        <v>40</v>
      </c>
      <c r="L2913" s="19" t="s">
        <v>2</v>
      </c>
      <c r="M2913" s="21" t="s">
        <v>67</v>
      </c>
      <c r="N2913" s="20" t="s">
        <v>81</v>
      </c>
      <c r="O2913" s="19" t="s">
        <v>14</v>
      </c>
      <c r="P2913" s="10"/>
      <c r="Q2913" s="11"/>
    </row>
    <row r="2914" spans="2:17" ht="21" customHeight="1" x14ac:dyDescent="0.35">
      <c r="B2914" s="1">
        <v>44170</v>
      </c>
      <c r="C2914" s="1" t="str">
        <f>TEXT(Sales[[#This Row],[Kode Program/Kegiatan ]],"D")</f>
        <v>5</v>
      </c>
      <c r="D2914" s="2" t="str">
        <f>TEXT(Sales[[#This Row],[Kode Program/Kegiatan ]],"mmm")</f>
        <v>Dec</v>
      </c>
      <c r="E2914" s="3">
        <v>7</v>
      </c>
      <c r="F2914" s="2">
        <v>7</v>
      </c>
      <c r="G2914" s="3" t="str">
        <f>IF(Sales[[#This Row],[Anggaran Murni]]-Sales[[#This Row],[Target s.d. Januari]]=0,"",Sales[[#This Row],[Anggaran Murni]]-Sales[[#This Row],[Target s.d. Januari]])</f>
        <v/>
      </c>
      <c r="H2914" s="2" t="s">
        <v>71</v>
      </c>
      <c r="I2914" s="3" t="s">
        <v>6</v>
      </c>
      <c r="J2914" s="3">
        <v>140000000</v>
      </c>
      <c r="K2914" s="2" t="s">
        <v>28</v>
      </c>
      <c r="L2914" s="2" t="s">
        <v>2</v>
      </c>
      <c r="M2914" s="4" t="s">
        <v>67</v>
      </c>
      <c r="N2914" s="3" t="s">
        <v>81</v>
      </c>
      <c r="O2914" s="2" t="s">
        <v>12</v>
      </c>
      <c r="P2914" s="10"/>
      <c r="Q2914" s="11"/>
    </row>
    <row r="2915" spans="2:17" ht="21" customHeight="1" x14ac:dyDescent="0.35">
      <c r="B2915" s="18">
        <v>44170</v>
      </c>
      <c r="C2915" s="18" t="str">
        <f>TEXT(Sales[[#This Row],[Kode Program/Kegiatan ]],"D")</f>
        <v>5</v>
      </c>
      <c r="D2915" s="19" t="str">
        <f>TEXT(Sales[[#This Row],[Kode Program/Kegiatan ]],"mmm")</f>
        <v>Dec</v>
      </c>
      <c r="E2915" s="20">
        <v>7</v>
      </c>
      <c r="F2915" s="19">
        <v>7</v>
      </c>
      <c r="G2915" s="20" t="str">
        <f>IF(Sales[[#This Row],[Anggaran Murni]]-Sales[[#This Row],[Target s.d. Januari]]=0,"",Sales[[#This Row],[Anggaran Murni]]-Sales[[#This Row],[Target s.d. Januari]])</f>
        <v/>
      </c>
      <c r="H2915" s="19" t="s">
        <v>113</v>
      </c>
      <c r="I2915" s="20" t="s">
        <v>77</v>
      </c>
      <c r="J2915" s="20">
        <v>120000000</v>
      </c>
      <c r="K2915" s="19" t="s">
        <v>32</v>
      </c>
      <c r="L2915" s="19" t="s">
        <v>5</v>
      </c>
      <c r="M2915" s="21" t="s">
        <v>67</v>
      </c>
      <c r="N2915" s="20" t="s">
        <v>82</v>
      </c>
      <c r="O2915" s="19" t="s">
        <v>14</v>
      </c>
      <c r="P2915" s="10"/>
      <c r="Q2915" s="11"/>
    </row>
    <row r="2916" spans="2:17" ht="21" customHeight="1" x14ac:dyDescent="0.35">
      <c r="B2916" s="1">
        <v>44170</v>
      </c>
      <c r="C2916" s="1" t="str">
        <f>TEXT(Sales[[#This Row],[Kode Program/Kegiatan ]],"D")</f>
        <v>5</v>
      </c>
      <c r="D2916" s="2" t="str">
        <f>TEXT(Sales[[#This Row],[Kode Program/Kegiatan ]],"mmm")</f>
        <v>Dec</v>
      </c>
      <c r="E2916" s="3">
        <v>7</v>
      </c>
      <c r="F2916" s="2">
        <v>7</v>
      </c>
      <c r="G2916" s="3" t="str">
        <f>IF(Sales[[#This Row],[Anggaran Murni]]-Sales[[#This Row],[Target s.d. Januari]]=0,"",Sales[[#This Row],[Anggaran Murni]]-Sales[[#This Row],[Target s.d. Januari]])</f>
        <v/>
      </c>
      <c r="H2916" s="2" t="s">
        <v>76</v>
      </c>
      <c r="I2916" s="3" t="s">
        <v>79</v>
      </c>
      <c r="J2916" s="3">
        <v>120000000</v>
      </c>
      <c r="K2916" s="2" t="s">
        <v>35</v>
      </c>
      <c r="L2916" s="2" t="s">
        <v>5</v>
      </c>
      <c r="M2916" s="4" t="s">
        <v>67</v>
      </c>
      <c r="N2916" s="3" t="s">
        <v>80</v>
      </c>
      <c r="O2916" s="2" t="s">
        <v>14</v>
      </c>
      <c r="P2916" s="10"/>
      <c r="Q2916" s="11"/>
    </row>
    <row r="2917" spans="2:17" ht="21" customHeight="1" x14ac:dyDescent="0.35">
      <c r="B2917" s="18">
        <v>44170</v>
      </c>
      <c r="C2917" s="18" t="str">
        <f>TEXT(Sales[[#This Row],[Kode Program/Kegiatan ]],"D")</f>
        <v>5</v>
      </c>
      <c r="D2917" s="19" t="str">
        <f>TEXT(Sales[[#This Row],[Kode Program/Kegiatan ]],"mmm")</f>
        <v>Dec</v>
      </c>
      <c r="E2917" s="20">
        <v>5</v>
      </c>
      <c r="F2917" s="19">
        <v>5</v>
      </c>
      <c r="G2917" s="20" t="str">
        <f>IF(Sales[[#This Row],[Anggaran Murni]]-Sales[[#This Row],[Target s.d. Januari]]=0,"",Sales[[#This Row],[Anggaran Murni]]-Sales[[#This Row],[Target s.d. Januari]])</f>
        <v/>
      </c>
      <c r="H2917" s="19" t="s">
        <v>73</v>
      </c>
      <c r="I2917" s="20" t="s">
        <v>78</v>
      </c>
      <c r="J2917" s="20">
        <v>40000000</v>
      </c>
      <c r="K2917" s="19" t="s">
        <v>54</v>
      </c>
      <c r="L2917" s="19" t="s">
        <v>9</v>
      </c>
      <c r="M2917" s="21" t="s">
        <v>67</v>
      </c>
      <c r="N2917" s="20" t="s">
        <v>82</v>
      </c>
      <c r="O2917" s="19" t="s">
        <v>11</v>
      </c>
      <c r="P2917" s="10"/>
      <c r="Q2917" s="11"/>
    </row>
    <row r="2918" spans="2:17" ht="21" customHeight="1" x14ac:dyDescent="0.35">
      <c r="B2918" s="1">
        <v>44170</v>
      </c>
      <c r="C2918" s="1" t="str">
        <f>TEXT(Sales[[#This Row],[Kode Program/Kegiatan ]],"D")</f>
        <v>5</v>
      </c>
      <c r="D2918" s="2" t="str">
        <f>TEXT(Sales[[#This Row],[Kode Program/Kegiatan ]],"mmm")</f>
        <v>Dec</v>
      </c>
      <c r="E2918" s="3">
        <v>4</v>
      </c>
      <c r="F2918" s="2">
        <v>4</v>
      </c>
      <c r="G2918" s="3" t="str">
        <f>IF(Sales[[#This Row],[Anggaran Murni]]-Sales[[#This Row],[Target s.d. Januari]]=0,"",Sales[[#This Row],[Anggaran Murni]]-Sales[[#This Row],[Target s.d. Januari]])</f>
        <v/>
      </c>
      <c r="H2918" s="2" t="s">
        <v>74</v>
      </c>
      <c r="I2918" s="3" t="s">
        <v>77</v>
      </c>
      <c r="J2918" s="3">
        <v>140000000</v>
      </c>
      <c r="K2918" s="2" t="s">
        <v>19</v>
      </c>
      <c r="L2918" s="2" t="s">
        <v>2</v>
      </c>
      <c r="M2918" s="4" t="s">
        <v>67</v>
      </c>
      <c r="N2918" s="3" t="s">
        <v>80</v>
      </c>
      <c r="O2918" s="2" t="s">
        <v>11</v>
      </c>
      <c r="P2918" s="10"/>
      <c r="Q2918" s="11"/>
    </row>
    <row r="2919" spans="2:17" ht="21" customHeight="1" x14ac:dyDescent="0.35">
      <c r="B2919" s="18">
        <v>44170</v>
      </c>
      <c r="C2919" s="18" t="str">
        <f>TEXT(Sales[[#This Row],[Kode Program/Kegiatan ]],"D")</f>
        <v>5</v>
      </c>
      <c r="D2919" s="19" t="str">
        <f>TEXT(Sales[[#This Row],[Kode Program/Kegiatan ]],"mmm")</f>
        <v>Dec</v>
      </c>
      <c r="E2919" s="20">
        <v>3</v>
      </c>
      <c r="F2919" s="19">
        <v>3</v>
      </c>
      <c r="G2919" s="20" t="str">
        <f>IF(Sales[[#This Row],[Anggaran Murni]]-Sales[[#This Row],[Target s.d. Januari]]=0,"",Sales[[#This Row],[Anggaran Murni]]-Sales[[#This Row],[Target s.d. Januari]])</f>
        <v/>
      </c>
      <c r="H2919" s="19" t="s">
        <v>75</v>
      </c>
      <c r="I2919" s="20" t="s">
        <v>6</v>
      </c>
      <c r="J2919" s="20">
        <v>120000000</v>
      </c>
      <c r="K2919" s="19" t="s">
        <v>54</v>
      </c>
      <c r="L2919" s="19" t="s">
        <v>2</v>
      </c>
      <c r="M2919" s="21" t="s">
        <v>67</v>
      </c>
      <c r="N2919" s="20" t="s">
        <v>80</v>
      </c>
      <c r="O2919" s="19" t="s">
        <v>11</v>
      </c>
      <c r="P2919" s="10"/>
      <c r="Q2919" s="11"/>
    </row>
    <row r="2920" spans="2:17" ht="21" customHeight="1" x14ac:dyDescent="0.35">
      <c r="B2920" s="1">
        <v>44171</v>
      </c>
      <c r="C2920" s="1" t="str">
        <f>TEXT(Sales[[#This Row],[Kode Program/Kegiatan ]],"D")</f>
        <v>6</v>
      </c>
      <c r="D2920" s="2" t="str">
        <f>TEXT(Sales[[#This Row],[Kode Program/Kegiatan ]],"mmm")</f>
        <v>Dec</v>
      </c>
      <c r="E2920" s="3">
        <v>9</v>
      </c>
      <c r="F2920" s="2">
        <v>9</v>
      </c>
      <c r="G2920" s="3" t="str">
        <f>IF(Sales[[#This Row],[Anggaran Murni]]-Sales[[#This Row],[Target s.d. Januari]]=0,"",Sales[[#This Row],[Anggaran Murni]]-Sales[[#This Row],[Target s.d. Januari]])</f>
        <v/>
      </c>
      <c r="H2920" s="2" t="s">
        <v>74</v>
      </c>
      <c r="I2920" s="3" t="s">
        <v>77</v>
      </c>
      <c r="J2920" s="3">
        <v>140000000</v>
      </c>
      <c r="K2920" s="2" t="s">
        <v>25</v>
      </c>
      <c r="L2920" s="2" t="s">
        <v>2</v>
      </c>
      <c r="M2920" s="4" t="s">
        <v>67</v>
      </c>
      <c r="N2920" s="3" t="s">
        <v>80</v>
      </c>
      <c r="O2920" s="2" t="s">
        <v>14</v>
      </c>
      <c r="P2920" s="10"/>
      <c r="Q2920" s="11"/>
    </row>
    <row r="2921" spans="2:17" ht="21" customHeight="1" x14ac:dyDescent="0.35">
      <c r="B2921" s="18">
        <v>44171</v>
      </c>
      <c r="C2921" s="18" t="str">
        <f>TEXT(Sales[[#This Row],[Kode Program/Kegiatan ]],"D")</f>
        <v>6</v>
      </c>
      <c r="D2921" s="19" t="str">
        <f>TEXT(Sales[[#This Row],[Kode Program/Kegiatan ]],"mmm")</f>
        <v>Dec</v>
      </c>
      <c r="E2921" s="20">
        <v>8</v>
      </c>
      <c r="F2921" s="19">
        <v>8</v>
      </c>
      <c r="G2921" s="20" t="str">
        <f>IF(Sales[[#This Row],[Anggaran Murni]]-Sales[[#This Row],[Target s.d. Januari]]=0,"",Sales[[#This Row],[Anggaran Murni]]-Sales[[#This Row],[Target s.d. Januari]])</f>
        <v/>
      </c>
      <c r="H2921" s="19" t="s">
        <v>73</v>
      </c>
      <c r="I2921" s="20" t="s">
        <v>78</v>
      </c>
      <c r="J2921" s="20">
        <v>100000000</v>
      </c>
      <c r="K2921" s="19" t="s">
        <v>59</v>
      </c>
      <c r="L2921" s="19" t="s">
        <v>2</v>
      </c>
      <c r="M2921" s="21" t="s">
        <v>67</v>
      </c>
      <c r="N2921" s="20" t="s">
        <v>80</v>
      </c>
      <c r="O2921" s="19" t="s">
        <v>11</v>
      </c>
      <c r="P2921" s="10"/>
      <c r="Q2921" s="11"/>
    </row>
    <row r="2922" spans="2:17" ht="21" customHeight="1" x14ac:dyDescent="0.35">
      <c r="B2922" s="1">
        <v>44171</v>
      </c>
      <c r="C2922" s="1" t="str">
        <f>TEXT(Sales[[#This Row],[Kode Program/Kegiatan ]],"D")</f>
        <v>6</v>
      </c>
      <c r="D2922" s="2" t="str">
        <f>TEXT(Sales[[#This Row],[Kode Program/Kegiatan ]],"mmm")</f>
        <v>Dec</v>
      </c>
      <c r="E2922" s="3">
        <v>7</v>
      </c>
      <c r="F2922" s="2">
        <v>7</v>
      </c>
      <c r="G2922" s="3" t="str">
        <f>IF(Sales[[#This Row],[Anggaran Murni]]-Sales[[#This Row],[Target s.d. Januari]]=0,"",Sales[[#This Row],[Anggaran Murni]]-Sales[[#This Row],[Target s.d. Januari]])</f>
        <v/>
      </c>
      <c r="H2922" s="2" t="s">
        <v>113</v>
      </c>
      <c r="I2922" s="3" t="s">
        <v>77</v>
      </c>
      <c r="J2922" s="3">
        <v>140000000</v>
      </c>
      <c r="K2922" s="2" t="s">
        <v>26</v>
      </c>
      <c r="L2922" s="2" t="s">
        <v>7</v>
      </c>
      <c r="M2922" s="4" t="s">
        <v>67</v>
      </c>
      <c r="N2922" s="3" t="s">
        <v>82</v>
      </c>
      <c r="O2922" s="2" t="s">
        <v>11</v>
      </c>
      <c r="P2922" s="10"/>
      <c r="Q2922" s="11"/>
    </row>
    <row r="2923" spans="2:17" ht="21" customHeight="1" x14ac:dyDescent="0.35">
      <c r="B2923" s="18">
        <v>44171</v>
      </c>
      <c r="C2923" s="18" t="str">
        <f>TEXT(Sales[[#This Row],[Kode Program/Kegiatan ]],"D")</f>
        <v>6</v>
      </c>
      <c r="D2923" s="19" t="str">
        <f>TEXT(Sales[[#This Row],[Kode Program/Kegiatan ]],"mmm")</f>
        <v>Dec</v>
      </c>
      <c r="E2923" s="20">
        <v>5</v>
      </c>
      <c r="F2923" s="19">
        <v>5</v>
      </c>
      <c r="G2923" s="20" t="str">
        <f>IF(Sales[[#This Row],[Anggaran Murni]]-Sales[[#This Row],[Target s.d. Januari]]=0,"",Sales[[#This Row],[Anggaran Murni]]-Sales[[#This Row],[Target s.d. Januari]])</f>
        <v/>
      </c>
      <c r="H2923" s="19" t="s">
        <v>76</v>
      </c>
      <c r="I2923" s="20" t="s">
        <v>79</v>
      </c>
      <c r="J2923" s="20">
        <v>120000000</v>
      </c>
      <c r="K2923" s="19" t="s">
        <v>51</v>
      </c>
      <c r="L2923" s="19" t="s">
        <v>5</v>
      </c>
      <c r="M2923" s="21" t="s">
        <v>67</v>
      </c>
      <c r="N2923" s="20" t="s">
        <v>82</v>
      </c>
      <c r="O2923" s="19" t="s">
        <v>14</v>
      </c>
      <c r="P2923" s="10"/>
      <c r="Q2923" s="11"/>
    </row>
    <row r="2924" spans="2:17" ht="21" customHeight="1" x14ac:dyDescent="0.35">
      <c r="B2924" s="1">
        <v>44171</v>
      </c>
      <c r="C2924" s="1" t="str">
        <f>TEXT(Sales[[#This Row],[Kode Program/Kegiatan ]],"D")</f>
        <v>6</v>
      </c>
      <c r="D2924" s="2" t="str">
        <f>TEXT(Sales[[#This Row],[Kode Program/Kegiatan ]],"mmm")</f>
        <v>Dec</v>
      </c>
      <c r="E2924" s="3">
        <v>4</v>
      </c>
      <c r="F2924" s="2">
        <v>4</v>
      </c>
      <c r="G2924" s="3" t="str">
        <f>IF(Sales[[#This Row],[Anggaran Murni]]-Sales[[#This Row],[Target s.d. Januari]]=0,"",Sales[[#This Row],[Anggaran Murni]]-Sales[[#This Row],[Target s.d. Januari]])</f>
        <v/>
      </c>
      <c r="H2924" s="2" t="s">
        <v>114</v>
      </c>
      <c r="I2924" s="3" t="s">
        <v>3</v>
      </c>
      <c r="J2924" s="3">
        <v>80000000</v>
      </c>
      <c r="K2924" s="2" t="s">
        <v>29</v>
      </c>
      <c r="L2924" s="2" t="s">
        <v>5</v>
      </c>
      <c r="M2924" s="4" t="s">
        <v>67</v>
      </c>
      <c r="N2924" s="3" t="s">
        <v>81</v>
      </c>
      <c r="O2924" s="2" t="s">
        <v>14</v>
      </c>
      <c r="P2924" s="10"/>
      <c r="Q2924" s="11"/>
    </row>
    <row r="2925" spans="2:17" ht="21" customHeight="1" x14ac:dyDescent="0.35">
      <c r="B2925" s="18">
        <v>44171</v>
      </c>
      <c r="C2925" s="18" t="str">
        <f>TEXT(Sales[[#This Row],[Kode Program/Kegiatan ]],"D")</f>
        <v>6</v>
      </c>
      <c r="D2925" s="19" t="str">
        <f>TEXT(Sales[[#This Row],[Kode Program/Kegiatan ]],"mmm")</f>
        <v>Dec</v>
      </c>
      <c r="E2925" s="20">
        <v>4</v>
      </c>
      <c r="F2925" s="19">
        <v>4</v>
      </c>
      <c r="G2925" s="20" t="str">
        <f>IF(Sales[[#This Row],[Anggaran Murni]]-Sales[[#This Row],[Target s.d. Januari]]=0,"",Sales[[#This Row],[Anggaran Murni]]-Sales[[#This Row],[Target s.d. Januari]])</f>
        <v/>
      </c>
      <c r="H2925" s="19" t="s">
        <v>72</v>
      </c>
      <c r="I2925" s="20" t="s">
        <v>78</v>
      </c>
      <c r="J2925" s="20">
        <v>60000000</v>
      </c>
      <c r="K2925" s="19" t="s">
        <v>19</v>
      </c>
      <c r="L2925" s="19" t="s">
        <v>5</v>
      </c>
      <c r="M2925" s="21" t="s">
        <v>67</v>
      </c>
      <c r="N2925" s="20" t="s">
        <v>80</v>
      </c>
      <c r="O2925" s="19" t="s">
        <v>14</v>
      </c>
      <c r="P2925" s="10"/>
      <c r="Q2925" s="11"/>
    </row>
    <row r="2926" spans="2:17" ht="21" customHeight="1" x14ac:dyDescent="0.35">
      <c r="B2926" s="1">
        <v>44171</v>
      </c>
      <c r="C2926" s="1" t="str">
        <f>TEXT(Sales[[#This Row],[Kode Program/Kegiatan ]],"D")</f>
        <v>6</v>
      </c>
      <c r="D2926" s="2" t="str">
        <f>TEXT(Sales[[#This Row],[Kode Program/Kegiatan ]],"mmm")</f>
        <v>Dec</v>
      </c>
      <c r="E2926" s="3">
        <v>4</v>
      </c>
      <c r="F2926" s="2">
        <v>4</v>
      </c>
      <c r="G2926" s="3" t="str">
        <f>IF(Sales[[#This Row],[Anggaran Murni]]-Sales[[#This Row],[Target s.d. Januari]]=0,"",Sales[[#This Row],[Anggaran Murni]]-Sales[[#This Row],[Target s.d. Januari]])</f>
        <v/>
      </c>
      <c r="H2926" s="2" t="s">
        <v>113</v>
      </c>
      <c r="I2926" s="3" t="s">
        <v>77</v>
      </c>
      <c r="J2926" s="3">
        <v>100000000</v>
      </c>
      <c r="K2926" s="2" t="s">
        <v>28</v>
      </c>
      <c r="L2926" s="2" t="s">
        <v>5</v>
      </c>
      <c r="M2926" s="4" t="s">
        <v>67</v>
      </c>
      <c r="N2926" s="3" t="s">
        <v>82</v>
      </c>
      <c r="O2926" s="2" t="s">
        <v>11</v>
      </c>
      <c r="P2926" s="10"/>
      <c r="Q2926" s="11"/>
    </row>
    <row r="2927" spans="2:17" ht="21" customHeight="1" x14ac:dyDescent="0.35">
      <c r="B2927" s="18">
        <v>44171</v>
      </c>
      <c r="C2927" s="18" t="str">
        <f>TEXT(Sales[[#This Row],[Kode Program/Kegiatan ]],"D")</f>
        <v>6</v>
      </c>
      <c r="D2927" s="19" t="str">
        <f>TEXT(Sales[[#This Row],[Kode Program/Kegiatan ]],"mmm")</f>
        <v>Dec</v>
      </c>
      <c r="E2927" s="20">
        <v>4</v>
      </c>
      <c r="F2927" s="19">
        <v>4</v>
      </c>
      <c r="G2927" s="20" t="str">
        <f>IF(Sales[[#This Row],[Anggaran Murni]]-Sales[[#This Row],[Target s.d. Januari]]=0,"",Sales[[#This Row],[Anggaran Murni]]-Sales[[#This Row],[Target s.d. Januari]])</f>
        <v/>
      </c>
      <c r="H2927" s="19" t="s">
        <v>71</v>
      </c>
      <c r="I2927" s="20" t="s">
        <v>6</v>
      </c>
      <c r="J2927" s="20">
        <v>140000000</v>
      </c>
      <c r="K2927" s="19" t="s">
        <v>23</v>
      </c>
      <c r="L2927" s="19" t="s">
        <v>8</v>
      </c>
      <c r="M2927" s="21" t="s">
        <v>67</v>
      </c>
      <c r="N2927" s="20" t="s">
        <v>82</v>
      </c>
      <c r="O2927" s="19" t="s">
        <v>11</v>
      </c>
      <c r="P2927" s="10"/>
      <c r="Q2927" s="11"/>
    </row>
    <row r="2928" spans="2:17" ht="21" customHeight="1" x14ac:dyDescent="0.35">
      <c r="B2928" s="1">
        <v>44171</v>
      </c>
      <c r="C2928" s="1" t="str">
        <f>TEXT(Sales[[#This Row],[Kode Program/Kegiatan ]],"D")</f>
        <v>6</v>
      </c>
      <c r="D2928" s="2" t="str">
        <f>TEXT(Sales[[#This Row],[Kode Program/Kegiatan ]],"mmm")</f>
        <v>Dec</v>
      </c>
      <c r="E2928" s="3">
        <v>3</v>
      </c>
      <c r="F2928" s="2">
        <v>3</v>
      </c>
      <c r="G2928" s="3" t="str">
        <f>IF(Sales[[#This Row],[Anggaran Murni]]-Sales[[#This Row],[Target s.d. Januari]]=0,"",Sales[[#This Row],[Anggaran Murni]]-Sales[[#This Row],[Target s.d. Januari]])</f>
        <v/>
      </c>
      <c r="H2928" s="2" t="s">
        <v>73</v>
      </c>
      <c r="I2928" s="3" t="s">
        <v>78</v>
      </c>
      <c r="J2928" s="3">
        <v>100000000</v>
      </c>
      <c r="K2928" s="2" t="s">
        <v>41</v>
      </c>
      <c r="L2928" s="2" t="s">
        <v>5</v>
      </c>
      <c r="M2928" s="4" t="s">
        <v>67</v>
      </c>
      <c r="N2928" s="3" t="s">
        <v>81</v>
      </c>
      <c r="O2928" s="2" t="s">
        <v>12</v>
      </c>
      <c r="P2928" s="10"/>
      <c r="Q2928" s="11"/>
    </row>
    <row r="2929" spans="2:17" ht="21" customHeight="1" x14ac:dyDescent="0.35">
      <c r="B2929" s="18">
        <v>44172</v>
      </c>
      <c r="C2929" s="18" t="str">
        <f>TEXT(Sales[[#This Row],[Kode Program/Kegiatan ]],"D")</f>
        <v>7</v>
      </c>
      <c r="D2929" s="19" t="str">
        <f>TEXT(Sales[[#This Row],[Kode Program/Kegiatan ]],"mmm")</f>
        <v>Dec</v>
      </c>
      <c r="E2929" s="20">
        <v>10</v>
      </c>
      <c r="F2929" s="19">
        <v>10</v>
      </c>
      <c r="G2929" s="20" t="str">
        <f>IF(Sales[[#This Row],[Anggaran Murni]]-Sales[[#This Row],[Target s.d. Januari]]=0,"",Sales[[#This Row],[Anggaran Murni]]-Sales[[#This Row],[Target s.d. Januari]])</f>
        <v/>
      </c>
      <c r="H2929" s="19" t="s">
        <v>73</v>
      </c>
      <c r="I2929" s="20" t="s">
        <v>78</v>
      </c>
      <c r="J2929" s="20">
        <v>40000000</v>
      </c>
      <c r="K2929" s="19" t="s">
        <v>38</v>
      </c>
      <c r="L2929" s="19" t="s">
        <v>5</v>
      </c>
      <c r="M2929" s="21" t="s">
        <v>67</v>
      </c>
      <c r="N2929" s="20" t="s">
        <v>82</v>
      </c>
      <c r="O2929" s="19" t="s">
        <v>13</v>
      </c>
      <c r="P2929" s="10"/>
      <c r="Q2929" s="11"/>
    </row>
    <row r="2930" spans="2:17" ht="21" customHeight="1" x14ac:dyDescent="0.35">
      <c r="B2930" s="1">
        <v>44172</v>
      </c>
      <c r="C2930" s="1" t="str">
        <f>TEXT(Sales[[#This Row],[Kode Program/Kegiatan ]],"D")</f>
        <v>7</v>
      </c>
      <c r="D2930" s="2" t="str">
        <f>TEXT(Sales[[#This Row],[Kode Program/Kegiatan ]],"mmm")</f>
        <v>Dec</v>
      </c>
      <c r="E2930" s="3">
        <v>10</v>
      </c>
      <c r="F2930" s="2">
        <v>10</v>
      </c>
      <c r="G2930" s="3" t="str">
        <f>IF(Sales[[#This Row],[Anggaran Murni]]-Sales[[#This Row],[Target s.d. Januari]]=0,"",Sales[[#This Row],[Anggaran Murni]]-Sales[[#This Row],[Target s.d. Januari]])</f>
        <v/>
      </c>
      <c r="H2930" s="2" t="s">
        <v>71</v>
      </c>
      <c r="I2930" s="3" t="s">
        <v>6</v>
      </c>
      <c r="J2930" s="3">
        <v>80000000</v>
      </c>
      <c r="K2930" s="2" t="s">
        <v>30</v>
      </c>
      <c r="L2930" s="2" t="s">
        <v>2</v>
      </c>
      <c r="M2930" s="4" t="s">
        <v>67</v>
      </c>
      <c r="N2930" s="3" t="s">
        <v>82</v>
      </c>
      <c r="O2930" s="2" t="s">
        <v>14</v>
      </c>
      <c r="P2930" s="10"/>
      <c r="Q2930" s="11"/>
    </row>
    <row r="2931" spans="2:17" ht="21" customHeight="1" x14ac:dyDescent="0.35">
      <c r="B2931" s="18">
        <v>44172</v>
      </c>
      <c r="C2931" s="18" t="str">
        <f>TEXT(Sales[[#This Row],[Kode Program/Kegiatan ]],"D")</f>
        <v>7</v>
      </c>
      <c r="D2931" s="19" t="str">
        <f>TEXT(Sales[[#This Row],[Kode Program/Kegiatan ]],"mmm")</f>
        <v>Dec</v>
      </c>
      <c r="E2931" s="20">
        <v>10</v>
      </c>
      <c r="F2931" s="19">
        <v>10</v>
      </c>
      <c r="G2931" s="20" t="str">
        <f>IF(Sales[[#This Row],[Anggaran Murni]]-Sales[[#This Row],[Target s.d. Januari]]=0,"",Sales[[#This Row],[Anggaran Murni]]-Sales[[#This Row],[Target s.d. Januari]])</f>
        <v/>
      </c>
      <c r="H2931" s="19" t="s">
        <v>70</v>
      </c>
      <c r="I2931" s="20" t="s">
        <v>1</v>
      </c>
      <c r="J2931" s="20">
        <v>80000000</v>
      </c>
      <c r="K2931" s="19" t="s">
        <v>21</v>
      </c>
      <c r="L2931" s="19" t="s">
        <v>4</v>
      </c>
      <c r="M2931" s="21" t="s">
        <v>67</v>
      </c>
      <c r="N2931" s="20" t="s">
        <v>80</v>
      </c>
      <c r="O2931" s="19" t="s">
        <v>11</v>
      </c>
      <c r="P2931" s="10"/>
      <c r="Q2931" s="11"/>
    </row>
    <row r="2932" spans="2:17" ht="21" customHeight="1" x14ac:dyDescent="0.35">
      <c r="B2932" s="1">
        <v>44172</v>
      </c>
      <c r="C2932" s="1" t="str">
        <f>TEXT(Sales[[#This Row],[Kode Program/Kegiatan ]],"D")</f>
        <v>7</v>
      </c>
      <c r="D2932" s="2" t="str">
        <f>TEXT(Sales[[#This Row],[Kode Program/Kegiatan ]],"mmm")</f>
        <v>Dec</v>
      </c>
      <c r="E2932" s="3">
        <v>9</v>
      </c>
      <c r="F2932" s="2">
        <v>9</v>
      </c>
      <c r="G2932" s="3" t="str">
        <f>IF(Sales[[#This Row],[Anggaran Murni]]-Sales[[#This Row],[Target s.d. Januari]]=0,"",Sales[[#This Row],[Anggaran Murni]]-Sales[[#This Row],[Target s.d. Januari]])</f>
        <v/>
      </c>
      <c r="H2932" s="2" t="s">
        <v>70</v>
      </c>
      <c r="I2932" s="3" t="s">
        <v>1</v>
      </c>
      <c r="J2932" s="3">
        <v>60000000</v>
      </c>
      <c r="K2932" s="2" t="s">
        <v>34</v>
      </c>
      <c r="L2932" s="2" t="s">
        <v>7</v>
      </c>
      <c r="M2932" s="4" t="s">
        <v>67</v>
      </c>
      <c r="N2932" s="3" t="s">
        <v>82</v>
      </c>
      <c r="O2932" s="2" t="s">
        <v>11</v>
      </c>
      <c r="P2932" s="10"/>
      <c r="Q2932" s="11"/>
    </row>
    <row r="2933" spans="2:17" ht="21" customHeight="1" x14ac:dyDescent="0.35">
      <c r="B2933" s="18">
        <v>44172</v>
      </c>
      <c r="C2933" s="18" t="str">
        <f>TEXT(Sales[[#This Row],[Kode Program/Kegiatan ]],"D")</f>
        <v>7</v>
      </c>
      <c r="D2933" s="19" t="str">
        <f>TEXT(Sales[[#This Row],[Kode Program/Kegiatan ]],"mmm")</f>
        <v>Dec</v>
      </c>
      <c r="E2933" s="20">
        <v>7</v>
      </c>
      <c r="F2933" s="19">
        <v>7</v>
      </c>
      <c r="G2933" s="20" t="str">
        <f>IF(Sales[[#This Row],[Anggaran Murni]]-Sales[[#This Row],[Target s.d. Januari]]=0,"",Sales[[#This Row],[Anggaran Murni]]-Sales[[#This Row],[Target s.d. Januari]])</f>
        <v/>
      </c>
      <c r="H2933" s="19" t="s">
        <v>73</v>
      </c>
      <c r="I2933" s="20" t="s">
        <v>78</v>
      </c>
      <c r="J2933" s="20">
        <v>140000000</v>
      </c>
      <c r="K2933" s="19" t="s">
        <v>56</v>
      </c>
      <c r="L2933" s="19" t="s">
        <v>9</v>
      </c>
      <c r="M2933" s="21" t="s">
        <v>67</v>
      </c>
      <c r="N2933" s="20" t="s">
        <v>80</v>
      </c>
      <c r="O2933" s="19" t="s">
        <v>11</v>
      </c>
      <c r="P2933" s="10"/>
      <c r="Q2933" s="11"/>
    </row>
    <row r="2934" spans="2:17" ht="21" customHeight="1" x14ac:dyDescent="0.35">
      <c r="B2934" s="1">
        <v>44172</v>
      </c>
      <c r="C2934" s="1" t="str">
        <f>TEXT(Sales[[#This Row],[Kode Program/Kegiatan ]],"D")</f>
        <v>7</v>
      </c>
      <c r="D2934" s="2" t="str">
        <f>TEXT(Sales[[#This Row],[Kode Program/Kegiatan ]],"mmm")</f>
        <v>Dec</v>
      </c>
      <c r="E2934" s="3">
        <v>6</v>
      </c>
      <c r="F2934" s="2">
        <v>6</v>
      </c>
      <c r="G2934" s="3" t="str">
        <f>IF(Sales[[#This Row],[Anggaran Murni]]-Sales[[#This Row],[Target s.d. Januari]]=0,"",Sales[[#This Row],[Anggaran Murni]]-Sales[[#This Row],[Target s.d. Januari]])</f>
        <v/>
      </c>
      <c r="H2934" s="2" t="s">
        <v>73</v>
      </c>
      <c r="I2934" s="3" t="s">
        <v>78</v>
      </c>
      <c r="J2934" s="3">
        <v>40000000</v>
      </c>
      <c r="K2934" s="2" t="s">
        <v>45</v>
      </c>
      <c r="L2934" s="2" t="s">
        <v>2</v>
      </c>
      <c r="M2934" s="4" t="s">
        <v>67</v>
      </c>
      <c r="N2934" s="3" t="s">
        <v>81</v>
      </c>
      <c r="O2934" s="2" t="s">
        <v>13</v>
      </c>
      <c r="P2934" s="10"/>
      <c r="Q2934" s="11"/>
    </row>
    <row r="2935" spans="2:17" ht="21" customHeight="1" x14ac:dyDescent="0.35">
      <c r="B2935" s="18">
        <v>44172</v>
      </c>
      <c r="C2935" s="18" t="str">
        <f>TEXT(Sales[[#This Row],[Kode Program/Kegiatan ]],"D")</f>
        <v>7</v>
      </c>
      <c r="D2935" s="19" t="str">
        <f>TEXT(Sales[[#This Row],[Kode Program/Kegiatan ]],"mmm")</f>
        <v>Dec</v>
      </c>
      <c r="E2935" s="20">
        <v>6</v>
      </c>
      <c r="F2935" s="19">
        <v>6</v>
      </c>
      <c r="G2935" s="20" t="str">
        <f>IF(Sales[[#This Row],[Anggaran Murni]]-Sales[[#This Row],[Target s.d. Januari]]=0,"",Sales[[#This Row],[Anggaran Murni]]-Sales[[#This Row],[Target s.d. Januari]])</f>
        <v/>
      </c>
      <c r="H2935" s="19" t="s">
        <v>74</v>
      </c>
      <c r="I2935" s="20" t="s">
        <v>77</v>
      </c>
      <c r="J2935" s="20">
        <v>120000000</v>
      </c>
      <c r="K2935" s="19" t="s">
        <v>47</v>
      </c>
      <c r="L2935" s="19" t="s">
        <v>2</v>
      </c>
      <c r="M2935" s="21" t="s">
        <v>67</v>
      </c>
      <c r="N2935" s="20" t="s">
        <v>81</v>
      </c>
      <c r="O2935" s="19" t="s">
        <v>12</v>
      </c>
      <c r="P2935" s="10"/>
      <c r="Q2935" s="11"/>
    </row>
    <row r="2936" spans="2:17" ht="21" customHeight="1" x14ac:dyDescent="0.35">
      <c r="B2936" s="1">
        <v>44172</v>
      </c>
      <c r="C2936" s="1" t="str">
        <f>TEXT(Sales[[#This Row],[Kode Program/Kegiatan ]],"D")</f>
        <v>7</v>
      </c>
      <c r="D2936" s="2" t="str">
        <f>TEXT(Sales[[#This Row],[Kode Program/Kegiatan ]],"mmm")</f>
        <v>Dec</v>
      </c>
      <c r="E2936" s="3">
        <v>4</v>
      </c>
      <c r="F2936" s="2">
        <v>4</v>
      </c>
      <c r="G2936" s="3" t="str">
        <f>IF(Sales[[#This Row],[Anggaran Murni]]-Sales[[#This Row],[Target s.d. Januari]]=0,"",Sales[[#This Row],[Anggaran Murni]]-Sales[[#This Row],[Target s.d. Januari]])</f>
        <v/>
      </c>
      <c r="H2936" s="2" t="s">
        <v>74</v>
      </c>
      <c r="I2936" s="3" t="s">
        <v>77</v>
      </c>
      <c r="J2936" s="3">
        <v>140000000</v>
      </c>
      <c r="K2936" s="2" t="s">
        <v>16</v>
      </c>
      <c r="L2936" s="2" t="s">
        <v>5</v>
      </c>
      <c r="M2936" s="4" t="s">
        <v>67</v>
      </c>
      <c r="N2936" s="3" t="s">
        <v>82</v>
      </c>
      <c r="O2936" s="2" t="s">
        <v>11</v>
      </c>
      <c r="P2936" s="10"/>
      <c r="Q2936" s="11"/>
    </row>
    <row r="2937" spans="2:17" ht="21" customHeight="1" x14ac:dyDescent="0.35">
      <c r="B2937" s="18">
        <v>44173</v>
      </c>
      <c r="C2937" s="18" t="str">
        <f>TEXT(Sales[[#This Row],[Kode Program/Kegiatan ]],"D")</f>
        <v>8</v>
      </c>
      <c r="D2937" s="19" t="str">
        <f>TEXT(Sales[[#This Row],[Kode Program/Kegiatan ]],"mmm")</f>
        <v>Dec</v>
      </c>
      <c r="E2937" s="20">
        <v>10</v>
      </c>
      <c r="F2937" s="19">
        <v>10</v>
      </c>
      <c r="G2937" s="20" t="str">
        <f>IF(Sales[[#This Row],[Anggaran Murni]]-Sales[[#This Row],[Target s.d. Januari]]=0,"",Sales[[#This Row],[Anggaran Murni]]-Sales[[#This Row],[Target s.d. Januari]])</f>
        <v/>
      </c>
      <c r="H2937" s="19" t="s">
        <v>113</v>
      </c>
      <c r="I2937" s="20" t="s">
        <v>77</v>
      </c>
      <c r="J2937" s="20">
        <v>60000000</v>
      </c>
      <c r="K2937" s="19" t="s">
        <v>30</v>
      </c>
      <c r="L2937" s="19" t="s">
        <v>4</v>
      </c>
      <c r="M2937" s="21" t="s">
        <v>67</v>
      </c>
      <c r="N2937" s="20" t="s">
        <v>80</v>
      </c>
      <c r="O2937" s="19" t="s">
        <v>12</v>
      </c>
      <c r="P2937" s="10"/>
      <c r="Q2937" s="11"/>
    </row>
    <row r="2938" spans="2:17" ht="21" customHeight="1" x14ac:dyDescent="0.35">
      <c r="B2938" s="1">
        <v>44173</v>
      </c>
      <c r="C2938" s="1" t="str">
        <f>TEXT(Sales[[#This Row],[Kode Program/Kegiatan ]],"D")</f>
        <v>8</v>
      </c>
      <c r="D2938" s="2" t="str">
        <f>TEXT(Sales[[#This Row],[Kode Program/Kegiatan ]],"mmm")</f>
        <v>Dec</v>
      </c>
      <c r="E2938" s="3">
        <v>10</v>
      </c>
      <c r="F2938" s="2">
        <v>10</v>
      </c>
      <c r="G2938" s="3" t="str">
        <f>IF(Sales[[#This Row],[Anggaran Murni]]-Sales[[#This Row],[Target s.d. Januari]]=0,"",Sales[[#This Row],[Anggaran Murni]]-Sales[[#This Row],[Target s.d. Januari]])</f>
        <v/>
      </c>
      <c r="H2938" s="2" t="s">
        <v>70</v>
      </c>
      <c r="I2938" s="3" t="s">
        <v>1</v>
      </c>
      <c r="J2938" s="3">
        <v>120000000</v>
      </c>
      <c r="K2938" s="2" t="s">
        <v>61</v>
      </c>
      <c r="L2938" s="2" t="s">
        <v>2</v>
      </c>
      <c r="M2938" s="4" t="s">
        <v>67</v>
      </c>
      <c r="N2938" s="3" t="s">
        <v>82</v>
      </c>
      <c r="O2938" s="2" t="s">
        <v>11</v>
      </c>
      <c r="P2938" s="10"/>
      <c r="Q2938" s="11"/>
    </row>
    <row r="2939" spans="2:17" ht="21" customHeight="1" x14ac:dyDescent="0.35">
      <c r="B2939" s="18">
        <v>44173</v>
      </c>
      <c r="C2939" s="18" t="str">
        <f>TEXT(Sales[[#This Row],[Kode Program/Kegiatan ]],"D")</f>
        <v>8</v>
      </c>
      <c r="D2939" s="19" t="str">
        <f>TEXT(Sales[[#This Row],[Kode Program/Kegiatan ]],"mmm")</f>
        <v>Dec</v>
      </c>
      <c r="E2939" s="20">
        <v>9</v>
      </c>
      <c r="F2939" s="19">
        <v>9</v>
      </c>
      <c r="G2939" s="20" t="str">
        <f>IF(Sales[[#This Row],[Anggaran Murni]]-Sales[[#This Row],[Target s.d. Januari]]=0,"",Sales[[#This Row],[Anggaran Murni]]-Sales[[#This Row],[Target s.d. Januari]])</f>
        <v/>
      </c>
      <c r="H2939" s="19" t="s">
        <v>114</v>
      </c>
      <c r="I2939" s="20" t="s">
        <v>3</v>
      </c>
      <c r="J2939" s="20">
        <v>80000000</v>
      </c>
      <c r="K2939" s="19" t="s">
        <v>48</v>
      </c>
      <c r="L2939" s="19" t="s">
        <v>5</v>
      </c>
      <c r="M2939" s="21" t="s">
        <v>67</v>
      </c>
      <c r="N2939" s="20" t="s">
        <v>80</v>
      </c>
      <c r="O2939" s="19" t="s">
        <v>12</v>
      </c>
      <c r="P2939" s="10"/>
      <c r="Q2939" s="11"/>
    </row>
    <row r="2940" spans="2:17" ht="21" customHeight="1" x14ac:dyDescent="0.35">
      <c r="B2940" s="1">
        <v>44173</v>
      </c>
      <c r="C2940" s="1" t="str">
        <f>TEXT(Sales[[#This Row],[Kode Program/Kegiatan ]],"D")</f>
        <v>8</v>
      </c>
      <c r="D2940" s="2" t="str">
        <f>TEXT(Sales[[#This Row],[Kode Program/Kegiatan ]],"mmm")</f>
        <v>Dec</v>
      </c>
      <c r="E2940" s="3">
        <v>9</v>
      </c>
      <c r="F2940" s="2">
        <v>9</v>
      </c>
      <c r="G2940" s="3" t="str">
        <f>IF(Sales[[#This Row],[Anggaran Murni]]-Sales[[#This Row],[Target s.d. Januari]]=0,"",Sales[[#This Row],[Anggaran Murni]]-Sales[[#This Row],[Target s.d. Januari]])</f>
        <v/>
      </c>
      <c r="H2940" s="2" t="s">
        <v>73</v>
      </c>
      <c r="I2940" s="3" t="s">
        <v>78</v>
      </c>
      <c r="J2940" s="3">
        <v>120000000</v>
      </c>
      <c r="K2940" s="2" t="s">
        <v>17</v>
      </c>
      <c r="L2940" s="2" t="s">
        <v>8</v>
      </c>
      <c r="M2940" s="4" t="s">
        <v>67</v>
      </c>
      <c r="N2940" s="3" t="s">
        <v>80</v>
      </c>
      <c r="O2940" s="2" t="s">
        <v>11</v>
      </c>
      <c r="P2940" s="10"/>
      <c r="Q2940" s="11"/>
    </row>
    <row r="2941" spans="2:17" ht="21" customHeight="1" x14ac:dyDescent="0.35">
      <c r="B2941" s="18">
        <v>44173</v>
      </c>
      <c r="C2941" s="18" t="str">
        <f>TEXT(Sales[[#This Row],[Kode Program/Kegiatan ]],"D")</f>
        <v>8</v>
      </c>
      <c r="D2941" s="19" t="str">
        <f>TEXT(Sales[[#This Row],[Kode Program/Kegiatan ]],"mmm")</f>
        <v>Dec</v>
      </c>
      <c r="E2941" s="20">
        <v>8</v>
      </c>
      <c r="F2941" s="19">
        <v>8</v>
      </c>
      <c r="G2941" s="20" t="str">
        <f>IF(Sales[[#This Row],[Anggaran Murni]]-Sales[[#This Row],[Target s.d. Januari]]=0,"",Sales[[#This Row],[Anggaran Murni]]-Sales[[#This Row],[Target s.d. Januari]])</f>
        <v/>
      </c>
      <c r="H2941" s="19" t="s">
        <v>113</v>
      </c>
      <c r="I2941" s="20" t="s">
        <v>77</v>
      </c>
      <c r="J2941" s="20">
        <v>60000000</v>
      </c>
      <c r="K2941" s="19" t="s">
        <v>49</v>
      </c>
      <c r="L2941" s="19" t="s">
        <v>2</v>
      </c>
      <c r="M2941" s="21" t="s">
        <v>67</v>
      </c>
      <c r="N2941" s="20" t="s">
        <v>80</v>
      </c>
      <c r="O2941" s="19" t="s">
        <v>11</v>
      </c>
      <c r="P2941" s="10"/>
      <c r="Q2941" s="11"/>
    </row>
    <row r="2942" spans="2:17" ht="21" customHeight="1" x14ac:dyDescent="0.35">
      <c r="B2942" s="1">
        <v>44173</v>
      </c>
      <c r="C2942" s="1" t="str">
        <f>TEXT(Sales[[#This Row],[Kode Program/Kegiatan ]],"D")</f>
        <v>8</v>
      </c>
      <c r="D2942" s="2" t="str">
        <f>TEXT(Sales[[#This Row],[Kode Program/Kegiatan ]],"mmm")</f>
        <v>Dec</v>
      </c>
      <c r="E2942" s="3">
        <v>7</v>
      </c>
      <c r="F2942" s="2">
        <v>7</v>
      </c>
      <c r="G2942" s="3" t="str">
        <f>IF(Sales[[#This Row],[Anggaran Murni]]-Sales[[#This Row],[Target s.d. Januari]]=0,"",Sales[[#This Row],[Anggaran Murni]]-Sales[[#This Row],[Target s.d. Januari]])</f>
        <v/>
      </c>
      <c r="H2942" s="2" t="s">
        <v>71</v>
      </c>
      <c r="I2942" s="3" t="s">
        <v>6</v>
      </c>
      <c r="J2942" s="3">
        <v>100000000</v>
      </c>
      <c r="K2942" s="2" t="s">
        <v>40</v>
      </c>
      <c r="L2942" s="2" t="s">
        <v>5</v>
      </c>
      <c r="M2942" s="4" t="s">
        <v>67</v>
      </c>
      <c r="N2942" s="3" t="s">
        <v>80</v>
      </c>
      <c r="O2942" s="2" t="s">
        <v>14</v>
      </c>
      <c r="P2942" s="10"/>
      <c r="Q2942" s="11"/>
    </row>
    <row r="2943" spans="2:17" ht="21" customHeight="1" x14ac:dyDescent="0.35">
      <c r="B2943" s="18">
        <v>44173</v>
      </c>
      <c r="C2943" s="18" t="str">
        <f>TEXT(Sales[[#This Row],[Kode Program/Kegiatan ]],"D")</f>
        <v>8</v>
      </c>
      <c r="D2943" s="19" t="str">
        <f>TEXT(Sales[[#This Row],[Kode Program/Kegiatan ]],"mmm")</f>
        <v>Dec</v>
      </c>
      <c r="E2943" s="20">
        <v>7</v>
      </c>
      <c r="F2943" s="19">
        <v>7</v>
      </c>
      <c r="G2943" s="20" t="str">
        <f>IF(Sales[[#This Row],[Anggaran Murni]]-Sales[[#This Row],[Target s.d. Januari]]=0,"",Sales[[#This Row],[Anggaran Murni]]-Sales[[#This Row],[Target s.d. Januari]])</f>
        <v/>
      </c>
      <c r="H2943" s="19" t="s">
        <v>113</v>
      </c>
      <c r="I2943" s="20" t="s">
        <v>77</v>
      </c>
      <c r="J2943" s="20">
        <v>60000000</v>
      </c>
      <c r="K2943" s="19" t="s">
        <v>32</v>
      </c>
      <c r="L2943" s="19" t="s">
        <v>5</v>
      </c>
      <c r="M2943" s="21" t="s">
        <v>67</v>
      </c>
      <c r="N2943" s="20" t="s">
        <v>82</v>
      </c>
      <c r="O2943" s="19" t="s">
        <v>14</v>
      </c>
      <c r="P2943" s="10"/>
      <c r="Q2943" s="11"/>
    </row>
    <row r="2944" spans="2:17" ht="21" customHeight="1" x14ac:dyDescent="0.35">
      <c r="B2944" s="1">
        <v>44173</v>
      </c>
      <c r="C2944" s="1" t="str">
        <f>TEXT(Sales[[#This Row],[Kode Program/Kegiatan ]],"D")</f>
        <v>8</v>
      </c>
      <c r="D2944" s="2" t="str">
        <f>TEXT(Sales[[#This Row],[Kode Program/Kegiatan ]],"mmm")</f>
        <v>Dec</v>
      </c>
      <c r="E2944" s="3">
        <v>5</v>
      </c>
      <c r="F2944" s="2">
        <v>5</v>
      </c>
      <c r="G2944" s="3" t="str">
        <f>IF(Sales[[#This Row],[Anggaran Murni]]-Sales[[#This Row],[Target s.d. Januari]]=0,"",Sales[[#This Row],[Anggaran Murni]]-Sales[[#This Row],[Target s.d. Januari]])</f>
        <v/>
      </c>
      <c r="H2944" s="2" t="s">
        <v>71</v>
      </c>
      <c r="I2944" s="3" t="s">
        <v>6</v>
      </c>
      <c r="J2944" s="3">
        <v>40000000</v>
      </c>
      <c r="K2944" s="2" t="s">
        <v>36</v>
      </c>
      <c r="L2944" s="2" t="s">
        <v>2</v>
      </c>
      <c r="M2944" s="4" t="s">
        <v>67</v>
      </c>
      <c r="N2944" s="3" t="s">
        <v>82</v>
      </c>
      <c r="O2944" s="2" t="s">
        <v>14</v>
      </c>
      <c r="P2944" s="10"/>
      <c r="Q2944" s="11"/>
    </row>
    <row r="2945" spans="2:17" ht="21" customHeight="1" x14ac:dyDescent="0.35">
      <c r="B2945" s="18">
        <v>44173</v>
      </c>
      <c r="C2945" s="18" t="str">
        <f>TEXT(Sales[[#This Row],[Kode Program/Kegiatan ]],"D")</f>
        <v>8</v>
      </c>
      <c r="D2945" s="19" t="str">
        <f>TEXT(Sales[[#This Row],[Kode Program/Kegiatan ]],"mmm")</f>
        <v>Dec</v>
      </c>
      <c r="E2945" s="20">
        <v>5</v>
      </c>
      <c r="F2945" s="19">
        <v>5</v>
      </c>
      <c r="G2945" s="20" t="str">
        <f>IF(Sales[[#This Row],[Anggaran Murni]]-Sales[[#This Row],[Target s.d. Januari]]=0,"",Sales[[#This Row],[Anggaran Murni]]-Sales[[#This Row],[Target s.d. Januari]])</f>
        <v/>
      </c>
      <c r="H2945" s="19" t="s">
        <v>75</v>
      </c>
      <c r="I2945" s="20" t="s">
        <v>6</v>
      </c>
      <c r="J2945" s="20">
        <v>80000000</v>
      </c>
      <c r="K2945" s="19" t="s">
        <v>38</v>
      </c>
      <c r="L2945" s="19" t="s">
        <v>2</v>
      </c>
      <c r="M2945" s="21" t="s">
        <v>67</v>
      </c>
      <c r="N2945" s="20" t="s">
        <v>81</v>
      </c>
      <c r="O2945" s="19" t="s">
        <v>14</v>
      </c>
      <c r="P2945" s="10"/>
      <c r="Q2945" s="11"/>
    </row>
    <row r="2946" spans="2:17" ht="21" customHeight="1" x14ac:dyDescent="0.35">
      <c r="B2946" s="1">
        <v>44174</v>
      </c>
      <c r="C2946" s="1" t="str">
        <f>TEXT(Sales[[#This Row],[Kode Program/Kegiatan ]],"D")</f>
        <v>9</v>
      </c>
      <c r="D2946" s="2" t="str">
        <f>TEXT(Sales[[#This Row],[Kode Program/Kegiatan ]],"mmm")</f>
        <v>Dec</v>
      </c>
      <c r="E2946" s="3">
        <v>10</v>
      </c>
      <c r="F2946" s="2">
        <v>10</v>
      </c>
      <c r="G2946" s="3" t="str">
        <f>IF(Sales[[#This Row],[Anggaran Murni]]-Sales[[#This Row],[Target s.d. Januari]]=0,"",Sales[[#This Row],[Anggaran Murni]]-Sales[[#This Row],[Target s.d. Januari]])</f>
        <v/>
      </c>
      <c r="H2946" s="2" t="s">
        <v>114</v>
      </c>
      <c r="I2946" s="3" t="s">
        <v>3</v>
      </c>
      <c r="J2946" s="3">
        <v>80000000</v>
      </c>
      <c r="K2946" s="2" t="s">
        <v>37</v>
      </c>
      <c r="L2946" s="2" t="s">
        <v>2</v>
      </c>
      <c r="M2946" s="4" t="s">
        <v>67</v>
      </c>
      <c r="N2946" s="3" t="s">
        <v>80</v>
      </c>
      <c r="O2946" s="2" t="s">
        <v>11</v>
      </c>
      <c r="P2946" s="10"/>
      <c r="Q2946" s="11"/>
    </row>
    <row r="2947" spans="2:17" ht="21" customHeight="1" x14ac:dyDescent="0.35">
      <c r="B2947" s="18">
        <v>44174</v>
      </c>
      <c r="C2947" s="18" t="str">
        <f>TEXT(Sales[[#This Row],[Kode Program/Kegiatan ]],"D")</f>
        <v>9</v>
      </c>
      <c r="D2947" s="19" t="str">
        <f>TEXT(Sales[[#This Row],[Kode Program/Kegiatan ]],"mmm")</f>
        <v>Dec</v>
      </c>
      <c r="E2947" s="20">
        <v>10</v>
      </c>
      <c r="F2947" s="19">
        <v>10</v>
      </c>
      <c r="G2947" s="20" t="str">
        <f>IF(Sales[[#This Row],[Anggaran Murni]]-Sales[[#This Row],[Target s.d. Januari]]=0,"",Sales[[#This Row],[Anggaran Murni]]-Sales[[#This Row],[Target s.d. Januari]])</f>
        <v/>
      </c>
      <c r="H2947" s="19" t="s">
        <v>74</v>
      </c>
      <c r="I2947" s="20" t="s">
        <v>77</v>
      </c>
      <c r="J2947" s="20">
        <v>60000000</v>
      </c>
      <c r="K2947" s="19" t="s">
        <v>31</v>
      </c>
      <c r="L2947" s="19" t="s">
        <v>2</v>
      </c>
      <c r="M2947" s="21" t="s">
        <v>67</v>
      </c>
      <c r="N2947" s="20" t="s">
        <v>82</v>
      </c>
      <c r="O2947" s="19" t="s">
        <v>12</v>
      </c>
      <c r="P2947" s="10"/>
      <c r="Q2947" s="11"/>
    </row>
    <row r="2948" spans="2:17" ht="21" customHeight="1" x14ac:dyDescent="0.35">
      <c r="B2948" s="1">
        <v>44174</v>
      </c>
      <c r="C2948" s="1" t="str">
        <f>TEXT(Sales[[#This Row],[Kode Program/Kegiatan ]],"D")</f>
        <v>9</v>
      </c>
      <c r="D2948" s="2" t="str">
        <f>TEXT(Sales[[#This Row],[Kode Program/Kegiatan ]],"mmm")</f>
        <v>Dec</v>
      </c>
      <c r="E2948" s="3">
        <v>9</v>
      </c>
      <c r="F2948" s="2">
        <v>9</v>
      </c>
      <c r="G2948" s="3" t="str">
        <f>IF(Sales[[#This Row],[Anggaran Murni]]-Sales[[#This Row],[Target s.d. Januari]]=0,"",Sales[[#This Row],[Anggaran Murni]]-Sales[[#This Row],[Target s.d. Januari]])</f>
        <v/>
      </c>
      <c r="H2948" s="2" t="s">
        <v>72</v>
      </c>
      <c r="I2948" s="3" t="s">
        <v>78</v>
      </c>
      <c r="J2948" s="3">
        <v>140000000</v>
      </c>
      <c r="K2948" s="2" t="s">
        <v>20</v>
      </c>
      <c r="L2948" s="2" t="s">
        <v>2</v>
      </c>
      <c r="M2948" s="4" t="s">
        <v>67</v>
      </c>
      <c r="N2948" s="3" t="s">
        <v>82</v>
      </c>
      <c r="O2948" s="2" t="s">
        <v>14</v>
      </c>
      <c r="P2948" s="10"/>
      <c r="Q2948" s="11"/>
    </row>
    <row r="2949" spans="2:17" ht="21" customHeight="1" x14ac:dyDescent="0.35">
      <c r="B2949" s="18">
        <v>44174</v>
      </c>
      <c r="C2949" s="18" t="str">
        <f>TEXT(Sales[[#This Row],[Kode Program/Kegiatan ]],"D")</f>
        <v>9</v>
      </c>
      <c r="D2949" s="19" t="str">
        <f>TEXT(Sales[[#This Row],[Kode Program/Kegiatan ]],"mmm")</f>
        <v>Dec</v>
      </c>
      <c r="E2949" s="20">
        <v>9</v>
      </c>
      <c r="F2949" s="19">
        <v>9</v>
      </c>
      <c r="G2949" s="20" t="str">
        <f>IF(Sales[[#This Row],[Anggaran Murni]]-Sales[[#This Row],[Target s.d. Januari]]=0,"",Sales[[#This Row],[Anggaran Murni]]-Sales[[#This Row],[Target s.d. Januari]])</f>
        <v/>
      </c>
      <c r="H2949" s="19" t="s">
        <v>114</v>
      </c>
      <c r="I2949" s="20" t="s">
        <v>3</v>
      </c>
      <c r="J2949" s="20">
        <v>100000000</v>
      </c>
      <c r="K2949" s="19" t="s">
        <v>37</v>
      </c>
      <c r="L2949" s="19" t="s">
        <v>7</v>
      </c>
      <c r="M2949" s="21" t="s">
        <v>67</v>
      </c>
      <c r="N2949" s="20" t="s">
        <v>80</v>
      </c>
      <c r="O2949" s="19" t="s">
        <v>12</v>
      </c>
      <c r="P2949" s="10"/>
      <c r="Q2949" s="11"/>
    </row>
    <row r="2950" spans="2:17" ht="21" customHeight="1" x14ac:dyDescent="0.35">
      <c r="B2950" s="1">
        <v>44174</v>
      </c>
      <c r="C2950" s="1" t="str">
        <f>TEXT(Sales[[#This Row],[Kode Program/Kegiatan ]],"D")</f>
        <v>9</v>
      </c>
      <c r="D2950" s="2" t="str">
        <f>TEXT(Sales[[#This Row],[Kode Program/Kegiatan ]],"mmm")</f>
        <v>Dec</v>
      </c>
      <c r="E2950" s="3">
        <v>8</v>
      </c>
      <c r="F2950" s="2">
        <v>8</v>
      </c>
      <c r="G2950" s="3" t="str">
        <f>IF(Sales[[#This Row],[Anggaran Murni]]-Sales[[#This Row],[Target s.d. Januari]]=0,"",Sales[[#This Row],[Anggaran Murni]]-Sales[[#This Row],[Target s.d. Januari]])</f>
        <v/>
      </c>
      <c r="H2950" s="2" t="s">
        <v>71</v>
      </c>
      <c r="I2950" s="3" t="s">
        <v>6</v>
      </c>
      <c r="J2950" s="3">
        <v>140000000</v>
      </c>
      <c r="K2950" s="2" t="s">
        <v>26</v>
      </c>
      <c r="L2950" s="2" t="s">
        <v>7</v>
      </c>
      <c r="M2950" s="4" t="s">
        <v>67</v>
      </c>
      <c r="N2950" s="3" t="s">
        <v>81</v>
      </c>
      <c r="O2950" s="2" t="s">
        <v>12</v>
      </c>
      <c r="P2950" s="10"/>
      <c r="Q2950" s="11"/>
    </row>
    <row r="2951" spans="2:17" ht="21" customHeight="1" x14ac:dyDescent="0.35">
      <c r="B2951" s="18">
        <v>44174</v>
      </c>
      <c r="C2951" s="18" t="str">
        <f>TEXT(Sales[[#This Row],[Kode Program/Kegiatan ]],"D")</f>
        <v>9</v>
      </c>
      <c r="D2951" s="19" t="str">
        <f>TEXT(Sales[[#This Row],[Kode Program/Kegiatan ]],"mmm")</f>
        <v>Dec</v>
      </c>
      <c r="E2951" s="20">
        <v>8</v>
      </c>
      <c r="F2951" s="19">
        <v>8</v>
      </c>
      <c r="G2951" s="20" t="str">
        <f>IF(Sales[[#This Row],[Anggaran Murni]]-Sales[[#This Row],[Target s.d. Januari]]=0,"",Sales[[#This Row],[Anggaran Murni]]-Sales[[#This Row],[Target s.d. Januari]])</f>
        <v/>
      </c>
      <c r="H2951" s="19" t="s">
        <v>75</v>
      </c>
      <c r="I2951" s="20" t="s">
        <v>6</v>
      </c>
      <c r="J2951" s="20">
        <v>100000000</v>
      </c>
      <c r="K2951" s="19" t="s">
        <v>30</v>
      </c>
      <c r="L2951" s="19" t="s">
        <v>5</v>
      </c>
      <c r="M2951" s="21" t="s">
        <v>67</v>
      </c>
      <c r="N2951" s="20" t="s">
        <v>81</v>
      </c>
      <c r="O2951" s="19" t="s">
        <v>11</v>
      </c>
      <c r="P2951" s="10"/>
      <c r="Q2951" s="11"/>
    </row>
    <row r="2952" spans="2:17" ht="21" customHeight="1" x14ac:dyDescent="0.35">
      <c r="B2952" s="1">
        <v>44174</v>
      </c>
      <c r="C2952" s="1" t="str">
        <f>TEXT(Sales[[#This Row],[Kode Program/Kegiatan ]],"D")</f>
        <v>9</v>
      </c>
      <c r="D2952" s="2" t="str">
        <f>TEXT(Sales[[#This Row],[Kode Program/Kegiatan ]],"mmm")</f>
        <v>Dec</v>
      </c>
      <c r="E2952" s="3">
        <v>7</v>
      </c>
      <c r="F2952" s="2">
        <v>7</v>
      </c>
      <c r="G2952" s="3" t="str">
        <f>IF(Sales[[#This Row],[Anggaran Murni]]-Sales[[#This Row],[Target s.d. Januari]]=0,"",Sales[[#This Row],[Anggaran Murni]]-Sales[[#This Row],[Target s.d. Januari]])</f>
        <v/>
      </c>
      <c r="H2952" s="2" t="s">
        <v>76</v>
      </c>
      <c r="I2952" s="3" t="s">
        <v>79</v>
      </c>
      <c r="J2952" s="3">
        <v>120000000</v>
      </c>
      <c r="K2952" s="2" t="s">
        <v>63</v>
      </c>
      <c r="L2952" s="2" t="s">
        <v>2</v>
      </c>
      <c r="M2952" s="4" t="s">
        <v>67</v>
      </c>
      <c r="N2952" s="3" t="s">
        <v>82</v>
      </c>
      <c r="O2952" s="2" t="s">
        <v>11</v>
      </c>
      <c r="P2952" s="10"/>
      <c r="Q2952" s="11"/>
    </row>
    <row r="2953" spans="2:17" ht="21" customHeight="1" x14ac:dyDescent="0.35">
      <c r="B2953" s="18">
        <v>44174</v>
      </c>
      <c r="C2953" s="18" t="str">
        <f>TEXT(Sales[[#This Row],[Kode Program/Kegiatan ]],"D")</f>
        <v>9</v>
      </c>
      <c r="D2953" s="19" t="str">
        <f>TEXT(Sales[[#This Row],[Kode Program/Kegiatan ]],"mmm")</f>
        <v>Dec</v>
      </c>
      <c r="E2953" s="20">
        <v>6</v>
      </c>
      <c r="F2953" s="19">
        <v>6</v>
      </c>
      <c r="G2953" s="20" t="str">
        <f>IF(Sales[[#This Row],[Anggaran Murni]]-Sales[[#This Row],[Target s.d. Januari]]=0,"",Sales[[#This Row],[Anggaran Murni]]-Sales[[#This Row],[Target s.d. Januari]])</f>
        <v/>
      </c>
      <c r="H2953" s="19" t="s">
        <v>72</v>
      </c>
      <c r="I2953" s="20" t="s">
        <v>78</v>
      </c>
      <c r="J2953" s="20">
        <v>60000000</v>
      </c>
      <c r="K2953" s="19" t="s">
        <v>51</v>
      </c>
      <c r="L2953" s="19" t="s">
        <v>4</v>
      </c>
      <c r="M2953" s="21" t="s">
        <v>67</v>
      </c>
      <c r="N2953" s="20" t="s">
        <v>80</v>
      </c>
      <c r="O2953" s="19" t="s">
        <v>11</v>
      </c>
      <c r="P2953" s="10"/>
      <c r="Q2953" s="11"/>
    </row>
    <row r="2954" spans="2:17" ht="21" customHeight="1" x14ac:dyDescent="0.35">
      <c r="B2954" s="1">
        <v>44174</v>
      </c>
      <c r="C2954" s="1" t="str">
        <f>TEXT(Sales[[#This Row],[Kode Program/Kegiatan ]],"D")</f>
        <v>9</v>
      </c>
      <c r="D2954" s="2" t="str">
        <f>TEXT(Sales[[#This Row],[Kode Program/Kegiatan ]],"mmm")</f>
        <v>Dec</v>
      </c>
      <c r="E2954" s="3">
        <v>6</v>
      </c>
      <c r="F2954" s="2">
        <v>6</v>
      </c>
      <c r="G2954" s="3" t="str">
        <f>IF(Sales[[#This Row],[Anggaran Murni]]-Sales[[#This Row],[Target s.d. Januari]]=0,"",Sales[[#This Row],[Anggaran Murni]]-Sales[[#This Row],[Target s.d. Januari]])</f>
        <v/>
      </c>
      <c r="H2954" s="2" t="s">
        <v>75</v>
      </c>
      <c r="I2954" s="3" t="s">
        <v>6</v>
      </c>
      <c r="J2954" s="3">
        <v>140000000</v>
      </c>
      <c r="K2954" s="2" t="s">
        <v>61</v>
      </c>
      <c r="L2954" s="2" t="s">
        <v>7</v>
      </c>
      <c r="M2954" s="4" t="s">
        <v>67</v>
      </c>
      <c r="N2954" s="3" t="s">
        <v>82</v>
      </c>
      <c r="O2954" s="2" t="s">
        <v>11</v>
      </c>
      <c r="P2954" s="10"/>
      <c r="Q2954" s="11"/>
    </row>
    <row r="2955" spans="2:17" ht="21" customHeight="1" x14ac:dyDescent="0.35">
      <c r="B2955" s="18">
        <v>44174</v>
      </c>
      <c r="C2955" s="18" t="str">
        <f>TEXT(Sales[[#This Row],[Kode Program/Kegiatan ]],"D")</f>
        <v>9</v>
      </c>
      <c r="D2955" s="19" t="str">
        <f>TEXT(Sales[[#This Row],[Kode Program/Kegiatan ]],"mmm")</f>
        <v>Dec</v>
      </c>
      <c r="E2955" s="20">
        <v>6</v>
      </c>
      <c r="F2955" s="19">
        <v>6</v>
      </c>
      <c r="G2955" s="20" t="str">
        <f>IF(Sales[[#This Row],[Anggaran Murni]]-Sales[[#This Row],[Target s.d. Januari]]=0,"",Sales[[#This Row],[Anggaran Murni]]-Sales[[#This Row],[Target s.d. Januari]])</f>
        <v/>
      </c>
      <c r="H2955" s="19" t="s">
        <v>74</v>
      </c>
      <c r="I2955" s="20" t="s">
        <v>77</v>
      </c>
      <c r="J2955" s="20">
        <v>80000000</v>
      </c>
      <c r="K2955" s="19" t="s">
        <v>29</v>
      </c>
      <c r="L2955" s="19" t="s">
        <v>2</v>
      </c>
      <c r="M2955" s="21" t="s">
        <v>67</v>
      </c>
      <c r="N2955" s="20" t="s">
        <v>80</v>
      </c>
      <c r="O2955" s="19" t="s">
        <v>11</v>
      </c>
      <c r="P2955" s="10"/>
      <c r="Q2955" s="11"/>
    </row>
    <row r="2956" spans="2:17" ht="21" customHeight="1" x14ac:dyDescent="0.35">
      <c r="B2956" s="1">
        <v>44174</v>
      </c>
      <c r="C2956" s="1" t="str">
        <f>TEXT(Sales[[#This Row],[Kode Program/Kegiatan ]],"D")</f>
        <v>9</v>
      </c>
      <c r="D2956" s="2" t="str">
        <f>TEXT(Sales[[#This Row],[Kode Program/Kegiatan ]],"mmm")</f>
        <v>Dec</v>
      </c>
      <c r="E2956" s="3">
        <v>5</v>
      </c>
      <c r="F2956" s="2">
        <v>5</v>
      </c>
      <c r="G2956" s="3" t="str">
        <f>IF(Sales[[#This Row],[Anggaran Murni]]-Sales[[#This Row],[Target s.d. Januari]]=0,"",Sales[[#This Row],[Anggaran Murni]]-Sales[[#This Row],[Target s.d. Januari]])</f>
        <v/>
      </c>
      <c r="H2956" s="2" t="s">
        <v>75</v>
      </c>
      <c r="I2956" s="3" t="s">
        <v>6</v>
      </c>
      <c r="J2956" s="3">
        <v>60000000</v>
      </c>
      <c r="K2956" s="2" t="s">
        <v>63</v>
      </c>
      <c r="L2956" s="2" t="s">
        <v>5</v>
      </c>
      <c r="M2956" s="4" t="s">
        <v>67</v>
      </c>
      <c r="N2956" s="3" t="s">
        <v>80</v>
      </c>
      <c r="O2956" s="2" t="s">
        <v>11</v>
      </c>
      <c r="P2956" s="10"/>
      <c r="Q2956" s="11"/>
    </row>
    <row r="2957" spans="2:17" ht="21" customHeight="1" x14ac:dyDescent="0.35">
      <c r="B2957" s="18">
        <v>44174</v>
      </c>
      <c r="C2957" s="18" t="str">
        <f>TEXT(Sales[[#This Row],[Kode Program/Kegiatan ]],"D")</f>
        <v>9</v>
      </c>
      <c r="D2957" s="19" t="str">
        <f>TEXT(Sales[[#This Row],[Kode Program/Kegiatan ]],"mmm")</f>
        <v>Dec</v>
      </c>
      <c r="E2957" s="20">
        <v>3</v>
      </c>
      <c r="F2957" s="19">
        <v>3</v>
      </c>
      <c r="G2957" s="20" t="str">
        <f>IF(Sales[[#This Row],[Anggaran Murni]]-Sales[[#This Row],[Target s.d. Januari]]=0,"",Sales[[#This Row],[Anggaran Murni]]-Sales[[#This Row],[Target s.d. Januari]])</f>
        <v/>
      </c>
      <c r="H2957" s="19" t="s">
        <v>114</v>
      </c>
      <c r="I2957" s="20" t="s">
        <v>3</v>
      </c>
      <c r="J2957" s="20">
        <v>100000000</v>
      </c>
      <c r="K2957" s="19" t="s">
        <v>29</v>
      </c>
      <c r="L2957" s="19" t="s">
        <v>2</v>
      </c>
      <c r="M2957" s="21" t="s">
        <v>67</v>
      </c>
      <c r="N2957" s="20" t="s">
        <v>80</v>
      </c>
      <c r="O2957" s="19" t="s">
        <v>12</v>
      </c>
      <c r="P2957" s="10"/>
      <c r="Q2957" s="11"/>
    </row>
    <row r="2958" spans="2:17" ht="21" customHeight="1" x14ac:dyDescent="0.35">
      <c r="B2958" s="1">
        <v>44174</v>
      </c>
      <c r="C2958" s="1" t="str">
        <f>TEXT(Sales[[#This Row],[Kode Program/Kegiatan ]],"D")</f>
        <v>9</v>
      </c>
      <c r="D2958" s="2" t="str">
        <f>TEXT(Sales[[#This Row],[Kode Program/Kegiatan ]],"mmm")</f>
        <v>Dec</v>
      </c>
      <c r="E2958" s="3">
        <v>3</v>
      </c>
      <c r="F2958" s="2">
        <v>3</v>
      </c>
      <c r="G2958" s="3" t="str">
        <f>IF(Sales[[#This Row],[Anggaran Murni]]-Sales[[#This Row],[Target s.d. Januari]]=0,"",Sales[[#This Row],[Anggaran Murni]]-Sales[[#This Row],[Target s.d. Januari]])</f>
        <v/>
      </c>
      <c r="H2958" s="2" t="s">
        <v>114</v>
      </c>
      <c r="I2958" s="3" t="s">
        <v>3</v>
      </c>
      <c r="J2958" s="3">
        <v>80000000</v>
      </c>
      <c r="K2958" s="2" t="s">
        <v>30</v>
      </c>
      <c r="L2958" s="2" t="s">
        <v>2</v>
      </c>
      <c r="M2958" s="4" t="s">
        <v>67</v>
      </c>
      <c r="N2958" s="3" t="s">
        <v>80</v>
      </c>
      <c r="O2958" s="2" t="s">
        <v>12</v>
      </c>
      <c r="P2958" s="10"/>
      <c r="Q2958" s="11"/>
    </row>
    <row r="2959" spans="2:17" ht="21" customHeight="1" x14ac:dyDescent="0.35">
      <c r="B2959" s="18">
        <v>44175</v>
      </c>
      <c r="C2959" s="18" t="str">
        <f>TEXT(Sales[[#This Row],[Kode Program/Kegiatan ]],"D")</f>
        <v>10</v>
      </c>
      <c r="D2959" s="19" t="str">
        <f>TEXT(Sales[[#This Row],[Kode Program/Kegiatan ]],"mmm")</f>
        <v>Dec</v>
      </c>
      <c r="E2959" s="20">
        <v>10</v>
      </c>
      <c r="F2959" s="19">
        <v>10</v>
      </c>
      <c r="G2959" s="20" t="str">
        <f>IF(Sales[[#This Row],[Anggaran Murni]]-Sales[[#This Row],[Target s.d. Januari]]=0,"",Sales[[#This Row],[Anggaran Murni]]-Sales[[#This Row],[Target s.d. Januari]])</f>
        <v/>
      </c>
      <c r="H2959" s="19" t="s">
        <v>75</v>
      </c>
      <c r="I2959" s="20" t="s">
        <v>6</v>
      </c>
      <c r="J2959" s="20">
        <v>60000000</v>
      </c>
      <c r="K2959" s="19" t="s">
        <v>51</v>
      </c>
      <c r="L2959" s="19" t="s">
        <v>8</v>
      </c>
      <c r="M2959" s="21" t="s">
        <v>67</v>
      </c>
      <c r="N2959" s="20" t="s">
        <v>82</v>
      </c>
      <c r="O2959" s="19" t="s">
        <v>14</v>
      </c>
      <c r="P2959" s="10"/>
      <c r="Q2959" s="11"/>
    </row>
    <row r="2960" spans="2:17" ht="21" customHeight="1" x14ac:dyDescent="0.35">
      <c r="B2960" s="1">
        <v>44175</v>
      </c>
      <c r="C2960" s="1" t="str">
        <f>TEXT(Sales[[#This Row],[Kode Program/Kegiatan ]],"D")</f>
        <v>10</v>
      </c>
      <c r="D2960" s="2" t="str">
        <f>TEXT(Sales[[#This Row],[Kode Program/Kegiatan ]],"mmm")</f>
        <v>Dec</v>
      </c>
      <c r="E2960" s="3">
        <v>8</v>
      </c>
      <c r="F2960" s="2">
        <v>8</v>
      </c>
      <c r="G2960" s="3" t="str">
        <f>IF(Sales[[#This Row],[Anggaran Murni]]-Sales[[#This Row],[Target s.d. Januari]]=0,"",Sales[[#This Row],[Anggaran Murni]]-Sales[[#This Row],[Target s.d. Januari]])</f>
        <v/>
      </c>
      <c r="H2960" s="2" t="s">
        <v>73</v>
      </c>
      <c r="I2960" s="3" t="s">
        <v>78</v>
      </c>
      <c r="J2960" s="3">
        <v>140000000</v>
      </c>
      <c r="K2960" s="2" t="s">
        <v>61</v>
      </c>
      <c r="L2960" s="2" t="s">
        <v>5</v>
      </c>
      <c r="M2960" s="4" t="s">
        <v>67</v>
      </c>
      <c r="N2960" s="3" t="s">
        <v>82</v>
      </c>
      <c r="O2960" s="2" t="s">
        <v>12</v>
      </c>
      <c r="P2960" s="10"/>
      <c r="Q2960" s="11"/>
    </row>
    <row r="2961" spans="2:17" ht="21" customHeight="1" x14ac:dyDescent="0.35">
      <c r="B2961" s="18">
        <v>44175</v>
      </c>
      <c r="C2961" s="18" t="str">
        <f>TEXT(Sales[[#This Row],[Kode Program/Kegiatan ]],"D")</f>
        <v>10</v>
      </c>
      <c r="D2961" s="19" t="str">
        <f>TEXT(Sales[[#This Row],[Kode Program/Kegiatan ]],"mmm")</f>
        <v>Dec</v>
      </c>
      <c r="E2961" s="20">
        <v>8</v>
      </c>
      <c r="F2961" s="19">
        <v>8</v>
      </c>
      <c r="G2961" s="20" t="str">
        <f>IF(Sales[[#This Row],[Anggaran Murni]]-Sales[[#This Row],[Target s.d. Januari]]=0,"",Sales[[#This Row],[Anggaran Murni]]-Sales[[#This Row],[Target s.d. Januari]])</f>
        <v/>
      </c>
      <c r="H2961" s="19" t="s">
        <v>74</v>
      </c>
      <c r="I2961" s="20" t="s">
        <v>77</v>
      </c>
      <c r="J2961" s="20">
        <v>80000000</v>
      </c>
      <c r="K2961" s="19" t="s">
        <v>16</v>
      </c>
      <c r="L2961" s="19" t="s">
        <v>2</v>
      </c>
      <c r="M2961" s="21" t="s">
        <v>67</v>
      </c>
      <c r="N2961" s="20" t="s">
        <v>81</v>
      </c>
      <c r="O2961" s="19" t="s">
        <v>13</v>
      </c>
      <c r="P2961" s="10"/>
      <c r="Q2961" s="11"/>
    </row>
    <row r="2962" spans="2:17" ht="21" customHeight="1" x14ac:dyDescent="0.35">
      <c r="B2962" s="1">
        <v>44175</v>
      </c>
      <c r="C2962" s="1" t="str">
        <f>TEXT(Sales[[#This Row],[Kode Program/Kegiatan ]],"D")</f>
        <v>10</v>
      </c>
      <c r="D2962" s="2" t="str">
        <f>TEXT(Sales[[#This Row],[Kode Program/Kegiatan ]],"mmm")</f>
        <v>Dec</v>
      </c>
      <c r="E2962" s="3">
        <v>7</v>
      </c>
      <c r="F2962" s="2">
        <v>7</v>
      </c>
      <c r="G2962" s="3" t="str">
        <f>IF(Sales[[#This Row],[Anggaran Murni]]-Sales[[#This Row],[Target s.d. Januari]]=0,"",Sales[[#This Row],[Anggaran Murni]]-Sales[[#This Row],[Target s.d. Januari]])</f>
        <v/>
      </c>
      <c r="H2962" s="2" t="s">
        <v>74</v>
      </c>
      <c r="I2962" s="3" t="s">
        <v>77</v>
      </c>
      <c r="J2962" s="3">
        <v>40000000</v>
      </c>
      <c r="K2962" s="2" t="s">
        <v>28</v>
      </c>
      <c r="L2962" s="2" t="s">
        <v>8</v>
      </c>
      <c r="M2962" s="4" t="s">
        <v>67</v>
      </c>
      <c r="N2962" s="3" t="s">
        <v>80</v>
      </c>
      <c r="O2962" s="2" t="s">
        <v>13</v>
      </c>
      <c r="P2962" s="10"/>
      <c r="Q2962" s="11"/>
    </row>
    <row r="2963" spans="2:17" ht="21" customHeight="1" x14ac:dyDescent="0.35">
      <c r="B2963" s="18">
        <v>44175</v>
      </c>
      <c r="C2963" s="18" t="str">
        <f>TEXT(Sales[[#This Row],[Kode Program/Kegiatan ]],"D")</f>
        <v>10</v>
      </c>
      <c r="D2963" s="19" t="str">
        <f>TEXT(Sales[[#This Row],[Kode Program/Kegiatan ]],"mmm")</f>
        <v>Dec</v>
      </c>
      <c r="E2963" s="20">
        <v>6</v>
      </c>
      <c r="F2963" s="19">
        <v>6</v>
      </c>
      <c r="G2963" s="20" t="str">
        <f>IF(Sales[[#This Row],[Anggaran Murni]]-Sales[[#This Row],[Target s.d. Januari]]=0,"",Sales[[#This Row],[Anggaran Murni]]-Sales[[#This Row],[Target s.d. Januari]])</f>
        <v/>
      </c>
      <c r="H2963" s="19" t="s">
        <v>75</v>
      </c>
      <c r="I2963" s="20" t="s">
        <v>6</v>
      </c>
      <c r="J2963" s="20">
        <v>100000000</v>
      </c>
      <c r="K2963" s="19" t="s">
        <v>30</v>
      </c>
      <c r="L2963" s="19" t="s">
        <v>2</v>
      </c>
      <c r="M2963" s="21" t="s">
        <v>67</v>
      </c>
      <c r="N2963" s="20" t="s">
        <v>82</v>
      </c>
      <c r="O2963" s="19" t="s">
        <v>13</v>
      </c>
      <c r="P2963" s="10"/>
      <c r="Q2963" s="11"/>
    </row>
    <row r="2964" spans="2:17" ht="21" customHeight="1" x14ac:dyDescent="0.35">
      <c r="B2964" s="1">
        <v>44176</v>
      </c>
      <c r="C2964" s="1" t="str">
        <f>TEXT(Sales[[#This Row],[Kode Program/Kegiatan ]],"D")</f>
        <v>11</v>
      </c>
      <c r="D2964" s="2" t="str">
        <f>TEXT(Sales[[#This Row],[Kode Program/Kegiatan ]],"mmm")</f>
        <v>Dec</v>
      </c>
      <c r="E2964" s="3">
        <v>6</v>
      </c>
      <c r="F2964" s="2">
        <v>6</v>
      </c>
      <c r="G2964" s="3" t="str">
        <f>IF(Sales[[#This Row],[Anggaran Murni]]-Sales[[#This Row],[Target s.d. Januari]]=0,"",Sales[[#This Row],[Anggaran Murni]]-Sales[[#This Row],[Target s.d. Januari]])</f>
        <v/>
      </c>
      <c r="H2964" s="2" t="s">
        <v>76</v>
      </c>
      <c r="I2964" s="3" t="s">
        <v>79</v>
      </c>
      <c r="J2964" s="3">
        <v>140000000</v>
      </c>
      <c r="K2964" s="2" t="s">
        <v>28</v>
      </c>
      <c r="L2964" s="2" t="s">
        <v>2</v>
      </c>
      <c r="M2964" s="4" t="s">
        <v>86</v>
      </c>
      <c r="N2964" s="3" t="s">
        <v>83</v>
      </c>
      <c r="O2964" s="2" t="s">
        <v>13</v>
      </c>
      <c r="P2964" s="10"/>
      <c r="Q2964" s="11"/>
    </row>
    <row r="2965" spans="2:17" ht="21" customHeight="1" x14ac:dyDescent="0.35">
      <c r="B2965" s="18">
        <v>44176</v>
      </c>
      <c r="C2965" s="18" t="str">
        <f>TEXT(Sales[[#This Row],[Kode Program/Kegiatan ]],"D")</f>
        <v>11</v>
      </c>
      <c r="D2965" s="19" t="str">
        <f>TEXT(Sales[[#This Row],[Kode Program/Kegiatan ]],"mmm")</f>
        <v>Dec</v>
      </c>
      <c r="E2965" s="20">
        <v>6</v>
      </c>
      <c r="F2965" s="19">
        <v>6</v>
      </c>
      <c r="G2965" s="20" t="str">
        <f>IF(Sales[[#This Row],[Anggaran Murni]]-Sales[[#This Row],[Target s.d. Januari]]=0,"",Sales[[#This Row],[Anggaran Murni]]-Sales[[#This Row],[Target s.d. Januari]])</f>
        <v/>
      </c>
      <c r="H2965" s="19" t="s">
        <v>74</v>
      </c>
      <c r="I2965" s="20" t="s">
        <v>77</v>
      </c>
      <c r="J2965" s="20">
        <v>60000000</v>
      </c>
      <c r="K2965" s="19" t="s">
        <v>17</v>
      </c>
      <c r="L2965" s="19" t="s">
        <v>2</v>
      </c>
      <c r="M2965" s="21" t="s">
        <v>86</v>
      </c>
      <c r="N2965" s="20" t="s">
        <v>83</v>
      </c>
      <c r="O2965" s="19" t="s">
        <v>11</v>
      </c>
      <c r="P2965" s="10"/>
      <c r="Q2965" s="11"/>
    </row>
    <row r="2966" spans="2:17" ht="21" customHeight="1" x14ac:dyDescent="0.35">
      <c r="B2966" s="1">
        <v>44176</v>
      </c>
      <c r="C2966" s="1" t="str">
        <f>TEXT(Sales[[#This Row],[Kode Program/Kegiatan ]],"D")</f>
        <v>11</v>
      </c>
      <c r="D2966" s="2" t="str">
        <f>TEXT(Sales[[#This Row],[Kode Program/Kegiatan ]],"mmm")</f>
        <v>Dec</v>
      </c>
      <c r="E2966" s="3">
        <v>5</v>
      </c>
      <c r="F2966" s="2">
        <v>5</v>
      </c>
      <c r="G2966" s="3" t="str">
        <f>IF(Sales[[#This Row],[Anggaran Murni]]-Sales[[#This Row],[Target s.d. Januari]]=0,"",Sales[[#This Row],[Anggaran Murni]]-Sales[[#This Row],[Target s.d. Januari]])</f>
        <v/>
      </c>
      <c r="H2966" s="2" t="s">
        <v>70</v>
      </c>
      <c r="I2966" s="3" t="s">
        <v>1</v>
      </c>
      <c r="J2966" s="3">
        <v>80000000</v>
      </c>
      <c r="K2966" s="2" t="s">
        <v>44</v>
      </c>
      <c r="L2966" s="2" t="s">
        <v>8</v>
      </c>
      <c r="M2966" s="4" t="s">
        <v>86</v>
      </c>
      <c r="N2966" s="3" t="s">
        <v>83</v>
      </c>
      <c r="O2966" s="2" t="s">
        <v>14</v>
      </c>
      <c r="P2966" s="10"/>
      <c r="Q2966" s="11"/>
    </row>
    <row r="2967" spans="2:17" ht="21" customHeight="1" x14ac:dyDescent="0.35">
      <c r="B2967" s="18">
        <v>44177</v>
      </c>
      <c r="C2967" s="18" t="str">
        <f>TEXT(Sales[[#This Row],[Kode Program/Kegiatan ]],"D")</f>
        <v>12</v>
      </c>
      <c r="D2967" s="19" t="str">
        <f>TEXT(Sales[[#This Row],[Kode Program/Kegiatan ]],"mmm")</f>
        <v>Dec</v>
      </c>
      <c r="E2967" s="20">
        <v>10</v>
      </c>
      <c r="F2967" s="19">
        <v>10</v>
      </c>
      <c r="G2967" s="20" t="str">
        <f>IF(Sales[[#This Row],[Anggaran Murni]]-Sales[[#This Row],[Target s.d. Januari]]=0,"",Sales[[#This Row],[Anggaran Murni]]-Sales[[#This Row],[Target s.d. Januari]])</f>
        <v/>
      </c>
      <c r="H2967" s="19" t="s">
        <v>72</v>
      </c>
      <c r="I2967" s="20" t="s">
        <v>78</v>
      </c>
      <c r="J2967" s="20">
        <v>40000000</v>
      </c>
      <c r="K2967" s="19" t="s">
        <v>28</v>
      </c>
      <c r="L2967" s="19" t="s">
        <v>5</v>
      </c>
      <c r="M2967" s="21" t="s">
        <v>86</v>
      </c>
      <c r="N2967" s="20" t="s">
        <v>83</v>
      </c>
      <c r="O2967" s="19" t="s">
        <v>13</v>
      </c>
      <c r="P2967" s="10"/>
      <c r="Q2967" s="11"/>
    </row>
    <row r="2968" spans="2:17" ht="21" customHeight="1" x14ac:dyDescent="0.35">
      <c r="B2968" s="1">
        <v>44177</v>
      </c>
      <c r="C2968" s="1" t="str">
        <f>TEXT(Sales[[#This Row],[Kode Program/Kegiatan ]],"D")</f>
        <v>12</v>
      </c>
      <c r="D2968" s="2" t="str">
        <f>TEXT(Sales[[#This Row],[Kode Program/Kegiatan ]],"mmm")</f>
        <v>Dec</v>
      </c>
      <c r="E2968" s="3">
        <v>8</v>
      </c>
      <c r="F2968" s="2">
        <v>8</v>
      </c>
      <c r="G2968" s="3" t="str">
        <f>IF(Sales[[#This Row],[Anggaran Murni]]-Sales[[#This Row],[Target s.d. Januari]]=0,"",Sales[[#This Row],[Anggaran Murni]]-Sales[[#This Row],[Target s.d. Januari]])</f>
        <v/>
      </c>
      <c r="H2968" s="2" t="s">
        <v>74</v>
      </c>
      <c r="I2968" s="3" t="s">
        <v>77</v>
      </c>
      <c r="J2968" s="3">
        <v>60000000</v>
      </c>
      <c r="K2968" s="2" t="s">
        <v>45</v>
      </c>
      <c r="L2968" s="2" t="s">
        <v>5</v>
      </c>
      <c r="M2968" s="4" t="s">
        <v>86</v>
      </c>
      <c r="N2968" s="3" t="s">
        <v>83</v>
      </c>
      <c r="O2968" s="2" t="s">
        <v>13</v>
      </c>
      <c r="P2968" s="10"/>
      <c r="Q2968" s="11"/>
    </row>
    <row r="2969" spans="2:17" ht="21" customHeight="1" x14ac:dyDescent="0.35">
      <c r="B2969" s="18">
        <v>44177</v>
      </c>
      <c r="C2969" s="18" t="str">
        <f>TEXT(Sales[[#This Row],[Kode Program/Kegiatan ]],"D")</f>
        <v>12</v>
      </c>
      <c r="D2969" s="19" t="str">
        <f>TEXT(Sales[[#This Row],[Kode Program/Kegiatan ]],"mmm")</f>
        <v>Dec</v>
      </c>
      <c r="E2969" s="20">
        <v>8</v>
      </c>
      <c r="F2969" s="19">
        <v>8</v>
      </c>
      <c r="G2969" s="20" t="str">
        <f>IF(Sales[[#This Row],[Anggaran Murni]]-Sales[[#This Row],[Target s.d. Januari]]=0,"",Sales[[#This Row],[Anggaran Murni]]-Sales[[#This Row],[Target s.d. Januari]])</f>
        <v/>
      </c>
      <c r="H2969" s="19" t="s">
        <v>74</v>
      </c>
      <c r="I2969" s="20" t="s">
        <v>77</v>
      </c>
      <c r="J2969" s="20">
        <v>100000000</v>
      </c>
      <c r="K2969" s="19" t="s">
        <v>28</v>
      </c>
      <c r="L2969" s="19" t="s">
        <v>2</v>
      </c>
      <c r="M2969" s="21" t="s">
        <v>86</v>
      </c>
      <c r="N2969" s="20" t="s">
        <v>83</v>
      </c>
      <c r="O2969" s="19" t="s">
        <v>13</v>
      </c>
      <c r="P2969" s="10"/>
      <c r="Q2969" s="11"/>
    </row>
    <row r="2970" spans="2:17" ht="21" customHeight="1" x14ac:dyDescent="0.35">
      <c r="B2970" s="1">
        <v>44177</v>
      </c>
      <c r="C2970" s="1" t="str">
        <f>TEXT(Sales[[#This Row],[Kode Program/Kegiatan ]],"D")</f>
        <v>12</v>
      </c>
      <c r="D2970" s="2" t="str">
        <f>TEXT(Sales[[#This Row],[Kode Program/Kegiatan ]],"mmm")</f>
        <v>Dec</v>
      </c>
      <c r="E2970" s="3">
        <v>3</v>
      </c>
      <c r="F2970" s="2">
        <v>3</v>
      </c>
      <c r="G2970" s="3" t="str">
        <f>IF(Sales[[#This Row],[Anggaran Murni]]-Sales[[#This Row],[Target s.d. Januari]]=0,"",Sales[[#This Row],[Anggaran Murni]]-Sales[[#This Row],[Target s.d. Januari]])</f>
        <v/>
      </c>
      <c r="H2970" s="2" t="s">
        <v>113</v>
      </c>
      <c r="I2970" s="3" t="s">
        <v>77</v>
      </c>
      <c r="J2970" s="3">
        <v>120000000</v>
      </c>
      <c r="K2970" s="2" t="s">
        <v>55</v>
      </c>
      <c r="L2970" s="2" t="s">
        <v>7</v>
      </c>
      <c r="M2970" s="4" t="s">
        <v>86</v>
      </c>
      <c r="N2970" s="3" t="s">
        <v>83</v>
      </c>
      <c r="O2970" s="2" t="s">
        <v>14</v>
      </c>
      <c r="P2970" s="10"/>
      <c r="Q2970" s="11"/>
    </row>
    <row r="2971" spans="2:17" ht="21" customHeight="1" x14ac:dyDescent="0.35">
      <c r="B2971" s="18">
        <v>44177</v>
      </c>
      <c r="C2971" s="18" t="str">
        <f>TEXT(Sales[[#This Row],[Kode Program/Kegiatan ]],"D")</f>
        <v>12</v>
      </c>
      <c r="D2971" s="19" t="str">
        <f>TEXT(Sales[[#This Row],[Kode Program/Kegiatan ]],"mmm")</f>
        <v>Dec</v>
      </c>
      <c r="E2971" s="20">
        <v>3</v>
      </c>
      <c r="F2971" s="19">
        <v>3</v>
      </c>
      <c r="G2971" s="20" t="str">
        <f>IF(Sales[[#This Row],[Anggaran Murni]]-Sales[[#This Row],[Target s.d. Januari]]=0,"",Sales[[#This Row],[Anggaran Murni]]-Sales[[#This Row],[Target s.d. Januari]])</f>
        <v/>
      </c>
      <c r="H2971" s="19" t="s">
        <v>71</v>
      </c>
      <c r="I2971" s="20" t="s">
        <v>6</v>
      </c>
      <c r="J2971" s="20">
        <v>100000000</v>
      </c>
      <c r="K2971" s="19" t="s">
        <v>17</v>
      </c>
      <c r="L2971" s="19" t="s">
        <v>7</v>
      </c>
      <c r="M2971" s="21" t="s">
        <v>86</v>
      </c>
      <c r="N2971" s="20" t="s">
        <v>83</v>
      </c>
      <c r="O2971" s="19" t="s">
        <v>14</v>
      </c>
      <c r="P2971" s="10"/>
      <c r="Q2971" s="11"/>
    </row>
    <row r="2972" spans="2:17" ht="21" customHeight="1" x14ac:dyDescent="0.35">
      <c r="B2972" s="1">
        <v>44177</v>
      </c>
      <c r="C2972" s="1" t="str">
        <f>TEXT(Sales[[#This Row],[Kode Program/Kegiatan ]],"D")</f>
        <v>12</v>
      </c>
      <c r="D2972" s="2" t="str">
        <f>TEXT(Sales[[#This Row],[Kode Program/Kegiatan ]],"mmm")</f>
        <v>Dec</v>
      </c>
      <c r="E2972" s="3">
        <v>3</v>
      </c>
      <c r="F2972" s="2">
        <v>3</v>
      </c>
      <c r="G2972" s="3" t="str">
        <f>IF(Sales[[#This Row],[Anggaran Murni]]-Sales[[#This Row],[Target s.d. Januari]]=0,"",Sales[[#This Row],[Anggaran Murni]]-Sales[[#This Row],[Target s.d. Januari]])</f>
        <v/>
      </c>
      <c r="H2972" s="2" t="s">
        <v>75</v>
      </c>
      <c r="I2972" s="3" t="s">
        <v>6</v>
      </c>
      <c r="J2972" s="3">
        <v>40000000</v>
      </c>
      <c r="K2972" s="2" t="s">
        <v>33</v>
      </c>
      <c r="L2972" s="2" t="s">
        <v>2</v>
      </c>
      <c r="M2972" s="4" t="s">
        <v>86</v>
      </c>
      <c r="N2972" s="3" t="s">
        <v>83</v>
      </c>
      <c r="O2972" s="2" t="s">
        <v>12</v>
      </c>
      <c r="P2972" s="10"/>
      <c r="Q2972" s="11"/>
    </row>
    <row r="2973" spans="2:17" ht="21" customHeight="1" x14ac:dyDescent="0.35">
      <c r="B2973" s="18">
        <v>44178</v>
      </c>
      <c r="C2973" s="18" t="str">
        <f>TEXT(Sales[[#This Row],[Kode Program/Kegiatan ]],"D")</f>
        <v>13</v>
      </c>
      <c r="D2973" s="19" t="str">
        <f>TEXT(Sales[[#This Row],[Kode Program/Kegiatan ]],"mmm")</f>
        <v>Dec</v>
      </c>
      <c r="E2973" s="20">
        <v>9</v>
      </c>
      <c r="F2973" s="19">
        <v>9</v>
      </c>
      <c r="G2973" s="20" t="str">
        <f>IF(Sales[[#This Row],[Anggaran Murni]]-Sales[[#This Row],[Target s.d. Januari]]=0,"",Sales[[#This Row],[Anggaran Murni]]-Sales[[#This Row],[Target s.d. Januari]])</f>
        <v/>
      </c>
      <c r="H2973" s="19" t="s">
        <v>114</v>
      </c>
      <c r="I2973" s="20" t="s">
        <v>3</v>
      </c>
      <c r="J2973" s="20">
        <v>60000000</v>
      </c>
      <c r="K2973" s="19" t="s">
        <v>30</v>
      </c>
      <c r="L2973" s="19" t="s">
        <v>5</v>
      </c>
      <c r="M2973" s="21" t="s">
        <v>86</v>
      </c>
      <c r="N2973" s="20" t="s">
        <v>83</v>
      </c>
      <c r="O2973" s="19" t="s">
        <v>12</v>
      </c>
      <c r="P2973" s="10"/>
      <c r="Q2973" s="11"/>
    </row>
    <row r="2974" spans="2:17" ht="21" customHeight="1" x14ac:dyDescent="0.35">
      <c r="B2974" s="1">
        <v>44178</v>
      </c>
      <c r="C2974" s="1" t="str">
        <f>TEXT(Sales[[#This Row],[Kode Program/Kegiatan ]],"D")</f>
        <v>13</v>
      </c>
      <c r="D2974" s="2" t="str">
        <f>TEXT(Sales[[#This Row],[Kode Program/Kegiatan ]],"mmm")</f>
        <v>Dec</v>
      </c>
      <c r="E2974" s="3">
        <v>8</v>
      </c>
      <c r="F2974" s="2">
        <v>8</v>
      </c>
      <c r="G2974" s="3" t="str">
        <f>IF(Sales[[#This Row],[Anggaran Murni]]-Sales[[#This Row],[Target s.d. Januari]]=0,"",Sales[[#This Row],[Anggaran Murni]]-Sales[[#This Row],[Target s.d. Januari]])</f>
        <v/>
      </c>
      <c r="H2974" s="2" t="s">
        <v>71</v>
      </c>
      <c r="I2974" s="3" t="s">
        <v>6</v>
      </c>
      <c r="J2974" s="3">
        <v>80000000</v>
      </c>
      <c r="K2974" s="2" t="s">
        <v>63</v>
      </c>
      <c r="L2974" s="2" t="s">
        <v>5</v>
      </c>
      <c r="M2974" s="4" t="s">
        <v>86</v>
      </c>
      <c r="N2974" s="3" t="s">
        <v>83</v>
      </c>
      <c r="O2974" s="2" t="s">
        <v>14</v>
      </c>
      <c r="P2974" s="10"/>
      <c r="Q2974" s="11"/>
    </row>
    <row r="2975" spans="2:17" ht="21" customHeight="1" x14ac:dyDescent="0.35">
      <c r="B2975" s="18">
        <v>44178</v>
      </c>
      <c r="C2975" s="18" t="str">
        <f>TEXT(Sales[[#This Row],[Kode Program/Kegiatan ]],"D")</f>
        <v>13</v>
      </c>
      <c r="D2975" s="19" t="str">
        <f>TEXT(Sales[[#This Row],[Kode Program/Kegiatan ]],"mmm")</f>
        <v>Dec</v>
      </c>
      <c r="E2975" s="20">
        <v>8</v>
      </c>
      <c r="F2975" s="19">
        <v>8</v>
      </c>
      <c r="G2975" s="20" t="str">
        <f>IF(Sales[[#This Row],[Anggaran Murni]]-Sales[[#This Row],[Target s.d. Januari]]=0,"",Sales[[#This Row],[Anggaran Murni]]-Sales[[#This Row],[Target s.d. Januari]])</f>
        <v/>
      </c>
      <c r="H2975" s="19" t="s">
        <v>76</v>
      </c>
      <c r="I2975" s="20" t="s">
        <v>79</v>
      </c>
      <c r="J2975" s="20">
        <v>140000000</v>
      </c>
      <c r="K2975" s="19" t="s">
        <v>60</v>
      </c>
      <c r="L2975" s="19" t="s">
        <v>2</v>
      </c>
      <c r="M2975" s="21" t="s">
        <v>86</v>
      </c>
      <c r="N2975" s="20" t="s">
        <v>83</v>
      </c>
      <c r="O2975" s="19" t="s">
        <v>12</v>
      </c>
      <c r="P2975" s="10"/>
      <c r="Q2975" s="11"/>
    </row>
    <row r="2976" spans="2:17" ht="21" customHeight="1" x14ac:dyDescent="0.35">
      <c r="B2976" s="1">
        <v>44178</v>
      </c>
      <c r="C2976" s="1" t="str">
        <f>TEXT(Sales[[#This Row],[Kode Program/Kegiatan ]],"D")</f>
        <v>13</v>
      </c>
      <c r="D2976" s="2" t="str">
        <f>TEXT(Sales[[#This Row],[Kode Program/Kegiatan ]],"mmm")</f>
        <v>Dec</v>
      </c>
      <c r="E2976" s="3">
        <v>8</v>
      </c>
      <c r="F2976" s="2">
        <v>8</v>
      </c>
      <c r="G2976" s="3" t="str">
        <f>IF(Sales[[#This Row],[Anggaran Murni]]-Sales[[#This Row],[Target s.d. Januari]]=0,"",Sales[[#This Row],[Anggaran Murni]]-Sales[[#This Row],[Target s.d. Januari]])</f>
        <v/>
      </c>
      <c r="H2976" s="2" t="s">
        <v>70</v>
      </c>
      <c r="I2976" s="3" t="s">
        <v>1</v>
      </c>
      <c r="J2976" s="3">
        <v>100000000</v>
      </c>
      <c r="K2976" s="2" t="s">
        <v>39</v>
      </c>
      <c r="L2976" s="2" t="s">
        <v>5</v>
      </c>
      <c r="M2976" s="4" t="s">
        <v>86</v>
      </c>
      <c r="N2976" s="3" t="s">
        <v>83</v>
      </c>
      <c r="O2976" s="2" t="s">
        <v>11</v>
      </c>
      <c r="P2976" s="10"/>
      <c r="Q2976" s="11"/>
    </row>
    <row r="2977" spans="2:17" ht="21" customHeight="1" x14ac:dyDescent="0.35">
      <c r="B2977" s="18">
        <v>44178</v>
      </c>
      <c r="C2977" s="18" t="str">
        <f>TEXT(Sales[[#This Row],[Kode Program/Kegiatan ]],"D")</f>
        <v>13</v>
      </c>
      <c r="D2977" s="19" t="str">
        <f>TEXT(Sales[[#This Row],[Kode Program/Kegiatan ]],"mmm")</f>
        <v>Dec</v>
      </c>
      <c r="E2977" s="20">
        <v>7</v>
      </c>
      <c r="F2977" s="19">
        <v>7</v>
      </c>
      <c r="G2977" s="20" t="str">
        <f>IF(Sales[[#This Row],[Anggaran Murni]]-Sales[[#This Row],[Target s.d. Januari]]=0,"",Sales[[#This Row],[Anggaran Murni]]-Sales[[#This Row],[Target s.d. Januari]])</f>
        <v/>
      </c>
      <c r="H2977" s="19" t="s">
        <v>114</v>
      </c>
      <c r="I2977" s="20" t="s">
        <v>3</v>
      </c>
      <c r="J2977" s="20">
        <v>60000000</v>
      </c>
      <c r="K2977" s="19" t="s">
        <v>34</v>
      </c>
      <c r="L2977" s="19" t="s">
        <v>8</v>
      </c>
      <c r="M2977" s="21" t="s">
        <v>86</v>
      </c>
      <c r="N2977" s="20" t="s">
        <v>83</v>
      </c>
      <c r="O2977" s="19" t="s">
        <v>11</v>
      </c>
      <c r="P2977" s="10"/>
      <c r="Q2977" s="11"/>
    </row>
    <row r="2978" spans="2:17" ht="21" customHeight="1" x14ac:dyDescent="0.35">
      <c r="B2978" s="1">
        <v>44178</v>
      </c>
      <c r="C2978" s="1" t="str">
        <f>TEXT(Sales[[#This Row],[Kode Program/Kegiatan ]],"D")</f>
        <v>13</v>
      </c>
      <c r="D2978" s="2" t="str">
        <f>TEXT(Sales[[#This Row],[Kode Program/Kegiatan ]],"mmm")</f>
        <v>Dec</v>
      </c>
      <c r="E2978" s="3">
        <v>7</v>
      </c>
      <c r="F2978" s="2">
        <v>7</v>
      </c>
      <c r="G2978" s="3" t="str">
        <f>IF(Sales[[#This Row],[Anggaran Murni]]-Sales[[#This Row],[Target s.d. Januari]]=0,"",Sales[[#This Row],[Anggaran Murni]]-Sales[[#This Row],[Target s.d. Januari]])</f>
        <v/>
      </c>
      <c r="H2978" s="2" t="s">
        <v>114</v>
      </c>
      <c r="I2978" s="3" t="s">
        <v>3</v>
      </c>
      <c r="J2978" s="3">
        <v>100000000</v>
      </c>
      <c r="K2978" s="2" t="s">
        <v>17</v>
      </c>
      <c r="L2978" s="2" t="s">
        <v>2</v>
      </c>
      <c r="M2978" s="4" t="s">
        <v>86</v>
      </c>
      <c r="N2978" s="3" t="s">
        <v>83</v>
      </c>
      <c r="O2978" s="2" t="s">
        <v>14</v>
      </c>
      <c r="P2978" s="10"/>
      <c r="Q2978" s="11"/>
    </row>
    <row r="2979" spans="2:17" ht="21" customHeight="1" x14ac:dyDescent="0.35">
      <c r="B2979" s="18">
        <v>44178</v>
      </c>
      <c r="C2979" s="18" t="str">
        <f>TEXT(Sales[[#This Row],[Kode Program/Kegiatan ]],"D")</f>
        <v>13</v>
      </c>
      <c r="D2979" s="19" t="str">
        <f>TEXT(Sales[[#This Row],[Kode Program/Kegiatan ]],"mmm")</f>
        <v>Dec</v>
      </c>
      <c r="E2979" s="20">
        <v>7</v>
      </c>
      <c r="F2979" s="19">
        <v>7</v>
      </c>
      <c r="G2979" s="20" t="str">
        <f>IF(Sales[[#This Row],[Anggaran Murni]]-Sales[[#This Row],[Target s.d. Januari]]=0,"",Sales[[#This Row],[Anggaran Murni]]-Sales[[#This Row],[Target s.d. Januari]])</f>
        <v/>
      </c>
      <c r="H2979" s="19" t="s">
        <v>74</v>
      </c>
      <c r="I2979" s="20" t="s">
        <v>77</v>
      </c>
      <c r="J2979" s="20">
        <v>100000000</v>
      </c>
      <c r="K2979" s="19" t="s">
        <v>44</v>
      </c>
      <c r="L2979" s="19" t="s">
        <v>5</v>
      </c>
      <c r="M2979" s="21" t="s">
        <v>86</v>
      </c>
      <c r="N2979" s="20" t="s">
        <v>83</v>
      </c>
      <c r="O2979" s="19" t="s">
        <v>14</v>
      </c>
      <c r="P2979" s="10"/>
      <c r="Q2979" s="11"/>
    </row>
    <row r="2980" spans="2:17" ht="21" customHeight="1" x14ac:dyDescent="0.35">
      <c r="B2980" s="1">
        <v>44178</v>
      </c>
      <c r="C2980" s="1" t="str">
        <f>TEXT(Sales[[#This Row],[Kode Program/Kegiatan ]],"D")</f>
        <v>13</v>
      </c>
      <c r="D2980" s="2" t="str">
        <f>TEXT(Sales[[#This Row],[Kode Program/Kegiatan ]],"mmm")</f>
        <v>Dec</v>
      </c>
      <c r="E2980" s="3">
        <v>4</v>
      </c>
      <c r="F2980" s="2">
        <v>4</v>
      </c>
      <c r="G2980" s="3" t="str">
        <f>IF(Sales[[#This Row],[Anggaran Murni]]-Sales[[#This Row],[Target s.d. Januari]]=0,"",Sales[[#This Row],[Anggaran Murni]]-Sales[[#This Row],[Target s.d. Januari]])</f>
        <v/>
      </c>
      <c r="H2980" s="2" t="s">
        <v>73</v>
      </c>
      <c r="I2980" s="3" t="s">
        <v>78</v>
      </c>
      <c r="J2980" s="3">
        <v>120000000</v>
      </c>
      <c r="K2980" s="2" t="s">
        <v>24</v>
      </c>
      <c r="L2980" s="2" t="s">
        <v>7</v>
      </c>
      <c r="M2980" s="4" t="s">
        <v>86</v>
      </c>
      <c r="N2980" s="3" t="s">
        <v>83</v>
      </c>
      <c r="O2980" s="2" t="s">
        <v>12</v>
      </c>
      <c r="P2980" s="10"/>
      <c r="Q2980" s="11"/>
    </row>
    <row r="2981" spans="2:17" ht="21" customHeight="1" x14ac:dyDescent="0.35">
      <c r="B2981" s="18">
        <v>44178</v>
      </c>
      <c r="C2981" s="18" t="str">
        <f>TEXT(Sales[[#This Row],[Kode Program/Kegiatan ]],"D")</f>
        <v>13</v>
      </c>
      <c r="D2981" s="19" t="str">
        <f>TEXT(Sales[[#This Row],[Kode Program/Kegiatan ]],"mmm")</f>
        <v>Dec</v>
      </c>
      <c r="E2981" s="20">
        <v>4</v>
      </c>
      <c r="F2981" s="19">
        <v>4</v>
      </c>
      <c r="G2981" s="20" t="str">
        <f>IF(Sales[[#This Row],[Anggaran Murni]]-Sales[[#This Row],[Target s.d. Januari]]=0,"",Sales[[#This Row],[Anggaran Murni]]-Sales[[#This Row],[Target s.d. Januari]])</f>
        <v/>
      </c>
      <c r="H2981" s="19" t="s">
        <v>72</v>
      </c>
      <c r="I2981" s="20" t="s">
        <v>78</v>
      </c>
      <c r="J2981" s="20">
        <v>40000000</v>
      </c>
      <c r="K2981" s="19" t="s">
        <v>53</v>
      </c>
      <c r="L2981" s="19" t="s">
        <v>5</v>
      </c>
      <c r="M2981" s="21" t="s">
        <v>86</v>
      </c>
      <c r="N2981" s="20" t="s">
        <v>83</v>
      </c>
      <c r="O2981" s="19" t="s">
        <v>11</v>
      </c>
      <c r="P2981" s="10"/>
      <c r="Q2981" s="11"/>
    </row>
    <row r="2982" spans="2:17" ht="21" customHeight="1" x14ac:dyDescent="0.35">
      <c r="B2982" s="1">
        <v>44179</v>
      </c>
      <c r="C2982" s="1" t="str">
        <f>TEXT(Sales[[#This Row],[Kode Program/Kegiatan ]],"D")</f>
        <v>14</v>
      </c>
      <c r="D2982" s="2" t="str">
        <f>TEXT(Sales[[#This Row],[Kode Program/Kegiatan ]],"mmm")</f>
        <v>Dec</v>
      </c>
      <c r="E2982" s="3">
        <v>10</v>
      </c>
      <c r="F2982" s="2">
        <v>10</v>
      </c>
      <c r="G2982" s="3" t="str">
        <f>IF(Sales[[#This Row],[Anggaran Murni]]-Sales[[#This Row],[Target s.d. Januari]]=0,"",Sales[[#This Row],[Anggaran Murni]]-Sales[[#This Row],[Target s.d. Januari]])</f>
        <v/>
      </c>
      <c r="H2982" s="2" t="s">
        <v>73</v>
      </c>
      <c r="I2982" s="3" t="s">
        <v>78</v>
      </c>
      <c r="J2982" s="3">
        <v>100000000</v>
      </c>
      <c r="K2982" s="2" t="s">
        <v>17</v>
      </c>
      <c r="L2982" s="2" t="s">
        <v>5</v>
      </c>
      <c r="M2982" s="4" t="s">
        <v>86</v>
      </c>
      <c r="N2982" s="3" t="s">
        <v>83</v>
      </c>
      <c r="O2982" s="2" t="s">
        <v>13</v>
      </c>
      <c r="P2982" s="10"/>
      <c r="Q2982" s="11"/>
    </row>
    <row r="2983" spans="2:17" ht="21" customHeight="1" x14ac:dyDescent="0.35">
      <c r="B2983" s="18">
        <v>44179</v>
      </c>
      <c r="C2983" s="18" t="str">
        <f>TEXT(Sales[[#This Row],[Kode Program/Kegiatan ]],"D")</f>
        <v>14</v>
      </c>
      <c r="D2983" s="19" t="str">
        <f>TEXT(Sales[[#This Row],[Kode Program/Kegiatan ]],"mmm")</f>
        <v>Dec</v>
      </c>
      <c r="E2983" s="20">
        <v>10</v>
      </c>
      <c r="F2983" s="19">
        <v>10</v>
      </c>
      <c r="G2983" s="20" t="str">
        <f>IF(Sales[[#This Row],[Anggaran Murni]]-Sales[[#This Row],[Target s.d. Januari]]=0,"",Sales[[#This Row],[Anggaran Murni]]-Sales[[#This Row],[Target s.d. Januari]])</f>
        <v/>
      </c>
      <c r="H2983" s="19" t="s">
        <v>71</v>
      </c>
      <c r="I2983" s="20" t="s">
        <v>6</v>
      </c>
      <c r="J2983" s="20">
        <v>40000000</v>
      </c>
      <c r="K2983" s="19" t="s">
        <v>17</v>
      </c>
      <c r="L2983" s="19" t="s">
        <v>5</v>
      </c>
      <c r="M2983" s="21" t="s">
        <v>86</v>
      </c>
      <c r="N2983" s="20" t="s">
        <v>83</v>
      </c>
      <c r="O2983" s="19" t="s">
        <v>13</v>
      </c>
      <c r="P2983" s="10"/>
      <c r="Q2983" s="11"/>
    </row>
    <row r="2984" spans="2:17" ht="21" customHeight="1" x14ac:dyDescent="0.35">
      <c r="B2984" s="1">
        <v>44179</v>
      </c>
      <c r="C2984" s="1" t="str">
        <f>TEXT(Sales[[#This Row],[Kode Program/Kegiatan ]],"D")</f>
        <v>14</v>
      </c>
      <c r="D2984" s="2" t="str">
        <f>TEXT(Sales[[#This Row],[Kode Program/Kegiatan ]],"mmm")</f>
        <v>Dec</v>
      </c>
      <c r="E2984" s="3">
        <v>9</v>
      </c>
      <c r="F2984" s="2">
        <v>9</v>
      </c>
      <c r="G2984" s="3" t="str">
        <f>IF(Sales[[#This Row],[Anggaran Murni]]-Sales[[#This Row],[Target s.d. Januari]]=0,"",Sales[[#This Row],[Anggaran Murni]]-Sales[[#This Row],[Target s.d. Januari]])</f>
        <v/>
      </c>
      <c r="H2984" s="2" t="s">
        <v>74</v>
      </c>
      <c r="I2984" s="3" t="s">
        <v>77</v>
      </c>
      <c r="J2984" s="3">
        <v>40000000</v>
      </c>
      <c r="K2984" s="2" t="s">
        <v>38</v>
      </c>
      <c r="L2984" s="2" t="s">
        <v>5</v>
      </c>
      <c r="M2984" s="4" t="s">
        <v>86</v>
      </c>
      <c r="N2984" s="3" t="s">
        <v>83</v>
      </c>
      <c r="O2984" s="2" t="s">
        <v>13</v>
      </c>
      <c r="P2984" s="10"/>
      <c r="Q2984" s="11"/>
    </row>
    <row r="2985" spans="2:17" ht="21" customHeight="1" x14ac:dyDescent="0.35">
      <c r="B2985" s="18">
        <v>44179</v>
      </c>
      <c r="C2985" s="18" t="str">
        <f>TEXT(Sales[[#This Row],[Kode Program/Kegiatan ]],"D")</f>
        <v>14</v>
      </c>
      <c r="D2985" s="19" t="str">
        <f>TEXT(Sales[[#This Row],[Kode Program/Kegiatan ]],"mmm")</f>
        <v>Dec</v>
      </c>
      <c r="E2985" s="20">
        <v>9</v>
      </c>
      <c r="F2985" s="19">
        <v>9</v>
      </c>
      <c r="G2985" s="20" t="str">
        <f>IF(Sales[[#This Row],[Anggaran Murni]]-Sales[[#This Row],[Target s.d. Januari]]=0,"",Sales[[#This Row],[Anggaran Murni]]-Sales[[#This Row],[Target s.d. Januari]])</f>
        <v/>
      </c>
      <c r="H2985" s="19" t="s">
        <v>74</v>
      </c>
      <c r="I2985" s="20" t="s">
        <v>77</v>
      </c>
      <c r="J2985" s="20">
        <v>60000000</v>
      </c>
      <c r="K2985" s="19" t="s">
        <v>53</v>
      </c>
      <c r="L2985" s="19" t="s">
        <v>5</v>
      </c>
      <c r="M2985" s="21" t="s">
        <v>86</v>
      </c>
      <c r="N2985" s="20" t="s">
        <v>83</v>
      </c>
      <c r="O2985" s="19" t="s">
        <v>12</v>
      </c>
      <c r="P2985" s="10"/>
      <c r="Q2985" s="11"/>
    </row>
    <row r="2986" spans="2:17" ht="21" customHeight="1" x14ac:dyDescent="0.35">
      <c r="B2986" s="1">
        <v>44179</v>
      </c>
      <c r="C2986" s="1" t="str">
        <f>TEXT(Sales[[#This Row],[Kode Program/Kegiatan ]],"D")</f>
        <v>14</v>
      </c>
      <c r="D2986" s="2" t="str">
        <f>TEXT(Sales[[#This Row],[Kode Program/Kegiatan ]],"mmm")</f>
        <v>Dec</v>
      </c>
      <c r="E2986" s="3">
        <v>9</v>
      </c>
      <c r="F2986" s="2">
        <v>9</v>
      </c>
      <c r="G2986" s="3" t="str">
        <f>IF(Sales[[#This Row],[Anggaran Murni]]-Sales[[#This Row],[Target s.d. Januari]]=0,"",Sales[[#This Row],[Anggaran Murni]]-Sales[[#This Row],[Target s.d. Januari]])</f>
        <v/>
      </c>
      <c r="H2986" s="2" t="s">
        <v>114</v>
      </c>
      <c r="I2986" s="3" t="s">
        <v>3</v>
      </c>
      <c r="J2986" s="3">
        <v>120000000</v>
      </c>
      <c r="K2986" s="2" t="s">
        <v>64</v>
      </c>
      <c r="L2986" s="2" t="s">
        <v>2</v>
      </c>
      <c r="M2986" s="4" t="s">
        <v>86</v>
      </c>
      <c r="N2986" s="3" t="s">
        <v>83</v>
      </c>
      <c r="O2986" s="2" t="s">
        <v>11</v>
      </c>
      <c r="P2986" s="10"/>
      <c r="Q2986" s="11"/>
    </row>
    <row r="2987" spans="2:17" ht="21" customHeight="1" x14ac:dyDescent="0.35">
      <c r="B2987" s="18">
        <v>44179</v>
      </c>
      <c r="C2987" s="18" t="str">
        <f>TEXT(Sales[[#This Row],[Kode Program/Kegiatan ]],"D")</f>
        <v>14</v>
      </c>
      <c r="D2987" s="19" t="str">
        <f>TEXT(Sales[[#This Row],[Kode Program/Kegiatan ]],"mmm")</f>
        <v>Dec</v>
      </c>
      <c r="E2987" s="20">
        <v>9</v>
      </c>
      <c r="F2987" s="19">
        <v>9</v>
      </c>
      <c r="G2987" s="20" t="str">
        <f>IF(Sales[[#This Row],[Anggaran Murni]]-Sales[[#This Row],[Target s.d. Januari]]=0,"",Sales[[#This Row],[Anggaran Murni]]-Sales[[#This Row],[Target s.d. Januari]])</f>
        <v/>
      </c>
      <c r="H2987" s="19" t="s">
        <v>75</v>
      </c>
      <c r="I2987" s="20" t="s">
        <v>6</v>
      </c>
      <c r="J2987" s="20">
        <v>100000000</v>
      </c>
      <c r="K2987" s="19" t="s">
        <v>53</v>
      </c>
      <c r="L2987" s="19" t="s">
        <v>2</v>
      </c>
      <c r="M2987" s="21" t="s">
        <v>86</v>
      </c>
      <c r="N2987" s="20" t="s">
        <v>83</v>
      </c>
      <c r="O2987" s="19" t="s">
        <v>12</v>
      </c>
      <c r="P2987" s="10"/>
      <c r="Q2987" s="11"/>
    </row>
    <row r="2988" spans="2:17" ht="21" customHeight="1" x14ac:dyDescent="0.35">
      <c r="B2988" s="1">
        <v>44179</v>
      </c>
      <c r="C2988" s="1" t="str">
        <f>TEXT(Sales[[#This Row],[Kode Program/Kegiatan ]],"D")</f>
        <v>14</v>
      </c>
      <c r="D2988" s="2" t="str">
        <f>TEXT(Sales[[#This Row],[Kode Program/Kegiatan ]],"mmm")</f>
        <v>Dec</v>
      </c>
      <c r="E2988" s="3">
        <v>7</v>
      </c>
      <c r="F2988" s="2">
        <v>7</v>
      </c>
      <c r="G2988" s="3" t="str">
        <f>IF(Sales[[#This Row],[Anggaran Murni]]-Sales[[#This Row],[Target s.d. Januari]]=0,"",Sales[[#This Row],[Anggaran Murni]]-Sales[[#This Row],[Target s.d. Januari]])</f>
        <v/>
      </c>
      <c r="H2988" s="2" t="s">
        <v>75</v>
      </c>
      <c r="I2988" s="3" t="s">
        <v>6</v>
      </c>
      <c r="J2988" s="3">
        <v>80000000</v>
      </c>
      <c r="K2988" s="2" t="s">
        <v>27</v>
      </c>
      <c r="L2988" s="2" t="s">
        <v>4</v>
      </c>
      <c r="M2988" s="4" t="s">
        <v>86</v>
      </c>
      <c r="N2988" s="3" t="s">
        <v>83</v>
      </c>
      <c r="O2988" s="2" t="s">
        <v>12</v>
      </c>
      <c r="P2988" s="10"/>
      <c r="Q2988" s="11"/>
    </row>
    <row r="2989" spans="2:17" ht="21" customHeight="1" x14ac:dyDescent="0.35">
      <c r="B2989" s="18">
        <v>44179</v>
      </c>
      <c r="C2989" s="18" t="str">
        <f>TEXT(Sales[[#This Row],[Kode Program/Kegiatan ]],"D")</f>
        <v>14</v>
      </c>
      <c r="D2989" s="19" t="str">
        <f>TEXT(Sales[[#This Row],[Kode Program/Kegiatan ]],"mmm")</f>
        <v>Dec</v>
      </c>
      <c r="E2989" s="20">
        <v>6</v>
      </c>
      <c r="F2989" s="19">
        <v>6</v>
      </c>
      <c r="G2989" s="20" t="str">
        <f>IF(Sales[[#This Row],[Anggaran Murni]]-Sales[[#This Row],[Target s.d. Januari]]=0,"",Sales[[#This Row],[Anggaran Murni]]-Sales[[#This Row],[Target s.d. Januari]])</f>
        <v/>
      </c>
      <c r="H2989" s="19" t="s">
        <v>71</v>
      </c>
      <c r="I2989" s="20" t="s">
        <v>6</v>
      </c>
      <c r="J2989" s="20">
        <v>40000000</v>
      </c>
      <c r="K2989" s="19" t="s">
        <v>59</v>
      </c>
      <c r="L2989" s="19" t="s">
        <v>5</v>
      </c>
      <c r="M2989" s="21" t="s">
        <v>86</v>
      </c>
      <c r="N2989" s="20" t="s">
        <v>83</v>
      </c>
      <c r="O2989" s="19" t="s">
        <v>11</v>
      </c>
      <c r="P2989" s="10"/>
      <c r="Q2989" s="11"/>
    </row>
    <row r="2990" spans="2:17" ht="21" customHeight="1" x14ac:dyDescent="0.35">
      <c r="B2990" s="1">
        <v>44179</v>
      </c>
      <c r="C2990" s="1" t="str">
        <f>TEXT(Sales[[#This Row],[Kode Program/Kegiatan ]],"D")</f>
        <v>14</v>
      </c>
      <c r="D2990" s="2" t="str">
        <f>TEXT(Sales[[#This Row],[Kode Program/Kegiatan ]],"mmm")</f>
        <v>Dec</v>
      </c>
      <c r="E2990" s="3">
        <v>6</v>
      </c>
      <c r="F2990" s="2">
        <v>6</v>
      </c>
      <c r="G2990" s="3" t="str">
        <f>IF(Sales[[#This Row],[Anggaran Murni]]-Sales[[#This Row],[Target s.d. Januari]]=0,"",Sales[[#This Row],[Anggaran Murni]]-Sales[[#This Row],[Target s.d. Januari]])</f>
        <v/>
      </c>
      <c r="H2990" s="2" t="s">
        <v>74</v>
      </c>
      <c r="I2990" s="3" t="s">
        <v>77</v>
      </c>
      <c r="J2990" s="3">
        <v>60000000</v>
      </c>
      <c r="K2990" s="2" t="s">
        <v>63</v>
      </c>
      <c r="L2990" s="2" t="s">
        <v>7</v>
      </c>
      <c r="M2990" s="4" t="s">
        <v>86</v>
      </c>
      <c r="N2990" s="3" t="s">
        <v>83</v>
      </c>
      <c r="O2990" s="2" t="s">
        <v>11</v>
      </c>
      <c r="P2990" s="10"/>
      <c r="Q2990" s="11"/>
    </row>
    <row r="2991" spans="2:17" ht="21" customHeight="1" x14ac:dyDescent="0.35">
      <c r="B2991" s="18">
        <v>44179</v>
      </c>
      <c r="C2991" s="18" t="str">
        <f>TEXT(Sales[[#This Row],[Kode Program/Kegiatan ]],"D")</f>
        <v>14</v>
      </c>
      <c r="D2991" s="19" t="str">
        <f>TEXT(Sales[[#This Row],[Kode Program/Kegiatan ]],"mmm")</f>
        <v>Dec</v>
      </c>
      <c r="E2991" s="20">
        <v>5</v>
      </c>
      <c r="F2991" s="19">
        <v>5</v>
      </c>
      <c r="G2991" s="20" t="str">
        <f>IF(Sales[[#This Row],[Anggaran Murni]]-Sales[[#This Row],[Target s.d. Januari]]=0,"",Sales[[#This Row],[Anggaran Murni]]-Sales[[#This Row],[Target s.d. Januari]])</f>
        <v/>
      </c>
      <c r="H2991" s="19" t="s">
        <v>76</v>
      </c>
      <c r="I2991" s="20" t="s">
        <v>79</v>
      </c>
      <c r="J2991" s="20">
        <v>120000000</v>
      </c>
      <c r="K2991" s="19" t="s">
        <v>41</v>
      </c>
      <c r="L2991" s="19" t="s">
        <v>5</v>
      </c>
      <c r="M2991" s="21" t="s">
        <v>86</v>
      </c>
      <c r="N2991" s="20" t="s">
        <v>83</v>
      </c>
      <c r="O2991" s="19" t="s">
        <v>13</v>
      </c>
      <c r="P2991" s="10"/>
      <c r="Q2991" s="11"/>
    </row>
    <row r="2992" spans="2:17" ht="21" customHeight="1" x14ac:dyDescent="0.35">
      <c r="B2992" s="1">
        <v>44179</v>
      </c>
      <c r="C2992" s="1" t="str">
        <f>TEXT(Sales[[#This Row],[Kode Program/Kegiatan ]],"D")</f>
        <v>14</v>
      </c>
      <c r="D2992" s="2" t="str">
        <f>TEXT(Sales[[#This Row],[Kode Program/Kegiatan ]],"mmm")</f>
        <v>Dec</v>
      </c>
      <c r="E2992" s="3">
        <v>5</v>
      </c>
      <c r="F2992" s="2">
        <v>5</v>
      </c>
      <c r="G2992" s="3" t="str">
        <f>IF(Sales[[#This Row],[Anggaran Murni]]-Sales[[#This Row],[Target s.d. Januari]]=0,"",Sales[[#This Row],[Anggaran Murni]]-Sales[[#This Row],[Target s.d. Januari]])</f>
        <v/>
      </c>
      <c r="H2992" s="2" t="s">
        <v>72</v>
      </c>
      <c r="I2992" s="3" t="s">
        <v>78</v>
      </c>
      <c r="J2992" s="3">
        <v>80000000</v>
      </c>
      <c r="K2992" s="2" t="s">
        <v>49</v>
      </c>
      <c r="L2992" s="2" t="s">
        <v>2</v>
      </c>
      <c r="M2992" s="4" t="s">
        <v>86</v>
      </c>
      <c r="N2992" s="3" t="s">
        <v>83</v>
      </c>
      <c r="O2992" s="2" t="s">
        <v>12</v>
      </c>
      <c r="P2992" s="10"/>
      <c r="Q2992" s="11"/>
    </row>
    <row r="2993" spans="2:17" ht="21" customHeight="1" x14ac:dyDescent="0.35">
      <c r="B2993" s="18">
        <v>44179</v>
      </c>
      <c r="C2993" s="18" t="str">
        <f>TEXT(Sales[[#This Row],[Kode Program/Kegiatan ]],"D")</f>
        <v>14</v>
      </c>
      <c r="D2993" s="19" t="str">
        <f>TEXT(Sales[[#This Row],[Kode Program/Kegiatan ]],"mmm")</f>
        <v>Dec</v>
      </c>
      <c r="E2993" s="20">
        <v>3</v>
      </c>
      <c r="F2993" s="19">
        <v>3</v>
      </c>
      <c r="G2993" s="20" t="str">
        <f>IF(Sales[[#This Row],[Anggaran Murni]]-Sales[[#This Row],[Target s.d. Januari]]=0,"",Sales[[#This Row],[Anggaran Murni]]-Sales[[#This Row],[Target s.d. Januari]])</f>
        <v/>
      </c>
      <c r="H2993" s="19" t="s">
        <v>73</v>
      </c>
      <c r="I2993" s="20" t="s">
        <v>78</v>
      </c>
      <c r="J2993" s="20">
        <v>100000000</v>
      </c>
      <c r="K2993" s="19" t="s">
        <v>15</v>
      </c>
      <c r="L2993" s="19" t="s">
        <v>2</v>
      </c>
      <c r="M2993" s="21" t="s">
        <v>86</v>
      </c>
      <c r="N2993" s="20" t="s">
        <v>83</v>
      </c>
      <c r="O2993" s="19" t="s">
        <v>13</v>
      </c>
      <c r="P2993" s="10"/>
      <c r="Q2993" s="11"/>
    </row>
    <row r="2994" spans="2:17" ht="21" customHeight="1" x14ac:dyDescent="0.35">
      <c r="B2994" s="1">
        <v>44180</v>
      </c>
      <c r="C2994" s="1" t="str">
        <f>TEXT(Sales[[#This Row],[Kode Program/Kegiatan ]],"D")</f>
        <v>15</v>
      </c>
      <c r="D2994" s="2" t="str">
        <f>TEXT(Sales[[#This Row],[Kode Program/Kegiatan ]],"mmm")</f>
        <v>Dec</v>
      </c>
      <c r="E2994" s="3">
        <v>10</v>
      </c>
      <c r="F2994" s="2">
        <v>10</v>
      </c>
      <c r="G2994" s="3" t="str">
        <f>IF(Sales[[#This Row],[Anggaran Murni]]-Sales[[#This Row],[Target s.d. Januari]]=0,"",Sales[[#This Row],[Anggaran Murni]]-Sales[[#This Row],[Target s.d. Januari]])</f>
        <v/>
      </c>
      <c r="H2994" s="2" t="s">
        <v>75</v>
      </c>
      <c r="I2994" s="3" t="s">
        <v>6</v>
      </c>
      <c r="J2994" s="3">
        <v>120000000</v>
      </c>
      <c r="K2994" s="2" t="s">
        <v>56</v>
      </c>
      <c r="L2994" s="2" t="s">
        <v>5</v>
      </c>
      <c r="M2994" s="4" t="s">
        <v>86</v>
      </c>
      <c r="N2994" s="3" t="s">
        <v>83</v>
      </c>
      <c r="O2994" s="2" t="s">
        <v>14</v>
      </c>
      <c r="P2994" s="10"/>
      <c r="Q2994" s="11"/>
    </row>
    <row r="2995" spans="2:17" ht="21" customHeight="1" x14ac:dyDescent="0.35">
      <c r="B2995" s="18">
        <v>44180</v>
      </c>
      <c r="C2995" s="18" t="str">
        <f>TEXT(Sales[[#This Row],[Kode Program/Kegiatan ]],"D")</f>
        <v>15</v>
      </c>
      <c r="D2995" s="19" t="str">
        <f>TEXT(Sales[[#This Row],[Kode Program/Kegiatan ]],"mmm")</f>
        <v>Dec</v>
      </c>
      <c r="E2995" s="20">
        <v>9</v>
      </c>
      <c r="F2995" s="19">
        <v>9</v>
      </c>
      <c r="G2995" s="20" t="str">
        <f>IF(Sales[[#This Row],[Anggaran Murni]]-Sales[[#This Row],[Target s.d. Januari]]=0,"",Sales[[#This Row],[Anggaran Murni]]-Sales[[#This Row],[Target s.d. Januari]])</f>
        <v/>
      </c>
      <c r="H2995" s="19" t="s">
        <v>75</v>
      </c>
      <c r="I2995" s="20" t="s">
        <v>6</v>
      </c>
      <c r="J2995" s="20">
        <v>100000000</v>
      </c>
      <c r="K2995" s="19" t="s">
        <v>24</v>
      </c>
      <c r="L2995" s="19" t="s">
        <v>2</v>
      </c>
      <c r="M2995" s="21" t="s">
        <v>86</v>
      </c>
      <c r="N2995" s="20" t="s">
        <v>83</v>
      </c>
      <c r="O2995" s="19" t="s">
        <v>12</v>
      </c>
      <c r="P2995" s="10"/>
      <c r="Q2995" s="11"/>
    </row>
    <row r="2996" spans="2:17" ht="21" customHeight="1" x14ac:dyDescent="0.35">
      <c r="B2996" s="1">
        <v>44180</v>
      </c>
      <c r="C2996" s="1" t="str">
        <f>TEXT(Sales[[#This Row],[Kode Program/Kegiatan ]],"D")</f>
        <v>15</v>
      </c>
      <c r="D2996" s="2" t="str">
        <f>TEXT(Sales[[#This Row],[Kode Program/Kegiatan ]],"mmm")</f>
        <v>Dec</v>
      </c>
      <c r="E2996" s="3">
        <v>8</v>
      </c>
      <c r="F2996" s="2">
        <v>8</v>
      </c>
      <c r="G2996" s="3" t="str">
        <f>IF(Sales[[#This Row],[Anggaran Murni]]-Sales[[#This Row],[Target s.d. Januari]]=0,"",Sales[[#This Row],[Anggaran Murni]]-Sales[[#This Row],[Target s.d. Januari]])</f>
        <v/>
      </c>
      <c r="H2996" s="2" t="s">
        <v>113</v>
      </c>
      <c r="I2996" s="3" t="s">
        <v>77</v>
      </c>
      <c r="J2996" s="3">
        <v>80000000</v>
      </c>
      <c r="K2996" s="2" t="s">
        <v>17</v>
      </c>
      <c r="L2996" s="2" t="s">
        <v>8</v>
      </c>
      <c r="M2996" s="4" t="s">
        <v>86</v>
      </c>
      <c r="N2996" s="3" t="s">
        <v>83</v>
      </c>
      <c r="O2996" s="2" t="s">
        <v>12</v>
      </c>
      <c r="P2996" s="10"/>
      <c r="Q2996" s="11"/>
    </row>
    <row r="2997" spans="2:17" ht="21" customHeight="1" x14ac:dyDescent="0.35">
      <c r="B2997" s="18">
        <v>44180</v>
      </c>
      <c r="C2997" s="18" t="str">
        <f>TEXT(Sales[[#This Row],[Kode Program/Kegiatan ]],"D")</f>
        <v>15</v>
      </c>
      <c r="D2997" s="19" t="str">
        <f>TEXT(Sales[[#This Row],[Kode Program/Kegiatan ]],"mmm")</f>
        <v>Dec</v>
      </c>
      <c r="E2997" s="20">
        <v>5</v>
      </c>
      <c r="F2997" s="19">
        <v>5</v>
      </c>
      <c r="G2997" s="20" t="str">
        <f>IF(Sales[[#This Row],[Anggaran Murni]]-Sales[[#This Row],[Target s.d. Januari]]=0,"",Sales[[#This Row],[Anggaran Murni]]-Sales[[#This Row],[Target s.d. Januari]])</f>
        <v/>
      </c>
      <c r="H2997" s="19" t="s">
        <v>113</v>
      </c>
      <c r="I2997" s="20" t="s">
        <v>77</v>
      </c>
      <c r="J2997" s="20">
        <v>100000000</v>
      </c>
      <c r="K2997" s="19" t="s">
        <v>60</v>
      </c>
      <c r="L2997" s="19" t="s">
        <v>2</v>
      </c>
      <c r="M2997" s="21" t="s">
        <v>86</v>
      </c>
      <c r="N2997" s="20" t="s">
        <v>83</v>
      </c>
      <c r="O2997" s="19" t="s">
        <v>11</v>
      </c>
      <c r="P2997" s="10"/>
      <c r="Q2997" s="11"/>
    </row>
    <row r="2998" spans="2:17" ht="21" customHeight="1" x14ac:dyDescent="0.35">
      <c r="B2998" s="1">
        <v>44180</v>
      </c>
      <c r="C2998" s="1" t="str">
        <f>TEXT(Sales[[#This Row],[Kode Program/Kegiatan ]],"D")</f>
        <v>15</v>
      </c>
      <c r="D2998" s="2" t="str">
        <f>TEXT(Sales[[#This Row],[Kode Program/Kegiatan ]],"mmm")</f>
        <v>Dec</v>
      </c>
      <c r="E2998" s="3">
        <v>4</v>
      </c>
      <c r="F2998" s="2">
        <v>4</v>
      </c>
      <c r="G2998" s="3" t="str">
        <f>IF(Sales[[#This Row],[Anggaran Murni]]-Sales[[#This Row],[Target s.d. Januari]]=0,"",Sales[[#This Row],[Anggaran Murni]]-Sales[[#This Row],[Target s.d. Januari]])</f>
        <v/>
      </c>
      <c r="H2998" s="2" t="s">
        <v>70</v>
      </c>
      <c r="I2998" s="3" t="s">
        <v>1</v>
      </c>
      <c r="J2998" s="3">
        <v>100000000</v>
      </c>
      <c r="K2998" s="2" t="s">
        <v>52</v>
      </c>
      <c r="L2998" s="2" t="s">
        <v>5</v>
      </c>
      <c r="M2998" s="4" t="s">
        <v>86</v>
      </c>
      <c r="N2998" s="3" t="s">
        <v>83</v>
      </c>
      <c r="O2998" s="2" t="s">
        <v>14</v>
      </c>
      <c r="P2998" s="10"/>
      <c r="Q2998" s="11"/>
    </row>
    <row r="2999" spans="2:17" ht="21" customHeight="1" x14ac:dyDescent="0.35">
      <c r="B2999" s="18">
        <v>44180</v>
      </c>
      <c r="C2999" s="18" t="str">
        <f>TEXT(Sales[[#This Row],[Kode Program/Kegiatan ]],"D")</f>
        <v>15</v>
      </c>
      <c r="D2999" s="19" t="str">
        <f>TEXT(Sales[[#This Row],[Kode Program/Kegiatan ]],"mmm")</f>
        <v>Dec</v>
      </c>
      <c r="E2999" s="20">
        <v>4</v>
      </c>
      <c r="F2999" s="19">
        <v>4</v>
      </c>
      <c r="G2999" s="20" t="str">
        <f>IF(Sales[[#This Row],[Anggaran Murni]]-Sales[[#This Row],[Target s.d. Januari]]=0,"",Sales[[#This Row],[Anggaran Murni]]-Sales[[#This Row],[Target s.d. Januari]])</f>
        <v/>
      </c>
      <c r="H2999" s="19" t="s">
        <v>70</v>
      </c>
      <c r="I2999" s="20" t="s">
        <v>1</v>
      </c>
      <c r="J2999" s="20">
        <v>100000000</v>
      </c>
      <c r="K2999" s="19" t="s">
        <v>17</v>
      </c>
      <c r="L2999" s="19" t="s">
        <v>8</v>
      </c>
      <c r="M2999" s="21" t="s">
        <v>86</v>
      </c>
      <c r="N2999" s="20" t="s">
        <v>83</v>
      </c>
      <c r="O2999" s="19" t="s">
        <v>14</v>
      </c>
      <c r="P2999" s="10"/>
      <c r="Q2999" s="11"/>
    </row>
    <row r="3000" spans="2:17" ht="21" customHeight="1" x14ac:dyDescent="0.35">
      <c r="B3000" s="1">
        <v>44181</v>
      </c>
      <c r="C3000" s="1" t="str">
        <f>TEXT(Sales[[#This Row],[Kode Program/Kegiatan ]],"D")</f>
        <v>16</v>
      </c>
      <c r="D3000" s="2" t="str">
        <f>TEXT(Sales[[#This Row],[Kode Program/Kegiatan ]],"mmm")</f>
        <v>Dec</v>
      </c>
      <c r="E3000" s="3">
        <v>8</v>
      </c>
      <c r="F3000" s="2">
        <v>8</v>
      </c>
      <c r="G3000" s="3" t="str">
        <f>IF(Sales[[#This Row],[Anggaran Murni]]-Sales[[#This Row],[Target s.d. Januari]]=0,"",Sales[[#This Row],[Anggaran Murni]]-Sales[[#This Row],[Target s.d. Januari]])</f>
        <v/>
      </c>
      <c r="H3000" s="2" t="s">
        <v>76</v>
      </c>
      <c r="I3000" s="3" t="s">
        <v>79</v>
      </c>
      <c r="J3000" s="3">
        <v>80000000</v>
      </c>
      <c r="K3000" s="2" t="s">
        <v>34</v>
      </c>
      <c r="L3000" s="2" t="s">
        <v>5</v>
      </c>
      <c r="M3000" s="4" t="s">
        <v>86</v>
      </c>
      <c r="N3000" s="3" t="s">
        <v>83</v>
      </c>
      <c r="O3000" s="2" t="s">
        <v>13</v>
      </c>
      <c r="P3000" s="10"/>
      <c r="Q3000" s="11"/>
    </row>
    <row r="3001" spans="2:17" ht="21" customHeight="1" x14ac:dyDescent="0.35">
      <c r="B3001" s="18">
        <v>44181</v>
      </c>
      <c r="C3001" s="18" t="str">
        <f>TEXT(Sales[[#This Row],[Kode Program/Kegiatan ]],"D")</f>
        <v>16</v>
      </c>
      <c r="D3001" s="19" t="str">
        <f>TEXT(Sales[[#This Row],[Kode Program/Kegiatan ]],"mmm")</f>
        <v>Dec</v>
      </c>
      <c r="E3001" s="20">
        <v>7</v>
      </c>
      <c r="F3001" s="19">
        <v>7</v>
      </c>
      <c r="G3001" s="20" t="str">
        <f>IF(Sales[[#This Row],[Anggaran Murni]]-Sales[[#This Row],[Target s.d. Januari]]=0,"",Sales[[#This Row],[Anggaran Murni]]-Sales[[#This Row],[Target s.d. Januari]])</f>
        <v/>
      </c>
      <c r="H3001" s="19" t="s">
        <v>72</v>
      </c>
      <c r="I3001" s="20" t="s">
        <v>78</v>
      </c>
      <c r="J3001" s="20">
        <v>80000000</v>
      </c>
      <c r="K3001" s="19" t="s">
        <v>19</v>
      </c>
      <c r="L3001" s="19" t="s">
        <v>2</v>
      </c>
      <c r="M3001" s="21" t="s">
        <v>86</v>
      </c>
      <c r="N3001" s="20" t="s">
        <v>83</v>
      </c>
      <c r="O3001" s="19" t="s">
        <v>13</v>
      </c>
      <c r="P3001" s="10"/>
      <c r="Q3001" s="11"/>
    </row>
    <row r="3002" spans="2:17" ht="21" customHeight="1" x14ac:dyDescent="0.35">
      <c r="B3002" s="1">
        <v>44181</v>
      </c>
      <c r="C3002" s="1" t="str">
        <f>TEXT(Sales[[#This Row],[Kode Program/Kegiatan ]],"D")</f>
        <v>16</v>
      </c>
      <c r="D3002" s="2" t="str">
        <f>TEXT(Sales[[#This Row],[Kode Program/Kegiatan ]],"mmm")</f>
        <v>Dec</v>
      </c>
      <c r="E3002" s="3">
        <v>5</v>
      </c>
      <c r="F3002" s="2">
        <v>5</v>
      </c>
      <c r="G3002" s="3" t="str">
        <f>IF(Sales[[#This Row],[Anggaran Murni]]-Sales[[#This Row],[Target s.d. Januari]]=0,"",Sales[[#This Row],[Anggaran Murni]]-Sales[[#This Row],[Target s.d. Januari]])</f>
        <v/>
      </c>
      <c r="H3002" s="2" t="s">
        <v>74</v>
      </c>
      <c r="I3002" s="3" t="s">
        <v>77</v>
      </c>
      <c r="J3002" s="3">
        <v>80000000</v>
      </c>
      <c r="K3002" s="2" t="s">
        <v>30</v>
      </c>
      <c r="L3002" s="2" t="s">
        <v>5</v>
      </c>
      <c r="M3002" s="4" t="s">
        <v>86</v>
      </c>
      <c r="N3002" s="3" t="s">
        <v>83</v>
      </c>
      <c r="O3002" s="2" t="s">
        <v>12</v>
      </c>
      <c r="P3002" s="10"/>
      <c r="Q3002" s="11"/>
    </row>
    <row r="3003" spans="2:17" ht="21" customHeight="1" x14ac:dyDescent="0.35">
      <c r="B3003" s="18">
        <v>44181</v>
      </c>
      <c r="C3003" s="18" t="str">
        <f>TEXT(Sales[[#This Row],[Kode Program/Kegiatan ]],"D")</f>
        <v>16</v>
      </c>
      <c r="D3003" s="19" t="str">
        <f>TEXT(Sales[[#This Row],[Kode Program/Kegiatan ]],"mmm")</f>
        <v>Dec</v>
      </c>
      <c r="E3003" s="20">
        <v>5</v>
      </c>
      <c r="F3003" s="19">
        <v>5</v>
      </c>
      <c r="G3003" s="20" t="str">
        <f>IF(Sales[[#This Row],[Anggaran Murni]]-Sales[[#This Row],[Target s.d. Januari]]=0,"",Sales[[#This Row],[Anggaran Murni]]-Sales[[#This Row],[Target s.d. Januari]])</f>
        <v/>
      </c>
      <c r="H3003" s="19" t="s">
        <v>114</v>
      </c>
      <c r="I3003" s="20" t="s">
        <v>3</v>
      </c>
      <c r="J3003" s="20">
        <v>60000000</v>
      </c>
      <c r="K3003" s="19" t="s">
        <v>40</v>
      </c>
      <c r="L3003" s="19" t="s">
        <v>5</v>
      </c>
      <c r="M3003" s="21" t="s">
        <v>86</v>
      </c>
      <c r="N3003" s="20" t="s">
        <v>83</v>
      </c>
      <c r="O3003" s="19" t="s">
        <v>13</v>
      </c>
      <c r="P3003" s="10"/>
      <c r="Q3003" s="11"/>
    </row>
    <row r="3004" spans="2:17" ht="21" customHeight="1" x14ac:dyDescent="0.35">
      <c r="B3004" s="1">
        <v>44181</v>
      </c>
      <c r="C3004" s="1" t="str">
        <f>TEXT(Sales[[#This Row],[Kode Program/Kegiatan ]],"D")</f>
        <v>16</v>
      </c>
      <c r="D3004" s="2" t="str">
        <f>TEXT(Sales[[#This Row],[Kode Program/Kegiatan ]],"mmm")</f>
        <v>Dec</v>
      </c>
      <c r="E3004" s="3">
        <v>4</v>
      </c>
      <c r="F3004" s="2">
        <v>4</v>
      </c>
      <c r="G3004" s="3" t="str">
        <f>IF(Sales[[#This Row],[Anggaran Murni]]-Sales[[#This Row],[Target s.d. Januari]]=0,"",Sales[[#This Row],[Anggaran Murni]]-Sales[[#This Row],[Target s.d. Januari]])</f>
        <v/>
      </c>
      <c r="H3004" s="2" t="s">
        <v>74</v>
      </c>
      <c r="I3004" s="3" t="s">
        <v>77</v>
      </c>
      <c r="J3004" s="3">
        <v>140000000</v>
      </c>
      <c r="K3004" s="2" t="s">
        <v>37</v>
      </c>
      <c r="L3004" s="2" t="s">
        <v>5</v>
      </c>
      <c r="M3004" s="4" t="s">
        <v>86</v>
      </c>
      <c r="N3004" s="3" t="s">
        <v>83</v>
      </c>
      <c r="O3004" s="2" t="s">
        <v>12</v>
      </c>
      <c r="P3004" s="10"/>
      <c r="Q3004" s="11"/>
    </row>
    <row r="3005" spans="2:17" ht="21" customHeight="1" x14ac:dyDescent="0.35">
      <c r="B3005" s="18">
        <v>44181</v>
      </c>
      <c r="C3005" s="18" t="str">
        <f>TEXT(Sales[[#This Row],[Kode Program/Kegiatan ]],"D")</f>
        <v>16</v>
      </c>
      <c r="D3005" s="19" t="str">
        <f>TEXT(Sales[[#This Row],[Kode Program/Kegiatan ]],"mmm")</f>
        <v>Dec</v>
      </c>
      <c r="E3005" s="20">
        <v>4</v>
      </c>
      <c r="F3005" s="19">
        <v>4</v>
      </c>
      <c r="G3005" s="20" t="str">
        <f>IF(Sales[[#This Row],[Anggaran Murni]]-Sales[[#This Row],[Target s.d. Januari]]=0,"",Sales[[#This Row],[Anggaran Murni]]-Sales[[#This Row],[Target s.d. Januari]])</f>
        <v/>
      </c>
      <c r="H3005" s="19" t="s">
        <v>71</v>
      </c>
      <c r="I3005" s="20" t="s">
        <v>6</v>
      </c>
      <c r="J3005" s="20">
        <v>60000000</v>
      </c>
      <c r="K3005" s="19" t="s">
        <v>56</v>
      </c>
      <c r="L3005" s="19" t="s">
        <v>9</v>
      </c>
      <c r="M3005" s="21" t="s">
        <v>86</v>
      </c>
      <c r="N3005" s="20" t="s">
        <v>83</v>
      </c>
      <c r="O3005" s="19" t="s">
        <v>12</v>
      </c>
      <c r="P3005" s="10"/>
      <c r="Q3005" s="11"/>
    </row>
    <row r="3006" spans="2:17" ht="21" customHeight="1" x14ac:dyDescent="0.35">
      <c r="B3006" s="1">
        <v>44182</v>
      </c>
      <c r="C3006" s="1" t="str">
        <f>TEXT(Sales[[#This Row],[Kode Program/Kegiatan ]],"D")</f>
        <v>17</v>
      </c>
      <c r="D3006" s="2" t="str">
        <f>TEXT(Sales[[#This Row],[Kode Program/Kegiatan ]],"mmm")</f>
        <v>Dec</v>
      </c>
      <c r="E3006" s="3">
        <v>10</v>
      </c>
      <c r="F3006" s="2">
        <v>10</v>
      </c>
      <c r="G3006" s="3" t="str">
        <f>IF(Sales[[#This Row],[Anggaran Murni]]-Sales[[#This Row],[Target s.d. Januari]]=0,"",Sales[[#This Row],[Anggaran Murni]]-Sales[[#This Row],[Target s.d. Januari]])</f>
        <v/>
      </c>
      <c r="H3006" s="2" t="s">
        <v>70</v>
      </c>
      <c r="I3006" s="3" t="s">
        <v>1</v>
      </c>
      <c r="J3006" s="3">
        <v>120000000</v>
      </c>
      <c r="K3006" s="2" t="s">
        <v>46</v>
      </c>
      <c r="L3006" s="2" t="s">
        <v>5</v>
      </c>
      <c r="M3006" s="4" t="s">
        <v>86</v>
      </c>
      <c r="N3006" s="3" t="s">
        <v>83</v>
      </c>
      <c r="O3006" s="2" t="s">
        <v>13</v>
      </c>
      <c r="P3006" s="10"/>
      <c r="Q3006" s="11"/>
    </row>
    <row r="3007" spans="2:17" ht="21" customHeight="1" x14ac:dyDescent="0.35">
      <c r="B3007" s="18">
        <v>44182</v>
      </c>
      <c r="C3007" s="18" t="str">
        <f>TEXT(Sales[[#This Row],[Kode Program/Kegiatan ]],"D")</f>
        <v>17</v>
      </c>
      <c r="D3007" s="19" t="str">
        <f>TEXT(Sales[[#This Row],[Kode Program/Kegiatan ]],"mmm")</f>
        <v>Dec</v>
      </c>
      <c r="E3007" s="20">
        <v>9</v>
      </c>
      <c r="F3007" s="19">
        <v>9</v>
      </c>
      <c r="G3007" s="20" t="str">
        <f>IF(Sales[[#This Row],[Anggaran Murni]]-Sales[[#This Row],[Target s.d. Januari]]=0,"",Sales[[#This Row],[Anggaran Murni]]-Sales[[#This Row],[Target s.d. Januari]])</f>
        <v/>
      </c>
      <c r="H3007" s="19" t="s">
        <v>113</v>
      </c>
      <c r="I3007" s="20" t="s">
        <v>77</v>
      </c>
      <c r="J3007" s="20">
        <v>40000000</v>
      </c>
      <c r="K3007" s="19" t="s">
        <v>16</v>
      </c>
      <c r="L3007" s="19" t="s">
        <v>4</v>
      </c>
      <c r="M3007" s="21" t="s">
        <v>86</v>
      </c>
      <c r="N3007" s="20" t="s">
        <v>83</v>
      </c>
      <c r="O3007" s="19" t="s">
        <v>11</v>
      </c>
      <c r="P3007" s="10"/>
      <c r="Q3007" s="11"/>
    </row>
    <row r="3008" spans="2:17" ht="21" customHeight="1" x14ac:dyDescent="0.35">
      <c r="B3008" s="1">
        <v>44182</v>
      </c>
      <c r="C3008" s="1" t="str">
        <f>TEXT(Sales[[#This Row],[Kode Program/Kegiatan ]],"D")</f>
        <v>17</v>
      </c>
      <c r="D3008" s="2" t="str">
        <f>TEXT(Sales[[#This Row],[Kode Program/Kegiatan ]],"mmm")</f>
        <v>Dec</v>
      </c>
      <c r="E3008" s="3">
        <v>8</v>
      </c>
      <c r="F3008" s="2">
        <v>8</v>
      </c>
      <c r="G3008" s="3" t="str">
        <f>IF(Sales[[#This Row],[Anggaran Murni]]-Sales[[#This Row],[Target s.d. Januari]]=0,"",Sales[[#This Row],[Anggaran Murni]]-Sales[[#This Row],[Target s.d. Januari]])</f>
        <v/>
      </c>
      <c r="H3008" s="2" t="s">
        <v>73</v>
      </c>
      <c r="I3008" s="3" t="s">
        <v>78</v>
      </c>
      <c r="J3008" s="3">
        <v>40000000</v>
      </c>
      <c r="K3008" s="2" t="s">
        <v>36</v>
      </c>
      <c r="L3008" s="2" t="s">
        <v>2</v>
      </c>
      <c r="M3008" s="4" t="s">
        <v>86</v>
      </c>
      <c r="N3008" s="3" t="s">
        <v>83</v>
      </c>
      <c r="O3008" s="2" t="s">
        <v>12</v>
      </c>
      <c r="P3008" s="10"/>
      <c r="Q3008" s="11"/>
    </row>
    <row r="3009" spans="2:17" ht="21" customHeight="1" x14ac:dyDescent="0.35">
      <c r="B3009" s="18">
        <v>44182</v>
      </c>
      <c r="C3009" s="18" t="str">
        <f>TEXT(Sales[[#This Row],[Kode Program/Kegiatan ]],"D")</f>
        <v>17</v>
      </c>
      <c r="D3009" s="19" t="str">
        <f>TEXT(Sales[[#This Row],[Kode Program/Kegiatan ]],"mmm")</f>
        <v>Dec</v>
      </c>
      <c r="E3009" s="20">
        <v>8</v>
      </c>
      <c r="F3009" s="19">
        <v>8</v>
      </c>
      <c r="G3009" s="20" t="str">
        <f>IF(Sales[[#This Row],[Anggaran Murni]]-Sales[[#This Row],[Target s.d. Januari]]=0,"",Sales[[#This Row],[Anggaran Murni]]-Sales[[#This Row],[Target s.d. Januari]])</f>
        <v/>
      </c>
      <c r="H3009" s="19" t="s">
        <v>72</v>
      </c>
      <c r="I3009" s="20" t="s">
        <v>78</v>
      </c>
      <c r="J3009" s="20">
        <v>40000000</v>
      </c>
      <c r="K3009" s="19" t="s">
        <v>60</v>
      </c>
      <c r="L3009" s="19" t="s">
        <v>4</v>
      </c>
      <c r="M3009" s="21" t="s">
        <v>86</v>
      </c>
      <c r="N3009" s="20" t="s">
        <v>83</v>
      </c>
      <c r="O3009" s="19" t="s">
        <v>14</v>
      </c>
      <c r="P3009" s="10"/>
      <c r="Q3009" s="11"/>
    </row>
    <row r="3010" spans="2:17" ht="21" customHeight="1" x14ac:dyDescent="0.35">
      <c r="B3010" s="1">
        <v>44182</v>
      </c>
      <c r="C3010" s="1" t="str">
        <f>TEXT(Sales[[#This Row],[Kode Program/Kegiatan ]],"D")</f>
        <v>17</v>
      </c>
      <c r="D3010" s="2" t="str">
        <f>TEXT(Sales[[#This Row],[Kode Program/Kegiatan ]],"mmm")</f>
        <v>Dec</v>
      </c>
      <c r="E3010" s="3">
        <v>7</v>
      </c>
      <c r="F3010" s="2">
        <v>7</v>
      </c>
      <c r="G3010" s="3" t="str">
        <f>IF(Sales[[#This Row],[Anggaran Murni]]-Sales[[#This Row],[Target s.d. Januari]]=0,"",Sales[[#This Row],[Anggaran Murni]]-Sales[[#This Row],[Target s.d. Januari]])</f>
        <v/>
      </c>
      <c r="H3010" s="2" t="s">
        <v>71</v>
      </c>
      <c r="I3010" s="3" t="s">
        <v>6</v>
      </c>
      <c r="J3010" s="3">
        <v>40000000</v>
      </c>
      <c r="K3010" s="2" t="s">
        <v>54</v>
      </c>
      <c r="L3010" s="2" t="s">
        <v>7</v>
      </c>
      <c r="M3010" s="4" t="s">
        <v>86</v>
      </c>
      <c r="N3010" s="3" t="s">
        <v>83</v>
      </c>
      <c r="O3010" s="2" t="s">
        <v>11</v>
      </c>
      <c r="P3010" s="10"/>
      <c r="Q3010" s="11"/>
    </row>
    <row r="3011" spans="2:17" ht="21" customHeight="1" x14ac:dyDescent="0.35">
      <c r="B3011" s="18">
        <v>44182</v>
      </c>
      <c r="C3011" s="18" t="str">
        <f>TEXT(Sales[[#This Row],[Kode Program/Kegiatan ]],"D")</f>
        <v>17</v>
      </c>
      <c r="D3011" s="19" t="str">
        <f>TEXT(Sales[[#This Row],[Kode Program/Kegiatan ]],"mmm")</f>
        <v>Dec</v>
      </c>
      <c r="E3011" s="20">
        <v>7</v>
      </c>
      <c r="F3011" s="19">
        <v>7</v>
      </c>
      <c r="G3011" s="20" t="str">
        <f>IF(Sales[[#This Row],[Anggaran Murni]]-Sales[[#This Row],[Target s.d. Januari]]=0,"",Sales[[#This Row],[Anggaran Murni]]-Sales[[#This Row],[Target s.d. Januari]])</f>
        <v/>
      </c>
      <c r="H3011" s="19" t="s">
        <v>113</v>
      </c>
      <c r="I3011" s="20" t="s">
        <v>77</v>
      </c>
      <c r="J3011" s="20">
        <v>60000000</v>
      </c>
      <c r="K3011" s="19" t="s">
        <v>19</v>
      </c>
      <c r="L3011" s="19" t="s">
        <v>2</v>
      </c>
      <c r="M3011" s="21" t="s">
        <v>86</v>
      </c>
      <c r="N3011" s="20" t="s">
        <v>83</v>
      </c>
      <c r="O3011" s="19" t="s">
        <v>14</v>
      </c>
      <c r="P3011" s="10"/>
      <c r="Q3011" s="11"/>
    </row>
    <row r="3012" spans="2:17" ht="21" customHeight="1" x14ac:dyDescent="0.35">
      <c r="B3012" s="1">
        <v>44182</v>
      </c>
      <c r="C3012" s="1" t="str">
        <f>TEXT(Sales[[#This Row],[Kode Program/Kegiatan ]],"D")</f>
        <v>17</v>
      </c>
      <c r="D3012" s="2" t="str">
        <f>TEXT(Sales[[#This Row],[Kode Program/Kegiatan ]],"mmm")</f>
        <v>Dec</v>
      </c>
      <c r="E3012" s="3">
        <v>7</v>
      </c>
      <c r="F3012" s="2">
        <v>7</v>
      </c>
      <c r="G3012" s="3" t="str">
        <f>IF(Sales[[#This Row],[Anggaran Murni]]-Sales[[#This Row],[Target s.d. Januari]]=0,"",Sales[[#This Row],[Anggaran Murni]]-Sales[[#This Row],[Target s.d. Januari]])</f>
        <v/>
      </c>
      <c r="H3012" s="2" t="s">
        <v>72</v>
      </c>
      <c r="I3012" s="3" t="s">
        <v>78</v>
      </c>
      <c r="J3012" s="3">
        <v>100000000</v>
      </c>
      <c r="K3012" s="2" t="s">
        <v>16</v>
      </c>
      <c r="L3012" s="2" t="s">
        <v>5</v>
      </c>
      <c r="M3012" s="4" t="s">
        <v>86</v>
      </c>
      <c r="N3012" s="3" t="s">
        <v>83</v>
      </c>
      <c r="O3012" s="2" t="s">
        <v>11</v>
      </c>
      <c r="P3012" s="10"/>
      <c r="Q3012" s="11"/>
    </row>
    <row r="3013" spans="2:17" ht="21" customHeight="1" x14ac:dyDescent="0.35">
      <c r="B3013" s="18">
        <v>44182</v>
      </c>
      <c r="C3013" s="18" t="str">
        <f>TEXT(Sales[[#This Row],[Kode Program/Kegiatan ]],"D")</f>
        <v>17</v>
      </c>
      <c r="D3013" s="19" t="str">
        <f>TEXT(Sales[[#This Row],[Kode Program/Kegiatan ]],"mmm")</f>
        <v>Dec</v>
      </c>
      <c r="E3013" s="20">
        <v>6</v>
      </c>
      <c r="F3013" s="19">
        <v>6</v>
      </c>
      <c r="G3013" s="20" t="str">
        <f>IF(Sales[[#This Row],[Anggaran Murni]]-Sales[[#This Row],[Target s.d. Januari]]=0,"",Sales[[#This Row],[Anggaran Murni]]-Sales[[#This Row],[Target s.d. Januari]])</f>
        <v/>
      </c>
      <c r="H3013" s="19" t="s">
        <v>76</v>
      </c>
      <c r="I3013" s="20" t="s">
        <v>79</v>
      </c>
      <c r="J3013" s="20">
        <v>60000000</v>
      </c>
      <c r="K3013" s="19" t="s">
        <v>33</v>
      </c>
      <c r="L3013" s="19" t="s">
        <v>5</v>
      </c>
      <c r="M3013" s="21" t="s">
        <v>86</v>
      </c>
      <c r="N3013" s="20" t="s">
        <v>83</v>
      </c>
      <c r="O3013" s="19" t="s">
        <v>11</v>
      </c>
      <c r="P3013" s="10"/>
      <c r="Q3013" s="11"/>
    </row>
    <row r="3014" spans="2:17" ht="21" customHeight="1" x14ac:dyDescent="0.35">
      <c r="B3014" s="1">
        <v>44182</v>
      </c>
      <c r="C3014" s="1" t="str">
        <f>TEXT(Sales[[#This Row],[Kode Program/Kegiatan ]],"D")</f>
        <v>17</v>
      </c>
      <c r="D3014" s="2" t="str">
        <f>TEXT(Sales[[#This Row],[Kode Program/Kegiatan ]],"mmm")</f>
        <v>Dec</v>
      </c>
      <c r="E3014" s="3">
        <v>5</v>
      </c>
      <c r="F3014" s="2">
        <v>5</v>
      </c>
      <c r="G3014" s="3" t="str">
        <f>IF(Sales[[#This Row],[Anggaran Murni]]-Sales[[#This Row],[Target s.d. Januari]]=0,"",Sales[[#This Row],[Anggaran Murni]]-Sales[[#This Row],[Target s.d. Januari]])</f>
        <v/>
      </c>
      <c r="H3014" s="2" t="s">
        <v>76</v>
      </c>
      <c r="I3014" s="3" t="s">
        <v>79</v>
      </c>
      <c r="J3014" s="3">
        <v>140000000</v>
      </c>
      <c r="K3014" s="2" t="s">
        <v>49</v>
      </c>
      <c r="L3014" s="2" t="s">
        <v>2</v>
      </c>
      <c r="M3014" s="4" t="s">
        <v>86</v>
      </c>
      <c r="N3014" s="3" t="s">
        <v>83</v>
      </c>
      <c r="O3014" s="2" t="s">
        <v>14</v>
      </c>
      <c r="P3014" s="10"/>
      <c r="Q3014" s="11"/>
    </row>
    <row r="3015" spans="2:17" ht="21" customHeight="1" x14ac:dyDescent="0.35">
      <c r="B3015" s="18">
        <v>44182</v>
      </c>
      <c r="C3015" s="18" t="str">
        <f>TEXT(Sales[[#This Row],[Kode Program/Kegiatan ]],"D")</f>
        <v>17</v>
      </c>
      <c r="D3015" s="19" t="str">
        <f>TEXT(Sales[[#This Row],[Kode Program/Kegiatan ]],"mmm")</f>
        <v>Dec</v>
      </c>
      <c r="E3015" s="20">
        <v>5</v>
      </c>
      <c r="F3015" s="19">
        <v>5</v>
      </c>
      <c r="G3015" s="20" t="str">
        <f>IF(Sales[[#This Row],[Anggaran Murni]]-Sales[[#This Row],[Target s.d. Januari]]=0,"",Sales[[#This Row],[Anggaran Murni]]-Sales[[#This Row],[Target s.d. Januari]])</f>
        <v/>
      </c>
      <c r="H3015" s="19" t="s">
        <v>76</v>
      </c>
      <c r="I3015" s="20" t="s">
        <v>79</v>
      </c>
      <c r="J3015" s="20">
        <v>100000000</v>
      </c>
      <c r="K3015" s="19" t="s">
        <v>41</v>
      </c>
      <c r="L3015" s="19" t="s">
        <v>5</v>
      </c>
      <c r="M3015" s="21" t="s">
        <v>86</v>
      </c>
      <c r="N3015" s="20" t="s">
        <v>83</v>
      </c>
      <c r="O3015" s="19" t="s">
        <v>14</v>
      </c>
      <c r="P3015" s="10"/>
      <c r="Q3015" s="11"/>
    </row>
    <row r="3016" spans="2:17" ht="21" customHeight="1" x14ac:dyDescent="0.35">
      <c r="B3016" s="1">
        <v>44182</v>
      </c>
      <c r="C3016" s="1" t="str">
        <f>TEXT(Sales[[#This Row],[Kode Program/Kegiatan ]],"D")</f>
        <v>17</v>
      </c>
      <c r="D3016" s="2" t="str">
        <f>TEXT(Sales[[#This Row],[Kode Program/Kegiatan ]],"mmm")</f>
        <v>Dec</v>
      </c>
      <c r="E3016" s="3">
        <v>5</v>
      </c>
      <c r="F3016" s="2">
        <v>5</v>
      </c>
      <c r="G3016" s="3" t="str">
        <f>IF(Sales[[#This Row],[Anggaran Murni]]-Sales[[#This Row],[Target s.d. Januari]]=0,"",Sales[[#This Row],[Anggaran Murni]]-Sales[[#This Row],[Target s.d. Januari]])</f>
        <v/>
      </c>
      <c r="H3016" s="2" t="s">
        <v>72</v>
      </c>
      <c r="I3016" s="3" t="s">
        <v>78</v>
      </c>
      <c r="J3016" s="3">
        <v>120000000</v>
      </c>
      <c r="K3016" s="2" t="s">
        <v>22</v>
      </c>
      <c r="L3016" s="2" t="s">
        <v>7</v>
      </c>
      <c r="M3016" s="4" t="s">
        <v>86</v>
      </c>
      <c r="N3016" s="3" t="s">
        <v>83</v>
      </c>
      <c r="O3016" s="2" t="s">
        <v>12</v>
      </c>
      <c r="P3016" s="10"/>
      <c r="Q3016" s="11"/>
    </row>
    <row r="3017" spans="2:17" ht="21" customHeight="1" x14ac:dyDescent="0.35">
      <c r="B3017" s="18">
        <v>44182</v>
      </c>
      <c r="C3017" s="18" t="str">
        <f>TEXT(Sales[[#This Row],[Kode Program/Kegiatan ]],"D")</f>
        <v>17</v>
      </c>
      <c r="D3017" s="19" t="str">
        <f>TEXT(Sales[[#This Row],[Kode Program/Kegiatan ]],"mmm")</f>
        <v>Dec</v>
      </c>
      <c r="E3017" s="20">
        <v>4</v>
      </c>
      <c r="F3017" s="19">
        <v>4</v>
      </c>
      <c r="G3017" s="20" t="str">
        <f>IF(Sales[[#This Row],[Anggaran Murni]]-Sales[[#This Row],[Target s.d. Januari]]=0,"",Sales[[#This Row],[Anggaran Murni]]-Sales[[#This Row],[Target s.d. Januari]])</f>
        <v/>
      </c>
      <c r="H3017" s="19" t="s">
        <v>72</v>
      </c>
      <c r="I3017" s="20" t="s">
        <v>78</v>
      </c>
      <c r="J3017" s="20">
        <v>120000000</v>
      </c>
      <c r="K3017" s="19" t="s">
        <v>45</v>
      </c>
      <c r="L3017" s="19" t="s">
        <v>7</v>
      </c>
      <c r="M3017" s="21" t="s">
        <v>86</v>
      </c>
      <c r="N3017" s="20" t="s">
        <v>83</v>
      </c>
      <c r="O3017" s="19" t="s">
        <v>14</v>
      </c>
      <c r="P3017" s="10"/>
      <c r="Q3017" s="11"/>
    </row>
    <row r="3018" spans="2:17" ht="21" customHeight="1" x14ac:dyDescent="0.35">
      <c r="B3018" s="1">
        <v>44183</v>
      </c>
      <c r="C3018" s="1" t="str">
        <f>TEXT(Sales[[#This Row],[Kode Program/Kegiatan ]],"D")</f>
        <v>18</v>
      </c>
      <c r="D3018" s="2" t="str">
        <f>TEXT(Sales[[#This Row],[Kode Program/Kegiatan ]],"mmm")</f>
        <v>Dec</v>
      </c>
      <c r="E3018" s="3">
        <v>10</v>
      </c>
      <c r="F3018" s="2">
        <v>10</v>
      </c>
      <c r="G3018" s="3" t="str">
        <f>IF(Sales[[#This Row],[Anggaran Murni]]-Sales[[#This Row],[Target s.d. Januari]]=0,"",Sales[[#This Row],[Anggaran Murni]]-Sales[[#This Row],[Target s.d. Januari]])</f>
        <v/>
      </c>
      <c r="H3018" s="2" t="s">
        <v>70</v>
      </c>
      <c r="I3018" s="3" t="s">
        <v>1</v>
      </c>
      <c r="J3018" s="3">
        <v>100000000</v>
      </c>
      <c r="K3018" s="2" t="s">
        <v>37</v>
      </c>
      <c r="L3018" s="2" t="s">
        <v>9</v>
      </c>
      <c r="M3018" s="4" t="s">
        <v>86</v>
      </c>
      <c r="N3018" s="3" t="s">
        <v>83</v>
      </c>
      <c r="O3018" s="2" t="s">
        <v>12</v>
      </c>
      <c r="P3018" s="10"/>
      <c r="Q3018" s="11"/>
    </row>
    <row r="3019" spans="2:17" ht="21" customHeight="1" x14ac:dyDescent="0.35">
      <c r="B3019" s="18">
        <v>44183</v>
      </c>
      <c r="C3019" s="18" t="str">
        <f>TEXT(Sales[[#This Row],[Kode Program/Kegiatan ]],"D")</f>
        <v>18</v>
      </c>
      <c r="D3019" s="19" t="str">
        <f>TEXT(Sales[[#This Row],[Kode Program/Kegiatan ]],"mmm")</f>
        <v>Dec</v>
      </c>
      <c r="E3019" s="20">
        <v>9</v>
      </c>
      <c r="F3019" s="19">
        <v>9</v>
      </c>
      <c r="G3019" s="20" t="str">
        <f>IF(Sales[[#This Row],[Anggaran Murni]]-Sales[[#This Row],[Target s.d. Januari]]=0,"",Sales[[#This Row],[Anggaran Murni]]-Sales[[#This Row],[Target s.d. Januari]])</f>
        <v/>
      </c>
      <c r="H3019" s="19" t="s">
        <v>113</v>
      </c>
      <c r="I3019" s="20" t="s">
        <v>77</v>
      </c>
      <c r="J3019" s="20">
        <v>40000000</v>
      </c>
      <c r="K3019" s="19" t="s">
        <v>52</v>
      </c>
      <c r="L3019" s="19" t="s">
        <v>5</v>
      </c>
      <c r="M3019" s="21" t="s">
        <v>86</v>
      </c>
      <c r="N3019" s="20" t="s">
        <v>83</v>
      </c>
      <c r="O3019" s="19" t="s">
        <v>12</v>
      </c>
      <c r="P3019" s="10"/>
      <c r="Q3019" s="11"/>
    </row>
    <row r="3020" spans="2:17" ht="21" customHeight="1" x14ac:dyDescent="0.35">
      <c r="B3020" s="1">
        <v>44183</v>
      </c>
      <c r="C3020" s="1" t="str">
        <f>TEXT(Sales[[#This Row],[Kode Program/Kegiatan ]],"D")</f>
        <v>18</v>
      </c>
      <c r="D3020" s="2" t="str">
        <f>TEXT(Sales[[#This Row],[Kode Program/Kegiatan ]],"mmm")</f>
        <v>Dec</v>
      </c>
      <c r="E3020" s="3">
        <v>9</v>
      </c>
      <c r="F3020" s="2">
        <v>9</v>
      </c>
      <c r="G3020" s="3" t="str">
        <f>IF(Sales[[#This Row],[Anggaran Murni]]-Sales[[#This Row],[Target s.d. Januari]]=0,"",Sales[[#This Row],[Anggaran Murni]]-Sales[[#This Row],[Target s.d. Januari]])</f>
        <v/>
      </c>
      <c r="H3020" s="2" t="s">
        <v>76</v>
      </c>
      <c r="I3020" s="3" t="s">
        <v>79</v>
      </c>
      <c r="J3020" s="3">
        <v>80000000</v>
      </c>
      <c r="K3020" s="2" t="s">
        <v>29</v>
      </c>
      <c r="L3020" s="2" t="s">
        <v>7</v>
      </c>
      <c r="M3020" s="4" t="s">
        <v>86</v>
      </c>
      <c r="N3020" s="3" t="s">
        <v>83</v>
      </c>
      <c r="O3020" s="2" t="s">
        <v>12</v>
      </c>
      <c r="P3020" s="10"/>
      <c r="Q3020" s="11"/>
    </row>
    <row r="3021" spans="2:17" ht="21" customHeight="1" x14ac:dyDescent="0.35">
      <c r="B3021" s="18">
        <v>44183</v>
      </c>
      <c r="C3021" s="18" t="str">
        <f>TEXT(Sales[[#This Row],[Kode Program/Kegiatan ]],"D")</f>
        <v>18</v>
      </c>
      <c r="D3021" s="19" t="str">
        <f>TEXT(Sales[[#This Row],[Kode Program/Kegiatan ]],"mmm")</f>
        <v>Dec</v>
      </c>
      <c r="E3021" s="20">
        <v>6</v>
      </c>
      <c r="F3021" s="19">
        <v>6</v>
      </c>
      <c r="G3021" s="20" t="str">
        <f>IF(Sales[[#This Row],[Anggaran Murni]]-Sales[[#This Row],[Target s.d. Januari]]=0,"",Sales[[#This Row],[Anggaran Murni]]-Sales[[#This Row],[Target s.d. Januari]])</f>
        <v/>
      </c>
      <c r="H3021" s="19" t="s">
        <v>73</v>
      </c>
      <c r="I3021" s="20" t="s">
        <v>78</v>
      </c>
      <c r="J3021" s="20">
        <v>60000000</v>
      </c>
      <c r="K3021" s="19" t="s">
        <v>62</v>
      </c>
      <c r="L3021" s="19" t="s">
        <v>2</v>
      </c>
      <c r="M3021" s="21" t="s">
        <v>86</v>
      </c>
      <c r="N3021" s="20" t="s">
        <v>83</v>
      </c>
      <c r="O3021" s="19" t="s">
        <v>13</v>
      </c>
      <c r="P3021" s="10"/>
      <c r="Q3021" s="11"/>
    </row>
    <row r="3022" spans="2:17" ht="21" customHeight="1" x14ac:dyDescent="0.35">
      <c r="B3022" s="1">
        <v>44183</v>
      </c>
      <c r="C3022" s="1" t="str">
        <f>TEXT(Sales[[#This Row],[Kode Program/Kegiatan ]],"D")</f>
        <v>18</v>
      </c>
      <c r="D3022" s="2" t="str">
        <f>TEXT(Sales[[#This Row],[Kode Program/Kegiatan ]],"mmm")</f>
        <v>Dec</v>
      </c>
      <c r="E3022" s="3">
        <v>5</v>
      </c>
      <c r="F3022" s="2">
        <v>5</v>
      </c>
      <c r="G3022" s="3" t="str">
        <f>IF(Sales[[#This Row],[Anggaran Murni]]-Sales[[#This Row],[Target s.d. Januari]]=0,"",Sales[[#This Row],[Anggaran Murni]]-Sales[[#This Row],[Target s.d. Januari]])</f>
        <v/>
      </c>
      <c r="H3022" s="2" t="s">
        <v>71</v>
      </c>
      <c r="I3022" s="3" t="s">
        <v>6</v>
      </c>
      <c r="J3022" s="3">
        <v>140000000</v>
      </c>
      <c r="K3022" s="2" t="s">
        <v>19</v>
      </c>
      <c r="L3022" s="2" t="s">
        <v>2</v>
      </c>
      <c r="M3022" s="4" t="s">
        <v>86</v>
      </c>
      <c r="N3022" s="3" t="s">
        <v>83</v>
      </c>
      <c r="O3022" s="2" t="s">
        <v>12</v>
      </c>
      <c r="P3022" s="10"/>
      <c r="Q3022" s="11"/>
    </row>
    <row r="3023" spans="2:17" ht="21" customHeight="1" x14ac:dyDescent="0.35">
      <c r="B3023" s="18">
        <v>44183</v>
      </c>
      <c r="C3023" s="18" t="str">
        <f>TEXT(Sales[[#This Row],[Kode Program/Kegiatan ]],"D")</f>
        <v>18</v>
      </c>
      <c r="D3023" s="19" t="str">
        <f>TEXT(Sales[[#This Row],[Kode Program/Kegiatan ]],"mmm")</f>
        <v>Dec</v>
      </c>
      <c r="E3023" s="20">
        <v>3</v>
      </c>
      <c r="F3023" s="19">
        <v>3</v>
      </c>
      <c r="G3023" s="20" t="str">
        <f>IF(Sales[[#This Row],[Anggaran Murni]]-Sales[[#This Row],[Target s.d. Januari]]=0,"",Sales[[#This Row],[Anggaran Murni]]-Sales[[#This Row],[Target s.d. Januari]])</f>
        <v/>
      </c>
      <c r="H3023" s="19" t="s">
        <v>70</v>
      </c>
      <c r="I3023" s="20" t="s">
        <v>1</v>
      </c>
      <c r="J3023" s="20">
        <v>140000000</v>
      </c>
      <c r="K3023" s="19" t="s">
        <v>20</v>
      </c>
      <c r="L3023" s="19" t="s">
        <v>2</v>
      </c>
      <c r="M3023" s="21" t="s">
        <v>86</v>
      </c>
      <c r="N3023" s="20" t="s">
        <v>83</v>
      </c>
      <c r="O3023" s="19" t="s">
        <v>12</v>
      </c>
      <c r="P3023" s="10"/>
      <c r="Q3023" s="11"/>
    </row>
    <row r="3024" spans="2:17" ht="21" customHeight="1" x14ac:dyDescent="0.35">
      <c r="B3024" s="1">
        <v>44183</v>
      </c>
      <c r="C3024" s="1" t="str">
        <f>TEXT(Sales[[#This Row],[Kode Program/Kegiatan ]],"D")</f>
        <v>18</v>
      </c>
      <c r="D3024" s="2" t="str">
        <f>TEXT(Sales[[#This Row],[Kode Program/Kegiatan ]],"mmm")</f>
        <v>Dec</v>
      </c>
      <c r="E3024" s="3">
        <v>3</v>
      </c>
      <c r="F3024" s="2">
        <v>3</v>
      </c>
      <c r="G3024" s="3" t="str">
        <f>IF(Sales[[#This Row],[Anggaran Murni]]-Sales[[#This Row],[Target s.d. Januari]]=0,"",Sales[[#This Row],[Anggaran Murni]]-Sales[[#This Row],[Target s.d. Januari]])</f>
        <v/>
      </c>
      <c r="H3024" s="2" t="s">
        <v>76</v>
      </c>
      <c r="I3024" s="3" t="s">
        <v>79</v>
      </c>
      <c r="J3024" s="3">
        <v>40000000</v>
      </c>
      <c r="K3024" s="2" t="s">
        <v>27</v>
      </c>
      <c r="L3024" s="2" t="s">
        <v>5</v>
      </c>
      <c r="M3024" s="4" t="s">
        <v>86</v>
      </c>
      <c r="N3024" s="3" t="s">
        <v>83</v>
      </c>
      <c r="O3024" s="2" t="s">
        <v>12</v>
      </c>
      <c r="P3024" s="10"/>
      <c r="Q3024" s="11"/>
    </row>
    <row r="3025" spans="2:17" ht="21" customHeight="1" x14ac:dyDescent="0.35">
      <c r="B3025" s="18">
        <v>44184</v>
      </c>
      <c r="C3025" s="18" t="str">
        <f>TEXT(Sales[[#This Row],[Kode Program/Kegiatan ]],"D")</f>
        <v>19</v>
      </c>
      <c r="D3025" s="19" t="str">
        <f>TEXT(Sales[[#This Row],[Kode Program/Kegiatan ]],"mmm")</f>
        <v>Dec</v>
      </c>
      <c r="E3025" s="20">
        <v>10</v>
      </c>
      <c r="F3025" s="19">
        <v>10</v>
      </c>
      <c r="G3025" s="20" t="str">
        <f>IF(Sales[[#This Row],[Anggaran Murni]]-Sales[[#This Row],[Target s.d. Januari]]=0,"",Sales[[#This Row],[Anggaran Murni]]-Sales[[#This Row],[Target s.d. Januari]])</f>
        <v/>
      </c>
      <c r="H3025" s="19" t="s">
        <v>72</v>
      </c>
      <c r="I3025" s="20" t="s">
        <v>78</v>
      </c>
      <c r="J3025" s="20">
        <v>100000000</v>
      </c>
      <c r="K3025" s="19" t="s">
        <v>17</v>
      </c>
      <c r="L3025" s="19" t="s">
        <v>2</v>
      </c>
      <c r="M3025" s="21" t="s">
        <v>86</v>
      </c>
      <c r="N3025" s="20" t="s">
        <v>83</v>
      </c>
      <c r="O3025" s="19" t="s">
        <v>11</v>
      </c>
      <c r="P3025" s="10"/>
      <c r="Q3025" s="11"/>
    </row>
    <row r="3026" spans="2:17" ht="21" customHeight="1" x14ac:dyDescent="0.35">
      <c r="B3026" s="1">
        <v>44184</v>
      </c>
      <c r="C3026" s="1" t="str">
        <f>TEXT(Sales[[#This Row],[Kode Program/Kegiatan ]],"D")</f>
        <v>19</v>
      </c>
      <c r="D3026" s="2" t="str">
        <f>TEXT(Sales[[#This Row],[Kode Program/Kegiatan ]],"mmm")</f>
        <v>Dec</v>
      </c>
      <c r="E3026" s="3">
        <v>9</v>
      </c>
      <c r="F3026" s="2">
        <v>9</v>
      </c>
      <c r="G3026" s="3" t="str">
        <f>IF(Sales[[#This Row],[Anggaran Murni]]-Sales[[#This Row],[Target s.d. Januari]]=0,"",Sales[[#This Row],[Anggaran Murni]]-Sales[[#This Row],[Target s.d. Januari]])</f>
        <v/>
      </c>
      <c r="H3026" s="2" t="s">
        <v>75</v>
      </c>
      <c r="I3026" s="3" t="s">
        <v>6</v>
      </c>
      <c r="J3026" s="3">
        <v>60000000</v>
      </c>
      <c r="K3026" s="2" t="s">
        <v>29</v>
      </c>
      <c r="L3026" s="2" t="s">
        <v>4</v>
      </c>
      <c r="M3026" s="4" t="s">
        <v>86</v>
      </c>
      <c r="N3026" s="3" t="s">
        <v>83</v>
      </c>
      <c r="O3026" s="2" t="s">
        <v>14</v>
      </c>
      <c r="P3026" s="10"/>
      <c r="Q3026" s="11"/>
    </row>
    <row r="3027" spans="2:17" ht="21" customHeight="1" x14ac:dyDescent="0.35">
      <c r="B3027" s="18">
        <v>44184</v>
      </c>
      <c r="C3027" s="18" t="str">
        <f>TEXT(Sales[[#This Row],[Kode Program/Kegiatan ]],"D")</f>
        <v>19</v>
      </c>
      <c r="D3027" s="19" t="str">
        <f>TEXT(Sales[[#This Row],[Kode Program/Kegiatan ]],"mmm")</f>
        <v>Dec</v>
      </c>
      <c r="E3027" s="20">
        <v>7</v>
      </c>
      <c r="F3027" s="19">
        <v>7</v>
      </c>
      <c r="G3027" s="20" t="str">
        <f>IF(Sales[[#This Row],[Anggaran Murni]]-Sales[[#This Row],[Target s.d. Januari]]=0,"",Sales[[#This Row],[Anggaran Murni]]-Sales[[#This Row],[Target s.d. Januari]])</f>
        <v/>
      </c>
      <c r="H3027" s="19" t="s">
        <v>73</v>
      </c>
      <c r="I3027" s="20" t="s">
        <v>78</v>
      </c>
      <c r="J3027" s="20">
        <v>140000000</v>
      </c>
      <c r="K3027" s="19" t="s">
        <v>25</v>
      </c>
      <c r="L3027" s="19" t="s">
        <v>5</v>
      </c>
      <c r="M3027" s="21" t="s">
        <v>86</v>
      </c>
      <c r="N3027" s="20" t="s">
        <v>83</v>
      </c>
      <c r="O3027" s="19" t="s">
        <v>12</v>
      </c>
      <c r="P3027" s="10"/>
      <c r="Q3027" s="11"/>
    </row>
    <row r="3028" spans="2:17" ht="21" customHeight="1" x14ac:dyDescent="0.35">
      <c r="B3028" s="1">
        <v>44184</v>
      </c>
      <c r="C3028" s="1" t="str">
        <f>TEXT(Sales[[#This Row],[Kode Program/Kegiatan ]],"D")</f>
        <v>19</v>
      </c>
      <c r="D3028" s="2" t="str">
        <f>TEXT(Sales[[#This Row],[Kode Program/Kegiatan ]],"mmm")</f>
        <v>Dec</v>
      </c>
      <c r="E3028" s="3">
        <v>3</v>
      </c>
      <c r="F3028" s="2">
        <v>3</v>
      </c>
      <c r="G3028" s="3" t="str">
        <f>IF(Sales[[#This Row],[Anggaran Murni]]-Sales[[#This Row],[Target s.d. Januari]]=0,"",Sales[[#This Row],[Anggaran Murni]]-Sales[[#This Row],[Target s.d. Januari]])</f>
        <v/>
      </c>
      <c r="H3028" s="2" t="s">
        <v>70</v>
      </c>
      <c r="I3028" s="3" t="s">
        <v>1</v>
      </c>
      <c r="J3028" s="3">
        <v>120000000</v>
      </c>
      <c r="K3028" s="2" t="s">
        <v>19</v>
      </c>
      <c r="L3028" s="2" t="s">
        <v>9</v>
      </c>
      <c r="M3028" s="4" t="s">
        <v>86</v>
      </c>
      <c r="N3028" s="3" t="s">
        <v>83</v>
      </c>
      <c r="O3028" s="2" t="s">
        <v>12</v>
      </c>
      <c r="P3028" s="10"/>
      <c r="Q3028" s="11"/>
    </row>
    <row r="3029" spans="2:17" ht="21" customHeight="1" x14ac:dyDescent="0.35">
      <c r="B3029" s="18">
        <v>44184</v>
      </c>
      <c r="C3029" s="18" t="str">
        <f>TEXT(Sales[[#This Row],[Kode Program/Kegiatan ]],"D")</f>
        <v>19</v>
      </c>
      <c r="D3029" s="19" t="str">
        <f>TEXT(Sales[[#This Row],[Kode Program/Kegiatan ]],"mmm")</f>
        <v>Dec</v>
      </c>
      <c r="E3029" s="20">
        <v>3</v>
      </c>
      <c r="F3029" s="19">
        <v>3</v>
      </c>
      <c r="G3029" s="20" t="str">
        <f>IF(Sales[[#This Row],[Anggaran Murni]]-Sales[[#This Row],[Target s.d. Januari]]=0,"",Sales[[#This Row],[Anggaran Murni]]-Sales[[#This Row],[Target s.d. Januari]])</f>
        <v/>
      </c>
      <c r="H3029" s="19" t="s">
        <v>72</v>
      </c>
      <c r="I3029" s="20" t="s">
        <v>78</v>
      </c>
      <c r="J3029" s="20">
        <v>80000000</v>
      </c>
      <c r="K3029" s="19" t="s">
        <v>23</v>
      </c>
      <c r="L3029" s="19" t="s">
        <v>9</v>
      </c>
      <c r="M3029" s="21" t="s">
        <v>86</v>
      </c>
      <c r="N3029" s="20" t="s">
        <v>83</v>
      </c>
      <c r="O3029" s="19" t="s">
        <v>12</v>
      </c>
      <c r="P3029" s="10"/>
      <c r="Q3029" s="11"/>
    </row>
    <row r="3030" spans="2:17" ht="21" customHeight="1" x14ac:dyDescent="0.35">
      <c r="B3030" s="1">
        <v>44185</v>
      </c>
      <c r="C3030" s="1" t="str">
        <f>TEXT(Sales[[#This Row],[Kode Program/Kegiatan ]],"D")</f>
        <v>20</v>
      </c>
      <c r="D3030" s="2" t="str">
        <f>TEXT(Sales[[#This Row],[Kode Program/Kegiatan ]],"mmm")</f>
        <v>Dec</v>
      </c>
      <c r="E3030" s="3">
        <v>10</v>
      </c>
      <c r="F3030" s="2">
        <v>10</v>
      </c>
      <c r="G3030" s="3" t="str">
        <f>IF(Sales[[#This Row],[Anggaran Murni]]-Sales[[#This Row],[Target s.d. Januari]]=0,"",Sales[[#This Row],[Anggaran Murni]]-Sales[[#This Row],[Target s.d. Januari]])</f>
        <v/>
      </c>
      <c r="H3030" s="2" t="s">
        <v>70</v>
      </c>
      <c r="I3030" s="3" t="s">
        <v>1</v>
      </c>
      <c r="J3030" s="3">
        <v>40000000</v>
      </c>
      <c r="K3030" s="2" t="s">
        <v>61</v>
      </c>
      <c r="L3030" s="2" t="s">
        <v>2</v>
      </c>
      <c r="M3030" s="4" t="s">
        <v>86</v>
      </c>
      <c r="N3030" s="3" t="s">
        <v>83</v>
      </c>
      <c r="O3030" s="2" t="s">
        <v>11</v>
      </c>
      <c r="P3030" s="10"/>
      <c r="Q3030" s="11"/>
    </row>
    <row r="3031" spans="2:17" ht="21" customHeight="1" x14ac:dyDescent="0.35">
      <c r="B3031" s="18">
        <v>44185</v>
      </c>
      <c r="C3031" s="18" t="str">
        <f>TEXT(Sales[[#This Row],[Kode Program/Kegiatan ]],"D")</f>
        <v>20</v>
      </c>
      <c r="D3031" s="19" t="str">
        <f>TEXT(Sales[[#This Row],[Kode Program/Kegiatan ]],"mmm")</f>
        <v>Dec</v>
      </c>
      <c r="E3031" s="20">
        <v>10</v>
      </c>
      <c r="F3031" s="19">
        <v>10</v>
      </c>
      <c r="G3031" s="20" t="str">
        <f>IF(Sales[[#This Row],[Anggaran Murni]]-Sales[[#This Row],[Target s.d. Januari]]=0,"",Sales[[#This Row],[Anggaran Murni]]-Sales[[#This Row],[Target s.d. Januari]])</f>
        <v/>
      </c>
      <c r="H3031" s="19" t="s">
        <v>72</v>
      </c>
      <c r="I3031" s="20" t="s">
        <v>78</v>
      </c>
      <c r="J3031" s="20">
        <v>140000000</v>
      </c>
      <c r="K3031" s="19" t="s">
        <v>19</v>
      </c>
      <c r="L3031" s="19" t="s">
        <v>5</v>
      </c>
      <c r="M3031" s="21" t="s">
        <v>86</v>
      </c>
      <c r="N3031" s="20" t="s">
        <v>83</v>
      </c>
      <c r="O3031" s="19" t="s">
        <v>12</v>
      </c>
      <c r="P3031" s="10"/>
      <c r="Q3031" s="11"/>
    </row>
    <row r="3032" spans="2:17" ht="21" customHeight="1" x14ac:dyDescent="0.35">
      <c r="B3032" s="1">
        <v>44185</v>
      </c>
      <c r="C3032" s="1" t="str">
        <f>TEXT(Sales[[#This Row],[Kode Program/Kegiatan ]],"D")</f>
        <v>20</v>
      </c>
      <c r="D3032" s="2" t="str">
        <f>TEXT(Sales[[#This Row],[Kode Program/Kegiatan ]],"mmm")</f>
        <v>Dec</v>
      </c>
      <c r="E3032" s="3">
        <v>10</v>
      </c>
      <c r="F3032" s="2">
        <v>10</v>
      </c>
      <c r="G3032" s="3" t="str">
        <f>IF(Sales[[#This Row],[Anggaran Murni]]-Sales[[#This Row],[Target s.d. Januari]]=0,"",Sales[[#This Row],[Anggaran Murni]]-Sales[[#This Row],[Target s.d. Januari]])</f>
        <v/>
      </c>
      <c r="H3032" s="2" t="s">
        <v>75</v>
      </c>
      <c r="I3032" s="3" t="s">
        <v>6</v>
      </c>
      <c r="J3032" s="3">
        <v>40000000</v>
      </c>
      <c r="K3032" s="2" t="s">
        <v>32</v>
      </c>
      <c r="L3032" s="2" t="s">
        <v>2</v>
      </c>
      <c r="M3032" s="4" t="s">
        <v>86</v>
      </c>
      <c r="N3032" s="3" t="s">
        <v>83</v>
      </c>
      <c r="O3032" s="2" t="s">
        <v>14</v>
      </c>
      <c r="P3032" s="10"/>
      <c r="Q3032" s="11"/>
    </row>
    <row r="3033" spans="2:17" ht="21" customHeight="1" x14ac:dyDescent="0.35">
      <c r="B3033" s="18">
        <v>44185</v>
      </c>
      <c r="C3033" s="18" t="str">
        <f>TEXT(Sales[[#This Row],[Kode Program/Kegiatan ]],"D")</f>
        <v>20</v>
      </c>
      <c r="D3033" s="19" t="str">
        <f>TEXT(Sales[[#This Row],[Kode Program/Kegiatan ]],"mmm")</f>
        <v>Dec</v>
      </c>
      <c r="E3033" s="20">
        <v>9</v>
      </c>
      <c r="F3033" s="19">
        <v>9</v>
      </c>
      <c r="G3033" s="20" t="str">
        <f>IF(Sales[[#This Row],[Anggaran Murni]]-Sales[[#This Row],[Target s.d. Januari]]=0,"",Sales[[#This Row],[Anggaran Murni]]-Sales[[#This Row],[Target s.d. Januari]])</f>
        <v/>
      </c>
      <c r="H3033" s="19" t="s">
        <v>70</v>
      </c>
      <c r="I3033" s="20" t="s">
        <v>1</v>
      </c>
      <c r="J3033" s="20">
        <v>120000000</v>
      </c>
      <c r="K3033" s="19" t="s">
        <v>27</v>
      </c>
      <c r="L3033" s="19" t="s">
        <v>5</v>
      </c>
      <c r="M3033" s="21" t="s">
        <v>86</v>
      </c>
      <c r="N3033" s="20" t="s">
        <v>83</v>
      </c>
      <c r="O3033" s="19" t="s">
        <v>13</v>
      </c>
      <c r="P3033" s="10"/>
      <c r="Q3033" s="11"/>
    </row>
    <row r="3034" spans="2:17" ht="21" customHeight="1" x14ac:dyDescent="0.35">
      <c r="B3034" s="1">
        <v>44185</v>
      </c>
      <c r="C3034" s="1" t="str">
        <f>TEXT(Sales[[#This Row],[Kode Program/Kegiatan ]],"D")</f>
        <v>20</v>
      </c>
      <c r="D3034" s="2" t="str">
        <f>TEXT(Sales[[#This Row],[Kode Program/Kegiatan ]],"mmm")</f>
        <v>Dec</v>
      </c>
      <c r="E3034" s="3">
        <v>9</v>
      </c>
      <c r="F3034" s="2">
        <v>9</v>
      </c>
      <c r="G3034" s="3" t="str">
        <f>IF(Sales[[#This Row],[Anggaran Murni]]-Sales[[#This Row],[Target s.d. Januari]]=0,"",Sales[[#This Row],[Anggaran Murni]]-Sales[[#This Row],[Target s.d. Januari]])</f>
        <v/>
      </c>
      <c r="H3034" s="2" t="s">
        <v>73</v>
      </c>
      <c r="I3034" s="3" t="s">
        <v>78</v>
      </c>
      <c r="J3034" s="3">
        <v>40000000</v>
      </c>
      <c r="K3034" s="2" t="s">
        <v>34</v>
      </c>
      <c r="L3034" s="2" t="s">
        <v>2</v>
      </c>
      <c r="M3034" s="4" t="s">
        <v>86</v>
      </c>
      <c r="N3034" s="3" t="s">
        <v>83</v>
      </c>
      <c r="O3034" s="2" t="s">
        <v>14</v>
      </c>
      <c r="P3034" s="10"/>
      <c r="Q3034" s="11"/>
    </row>
    <row r="3035" spans="2:17" ht="21" customHeight="1" x14ac:dyDescent="0.35">
      <c r="B3035" s="18">
        <v>44185</v>
      </c>
      <c r="C3035" s="18" t="str">
        <f>TEXT(Sales[[#This Row],[Kode Program/Kegiatan ]],"D")</f>
        <v>20</v>
      </c>
      <c r="D3035" s="19" t="str">
        <f>TEXT(Sales[[#This Row],[Kode Program/Kegiatan ]],"mmm")</f>
        <v>Dec</v>
      </c>
      <c r="E3035" s="20">
        <v>9</v>
      </c>
      <c r="F3035" s="19">
        <v>9</v>
      </c>
      <c r="G3035" s="20" t="str">
        <f>IF(Sales[[#This Row],[Anggaran Murni]]-Sales[[#This Row],[Target s.d. Januari]]=0,"",Sales[[#This Row],[Anggaran Murni]]-Sales[[#This Row],[Target s.d. Januari]])</f>
        <v/>
      </c>
      <c r="H3035" s="19" t="s">
        <v>72</v>
      </c>
      <c r="I3035" s="20" t="s">
        <v>78</v>
      </c>
      <c r="J3035" s="20">
        <v>40000000</v>
      </c>
      <c r="K3035" s="19" t="s">
        <v>29</v>
      </c>
      <c r="L3035" s="19" t="s">
        <v>4</v>
      </c>
      <c r="M3035" s="21" t="s">
        <v>86</v>
      </c>
      <c r="N3035" s="20" t="s">
        <v>83</v>
      </c>
      <c r="O3035" s="19" t="s">
        <v>12</v>
      </c>
      <c r="P3035" s="10"/>
      <c r="Q3035" s="11"/>
    </row>
    <row r="3036" spans="2:17" ht="21" customHeight="1" x14ac:dyDescent="0.35">
      <c r="B3036" s="1">
        <v>44185</v>
      </c>
      <c r="C3036" s="1" t="str">
        <f>TEXT(Sales[[#This Row],[Kode Program/Kegiatan ]],"D")</f>
        <v>20</v>
      </c>
      <c r="D3036" s="2" t="str">
        <f>TEXT(Sales[[#This Row],[Kode Program/Kegiatan ]],"mmm")</f>
        <v>Dec</v>
      </c>
      <c r="E3036" s="3">
        <v>8</v>
      </c>
      <c r="F3036" s="2">
        <v>8</v>
      </c>
      <c r="G3036" s="3" t="str">
        <f>IF(Sales[[#This Row],[Anggaran Murni]]-Sales[[#This Row],[Target s.d. Januari]]=0,"",Sales[[#This Row],[Anggaran Murni]]-Sales[[#This Row],[Target s.d. Januari]])</f>
        <v/>
      </c>
      <c r="H3036" s="2" t="s">
        <v>73</v>
      </c>
      <c r="I3036" s="3" t="s">
        <v>78</v>
      </c>
      <c r="J3036" s="3">
        <v>140000000</v>
      </c>
      <c r="K3036" s="2" t="s">
        <v>47</v>
      </c>
      <c r="L3036" s="2" t="s">
        <v>9</v>
      </c>
      <c r="M3036" s="4" t="s">
        <v>86</v>
      </c>
      <c r="N3036" s="3" t="s">
        <v>83</v>
      </c>
      <c r="O3036" s="2" t="s">
        <v>12</v>
      </c>
      <c r="P3036" s="10"/>
      <c r="Q3036" s="11"/>
    </row>
    <row r="3037" spans="2:17" ht="21" customHeight="1" x14ac:dyDescent="0.35">
      <c r="B3037" s="18">
        <v>44185</v>
      </c>
      <c r="C3037" s="18" t="str">
        <f>TEXT(Sales[[#This Row],[Kode Program/Kegiatan ]],"D")</f>
        <v>20</v>
      </c>
      <c r="D3037" s="19" t="str">
        <f>TEXT(Sales[[#This Row],[Kode Program/Kegiatan ]],"mmm")</f>
        <v>Dec</v>
      </c>
      <c r="E3037" s="20">
        <v>7</v>
      </c>
      <c r="F3037" s="19">
        <v>7</v>
      </c>
      <c r="G3037" s="20" t="str">
        <f>IF(Sales[[#This Row],[Anggaran Murni]]-Sales[[#This Row],[Target s.d. Januari]]=0,"",Sales[[#This Row],[Anggaran Murni]]-Sales[[#This Row],[Target s.d. Januari]])</f>
        <v/>
      </c>
      <c r="H3037" s="19" t="s">
        <v>76</v>
      </c>
      <c r="I3037" s="20" t="s">
        <v>79</v>
      </c>
      <c r="J3037" s="20">
        <v>120000000</v>
      </c>
      <c r="K3037" s="19" t="s">
        <v>36</v>
      </c>
      <c r="L3037" s="19" t="s">
        <v>2</v>
      </c>
      <c r="M3037" s="21" t="s">
        <v>86</v>
      </c>
      <c r="N3037" s="20" t="s">
        <v>83</v>
      </c>
      <c r="O3037" s="19" t="s">
        <v>14</v>
      </c>
      <c r="P3037" s="10"/>
      <c r="Q3037" s="11"/>
    </row>
    <row r="3038" spans="2:17" ht="21" customHeight="1" x14ac:dyDescent="0.35">
      <c r="B3038" s="1">
        <v>44185</v>
      </c>
      <c r="C3038" s="1" t="str">
        <f>TEXT(Sales[[#This Row],[Kode Program/Kegiatan ]],"D")</f>
        <v>20</v>
      </c>
      <c r="D3038" s="2" t="str">
        <f>TEXT(Sales[[#This Row],[Kode Program/Kegiatan ]],"mmm")</f>
        <v>Dec</v>
      </c>
      <c r="E3038" s="3">
        <v>6</v>
      </c>
      <c r="F3038" s="2">
        <v>6</v>
      </c>
      <c r="G3038" s="3" t="str">
        <f>IF(Sales[[#This Row],[Anggaran Murni]]-Sales[[#This Row],[Target s.d. Januari]]=0,"",Sales[[#This Row],[Anggaran Murni]]-Sales[[#This Row],[Target s.d. Januari]])</f>
        <v/>
      </c>
      <c r="H3038" s="2" t="s">
        <v>76</v>
      </c>
      <c r="I3038" s="3" t="s">
        <v>79</v>
      </c>
      <c r="J3038" s="3">
        <v>100000000</v>
      </c>
      <c r="K3038" s="2" t="s">
        <v>18</v>
      </c>
      <c r="L3038" s="2" t="s">
        <v>2</v>
      </c>
      <c r="M3038" s="4" t="s">
        <v>86</v>
      </c>
      <c r="N3038" s="3" t="s">
        <v>83</v>
      </c>
      <c r="O3038" s="2" t="s">
        <v>12</v>
      </c>
      <c r="P3038" s="10"/>
      <c r="Q3038" s="11"/>
    </row>
    <row r="3039" spans="2:17" ht="21" customHeight="1" x14ac:dyDescent="0.35">
      <c r="B3039" s="18">
        <v>44185</v>
      </c>
      <c r="C3039" s="18" t="str">
        <f>TEXT(Sales[[#This Row],[Kode Program/Kegiatan ]],"D")</f>
        <v>20</v>
      </c>
      <c r="D3039" s="19" t="str">
        <f>TEXT(Sales[[#This Row],[Kode Program/Kegiatan ]],"mmm")</f>
        <v>Dec</v>
      </c>
      <c r="E3039" s="20">
        <v>3</v>
      </c>
      <c r="F3039" s="19">
        <v>3</v>
      </c>
      <c r="G3039" s="20" t="str">
        <f>IF(Sales[[#This Row],[Anggaran Murni]]-Sales[[#This Row],[Target s.d. Januari]]=0,"",Sales[[#This Row],[Anggaran Murni]]-Sales[[#This Row],[Target s.d. Januari]])</f>
        <v/>
      </c>
      <c r="H3039" s="19" t="s">
        <v>113</v>
      </c>
      <c r="I3039" s="20" t="s">
        <v>77</v>
      </c>
      <c r="J3039" s="20">
        <v>120000000</v>
      </c>
      <c r="K3039" s="19" t="s">
        <v>59</v>
      </c>
      <c r="L3039" s="19" t="s">
        <v>5</v>
      </c>
      <c r="M3039" s="21" t="s">
        <v>86</v>
      </c>
      <c r="N3039" s="20" t="s">
        <v>83</v>
      </c>
      <c r="O3039" s="19" t="s">
        <v>14</v>
      </c>
      <c r="P3039" s="10"/>
      <c r="Q3039" s="11"/>
    </row>
    <row r="3040" spans="2:17" ht="21" customHeight="1" x14ac:dyDescent="0.35">
      <c r="B3040" s="1">
        <v>44186</v>
      </c>
      <c r="C3040" s="1" t="str">
        <f>TEXT(Sales[[#This Row],[Kode Program/Kegiatan ]],"D")</f>
        <v>21</v>
      </c>
      <c r="D3040" s="2" t="str">
        <f>TEXT(Sales[[#This Row],[Kode Program/Kegiatan ]],"mmm")</f>
        <v>Dec</v>
      </c>
      <c r="E3040" s="3">
        <v>10</v>
      </c>
      <c r="F3040" s="2">
        <v>10</v>
      </c>
      <c r="G3040" s="3" t="str">
        <f>IF(Sales[[#This Row],[Anggaran Murni]]-Sales[[#This Row],[Target s.d. Januari]]=0,"",Sales[[#This Row],[Anggaran Murni]]-Sales[[#This Row],[Target s.d. Januari]])</f>
        <v/>
      </c>
      <c r="H3040" s="2" t="s">
        <v>72</v>
      </c>
      <c r="I3040" s="3" t="s">
        <v>78</v>
      </c>
      <c r="J3040" s="3">
        <v>80000000</v>
      </c>
      <c r="K3040" s="2" t="s">
        <v>16</v>
      </c>
      <c r="L3040" s="2" t="s">
        <v>5</v>
      </c>
      <c r="M3040" s="4" t="s">
        <v>86</v>
      </c>
      <c r="N3040" s="3" t="s">
        <v>83</v>
      </c>
      <c r="O3040" s="2" t="s">
        <v>14</v>
      </c>
      <c r="P3040" s="10"/>
      <c r="Q3040" s="11"/>
    </row>
    <row r="3041" spans="2:17" ht="21" customHeight="1" x14ac:dyDescent="0.35">
      <c r="B3041" s="18">
        <v>44186</v>
      </c>
      <c r="C3041" s="18" t="str">
        <f>TEXT(Sales[[#This Row],[Kode Program/Kegiatan ]],"D")</f>
        <v>21</v>
      </c>
      <c r="D3041" s="19" t="str">
        <f>TEXT(Sales[[#This Row],[Kode Program/Kegiatan ]],"mmm")</f>
        <v>Dec</v>
      </c>
      <c r="E3041" s="20">
        <v>9</v>
      </c>
      <c r="F3041" s="19">
        <v>9</v>
      </c>
      <c r="G3041" s="20" t="str">
        <f>IF(Sales[[#This Row],[Anggaran Murni]]-Sales[[#This Row],[Target s.d. Januari]]=0,"",Sales[[#This Row],[Anggaran Murni]]-Sales[[#This Row],[Target s.d. Januari]])</f>
        <v/>
      </c>
      <c r="H3041" s="19" t="s">
        <v>71</v>
      </c>
      <c r="I3041" s="20" t="s">
        <v>6</v>
      </c>
      <c r="J3041" s="20">
        <v>60000000</v>
      </c>
      <c r="K3041" s="19" t="s">
        <v>56</v>
      </c>
      <c r="L3041" s="19" t="s">
        <v>5</v>
      </c>
      <c r="M3041" s="21" t="s">
        <v>86</v>
      </c>
      <c r="N3041" s="20" t="s">
        <v>83</v>
      </c>
      <c r="O3041" s="19" t="s">
        <v>13</v>
      </c>
      <c r="P3041" s="10"/>
      <c r="Q3041" s="11"/>
    </row>
    <row r="3042" spans="2:17" ht="21" customHeight="1" x14ac:dyDescent="0.35">
      <c r="B3042" s="1">
        <v>44186</v>
      </c>
      <c r="C3042" s="1" t="str">
        <f>TEXT(Sales[[#This Row],[Kode Program/Kegiatan ]],"D")</f>
        <v>21</v>
      </c>
      <c r="D3042" s="2" t="str">
        <f>TEXT(Sales[[#This Row],[Kode Program/Kegiatan ]],"mmm")</f>
        <v>Dec</v>
      </c>
      <c r="E3042" s="3">
        <v>9</v>
      </c>
      <c r="F3042" s="2">
        <v>9</v>
      </c>
      <c r="G3042" s="3" t="str">
        <f>IF(Sales[[#This Row],[Anggaran Murni]]-Sales[[#This Row],[Target s.d. Januari]]=0,"",Sales[[#This Row],[Anggaran Murni]]-Sales[[#This Row],[Target s.d. Januari]])</f>
        <v/>
      </c>
      <c r="H3042" s="2" t="s">
        <v>74</v>
      </c>
      <c r="I3042" s="3" t="s">
        <v>77</v>
      </c>
      <c r="J3042" s="3">
        <v>120000000</v>
      </c>
      <c r="K3042" s="2" t="s">
        <v>36</v>
      </c>
      <c r="L3042" s="2" t="s">
        <v>4</v>
      </c>
      <c r="M3042" s="4" t="s">
        <v>86</v>
      </c>
      <c r="N3042" s="3" t="s">
        <v>83</v>
      </c>
      <c r="O3042" s="2" t="s">
        <v>14</v>
      </c>
      <c r="P3042" s="10"/>
      <c r="Q3042" s="11"/>
    </row>
    <row r="3043" spans="2:17" ht="21" customHeight="1" x14ac:dyDescent="0.35">
      <c r="B3043" s="18">
        <v>44186</v>
      </c>
      <c r="C3043" s="18" t="str">
        <f>TEXT(Sales[[#This Row],[Kode Program/Kegiatan ]],"D")</f>
        <v>21</v>
      </c>
      <c r="D3043" s="19" t="str">
        <f>TEXT(Sales[[#This Row],[Kode Program/Kegiatan ]],"mmm")</f>
        <v>Dec</v>
      </c>
      <c r="E3043" s="20">
        <v>9</v>
      </c>
      <c r="F3043" s="19">
        <v>9</v>
      </c>
      <c r="G3043" s="20" t="str">
        <f>IF(Sales[[#This Row],[Anggaran Murni]]-Sales[[#This Row],[Target s.d. Januari]]=0,"",Sales[[#This Row],[Anggaran Murni]]-Sales[[#This Row],[Target s.d. Januari]])</f>
        <v/>
      </c>
      <c r="H3043" s="19" t="s">
        <v>76</v>
      </c>
      <c r="I3043" s="20" t="s">
        <v>79</v>
      </c>
      <c r="J3043" s="20">
        <v>140000000</v>
      </c>
      <c r="K3043" s="19" t="s">
        <v>23</v>
      </c>
      <c r="L3043" s="19" t="s">
        <v>2</v>
      </c>
      <c r="M3043" s="21" t="s">
        <v>86</v>
      </c>
      <c r="N3043" s="20" t="s">
        <v>83</v>
      </c>
      <c r="O3043" s="19" t="s">
        <v>14</v>
      </c>
      <c r="P3043" s="10"/>
      <c r="Q3043" s="11"/>
    </row>
    <row r="3044" spans="2:17" ht="21" customHeight="1" x14ac:dyDescent="0.35">
      <c r="B3044" s="1">
        <v>44186</v>
      </c>
      <c r="C3044" s="1" t="str">
        <f>TEXT(Sales[[#This Row],[Kode Program/Kegiatan ]],"D")</f>
        <v>21</v>
      </c>
      <c r="D3044" s="2" t="str">
        <f>TEXT(Sales[[#This Row],[Kode Program/Kegiatan ]],"mmm")</f>
        <v>Dec</v>
      </c>
      <c r="E3044" s="3">
        <v>8</v>
      </c>
      <c r="F3044" s="2">
        <v>8</v>
      </c>
      <c r="G3044" s="3" t="str">
        <f>IF(Sales[[#This Row],[Anggaran Murni]]-Sales[[#This Row],[Target s.d. Januari]]=0,"",Sales[[#This Row],[Anggaran Murni]]-Sales[[#This Row],[Target s.d. Januari]])</f>
        <v/>
      </c>
      <c r="H3044" s="2" t="s">
        <v>76</v>
      </c>
      <c r="I3044" s="3" t="s">
        <v>79</v>
      </c>
      <c r="J3044" s="3">
        <v>140000000</v>
      </c>
      <c r="K3044" s="2" t="s">
        <v>23</v>
      </c>
      <c r="L3044" s="2" t="s">
        <v>8</v>
      </c>
      <c r="M3044" s="4" t="s">
        <v>86</v>
      </c>
      <c r="N3044" s="3" t="s">
        <v>83</v>
      </c>
      <c r="O3044" s="2" t="s">
        <v>12</v>
      </c>
      <c r="P3044" s="10"/>
      <c r="Q3044" s="11"/>
    </row>
    <row r="3045" spans="2:17" ht="21" customHeight="1" x14ac:dyDescent="0.35">
      <c r="B3045" s="18">
        <v>44186</v>
      </c>
      <c r="C3045" s="18" t="str">
        <f>TEXT(Sales[[#This Row],[Kode Program/Kegiatan ]],"D")</f>
        <v>21</v>
      </c>
      <c r="D3045" s="19" t="str">
        <f>TEXT(Sales[[#This Row],[Kode Program/Kegiatan ]],"mmm")</f>
        <v>Dec</v>
      </c>
      <c r="E3045" s="20">
        <v>7</v>
      </c>
      <c r="F3045" s="19">
        <v>7</v>
      </c>
      <c r="G3045" s="20" t="str">
        <f>IF(Sales[[#This Row],[Anggaran Murni]]-Sales[[#This Row],[Target s.d. Januari]]=0,"",Sales[[#This Row],[Anggaran Murni]]-Sales[[#This Row],[Target s.d. Januari]])</f>
        <v/>
      </c>
      <c r="H3045" s="19" t="s">
        <v>74</v>
      </c>
      <c r="I3045" s="20" t="s">
        <v>77</v>
      </c>
      <c r="J3045" s="20">
        <v>80000000</v>
      </c>
      <c r="K3045" s="19" t="s">
        <v>33</v>
      </c>
      <c r="L3045" s="19" t="s">
        <v>2</v>
      </c>
      <c r="M3045" s="21" t="s">
        <v>86</v>
      </c>
      <c r="N3045" s="20" t="s">
        <v>83</v>
      </c>
      <c r="O3045" s="19" t="s">
        <v>12</v>
      </c>
      <c r="P3045" s="10"/>
      <c r="Q3045" s="11"/>
    </row>
    <row r="3046" spans="2:17" ht="21" customHeight="1" x14ac:dyDescent="0.35">
      <c r="B3046" s="1">
        <v>44186</v>
      </c>
      <c r="C3046" s="1" t="str">
        <f>TEXT(Sales[[#This Row],[Kode Program/Kegiatan ]],"D")</f>
        <v>21</v>
      </c>
      <c r="D3046" s="2" t="str">
        <f>TEXT(Sales[[#This Row],[Kode Program/Kegiatan ]],"mmm")</f>
        <v>Dec</v>
      </c>
      <c r="E3046" s="3">
        <v>6</v>
      </c>
      <c r="F3046" s="2">
        <v>6</v>
      </c>
      <c r="G3046" s="3" t="str">
        <f>IF(Sales[[#This Row],[Anggaran Murni]]-Sales[[#This Row],[Target s.d. Januari]]=0,"",Sales[[#This Row],[Anggaran Murni]]-Sales[[#This Row],[Target s.d. Januari]])</f>
        <v/>
      </c>
      <c r="H3046" s="2" t="s">
        <v>114</v>
      </c>
      <c r="I3046" s="3" t="s">
        <v>3</v>
      </c>
      <c r="J3046" s="3">
        <v>60000000</v>
      </c>
      <c r="K3046" s="2" t="s">
        <v>20</v>
      </c>
      <c r="L3046" s="2" t="s">
        <v>4</v>
      </c>
      <c r="M3046" s="4" t="s">
        <v>86</v>
      </c>
      <c r="N3046" s="3" t="s">
        <v>83</v>
      </c>
      <c r="O3046" s="2" t="s">
        <v>12</v>
      </c>
      <c r="P3046" s="10"/>
      <c r="Q3046" s="11"/>
    </row>
    <row r="3047" spans="2:17" ht="21" customHeight="1" x14ac:dyDescent="0.35">
      <c r="B3047" s="18">
        <v>44186</v>
      </c>
      <c r="C3047" s="18" t="str">
        <f>TEXT(Sales[[#This Row],[Kode Program/Kegiatan ]],"D")</f>
        <v>21</v>
      </c>
      <c r="D3047" s="19" t="str">
        <f>TEXT(Sales[[#This Row],[Kode Program/Kegiatan ]],"mmm")</f>
        <v>Dec</v>
      </c>
      <c r="E3047" s="20">
        <v>5</v>
      </c>
      <c r="F3047" s="19">
        <v>5</v>
      </c>
      <c r="G3047" s="20" t="str">
        <f>IF(Sales[[#This Row],[Anggaran Murni]]-Sales[[#This Row],[Target s.d. Januari]]=0,"",Sales[[#This Row],[Anggaran Murni]]-Sales[[#This Row],[Target s.d. Januari]])</f>
        <v/>
      </c>
      <c r="H3047" s="19" t="s">
        <v>76</v>
      </c>
      <c r="I3047" s="20" t="s">
        <v>79</v>
      </c>
      <c r="J3047" s="20">
        <v>80000000</v>
      </c>
      <c r="K3047" s="19" t="s">
        <v>48</v>
      </c>
      <c r="L3047" s="19" t="s">
        <v>2</v>
      </c>
      <c r="M3047" s="21" t="s">
        <v>86</v>
      </c>
      <c r="N3047" s="20" t="s">
        <v>83</v>
      </c>
      <c r="O3047" s="19" t="s">
        <v>12</v>
      </c>
      <c r="P3047" s="10"/>
      <c r="Q3047" s="11"/>
    </row>
    <row r="3048" spans="2:17" ht="21" customHeight="1" x14ac:dyDescent="0.35">
      <c r="B3048" s="1">
        <v>44186</v>
      </c>
      <c r="C3048" s="1" t="str">
        <f>TEXT(Sales[[#This Row],[Kode Program/Kegiatan ]],"D")</f>
        <v>21</v>
      </c>
      <c r="D3048" s="2" t="str">
        <f>TEXT(Sales[[#This Row],[Kode Program/Kegiatan ]],"mmm")</f>
        <v>Dec</v>
      </c>
      <c r="E3048" s="3">
        <v>5</v>
      </c>
      <c r="F3048" s="2">
        <v>5</v>
      </c>
      <c r="G3048" s="3" t="str">
        <f>IF(Sales[[#This Row],[Anggaran Murni]]-Sales[[#This Row],[Target s.d. Januari]]=0,"",Sales[[#This Row],[Anggaran Murni]]-Sales[[#This Row],[Target s.d. Januari]])</f>
        <v/>
      </c>
      <c r="H3048" s="2" t="s">
        <v>75</v>
      </c>
      <c r="I3048" s="3" t="s">
        <v>6</v>
      </c>
      <c r="J3048" s="3">
        <v>140000000</v>
      </c>
      <c r="K3048" s="2" t="s">
        <v>16</v>
      </c>
      <c r="L3048" s="2" t="s">
        <v>5</v>
      </c>
      <c r="M3048" s="4" t="s">
        <v>86</v>
      </c>
      <c r="N3048" s="3" t="s">
        <v>83</v>
      </c>
      <c r="O3048" s="2" t="s">
        <v>13</v>
      </c>
      <c r="P3048" s="10"/>
      <c r="Q3048" s="11"/>
    </row>
    <row r="3049" spans="2:17" ht="21" customHeight="1" x14ac:dyDescent="0.35">
      <c r="B3049" s="18">
        <v>44186</v>
      </c>
      <c r="C3049" s="18" t="str">
        <f>TEXT(Sales[[#This Row],[Kode Program/Kegiatan ]],"D")</f>
        <v>21</v>
      </c>
      <c r="D3049" s="19" t="str">
        <f>TEXT(Sales[[#This Row],[Kode Program/Kegiatan ]],"mmm")</f>
        <v>Dec</v>
      </c>
      <c r="E3049" s="20">
        <v>4</v>
      </c>
      <c r="F3049" s="19">
        <v>4</v>
      </c>
      <c r="G3049" s="20" t="str">
        <f>IF(Sales[[#This Row],[Anggaran Murni]]-Sales[[#This Row],[Target s.d. Januari]]=0,"",Sales[[#This Row],[Anggaran Murni]]-Sales[[#This Row],[Target s.d. Januari]])</f>
        <v/>
      </c>
      <c r="H3049" s="19" t="s">
        <v>74</v>
      </c>
      <c r="I3049" s="20" t="s">
        <v>77</v>
      </c>
      <c r="J3049" s="20">
        <v>40000000</v>
      </c>
      <c r="K3049" s="19" t="s">
        <v>18</v>
      </c>
      <c r="L3049" s="19" t="s">
        <v>4</v>
      </c>
      <c r="M3049" s="21" t="s">
        <v>86</v>
      </c>
      <c r="N3049" s="20" t="s">
        <v>83</v>
      </c>
      <c r="O3049" s="19" t="s">
        <v>11</v>
      </c>
      <c r="P3049" s="10"/>
      <c r="Q3049" s="11"/>
    </row>
    <row r="3050" spans="2:17" ht="21" customHeight="1" x14ac:dyDescent="0.35">
      <c r="B3050" s="1">
        <v>44186</v>
      </c>
      <c r="C3050" s="1" t="str">
        <f>TEXT(Sales[[#This Row],[Kode Program/Kegiatan ]],"D")</f>
        <v>21</v>
      </c>
      <c r="D3050" s="2" t="str">
        <f>TEXT(Sales[[#This Row],[Kode Program/Kegiatan ]],"mmm")</f>
        <v>Dec</v>
      </c>
      <c r="E3050" s="3">
        <v>3</v>
      </c>
      <c r="F3050" s="2">
        <v>3</v>
      </c>
      <c r="G3050" s="3" t="str">
        <f>IF(Sales[[#This Row],[Anggaran Murni]]-Sales[[#This Row],[Target s.d. Januari]]=0,"",Sales[[#This Row],[Anggaran Murni]]-Sales[[#This Row],[Target s.d. Januari]])</f>
        <v/>
      </c>
      <c r="H3050" s="2" t="s">
        <v>72</v>
      </c>
      <c r="I3050" s="3" t="s">
        <v>78</v>
      </c>
      <c r="J3050" s="3">
        <v>100000000</v>
      </c>
      <c r="K3050" s="2" t="s">
        <v>36</v>
      </c>
      <c r="L3050" s="2" t="s">
        <v>5</v>
      </c>
      <c r="M3050" s="4" t="s">
        <v>86</v>
      </c>
      <c r="N3050" s="3" t="s">
        <v>83</v>
      </c>
      <c r="O3050" s="2" t="s">
        <v>12</v>
      </c>
      <c r="P3050" s="10"/>
      <c r="Q3050" s="11"/>
    </row>
    <row r="3051" spans="2:17" ht="21" customHeight="1" x14ac:dyDescent="0.35">
      <c r="B3051" s="18">
        <v>44186</v>
      </c>
      <c r="C3051" s="18" t="str">
        <f>TEXT(Sales[[#This Row],[Kode Program/Kegiatan ]],"D")</f>
        <v>21</v>
      </c>
      <c r="D3051" s="19" t="str">
        <f>TEXT(Sales[[#This Row],[Kode Program/Kegiatan ]],"mmm")</f>
        <v>Dec</v>
      </c>
      <c r="E3051" s="20">
        <v>3</v>
      </c>
      <c r="F3051" s="19">
        <v>3</v>
      </c>
      <c r="G3051" s="20" t="str">
        <f>IF(Sales[[#This Row],[Anggaran Murni]]-Sales[[#This Row],[Target s.d. Januari]]=0,"",Sales[[#This Row],[Anggaran Murni]]-Sales[[#This Row],[Target s.d. Januari]])</f>
        <v/>
      </c>
      <c r="H3051" s="19" t="s">
        <v>72</v>
      </c>
      <c r="I3051" s="20" t="s">
        <v>78</v>
      </c>
      <c r="J3051" s="20">
        <v>140000000</v>
      </c>
      <c r="K3051" s="19" t="s">
        <v>22</v>
      </c>
      <c r="L3051" s="19" t="s">
        <v>5</v>
      </c>
      <c r="M3051" s="21" t="s">
        <v>86</v>
      </c>
      <c r="N3051" s="20" t="s">
        <v>83</v>
      </c>
      <c r="O3051" s="19" t="s">
        <v>14</v>
      </c>
      <c r="P3051" s="10"/>
      <c r="Q3051" s="11"/>
    </row>
    <row r="3052" spans="2:17" ht="21" customHeight="1" x14ac:dyDescent="0.35">
      <c r="B3052" s="1">
        <v>44187</v>
      </c>
      <c r="C3052" s="1" t="str">
        <f>TEXT(Sales[[#This Row],[Kode Program/Kegiatan ]],"D")</f>
        <v>22</v>
      </c>
      <c r="D3052" s="2" t="str">
        <f>TEXT(Sales[[#This Row],[Kode Program/Kegiatan ]],"mmm")</f>
        <v>Dec</v>
      </c>
      <c r="E3052" s="3">
        <v>10</v>
      </c>
      <c r="F3052" s="2">
        <v>10</v>
      </c>
      <c r="G3052" s="3" t="str">
        <f>IF(Sales[[#This Row],[Anggaran Murni]]-Sales[[#This Row],[Target s.d. Januari]]=0,"",Sales[[#This Row],[Anggaran Murni]]-Sales[[#This Row],[Target s.d. Januari]])</f>
        <v/>
      </c>
      <c r="H3052" s="2" t="s">
        <v>74</v>
      </c>
      <c r="I3052" s="3" t="s">
        <v>77</v>
      </c>
      <c r="J3052" s="3">
        <v>40000000</v>
      </c>
      <c r="K3052" s="2" t="s">
        <v>47</v>
      </c>
      <c r="L3052" s="2" t="s">
        <v>5</v>
      </c>
      <c r="M3052" s="4" t="s">
        <v>86</v>
      </c>
      <c r="N3052" s="3" t="s">
        <v>83</v>
      </c>
      <c r="O3052" s="2" t="s">
        <v>13</v>
      </c>
      <c r="P3052" s="10"/>
      <c r="Q3052" s="11"/>
    </row>
    <row r="3053" spans="2:17" ht="21" customHeight="1" x14ac:dyDescent="0.35">
      <c r="B3053" s="18">
        <v>44187</v>
      </c>
      <c r="C3053" s="18" t="str">
        <f>TEXT(Sales[[#This Row],[Kode Program/Kegiatan ]],"D")</f>
        <v>22</v>
      </c>
      <c r="D3053" s="19" t="str">
        <f>TEXT(Sales[[#This Row],[Kode Program/Kegiatan ]],"mmm")</f>
        <v>Dec</v>
      </c>
      <c r="E3053" s="20">
        <v>10</v>
      </c>
      <c r="F3053" s="19">
        <v>10</v>
      </c>
      <c r="G3053" s="20" t="str">
        <f>IF(Sales[[#This Row],[Anggaran Murni]]-Sales[[#This Row],[Target s.d. Januari]]=0,"",Sales[[#This Row],[Anggaran Murni]]-Sales[[#This Row],[Target s.d. Januari]])</f>
        <v/>
      </c>
      <c r="H3053" s="19" t="s">
        <v>71</v>
      </c>
      <c r="I3053" s="20" t="s">
        <v>6</v>
      </c>
      <c r="J3053" s="20">
        <v>100000000</v>
      </c>
      <c r="K3053" s="19" t="s">
        <v>52</v>
      </c>
      <c r="L3053" s="19" t="s">
        <v>7</v>
      </c>
      <c r="M3053" s="21" t="s">
        <v>86</v>
      </c>
      <c r="N3053" s="20" t="s">
        <v>83</v>
      </c>
      <c r="O3053" s="19" t="s">
        <v>14</v>
      </c>
      <c r="P3053" s="10"/>
      <c r="Q3053" s="11"/>
    </row>
    <row r="3054" spans="2:17" ht="21" customHeight="1" x14ac:dyDescent="0.35">
      <c r="B3054" s="1">
        <v>44187</v>
      </c>
      <c r="C3054" s="1" t="str">
        <f>TEXT(Sales[[#This Row],[Kode Program/Kegiatan ]],"D")</f>
        <v>22</v>
      </c>
      <c r="D3054" s="2" t="str">
        <f>TEXT(Sales[[#This Row],[Kode Program/Kegiatan ]],"mmm")</f>
        <v>Dec</v>
      </c>
      <c r="E3054" s="3">
        <v>9</v>
      </c>
      <c r="F3054" s="2">
        <v>9</v>
      </c>
      <c r="G3054" s="3" t="str">
        <f>IF(Sales[[#This Row],[Anggaran Murni]]-Sales[[#This Row],[Target s.d. Januari]]=0,"",Sales[[#This Row],[Anggaran Murni]]-Sales[[#This Row],[Target s.d. Januari]])</f>
        <v/>
      </c>
      <c r="H3054" s="2" t="s">
        <v>72</v>
      </c>
      <c r="I3054" s="3" t="s">
        <v>78</v>
      </c>
      <c r="J3054" s="3">
        <v>120000000</v>
      </c>
      <c r="K3054" s="2" t="s">
        <v>64</v>
      </c>
      <c r="L3054" s="2" t="s">
        <v>2</v>
      </c>
      <c r="M3054" s="4" t="s">
        <v>86</v>
      </c>
      <c r="N3054" s="3" t="s">
        <v>83</v>
      </c>
      <c r="O3054" s="2" t="s">
        <v>11</v>
      </c>
      <c r="P3054" s="10"/>
      <c r="Q3054" s="11"/>
    </row>
    <row r="3055" spans="2:17" ht="21" customHeight="1" x14ac:dyDescent="0.35">
      <c r="B3055" s="18">
        <v>44187</v>
      </c>
      <c r="C3055" s="18" t="str">
        <f>TEXT(Sales[[#This Row],[Kode Program/Kegiatan ]],"D")</f>
        <v>22</v>
      </c>
      <c r="D3055" s="19" t="str">
        <f>TEXT(Sales[[#This Row],[Kode Program/Kegiatan ]],"mmm")</f>
        <v>Dec</v>
      </c>
      <c r="E3055" s="20">
        <v>7</v>
      </c>
      <c r="F3055" s="19">
        <v>7</v>
      </c>
      <c r="G3055" s="20" t="str">
        <f>IF(Sales[[#This Row],[Anggaran Murni]]-Sales[[#This Row],[Target s.d. Januari]]=0,"",Sales[[#This Row],[Anggaran Murni]]-Sales[[#This Row],[Target s.d. Januari]])</f>
        <v/>
      </c>
      <c r="H3055" s="19" t="s">
        <v>71</v>
      </c>
      <c r="I3055" s="20" t="s">
        <v>6</v>
      </c>
      <c r="J3055" s="20">
        <v>40000000</v>
      </c>
      <c r="K3055" s="19" t="s">
        <v>52</v>
      </c>
      <c r="L3055" s="19" t="s">
        <v>4</v>
      </c>
      <c r="M3055" s="21" t="s">
        <v>86</v>
      </c>
      <c r="N3055" s="20" t="s">
        <v>83</v>
      </c>
      <c r="O3055" s="19" t="s">
        <v>11</v>
      </c>
      <c r="P3055" s="10"/>
      <c r="Q3055" s="11"/>
    </row>
    <row r="3056" spans="2:17" ht="21" customHeight="1" x14ac:dyDescent="0.35">
      <c r="B3056" s="1">
        <v>44187</v>
      </c>
      <c r="C3056" s="1" t="str">
        <f>TEXT(Sales[[#This Row],[Kode Program/Kegiatan ]],"D")</f>
        <v>22</v>
      </c>
      <c r="D3056" s="2" t="str">
        <f>TEXT(Sales[[#This Row],[Kode Program/Kegiatan ]],"mmm")</f>
        <v>Dec</v>
      </c>
      <c r="E3056" s="3">
        <v>6</v>
      </c>
      <c r="F3056" s="2">
        <v>6</v>
      </c>
      <c r="G3056" s="3" t="str">
        <f>IF(Sales[[#This Row],[Anggaran Murni]]-Sales[[#This Row],[Target s.d. Januari]]=0,"",Sales[[#This Row],[Anggaran Murni]]-Sales[[#This Row],[Target s.d. Januari]])</f>
        <v/>
      </c>
      <c r="H3056" s="2" t="s">
        <v>74</v>
      </c>
      <c r="I3056" s="3" t="s">
        <v>77</v>
      </c>
      <c r="J3056" s="3">
        <v>140000000</v>
      </c>
      <c r="K3056" s="2" t="s">
        <v>56</v>
      </c>
      <c r="L3056" s="2" t="s">
        <v>2</v>
      </c>
      <c r="M3056" s="4" t="s">
        <v>86</v>
      </c>
      <c r="N3056" s="3" t="s">
        <v>83</v>
      </c>
      <c r="O3056" s="2" t="s">
        <v>13</v>
      </c>
      <c r="P3056" s="10"/>
      <c r="Q3056" s="11"/>
    </row>
    <row r="3057" spans="2:17" ht="21" customHeight="1" x14ac:dyDescent="0.35">
      <c r="B3057" s="18">
        <v>44187</v>
      </c>
      <c r="C3057" s="18" t="str">
        <f>TEXT(Sales[[#This Row],[Kode Program/Kegiatan ]],"D")</f>
        <v>22</v>
      </c>
      <c r="D3057" s="19" t="str">
        <f>TEXT(Sales[[#This Row],[Kode Program/Kegiatan ]],"mmm")</f>
        <v>Dec</v>
      </c>
      <c r="E3057" s="20">
        <v>5</v>
      </c>
      <c r="F3057" s="19">
        <v>5</v>
      </c>
      <c r="G3057" s="20" t="str">
        <f>IF(Sales[[#This Row],[Anggaran Murni]]-Sales[[#This Row],[Target s.d. Januari]]=0,"",Sales[[#This Row],[Anggaran Murni]]-Sales[[#This Row],[Target s.d. Januari]])</f>
        <v/>
      </c>
      <c r="H3057" s="19" t="s">
        <v>76</v>
      </c>
      <c r="I3057" s="20" t="s">
        <v>79</v>
      </c>
      <c r="J3057" s="20">
        <v>80000000</v>
      </c>
      <c r="K3057" s="19" t="s">
        <v>17</v>
      </c>
      <c r="L3057" s="19" t="s">
        <v>5</v>
      </c>
      <c r="M3057" s="21" t="s">
        <v>86</v>
      </c>
      <c r="N3057" s="20" t="s">
        <v>83</v>
      </c>
      <c r="O3057" s="19" t="s">
        <v>11</v>
      </c>
      <c r="P3057" s="10"/>
      <c r="Q3057" s="11"/>
    </row>
    <row r="3058" spans="2:17" ht="21" customHeight="1" x14ac:dyDescent="0.35">
      <c r="B3058" s="1">
        <v>44187</v>
      </c>
      <c r="C3058" s="1" t="str">
        <f>TEXT(Sales[[#This Row],[Kode Program/Kegiatan ]],"D")</f>
        <v>22</v>
      </c>
      <c r="D3058" s="2" t="str">
        <f>TEXT(Sales[[#This Row],[Kode Program/Kegiatan ]],"mmm")</f>
        <v>Dec</v>
      </c>
      <c r="E3058" s="3">
        <v>5</v>
      </c>
      <c r="F3058" s="2">
        <v>5</v>
      </c>
      <c r="G3058" s="3" t="str">
        <f>IF(Sales[[#This Row],[Anggaran Murni]]-Sales[[#This Row],[Target s.d. Januari]]=0,"",Sales[[#This Row],[Anggaran Murni]]-Sales[[#This Row],[Target s.d. Januari]])</f>
        <v/>
      </c>
      <c r="H3058" s="2" t="s">
        <v>70</v>
      </c>
      <c r="I3058" s="3" t="s">
        <v>1</v>
      </c>
      <c r="J3058" s="3">
        <v>100000000</v>
      </c>
      <c r="K3058" s="2" t="s">
        <v>43</v>
      </c>
      <c r="L3058" s="2" t="s">
        <v>5</v>
      </c>
      <c r="M3058" s="4" t="s">
        <v>86</v>
      </c>
      <c r="N3058" s="3" t="s">
        <v>83</v>
      </c>
      <c r="O3058" s="2" t="s">
        <v>14</v>
      </c>
      <c r="P3058" s="10"/>
      <c r="Q3058" s="11"/>
    </row>
    <row r="3059" spans="2:17" ht="21" customHeight="1" x14ac:dyDescent="0.35">
      <c r="B3059" s="18">
        <v>44188</v>
      </c>
      <c r="C3059" s="18" t="str">
        <f>TEXT(Sales[[#This Row],[Kode Program/Kegiatan ]],"D")</f>
        <v>23</v>
      </c>
      <c r="D3059" s="19" t="str">
        <f>TEXT(Sales[[#This Row],[Kode Program/Kegiatan ]],"mmm")</f>
        <v>Dec</v>
      </c>
      <c r="E3059" s="20">
        <v>10</v>
      </c>
      <c r="F3059" s="19">
        <v>10</v>
      </c>
      <c r="G3059" s="20" t="str">
        <f>IF(Sales[[#This Row],[Anggaran Murni]]-Sales[[#This Row],[Target s.d. Januari]]=0,"",Sales[[#This Row],[Anggaran Murni]]-Sales[[#This Row],[Target s.d. Januari]])</f>
        <v/>
      </c>
      <c r="H3059" s="19" t="s">
        <v>114</v>
      </c>
      <c r="I3059" s="20" t="s">
        <v>3</v>
      </c>
      <c r="J3059" s="20">
        <v>60000000</v>
      </c>
      <c r="K3059" s="19" t="s">
        <v>38</v>
      </c>
      <c r="L3059" s="19" t="s">
        <v>7</v>
      </c>
      <c r="M3059" s="21" t="s">
        <v>86</v>
      </c>
      <c r="N3059" s="20" t="s">
        <v>83</v>
      </c>
      <c r="O3059" s="19" t="s">
        <v>13</v>
      </c>
      <c r="P3059" s="10"/>
      <c r="Q3059" s="11"/>
    </row>
    <row r="3060" spans="2:17" ht="21" customHeight="1" x14ac:dyDescent="0.35">
      <c r="B3060" s="1">
        <v>44188</v>
      </c>
      <c r="C3060" s="1" t="str">
        <f>TEXT(Sales[[#This Row],[Kode Program/Kegiatan ]],"D")</f>
        <v>23</v>
      </c>
      <c r="D3060" s="2" t="str">
        <f>TEXT(Sales[[#This Row],[Kode Program/Kegiatan ]],"mmm")</f>
        <v>Dec</v>
      </c>
      <c r="E3060" s="3">
        <v>10</v>
      </c>
      <c r="F3060" s="2">
        <v>10</v>
      </c>
      <c r="G3060" s="3" t="str">
        <f>IF(Sales[[#This Row],[Anggaran Murni]]-Sales[[#This Row],[Target s.d. Januari]]=0,"",Sales[[#This Row],[Anggaran Murni]]-Sales[[#This Row],[Target s.d. Januari]])</f>
        <v/>
      </c>
      <c r="H3060" s="2" t="s">
        <v>73</v>
      </c>
      <c r="I3060" s="3" t="s">
        <v>78</v>
      </c>
      <c r="J3060" s="3">
        <v>120000000</v>
      </c>
      <c r="K3060" s="2" t="s">
        <v>55</v>
      </c>
      <c r="L3060" s="2" t="s">
        <v>2</v>
      </c>
      <c r="M3060" s="4" t="s">
        <v>86</v>
      </c>
      <c r="N3060" s="3" t="s">
        <v>83</v>
      </c>
      <c r="O3060" s="2" t="s">
        <v>11</v>
      </c>
      <c r="P3060" s="10"/>
      <c r="Q3060" s="11"/>
    </row>
    <row r="3061" spans="2:17" ht="21" customHeight="1" x14ac:dyDescent="0.35">
      <c r="B3061" s="18">
        <v>44188</v>
      </c>
      <c r="C3061" s="18" t="str">
        <f>TEXT(Sales[[#This Row],[Kode Program/Kegiatan ]],"D")</f>
        <v>23</v>
      </c>
      <c r="D3061" s="19" t="str">
        <f>TEXT(Sales[[#This Row],[Kode Program/Kegiatan ]],"mmm")</f>
        <v>Dec</v>
      </c>
      <c r="E3061" s="20">
        <v>9</v>
      </c>
      <c r="F3061" s="19">
        <v>9</v>
      </c>
      <c r="G3061" s="20" t="str">
        <f>IF(Sales[[#This Row],[Anggaran Murni]]-Sales[[#This Row],[Target s.d. Januari]]=0,"",Sales[[#This Row],[Anggaran Murni]]-Sales[[#This Row],[Target s.d. Januari]])</f>
        <v/>
      </c>
      <c r="H3061" s="19" t="s">
        <v>113</v>
      </c>
      <c r="I3061" s="20" t="s">
        <v>77</v>
      </c>
      <c r="J3061" s="20">
        <v>120000000</v>
      </c>
      <c r="K3061" s="19" t="s">
        <v>30</v>
      </c>
      <c r="L3061" s="19" t="s">
        <v>9</v>
      </c>
      <c r="M3061" s="21" t="s">
        <v>86</v>
      </c>
      <c r="N3061" s="20" t="s">
        <v>83</v>
      </c>
      <c r="O3061" s="19" t="s">
        <v>12</v>
      </c>
      <c r="P3061" s="10"/>
      <c r="Q3061" s="11"/>
    </row>
    <row r="3062" spans="2:17" ht="21" customHeight="1" x14ac:dyDescent="0.35">
      <c r="B3062" s="1">
        <v>44188</v>
      </c>
      <c r="C3062" s="1" t="str">
        <f>TEXT(Sales[[#This Row],[Kode Program/Kegiatan ]],"D")</f>
        <v>23</v>
      </c>
      <c r="D3062" s="2" t="str">
        <f>TEXT(Sales[[#This Row],[Kode Program/Kegiatan ]],"mmm")</f>
        <v>Dec</v>
      </c>
      <c r="E3062" s="3">
        <v>8</v>
      </c>
      <c r="F3062" s="2">
        <v>8</v>
      </c>
      <c r="G3062" s="3" t="str">
        <f>IF(Sales[[#This Row],[Anggaran Murni]]-Sales[[#This Row],[Target s.d. Januari]]=0,"",Sales[[#This Row],[Anggaran Murni]]-Sales[[#This Row],[Target s.d. Januari]])</f>
        <v/>
      </c>
      <c r="H3062" s="2" t="s">
        <v>75</v>
      </c>
      <c r="I3062" s="3" t="s">
        <v>6</v>
      </c>
      <c r="J3062" s="3">
        <v>100000000</v>
      </c>
      <c r="K3062" s="2" t="s">
        <v>53</v>
      </c>
      <c r="L3062" s="2" t="s">
        <v>5</v>
      </c>
      <c r="M3062" s="4" t="s">
        <v>86</v>
      </c>
      <c r="N3062" s="3" t="s">
        <v>83</v>
      </c>
      <c r="O3062" s="2" t="s">
        <v>12</v>
      </c>
      <c r="P3062" s="10"/>
      <c r="Q3062" s="11"/>
    </row>
    <row r="3063" spans="2:17" ht="21" customHeight="1" x14ac:dyDescent="0.35">
      <c r="B3063" s="18">
        <v>44188</v>
      </c>
      <c r="C3063" s="18" t="str">
        <f>TEXT(Sales[[#This Row],[Kode Program/Kegiatan ]],"D")</f>
        <v>23</v>
      </c>
      <c r="D3063" s="19" t="str">
        <f>TEXT(Sales[[#This Row],[Kode Program/Kegiatan ]],"mmm")</f>
        <v>Dec</v>
      </c>
      <c r="E3063" s="20">
        <v>8</v>
      </c>
      <c r="F3063" s="19">
        <v>8</v>
      </c>
      <c r="G3063" s="20" t="str">
        <f>IF(Sales[[#This Row],[Anggaran Murni]]-Sales[[#This Row],[Target s.d. Januari]]=0,"",Sales[[#This Row],[Anggaran Murni]]-Sales[[#This Row],[Target s.d. Januari]])</f>
        <v/>
      </c>
      <c r="H3063" s="19" t="s">
        <v>70</v>
      </c>
      <c r="I3063" s="20" t="s">
        <v>1</v>
      </c>
      <c r="J3063" s="20">
        <v>120000000</v>
      </c>
      <c r="K3063" s="19" t="s">
        <v>38</v>
      </c>
      <c r="L3063" s="19" t="s">
        <v>2</v>
      </c>
      <c r="M3063" s="21" t="s">
        <v>86</v>
      </c>
      <c r="N3063" s="20" t="s">
        <v>83</v>
      </c>
      <c r="O3063" s="19" t="s">
        <v>11</v>
      </c>
      <c r="P3063" s="10"/>
      <c r="Q3063" s="11"/>
    </row>
    <row r="3064" spans="2:17" ht="21" customHeight="1" x14ac:dyDescent="0.35">
      <c r="B3064" s="1">
        <v>44188</v>
      </c>
      <c r="C3064" s="1" t="str">
        <f>TEXT(Sales[[#This Row],[Kode Program/Kegiatan ]],"D")</f>
        <v>23</v>
      </c>
      <c r="D3064" s="2" t="str">
        <f>TEXT(Sales[[#This Row],[Kode Program/Kegiatan ]],"mmm")</f>
        <v>Dec</v>
      </c>
      <c r="E3064" s="3">
        <v>6</v>
      </c>
      <c r="F3064" s="2">
        <v>6</v>
      </c>
      <c r="G3064" s="3" t="str">
        <f>IF(Sales[[#This Row],[Anggaran Murni]]-Sales[[#This Row],[Target s.d. Januari]]=0,"",Sales[[#This Row],[Anggaran Murni]]-Sales[[#This Row],[Target s.d. Januari]])</f>
        <v/>
      </c>
      <c r="H3064" s="2" t="s">
        <v>72</v>
      </c>
      <c r="I3064" s="3" t="s">
        <v>78</v>
      </c>
      <c r="J3064" s="3">
        <v>80000000</v>
      </c>
      <c r="K3064" s="2" t="s">
        <v>43</v>
      </c>
      <c r="L3064" s="2" t="s">
        <v>7</v>
      </c>
      <c r="M3064" s="4" t="s">
        <v>86</v>
      </c>
      <c r="N3064" s="3" t="s">
        <v>83</v>
      </c>
      <c r="O3064" s="2" t="s">
        <v>12</v>
      </c>
      <c r="P3064" s="10"/>
      <c r="Q3064" s="11"/>
    </row>
    <row r="3065" spans="2:17" ht="21" customHeight="1" x14ac:dyDescent="0.35">
      <c r="B3065" s="18">
        <v>44188</v>
      </c>
      <c r="C3065" s="18" t="str">
        <f>TEXT(Sales[[#This Row],[Kode Program/Kegiatan ]],"D")</f>
        <v>23</v>
      </c>
      <c r="D3065" s="19" t="str">
        <f>TEXT(Sales[[#This Row],[Kode Program/Kegiatan ]],"mmm")</f>
        <v>Dec</v>
      </c>
      <c r="E3065" s="20">
        <v>4</v>
      </c>
      <c r="F3065" s="19">
        <v>4</v>
      </c>
      <c r="G3065" s="20" t="str">
        <f>IF(Sales[[#This Row],[Anggaran Murni]]-Sales[[#This Row],[Target s.d. Januari]]=0,"",Sales[[#This Row],[Anggaran Murni]]-Sales[[#This Row],[Target s.d. Januari]])</f>
        <v/>
      </c>
      <c r="H3065" s="19" t="s">
        <v>70</v>
      </c>
      <c r="I3065" s="20" t="s">
        <v>1</v>
      </c>
      <c r="J3065" s="20">
        <v>100000000</v>
      </c>
      <c r="K3065" s="19" t="s">
        <v>41</v>
      </c>
      <c r="L3065" s="19" t="s">
        <v>2</v>
      </c>
      <c r="M3065" s="21" t="s">
        <v>86</v>
      </c>
      <c r="N3065" s="20" t="s">
        <v>83</v>
      </c>
      <c r="O3065" s="19" t="s">
        <v>14</v>
      </c>
      <c r="P3065" s="10"/>
      <c r="Q3065" s="11"/>
    </row>
    <row r="3066" spans="2:17" ht="21" customHeight="1" x14ac:dyDescent="0.35">
      <c r="B3066" s="1">
        <v>44189</v>
      </c>
      <c r="C3066" s="1" t="str">
        <f>TEXT(Sales[[#This Row],[Kode Program/Kegiatan ]],"D")</f>
        <v>24</v>
      </c>
      <c r="D3066" s="2" t="str">
        <f>TEXT(Sales[[#This Row],[Kode Program/Kegiatan ]],"mmm")</f>
        <v>Dec</v>
      </c>
      <c r="E3066" s="3">
        <v>10</v>
      </c>
      <c r="F3066" s="2">
        <v>10</v>
      </c>
      <c r="G3066" s="3" t="str">
        <f>IF(Sales[[#This Row],[Anggaran Murni]]-Sales[[#This Row],[Target s.d. Januari]]=0,"",Sales[[#This Row],[Anggaran Murni]]-Sales[[#This Row],[Target s.d. Januari]])</f>
        <v/>
      </c>
      <c r="H3066" s="2" t="s">
        <v>114</v>
      </c>
      <c r="I3066" s="3" t="s">
        <v>3</v>
      </c>
      <c r="J3066" s="3">
        <v>40000000</v>
      </c>
      <c r="K3066" s="2" t="s">
        <v>37</v>
      </c>
      <c r="L3066" s="2" t="s">
        <v>2</v>
      </c>
      <c r="M3066" s="4" t="s">
        <v>86</v>
      </c>
      <c r="N3066" s="3" t="s">
        <v>83</v>
      </c>
      <c r="O3066" s="2" t="s">
        <v>13</v>
      </c>
      <c r="P3066" s="10"/>
      <c r="Q3066" s="11"/>
    </row>
    <row r="3067" spans="2:17" ht="21" customHeight="1" x14ac:dyDescent="0.35">
      <c r="B3067" s="18">
        <v>44189</v>
      </c>
      <c r="C3067" s="18" t="str">
        <f>TEXT(Sales[[#This Row],[Kode Program/Kegiatan ]],"D")</f>
        <v>24</v>
      </c>
      <c r="D3067" s="19" t="str">
        <f>TEXT(Sales[[#This Row],[Kode Program/Kegiatan ]],"mmm")</f>
        <v>Dec</v>
      </c>
      <c r="E3067" s="20">
        <v>9</v>
      </c>
      <c r="F3067" s="19">
        <v>9</v>
      </c>
      <c r="G3067" s="20" t="str">
        <f>IF(Sales[[#This Row],[Anggaran Murni]]-Sales[[#This Row],[Target s.d. Januari]]=0,"",Sales[[#This Row],[Anggaran Murni]]-Sales[[#This Row],[Target s.d. Januari]])</f>
        <v/>
      </c>
      <c r="H3067" s="19" t="s">
        <v>75</v>
      </c>
      <c r="I3067" s="20" t="s">
        <v>6</v>
      </c>
      <c r="J3067" s="20">
        <v>40000000</v>
      </c>
      <c r="K3067" s="19" t="s">
        <v>39</v>
      </c>
      <c r="L3067" s="19" t="s">
        <v>7</v>
      </c>
      <c r="M3067" s="21" t="s">
        <v>86</v>
      </c>
      <c r="N3067" s="20" t="s">
        <v>83</v>
      </c>
      <c r="O3067" s="19" t="s">
        <v>14</v>
      </c>
      <c r="P3067" s="10"/>
      <c r="Q3067" s="11"/>
    </row>
    <row r="3068" spans="2:17" ht="21" customHeight="1" x14ac:dyDescent="0.35">
      <c r="B3068" s="1">
        <v>44189</v>
      </c>
      <c r="C3068" s="1" t="str">
        <f>TEXT(Sales[[#This Row],[Kode Program/Kegiatan ]],"D")</f>
        <v>24</v>
      </c>
      <c r="D3068" s="2" t="str">
        <f>TEXT(Sales[[#This Row],[Kode Program/Kegiatan ]],"mmm")</f>
        <v>Dec</v>
      </c>
      <c r="E3068" s="3">
        <v>8</v>
      </c>
      <c r="F3068" s="2">
        <v>8</v>
      </c>
      <c r="G3068" s="3" t="str">
        <f>IF(Sales[[#This Row],[Anggaran Murni]]-Sales[[#This Row],[Target s.d. Januari]]=0,"",Sales[[#This Row],[Anggaran Murni]]-Sales[[#This Row],[Target s.d. Januari]])</f>
        <v/>
      </c>
      <c r="H3068" s="2" t="s">
        <v>71</v>
      </c>
      <c r="I3068" s="3" t="s">
        <v>6</v>
      </c>
      <c r="J3068" s="3">
        <v>40000000</v>
      </c>
      <c r="K3068" s="2" t="s">
        <v>49</v>
      </c>
      <c r="L3068" s="2" t="s">
        <v>2</v>
      </c>
      <c r="M3068" s="4" t="s">
        <v>86</v>
      </c>
      <c r="N3068" s="3" t="s">
        <v>83</v>
      </c>
      <c r="O3068" s="2" t="s">
        <v>11</v>
      </c>
      <c r="P3068" s="10"/>
      <c r="Q3068" s="11"/>
    </row>
    <row r="3069" spans="2:17" ht="21" customHeight="1" x14ac:dyDescent="0.35">
      <c r="B3069" s="18">
        <v>44189</v>
      </c>
      <c r="C3069" s="18" t="str">
        <f>TEXT(Sales[[#This Row],[Kode Program/Kegiatan ]],"D")</f>
        <v>24</v>
      </c>
      <c r="D3069" s="19" t="str">
        <f>TEXT(Sales[[#This Row],[Kode Program/Kegiatan ]],"mmm")</f>
        <v>Dec</v>
      </c>
      <c r="E3069" s="20">
        <v>8</v>
      </c>
      <c r="F3069" s="19">
        <v>8</v>
      </c>
      <c r="G3069" s="20" t="str">
        <f>IF(Sales[[#This Row],[Anggaran Murni]]-Sales[[#This Row],[Target s.d. Januari]]=0,"",Sales[[#This Row],[Anggaran Murni]]-Sales[[#This Row],[Target s.d. Januari]])</f>
        <v/>
      </c>
      <c r="H3069" s="19" t="s">
        <v>73</v>
      </c>
      <c r="I3069" s="20" t="s">
        <v>78</v>
      </c>
      <c r="J3069" s="20">
        <v>100000000</v>
      </c>
      <c r="K3069" s="19" t="s">
        <v>15</v>
      </c>
      <c r="L3069" s="19" t="s">
        <v>7</v>
      </c>
      <c r="M3069" s="21" t="s">
        <v>86</v>
      </c>
      <c r="N3069" s="20" t="s">
        <v>83</v>
      </c>
      <c r="O3069" s="19" t="s">
        <v>11</v>
      </c>
      <c r="P3069" s="10"/>
      <c r="Q3069" s="11"/>
    </row>
    <row r="3070" spans="2:17" ht="21" customHeight="1" x14ac:dyDescent="0.35">
      <c r="B3070" s="1">
        <v>44189</v>
      </c>
      <c r="C3070" s="1" t="str">
        <f>TEXT(Sales[[#This Row],[Kode Program/Kegiatan ]],"D")</f>
        <v>24</v>
      </c>
      <c r="D3070" s="2" t="str">
        <f>TEXT(Sales[[#This Row],[Kode Program/Kegiatan ]],"mmm")</f>
        <v>Dec</v>
      </c>
      <c r="E3070" s="3">
        <v>7</v>
      </c>
      <c r="F3070" s="2">
        <v>7</v>
      </c>
      <c r="G3070" s="3" t="str">
        <f>IF(Sales[[#This Row],[Anggaran Murni]]-Sales[[#This Row],[Target s.d. Januari]]=0,"",Sales[[#This Row],[Anggaran Murni]]-Sales[[#This Row],[Target s.d. Januari]])</f>
        <v/>
      </c>
      <c r="H3070" s="2" t="s">
        <v>72</v>
      </c>
      <c r="I3070" s="3" t="s">
        <v>78</v>
      </c>
      <c r="J3070" s="3">
        <v>40000000</v>
      </c>
      <c r="K3070" s="2" t="s">
        <v>39</v>
      </c>
      <c r="L3070" s="2" t="s">
        <v>9</v>
      </c>
      <c r="M3070" s="4" t="s">
        <v>86</v>
      </c>
      <c r="N3070" s="3" t="s">
        <v>83</v>
      </c>
      <c r="O3070" s="2" t="s">
        <v>11</v>
      </c>
      <c r="P3070" s="10"/>
      <c r="Q3070" s="11"/>
    </row>
    <row r="3071" spans="2:17" ht="21" customHeight="1" x14ac:dyDescent="0.35">
      <c r="B3071" s="18">
        <v>44189</v>
      </c>
      <c r="C3071" s="18" t="str">
        <f>TEXT(Sales[[#This Row],[Kode Program/Kegiatan ]],"D")</f>
        <v>24</v>
      </c>
      <c r="D3071" s="19" t="str">
        <f>TEXT(Sales[[#This Row],[Kode Program/Kegiatan ]],"mmm")</f>
        <v>Dec</v>
      </c>
      <c r="E3071" s="20">
        <v>6</v>
      </c>
      <c r="F3071" s="19">
        <v>6</v>
      </c>
      <c r="G3071" s="20" t="str">
        <f>IF(Sales[[#This Row],[Anggaran Murni]]-Sales[[#This Row],[Target s.d. Januari]]=0,"",Sales[[#This Row],[Anggaran Murni]]-Sales[[#This Row],[Target s.d. Januari]])</f>
        <v/>
      </c>
      <c r="H3071" s="19" t="s">
        <v>70</v>
      </c>
      <c r="I3071" s="20" t="s">
        <v>1</v>
      </c>
      <c r="J3071" s="20">
        <v>40000000</v>
      </c>
      <c r="K3071" s="19" t="s">
        <v>29</v>
      </c>
      <c r="L3071" s="19" t="s">
        <v>5</v>
      </c>
      <c r="M3071" s="21" t="s">
        <v>86</v>
      </c>
      <c r="N3071" s="20" t="s">
        <v>83</v>
      </c>
      <c r="O3071" s="19" t="s">
        <v>12</v>
      </c>
      <c r="P3071" s="10"/>
      <c r="Q3071" s="11"/>
    </row>
    <row r="3072" spans="2:17" ht="21" customHeight="1" x14ac:dyDescent="0.35">
      <c r="B3072" s="1">
        <v>44189</v>
      </c>
      <c r="C3072" s="1" t="str">
        <f>TEXT(Sales[[#This Row],[Kode Program/Kegiatan ]],"D")</f>
        <v>24</v>
      </c>
      <c r="D3072" s="2" t="str">
        <f>TEXT(Sales[[#This Row],[Kode Program/Kegiatan ]],"mmm")</f>
        <v>Dec</v>
      </c>
      <c r="E3072" s="3">
        <v>6</v>
      </c>
      <c r="F3072" s="2">
        <v>6</v>
      </c>
      <c r="G3072" s="3" t="str">
        <f>IF(Sales[[#This Row],[Anggaran Murni]]-Sales[[#This Row],[Target s.d. Januari]]=0,"",Sales[[#This Row],[Anggaran Murni]]-Sales[[#This Row],[Target s.d. Januari]])</f>
        <v/>
      </c>
      <c r="H3072" s="2" t="s">
        <v>76</v>
      </c>
      <c r="I3072" s="3" t="s">
        <v>79</v>
      </c>
      <c r="J3072" s="3">
        <v>100000000</v>
      </c>
      <c r="K3072" s="2" t="s">
        <v>49</v>
      </c>
      <c r="L3072" s="2" t="s">
        <v>2</v>
      </c>
      <c r="M3072" s="4" t="s">
        <v>86</v>
      </c>
      <c r="N3072" s="3" t="s">
        <v>83</v>
      </c>
      <c r="O3072" s="2" t="s">
        <v>13</v>
      </c>
      <c r="P3072" s="10"/>
      <c r="Q3072" s="11"/>
    </row>
    <row r="3073" spans="2:17" ht="21" customHeight="1" x14ac:dyDescent="0.35">
      <c r="B3073" s="18">
        <v>44189</v>
      </c>
      <c r="C3073" s="18" t="str">
        <f>TEXT(Sales[[#This Row],[Kode Program/Kegiatan ]],"D")</f>
        <v>24</v>
      </c>
      <c r="D3073" s="19" t="str">
        <f>TEXT(Sales[[#This Row],[Kode Program/Kegiatan ]],"mmm")</f>
        <v>Dec</v>
      </c>
      <c r="E3073" s="20">
        <v>6</v>
      </c>
      <c r="F3073" s="19">
        <v>6</v>
      </c>
      <c r="G3073" s="20" t="str">
        <f>IF(Sales[[#This Row],[Anggaran Murni]]-Sales[[#This Row],[Target s.d. Januari]]=0,"",Sales[[#This Row],[Anggaran Murni]]-Sales[[#This Row],[Target s.d. Januari]])</f>
        <v/>
      </c>
      <c r="H3073" s="19" t="s">
        <v>70</v>
      </c>
      <c r="I3073" s="20" t="s">
        <v>1</v>
      </c>
      <c r="J3073" s="20">
        <v>40000000</v>
      </c>
      <c r="K3073" s="19" t="s">
        <v>25</v>
      </c>
      <c r="L3073" s="19" t="s">
        <v>5</v>
      </c>
      <c r="M3073" s="21" t="s">
        <v>86</v>
      </c>
      <c r="N3073" s="20" t="s">
        <v>83</v>
      </c>
      <c r="O3073" s="19" t="s">
        <v>11</v>
      </c>
      <c r="P3073" s="10"/>
      <c r="Q3073" s="11"/>
    </row>
    <row r="3074" spans="2:17" ht="21" customHeight="1" x14ac:dyDescent="0.35">
      <c r="B3074" s="1">
        <v>44189</v>
      </c>
      <c r="C3074" s="1" t="str">
        <f>TEXT(Sales[[#This Row],[Kode Program/Kegiatan ]],"D")</f>
        <v>24</v>
      </c>
      <c r="D3074" s="2" t="str">
        <f>TEXT(Sales[[#This Row],[Kode Program/Kegiatan ]],"mmm")</f>
        <v>Dec</v>
      </c>
      <c r="E3074" s="3">
        <v>5</v>
      </c>
      <c r="F3074" s="2">
        <v>5</v>
      </c>
      <c r="G3074" s="3" t="str">
        <f>IF(Sales[[#This Row],[Anggaran Murni]]-Sales[[#This Row],[Target s.d. Januari]]=0,"",Sales[[#This Row],[Anggaran Murni]]-Sales[[#This Row],[Target s.d. Januari]])</f>
        <v/>
      </c>
      <c r="H3074" s="2" t="s">
        <v>73</v>
      </c>
      <c r="I3074" s="3" t="s">
        <v>78</v>
      </c>
      <c r="J3074" s="3">
        <v>100000000</v>
      </c>
      <c r="K3074" s="2" t="s">
        <v>36</v>
      </c>
      <c r="L3074" s="2" t="s">
        <v>9</v>
      </c>
      <c r="M3074" s="4" t="s">
        <v>86</v>
      </c>
      <c r="N3074" s="3" t="s">
        <v>83</v>
      </c>
      <c r="O3074" s="2" t="s">
        <v>11</v>
      </c>
      <c r="P3074" s="10"/>
      <c r="Q3074" s="11"/>
    </row>
    <row r="3075" spans="2:17" ht="21" customHeight="1" x14ac:dyDescent="0.35">
      <c r="B3075" s="18">
        <v>44189</v>
      </c>
      <c r="C3075" s="18" t="str">
        <f>TEXT(Sales[[#This Row],[Kode Program/Kegiatan ]],"D")</f>
        <v>24</v>
      </c>
      <c r="D3075" s="19" t="str">
        <f>TEXT(Sales[[#This Row],[Kode Program/Kegiatan ]],"mmm")</f>
        <v>Dec</v>
      </c>
      <c r="E3075" s="20">
        <v>5</v>
      </c>
      <c r="F3075" s="19">
        <v>5</v>
      </c>
      <c r="G3075" s="20" t="str">
        <f>IF(Sales[[#This Row],[Anggaran Murni]]-Sales[[#This Row],[Target s.d. Januari]]=0,"",Sales[[#This Row],[Anggaran Murni]]-Sales[[#This Row],[Target s.d. Januari]])</f>
        <v/>
      </c>
      <c r="H3075" s="19" t="s">
        <v>71</v>
      </c>
      <c r="I3075" s="20" t="s">
        <v>6</v>
      </c>
      <c r="J3075" s="20">
        <v>140000000</v>
      </c>
      <c r="K3075" s="19" t="s">
        <v>53</v>
      </c>
      <c r="L3075" s="19" t="s">
        <v>7</v>
      </c>
      <c r="M3075" s="21" t="s">
        <v>86</v>
      </c>
      <c r="N3075" s="20" t="s">
        <v>83</v>
      </c>
      <c r="O3075" s="19" t="s">
        <v>12</v>
      </c>
      <c r="P3075" s="10"/>
      <c r="Q3075" s="11"/>
    </row>
    <row r="3076" spans="2:17" ht="21" customHeight="1" x14ac:dyDescent="0.35">
      <c r="B3076" s="1">
        <v>44189</v>
      </c>
      <c r="C3076" s="1" t="str">
        <f>TEXT(Sales[[#This Row],[Kode Program/Kegiatan ]],"D")</f>
        <v>24</v>
      </c>
      <c r="D3076" s="2" t="str">
        <f>TEXT(Sales[[#This Row],[Kode Program/Kegiatan ]],"mmm")</f>
        <v>Dec</v>
      </c>
      <c r="E3076" s="3">
        <v>3</v>
      </c>
      <c r="F3076" s="2">
        <v>3</v>
      </c>
      <c r="G3076" s="3" t="str">
        <f>IF(Sales[[#This Row],[Anggaran Murni]]-Sales[[#This Row],[Target s.d. Januari]]=0,"",Sales[[#This Row],[Anggaran Murni]]-Sales[[#This Row],[Target s.d. Januari]])</f>
        <v/>
      </c>
      <c r="H3076" s="2" t="s">
        <v>70</v>
      </c>
      <c r="I3076" s="3" t="s">
        <v>1</v>
      </c>
      <c r="J3076" s="3">
        <v>100000000</v>
      </c>
      <c r="K3076" s="2" t="s">
        <v>31</v>
      </c>
      <c r="L3076" s="2" t="s">
        <v>5</v>
      </c>
      <c r="M3076" s="4" t="s">
        <v>86</v>
      </c>
      <c r="N3076" s="3" t="s">
        <v>83</v>
      </c>
      <c r="O3076" s="2" t="s">
        <v>11</v>
      </c>
      <c r="P3076" s="10"/>
      <c r="Q3076" s="11"/>
    </row>
    <row r="3077" spans="2:17" ht="21" customHeight="1" x14ac:dyDescent="0.35">
      <c r="B3077" s="18">
        <v>44189</v>
      </c>
      <c r="C3077" s="18" t="str">
        <f>TEXT(Sales[[#This Row],[Kode Program/Kegiatan ]],"D")</f>
        <v>24</v>
      </c>
      <c r="D3077" s="19" t="str">
        <f>TEXT(Sales[[#This Row],[Kode Program/Kegiatan ]],"mmm")</f>
        <v>Dec</v>
      </c>
      <c r="E3077" s="20">
        <v>3</v>
      </c>
      <c r="F3077" s="19">
        <v>3</v>
      </c>
      <c r="G3077" s="20" t="str">
        <f>IF(Sales[[#This Row],[Anggaran Murni]]-Sales[[#This Row],[Target s.d. Januari]]=0,"",Sales[[#This Row],[Anggaran Murni]]-Sales[[#This Row],[Target s.d. Januari]])</f>
        <v/>
      </c>
      <c r="H3077" s="19" t="s">
        <v>76</v>
      </c>
      <c r="I3077" s="20" t="s">
        <v>79</v>
      </c>
      <c r="J3077" s="20">
        <v>40000000</v>
      </c>
      <c r="K3077" s="19" t="s">
        <v>32</v>
      </c>
      <c r="L3077" s="19" t="s">
        <v>2</v>
      </c>
      <c r="M3077" s="21" t="s">
        <v>86</v>
      </c>
      <c r="N3077" s="20" t="s">
        <v>83</v>
      </c>
      <c r="O3077" s="19" t="s">
        <v>13</v>
      </c>
      <c r="P3077" s="10"/>
      <c r="Q3077" s="11"/>
    </row>
    <row r="3078" spans="2:17" ht="21" customHeight="1" x14ac:dyDescent="0.35">
      <c r="B3078" s="1">
        <v>44190</v>
      </c>
      <c r="C3078" s="1" t="str">
        <f>TEXT(Sales[[#This Row],[Kode Program/Kegiatan ]],"D")</f>
        <v>25</v>
      </c>
      <c r="D3078" s="2" t="str">
        <f>TEXT(Sales[[#This Row],[Kode Program/Kegiatan ]],"mmm")</f>
        <v>Dec</v>
      </c>
      <c r="E3078" s="3">
        <v>10</v>
      </c>
      <c r="F3078" s="2">
        <v>8</v>
      </c>
      <c r="G3078" s="3">
        <f>IF(Sales[[#This Row],[Anggaran Murni]]-Sales[[#This Row],[Target s.d. Januari]]=0,"",Sales[[#This Row],[Anggaran Murni]]-Sales[[#This Row],[Target s.d. Januari]])</f>
        <v>2</v>
      </c>
      <c r="H3078" s="2" t="s">
        <v>76</v>
      </c>
      <c r="I3078" s="3" t="s">
        <v>79</v>
      </c>
      <c r="J3078" s="3">
        <v>100000000</v>
      </c>
      <c r="K3078" s="2" t="s">
        <v>32</v>
      </c>
      <c r="L3078" s="2" t="s">
        <v>7</v>
      </c>
      <c r="M3078" s="4" t="s">
        <v>86</v>
      </c>
      <c r="N3078" s="3" t="s">
        <v>83</v>
      </c>
      <c r="O3078" s="2" t="s">
        <v>11</v>
      </c>
      <c r="P3078" s="10"/>
      <c r="Q3078" s="11"/>
    </row>
    <row r="3079" spans="2:17" ht="21" customHeight="1" x14ac:dyDescent="0.35">
      <c r="B3079" s="18">
        <v>44190</v>
      </c>
      <c r="C3079" s="18" t="str">
        <f>TEXT(Sales[[#This Row],[Kode Program/Kegiatan ]],"D")</f>
        <v>25</v>
      </c>
      <c r="D3079" s="19" t="str">
        <f>TEXT(Sales[[#This Row],[Kode Program/Kegiatan ]],"mmm")</f>
        <v>Dec</v>
      </c>
      <c r="E3079" s="20">
        <v>10</v>
      </c>
      <c r="F3079" s="19">
        <v>9</v>
      </c>
      <c r="G3079" s="20">
        <f>IF(Sales[[#This Row],[Anggaran Murni]]-Sales[[#This Row],[Target s.d. Januari]]=0,"",Sales[[#This Row],[Anggaran Murni]]-Sales[[#This Row],[Target s.d. Januari]])</f>
        <v>1</v>
      </c>
      <c r="H3079" s="19" t="s">
        <v>114</v>
      </c>
      <c r="I3079" s="20" t="s">
        <v>3</v>
      </c>
      <c r="J3079" s="20">
        <v>80000000</v>
      </c>
      <c r="K3079" s="19" t="s">
        <v>23</v>
      </c>
      <c r="L3079" s="19" t="s">
        <v>2</v>
      </c>
      <c r="M3079" s="21" t="s">
        <v>86</v>
      </c>
      <c r="N3079" s="20" t="s">
        <v>83</v>
      </c>
      <c r="O3079" s="19" t="s">
        <v>14</v>
      </c>
      <c r="P3079" s="10"/>
      <c r="Q3079" s="11"/>
    </row>
    <row r="3080" spans="2:17" ht="21" customHeight="1" x14ac:dyDescent="0.35">
      <c r="B3080" s="1">
        <v>44190</v>
      </c>
      <c r="C3080" s="1" t="str">
        <f>TEXT(Sales[[#This Row],[Kode Program/Kegiatan ]],"D")</f>
        <v>25</v>
      </c>
      <c r="D3080" s="2" t="str">
        <f>TEXT(Sales[[#This Row],[Kode Program/Kegiatan ]],"mmm")</f>
        <v>Dec</v>
      </c>
      <c r="E3080" s="3">
        <v>6</v>
      </c>
      <c r="F3080" s="2">
        <v>5</v>
      </c>
      <c r="G3080" s="3">
        <f>IF(Sales[[#This Row],[Anggaran Murni]]-Sales[[#This Row],[Target s.d. Januari]]=0,"",Sales[[#This Row],[Anggaran Murni]]-Sales[[#This Row],[Target s.d. Januari]])</f>
        <v>1</v>
      </c>
      <c r="H3080" s="2" t="s">
        <v>73</v>
      </c>
      <c r="I3080" s="3" t="s">
        <v>78</v>
      </c>
      <c r="J3080" s="3">
        <v>120000000</v>
      </c>
      <c r="K3080" s="2" t="s">
        <v>33</v>
      </c>
      <c r="L3080" s="2" t="s">
        <v>8</v>
      </c>
      <c r="M3080" s="4" t="s">
        <v>86</v>
      </c>
      <c r="N3080" s="3" t="s">
        <v>83</v>
      </c>
      <c r="O3080" s="2" t="s">
        <v>11</v>
      </c>
      <c r="P3080" s="10"/>
      <c r="Q3080" s="11"/>
    </row>
    <row r="3081" spans="2:17" ht="21" customHeight="1" x14ac:dyDescent="0.35">
      <c r="B3081" s="18">
        <v>44190</v>
      </c>
      <c r="C3081" s="18" t="str">
        <f>TEXT(Sales[[#This Row],[Kode Program/Kegiatan ]],"D")</f>
        <v>25</v>
      </c>
      <c r="D3081" s="19" t="str">
        <f>TEXT(Sales[[#This Row],[Kode Program/Kegiatan ]],"mmm")</f>
        <v>Dec</v>
      </c>
      <c r="E3081" s="20">
        <v>6</v>
      </c>
      <c r="F3081" s="19">
        <v>4</v>
      </c>
      <c r="G3081" s="20">
        <f>IF(Sales[[#This Row],[Anggaran Murni]]-Sales[[#This Row],[Target s.d. Januari]]=0,"",Sales[[#This Row],[Anggaran Murni]]-Sales[[#This Row],[Target s.d. Januari]])</f>
        <v>2</v>
      </c>
      <c r="H3081" s="19" t="s">
        <v>70</v>
      </c>
      <c r="I3081" s="20" t="s">
        <v>1</v>
      </c>
      <c r="J3081" s="20">
        <v>120000000</v>
      </c>
      <c r="K3081" s="19" t="s">
        <v>57</v>
      </c>
      <c r="L3081" s="19" t="s">
        <v>2</v>
      </c>
      <c r="M3081" s="21" t="s">
        <v>86</v>
      </c>
      <c r="N3081" s="20" t="s">
        <v>83</v>
      </c>
      <c r="O3081" s="19" t="s">
        <v>14</v>
      </c>
      <c r="P3081" s="10"/>
      <c r="Q3081" s="11"/>
    </row>
    <row r="3082" spans="2:17" ht="21" customHeight="1" x14ac:dyDescent="0.35">
      <c r="B3082" s="1">
        <v>44190</v>
      </c>
      <c r="C3082" s="1" t="str">
        <f>TEXT(Sales[[#This Row],[Kode Program/Kegiatan ]],"D")</f>
        <v>25</v>
      </c>
      <c r="D3082" s="2" t="str">
        <f>TEXT(Sales[[#This Row],[Kode Program/Kegiatan ]],"mmm")</f>
        <v>Dec</v>
      </c>
      <c r="E3082" s="3">
        <v>5</v>
      </c>
      <c r="F3082" s="2">
        <v>3</v>
      </c>
      <c r="G3082" s="3">
        <f>IF(Sales[[#This Row],[Anggaran Murni]]-Sales[[#This Row],[Target s.d. Januari]]=0,"",Sales[[#This Row],[Anggaran Murni]]-Sales[[#This Row],[Target s.d. Januari]])</f>
        <v>2</v>
      </c>
      <c r="H3082" s="2" t="s">
        <v>76</v>
      </c>
      <c r="I3082" s="3" t="s">
        <v>79</v>
      </c>
      <c r="J3082" s="3">
        <v>40000000</v>
      </c>
      <c r="K3082" s="2" t="s">
        <v>51</v>
      </c>
      <c r="L3082" s="2" t="s">
        <v>7</v>
      </c>
      <c r="M3082" s="4" t="s">
        <v>86</v>
      </c>
      <c r="N3082" s="3" t="s">
        <v>83</v>
      </c>
      <c r="O3082" s="2" t="s">
        <v>14</v>
      </c>
      <c r="P3082" s="10"/>
      <c r="Q3082" s="11"/>
    </row>
    <row r="3083" spans="2:17" ht="21" customHeight="1" x14ac:dyDescent="0.35">
      <c r="B3083" s="18">
        <v>44191</v>
      </c>
      <c r="C3083" s="18" t="str">
        <f>TEXT(Sales[[#This Row],[Kode Program/Kegiatan ]],"D")</f>
        <v>26</v>
      </c>
      <c r="D3083" s="19" t="str">
        <f>TEXT(Sales[[#This Row],[Kode Program/Kegiatan ]],"mmm")</f>
        <v>Dec</v>
      </c>
      <c r="E3083" s="20">
        <v>10</v>
      </c>
      <c r="F3083" s="19">
        <v>8</v>
      </c>
      <c r="G3083" s="20">
        <f>IF(Sales[[#This Row],[Anggaran Murni]]-Sales[[#This Row],[Target s.d. Januari]]=0,"",Sales[[#This Row],[Anggaran Murni]]-Sales[[#This Row],[Target s.d. Januari]])</f>
        <v>2</v>
      </c>
      <c r="H3083" s="19" t="s">
        <v>73</v>
      </c>
      <c r="I3083" s="20" t="s">
        <v>78</v>
      </c>
      <c r="J3083" s="20">
        <v>60000000</v>
      </c>
      <c r="K3083" s="19" t="s">
        <v>39</v>
      </c>
      <c r="L3083" s="19" t="s">
        <v>5</v>
      </c>
      <c r="M3083" s="21" t="s">
        <v>86</v>
      </c>
      <c r="N3083" s="20" t="s">
        <v>83</v>
      </c>
      <c r="O3083" s="19" t="s">
        <v>14</v>
      </c>
      <c r="P3083" s="10"/>
      <c r="Q3083" s="11"/>
    </row>
    <row r="3084" spans="2:17" ht="21" customHeight="1" x14ac:dyDescent="0.35">
      <c r="B3084" s="1">
        <v>44191</v>
      </c>
      <c r="C3084" s="1" t="str">
        <f>TEXT(Sales[[#This Row],[Kode Program/Kegiatan ]],"D")</f>
        <v>26</v>
      </c>
      <c r="D3084" s="2" t="str">
        <f>TEXT(Sales[[#This Row],[Kode Program/Kegiatan ]],"mmm")</f>
        <v>Dec</v>
      </c>
      <c r="E3084" s="3">
        <v>10</v>
      </c>
      <c r="F3084" s="2">
        <v>8</v>
      </c>
      <c r="G3084" s="3">
        <f>IF(Sales[[#This Row],[Anggaran Murni]]-Sales[[#This Row],[Target s.d. Januari]]=0,"",Sales[[#This Row],[Anggaran Murni]]-Sales[[#This Row],[Target s.d. Januari]])</f>
        <v>2</v>
      </c>
      <c r="H3084" s="2" t="s">
        <v>73</v>
      </c>
      <c r="I3084" s="3" t="s">
        <v>78</v>
      </c>
      <c r="J3084" s="3">
        <v>120000000</v>
      </c>
      <c r="K3084" s="2" t="s">
        <v>32</v>
      </c>
      <c r="L3084" s="2" t="s">
        <v>2</v>
      </c>
      <c r="M3084" s="4" t="s">
        <v>86</v>
      </c>
      <c r="N3084" s="3" t="s">
        <v>83</v>
      </c>
      <c r="O3084" s="2" t="s">
        <v>14</v>
      </c>
      <c r="P3084" s="10"/>
      <c r="Q3084" s="11"/>
    </row>
    <row r="3085" spans="2:17" ht="21" customHeight="1" x14ac:dyDescent="0.35">
      <c r="B3085" s="18">
        <v>44191</v>
      </c>
      <c r="C3085" s="18" t="str">
        <f>TEXT(Sales[[#This Row],[Kode Program/Kegiatan ]],"D")</f>
        <v>26</v>
      </c>
      <c r="D3085" s="19" t="str">
        <f>TEXT(Sales[[#This Row],[Kode Program/Kegiatan ]],"mmm")</f>
        <v>Dec</v>
      </c>
      <c r="E3085" s="20">
        <v>9</v>
      </c>
      <c r="F3085" s="19">
        <v>8</v>
      </c>
      <c r="G3085" s="20">
        <f>IF(Sales[[#This Row],[Anggaran Murni]]-Sales[[#This Row],[Target s.d. Januari]]=0,"",Sales[[#This Row],[Anggaran Murni]]-Sales[[#This Row],[Target s.d. Januari]])</f>
        <v>1</v>
      </c>
      <c r="H3085" s="19" t="s">
        <v>71</v>
      </c>
      <c r="I3085" s="20" t="s">
        <v>6</v>
      </c>
      <c r="J3085" s="20">
        <v>140000000</v>
      </c>
      <c r="K3085" s="19" t="s">
        <v>52</v>
      </c>
      <c r="L3085" s="19" t="s">
        <v>7</v>
      </c>
      <c r="M3085" s="21" t="s">
        <v>86</v>
      </c>
      <c r="N3085" s="20" t="s">
        <v>83</v>
      </c>
      <c r="O3085" s="19" t="s">
        <v>11</v>
      </c>
      <c r="P3085" s="10"/>
      <c r="Q3085" s="11"/>
    </row>
    <row r="3086" spans="2:17" ht="21" customHeight="1" x14ac:dyDescent="0.35">
      <c r="B3086" s="1">
        <v>44191</v>
      </c>
      <c r="C3086" s="1" t="str">
        <f>TEXT(Sales[[#This Row],[Kode Program/Kegiatan ]],"D")</f>
        <v>26</v>
      </c>
      <c r="D3086" s="2" t="str">
        <f>TEXT(Sales[[#This Row],[Kode Program/Kegiatan ]],"mmm")</f>
        <v>Dec</v>
      </c>
      <c r="E3086" s="3">
        <v>8</v>
      </c>
      <c r="F3086" s="2">
        <v>7</v>
      </c>
      <c r="G3086" s="3">
        <f>IF(Sales[[#This Row],[Anggaran Murni]]-Sales[[#This Row],[Target s.d. Januari]]=0,"",Sales[[#This Row],[Anggaran Murni]]-Sales[[#This Row],[Target s.d. Januari]])</f>
        <v>1</v>
      </c>
      <c r="H3086" s="2" t="s">
        <v>114</v>
      </c>
      <c r="I3086" s="3" t="s">
        <v>3</v>
      </c>
      <c r="J3086" s="3">
        <v>60000000</v>
      </c>
      <c r="K3086" s="2" t="s">
        <v>37</v>
      </c>
      <c r="L3086" s="2" t="s">
        <v>5</v>
      </c>
      <c r="M3086" s="4" t="s">
        <v>86</v>
      </c>
      <c r="N3086" s="3" t="s">
        <v>83</v>
      </c>
      <c r="O3086" s="2" t="s">
        <v>14</v>
      </c>
      <c r="P3086" s="10"/>
      <c r="Q3086" s="11"/>
    </row>
    <row r="3087" spans="2:17" ht="21" customHeight="1" x14ac:dyDescent="0.35">
      <c r="B3087" s="18">
        <v>44191</v>
      </c>
      <c r="C3087" s="18" t="str">
        <f>TEXT(Sales[[#This Row],[Kode Program/Kegiatan ]],"D")</f>
        <v>26</v>
      </c>
      <c r="D3087" s="19" t="str">
        <f>TEXT(Sales[[#This Row],[Kode Program/Kegiatan ]],"mmm")</f>
        <v>Dec</v>
      </c>
      <c r="E3087" s="20">
        <v>7</v>
      </c>
      <c r="F3087" s="19">
        <v>6</v>
      </c>
      <c r="G3087" s="20">
        <f>IF(Sales[[#This Row],[Anggaran Murni]]-Sales[[#This Row],[Target s.d. Januari]]=0,"",Sales[[#This Row],[Anggaran Murni]]-Sales[[#This Row],[Target s.d. Januari]])</f>
        <v>1</v>
      </c>
      <c r="H3087" s="19" t="s">
        <v>74</v>
      </c>
      <c r="I3087" s="20" t="s">
        <v>77</v>
      </c>
      <c r="J3087" s="20">
        <v>120000000</v>
      </c>
      <c r="K3087" s="19" t="s">
        <v>29</v>
      </c>
      <c r="L3087" s="19" t="s">
        <v>5</v>
      </c>
      <c r="M3087" s="21" t="s">
        <v>86</v>
      </c>
      <c r="N3087" s="20" t="s">
        <v>83</v>
      </c>
      <c r="O3087" s="19" t="s">
        <v>11</v>
      </c>
      <c r="P3087" s="10"/>
      <c r="Q3087" s="11"/>
    </row>
    <row r="3088" spans="2:17" ht="21" customHeight="1" x14ac:dyDescent="0.35">
      <c r="B3088" s="1">
        <v>44191</v>
      </c>
      <c r="C3088" s="1" t="str">
        <f>TEXT(Sales[[#This Row],[Kode Program/Kegiatan ]],"D")</f>
        <v>26</v>
      </c>
      <c r="D3088" s="2" t="str">
        <f>TEXT(Sales[[#This Row],[Kode Program/Kegiatan ]],"mmm")</f>
        <v>Dec</v>
      </c>
      <c r="E3088" s="3">
        <v>6</v>
      </c>
      <c r="F3088" s="2">
        <v>5</v>
      </c>
      <c r="G3088" s="3">
        <f>IF(Sales[[#This Row],[Anggaran Murni]]-Sales[[#This Row],[Target s.d. Januari]]=0,"",Sales[[#This Row],[Anggaran Murni]]-Sales[[#This Row],[Target s.d. Januari]])</f>
        <v>1</v>
      </c>
      <c r="H3088" s="2" t="s">
        <v>74</v>
      </c>
      <c r="I3088" s="3" t="s">
        <v>77</v>
      </c>
      <c r="J3088" s="3">
        <v>80000000</v>
      </c>
      <c r="K3088" s="2" t="s">
        <v>52</v>
      </c>
      <c r="L3088" s="2" t="s">
        <v>2</v>
      </c>
      <c r="M3088" s="4" t="s">
        <v>86</v>
      </c>
      <c r="N3088" s="3" t="s">
        <v>83</v>
      </c>
      <c r="O3088" s="2" t="s">
        <v>13</v>
      </c>
      <c r="P3088" s="10"/>
      <c r="Q3088" s="11"/>
    </row>
    <row r="3089" spans="2:17" ht="21" customHeight="1" x14ac:dyDescent="0.35">
      <c r="B3089" s="18">
        <v>44191</v>
      </c>
      <c r="C3089" s="18" t="str">
        <f>TEXT(Sales[[#This Row],[Kode Program/Kegiatan ]],"D")</f>
        <v>26</v>
      </c>
      <c r="D3089" s="19" t="str">
        <f>TEXT(Sales[[#This Row],[Kode Program/Kegiatan ]],"mmm")</f>
        <v>Dec</v>
      </c>
      <c r="E3089" s="20">
        <v>4</v>
      </c>
      <c r="F3089" s="19">
        <v>2</v>
      </c>
      <c r="G3089" s="20">
        <f>IF(Sales[[#This Row],[Anggaran Murni]]-Sales[[#This Row],[Target s.d. Januari]]=0,"",Sales[[#This Row],[Anggaran Murni]]-Sales[[#This Row],[Target s.d. Januari]])</f>
        <v>2</v>
      </c>
      <c r="H3089" s="19" t="s">
        <v>74</v>
      </c>
      <c r="I3089" s="20" t="s">
        <v>77</v>
      </c>
      <c r="J3089" s="20">
        <v>80000000</v>
      </c>
      <c r="K3089" s="19" t="s">
        <v>21</v>
      </c>
      <c r="L3089" s="19" t="s">
        <v>4</v>
      </c>
      <c r="M3089" s="21" t="s">
        <v>86</v>
      </c>
      <c r="N3089" s="20" t="s">
        <v>83</v>
      </c>
      <c r="O3089" s="19" t="s">
        <v>14</v>
      </c>
      <c r="P3089" s="10"/>
      <c r="Q3089" s="11"/>
    </row>
    <row r="3090" spans="2:17" ht="21" customHeight="1" x14ac:dyDescent="0.35">
      <c r="B3090" s="1">
        <v>44191</v>
      </c>
      <c r="C3090" s="1" t="str">
        <f>TEXT(Sales[[#This Row],[Kode Program/Kegiatan ]],"D")</f>
        <v>26</v>
      </c>
      <c r="D3090" s="2" t="str">
        <f>TEXT(Sales[[#This Row],[Kode Program/Kegiatan ]],"mmm")</f>
        <v>Dec</v>
      </c>
      <c r="E3090" s="3">
        <v>3</v>
      </c>
      <c r="F3090" s="2">
        <v>1</v>
      </c>
      <c r="G3090" s="3">
        <f>IF(Sales[[#This Row],[Anggaran Murni]]-Sales[[#This Row],[Target s.d. Januari]]=0,"",Sales[[#This Row],[Anggaran Murni]]-Sales[[#This Row],[Target s.d. Januari]])</f>
        <v>2</v>
      </c>
      <c r="H3090" s="2" t="s">
        <v>74</v>
      </c>
      <c r="I3090" s="3" t="s">
        <v>77</v>
      </c>
      <c r="J3090" s="3">
        <v>120000000</v>
      </c>
      <c r="K3090" s="2" t="s">
        <v>39</v>
      </c>
      <c r="L3090" s="2" t="s">
        <v>8</v>
      </c>
      <c r="M3090" s="4" t="s">
        <v>86</v>
      </c>
      <c r="N3090" s="3" t="s">
        <v>83</v>
      </c>
      <c r="O3090" s="2" t="s">
        <v>12</v>
      </c>
      <c r="P3090" s="10"/>
      <c r="Q3090" s="11"/>
    </row>
    <row r="3091" spans="2:17" ht="21" customHeight="1" x14ac:dyDescent="0.35">
      <c r="B3091" s="18">
        <v>44192</v>
      </c>
      <c r="C3091" s="18" t="str">
        <f>TEXT(Sales[[#This Row],[Kode Program/Kegiatan ]],"D")</f>
        <v>27</v>
      </c>
      <c r="D3091" s="19" t="str">
        <f>TEXT(Sales[[#This Row],[Kode Program/Kegiatan ]],"mmm")</f>
        <v>Dec</v>
      </c>
      <c r="E3091" s="20">
        <v>10</v>
      </c>
      <c r="F3091" s="19">
        <v>9</v>
      </c>
      <c r="G3091" s="20">
        <f>IF(Sales[[#This Row],[Anggaran Murni]]-Sales[[#This Row],[Target s.d. Januari]]=0,"",Sales[[#This Row],[Anggaran Murni]]-Sales[[#This Row],[Target s.d. Januari]])</f>
        <v>1</v>
      </c>
      <c r="H3091" s="19" t="s">
        <v>72</v>
      </c>
      <c r="I3091" s="20" t="s">
        <v>78</v>
      </c>
      <c r="J3091" s="20">
        <v>40000000</v>
      </c>
      <c r="K3091" s="19" t="s">
        <v>50</v>
      </c>
      <c r="L3091" s="19" t="s">
        <v>2</v>
      </c>
      <c r="M3091" s="21" t="s">
        <v>86</v>
      </c>
      <c r="N3091" s="20" t="s">
        <v>83</v>
      </c>
      <c r="O3091" s="19" t="s">
        <v>11</v>
      </c>
      <c r="P3091" s="10"/>
      <c r="Q3091" s="11"/>
    </row>
    <row r="3092" spans="2:17" ht="21" customHeight="1" x14ac:dyDescent="0.35">
      <c r="B3092" s="1">
        <v>44192</v>
      </c>
      <c r="C3092" s="1" t="str">
        <f>TEXT(Sales[[#This Row],[Kode Program/Kegiatan ]],"D")</f>
        <v>27</v>
      </c>
      <c r="D3092" s="2" t="str">
        <f>TEXT(Sales[[#This Row],[Kode Program/Kegiatan ]],"mmm")</f>
        <v>Dec</v>
      </c>
      <c r="E3092" s="3">
        <v>10</v>
      </c>
      <c r="F3092" s="2">
        <v>8</v>
      </c>
      <c r="G3092" s="3">
        <f>IF(Sales[[#This Row],[Anggaran Murni]]-Sales[[#This Row],[Target s.d. Januari]]=0,"",Sales[[#This Row],[Anggaran Murni]]-Sales[[#This Row],[Target s.d. Januari]])</f>
        <v>2</v>
      </c>
      <c r="H3092" s="2" t="s">
        <v>74</v>
      </c>
      <c r="I3092" s="3" t="s">
        <v>77</v>
      </c>
      <c r="J3092" s="3">
        <v>80000000</v>
      </c>
      <c r="K3092" s="2" t="s">
        <v>33</v>
      </c>
      <c r="L3092" s="2" t="s">
        <v>5</v>
      </c>
      <c r="M3092" s="4" t="s">
        <v>86</v>
      </c>
      <c r="N3092" s="3" t="s">
        <v>83</v>
      </c>
      <c r="O3092" s="2" t="s">
        <v>12</v>
      </c>
      <c r="P3092" s="10"/>
      <c r="Q3092" s="11"/>
    </row>
    <row r="3093" spans="2:17" ht="21" customHeight="1" x14ac:dyDescent="0.35">
      <c r="B3093" s="18">
        <v>44192</v>
      </c>
      <c r="C3093" s="18" t="str">
        <f>TEXT(Sales[[#This Row],[Kode Program/Kegiatan ]],"D")</f>
        <v>27</v>
      </c>
      <c r="D3093" s="19" t="str">
        <f>TEXT(Sales[[#This Row],[Kode Program/Kegiatan ]],"mmm")</f>
        <v>Dec</v>
      </c>
      <c r="E3093" s="20">
        <v>7</v>
      </c>
      <c r="F3093" s="19">
        <v>5</v>
      </c>
      <c r="G3093" s="20">
        <f>IF(Sales[[#This Row],[Anggaran Murni]]-Sales[[#This Row],[Target s.d. Januari]]=0,"",Sales[[#This Row],[Anggaran Murni]]-Sales[[#This Row],[Target s.d. Januari]])</f>
        <v>2</v>
      </c>
      <c r="H3093" s="19" t="s">
        <v>75</v>
      </c>
      <c r="I3093" s="20" t="s">
        <v>6</v>
      </c>
      <c r="J3093" s="20">
        <v>60000000</v>
      </c>
      <c r="K3093" s="19" t="s">
        <v>44</v>
      </c>
      <c r="L3093" s="19" t="s">
        <v>8</v>
      </c>
      <c r="M3093" s="21" t="s">
        <v>86</v>
      </c>
      <c r="N3093" s="20" t="s">
        <v>83</v>
      </c>
      <c r="O3093" s="19" t="s">
        <v>12</v>
      </c>
      <c r="P3093" s="10"/>
      <c r="Q3093" s="11"/>
    </row>
    <row r="3094" spans="2:17" ht="21" customHeight="1" x14ac:dyDescent="0.35">
      <c r="B3094" s="1">
        <v>44192</v>
      </c>
      <c r="C3094" s="1" t="str">
        <f>TEXT(Sales[[#This Row],[Kode Program/Kegiatan ]],"D")</f>
        <v>27</v>
      </c>
      <c r="D3094" s="2" t="str">
        <f>TEXT(Sales[[#This Row],[Kode Program/Kegiatan ]],"mmm")</f>
        <v>Dec</v>
      </c>
      <c r="E3094" s="3">
        <v>7</v>
      </c>
      <c r="F3094" s="2">
        <v>6</v>
      </c>
      <c r="G3094" s="3">
        <f>IF(Sales[[#This Row],[Anggaran Murni]]-Sales[[#This Row],[Target s.d. Januari]]=0,"",Sales[[#This Row],[Anggaran Murni]]-Sales[[#This Row],[Target s.d. Januari]])</f>
        <v>1</v>
      </c>
      <c r="H3094" s="2" t="s">
        <v>74</v>
      </c>
      <c r="I3094" s="3" t="s">
        <v>77</v>
      </c>
      <c r="J3094" s="3">
        <v>100000000</v>
      </c>
      <c r="K3094" s="2" t="s">
        <v>35</v>
      </c>
      <c r="L3094" s="2" t="s">
        <v>2</v>
      </c>
      <c r="M3094" s="4" t="s">
        <v>86</v>
      </c>
      <c r="N3094" s="3" t="s">
        <v>83</v>
      </c>
      <c r="O3094" s="2" t="s">
        <v>14</v>
      </c>
      <c r="P3094" s="10"/>
      <c r="Q3094" s="11"/>
    </row>
    <row r="3095" spans="2:17" ht="21" customHeight="1" x14ac:dyDescent="0.35">
      <c r="B3095" s="18">
        <v>44192</v>
      </c>
      <c r="C3095" s="18" t="str">
        <f>TEXT(Sales[[#This Row],[Kode Program/Kegiatan ]],"D")</f>
        <v>27</v>
      </c>
      <c r="D3095" s="19" t="str">
        <f>TEXT(Sales[[#This Row],[Kode Program/Kegiatan ]],"mmm")</f>
        <v>Dec</v>
      </c>
      <c r="E3095" s="20">
        <v>6</v>
      </c>
      <c r="F3095" s="19">
        <v>4</v>
      </c>
      <c r="G3095" s="20">
        <f>IF(Sales[[#This Row],[Anggaran Murni]]-Sales[[#This Row],[Target s.d. Januari]]=0,"",Sales[[#This Row],[Anggaran Murni]]-Sales[[#This Row],[Target s.d. Januari]])</f>
        <v>2</v>
      </c>
      <c r="H3095" s="19" t="s">
        <v>73</v>
      </c>
      <c r="I3095" s="20" t="s">
        <v>78</v>
      </c>
      <c r="J3095" s="20">
        <v>60000000</v>
      </c>
      <c r="K3095" s="19" t="s">
        <v>61</v>
      </c>
      <c r="L3095" s="19" t="s">
        <v>5</v>
      </c>
      <c r="M3095" s="21" t="s">
        <v>86</v>
      </c>
      <c r="N3095" s="20" t="s">
        <v>83</v>
      </c>
      <c r="O3095" s="19" t="s">
        <v>14</v>
      </c>
      <c r="P3095" s="10"/>
      <c r="Q3095" s="11"/>
    </row>
    <row r="3096" spans="2:17" ht="21" customHeight="1" x14ac:dyDescent="0.35">
      <c r="B3096" s="1">
        <v>44192</v>
      </c>
      <c r="C3096" s="1" t="str">
        <f>TEXT(Sales[[#This Row],[Kode Program/Kegiatan ]],"D")</f>
        <v>27</v>
      </c>
      <c r="D3096" s="2" t="str">
        <f>TEXT(Sales[[#This Row],[Kode Program/Kegiatan ]],"mmm")</f>
        <v>Dec</v>
      </c>
      <c r="E3096" s="3">
        <v>6</v>
      </c>
      <c r="F3096" s="2">
        <v>5</v>
      </c>
      <c r="G3096" s="3">
        <f>IF(Sales[[#This Row],[Anggaran Murni]]-Sales[[#This Row],[Target s.d. Januari]]=0,"",Sales[[#This Row],[Anggaran Murni]]-Sales[[#This Row],[Target s.d. Januari]])</f>
        <v>1</v>
      </c>
      <c r="H3096" s="2" t="s">
        <v>76</v>
      </c>
      <c r="I3096" s="3" t="s">
        <v>79</v>
      </c>
      <c r="J3096" s="3">
        <v>120000000</v>
      </c>
      <c r="K3096" s="2" t="s">
        <v>53</v>
      </c>
      <c r="L3096" s="2" t="s">
        <v>2</v>
      </c>
      <c r="M3096" s="4" t="s">
        <v>86</v>
      </c>
      <c r="N3096" s="3" t="s">
        <v>83</v>
      </c>
      <c r="O3096" s="2" t="s">
        <v>14</v>
      </c>
      <c r="P3096" s="10"/>
      <c r="Q3096" s="11"/>
    </row>
    <row r="3097" spans="2:17" ht="21" customHeight="1" x14ac:dyDescent="0.35">
      <c r="B3097" s="18">
        <v>44192</v>
      </c>
      <c r="C3097" s="18" t="str">
        <f>TEXT(Sales[[#This Row],[Kode Program/Kegiatan ]],"D")</f>
        <v>27</v>
      </c>
      <c r="D3097" s="19" t="str">
        <f>TEXT(Sales[[#This Row],[Kode Program/Kegiatan ]],"mmm")</f>
        <v>Dec</v>
      </c>
      <c r="E3097" s="20">
        <v>6</v>
      </c>
      <c r="F3097" s="19">
        <v>4</v>
      </c>
      <c r="G3097" s="20">
        <f>IF(Sales[[#This Row],[Anggaran Murni]]-Sales[[#This Row],[Target s.d. Januari]]=0,"",Sales[[#This Row],[Anggaran Murni]]-Sales[[#This Row],[Target s.d. Januari]])</f>
        <v>2</v>
      </c>
      <c r="H3097" s="19" t="s">
        <v>70</v>
      </c>
      <c r="I3097" s="20" t="s">
        <v>1</v>
      </c>
      <c r="J3097" s="20">
        <v>120000000</v>
      </c>
      <c r="K3097" s="19" t="s">
        <v>62</v>
      </c>
      <c r="L3097" s="19" t="s">
        <v>2</v>
      </c>
      <c r="M3097" s="21" t="s">
        <v>86</v>
      </c>
      <c r="N3097" s="20" t="s">
        <v>83</v>
      </c>
      <c r="O3097" s="19" t="s">
        <v>11</v>
      </c>
      <c r="P3097" s="10"/>
      <c r="Q3097" s="11"/>
    </row>
    <row r="3098" spans="2:17" ht="21" customHeight="1" x14ac:dyDescent="0.35">
      <c r="B3098" s="1">
        <v>44192</v>
      </c>
      <c r="C3098" s="1" t="str">
        <f>TEXT(Sales[[#This Row],[Kode Program/Kegiatan ]],"D")</f>
        <v>27</v>
      </c>
      <c r="D3098" s="2" t="str">
        <f>TEXT(Sales[[#This Row],[Kode Program/Kegiatan ]],"mmm")</f>
        <v>Dec</v>
      </c>
      <c r="E3098" s="3">
        <v>5</v>
      </c>
      <c r="F3098" s="2">
        <v>3</v>
      </c>
      <c r="G3098" s="3">
        <f>IF(Sales[[#This Row],[Anggaran Murni]]-Sales[[#This Row],[Target s.d. Januari]]=0,"",Sales[[#This Row],[Anggaran Murni]]-Sales[[#This Row],[Target s.d. Januari]])</f>
        <v>2</v>
      </c>
      <c r="H3098" s="2" t="s">
        <v>74</v>
      </c>
      <c r="I3098" s="3" t="s">
        <v>77</v>
      </c>
      <c r="J3098" s="3">
        <v>100000000</v>
      </c>
      <c r="K3098" s="2" t="s">
        <v>30</v>
      </c>
      <c r="L3098" s="2" t="s">
        <v>2</v>
      </c>
      <c r="M3098" s="4" t="s">
        <v>86</v>
      </c>
      <c r="N3098" s="3" t="s">
        <v>83</v>
      </c>
      <c r="O3098" s="2" t="s">
        <v>11</v>
      </c>
      <c r="P3098" s="10"/>
      <c r="Q3098" s="11"/>
    </row>
    <row r="3099" spans="2:17" ht="21" customHeight="1" x14ac:dyDescent="0.35">
      <c r="B3099" s="18">
        <v>44192</v>
      </c>
      <c r="C3099" s="18" t="str">
        <f>TEXT(Sales[[#This Row],[Kode Program/Kegiatan ]],"D")</f>
        <v>27</v>
      </c>
      <c r="D3099" s="19" t="str">
        <f>TEXT(Sales[[#This Row],[Kode Program/Kegiatan ]],"mmm")</f>
        <v>Dec</v>
      </c>
      <c r="E3099" s="20">
        <v>5</v>
      </c>
      <c r="F3099" s="19">
        <v>4</v>
      </c>
      <c r="G3099" s="20">
        <f>IF(Sales[[#This Row],[Anggaran Murni]]-Sales[[#This Row],[Target s.d. Januari]]=0,"",Sales[[#This Row],[Anggaran Murni]]-Sales[[#This Row],[Target s.d. Januari]])</f>
        <v>1</v>
      </c>
      <c r="H3099" s="19" t="s">
        <v>76</v>
      </c>
      <c r="I3099" s="20" t="s">
        <v>79</v>
      </c>
      <c r="J3099" s="20">
        <v>80000000</v>
      </c>
      <c r="K3099" s="19" t="s">
        <v>62</v>
      </c>
      <c r="L3099" s="19" t="s">
        <v>2</v>
      </c>
      <c r="M3099" s="21" t="s">
        <v>86</v>
      </c>
      <c r="N3099" s="20" t="s">
        <v>83</v>
      </c>
      <c r="O3099" s="19" t="s">
        <v>11</v>
      </c>
      <c r="P3099" s="10"/>
      <c r="Q3099" s="11"/>
    </row>
    <row r="3100" spans="2:17" ht="21" customHeight="1" x14ac:dyDescent="0.35">
      <c r="B3100" s="1">
        <v>44192</v>
      </c>
      <c r="C3100" s="1" t="str">
        <f>TEXT(Sales[[#This Row],[Kode Program/Kegiatan ]],"D")</f>
        <v>27</v>
      </c>
      <c r="D3100" s="2" t="str">
        <f>TEXT(Sales[[#This Row],[Kode Program/Kegiatan ]],"mmm")</f>
        <v>Dec</v>
      </c>
      <c r="E3100" s="3">
        <v>4</v>
      </c>
      <c r="F3100" s="2">
        <v>3</v>
      </c>
      <c r="G3100" s="3">
        <f>IF(Sales[[#This Row],[Anggaran Murni]]-Sales[[#This Row],[Target s.d. Januari]]=0,"",Sales[[#This Row],[Anggaran Murni]]-Sales[[#This Row],[Target s.d. Januari]])</f>
        <v>1</v>
      </c>
      <c r="H3100" s="2" t="s">
        <v>71</v>
      </c>
      <c r="I3100" s="3" t="s">
        <v>6</v>
      </c>
      <c r="J3100" s="3">
        <v>140000000</v>
      </c>
      <c r="K3100" s="2" t="s">
        <v>19</v>
      </c>
      <c r="L3100" s="2" t="s">
        <v>8</v>
      </c>
      <c r="M3100" s="4" t="s">
        <v>86</v>
      </c>
      <c r="N3100" s="3" t="s">
        <v>83</v>
      </c>
      <c r="O3100" s="2" t="s">
        <v>12</v>
      </c>
      <c r="P3100" s="10"/>
      <c r="Q3100" s="11"/>
    </row>
    <row r="3101" spans="2:17" ht="21" customHeight="1" x14ac:dyDescent="0.35">
      <c r="B3101" s="18">
        <v>44192</v>
      </c>
      <c r="C3101" s="18" t="str">
        <f>TEXT(Sales[[#This Row],[Kode Program/Kegiatan ]],"D")</f>
        <v>27</v>
      </c>
      <c r="D3101" s="19" t="str">
        <f>TEXT(Sales[[#This Row],[Kode Program/Kegiatan ]],"mmm")</f>
        <v>Dec</v>
      </c>
      <c r="E3101" s="20">
        <v>4</v>
      </c>
      <c r="F3101" s="19">
        <v>2</v>
      </c>
      <c r="G3101" s="20">
        <f>IF(Sales[[#This Row],[Anggaran Murni]]-Sales[[#This Row],[Target s.d. Januari]]=0,"",Sales[[#This Row],[Anggaran Murni]]-Sales[[#This Row],[Target s.d. Januari]])</f>
        <v>2</v>
      </c>
      <c r="H3101" s="19" t="s">
        <v>74</v>
      </c>
      <c r="I3101" s="20" t="s">
        <v>77</v>
      </c>
      <c r="J3101" s="20">
        <v>120000000</v>
      </c>
      <c r="K3101" s="19" t="s">
        <v>54</v>
      </c>
      <c r="L3101" s="19" t="s">
        <v>2</v>
      </c>
      <c r="M3101" s="21" t="s">
        <v>86</v>
      </c>
      <c r="N3101" s="20" t="s">
        <v>83</v>
      </c>
      <c r="O3101" s="19" t="s">
        <v>11</v>
      </c>
      <c r="P3101" s="10"/>
      <c r="Q3101" s="11"/>
    </row>
    <row r="3102" spans="2:17" ht="21" customHeight="1" x14ac:dyDescent="0.35">
      <c r="B3102" s="1">
        <v>44193</v>
      </c>
      <c r="C3102" s="1" t="str">
        <f>TEXT(Sales[[#This Row],[Kode Program/Kegiatan ]],"D")</f>
        <v>28</v>
      </c>
      <c r="D3102" s="2" t="str">
        <f>TEXT(Sales[[#This Row],[Kode Program/Kegiatan ]],"mmm")</f>
        <v>Dec</v>
      </c>
      <c r="E3102" s="3">
        <v>10</v>
      </c>
      <c r="F3102" s="2">
        <v>8</v>
      </c>
      <c r="G3102" s="3">
        <f>IF(Sales[[#This Row],[Anggaran Murni]]-Sales[[#This Row],[Target s.d. Januari]]=0,"",Sales[[#This Row],[Anggaran Murni]]-Sales[[#This Row],[Target s.d. Januari]])</f>
        <v>2</v>
      </c>
      <c r="H3102" s="2" t="s">
        <v>76</v>
      </c>
      <c r="I3102" s="3" t="s">
        <v>79</v>
      </c>
      <c r="J3102" s="3">
        <v>120000000</v>
      </c>
      <c r="K3102" s="2" t="s">
        <v>53</v>
      </c>
      <c r="L3102" s="2" t="s">
        <v>2</v>
      </c>
      <c r="M3102" s="4" t="s">
        <v>86</v>
      </c>
      <c r="N3102" s="3" t="s">
        <v>83</v>
      </c>
      <c r="O3102" s="2" t="s">
        <v>13</v>
      </c>
      <c r="P3102" s="10"/>
      <c r="Q3102" s="11"/>
    </row>
    <row r="3103" spans="2:17" ht="21" customHeight="1" x14ac:dyDescent="0.35">
      <c r="B3103" s="18">
        <v>44193</v>
      </c>
      <c r="C3103" s="18" t="str">
        <f>TEXT(Sales[[#This Row],[Kode Program/Kegiatan ]],"D")</f>
        <v>28</v>
      </c>
      <c r="D3103" s="19" t="str">
        <f>TEXT(Sales[[#This Row],[Kode Program/Kegiatan ]],"mmm")</f>
        <v>Dec</v>
      </c>
      <c r="E3103" s="20">
        <v>10</v>
      </c>
      <c r="F3103" s="19">
        <v>6</v>
      </c>
      <c r="G3103" s="20">
        <f>IF(Sales[[#This Row],[Anggaran Murni]]-Sales[[#This Row],[Target s.d. Januari]]=0,"",Sales[[#This Row],[Anggaran Murni]]-Sales[[#This Row],[Target s.d. Januari]])</f>
        <v>4</v>
      </c>
      <c r="H3103" s="19" t="s">
        <v>70</v>
      </c>
      <c r="I3103" s="20" t="s">
        <v>1</v>
      </c>
      <c r="J3103" s="20">
        <v>120000000</v>
      </c>
      <c r="K3103" s="19" t="s">
        <v>23</v>
      </c>
      <c r="L3103" s="19" t="s">
        <v>5</v>
      </c>
      <c r="M3103" s="21" t="s">
        <v>86</v>
      </c>
      <c r="N3103" s="20" t="s">
        <v>83</v>
      </c>
      <c r="O3103" s="19" t="s">
        <v>13</v>
      </c>
      <c r="P3103" s="10"/>
      <c r="Q3103" s="11"/>
    </row>
    <row r="3104" spans="2:17" ht="21" customHeight="1" x14ac:dyDescent="0.35">
      <c r="B3104" s="1">
        <v>44193</v>
      </c>
      <c r="C3104" s="1" t="str">
        <f>TEXT(Sales[[#This Row],[Kode Program/Kegiatan ]],"D")</f>
        <v>28</v>
      </c>
      <c r="D3104" s="2" t="str">
        <f>TEXT(Sales[[#This Row],[Kode Program/Kegiatan ]],"mmm")</f>
        <v>Dec</v>
      </c>
      <c r="E3104" s="3">
        <v>9</v>
      </c>
      <c r="F3104" s="2">
        <v>7</v>
      </c>
      <c r="G3104" s="3">
        <f>IF(Sales[[#This Row],[Anggaran Murni]]-Sales[[#This Row],[Target s.d. Januari]]=0,"",Sales[[#This Row],[Anggaran Murni]]-Sales[[#This Row],[Target s.d. Januari]])</f>
        <v>2</v>
      </c>
      <c r="H3104" s="2" t="s">
        <v>72</v>
      </c>
      <c r="I3104" s="3" t="s">
        <v>78</v>
      </c>
      <c r="J3104" s="3">
        <v>40000000</v>
      </c>
      <c r="K3104" s="2" t="s">
        <v>51</v>
      </c>
      <c r="L3104" s="2" t="s">
        <v>9</v>
      </c>
      <c r="M3104" s="4" t="s">
        <v>86</v>
      </c>
      <c r="N3104" s="3" t="s">
        <v>83</v>
      </c>
      <c r="O3104" s="2" t="s">
        <v>13</v>
      </c>
      <c r="P3104" s="10"/>
      <c r="Q3104" s="11"/>
    </row>
    <row r="3105" spans="2:17" ht="21" customHeight="1" x14ac:dyDescent="0.35">
      <c r="B3105" s="18">
        <v>44193</v>
      </c>
      <c r="C3105" s="18" t="str">
        <f>TEXT(Sales[[#This Row],[Kode Program/Kegiatan ]],"D")</f>
        <v>28</v>
      </c>
      <c r="D3105" s="19" t="str">
        <f>TEXT(Sales[[#This Row],[Kode Program/Kegiatan ]],"mmm")</f>
        <v>Dec</v>
      </c>
      <c r="E3105" s="20">
        <v>8</v>
      </c>
      <c r="F3105" s="19">
        <v>5</v>
      </c>
      <c r="G3105" s="20">
        <f>IF(Sales[[#This Row],[Anggaran Murni]]-Sales[[#This Row],[Target s.d. Januari]]=0,"",Sales[[#This Row],[Anggaran Murni]]-Sales[[#This Row],[Target s.d. Januari]])</f>
        <v>3</v>
      </c>
      <c r="H3105" s="19" t="s">
        <v>113</v>
      </c>
      <c r="I3105" s="20" t="s">
        <v>77</v>
      </c>
      <c r="J3105" s="20">
        <v>140000000</v>
      </c>
      <c r="K3105" s="19" t="s">
        <v>44</v>
      </c>
      <c r="L3105" s="19" t="s">
        <v>2</v>
      </c>
      <c r="M3105" s="21" t="s">
        <v>86</v>
      </c>
      <c r="N3105" s="20" t="s">
        <v>83</v>
      </c>
      <c r="O3105" s="19" t="s">
        <v>14</v>
      </c>
      <c r="P3105" s="10"/>
      <c r="Q3105" s="11"/>
    </row>
    <row r="3106" spans="2:17" ht="21" customHeight="1" x14ac:dyDescent="0.35">
      <c r="B3106" s="1">
        <v>44193</v>
      </c>
      <c r="C3106" s="1" t="str">
        <f>TEXT(Sales[[#This Row],[Kode Program/Kegiatan ]],"D")</f>
        <v>28</v>
      </c>
      <c r="D3106" s="2" t="str">
        <f>TEXT(Sales[[#This Row],[Kode Program/Kegiatan ]],"mmm")</f>
        <v>Dec</v>
      </c>
      <c r="E3106" s="3">
        <v>7</v>
      </c>
      <c r="F3106" s="2">
        <v>6</v>
      </c>
      <c r="G3106" s="3">
        <f>IF(Sales[[#This Row],[Anggaran Murni]]-Sales[[#This Row],[Target s.d. Januari]]=0,"",Sales[[#This Row],[Anggaran Murni]]-Sales[[#This Row],[Target s.d. Januari]])</f>
        <v>1</v>
      </c>
      <c r="H3106" s="2" t="s">
        <v>74</v>
      </c>
      <c r="I3106" s="3" t="s">
        <v>77</v>
      </c>
      <c r="J3106" s="3">
        <v>100000000</v>
      </c>
      <c r="K3106" s="2" t="s">
        <v>59</v>
      </c>
      <c r="L3106" s="2" t="s">
        <v>8</v>
      </c>
      <c r="M3106" s="4" t="s">
        <v>86</v>
      </c>
      <c r="N3106" s="3" t="s">
        <v>83</v>
      </c>
      <c r="O3106" s="2" t="s">
        <v>12</v>
      </c>
      <c r="P3106" s="10"/>
      <c r="Q3106" s="11"/>
    </row>
    <row r="3107" spans="2:17" ht="21" customHeight="1" x14ac:dyDescent="0.35">
      <c r="B3107" s="18">
        <v>44193</v>
      </c>
      <c r="C3107" s="18" t="str">
        <f>TEXT(Sales[[#This Row],[Kode Program/Kegiatan ]],"D")</f>
        <v>28</v>
      </c>
      <c r="D3107" s="19" t="str">
        <f>TEXT(Sales[[#This Row],[Kode Program/Kegiatan ]],"mmm")</f>
        <v>Dec</v>
      </c>
      <c r="E3107" s="20">
        <v>6</v>
      </c>
      <c r="F3107" s="19">
        <v>4</v>
      </c>
      <c r="G3107" s="20">
        <f>IF(Sales[[#This Row],[Anggaran Murni]]-Sales[[#This Row],[Target s.d. Januari]]=0,"",Sales[[#This Row],[Anggaran Murni]]-Sales[[#This Row],[Target s.d. Januari]])</f>
        <v>2</v>
      </c>
      <c r="H3107" s="19" t="s">
        <v>74</v>
      </c>
      <c r="I3107" s="20" t="s">
        <v>77</v>
      </c>
      <c r="J3107" s="20">
        <v>80000000</v>
      </c>
      <c r="K3107" s="19" t="s">
        <v>63</v>
      </c>
      <c r="L3107" s="19" t="s">
        <v>5</v>
      </c>
      <c r="M3107" s="21" t="s">
        <v>86</v>
      </c>
      <c r="N3107" s="20" t="s">
        <v>83</v>
      </c>
      <c r="O3107" s="19" t="s">
        <v>13</v>
      </c>
      <c r="P3107" s="10"/>
      <c r="Q3107" s="11"/>
    </row>
    <row r="3108" spans="2:17" ht="21" customHeight="1" x14ac:dyDescent="0.35">
      <c r="B3108" s="1">
        <v>44193</v>
      </c>
      <c r="C3108" s="1" t="str">
        <f>TEXT(Sales[[#This Row],[Kode Program/Kegiatan ]],"D")</f>
        <v>28</v>
      </c>
      <c r="D3108" s="2" t="str">
        <f>TEXT(Sales[[#This Row],[Kode Program/Kegiatan ]],"mmm")</f>
        <v>Dec</v>
      </c>
      <c r="E3108" s="3">
        <v>6</v>
      </c>
      <c r="F3108" s="2">
        <v>5</v>
      </c>
      <c r="G3108" s="3">
        <f>IF(Sales[[#This Row],[Anggaran Murni]]-Sales[[#This Row],[Target s.d. Januari]]=0,"",Sales[[#This Row],[Anggaran Murni]]-Sales[[#This Row],[Target s.d. Januari]])</f>
        <v>1</v>
      </c>
      <c r="H3108" s="2" t="s">
        <v>114</v>
      </c>
      <c r="I3108" s="3" t="s">
        <v>3</v>
      </c>
      <c r="J3108" s="3">
        <v>140000000</v>
      </c>
      <c r="K3108" s="2" t="s">
        <v>30</v>
      </c>
      <c r="L3108" s="2" t="s">
        <v>5</v>
      </c>
      <c r="M3108" s="4" t="s">
        <v>86</v>
      </c>
      <c r="N3108" s="3" t="s">
        <v>83</v>
      </c>
      <c r="O3108" s="2" t="s">
        <v>13</v>
      </c>
      <c r="P3108" s="10"/>
      <c r="Q3108" s="11"/>
    </row>
    <row r="3109" spans="2:17" ht="21" customHeight="1" x14ac:dyDescent="0.35">
      <c r="B3109" s="18">
        <v>44193</v>
      </c>
      <c r="C3109" s="18" t="str">
        <f>TEXT(Sales[[#This Row],[Kode Program/Kegiatan ]],"D")</f>
        <v>28</v>
      </c>
      <c r="D3109" s="19" t="str">
        <f>TEXT(Sales[[#This Row],[Kode Program/Kegiatan ]],"mmm")</f>
        <v>Dec</v>
      </c>
      <c r="E3109" s="20">
        <v>6</v>
      </c>
      <c r="F3109" s="19">
        <v>5</v>
      </c>
      <c r="G3109" s="20">
        <f>IF(Sales[[#This Row],[Anggaran Murni]]-Sales[[#This Row],[Target s.d. Januari]]=0,"",Sales[[#This Row],[Anggaran Murni]]-Sales[[#This Row],[Target s.d. Januari]])</f>
        <v>1</v>
      </c>
      <c r="H3109" s="19" t="s">
        <v>74</v>
      </c>
      <c r="I3109" s="20" t="s">
        <v>77</v>
      </c>
      <c r="J3109" s="20">
        <v>140000000</v>
      </c>
      <c r="K3109" s="19" t="s">
        <v>30</v>
      </c>
      <c r="L3109" s="19" t="s">
        <v>2</v>
      </c>
      <c r="M3109" s="21" t="s">
        <v>86</v>
      </c>
      <c r="N3109" s="20" t="s">
        <v>83</v>
      </c>
      <c r="O3109" s="19" t="s">
        <v>13</v>
      </c>
      <c r="P3109" s="10"/>
      <c r="Q3109" s="11"/>
    </row>
    <row r="3110" spans="2:17" ht="21" customHeight="1" x14ac:dyDescent="0.35">
      <c r="B3110" s="1">
        <v>44193</v>
      </c>
      <c r="C3110" s="1" t="str">
        <f>TEXT(Sales[[#This Row],[Kode Program/Kegiatan ]],"D")</f>
        <v>28</v>
      </c>
      <c r="D3110" s="2" t="str">
        <f>TEXT(Sales[[#This Row],[Kode Program/Kegiatan ]],"mmm")</f>
        <v>Dec</v>
      </c>
      <c r="E3110" s="3">
        <v>5</v>
      </c>
      <c r="F3110" s="2">
        <v>3</v>
      </c>
      <c r="G3110" s="3">
        <f>IF(Sales[[#This Row],[Anggaran Murni]]-Sales[[#This Row],[Target s.d. Januari]]=0,"",Sales[[#This Row],[Anggaran Murni]]-Sales[[#This Row],[Target s.d. Januari]])</f>
        <v>2</v>
      </c>
      <c r="H3110" s="2" t="s">
        <v>73</v>
      </c>
      <c r="I3110" s="3" t="s">
        <v>78</v>
      </c>
      <c r="J3110" s="3">
        <v>120000000</v>
      </c>
      <c r="K3110" s="2" t="s">
        <v>49</v>
      </c>
      <c r="L3110" s="2" t="s">
        <v>2</v>
      </c>
      <c r="M3110" s="4" t="s">
        <v>86</v>
      </c>
      <c r="N3110" s="3" t="s">
        <v>83</v>
      </c>
      <c r="O3110" s="2" t="s">
        <v>11</v>
      </c>
      <c r="P3110" s="10"/>
      <c r="Q3110" s="11"/>
    </row>
    <row r="3111" spans="2:17" ht="21" customHeight="1" x14ac:dyDescent="0.35">
      <c r="B3111" s="18">
        <v>44193</v>
      </c>
      <c r="C3111" s="18" t="str">
        <f>TEXT(Sales[[#This Row],[Kode Program/Kegiatan ]],"D")</f>
        <v>28</v>
      </c>
      <c r="D3111" s="19" t="str">
        <f>TEXT(Sales[[#This Row],[Kode Program/Kegiatan ]],"mmm")</f>
        <v>Dec</v>
      </c>
      <c r="E3111" s="20">
        <v>5</v>
      </c>
      <c r="F3111" s="19">
        <v>3</v>
      </c>
      <c r="G3111" s="20">
        <f>IF(Sales[[#This Row],[Anggaran Murni]]-Sales[[#This Row],[Target s.d. Januari]]=0,"",Sales[[#This Row],[Anggaran Murni]]-Sales[[#This Row],[Target s.d. Januari]])</f>
        <v>2</v>
      </c>
      <c r="H3111" s="19" t="s">
        <v>74</v>
      </c>
      <c r="I3111" s="20" t="s">
        <v>77</v>
      </c>
      <c r="J3111" s="20">
        <v>80000000</v>
      </c>
      <c r="K3111" s="19" t="s">
        <v>24</v>
      </c>
      <c r="L3111" s="19" t="s">
        <v>5</v>
      </c>
      <c r="M3111" s="21" t="s">
        <v>86</v>
      </c>
      <c r="N3111" s="20" t="s">
        <v>83</v>
      </c>
      <c r="O3111" s="19" t="s">
        <v>13</v>
      </c>
      <c r="P3111" s="10"/>
      <c r="Q3111" s="11"/>
    </row>
    <row r="3112" spans="2:17" ht="21" customHeight="1" x14ac:dyDescent="0.35">
      <c r="B3112" s="1">
        <v>44193</v>
      </c>
      <c r="C3112" s="1" t="str">
        <f>TEXT(Sales[[#This Row],[Kode Program/Kegiatan ]],"D")</f>
        <v>28</v>
      </c>
      <c r="D3112" s="2" t="str">
        <f>TEXT(Sales[[#This Row],[Kode Program/Kegiatan ]],"mmm")</f>
        <v>Dec</v>
      </c>
      <c r="E3112" s="3">
        <v>4</v>
      </c>
      <c r="F3112" s="2">
        <v>2</v>
      </c>
      <c r="G3112" s="3">
        <f>IF(Sales[[#This Row],[Anggaran Murni]]-Sales[[#This Row],[Target s.d. Januari]]=0,"",Sales[[#This Row],[Anggaran Murni]]-Sales[[#This Row],[Target s.d. Januari]])</f>
        <v>2</v>
      </c>
      <c r="H3112" s="2" t="s">
        <v>75</v>
      </c>
      <c r="I3112" s="3" t="s">
        <v>6</v>
      </c>
      <c r="J3112" s="3">
        <v>40000000</v>
      </c>
      <c r="K3112" s="2" t="s">
        <v>18</v>
      </c>
      <c r="L3112" s="2" t="s">
        <v>2</v>
      </c>
      <c r="M3112" s="4" t="s">
        <v>86</v>
      </c>
      <c r="N3112" s="3" t="s">
        <v>83</v>
      </c>
      <c r="O3112" s="2" t="s">
        <v>11</v>
      </c>
      <c r="P3112" s="10"/>
      <c r="Q3112" s="11"/>
    </row>
    <row r="3113" spans="2:17" ht="21" customHeight="1" x14ac:dyDescent="0.35">
      <c r="B3113" s="18">
        <v>44193</v>
      </c>
      <c r="C3113" s="18" t="str">
        <f>TEXT(Sales[[#This Row],[Kode Program/Kegiatan ]],"D")</f>
        <v>28</v>
      </c>
      <c r="D3113" s="19" t="str">
        <f>TEXT(Sales[[#This Row],[Kode Program/Kegiatan ]],"mmm")</f>
        <v>Dec</v>
      </c>
      <c r="E3113" s="20">
        <v>3</v>
      </c>
      <c r="F3113" s="19">
        <v>1</v>
      </c>
      <c r="G3113" s="20">
        <f>IF(Sales[[#This Row],[Anggaran Murni]]-Sales[[#This Row],[Target s.d. Januari]]=0,"",Sales[[#This Row],[Anggaran Murni]]-Sales[[#This Row],[Target s.d. Januari]])</f>
        <v>2</v>
      </c>
      <c r="H3113" s="19" t="s">
        <v>76</v>
      </c>
      <c r="I3113" s="20" t="s">
        <v>79</v>
      </c>
      <c r="J3113" s="20">
        <v>120000000</v>
      </c>
      <c r="K3113" s="19" t="s">
        <v>19</v>
      </c>
      <c r="L3113" s="19" t="s">
        <v>2</v>
      </c>
      <c r="M3113" s="21" t="s">
        <v>86</v>
      </c>
      <c r="N3113" s="20" t="s">
        <v>83</v>
      </c>
      <c r="O3113" s="19" t="s">
        <v>11</v>
      </c>
      <c r="P3113" s="10"/>
      <c r="Q3113" s="11"/>
    </row>
    <row r="3114" spans="2:17" ht="21" customHeight="1" x14ac:dyDescent="0.35">
      <c r="B3114" s="1">
        <v>44193</v>
      </c>
      <c r="C3114" s="1" t="str">
        <f>TEXT(Sales[[#This Row],[Kode Program/Kegiatan ]],"D")</f>
        <v>28</v>
      </c>
      <c r="D3114" s="2" t="str">
        <f>TEXT(Sales[[#This Row],[Kode Program/Kegiatan ]],"mmm")</f>
        <v>Dec</v>
      </c>
      <c r="E3114" s="3">
        <v>3</v>
      </c>
      <c r="F3114" s="2">
        <v>1</v>
      </c>
      <c r="G3114" s="3">
        <f>IF(Sales[[#This Row],[Anggaran Murni]]-Sales[[#This Row],[Target s.d. Januari]]=0,"",Sales[[#This Row],[Anggaran Murni]]-Sales[[#This Row],[Target s.d. Januari]])</f>
        <v>2</v>
      </c>
      <c r="H3114" s="2" t="s">
        <v>74</v>
      </c>
      <c r="I3114" s="3" t="s">
        <v>77</v>
      </c>
      <c r="J3114" s="3"/>
      <c r="K3114" s="2" t="s">
        <v>42</v>
      </c>
      <c r="L3114" s="2" t="s">
        <v>2</v>
      </c>
      <c r="M3114" s="4" t="s">
        <v>86</v>
      </c>
      <c r="N3114" s="3" t="s">
        <v>83</v>
      </c>
      <c r="O3114" s="2" t="s">
        <v>11</v>
      </c>
      <c r="P3114" s="10"/>
      <c r="Q3114" s="11"/>
    </row>
    <row r="3115" spans="2:17" ht="21" customHeight="1" x14ac:dyDescent="0.35">
      <c r="B3115" s="18">
        <v>44194</v>
      </c>
      <c r="C3115" s="18" t="str">
        <f>TEXT(Sales[[#This Row],[Kode Program/Kegiatan ]],"D")</f>
        <v>29</v>
      </c>
      <c r="D3115" s="19" t="str">
        <f>TEXT(Sales[[#This Row],[Kode Program/Kegiatan ]],"mmm")</f>
        <v>Dec</v>
      </c>
      <c r="E3115" s="20">
        <v>9</v>
      </c>
      <c r="F3115" s="19">
        <v>6</v>
      </c>
      <c r="G3115" s="20">
        <f>IF(Sales[[#This Row],[Anggaran Murni]]-Sales[[#This Row],[Target s.d. Januari]]=0,"",Sales[[#This Row],[Anggaran Murni]]-Sales[[#This Row],[Target s.d. Januari]])</f>
        <v>3</v>
      </c>
      <c r="H3115" s="19" t="s">
        <v>74</v>
      </c>
      <c r="I3115" s="20" t="s">
        <v>77</v>
      </c>
      <c r="J3115" s="20"/>
      <c r="K3115" s="19" t="s">
        <v>52</v>
      </c>
      <c r="L3115" s="19" t="s">
        <v>7</v>
      </c>
      <c r="M3115" s="21" t="s">
        <v>86</v>
      </c>
      <c r="N3115" s="20" t="s">
        <v>83</v>
      </c>
      <c r="O3115" s="19" t="s">
        <v>14</v>
      </c>
      <c r="P3115" s="10"/>
      <c r="Q3115" s="11"/>
    </row>
    <row r="3116" spans="2:17" ht="21" customHeight="1" x14ac:dyDescent="0.35">
      <c r="B3116" s="1">
        <v>44194</v>
      </c>
      <c r="C3116" s="1" t="str">
        <f>TEXT(Sales[[#This Row],[Kode Program/Kegiatan ]],"D")</f>
        <v>29</v>
      </c>
      <c r="D3116" s="2" t="str">
        <f>TEXT(Sales[[#This Row],[Kode Program/Kegiatan ]],"mmm")</f>
        <v>Dec</v>
      </c>
      <c r="E3116" s="3">
        <v>8</v>
      </c>
      <c r="F3116" s="2">
        <v>6</v>
      </c>
      <c r="G3116" s="3">
        <f>IF(Sales[[#This Row],[Anggaran Murni]]-Sales[[#This Row],[Target s.d. Januari]]=0,"",Sales[[#This Row],[Anggaran Murni]]-Sales[[#This Row],[Target s.d. Januari]])</f>
        <v>2</v>
      </c>
      <c r="H3116" s="2" t="s">
        <v>70</v>
      </c>
      <c r="I3116" s="3" t="s">
        <v>1</v>
      </c>
      <c r="J3116" s="3"/>
      <c r="K3116" s="2" t="s">
        <v>53</v>
      </c>
      <c r="L3116" s="2" t="s">
        <v>2</v>
      </c>
      <c r="M3116" s="4" t="s">
        <v>86</v>
      </c>
      <c r="N3116" s="3" t="s">
        <v>83</v>
      </c>
      <c r="O3116" s="2" t="s">
        <v>11</v>
      </c>
      <c r="P3116" s="10"/>
      <c r="Q3116" s="11"/>
    </row>
    <row r="3117" spans="2:17" ht="21" customHeight="1" x14ac:dyDescent="0.35">
      <c r="B3117" s="18">
        <v>44194</v>
      </c>
      <c r="C3117" s="18" t="str">
        <f>TEXT(Sales[[#This Row],[Kode Program/Kegiatan ]],"D")</f>
        <v>29</v>
      </c>
      <c r="D3117" s="19" t="str">
        <f>TEXT(Sales[[#This Row],[Kode Program/Kegiatan ]],"mmm")</f>
        <v>Dec</v>
      </c>
      <c r="E3117" s="20">
        <v>8</v>
      </c>
      <c r="F3117" s="19">
        <v>5</v>
      </c>
      <c r="G3117" s="20">
        <f>IF(Sales[[#This Row],[Anggaran Murni]]-Sales[[#This Row],[Target s.d. Januari]]=0,"",Sales[[#This Row],[Anggaran Murni]]-Sales[[#This Row],[Target s.d. Januari]])</f>
        <v>3</v>
      </c>
      <c r="H3117" s="19" t="s">
        <v>70</v>
      </c>
      <c r="I3117" s="20" t="s">
        <v>1</v>
      </c>
      <c r="J3117" s="20"/>
      <c r="K3117" s="19" t="s">
        <v>64</v>
      </c>
      <c r="L3117" s="19" t="s">
        <v>2</v>
      </c>
      <c r="M3117" s="21" t="s">
        <v>86</v>
      </c>
      <c r="N3117" s="20" t="s">
        <v>83</v>
      </c>
      <c r="O3117" s="19" t="s">
        <v>12</v>
      </c>
      <c r="P3117" s="10"/>
      <c r="Q3117" s="11"/>
    </row>
    <row r="3118" spans="2:17" ht="21" customHeight="1" x14ac:dyDescent="0.35">
      <c r="B3118" s="1">
        <v>44194</v>
      </c>
      <c r="C3118" s="1" t="str">
        <f>TEXT(Sales[[#This Row],[Kode Program/Kegiatan ]],"D")</f>
        <v>29</v>
      </c>
      <c r="D3118" s="2" t="str">
        <f>TEXT(Sales[[#This Row],[Kode Program/Kegiatan ]],"mmm")</f>
        <v>Dec</v>
      </c>
      <c r="E3118" s="3">
        <v>7</v>
      </c>
      <c r="F3118" s="2">
        <v>4</v>
      </c>
      <c r="G3118" s="3">
        <f>IF(Sales[[#This Row],[Anggaran Murni]]-Sales[[#This Row],[Target s.d. Januari]]=0,"",Sales[[#This Row],[Anggaran Murni]]-Sales[[#This Row],[Target s.d. Januari]])</f>
        <v>3</v>
      </c>
      <c r="H3118" s="2" t="s">
        <v>75</v>
      </c>
      <c r="I3118" s="3" t="s">
        <v>6</v>
      </c>
      <c r="J3118" s="3"/>
      <c r="K3118" s="2" t="s">
        <v>21</v>
      </c>
      <c r="L3118" s="2" t="s">
        <v>5</v>
      </c>
      <c r="M3118" s="4" t="s">
        <v>86</v>
      </c>
      <c r="N3118" s="3" t="s">
        <v>83</v>
      </c>
      <c r="O3118" s="2" t="s">
        <v>13</v>
      </c>
      <c r="P3118" s="10"/>
      <c r="Q3118" s="11"/>
    </row>
    <row r="3119" spans="2:17" ht="21" customHeight="1" x14ac:dyDescent="0.35">
      <c r="B3119" s="18">
        <v>44194</v>
      </c>
      <c r="C3119" s="18" t="str">
        <f>TEXT(Sales[[#This Row],[Kode Program/Kegiatan ]],"D")</f>
        <v>29</v>
      </c>
      <c r="D3119" s="19" t="str">
        <f>TEXT(Sales[[#This Row],[Kode Program/Kegiatan ]],"mmm")</f>
        <v>Dec</v>
      </c>
      <c r="E3119" s="20">
        <v>7</v>
      </c>
      <c r="F3119" s="19">
        <v>5</v>
      </c>
      <c r="G3119" s="20">
        <f>IF(Sales[[#This Row],[Anggaran Murni]]-Sales[[#This Row],[Target s.d. Januari]]=0,"",Sales[[#This Row],[Anggaran Murni]]-Sales[[#This Row],[Target s.d. Januari]])</f>
        <v>2</v>
      </c>
      <c r="H3119" s="19" t="s">
        <v>75</v>
      </c>
      <c r="I3119" s="20" t="s">
        <v>6</v>
      </c>
      <c r="J3119" s="20"/>
      <c r="K3119" s="19" t="s">
        <v>28</v>
      </c>
      <c r="L3119" s="19" t="s">
        <v>4</v>
      </c>
      <c r="M3119" s="21" t="s">
        <v>86</v>
      </c>
      <c r="N3119" s="20" t="s">
        <v>83</v>
      </c>
      <c r="O3119" s="19" t="s">
        <v>14</v>
      </c>
      <c r="P3119" s="10"/>
      <c r="Q3119" s="11"/>
    </row>
    <row r="3120" spans="2:17" ht="21" customHeight="1" x14ac:dyDescent="0.35">
      <c r="B3120" s="1">
        <v>44194</v>
      </c>
      <c r="C3120" s="1" t="str">
        <f>TEXT(Sales[[#This Row],[Kode Program/Kegiatan ]],"D")</f>
        <v>29</v>
      </c>
      <c r="D3120" s="2" t="str">
        <f>TEXT(Sales[[#This Row],[Kode Program/Kegiatan ]],"mmm")</f>
        <v>Dec</v>
      </c>
      <c r="E3120" s="3">
        <v>6</v>
      </c>
      <c r="F3120" s="2">
        <v>5</v>
      </c>
      <c r="G3120" s="3">
        <f>IF(Sales[[#This Row],[Anggaran Murni]]-Sales[[#This Row],[Target s.d. Januari]]=0,"",Sales[[#This Row],[Anggaran Murni]]-Sales[[#This Row],[Target s.d. Januari]])</f>
        <v>1</v>
      </c>
      <c r="H3120" s="2" t="s">
        <v>70</v>
      </c>
      <c r="I3120" s="3" t="s">
        <v>1</v>
      </c>
      <c r="J3120" s="3"/>
      <c r="K3120" s="2" t="s">
        <v>22</v>
      </c>
      <c r="L3120" s="2" t="s">
        <v>2</v>
      </c>
      <c r="M3120" s="4" t="s">
        <v>86</v>
      </c>
      <c r="N3120" s="3" t="s">
        <v>83</v>
      </c>
      <c r="O3120" s="2" t="s">
        <v>13</v>
      </c>
      <c r="P3120" s="10"/>
      <c r="Q3120" s="11"/>
    </row>
    <row r="3121" spans="2:17" ht="21" customHeight="1" x14ac:dyDescent="0.35">
      <c r="B3121" s="18">
        <v>44194</v>
      </c>
      <c r="C3121" s="18" t="str">
        <f>TEXT(Sales[[#This Row],[Kode Program/Kegiatan ]],"D")</f>
        <v>29</v>
      </c>
      <c r="D3121" s="19" t="str">
        <f>TEXT(Sales[[#This Row],[Kode Program/Kegiatan ]],"mmm")</f>
        <v>Dec</v>
      </c>
      <c r="E3121" s="20">
        <v>5</v>
      </c>
      <c r="F3121" s="19">
        <v>3</v>
      </c>
      <c r="G3121" s="20">
        <f>IF(Sales[[#This Row],[Anggaran Murni]]-Sales[[#This Row],[Target s.d. Januari]]=0,"",Sales[[#This Row],[Anggaran Murni]]-Sales[[#This Row],[Target s.d. Januari]])</f>
        <v>2</v>
      </c>
      <c r="H3121" s="19" t="s">
        <v>71</v>
      </c>
      <c r="I3121" s="20" t="s">
        <v>6</v>
      </c>
      <c r="J3121" s="20"/>
      <c r="K3121" s="19" t="s">
        <v>27</v>
      </c>
      <c r="L3121" s="19" t="s">
        <v>9</v>
      </c>
      <c r="M3121" s="21" t="s">
        <v>86</v>
      </c>
      <c r="N3121" s="20" t="s">
        <v>83</v>
      </c>
      <c r="O3121" s="19" t="s">
        <v>13</v>
      </c>
      <c r="P3121" s="10"/>
      <c r="Q3121" s="11"/>
    </row>
    <row r="3122" spans="2:17" ht="21" customHeight="1" x14ac:dyDescent="0.35">
      <c r="B3122" s="1">
        <v>44194</v>
      </c>
      <c r="C3122" s="1" t="str">
        <f>TEXT(Sales[[#This Row],[Kode Program/Kegiatan ]],"D")</f>
        <v>29</v>
      </c>
      <c r="D3122" s="2" t="str">
        <f>TEXT(Sales[[#This Row],[Kode Program/Kegiatan ]],"mmm")</f>
        <v>Dec</v>
      </c>
      <c r="E3122" s="3">
        <v>3</v>
      </c>
      <c r="F3122" s="2">
        <v>1</v>
      </c>
      <c r="G3122" s="3">
        <f>IF(Sales[[#This Row],[Anggaran Murni]]-Sales[[#This Row],[Target s.d. Januari]]=0,"",Sales[[#This Row],[Anggaran Murni]]-Sales[[#This Row],[Target s.d. Januari]])</f>
        <v>2</v>
      </c>
      <c r="H3122" s="2" t="s">
        <v>75</v>
      </c>
      <c r="I3122" s="3" t="s">
        <v>6</v>
      </c>
      <c r="J3122" s="3"/>
      <c r="K3122" s="2" t="s">
        <v>30</v>
      </c>
      <c r="L3122" s="2" t="s">
        <v>7</v>
      </c>
      <c r="M3122" s="4" t="s">
        <v>86</v>
      </c>
      <c r="N3122" s="3" t="s">
        <v>83</v>
      </c>
      <c r="O3122" s="2" t="s">
        <v>13</v>
      </c>
      <c r="P3122" s="10"/>
      <c r="Q3122" s="11"/>
    </row>
    <row r="3123" spans="2:17" ht="21" customHeight="1" x14ac:dyDescent="0.35">
      <c r="B3123" s="18">
        <v>44195</v>
      </c>
      <c r="C3123" s="18" t="str">
        <f>TEXT(Sales[[#This Row],[Kode Program/Kegiatan ]],"D")</f>
        <v>30</v>
      </c>
      <c r="D3123" s="19" t="str">
        <f>TEXT(Sales[[#This Row],[Kode Program/Kegiatan ]],"mmm")</f>
        <v>Dec</v>
      </c>
      <c r="E3123" s="20">
        <v>10</v>
      </c>
      <c r="F3123" s="19">
        <v>6</v>
      </c>
      <c r="G3123" s="20">
        <f>IF(Sales[[#This Row],[Anggaran Murni]]-Sales[[#This Row],[Target s.d. Januari]]=0,"",Sales[[#This Row],[Anggaran Murni]]-Sales[[#This Row],[Target s.d. Januari]])</f>
        <v>4</v>
      </c>
      <c r="H3123" s="19" t="s">
        <v>74</v>
      </c>
      <c r="I3123" s="20" t="s">
        <v>77</v>
      </c>
      <c r="J3123" s="20"/>
      <c r="K3123" s="19" t="s">
        <v>27</v>
      </c>
      <c r="L3123" s="19" t="s">
        <v>5</v>
      </c>
      <c r="M3123" s="21" t="s">
        <v>86</v>
      </c>
      <c r="N3123" s="20" t="s">
        <v>83</v>
      </c>
      <c r="O3123" s="19" t="s">
        <v>13</v>
      </c>
      <c r="P3123" s="10"/>
      <c r="Q3123" s="11"/>
    </row>
    <row r="3124" spans="2:17" ht="21" customHeight="1" x14ac:dyDescent="0.35">
      <c r="B3124" s="1">
        <v>44195</v>
      </c>
      <c r="C3124" s="1" t="str">
        <f>TEXT(Sales[[#This Row],[Kode Program/Kegiatan ]],"D")</f>
        <v>30</v>
      </c>
      <c r="D3124" s="2" t="str">
        <f>TEXT(Sales[[#This Row],[Kode Program/Kegiatan ]],"mmm")</f>
        <v>Dec</v>
      </c>
      <c r="E3124" s="3">
        <v>8</v>
      </c>
      <c r="F3124" s="2">
        <v>7</v>
      </c>
      <c r="G3124" s="3">
        <f>IF(Sales[[#This Row],[Anggaran Murni]]-Sales[[#This Row],[Target s.d. Januari]]=0,"",Sales[[#This Row],[Anggaran Murni]]-Sales[[#This Row],[Target s.d. Januari]])</f>
        <v>1</v>
      </c>
      <c r="H3124" s="2" t="s">
        <v>113</v>
      </c>
      <c r="I3124" s="3" t="s">
        <v>77</v>
      </c>
      <c r="J3124" s="3"/>
      <c r="K3124" s="2" t="s">
        <v>16</v>
      </c>
      <c r="L3124" s="2" t="s">
        <v>5</v>
      </c>
      <c r="M3124" s="4" t="s">
        <v>86</v>
      </c>
      <c r="N3124" s="3" t="s">
        <v>83</v>
      </c>
      <c r="O3124" s="2" t="s">
        <v>11</v>
      </c>
      <c r="P3124" s="10"/>
      <c r="Q3124" s="11"/>
    </row>
    <row r="3125" spans="2:17" ht="21" customHeight="1" x14ac:dyDescent="0.35">
      <c r="B3125" s="18">
        <v>44195</v>
      </c>
      <c r="C3125" s="18" t="str">
        <f>TEXT(Sales[[#This Row],[Kode Program/Kegiatan ]],"D")</f>
        <v>30</v>
      </c>
      <c r="D3125" s="19" t="str">
        <f>TEXT(Sales[[#This Row],[Kode Program/Kegiatan ]],"mmm")</f>
        <v>Dec</v>
      </c>
      <c r="E3125" s="20">
        <v>7</v>
      </c>
      <c r="F3125" s="19">
        <v>4</v>
      </c>
      <c r="G3125" s="20">
        <f>IF(Sales[[#This Row],[Anggaran Murni]]-Sales[[#This Row],[Target s.d. Januari]]=0,"",Sales[[#This Row],[Anggaran Murni]]-Sales[[#This Row],[Target s.d. Januari]])</f>
        <v>3</v>
      </c>
      <c r="H3125" s="19" t="s">
        <v>113</v>
      </c>
      <c r="I3125" s="20" t="s">
        <v>77</v>
      </c>
      <c r="J3125" s="20"/>
      <c r="K3125" s="19" t="s">
        <v>37</v>
      </c>
      <c r="L3125" s="19" t="s">
        <v>7</v>
      </c>
      <c r="M3125" s="21" t="s">
        <v>86</v>
      </c>
      <c r="N3125" s="20" t="s">
        <v>83</v>
      </c>
      <c r="O3125" s="19" t="s">
        <v>11</v>
      </c>
      <c r="P3125" s="10"/>
      <c r="Q3125" s="11"/>
    </row>
    <row r="3126" spans="2:17" ht="21" customHeight="1" x14ac:dyDescent="0.35">
      <c r="B3126" s="1">
        <v>44195</v>
      </c>
      <c r="C3126" s="1" t="str">
        <f>TEXT(Sales[[#This Row],[Kode Program/Kegiatan ]],"D")</f>
        <v>30</v>
      </c>
      <c r="D3126" s="2" t="str">
        <f>TEXT(Sales[[#This Row],[Kode Program/Kegiatan ]],"mmm")</f>
        <v>Dec</v>
      </c>
      <c r="E3126" s="3">
        <v>7</v>
      </c>
      <c r="F3126" s="2">
        <v>6</v>
      </c>
      <c r="G3126" s="3">
        <f>IF(Sales[[#This Row],[Anggaran Murni]]-Sales[[#This Row],[Target s.d. Januari]]=0,"",Sales[[#This Row],[Anggaran Murni]]-Sales[[#This Row],[Target s.d. Januari]])</f>
        <v>1</v>
      </c>
      <c r="H3126" s="2" t="s">
        <v>71</v>
      </c>
      <c r="I3126" s="3" t="s">
        <v>6</v>
      </c>
      <c r="J3126" s="3"/>
      <c r="K3126" s="2" t="s">
        <v>45</v>
      </c>
      <c r="L3126" s="2" t="s">
        <v>7</v>
      </c>
      <c r="M3126" s="4" t="s">
        <v>86</v>
      </c>
      <c r="N3126" s="3" t="s">
        <v>83</v>
      </c>
      <c r="O3126" s="2" t="s">
        <v>11</v>
      </c>
      <c r="P3126" s="10"/>
      <c r="Q3126" s="11"/>
    </row>
    <row r="3127" spans="2:17" ht="21" customHeight="1" x14ac:dyDescent="0.35">
      <c r="B3127" s="18">
        <v>44195</v>
      </c>
      <c r="C3127" s="18" t="str">
        <f>TEXT(Sales[[#This Row],[Kode Program/Kegiatan ]],"D")</f>
        <v>30</v>
      </c>
      <c r="D3127" s="19" t="str">
        <f>TEXT(Sales[[#This Row],[Kode Program/Kegiatan ]],"mmm")</f>
        <v>Dec</v>
      </c>
      <c r="E3127" s="20">
        <v>3</v>
      </c>
      <c r="F3127" s="19">
        <v>2</v>
      </c>
      <c r="G3127" s="20">
        <f>IF(Sales[[#This Row],[Anggaran Murni]]-Sales[[#This Row],[Target s.d. Januari]]=0,"",Sales[[#This Row],[Anggaran Murni]]-Sales[[#This Row],[Target s.d. Januari]])</f>
        <v>1</v>
      </c>
      <c r="H3127" s="19" t="s">
        <v>76</v>
      </c>
      <c r="I3127" s="20" t="s">
        <v>79</v>
      </c>
      <c r="J3127" s="20"/>
      <c r="K3127" s="19" t="s">
        <v>37</v>
      </c>
      <c r="L3127" s="19" t="s">
        <v>2</v>
      </c>
      <c r="M3127" s="21" t="s">
        <v>86</v>
      </c>
      <c r="N3127" s="20" t="s">
        <v>83</v>
      </c>
      <c r="O3127" s="19" t="s">
        <v>13</v>
      </c>
      <c r="P3127" s="10"/>
      <c r="Q3127" s="11"/>
    </row>
    <row r="3128" spans="2:17" ht="21" customHeight="1" x14ac:dyDescent="0.35">
      <c r="B3128" s="2"/>
      <c r="C3128" s="2"/>
      <c r="D3128" s="2"/>
      <c r="E3128" s="12"/>
      <c r="F3128" s="3"/>
      <c r="G3128" s="3"/>
      <c r="H3128" s="13"/>
      <c r="I3128" s="12">
        <f>SUBTOTAL(9,Sales[Output Kegiatan Yang Telah Selesai Sampai Dengan Januari])</f>
        <v>0</v>
      </c>
      <c r="J3128" s="12"/>
      <c r="K3128" s="13"/>
      <c r="L3128" s="13"/>
      <c r="M3128" s="2"/>
      <c r="N3128" s="12">
        <f>SUBTOTAL(9,Sales[Payment Method])</f>
        <v>0</v>
      </c>
      <c r="O3128" s="13"/>
      <c r="P3128" s="10"/>
      <c r="Q3128" s="11"/>
    </row>
    <row r="3129" spans="2:17" ht="21" customHeight="1" x14ac:dyDescent="0.35">
      <c r="N3129" s="10"/>
    </row>
    <row r="3130" spans="2:17" ht="21" customHeight="1" x14ac:dyDescent="0.35">
      <c r="N3130" s="10"/>
    </row>
    <row r="3131" spans="2:17" ht="21" customHeight="1" x14ac:dyDescent="0.35">
      <c r="N3131" s="10"/>
    </row>
    <row r="3132" spans="2:17" ht="21" customHeight="1" x14ac:dyDescent="0.35">
      <c r="H3132" s="10" t="s">
        <v>10</v>
      </c>
      <c r="N3132" s="10"/>
    </row>
    <row r="3133" spans="2:17" ht="21" customHeight="1" x14ac:dyDescent="0.35">
      <c r="H3133" s="10" t="s">
        <v>10</v>
      </c>
      <c r="N3133" s="10"/>
    </row>
    <row r="3134" spans="2:17" ht="21" customHeight="1" x14ac:dyDescent="0.35">
      <c r="H3134" s="10" t="s">
        <v>10</v>
      </c>
      <c r="N3134" s="10"/>
    </row>
    <row r="3135" spans="2:17" ht="21" customHeight="1" x14ac:dyDescent="0.35">
      <c r="H3135" s="10" t="s">
        <v>10</v>
      </c>
      <c r="N3135" s="10"/>
    </row>
    <row r="3136" spans="2:17" ht="21" customHeight="1" x14ac:dyDescent="0.35">
      <c r="H3136" s="10" t="s">
        <v>10</v>
      </c>
      <c r="N3136" s="10"/>
    </row>
    <row r="3137" spans="8:14" ht="21" customHeight="1" x14ac:dyDescent="0.35">
      <c r="H3137" s="10" t="s">
        <v>10</v>
      </c>
      <c r="N3137" s="10"/>
    </row>
    <row r="3138" spans="8:14" ht="21" customHeight="1" x14ac:dyDescent="0.35">
      <c r="L3138" s="14"/>
      <c r="N3138" s="10"/>
    </row>
    <row r="3139" spans="8:14" ht="21" customHeight="1" x14ac:dyDescent="0.35">
      <c r="L3139" s="14"/>
      <c r="N3139" s="10"/>
    </row>
    <row r="3140" spans="8:14" ht="21" customHeight="1" x14ac:dyDescent="0.35">
      <c r="L3140" s="14"/>
      <c r="N3140" s="10"/>
    </row>
    <row r="3141" spans="8:14" ht="21" customHeight="1" x14ac:dyDescent="0.35">
      <c r="L3141" s="14"/>
      <c r="N3141" s="10"/>
    </row>
    <row r="3142" spans="8:14" ht="21" customHeight="1" x14ac:dyDescent="0.35">
      <c r="L3142" s="14"/>
      <c r="N3142" s="10"/>
    </row>
    <row r="3143" spans="8:14" ht="21" customHeight="1" x14ac:dyDescent="0.35">
      <c r="L3143" s="14"/>
      <c r="N3143" s="10"/>
    </row>
    <row r="3144" spans="8:14" ht="21" customHeight="1" x14ac:dyDescent="0.35">
      <c r="L3144" s="14"/>
      <c r="N3144" s="10"/>
    </row>
    <row r="3145" spans="8:14" ht="21" customHeight="1" x14ac:dyDescent="0.35">
      <c r="L3145" s="14"/>
      <c r="N3145" s="10"/>
    </row>
    <row r="3146" spans="8:14" ht="21" customHeight="1" x14ac:dyDescent="0.35">
      <c r="L3146" s="14"/>
      <c r="N3146" s="10"/>
    </row>
    <row r="3147" spans="8:14" ht="21" customHeight="1" x14ac:dyDescent="0.35">
      <c r="L3147" s="14"/>
      <c r="N3147" s="10"/>
    </row>
    <row r="3148" spans="8:14" ht="21" customHeight="1" x14ac:dyDescent="0.35">
      <c r="L3148" s="14"/>
      <c r="N3148" s="10"/>
    </row>
    <row r="3149" spans="8:14" ht="21" customHeight="1" x14ac:dyDescent="0.35">
      <c r="L3149" s="14"/>
      <c r="N3149" s="10"/>
    </row>
    <row r="3150" spans="8:14" ht="21" customHeight="1" x14ac:dyDescent="0.35">
      <c r="L3150" s="14"/>
      <c r="N3150" s="10"/>
    </row>
    <row r="3151" spans="8:14" ht="21" customHeight="1" x14ac:dyDescent="0.35">
      <c r="L3151" s="14"/>
      <c r="N3151" s="10"/>
    </row>
    <row r="3152" spans="8:14" ht="21" customHeight="1" x14ac:dyDescent="0.35">
      <c r="L3152" s="14"/>
      <c r="N3152" s="10"/>
    </row>
    <row r="3153" spans="12:14" ht="21" customHeight="1" x14ac:dyDescent="0.35">
      <c r="L3153" s="14"/>
      <c r="N3153" s="10"/>
    </row>
    <row r="3154" spans="12:14" ht="21" customHeight="1" x14ac:dyDescent="0.35">
      <c r="L3154" s="14"/>
      <c r="N3154" s="10"/>
    </row>
    <row r="3155" spans="12:14" ht="21" customHeight="1" x14ac:dyDescent="0.35">
      <c r="L3155" s="14"/>
      <c r="N3155" s="10"/>
    </row>
    <row r="3156" spans="12:14" ht="21" customHeight="1" x14ac:dyDescent="0.35">
      <c r="L3156" s="14"/>
      <c r="N3156" s="10"/>
    </row>
    <row r="3157" spans="12:14" ht="21" customHeight="1" x14ac:dyDescent="0.35">
      <c r="L3157" s="14"/>
      <c r="N3157" s="10"/>
    </row>
    <row r="3158" spans="12:14" ht="21" customHeight="1" x14ac:dyDescent="0.35">
      <c r="L3158" s="14"/>
      <c r="N3158" s="10"/>
    </row>
    <row r="3159" spans="12:14" ht="21" customHeight="1" x14ac:dyDescent="0.35">
      <c r="L3159" s="14"/>
      <c r="N3159" s="10"/>
    </row>
    <row r="3160" spans="12:14" ht="21" customHeight="1" x14ac:dyDescent="0.35">
      <c r="L3160" s="14"/>
      <c r="N3160" s="10"/>
    </row>
    <row r="3161" spans="12:14" ht="21" customHeight="1" x14ac:dyDescent="0.35">
      <c r="L3161" s="14"/>
      <c r="N3161" s="10"/>
    </row>
    <row r="3162" spans="12:14" ht="21" customHeight="1" x14ac:dyDescent="0.35">
      <c r="L3162" s="14"/>
      <c r="N3162" s="10"/>
    </row>
    <row r="3163" spans="12:14" ht="21" customHeight="1" x14ac:dyDescent="0.35">
      <c r="L3163" s="14"/>
      <c r="N3163" s="10"/>
    </row>
    <row r="3164" spans="12:14" ht="21" customHeight="1" x14ac:dyDescent="0.35">
      <c r="L3164" s="14"/>
      <c r="N3164" s="10"/>
    </row>
    <row r="3165" spans="12:14" ht="21" customHeight="1" x14ac:dyDescent="0.35">
      <c r="L3165" s="14"/>
      <c r="N3165" s="10"/>
    </row>
    <row r="3166" spans="12:14" ht="21" customHeight="1" x14ac:dyDescent="0.35">
      <c r="L3166" s="14"/>
      <c r="N3166" s="10"/>
    </row>
    <row r="3167" spans="12:14" ht="21" customHeight="1" x14ac:dyDescent="0.35">
      <c r="L3167" s="14"/>
      <c r="N3167" s="10"/>
    </row>
    <row r="3168" spans="12:14" ht="21" customHeight="1" x14ac:dyDescent="0.35">
      <c r="L3168" s="14"/>
      <c r="N3168" s="10"/>
    </row>
    <row r="3169" spans="12:14" ht="21" customHeight="1" x14ac:dyDescent="0.35">
      <c r="L3169" s="14"/>
      <c r="N3169" s="10"/>
    </row>
    <row r="3170" spans="12:14" ht="21" customHeight="1" x14ac:dyDescent="0.35">
      <c r="L3170" s="14"/>
      <c r="N3170" s="10"/>
    </row>
    <row r="3171" spans="12:14" ht="21" customHeight="1" x14ac:dyDescent="0.35">
      <c r="L3171" s="14"/>
      <c r="N3171" s="10"/>
    </row>
    <row r="3172" spans="12:14" ht="21" customHeight="1" x14ac:dyDescent="0.35">
      <c r="L3172" s="14"/>
      <c r="N3172" s="10"/>
    </row>
    <row r="3173" spans="12:14" ht="21" customHeight="1" x14ac:dyDescent="0.35">
      <c r="L3173" s="14"/>
      <c r="N3173" s="10"/>
    </row>
    <row r="3174" spans="12:14" ht="21" customHeight="1" x14ac:dyDescent="0.35">
      <c r="L3174" s="14"/>
      <c r="N3174" s="10"/>
    </row>
    <row r="3175" spans="12:14" ht="21" customHeight="1" x14ac:dyDescent="0.35">
      <c r="L3175" s="14"/>
      <c r="N3175" s="10"/>
    </row>
    <row r="3176" spans="12:14" ht="21" customHeight="1" x14ac:dyDescent="0.35">
      <c r="L3176" s="14"/>
      <c r="N3176" s="10"/>
    </row>
    <row r="3177" spans="12:14" ht="21" customHeight="1" x14ac:dyDescent="0.35">
      <c r="L3177" s="14"/>
      <c r="N3177" s="10"/>
    </row>
    <row r="3178" spans="12:14" ht="21" customHeight="1" x14ac:dyDescent="0.35">
      <c r="L3178" s="14"/>
      <c r="N3178" s="10"/>
    </row>
    <row r="3179" spans="12:14" ht="21" customHeight="1" x14ac:dyDescent="0.35">
      <c r="L3179" s="14"/>
      <c r="N3179" s="10"/>
    </row>
    <row r="3180" spans="12:14" ht="21" customHeight="1" x14ac:dyDescent="0.35">
      <c r="L3180" s="14"/>
      <c r="N3180" s="10"/>
    </row>
    <row r="3181" spans="12:14" ht="21" customHeight="1" x14ac:dyDescent="0.35">
      <c r="L3181" s="14"/>
      <c r="N3181" s="10"/>
    </row>
    <row r="3182" spans="12:14" ht="21" customHeight="1" x14ac:dyDescent="0.35">
      <c r="L3182" s="14"/>
      <c r="N3182" s="10"/>
    </row>
    <row r="3183" spans="12:14" ht="21" customHeight="1" x14ac:dyDescent="0.35">
      <c r="L3183" s="14"/>
      <c r="N3183" s="10"/>
    </row>
    <row r="3184" spans="12:14" ht="21" customHeight="1" x14ac:dyDescent="0.35">
      <c r="L3184" s="14"/>
      <c r="N3184" s="10"/>
    </row>
    <row r="3185" spans="12:14" ht="21" customHeight="1" x14ac:dyDescent="0.35">
      <c r="L3185" s="14"/>
      <c r="N3185" s="10"/>
    </row>
    <row r="3186" spans="12:14" ht="21" customHeight="1" x14ac:dyDescent="0.35">
      <c r="L3186" s="14"/>
      <c r="N3186" s="10"/>
    </row>
    <row r="3187" spans="12:14" ht="21" customHeight="1" x14ac:dyDescent="0.35">
      <c r="L3187" s="14"/>
      <c r="N3187" s="10"/>
    </row>
    <row r="3188" spans="12:14" ht="21" customHeight="1" x14ac:dyDescent="0.35">
      <c r="L3188" s="14"/>
      <c r="N3188" s="10"/>
    </row>
    <row r="3189" spans="12:14" ht="21" customHeight="1" x14ac:dyDescent="0.35">
      <c r="L3189" s="14"/>
      <c r="N3189" s="10"/>
    </row>
    <row r="3190" spans="12:14" ht="21" customHeight="1" x14ac:dyDescent="0.35">
      <c r="L3190" s="14"/>
      <c r="N3190" s="10"/>
    </row>
    <row r="3191" spans="12:14" ht="21" customHeight="1" x14ac:dyDescent="0.35">
      <c r="L3191" s="14"/>
      <c r="N3191" s="10"/>
    </row>
    <row r="3192" spans="12:14" ht="21" customHeight="1" x14ac:dyDescent="0.35">
      <c r="L3192" s="14"/>
      <c r="N3192" s="10"/>
    </row>
    <row r="3193" spans="12:14" ht="21" customHeight="1" x14ac:dyDescent="0.35">
      <c r="L3193" s="14"/>
      <c r="N3193" s="10"/>
    </row>
    <row r="3194" spans="12:14" ht="21" customHeight="1" x14ac:dyDescent="0.35">
      <c r="L3194" s="14"/>
      <c r="N3194" s="10"/>
    </row>
    <row r="3195" spans="12:14" ht="21" customHeight="1" x14ac:dyDescent="0.35">
      <c r="L3195" s="14"/>
      <c r="N3195" s="10"/>
    </row>
    <row r="3196" spans="12:14" ht="21" customHeight="1" x14ac:dyDescent="0.35">
      <c r="L3196" s="14"/>
      <c r="N3196" s="10"/>
    </row>
    <row r="3197" spans="12:14" ht="21" customHeight="1" x14ac:dyDescent="0.35">
      <c r="L3197" s="14"/>
      <c r="N3197" s="10"/>
    </row>
    <row r="3198" spans="12:14" ht="21" customHeight="1" x14ac:dyDescent="0.35">
      <c r="L3198" s="14"/>
      <c r="N3198" s="10"/>
    </row>
    <row r="3199" spans="12:14" ht="21" customHeight="1" x14ac:dyDescent="0.35">
      <c r="L3199" s="14"/>
      <c r="N3199" s="10"/>
    </row>
    <row r="3200" spans="12:14" ht="21" customHeight="1" x14ac:dyDescent="0.35">
      <c r="L3200" s="14"/>
      <c r="N3200" s="10"/>
    </row>
    <row r="3201" spans="12:14" ht="21" customHeight="1" x14ac:dyDescent="0.35">
      <c r="L3201" s="14"/>
      <c r="N3201" s="10"/>
    </row>
    <row r="3202" spans="12:14" ht="21" customHeight="1" x14ac:dyDescent="0.35">
      <c r="L3202" s="14"/>
      <c r="N3202" s="10"/>
    </row>
    <row r="3203" spans="12:14" ht="21" customHeight="1" x14ac:dyDescent="0.35">
      <c r="L3203" s="14"/>
      <c r="N3203" s="10"/>
    </row>
    <row r="3204" spans="12:14" ht="21" customHeight="1" x14ac:dyDescent="0.35">
      <c r="L3204" s="14"/>
      <c r="N3204" s="10"/>
    </row>
    <row r="3205" spans="12:14" ht="21" customHeight="1" x14ac:dyDescent="0.35">
      <c r="L3205" s="14"/>
      <c r="N3205" s="10"/>
    </row>
    <row r="3206" spans="12:14" ht="21" customHeight="1" x14ac:dyDescent="0.35">
      <c r="L3206" s="14"/>
      <c r="N3206" s="10"/>
    </row>
    <row r="3207" spans="12:14" ht="21" customHeight="1" x14ac:dyDescent="0.35">
      <c r="L3207" s="14"/>
      <c r="N3207" s="10"/>
    </row>
    <row r="3208" spans="12:14" ht="21" customHeight="1" x14ac:dyDescent="0.35">
      <c r="L3208" s="14"/>
      <c r="N3208" s="10"/>
    </row>
    <row r="3209" spans="12:14" ht="21" customHeight="1" x14ac:dyDescent="0.35">
      <c r="L3209" s="14"/>
      <c r="N3209" s="10"/>
    </row>
    <row r="3210" spans="12:14" ht="21" customHeight="1" x14ac:dyDescent="0.35">
      <c r="L3210" s="14"/>
      <c r="N3210" s="10"/>
    </row>
    <row r="3211" spans="12:14" ht="21" customHeight="1" x14ac:dyDescent="0.35">
      <c r="L3211" s="14"/>
      <c r="N3211" s="10"/>
    </row>
    <row r="3212" spans="12:14" ht="21" customHeight="1" x14ac:dyDescent="0.35">
      <c r="L3212" s="14"/>
      <c r="N3212" s="10"/>
    </row>
    <row r="3213" spans="12:14" ht="21" customHeight="1" x14ac:dyDescent="0.35">
      <c r="L3213" s="14"/>
      <c r="N3213" s="10"/>
    </row>
    <row r="3214" spans="12:14" ht="21" customHeight="1" x14ac:dyDescent="0.35">
      <c r="L3214" s="14"/>
      <c r="N3214" s="10"/>
    </row>
    <row r="3215" spans="12:14" ht="21" customHeight="1" x14ac:dyDescent="0.35">
      <c r="L3215" s="14"/>
      <c r="N3215" s="10"/>
    </row>
    <row r="3216" spans="12:14" ht="21" customHeight="1" x14ac:dyDescent="0.35">
      <c r="L3216" s="14"/>
      <c r="N3216" s="10"/>
    </row>
    <row r="3217" spans="12:14" ht="21" customHeight="1" x14ac:dyDescent="0.35">
      <c r="L3217" s="14"/>
      <c r="N3217" s="10"/>
    </row>
    <row r="3218" spans="12:14" ht="21" customHeight="1" x14ac:dyDescent="0.35">
      <c r="L3218" s="14"/>
      <c r="N3218" s="10"/>
    </row>
    <row r="3219" spans="12:14" ht="21" customHeight="1" x14ac:dyDescent="0.35">
      <c r="L3219" s="14"/>
      <c r="N3219" s="10"/>
    </row>
    <row r="3220" spans="12:14" ht="21" customHeight="1" x14ac:dyDescent="0.35">
      <c r="L3220" s="14"/>
      <c r="N3220" s="10"/>
    </row>
    <row r="3221" spans="12:14" ht="21" customHeight="1" x14ac:dyDescent="0.35">
      <c r="L3221" s="14"/>
      <c r="N3221" s="10"/>
    </row>
    <row r="3222" spans="12:14" ht="21" customHeight="1" x14ac:dyDescent="0.35">
      <c r="L3222" s="14"/>
      <c r="N3222" s="10"/>
    </row>
    <row r="3223" spans="12:14" ht="21" customHeight="1" x14ac:dyDescent="0.35">
      <c r="L3223" s="14"/>
      <c r="N3223" s="10"/>
    </row>
    <row r="3224" spans="12:14" ht="21" customHeight="1" x14ac:dyDescent="0.35">
      <c r="L3224" s="14"/>
      <c r="N3224" s="10"/>
    </row>
    <row r="3225" spans="12:14" ht="21" customHeight="1" x14ac:dyDescent="0.35">
      <c r="L3225" s="14"/>
      <c r="N3225" s="10"/>
    </row>
    <row r="3226" spans="12:14" ht="21" customHeight="1" x14ac:dyDescent="0.35">
      <c r="L3226" s="14"/>
      <c r="N3226" s="10"/>
    </row>
    <row r="3227" spans="12:14" ht="21" customHeight="1" x14ac:dyDescent="0.35">
      <c r="L3227" s="14"/>
      <c r="N3227" s="10"/>
    </row>
    <row r="3228" spans="12:14" ht="21" customHeight="1" x14ac:dyDescent="0.35">
      <c r="L3228" s="14"/>
      <c r="N3228" s="10"/>
    </row>
    <row r="3229" spans="12:14" ht="21" customHeight="1" x14ac:dyDescent="0.35">
      <c r="L3229" s="14"/>
      <c r="N3229" s="10"/>
    </row>
    <row r="3230" spans="12:14" ht="21" customHeight="1" x14ac:dyDescent="0.35">
      <c r="L3230" s="14"/>
      <c r="N3230" s="10"/>
    </row>
    <row r="3231" spans="12:14" ht="21" customHeight="1" x14ac:dyDescent="0.35">
      <c r="L3231" s="14"/>
      <c r="N3231" s="10"/>
    </row>
    <row r="3232" spans="12:14" ht="21" customHeight="1" x14ac:dyDescent="0.35">
      <c r="L3232" s="14"/>
      <c r="N3232" s="10"/>
    </row>
    <row r="3233" spans="12:14" ht="21" customHeight="1" x14ac:dyDescent="0.35">
      <c r="L3233" s="14"/>
      <c r="N3233" s="10"/>
    </row>
    <row r="3234" spans="12:14" ht="21" customHeight="1" x14ac:dyDescent="0.35">
      <c r="L3234" s="14"/>
      <c r="N3234" s="10"/>
    </row>
    <row r="3235" spans="12:14" ht="21" customHeight="1" x14ac:dyDescent="0.35">
      <c r="L3235" s="14"/>
      <c r="N3235" s="10"/>
    </row>
    <row r="3236" spans="12:14" ht="21" customHeight="1" x14ac:dyDescent="0.35">
      <c r="L3236" s="14"/>
      <c r="N3236" s="10"/>
    </row>
    <row r="3237" spans="12:14" ht="21" customHeight="1" x14ac:dyDescent="0.35">
      <c r="L3237" s="14"/>
      <c r="N3237" s="10"/>
    </row>
    <row r="3238" spans="12:14" ht="21" customHeight="1" x14ac:dyDescent="0.35">
      <c r="L3238" s="14"/>
      <c r="N3238" s="10"/>
    </row>
    <row r="3239" spans="12:14" ht="21" customHeight="1" x14ac:dyDescent="0.35">
      <c r="L3239" s="14"/>
      <c r="N3239" s="10"/>
    </row>
    <row r="3240" spans="12:14" ht="21" customHeight="1" x14ac:dyDescent="0.35">
      <c r="L3240" s="14"/>
      <c r="N3240" s="10"/>
    </row>
    <row r="3241" spans="12:14" ht="21" customHeight="1" x14ac:dyDescent="0.35">
      <c r="L3241" s="14"/>
      <c r="N3241" s="10"/>
    </row>
    <row r="3242" spans="12:14" ht="21" customHeight="1" x14ac:dyDescent="0.35">
      <c r="L3242" s="14"/>
      <c r="N3242" s="10"/>
    </row>
    <row r="3243" spans="12:14" ht="21" customHeight="1" x14ac:dyDescent="0.35">
      <c r="L3243" s="14"/>
      <c r="N3243" s="10"/>
    </row>
    <row r="3244" spans="12:14" ht="21" customHeight="1" x14ac:dyDescent="0.35">
      <c r="L3244" s="14"/>
      <c r="N3244" s="10"/>
    </row>
    <row r="3245" spans="12:14" ht="21" customHeight="1" x14ac:dyDescent="0.35">
      <c r="L3245" s="14"/>
      <c r="N3245" s="10"/>
    </row>
    <row r="3246" spans="12:14" ht="21" customHeight="1" x14ac:dyDescent="0.35">
      <c r="L3246" s="14"/>
      <c r="N3246" s="10"/>
    </row>
    <row r="3247" spans="12:14" ht="21" customHeight="1" x14ac:dyDescent="0.35">
      <c r="L3247" s="14"/>
      <c r="N3247" s="10"/>
    </row>
    <row r="3248" spans="12:14" ht="21" customHeight="1" x14ac:dyDescent="0.35">
      <c r="L3248" s="14"/>
      <c r="N3248" s="10"/>
    </row>
    <row r="3249" spans="12:14" ht="21" customHeight="1" x14ac:dyDescent="0.35">
      <c r="L3249" s="14"/>
      <c r="N3249" s="10"/>
    </row>
    <row r="3250" spans="12:14" ht="21" customHeight="1" x14ac:dyDescent="0.35">
      <c r="L3250" s="14"/>
      <c r="N3250" s="10"/>
    </row>
    <row r="3251" spans="12:14" ht="21" customHeight="1" x14ac:dyDescent="0.35">
      <c r="L3251" s="14"/>
      <c r="N3251" s="10"/>
    </row>
    <row r="3252" spans="12:14" ht="21" customHeight="1" x14ac:dyDescent="0.35">
      <c r="L3252" s="14"/>
      <c r="N3252" s="10"/>
    </row>
    <row r="3253" spans="12:14" ht="21" customHeight="1" x14ac:dyDescent="0.35">
      <c r="L3253" s="14"/>
      <c r="N3253" s="10"/>
    </row>
    <row r="3254" spans="12:14" ht="21" customHeight="1" x14ac:dyDescent="0.35">
      <c r="L3254" s="14"/>
      <c r="N3254" s="10"/>
    </row>
    <row r="3255" spans="12:14" ht="21" customHeight="1" x14ac:dyDescent="0.35">
      <c r="L3255" s="14"/>
      <c r="N3255" s="10"/>
    </row>
    <row r="3256" spans="12:14" ht="21" customHeight="1" x14ac:dyDescent="0.35">
      <c r="L3256" s="14"/>
      <c r="N3256" s="10"/>
    </row>
    <row r="3257" spans="12:14" ht="21" customHeight="1" x14ac:dyDescent="0.35">
      <c r="L3257" s="14"/>
      <c r="N3257" s="10"/>
    </row>
    <row r="3258" spans="12:14" ht="21" customHeight="1" x14ac:dyDescent="0.35">
      <c r="L3258" s="14"/>
      <c r="N3258" s="10"/>
    </row>
    <row r="3259" spans="12:14" ht="21" customHeight="1" x14ac:dyDescent="0.35">
      <c r="L3259" s="14"/>
      <c r="N3259" s="10"/>
    </row>
    <row r="3260" spans="12:14" ht="21" customHeight="1" x14ac:dyDescent="0.35">
      <c r="L3260" s="14"/>
      <c r="N3260" s="10"/>
    </row>
    <row r="3261" spans="12:14" ht="21" customHeight="1" x14ac:dyDescent="0.35">
      <c r="L3261" s="14"/>
      <c r="N3261" s="10"/>
    </row>
    <row r="3262" spans="12:14" ht="21" customHeight="1" x14ac:dyDescent="0.35">
      <c r="L3262" s="14"/>
      <c r="N3262" s="10"/>
    </row>
    <row r="3263" spans="12:14" ht="21" customHeight="1" x14ac:dyDescent="0.35">
      <c r="L3263" s="14"/>
      <c r="N3263" s="10"/>
    </row>
    <row r="3264" spans="12:14" ht="21" customHeight="1" x14ac:dyDescent="0.35">
      <c r="L3264" s="14"/>
      <c r="N3264" s="10"/>
    </row>
    <row r="3265" spans="12:14" ht="21" customHeight="1" x14ac:dyDescent="0.35">
      <c r="L3265" s="14"/>
      <c r="N3265" s="10"/>
    </row>
    <row r="3266" spans="12:14" ht="21" customHeight="1" x14ac:dyDescent="0.35">
      <c r="L3266" s="14"/>
      <c r="N3266" s="10"/>
    </row>
    <row r="3267" spans="12:14" ht="21" customHeight="1" x14ac:dyDescent="0.35">
      <c r="L3267" s="14"/>
      <c r="N3267" s="10"/>
    </row>
    <row r="3268" spans="12:14" ht="21" customHeight="1" x14ac:dyDescent="0.35">
      <c r="L3268" s="14"/>
      <c r="N3268" s="10"/>
    </row>
    <row r="3269" spans="12:14" ht="21" customHeight="1" x14ac:dyDescent="0.35">
      <c r="L3269" s="14"/>
      <c r="N3269" s="10"/>
    </row>
    <row r="3270" spans="12:14" ht="21" customHeight="1" x14ac:dyDescent="0.35">
      <c r="L3270" s="14"/>
      <c r="N3270" s="10"/>
    </row>
    <row r="3271" spans="12:14" ht="21" customHeight="1" x14ac:dyDescent="0.35">
      <c r="L3271" s="14"/>
      <c r="N3271" s="10"/>
    </row>
    <row r="3272" spans="12:14" ht="21" customHeight="1" x14ac:dyDescent="0.35">
      <c r="L3272" s="14"/>
      <c r="N3272" s="10"/>
    </row>
    <row r="3273" spans="12:14" ht="21" customHeight="1" x14ac:dyDescent="0.35">
      <c r="L3273" s="14"/>
      <c r="N3273" s="10"/>
    </row>
    <row r="3274" spans="12:14" ht="21" customHeight="1" x14ac:dyDescent="0.35">
      <c r="L3274" s="14"/>
      <c r="N3274" s="10"/>
    </row>
    <row r="3275" spans="12:14" ht="21" customHeight="1" x14ac:dyDescent="0.35">
      <c r="L3275" s="14"/>
      <c r="N3275" s="10"/>
    </row>
    <row r="3276" spans="12:14" ht="21" customHeight="1" x14ac:dyDescent="0.35">
      <c r="L3276" s="14"/>
      <c r="N3276" s="10"/>
    </row>
    <row r="3277" spans="12:14" ht="21" customHeight="1" x14ac:dyDescent="0.35">
      <c r="L3277" s="14"/>
      <c r="N3277" s="10"/>
    </row>
    <row r="3278" spans="12:14" ht="21" customHeight="1" x14ac:dyDescent="0.35">
      <c r="L3278" s="14"/>
      <c r="N3278" s="10"/>
    </row>
    <row r="3279" spans="12:14" ht="21" customHeight="1" x14ac:dyDescent="0.35">
      <c r="L3279" s="14"/>
      <c r="N3279" s="10"/>
    </row>
    <row r="3280" spans="12:14" ht="21" customHeight="1" x14ac:dyDescent="0.35">
      <c r="L3280" s="14"/>
      <c r="N3280" s="10"/>
    </row>
    <row r="3281" spans="12:14" ht="21" customHeight="1" x14ac:dyDescent="0.35">
      <c r="L3281" s="14"/>
      <c r="N3281" s="10"/>
    </row>
    <row r="3282" spans="12:14" ht="21" customHeight="1" x14ac:dyDescent="0.35">
      <c r="L3282" s="14"/>
      <c r="N3282" s="10"/>
    </row>
    <row r="3283" spans="12:14" ht="21" customHeight="1" x14ac:dyDescent="0.35">
      <c r="L3283" s="14"/>
      <c r="N3283" s="10"/>
    </row>
    <row r="3284" spans="12:14" ht="21" customHeight="1" x14ac:dyDescent="0.35">
      <c r="L3284" s="14"/>
      <c r="N3284" s="10"/>
    </row>
    <row r="3285" spans="12:14" ht="21" customHeight="1" x14ac:dyDescent="0.35">
      <c r="L3285" s="14"/>
      <c r="N3285" s="10"/>
    </row>
    <row r="3286" spans="12:14" ht="21" customHeight="1" x14ac:dyDescent="0.35">
      <c r="L3286" s="14"/>
      <c r="N3286" s="10"/>
    </row>
    <row r="3287" spans="12:14" ht="21" customHeight="1" x14ac:dyDescent="0.35">
      <c r="L3287" s="14"/>
      <c r="N3287" s="10"/>
    </row>
    <row r="3288" spans="12:14" ht="21" customHeight="1" x14ac:dyDescent="0.35">
      <c r="L3288" s="14"/>
      <c r="N3288" s="10"/>
    </row>
    <row r="3289" spans="12:14" ht="21" customHeight="1" x14ac:dyDescent="0.35">
      <c r="L3289" s="14"/>
      <c r="N3289" s="10"/>
    </row>
    <row r="3290" spans="12:14" ht="21" customHeight="1" x14ac:dyDescent="0.35">
      <c r="L3290" s="14"/>
      <c r="N3290" s="10"/>
    </row>
    <row r="3291" spans="12:14" ht="21" customHeight="1" x14ac:dyDescent="0.35">
      <c r="L3291" s="14"/>
      <c r="N3291" s="10"/>
    </row>
    <row r="3292" spans="12:14" ht="21" customHeight="1" x14ac:dyDescent="0.35">
      <c r="L3292" s="14"/>
      <c r="N3292" s="10"/>
    </row>
    <row r="3293" spans="12:14" ht="21" customHeight="1" x14ac:dyDescent="0.35">
      <c r="L3293" s="14"/>
      <c r="N3293" s="10"/>
    </row>
    <row r="3294" spans="12:14" ht="21" customHeight="1" x14ac:dyDescent="0.35">
      <c r="L3294" s="14"/>
      <c r="N3294" s="10"/>
    </row>
    <row r="3295" spans="12:14" ht="21" customHeight="1" x14ac:dyDescent="0.35">
      <c r="L3295" s="14"/>
      <c r="N3295" s="10"/>
    </row>
    <row r="3296" spans="12:14" ht="21" customHeight="1" x14ac:dyDescent="0.35">
      <c r="L3296" s="14"/>
      <c r="N3296" s="10"/>
    </row>
    <row r="3297" spans="12:14" ht="21" customHeight="1" x14ac:dyDescent="0.35">
      <c r="L3297" s="14"/>
      <c r="N3297" s="10"/>
    </row>
    <row r="3298" spans="12:14" ht="21" customHeight="1" x14ac:dyDescent="0.35">
      <c r="L3298" s="14"/>
      <c r="N3298" s="10"/>
    </row>
    <row r="3299" spans="12:14" ht="21" customHeight="1" x14ac:dyDescent="0.35">
      <c r="L3299" s="14"/>
      <c r="N3299" s="10"/>
    </row>
    <row r="3300" spans="12:14" ht="21" customHeight="1" x14ac:dyDescent="0.35">
      <c r="L3300" s="14"/>
      <c r="N3300" s="10"/>
    </row>
    <row r="3301" spans="12:14" ht="21" customHeight="1" x14ac:dyDescent="0.35">
      <c r="L3301" s="14"/>
      <c r="N3301" s="10"/>
    </row>
    <row r="3302" spans="12:14" ht="21" customHeight="1" x14ac:dyDescent="0.35">
      <c r="L3302" s="14"/>
      <c r="N3302" s="10"/>
    </row>
    <row r="3303" spans="12:14" ht="21" customHeight="1" x14ac:dyDescent="0.35">
      <c r="L3303" s="14"/>
      <c r="N3303" s="10"/>
    </row>
    <row r="3304" spans="12:14" ht="21" customHeight="1" x14ac:dyDescent="0.35">
      <c r="L3304" s="14"/>
      <c r="N3304" s="10"/>
    </row>
    <row r="3305" spans="12:14" ht="21" customHeight="1" x14ac:dyDescent="0.35">
      <c r="L3305" s="14"/>
      <c r="N3305" s="10"/>
    </row>
    <row r="3306" spans="12:14" ht="21" customHeight="1" x14ac:dyDescent="0.35">
      <c r="L3306" s="14"/>
      <c r="N3306" s="10"/>
    </row>
    <row r="3307" spans="12:14" ht="21" customHeight="1" x14ac:dyDescent="0.35">
      <c r="L3307" s="14"/>
      <c r="N3307" s="10"/>
    </row>
    <row r="3308" spans="12:14" ht="21" customHeight="1" x14ac:dyDescent="0.35">
      <c r="L3308" s="14"/>
      <c r="N3308" s="10"/>
    </row>
    <row r="3309" spans="12:14" ht="21" customHeight="1" x14ac:dyDescent="0.35">
      <c r="L3309" s="14"/>
      <c r="N3309" s="10"/>
    </row>
    <row r="3310" spans="12:14" ht="21" customHeight="1" x14ac:dyDescent="0.35">
      <c r="L3310" s="14"/>
      <c r="N3310" s="10"/>
    </row>
    <row r="3311" spans="12:14" ht="21" customHeight="1" x14ac:dyDescent="0.35">
      <c r="L3311" s="14"/>
      <c r="N3311" s="10"/>
    </row>
    <row r="3312" spans="12:14" ht="21" customHeight="1" x14ac:dyDescent="0.35">
      <c r="L3312" s="14"/>
      <c r="N3312" s="10"/>
    </row>
    <row r="3313" spans="12:14" ht="21" customHeight="1" x14ac:dyDescent="0.35">
      <c r="L3313" s="14"/>
      <c r="N3313" s="10"/>
    </row>
    <row r="3314" spans="12:14" ht="21" customHeight="1" x14ac:dyDescent="0.35">
      <c r="L3314" s="14"/>
      <c r="N3314" s="10"/>
    </row>
    <row r="3315" spans="12:14" ht="21" customHeight="1" x14ac:dyDescent="0.35">
      <c r="L3315" s="14"/>
      <c r="N3315" s="10"/>
    </row>
    <row r="3316" spans="12:14" ht="21" customHeight="1" x14ac:dyDescent="0.35">
      <c r="L3316" s="14"/>
      <c r="N3316" s="10"/>
    </row>
    <row r="3317" spans="12:14" ht="21" customHeight="1" x14ac:dyDescent="0.35">
      <c r="L3317" s="14"/>
      <c r="N3317" s="10"/>
    </row>
    <row r="3318" spans="12:14" ht="21" customHeight="1" x14ac:dyDescent="0.35">
      <c r="L3318" s="14"/>
      <c r="N3318" s="10"/>
    </row>
    <row r="3319" spans="12:14" ht="21" customHeight="1" x14ac:dyDescent="0.35">
      <c r="L3319" s="14"/>
      <c r="N3319" s="10"/>
    </row>
    <row r="3320" spans="12:14" ht="21" customHeight="1" x14ac:dyDescent="0.35">
      <c r="L3320" s="14"/>
      <c r="N3320" s="10"/>
    </row>
    <row r="3321" spans="12:14" ht="21" customHeight="1" x14ac:dyDescent="0.35">
      <c r="L3321" s="14"/>
      <c r="N3321" s="10"/>
    </row>
    <row r="3322" spans="12:14" ht="21" customHeight="1" x14ac:dyDescent="0.35">
      <c r="L3322" s="14"/>
      <c r="N3322" s="10"/>
    </row>
    <row r="3323" spans="12:14" ht="21" customHeight="1" x14ac:dyDescent="0.35">
      <c r="L3323" s="14"/>
      <c r="N3323" s="10"/>
    </row>
    <row r="3324" spans="12:14" ht="21" customHeight="1" x14ac:dyDescent="0.35">
      <c r="L3324" s="14"/>
      <c r="N3324" s="10"/>
    </row>
    <row r="3325" spans="12:14" ht="21" customHeight="1" x14ac:dyDescent="0.35">
      <c r="L3325" s="14"/>
      <c r="N3325" s="10"/>
    </row>
    <row r="3326" spans="12:14" ht="21" customHeight="1" x14ac:dyDescent="0.35">
      <c r="L3326" s="14"/>
      <c r="N3326" s="10"/>
    </row>
    <row r="3327" spans="12:14" ht="21" customHeight="1" x14ac:dyDescent="0.35">
      <c r="L3327" s="14"/>
      <c r="N3327" s="10"/>
    </row>
    <row r="3328" spans="12:14" ht="21" customHeight="1" x14ac:dyDescent="0.35">
      <c r="L3328" s="14"/>
      <c r="N3328" s="10"/>
    </row>
    <row r="3329" spans="12:14" ht="21" customHeight="1" x14ac:dyDescent="0.35">
      <c r="L3329" s="14"/>
      <c r="N3329" s="10"/>
    </row>
    <row r="3330" spans="12:14" ht="21" customHeight="1" x14ac:dyDescent="0.35">
      <c r="L3330" s="14"/>
      <c r="N3330" s="10"/>
    </row>
    <row r="3331" spans="12:14" ht="21" customHeight="1" x14ac:dyDescent="0.35">
      <c r="L3331" s="14"/>
      <c r="N3331" s="10"/>
    </row>
    <row r="3332" spans="12:14" ht="21" customHeight="1" x14ac:dyDescent="0.35">
      <c r="L3332" s="14"/>
      <c r="N3332" s="10"/>
    </row>
    <row r="3333" spans="12:14" ht="21" customHeight="1" x14ac:dyDescent="0.35">
      <c r="L3333" s="14"/>
      <c r="N3333" s="10"/>
    </row>
    <row r="3334" spans="12:14" ht="21" customHeight="1" x14ac:dyDescent="0.35">
      <c r="L3334" s="14"/>
      <c r="N3334" s="10"/>
    </row>
    <row r="3335" spans="12:14" ht="21" customHeight="1" x14ac:dyDescent="0.35">
      <c r="L3335" s="14"/>
      <c r="N3335" s="10"/>
    </row>
    <row r="3336" spans="12:14" ht="21" customHeight="1" x14ac:dyDescent="0.35">
      <c r="L3336" s="14"/>
      <c r="N3336" s="10"/>
    </row>
    <row r="3337" spans="12:14" ht="21" customHeight="1" x14ac:dyDescent="0.35">
      <c r="L3337" s="14"/>
      <c r="N3337" s="10"/>
    </row>
    <row r="3338" spans="12:14" ht="21" customHeight="1" x14ac:dyDescent="0.35">
      <c r="L3338" s="14"/>
      <c r="N3338" s="10"/>
    </row>
    <row r="3339" spans="12:14" ht="21" customHeight="1" x14ac:dyDescent="0.35">
      <c r="L3339" s="14"/>
      <c r="N3339" s="10"/>
    </row>
    <row r="3340" spans="12:14" ht="21" customHeight="1" x14ac:dyDescent="0.35">
      <c r="L3340" s="14"/>
      <c r="N3340" s="10"/>
    </row>
    <row r="3341" spans="12:14" ht="21" customHeight="1" x14ac:dyDescent="0.35">
      <c r="L3341" s="14"/>
      <c r="N3341" s="10"/>
    </row>
    <row r="3342" spans="12:14" ht="21" customHeight="1" x14ac:dyDescent="0.35">
      <c r="L3342" s="14"/>
      <c r="N3342" s="10"/>
    </row>
    <row r="3343" spans="12:14" ht="21" customHeight="1" x14ac:dyDescent="0.35">
      <c r="L3343" s="14"/>
      <c r="N3343" s="10"/>
    </row>
    <row r="3344" spans="12:14" ht="21" customHeight="1" x14ac:dyDescent="0.35">
      <c r="L3344" s="14"/>
      <c r="N3344" s="10"/>
    </row>
    <row r="3345" spans="12:14" ht="21" customHeight="1" x14ac:dyDescent="0.35">
      <c r="L3345" s="14"/>
      <c r="N3345" s="10"/>
    </row>
    <row r="3346" spans="12:14" ht="21" customHeight="1" x14ac:dyDescent="0.35">
      <c r="L3346" s="14"/>
      <c r="N3346" s="10"/>
    </row>
    <row r="3347" spans="12:14" ht="21" customHeight="1" x14ac:dyDescent="0.35">
      <c r="L3347" s="14"/>
      <c r="N3347" s="10"/>
    </row>
    <row r="3348" spans="12:14" ht="21" customHeight="1" x14ac:dyDescent="0.35">
      <c r="L3348" s="14"/>
      <c r="N3348" s="10"/>
    </row>
    <row r="3349" spans="12:14" ht="21" customHeight="1" x14ac:dyDescent="0.35">
      <c r="L3349" s="14"/>
      <c r="N3349" s="10"/>
    </row>
    <row r="3350" spans="12:14" ht="21" customHeight="1" x14ac:dyDescent="0.35">
      <c r="L3350" s="14"/>
      <c r="N3350" s="10"/>
    </row>
    <row r="3351" spans="12:14" ht="21" customHeight="1" x14ac:dyDescent="0.35">
      <c r="L3351" s="14"/>
      <c r="N3351" s="10"/>
    </row>
    <row r="3352" spans="12:14" ht="21" customHeight="1" x14ac:dyDescent="0.35">
      <c r="L3352" s="14"/>
      <c r="N3352" s="10"/>
    </row>
    <row r="3353" spans="12:14" ht="21" customHeight="1" x14ac:dyDescent="0.35">
      <c r="L3353" s="14"/>
      <c r="N3353" s="10"/>
    </row>
    <row r="3354" spans="12:14" ht="21" customHeight="1" x14ac:dyDescent="0.35">
      <c r="L3354" s="14"/>
      <c r="N3354" s="10"/>
    </row>
    <row r="3355" spans="12:14" ht="21" customHeight="1" x14ac:dyDescent="0.35">
      <c r="L3355" s="14"/>
      <c r="N3355" s="10"/>
    </row>
    <row r="3356" spans="12:14" ht="21" customHeight="1" x14ac:dyDescent="0.35">
      <c r="L3356" s="14"/>
      <c r="N3356" s="10"/>
    </row>
    <row r="3357" spans="12:14" ht="21" customHeight="1" x14ac:dyDescent="0.35">
      <c r="L3357" s="14"/>
      <c r="N3357" s="10"/>
    </row>
    <row r="3358" spans="12:14" ht="21" customHeight="1" x14ac:dyDescent="0.35">
      <c r="L3358" s="14"/>
      <c r="N3358" s="10"/>
    </row>
    <row r="3359" spans="12:14" ht="21" customHeight="1" x14ac:dyDescent="0.35">
      <c r="L3359" s="14"/>
      <c r="N3359" s="10"/>
    </row>
    <row r="3360" spans="12:14" ht="21" customHeight="1" x14ac:dyDescent="0.35">
      <c r="L3360" s="14"/>
      <c r="N3360" s="10"/>
    </row>
    <row r="3361" spans="12:14" ht="21" customHeight="1" x14ac:dyDescent="0.35">
      <c r="L3361" s="14"/>
      <c r="N3361" s="10"/>
    </row>
    <row r="3362" spans="12:14" ht="21" customHeight="1" x14ac:dyDescent="0.35">
      <c r="L3362" s="14"/>
      <c r="N3362" s="10"/>
    </row>
    <row r="3363" spans="12:14" ht="21" customHeight="1" x14ac:dyDescent="0.35">
      <c r="L3363" s="14"/>
      <c r="N3363" s="10"/>
    </row>
    <row r="3364" spans="12:14" ht="21" customHeight="1" x14ac:dyDescent="0.35">
      <c r="L3364" s="14"/>
      <c r="N3364" s="10"/>
    </row>
    <row r="3365" spans="12:14" ht="21" customHeight="1" x14ac:dyDescent="0.35">
      <c r="L3365" s="14"/>
      <c r="N3365" s="10"/>
    </row>
    <row r="3366" spans="12:14" ht="21" customHeight="1" x14ac:dyDescent="0.35">
      <c r="L3366" s="14"/>
      <c r="N3366" s="10"/>
    </row>
    <row r="3367" spans="12:14" ht="21" customHeight="1" x14ac:dyDescent="0.35">
      <c r="L3367" s="14"/>
      <c r="N3367" s="10"/>
    </row>
    <row r="3368" spans="12:14" ht="21" customHeight="1" x14ac:dyDescent="0.35">
      <c r="L3368" s="14"/>
      <c r="N3368" s="10"/>
    </row>
    <row r="3369" spans="12:14" ht="21" customHeight="1" x14ac:dyDescent="0.35">
      <c r="L3369" s="14"/>
      <c r="N3369" s="10"/>
    </row>
    <row r="3370" spans="12:14" ht="21" customHeight="1" x14ac:dyDescent="0.35">
      <c r="L3370" s="14"/>
      <c r="N3370" s="10"/>
    </row>
    <row r="3371" spans="12:14" ht="21" customHeight="1" x14ac:dyDescent="0.35">
      <c r="L3371" s="14"/>
      <c r="N3371" s="10"/>
    </row>
    <row r="3372" spans="12:14" ht="21" customHeight="1" x14ac:dyDescent="0.35">
      <c r="L3372" s="14"/>
      <c r="N3372" s="10"/>
    </row>
    <row r="3373" spans="12:14" ht="21" customHeight="1" x14ac:dyDescent="0.35">
      <c r="L3373" s="14"/>
      <c r="N3373" s="10"/>
    </row>
    <row r="3374" spans="12:14" ht="21" customHeight="1" x14ac:dyDescent="0.35">
      <c r="L3374" s="14"/>
      <c r="N3374" s="10"/>
    </row>
    <row r="3375" spans="12:14" ht="21" customHeight="1" x14ac:dyDescent="0.35">
      <c r="L3375" s="14"/>
      <c r="N3375" s="10"/>
    </row>
    <row r="3376" spans="12:14" ht="21" customHeight="1" x14ac:dyDescent="0.35">
      <c r="L3376" s="14"/>
      <c r="N3376" s="10"/>
    </row>
    <row r="3377" spans="12:14" ht="21" customHeight="1" x14ac:dyDescent="0.35">
      <c r="L3377" s="14"/>
      <c r="N3377" s="10"/>
    </row>
    <row r="3378" spans="12:14" ht="21" customHeight="1" x14ac:dyDescent="0.35">
      <c r="L3378" s="14"/>
      <c r="N3378" s="10"/>
    </row>
    <row r="3379" spans="12:14" ht="21" customHeight="1" x14ac:dyDescent="0.35">
      <c r="L3379" s="14"/>
      <c r="N3379" s="10"/>
    </row>
    <row r="3380" spans="12:14" ht="21" customHeight="1" x14ac:dyDescent="0.35">
      <c r="L3380" s="14"/>
      <c r="N3380" s="10"/>
    </row>
    <row r="3381" spans="12:14" ht="21" customHeight="1" x14ac:dyDescent="0.35">
      <c r="L3381" s="14"/>
      <c r="N3381" s="10"/>
    </row>
    <row r="3382" spans="12:14" ht="21" customHeight="1" x14ac:dyDescent="0.35">
      <c r="L3382" s="14"/>
      <c r="N3382" s="10"/>
    </row>
    <row r="3383" spans="12:14" ht="21" customHeight="1" x14ac:dyDescent="0.35">
      <c r="L3383" s="14"/>
      <c r="N3383" s="10"/>
    </row>
    <row r="3384" spans="12:14" ht="21" customHeight="1" x14ac:dyDescent="0.35">
      <c r="L3384" s="14"/>
      <c r="N3384" s="10"/>
    </row>
    <row r="3385" spans="12:14" ht="21" customHeight="1" x14ac:dyDescent="0.35">
      <c r="L3385" s="14"/>
      <c r="N3385" s="10"/>
    </row>
    <row r="3386" spans="12:14" ht="21" customHeight="1" x14ac:dyDescent="0.35">
      <c r="L3386" s="14"/>
      <c r="N3386" s="10"/>
    </row>
    <row r="3387" spans="12:14" ht="21" customHeight="1" x14ac:dyDescent="0.35">
      <c r="L3387" s="14"/>
      <c r="N3387" s="10"/>
    </row>
    <row r="3388" spans="12:14" ht="21" customHeight="1" x14ac:dyDescent="0.35">
      <c r="L3388" s="14"/>
      <c r="N3388" s="10"/>
    </row>
    <row r="3389" spans="12:14" ht="21" customHeight="1" x14ac:dyDescent="0.35">
      <c r="L3389" s="14"/>
      <c r="N3389" s="10"/>
    </row>
    <row r="3390" spans="12:14" ht="21" customHeight="1" x14ac:dyDescent="0.35">
      <c r="L3390" s="14"/>
      <c r="N3390" s="10"/>
    </row>
    <row r="3391" spans="12:14" ht="21" customHeight="1" x14ac:dyDescent="0.35">
      <c r="L3391" s="14"/>
      <c r="N3391" s="10"/>
    </row>
    <row r="3392" spans="12:14" ht="21" customHeight="1" x14ac:dyDescent="0.35">
      <c r="L3392" s="14"/>
      <c r="N3392" s="10"/>
    </row>
    <row r="3393" spans="12:14" ht="21" customHeight="1" x14ac:dyDescent="0.35">
      <c r="L3393" s="14"/>
      <c r="N3393" s="10"/>
    </row>
    <row r="3394" spans="12:14" ht="21" customHeight="1" x14ac:dyDescent="0.35">
      <c r="L3394" s="14"/>
      <c r="N3394" s="10"/>
    </row>
    <row r="3395" spans="12:14" ht="21" customHeight="1" x14ac:dyDescent="0.35">
      <c r="L3395" s="14"/>
      <c r="N3395" s="10"/>
    </row>
    <row r="3396" spans="12:14" ht="21" customHeight="1" x14ac:dyDescent="0.35">
      <c r="L3396" s="14"/>
      <c r="N3396" s="10"/>
    </row>
    <row r="3397" spans="12:14" ht="21" customHeight="1" x14ac:dyDescent="0.35">
      <c r="L3397" s="14"/>
      <c r="N3397" s="10"/>
    </row>
    <row r="3398" spans="12:14" ht="21" customHeight="1" x14ac:dyDescent="0.35">
      <c r="L3398" s="14"/>
      <c r="N3398" s="10"/>
    </row>
    <row r="3399" spans="12:14" ht="21" customHeight="1" x14ac:dyDescent="0.35">
      <c r="L3399" s="14"/>
      <c r="N3399" s="10"/>
    </row>
    <row r="3400" spans="12:14" ht="21" customHeight="1" x14ac:dyDescent="0.35">
      <c r="L3400" s="14"/>
      <c r="N3400" s="10"/>
    </row>
    <row r="3401" spans="12:14" ht="21" customHeight="1" x14ac:dyDescent="0.35">
      <c r="L3401" s="14"/>
      <c r="N3401" s="10"/>
    </row>
    <row r="3402" spans="12:14" ht="21" customHeight="1" x14ac:dyDescent="0.35">
      <c r="L3402" s="14"/>
      <c r="N3402" s="10"/>
    </row>
    <row r="3403" spans="12:14" ht="21" customHeight="1" x14ac:dyDescent="0.35">
      <c r="L3403" s="14"/>
      <c r="N3403" s="10"/>
    </row>
    <row r="3404" spans="12:14" ht="21" customHeight="1" x14ac:dyDescent="0.35">
      <c r="L3404" s="14"/>
      <c r="N3404" s="10"/>
    </row>
    <row r="3405" spans="12:14" ht="21" customHeight="1" x14ac:dyDescent="0.35">
      <c r="L3405" s="14"/>
      <c r="N3405" s="10"/>
    </row>
    <row r="3406" spans="12:14" ht="21" customHeight="1" x14ac:dyDescent="0.35">
      <c r="L3406" s="14"/>
      <c r="N3406" s="10"/>
    </row>
    <row r="3407" spans="12:14" ht="21" customHeight="1" x14ac:dyDescent="0.35">
      <c r="L3407" s="14"/>
      <c r="N3407" s="10"/>
    </row>
    <row r="3408" spans="12:14" ht="21" customHeight="1" x14ac:dyDescent="0.35">
      <c r="L3408" s="14"/>
      <c r="N3408" s="10"/>
    </row>
    <row r="3409" spans="12:14" ht="21" customHeight="1" x14ac:dyDescent="0.35">
      <c r="L3409" s="14"/>
      <c r="N3409" s="10"/>
    </row>
    <row r="3410" spans="12:14" ht="21" customHeight="1" x14ac:dyDescent="0.35">
      <c r="L3410" s="14"/>
      <c r="N3410" s="10"/>
    </row>
    <row r="3411" spans="12:14" ht="21" customHeight="1" x14ac:dyDescent="0.35">
      <c r="L3411" s="14"/>
      <c r="N3411" s="10"/>
    </row>
    <row r="3412" spans="12:14" ht="21" customHeight="1" x14ac:dyDescent="0.35">
      <c r="L3412" s="14"/>
      <c r="N3412" s="10"/>
    </row>
    <row r="3413" spans="12:14" ht="21" customHeight="1" x14ac:dyDescent="0.35">
      <c r="L3413" s="14"/>
      <c r="N3413" s="10"/>
    </row>
    <row r="3414" spans="12:14" ht="21" customHeight="1" x14ac:dyDescent="0.35">
      <c r="L3414" s="14"/>
      <c r="N3414" s="10"/>
    </row>
    <row r="3415" spans="12:14" ht="21" customHeight="1" x14ac:dyDescent="0.35">
      <c r="L3415" s="14"/>
      <c r="N3415" s="10"/>
    </row>
    <row r="3416" spans="12:14" ht="21" customHeight="1" x14ac:dyDescent="0.35">
      <c r="L3416" s="14"/>
      <c r="N3416" s="10"/>
    </row>
    <row r="3417" spans="12:14" ht="21" customHeight="1" x14ac:dyDescent="0.35">
      <c r="L3417" s="14"/>
      <c r="N3417" s="10"/>
    </row>
    <row r="3418" spans="12:14" ht="21" customHeight="1" x14ac:dyDescent="0.35">
      <c r="L3418" s="14"/>
      <c r="N3418" s="10"/>
    </row>
    <row r="3419" spans="12:14" ht="21" customHeight="1" x14ac:dyDescent="0.35">
      <c r="L3419" s="14"/>
      <c r="N3419" s="10"/>
    </row>
    <row r="3420" spans="12:14" ht="21" customHeight="1" x14ac:dyDescent="0.35">
      <c r="L3420" s="14"/>
      <c r="N3420" s="10"/>
    </row>
    <row r="3421" spans="12:14" ht="21" customHeight="1" x14ac:dyDescent="0.35">
      <c r="L3421" s="14"/>
      <c r="N3421" s="10"/>
    </row>
    <row r="3422" spans="12:14" ht="21" customHeight="1" x14ac:dyDescent="0.35">
      <c r="L3422" s="14"/>
      <c r="N3422" s="10"/>
    </row>
    <row r="3423" spans="12:14" ht="21" customHeight="1" x14ac:dyDescent="0.35">
      <c r="L3423" s="14"/>
      <c r="N3423" s="10"/>
    </row>
    <row r="3424" spans="12:14" ht="21" customHeight="1" x14ac:dyDescent="0.35">
      <c r="L3424" s="14"/>
      <c r="N3424" s="10"/>
    </row>
    <row r="3425" spans="12:14" ht="21" customHeight="1" x14ac:dyDescent="0.35">
      <c r="L3425" s="14"/>
      <c r="N3425" s="10"/>
    </row>
    <row r="3426" spans="12:14" ht="21" customHeight="1" x14ac:dyDescent="0.35">
      <c r="L3426" s="14"/>
      <c r="N3426" s="10"/>
    </row>
    <row r="3427" spans="12:14" ht="21" customHeight="1" x14ac:dyDescent="0.35">
      <c r="L3427" s="14"/>
      <c r="N3427" s="10"/>
    </row>
    <row r="3428" spans="12:14" ht="21" customHeight="1" x14ac:dyDescent="0.35">
      <c r="L3428" s="14"/>
      <c r="N3428" s="10"/>
    </row>
    <row r="3429" spans="12:14" ht="21" customHeight="1" x14ac:dyDescent="0.35">
      <c r="L3429" s="14"/>
      <c r="N3429" s="10"/>
    </row>
    <row r="3430" spans="12:14" ht="21" customHeight="1" x14ac:dyDescent="0.35">
      <c r="L3430" s="14"/>
      <c r="N3430" s="10"/>
    </row>
    <row r="3431" spans="12:14" ht="21" customHeight="1" x14ac:dyDescent="0.35">
      <c r="L3431" s="14"/>
      <c r="N3431" s="10"/>
    </row>
    <row r="3432" spans="12:14" ht="21" customHeight="1" x14ac:dyDescent="0.35">
      <c r="L3432" s="14"/>
      <c r="N3432" s="10"/>
    </row>
    <row r="3433" spans="12:14" ht="21" customHeight="1" x14ac:dyDescent="0.35">
      <c r="L3433" s="14"/>
      <c r="N3433" s="10"/>
    </row>
    <row r="3434" spans="12:14" ht="21" customHeight="1" x14ac:dyDescent="0.35">
      <c r="L3434" s="14"/>
      <c r="N3434" s="10"/>
    </row>
    <row r="3435" spans="12:14" ht="21" customHeight="1" x14ac:dyDescent="0.35">
      <c r="L3435" s="14"/>
      <c r="N3435" s="10"/>
    </row>
    <row r="3436" spans="12:14" ht="21" customHeight="1" x14ac:dyDescent="0.35">
      <c r="L3436" s="14"/>
      <c r="N3436" s="10"/>
    </row>
    <row r="3437" spans="12:14" ht="21" customHeight="1" x14ac:dyDescent="0.35">
      <c r="L3437" s="14"/>
      <c r="N3437" s="10"/>
    </row>
    <row r="3438" spans="12:14" ht="21" customHeight="1" x14ac:dyDescent="0.35">
      <c r="L3438" s="14"/>
      <c r="N3438" s="10"/>
    </row>
    <row r="3439" spans="12:14" ht="21" customHeight="1" x14ac:dyDescent="0.35">
      <c r="L3439" s="14"/>
      <c r="N3439" s="10"/>
    </row>
    <row r="3440" spans="12:14" ht="21" customHeight="1" x14ac:dyDescent="0.35">
      <c r="L3440" s="14"/>
      <c r="N3440" s="10"/>
    </row>
    <row r="3441" spans="12:14" ht="21" customHeight="1" x14ac:dyDescent="0.35">
      <c r="L3441" s="14"/>
      <c r="N3441" s="10"/>
    </row>
    <row r="3442" spans="12:14" ht="21" customHeight="1" x14ac:dyDescent="0.35">
      <c r="L3442" s="14"/>
      <c r="N3442" s="10"/>
    </row>
    <row r="3443" spans="12:14" ht="21" customHeight="1" x14ac:dyDescent="0.35">
      <c r="L3443" s="14"/>
      <c r="N3443" s="10"/>
    </row>
    <row r="3444" spans="12:14" ht="21" customHeight="1" x14ac:dyDescent="0.35">
      <c r="L3444" s="14"/>
      <c r="N3444" s="10"/>
    </row>
    <row r="3445" spans="12:14" ht="21" customHeight="1" x14ac:dyDescent="0.35">
      <c r="L3445" s="14"/>
      <c r="N3445" s="10"/>
    </row>
    <row r="3446" spans="12:14" ht="21" customHeight="1" x14ac:dyDescent="0.35">
      <c r="L3446" s="14"/>
      <c r="N3446" s="10"/>
    </row>
    <row r="3447" spans="12:14" ht="21" customHeight="1" x14ac:dyDescent="0.35">
      <c r="L3447" s="14"/>
      <c r="N3447" s="10"/>
    </row>
    <row r="3448" spans="12:14" ht="21" customHeight="1" x14ac:dyDescent="0.35">
      <c r="L3448" s="14"/>
      <c r="N3448" s="10"/>
    </row>
    <row r="3449" spans="12:14" ht="21" customHeight="1" x14ac:dyDescent="0.35">
      <c r="L3449" s="14"/>
      <c r="N3449" s="10"/>
    </row>
    <row r="3450" spans="12:14" ht="21" customHeight="1" x14ac:dyDescent="0.35">
      <c r="L3450" s="14"/>
      <c r="N3450" s="10"/>
    </row>
    <row r="3451" spans="12:14" ht="21" customHeight="1" x14ac:dyDescent="0.35">
      <c r="L3451" s="14"/>
      <c r="N3451" s="10"/>
    </row>
    <row r="3452" spans="12:14" ht="21" customHeight="1" x14ac:dyDescent="0.35">
      <c r="L3452" s="14"/>
      <c r="N3452" s="10"/>
    </row>
    <row r="3453" spans="12:14" ht="21" customHeight="1" x14ac:dyDescent="0.35">
      <c r="L3453" s="14"/>
      <c r="N3453" s="10"/>
    </row>
    <row r="3454" spans="12:14" ht="21" customHeight="1" x14ac:dyDescent="0.35">
      <c r="L3454" s="14"/>
      <c r="N3454" s="10"/>
    </row>
    <row r="3455" spans="12:14" ht="21" customHeight="1" x14ac:dyDescent="0.35">
      <c r="L3455" s="14"/>
      <c r="N3455" s="10"/>
    </row>
    <row r="3456" spans="12:14" ht="21" customHeight="1" x14ac:dyDescent="0.35">
      <c r="L3456" s="14"/>
      <c r="N3456" s="10"/>
    </row>
    <row r="3457" spans="12:14" ht="21" customHeight="1" x14ac:dyDescent="0.35">
      <c r="L3457" s="14"/>
      <c r="N3457" s="10"/>
    </row>
    <row r="3458" spans="12:14" ht="21" customHeight="1" x14ac:dyDescent="0.35">
      <c r="L3458" s="14"/>
      <c r="N3458" s="10"/>
    </row>
    <row r="3459" spans="12:14" ht="21" customHeight="1" x14ac:dyDescent="0.35">
      <c r="L3459" s="14"/>
      <c r="N3459" s="10"/>
    </row>
    <row r="3460" spans="12:14" ht="21" customHeight="1" x14ac:dyDescent="0.35">
      <c r="L3460" s="14"/>
      <c r="N3460" s="10"/>
    </row>
    <row r="3461" spans="12:14" ht="21" customHeight="1" x14ac:dyDescent="0.35">
      <c r="L3461" s="14"/>
      <c r="N3461" s="10"/>
    </row>
    <row r="3462" spans="12:14" ht="21" customHeight="1" x14ac:dyDescent="0.35">
      <c r="L3462" s="14"/>
      <c r="N3462" s="10"/>
    </row>
    <row r="3463" spans="12:14" ht="21" customHeight="1" x14ac:dyDescent="0.35">
      <c r="L3463" s="14"/>
      <c r="N3463" s="10"/>
    </row>
    <row r="3464" spans="12:14" ht="21" customHeight="1" x14ac:dyDescent="0.35">
      <c r="L3464" s="14"/>
      <c r="N3464" s="10"/>
    </row>
    <row r="3465" spans="12:14" ht="21" customHeight="1" x14ac:dyDescent="0.35">
      <c r="L3465" s="14"/>
      <c r="N3465" s="10"/>
    </row>
    <row r="3466" spans="12:14" ht="21" customHeight="1" x14ac:dyDescent="0.35">
      <c r="L3466" s="14"/>
      <c r="N3466" s="10"/>
    </row>
    <row r="3467" spans="12:14" ht="21" customHeight="1" x14ac:dyDescent="0.35">
      <c r="L3467" s="14"/>
      <c r="N3467" s="10"/>
    </row>
    <row r="3468" spans="12:14" ht="21" customHeight="1" x14ac:dyDescent="0.35">
      <c r="L3468" s="14"/>
      <c r="N3468" s="10"/>
    </row>
    <row r="3469" spans="12:14" ht="21" customHeight="1" x14ac:dyDescent="0.35">
      <c r="L3469" s="14"/>
      <c r="N3469" s="10"/>
    </row>
    <row r="3470" spans="12:14" ht="21" customHeight="1" x14ac:dyDescent="0.35">
      <c r="L3470" s="14"/>
      <c r="N3470" s="10"/>
    </row>
    <row r="3471" spans="12:14" ht="21" customHeight="1" x14ac:dyDescent="0.35">
      <c r="L3471" s="14"/>
      <c r="N3471" s="10"/>
    </row>
    <row r="3472" spans="12:14" ht="21" customHeight="1" x14ac:dyDescent="0.35">
      <c r="L3472" s="14"/>
      <c r="N3472" s="10"/>
    </row>
    <row r="3473" spans="12:14" ht="21" customHeight="1" x14ac:dyDescent="0.35">
      <c r="L3473" s="14"/>
      <c r="N3473" s="10"/>
    </row>
    <row r="3474" spans="12:14" ht="21" customHeight="1" x14ac:dyDescent="0.35">
      <c r="L3474" s="14"/>
      <c r="N3474" s="10"/>
    </row>
    <row r="3475" spans="12:14" ht="21" customHeight="1" x14ac:dyDescent="0.35">
      <c r="L3475" s="14"/>
      <c r="N3475" s="10"/>
    </row>
    <row r="3476" spans="12:14" ht="21" customHeight="1" x14ac:dyDescent="0.35">
      <c r="L3476" s="14"/>
      <c r="N3476" s="10"/>
    </row>
    <row r="3477" spans="12:14" ht="21" customHeight="1" x14ac:dyDescent="0.35">
      <c r="L3477" s="14"/>
      <c r="N3477" s="10"/>
    </row>
    <row r="3478" spans="12:14" ht="21" customHeight="1" x14ac:dyDescent="0.35">
      <c r="L3478" s="14"/>
      <c r="N3478" s="10"/>
    </row>
    <row r="3479" spans="12:14" ht="21" customHeight="1" x14ac:dyDescent="0.35">
      <c r="L3479" s="14"/>
      <c r="N3479" s="10"/>
    </row>
    <row r="3480" spans="12:14" ht="21" customHeight="1" x14ac:dyDescent="0.35">
      <c r="L3480" s="14"/>
      <c r="N3480" s="10"/>
    </row>
    <row r="3481" spans="12:14" ht="21" customHeight="1" x14ac:dyDescent="0.35">
      <c r="L3481" s="14"/>
      <c r="N3481" s="10"/>
    </row>
    <row r="3482" spans="12:14" ht="21" customHeight="1" x14ac:dyDescent="0.35">
      <c r="L3482" s="14"/>
      <c r="N3482" s="10"/>
    </row>
    <row r="3483" spans="12:14" ht="21" customHeight="1" x14ac:dyDescent="0.35">
      <c r="L3483" s="14"/>
      <c r="N3483" s="10"/>
    </row>
    <row r="3484" spans="12:14" ht="21" customHeight="1" x14ac:dyDescent="0.35">
      <c r="L3484" s="14"/>
      <c r="N3484" s="10"/>
    </row>
    <row r="3485" spans="12:14" ht="21" customHeight="1" x14ac:dyDescent="0.35">
      <c r="L3485" s="14"/>
      <c r="N3485" s="10"/>
    </row>
    <row r="3486" spans="12:14" ht="21" customHeight="1" x14ac:dyDescent="0.35">
      <c r="L3486" s="14"/>
      <c r="N3486" s="10"/>
    </row>
    <row r="3487" spans="12:14" ht="21" customHeight="1" x14ac:dyDescent="0.35">
      <c r="L3487" s="14"/>
      <c r="N3487" s="10"/>
    </row>
    <row r="3488" spans="12:14" ht="21" customHeight="1" x14ac:dyDescent="0.35">
      <c r="L3488" s="14"/>
      <c r="N3488" s="10"/>
    </row>
    <row r="3489" spans="12:14" ht="21" customHeight="1" x14ac:dyDescent="0.35">
      <c r="L3489" s="14"/>
      <c r="N3489" s="10"/>
    </row>
    <row r="3490" spans="12:14" ht="21" customHeight="1" x14ac:dyDescent="0.35">
      <c r="L3490" s="14"/>
      <c r="N3490" s="10"/>
    </row>
    <row r="3491" spans="12:14" ht="21" customHeight="1" x14ac:dyDescent="0.35">
      <c r="L3491" s="14"/>
      <c r="N3491" s="10"/>
    </row>
    <row r="3492" spans="12:14" ht="21" customHeight="1" x14ac:dyDescent="0.35">
      <c r="L3492" s="14"/>
      <c r="N3492" s="10"/>
    </row>
    <row r="3493" spans="12:14" ht="21" customHeight="1" x14ac:dyDescent="0.35">
      <c r="L3493" s="14"/>
      <c r="N3493" s="10"/>
    </row>
    <row r="3494" spans="12:14" ht="21" customHeight="1" x14ac:dyDescent="0.35">
      <c r="L3494" s="14"/>
      <c r="N3494" s="10"/>
    </row>
    <row r="3495" spans="12:14" ht="21" customHeight="1" x14ac:dyDescent="0.35">
      <c r="L3495" s="14"/>
      <c r="N3495" s="10"/>
    </row>
    <row r="3496" spans="12:14" ht="21" customHeight="1" x14ac:dyDescent="0.35">
      <c r="L3496" s="14"/>
      <c r="N3496" s="10"/>
    </row>
    <row r="3497" spans="12:14" ht="21" customHeight="1" x14ac:dyDescent="0.35">
      <c r="L3497" s="14"/>
      <c r="N3497" s="10"/>
    </row>
    <row r="3498" spans="12:14" ht="21" customHeight="1" x14ac:dyDescent="0.35">
      <c r="L3498" s="14"/>
      <c r="N3498" s="10"/>
    </row>
    <row r="3499" spans="12:14" ht="21" customHeight="1" x14ac:dyDescent="0.35">
      <c r="L3499" s="14"/>
      <c r="N3499" s="10"/>
    </row>
    <row r="3500" spans="12:14" ht="21" customHeight="1" x14ac:dyDescent="0.35">
      <c r="L3500" s="14"/>
      <c r="N3500" s="10"/>
    </row>
    <row r="3501" spans="12:14" ht="21" customHeight="1" x14ac:dyDescent="0.35">
      <c r="L3501" s="14"/>
      <c r="N3501" s="10"/>
    </row>
    <row r="3502" spans="12:14" ht="21" customHeight="1" x14ac:dyDescent="0.35">
      <c r="L3502" s="14"/>
      <c r="N3502" s="10"/>
    </row>
    <row r="3503" spans="12:14" ht="21" customHeight="1" x14ac:dyDescent="0.35">
      <c r="L3503" s="14"/>
      <c r="N3503" s="10"/>
    </row>
    <row r="3504" spans="12:14" ht="21" customHeight="1" x14ac:dyDescent="0.35">
      <c r="L3504" s="14"/>
      <c r="N3504" s="10"/>
    </row>
    <row r="3505" spans="12:14" ht="21" customHeight="1" x14ac:dyDescent="0.35">
      <c r="L3505" s="14"/>
      <c r="N3505" s="10"/>
    </row>
    <row r="3506" spans="12:14" ht="21" customHeight="1" x14ac:dyDescent="0.35">
      <c r="L3506" s="14"/>
      <c r="N3506" s="10"/>
    </row>
    <row r="3507" spans="12:14" ht="21" customHeight="1" x14ac:dyDescent="0.35">
      <c r="L3507" s="14"/>
      <c r="N3507" s="10"/>
    </row>
    <row r="3508" spans="12:14" ht="21" customHeight="1" x14ac:dyDescent="0.35">
      <c r="L3508" s="14"/>
      <c r="N3508" s="10"/>
    </row>
    <row r="3509" spans="12:14" ht="21" customHeight="1" x14ac:dyDescent="0.35">
      <c r="L3509" s="14"/>
      <c r="N3509" s="10"/>
    </row>
    <row r="3510" spans="12:14" ht="21" customHeight="1" x14ac:dyDescent="0.35">
      <c r="L3510" s="14"/>
      <c r="N3510" s="10"/>
    </row>
    <row r="3511" spans="12:14" ht="21" customHeight="1" x14ac:dyDescent="0.35">
      <c r="L3511" s="14"/>
      <c r="N3511" s="10"/>
    </row>
    <row r="3512" spans="12:14" ht="21" customHeight="1" x14ac:dyDescent="0.35">
      <c r="L3512" s="14"/>
      <c r="N3512" s="10"/>
    </row>
    <row r="3513" spans="12:14" ht="21" customHeight="1" x14ac:dyDescent="0.35">
      <c r="L3513" s="14"/>
      <c r="N3513" s="10"/>
    </row>
    <row r="3514" spans="12:14" ht="21" customHeight="1" x14ac:dyDescent="0.35">
      <c r="L3514" s="14"/>
      <c r="N3514" s="10"/>
    </row>
    <row r="3515" spans="12:14" ht="21" customHeight="1" x14ac:dyDescent="0.35">
      <c r="L3515" s="14"/>
      <c r="N3515" s="10"/>
    </row>
    <row r="3516" spans="12:14" ht="21" customHeight="1" x14ac:dyDescent="0.35">
      <c r="L3516" s="14"/>
      <c r="N3516" s="10"/>
    </row>
    <row r="3517" spans="12:14" ht="21" customHeight="1" x14ac:dyDescent="0.35">
      <c r="L3517" s="14"/>
      <c r="N3517" s="10"/>
    </row>
    <row r="3518" spans="12:14" ht="21" customHeight="1" x14ac:dyDescent="0.35">
      <c r="L3518" s="14"/>
      <c r="N3518" s="10"/>
    </row>
    <row r="3519" spans="12:14" ht="21" customHeight="1" x14ac:dyDescent="0.35">
      <c r="L3519" s="14"/>
      <c r="N3519" s="10"/>
    </row>
    <row r="3520" spans="12:14" ht="21" customHeight="1" x14ac:dyDescent="0.35">
      <c r="L3520" s="14"/>
      <c r="N3520" s="10"/>
    </row>
    <row r="3521" spans="12:14" ht="21" customHeight="1" x14ac:dyDescent="0.35">
      <c r="L3521" s="14"/>
      <c r="N3521" s="10"/>
    </row>
    <row r="3522" spans="12:14" ht="21" customHeight="1" x14ac:dyDescent="0.35">
      <c r="L3522" s="14"/>
      <c r="N3522" s="10"/>
    </row>
    <row r="3523" spans="12:14" ht="21" customHeight="1" x14ac:dyDescent="0.35">
      <c r="L3523" s="14"/>
      <c r="N3523" s="10"/>
    </row>
    <row r="3524" spans="12:14" ht="21" customHeight="1" x14ac:dyDescent="0.35">
      <c r="L3524" s="14"/>
      <c r="N3524" s="10"/>
    </row>
    <row r="3525" spans="12:14" ht="21" customHeight="1" x14ac:dyDescent="0.35">
      <c r="L3525" s="14"/>
      <c r="N3525" s="10"/>
    </row>
    <row r="3526" spans="12:14" ht="21" customHeight="1" x14ac:dyDescent="0.35">
      <c r="L3526" s="14"/>
      <c r="N3526" s="10"/>
    </row>
    <row r="3527" spans="12:14" ht="21" customHeight="1" x14ac:dyDescent="0.35">
      <c r="L3527" s="14"/>
      <c r="N3527" s="10"/>
    </row>
    <row r="3528" spans="12:14" ht="21" customHeight="1" x14ac:dyDescent="0.35">
      <c r="L3528" s="14"/>
      <c r="N3528" s="10"/>
    </row>
    <row r="3529" spans="12:14" ht="21" customHeight="1" x14ac:dyDescent="0.35">
      <c r="L3529" s="14"/>
      <c r="N3529" s="10"/>
    </row>
    <row r="3530" spans="12:14" ht="21" customHeight="1" x14ac:dyDescent="0.35">
      <c r="L3530" s="14"/>
      <c r="N3530" s="10"/>
    </row>
    <row r="3531" spans="12:14" ht="21" customHeight="1" x14ac:dyDescent="0.35">
      <c r="L3531" s="14"/>
      <c r="N3531" s="10"/>
    </row>
    <row r="3532" spans="12:14" ht="21" customHeight="1" x14ac:dyDescent="0.35">
      <c r="L3532" s="14"/>
      <c r="N3532" s="10"/>
    </row>
    <row r="3533" spans="12:14" ht="21" customHeight="1" x14ac:dyDescent="0.35">
      <c r="L3533" s="14"/>
      <c r="N3533" s="10"/>
    </row>
    <row r="3534" spans="12:14" ht="21" customHeight="1" x14ac:dyDescent="0.35">
      <c r="L3534" s="14"/>
      <c r="N3534" s="10"/>
    </row>
    <row r="3535" spans="12:14" ht="21" customHeight="1" x14ac:dyDescent="0.35">
      <c r="L3535" s="14"/>
      <c r="N3535" s="10"/>
    </row>
    <row r="3536" spans="12:14" ht="21" customHeight="1" x14ac:dyDescent="0.35">
      <c r="L3536" s="14"/>
      <c r="N3536" s="10"/>
    </row>
    <row r="3537" spans="12:14" ht="21" customHeight="1" x14ac:dyDescent="0.35">
      <c r="L3537" s="14"/>
      <c r="N3537" s="10"/>
    </row>
    <row r="3538" spans="12:14" ht="21" customHeight="1" x14ac:dyDescent="0.35">
      <c r="L3538" s="14"/>
      <c r="N3538" s="10"/>
    </row>
    <row r="3539" spans="12:14" ht="21" customHeight="1" x14ac:dyDescent="0.35">
      <c r="L3539" s="14"/>
      <c r="N3539" s="10"/>
    </row>
    <row r="3540" spans="12:14" ht="21" customHeight="1" x14ac:dyDescent="0.35">
      <c r="L3540" s="14"/>
      <c r="N3540" s="10"/>
    </row>
    <row r="3541" spans="12:14" ht="21" customHeight="1" x14ac:dyDescent="0.35">
      <c r="L3541" s="14"/>
      <c r="N3541" s="10"/>
    </row>
    <row r="3542" spans="12:14" ht="21" customHeight="1" x14ac:dyDescent="0.35">
      <c r="L3542" s="14"/>
      <c r="N3542" s="10"/>
    </row>
    <row r="3543" spans="12:14" ht="21" customHeight="1" x14ac:dyDescent="0.35">
      <c r="L3543" s="14"/>
      <c r="N3543" s="10"/>
    </row>
    <row r="3544" spans="12:14" ht="21" customHeight="1" x14ac:dyDescent="0.35">
      <c r="L3544" s="14"/>
      <c r="N3544" s="10"/>
    </row>
    <row r="3545" spans="12:14" ht="21" customHeight="1" x14ac:dyDescent="0.35">
      <c r="L3545" s="14"/>
      <c r="N3545" s="10"/>
    </row>
    <row r="3546" spans="12:14" ht="21" customHeight="1" x14ac:dyDescent="0.35">
      <c r="L3546" s="14"/>
      <c r="N3546" s="10"/>
    </row>
    <row r="3547" spans="12:14" ht="21" customHeight="1" x14ac:dyDescent="0.35">
      <c r="L3547" s="14"/>
      <c r="N3547" s="10"/>
    </row>
    <row r="3548" spans="12:14" ht="21" customHeight="1" x14ac:dyDescent="0.35">
      <c r="L3548" s="14"/>
      <c r="N3548" s="10"/>
    </row>
    <row r="3549" spans="12:14" ht="21" customHeight="1" x14ac:dyDescent="0.35">
      <c r="L3549" s="14"/>
      <c r="N3549" s="10"/>
    </row>
    <row r="3550" spans="12:14" ht="21" customHeight="1" x14ac:dyDescent="0.35">
      <c r="L3550" s="14"/>
      <c r="N3550" s="10"/>
    </row>
    <row r="3551" spans="12:14" ht="21" customHeight="1" x14ac:dyDescent="0.35">
      <c r="L3551" s="14"/>
      <c r="N3551" s="10"/>
    </row>
    <row r="3552" spans="12:14" ht="21" customHeight="1" x14ac:dyDescent="0.35">
      <c r="L3552" s="14"/>
      <c r="N3552" s="10"/>
    </row>
    <row r="3553" spans="12:14" ht="21" customHeight="1" x14ac:dyDescent="0.35">
      <c r="L3553" s="14"/>
      <c r="N3553" s="10"/>
    </row>
    <row r="3554" spans="12:14" ht="21" customHeight="1" x14ac:dyDescent="0.35">
      <c r="L3554" s="14"/>
      <c r="N3554" s="10"/>
    </row>
    <row r="3555" spans="12:14" ht="21" customHeight="1" x14ac:dyDescent="0.35">
      <c r="L3555" s="14"/>
      <c r="N3555" s="10"/>
    </row>
    <row r="3556" spans="12:14" ht="21" customHeight="1" x14ac:dyDescent="0.35">
      <c r="L3556" s="14"/>
      <c r="N3556" s="10"/>
    </row>
    <row r="3557" spans="12:14" ht="21" customHeight="1" x14ac:dyDescent="0.35">
      <c r="L3557" s="14"/>
      <c r="N3557" s="10"/>
    </row>
    <row r="3558" spans="12:14" ht="21" customHeight="1" x14ac:dyDescent="0.35">
      <c r="L3558" s="14"/>
      <c r="N3558" s="10"/>
    </row>
    <row r="3559" spans="12:14" ht="21" customHeight="1" x14ac:dyDescent="0.35">
      <c r="L3559" s="14"/>
      <c r="N3559" s="10"/>
    </row>
    <row r="3560" spans="12:14" ht="21" customHeight="1" x14ac:dyDescent="0.35">
      <c r="L3560" s="14"/>
      <c r="N3560" s="10"/>
    </row>
    <row r="3561" spans="12:14" ht="21" customHeight="1" x14ac:dyDescent="0.35">
      <c r="L3561" s="14"/>
      <c r="N3561" s="10"/>
    </row>
    <row r="3562" spans="12:14" ht="21" customHeight="1" x14ac:dyDescent="0.35">
      <c r="L3562" s="14"/>
      <c r="N3562" s="10"/>
    </row>
    <row r="3563" spans="12:14" ht="21" customHeight="1" x14ac:dyDescent="0.35">
      <c r="L3563" s="14"/>
      <c r="N3563" s="10"/>
    </row>
    <row r="3564" spans="12:14" ht="21" customHeight="1" x14ac:dyDescent="0.35">
      <c r="L3564" s="14"/>
      <c r="N3564" s="10"/>
    </row>
    <row r="3565" spans="12:14" ht="21" customHeight="1" x14ac:dyDescent="0.35">
      <c r="L3565" s="14"/>
      <c r="N3565" s="10"/>
    </row>
    <row r="3566" spans="12:14" ht="21" customHeight="1" x14ac:dyDescent="0.35">
      <c r="L3566" s="14"/>
      <c r="N3566" s="10"/>
    </row>
    <row r="3567" spans="12:14" ht="21" customHeight="1" x14ac:dyDescent="0.35">
      <c r="L3567" s="14"/>
      <c r="N3567" s="10"/>
    </row>
    <row r="3568" spans="12:14" ht="21" customHeight="1" x14ac:dyDescent="0.35">
      <c r="L3568" s="14"/>
      <c r="N3568" s="10"/>
    </row>
    <row r="3569" spans="12:14" ht="21" customHeight="1" x14ac:dyDescent="0.35">
      <c r="L3569" s="14"/>
      <c r="N3569" s="10"/>
    </row>
    <row r="3570" spans="12:14" ht="21" customHeight="1" x14ac:dyDescent="0.35">
      <c r="L3570" s="14"/>
      <c r="N3570" s="10"/>
    </row>
    <row r="3571" spans="12:14" ht="21" customHeight="1" x14ac:dyDescent="0.35">
      <c r="L3571" s="14"/>
      <c r="N3571" s="10"/>
    </row>
    <row r="3572" spans="12:14" ht="21" customHeight="1" x14ac:dyDescent="0.35">
      <c r="L3572" s="14"/>
      <c r="N3572" s="10"/>
    </row>
    <row r="3573" spans="12:14" ht="21" customHeight="1" x14ac:dyDescent="0.35">
      <c r="L3573" s="14"/>
      <c r="N3573" s="10"/>
    </row>
    <row r="3574" spans="12:14" ht="21" customHeight="1" x14ac:dyDescent="0.35">
      <c r="L3574" s="14"/>
      <c r="N3574" s="10"/>
    </row>
    <row r="3575" spans="12:14" ht="21" customHeight="1" x14ac:dyDescent="0.35">
      <c r="L3575" s="14"/>
      <c r="N3575" s="10"/>
    </row>
    <row r="3576" spans="12:14" ht="21" customHeight="1" x14ac:dyDescent="0.35">
      <c r="L3576" s="14"/>
      <c r="N3576" s="10"/>
    </row>
    <row r="3577" spans="12:14" ht="21" customHeight="1" x14ac:dyDescent="0.35">
      <c r="L3577" s="14"/>
      <c r="N3577" s="10"/>
    </row>
    <row r="3578" spans="12:14" ht="21" customHeight="1" x14ac:dyDescent="0.35">
      <c r="L3578" s="14"/>
      <c r="N3578" s="10"/>
    </row>
    <row r="3579" spans="12:14" ht="21" customHeight="1" x14ac:dyDescent="0.35">
      <c r="L3579" s="14"/>
      <c r="N3579" s="10"/>
    </row>
    <row r="3580" spans="12:14" ht="21" customHeight="1" x14ac:dyDescent="0.35">
      <c r="L3580" s="14"/>
      <c r="N3580" s="10"/>
    </row>
    <row r="3581" spans="12:14" ht="21" customHeight="1" x14ac:dyDescent="0.35">
      <c r="L3581" s="14"/>
      <c r="N3581" s="10"/>
    </row>
    <row r="3582" spans="12:14" ht="21" customHeight="1" x14ac:dyDescent="0.35">
      <c r="L3582" s="14"/>
      <c r="N3582" s="10"/>
    </row>
    <row r="3583" spans="12:14" ht="21" customHeight="1" x14ac:dyDescent="0.35">
      <c r="L3583" s="14"/>
      <c r="N3583" s="10"/>
    </row>
    <row r="3584" spans="12:14" ht="21" customHeight="1" x14ac:dyDescent="0.35">
      <c r="L3584" s="14"/>
      <c r="N3584" s="10"/>
    </row>
    <row r="3585" spans="12:14" ht="21" customHeight="1" x14ac:dyDescent="0.35">
      <c r="L3585" s="14"/>
      <c r="N3585" s="10"/>
    </row>
    <row r="3586" spans="12:14" ht="21" customHeight="1" x14ac:dyDescent="0.35">
      <c r="L3586" s="14"/>
      <c r="N3586" s="10"/>
    </row>
    <row r="3587" spans="12:14" ht="21" customHeight="1" x14ac:dyDescent="0.35">
      <c r="L3587" s="14"/>
      <c r="N3587" s="10"/>
    </row>
    <row r="3588" spans="12:14" ht="21" customHeight="1" x14ac:dyDescent="0.35">
      <c r="L3588" s="14"/>
      <c r="N3588" s="10"/>
    </row>
    <row r="3589" spans="12:14" ht="21" customHeight="1" x14ac:dyDescent="0.35">
      <c r="L3589" s="14"/>
      <c r="N3589" s="10"/>
    </row>
    <row r="3590" spans="12:14" ht="21" customHeight="1" x14ac:dyDescent="0.35">
      <c r="L3590" s="14"/>
      <c r="N3590" s="10"/>
    </row>
    <row r="3591" spans="12:14" ht="21" customHeight="1" x14ac:dyDescent="0.35">
      <c r="L3591" s="14"/>
      <c r="N3591" s="10"/>
    </row>
    <row r="3592" spans="12:14" ht="21" customHeight="1" x14ac:dyDescent="0.35">
      <c r="L3592" s="14"/>
      <c r="N3592" s="10"/>
    </row>
    <row r="3593" spans="12:14" ht="21" customHeight="1" x14ac:dyDescent="0.35">
      <c r="L3593" s="14"/>
      <c r="N3593" s="10"/>
    </row>
    <row r="3594" spans="12:14" ht="21" customHeight="1" x14ac:dyDescent="0.35">
      <c r="L3594" s="14"/>
      <c r="N3594" s="10"/>
    </row>
    <row r="3595" spans="12:14" ht="21" customHeight="1" x14ac:dyDescent="0.35">
      <c r="L3595" s="14"/>
      <c r="N3595" s="10"/>
    </row>
    <row r="3596" spans="12:14" ht="21" customHeight="1" x14ac:dyDescent="0.35">
      <c r="L3596" s="14"/>
      <c r="N3596" s="10"/>
    </row>
    <row r="3597" spans="12:14" ht="21" customHeight="1" x14ac:dyDescent="0.35">
      <c r="L3597" s="14"/>
      <c r="N3597" s="10"/>
    </row>
    <row r="3598" spans="12:14" ht="21" customHeight="1" x14ac:dyDescent="0.35">
      <c r="L3598" s="14"/>
      <c r="N3598" s="10"/>
    </row>
    <row r="3599" spans="12:14" ht="21" customHeight="1" x14ac:dyDescent="0.35">
      <c r="L3599" s="14"/>
      <c r="N3599" s="10"/>
    </row>
    <row r="3600" spans="12:14" ht="21" customHeight="1" x14ac:dyDescent="0.35">
      <c r="L3600" s="14"/>
      <c r="N3600" s="10"/>
    </row>
    <row r="3601" spans="12:14" ht="21" customHeight="1" x14ac:dyDescent="0.35">
      <c r="L3601" s="14"/>
      <c r="N3601" s="10"/>
    </row>
    <row r="3602" spans="12:14" ht="21" customHeight="1" x14ac:dyDescent="0.35">
      <c r="L3602" s="14"/>
      <c r="N3602" s="10"/>
    </row>
    <row r="3603" spans="12:14" ht="21" customHeight="1" x14ac:dyDescent="0.35">
      <c r="L3603" s="14"/>
      <c r="N3603" s="10"/>
    </row>
    <row r="3604" spans="12:14" ht="21" customHeight="1" x14ac:dyDescent="0.35">
      <c r="L3604" s="14"/>
      <c r="N3604" s="10"/>
    </row>
    <row r="3605" spans="12:14" ht="21" customHeight="1" x14ac:dyDescent="0.35">
      <c r="L3605" s="14"/>
      <c r="N3605" s="10"/>
    </row>
    <row r="3606" spans="12:14" ht="21" customHeight="1" x14ac:dyDescent="0.35">
      <c r="L3606" s="14"/>
      <c r="N3606" s="10"/>
    </row>
    <row r="3607" spans="12:14" ht="21" customHeight="1" x14ac:dyDescent="0.35">
      <c r="L3607" s="14"/>
      <c r="N3607" s="10"/>
    </row>
    <row r="3608" spans="12:14" ht="21" customHeight="1" x14ac:dyDescent="0.35">
      <c r="L3608" s="14"/>
      <c r="N3608" s="10"/>
    </row>
    <row r="3609" spans="12:14" ht="21" customHeight="1" x14ac:dyDescent="0.35">
      <c r="L3609" s="14"/>
      <c r="N3609" s="10"/>
    </row>
    <row r="3610" spans="12:14" ht="21" customHeight="1" x14ac:dyDescent="0.35">
      <c r="L3610" s="14"/>
      <c r="N3610" s="10"/>
    </row>
    <row r="3611" spans="12:14" ht="21" customHeight="1" x14ac:dyDescent="0.35">
      <c r="L3611" s="14"/>
      <c r="N3611" s="10"/>
    </row>
    <row r="3612" spans="12:14" ht="21" customHeight="1" x14ac:dyDescent="0.35">
      <c r="L3612" s="14"/>
      <c r="N3612" s="10"/>
    </row>
    <row r="3613" spans="12:14" ht="21" customHeight="1" x14ac:dyDescent="0.35">
      <c r="L3613" s="14"/>
      <c r="N3613" s="10"/>
    </row>
    <row r="3614" spans="12:14" ht="21" customHeight="1" x14ac:dyDescent="0.35">
      <c r="L3614" s="14"/>
      <c r="N3614" s="10"/>
    </row>
    <row r="3615" spans="12:14" ht="21" customHeight="1" x14ac:dyDescent="0.35">
      <c r="L3615" s="14"/>
      <c r="N3615" s="10"/>
    </row>
    <row r="3616" spans="12:14" ht="21" customHeight="1" x14ac:dyDescent="0.35">
      <c r="L3616" s="14"/>
      <c r="N3616" s="10"/>
    </row>
    <row r="3617" spans="12:14" ht="21" customHeight="1" x14ac:dyDescent="0.35">
      <c r="L3617" s="14"/>
      <c r="N3617" s="10"/>
    </row>
    <row r="3618" spans="12:14" ht="21" customHeight="1" x14ac:dyDescent="0.35">
      <c r="L3618" s="14"/>
      <c r="N3618" s="10"/>
    </row>
    <row r="3619" spans="12:14" ht="21" customHeight="1" x14ac:dyDescent="0.35">
      <c r="L3619" s="14"/>
      <c r="N3619" s="10"/>
    </row>
    <row r="3620" spans="12:14" ht="21" customHeight="1" x14ac:dyDescent="0.35">
      <c r="L3620" s="14"/>
      <c r="N3620" s="10"/>
    </row>
    <row r="3621" spans="12:14" ht="21" customHeight="1" x14ac:dyDescent="0.35">
      <c r="L3621" s="14"/>
      <c r="N3621" s="10"/>
    </row>
    <row r="3622" spans="12:14" ht="21" customHeight="1" x14ac:dyDescent="0.35">
      <c r="L3622" s="14"/>
      <c r="N3622" s="10"/>
    </row>
    <row r="3623" spans="12:14" ht="21" customHeight="1" x14ac:dyDescent="0.35">
      <c r="L3623" s="14"/>
      <c r="N3623" s="10"/>
    </row>
    <row r="3624" spans="12:14" ht="21" customHeight="1" x14ac:dyDescent="0.35">
      <c r="L3624" s="14"/>
      <c r="N3624" s="10"/>
    </row>
    <row r="3625" spans="12:14" ht="21" customHeight="1" x14ac:dyDescent="0.35">
      <c r="L3625" s="14"/>
      <c r="N3625" s="10"/>
    </row>
    <row r="3626" spans="12:14" ht="21" customHeight="1" x14ac:dyDescent="0.35">
      <c r="L3626" s="14"/>
      <c r="N3626" s="10"/>
    </row>
    <row r="3627" spans="12:14" ht="21" customHeight="1" x14ac:dyDescent="0.35">
      <c r="L3627" s="14"/>
      <c r="N3627" s="10"/>
    </row>
    <row r="3628" spans="12:14" ht="21" customHeight="1" x14ac:dyDescent="0.35">
      <c r="L3628" s="14"/>
      <c r="N3628" s="10"/>
    </row>
    <row r="3629" spans="12:14" ht="21" customHeight="1" x14ac:dyDescent="0.35">
      <c r="L3629" s="14"/>
      <c r="N3629" s="10"/>
    </row>
    <row r="3630" spans="12:14" ht="21" customHeight="1" x14ac:dyDescent="0.35">
      <c r="L3630" s="14"/>
      <c r="N3630" s="10"/>
    </row>
    <row r="3631" spans="12:14" ht="21" customHeight="1" x14ac:dyDescent="0.35">
      <c r="L3631" s="14"/>
      <c r="N3631" s="10"/>
    </row>
    <row r="3632" spans="12:14" ht="21" customHeight="1" x14ac:dyDescent="0.35">
      <c r="L3632" s="14"/>
      <c r="N3632" s="10"/>
    </row>
    <row r="3633" spans="12:14" ht="21" customHeight="1" x14ac:dyDescent="0.35">
      <c r="L3633" s="14"/>
      <c r="N3633" s="10"/>
    </row>
    <row r="3634" spans="12:14" ht="21" customHeight="1" x14ac:dyDescent="0.35">
      <c r="L3634" s="14"/>
      <c r="N3634" s="10"/>
    </row>
    <row r="3635" spans="12:14" ht="21" customHeight="1" x14ac:dyDescent="0.35">
      <c r="L3635" s="14"/>
      <c r="N3635" s="10"/>
    </row>
    <row r="3636" spans="12:14" ht="21" customHeight="1" x14ac:dyDescent="0.35">
      <c r="L3636" s="14"/>
      <c r="N3636" s="10"/>
    </row>
    <row r="3637" spans="12:14" ht="21" customHeight="1" x14ac:dyDescent="0.35">
      <c r="L3637" s="14"/>
      <c r="N3637" s="10"/>
    </row>
    <row r="3638" spans="12:14" ht="21" customHeight="1" x14ac:dyDescent="0.35">
      <c r="L3638" s="14"/>
      <c r="N3638" s="10"/>
    </row>
    <row r="3639" spans="12:14" ht="21" customHeight="1" x14ac:dyDescent="0.35">
      <c r="L3639" s="14"/>
      <c r="N3639" s="10"/>
    </row>
    <row r="3640" spans="12:14" ht="21" customHeight="1" x14ac:dyDescent="0.35">
      <c r="L3640" s="14"/>
      <c r="N3640" s="10"/>
    </row>
    <row r="3641" spans="12:14" ht="21" customHeight="1" x14ac:dyDescent="0.35">
      <c r="L3641" s="14"/>
      <c r="N3641" s="10"/>
    </row>
    <row r="3642" spans="12:14" ht="21" customHeight="1" x14ac:dyDescent="0.35">
      <c r="L3642" s="14"/>
      <c r="N3642" s="10"/>
    </row>
    <row r="3643" spans="12:14" ht="21" customHeight="1" x14ac:dyDescent="0.35">
      <c r="L3643" s="14"/>
      <c r="N3643" s="10"/>
    </row>
    <row r="3644" spans="12:14" ht="21" customHeight="1" x14ac:dyDescent="0.35">
      <c r="L3644" s="14"/>
      <c r="N3644" s="10"/>
    </row>
    <row r="3645" spans="12:14" ht="21" customHeight="1" x14ac:dyDescent="0.35">
      <c r="L3645" s="14"/>
      <c r="N3645" s="10"/>
    </row>
    <row r="3646" spans="12:14" ht="21" customHeight="1" x14ac:dyDescent="0.35">
      <c r="L3646" s="14"/>
      <c r="N3646" s="10"/>
    </row>
    <row r="3647" spans="12:14" ht="21" customHeight="1" x14ac:dyDescent="0.35">
      <c r="L3647" s="14"/>
      <c r="N3647" s="10"/>
    </row>
    <row r="3648" spans="12:14" ht="21" customHeight="1" x14ac:dyDescent="0.35">
      <c r="L3648" s="14"/>
      <c r="N3648" s="10"/>
    </row>
    <row r="3649" spans="12:14" ht="21" customHeight="1" x14ac:dyDescent="0.35">
      <c r="L3649" s="14"/>
      <c r="N3649" s="10"/>
    </row>
    <row r="3650" spans="12:14" ht="21" customHeight="1" x14ac:dyDescent="0.35">
      <c r="L3650" s="14"/>
      <c r="N3650" s="10"/>
    </row>
    <row r="3651" spans="12:14" ht="21" customHeight="1" x14ac:dyDescent="0.35">
      <c r="L3651" s="14"/>
      <c r="N3651" s="10"/>
    </row>
    <row r="3652" spans="12:14" ht="21" customHeight="1" x14ac:dyDescent="0.35">
      <c r="L3652" s="14"/>
      <c r="N3652" s="10"/>
    </row>
    <row r="3653" spans="12:14" ht="21" customHeight="1" x14ac:dyDescent="0.35">
      <c r="L3653" s="14"/>
      <c r="N3653" s="10"/>
    </row>
    <row r="3654" spans="12:14" ht="21" customHeight="1" x14ac:dyDescent="0.35">
      <c r="L3654" s="14"/>
      <c r="N3654" s="10"/>
    </row>
    <row r="3655" spans="12:14" ht="21" customHeight="1" x14ac:dyDescent="0.35">
      <c r="L3655" s="14"/>
      <c r="N3655" s="10"/>
    </row>
    <row r="3656" spans="12:14" ht="21" customHeight="1" x14ac:dyDescent="0.35">
      <c r="L3656" s="14"/>
      <c r="N3656" s="10"/>
    </row>
    <row r="3657" spans="12:14" ht="21" customHeight="1" x14ac:dyDescent="0.35">
      <c r="L3657" s="14"/>
      <c r="N3657" s="10"/>
    </row>
    <row r="3658" spans="12:14" ht="21" customHeight="1" x14ac:dyDescent="0.35">
      <c r="L3658" s="14"/>
      <c r="N3658" s="10"/>
    </row>
    <row r="3659" spans="12:14" ht="21" customHeight="1" x14ac:dyDescent="0.35">
      <c r="L3659" s="14"/>
      <c r="N3659" s="10"/>
    </row>
    <row r="3660" spans="12:14" ht="21" customHeight="1" x14ac:dyDescent="0.35">
      <c r="L3660" s="14"/>
      <c r="N3660" s="10"/>
    </row>
    <row r="3661" spans="12:14" ht="21" customHeight="1" x14ac:dyDescent="0.35">
      <c r="L3661" s="14"/>
      <c r="N3661" s="10"/>
    </row>
    <row r="3662" spans="12:14" ht="21" customHeight="1" x14ac:dyDescent="0.35">
      <c r="L3662" s="14"/>
      <c r="N3662" s="10"/>
    </row>
    <row r="3663" spans="12:14" ht="21" customHeight="1" x14ac:dyDescent="0.35">
      <c r="L3663" s="14"/>
      <c r="N3663" s="10"/>
    </row>
    <row r="3664" spans="12:14" ht="21" customHeight="1" x14ac:dyDescent="0.35">
      <c r="L3664" s="14"/>
      <c r="N3664" s="10"/>
    </row>
    <row r="3665" spans="12:14" ht="21" customHeight="1" x14ac:dyDescent="0.35">
      <c r="L3665" s="14"/>
      <c r="N3665" s="10"/>
    </row>
    <row r="3666" spans="12:14" ht="21" customHeight="1" x14ac:dyDescent="0.35">
      <c r="L3666" s="14"/>
      <c r="N3666" s="10"/>
    </row>
    <row r="3667" spans="12:14" ht="21" customHeight="1" x14ac:dyDescent="0.35">
      <c r="L3667" s="14"/>
      <c r="N3667" s="10"/>
    </row>
    <row r="3668" spans="12:14" ht="21" customHeight="1" x14ac:dyDescent="0.35">
      <c r="L3668" s="14"/>
      <c r="N3668" s="10"/>
    </row>
    <row r="3669" spans="12:14" ht="21" customHeight="1" x14ac:dyDescent="0.35">
      <c r="L3669" s="14"/>
      <c r="N3669" s="10"/>
    </row>
    <row r="3670" spans="12:14" ht="21" customHeight="1" x14ac:dyDescent="0.35">
      <c r="L3670" s="14"/>
      <c r="N3670" s="10"/>
    </row>
    <row r="3671" spans="12:14" ht="21" customHeight="1" x14ac:dyDescent="0.35">
      <c r="L3671" s="14"/>
      <c r="N3671" s="10"/>
    </row>
    <row r="3672" spans="12:14" ht="21" customHeight="1" x14ac:dyDescent="0.35">
      <c r="L3672" s="14"/>
      <c r="N3672" s="10"/>
    </row>
    <row r="3673" spans="12:14" ht="21" customHeight="1" x14ac:dyDescent="0.35">
      <c r="L3673" s="14"/>
      <c r="N3673" s="10"/>
    </row>
    <row r="3674" spans="12:14" ht="21" customHeight="1" x14ac:dyDescent="0.35">
      <c r="L3674" s="14"/>
      <c r="N3674" s="10"/>
    </row>
    <row r="3675" spans="12:14" ht="21" customHeight="1" x14ac:dyDescent="0.35">
      <c r="L3675" s="14"/>
      <c r="N3675" s="10"/>
    </row>
    <row r="3676" spans="12:14" ht="21" customHeight="1" x14ac:dyDescent="0.35">
      <c r="L3676" s="14"/>
      <c r="N3676" s="10"/>
    </row>
    <row r="3677" spans="12:14" ht="21" customHeight="1" x14ac:dyDescent="0.35">
      <c r="L3677" s="14"/>
      <c r="N3677" s="10"/>
    </row>
    <row r="3678" spans="12:14" ht="21" customHeight="1" x14ac:dyDescent="0.35">
      <c r="L3678" s="14"/>
      <c r="N3678" s="10"/>
    </row>
    <row r="3679" spans="12:14" ht="21" customHeight="1" x14ac:dyDescent="0.35">
      <c r="L3679" s="14"/>
      <c r="N3679" s="10"/>
    </row>
    <row r="3680" spans="12:14" ht="21" customHeight="1" x14ac:dyDescent="0.35">
      <c r="L3680" s="14"/>
      <c r="N3680" s="10"/>
    </row>
    <row r="3681" spans="12:14" ht="21" customHeight="1" x14ac:dyDescent="0.35">
      <c r="L3681" s="14"/>
      <c r="N3681" s="10"/>
    </row>
    <row r="3682" spans="12:14" ht="21" customHeight="1" x14ac:dyDescent="0.35">
      <c r="L3682" s="14"/>
      <c r="N3682" s="10"/>
    </row>
    <row r="3683" spans="12:14" ht="21" customHeight="1" x14ac:dyDescent="0.35">
      <c r="L3683" s="14"/>
      <c r="N3683" s="10"/>
    </row>
    <row r="3684" spans="12:14" ht="21" customHeight="1" x14ac:dyDescent="0.35">
      <c r="L3684" s="14"/>
      <c r="N3684" s="10"/>
    </row>
    <row r="3685" spans="12:14" ht="21" customHeight="1" x14ac:dyDescent="0.35">
      <c r="L3685" s="14"/>
      <c r="N3685" s="10"/>
    </row>
    <row r="3686" spans="12:14" ht="21" customHeight="1" x14ac:dyDescent="0.35">
      <c r="L3686" s="14"/>
      <c r="N3686" s="10"/>
    </row>
    <row r="3687" spans="12:14" ht="21" customHeight="1" x14ac:dyDescent="0.35">
      <c r="L3687" s="14"/>
      <c r="N3687" s="10"/>
    </row>
    <row r="3688" spans="12:14" ht="21" customHeight="1" x14ac:dyDescent="0.35">
      <c r="L3688" s="14"/>
      <c r="N3688" s="10"/>
    </row>
    <row r="3689" spans="12:14" ht="21" customHeight="1" x14ac:dyDescent="0.35">
      <c r="L3689" s="14"/>
      <c r="N3689" s="10"/>
    </row>
    <row r="3690" spans="12:14" ht="21" customHeight="1" x14ac:dyDescent="0.35">
      <c r="L3690" s="14"/>
      <c r="N3690" s="10"/>
    </row>
    <row r="3691" spans="12:14" ht="21" customHeight="1" x14ac:dyDescent="0.35">
      <c r="L3691" s="14"/>
      <c r="N3691" s="10"/>
    </row>
    <row r="3692" spans="12:14" ht="21" customHeight="1" x14ac:dyDescent="0.35">
      <c r="L3692" s="14"/>
      <c r="N3692" s="10"/>
    </row>
    <row r="3693" spans="12:14" ht="21" customHeight="1" x14ac:dyDescent="0.35">
      <c r="L3693" s="14"/>
      <c r="N3693" s="10"/>
    </row>
    <row r="3694" spans="12:14" ht="21" customHeight="1" x14ac:dyDescent="0.35">
      <c r="L3694" s="14"/>
      <c r="N3694" s="10"/>
    </row>
    <row r="3695" spans="12:14" ht="21" customHeight="1" x14ac:dyDescent="0.35">
      <c r="L3695" s="14"/>
      <c r="N3695" s="10"/>
    </row>
    <row r="3696" spans="12:14" ht="21" customHeight="1" x14ac:dyDescent="0.35">
      <c r="L3696" s="14"/>
      <c r="N3696" s="10"/>
    </row>
    <row r="3697" spans="12:14" ht="21" customHeight="1" x14ac:dyDescent="0.35">
      <c r="L3697" s="14"/>
      <c r="N3697" s="10"/>
    </row>
    <row r="3698" spans="12:14" ht="21" customHeight="1" x14ac:dyDescent="0.35">
      <c r="L3698" s="14"/>
      <c r="N3698" s="10"/>
    </row>
    <row r="3699" spans="12:14" ht="21" customHeight="1" x14ac:dyDescent="0.35">
      <c r="L3699" s="14"/>
      <c r="N3699" s="10"/>
    </row>
    <row r="3700" spans="12:14" ht="21" customHeight="1" x14ac:dyDescent="0.35">
      <c r="L3700" s="14"/>
      <c r="N3700" s="10"/>
    </row>
    <row r="3701" spans="12:14" ht="21" customHeight="1" x14ac:dyDescent="0.35">
      <c r="L3701" s="14"/>
      <c r="N3701" s="10"/>
    </row>
    <row r="3702" spans="12:14" ht="21" customHeight="1" x14ac:dyDescent="0.35">
      <c r="L3702" s="14"/>
      <c r="N3702" s="10"/>
    </row>
    <row r="3703" spans="12:14" ht="21" customHeight="1" x14ac:dyDescent="0.35">
      <c r="L3703" s="14"/>
      <c r="N3703" s="10"/>
    </row>
    <row r="3704" spans="12:14" ht="21" customHeight="1" x14ac:dyDescent="0.35">
      <c r="L3704" s="14"/>
      <c r="N3704" s="10"/>
    </row>
    <row r="3705" spans="12:14" ht="21" customHeight="1" x14ac:dyDescent="0.35">
      <c r="L3705" s="14"/>
      <c r="N3705" s="10"/>
    </row>
    <row r="3706" spans="12:14" ht="21" customHeight="1" x14ac:dyDescent="0.35">
      <c r="L3706" s="14"/>
      <c r="N3706" s="10"/>
    </row>
    <row r="3707" spans="12:14" ht="21" customHeight="1" x14ac:dyDescent="0.35">
      <c r="L3707" s="14"/>
      <c r="N3707" s="10"/>
    </row>
    <row r="3708" spans="12:14" ht="21" customHeight="1" x14ac:dyDescent="0.35">
      <c r="L3708" s="14"/>
      <c r="N3708" s="10"/>
    </row>
    <row r="3709" spans="12:14" ht="21" customHeight="1" x14ac:dyDescent="0.35">
      <c r="L3709" s="14"/>
      <c r="N3709" s="10"/>
    </row>
    <row r="3710" spans="12:14" ht="21" customHeight="1" x14ac:dyDescent="0.35">
      <c r="L3710" s="14"/>
      <c r="N3710" s="10"/>
    </row>
    <row r="3711" spans="12:14" ht="21" customHeight="1" x14ac:dyDescent="0.35">
      <c r="L3711" s="14"/>
      <c r="N3711" s="10"/>
    </row>
    <row r="3712" spans="12:14" ht="21" customHeight="1" x14ac:dyDescent="0.35">
      <c r="L3712" s="14"/>
      <c r="N3712" s="10"/>
    </row>
    <row r="3713" spans="12:14" ht="21" customHeight="1" x14ac:dyDescent="0.35">
      <c r="L3713" s="14"/>
      <c r="N3713" s="10"/>
    </row>
    <row r="3714" spans="12:14" ht="21" customHeight="1" x14ac:dyDescent="0.35">
      <c r="L3714" s="14"/>
      <c r="N3714" s="10"/>
    </row>
    <row r="3715" spans="12:14" ht="21" customHeight="1" x14ac:dyDescent="0.35">
      <c r="L3715" s="14"/>
      <c r="N3715" s="10"/>
    </row>
    <row r="3716" spans="12:14" ht="21" customHeight="1" x14ac:dyDescent="0.35">
      <c r="L3716" s="14"/>
      <c r="N3716" s="10"/>
    </row>
    <row r="3717" spans="12:14" ht="21" customHeight="1" x14ac:dyDescent="0.35">
      <c r="L3717" s="14"/>
      <c r="N3717" s="10"/>
    </row>
    <row r="3718" spans="12:14" ht="21" customHeight="1" x14ac:dyDescent="0.35">
      <c r="L3718" s="14"/>
      <c r="N3718" s="10"/>
    </row>
    <row r="3719" spans="12:14" ht="21" customHeight="1" x14ac:dyDescent="0.35">
      <c r="L3719" s="14"/>
      <c r="N3719" s="10"/>
    </row>
    <row r="3720" spans="12:14" ht="21" customHeight="1" x14ac:dyDescent="0.35">
      <c r="L3720" s="14"/>
      <c r="N3720" s="10"/>
    </row>
    <row r="3721" spans="12:14" ht="21" customHeight="1" x14ac:dyDescent="0.35">
      <c r="L3721" s="14"/>
      <c r="N3721" s="10"/>
    </row>
    <row r="3722" spans="12:14" ht="21" customHeight="1" x14ac:dyDescent="0.35">
      <c r="L3722" s="14"/>
      <c r="N3722" s="10"/>
    </row>
    <row r="3723" spans="12:14" ht="21" customHeight="1" x14ac:dyDescent="0.35">
      <c r="L3723" s="14"/>
      <c r="N3723" s="10"/>
    </row>
    <row r="3724" spans="12:14" ht="21" customHeight="1" x14ac:dyDescent="0.35">
      <c r="L3724" s="14"/>
      <c r="N3724" s="10"/>
    </row>
    <row r="3725" spans="12:14" ht="21" customHeight="1" x14ac:dyDescent="0.35">
      <c r="L3725" s="14"/>
      <c r="N3725" s="10"/>
    </row>
    <row r="3726" spans="12:14" ht="21" customHeight="1" x14ac:dyDescent="0.35">
      <c r="L3726" s="14"/>
      <c r="N3726" s="10"/>
    </row>
    <row r="3727" spans="12:14" ht="21" customHeight="1" x14ac:dyDescent="0.35">
      <c r="L3727" s="14"/>
      <c r="N3727" s="10"/>
    </row>
    <row r="3728" spans="12:14" ht="21" customHeight="1" x14ac:dyDescent="0.35">
      <c r="L3728" s="14"/>
      <c r="N3728" s="10"/>
    </row>
    <row r="3729" spans="12:14" ht="21" customHeight="1" x14ac:dyDescent="0.35">
      <c r="L3729" s="14"/>
      <c r="N3729" s="10"/>
    </row>
    <row r="3730" spans="12:14" ht="21" customHeight="1" x14ac:dyDescent="0.35">
      <c r="L3730" s="14"/>
      <c r="N3730" s="10"/>
    </row>
    <row r="3731" spans="12:14" ht="21" customHeight="1" x14ac:dyDescent="0.35">
      <c r="L3731" s="14"/>
      <c r="N3731" s="10"/>
    </row>
    <row r="3732" spans="12:14" ht="21" customHeight="1" x14ac:dyDescent="0.35">
      <c r="L3732" s="14"/>
      <c r="N3732" s="10"/>
    </row>
    <row r="3733" spans="12:14" ht="21" customHeight="1" x14ac:dyDescent="0.35">
      <c r="L3733" s="14"/>
      <c r="N3733" s="10"/>
    </row>
    <row r="3734" spans="12:14" ht="21" customHeight="1" x14ac:dyDescent="0.35">
      <c r="L3734" s="14"/>
      <c r="N3734" s="10"/>
    </row>
    <row r="3735" spans="12:14" ht="21" customHeight="1" x14ac:dyDescent="0.35">
      <c r="L3735" s="14"/>
      <c r="N3735" s="10"/>
    </row>
    <row r="3736" spans="12:14" ht="21" customHeight="1" x14ac:dyDescent="0.35">
      <c r="L3736" s="14"/>
      <c r="N3736" s="10"/>
    </row>
    <row r="3737" spans="12:14" ht="21" customHeight="1" x14ac:dyDescent="0.35">
      <c r="L3737" s="14"/>
      <c r="N3737" s="10"/>
    </row>
    <row r="3738" spans="12:14" ht="21" customHeight="1" x14ac:dyDescent="0.35">
      <c r="L3738" s="14"/>
      <c r="N3738" s="10"/>
    </row>
    <row r="3739" spans="12:14" ht="21" customHeight="1" x14ac:dyDescent="0.35">
      <c r="L3739" s="14"/>
      <c r="N3739" s="10"/>
    </row>
    <row r="3740" spans="12:14" ht="21" customHeight="1" x14ac:dyDescent="0.35">
      <c r="L3740" s="14"/>
      <c r="N3740" s="10"/>
    </row>
    <row r="3741" spans="12:14" ht="21" customHeight="1" x14ac:dyDescent="0.35">
      <c r="L3741" s="14"/>
      <c r="N3741" s="10"/>
    </row>
    <row r="3742" spans="12:14" ht="21" customHeight="1" x14ac:dyDescent="0.35">
      <c r="L3742" s="14"/>
      <c r="N3742" s="10"/>
    </row>
    <row r="3743" spans="12:14" ht="21" customHeight="1" x14ac:dyDescent="0.35">
      <c r="L3743" s="14"/>
      <c r="N3743" s="10"/>
    </row>
    <row r="3744" spans="12:14" ht="21" customHeight="1" x14ac:dyDescent="0.35">
      <c r="L3744" s="14"/>
      <c r="N3744" s="10"/>
    </row>
    <row r="3745" spans="12:14" ht="21" customHeight="1" x14ac:dyDescent="0.35">
      <c r="L3745" s="14"/>
      <c r="N3745" s="10"/>
    </row>
    <row r="3746" spans="12:14" ht="21" customHeight="1" x14ac:dyDescent="0.35">
      <c r="L3746" s="14"/>
      <c r="N3746" s="10"/>
    </row>
    <row r="3747" spans="12:14" ht="21" customHeight="1" x14ac:dyDescent="0.35">
      <c r="L3747" s="14"/>
      <c r="N3747" s="10"/>
    </row>
    <row r="3748" spans="12:14" ht="21" customHeight="1" x14ac:dyDescent="0.35">
      <c r="L3748" s="14"/>
      <c r="N3748" s="10"/>
    </row>
    <row r="3749" spans="12:14" ht="21" customHeight="1" x14ac:dyDescent="0.35">
      <c r="L3749" s="14"/>
      <c r="N3749" s="10"/>
    </row>
    <row r="3750" spans="12:14" ht="21" customHeight="1" x14ac:dyDescent="0.35">
      <c r="L3750" s="14"/>
      <c r="N3750" s="10"/>
    </row>
    <row r="3751" spans="12:14" ht="21" customHeight="1" x14ac:dyDescent="0.35">
      <c r="L3751" s="14"/>
      <c r="N3751" s="10"/>
    </row>
    <row r="3752" spans="12:14" ht="21" customHeight="1" x14ac:dyDescent="0.35">
      <c r="L3752" s="14"/>
      <c r="N3752" s="10"/>
    </row>
    <row r="3753" spans="12:14" ht="21" customHeight="1" x14ac:dyDescent="0.35">
      <c r="L3753" s="14"/>
      <c r="N3753" s="10"/>
    </row>
    <row r="3754" spans="12:14" ht="21" customHeight="1" x14ac:dyDescent="0.35">
      <c r="L3754" s="14"/>
      <c r="N3754" s="10"/>
    </row>
    <row r="3755" spans="12:14" ht="21" customHeight="1" x14ac:dyDescent="0.35">
      <c r="L3755" s="14"/>
      <c r="N3755" s="10"/>
    </row>
    <row r="3756" spans="12:14" ht="21" customHeight="1" x14ac:dyDescent="0.35">
      <c r="L3756" s="14"/>
      <c r="N3756" s="10"/>
    </row>
    <row r="3757" spans="12:14" ht="21" customHeight="1" x14ac:dyDescent="0.35">
      <c r="L3757" s="14"/>
      <c r="N3757" s="10"/>
    </row>
    <row r="3758" spans="12:14" ht="21" customHeight="1" x14ac:dyDescent="0.35">
      <c r="L3758" s="14"/>
      <c r="N3758" s="10"/>
    </row>
    <row r="3759" spans="12:14" ht="21" customHeight="1" x14ac:dyDescent="0.35">
      <c r="L3759" s="14"/>
      <c r="N3759" s="10"/>
    </row>
    <row r="3760" spans="12:14" ht="21" customHeight="1" x14ac:dyDescent="0.35">
      <c r="L3760" s="14"/>
      <c r="N3760" s="10"/>
    </row>
    <row r="3761" spans="12:14" ht="21" customHeight="1" x14ac:dyDescent="0.35">
      <c r="L3761" s="14"/>
      <c r="N3761" s="10"/>
    </row>
    <row r="3762" spans="12:14" ht="21" customHeight="1" x14ac:dyDescent="0.35">
      <c r="L3762" s="14"/>
      <c r="N3762" s="10"/>
    </row>
    <row r="3763" spans="12:14" ht="21" customHeight="1" x14ac:dyDescent="0.35">
      <c r="L3763" s="14"/>
      <c r="N3763" s="10"/>
    </row>
    <row r="3764" spans="12:14" ht="21" customHeight="1" x14ac:dyDescent="0.35">
      <c r="L3764" s="14"/>
      <c r="N3764" s="10"/>
    </row>
    <row r="3765" spans="12:14" ht="21" customHeight="1" x14ac:dyDescent="0.35">
      <c r="L3765" s="14"/>
      <c r="N3765" s="10"/>
    </row>
    <row r="3766" spans="12:14" ht="21" customHeight="1" x14ac:dyDescent="0.35">
      <c r="L3766" s="14"/>
      <c r="N3766" s="10"/>
    </row>
    <row r="3767" spans="12:14" ht="21" customHeight="1" x14ac:dyDescent="0.35">
      <c r="L3767" s="14"/>
      <c r="N3767" s="10"/>
    </row>
    <row r="3768" spans="12:14" ht="21" customHeight="1" x14ac:dyDescent="0.35">
      <c r="L3768" s="14"/>
      <c r="N3768" s="10"/>
    </row>
    <row r="3769" spans="12:14" ht="21" customHeight="1" x14ac:dyDescent="0.35">
      <c r="L3769" s="14"/>
      <c r="N3769" s="10"/>
    </row>
    <row r="3770" spans="12:14" ht="21" customHeight="1" x14ac:dyDescent="0.35">
      <c r="L3770" s="14"/>
      <c r="N3770" s="10"/>
    </row>
    <row r="3771" spans="12:14" ht="21" customHeight="1" x14ac:dyDescent="0.35">
      <c r="L3771" s="14"/>
      <c r="N3771" s="10"/>
    </row>
    <row r="3772" spans="12:14" ht="21" customHeight="1" x14ac:dyDescent="0.35">
      <c r="L3772" s="14"/>
      <c r="N3772" s="10"/>
    </row>
    <row r="3773" spans="12:14" ht="21" customHeight="1" x14ac:dyDescent="0.35">
      <c r="L3773" s="14"/>
      <c r="N3773" s="10"/>
    </row>
    <row r="3774" spans="12:14" ht="21" customHeight="1" x14ac:dyDescent="0.35">
      <c r="L3774" s="14"/>
      <c r="N3774" s="10"/>
    </row>
    <row r="3775" spans="12:14" ht="21" customHeight="1" x14ac:dyDescent="0.35">
      <c r="L3775" s="14"/>
      <c r="N3775" s="10"/>
    </row>
    <row r="3776" spans="12:14" ht="21" customHeight="1" x14ac:dyDescent="0.35">
      <c r="L3776" s="14"/>
      <c r="N3776" s="10"/>
    </row>
    <row r="3777" spans="12:14" ht="21" customHeight="1" x14ac:dyDescent="0.35">
      <c r="L3777" s="14"/>
      <c r="N3777" s="10"/>
    </row>
    <row r="3778" spans="12:14" ht="21" customHeight="1" x14ac:dyDescent="0.35">
      <c r="L3778" s="14"/>
      <c r="N3778" s="10"/>
    </row>
    <row r="3779" spans="12:14" ht="21" customHeight="1" x14ac:dyDescent="0.35">
      <c r="L3779" s="14"/>
      <c r="N3779" s="10"/>
    </row>
    <row r="3780" spans="12:14" ht="21" customHeight="1" x14ac:dyDescent="0.35">
      <c r="L3780" s="14"/>
      <c r="N3780" s="10"/>
    </row>
    <row r="3781" spans="12:14" ht="21" customHeight="1" x14ac:dyDescent="0.35">
      <c r="L3781" s="14"/>
      <c r="N3781" s="10"/>
    </row>
    <row r="3782" spans="12:14" ht="21" customHeight="1" x14ac:dyDescent="0.35">
      <c r="L3782" s="14"/>
      <c r="N3782" s="10"/>
    </row>
    <row r="3783" spans="12:14" ht="21" customHeight="1" x14ac:dyDescent="0.35">
      <c r="L3783" s="14"/>
      <c r="N3783" s="10"/>
    </row>
    <row r="3784" spans="12:14" ht="21" customHeight="1" x14ac:dyDescent="0.35">
      <c r="L3784" s="14"/>
      <c r="N3784" s="10"/>
    </row>
    <row r="3785" spans="12:14" ht="21" customHeight="1" x14ac:dyDescent="0.35">
      <c r="L3785" s="14"/>
      <c r="N3785" s="10"/>
    </row>
    <row r="3786" spans="12:14" ht="21" customHeight="1" x14ac:dyDescent="0.35">
      <c r="L3786" s="14"/>
      <c r="N3786" s="10"/>
    </row>
    <row r="3787" spans="12:14" ht="21" customHeight="1" x14ac:dyDescent="0.35">
      <c r="L3787" s="14"/>
      <c r="N3787" s="10"/>
    </row>
    <row r="3788" spans="12:14" ht="21" customHeight="1" x14ac:dyDescent="0.35">
      <c r="L3788" s="14"/>
      <c r="N3788" s="10"/>
    </row>
    <row r="3789" spans="12:14" ht="21" customHeight="1" x14ac:dyDescent="0.35">
      <c r="L3789" s="14"/>
      <c r="N3789" s="10"/>
    </row>
    <row r="3790" spans="12:14" ht="21" customHeight="1" x14ac:dyDescent="0.35">
      <c r="L3790" s="14"/>
      <c r="N3790" s="10"/>
    </row>
    <row r="3791" spans="12:14" ht="21" customHeight="1" x14ac:dyDescent="0.35">
      <c r="L3791" s="14"/>
      <c r="N3791" s="10"/>
    </row>
    <row r="3792" spans="12:14" ht="21" customHeight="1" x14ac:dyDescent="0.35">
      <c r="L3792" s="14"/>
      <c r="N3792" s="10"/>
    </row>
    <row r="3793" spans="12:14" ht="21" customHeight="1" x14ac:dyDescent="0.35">
      <c r="L3793" s="14"/>
      <c r="N3793" s="10"/>
    </row>
    <row r="3794" spans="12:14" ht="21" customHeight="1" x14ac:dyDescent="0.35">
      <c r="L3794" s="14"/>
      <c r="N3794" s="10"/>
    </row>
    <row r="3795" spans="12:14" ht="21" customHeight="1" x14ac:dyDescent="0.35">
      <c r="L3795" s="14"/>
      <c r="N3795" s="10"/>
    </row>
    <row r="3796" spans="12:14" ht="21" customHeight="1" x14ac:dyDescent="0.35">
      <c r="L3796" s="14"/>
      <c r="N3796" s="10"/>
    </row>
    <row r="3797" spans="12:14" ht="21" customHeight="1" x14ac:dyDescent="0.35">
      <c r="L3797" s="14"/>
      <c r="N3797" s="10"/>
    </row>
    <row r="3798" spans="12:14" ht="21" customHeight="1" x14ac:dyDescent="0.35">
      <c r="L3798" s="14"/>
      <c r="N3798" s="10"/>
    </row>
    <row r="3799" spans="12:14" ht="21" customHeight="1" x14ac:dyDescent="0.35">
      <c r="L3799" s="14"/>
      <c r="N3799" s="10"/>
    </row>
    <row r="3800" spans="12:14" ht="21" customHeight="1" x14ac:dyDescent="0.35">
      <c r="L3800" s="14"/>
      <c r="N3800" s="10"/>
    </row>
    <row r="3801" spans="12:14" ht="21" customHeight="1" x14ac:dyDescent="0.35">
      <c r="L3801" s="14"/>
      <c r="N3801" s="10"/>
    </row>
    <row r="3802" spans="12:14" ht="21" customHeight="1" x14ac:dyDescent="0.35">
      <c r="L3802" s="14"/>
      <c r="N3802" s="10"/>
    </row>
    <row r="3803" spans="12:14" ht="21" customHeight="1" x14ac:dyDescent="0.35">
      <c r="L3803" s="14"/>
      <c r="N3803" s="10"/>
    </row>
    <row r="3804" spans="12:14" ht="21" customHeight="1" x14ac:dyDescent="0.35">
      <c r="L3804" s="14"/>
      <c r="N3804" s="10"/>
    </row>
    <row r="3805" spans="12:14" ht="21" customHeight="1" x14ac:dyDescent="0.35">
      <c r="L3805" s="14"/>
      <c r="N3805" s="10"/>
    </row>
    <row r="3806" spans="12:14" ht="21" customHeight="1" x14ac:dyDescent="0.35">
      <c r="L3806" s="14"/>
      <c r="N3806" s="10"/>
    </row>
    <row r="3807" spans="12:14" ht="21" customHeight="1" x14ac:dyDescent="0.35">
      <c r="L3807" s="14"/>
      <c r="N3807" s="10"/>
    </row>
    <row r="3808" spans="12:14" ht="21" customHeight="1" x14ac:dyDescent="0.35">
      <c r="L3808" s="14"/>
      <c r="N3808" s="10"/>
    </row>
    <row r="3809" spans="12:14" ht="21" customHeight="1" x14ac:dyDescent="0.35">
      <c r="L3809" s="14"/>
      <c r="N3809" s="10"/>
    </row>
    <row r="3810" spans="12:14" ht="21" customHeight="1" x14ac:dyDescent="0.35">
      <c r="L3810" s="14"/>
      <c r="N3810" s="10"/>
    </row>
    <row r="3811" spans="12:14" ht="21" customHeight="1" x14ac:dyDescent="0.35">
      <c r="L3811" s="14"/>
      <c r="N3811" s="10"/>
    </row>
    <row r="3812" spans="12:14" ht="21" customHeight="1" x14ac:dyDescent="0.35">
      <c r="L3812" s="14"/>
      <c r="N3812" s="10"/>
    </row>
    <row r="3813" spans="12:14" ht="21" customHeight="1" x14ac:dyDescent="0.35">
      <c r="L3813" s="14"/>
      <c r="N3813" s="10"/>
    </row>
    <row r="3814" spans="12:14" ht="21" customHeight="1" x14ac:dyDescent="0.35">
      <c r="L3814" s="14"/>
      <c r="N3814" s="10"/>
    </row>
    <row r="3815" spans="12:14" ht="21" customHeight="1" x14ac:dyDescent="0.35">
      <c r="L3815" s="14"/>
      <c r="N3815" s="10"/>
    </row>
    <row r="3816" spans="12:14" ht="21" customHeight="1" x14ac:dyDescent="0.35">
      <c r="L3816" s="14"/>
      <c r="N3816" s="10"/>
    </row>
    <row r="3817" spans="12:14" ht="21" customHeight="1" x14ac:dyDescent="0.35">
      <c r="L3817" s="14"/>
      <c r="N3817" s="10"/>
    </row>
    <row r="3818" spans="12:14" ht="21" customHeight="1" x14ac:dyDescent="0.35">
      <c r="L3818" s="14"/>
      <c r="N3818" s="10"/>
    </row>
    <row r="3819" spans="12:14" ht="21" customHeight="1" x14ac:dyDescent="0.35">
      <c r="L3819" s="14"/>
      <c r="N3819" s="10"/>
    </row>
    <row r="3820" spans="12:14" ht="21" customHeight="1" x14ac:dyDescent="0.35">
      <c r="L3820" s="14"/>
      <c r="N3820" s="10"/>
    </row>
    <row r="3821" spans="12:14" ht="21" customHeight="1" x14ac:dyDescent="0.35">
      <c r="L3821" s="14"/>
      <c r="N3821" s="10"/>
    </row>
    <row r="3822" spans="12:14" ht="21" customHeight="1" x14ac:dyDescent="0.35">
      <c r="L3822" s="14"/>
      <c r="N3822" s="10"/>
    </row>
    <row r="3823" spans="12:14" ht="21" customHeight="1" x14ac:dyDescent="0.35">
      <c r="L3823" s="14"/>
      <c r="N3823" s="10"/>
    </row>
    <row r="3824" spans="12:14" ht="21" customHeight="1" x14ac:dyDescent="0.35">
      <c r="L3824" s="14"/>
      <c r="N3824" s="10"/>
    </row>
    <row r="3825" spans="12:14" ht="21" customHeight="1" x14ac:dyDescent="0.35">
      <c r="L3825" s="14"/>
      <c r="N3825" s="10"/>
    </row>
    <row r="3826" spans="12:14" ht="21" customHeight="1" x14ac:dyDescent="0.35">
      <c r="L3826" s="14"/>
      <c r="N3826" s="10"/>
    </row>
    <row r="3827" spans="12:14" ht="21" customHeight="1" x14ac:dyDescent="0.35">
      <c r="L3827" s="14"/>
      <c r="N3827" s="10"/>
    </row>
    <row r="3828" spans="12:14" ht="21" customHeight="1" x14ac:dyDescent="0.35">
      <c r="L3828" s="14"/>
      <c r="N3828" s="10"/>
    </row>
    <row r="3829" spans="12:14" ht="21" customHeight="1" x14ac:dyDescent="0.35">
      <c r="L3829" s="14"/>
      <c r="N3829" s="10"/>
    </row>
    <row r="3830" spans="12:14" ht="21" customHeight="1" x14ac:dyDescent="0.35">
      <c r="L3830" s="14"/>
      <c r="N3830" s="10"/>
    </row>
    <row r="3831" spans="12:14" ht="21" customHeight="1" x14ac:dyDescent="0.35">
      <c r="L3831" s="14"/>
      <c r="N3831" s="10"/>
    </row>
    <row r="3832" spans="12:14" ht="21" customHeight="1" x14ac:dyDescent="0.35">
      <c r="L3832" s="14"/>
      <c r="N3832" s="10"/>
    </row>
    <row r="3833" spans="12:14" ht="21" customHeight="1" x14ac:dyDescent="0.35">
      <c r="L3833" s="14"/>
      <c r="N3833" s="10"/>
    </row>
    <row r="3834" spans="12:14" ht="21" customHeight="1" x14ac:dyDescent="0.35">
      <c r="L3834" s="14"/>
      <c r="N3834" s="10"/>
    </row>
    <row r="3835" spans="12:14" ht="21" customHeight="1" x14ac:dyDescent="0.35">
      <c r="L3835" s="14"/>
      <c r="N3835" s="10"/>
    </row>
    <row r="3836" spans="12:14" ht="21" customHeight="1" x14ac:dyDescent="0.35">
      <c r="L3836" s="14"/>
      <c r="N3836" s="10"/>
    </row>
    <row r="3837" spans="12:14" ht="21" customHeight="1" x14ac:dyDescent="0.35">
      <c r="L3837" s="14"/>
      <c r="N3837" s="10"/>
    </row>
    <row r="3838" spans="12:14" ht="21" customHeight="1" x14ac:dyDescent="0.35">
      <c r="L3838" s="14"/>
      <c r="N3838" s="10"/>
    </row>
    <row r="3839" spans="12:14" ht="21" customHeight="1" x14ac:dyDescent="0.35">
      <c r="L3839" s="14"/>
      <c r="N3839" s="10"/>
    </row>
    <row r="3840" spans="12:14" ht="21" customHeight="1" x14ac:dyDescent="0.35">
      <c r="L3840" s="14"/>
      <c r="N3840" s="10"/>
    </row>
    <row r="3841" spans="12:14" ht="21" customHeight="1" x14ac:dyDescent="0.35">
      <c r="L3841" s="14"/>
      <c r="N3841" s="10"/>
    </row>
    <row r="3842" spans="12:14" ht="21" customHeight="1" x14ac:dyDescent="0.35">
      <c r="L3842" s="14"/>
      <c r="N3842" s="10"/>
    </row>
    <row r="3843" spans="12:14" ht="21" customHeight="1" x14ac:dyDescent="0.35">
      <c r="L3843" s="14"/>
      <c r="N3843" s="10"/>
    </row>
    <row r="3844" spans="12:14" ht="21" customHeight="1" x14ac:dyDescent="0.35">
      <c r="L3844" s="14"/>
      <c r="N3844" s="10"/>
    </row>
    <row r="3845" spans="12:14" ht="21" customHeight="1" x14ac:dyDescent="0.35">
      <c r="L3845" s="14"/>
      <c r="N3845" s="10"/>
    </row>
    <row r="3846" spans="12:14" ht="21" customHeight="1" x14ac:dyDescent="0.35">
      <c r="L3846" s="14"/>
      <c r="N3846" s="10"/>
    </row>
    <row r="3847" spans="12:14" ht="21" customHeight="1" x14ac:dyDescent="0.35">
      <c r="L3847" s="14"/>
      <c r="N3847" s="10"/>
    </row>
    <row r="3848" spans="12:14" ht="21" customHeight="1" x14ac:dyDescent="0.35">
      <c r="L3848" s="14"/>
      <c r="N3848" s="10"/>
    </row>
    <row r="3849" spans="12:14" ht="21" customHeight="1" x14ac:dyDescent="0.35">
      <c r="L3849" s="14"/>
      <c r="N3849" s="10"/>
    </row>
    <row r="3850" spans="12:14" ht="21" customHeight="1" x14ac:dyDescent="0.35">
      <c r="L3850" s="14"/>
      <c r="N3850" s="10"/>
    </row>
    <row r="3851" spans="12:14" ht="21" customHeight="1" x14ac:dyDescent="0.35">
      <c r="L3851" s="14"/>
      <c r="N3851" s="10"/>
    </row>
    <row r="3852" spans="12:14" ht="21" customHeight="1" x14ac:dyDescent="0.35">
      <c r="L3852" s="14"/>
      <c r="N3852" s="10"/>
    </row>
    <row r="3853" spans="12:14" ht="21" customHeight="1" x14ac:dyDescent="0.35">
      <c r="L3853" s="14"/>
      <c r="N3853" s="10"/>
    </row>
    <row r="3854" spans="12:14" ht="21" customHeight="1" x14ac:dyDescent="0.35">
      <c r="L3854" s="14"/>
      <c r="N3854" s="10"/>
    </row>
    <row r="3855" spans="12:14" ht="21" customHeight="1" x14ac:dyDescent="0.35">
      <c r="L3855" s="14"/>
      <c r="N3855" s="10"/>
    </row>
    <row r="3856" spans="12:14" ht="21" customHeight="1" x14ac:dyDescent="0.35">
      <c r="L3856" s="14"/>
      <c r="N3856" s="10"/>
    </row>
    <row r="3857" spans="12:14" ht="21" customHeight="1" x14ac:dyDescent="0.35">
      <c r="L3857" s="14"/>
      <c r="N3857" s="10"/>
    </row>
    <row r="3858" spans="12:14" ht="21" customHeight="1" x14ac:dyDescent="0.35">
      <c r="L3858" s="14"/>
      <c r="N3858" s="10"/>
    </row>
    <row r="3859" spans="12:14" ht="21" customHeight="1" x14ac:dyDescent="0.35">
      <c r="L3859" s="14"/>
      <c r="N3859" s="10"/>
    </row>
    <row r="3860" spans="12:14" ht="21" customHeight="1" x14ac:dyDescent="0.35">
      <c r="L3860" s="14"/>
      <c r="N3860" s="10"/>
    </row>
    <row r="3861" spans="12:14" ht="21" customHeight="1" x14ac:dyDescent="0.35">
      <c r="L3861" s="14"/>
      <c r="N3861" s="10"/>
    </row>
    <row r="3862" spans="12:14" ht="21" customHeight="1" x14ac:dyDescent="0.35">
      <c r="L3862" s="14"/>
      <c r="N3862" s="10"/>
    </row>
    <row r="3863" spans="12:14" ht="21" customHeight="1" x14ac:dyDescent="0.35">
      <c r="L3863" s="14"/>
      <c r="N3863" s="10"/>
    </row>
    <row r="3864" spans="12:14" ht="21" customHeight="1" x14ac:dyDescent="0.35">
      <c r="L3864" s="14"/>
      <c r="N3864" s="10"/>
    </row>
    <row r="3865" spans="12:14" ht="21" customHeight="1" x14ac:dyDescent="0.35">
      <c r="L3865" s="14"/>
      <c r="N3865" s="10"/>
    </row>
    <row r="3866" spans="12:14" ht="21" customHeight="1" x14ac:dyDescent="0.35">
      <c r="L3866" s="14"/>
      <c r="N3866" s="10"/>
    </row>
    <row r="3867" spans="12:14" ht="21" customHeight="1" x14ac:dyDescent="0.35">
      <c r="L3867" s="14"/>
      <c r="N3867" s="10"/>
    </row>
    <row r="3868" spans="12:14" ht="21" customHeight="1" x14ac:dyDescent="0.35">
      <c r="L3868" s="14"/>
      <c r="N3868" s="10"/>
    </row>
    <row r="3869" spans="12:14" ht="21" customHeight="1" x14ac:dyDescent="0.35">
      <c r="L3869" s="14"/>
      <c r="N3869" s="10"/>
    </row>
    <row r="3870" spans="12:14" ht="21" customHeight="1" x14ac:dyDescent="0.35">
      <c r="L3870" s="14"/>
      <c r="N3870" s="10"/>
    </row>
    <row r="3871" spans="12:14" ht="21" customHeight="1" x14ac:dyDescent="0.35">
      <c r="L3871" s="14"/>
      <c r="N3871" s="10"/>
    </row>
    <row r="3872" spans="12:14" ht="21" customHeight="1" x14ac:dyDescent="0.35">
      <c r="L3872" s="14"/>
      <c r="N3872" s="10"/>
    </row>
    <row r="3873" spans="12:14" ht="21" customHeight="1" x14ac:dyDescent="0.35">
      <c r="L3873" s="14"/>
      <c r="N3873" s="10"/>
    </row>
    <row r="3874" spans="12:14" ht="21" customHeight="1" x14ac:dyDescent="0.35">
      <c r="L3874" s="14"/>
      <c r="N3874" s="10"/>
    </row>
    <row r="3875" spans="12:14" ht="21" customHeight="1" x14ac:dyDescent="0.35">
      <c r="L3875" s="14"/>
      <c r="N3875" s="10"/>
    </row>
    <row r="3876" spans="12:14" ht="21" customHeight="1" x14ac:dyDescent="0.35">
      <c r="L3876" s="14"/>
      <c r="N3876" s="10"/>
    </row>
    <row r="3877" spans="12:14" ht="21" customHeight="1" x14ac:dyDescent="0.35">
      <c r="L3877" s="14"/>
      <c r="N3877" s="10"/>
    </row>
    <row r="3878" spans="12:14" ht="21" customHeight="1" x14ac:dyDescent="0.35">
      <c r="L3878" s="14"/>
      <c r="N3878" s="10"/>
    </row>
    <row r="3879" spans="12:14" ht="21" customHeight="1" x14ac:dyDescent="0.35">
      <c r="L3879" s="14"/>
      <c r="N3879" s="10"/>
    </row>
    <row r="3880" spans="12:14" ht="21" customHeight="1" x14ac:dyDescent="0.35">
      <c r="L3880" s="14"/>
      <c r="N3880" s="10"/>
    </row>
    <row r="3881" spans="12:14" ht="21" customHeight="1" x14ac:dyDescent="0.35">
      <c r="L3881" s="14"/>
      <c r="N3881" s="10"/>
    </row>
    <row r="3882" spans="12:14" ht="21" customHeight="1" x14ac:dyDescent="0.35">
      <c r="L3882" s="14"/>
      <c r="N3882" s="10"/>
    </row>
    <row r="3883" spans="12:14" ht="21" customHeight="1" x14ac:dyDescent="0.35">
      <c r="L3883" s="14"/>
      <c r="N3883" s="10"/>
    </row>
    <row r="3884" spans="12:14" ht="21" customHeight="1" x14ac:dyDescent="0.35">
      <c r="L3884" s="14"/>
      <c r="N3884" s="10"/>
    </row>
    <row r="3885" spans="12:14" ht="21" customHeight="1" x14ac:dyDescent="0.35">
      <c r="L3885" s="14"/>
      <c r="N3885" s="10"/>
    </row>
    <row r="3886" spans="12:14" ht="21" customHeight="1" x14ac:dyDescent="0.35">
      <c r="L3886" s="14"/>
      <c r="N3886" s="10"/>
    </row>
    <row r="3887" spans="12:14" ht="21" customHeight="1" x14ac:dyDescent="0.35">
      <c r="L3887" s="14"/>
      <c r="N3887" s="10"/>
    </row>
    <row r="3888" spans="12:14" ht="21" customHeight="1" x14ac:dyDescent="0.35">
      <c r="L3888" s="14"/>
      <c r="N3888" s="10"/>
    </row>
    <row r="3889" spans="12:14" ht="21" customHeight="1" x14ac:dyDescent="0.35">
      <c r="L3889" s="14"/>
      <c r="N3889" s="10"/>
    </row>
    <row r="3890" spans="12:14" ht="21" customHeight="1" x14ac:dyDescent="0.35">
      <c r="L3890" s="14"/>
      <c r="N3890" s="10"/>
    </row>
    <row r="3891" spans="12:14" ht="21" customHeight="1" x14ac:dyDescent="0.35">
      <c r="L3891" s="14"/>
      <c r="N3891" s="10"/>
    </row>
    <row r="3892" spans="12:14" ht="21" customHeight="1" x14ac:dyDescent="0.35">
      <c r="L3892" s="14"/>
      <c r="N3892" s="10"/>
    </row>
    <row r="3893" spans="12:14" ht="21" customHeight="1" x14ac:dyDescent="0.35">
      <c r="L3893" s="14"/>
      <c r="N3893" s="10"/>
    </row>
    <row r="3894" spans="12:14" ht="21" customHeight="1" x14ac:dyDescent="0.35">
      <c r="L3894" s="14"/>
      <c r="N3894" s="10"/>
    </row>
    <row r="3895" spans="12:14" ht="21" customHeight="1" x14ac:dyDescent="0.35">
      <c r="L3895" s="14"/>
      <c r="N3895" s="10"/>
    </row>
    <row r="3896" spans="12:14" ht="21" customHeight="1" x14ac:dyDescent="0.35">
      <c r="L3896" s="14"/>
      <c r="N3896" s="10"/>
    </row>
    <row r="3897" spans="12:14" ht="21" customHeight="1" x14ac:dyDescent="0.35">
      <c r="L3897" s="14"/>
      <c r="N3897" s="10"/>
    </row>
    <row r="3898" spans="12:14" ht="21" customHeight="1" x14ac:dyDescent="0.35">
      <c r="L3898" s="14"/>
      <c r="N3898" s="10"/>
    </row>
    <row r="3899" spans="12:14" ht="21" customHeight="1" x14ac:dyDescent="0.35">
      <c r="L3899" s="14"/>
      <c r="N3899" s="10"/>
    </row>
    <row r="3900" spans="12:14" ht="21" customHeight="1" x14ac:dyDescent="0.35">
      <c r="L3900" s="14"/>
      <c r="N3900" s="10"/>
    </row>
    <row r="3901" spans="12:14" ht="21" customHeight="1" x14ac:dyDescent="0.35">
      <c r="L3901" s="14"/>
      <c r="N3901" s="10"/>
    </row>
    <row r="3902" spans="12:14" ht="21" customHeight="1" x14ac:dyDescent="0.35">
      <c r="L3902" s="14"/>
      <c r="N3902" s="10"/>
    </row>
    <row r="3903" spans="12:14" ht="21" customHeight="1" x14ac:dyDescent="0.35">
      <c r="L3903" s="14"/>
      <c r="N3903" s="10"/>
    </row>
    <row r="3904" spans="12:14" ht="21" customHeight="1" x14ac:dyDescent="0.35">
      <c r="L3904" s="14"/>
      <c r="N3904" s="10"/>
    </row>
    <row r="3905" spans="12:14" ht="21" customHeight="1" x14ac:dyDescent="0.35">
      <c r="L3905" s="14"/>
      <c r="N3905" s="10"/>
    </row>
    <row r="3906" spans="12:14" ht="21" customHeight="1" x14ac:dyDescent="0.35">
      <c r="L3906" s="14"/>
      <c r="N3906" s="10"/>
    </row>
    <row r="3907" spans="12:14" ht="21" customHeight="1" x14ac:dyDescent="0.35">
      <c r="L3907" s="14"/>
      <c r="N3907" s="10"/>
    </row>
    <row r="3908" spans="12:14" ht="21" customHeight="1" x14ac:dyDescent="0.35">
      <c r="L3908" s="14"/>
      <c r="N3908" s="10"/>
    </row>
    <row r="3909" spans="12:14" ht="21" customHeight="1" x14ac:dyDescent="0.35">
      <c r="L3909" s="14"/>
      <c r="N3909" s="10"/>
    </row>
    <row r="3910" spans="12:14" ht="21" customHeight="1" x14ac:dyDescent="0.35">
      <c r="L3910" s="14"/>
      <c r="N3910" s="10"/>
    </row>
    <row r="3911" spans="12:14" ht="21" customHeight="1" x14ac:dyDescent="0.35">
      <c r="L3911" s="14"/>
      <c r="N3911" s="10"/>
    </row>
    <row r="3912" spans="12:14" ht="21" customHeight="1" x14ac:dyDescent="0.35">
      <c r="L3912" s="14"/>
      <c r="N3912" s="10"/>
    </row>
    <row r="3913" spans="12:14" ht="21" customHeight="1" x14ac:dyDescent="0.35">
      <c r="L3913" s="14"/>
      <c r="N3913" s="10"/>
    </row>
    <row r="3914" spans="12:14" ht="21" customHeight="1" x14ac:dyDescent="0.35">
      <c r="L3914" s="14"/>
      <c r="N3914" s="10"/>
    </row>
    <row r="3915" spans="12:14" ht="21" customHeight="1" x14ac:dyDescent="0.35">
      <c r="L3915" s="14"/>
      <c r="N3915" s="10"/>
    </row>
    <row r="3916" spans="12:14" ht="21" customHeight="1" x14ac:dyDescent="0.35">
      <c r="L3916" s="14"/>
      <c r="N3916" s="10"/>
    </row>
    <row r="3917" spans="12:14" ht="21" customHeight="1" x14ac:dyDescent="0.35">
      <c r="L3917" s="14"/>
      <c r="N3917" s="10"/>
    </row>
    <row r="3918" spans="12:14" ht="21" customHeight="1" x14ac:dyDescent="0.35">
      <c r="L3918" s="14"/>
      <c r="N3918" s="10"/>
    </row>
    <row r="3919" spans="12:14" ht="21" customHeight="1" x14ac:dyDescent="0.35">
      <c r="L3919" s="14"/>
      <c r="N3919" s="10"/>
    </row>
    <row r="3920" spans="12:14" ht="21" customHeight="1" x14ac:dyDescent="0.35">
      <c r="L3920" s="14"/>
      <c r="N3920" s="10"/>
    </row>
    <row r="3921" spans="12:14" ht="21" customHeight="1" x14ac:dyDescent="0.35">
      <c r="L3921" s="14"/>
      <c r="N3921" s="10"/>
    </row>
    <row r="3922" spans="12:14" ht="21" customHeight="1" x14ac:dyDescent="0.35">
      <c r="L3922" s="14"/>
      <c r="N3922" s="10"/>
    </row>
    <row r="3923" spans="12:14" ht="21" customHeight="1" x14ac:dyDescent="0.35">
      <c r="L3923" s="14"/>
      <c r="N3923" s="10"/>
    </row>
    <row r="3924" spans="12:14" ht="21" customHeight="1" x14ac:dyDescent="0.35">
      <c r="L3924" s="14"/>
      <c r="N3924" s="10"/>
    </row>
    <row r="3925" spans="12:14" ht="21" customHeight="1" x14ac:dyDescent="0.35">
      <c r="L3925" s="14"/>
      <c r="N3925" s="10"/>
    </row>
    <row r="3926" spans="12:14" ht="21" customHeight="1" x14ac:dyDescent="0.35">
      <c r="L3926" s="14"/>
      <c r="N3926" s="10"/>
    </row>
    <row r="3927" spans="12:14" ht="21" customHeight="1" x14ac:dyDescent="0.35">
      <c r="L3927" s="14"/>
      <c r="N3927" s="10"/>
    </row>
    <row r="3928" spans="12:14" ht="21" customHeight="1" x14ac:dyDescent="0.35">
      <c r="L3928" s="14"/>
      <c r="N3928" s="10"/>
    </row>
    <row r="3929" spans="12:14" ht="21" customHeight="1" x14ac:dyDescent="0.35">
      <c r="L3929" s="14"/>
      <c r="N3929" s="10"/>
    </row>
    <row r="3930" spans="12:14" ht="21" customHeight="1" x14ac:dyDescent="0.35">
      <c r="L3930" s="14"/>
      <c r="N3930" s="10"/>
    </row>
    <row r="3931" spans="12:14" ht="21" customHeight="1" x14ac:dyDescent="0.35">
      <c r="L3931" s="14"/>
      <c r="N3931" s="10"/>
    </row>
    <row r="3932" spans="12:14" ht="21" customHeight="1" x14ac:dyDescent="0.35">
      <c r="L3932" s="14"/>
      <c r="N3932" s="10"/>
    </row>
    <row r="3933" spans="12:14" ht="21" customHeight="1" x14ac:dyDescent="0.35">
      <c r="L3933" s="14"/>
      <c r="N3933" s="10"/>
    </row>
    <row r="3934" spans="12:14" ht="21" customHeight="1" x14ac:dyDescent="0.35">
      <c r="L3934" s="14"/>
      <c r="N3934" s="10"/>
    </row>
    <row r="3935" spans="12:14" ht="21" customHeight="1" x14ac:dyDescent="0.35">
      <c r="L3935" s="14"/>
      <c r="N3935" s="10"/>
    </row>
    <row r="3936" spans="12:14" ht="21" customHeight="1" x14ac:dyDescent="0.35">
      <c r="L3936" s="14"/>
      <c r="N3936" s="10"/>
    </row>
    <row r="3937" spans="12:14" ht="21" customHeight="1" x14ac:dyDescent="0.35">
      <c r="L3937" s="14"/>
      <c r="N3937" s="10"/>
    </row>
    <row r="3938" spans="12:14" ht="21" customHeight="1" x14ac:dyDescent="0.35">
      <c r="L3938" s="14"/>
      <c r="N3938" s="10"/>
    </row>
    <row r="3939" spans="12:14" ht="21" customHeight="1" x14ac:dyDescent="0.35">
      <c r="L3939" s="14"/>
      <c r="N3939" s="10"/>
    </row>
    <row r="3940" spans="12:14" ht="21" customHeight="1" x14ac:dyDescent="0.35">
      <c r="L3940" s="14"/>
      <c r="N3940" s="10"/>
    </row>
    <row r="3941" spans="12:14" ht="21" customHeight="1" x14ac:dyDescent="0.35">
      <c r="L3941" s="14"/>
      <c r="N3941" s="10"/>
    </row>
    <row r="3942" spans="12:14" ht="21" customHeight="1" x14ac:dyDescent="0.35">
      <c r="L3942" s="14"/>
      <c r="N3942" s="10"/>
    </row>
    <row r="3943" spans="12:14" ht="21" customHeight="1" x14ac:dyDescent="0.35">
      <c r="L3943" s="14"/>
      <c r="N3943" s="10"/>
    </row>
    <row r="3944" spans="12:14" ht="21" customHeight="1" x14ac:dyDescent="0.35">
      <c r="L3944" s="14"/>
      <c r="N3944" s="10"/>
    </row>
    <row r="3945" spans="12:14" ht="21" customHeight="1" x14ac:dyDescent="0.35">
      <c r="L3945" s="14"/>
      <c r="N3945" s="10"/>
    </row>
    <row r="3946" spans="12:14" ht="21" customHeight="1" x14ac:dyDescent="0.35">
      <c r="L3946" s="14"/>
      <c r="N3946" s="10"/>
    </row>
    <row r="3947" spans="12:14" ht="21" customHeight="1" x14ac:dyDescent="0.35">
      <c r="L3947" s="14"/>
      <c r="N3947" s="10"/>
    </row>
    <row r="3948" spans="12:14" ht="21" customHeight="1" x14ac:dyDescent="0.35">
      <c r="L3948" s="14"/>
      <c r="N3948" s="10"/>
    </row>
    <row r="3949" spans="12:14" ht="21" customHeight="1" x14ac:dyDescent="0.35">
      <c r="L3949" s="14"/>
      <c r="N3949" s="10"/>
    </row>
    <row r="3950" spans="12:14" ht="21" customHeight="1" x14ac:dyDescent="0.35">
      <c r="L3950" s="14"/>
      <c r="N3950" s="10"/>
    </row>
    <row r="3951" spans="12:14" ht="21" customHeight="1" x14ac:dyDescent="0.35">
      <c r="L3951" s="14"/>
      <c r="N3951" s="10"/>
    </row>
    <row r="3952" spans="12:14" ht="21" customHeight="1" x14ac:dyDescent="0.35">
      <c r="L3952" s="14"/>
      <c r="N3952" s="10"/>
    </row>
    <row r="3953" spans="12:14" ht="21" customHeight="1" x14ac:dyDescent="0.35">
      <c r="L3953" s="14"/>
      <c r="N3953" s="10"/>
    </row>
    <row r="3954" spans="12:14" ht="21" customHeight="1" x14ac:dyDescent="0.35">
      <c r="L3954" s="14"/>
      <c r="N3954" s="10"/>
    </row>
    <row r="3955" spans="12:14" ht="21" customHeight="1" x14ac:dyDescent="0.35">
      <c r="L3955" s="14"/>
      <c r="N3955" s="10"/>
    </row>
    <row r="3956" spans="12:14" ht="21" customHeight="1" x14ac:dyDescent="0.35">
      <c r="L3956" s="14"/>
      <c r="N3956" s="10"/>
    </row>
    <row r="3957" spans="12:14" ht="21" customHeight="1" x14ac:dyDescent="0.35">
      <c r="L3957" s="14"/>
      <c r="N3957" s="10"/>
    </row>
    <row r="3958" spans="12:14" ht="21" customHeight="1" x14ac:dyDescent="0.35">
      <c r="L3958" s="14"/>
      <c r="N3958" s="10"/>
    </row>
    <row r="3959" spans="12:14" ht="21" customHeight="1" x14ac:dyDescent="0.35">
      <c r="L3959" s="14"/>
      <c r="N3959" s="10"/>
    </row>
    <row r="3960" spans="12:14" ht="21" customHeight="1" x14ac:dyDescent="0.35">
      <c r="L3960" s="14"/>
      <c r="N3960" s="10"/>
    </row>
    <row r="3961" spans="12:14" ht="21" customHeight="1" x14ac:dyDescent="0.35">
      <c r="L3961" s="14"/>
      <c r="N3961" s="10"/>
    </row>
    <row r="3962" spans="12:14" ht="21" customHeight="1" x14ac:dyDescent="0.35">
      <c r="L3962" s="14"/>
      <c r="N3962" s="10"/>
    </row>
    <row r="3963" spans="12:14" ht="21" customHeight="1" x14ac:dyDescent="0.35">
      <c r="L3963" s="14"/>
      <c r="N3963" s="10"/>
    </row>
    <row r="3964" spans="12:14" ht="21" customHeight="1" x14ac:dyDescent="0.35">
      <c r="L3964" s="14"/>
      <c r="N3964" s="10"/>
    </row>
    <row r="3965" spans="12:14" ht="21" customHeight="1" x14ac:dyDescent="0.35">
      <c r="L3965" s="14"/>
      <c r="N3965" s="10"/>
    </row>
    <row r="3966" spans="12:14" ht="21" customHeight="1" x14ac:dyDescent="0.35">
      <c r="L3966" s="14"/>
      <c r="N3966" s="10"/>
    </row>
    <row r="3967" spans="12:14" ht="21" customHeight="1" x14ac:dyDescent="0.35">
      <c r="L3967" s="14"/>
      <c r="N3967" s="10"/>
    </row>
    <row r="3968" spans="12:14" ht="21" customHeight="1" x14ac:dyDescent="0.35">
      <c r="L3968" s="14"/>
      <c r="N3968" s="10"/>
    </row>
    <row r="3969" spans="12:14" ht="21" customHeight="1" x14ac:dyDescent="0.35">
      <c r="L3969" s="14"/>
      <c r="N3969" s="10"/>
    </row>
    <row r="3970" spans="12:14" ht="21" customHeight="1" x14ac:dyDescent="0.35">
      <c r="L3970" s="14"/>
      <c r="N3970" s="10"/>
    </row>
    <row r="3971" spans="12:14" ht="21" customHeight="1" x14ac:dyDescent="0.35">
      <c r="L3971" s="14"/>
      <c r="N3971" s="10"/>
    </row>
    <row r="3972" spans="12:14" ht="21" customHeight="1" x14ac:dyDescent="0.35">
      <c r="L3972" s="14"/>
      <c r="N3972" s="10"/>
    </row>
    <row r="3973" spans="12:14" ht="21" customHeight="1" x14ac:dyDescent="0.35">
      <c r="L3973" s="14"/>
      <c r="N3973" s="10"/>
    </row>
    <row r="3974" spans="12:14" ht="21" customHeight="1" x14ac:dyDescent="0.35">
      <c r="L3974" s="14"/>
      <c r="N3974" s="10"/>
    </row>
    <row r="3975" spans="12:14" ht="21" customHeight="1" x14ac:dyDescent="0.35">
      <c r="L3975" s="14"/>
      <c r="N3975" s="10"/>
    </row>
    <row r="3976" spans="12:14" ht="21" customHeight="1" x14ac:dyDescent="0.35">
      <c r="L3976" s="14"/>
      <c r="N3976" s="10"/>
    </row>
    <row r="3977" spans="12:14" ht="21" customHeight="1" x14ac:dyDescent="0.35">
      <c r="L3977" s="14"/>
      <c r="N3977" s="10"/>
    </row>
    <row r="3978" spans="12:14" ht="21" customHeight="1" x14ac:dyDescent="0.35">
      <c r="L3978" s="14"/>
      <c r="N3978" s="10"/>
    </row>
    <row r="3979" spans="12:14" ht="21" customHeight="1" x14ac:dyDescent="0.35">
      <c r="L3979" s="14"/>
      <c r="N3979" s="10"/>
    </row>
    <row r="3980" spans="12:14" ht="21" customHeight="1" x14ac:dyDescent="0.35">
      <c r="L3980" s="14"/>
      <c r="N3980" s="10"/>
    </row>
    <row r="3981" spans="12:14" ht="21" customHeight="1" x14ac:dyDescent="0.35">
      <c r="L3981" s="14"/>
      <c r="N3981" s="10"/>
    </row>
    <row r="3982" spans="12:14" ht="21" customHeight="1" x14ac:dyDescent="0.35">
      <c r="L3982" s="14"/>
      <c r="N3982" s="10"/>
    </row>
    <row r="3983" spans="12:14" ht="21" customHeight="1" x14ac:dyDescent="0.35">
      <c r="L3983" s="14"/>
      <c r="N3983" s="10"/>
    </row>
    <row r="3984" spans="12:14" ht="21" customHeight="1" x14ac:dyDescent="0.35">
      <c r="L3984" s="14"/>
      <c r="N3984" s="10"/>
    </row>
    <row r="3985" spans="12:14" ht="21" customHeight="1" x14ac:dyDescent="0.35">
      <c r="L3985" s="14"/>
      <c r="N3985" s="10"/>
    </row>
    <row r="3986" spans="12:14" ht="21" customHeight="1" x14ac:dyDescent="0.35">
      <c r="L3986" s="14"/>
      <c r="N3986" s="10"/>
    </row>
    <row r="3987" spans="12:14" ht="21" customHeight="1" x14ac:dyDescent="0.35">
      <c r="L3987" s="14"/>
      <c r="N3987" s="10"/>
    </row>
    <row r="3988" spans="12:14" ht="21" customHeight="1" x14ac:dyDescent="0.35">
      <c r="L3988" s="14"/>
      <c r="N3988" s="10"/>
    </row>
    <row r="3989" spans="12:14" ht="21" customHeight="1" x14ac:dyDescent="0.35">
      <c r="L3989" s="14"/>
      <c r="N3989" s="10"/>
    </row>
    <row r="3990" spans="12:14" ht="21" customHeight="1" x14ac:dyDescent="0.35">
      <c r="L3990" s="14"/>
      <c r="N3990" s="10"/>
    </row>
    <row r="3991" spans="12:14" ht="21" customHeight="1" x14ac:dyDescent="0.35">
      <c r="L3991" s="14"/>
      <c r="N3991" s="10"/>
    </row>
    <row r="3992" spans="12:14" ht="21" customHeight="1" x14ac:dyDescent="0.35">
      <c r="L3992" s="14"/>
      <c r="N3992" s="10"/>
    </row>
    <row r="3993" spans="12:14" ht="21" customHeight="1" x14ac:dyDescent="0.35">
      <c r="L3993" s="14"/>
      <c r="N3993" s="10"/>
    </row>
    <row r="3994" spans="12:14" ht="21" customHeight="1" x14ac:dyDescent="0.35">
      <c r="L3994" s="14"/>
      <c r="N3994" s="10"/>
    </row>
    <row r="3995" spans="12:14" ht="21" customHeight="1" x14ac:dyDescent="0.35">
      <c r="L3995" s="14"/>
      <c r="N3995" s="10"/>
    </row>
    <row r="3996" spans="12:14" ht="21" customHeight="1" x14ac:dyDescent="0.35">
      <c r="L3996" s="14"/>
      <c r="N3996" s="10"/>
    </row>
    <row r="3997" spans="12:14" ht="21" customHeight="1" x14ac:dyDescent="0.35">
      <c r="L3997" s="14"/>
      <c r="N3997" s="10"/>
    </row>
    <row r="3998" spans="12:14" ht="21" customHeight="1" x14ac:dyDescent="0.35">
      <c r="L3998" s="14"/>
      <c r="N3998" s="10"/>
    </row>
    <row r="3999" spans="12:14" ht="21" customHeight="1" x14ac:dyDescent="0.35">
      <c r="L3999" s="14"/>
      <c r="N3999" s="10"/>
    </row>
    <row r="4000" spans="12:14" ht="21" customHeight="1" x14ac:dyDescent="0.35">
      <c r="L4000" s="14"/>
      <c r="N4000" s="10"/>
    </row>
    <row r="4001" spans="12:14" ht="21" customHeight="1" x14ac:dyDescent="0.35">
      <c r="L4001" s="14"/>
      <c r="N4001" s="10"/>
    </row>
    <row r="4002" spans="12:14" ht="21" customHeight="1" x14ac:dyDescent="0.35">
      <c r="L4002" s="14"/>
      <c r="N4002" s="10"/>
    </row>
    <row r="4003" spans="12:14" ht="21" customHeight="1" x14ac:dyDescent="0.35">
      <c r="L4003" s="14"/>
      <c r="N4003" s="10"/>
    </row>
    <row r="4004" spans="12:14" ht="21" customHeight="1" x14ac:dyDescent="0.35">
      <c r="L4004" s="14"/>
      <c r="N4004" s="10"/>
    </row>
    <row r="4005" spans="12:14" ht="21" customHeight="1" x14ac:dyDescent="0.35">
      <c r="L4005" s="14"/>
      <c r="N4005" s="10"/>
    </row>
    <row r="4006" spans="12:14" ht="21" customHeight="1" x14ac:dyDescent="0.35">
      <c r="L4006" s="14"/>
      <c r="N4006" s="10"/>
    </row>
    <row r="4007" spans="12:14" ht="21" customHeight="1" x14ac:dyDescent="0.35">
      <c r="L4007" s="14"/>
      <c r="N4007" s="10"/>
    </row>
    <row r="4008" spans="12:14" ht="21" customHeight="1" x14ac:dyDescent="0.35">
      <c r="L4008" s="14"/>
      <c r="N4008" s="10"/>
    </row>
    <row r="4009" spans="12:14" ht="21" customHeight="1" x14ac:dyDescent="0.35">
      <c r="L4009" s="14"/>
      <c r="N4009" s="10"/>
    </row>
    <row r="4010" spans="12:14" ht="21" customHeight="1" x14ac:dyDescent="0.35">
      <c r="L4010" s="14"/>
      <c r="N4010" s="10"/>
    </row>
    <row r="4011" spans="12:14" ht="21" customHeight="1" x14ac:dyDescent="0.35">
      <c r="L4011" s="14"/>
      <c r="N4011" s="10"/>
    </row>
    <row r="4012" spans="12:14" ht="21" customHeight="1" x14ac:dyDescent="0.35">
      <c r="L4012" s="14"/>
      <c r="N4012" s="10"/>
    </row>
    <row r="4013" spans="12:14" ht="21" customHeight="1" x14ac:dyDescent="0.35">
      <c r="L4013" s="14"/>
      <c r="N4013" s="10"/>
    </row>
    <row r="4014" spans="12:14" ht="21" customHeight="1" x14ac:dyDescent="0.35">
      <c r="L4014" s="14"/>
      <c r="N4014" s="10"/>
    </row>
    <row r="4015" spans="12:14" ht="21" customHeight="1" x14ac:dyDescent="0.35">
      <c r="L4015" s="14"/>
      <c r="N4015" s="10"/>
    </row>
    <row r="4016" spans="12:14" ht="21" customHeight="1" x14ac:dyDescent="0.35">
      <c r="L4016" s="14"/>
      <c r="N4016" s="10"/>
    </row>
    <row r="4017" spans="12:14" ht="21" customHeight="1" x14ac:dyDescent="0.35">
      <c r="L4017" s="14"/>
      <c r="N4017" s="10"/>
    </row>
    <row r="4018" spans="12:14" ht="21" customHeight="1" x14ac:dyDescent="0.35">
      <c r="L4018" s="14"/>
      <c r="N4018" s="10"/>
    </row>
    <row r="4019" spans="12:14" ht="21" customHeight="1" x14ac:dyDescent="0.35">
      <c r="L4019" s="14"/>
      <c r="N4019" s="10"/>
    </row>
    <row r="4020" spans="12:14" ht="21" customHeight="1" x14ac:dyDescent="0.35">
      <c r="L4020" s="14"/>
      <c r="N4020" s="10"/>
    </row>
    <row r="4021" spans="12:14" ht="21" customHeight="1" x14ac:dyDescent="0.35">
      <c r="L4021" s="14"/>
      <c r="N4021" s="10"/>
    </row>
    <row r="4022" spans="12:14" ht="21" customHeight="1" x14ac:dyDescent="0.35">
      <c r="L4022" s="14"/>
      <c r="N4022" s="10"/>
    </row>
    <row r="4023" spans="12:14" ht="21" customHeight="1" x14ac:dyDescent="0.35">
      <c r="L4023" s="14"/>
      <c r="N4023" s="10"/>
    </row>
    <row r="4024" spans="12:14" ht="21" customHeight="1" x14ac:dyDescent="0.35">
      <c r="L4024" s="14"/>
      <c r="N4024" s="10"/>
    </row>
    <row r="4025" spans="12:14" ht="21" customHeight="1" x14ac:dyDescent="0.35">
      <c r="L4025" s="14"/>
      <c r="N4025" s="10"/>
    </row>
    <row r="4026" spans="12:14" ht="21" customHeight="1" x14ac:dyDescent="0.35">
      <c r="L4026" s="14"/>
      <c r="N4026" s="10"/>
    </row>
    <row r="4027" spans="12:14" ht="21" customHeight="1" x14ac:dyDescent="0.35">
      <c r="L4027" s="14"/>
      <c r="N4027" s="10"/>
    </row>
    <row r="4028" spans="12:14" ht="21" customHeight="1" x14ac:dyDescent="0.35">
      <c r="L4028" s="14"/>
      <c r="N4028" s="10"/>
    </row>
    <row r="4029" spans="12:14" ht="21" customHeight="1" x14ac:dyDescent="0.35">
      <c r="L4029" s="14"/>
      <c r="N4029" s="10"/>
    </row>
    <row r="4030" spans="12:14" ht="21" customHeight="1" x14ac:dyDescent="0.35">
      <c r="L4030" s="14"/>
      <c r="N4030" s="10"/>
    </row>
    <row r="4031" spans="12:14" ht="21" customHeight="1" x14ac:dyDescent="0.35">
      <c r="L4031" s="14"/>
      <c r="N4031" s="10"/>
    </row>
    <row r="4032" spans="12:14" ht="21" customHeight="1" x14ac:dyDescent="0.35">
      <c r="L4032" s="14"/>
      <c r="N4032" s="10"/>
    </row>
    <row r="4033" spans="12:14" ht="21" customHeight="1" x14ac:dyDescent="0.35">
      <c r="L4033" s="14"/>
      <c r="N4033" s="10"/>
    </row>
    <row r="4034" spans="12:14" ht="21" customHeight="1" x14ac:dyDescent="0.35">
      <c r="L4034" s="14"/>
      <c r="N4034" s="10"/>
    </row>
    <row r="4035" spans="12:14" ht="21" customHeight="1" x14ac:dyDescent="0.35">
      <c r="L4035" s="14"/>
      <c r="N4035" s="10"/>
    </row>
    <row r="4036" spans="12:14" ht="21" customHeight="1" x14ac:dyDescent="0.35">
      <c r="L4036" s="14"/>
      <c r="N4036" s="10"/>
    </row>
    <row r="4037" spans="12:14" ht="21" customHeight="1" x14ac:dyDescent="0.35">
      <c r="L4037" s="14"/>
      <c r="N4037" s="10"/>
    </row>
    <row r="4038" spans="12:14" ht="21" customHeight="1" x14ac:dyDescent="0.35">
      <c r="L4038" s="14"/>
      <c r="N4038" s="10"/>
    </row>
    <row r="4039" spans="12:14" ht="21" customHeight="1" x14ac:dyDescent="0.35">
      <c r="L4039" s="14"/>
      <c r="N4039" s="10"/>
    </row>
    <row r="4040" spans="12:14" ht="21" customHeight="1" x14ac:dyDescent="0.35">
      <c r="L4040" s="14"/>
      <c r="N4040" s="10"/>
    </row>
    <row r="4041" spans="12:14" ht="21" customHeight="1" x14ac:dyDescent="0.35">
      <c r="L4041" s="14"/>
      <c r="N4041" s="10"/>
    </row>
    <row r="4042" spans="12:14" ht="21" customHeight="1" x14ac:dyDescent="0.35">
      <c r="L4042" s="14"/>
      <c r="N4042" s="10"/>
    </row>
    <row r="4043" spans="12:14" ht="21" customHeight="1" x14ac:dyDescent="0.35">
      <c r="L4043" s="14"/>
      <c r="N4043" s="10"/>
    </row>
    <row r="4044" spans="12:14" ht="21" customHeight="1" x14ac:dyDescent="0.35">
      <c r="L4044" s="14"/>
      <c r="N4044" s="10"/>
    </row>
    <row r="4045" spans="12:14" ht="21" customHeight="1" x14ac:dyDescent="0.35">
      <c r="L4045" s="14"/>
      <c r="N4045" s="10"/>
    </row>
    <row r="4046" spans="12:14" ht="21" customHeight="1" x14ac:dyDescent="0.35">
      <c r="L4046" s="14"/>
      <c r="N4046" s="10"/>
    </row>
    <row r="4047" spans="12:14" ht="21" customHeight="1" x14ac:dyDescent="0.35">
      <c r="L4047" s="14"/>
      <c r="N4047" s="10"/>
    </row>
    <row r="4048" spans="12:14" ht="21" customHeight="1" x14ac:dyDescent="0.35">
      <c r="L4048" s="14"/>
      <c r="N4048" s="10"/>
    </row>
    <row r="4049" spans="12:14" ht="21" customHeight="1" x14ac:dyDescent="0.35">
      <c r="L4049" s="14"/>
      <c r="N4049" s="10"/>
    </row>
    <row r="4050" spans="12:14" ht="21" customHeight="1" x14ac:dyDescent="0.35">
      <c r="L4050" s="14"/>
      <c r="N4050" s="10"/>
    </row>
    <row r="4051" spans="12:14" ht="21" customHeight="1" x14ac:dyDescent="0.35">
      <c r="L4051" s="14"/>
      <c r="N4051" s="10"/>
    </row>
    <row r="4052" spans="12:14" ht="21" customHeight="1" x14ac:dyDescent="0.35">
      <c r="L4052" s="14"/>
      <c r="N4052" s="10"/>
    </row>
    <row r="4053" spans="12:14" ht="21" customHeight="1" x14ac:dyDescent="0.35">
      <c r="L4053" s="14"/>
      <c r="N4053" s="10"/>
    </row>
    <row r="4054" spans="12:14" ht="21" customHeight="1" x14ac:dyDescent="0.35">
      <c r="L4054" s="14"/>
      <c r="N4054" s="10"/>
    </row>
    <row r="4055" spans="12:14" ht="21" customHeight="1" x14ac:dyDescent="0.35">
      <c r="L4055" s="14"/>
      <c r="N4055" s="10"/>
    </row>
    <row r="4056" spans="12:14" ht="21" customHeight="1" x14ac:dyDescent="0.35">
      <c r="L4056" s="14"/>
      <c r="N4056" s="10"/>
    </row>
    <row r="4057" spans="12:14" ht="21" customHeight="1" x14ac:dyDescent="0.35">
      <c r="L4057" s="14"/>
      <c r="N4057" s="10"/>
    </row>
    <row r="4058" spans="12:14" ht="21" customHeight="1" x14ac:dyDescent="0.35">
      <c r="L4058" s="14"/>
      <c r="N4058" s="10"/>
    </row>
    <row r="4059" spans="12:14" ht="21" customHeight="1" x14ac:dyDescent="0.35">
      <c r="L4059" s="14"/>
      <c r="N4059" s="10"/>
    </row>
    <row r="4060" spans="12:14" ht="21" customHeight="1" x14ac:dyDescent="0.35">
      <c r="L4060" s="14"/>
      <c r="N4060" s="10"/>
    </row>
    <row r="4061" spans="12:14" ht="21" customHeight="1" x14ac:dyDescent="0.35">
      <c r="L4061" s="14"/>
      <c r="N4061" s="10"/>
    </row>
    <row r="4062" spans="12:14" ht="21" customHeight="1" x14ac:dyDescent="0.35">
      <c r="L4062" s="14"/>
      <c r="N4062" s="10"/>
    </row>
    <row r="4063" spans="12:14" ht="21" customHeight="1" x14ac:dyDescent="0.35">
      <c r="L4063" s="14"/>
      <c r="N4063" s="10"/>
    </row>
    <row r="4064" spans="12:14" ht="21" customHeight="1" x14ac:dyDescent="0.35">
      <c r="L4064" s="14"/>
      <c r="N4064" s="10"/>
    </row>
    <row r="4065" spans="12:14" ht="21" customHeight="1" x14ac:dyDescent="0.35">
      <c r="L4065" s="14"/>
      <c r="N4065" s="10"/>
    </row>
    <row r="4066" spans="12:14" ht="21" customHeight="1" x14ac:dyDescent="0.35">
      <c r="L4066" s="14"/>
      <c r="N4066" s="10"/>
    </row>
    <row r="4067" spans="12:14" ht="21" customHeight="1" x14ac:dyDescent="0.35">
      <c r="L4067" s="14"/>
      <c r="N4067" s="10"/>
    </row>
    <row r="4068" spans="12:14" ht="21" customHeight="1" x14ac:dyDescent="0.35">
      <c r="L4068" s="14"/>
      <c r="N4068" s="10"/>
    </row>
    <row r="4069" spans="12:14" ht="21" customHeight="1" x14ac:dyDescent="0.35">
      <c r="L4069" s="14"/>
      <c r="N4069" s="10"/>
    </row>
    <row r="4070" spans="12:14" ht="21" customHeight="1" x14ac:dyDescent="0.35">
      <c r="L4070" s="14"/>
      <c r="N4070" s="10"/>
    </row>
    <row r="4071" spans="12:14" ht="21" customHeight="1" x14ac:dyDescent="0.35">
      <c r="L4071" s="14"/>
      <c r="N4071" s="10"/>
    </row>
    <row r="4072" spans="12:14" ht="21" customHeight="1" x14ac:dyDescent="0.35">
      <c r="L4072" s="14"/>
      <c r="N4072" s="10"/>
    </row>
    <row r="4073" spans="12:14" ht="21" customHeight="1" x14ac:dyDescent="0.35">
      <c r="L4073" s="14"/>
      <c r="N4073" s="10"/>
    </row>
    <row r="4074" spans="12:14" ht="21" customHeight="1" x14ac:dyDescent="0.35">
      <c r="L4074" s="14"/>
      <c r="N4074" s="10"/>
    </row>
    <row r="4075" spans="12:14" ht="21" customHeight="1" x14ac:dyDescent="0.35">
      <c r="L4075" s="14"/>
      <c r="N4075" s="10"/>
    </row>
    <row r="4076" spans="12:14" ht="21" customHeight="1" x14ac:dyDescent="0.35">
      <c r="L4076" s="14"/>
      <c r="N4076" s="10"/>
    </row>
    <row r="4077" spans="12:14" ht="21" customHeight="1" x14ac:dyDescent="0.35">
      <c r="L4077" s="14"/>
      <c r="N4077" s="10"/>
    </row>
    <row r="4078" spans="12:14" ht="21" customHeight="1" x14ac:dyDescent="0.35">
      <c r="L4078" s="14"/>
      <c r="N4078" s="10"/>
    </row>
    <row r="4079" spans="12:14" ht="21" customHeight="1" x14ac:dyDescent="0.35">
      <c r="L4079" s="14"/>
      <c r="N4079" s="10"/>
    </row>
    <row r="4080" spans="12:14" ht="21" customHeight="1" x14ac:dyDescent="0.35">
      <c r="L4080" s="14"/>
      <c r="N4080" s="10"/>
    </row>
    <row r="4081" spans="12:14" ht="21" customHeight="1" x14ac:dyDescent="0.35">
      <c r="L4081" s="14"/>
      <c r="N4081" s="10"/>
    </row>
    <row r="4082" spans="12:14" ht="21" customHeight="1" x14ac:dyDescent="0.35">
      <c r="L4082" s="14"/>
      <c r="N4082" s="10"/>
    </row>
    <row r="4083" spans="12:14" ht="21" customHeight="1" x14ac:dyDescent="0.35">
      <c r="L4083" s="14"/>
      <c r="N4083" s="10"/>
    </row>
    <row r="4084" spans="12:14" ht="21" customHeight="1" x14ac:dyDescent="0.35">
      <c r="L4084" s="14"/>
      <c r="N4084" s="10"/>
    </row>
    <row r="4085" spans="12:14" ht="21" customHeight="1" x14ac:dyDescent="0.35">
      <c r="L4085" s="14"/>
      <c r="N4085" s="10"/>
    </row>
    <row r="4086" spans="12:14" ht="21" customHeight="1" x14ac:dyDescent="0.35">
      <c r="L4086" s="14"/>
      <c r="N4086" s="10"/>
    </row>
    <row r="4087" spans="12:14" ht="21" customHeight="1" x14ac:dyDescent="0.35">
      <c r="L4087" s="14"/>
      <c r="N4087" s="10"/>
    </row>
    <row r="4088" spans="12:14" ht="21" customHeight="1" x14ac:dyDescent="0.35">
      <c r="L4088" s="14"/>
      <c r="N4088" s="10"/>
    </row>
    <row r="4089" spans="12:14" ht="21" customHeight="1" x14ac:dyDescent="0.35">
      <c r="L4089" s="14"/>
      <c r="N4089" s="10"/>
    </row>
    <row r="4090" spans="12:14" ht="21" customHeight="1" x14ac:dyDescent="0.35">
      <c r="L4090" s="14"/>
      <c r="N4090" s="10"/>
    </row>
    <row r="4091" spans="12:14" ht="21" customHeight="1" x14ac:dyDescent="0.35">
      <c r="L4091" s="14"/>
      <c r="N4091" s="10"/>
    </row>
    <row r="4092" spans="12:14" ht="21" customHeight="1" x14ac:dyDescent="0.35">
      <c r="L4092" s="14"/>
      <c r="N4092" s="10"/>
    </row>
    <row r="4093" spans="12:14" ht="21" customHeight="1" x14ac:dyDescent="0.35">
      <c r="L4093" s="14"/>
      <c r="N4093" s="10"/>
    </row>
    <row r="4094" spans="12:14" ht="21" customHeight="1" x14ac:dyDescent="0.35">
      <c r="L4094" s="14"/>
      <c r="N4094" s="10"/>
    </row>
    <row r="4095" spans="12:14" ht="21" customHeight="1" x14ac:dyDescent="0.35">
      <c r="L4095" s="14"/>
      <c r="N4095" s="10"/>
    </row>
    <row r="4096" spans="12:14" ht="21" customHeight="1" x14ac:dyDescent="0.35">
      <c r="L4096" s="14"/>
      <c r="N4096" s="10"/>
    </row>
    <row r="4097" spans="12:14" ht="21" customHeight="1" x14ac:dyDescent="0.35">
      <c r="L4097" s="14"/>
      <c r="N4097" s="10"/>
    </row>
    <row r="4098" spans="12:14" ht="21" customHeight="1" x14ac:dyDescent="0.35">
      <c r="L4098" s="14"/>
      <c r="N4098" s="10"/>
    </row>
    <row r="4099" spans="12:14" ht="21" customHeight="1" x14ac:dyDescent="0.35">
      <c r="L4099" s="14"/>
      <c r="N4099" s="10"/>
    </row>
    <row r="4100" spans="12:14" ht="21" customHeight="1" x14ac:dyDescent="0.35">
      <c r="L4100" s="14"/>
      <c r="N4100" s="10"/>
    </row>
    <row r="4101" spans="12:14" ht="21" customHeight="1" x14ac:dyDescent="0.35">
      <c r="L4101" s="14"/>
      <c r="N4101" s="10"/>
    </row>
    <row r="4102" spans="12:14" ht="21" customHeight="1" x14ac:dyDescent="0.35">
      <c r="L4102" s="14"/>
      <c r="N4102" s="10"/>
    </row>
    <row r="4103" spans="12:14" ht="21" customHeight="1" x14ac:dyDescent="0.35">
      <c r="L4103" s="14"/>
      <c r="N4103" s="10"/>
    </row>
    <row r="4104" spans="12:14" ht="21" customHeight="1" x14ac:dyDescent="0.35">
      <c r="L4104" s="14"/>
      <c r="N4104" s="10"/>
    </row>
    <row r="4105" spans="12:14" ht="21" customHeight="1" x14ac:dyDescent="0.35">
      <c r="L4105" s="14"/>
      <c r="N4105" s="10"/>
    </row>
    <row r="4106" spans="12:14" ht="21" customHeight="1" x14ac:dyDescent="0.35">
      <c r="L4106" s="14"/>
      <c r="N4106" s="10"/>
    </row>
    <row r="4107" spans="12:14" ht="21" customHeight="1" x14ac:dyDescent="0.35">
      <c r="L4107" s="14"/>
      <c r="N4107" s="10"/>
    </row>
    <row r="4108" spans="12:14" ht="21" customHeight="1" x14ac:dyDescent="0.35">
      <c r="L4108" s="14"/>
      <c r="N4108" s="10"/>
    </row>
    <row r="4109" spans="12:14" ht="21" customHeight="1" x14ac:dyDescent="0.35">
      <c r="L4109" s="14"/>
      <c r="N4109" s="10"/>
    </row>
    <row r="4110" spans="12:14" ht="21" customHeight="1" x14ac:dyDescent="0.35">
      <c r="L4110" s="14"/>
      <c r="N4110" s="10"/>
    </row>
    <row r="4111" spans="12:14" ht="21" customHeight="1" x14ac:dyDescent="0.35">
      <c r="L4111" s="14"/>
      <c r="N4111" s="10"/>
    </row>
    <row r="4112" spans="12:14" ht="21" customHeight="1" x14ac:dyDescent="0.35">
      <c r="L4112" s="14"/>
      <c r="N4112" s="10"/>
    </row>
    <row r="4113" spans="12:14" ht="21" customHeight="1" x14ac:dyDescent="0.35">
      <c r="L4113" s="14"/>
      <c r="N4113" s="10"/>
    </row>
    <row r="4114" spans="12:14" ht="21" customHeight="1" x14ac:dyDescent="0.35">
      <c r="L4114" s="14"/>
      <c r="N4114" s="10"/>
    </row>
    <row r="4115" spans="12:14" ht="21" customHeight="1" x14ac:dyDescent="0.35">
      <c r="L4115" s="14"/>
      <c r="N4115" s="10"/>
    </row>
    <row r="4116" spans="12:14" ht="21" customHeight="1" x14ac:dyDescent="0.35">
      <c r="L4116" s="14"/>
      <c r="N4116" s="10"/>
    </row>
    <row r="4117" spans="12:14" ht="21" customHeight="1" x14ac:dyDescent="0.35">
      <c r="L4117" s="14"/>
      <c r="N4117" s="10"/>
    </row>
    <row r="4118" spans="12:14" ht="21" customHeight="1" x14ac:dyDescent="0.35">
      <c r="L4118" s="14"/>
      <c r="N4118" s="10"/>
    </row>
    <row r="4119" spans="12:14" ht="21" customHeight="1" x14ac:dyDescent="0.35">
      <c r="L4119" s="14"/>
      <c r="N4119" s="10"/>
    </row>
    <row r="4120" spans="12:14" ht="21" customHeight="1" x14ac:dyDescent="0.35">
      <c r="L4120" s="14"/>
      <c r="N4120" s="10"/>
    </row>
    <row r="4121" spans="12:14" ht="21" customHeight="1" x14ac:dyDescent="0.35">
      <c r="L4121" s="14"/>
      <c r="N4121" s="10"/>
    </row>
    <row r="4122" spans="12:14" ht="21" customHeight="1" x14ac:dyDescent="0.35">
      <c r="L4122" s="14"/>
      <c r="N4122" s="10"/>
    </row>
    <row r="4123" spans="12:14" ht="21" customHeight="1" x14ac:dyDescent="0.35">
      <c r="L4123" s="14"/>
      <c r="N4123" s="10"/>
    </row>
    <row r="4124" spans="12:14" ht="21" customHeight="1" x14ac:dyDescent="0.35">
      <c r="L4124" s="14"/>
      <c r="N4124" s="10"/>
    </row>
    <row r="4125" spans="12:14" ht="21" customHeight="1" x14ac:dyDescent="0.35">
      <c r="L4125" s="14"/>
      <c r="N4125" s="10"/>
    </row>
    <row r="4126" spans="12:14" ht="21" customHeight="1" x14ac:dyDescent="0.35">
      <c r="L4126" s="14"/>
      <c r="N4126" s="10"/>
    </row>
    <row r="4127" spans="12:14" ht="21" customHeight="1" x14ac:dyDescent="0.35">
      <c r="L4127" s="14"/>
      <c r="N4127" s="10"/>
    </row>
    <row r="4128" spans="12:14" ht="21" customHeight="1" x14ac:dyDescent="0.35">
      <c r="L4128" s="14"/>
      <c r="N4128" s="10"/>
    </row>
    <row r="4129" spans="12:14" ht="21" customHeight="1" x14ac:dyDescent="0.35">
      <c r="L4129" s="14"/>
      <c r="N4129" s="10"/>
    </row>
    <row r="4130" spans="12:14" ht="21" customHeight="1" x14ac:dyDescent="0.35">
      <c r="L4130" s="14"/>
      <c r="N4130" s="10"/>
    </row>
    <row r="4131" spans="12:14" ht="21" customHeight="1" x14ac:dyDescent="0.35">
      <c r="L4131" s="14"/>
      <c r="N4131" s="10"/>
    </row>
    <row r="4132" spans="12:14" ht="21" customHeight="1" x14ac:dyDescent="0.35">
      <c r="L4132" s="14"/>
      <c r="N4132" s="10"/>
    </row>
    <row r="4133" spans="12:14" ht="21" customHeight="1" x14ac:dyDescent="0.35">
      <c r="L4133" s="14"/>
      <c r="N4133" s="10"/>
    </row>
    <row r="4134" spans="12:14" ht="21" customHeight="1" x14ac:dyDescent="0.35">
      <c r="L4134" s="14"/>
      <c r="N4134" s="10"/>
    </row>
    <row r="4135" spans="12:14" ht="21" customHeight="1" x14ac:dyDescent="0.35">
      <c r="L4135" s="14"/>
      <c r="N4135" s="10"/>
    </row>
    <row r="4136" spans="12:14" ht="21" customHeight="1" x14ac:dyDescent="0.35">
      <c r="L4136" s="14"/>
      <c r="N4136" s="10"/>
    </row>
    <row r="4137" spans="12:14" ht="21" customHeight="1" x14ac:dyDescent="0.35">
      <c r="L4137" s="14"/>
      <c r="N4137" s="10"/>
    </row>
    <row r="4138" spans="12:14" ht="21" customHeight="1" x14ac:dyDescent="0.35">
      <c r="L4138" s="14"/>
      <c r="N4138" s="10"/>
    </row>
    <row r="4139" spans="12:14" ht="21" customHeight="1" x14ac:dyDescent="0.35">
      <c r="L4139" s="14"/>
      <c r="N4139" s="10"/>
    </row>
    <row r="4140" spans="12:14" ht="21" customHeight="1" x14ac:dyDescent="0.35">
      <c r="L4140" s="14"/>
      <c r="N4140" s="10"/>
    </row>
    <row r="4141" spans="12:14" ht="21" customHeight="1" x14ac:dyDescent="0.35">
      <c r="L4141" s="14"/>
      <c r="N4141" s="10"/>
    </row>
    <row r="4142" spans="12:14" ht="21" customHeight="1" x14ac:dyDescent="0.35">
      <c r="L4142" s="14"/>
      <c r="N4142" s="10"/>
    </row>
    <row r="4143" spans="12:14" ht="21" customHeight="1" x14ac:dyDescent="0.35">
      <c r="L4143" s="14"/>
      <c r="N4143" s="10"/>
    </row>
    <row r="4144" spans="12:14" ht="21" customHeight="1" x14ac:dyDescent="0.35">
      <c r="L4144" s="14"/>
      <c r="N4144" s="10"/>
    </row>
    <row r="4145" spans="12:14" ht="21" customHeight="1" x14ac:dyDescent="0.35">
      <c r="L4145" s="14"/>
      <c r="N4145" s="10"/>
    </row>
    <row r="4146" spans="12:14" ht="21" customHeight="1" x14ac:dyDescent="0.35">
      <c r="L4146" s="14"/>
      <c r="N4146" s="10"/>
    </row>
    <row r="4147" spans="12:14" ht="21" customHeight="1" x14ac:dyDescent="0.35">
      <c r="L4147" s="14"/>
      <c r="N4147" s="10"/>
    </row>
    <row r="4148" spans="12:14" ht="21" customHeight="1" x14ac:dyDescent="0.35">
      <c r="L4148" s="14"/>
      <c r="N4148" s="10"/>
    </row>
    <row r="4149" spans="12:14" ht="21" customHeight="1" x14ac:dyDescent="0.35">
      <c r="L4149" s="14"/>
      <c r="N4149" s="10"/>
    </row>
    <row r="4150" spans="12:14" ht="21" customHeight="1" x14ac:dyDescent="0.35">
      <c r="L4150" s="14"/>
      <c r="N4150" s="10"/>
    </row>
    <row r="4151" spans="12:14" ht="21" customHeight="1" x14ac:dyDescent="0.35">
      <c r="L4151" s="14"/>
      <c r="N4151" s="10"/>
    </row>
    <row r="4152" spans="12:14" ht="21" customHeight="1" x14ac:dyDescent="0.35">
      <c r="L4152" s="14"/>
      <c r="N4152" s="10"/>
    </row>
    <row r="4153" spans="12:14" ht="21" customHeight="1" x14ac:dyDescent="0.35">
      <c r="L4153" s="14"/>
      <c r="N4153" s="10"/>
    </row>
    <row r="4154" spans="12:14" ht="21" customHeight="1" x14ac:dyDescent="0.35">
      <c r="L4154" s="14"/>
      <c r="N4154" s="10"/>
    </row>
    <row r="4155" spans="12:14" ht="21" customHeight="1" x14ac:dyDescent="0.35">
      <c r="L4155" s="14"/>
      <c r="N4155" s="10"/>
    </row>
    <row r="4156" spans="12:14" ht="21" customHeight="1" x14ac:dyDescent="0.35">
      <c r="L4156" s="14"/>
      <c r="N4156" s="10"/>
    </row>
    <row r="4157" spans="12:14" ht="21" customHeight="1" x14ac:dyDescent="0.35">
      <c r="L4157" s="14"/>
      <c r="N4157" s="10"/>
    </row>
    <row r="4158" spans="12:14" ht="21" customHeight="1" x14ac:dyDescent="0.35">
      <c r="L4158" s="14"/>
      <c r="N4158" s="10"/>
    </row>
    <row r="4159" spans="12:14" ht="21" customHeight="1" x14ac:dyDescent="0.35">
      <c r="L4159" s="14"/>
      <c r="N4159" s="10"/>
    </row>
    <row r="4160" spans="12:14" ht="21" customHeight="1" x14ac:dyDescent="0.35">
      <c r="L4160" s="14"/>
      <c r="N4160" s="10"/>
    </row>
    <row r="4161" spans="12:14" ht="21" customHeight="1" x14ac:dyDescent="0.35">
      <c r="L4161" s="14"/>
      <c r="N4161" s="10"/>
    </row>
    <row r="4162" spans="12:14" ht="21" customHeight="1" x14ac:dyDescent="0.35">
      <c r="L4162" s="14"/>
      <c r="N4162" s="10"/>
    </row>
    <row r="4163" spans="12:14" ht="21" customHeight="1" x14ac:dyDescent="0.35">
      <c r="L4163" s="14"/>
      <c r="N4163" s="10"/>
    </row>
    <row r="4164" spans="12:14" ht="21" customHeight="1" x14ac:dyDescent="0.35">
      <c r="L4164" s="14"/>
      <c r="N4164" s="10"/>
    </row>
    <row r="4165" spans="12:14" ht="21" customHeight="1" x14ac:dyDescent="0.35">
      <c r="L4165" s="14"/>
      <c r="N4165" s="10"/>
    </row>
    <row r="4166" spans="12:14" ht="21" customHeight="1" x14ac:dyDescent="0.35">
      <c r="L4166" s="14"/>
      <c r="N4166" s="10"/>
    </row>
    <row r="4167" spans="12:14" ht="21" customHeight="1" x14ac:dyDescent="0.35">
      <c r="L4167" s="14"/>
      <c r="N4167" s="10"/>
    </row>
    <row r="4168" spans="12:14" ht="21" customHeight="1" x14ac:dyDescent="0.35">
      <c r="L4168" s="14"/>
      <c r="N4168" s="10"/>
    </row>
    <row r="4169" spans="12:14" ht="21" customHeight="1" x14ac:dyDescent="0.35">
      <c r="L4169" s="14"/>
      <c r="N4169" s="10"/>
    </row>
    <row r="4170" spans="12:14" ht="21" customHeight="1" x14ac:dyDescent="0.35">
      <c r="L4170" s="14"/>
      <c r="N4170" s="10"/>
    </row>
    <row r="4171" spans="12:14" ht="21" customHeight="1" x14ac:dyDescent="0.35">
      <c r="L4171" s="14"/>
      <c r="N4171" s="10"/>
    </row>
    <row r="4172" spans="12:14" ht="21" customHeight="1" x14ac:dyDescent="0.35">
      <c r="L4172" s="14"/>
      <c r="N4172" s="10"/>
    </row>
    <row r="4173" spans="12:14" ht="21" customHeight="1" x14ac:dyDescent="0.35">
      <c r="L4173" s="14"/>
      <c r="N4173" s="10"/>
    </row>
    <row r="4174" spans="12:14" ht="21" customHeight="1" x14ac:dyDescent="0.35">
      <c r="L4174" s="14"/>
      <c r="N4174" s="10"/>
    </row>
    <row r="4175" spans="12:14" ht="21" customHeight="1" x14ac:dyDescent="0.35">
      <c r="L4175" s="14"/>
      <c r="N4175" s="10"/>
    </row>
    <row r="4176" spans="12:14" ht="21" customHeight="1" x14ac:dyDescent="0.35">
      <c r="L4176" s="14"/>
      <c r="N4176" s="10"/>
    </row>
    <row r="4177" spans="12:14" ht="21" customHeight="1" x14ac:dyDescent="0.35">
      <c r="L4177" s="14"/>
      <c r="N4177" s="10"/>
    </row>
    <row r="4178" spans="12:14" ht="21" customHeight="1" x14ac:dyDescent="0.35">
      <c r="L4178" s="14"/>
      <c r="N4178" s="10"/>
    </row>
    <row r="4179" spans="12:14" ht="21" customHeight="1" x14ac:dyDescent="0.35">
      <c r="L4179" s="14"/>
      <c r="N4179" s="10"/>
    </row>
    <row r="4180" spans="12:14" ht="21" customHeight="1" x14ac:dyDescent="0.35">
      <c r="L4180" s="14"/>
      <c r="N4180" s="10"/>
    </row>
    <row r="4181" spans="12:14" ht="21" customHeight="1" x14ac:dyDescent="0.35">
      <c r="L4181" s="14"/>
      <c r="N4181" s="10"/>
    </row>
    <row r="4182" spans="12:14" ht="21" customHeight="1" x14ac:dyDescent="0.35">
      <c r="L4182" s="14"/>
      <c r="N4182" s="10"/>
    </row>
    <row r="4183" spans="12:14" ht="21" customHeight="1" x14ac:dyDescent="0.35">
      <c r="L4183" s="14"/>
      <c r="N4183" s="10"/>
    </row>
    <row r="4184" spans="12:14" ht="21" customHeight="1" x14ac:dyDescent="0.35">
      <c r="L4184" s="14"/>
      <c r="N4184" s="10"/>
    </row>
    <row r="4185" spans="12:14" ht="21" customHeight="1" x14ac:dyDescent="0.35">
      <c r="L4185" s="14"/>
      <c r="N4185" s="10"/>
    </row>
    <row r="4186" spans="12:14" ht="21" customHeight="1" x14ac:dyDescent="0.35">
      <c r="L4186" s="14"/>
      <c r="N4186" s="10"/>
    </row>
    <row r="4187" spans="12:14" ht="21" customHeight="1" x14ac:dyDescent="0.35">
      <c r="L4187" s="14"/>
      <c r="N4187" s="10"/>
    </row>
    <row r="4188" spans="12:14" ht="21" customHeight="1" x14ac:dyDescent="0.35">
      <c r="L4188" s="14"/>
      <c r="N4188" s="10"/>
    </row>
    <row r="4189" spans="12:14" ht="21" customHeight="1" x14ac:dyDescent="0.35">
      <c r="L4189" s="14"/>
      <c r="N4189" s="10"/>
    </row>
    <row r="4190" spans="12:14" ht="21" customHeight="1" x14ac:dyDescent="0.35">
      <c r="L4190" s="14"/>
      <c r="N4190" s="10"/>
    </row>
    <row r="4191" spans="12:14" ht="21" customHeight="1" x14ac:dyDescent="0.35">
      <c r="L4191" s="14"/>
      <c r="N4191" s="10"/>
    </row>
    <row r="4192" spans="12:14" ht="21" customHeight="1" x14ac:dyDescent="0.35">
      <c r="L4192" s="14"/>
      <c r="N4192" s="10"/>
    </row>
    <row r="4193" spans="12:14" ht="21" customHeight="1" x14ac:dyDescent="0.35">
      <c r="L4193" s="14"/>
      <c r="N4193" s="10"/>
    </row>
    <row r="4194" spans="12:14" ht="21" customHeight="1" x14ac:dyDescent="0.35">
      <c r="L4194" s="14"/>
      <c r="N4194" s="10"/>
    </row>
    <row r="4195" spans="12:14" ht="21" customHeight="1" x14ac:dyDescent="0.35">
      <c r="L4195" s="14"/>
      <c r="N4195" s="10"/>
    </row>
    <row r="4196" spans="12:14" ht="21" customHeight="1" x14ac:dyDescent="0.35">
      <c r="L4196" s="14"/>
      <c r="N4196" s="10"/>
    </row>
    <row r="4197" spans="12:14" ht="21" customHeight="1" x14ac:dyDescent="0.35">
      <c r="L4197" s="14"/>
      <c r="N4197" s="10"/>
    </row>
    <row r="4198" spans="12:14" ht="21" customHeight="1" x14ac:dyDescent="0.35">
      <c r="L4198" s="14"/>
      <c r="N4198" s="10"/>
    </row>
    <row r="4199" spans="12:14" ht="21" customHeight="1" x14ac:dyDescent="0.35">
      <c r="L4199" s="14"/>
      <c r="N4199" s="10"/>
    </row>
    <row r="4200" spans="12:14" ht="21" customHeight="1" x14ac:dyDescent="0.35">
      <c r="L4200" s="14"/>
      <c r="N4200" s="10"/>
    </row>
    <row r="4201" spans="12:14" ht="21" customHeight="1" x14ac:dyDescent="0.35">
      <c r="L4201" s="14"/>
      <c r="N4201" s="10"/>
    </row>
    <row r="4202" spans="12:14" ht="21" customHeight="1" x14ac:dyDescent="0.35">
      <c r="L4202" s="14"/>
      <c r="N4202" s="10"/>
    </row>
    <row r="4203" spans="12:14" ht="21" customHeight="1" x14ac:dyDescent="0.35">
      <c r="L4203" s="14"/>
      <c r="N4203" s="10"/>
    </row>
    <row r="4204" spans="12:14" ht="21" customHeight="1" x14ac:dyDescent="0.35">
      <c r="L4204" s="14"/>
      <c r="N4204" s="10"/>
    </row>
    <row r="4205" spans="12:14" ht="21" customHeight="1" x14ac:dyDescent="0.35">
      <c r="L4205" s="14"/>
      <c r="N4205" s="10"/>
    </row>
    <row r="4206" spans="12:14" ht="21" customHeight="1" x14ac:dyDescent="0.35">
      <c r="L4206" s="14"/>
      <c r="N4206" s="10"/>
    </row>
    <row r="4207" spans="12:14" ht="21" customHeight="1" x14ac:dyDescent="0.35">
      <c r="L4207" s="14"/>
      <c r="N4207" s="10"/>
    </row>
    <row r="4208" spans="12:14" ht="21" customHeight="1" x14ac:dyDescent="0.35">
      <c r="L4208" s="14"/>
      <c r="N4208" s="10"/>
    </row>
    <row r="4209" spans="12:14" ht="21" customHeight="1" x14ac:dyDescent="0.35">
      <c r="L4209" s="14"/>
      <c r="N4209" s="10"/>
    </row>
    <row r="4210" spans="12:14" ht="21" customHeight="1" x14ac:dyDescent="0.35">
      <c r="L4210" s="14"/>
      <c r="N4210" s="10"/>
    </row>
    <row r="4211" spans="12:14" ht="21" customHeight="1" x14ac:dyDescent="0.35">
      <c r="L4211" s="14"/>
      <c r="N4211" s="10"/>
    </row>
    <row r="4212" spans="12:14" ht="21" customHeight="1" x14ac:dyDescent="0.35">
      <c r="L4212" s="14"/>
      <c r="N4212" s="10"/>
    </row>
    <row r="4213" spans="12:14" ht="21" customHeight="1" x14ac:dyDescent="0.35">
      <c r="L4213" s="14"/>
      <c r="N4213" s="10"/>
    </row>
    <row r="4214" spans="12:14" ht="21" customHeight="1" x14ac:dyDescent="0.35">
      <c r="L4214" s="14"/>
      <c r="N4214" s="10"/>
    </row>
    <row r="4215" spans="12:14" ht="21" customHeight="1" x14ac:dyDescent="0.35">
      <c r="L4215" s="14"/>
      <c r="N4215" s="10"/>
    </row>
    <row r="4216" spans="12:14" ht="21" customHeight="1" x14ac:dyDescent="0.35">
      <c r="L4216" s="14"/>
      <c r="N4216" s="10"/>
    </row>
    <row r="4217" spans="12:14" ht="21" customHeight="1" x14ac:dyDescent="0.35">
      <c r="L4217" s="14"/>
      <c r="N4217" s="10"/>
    </row>
    <row r="4218" spans="12:14" ht="21" customHeight="1" x14ac:dyDescent="0.35">
      <c r="L4218" s="14"/>
      <c r="N4218" s="10"/>
    </row>
    <row r="4219" spans="12:14" ht="21" customHeight="1" x14ac:dyDescent="0.35">
      <c r="L4219" s="14"/>
      <c r="N4219" s="10"/>
    </row>
    <row r="4220" spans="12:14" ht="21" customHeight="1" x14ac:dyDescent="0.35">
      <c r="L4220" s="14"/>
      <c r="N4220" s="10"/>
    </row>
    <row r="4221" spans="12:14" ht="21" customHeight="1" x14ac:dyDescent="0.35">
      <c r="L4221" s="14"/>
      <c r="N4221" s="10"/>
    </row>
    <row r="4222" spans="12:14" ht="21" customHeight="1" x14ac:dyDescent="0.35">
      <c r="L4222" s="14"/>
      <c r="N4222" s="10"/>
    </row>
    <row r="4223" spans="12:14" ht="21" customHeight="1" x14ac:dyDescent="0.35">
      <c r="L4223" s="14"/>
      <c r="N4223" s="10"/>
    </row>
    <row r="4224" spans="12:14" ht="21" customHeight="1" x14ac:dyDescent="0.35">
      <c r="L4224" s="14"/>
      <c r="N4224" s="10"/>
    </row>
    <row r="4225" spans="12:14" ht="21" customHeight="1" x14ac:dyDescent="0.35">
      <c r="L4225" s="14"/>
      <c r="N4225" s="10"/>
    </row>
    <row r="4226" spans="12:14" ht="21" customHeight="1" x14ac:dyDescent="0.35">
      <c r="L4226" s="14"/>
      <c r="N4226" s="10"/>
    </row>
    <row r="4227" spans="12:14" ht="21" customHeight="1" x14ac:dyDescent="0.35">
      <c r="L4227" s="14"/>
      <c r="N4227" s="10"/>
    </row>
    <row r="4228" spans="12:14" ht="21" customHeight="1" x14ac:dyDescent="0.35">
      <c r="L4228" s="14"/>
      <c r="N4228" s="10"/>
    </row>
    <row r="4229" spans="12:14" ht="21" customHeight="1" x14ac:dyDescent="0.35">
      <c r="L4229" s="14"/>
      <c r="N4229" s="10"/>
    </row>
    <row r="4230" spans="12:14" ht="21" customHeight="1" x14ac:dyDescent="0.35">
      <c r="L4230" s="14"/>
      <c r="N4230" s="10"/>
    </row>
    <row r="4231" spans="12:14" ht="21" customHeight="1" x14ac:dyDescent="0.35">
      <c r="L4231" s="14"/>
      <c r="N4231" s="10"/>
    </row>
    <row r="4232" spans="12:14" ht="21" customHeight="1" x14ac:dyDescent="0.35">
      <c r="L4232" s="14"/>
      <c r="N4232" s="10"/>
    </row>
    <row r="4233" spans="12:14" ht="21" customHeight="1" x14ac:dyDescent="0.35">
      <c r="L4233" s="14"/>
      <c r="N4233" s="10"/>
    </row>
    <row r="4234" spans="12:14" ht="21" customHeight="1" x14ac:dyDescent="0.35">
      <c r="L4234" s="14"/>
      <c r="N4234" s="10"/>
    </row>
    <row r="4235" spans="12:14" ht="21" customHeight="1" x14ac:dyDescent="0.35">
      <c r="L4235" s="14"/>
      <c r="N4235" s="10"/>
    </row>
    <row r="4236" spans="12:14" ht="21" customHeight="1" x14ac:dyDescent="0.35">
      <c r="L4236" s="14"/>
      <c r="N4236" s="10"/>
    </row>
    <row r="4237" spans="12:14" ht="21" customHeight="1" x14ac:dyDescent="0.35">
      <c r="L4237" s="14"/>
      <c r="N4237" s="10"/>
    </row>
    <row r="4238" spans="12:14" ht="21" customHeight="1" x14ac:dyDescent="0.35">
      <c r="L4238" s="14"/>
      <c r="N4238" s="10"/>
    </row>
    <row r="4239" spans="12:14" ht="21" customHeight="1" x14ac:dyDescent="0.35">
      <c r="L4239" s="14"/>
      <c r="N4239" s="10"/>
    </row>
    <row r="4240" spans="12:14" ht="21" customHeight="1" x14ac:dyDescent="0.35">
      <c r="L4240" s="14"/>
      <c r="N4240" s="10"/>
    </row>
    <row r="4241" spans="12:14" ht="21" customHeight="1" x14ac:dyDescent="0.35">
      <c r="L4241" s="14"/>
      <c r="N4241" s="10"/>
    </row>
    <row r="4242" spans="12:14" ht="21" customHeight="1" x14ac:dyDescent="0.35">
      <c r="L4242" s="14"/>
      <c r="N4242" s="10"/>
    </row>
    <row r="4243" spans="12:14" ht="21" customHeight="1" x14ac:dyDescent="0.35">
      <c r="L4243" s="14"/>
      <c r="N4243" s="10"/>
    </row>
    <row r="4244" spans="12:14" ht="21" customHeight="1" x14ac:dyDescent="0.35">
      <c r="L4244" s="14"/>
      <c r="N4244" s="10"/>
    </row>
    <row r="4245" spans="12:14" ht="21" customHeight="1" x14ac:dyDescent="0.35">
      <c r="L4245" s="14"/>
      <c r="N4245" s="10"/>
    </row>
    <row r="4246" spans="12:14" ht="21" customHeight="1" x14ac:dyDescent="0.35">
      <c r="L4246" s="14"/>
      <c r="N4246" s="10"/>
    </row>
    <row r="4247" spans="12:14" ht="21" customHeight="1" x14ac:dyDescent="0.35">
      <c r="L4247" s="14"/>
      <c r="N4247" s="10"/>
    </row>
    <row r="4248" spans="12:14" ht="21" customHeight="1" x14ac:dyDescent="0.35">
      <c r="L4248" s="14"/>
      <c r="N4248" s="10"/>
    </row>
    <row r="4249" spans="12:14" ht="21" customHeight="1" x14ac:dyDescent="0.35">
      <c r="L4249" s="14"/>
      <c r="N4249" s="10"/>
    </row>
    <row r="4250" spans="12:14" ht="21" customHeight="1" x14ac:dyDescent="0.35">
      <c r="L4250" s="14"/>
      <c r="N4250" s="10"/>
    </row>
    <row r="4251" spans="12:14" ht="21" customHeight="1" x14ac:dyDescent="0.35">
      <c r="L4251" s="14"/>
      <c r="N4251" s="10"/>
    </row>
    <row r="4252" spans="12:14" ht="21" customHeight="1" x14ac:dyDescent="0.35">
      <c r="L4252" s="14"/>
      <c r="N4252" s="10"/>
    </row>
    <row r="4253" spans="12:14" ht="21" customHeight="1" x14ac:dyDescent="0.35">
      <c r="L4253" s="14"/>
      <c r="N4253" s="10"/>
    </row>
    <row r="4254" spans="12:14" ht="21" customHeight="1" x14ac:dyDescent="0.35">
      <c r="L4254" s="14"/>
      <c r="N4254" s="10"/>
    </row>
    <row r="4255" spans="12:14" ht="21" customHeight="1" x14ac:dyDescent="0.35">
      <c r="L4255" s="14"/>
      <c r="N4255" s="10"/>
    </row>
    <row r="4256" spans="12:14" ht="21" customHeight="1" x14ac:dyDescent="0.35">
      <c r="L4256" s="14"/>
      <c r="N4256" s="10"/>
    </row>
    <row r="4257" spans="12:14" ht="21" customHeight="1" x14ac:dyDescent="0.35">
      <c r="L4257" s="14"/>
      <c r="N4257" s="10"/>
    </row>
    <row r="4258" spans="12:14" ht="21" customHeight="1" x14ac:dyDescent="0.35">
      <c r="L4258" s="14"/>
      <c r="N4258" s="10"/>
    </row>
    <row r="4259" spans="12:14" ht="21" customHeight="1" x14ac:dyDescent="0.35">
      <c r="L4259" s="14"/>
      <c r="N4259" s="10"/>
    </row>
    <row r="4260" spans="12:14" ht="21" customHeight="1" x14ac:dyDescent="0.35">
      <c r="L4260" s="14"/>
      <c r="N4260" s="10"/>
    </row>
    <row r="4261" spans="12:14" ht="21" customHeight="1" x14ac:dyDescent="0.35">
      <c r="L4261" s="14"/>
      <c r="N4261" s="10"/>
    </row>
    <row r="4262" spans="12:14" ht="21" customHeight="1" x14ac:dyDescent="0.35">
      <c r="L4262" s="14"/>
      <c r="N4262" s="10"/>
    </row>
    <row r="4263" spans="12:14" ht="21" customHeight="1" x14ac:dyDescent="0.35">
      <c r="L4263" s="14"/>
      <c r="N4263" s="10"/>
    </row>
    <row r="4264" spans="12:14" ht="21" customHeight="1" x14ac:dyDescent="0.35">
      <c r="L4264" s="14"/>
      <c r="N4264" s="10"/>
    </row>
    <row r="4265" spans="12:14" ht="21" customHeight="1" x14ac:dyDescent="0.35">
      <c r="L4265" s="14"/>
      <c r="N4265" s="10"/>
    </row>
    <row r="4266" spans="12:14" ht="21" customHeight="1" x14ac:dyDescent="0.35">
      <c r="L4266" s="14"/>
      <c r="N4266" s="10"/>
    </row>
    <row r="4267" spans="12:14" ht="21" customHeight="1" x14ac:dyDescent="0.35">
      <c r="L4267" s="14"/>
      <c r="N4267" s="10"/>
    </row>
    <row r="4268" spans="12:14" ht="21" customHeight="1" x14ac:dyDescent="0.35">
      <c r="L4268" s="14"/>
      <c r="N4268" s="10"/>
    </row>
    <row r="4269" spans="12:14" ht="21" customHeight="1" x14ac:dyDescent="0.35">
      <c r="L4269" s="14"/>
      <c r="N4269" s="10"/>
    </row>
    <row r="4270" spans="12:14" ht="21" customHeight="1" x14ac:dyDescent="0.35">
      <c r="L4270" s="14"/>
      <c r="N4270" s="10"/>
    </row>
    <row r="4271" spans="12:14" ht="21" customHeight="1" x14ac:dyDescent="0.35">
      <c r="L4271" s="14"/>
      <c r="N4271" s="10"/>
    </row>
    <row r="4272" spans="12:14" ht="21" customHeight="1" x14ac:dyDescent="0.35">
      <c r="L4272" s="14"/>
      <c r="N4272" s="10"/>
    </row>
    <row r="4273" spans="12:14" ht="21" customHeight="1" x14ac:dyDescent="0.35">
      <c r="L4273" s="14"/>
      <c r="N4273" s="10"/>
    </row>
    <row r="4274" spans="12:14" ht="21" customHeight="1" x14ac:dyDescent="0.35">
      <c r="L4274" s="14"/>
      <c r="N4274" s="10"/>
    </row>
    <row r="4275" spans="12:14" ht="21" customHeight="1" x14ac:dyDescent="0.35">
      <c r="L4275" s="14"/>
      <c r="N4275" s="10"/>
    </row>
    <row r="4276" spans="12:14" ht="21" customHeight="1" x14ac:dyDescent="0.35">
      <c r="L4276" s="14"/>
      <c r="N4276" s="10"/>
    </row>
    <row r="4277" spans="12:14" ht="21" customHeight="1" x14ac:dyDescent="0.35">
      <c r="L4277" s="14"/>
      <c r="N4277" s="10"/>
    </row>
    <row r="4278" spans="12:14" ht="21" customHeight="1" x14ac:dyDescent="0.35">
      <c r="L4278" s="14"/>
      <c r="N4278" s="10"/>
    </row>
    <row r="4279" spans="12:14" ht="21" customHeight="1" x14ac:dyDescent="0.35">
      <c r="L4279" s="14"/>
      <c r="N4279" s="10"/>
    </row>
    <row r="4280" spans="12:14" ht="21" customHeight="1" x14ac:dyDescent="0.35">
      <c r="L4280" s="14"/>
      <c r="N4280" s="10"/>
    </row>
    <row r="4281" spans="12:14" ht="21" customHeight="1" x14ac:dyDescent="0.35">
      <c r="L4281" s="14"/>
      <c r="N4281" s="10"/>
    </row>
    <row r="4282" spans="12:14" ht="21" customHeight="1" x14ac:dyDescent="0.35">
      <c r="L4282" s="14"/>
      <c r="N4282" s="10"/>
    </row>
    <row r="4283" spans="12:14" ht="21" customHeight="1" x14ac:dyDescent="0.35">
      <c r="L4283" s="14"/>
      <c r="N4283" s="10"/>
    </row>
    <row r="4284" spans="12:14" ht="21" customHeight="1" x14ac:dyDescent="0.35">
      <c r="L4284" s="14"/>
      <c r="N4284" s="10"/>
    </row>
    <row r="4285" spans="12:14" ht="21" customHeight="1" x14ac:dyDescent="0.35">
      <c r="L4285" s="14"/>
      <c r="N4285" s="10"/>
    </row>
    <row r="4286" spans="12:14" ht="21" customHeight="1" x14ac:dyDescent="0.35">
      <c r="L4286" s="14"/>
      <c r="N4286" s="10"/>
    </row>
    <row r="4287" spans="12:14" ht="21" customHeight="1" x14ac:dyDescent="0.35">
      <c r="L4287" s="14"/>
      <c r="N4287" s="10"/>
    </row>
    <row r="4288" spans="12:14" ht="21" customHeight="1" x14ac:dyDescent="0.35">
      <c r="L4288" s="14"/>
      <c r="N4288" s="10"/>
    </row>
    <row r="4289" spans="12:14" ht="21" customHeight="1" x14ac:dyDescent="0.35">
      <c r="L4289" s="14"/>
      <c r="N4289" s="10"/>
    </row>
    <row r="4290" spans="12:14" ht="21" customHeight="1" x14ac:dyDescent="0.35">
      <c r="L4290" s="14"/>
      <c r="N4290" s="10"/>
    </row>
    <row r="4291" spans="12:14" ht="21" customHeight="1" x14ac:dyDescent="0.35">
      <c r="L4291" s="14"/>
      <c r="N4291" s="10"/>
    </row>
    <row r="4292" spans="12:14" ht="21" customHeight="1" x14ac:dyDescent="0.35">
      <c r="L4292" s="14"/>
      <c r="N4292" s="10"/>
    </row>
    <row r="4293" spans="12:14" ht="21" customHeight="1" x14ac:dyDescent="0.35">
      <c r="L4293" s="14"/>
      <c r="N4293" s="10"/>
    </row>
    <row r="4294" spans="12:14" ht="21" customHeight="1" x14ac:dyDescent="0.35">
      <c r="L4294" s="14"/>
      <c r="N4294" s="10"/>
    </row>
    <row r="4295" spans="12:14" ht="21" customHeight="1" x14ac:dyDescent="0.35">
      <c r="L4295" s="14"/>
      <c r="N4295" s="10"/>
    </row>
    <row r="4296" spans="12:14" ht="21" customHeight="1" x14ac:dyDescent="0.35">
      <c r="L4296" s="14"/>
      <c r="N4296" s="10"/>
    </row>
    <row r="4297" spans="12:14" ht="21" customHeight="1" x14ac:dyDescent="0.35">
      <c r="L4297" s="14"/>
      <c r="N4297" s="10"/>
    </row>
    <row r="4298" spans="12:14" ht="21" customHeight="1" x14ac:dyDescent="0.35">
      <c r="L4298" s="14"/>
      <c r="N4298" s="10"/>
    </row>
    <row r="4299" spans="12:14" ht="21" customHeight="1" x14ac:dyDescent="0.35">
      <c r="L4299" s="14"/>
      <c r="N4299" s="10"/>
    </row>
    <row r="4300" spans="12:14" ht="21" customHeight="1" x14ac:dyDescent="0.35">
      <c r="L4300" s="14"/>
      <c r="N4300" s="10"/>
    </row>
    <row r="4301" spans="12:14" ht="21" customHeight="1" x14ac:dyDescent="0.35">
      <c r="L4301" s="14"/>
      <c r="N4301" s="10"/>
    </row>
    <row r="4302" spans="12:14" ht="21" customHeight="1" x14ac:dyDescent="0.35">
      <c r="L4302" s="14"/>
      <c r="N4302" s="10"/>
    </row>
    <row r="4303" spans="12:14" ht="21" customHeight="1" x14ac:dyDescent="0.35">
      <c r="L4303" s="14"/>
      <c r="N4303" s="10"/>
    </row>
    <row r="4304" spans="12:14" ht="21" customHeight="1" x14ac:dyDescent="0.35">
      <c r="L4304" s="14"/>
      <c r="N4304" s="10"/>
    </row>
    <row r="4305" spans="12:14" ht="21" customHeight="1" x14ac:dyDescent="0.35">
      <c r="L4305" s="14"/>
      <c r="N4305" s="10"/>
    </row>
    <row r="4306" spans="12:14" ht="21" customHeight="1" x14ac:dyDescent="0.35">
      <c r="L4306" s="14"/>
      <c r="N4306" s="10"/>
    </row>
    <row r="4307" spans="12:14" ht="21" customHeight="1" x14ac:dyDescent="0.35">
      <c r="L4307" s="14"/>
      <c r="N4307" s="10"/>
    </row>
    <row r="4308" spans="12:14" ht="21" customHeight="1" x14ac:dyDescent="0.35">
      <c r="L4308" s="14"/>
      <c r="N4308" s="10"/>
    </row>
    <row r="4309" spans="12:14" ht="21" customHeight="1" x14ac:dyDescent="0.35">
      <c r="L4309" s="14"/>
      <c r="N4309" s="10"/>
    </row>
    <row r="4310" spans="12:14" ht="21" customHeight="1" x14ac:dyDescent="0.35">
      <c r="L4310" s="14"/>
      <c r="N4310" s="10"/>
    </row>
    <row r="4311" spans="12:14" ht="21" customHeight="1" x14ac:dyDescent="0.35">
      <c r="L4311" s="14"/>
      <c r="N4311" s="10"/>
    </row>
    <row r="4312" spans="12:14" ht="21" customHeight="1" x14ac:dyDescent="0.35">
      <c r="L4312" s="14"/>
      <c r="N4312" s="10"/>
    </row>
    <row r="4313" spans="12:14" ht="21" customHeight="1" x14ac:dyDescent="0.35">
      <c r="L4313" s="14"/>
      <c r="N4313" s="10"/>
    </row>
    <row r="4314" spans="12:14" ht="21" customHeight="1" x14ac:dyDescent="0.35">
      <c r="L4314" s="14"/>
      <c r="N4314" s="10"/>
    </row>
    <row r="4315" spans="12:14" ht="21" customHeight="1" x14ac:dyDescent="0.35">
      <c r="L4315" s="14"/>
      <c r="N4315" s="10"/>
    </row>
    <row r="4316" spans="12:14" ht="21" customHeight="1" x14ac:dyDescent="0.35">
      <c r="L4316" s="14"/>
      <c r="N4316" s="10"/>
    </row>
    <row r="4317" spans="12:14" ht="21" customHeight="1" x14ac:dyDescent="0.35">
      <c r="L4317" s="14"/>
      <c r="N4317" s="10"/>
    </row>
    <row r="4318" spans="12:14" ht="21" customHeight="1" x14ac:dyDescent="0.35">
      <c r="L4318" s="14"/>
      <c r="N4318" s="10"/>
    </row>
    <row r="4319" spans="12:14" ht="21" customHeight="1" x14ac:dyDescent="0.35">
      <c r="L4319" s="14"/>
      <c r="N4319" s="10"/>
    </row>
    <row r="4320" spans="12:14" ht="21" customHeight="1" x14ac:dyDescent="0.35">
      <c r="L4320" s="14"/>
      <c r="N4320" s="10"/>
    </row>
    <row r="4321" spans="12:14" ht="21" customHeight="1" x14ac:dyDescent="0.35">
      <c r="L4321" s="14"/>
      <c r="N4321" s="10"/>
    </row>
    <row r="4322" spans="12:14" ht="21" customHeight="1" x14ac:dyDescent="0.35">
      <c r="L4322" s="14"/>
      <c r="N4322" s="10"/>
    </row>
    <row r="4323" spans="12:14" ht="21" customHeight="1" x14ac:dyDescent="0.35">
      <c r="L4323" s="14"/>
      <c r="N4323" s="10"/>
    </row>
    <row r="4324" spans="12:14" ht="21" customHeight="1" x14ac:dyDescent="0.35">
      <c r="L4324" s="14"/>
      <c r="N4324" s="10"/>
    </row>
    <row r="4325" spans="12:14" ht="21" customHeight="1" x14ac:dyDescent="0.35">
      <c r="L4325" s="14"/>
      <c r="N4325" s="10"/>
    </row>
    <row r="4326" spans="12:14" ht="21" customHeight="1" x14ac:dyDescent="0.35">
      <c r="L4326" s="14"/>
      <c r="N4326" s="10"/>
    </row>
    <row r="4327" spans="12:14" ht="21" customHeight="1" x14ac:dyDescent="0.35">
      <c r="L4327" s="14"/>
      <c r="N4327" s="10"/>
    </row>
    <row r="4328" spans="12:14" ht="21" customHeight="1" x14ac:dyDescent="0.35">
      <c r="L4328" s="14"/>
      <c r="N4328" s="10"/>
    </row>
    <row r="4329" spans="12:14" ht="21" customHeight="1" x14ac:dyDescent="0.35">
      <c r="L4329" s="14"/>
      <c r="N4329" s="10"/>
    </row>
    <row r="4330" spans="12:14" ht="21" customHeight="1" x14ac:dyDescent="0.35">
      <c r="L4330" s="14"/>
      <c r="N4330" s="10"/>
    </row>
    <row r="4331" spans="12:14" ht="21" customHeight="1" x14ac:dyDescent="0.35">
      <c r="L4331" s="14"/>
      <c r="N4331" s="10"/>
    </row>
    <row r="4332" spans="12:14" ht="21" customHeight="1" x14ac:dyDescent="0.35">
      <c r="L4332" s="14"/>
      <c r="N4332" s="10"/>
    </row>
    <row r="4333" spans="12:14" ht="21" customHeight="1" x14ac:dyDescent="0.35">
      <c r="L4333" s="14"/>
      <c r="N4333" s="10"/>
    </row>
    <row r="4334" spans="12:14" ht="21" customHeight="1" x14ac:dyDescent="0.35">
      <c r="L4334" s="14"/>
      <c r="N4334" s="10"/>
    </row>
    <row r="4335" spans="12:14" ht="21" customHeight="1" x14ac:dyDescent="0.35">
      <c r="L4335" s="14"/>
      <c r="N4335" s="10"/>
    </row>
    <row r="4336" spans="12:14" ht="21" customHeight="1" x14ac:dyDescent="0.35">
      <c r="L4336" s="14"/>
      <c r="N4336" s="10"/>
    </row>
    <row r="4337" spans="12:14" ht="21" customHeight="1" x14ac:dyDescent="0.35">
      <c r="L4337" s="14"/>
      <c r="N4337" s="10"/>
    </row>
    <row r="4338" spans="12:14" ht="21" customHeight="1" x14ac:dyDescent="0.35">
      <c r="L4338" s="14"/>
      <c r="N4338" s="10"/>
    </row>
    <row r="4339" spans="12:14" ht="21" customHeight="1" x14ac:dyDescent="0.35">
      <c r="L4339" s="14"/>
      <c r="N4339" s="10"/>
    </row>
    <row r="4340" spans="12:14" ht="21" customHeight="1" x14ac:dyDescent="0.35">
      <c r="L4340" s="14"/>
      <c r="N4340" s="10"/>
    </row>
    <row r="4341" spans="12:14" ht="21" customHeight="1" x14ac:dyDescent="0.35">
      <c r="L4341" s="14"/>
      <c r="N4341" s="10"/>
    </row>
    <row r="4342" spans="12:14" ht="21" customHeight="1" x14ac:dyDescent="0.35">
      <c r="L4342" s="14"/>
      <c r="N4342" s="10"/>
    </row>
    <row r="4343" spans="12:14" ht="21" customHeight="1" x14ac:dyDescent="0.35">
      <c r="L4343" s="14"/>
      <c r="N4343" s="10"/>
    </row>
    <row r="4344" spans="12:14" ht="21" customHeight="1" x14ac:dyDescent="0.35">
      <c r="L4344" s="14"/>
      <c r="N4344" s="10"/>
    </row>
    <row r="4345" spans="12:14" ht="21" customHeight="1" x14ac:dyDescent="0.35">
      <c r="L4345" s="14"/>
      <c r="N4345" s="10"/>
    </row>
    <row r="4346" spans="12:14" ht="21" customHeight="1" x14ac:dyDescent="0.35">
      <c r="L4346" s="14"/>
      <c r="N4346" s="10"/>
    </row>
    <row r="4347" spans="12:14" ht="21" customHeight="1" x14ac:dyDescent="0.35">
      <c r="L4347" s="14"/>
      <c r="N4347" s="10"/>
    </row>
    <row r="4348" spans="12:14" ht="21" customHeight="1" x14ac:dyDescent="0.35">
      <c r="L4348" s="14"/>
      <c r="N4348" s="10"/>
    </row>
    <row r="4349" spans="12:14" ht="21" customHeight="1" x14ac:dyDescent="0.35">
      <c r="L4349" s="14"/>
      <c r="N4349" s="10"/>
    </row>
    <row r="4350" spans="12:14" ht="21" customHeight="1" x14ac:dyDescent="0.35">
      <c r="L4350" s="14"/>
      <c r="N4350" s="10"/>
    </row>
    <row r="4351" spans="12:14" ht="21" customHeight="1" x14ac:dyDescent="0.35">
      <c r="L4351" s="14"/>
      <c r="N4351" s="10"/>
    </row>
    <row r="4352" spans="12:14" ht="21" customHeight="1" x14ac:dyDescent="0.35">
      <c r="L4352" s="14"/>
      <c r="N4352" s="10"/>
    </row>
    <row r="4353" spans="12:14" ht="21" customHeight="1" x14ac:dyDescent="0.35">
      <c r="L4353" s="14"/>
      <c r="N4353" s="10"/>
    </row>
    <row r="4354" spans="12:14" ht="21" customHeight="1" x14ac:dyDescent="0.35">
      <c r="L4354" s="14"/>
      <c r="N4354" s="10"/>
    </row>
    <row r="4355" spans="12:14" ht="21" customHeight="1" x14ac:dyDescent="0.35">
      <c r="L4355" s="14"/>
      <c r="N4355" s="10"/>
    </row>
    <row r="4356" spans="12:14" ht="21" customHeight="1" x14ac:dyDescent="0.35">
      <c r="L4356" s="14"/>
      <c r="N4356" s="10"/>
    </row>
    <row r="4357" spans="12:14" ht="21" customHeight="1" x14ac:dyDescent="0.35">
      <c r="L4357" s="14"/>
      <c r="N4357" s="10"/>
    </row>
    <row r="4358" spans="12:14" ht="21" customHeight="1" x14ac:dyDescent="0.35">
      <c r="L4358" s="14"/>
      <c r="N4358" s="10"/>
    </row>
    <row r="4359" spans="12:14" ht="21" customHeight="1" x14ac:dyDescent="0.35">
      <c r="L4359" s="14"/>
      <c r="N4359" s="10"/>
    </row>
    <row r="4360" spans="12:14" ht="21" customHeight="1" x14ac:dyDescent="0.35">
      <c r="L4360" s="14"/>
      <c r="N4360" s="10"/>
    </row>
    <row r="4361" spans="12:14" ht="21" customHeight="1" x14ac:dyDescent="0.35">
      <c r="L4361" s="14"/>
      <c r="N4361" s="10"/>
    </row>
    <row r="4362" spans="12:14" ht="21" customHeight="1" x14ac:dyDescent="0.35">
      <c r="L4362" s="14"/>
      <c r="N4362" s="10"/>
    </row>
    <row r="4363" spans="12:14" ht="21" customHeight="1" x14ac:dyDescent="0.35">
      <c r="L4363" s="14"/>
      <c r="N4363" s="10"/>
    </row>
    <row r="4364" spans="12:14" ht="21" customHeight="1" x14ac:dyDescent="0.35">
      <c r="L4364" s="14"/>
      <c r="N4364" s="10"/>
    </row>
    <row r="4365" spans="12:14" ht="21" customHeight="1" x14ac:dyDescent="0.35">
      <c r="L4365" s="14"/>
      <c r="N4365" s="10"/>
    </row>
    <row r="4366" spans="12:14" ht="21" customHeight="1" x14ac:dyDescent="0.35">
      <c r="L4366" s="14"/>
      <c r="N4366" s="10"/>
    </row>
    <row r="4367" spans="12:14" ht="21" customHeight="1" x14ac:dyDescent="0.35">
      <c r="L4367" s="14"/>
      <c r="N4367" s="10"/>
    </row>
    <row r="4368" spans="12:14" ht="21" customHeight="1" x14ac:dyDescent="0.35">
      <c r="L4368" s="14"/>
      <c r="N4368" s="10"/>
    </row>
    <row r="4369" spans="12:14" ht="21" customHeight="1" x14ac:dyDescent="0.35">
      <c r="L4369" s="14"/>
      <c r="N4369" s="10"/>
    </row>
    <row r="4370" spans="12:14" ht="21" customHeight="1" x14ac:dyDescent="0.35">
      <c r="L4370" s="14"/>
      <c r="N4370" s="10"/>
    </row>
    <row r="4371" spans="12:14" ht="21" customHeight="1" x14ac:dyDescent="0.35">
      <c r="L4371" s="14"/>
      <c r="N4371" s="10"/>
    </row>
    <row r="4372" spans="12:14" ht="21" customHeight="1" x14ac:dyDescent="0.35">
      <c r="L4372" s="14"/>
      <c r="N4372" s="10"/>
    </row>
    <row r="4373" spans="12:14" ht="21" customHeight="1" x14ac:dyDescent="0.35">
      <c r="L4373" s="14"/>
      <c r="N4373" s="10"/>
    </row>
    <row r="4374" spans="12:14" ht="21" customHeight="1" x14ac:dyDescent="0.35">
      <c r="L4374" s="14"/>
      <c r="N4374" s="10"/>
    </row>
    <row r="4375" spans="12:14" ht="21" customHeight="1" x14ac:dyDescent="0.35">
      <c r="L4375" s="14"/>
      <c r="N4375" s="10"/>
    </row>
    <row r="4376" spans="12:14" ht="21" customHeight="1" x14ac:dyDescent="0.35">
      <c r="L4376" s="14"/>
      <c r="N4376" s="10"/>
    </row>
    <row r="4377" spans="12:14" ht="21" customHeight="1" x14ac:dyDescent="0.35">
      <c r="L4377" s="14"/>
      <c r="N4377" s="10"/>
    </row>
    <row r="4378" spans="12:14" ht="21" customHeight="1" x14ac:dyDescent="0.35">
      <c r="L4378" s="14"/>
      <c r="N4378" s="10"/>
    </row>
    <row r="4379" spans="12:14" ht="21" customHeight="1" x14ac:dyDescent="0.35">
      <c r="L4379" s="14"/>
      <c r="N4379" s="10"/>
    </row>
    <row r="4380" spans="12:14" ht="21" customHeight="1" x14ac:dyDescent="0.35">
      <c r="L4380" s="14"/>
      <c r="N4380" s="10"/>
    </row>
    <row r="4381" spans="12:14" ht="21" customHeight="1" x14ac:dyDescent="0.35">
      <c r="L4381" s="14"/>
      <c r="N4381" s="10"/>
    </row>
    <row r="4382" spans="12:14" ht="21" customHeight="1" x14ac:dyDescent="0.35">
      <c r="L4382" s="14"/>
      <c r="N4382" s="10"/>
    </row>
    <row r="4383" spans="12:14" ht="21" customHeight="1" x14ac:dyDescent="0.35">
      <c r="L4383" s="14"/>
      <c r="N4383" s="10"/>
    </row>
    <row r="4384" spans="12:14" ht="21" customHeight="1" x14ac:dyDescent="0.35">
      <c r="L4384" s="14"/>
      <c r="N4384" s="10"/>
    </row>
    <row r="4385" spans="12:14" ht="21" customHeight="1" x14ac:dyDescent="0.35">
      <c r="L4385" s="14"/>
      <c r="N4385" s="10"/>
    </row>
    <row r="4386" spans="12:14" ht="21" customHeight="1" x14ac:dyDescent="0.35">
      <c r="L4386" s="14"/>
      <c r="N4386" s="10"/>
    </row>
    <row r="4387" spans="12:14" ht="21" customHeight="1" x14ac:dyDescent="0.35">
      <c r="L4387" s="14"/>
      <c r="N4387" s="10"/>
    </row>
    <row r="4388" spans="12:14" ht="21" customHeight="1" x14ac:dyDescent="0.35">
      <c r="L4388" s="14"/>
      <c r="N4388" s="10"/>
    </row>
    <row r="4389" spans="12:14" ht="21" customHeight="1" x14ac:dyDescent="0.35">
      <c r="L4389" s="14"/>
      <c r="N4389" s="10"/>
    </row>
    <row r="4390" spans="12:14" ht="21" customHeight="1" x14ac:dyDescent="0.35">
      <c r="L4390" s="14"/>
      <c r="N4390" s="10"/>
    </row>
    <row r="4391" spans="12:14" ht="21" customHeight="1" x14ac:dyDescent="0.35">
      <c r="L4391" s="14"/>
      <c r="N4391" s="10"/>
    </row>
    <row r="4392" spans="12:14" ht="21" customHeight="1" x14ac:dyDescent="0.35">
      <c r="L4392" s="14"/>
      <c r="N4392" s="10"/>
    </row>
    <row r="4393" spans="12:14" ht="21" customHeight="1" x14ac:dyDescent="0.35">
      <c r="L4393" s="14"/>
      <c r="N4393" s="10"/>
    </row>
    <row r="4394" spans="12:14" ht="21" customHeight="1" x14ac:dyDescent="0.35">
      <c r="L4394" s="14"/>
      <c r="N4394" s="10"/>
    </row>
    <row r="4395" spans="12:14" ht="21" customHeight="1" x14ac:dyDescent="0.35">
      <c r="L4395" s="14"/>
      <c r="N4395" s="10"/>
    </row>
    <row r="4396" spans="12:14" ht="21" customHeight="1" x14ac:dyDescent="0.35">
      <c r="L4396" s="14"/>
      <c r="N4396" s="10"/>
    </row>
    <row r="4397" spans="12:14" ht="21" customHeight="1" x14ac:dyDescent="0.35">
      <c r="L4397" s="14"/>
      <c r="N4397" s="10"/>
    </row>
    <row r="4398" spans="12:14" ht="21" customHeight="1" x14ac:dyDescent="0.35">
      <c r="L4398" s="14"/>
      <c r="N4398" s="10"/>
    </row>
    <row r="4399" spans="12:14" ht="21" customHeight="1" x14ac:dyDescent="0.35">
      <c r="L4399" s="14"/>
      <c r="N4399" s="10"/>
    </row>
    <row r="4400" spans="12:14" ht="21" customHeight="1" x14ac:dyDescent="0.35">
      <c r="L4400" s="14"/>
      <c r="N4400" s="10"/>
    </row>
    <row r="4401" spans="12:14" ht="21" customHeight="1" x14ac:dyDescent="0.35">
      <c r="L4401" s="14"/>
      <c r="N4401" s="10"/>
    </row>
    <row r="4402" spans="12:14" ht="21" customHeight="1" x14ac:dyDescent="0.35">
      <c r="L4402" s="14"/>
      <c r="N4402" s="10"/>
    </row>
    <row r="4403" spans="12:14" ht="21" customHeight="1" x14ac:dyDescent="0.35">
      <c r="L4403" s="14"/>
      <c r="N4403" s="10"/>
    </row>
    <row r="4404" spans="12:14" ht="21" customHeight="1" x14ac:dyDescent="0.35">
      <c r="L4404" s="14"/>
      <c r="N4404" s="10"/>
    </row>
    <row r="4405" spans="12:14" ht="21" customHeight="1" x14ac:dyDescent="0.35">
      <c r="L4405" s="14"/>
      <c r="N4405" s="10"/>
    </row>
    <row r="4406" spans="12:14" ht="21" customHeight="1" x14ac:dyDescent="0.35">
      <c r="L4406" s="14"/>
      <c r="N4406" s="10"/>
    </row>
    <row r="4407" spans="12:14" ht="21" customHeight="1" x14ac:dyDescent="0.35">
      <c r="L4407" s="14"/>
      <c r="N4407" s="10"/>
    </row>
    <row r="4408" spans="12:14" ht="21" customHeight="1" x14ac:dyDescent="0.35">
      <c r="L4408" s="14"/>
      <c r="N4408" s="10"/>
    </row>
    <row r="4409" spans="12:14" ht="21" customHeight="1" x14ac:dyDescent="0.35">
      <c r="L4409" s="14"/>
      <c r="N4409" s="10"/>
    </row>
    <row r="4410" spans="12:14" ht="21" customHeight="1" x14ac:dyDescent="0.35">
      <c r="L4410" s="14"/>
      <c r="N4410" s="10"/>
    </row>
    <row r="4411" spans="12:14" ht="21" customHeight="1" x14ac:dyDescent="0.35">
      <c r="L4411" s="14"/>
      <c r="N4411" s="10"/>
    </row>
    <row r="4412" spans="12:14" ht="21" customHeight="1" x14ac:dyDescent="0.35">
      <c r="L4412" s="14"/>
      <c r="N4412" s="10"/>
    </row>
    <row r="4413" spans="12:14" ht="21" customHeight="1" x14ac:dyDescent="0.35">
      <c r="L4413" s="14"/>
      <c r="N4413" s="10"/>
    </row>
    <row r="4414" spans="12:14" ht="21" customHeight="1" x14ac:dyDescent="0.35">
      <c r="L4414" s="14"/>
      <c r="N4414" s="10"/>
    </row>
    <row r="4415" spans="12:14" ht="21" customHeight="1" x14ac:dyDescent="0.35">
      <c r="L4415" s="14"/>
      <c r="N4415" s="10"/>
    </row>
    <row r="4416" spans="12:14" ht="21" customHeight="1" x14ac:dyDescent="0.35">
      <c r="L4416" s="14"/>
      <c r="N4416" s="10"/>
    </row>
    <row r="4417" spans="12:14" ht="21" customHeight="1" x14ac:dyDescent="0.35">
      <c r="L4417" s="14"/>
      <c r="N4417" s="10"/>
    </row>
    <row r="4418" spans="12:14" ht="21" customHeight="1" x14ac:dyDescent="0.35">
      <c r="L4418" s="14"/>
      <c r="N4418" s="10"/>
    </row>
    <row r="4419" spans="12:14" ht="21" customHeight="1" x14ac:dyDescent="0.35">
      <c r="L4419" s="14"/>
      <c r="N4419" s="10"/>
    </row>
    <row r="4420" spans="12:14" ht="21" customHeight="1" x14ac:dyDescent="0.35">
      <c r="L4420" s="14"/>
      <c r="N4420" s="10"/>
    </row>
    <row r="4421" spans="12:14" ht="21" customHeight="1" x14ac:dyDescent="0.35">
      <c r="L4421" s="14"/>
      <c r="N4421" s="10"/>
    </row>
    <row r="4422" spans="12:14" ht="21" customHeight="1" x14ac:dyDescent="0.35">
      <c r="L4422" s="14"/>
      <c r="N4422" s="10"/>
    </row>
    <row r="4423" spans="12:14" ht="21" customHeight="1" x14ac:dyDescent="0.35">
      <c r="L4423" s="14"/>
      <c r="N4423" s="10"/>
    </row>
    <row r="4424" spans="12:14" ht="21" customHeight="1" x14ac:dyDescent="0.35">
      <c r="L4424" s="14"/>
      <c r="N4424" s="10"/>
    </row>
    <row r="4425" spans="12:14" ht="21" customHeight="1" x14ac:dyDescent="0.35">
      <c r="L4425" s="14"/>
      <c r="N4425" s="10"/>
    </row>
    <row r="4426" spans="12:14" ht="21" customHeight="1" x14ac:dyDescent="0.35">
      <c r="L4426" s="14"/>
      <c r="N4426" s="10"/>
    </row>
    <row r="4427" spans="12:14" ht="21" customHeight="1" x14ac:dyDescent="0.35">
      <c r="L4427" s="14"/>
      <c r="N4427" s="10"/>
    </row>
    <row r="4428" spans="12:14" ht="21" customHeight="1" x14ac:dyDescent="0.35">
      <c r="L4428" s="14"/>
      <c r="N4428" s="10"/>
    </row>
    <row r="4429" spans="12:14" ht="21" customHeight="1" x14ac:dyDescent="0.35">
      <c r="L4429" s="14"/>
      <c r="N4429" s="10"/>
    </row>
    <row r="4430" spans="12:14" ht="21" customHeight="1" x14ac:dyDescent="0.35">
      <c r="L4430" s="14"/>
      <c r="N4430" s="10"/>
    </row>
    <row r="4431" spans="12:14" ht="21" customHeight="1" x14ac:dyDescent="0.35">
      <c r="L4431" s="14"/>
      <c r="N4431" s="10"/>
    </row>
    <row r="4432" spans="12:14" ht="21" customHeight="1" x14ac:dyDescent="0.35">
      <c r="L4432" s="14"/>
      <c r="N4432" s="10"/>
    </row>
    <row r="4433" spans="12:14" ht="21" customHeight="1" x14ac:dyDescent="0.35">
      <c r="L4433" s="14"/>
      <c r="N4433" s="10"/>
    </row>
    <row r="4434" spans="12:14" ht="21" customHeight="1" x14ac:dyDescent="0.35">
      <c r="L4434" s="14"/>
      <c r="N4434" s="10"/>
    </row>
    <row r="4435" spans="12:14" ht="21" customHeight="1" x14ac:dyDescent="0.35">
      <c r="L4435" s="14"/>
      <c r="N4435" s="10"/>
    </row>
    <row r="4436" spans="12:14" ht="21" customHeight="1" x14ac:dyDescent="0.35">
      <c r="L4436" s="14"/>
      <c r="N4436" s="10"/>
    </row>
    <row r="4437" spans="12:14" ht="21" customHeight="1" x14ac:dyDescent="0.35">
      <c r="L4437" s="14"/>
      <c r="N4437" s="10"/>
    </row>
    <row r="4438" spans="12:14" ht="21" customHeight="1" x14ac:dyDescent="0.35">
      <c r="L4438" s="14"/>
      <c r="N4438" s="10"/>
    </row>
    <row r="4439" spans="12:14" ht="21" customHeight="1" x14ac:dyDescent="0.35">
      <c r="L4439" s="14"/>
      <c r="N4439" s="10"/>
    </row>
    <row r="4440" spans="12:14" ht="21" customHeight="1" x14ac:dyDescent="0.35">
      <c r="L4440" s="14"/>
      <c r="N4440" s="10"/>
    </row>
    <row r="4441" spans="12:14" ht="21" customHeight="1" x14ac:dyDescent="0.35">
      <c r="L4441" s="14"/>
      <c r="N4441" s="10"/>
    </row>
    <row r="4442" spans="12:14" ht="21" customHeight="1" x14ac:dyDescent="0.35">
      <c r="L4442" s="14"/>
      <c r="N4442" s="10"/>
    </row>
    <row r="4443" spans="12:14" ht="21" customHeight="1" x14ac:dyDescent="0.35">
      <c r="L4443" s="14"/>
      <c r="N4443" s="10"/>
    </row>
    <row r="4444" spans="12:14" ht="21" customHeight="1" x14ac:dyDescent="0.35">
      <c r="L4444" s="14"/>
      <c r="N4444" s="10"/>
    </row>
    <row r="4445" spans="12:14" ht="21" customHeight="1" x14ac:dyDescent="0.35">
      <c r="L4445" s="14"/>
      <c r="N4445" s="10"/>
    </row>
    <row r="4446" spans="12:14" ht="21" customHeight="1" x14ac:dyDescent="0.35">
      <c r="L4446" s="14"/>
      <c r="N4446" s="10"/>
    </row>
    <row r="4447" spans="12:14" ht="21" customHeight="1" x14ac:dyDescent="0.35">
      <c r="L4447" s="14"/>
      <c r="N4447" s="10"/>
    </row>
    <row r="4448" spans="12:14" ht="21" customHeight="1" x14ac:dyDescent="0.35">
      <c r="L4448" s="14"/>
      <c r="N4448" s="10"/>
    </row>
    <row r="4449" spans="12:14" ht="21" customHeight="1" x14ac:dyDescent="0.35">
      <c r="L4449" s="14"/>
      <c r="N4449" s="10"/>
    </row>
    <row r="4450" spans="12:14" ht="21" customHeight="1" x14ac:dyDescent="0.35">
      <c r="L4450" s="14"/>
      <c r="N4450" s="10"/>
    </row>
    <row r="4451" spans="12:14" ht="21" customHeight="1" x14ac:dyDescent="0.35">
      <c r="L4451" s="14"/>
      <c r="N4451" s="10"/>
    </row>
    <row r="4452" spans="12:14" ht="21" customHeight="1" x14ac:dyDescent="0.35">
      <c r="L4452" s="14"/>
      <c r="N4452" s="10"/>
    </row>
    <row r="4453" spans="12:14" ht="21" customHeight="1" x14ac:dyDescent="0.35">
      <c r="L4453" s="14"/>
      <c r="N4453" s="10"/>
    </row>
    <row r="4454" spans="12:14" ht="21" customHeight="1" x14ac:dyDescent="0.35">
      <c r="L4454" s="14"/>
      <c r="N4454" s="10"/>
    </row>
    <row r="4455" spans="12:14" ht="21" customHeight="1" x14ac:dyDescent="0.35">
      <c r="L4455" s="14"/>
      <c r="N4455" s="10"/>
    </row>
    <row r="4456" spans="12:14" ht="21" customHeight="1" x14ac:dyDescent="0.35">
      <c r="L4456" s="14"/>
      <c r="N4456" s="10"/>
    </row>
    <row r="4457" spans="12:14" ht="21" customHeight="1" x14ac:dyDescent="0.35">
      <c r="L4457" s="14"/>
      <c r="N4457" s="10"/>
    </row>
    <row r="4458" spans="12:14" ht="21" customHeight="1" x14ac:dyDescent="0.35">
      <c r="L4458" s="14"/>
      <c r="N4458" s="10"/>
    </row>
    <row r="4459" spans="12:14" ht="21" customHeight="1" x14ac:dyDescent="0.35">
      <c r="L4459" s="14"/>
      <c r="N4459" s="10"/>
    </row>
    <row r="4460" spans="12:14" ht="21" customHeight="1" x14ac:dyDescent="0.35">
      <c r="L4460" s="14"/>
      <c r="N4460" s="10"/>
    </row>
    <row r="4461" spans="12:14" ht="21" customHeight="1" x14ac:dyDescent="0.35">
      <c r="L4461" s="14"/>
      <c r="N4461" s="10"/>
    </row>
    <row r="4462" spans="12:14" ht="21" customHeight="1" x14ac:dyDescent="0.35">
      <c r="L4462" s="14"/>
      <c r="N4462" s="10"/>
    </row>
    <row r="4463" spans="12:14" ht="21" customHeight="1" x14ac:dyDescent="0.35">
      <c r="L4463" s="14"/>
      <c r="N4463" s="10"/>
    </row>
    <row r="4464" spans="12:14" ht="21" customHeight="1" x14ac:dyDescent="0.35">
      <c r="L4464" s="14"/>
      <c r="N4464" s="10"/>
    </row>
    <row r="4465" spans="12:14" ht="21" customHeight="1" x14ac:dyDescent="0.35">
      <c r="L4465" s="14"/>
      <c r="N4465" s="10"/>
    </row>
    <row r="4466" spans="12:14" ht="21" customHeight="1" x14ac:dyDescent="0.35">
      <c r="L4466" s="14"/>
      <c r="N4466" s="10"/>
    </row>
    <row r="4467" spans="12:14" ht="21" customHeight="1" x14ac:dyDescent="0.35">
      <c r="L4467" s="14"/>
      <c r="N4467" s="10"/>
    </row>
    <row r="4468" spans="12:14" ht="21" customHeight="1" x14ac:dyDescent="0.35">
      <c r="L4468" s="14"/>
      <c r="N4468" s="10"/>
    </row>
    <row r="4469" spans="12:14" ht="21" customHeight="1" x14ac:dyDescent="0.35">
      <c r="L4469" s="14"/>
      <c r="N4469" s="10"/>
    </row>
    <row r="4470" spans="12:14" ht="21" customHeight="1" x14ac:dyDescent="0.35">
      <c r="L4470" s="14"/>
      <c r="N4470" s="10"/>
    </row>
    <row r="4471" spans="12:14" ht="21" customHeight="1" x14ac:dyDescent="0.35">
      <c r="L4471" s="14"/>
      <c r="N4471" s="10"/>
    </row>
    <row r="4472" spans="12:14" ht="21" customHeight="1" x14ac:dyDescent="0.35">
      <c r="L4472" s="14"/>
      <c r="N4472" s="10"/>
    </row>
    <row r="4473" spans="12:14" ht="21" customHeight="1" x14ac:dyDescent="0.35">
      <c r="L4473" s="14"/>
      <c r="N4473" s="10"/>
    </row>
    <row r="4474" spans="12:14" ht="21" customHeight="1" x14ac:dyDescent="0.35">
      <c r="L4474" s="14"/>
      <c r="N4474" s="10"/>
    </row>
    <row r="4475" spans="12:14" ht="21" customHeight="1" x14ac:dyDescent="0.35">
      <c r="L4475" s="14"/>
      <c r="N4475" s="10"/>
    </row>
    <row r="4476" spans="12:14" ht="21" customHeight="1" x14ac:dyDescent="0.35">
      <c r="L4476" s="14"/>
      <c r="N4476" s="10"/>
    </row>
    <row r="4477" spans="12:14" ht="21" customHeight="1" x14ac:dyDescent="0.35">
      <c r="L4477" s="14"/>
      <c r="N4477" s="10"/>
    </row>
    <row r="4478" spans="12:14" ht="21" customHeight="1" x14ac:dyDescent="0.35">
      <c r="L4478" s="14"/>
      <c r="N4478" s="10"/>
    </row>
    <row r="4479" spans="12:14" ht="21" customHeight="1" x14ac:dyDescent="0.35">
      <c r="L4479" s="14"/>
      <c r="N4479" s="10"/>
    </row>
    <row r="4480" spans="12:14" ht="21" customHeight="1" x14ac:dyDescent="0.35">
      <c r="L4480" s="14"/>
      <c r="N4480" s="10"/>
    </row>
    <row r="4481" spans="12:14" ht="21" customHeight="1" x14ac:dyDescent="0.35">
      <c r="L4481" s="14"/>
      <c r="N4481" s="10"/>
    </row>
    <row r="4482" spans="12:14" ht="21" customHeight="1" x14ac:dyDescent="0.35">
      <c r="L4482" s="14"/>
      <c r="N4482" s="10"/>
    </row>
    <row r="4483" spans="12:14" ht="21" customHeight="1" x14ac:dyDescent="0.35">
      <c r="L4483" s="14"/>
      <c r="N4483" s="10"/>
    </row>
    <row r="4484" spans="12:14" ht="21" customHeight="1" x14ac:dyDescent="0.35">
      <c r="L4484" s="14"/>
      <c r="N4484" s="10"/>
    </row>
    <row r="4485" spans="12:14" ht="21" customHeight="1" x14ac:dyDescent="0.35">
      <c r="L4485" s="14"/>
      <c r="N4485" s="10"/>
    </row>
    <row r="4486" spans="12:14" ht="21" customHeight="1" x14ac:dyDescent="0.35">
      <c r="L4486" s="14"/>
      <c r="N4486" s="10"/>
    </row>
    <row r="4487" spans="12:14" ht="21" customHeight="1" x14ac:dyDescent="0.35">
      <c r="L4487" s="14"/>
      <c r="N4487" s="10"/>
    </row>
    <row r="4488" spans="12:14" ht="21" customHeight="1" x14ac:dyDescent="0.35">
      <c r="L4488" s="14"/>
      <c r="N4488" s="10"/>
    </row>
    <row r="4489" spans="12:14" ht="21" customHeight="1" x14ac:dyDescent="0.35">
      <c r="L4489" s="14"/>
      <c r="N4489" s="10"/>
    </row>
    <row r="4490" spans="12:14" ht="21" customHeight="1" x14ac:dyDescent="0.35">
      <c r="L4490" s="14"/>
      <c r="N4490" s="10"/>
    </row>
    <row r="4491" spans="12:14" ht="21" customHeight="1" x14ac:dyDescent="0.35">
      <c r="L4491" s="14"/>
      <c r="N4491" s="10"/>
    </row>
    <row r="4492" spans="12:14" ht="21" customHeight="1" x14ac:dyDescent="0.35">
      <c r="L4492" s="14"/>
      <c r="N4492" s="10"/>
    </row>
    <row r="4493" spans="12:14" ht="21" customHeight="1" x14ac:dyDescent="0.35">
      <c r="L4493" s="14"/>
      <c r="N4493" s="10"/>
    </row>
    <row r="4494" spans="12:14" ht="21" customHeight="1" x14ac:dyDescent="0.35">
      <c r="L4494" s="14"/>
      <c r="N4494" s="10"/>
    </row>
    <row r="4495" spans="12:14" ht="21" customHeight="1" x14ac:dyDescent="0.35">
      <c r="L4495" s="14"/>
      <c r="N4495" s="10"/>
    </row>
    <row r="4496" spans="12:14" ht="21" customHeight="1" x14ac:dyDescent="0.35">
      <c r="L4496" s="14"/>
      <c r="N4496" s="10"/>
    </row>
    <row r="4497" spans="12:14" ht="21" customHeight="1" x14ac:dyDescent="0.35">
      <c r="L4497" s="14"/>
      <c r="N4497" s="10"/>
    </row>
    <row r="4498" spans="12:14" ht="21" customHeight="1" x14ac:dyDescent="0.35">
      <c r="L4498" s="14"/>
      <c r="N4498" s="10"/>
    </row>
    <row r="4499" spans="12:14" ht="21" customHeight="1" x14ac:dyDescent="0.35">
      <c r="L4499" s="14"/>
      <c r="N4499" s="10"/>
    </row>
    <row r="4500" spans="12:14" ht="21" customHeight="1" x14ac:dyDescent="0.35">
      <c r="L4500" s="14"/>
      <c r="N4500" s="10"/>
    </row>
    <row r="4501" spans="12:14" ht="21" customHeight="1" x14ac:dyDescent="0.35">
      <c r="L4501" s="14"/>
      <c r="N4501" s="10"/>
    </row>
    <row r="4502" spans="12:14" ht="21" customHeight="1" x14ac:dyDescent="0.35">
      <c r="L4502" s="14"/>
      <c r="N4502" s="10"/>
    </row>
    <row r="4503" spans="12:14" ht="21" customHeight="1" x14ac:dyDescent="0.35">
      <c r="L4503" s="14"/>
      <c r="N4503" s="10"/>
    </row>
    <row r="4504" spans="12:14" ht="21" customHeight="1" x14ac:dyDescent="0.35">
      <c r="L4504" s="14"/>
      <c r="N4504" s="10"/>
    </row>
    <row r="4505" spans="12:14" ht="21" customHeight="1" x14ac:dyDescent="0.35">
      <c r="L4505" s="14"/>
      <c r="N4505" s="10"/>
    </row>
    <row r="4506" spans="12:14" ht="21" customHeight="1" x14ac:dyDescent="0.35">
      <c r="L4506" s="14"/>
      <c r="N4506" s="10"/>
    </row>
    <row r="4507" spans="12:14" ht="21" customHeight="1" x14ac:dyDescent="0.35">
      <c r="L4507" s="14"/>
      <c r="N4507" s="10"/>
    </row>
    <row r="4508" spans="12:14" ht="21" customHeight="1" x14ac:dyDescent="0.35">
      <c r="L4508" s="14"/>
      <c r="N4508" s="10"/>
    </row>
    <row r="4509" spans="12:14" ht="21" customHeight="1" x14ac:dyDescent="0.35">
      <c r="L4509" s="14"/>
      <c r="N4509" s="10"/>
    </row>
    <row r="4510" spans="12:14" ht="21" customHeight="1" x14ac:dyDescent="0.35">
      <c r="L4510" s="14"/>
      <c r="N4510" s="10"/>
    </row>
    <row r="4511" spans="12:14" ht="21" customHeight="1" x14ac:dyDescent="0.35">
      <c r="L4511" s="14"/>
      <c r="N4511" s="10"/>
    </row>
    <row r="4512" spans="12:14" ht="21" customHeight="1" x14ac:dyDescent="0.35">
      <c r="L4512" s="14"/>
      <c r="N4512" s="10"/>
    </row>
    <row r="4513" spans="12:14" ht="21" customHeight="1" x14ac:dyDescent="0.35">
      <c r="L4513" s="14"/>
      <c r="N4513" s="10"/>
    </row>
    <row r="4514" spans="12:14" ht="21" customHeight="1" x14ac:dyDescent="0.35">
      <c r="L4514" s="14"/>
      <c r="N4514" s="10"/>
    </row>
    <row r="4515" spans="12:14" ht="21" customHeight="1" x14ac:dyDescent="0.35">
      <c r="L4515" s="14"/>
      <c r="N4515" s="10"/>
    </row>
    <row r="4516" spans="12:14" ht="21" customHeight="1" x14ac:dyDescent="0.35">
      <c r="L4516" s="14"/>
      <c r="N4516" s="10"/>
    </row>
    <row r="4517" spans="12:14" ht="21" customHeight="1" x14ac:dyDescent="0.35">
      <c r="L4517" s="14"/>
      <c r="N4517" s="10"/>
    </row>
    <row r="4518" spans="12:14" ht="21" customHeight="1" x14ac:dyDescent="0.35">
      <c r="L4518" s="14"/>
      <c r="N4518" s="10"/>
    </row>
    <row r="4519" spans="12:14" ht="21" customHeight="1" x14ac:dyDescent="0.35">
      <c r="L4519" s="14"/>
      <c r="N4519" s="10"/>
    </row>
    <row r="4520" spans="12:14" ht="21" customHeight="1" x14ac:dyDescent="0.35">
      <c r="L4520" s="14"/>
      <c r="N4520" s="10"/>
    </row>
    <row r="4521" spans="12:14" ht="21" customHeight="1" x14ac:dyDescent="0.35">
      <c r="L4521" s="14"/>
      <c r="N4521" s="10"/>
    </row>
    <row r="4522" spans="12:14" ht="21" customHeight="1" x14ac:dyDescent="0.35">
      <c r="L4522" s="14"/>
      <c r="N4522" s="10"/>
    </row>
    <row r="4523" spans="12:14" ht="21" customHeight="1" x14ac:dyDescent="0.35">
      <c r="L4523" s="14"/>
      <c r="N4523" s="10"/>
    </row>
    <row r="4524" spans="12:14" ht="21" customHeight="1" x14ac:dyDescent="0.35">
      <c r="L4524" s="14"/>
      <c r="N4524" s="10"/>
    </row>
    <row r="4525" spans="12:14" ht="21" customHeight="1" x14ac:dyDescent="0.35">
      <c r="L4525" s="14"/>
      <c r="N4525" s="10"/>
    </row>
    <row r="4526" spans="12:14" ht="21" customHeight="1" x14ac:dyDescent="0.35">
      <c r="L4526" s="14"/>
      <c r="N4526" s="10"/>
    </row>
    <row r="4527" spans="12:14" ht="21" customHeight="1" x14ac:dyDescent="0.35">
      <c r="L4527" s="14"/>
      <c r="N4527" s="10"/>
    </row>
    <row r="4528" spans="12:14" ht="21" customHeight="1" x14ac:dyDescent="0.35">
      <c r="L4528" s="14"/>
      <c r="N4528" s="10"/>
    </row>
    <row r="4529" spans="12:14" ht="21" customHeight="1" x14ac:dyDescent="0.35">
      <c r="L4529" s="14"/>
      <c r="N4529" s="10"/>
    </row>
    <row r="4530" spans="12:14" ht="21" customHeight="1" x14ac:dyDescent="0.35">
      <c r="L4530" s="14"/>
      <c r="N4530" s="10"/>
    </row>
    <row r="4531" spans="12:14" ht="21" customHeight="1" x14ac:dyDescent="0.35">
      <c r="L4531" s="14"/>
      <c r="N4531" s="10"/>
    </row>
    <row r="4532" spans="12:14" ht="21" customHeight="1" x14ac:dyDescent="0.35">
      <c r="L4532" s="14"/>
      <c r="N4532" s="10"/>
    </row>
    <row r="4533" spans="12:14" ht="21" customHeight="1" x14ac:dyDescent="0.35">
      <c r="L4533" s="14"/>
      <c r="N4533" s="10"/>
    </row>
    <row r="4534" spans="12:14" ht="21" customHeight="1" x14ac:dyDescent="0.35">
      <c r="L4534" s="14"/>
      <c r="N4534" s="10"/>
    </row>
    <row r="4535" spans="12:14" ht="21" customHeight="1" x14ac:dyDescent="0.35">
      <c r="L4535" s="14"/>
      <c r="N4535" s="10"/>
    </row>
    <row r="4536" spans="12:14" ht="21" customHeight="1" x14ac:dyDescent="0.35">
      <c r="L4536" s="14"/>
      <c r="N4536" s="10"/>
    </row>
    <row r="4537" spans="12:14" ht="21" customHeight="1" x14ac:dyDescent="0.35">
      <c r="L4537" s="14"/>
      <c r="N4537" s="10"/>
    </row>
    <row r="4538" spans="12:14" ht="21" customHeight="1" x14ac:dyDescent="0.35">
      <c r="L4538" s="14"/>
      <c r="N4538" s="10"/>
    </row>
    <row r="4539" spans="12:14" ht="21" customHeight="1" x14ac:dyDescent="0.35">
      <c r="L4539" s="14"/>
      <c r="N4539" s="10"/>
    </row>
    <row r="4540" spans="12:14" ht="21" customHeight="1" x14ac:dyDescent="0.35">
      <c r="L4540" s="14"/>
      <c r="N4540" s="10"/>
    </row>
    <row r="4541" spans="12:14" ht="21" customHeight="1" x14ac:dyDescent="0.35">
      <c r="L4541" s="14"/>
      <c r="N4541" s="10"/>
    </row>
    <row r="4542" spans="12:14" ht="21" customHeight="1" x14ac:dyDescent="0.35">
      <c r="L4542" s="14"/>
      <c r="N4542" s="10"/>
    </row>
    <row r="4543" spans="12:14" ht="21" customHeight="1" x14ac:dyDescent="0.35">
      <c r="L4543" s="14"/>
      <c r="N4543" s="10"/>
    </row>
    <row r="4544" spans="12:14" ht="21" customHeight="1" x14ac:dyDescent="0.35">
      <c r="L4544" s="14"/>
      <c r="N4544" s="10"/>
    </row>
    <row r="4545" spans="12:14" ht="21" customHeight="1" x14ac:dyDescent="0.35">
      <c r="L4545" s="14"/>
      <c r="N4545" s="10"/>
    </row>
    <row r="4546" spans="12:14" ht="21" customHeight="1" x14ac:dyDescent="0.35">
      <c r="L4546" s="14"/>
      <c r="N4546" s="10"/>
    </row>
    <row r="4547" spans="12:14" ht="21" customHeight="1" x14ac:dyDescent="0.35">
      <c r="L4547" s="14"/>
      <c r="N4547" s="10"/>
    </row>
    <row r="4548" spans="12:14" ht="21" customHeight="1" x14ac:dyDescent="0.35">
      <c r="L4548" s="14"/>
      <c r="N4548" s="10"/>
    </row>
    <row r="4549" spans="12:14" ht="21" customHeight="1" x14ac:dyDescent="0.35">
      <c r="L4549" s="14"/>
      <c r="N4549" s="10"/>
    </row>
    <row r="4550" spans="12:14" ht="21" customHeight="1" x14ac:dyDescent="0.35">
      <c r="L4550" s="14"/>
      <c r="N4550" s="10"/>
    </row>
    <row r="4551" spans="12:14" ht="21" customHeight="1" x14ac:dyDescent="0.35">
      <c r="L4551" s="14"/>
      <c r="N4551" s="10"/>
    </row>
    <row r="4552" spans="12:14" ht="21" customHeight="1" x14ac:dyDescent="0.35">
      <c r="L4552" s="14"/>
      <c r="N4552" s="10"/>
    </row>
    <row r="4553" spans="12:14" ht="21" customHeight="1" x14ac:dyDescent="0.35">
      <c r="L4553" s="14"/>
      <c r="N4553" s="10"/>
    </row>
    <row r="4554" spans="12:14" ht="21" customHeight="1" x14ac:dyDescent="0.35">
      <c r="L4554" s="14"/>
      <c r="N4554" s="10"/>
    </row>
    <row r="4555" spans="12:14" ht="21" customHeight="1" x14ac:dyDescent="0.35">
      <c r="L4555" s="14"/>
      <c r="N4555" s="10"/>
    </row>
    <row r="4556" spans="12:14" ht="21" customHeight="1" x14ac:dyDescent="0.35">
      <c r="L4556" s="14"/>
      <c r="N4556" s="10"/>
    </row>
    <row r="4557" spans="12:14" ht="21" customHeight="1" x14ac:dyDescent="0.35">
      <c r="L4557" s="14"/>
      <c r="N4557" s="10"/>
    </row>
    <row r="4558" spans="12:14" ht="21" customHeight="1" x14ac:dyDescent="0.35">
      <c r="L4558" s="14"/>
      <c r="N4558" s="10"/>
    </row>
    <row r="4559" spans="12:14" ht="21" customHeight="1" x14ac:dyDescent="0.35">
      <c r="L4559" s="14"/>
      <c r="N4559" s="10"/>
    </row>
    <row r="4560" spans="12:14" ht="21" customHeight="1" x14ac:dyDescent="0.35">
      <c r="L4560" s="14"/>
      <c r="N4560" s="10"/>
    </row>
    <row r="4561" spans="12:14" ht="21" customHeight="1" x14ac:dyDescent="0.35">
      <c r="L4561" s="14"/>
      <c r="N4561" s="10"/>
    </row>
    <row r="4562" spans="12:14" ht="21" customHeight="1" x14ac:dyDescent="0.35">
      <c r="L4562" s="14"/>
      <c r="N4562" s="10"/>
    </row>
    <row r="4563" spans="12:14" ht="21" customHeight="1" x14ac:dyDescent="0.35">
      <c r="L4563" s="14"/>
      <c r="N4563" s="10"/>
    </row>
    <row r="4564" spans="12:14" ht="21" customHeight="1" x14ac:dyDescent="0.35">
      <c r="L4564" s="14"/>
      <c r="N4564" s="10"/>
    </row>
    <row r="4565" spans="12:14" ht="21" customHeight="1" x14ac:dyDescent="0.35">
      <c r="L4565" s="14"/>
      <c r="N4565" s="10"/>
    </row>
    <row r="4566" spans="12:14" ht="21" customHeight="1" x14ac:dyDescent="0.35">
      <c r="L4566" s="14"/>
      <c r="N4566" s="10"/>
    </row>
    <row r="4567" spans="12:14" ht="21" customHeight="1" x14ac:dyDescent="0.35">
      <c r="L4567" s="14"/>
      <c r="N4567" s="10"/>
    </row>
    <row r="4568" spans="12:14" ht="21" customHeight="1" x14ac:dyDescent="0.35">
      <c r="L4568" s="14"/>
      <c r="N4568" s="10"/>
    </row>
    <row r="4569" spans="12:14" ht="21" customHeight="1" x14ac:dyDescent="0.35">
      <c r="L4569" s="14"/>
      <c r="N4569" s="10"/>
    </row>
    <row r="4570" spans="12:14" ht="21" customHeight="1" x14ac:dyDescent="0.35">
      <c r="L4570" s="14"/>
      <c r="N4570" s="10"/>
    </row>
    <row r="4571" spans="12:14" ht="21" customHeight="1" x14ac:dyDescent="0.35">
      <c r="L4571" s="14"/>
      <c r="N4571" s="10"/>
    </row>
    <row r="4572" spans="12:14" ht="21" customHeight="1" x14ac:dyDescent="0.35">
      <c r="L4572" s="14"/>
      <c r="N4572" s="10"/>
    </row>
    <row r="4573" spans="12:14" ht="21" customHeight="1" x14ac:dyDescent="0.35">
      <c r="L4573" s="14"/>
      <c r="N4573" s="10"/>
    </row>
    <row r="4574" spans="12:14" ht="21" customHeight="1" x14ac:dyDescent="0.35">
      <c r="L4574" s="14"/>
      <c r="N4574" s="10"/>
    </row>
    <row r="4575" spans="12:14" ht="21" customHeight="1" x14ac:dyDescent="0.35">
      <c r="L4575" s="14"/>
      <c r="N4575" s="10"/>
    </row>
    <row r="4576" spans="12:14" ht="21" customHeight="1" x14ac:dyDescent="0.35">
      <c r="L4576" s="14"/>
      <c r="N4576" s="10"/>
    </row>
    <row r="4577" spans="12:14" ht="21" customHeight="1" x14ac:dyDescent="0.35">
      <c r="L4577" s="14"/>
      <c r="N4577" s="10"/>
    </row>
    <row r="4578" spans="12:14" ht="21" customHeight="1" x14ac:dyDescent="0.35">
      <c r="L4578" s="14"/>
      <c r="N4578" s="10"/>
    </row>
    <row r="4579" spans="12:14" ht="21" customHeight="1" x14ac:dyDescent="0.35">
      <c r="L4579" s="14"/>
      <c r="N4579" s="10"/>
    </row>
    <row r="4580" spans="12:14" ht="21" customHeight="1" x14ac:dyDescent="0.35">
      <c r="L4580" s="14"/>
      <c r="N4580" s="10"/>
    </row>
    <row r="4581" spans="12:14" ht="21" customHeight="1" x14ac:dyDescent="0.35">
      <c r="L4581" s="14"/>
      <c r="N4581" s="10"/>
    </row>
    <row r="4582" spans="12:14" ht="21" customHeight="1" x14ac:dyDescent="0.35">
      <c r="L4582" s="14"/>
      <c r="N4582" s="10"/>
    </row>
    <row r="4583" spans="12:14" ht="21" customHeight="1" x14ac:dyDescent="0.35">
      <c r="L4583" s="14"/>
      <c r="N4583" s="10"/>
    </row>
    <row r="4584" spans="12:14" ht="21" customHeight="1" x14ac:dyDescent="0.35">
      <c r="L4584" s="14"/>
      <c r="N4584" s="10"/>
    </row>
    <row r="4585" spans="12:14" ht="21" customHeight="1" x14ac:dyDescent="0.35">
      <c r="L4585" s="14"/>
      <c r="N4585" s="10"/>
    </row>
    <row r="4586" spans="12:14" ht="21" customHeight="1" x14ac:dyDescent="0.35">
      <c r="L4586" s="14"/>
      <c r="N4586" s="10"/>
    </row>
    <row r="4587" spans="12:14" ht="21" customHeight="1" x14ac:dyDescent="0.35">
      <c r="L4587" s="14"/>
      <c r="N4587" s="10"/>
    </row>
    <row r="4588" spans="12:14" ht="21" customHeight="1" x14ac:dyDescent="0.35">
      <c r="L4588" s="14"/>
      <c r="N4588" s="10"/>
    </row>
    <row r="4589" spans="12:14" ht="21" customHeight="1" x14ac:dyDescent="0.35">
      <c r="L4589" s="14"/>
      <c r="N4589" s="10"/>
    </row>
    <row r="4590" spans="12:14" ht="21" customHeight="1" x14ac:dyDescent="0.35">
      <c r="L4590" s="14"/>
      <c r="N4590" s="10"/>
    </row>
    <row r="4591" spans="12:14" ht="21" customHeight="1" x14ac:dyDescent="0.35">
      <c r="L4591" s="14"/>
      <c r="N4591" s="10"/>
    </row>
    <row r="4592" spans="12:14" ht="21" customHeight="1" x14ac:dyDescent="0.35">
      <c r="L4592" s="14"/>
      <c r="N4592" s="10"/>
    </row>
    <row r="4593" spans="12:14" ht="21" customHeight="1" x14ac:dyDescent="0.35">
      <c r="L4593" s="14"/>
      <c r="N4593" s="10"/>
    </row>
    <row r="4594" spans="12:14" ht="21" customHeight="1" x14ac:dyDescent="0.35">
      <c r="L4594" s="14"/>
      <c r="N4594" s="10"/>
    </row>
    <row r="4595" spans="12:14" ht="21" customHeight="1" x14ac:dyDescent="0.35">
      <c r="L4595" s="14"/>
      <c r="N4595" s="10"/>
    </row>
    <row r="4596" spans="12:14" ht="21" customHeight="1" x14ac:dyDescent="0.35">
      <c r="L4596" s="14"/>
      <c r="N4596" s="10"/>
    </row>
    <row r="4597" spans="12:14" ht="21" customHeight="1" x14ac:dyDescent="0.35">
      <c r="L4597" s="14"/>
      <c r="N4597" s="10"/>
    </row>
    <row r="4598" spans="12:14" ht="21" customHeight="1" x14ac:dyDescent="0.35">
      <c r="L4598" s="14"/>
      <c r="N4598" s="10"/>
    </row>
    <row r="4599" spans="12:14" ht="21" customHeight="1" x14ac:dyDescent="0.35">
      <c r="L4599" s="14"/>
      <c r="N4599" s="10"/>
    </row>
    <row r="4600" spans="12:14" ht="21" customHeight="1" x14ac:dyDescent="0.35">
      <c r="L4600" s="14"/>
      <c r="N4600" s="10"/>
    </row>
    <row r="4601" spans="12:14" ht="21" customHeight="1" x14ac:dyDescent="0.35">
      <c r="L4601" s="14"/>
      <c r="N4601" s="10"/>
    </row>
    <row r="4602" spans="12:14" ht="21" customHeight="1" x14ac:dyDescent="0.35">
      <c r="L4602" s="14"/>
      <c r="N4602" s="10"/>
    </row>
    <row r="4603" spans="12:14" ht="21" customHeight="1" x14ac:dyDescent="0.35">
      <c r="L4603" s="14"/>
      <c r="N4603" s="10"/>
    </row>
    <row r="4604" spans="12:14" ht="21" customHeight="1" x14ac:dyDescent="0.35">
      <c r="L4604" s="14"/>
      <c r="N4604" s="10"/>
    </row>
    <row r="4605" spans="12:14" ht="21" customHeight="1" x14ac:dyDescent="0.35">
      <c r="L4605" s="14"/>
      <c r="N4605" s="10"/>
    </row>
    <row r="4606" spans="12:14" ht="21" customHeight="1" x14ac:dyDescent="0.35">
      <c r="L4606" s="14"/>
      <c r="N4606" s="10"/>
    </row>
    <row r="4607" spans="12:14" ht="21" customHeight="1" x14ac:dyDescent="0.35">
      <c r="L4607" s="14"/>
      <c r="N4607" s="10"/>
    </row>
    <row r="4608" spans="12:14" ht="21" customHeight="1" x14ac:dyDescent="0.35">
      <c r="L4608" s="14"/>
      <c r="N4608" s="10"/>
    </row>
    <row r="4609" spans="12:14" ht="21" customHeight="1" x14ac:dyDescent="0.35">
      <c r="L4609" s="14"/>
      <c r="N4609" s="10"/>
    </row>
    <row r="4610" spans="12:14" ht="21" customHeight="1" x14ac:dyDescent="0.35">
      <c r="L4610" s="14"/>
      <c r="N4610" s="10"/>
    </row>
    <row r="4611" spans="12:14" ht="21" customHeight="1" x14ac:dyDescent="0.35">
      <c r="L4611" s="14"/>
      <c r="N4611" s="10"/>
    </row>
    <row r="4612" spans="12:14" ht="21" customHeight="1" x14ac:dyDescent="0.35">
      <c r="L4612" s="14"/>
      <c r="N4612" s="10"/>
    </row>
    <row r="4613" spans="12:14" ht="21" customHeight="1" x14ac:dyDescent="0.35">
      <c r="L4613" s="14"/>
      <c r="N4613" s="10"/>
    </row>
    <row r="4614" spans="12:14" ht="21" customHeight="1" x14ac:dyDescent="0.35">
      <c r="L4614" s="14"/>
      <c r="N4614" s="10"/>
    </row>
    <row r="4615" spans="12:14" ht="21" customHeight="1" x14ac:dyDescent="0.35">
      <c r="L4615" s="14"/>
      <c r="N4615" s="10"/>
    </row>
    <row r="4616" spans="12:14" ht="21" customHeight="1" x14ac:dyDescent="0.35">
      <c r="L4616" s="14"/>
      <c r="N4616" s="10"/>
    </row>
    <row r="4617" spans="12:14" ht="21" customHeight="1" x14ac:dyDescent="0.35">
      <c r="L4617" s="14"/>
      <c r="N4617" s="10"/>
    </row>
    <row r="4618" spans="12:14" ht="21" customHeight="1" x14ac:dyDescent="0.35">
      <c r="L4618" s="14"/>
      <c r="N4618" s="10"/>
    </row>
    <row r="4619" spans="12:14" ht="21" customHeight="1" x14ac:dyDescent="0.35">
      <c r="L4619" s="14"/>
      <c r="N4619" s="10"/>
    </row>
    <row r="4620" spans="12:14" ht="21" customHeight="1" x14ac:dyDescent="0.35">
      <c r="L4620" s="14"/>
      <c r="N4620" s="10"/>
    </row>
    <row r="4621" spans="12:14" ht="21" customHeight="1" x14ac:dyDescent="0.35">
      <c r="L4621" s="14"/>
      <c r="N4621" s="10"/>
    </row>
    <row r="4622" spans="12:14" ht="21" customHeight="1" x14ac:dyDescent="0.35">
      <c r="L4622" s="14"/>
      <c r="N4622" s="10"/>
    </row>
    <row r="4623" spans="12:14" ht="21" customHeight="1" x14ac:dyDescent="0.35">
      <c r="L4623" s="14"/>
      <c r="N4623" s="10"/>
    </row>
    <row r="4624" spans="12:14" ht="21" customHeight="1" x14ac:dyDescent="0.35">
      <c r="L4624" s="14"/>
      <c r="N4624" s="10"/>
    </row>
    <row r="4625" spans="12:14" ht="21" customHeight="1" x14ac:dyDescent="0.35">
      <c r="L4625" s="14"/>
      <c r="N4625" s="10"/>
    </row>
    <row r="4626" spans="12:14" ht="21" customHeight="1" x14ac:dyDescent="0.35">
      <c r="L4626" s="14"/>
      <c r="N4626" s="10"/>
    </row>
    <row r="4627" spans="12:14" ht="21" customHeight="1" x14ac:dyDescent="0.35">
      <c r="L4627" s="14"/>
      <c r="N4627" s="10"/>
    </row>
    <row r="4628" spans="12:14" ht="21" customHeight="1" x14ac:dyDescent="0.35">
      <c r="L4628" s="14"/>
      <c r="N4628" s="10"/>
    </row>
    <row r="4629" spans="12:14" ht="21" customHeight="1" x14ac:dyDescent="0.35">
      <c r="L4629" s="14"/>
      <c r="N4629" s="10"/>
    </row>
    <row r="4630" spans="12:14" ht="21" customHeight="1" x14ac:dyDescent="0.35">
      <c r="L4630" s="14"/>
      <c r="N4630" s="10"/>
    </row>
    <row r="4631" spans="12:14" ht="21" customHeight="1" x14ac:dyDescent="0.35">
      <c r="L4631" s="14"/>
      <c r="N4631" s="10"/>
    </row>
    <row r="4632" spans="12:14" ht="21" customHeight="1" x14ac:dyDescent="0.35">
      <c r="L4632" s="14"/>
      <c r="N4632" s="10"/>
    </row>
    <row r="4633" spans="12:14" ht="21" customHeight="1" x14ac:dyDescent="0.35">
      <c r="L4633" s="14"/>
      <c r="N4633" s="10"/>
    </row>
    <row r="4634" spans="12:14" ht="21" customHeight="1" x14ac:dyDescent="0.35">
      <c r="L4634" s="14"/>
      <c r="N4634" s="10"/>
    </row>
    <row r="4635" spans="12:14" ht="21" customHeight="1" x14ac:dyDescent="0.35">
      <c r="L4635" s="14"/>
      <c r="N4635" s="10"/>
    </row>
    <row r="4636" spans="12:14" ht="21" customHeight="1" x14ac:dyDescent="0.35">
      <c r="L4636" s="14"/>
      <c r="N4636" s="10"/>
    </row>
    <row r="4637" spans="12:14" ht="21" customHeight="1" x14ac:dyDescent="0.35">
      <c r="L4637" s="14"/>
      <c r="N4637" s="10"/>
    </row>
    <row r="4638" spans="12:14" ht="21" customHeight="1" x14ac:dyDescent="0.35">
      <c r="L4638" s="14"/>
      <c r="N4638" s="10"/>
    </row>
    <row r="4639" spans="12:14" ht="21" customHeight="1" x14ac:dyDescent="0.35">
      <c r="L4639" s="14"/>
      <c r="N4639" s="10"/>
    </row>
    <row r="4640" spans="12:14" ht="21" customHeight="1" x14ac:dyDescent="0.35">
      <c r="L4640" s="14"/>
      <c r="N4640" s="10"/>
    </row>
    <row r="4641" spans="12:14" ht="21" customHeight="1" x14ac:dyDescent="0.35">
      <c r="L4641" s="14"/>
      <c r="N4641" s="10"/>
    </row>
    <row r="4642" spans="12:14" ht="21" customHeight="1" x14ac:dyDescent="0.35">
      <c r="L4642" s="14"/>
      <c r="N4642" s="10"/>
    </row>
    <row r="4643" spans="12:14" ht="21" customHeight="1" x14ac:dyDescent="0.35">
      <c r="L4643" s="14"/>
      <c r="N4643" s="10"/>
    </row>
    <row r="4644" spans="12:14" ht="21" customHeight="1" x14ac:dyDescent="0.35">
      <c r="L4644" s="14"/>
      <c r="N4644" s="10"/>
    </row>
    <row r="4645" spans="12:14" ht="21" customHeight="1" x14ac:dyDescent="0.35">
      <c r="L4645" s="14"/>
      <c r="N4645" s="10"/>
    </row>
    <row r="4646" spans="12:14" ht="21" customHeight="1" x14ac:dyDescent="0.35">
      <c r="L4646" s="14"/>
      <c r="N4646" s="10"/>
    </row>
    <row r="4647" spans="12:14" ht="21" customHeight="1" x14ac:dyDescent="0.35">
      <c r="L4647" s="14"/>
      <c r="N4647" s="10"/>
    </row>
    <row r="4648" spans="12:14" ht="21" customHeight="1" x14ac:dyDescent="0.35">
      <c r="L4648" s="14"/>
      <c r="N4648" s="10"/>
    </row>
    <row r="4649" spans="12:14" ht="21" customHeight="1" x14ac:dyDescent="0.35">
      <c r="L4649" s="14"/>
      <c r="N4649" s="10"/>
    </row>
    <row r="4650" spans="12:14" ht="21" customHeight="1" x14ac:dyDescent="0.35">
      <c r="L4650" s="14"/>
      <c r="N4650" s="10"/>
    </row>
    <row r="4651" spans="12:14" ht="21" customHeight="1" x14ac:dyDescent="0.35">
      <c r="L4651" s="14"/>
      <c r="N4651" s="10"/>
    </row>
    <row r="4652" spans="12:14" ht="21" customHeight="1" x14ac:dyDescent="0.35">
      <c r="L4652" s="14"/>
      <c r="N4652" s="10"/>
    </row>
    <row r="4653" spans="12:14" ht="21" customHeight="1" x14ac:dyDescent="0.35">
      <c r="L4653" s="14"/>
      <c r="N4653" s="10"/>
    </row>
    <row r="4654" spans="12:14" ht="21" customHeight="1" x14ac:dyDescent="0.35">
      <c r="L4654" s="14"/>
      <c r="N4654" s="10"/>
    </row>
    <row r="4655" spans="12:14" ht="21" customHeight="1" x14ac:dyDescent="0.35">
      <c r="L4655" s="14"/>
      <c r="N4655" s="10"/>
    </row>
    <row r="4656" spans="12:14" ht="21" customHeight="1" x14ac:dyDescent="0.35">
      <c r="L4656" s="14"/>
      <c r="N4656" s="10"/>
    </row>
    <row r="4657" spans="12:14" ht="21" customHeight="1" x14ac:dyDescent="0.35">
      <c r="L4657" s="14"/>
      <c r="N4657" s="10"/>
    </row>
    <row r="4658" spans="12:14" ht="21" customHeight="1" x14ac:dyDescent="0.35">
      <c r="L4658" s="14"/>
      <c r="N4658" s="10"/>
    </row>
    <row r="4659" spans="12:14" ht="21" customHeight="1" x14ac:dyDescent="0.35">
      <c r="L4659" s="14"/>
      <c r="N4659" s="10"/>
    </row>
    <row r="4660" spans="12:14" ht="21" customHeight="1" x14ac:dyDescent="0.35">
      <c r="L4660" s="14"/>
      <c r="N4660" s="10"/>
    </row>
    <row r="4661" spans="12:14" ht="21" customHeight="1" x14ac:dyDescent="0.35">
      <c r="L4661" s="14"/>
      <c r="N4661" s="10"/>
    </row>
    <row r="4662" spans="12:14" ht="21" customHeight="1" x14ac:dyDescent="0.35">
      <c r="L4662" s="14"/>
      <c r="N4662" s="10"/>
    </row>
    <row r="4663" spans="12:14" ht="21" customHeight="1" x14ac:dyDescent="0.35">
      <c r="L4663" s="14"/>
      <c r="N4663" s="10"/>
    </row>
    <row r="4664" spans="12:14" ht="21" customHeight="1" x14ac:dyDescent="0.35">
      <c r="L4664" s="14"/>
      <c r="N4664" s="10"/>
    </row>
    <row r="4665" spans="12:14" ht="21" customHeight="1" x14ac:dyDescent="0.35">
      <c r="L4665" s="14"/>
      <c r="N4665" s="10"/>
    </row>
    <row r="4666" spans="12:14" ht="21" customHeight="1" x14ac:dyDescent="0.35">
      <c r="L4666" s="14"/>
      <c r="N4666" s="10"/>
    </row>
    <row r="4667" spans="12:14" ht="21" customHeight="1" x14ac:dyDescent="0.35">
      <c r="L4667" s="14"/>
      <c r="N4667" s="10"/>
    </row>
    <row r="4668" spans="12:14" ht="21" customHeight="1" x14ac:dyDescent="0.35">
      <c r="L4668" s="14"/>
      <c r="N4668" s="10"/>
    </row>
    <row r="4669" spans="12:14" ht="21" customHeight="1" x14ac:dyDescent="0.35">
      <c r="L4669" s="14"/>
      <c r="N4669" s="10"/>
    </row>
    <row r="4670" spans="12:14" ht="21" customHeight="1" x14ac:dyDescent="0.35">
      <c r="L4670" s="14"/>
      <c r="N4670" s="10"/>
    </row>
    <row r="4671" spans="12:14" ht="21" customHeight="1" x14ac:dyDescent="0.35">
      <c r="L4671" s="14"/>
      <c r="N4671" s="10"/>
    </row>
    <row r="4672" spans="12:14" ht="21" customHeight="1" x14ac:dyDescent="0.35">
      <c r="L4672" s="14"/>
      <c r="N4672" s="10"/>
    </row>
    <row r="4673" spans="12:14" ht="21" customHeight="1" x14ac:dyDescent="0.35">
      <c r="L4673" s="14"/>
      <c r="N4673" s="10"/>
    </row>
    <row r="4674" spans="12:14" ht="21" customHeight="1" x14ac:dyDescent="0.35">
      <c r="L4674" s="14"/>
      <c r="N4674" s="10"/>
    </row>
    <row r="4675" spans="12:14" ht="21" customHeight="1" x14ac:dyDescent="0.35">
      <c r="L4675" s="14"/>
      <c r="N4675" s="10"/>
    </row>
    <row r="4676" spans="12:14" ht="21" customHeight="1" x14ac:dyDescent="0.35">
      <c r="L4676" s="14"/>
      <c r="N4676" s="10"/>
    </row>
    <row r="4677" spans="12:14" ht="21" customHeight="1" x14ac:dyDescent="0.35">
      <c r="L4677" s="14"/>
      <c r="N4677" s="10"/>
    </row>
    <row r="4678" spans="12:14" ht="21" customHeight="1" x14ac:dyDescent="0.35">
      <c r="L4678" s="14"/>
      <c r="N4678" s="10"/>
    </row>
    <row r="4679" spans="12:14" ht="21" customHeight="1" x14ac:dyDescent="0.35">
      <c r="L4679" s="14"/>
      <c r="N4679" s="10"/>
    </row>
    <row r="4680" spans="12:14" ht="21" customHeight="1" x14ac:dyDescent="0.35">
      <c r="L4680" s="14"/>
      <c r="N4680" s="10"/>
    </row>
    <row r="4681" spans="12:14" ht="21" customHeight="1" x14ac:dyDescent="0.35">
      <c r="L4681" s="14"/>
      <c r="N4681" s="10"/>
    </row>
    <row r="4682" spans="12:14" ht="21" customHeight="1" x14ac:dyDescent="0.35">
      <c r="L4682" s="14"/>
      <c r="N4682" s="10"/>
    </row>
    <row r="4683" spans="12:14" ht="21" customHeight="1" x14ac:dyDescent="0.35">
      <c r="L4683" s="14"/>
      <c r="N4683" s="10"/>
    </row>
    <row r="4684" spans="12:14" ht="21" customHeight="1" x14ac:dyDescent="0.35">
      <c r="L4684" s="14"/>
      <c r="N4684" s="10"/>
    </row>
    <row r="4685" spans="12:14" ht="21" customHeight="1" x14ac:dyDescent="0.35">
      <c r="L4685" s="14"/>
      <c r="N4685" s="10"/>
    </row>
    <row r="4686" spans="12:14" ht="21" customHeight="1" x14ac:dyDescent="0.35">
      <c r="L4686" s="14"/>
      <c r="N4686" s="10"/>
    </row>
    <row r="4687" spans="12:14" ht="21" customHeight="1" x14ac:dyDescent="0.35">
      <c r="L4687" s="14"/>
      <c r="N4687" s="10"/>
    </row>
    <row r="4688" spans="12:14" ht="21" customHeight="1" x14ac:dyDescent="0.35">
      <c r="L4688" s="14"/>
      <c r="N4688" s="10"/>
    </row>
    <row r="4689" spans="12:14" ht="21" customHeight="1" x14ac:dyDescent="0.35">
      <c r="L4689" s="14"/>
      <c r="N4689" s="10"/>
    </row>
    <row r="4690" spans="12:14" ht="21" customHeight="1" x14ac:dyDescent="0.35">
      <c r="L4690" s="14"/>
      <c r="N4690" s="10"/>
    </row>
    <row r="4691" spans="12:14" ht="21" customHeight="1" x14ac:dyDescent="0.35">
      <c r="L4691" s="14"/>
      <c r="N4691" s="10"/>
    </row>
    <row r="4692" spans="12:14" ht="21" customHeight="1" x14ac:dyDescent="0.35">
      <c r="L4692" s="14"/>
      <c r="N4692" s="10"/>
    </row>
    <row r="4693" spans="12:14" ht="21" customHeight="1" x14ac:dyDescent="0.35">
      <c r="L4693" s="14"/>
      <c r="N4693" s="10"/>
    </row>
    <row r="4694" spans="12:14" ht="21" customHeight="1" x14ac:dyDescent="0.35">
      <c r="L4694" s="14"/>
      <c r="N4694" s="10"/>
    </row>
    <row r="4695" spans="12:14" ht="21" customHeight="1" x14ac:dyDescent="0.35">
      <c r="L4695" s="14"/>
      <c r="N4695" s="10"/>
    </row>
    <row r="4696" spans="12:14" ht="21" customHeight="1" x14ac:dyDescent="0.35">
      <c r="L4696" s="14"/>
      <c r="N4696" s="10"/>
    </row>
    <row r="4697" spans="12:14" ht="21" customHeight="1" x14ac:dyDescent="0.35">
      <c r="L4697" s="14"/>
      <c r="N4697" s="10"/>
    </row>
    <row r="4698" spans="12:14" ht="21" customHeight="1" x14ac:dyDescent="0.35">
      <c r="L4698" s="14"/>
      <c r="N4698" s="10"/>
    </row>
    <row r="4699" spans="12:14" ht="21" customHeight="1" x14ac:dyDescent="0.35">
      <c r="L4699" s="14"/>
      <c r="N4699" s="10"/>
    </row>
    <row r="4700" spans="12:14" ht="21" customHeight="1" x14ac:dyDescent="0.35">
      <c r="L4700" s="14"/>
      <c r="N4700" s="10"/>
    </row>
    <row r="4701" spans="12:14" ht="21" customHeight="1" x14ac:dyDescent="0.35">
      <c r="L4701" s="14"/>
      <c r="N4701" s="10"/>
    </row>
    <row r="4702" spans="12:14" ht="21" customHeight="1" x14ac:dyDescent="0.35">
      <c r="L4702" s="14"/>
      <c r="N4702" s="10"/>
    </row>
    <row r="4703" spans="12:14" ht="21" customHeight="1" x14ac:dyDescent="0.35">
      <c r="L4703" s="14"/>
      <c r="N4703" s="10"/>
    </row>
    <row r="4704" spans="12:14" ht="21" customHeight="1" x14ac:dyDescent="0.35">
      <c r="L4704" s="14"/>
      <c r="N4704" s="10"/>
    </row>
    <row r="4705" spans="12:14" ht="21" customHeight="1" x14ac:dyDescent="0.35">
      <c r="L4705" s="14"/>
      <c r="N4705" s="10"/>
    </row>
    <row r="4706" spans="12:14" ht="21" customHeight="1" x14ac:dyDescent="0.35">
      <c r="L4706" s="14"/>
      <c r="N4706" s="10"/>
    </row>
    <row r="4707" spans="12:14" ht="21" customHeight="1" x14ac:dyDescent="0.35">
      <c r="L4707" s="14"/>
      <c r="N4707" s="10"/>
    </row>
    <row r="4708" spans="12:14" ht="21" customHeight="1" x14ac:dyDescent="0.35">
      <c r="L4708" s="14"/>
      <c r="N4708" s="10"/>
    </row>
    <row r="4709" spans="12:14" ht="21" customHeight="1" x14ac:dyDescent="0.35">
      <c r="L4709" s="14"/>
      <c r="N4709" s="10"/>
    </row>
    <row r="4710" spans="12:14" ht="21" customHeight="1" x14ac:dyDescent="0.35">
      <c r="L4710" s="14"/>
      <c r="N4710" s="10"/>
    </row>
    <row r="4711" spans="12:14" ht="21" customHeight="1" x14ac:dyDescent="0.35">
      <c r="L4711" s="14"/>
      <c r="N4711" s="10"/>
    </row>
    <row r="4712" spans="12:14" ht="21" customHeight="1" x14ac:dyDescent="0.35">
      <c r="L4712" s="14"/>
      <c r="N4712" s="10"/>
    </row>
    <row r="4713" spans="12:14" ht="21" customHeight="1" x14ac:dyDescent="0.35">
      <c r="L4713" s="14"/>
      <c r="N4713" s="10"/>
    </row>
    <row r="4714" spans="12:14" ht="21" customHeight="1" x14ac:dyDescent="0.35">
      <c r="L4714" s="14"/>
      <c r="N4714" s="10"/>
    </row>
    <row r="4715" spans="12:14" ht="21" customHeight="1" x14ac:dyDescent="0.35">
      <c r="L4715" s="14"/>
      <c r="N4715" s="10"/>
    </row>
    <row r="4716" spans="12:14" ht="21" customHeight="1" x14ac:dyDescent="0.35">
      <c r="L4716" s="14"/>
      <c r="N4716" s="10"/>
    </row>
    <row r="4717" spans="12:14" ht="21" customHeight="1" x14ac:dyDescent="0.35">
      <c r="L4717" s="14"/>
      <c r="N4717" s="10"/>
    </row>
    <row r="4718" spans="12:14" ht="21" customHeight="1" x14ac:dyDescent="0.35">
      <c r="L4718" s="14"/>
      <c r="N4718" s="10"/>
    </row>
    <row r="4719" spans="12:14" ht="21" customHeight="1" x14ac:dyDescent="0.35">
      <c r="L4719" s="14"/>
      <c r="N4719" s="10"/>
    </row>
    <row r="4720" spans="12:14" ht="21" customHeight="1" x14ac:dyDescent="0.35">
      <c r="L4720" s="14"/>
      <c r="N4720" s="10"/>
    </row>
    <row r="4721" spans="12:14" ht="21" customHeight="1" x14ac:dyDescent="0.35">
      <c r="L4721" s="14"/>
      <c r="N4721" s="10"/>
    </row>
    <row r="4722" spans="12:14" ht="21" customHeight="1" x14ac:dyDescent="0.35">
      <c r="L4722" s="14"/>
      <c r="N4722" s="10"/>
    </row>
    <row r="4723" spans="12:14" ht="21" customHeight="1" x14ac:dyDescent="0.35">
      <c r="L4723" s="14"/>
      <c r="N4723" s="10"/>
    </row>
    <row r="4724" spans="12:14" ht="21" customHeight="1" x14ac:dyDescent="0.35">
      <c r="L4724" s="14"/>
      <c r="N4724" s="10"/>
    </row>
    <row r="4725" spans="12:14" ht="21" customHeight="1" x14ac:dyDescent="0.35">
      <c r="L4725" s="14"/>
      <c r="N4725" s="10"/>
    </row>
    <row r="4726" spans="12:14" ht="21" customHeight="1" x14ac:dyDescent="0.35">
      <c r="L4726" s="14"/>
      <c r="N4726" s="10"/>
    </row>
    <row r="4727" spans="12:14" ht="21" customHeight="1" x14ac:dyDescent="0.35">
      <c r="L4727" s="14"/>
      <c r="N4727" s="10"/>
    </row>
    <row r="4728" spans="12:14" ht="21" customHeight="1" x14ac:dyDescent="0.35">
      <c r="L4728" s="14"/>
      <c r="N4728" s="10"/>
    </row>
    <row r="4729" spans="12:14" ht="21" customHeight="1" x14ac:dyDescent="0.35">
      <c r="L4729" s="14"/>
      <c r="N4729" s="10"/>
    </row>
    <row r="4730" spans="12:14" ht="21" customHeight="1" x14ac:dyDescent="0.35">
      <c r="L4730" s="14"/>
      <c r="N4730" s="10"/>
    </row>
    <row r="4731" spans="12:14" ht="21" customHeight="1" x14ac:dyDescent="0.35">
      <c r="L4731" s="14"/>
      <c r="N4731" s="10"/>
    </row>
    <row r="4732" spans="12:14" ht="21" customHeight="1" x14ac:dyDescent="0.35">
      <c r="L4732" s="14"/>
      <c r="N4732" s="10"/>
    </row>
    <row r="4733" spans="12:14" ht="21" customHeight="1" x14ac:dyDescent="0.35">
      <c r="L4733" s="14"/>
      <c r="N4733" s="10"/>
    </row>
    <row r="4734" spans="12:14" ht="21" customHeight="1" x14ac:dyDescent="0.35">
      <c r="L4734" s="14"/>
      <c r="N4734" s="10"/>
    </row>
    <row r="4735" spans="12:14" ht="21" customHeight="1" x14ac:dyDescent="0.35">
      <c r="L4735" s="14"/>
      <c r="N4735" s="10"/>
    </row>
    <row r="4736" spans="12:14" ht="21" customHeight="1" x14ac:dyDescent="0.35">
      <c r="L4736" s="14"/>
      <c r="N4736" s="10"/>
    </row>
    <row r="4737" spans="12:14" ht="21" customHeight="1" x14ac:dyDescent="0.35">
      <c r="L4737" s="14"/>
      <c r="N4737" s="10"/>
    </row>
    <row r="4738" spans="12:14" ht="21" customHeight="1" x14ac:dyDescent="0.35">
      <c r="L4738" s="14"/>
      <c r="N4738" s="10"/>
    </row>
    <row r="4739" spans="12:14" ht="21" customHeight="1" x14ac:dyDescent="0.35">
      <c r="L4739" s="14"/>
      <c r="N4739" s="10"/>
    </row>
    <row r="4740" spans="12:14" ht="21" customHeight="1" x14ac:dyDescent="0.35">
      <c r="L4740" s="14"/>
      <c r="N4740" s="10"/>
    </row>
    <row r="4741" spans="12:14" ht="21" customHeight="1" x14ac:dyDescent="0.35">
      <c r="L4741" s="14"/>
      <c r="N4741" s="10"/>
    </row>
    <row r="4742" spans="12:14" ht="21" customHeight="1" x14ac:dyDescent="0.35">
      <c r="L4742" s="14"/>
      <c r="N4742" s="10"/>
    </row>
    <row r="4743" spans="12:14" ht="21" customHeight="1" x14ac:dyDescent="0.35">
      <c r="L4743" s="14"/>
      <c r="N4743" s="10"/>
    </row>
    <row r="4744" spans="12:14" ht="21" customHeight="1" x14ac:dyDescent="0.35">
      <c r="L4744" s="14"/>
      <c r="N4744" s="10"/>
    </row>
    <row r="4745" spans="12:14" ht="21" customHeight="1" x14ac:dyDescent="0.35">
      <c r="L4745" s="14"/>
      <c r="N4745" s="10"/>
    </row>
    <row r="4746" spans="12:14" ht="21" customHeight="1" x14ac:dyDescent="0.35">
      <c r="L4746" s="14"/>
      <c r="N4746" s="10"/>
    </row>
    <row r="4747" spans="12:14" ht="21" customHeight="1" x14ac:dyDescent="0.35">
      <c r="L4747" s="14"/>
      <c r="N4747" s="10"/>
    </row>
    <row r="4748" spans="12:14" ht="21" customHeight="1" x14ac:dyDescent="0.35">
      <c r="L4748" s="14"/>
      <c r="N4748" s="10"/>
    </row>
    <row r="4749" spans="12:14" ht="21" customHeight="1" x14ac:dyDescent="0.35">
      <c r="L4749" s="14"/>
      <c r="N4749" s="10"/>
    </row>
    <row r="4750" spans="12:14" ht="21" customHeight="1" x14ac:dyDescent="0.35">
      <c r="L4750" s="14"/>
      <c r="N4750" s="10"/>
    </row>
    <row r="4751" spans="12:14" ht="21" customHeight="1" x14ac:dyDescent="0.35">
      <c r="L4751" s="14"/>
      <c r="N4751" s="10"/>
    </row>
    <row r="4752" spans="12:14" ht="21" customHeight="1" x14ac:dyDescent="0.35">
      <c r="L4752" s="14"/>
      <c r="N4752" s="10"/>
    </row>
    <row r="4753" spans="12:14" ht="21" customHeight="1" x14ac:dyDescent="0.35">
      <c r="L4753" s="14"/>
      <c r="N4753" s="10"/>
    </row>
    <row r="4754" spans="12:14" ht="21" customHeight="1" x14ac:dyDescent="0.35">
      <c r="L4754" s="14"/>
      <c r="N4754" s="10"/>
    </row>
    <row r="4755" spans="12:14" ht="21" customHeight="1" x14ac:dyDescent="0.35">
      <c r="L4755" s="14"/>
      <c r="N4755" s="10"/>
    </row>
    <row r="4756" spans="12:14" ht="21" customHeight="1" x14ac:dyDescent="0.35">
      <c r="L4756" s="14"/>
      <c r="N4756" s="10"/>
    </row>
    <row r="4757" spans="12:14" ht="21" customHeight="1" x14ac:dyDescent="0.35">
      <c r="L4757" s="14"/>
      <c r="N4757" s="10"/>
    </row>
    <row r="4758" spans="12:14" ht="21" customHeight="1" x14ac:dyDescent="0.35">
      <c r="L4758" s="14"/>
      <c r="N4758" s="10"/>
    </row>
    <row r="4759" spans="12:14" ht="21" customHeight="1" x14ac:dyDescent="0.35">
      <c r="L4759" s="14"/>
      <c r="N4759" s="10"/>
    </row>
    <row r="4760" spans="12:14" ht="21" customHeight="1" x14ac:dyDescent="0.35">
      <c r="L4760" s="14"/>
      <c r="N4760" s="10"/>
    </row>
    <row r="4761" spans="12:14" ht="21" customHeight="1" x14ac:dyDescent="0.35">
      <c r="L4761" s="14"/>
      <c r="N4761" s="10"/>
    </row>
    <row r="4762" spans="12:14" ht="21" customHeight="1" x14ac:dyDescent="0.35">
      <c r="L4762" s="14"/>
      <c r="N4762" s="10"/>
    </row>
    <row r="4763" spans="12:14" ht="21" customHeight="1" x14ac:dyDescent="0.35">
      <c r="L4763" s="14"/>
      <c r="N4763" s="10"/>
    </row>
    <row r="4764" spans="12:14" ht="21" customHeight="1" x14ac:dyDescent="0.35">
      <c r="L4764" s="14"/>
      <c r="N4764" s="10"/>
    </row>
    <row r="4765" spans="12:14" ht="21" customHeight="1" x14ac:dyDescent="0.35">
      <c r="L4765" s="14"/>
      <c r="N4765" s="10"/>
    </row>
    <row r="4766" spans="12:14" ht="21" customHeight="1" x14ac:dyDescent="0.35">
      <c r="L4766" s="14"/>
      <c r="N4766" s="10"/>
    </row>
    <row r="4767" spans="12:14" ht="21" customHeight="1" x14ac:dyDescent="0.35">
      <c r="L4767" s="14"/>
      <c r="N4767" s="10"/>
    </row>
    <row r="4768" spans="12:14" ht="21" customHeight="1" x14ac:dyDescent="0.35">
      <c r="L4768" s="14"/>
      <c r="N4768" s="10"/>
    </row>
    <row r="4769" spans="12:14" ht="21" customHeight="1" x14ac:dyDescent="0.35">
      <c r="L4769" s="14"/>
      <c r="N4769" s="10"/>
    </row>
    <row r="4770" spans="12:14" ht="21" customHeight="1" x14ac:dyDescent="0.35">
      <c r="L4770" s="14"/>
      <c r="N4770" s="10"/>
    </row>
    <row r="4771" spans="12:14" ht="21" customHeight="1" x14ac:dyDescent="0.35">
      <c r="L4771" s="14"/>
      <c r="N4771" s="10"/>
    </row>
    <row r="4772" spans="12:14" ht="21" customHeight="1" x14ac:dyDescent="0.35">
      <c r="L4772" s="14"/>
      <c r="N4772" s="10"/>
    </row>
    <row r="4773" spans="12:14" ht="21" customHeight="1" x14ac:dyDescent="0.35">
      <c r="L4773" s="14"/>
      <c r="N4773" s="10"/>
    </row>
    <row r="4774" spans="12:14" ht="21" customHeight="1" x14ac:dyDescent="0.35">
      <c r="L4774" s="14"/>
      <c r="N4774" s="10"/>
    </row>
    <row r="4775" spans="12:14" ht="21" customHeight="1" x14ac:dyDescent="0.35">
      <c r="L4775" s="14"/>
      <c r="N4775" s="10"/>
    </row>
    <row r="4776" spans="12:14" ht="21" customHeight="1" x14ac:dyDescent="0.35">
      <c r="L4776" s="14"/>
      <c r="N4776" s="10"/>
    </row>
    <row r="4777" spans="12:14" ht="21" customHeight="1" x14ac:dyDescent="0.35">
      <c r="L4777" s="14"/>
      <c r="N4777" s="10"/>
    </row>
    <row r="4778" spans="12:14" ht="21" customHeight="1" x14ac:dyDescent="0.35">
      <c r="L4778" s="14"/>
      <c r="N4778" s="10"/>
    </row>
    <row r="4779" spans="12:14" ht="21" customHeight="1" x14ac:dyDescent="0.35">
      <c r="L4779" s="14"/>
      <c r="N4779" s="10"/>
    </row>
    <row r="4780" spans="12:14" ht="21" customHeight="1" x14ac:dyDescent="0.35">
      <c r="L4780" s="14"/>
      <c r="N4780" s="10"/>
    </row>
    <row r="4781" spans="12:14" ht="21" customHeight="1" x14ac:dyDescent="0.35">
      <c r="L4781" s="14"/>
      <c r="N4781" s="10"/>
    </row>
    <row r="4782" spans="12:14" ht="21" customHeight="1" x14ac:dyDescent="0.35">
      <c r="L4782" s="14"/>
      <c r="N4782" s="10"/>
    </row>
    <row r="4783" spans="12:14" ht="21" customHeight="1" x14ac:dyDescent="0.35">
      <c r="L4783" s="14"/>
      <c r="N4783" s="10"/>
    </row>
    <row r="4784" spans="12:14" ht="21" customHeight="1" x14ac:dyDescent="0.35">
      <c r="L4784" s="14"/>
      <c r="N4784" s="10"/>
    </row>
    <row r="4785" spans="12:14" ht="21" customHeight="1" x14ac:dyDescent="0.35">
      <c r="L4785" s="14"/>
      <c r="N4785" s="10"/>
    </row>
    <row r="4786" spans="12:14" ht="21" customHeight="1" x14ac:dyDescent="0.35">
      <c r="L4786" s="14"/>
      <c r="N4786" s="10"/>
    </row>
    <row r="4787" spans="12:14" ht="21" customHeight="1" x14ac:dyDescent="0.35">
      <c r="L4787" s="14"/>
      <c r="N4787" s="10"/>
    </row>
    <row r="4788" spans="12:14" ht="21" customHeight="1" x14ac:dyDescent="0.35">
      <c r="L4788" s="14"/>
      <c r="N4788" s="10"/>
    </row>
    <row r="4789" spans="12:14" ht="21" customHeight="1" x14ac:dyDescent="0.35">
      <c r="L4789" s="14"/>
      <c r="N4789" s="10"/>
    </row>
    <row r="4790" spans="12:14" ht="21" customHeight="1" x14ac:dyDescent="0.35">
      <c r="L4790" s="14"/>
      <c r="N4790" s="10"/>
    </row>
    <row r="4791" spans="12:14" ht="21" customHeight="1" x14ac:dyDescent="0.35">
      <c r="L4791" s="14"/>
      <c r="N4791" s="10"/>
    </row>
    <row r="4792" spans="12:14" ht="21" customHeight="1" x14ac:dyDescent="0.35">
      <c r="L4792" s="14"/>
      <c r="N4792" s="10"/>
    </row>
    <row r="4793" spans="12:14" ht="21" customHeight="1" x14ac:dyDescent="0.35">
      <c r="L4793" s="14"/>
      <c r="N4793" s="10"/>
    </row>
    <row r="4794" spans="12:14" ht="21" customHeight="1" x14ac:dyDescent="0.35">
      <c r="L4794" s="14"/>
      <c r="N4794" s="10"/>
    </row>
    <row r="4795" spans="12:14" ht="21" customHeight="1" x14ac:dyDescent="0.35">
      <c r="L4795" s="14"/>
      <c r="N4795" s="10"/>
    </row>
    <row r="4796" spans="12:14" ht="21" customHeight="1" x14ac:dyDescent="0.35">
      <c r="L4796" s="14"/>
      <c r="N4796" s="10"/>
    </row>
    <row r="4797" spans="12:14" ht="21" customHeight="1" x14ac:dyDescent="0.35">
      <c r="L4797" s="14"/>
      <c r="N4797" s="10"/>
    </row>
    <row r="4798" spans="12:14" ht="21" customHeight="1" x14ac:dyDescent="0.35">
      <c r="L4798" s="14"/>
      <c r="N4798" s="10"/>
    </row>
    <row r="4799" spans="12:14" ht="21" customHeight="1" x14ac:dyDescent="0.35">
      <c r="L4799" s="14"/>
      <c r="N4799" s="10"/>
    </row>
    <row r="4800" spans="12:14" ht="21" customHeight="1" x14ac:dyDescent="0.35">
      <c r="L4800" s="14"/>
      <c r="N4800" s="10"/>
    </row>
    <row r="4801" spans="12:14" ht="21" customHeight="1" x14ac:dyDescent="0.35">
      <c r="L4801" s="14"/>
      <c r="N4801" s="10"/>
    </row>
    <row r="4802" spans="12:14" ht="21" customHeight="1" x14ac:dyDescent="0.35">
      <c r="L4802" s="14"/>
      <c r="N4802" s="10"/>
    </row>
    <row r="4803" spans="12:14" ht="21" customHeight="1" x14ac:dyDescent="0.35">
      <c r="L4803" s="14"/>
      <c r="N4803" s="10"/>
    </row>
    <row r="4804" spans="12:14" ht="21" customHeight="1" x14ac:dyDescent="0.35">
      <c r="L4804" s="14"/>
      <c r="N4804" s="10"/>
    </row>
    <row r="4805" spans="12:14" ht="21" customHeight="1" x14ac:dyDescent="0.35">
      <c r="L4805" s="14"/>
      <c r="N4805" s="10"/>
    </row>
    <row r="4806" spans="12:14" ht="21" customHeight="1" x14ac:dyDescent="0.35">
      <c r="L4806" s="14"/>
      <c r="N4806" s="10"/>
    </row>
    <row r="4807" spans="12:14" ht="21" customHeight="1" x14ac:dyDescent="0.35">
      <c r="L4807" s="14"/>
      <c r="N4807" s="10"/>
    </row>
    <row r="4808" spans="12:14" ht="21" customHeight="1" x14ac:dyDescent="0.35">
      <c r="L4808" s="14"/>
      <c r="N4808" s="10"/>
    </row>
    <row r="4809" spans="12:14" ht="21" customHeight="1" x14ac:dyDescent="0.35">
      <c r="L4809" s="14"/>
      <c r="N4809" s="10"/>
    </row>
    <row r="4810" spans="12:14" ht="21" customHeight="1" x14ac:dyDescent="0.35">
      <c r="L4810" s="14"/>
      <c r="N4810" s="10"/>
    </row>
    <row r="4811" spans="12:14" ht="21" customHeight="1" x14ac:dyDescent="0.35">
      <c r="L4811" s="14"/>
      <c r="N4811" s="10"/>
    </row>
    <row r="4812" spans="12:14" ht="21" customHeight="1" x14ac:dyDescent="0.35">
      <c r="L4812" s="14"/>
      <c r="N4812" s="10"/>
    </row>
    <row r="4813" spans="12:14" ht="21" customHeight="1" x14ac:dyDescent="0.35">
      <c r="L4813" s="14"/>
      <c r="N4813" s="10"/>
    </row>
    <row r="4814" spans="12:14" ht="21" customHeight="1" x14ac:dyDescent="0.35">
      <c r="L4814" s="14"/>
      <c r="N4814" s="10"/>
    </row>
    <row r="4815" spans="12:14" ht="21" customHeight="1" x14ac:dyDescent="0.35">
      <c r="L4815" s="14"/>
      <c r="N4815" s="10"/>
    </row>
    <row r="4816" spans="12:14" ht="21" customHeight="1" x14ac:dyDescent="0.35">
      <c r="L4816" s="14"/>
      <c r="N4816" s="10"/>
    </row>
    <row r="4817" spans="12:14" ht="21" customHeight="1" x14ac:dyDescent="0.35">
      <c r="L4817" s="14"/>
      <c r="N4817" s="10"/>
    </row>
    <row r="4818" spans="12:14" ht="21" customHeight="1" x14ac:dyDescent="0.35">
      <c r="L4818" s="14"/>
      <c r="N4818" s="10"/>
    </row>
    <row r="4819" spans="12:14" ht="21" customHeight="1" x14ac:dyDescent="0.35">
      <c r="L4819" s="14"/>
      <c r="N4819" s="10"/>
    </row>
    <row r="4820" spans="12:14" ht="21" customHeight="1" x14ac:dyDescent="0.35">
      <c r="L4820" s="14"/>
      <c r="N4820" s="10"/>
    </row>
    <row r="4821" spans="12:14" ht="21" customHeight="1" x14ac:dyDescent="0.35">
      <c r="L4821" s="14"/>
      <c r="N4821" s="10"/>
    </row>
    <row r="4822" spans="12:14" ht="21" customHeight="1" x14ac:dyDescent="0.35">
      <c r="L4822" s="14"/>
      <c r="N4822" s="10"/>
    </row>
    <row r="4823" spans="12:14" ht="21" customHeight="1" x14ac:dyDescent="0.35">
      <c r="L4823" s="14"/>
      <c r="N4823" s="10"/>
    </row>
    <row r="4824" spans="12:14" ht="21" customHeight="1" x14ac:dyDescent="0.35">
      <c r="L4824" s="14"/>
      <c r="N4824" s="10"/>
    </row>
    <row r="4825" spans="12:14" ht="21" customHeight="1" x14ac:dyDescent="0.35">
      <c r="L4825" s="14"/>
      <c r="N4825" s="10"/>
    </row>
    <row r="4826" spans="12:14" ht="21" customHeight="1" x14ac:dyDescent="0.35">
      <c r="L4826" s="14"/>
      <c r="N4826" s="10"/>
    </row>
    <row r="4827" spans="12:14" ht="21" customHeight="1" x14ac:dyDescent="0.35">
      <c r="L4827" s="14"/>
      <c r="N4827" s="10"/>
    </row>
    <row r="4828" spans="12:14" ht="21" customHeight="1" x14ac:dyDescent="0.35">
      <c r="L4828" s="14"/>
      <c r="N4828" s="10"/>
    </row>
    <row r="4829" spans="12:14" ht="21" customHeight="1" x14ac:dyDescent="0.35">
      <c r="L4829" s="14"/>
      <c r="N4829" s="10"/>
    </row>
    <row r="4830" spans="12:14" ht="21" customHeight="1" x14ac:dyDescent="0.35">
      <c r="L4830" s="14"/>
      <c r="N4830" s="10"/>
    </row>
    <row r="4831" spans="12:14" ht="21" customHeight="1" x14ac:dyDescent="0.35">
      <c r="L4831" s="14"/>
      <c r="N4831" s="10"/>
    </row>
    <row r="4832" spans="12:14" ht="21" customHeight="1" x14ac:dyDescent="0.35">
      <c r="L4832" s="14"/>
      <c r="N4832" s="10"/>
    </row>
    <row r="4833" spans="12:14" ht="21" customHeight="1" x14ac:dyDescent="0.35">
      <c r="L4833" s="14"/>
      <c r="N4833" s="10"/>
    </row>
    <row r="4834" spans="12:14" ht="21" customHeight="1" x14ac:dyDescent="0.35">
      <c r="L4834" s="14"/>
      <c r="N4834" s="10"/>
    </row>
    <row r="4835" spans="12:14" ht="21" customHeight="1" x14ac:dyDescent="0.35">
      <c r="L4835" s="14"/>
      <c r="N4835" s="10"/>
    </row>
    <row r="4836" spans="12:14" ht="21" customHeight="1" x14ac:dyDescent="0.35">
      <c r="L4836" s="14"/>
      <c r="N4836" s="10"/>
    </row>
    <row r="4837" spans="12:14" ht="21" customHeight="1" x14ac:dyDescent="0.35">
      <c r="L4837" s="14"/>
      <c r="N4837" s="10"/>
    </row>
    <row r="4838" spans="12:14" ht="21" customHeight="1" x14ac:dyDescent="0.35">
      <c r="L4838" s="14"/>
      <c r="N4838" s="10"/>
    </row>
    <row r="4839" spans="12:14" ht="21" customHeight="1" x14ac:dyDescent="0.35">
      <c r="L4839" s="14"/>
      <c r="N4839" s="10"/>
    </row>
    <row r="4840" spans="12:14" ht="21" customHeight="1" x14ac:dyDescent="0.35">
      <c r="L4840" s="14"/>
      <c r="N4840" s="10"/>
    </row>
    <row r="4841" spans="12:14" ht="21" customHeight="1" x14ac:dyDescent="0.35">
      <c r="L4841" s="14"/>
      <c r="N4841" s="10"/>
    </row>
    <row r="4842" spans="12:14" ht="21" customHeight="1" x14ac:dyDescent="0.35">
      <c r="L4842" s="14"/>
      <c r="N4842" s="10"/>
    </row>
    <row r="4843" spans="12:14" ht="21" customHeight="1" x14ac:dyDescent="0.35">
      <c r="L4843" s="14"/>
      <c r="N4843" s="10"/>
    </row>
    <row r="4844" spans="12:14" ht="21" customHeight="1" x14ac:dyDescent="0.35">
      <c r="L4844" s="14"/>
      <c r="N4844" s="10"/>
    </row>
    <row r="4845" spans="12:14" ht="21" customHeight="1" x14ac:dyDescent="0.35">
      <c r="L4845" s="14"/>
      <c r="N4845" s="10"/>
    </row>
    <row r="4846" spans="12:14" ht="21" customHeight="1" x14ac:dyDescent="0.35">
      <c r="L4846" s="14"/>
      <c r="N4846" s="10"/>
    </row>
    <row r="4847" spans="12:14" ht="21" customHeight="1" x14ac:dyDescent="0.35">
      <c r="L4847" s="14"/>
      <c r="N4847" s="10"/>
    </row>
    <row r="4848" spans="12:14" ht="21" customHeight="1" x14ac:dyDescent="0.35">
      <c r="L4848" s="14"/>
      <c r="N4848" s="10"/>
    </row>
    <row r="4849" spans="12:14" ht="21" customHeight="1" x14ac:dyDescent="0.35">
      <c r="L4849" s="14"/>
      <c r="N4849" s="10"/>
    </row>
    <row r="4850" spans="12:14" ht="21" customHeight="1" x14ac:dyDescent="0.35">
      <c r="L4850" s="14"/>
      <c r="N4850" s="10"/>
    </row>
    <row r="4851" spans="12:14" ht="21" customHeight="1" x14ac:dyDescent="0.35">
      <c r="L4851" s="14"/>
      <c r="N4851" s="10"/>
    </row>
    <row r="4852" spans="12:14" ht="21" customHeight="1" x14ac:dyDescent="0.35">
      <c r="L4852" s="14"/>
      <c r="N4852" s="10"/>
    </row>
    <row r="4853" spans="12:14" ht="21" customHeight="1" x14ac:dyDescent="0.35">
      <c r="L4853" s="14"/>
      <c r="N4853" s="10"/>
    </row>
    <row r="4854" spans="12:14" ht="21" customHeight="1" x14ac:dyDescent="0.35">
      <c r="L4854" s="14"/>
      <c r="N4854" s="10"/>
    </row>
    <row r="4855" spans="12:14" ht="21" customHeight="1" x14ac:dyDescent="0.35">
      <c r="L4855" s="14"/>
      <c r="N4855" s="10"/>
    </row>
    <row r="4856" spans="12:14" ht="21" customHeight="1" x14ac:dyDescent="0.35">
      <c r="L4856" s="14"/>
      <c r="N4856" s="10"/>
    </row>
    <row r="4857" spans="12:14" ht="21" customHeight="1" x14ac:dyDescent="0.35">
      <c r="L4857" s="14"/>
      <c r="N4857" s="10"/>
    </row>
    <row r="4858" spans="12:14" ht="21" customHeight="1" x14ac:dyDescent="0.35">
      <c r="L4858" s="14"/>
      <c r="N4858" s="10"/>
    </row>
    <row r="4859" spans="12:14" ht="21" customHeight="1" x14ac:dyDescent="0.35">
      <c r="L4859" s="14"/>
      <c r="N4859" s="10"/>
    </row>
    <row r="4860" spans="12:14" ht="21" customHeight="1" x14ac:dyDescent="0.35">
      <c r="L4860" s="14"/>
      <c r="N4860" s="10"/>
    </row>
    <row r="4861" spans="12:14" ht="21" customHeight="1" x14ac:dyDescent="0.35">
      <c r="L4861" s="14"/>
      <c r="N4861" s="10"/>
    </row>
    <row r="4862" spans="12:14" ht="21" customHeight="1" x14ac:dyDescent="0.35">
      <c r="L4862" s="14"/>
      <c r="N4862" s="10"/>
    </row>
    <row r="4863" spans="12:14" ht="21" customHeight="1" x14ac:dyDescent="0.35">
      <c r="L4863" s="14"/>
      <c r="N4863" s="10"/>
    </row>
    <row r="4864" spans="12:14" ht="21" customHeight="1" x14ac:dyDescent="0.35">
      <c r="L4864" s="14"/>
      <c r="N4864" s="10"/>
    </row>
    <row r="4865" spans="12:14" ht="21" customHeight="1" x14ac:dyDescent="0.35">
      <c r="L4865" s="14"/>
      <c r="N4865" s="10"/>
    </row>
    <row r="4866" spans="12:14" ht="21" customHeight="1" x14ac:dyDescent="0.35">
      <c r="L4866" s="14"/>
      <c r="N4866" s="10"/>
    </row>
    <row r="4867" spans="12:14" ht="21" customHeight="1" x14ac:dyDescent="0.35">
      <c r="L4867" s="14"/>
      <c r="N4867" s="10"/>
    </row>
    <row r="4868" spans="12:14" ht="21" customHeight="1" x14ac:dyDescent="0.35">
      <c r="L4868" s="14"/>
      <c r="N4868" s="10"/>
    </row>
    <row r="4869" spans="12:14" ht="21" customHeight="1" x14ac:dyDescent="0.35">
      <c r="L4869" s="14"/>
      <c r="N4869" s="10"/>
    </row>
    <row r="4870" spans="12:14" ht="21" customHeight="1" x14ac:dyDescent="0.35">
      <c r="L4870" s="14"/>
      <c r="N4870" s="10"/>
    </row>
    <row r="4871" spans="12:14" ht="21" customHeight="1" x14ac:dyDescent="0.35">
      <c r="L4871" s="14"/>
      <c r="N4871" s="10"/>
    </row>
    <row r="4872" spans="12:14" ht="21" customHeight="1" x14ac:dyDescent="0.35">
      <c r="L4872" s="14"/>
      <c r="N4872" s="10"/>
    </row>
    <row r="4873" spans="12:14" ht="21" customHeight="1" x14ac:dyDescent="0.35">
      <c r="L4873" s="14"/>
      <c r="N4873" s="10"/>
    </row>
    <row r="4874" spans="12:14" ht="21" customHeight="1" x14ac:dyDescent="0.35">
      <c r="L4874" s="14"/>
      <c r="N4874" s="10"/>
    </row>
    <row r="4875" spans="12:14" ht="21" customHeight="1" x14ac:dyDescent="0.35">
      <c r="L4875" s="14"/>
      <c r="N4875" s="10"/>
    </row>
    <row r="4876" spans="12:14" ht="21" customHeight="1" x14ac:dyDescent="0.35">
      <c r="L4876" s="14"/>
      <c r="N4876" s="10"/>
    </row>
    <row r="4877" spans="12:14" ht="21" customHeight="1" x14ac:dyDescent="0.35">
      <c r="L4877" s="14"/>
      <c r="N4877" s="10"/>
    </row>
    <row r="4878" spans="12:14" ht="21" customHeight="1" x14ac:dyDescent="0.35">
      <c r="L4878" s="14"/>
      <c r="N4878" s="10"/>
    </row>
    <row r="4879" spans="12:14" ht="21" customHeight="1" x14ac:dyDescent="0.35">
      <c r="L4879" s="14"/>
      <c r="N4879" s="10"/>
    </row>
    <row r="4880" spans="12:14" ht="21" customHeight="1" x14ac:dyDescent="0.35">
      <c r="L4880" s="14"/>
      <c r="N4880" s="10"/>
    </row>
    <row r="4881" spans="12:14" ht="21" customHeight="1" x14ac:dyDescent="0.35">
      <c r="L4881" s="14"/>
      <c r="N4881" s="10"/>
    </row>
    <row r="4882" spans="12:14" ht="21" customHeight="1" x14ac:dyDescent="0.35">
      <c r="L4882" s="14"/>
      <c r="N4882" s="10"/>
    </row>
    <row r="4883" spans="12:14" ht="21" customHeight="1" x14ac:dyDescent="0.35">
      <c r="L4883" s="14"/>
      <c r="N4883" s="10"/>
    </row>
    <row r="4884" spans="12:14" ht="21" customHeight="1" x14ac:dyDescent="0.35">
      <c r="L4884" s="14"/>
      <c r="N4884" s="10"/>
    </row>
    <row r="4885" spans="12:14" ht="21" customHeight="1" x14ac:dyDescent="0.35">
      <c r="L4885" s="14"/>
      <c r="N4885" s="10"/>
    </row>
    <row r="4886" spans="12:14" ht="21" customHeight="1" x14ac:dyDescent="0.35">
      <c r="L4886" s="14"/>
      <c r="N4886" s="10"/>
    </row>
    <row r="4887" spans="12:14" ht="21" customHeight="1" x14ac:dyDescent="0.35">
      <c r="L4887" s="14"/>
      <c r="N4887" s="10"/>
    </row>
    <row r="4888" spans="12:14" ht="21" customHeight="1" x14ac:dyDescent="0.35">
      <c r="L4888" s="14"/>
      <c r="N4888" s="10"/>
    </row>
    <row r="4889" spans="12:14" ht="21" customHeight="1" x14ac:dyDescent="0.35">
      <c r="L4889" s="14"/>
      <c r="N4889" s="10"/>
    </row>
    <row r="4890" spans="12:14" ht="21" customHeight="1" x14ac:dyDescent="0.35">
      <c r="L4890" s="14"/>
      <c r="N4890" s="10"/>
    </row>
    <row r="4891" spans="12:14" ht="21" customHeight="1" x14ac:dyDescent="0.35">
      <c r="L4891" s="14"/>
      <c r="N4891" s="10"/>
    </row>
    <row r="4892" spans="12:14" ht="21" customHeight="1" x14ac:dyDescent="0.35">
      <c r="L4892" s="14"/>
      <c r="N4892" s="10"/>
    </row>
    <row r="4893" spans="12:14" ht="21" customHeight="1" x14ac:dyDescent="0.35">
      <c r="L4893" s="14"/>
      <c r="N4893" s="10"/>
    </row>
    <row r="4894" spans="12:14" ht="21" customHeight="1" x14ac:dyDescent="0.35">
      <c r="L4894" s="14"/>
      <c r="N4894" s="10"/>
    </row>
    <row r="4895" spans="12:14" ht="21" customHeight="1" x14ac:dyDescent="0.35">
      <c r="L4895" s="14"/>
      <c r="N4895" s="10"/>
    </row>
    <row r="4896" spans="12:14" ht="21" customHeight="1" x14ac:dyDescent="0.35">
      <c r="L4896" s="14"/>
      <c r="N4896" s="10"/>
    </row>
    <row r="4897" spans="12:14" ht="21" customHeight="1" x14ac:dyDescent="0.35">
      <c r="L4897" s="14"/>
      <c r="N4897" s="10"/>
    </row>
    <row r="4898" spans="12:14" ht="21" customHeight="1" x14ac:dyDescent="0.35">
      <c r="L4898" s="14"/>
      <c r="N4898" s="10"/>
    </row>
    <row r="4899" spans="12:14" ht="21" customHeight="1" x14ac:dyDescent="0.35">
      <c r="L4899" s="14"/>
      <c r="N4899" s="10"/>
    </row>
    <row r="4900" spans="12:14" ht="21" customHeight="1" x14ac:dyDescent="0.35">
      <c r="L4900" s="14"/>
      <c r="N4900" s="10"/>
    </row>
    <row r="4901" spans="12:14" ht="21" customHeight="1" x14ac:dyDescent="0.35">
      <c r="L4901" s="14"/>
      <c r="N4901" s="10"/>
    </row>
    <row r="4902" spans="12:14" ht="21" customHeight="1" x14ac:dyDescent="0.35">
      <c r="L4902" s="14"/>
      <c r="N4902" s="10"/>
    </row>
    <row r="4903" spans="12:14" ht="21" customHeight="1" x14ac:dyDescent="0.35">
      <c r="L4903" s="14"/>
      <c r="N4903" s="10"/>
    </row>
    <row r="4904" spans="12:14" ht="21" customHeight="1" x14ac:dyDescent="0.35">
      <c r="L4904" s="14"/>
      <c r="N4904" s="10"/>
    </row>
    <row r="4905" spans="12:14" ht="21" customHeight="1" x14ac:dyDescent="0.35">
      <c r="L4905" s="14"/>
      <c r="N4905" s="10"/>
    </row>
    <row r="4906" spans="12:14" ht="21" customHeight="1" x14ac:dyDescent="0.35">
      <c r="L4906" s="14"/>
      <c r="N4906" s="10"/>
    </row>
    <row r="4907" spans="12:14" ht="21" customHeight="1" x14ac:dyDescent="0.35">
      <c r="L4907" s="14"/>
      <c r="N4907" s="10"/>
    </row>
    <row r="4908" spans="12:14" ht="21" customHeight="1" x14ac:dyDescent="0.35">
      <c r="L4908" s="14"/>
      <c r="N4908" s="10"/>
    </row>
    <row r="4909" spans="12:14" ht="21" customHeight="1" x14ac:dyDescent="0.35">
      <c r="L4909" s="14"/>
      <c r="N4909" s="10"/>
    </row>
    <row r="4910" spans="12:14" ht="21" customHeight="1" x14ac:dyDescent="0.35">
      <c r="L4910" s="14"/>
      <c r="N4910" s="10"/>
    </row>
    <row r="4911" spans="12:14" ht="21" customHeight="1" x14ac:dyDescent="0.35">
      <c r="L4911" s="14"/>
      <c r="N4911" s="10"/>
    </row>
    <row r="4912" spans="12:14" ht="21" customHeight="1" x14ac:dyDescent="0.35">
      <c r="L4912" s="14"/>
      <c r="N4912" s="10"/>
    </row>
    <row r="4913" spans="12:14" ht="21" customHeight="1" x14ac:dyDescent="0.35">
      <c r="L4913" s="14"/>
      <c r="N4913" s="10"/>
    </row>
    <row r="4914" spans="12:14" ht="21" customHeight="1" x14ac:dyDescent="0.35">
      <c r="L4914" s="14"/>
      <c r="N4914" s="10"/>
    </row>
    <row r="4915" spans="12:14" ht="21" customHeight="1" x14ac:dyDescent="0.35">
      <c r="L4915" s="14"/>
      <c r="N4915" s="10"/>
    </row>
    <row r="4916" spans="12:14" ht="21" customHeight="1" x14ac:dyDescent="0.35">
      <c r="L4916" s="14"/>
      <c r="N4916" s="10"/>
    </row>
    <row r="4917" spans="12:14" ht="21" customHeight="1" x14ac:dyDescent="0.35">
      <c r="L4917" s="14"/>
      <c r="N4917" s="10"/>
    </row>
    <row r="4918" spans="12:14" ht="21" customHeight="1" x14ac:dyDescent="0.35">
      <c r="L4918" s="14"/>
      <c r="N4918" s="10"/>
    </row>
    <row r="4919" spans="12:14" ht="21" customHeight="1" x14ac:dyDescent="0.35">
      <c r="L4919" s="14"/>
      <c r="N4919" s="10"/>
    </row>
    <row r="4920" spans="12:14" ht="21" customHeight="1" x14ac:dyDescent="0.35">
      <c r="L4920" s="14"/>
      <c r="N4920" s="10"/>
    </row>
    <row r="4921" spans="12:14" ht="21" customHeight="1" x14ac:dyDescent="0.35">
      <c r="L4921" s="14"/>
      <c r="N4921" s="10"/>
    </row>
    <row r="4922" spans="12:14" ht="21" customHeight="1" x14ac:dyDescent="0.35">
      <c r="L4922" s="14"/>
      <c r="N4922" s="10"/>
    </row>
    <row r="4923" spans="12:14" ht="21" customHeight="1" x14ac:dyDescent="0.35">
      <c r="L4923" s="14"/>
      <c r="N4923" s="10"/>
    </row>
    <row r="4924" spans="12:14" ht="21" customHeight="1" x14ac:dyDescent="0.35">
      <c r="L4924" s="14"/>
      <c r="N4924" s="10"/>
    </row>
    <row r="4925" spans="12:14" ht="21" customHeight="1" x14ac:dyDescent="0.35">
      <c r="L4925" s="14"/>
      <c r="N4925" s="10"/>
    </row>
    <row r="4926" spans="12:14" ht="21" customHeight="1" x14ac:dyDescent="0.35">
      <c r="L4926" s="14"/>
      <c r="N4926" s="10"/>
    </row>
    <row r="4927" spans="12:14" ht="21" customHeight="1" x14ac:dyDescent="0.35">
      <c r="L4927" s="14"/>
      <c r="N4927" s="10"/>
    </row>
    <row r="4928" spans="12:14" ht="21" customHeight="1" x14ac:dyDescent="0.35">
      <c r="L4928" s="14"/>
      <c r="N4928" s="10"/>
    </row>
    <row r="4929" spans="12:14" ht="21" customHeight="1" x14ac:dyDescent="0.35">
      <c r="L4929" s="14"/>
      <c r="N4929" s="10"/>
    </row>
    <row r="4930" spans="12:14" ht="21" customHeight="1" x14ac:dyDescent="0.35">
      <c r="L4930" s="14"/>
      <c r="N4930" s="10"/>
    </row>
    <row r="4931" spans="12:14" ht="21" customHeight="1" x14ac:dyDescent="0.35">
      <c r="L4931" s="14"/>
      <c r="N4931" s="10"/>
    </row>
    <row r="4932" spans="12:14" ht="21" customHeight="1" x14ac:dyDescent="0.35">
      <c r="L4932" s="14"/>
      <c r="N4932" s="10"/>
    </row>
    <row r="4933" spans="12:14" ht="21" customHeight="1" x14ac:dyDescent="0.35">
      <c r="L4933" s="14"/>
      <c r="N4933" s="10"/>
    </row>
    <row r="4934" spans="12:14" ht="21" customHeight="1" x14ac:dyDescent="0.35">
      <c r="L4934" s="14"/>
      <c r="N4934" s="10"/>
    </row>
    <row r="4935" spans="12:14" ht="21" customHeight="1" x14ac:dyDescent="0.35">
      <c r="L4935" s="14"/>
      <c r="N4935" s="10"/>
    </row>
    <row r="4936" spans="12:14" ht="21" customHeight="1" x14ac:dyDescent="0.35">
      <c r="L4936" s="14"/>
      <c r="N4936" s="10"/>
    </row>
    <row r="4937" spans="12:14" ht="21" customHeight="1" x14ac:dyDescent="0.35">
      <c r="L4937" s="14"/>
      <c r="N4937" s="10"/>
    </row>
    <row r="4938" spans="12:14" ht="21" customHeight="1" x14ac:dyDescent="0.35">
      <c r="L4938" s="14"/>
      <c r="N4938" s="10"/>
    </row>
    <row r="4939" spans="12:14" ht="21" customHeight="1" x14ac:dyDescent="0.35">
      <c r="L4939" s="14"/>
      <c r="N4939" s="10"/>
    </row>
    <row r="4940" spans="12:14" ht="21" customHeight="1" x14ac:dyDescent="0.35">
      <c r="L4940" s="14"/>
      <c r="N4940" s="10"/>
    </row>
    <row r="4941" spans="12:14" ht="21" customHeight="1" x14ac:dyDescent="0.35">
      <c r="L4941" s="14"/>
      <c r="N4941" s="10"/>
    </row>
    <row r="4942" spans="12:14" ht="21" customHeight="1" x14ac:dyDescent="0.35">
      <c r="L4942" s="14"/>
      <c r="N4942" s="10"/>
    </row>
    <row r="4943" spans="12:14" ht="21" customHeight="1" x14ac:dyDescent="0.35">
      <c r="L4943" s="14"/>
      <c r="N4943" s="10"/>
    </row>
    <row r="4944" spans="12:14" ht="21" customHeight="1" x14ac:dyDescent="0.35">
      <c r="L4944" s="14"/>
      <c r="N4944" s="10"/>
    </row>
    <row r="4945" spans="12:14" ht="21" customHeight="1" x14ac:dyDescent="0.35">
      <c r="L4945" s="14"/>
      <c r="N4945" s="10"/>
    </row>
    <row r="4946" spans="12:14" ht="21" customHeight="1" x14ac:dyDescent="0.35">
      <c r="L4946" s="14"/>
      <c r="N4946" s="10"/>
    </row>
    <row r="4947" spans="12:14" ht="21" customHeight="1" x14ac:dyDescent="0.35">
      <c r="L4947" s="14"/>
      <c r="N4947" s="10"/>
    </row>
    <row r="4948" spans="12:14" ht="21" customHeight="1" x14ac:dyDescent="0.35">
      <c r="L4948" s="14"/>
      <c r="N4948" s="10"/>
    </row>
    <row r="4949" spans="12:14" ht="21" customHeight="1" x14ac:dyDescent="0.35">
      <c r="L4949" s="14"/>
      <c r="N4949" s="10"/>
    </row>
    <row r="4950" spans="12:14" ht="21" customHeight="1" x14ac:dyDescent="0.35">
      <c r="L4950" s="14"/>
      <c r="N4950" s="10"/>
    </row>
    <row r="4951" spans="12:14" ht="21" customHeight="1" x14ac:dyDescent="0.35">
      <c r="L4951" s="14"/>
      <c r="N4951" s="10"/>
    </row>
    <row r="4952" spans="12:14" ht="21" customHeight="1" x14ac:dyDescent="0.35">
      <c r="L4952" s="14"/>
      <c r="N4952" s="10"/>
    </row>
    <row r="4953" spans="12:14" ht="21" customHeight="1" x14ac:dyDescent="0.35">
      <c r="L4953" s="14"/>
      <c r="N4953" s="10"/>
    </row>
    <row r="4954" spans="12:14" ht="21" customHeight="1" x14ac:dyDescent="0.35">
      <c r="L4954" s="14"/>
      <c r="N4954" s="10"/>
    </row>
    <row r="4955" spans="12:14" ht="21" customHeight="1" x14ac:dyDescent="0.35">
      <c r="L4955" s="14"/>
      <c r="N4955" s="10"/>
    </row>
    <row r="4956" spans="12:14" ht="21" customHeight="1" x14ac:dyDescent="0.35">
      <c r="L4956" s="14"/>
      <c r="N4956" s="10"/>
    </row>
    <row r="4957" spans="12:14" ht="21" customHeight="1" x14ac:dyDescent="0.35">
      <c r="L4957" s="14"/>
      <c r="N4957" s="10"/>
    </row>
    <row r="4958" spans="12:14" ht="21" customHeight="1" x14ac:dyDescent="0.35">
      <c r="L4958" s="14"/>
      <c r="N4958" s="10"/>
    </row>
    <row r="4959" spans="12:14" ht="21" customHeight="1" x14ac:dyDescent="0.35">
      <c r="L4959" s="14"/>
      <c r="N4959" s="10"/>
    </row>
    <row r="4960" spans="12:14" ht="21" customHeight="1" x14ac:dyDescent="0.35">
      <c r="L4960" s="14"/>
      <c r="N4960" s="10"/>
    </row>
    <row r="4961" spans="12:14" ht="21" customHeight="1" x14ac:dyDescent="0.35">
      <c r="L4961" s="14"/>
      <c r="N4961" s="10"/>
    </row>
    <row r="4962" spans="12:14" ht="21" customHeight="1" x14ac:dyDescent="0.35">
      <c r="L4962" s="14"/>
      <c r="N4962" s="10"/>
    </row>
    <row r="4963" spans="12:14" ht="21" customHeight="1" x14ac:dyDescent="0.35">
      <c r="L4963" s="14"/>
      <c r="N4963" s="10"/>
    </row>
    <row r="4964" spans="12:14" ht="21" customHeight="1" x14ac:dyDescent="0.35">
      <c r="L4964" s="14"/>
      <c r="N4964" s="10"/>
    </row>
    <row r="4965" spans="12:14" ht="21" customHeight="1" x14ac:dyDescent="0.35">
      <c r="L4965" s="14"/>
      <c r="N4965" s="10"/>
    </row>
    <row r="4966" spans="12:14" ht="21" customHeight="1" x14ac:dyDescent="0.35">
      <c r="L4966" s="14"/>
      <c r="N4966" s="10"/>
    </row>
    <row r="4967" spans="12:14" ht="21" customHeight="1" x14ac:dyDescent="0.35">
      <c r="L4967" s="14"/>
      <c r="N4967" s="10"/>
    </row>
    <row r="4968" spans="12:14" ht="21" customHeight="1" x14ac:dyDescent="0.35">
      <c r="L4968" s="14"/>
      <c r="N4968" s="10"/>
    </row>
    <row r="4969" spans="12:14" ht="21" customHeight="1" x14ac:dyDescent="0.35">
      <c r="L4969" s="14"/>
      <c r="N4969" s="10"/>
    </row>
    <row r="4970" spans="12:14" ht="21" customHeight="1" x14ac:dyDescent="0.35">
      <c r="L4970" s="14"/>
      <c r="N4970" s="10"/>
    </row>
    <row r="4971" spans="12:14" ht="21" customHeight="1" x14ac:dyDescent="0.35">
      <c r="L4971" s="14"/>
      <c r="N4971" s="10"/>
    </row>
    <row r="4972" spans="12:14" ht="21" customHeight="1" x14ac:dyDescent="0.35">
      <c r="L4972" s="14"/>
      <c r="N4972" s="10"/>
    </row>
    <row r="4973" spans="12:14" ht="21" customHeight="1" x14ac:dyDescent="0.35">
      <c r="L4973" s="14"/>
      <c r="N4973" s="10"/>
    </row>
    <row r="4974" spans="12:14" ht="21" customHeight="1" x14ac:dyDescent="0.35">
      <c r="L4974" s="14"/>
      <c r="N4974" s="10"/>
    </row>
    <row r="4975" spans="12:14" ht="21" customHeight="1" x14ac:dyDescent="0.35">
      <c r="L4975" s="14"/>
      <c r="N4975" s="10"/>
    </row>
    <row r="4976" spans="12:14" ht="21" customHeight="1" x14ac:dyDescent="0.35">
      <c r="L4976" s="14"/>
      <c r="N4976" s="10"/>
    </row>
    <row r="4977" spans="12:14" ht="21" customHeight="1" x14ac:dyDescent="0.35">
      <c r="L4977" s="14"/>
      <c r="N4977" s="10"/>
    </row>
    <row r="4978" spans="12:14" ht="21" customHeight="1" x14ac:dyDescent="0.35">
      <c r="L4978" s="14"/>
      <c r="N4978" s="10"/>
    </row>
    <row r="4979" spans="12:14" ht="21" customHeight="1" x14ac:dyDescent="0.35">
      <c r="L4979" s="14"/>
      <c r="N4979" s="10"/>
    </row>
    <row r="4980" spans="12:14" ht="21" customHeight="1" x14ac:dyDescent="0.35">
      <c r="L4980" s="14"/>
      <c r="N4980" s="10"/>
    </row>
    <row r="4981" spans="12:14" ht="21" customHeight="1" x14ac:dyDescent="0.35">
      <c r="L4981" s="14"/>
      <c r="N4981" s="10"/>
    </row>
    <row r="4982" spans="12:14" ht="21" customHeight="1" x14ac:dyDescent="0.35">
      <c r="L4982" s="14"/>
      <c r="N4982" s="10"/>
    </row>
    <row r="4983" spans="12:14" ht="21" customHeight="1" x14ac:dyDescent="0.35">
      <c r="L4983" s="14"/>
      <c r="N4983" s="10"/>
    </row>
    <row r="4984" spans="12:14" ht="21" customHeight="1" x14ac:dyDescent="0.35">
      <c r="L4984" s="14"/>
      <c r="N4984" s="10"/>
    </row>
    <row r="4985" spans="12:14" ht="21" customHeight="1" x14ac:dyDescent="0.35">
      <c r="L4985" s="14"/>
      <c r="N4985" s="10"/>
    </row>
    <row r="4986" spans="12:14" ht="21" customHeight="1" x14ac:dyDescent="0.35">
      <c r="L4986" s="14"/>
      <c r="N4986" s="10"/>
    </row>
    <row r="4987" spans="12:14" ht="21" customHeight="1" x14ac:dyDescent="0.35">
      <c r="L4987" s="14"/>
      <c r="N4987" s="10"/>
    </row>
    <row r="4988" spans="12:14" ht="21" customHeight="1" x14ac:dyDescent="0.35">
      <c r="L4988" s="14"/>
      <c r="N4988" s="10"/>
    </row>
    <row r="4989" spans="12:14" ht="21" customHeight="1" x14ac:dyDescent="0.35">
      <c r="L4989" s="14"/>
      <c r="N4989" s="10"/>
    </row>
    <row r="4990" spans="12:14" ht="21" customHeight="1" x14ac:dyDescent="0.35">
      <c r="L4990" s="14"/>
      <c r="N4990" s="10"/>
    </row>
    <row r="4991" spans="12:14" ht="21" customHeight="1" x14ac:dyDescent="0.35">
      <c r="L4991" s="14"/>
      <c r="N4991" s="10"/>
    </row>
    <row r="4992" spans="12:14" ht="21" customHeight="1" x14ac:dyDescent="0.35">
      <c r="L4992" s="14"/>
      <c r="N4992" s="10"/>
    </row>
    <row r="4993" spans="12:14" ht="21" customHeight="1" x14ac:dyDescent="0.35">
      <c r="L4993" s="14"/>
      <c r="N4993" s="10"/>
    </row>
    <row r="4994" spans="12:14" ht="21" customHeight="1" x14ac:dyDescent="0.35">
      <c r="L4994" s="14"/>
      <c r="N4994" s="10"/>
    </row>
    <row r="4995" spans="12:14" ht="21" customHeight="1" x14ac:dyDescent="0.35">
      <c r="L4995" s="14"/>
      <c r="N4995" s="10"/>
    </row>
    <row r="4996" spans="12:14" ht="21" customHeight="1" x14ac:dyDescent="0.35">
      <c r="L4996" s="14"/>
      <c r="N4996" s="10"/>
    </row>
    <row r="4997" spans="12:14" ht="21" customHeight="1" x14ac:dyDescent="0.35">
      <c r="L4997" s="14"/>
      <c r="N4997" s="10"/>
    </row>
    <row r="4998" spans="12:14" ht="21" customHeight="1" x14ac:dyDescent="0.35">
      <c r="L4998" s="14"/>
      <c r="N4998" s="10"/>
    </row>
    <row r="4999" spans="12:14" ht="21" customHeight="1" x14ac:dyDescent="0.35">
      <c r="L4999" s="14"/>
      <c r="N4999" s="10"/>
    </row>
    <row r="5000" spans="12:14" ht="21" customHeight="1" x14ac:dyDescent="0.35">
      <c r="L5000" s="14"/>
      <c r="N5000" s="10"/>
    </row>
    <row r="5001" spans="12:14" ht="21" customHeight="1" x14ac:dyDescent="0.35">
      <c r="L5001" s="14"/>
      <c r="N5001" s="10"/>
    </row>
    <row r="5002" spans="12:14" ht="21" customHeight="1" x14ac:dyDescent="0.35">
      <c r="L5002" s="14"/>
      <c r="N5002" s="10"/>
    </row>
    <row r="5003" spans="12:14" ht="21" customHeight="1" x14ac:dyDescent="0.35">
      <c r="L5003" s="14"/>
      <c r="N5003" s="10"/>
    </row>
    <row r="5004" spans="12:14" ht="21" customHeight="1" x14ac:dyDescent="0.35">
      <c r="L5004" s="14"/>
      <c r="N5004" s="10"/>
    </row>
    <row r="5005" spans="12:14" ht="21" customHeight="1" x14ac:dyDescent="0.35">
      <c r="L5005" s="14"/>
      <c r="N5005" s="10"/>
    </row>
    <row r="5006" spans="12:14" ht="21" customHeight="1" x14ac:dyDescent="0.35">
      <c r="L5006" s="14"/>
      <c r="N5006" s="10"/>
    </row>
    <row r="5007" spans="12:14" ht="21" customHeight="1" x14ac:dyDescent="0.35">
      <c r="L5007" s="14"/>
      <c r="N5007" s="10"/>
    </row>
    <row r="5008" spans="12:14" ht="21" customHeight="1" x14ac:dyDescent="0.35">
      <c r="L5008" s="14"/>
      <c r="N5008" s="10"/>
    </row>
    <row r="5009" spans="12:14" ht="21" customHeight="1" x14ac:dyDescent="0.35">
      <c r="L5009" s="14"/>
      <c r="N5009" s="10"/>
    </row>
    <row r="5010" spans="12:14" ht="21" customHeight="1" x14ac:dyDescent="0.35">
      <c r="L5010" s="14"/>
      <c r="N5010" s="10"/>
    </row>
    <row r="5011" spans="12:14" ht="21" customHeight="1" x14ac:dyDescent="0.35">
      <c r="L5011" s="14"/>
      <c r="N5011" s="10"/>
    </row>
    <row r="5012" spans="12:14" ht="21" customHeight="1" x14ac:dyDescent="0.35">
      <c r="L5012" s="14"/>
      <c r="N5012" s="10"/>
    </row>
    <row r="5013" spans="12:14" ht="21" customHeight="1" x14ac:dyDescent="0.35">
      <c r="L5013" s="14"/>
      <c r="N5013" s="10"/>
    </row>
    <row r="5014" spans="12:14" ht="21" customHeight="1" x14ac:dyDescent="0.35">
      <c r="L5014" s="14"/>
      <c r="N5014" s="10"/>
    </row>
    <row r="5015" spans="12:14" ht="21" customHeight="1" x14ac:dyDescent="0.35">
      <c r="L5015" s="14"/>
      <c r="N5015" s="10"/>
    </row>
    <row r="5016" spans="12:14" ht="21" customHeight="1" x14ac:dyDescent="0.35">
      <c r="L5016" s="14"/>
      <c r="N5016" s="10"/>
    </row>
    <row r="5017" spans="12:14" ht="21" customHeight="1" x14ac:dyDescent="0.35">
      <c r="L5017" s="14"/>
      <c r="N5017" s="10"/>
    </row>
    <row r="5018" spans="12:14" ht="21" customHeight="1" x14ac:dyDescent="0.35">
      <c r="L5018" s="14"/>
      <c r="N5018" s="10"/>
    </row>
    <row r="5019" spans="12:14" ht="21" customHeight="1" x14ac:dyDescent="0.35">
      <c r="L5019" s="14"/>
      <c r="N5019" s="10"/>
    </row>
    <row r="5020" spans="12:14" ht="21" customHeight="1" x14ac:dyDescent="0.35">
      <c r="L5020" s="14"/>
      <c r="N5020" s="10"/>
    </row>
    <row r="5021" spans="12:14" ht="21" customHeight="1" x14ac:dyDescent="0.35">
      <c r="L5021" s="14"/>
      <c r="N5021" s="10"/>
    </row>
    <row r="5022" spans="12:14" ht="21" customHeight="1" x14ac:dyDescent="0.35">
      <c r="L5022" s="14"/>
      <c r="N5022" s="10"/>
    </row>
    <row r="5023" spans="12:14" ht="21" customHeight="1" x14ac:dyDescent="0.35">
      <c r="L5023" s="14"/>
      <c r="N5023" s="10"/>
    </row>
    <row r="5024" spans="12:14" ht="21" customHeight="1" x14ac:dyDescent="0.35">
      <c r="L5024" s="14"/>
      <c r="N5024" s="10"/>
    </row>
    <row r="5025" spans="12:14" ht="21" customHeight="1" x14ac:dyDescent="0.35">
      <c r="L5025" s="14"/>
      <c r="N5025" s="10"/>
    </row>
    <row r="5026" spans="12:14" ht="21" customHeight="1" x14ac:dyDescent="0.35">
      <c r="L5026" s="14"/>
      <c r="N5026" s="10"/>
    </row>
    <row r="5027" spans="12:14" ht="21" customHeight="1" x14ac:dyDescent="0.35">
      <c r="L5027" s="14"/>
      <c r="N5027" s="10"/>
    </row>
    <row r="5028" spans="12:14" ht="21" customHeight="1" x14ac:dyDescent="0.35">
      <c r="L5028" s="14"/>
      <c r="N5028" s="10"/>
    </row>
    <row r="5029" spans="12:14" ht="21" customHeight="1" x14ac:dyDescent="0.35">
      <c r="L5029" s="14"/>
      <c r="N5029" s="10"/>
    </row>
    <row r="5030" spans="12:14" ht="21" customHeight="1" x14ac:dyDescent="0.35">
      <c r="L5030" s="14"/>
      <c r="N5030" s="10"/>
    </row>
    <row r="5031" spans="12:14" ht="21" customHeight="1" x14ac:dyDescent="0.35">
      <c r="L5031" s="14"/>
      <c r="N5031" s="10"/>
    </row>
    <row r="5032" spans="12:14" ht="21" customHeight="1" x14ac:dyDescent="0.35">
      <c r="L5032" s="14"/>
      <c r="N5032" s="10"/>
    </row>
    <row r="5033" spans="12:14" ht="21" customHeight="1" x14ac:dyDescent="0.35">
      <c r="L5033" s="14"/>
      <c r="N5033" s="10"/>
    </row>
    <row r="5034" spans="12:14" ht="21" customHeight="1" x14ac:dyDescent="0.35">
      <c r="L5034" s="14"/>
      <c r="N5034" s="10"/>
    </row>
    <row r="5035" spans="12:14" ht="21" customHeight="1" x14ac:dyDescent="0.35">
      <c r="L5035" s="14"/>
      <c r="N5035" s="10"/>
    </row>
    <row r="5036" spans="12:14" ht="21" customHeight="1" x14ac:dyDescent="0.35">
      <c r="L5036" s="14"/>
      <c r="N5036" s="10"/>
    </row>
    <row r="5037" spans="12:14" ht="21" customHeight="1" x14ac:dyDescent="0.35">
      <c r="L5037" s="14"/>
      <c r="N5037" s="10"/>
    </row>
    <row r="5038" spans="12:14" ht="21" customHeight="1" x14ac:dyDescent="0.35">
      <c r="L5038" s="14"/>
      <c r="N5038" s="10"/>
    </row>
    <row r="5039" spans="12:14" ht="21" customHeight="1" x14ac:dyDescent="0.35">
      <c r="L5039" s="14"/>
      <c r="N5039" s="10"/>
    </row>
    <row r="5040" spans="12:14" ht="21" customHeight="1" x14ac:dyDescent="0.35">
      <c r="L5040" s="14"/>
      <c r="N5040" s="10"/>
    </row>
    <row r="5041" spans="12:14" ht="21" customHeight="1" x14ac:dyDescent="0.35">
      <c r="L5041" s="14"/>
      <c r="N5041" s="10"/>
    </row>
    <row r="5042" spans="12:14" ht="21" customHeight="1" x14ac:dyDescent="0.35">
      <c r="L5042" s="14"/>
      <c r="N5042" s="10"/>
    </row>
    <row r="5043" spans="12:14" ht="21" customHeight="1" x14ac:dyDescent="0.35">
      <c r="L5043" s="14"/>
      <c r="N5043" s="10"/>
    </row>
    <row r="5044" spans="12:14" ht="21" customHeight="1" x14ac:dyDescent="0.35">
      <c r="L5044" s="14"/>
      <c r="N5044" s="10"/>
    </row>
    <row r="5045" spans="12:14" ht="21" customHeight="1" x14ac:dyDescent="0.35">
      <c r="L5045" s="14"/>
      <c r="N5045" s="10"/>
    </row>
    <row r="5046" spans="12:14" ht="21" customHeight="1" x14ac:dyDescent="0.35">
      <c r="L5046" s="14"/>
      <c r="N5046" s="10"/>
    </row>
    <row r="5047" spans="12:14" ht="21" customHeight="1" x14ac:dyDescent="0.35">
      <c r="L5047" s="14"/>
      <c r="N5047" s="10"/>
    </row>
    <row r="5048" spans="12:14" ht="21" customHeight="1" x14ac:dyDescent="0.35">
      <c r="L5048" s="14"/>
      <c r="N5048" s="10"/>
    </row>
    <row r="5049" spans="12:14" ht="21" customHeight="1" x14ac:dyDescent="0.35">
      <c r="L5049" s="14"/>
      <c r="N5049" s="10"/>
    </row>
    <row r="5050" spans="12:14" ht="21" customHeight="1" x14ac:dyDescent="0.35">
      <c r="L5050" s="14"/>
      <c r="N5050" s="10"/>
    </row>
    <row r="5051" spans="12:14" ht="21" customHeight="1" x14ac:dyDescent="0.35">
      <c r="L5051" s="14"/>
      <c r="N5051" s="10"/>
    </row>
    <row r="5052" spans="12:14" ht="21" customHeight="1" x14ac:dyDescent="0.35">
      <c r="L5052" s="14"/>
      <c r="N5052" s="10"/>
    </row>
    <row r="5053" spans="12:14" ht="21" customHeight="1" x14ac:dyDescent="0.35">
      <c r="L5053" s="14"/>
      <c r="N5053" s="10"/>
    </row>
    <row r="5054" spans="12:14" ht="21" customHeight="1" x14ac:dyDescent="0.35">
      <c r="L5054" s="14"/>
      <c r="N5054" s="10"/>
    </row>
    <row r="5055" spans="12:14" ht="21" customHeight="1" x14ac:dyDescent="0.35">
      <c r="L5055" s="14"/>
      <c r="N5055" s="10"/>
    </row>
    <row r="5056" spans="12:14" ht="21" customHeight="1" x14ac:dyDescent="0.35">
      <c r="L5056" s="14"/>
      <c r="N5056" s="10"/>
    </row>
    <row r="5057" spans="12:14" ht="21" customHeight="1" x14ac:dyDescent="0.35">
      <c r="L5057" s="14"/>
      <c r="N5057" s="10"/>
    </row>
    <row r="5058" spans="12:14" ht="21" customHeight="1" x14ac:dyDescent="0.35">
      <c r="L5058" s="14"/>
      <c r="N5058" s="10"/>
    </row>
    <row r="5059" spans="12:14" ht="21" customHeight="1" x14ac:dyDescent="0.35">
      <c r="L5059" s="14"/>
      <c r="N5059" s="10"/>
    </row>
    <row r="5060" spans="12:14" ht="21" customHeight="1" x14ac:dyDescent="0.35">
      <c r="L5060" s="14"/>
      <c r="N5060" s="10"/>
    </row>
    <row r="5061" spans="12:14" ht="21" customHeight="1" x14ac:dyDescent="0.35">
      <c r="L5061" s="14"/>
      <c r="N5061" s="10"/>
    </row>
    <row r="5062" spans="12:14" ht="21" customHeight="1" x14ac:dyDescent="0.35">
      <c r="L5062" s="14"/>
      <c r="N5062" s="10"/>
    </row>
    <row r="5063" spans="12:14" ht="21" customHeight="1" x14ac:dyDescent="0.35">
      <c r="L5063" s="14"/>
      <c r="N5063" s="10"/>
    </row>
    <row r="5064" spans="12:14" ht="21" customHeight="1" x14ac:dyDescent="0.35">
      <c r="L5064" s="14"/>
      <c r="N5064" s="10"/>
    </row>
    <row r="5065" spans="12:14" ht="21" customHeight="1" x14ac:dyDescent="0.35">
      <c r="L5065" s="14"/>
      <c r="N5065" s="10"/>
    </row>
    <row r="5066" spans="12:14" ht="21" customHeight="1" x14ac:dyDescent="0.35">
      <c r="L5066" s="14"/>
      <c r="N5066" s="10"/>
    </row>
    <row r="5067" spans="12:14" ht="21" customHeight="1" x14ac:dyDescent="0.35">
      <c r="L5067" s="14"/>
      <c r="N5067" s="10"/>
    </row>
    <row r="5068" spans="12:14" ht="21" customHeight="1" x14ac:dyDescent="0.35">
      <c r="L5068" s="14"/>
      <c r="N5068" s="10"/>
    </row>
    <row r="5069" spans="12:14" ht="21" customHeight="1" x14ac:dyDescent="0.35">
      <c r="L5069" s="14"/>
      <c r="N5069" s="10"/>
    </row>
    <row r="5070" spans="12:14" ht="21" customHeight="1" x14ac:dyDescent="0.35">
      <c r="L5070" s="14"/>
      <c r="N5070" s="10"/>
    </row>
    <row r="5071" spans="12:14" ht="21" customHeight="1" x14ac:dyDescent="0.35">
      <c r="L5071" s="14"/>
      <c r="N5071" s="10"/>
    </row>
    <row r="5072" spans="12:14" ht="21" customHeight="1" x14ac:dyDescent="0.35">
      <c r="L5072" s="14"/>
      <c r="N5072" s="10"/>
    </row>
    <row r="5073" spans="12:14" ht="21" customHeight="1" x14ac:dyDescent="0.35">
      <c r="L5073" s="14"/>
      <c r="N5073" s="10"/>
    </row>
    <row r="5074" spans="12:14" ht="21" customHeight="1" x14ac:dyDescent="0.35">
      <c r="L5074" s="14"/>
      <c r="N5074" s="10"/>
    </row>
    <row r="5075" spans="12:14" ht="21" customHeight="1" x14ac:dyDescent="0.35">
      <c r="L5075" s="14"/>
      <c r="N5075" s="10"/>
    </row>
    <row r="5076" spans="12:14" ht="21" customHeight="1" x14ac:dyDescent="0.35">
      <c r="L5076" s="14"/>
      <c r="N5076" s="10"/>
    </row>
    <row r="5077" spans="12:14" ht="21" customHeight="1" x14ac:dyDescent="0.35">
      <c r="L5077" s="14"/>
      <c r="N5077" s="10"/>
    </row>
    <row r="5078" spans="12:14" ht="21" customHeight="1" x14ac:dyDescent="0.35">
      <c r="L5078" s="14"/>
      <c r="N5078" s="10"/>
    </row>
    <row r="5079" spans="12:14" ht="21" customHeight="1" x14ac:dyDescent="0.35">
      <c r="L5079" s="14"/>
      <c r="N5079" s="10"/>
    </row>
    <row r="5080" spans="12:14" ht="21" customHeight="1" x14ac:dyDescent="0.35">
      <c r="L5080" s="14"/>
      <c r="N5080" s="10"/>
    </row>
    <row r="5081" spans="12:14" ht="21" customHeight="1" x14ac:dyDescent="0.35">
      <c r="L5081" s="14"/>
      <c r="N5081" s="10"/>
    </row>
    <row r="5082" spans="12:14" ht="21" customHeight="1" x14ac:dyDescent="0.35">
      <c r="L5082" s="14"/>
      <c r="N5082" s="10"/>
    </row>
    <row r="5083" spans="12:14" ht="21" customHeight="1" x14ac:dyDescent="0.35">
      <c r="L5083" s="14"/>
      <c r="N5083" s="10"/>
    </row>
    <row r="5084" spans="12:14" ht="21" customHeight="1" x14ac:dyDescent="0.35">
      <c r="L5084" s="14"/>
      <c r="N5084" s="10"/>
    </row>
    <row r="5085" spans="12:14" ht="21" customHeight="1" x14ac:dyDescent="0.35">
      <c r="L5085" s="14"/>
      <c r="N5085" s="10"/>
    </row>
    <row r="5086" spans="12:14" ht="21" customHeight="1" x14ac:dyDescent="0.35">
      <c r="L5086" s="14"/>
      <c r="N5086" s="10"/>
    </row>
    <row r="5087" spans="12:14" ht="21" customHeight="1" x14ac:dyDescent="0.35">
      <c r="L5087" s="14"/>
      <c r="N5087" s="10"/>
    </row>
    <row r="5088" spans="12:14" ht="21" customHeight="1" x14ac:dyDescent="0.35">
      <c r="L5088" s="14"/>
      <c r="N5088" s="10"/>
    </row>
    <row r="5089" spans="12:14" ht="21" customHeight="1" x14ac:dyDescent="0.35">
      <c r="L5089" s="14"/>
      <c r="N5089" s="10"/>
    </row>
    <row r="5090" spans="12:14" ht="21" customHeight="1" x14ac:dyDescent="0.35">
      <c r="L5090" s="14"/>
      <c r="N5090" s="10"/>
    </row>
    <row r="5091" spans="12:14" ht="21" customHeight="1" x14ac:dyDescent="0.35">
      <c r="L5091" s="14"/>
      <c r="N5091" s="10"/>
    </row>
    <row r="5092" spans="12:14" ht="21" customHeight="1" x14ac:dyDescent="0.35">
      <c r="L5092" s="14"/>
      <c r="N5092" s="10"/>
    </row>
    <row r="5093" spans="12:14" ht="21" customHeight="1" x14ac:dyDescent="0.35">
      <c r="L5093" s="14"/>
      <c r="N5093" s="10"/>
    </row>
    <row r="5094" spans="12:14" ht="21" customHeight="1" x14ac:dyDescent="0.35">
      <c r="L5094" s="14"/>
      <c r="N5094" s="10"/>
    </row>
    <row r="5095" spans="12:14" ht="21" customHeight="1" x14ac:dyDescent="0.35">
      <c r="L5095" s="14"/>
      <c r="N5095" s="10"/>
    </row>
    <row r="5096" spans="12:14" ht="21" customHeight="1" x14ac:dyDescent="0.35">
      <c r="L5096" s="14"/>
      <c r="N5096" s="10"/>
    </row>
    <row r="5097" spans="12:14" ht="21" customHeight="1" x14ac:dyDescent="0.35">
      <c r="L5097" s="14"/>
      <c r="N5097" s="10"/>
    </row>
    <row r="5098" spans="12:14" ht="21" customHeight="1" x14ac:dyDescent="0.35">
      <c r="L5098" s="14"/>
      <c r="N5098" s="10"/>
    </row>
    <row r="5099" spans="12:14" ht="21" customHeight="1" x14ac:dyDescent="0.35">
      <c r="L5099" s="14"/>
      <c r="N5099" s="10"/>
    </row>
    <row r="5100" spans="12:14" ht="21" customHeight="1" x14ac:dyDescent="0.35">
      <c r="L5100" s="14"/>
      <c r="N5100" s="10"/>
    </row>
    <row r="5101" spans="12:14" ht="21" customHeight="1" x14ac:dyDescent="0.35">
      <c r="L5101" s="14"/>
      <c r="N5101" s="10"/>
    </row>
    <row r="5102" spans="12:14" ht="21" customHeight="1" x14ac:dyDescent="0.35">
      <c r="L5102" s="14"/>
      <c r="N5102" s="10"/>
    </row>
    <row r="5103" spans="12:14" ht="21" customHeight="1" x14ac:dyDescent="0.35">
      <c r="L5103" s="14"/>
      <c r="N5103" s="10"/>
    </row>
    <row r="5104" spans="12:14" ht="21" customHeight="1" x14ac:dyDescent="0.35">
      <c r="L5104" s="14"/>
      <c r="N5104" s="10"/>
    </row>
    <row r="5105" spans="12:14" ht="21" customHeight="1" x14ac:dyDescent="0.35">
      <c r="L5105" s="14"/>
      <c r="N5105" s="10"/>
    </row>
    <row r="5106" spans="12:14" ht="21" customHeight="1" x14ac:dyDescent="0.35">
      <c r="L5106" s="14"/>
      <c r="N5106" s="10"/>
    </row>
    <row r="5107" spans="12:14" ht="21" customHeight="1" x14ac:dyDescent="0.35">
      <c r="L5107" s="14"/>
      <c r="N5107" s="10"/>
    </row>
    <row r="5108" spans="12:14" ht="21" customHeight="1" x14ac:dyDescent="0.35">
      <c r="L5108" s="14"/>
      <c r="N5108" s="10"/>
    </row>
    <row r="5109" spans="12:14" ht="21" customHeight="1" x14ac:dyDescent="0.35">
      <c r="L5109" s="14"/>
      <c r="N5109" s="10"/>
    </row>
    <row r="5110" spans="12:14" ht="21" customHeight="1" x14ac:dyDescent="0.35">
      <c r="L5110" s="14"/>
      <c r="N5110" s="10"/>
    </row>
    <row r="5111" spans="12:14" ht="21" customHeight="1" x14ac:dyDescent="0.35">
      <c r="L5111" s="14"/>
      <c r="N5111" s="10"/>
    </row>
    <row r="5112" spans="12:14" ht="21" customHeight="1" x14ac:dyDescent="0.35">
      <c r="L5112" s="14"/>
      <c r="N5112" s="10"/>
    </row>
    <row r="5113" spans="12:14" ht="21" customHeight="1" x14ac:dyDescent="0.35">
      <c r="L5113" s="14"/>
      <c r="N5113" s="10"/>
    </row>
    <row r="5114" spans="12:14" ht="21" customHeight="1" x14ac:dyDescent="0.35">
      <c r="L5114" s="14"/>
      <c r="N5114" s="10"/>
    </row>
    <row r="5115" spans="12:14" ht="21" customHeight="1" x14ac:dyDescent="0.35">
      <c r="L5115" s="14"/>
      <c r="N5115" s="10"/>
    </row>
    <row r="5116" spans="12:14" ht="21" customHeight="1" x14ac:dyDescent="0.35">
      <c r="L5116" s="14"/>
      <c r="N5116" s="10"/>
    </row>
    <row r="5117" spans="12:14" ht="21" customHeight="1" x14ac:dyDescent="0.35">
      <c r="L5117" s="14"/>
      <c r="N5117" s="10"/>
    </row>
    <row r="5118" spans="12:14" ht="21" customHeight="1" x14ac:dyDescent="0.35">
      <c r="L5118" s="14"/>
      <c r="N5118" s="10"/>
    </row>
    <row r="5119" spans="12:14" ht="21" customHeight="1" x14ac:dyDescent="0.35">
      <c r="L5119" s="14"/>
      <c r="N5119" s="10"/>
    </row>
    <row r="5120" spans="12:14" ht="21" customHeight="1" x14ac:dyDescent="0.35">
      <c r="L5120" s="14"/>
      <c r="N5120" s="10"/>
    </row>
    <row r="5121" spans="12:14" ht="21" customHeight="1" x14ac:dyDescent="0.35">
      <c r="L5121" s="14"/>
      <c r="N5121" s="10"/>
    </row>
    <row r="5122" spans="12:14" ht="21" customHeight="1" x14ac:dyDescent="0.35">
      <c r="L5122" s="14"/>
      <c r="N5122" s="10"/>
    </row>
    <row r="5123" spans="12:14" ht="21" customHeight="1" x14ac:dyDescent="0.35">
      <c r="L5123" s="14"/>
      <c r="N5123" s="10"/>
    </row>
    <row r="5124" spans="12:14" ht="21" customHeight="1" x14ac:dyDescent="0.35">
      <c r="L5124" s="14"/>
      <c r="N5124" s="10"/>
    </row>
    <row r="5125" spans="12:14" ht="21" customHeight="1" x14ac:dyDescent="0.35">
      <c r="L5125" s="14"/>
      <c r="N5125" s="10"/>
    </row>
    <row r="5126" spans="12:14" ht="21" customHeight="1" x14ac:dyDescent="0.35">
      <c r="L5126" s="14"/>
      <c r="N5126" s="10"/>
    </row>
    <row r="5127" spans="12:14" ht="21" customHeight="1" x14ac:dyDescent="0.35">
      <c r="L5127" s="14"/>
      <c r="N5127" s="10"/>
    </row>
    <row r="5128" spans="12:14" ht="21" customHeight="1" x14ac:dyDescent="0.35">
      <c r="L5128" s="14"/>
      <c r="N5128" s="10"/>
    </row>
    <row r="5129" spans="12:14" ht="21" customHeight="1" x14ac:dyDescent="0.35">
      <c r="L5129" s="14"/>
      <c r="N5129" s="10"/>
    </row>
    <row r="5130" spans="12:14" ht="21" customHeight="1" x14ac:dyDescent="0.35">
      <c r="L5130" s="14"/>
      <c r="N5130" s="10"/>
    </row>
    <row r="5131" spans="12:14" ht="21" customHeight="1" x14ac:dyDescent="0.35">
      <c r="L5131" s="14"/>
      <c r="N5131" s="10"/>
    </row>
    <row r="5132" spans="12:14" ht="21" customHeight="1" x14ac:dyDescent="0.35">
      <c r="L5132" s="14"/>
      <c r="N5132" s="10"/>
    </row>
    <row r="5133" spans="12:14" ht="21" customHeight="1" x14ac:dyDescent="0.35">
      <c r="L5133" s="14"/>
      <c r="N5133" s="10"/>
    </row>
    <row r="5134" spans="12:14" ht="21" customHeight="1" x14ac:dyDescent="0.35">
      <c r="L5134" s="14"/>
      <c r="N5134" s="10"/>
    </row>
    <row r="5135" spans="12:14" ht="21" customHeight="1" x14ac:dyDescent="0.35">
      <c r="L5135" s="14"/>
      <c r="N5135" s="10"/>
    </row>
    <row r="5136" spans="12:14" ht="21" customHeight="1" x14ac:dyDescent="0.35">
      <c r="L5136" s="14"/>
      <c r="N5136" s="10"/>
    </row>
    <row r="5137" spans="12:14" ht="21" customHeight="1" x14ac:dyDescent="0.35">
      <c r="L5137" s="14"/>
      <c r="N5137" s="10"/>
    </row>
    <row r="5138" spans="12:14" ht="21" customHeight="1" x14ac:dyDescent="0.35">
      <c r="L5138" s="14"/>
      <c r="N5138" s="10"/>
    </row>
    <row r="5139" spans="12:14" ht="21" customHeight="1" x14ac:dyDescent="0.35">
      <c r="L5139" s="14"/>
      <c r="N5139" s="10"/>
    </row>
    <row r="5140" spans="12:14" ht="21" customHeight="1" x14ac:dyDescent="0.35">
      <c r="L5140" s="14"/>
      <c r="N5140" s="10"/>
    </row>
    <row r="5141" spans="12:14" ht="21" customHeight="1" x14ac:dyDescent="0.35">
      <c r="L5141" s="14"/>
      <c r="N5141" s="10"/>
    </row>
    <row r="5142" spans="12:14" ht="21" customHeight="1" x14ac:dyDescent="0.35">
      <c r="L5142" s="14"/>
      <c r="N5142" s="10"/>
    </row>
    <row r="5143" spans="12:14" ht="21" customHeight="1" x14ac:dyDescent="0.35">
      <c r="L5143" s="14"/>
      <c r="N5143" s="10"/>
    </row>
    <row r="5144" spans="12:14" ht="21" customHeight="1" x14ac:dyDescent="0.35">
      <c r="L5144" s="14"/>
      <c r="N5144" s="10"/>
    </row>
    <row r="5145" spans="12:14" ht="21" customHeight="1" x14ac:dyDescent="0.35">
      <c r="L5145" s="14"/>
      <c r="N5145" s="10"/>
    </row>
    <row r="5146" spans="12:14" ht="21" customHeight="1" x14ac:dyDescent="0.35">
      <c r="L5146" s="14"/>
      <c r="N5146" s="10"/>
    </row>
    <row r="5147" spans="12:14" ht="21" customHeight="1" x14ac:dyDescent="0.35">
      <c r="L5147" s="14"/>
      <c r="N5147" s="10"/>
    </row>
    <row r="5148" spans="12:14" ht="21" customHeight="1" x14ac:dyDescent="0.35">
      <c r="L5148" s="14"/>
      <c r="N5148" s="10"/>
    </row>
    <row r="5149" spans="12:14" ht="21" customHeight="1" x14ac:dyDescent="0.35">
      <c r="L5149" s="14"/>
      <c r="N5149" s="10"/>
    </row>
    <row r="5150" spans="12:14" ht="21" customHeight="1" x14ac:dyDescent="0.35">
      <c r="L5150" s="14"/>
      <c r="N5150" s="10"/>
    </row>
    <row r="5151" spans="12:14" ht="21" customHeight="1" x14ac:dyDescent="0.35">
      <c r="L5151" s="14"/>
      <c r="N5151" s="10"/>
    </row>
    <row r="5152" spans="12:14" ht="21" customHeight="1" x14ac:dyDescent="0.35">
      <c r="L5152" s="14"/>
      <c r="N5152" s="10"/>
    </row>
    <row r="5153" spans="12:14" ht="21" customHeight="1" x14ac:dyDescent="0.35">
      <c r="L5153" s="14"/>
      <c r="N5153" s="10"/>
    </row>
    <row r="5154" spans="12:14" ht="21" customHeight="1" x14ac:dyDescent="0.35">
      <c r="L5154" s="14"/>
      <c r="N5154" s="10"/>
    </row>
    <row r="5155" spans="12:14" ht="21" customHeight="1" x14ac:dyDescent="0.35">
      <c r="L5155" s="14"/>
      <c r="N5155" s="10"/>
    </row>
    <row r="5156" spans="12:14" ht="21" customHeight="1" x14ac:dyDescent="0.35">
      <c r="L5156" s="14"/>
      <c r="N5156" s="10"/>
    </row>
    <row r="5157" spans="12:14" ht="21" customHeight="1" x14ac:dyDescent="0.35">
      <c r="L5157" s="14"/>
      <c r="N5157" s="10"/>
    </row>
    <row r="5158" spans="12:14" ht="21" customHeight="1" x14ac:dyDescent="0.35">
      <c r="L5158" s="14"/>
      <c r="N5158" s="10"/>
    </row>
    <row r="5159" spans="12:14" ht="21" customHeight="1" x14ac:dyDescent="0.35">
      <c r="L5159" s="14"/>
      <c r="N5159" s="10"/>
    </row>
    <row r="5160" spans="12:14" ht="21" customHeight="1" x14ac:dyDescent="0.35">
      <c r="L5160" s="14"/>
      <c r="N5160" s="10"/>
    </row>
    <row r="5161" spans="12:14" ht="21" customHeight="1" x14ac:dyDescent="0.35">
      <c r="L5161" s="14"/>
      <c r="N5161" s="10"/>
    </row>
    <row r="5162" spans="12:14" ht="21" customHeight="1" x14ac:dyDescent="0.35">
      <c r="L5162" s="14"/>
      <c r="N5162" s="10"/>
    </row>
    <row r="5163" spans="12:14" ht="21" customHeight="1" x14ac:dyDescent="0.35">
      <c r="L5163" s="14"/>
      <c r="N5163" s="10"/>
    </row>
    <row r="5164" spans="12:14" ht="21" customHeight="1" x14ac:dyDescent="0.35">
      <c r="L5164" s="14"/>
      <c r="N5164" s="10"/>
    </row>
    <row r="5165" spans="12:14" ht="21" customHeight="1" x14ac:dyDescent="0.35">
      <c r="L5165" s="14"/>
      <c r="N5165" s="10"/>
    </row>
    <row r="5166" spans="12:14" ht="21" customHeight="1" x14ac:dyDescent="0.35">
      <c r="L5166" s="14"/>
      <c r="N5166" s="10"/>
    </row>
    <row r="5167" spans="12:14" ht="21" customHeight="1" x14ac:dyDescent="0.35">
      <c r="L5167" s="14"/>
      <c r="N5167" s="10"/>
    </row>
    <row r="5168" spans="12:14" ht="21" customHeight="1" x14ac:dyDescent="0.35">
      <c r="L5168" s="14"/>
      <c r="N5168" s="10"/>
    </row>
    <row r="5169" spans="12:14" ht="21" customHeight="1" x14ac:dyDescent="0.35">
      <c r="L5169" s="14"/>
      <c r="N5169" s="10"/>
    </row>
    <row r="5170" spans="12:14" ht="21" customHeight="1" x14ac:dyDescent="0.35">
      <c r="L5170" s="14"/>
      <c r="N5170" s="10"/>
    </row>
    <row r="5171" spans="12:14" ht="21" customHeight="1" x14ac:dyDescent="0.35">
      <c r="L5171" s="14"/>
      <c r="N5171" s="10"/>
    </row>
    <row r="5172" spans="12:14" ht="21" customHeight="1" x14ac:dyDescent="0.35">
      <c r="L5172" s="14"/>
      <c r="N5172" s="10"/>
    </row>
    <row r="5173" spans="12:14" ht="21" customHeight="1" x14ac:dyDescent="0.35">
      <c r="L5173" s="14"/>
      <c r="N5173" s="10"/>
    </row>
    <row r="5174" spans="12:14" ht="21" customHeight="1" x14ac:dyDescent="0.35">
      <c r="L5174" s="14"/>
      <c r="N5174" s="10"/>
    </row>
    <row r="5175" spans="12:14" ht="21" customHeight="1" x14ac:dyDescent="0.35">
      <c r="L5175" s="14"/>
      <c r="N5175" s="10"/>
    </row>
    <row r="5176" spans="12:14" ht="21" customHeight="1" x14ac:dyDescent="0.35">
      <c r="L5176" s="14"/>
      <c r="N5176" s="10"/>
    </row>
    <row r="5177" spans="12:14" ht="21" customHeight="1" x14ac:dyDescent="0.35">
      <c r="L5177" s="14"/>
      <c r="N5177" s="10"/>
    </row>
    <row r="5178" spans="12:14" ht="21" customHeight="1" x14ac:dyDescent="0.35">
      <c r="L5178" s="14"/>
      <c r="N5178" s="10"/>
    </row>
    <row r="5179" spans="12:14" ht="21" customHeight="1" x14ac:dyDescent="0.35">
      <c r="L5179" s="14"/>
      <c r="N5179" s="10"/>
    </row>
    <row r="5180" spans="12:14" ht="21" customHeight="1" x14ac:dyDescent="0.35">
      <c r="L5180" s="14"/>
      <c r="N5180" s="10"/>
    </row>
    <row r="5181" spans="12:14" ht="21" customHeight="1" x14ac:dyDescent="0.35">
      <c r="L5181" s="14"/>
      <c r="N5181" s="10"/>
    </row>
    <row r="5182" spans="12:14" ht="21" customHeight="1" x14ac:dyDescent="0.35">
      <c r="L5182" s="14"/>
      <c r="N5182" s="10"/>
    </row>
    <row r="5183" spans="12:14" ht="21" customHeight="1" x14ac:dyDescent="0.35">
      <c r="L5183" s="14"/>
      <c r="N5183" s="10"/>
    </row>
    <row r="5184" spans="12:14" ht="21" customHeight="1" x14ac:dyDescent="0.35">
      <c r="L5184" s="14"/>
      <c r="N5184" s="10"/>
    </row>
    <row r="5185" spans="12:14" ht="21" customHeight="1" x14ac:dyDescent="0.35">
      <c r="L5185" s="14"/>
      <c r="N5185" s="10"/>
    </row>
    <row r="5186" spans="12:14" ht="21" customHeight="1" x14ac:dyDescent="0.35">
      <c r="L5186" s="14"/>
      <c r="N5186" s="10"/>
    </row>
    <row r="5187" spans="12:14" ht="21" customHeight="1" x14ac:dyDescent="0.35">
      <c r="L5187" s="14"/>
      <c r="N5187" s="10"/>
    </row>
    <row r="5188" spans="12:14" ht="21" customHeight="1" x14ac:dyDescent="0.35">
      <c r="L5188" s="14"/>
      <c r="N5188" s="10"/>
    </row>
    <row r="5189" spans="12:14" ht="21" customHeight="1" x14ac:dyDescent="0.35">
      <c r="L5189" s="14"/>
      <c r="N5189" s="10"/>
    </row>
    <row r="5190" spans="12:14" ht="21" customHeight="1" x14ac:dyDescent="0.35">
      <c r="L5190" s="14"/>
      <c r="N5190" s="10"/>
    </row>
    <row r="5191" spans="12:14" ht="21" customHeight="1" x14ac:dyDescent="0.35">
      <c r="L5191" s="14"/>
      <c r="N5191" s="10"/>
    </row>
    <row r="5192" spans="12:14" ht="21" customHeight="1" x14ac:dyDescent="0.35">
      <c r="L5192" s="14"/>
      <c r="N5192" s="10"/>
    </row>
    <row r="5193" spans="12:14" ht="21" customHeight="1" x14ac:dyDescent="0.35">
      <c r="L5193" s="14"/>
      <c r="N5193" s="10"/>
    </row>
    <row r="5194" spans="12:14" ht="21" customHeight="1" x14ac:dyDescent="0.35">
      <c r="L5194" s="14"/>
      <c r="N5194" s="10"/>
    </row>
    <row r="5195" spans="12:14" ht="21" customHeight="1" x14ac:dyDescent="0.35">
      <c r="L5195" s="14"/>
      <c r="N5195" s="10"/>
    </row>
    <row r="5196" spans="12:14" ht="21" customHeight="1" x14ac:dyDescent="0.35">
      <c r="L5196" s="14"/>
      <c r="N5196" s="10"/>
    </row>
    <row r="5197" spans="12:14" ht="21" customHeight="1" x14ac:dyDescent="0.35">
      <c r="L5197" s="14"/>
      <c r="N5197" s="10"/>
    </row>
    <row r="5198" spans="12:14" ht="21" customHeight="1" x14ac:dyDescent="0.35">
      <c r="L5198" s="14"/>
      <c r="N5198" s="10"/>
    </row>
    <row r="5199" spans="12:14" ht="21" customHeight="1" x14ac:dyDescent="0.35">
      <c r="L5199" s="14"/>
      <c r="N5199" s="10"/>
    </row>
    <row r="5200" spans="12:14" ht="21" customHeight="1" x14ac:dyDescent="0.35">
      <c r="L5200" s="14"/>
      <c r="N5200" s="10"/>
    </row>
    <row r="5201" spans="12:14" ht="21" customHeight="1" x14ac:dyDescent="0.35">
      <c r="L5201" s="14"/>
      <c r="N5201" s="10"/>
    </row>
    <row r="5202" spans="12:14" ht="21" customHeight="1" x14ac:dyDescent="0.35">
      <c r="L5202" s="14"/>
      <c r="N5202" s="10"/>
    </row>
    <row r="5203" spans="12:14" ht="21" customHeight="1" x14ac:dyDescent="0.35">
      <c r="L5203" s="14"/>
      <c r="N5203" s="10"/>
    </row>
    <row r="5204" spans="12:14" ht="21" customHeight="1" x14ac:dyDescent="0.35">
      <c r="L5204" s="14"/>
      <c r="N5204" s="10"/>
    </row>
    <row r="5205" spans="12:14" ht="21" customHeight="1" x14ac:dyDescent="0.35">
      <c r="L5205" s="14"/>
      <c r="N5205" s="10"/>
    </row>
    <row r="5206" spans="12:14" ht="21" customHeight="1" x14ac:dyDescent="0.35">
      <c r="L5206" s="14"/>
      <c r="N5206" s="10"/>
    </row>
    <row r="5207" spans="12:14" ht="21" customHeight="1" x14ac:dyDescent="0.35">
      <c r="L5207" s="14"/>
      <c r="N5207" s="10"/>
    </row>
    <row r="5208" spans="12:14" ht="21" customHeight="1" x14ac:dyDescent="0.35">
      <c r="L5208" s="14"/>
      <c r="N5208" s="10"/>
    </row>
    <row r="5209" spans="12:14" ht="21" customHeight="1" x14ac:dyDescent="0.35">
      <c r="L5209" s="14"/>
      <c r="N5209" s="10"/>
    </row>
    <row r="5210" spans="12:14" ht="21" customHeight="1" x14ac:dyDescent="0.35">
      <c r="L5210" s="14"/>
      <c r="N5210" s="10"/>
    </row>
    <row r="5211" spans="12:14" ht="21" customHeight="1" x14ac:dyDescent="0.35">
      <c r="L5211" s="14"/>
      <c r="N5211" s="10"/>
    </row>
    <row r="5212" spans="12:14" ht="21" customHeight="1" x14ac:dyDescent="0.35">
      <c r="L5212" s="14"/>
      <c r="N5212" s="10"/>
    </row>
    <row r="5213" spans="12:14" ht="21" customHeight="1" x14ac:dyDescent="0.35">
      <c r="L5213" s="14"/>
      <c r="N5213" s="10"/>
    </row>
    <row r="5214" spans="12:14" ht="21" customHeight="1" x14ac:dyDescent="0.35">
      <c r="L5214" s="14"/>
      <c r="N5214" s="10"/>
    </row>
    <row r="5215" spans="12:14" ht="21" customHeight="1" x14ac:dyDescent="0.35">
      <c r="L5215" s="14"/>
      <c r="N5215" s="10"/>
    </row>
    <row r="5216" spans="12:14" ht="21" customHeight="1" x14ac:dyDescent="0.35">
      <c r="L5216" s="14"/>
      <c r="N5216" s="10"/>
    </row>
    <row r="5217" spans="12:14" ht="21" customHeight="1" x14ac:dyDescent="0.35">
      <c r="L5217" s="14"/>
      <c r="N5217" s="10"/>
    </row>
    <row r="5218" spans="12:14" ht="21" customHeight="1" x14ac:dyDescent="0.35">
      <c r="L5218" s="14"/>
      <c r="N5218" s="10"/>
    </row>
    <row r="5219" spans="12:14" ht="21" customHeight="1" x14ac:dyDescent="0.35">
      <c r="L5219" s="14"/>
      <c r="N5219" s="10"/>
    </row>
    <row r="5220" spans="12:14" ht="21" customHeight="1" x14ac:dyDescent="0.35">
      <c r="L5220" s="14"/>
      <c r="N5220" s="10"/>
    </row>
    <row r="5221" spans="12:14" ht="21" customHeight="1" x14ac:dyDescent="0.35">
      <c r="L5221" s="14"/>
      <c r="N5221" s="10"/>
    </row>
    <row r="5222" spans="12:14" ht="21" customHeight="1" x14ac:dyDescent="0.35">
      <c r="L5222" s="14"/>
      <c r="N5222" s="10"/>
    </row>
    <row r="5223" spans="12:14" ht="21" customHeight="1" x14ac:dyDescent="0.35">
      <c r="L5223" s="14"/>
      <c r="N5223" s="10"/>
    </row>
    <row r="5224" spans="12:14" ht="21" customHeight="1" x14ac:dyDescent="0.35">
      <c r="L5224" s="14"/>
      <c r="N5224" s="10"/>
    </row>
    <row r="5225" spans="12:14" ht="21" customHeight="1" x14ac:dyDescent="0.35">
      <c r="L5225" s="14"/>
      <c r="N5225" s="10"/>
    </row>
    <row r="5226" spans="12:14" ht="21" customHeight="1" x14ac:dyDescent="0.35">
      <c r="L5226" s="14"/>
      <c r="N5226" s="10"/>
    </row>
    <row r="5227" spans="12:14" ht="21" customHeight="1" x14ac:dyDescent="0.35">
      <c r="L5227" s="14"/>
      <c r="N5227" s="10"/>
    </row>
    <row r="5228" spans="12:14" ht="21" customHeight="1" x14ac:dyDescent="0.35">
      <c r="L5228" s="14"/>
      <c r="N5228" s="10"/>
    </row>
    <row r="5229" spans="12:14" ht="21" customHeight="1" x14ac:dyDescent="0.35">
      <c r="L5229" s="14"/>
      <c r="N5229" s="10"/>
    </row>
    <row r="5230" spans="12:14" ht="21" customHeight="1" x14ac:dyDescent="0.35">
      <c r="L5230" s="14"/>
      <c r="N5230" s="10"/>
    </row>
    <row r="5231" spans="12:14" ht="21" customHeight="1" x14ac:dyDescent="0.35">
      <c r="L5231" s="14"/>
      <c r="N5231" s="10"/>
    </row>
    <row r="5232" spans="12:14" ht="21" customHeight="1" x14ac:dyDescent="0.35">
      <c r="L5232" s="14"/>
      <c r="N5232" s="10"/>
    </row>
    <row r="5233" spans="12:14" ht="21" customHeight="1" x14ac:dyDescent="0.35">
      <c r="L5233" s="14"/>
      <c r="N5233" s="10"/>
    </row>
    <row r="5234" spans="12:14" ht="21" customHeight="1" x14ac:dyDescent="0.35">
      <c r="L5234" s="14"/>
      <c r="N5234" s="10"/>
    </row>
    <row r="5235" spans="12:14" ht="21" customHeight="1" x14ac:dyDescent="0.35">
      <c r="L5235" s="14"/>
      <c r="N5235" s="10"/>
    </row>
    <row r="5236" spans="12:14" ht="21" customHeight="1" x14ac:dyDescent="0.35">
      <c r="L5236" s="14"/>
      <c r="N5236" s="10"/>
    </row>
    <row r="5237" spans="12:14" ht="21" customHeight="1" x14ac:dyDescent="0.35">
      <c r="L5237" s="14"/>
      <c r="N5237" s="10"/>
    </row>
    <row r="5238" spans="12:14" ht="21" customHeight="1" x14ac:dyDescent="0.35">
      <c r="L5238" s="14"/>
      <c r="N5238" s="10"/>
    </row>
    <row r="5239" spans="12:14" ht="21" customHeight="1" x14ac:dyDescent="0.35">
      <c r="L5239" s="14"/>
      <c r="N5239" s="10"/>
    </row>
    <row r="5240" spans="12:14" ht="21" customHeight="1" x14ac:dyDescent="0.35">
      <c r="L5240" s="14"/>
      <c r="N5240" s="10"/>
    </row>
    <row r="5241" spans="12:14" ht="21" customHeight="1" x14ac:dyDescent="0.35">
      <c r="L5241" s="14"/>
      <c r="N5241" s="10"/>
    </row>
    <row r="5242" spans="12:14" ht="21" customHeight="1" x14ac:dyDescent="0.35">
      <c r="L5242" s="14"/>
      <c r="N5242" s="10"/>
    </row>
    <row r="5243" spans="12:14" ht="21" customHeight="1" x14ac:dyDescent="0.35">
      <c r="L5243" s="14"/>
      <c r="N5243" s="10"/>
    </row>
    <row r="5244" spans="12:14" ht="21" customHeight="1" x14ac:dyDescent="0.35">
      <c r="L5244" s="14"/>
      <c r="N5244" s="10"/>
    </row>
    <row r="5245" spans="12:14" ht="21" customHeight="1" x14ac:dyDescent="0.35">
      <c r="L5245" s="14"/>
      <c r="N5245" s="10"/>
    </row>
    <row r="5246" spans="12:14" ht="21" customHeight="1" x14ac:dyDescent="0.35">
      <c r="L5246" s="14"/>
      <c r="N5246" s="10"/>
    </row>
    <row r="5247" spans="12:14" ht="21" customHeight="1" x14ac:dyDescent="0.35">
      <c r="L5247" s="14"/>
      <c r="N5247" s="10"/>
    </row>
    <row r="5248" spans="12:14" ht="21" customHeight="1" x14ac:dyDescent="0.35">
      <c r="L5248" s="14"/>
      <c r="N5248" s="10"/>
    </row>
    <row r="5249" spans="12:14" ht="21" customHeight="1" x14ac:dyDescent="0.35">
      <c r="L5249" s="14"/>
      <c r="N5249" s="10"/>
    </row>
    <row r="5250" spans="12:14" ht="21" customHeight="1" x14ac:dyDescent="0.35">
      <c r="L5250" s="14"/>
      <c r="N5250" s="10"/>
    </row>
    <row r="5251" spans="12:14" ht="21" customHeight="1" x14ac:dyDescent="0.35">
      <c r="L5251" s="14"/>
      <c r="N5251" s="10"/>
    </row>
    <row r="5252" spans="12:14" ht="21" customHeight="1" x14ac:dyDescent="0.35">
      <c r="L5252" s="14"/>
      <c r="N5252" s="10"/>
    </row>
    <row r="5253" spans="12:14" ht="21" customHeight="1" x14ac:dyDescent="0.35">
      <c r="L5253" s="14"/>
      <c r="N5253" s="10"/>
    </row>
    <row r="5254" spans="12:14" ht="21" customHeight="1" x14ac:dyDescent="0.35">
      <c r="L5254" s="14"/>
      <c r="N5254" s="10"/>
    </row>
    <row r="5255" spans="12:14" ht="21" customHeight="1" x14ac:dyDescent="0.35">
      <c r="L5255" s="14"/>
      <c r="N5255" s="10"/>
    </row>
    <row r="5256" spans="12:14" ht="21" customHeight="1" x14ac:dyDescent="0.35">
      <c r="L5256" s="14"/>
      <c r="N5256" s="10"/>
    </row>
    <row r="5257" spans="12:14" ht="21" customHeight="1" x14ac:dyDescent="0.35">
      <c r="L5257" s="14"/>
      <c r="N5257" s="10"/>
    </row>
    <row r="5258" spans="12:14" ht="21" customHeight="1" x14ac:dyDescent="0.35">
      <c r="L5258" s="14"/>
      <c r="N5258" s="10"/>
    </row>
    <row r="5259" spans="12:14" ht="21" customHeight="1" x14ac:dyDescent="0.35">
      <c r="L5259" s="14"/>
      <c r="N5259" s="10"/>
    </row>
    <row r="5260" spans="12:14" ht="21" customHeight="1" x14ac:dyDescent="0.35">
      <c r="L5260" s="14"/>
      <c r="N5260" s="10"/>
    </row>
    <row r="5261" spans="12:14" ht="21" customHeight="1" x14ac:dyDescent="0.35">
      <c r="L5261" s="14"/>
      <c r="N5261" s="10"/>
    </row>
    <row r="5262" spans="12:14" ht="21" customHeight="1" x14ac:dyDescent="0.35">
      <c r="L5262" s="14"/>
      <c r="N5262" s="10"/>
    </row>
    <row r="5263" spans="12:14" ht="21" customHeight="1" x14ac:dyDescent="0.35">
      <c r="L5263" s="14"/>
      <c r="N5263" s="10"/>
    </row>
    <row r="5264" spans="12:14" ht="21" customHeight="1" x14ac:dyDescent="0.35">
      <c r="L5264" s="14"/>
      <c r="N5264" s="10"/>
    </row>
    <row r="5265" spans="12:14" ht="21" customHeight="1" x14ac:dyDescent="0.35">
      <c r="L5265" s="14"/>
      <c r="N5265" s="10"/>
    </row>
    <row r="5266" spans="12:14" ht="21" customHeight="1" x14ac:dyDescent="0.35">
      <c r="L5266" s="14"/>
      <c r="N5266" s="10"/>
    </row>
    <row r="5267" spans="12:14" ht="21" customHeight="1" x14ac:dyDescent="0.35">
      <c r="L5267" s="14"/>
      <c r="N5267" s="10"/>
    </row>
    <row r="5268" spans="12:14" ht="21" customHeight="1" x14ac:dyDescent="0.35">
      <c r="L5268" s="14"/>
      <c r="N5268" s="10"/>
    </row>
    <row r="5269" spans="12:14" ht="21" customHeight="1" x14ac:dyDescent="0.35">
      <c r="L5269" s="14"/>
      <c r="N5269" s="10"/>
    </row>
    <row r="5270" spans="12:14" ht="21" customHeight="1" x14ac:dyDescent="0.35">
      <c r="L5270" s="14"/>
      <c r="N5270" s="10"/>
    </row>
    <row r="5271" spans="12:14" ht="21" customHeight="1" x14ac:dyDescent="0.35">
      <c r="L5271" s="14"/>
      <c r="N5271" s="10"/>
    </row>
    <row r="5272" spans="12:14" ht="21" customHeight="1" x14ac:dyDescent="0.35">
      <c r="L5272" s="14"/>
      <c r="N5272" s="10"/>
    </row>
    <row r="5273" spans="12:14" ht="21" customHeight="1" x14ac:dyDescent="0.35">
      <c r="L5273" s="14"/>
      <c r="N5273" s="10"/>
    </row>
    <row r="5274" spans="12:14" ht="21" customHeight="1" x14ac:dyDescent="0.35">
      <c r="L5274" s="14"/>
      <c r="N5274" s="10"/>
    </row>
    <row r="5275" spans="12:14" ht="21" customHeight="1" x14ac:dyDescent="0.35">
      <c r="L5275" s="14"/>
      <c r="N5275" s="10"/>
    </row>
    <row r="5276" spans="12:14" ht="21" customHeight="1" x14ac:dyDescent="0.35">
      <c r="L5276" s="14"/>
      <c r="N5276" s="10"/>
    </row>
    <row r="5277" spans="12:14" ht="21" customHeight="1" x14ac:dyDescent="0.35">
      <c r="L5277" s="14"/>
      <c r="N5277" s="10"/>
    </row>
    <row r="5278" spans="12:14" ht="21" customHeight="1" x14ac:dyDescent="0.35">
      <c r="L5278" s="14"/>
      <c r="N5278" s="10"/>
    </row>
    <row r="5279" spans="12:14" ht="21" customHeight="1" x14ac:dyDescent="0.35">
      <c r="L5279" s="14"/>
      <c r="N5279" s="10"/>
    </row>
    <row r="5280" spans="12:14" ht="21" customHeight="1" x14ac:dyDescent="0.35">
      <c r="L5280" s="14"/>
      <c r="N5280" s="10"/>
    </row>
    <row r="5281" spans="12:14" ht="21" customHeight="1" x14ac:dyDescent="0.35">
      <c r="L5281" s="14"/>
      <c r="N5281" s="10"/>
    </row>
    <row r="5282" spans="12:14" ht="21" customHeight="1" x14ac:dyDescent="0.35">
      <c r="L5282" s="14"/>
      <c r="N5282" s="10"/>
    </row>
    <row r="5283" spans="12:14" ht="21" customHeight="1" x14ac:dyDescent="0.35">
      <c r="L5283" s="14"/>
      <c r="N5283" s="10"/>
    </row>
    <row r="5284" spans="12:14" ht="21" customHeight="1" x14ac:dyDescent="0.35">
      <c r="L5284" s="14"/>
      <c r="N5284" s="10"/>
    </row>
    <row r="5285" spans="12:14" ht="21" customHeight="1" x14ac:dyDescent="0.35">
      <c r="L5285" s="14"/>
      <c r="N5285" s="10"/>
    </row>
    <row r="5286" spans="12:14" ht="21" customHeight="1" x14ac:dyDescent="0.35">
      <c r="L5286" s="14"/>
      <c r="N5286" s="10"/>
    </row>
    <row r="5287" spans="12:14" ht="21" customHeight="1" x14ac:dyDescent="0.35">
      <c r="L5287" s="14"/>
      <c r="N5287" s="10"/>
    </row>
    <row r="5288" spans="12:14" ht="21" customHeight="1" x14ac:dyDescent="0.35">
      <c r="L5288" s="14"/>
      <c r="N5288" s="10"/>
    </row>
    <row r="5289" spans="12:14" ht="21" customHeight="1" x14ac:dyDescent="0.35">
      <c r="L5289" s="14"/>
      <c r="N5289" s="10"/>
    </row>
    <row r="5290" spans="12:14" ht="21" customHeight="1" x14ac:dyDescent="0.35">
      <c r="L5290" s="14"/>
      <c r="N5290" s="10"/>
    </row>
    <row r="5291" spans="12:14" ht="21" customHeight="1" x14ac:dyDescent="0.35">
      <c r="L5291" s="14"/>
      <c r="N5291" s="10"/>
    </row>
    <row r="5292" spans="12:14" ht="21" customHeight="1" x14ac:dyDescent="0.35">
      <c r="L5292" s="14"/>
      <c r="N5292" s="10"/>
    </row>
    <row r="5293" spans="12:14" ht="21" customHeight="1" x14ac:dyDescent="0.35">
      <c r="L5293" s="14"/>
      <c r="N5293" s="10"/>
    </row>
    <row r="5294" spans="12:14" ht="21" customHeight="1" x14ac:dyDescent="0.35">
      <c r="L5294" s="14"/>
      <c r="N5294" s="10"/>
    </row>
    <row r="5295" spans="12:14" ht="21" customHeight="1" x14ac:dyDescent="0.35">
      <c r="L5295" s="14"/>
      <c r="N5295" s="10"/>
    </row>
    <row r="5296" spans="12:14" ht="21" customHeight="1" x14ac:dyDescent="0.35">
      <c r="L5296" s="14"/>
      <c r="N5296" s="10"/>
    </row>
    <row r="5297" spans="12:14" ht="21" customHeight="1" x14ac:dyDescent="0.35">
      <c r="L5297" s="14"/>
      <c r="N5297" s="10"/>
    </row>
    <row r="5298" spans="12:14" ht="21" customHeight="1" x14ac:dyDescent="0.35">
      <c r="L5298" s="14"/>
      <c r="N5298" s="10"/>
    </row>
    <row r="5299" spans="12:14" ht="21" customHeight="1" x14ac:dyDescent="0.35">
      <c r="L5299" s="14"/>
      <c r="N5299" s="10"/>
    </row>
    <row r="5300" spans="12:14" ht="21" customHeight="1" x14ac:dyDescent="0.35">
      <c r="L5300" s="14"/>
      <c r="N5300" s="10"/>
    </row>
    <row r="5301" spans="12:14" ht="21" customHeight="1" x14ac:dyDescent="0.35">
      <c r="L5301" s="14"/>
      <c r="N5301" s="10"/>
    </row>
    <row r="5302" spans="12:14" ht="21" customHeight="1" x14ac:dyDescent="0.35">
      <c r="L5302" s="14"/>
      <c r="N5302" s="10"/>
    </row>
    <row r="5303" spans="12:14" ht="21" customHeight="1" x14ac:dyDescent="0.35">
      <c r="L5303" s="14"/>
      <c r="N5303" s="10"/>
    </row>
    <row r="5304" spans="12:14" ht="21" customHeight="1" x14ac:dyDescent="0.35">
      <c r="N5304" s="10"/>
    </row>
    <row r="5305" spans="12:14" ht="21" customHeight="1" x14ac:dyDescent="0.35">
      <c r="N5305" s="10"/>
    </row>
    <row r="5306" spans="12:14" ht="21" customHeight="1" x14ac:dyDescent="0.35">
      <c r="N5306" s="10"/>
    </row>
    <row r="5307" spans="12:14" ht="21" customHeight="1" x14ac:dyDescent="0.35">
      <c r="N5307" s="10"/>
    </row>
    <row r="5308" spans="12:14" ht="21" customHeight="1" x14ac:dyDescent="0.35">
      <c r="N5308" s="10"/>
    </row>
    <row r="5309" spans="12:14" ht="21" customHeight="1" x14ac:dyDescent="0.35">
      <c r="N5309" s="10"/>
    </row>
    <row r="5310" spans="12:14" ht="21" customHeight="1" x14ac:dyDescent="0.35">
      <c r="N5310" s="10"/>
    </row>
    <row r="5311" spans="12:14" ht="21" customHeight="1" x14ac:dyDescent="0.35">
      <c r="N5311" s="10"/>
    </row>
    <row r="5312" spans="12:14" ht="21" customHeight="1" x14ac:dyDescent="0.35">
      <c r="N5312" s="10"/>
    </row>
    <row r="5313" spans="14:14" ht="21" customHeight="1" x14ac:dyDescent="0.35">
      <c r="N5313" s="10"/>
    </row>
    <row r="5314" spans="14:14" ht="21" customHeight="1" x14ac:dyDescent="0.35">
      <c r="N5314" s="10"/>
    </row>
    <row r="5315" spans="14:14" ht="21" customHeight="1" x14ac:dyDescent="0.35">
      <c r="N5315" s="10"/>
    </row>
    <row r="5316" spans="14:14" ht="21" customHeight="1" x14ac:dyDescent="0.35">
      <c r="N5316" s="10"/>
    </row>
    <row r="5317" spans="14:14" ht="21" customHeight="1" x14ac:dyDescent="0.35">
      <c r="N5317" s="10"/>
    </row>
    <row r="5318" spans="14:14" ht="21" customHeight="1" x14ac:dyDescent="0.35">
      <c r="N5318" s="10"/>
    </row>
    <row r="5319" spans="14:14" ht="21" customHeight="1" x14ac:dyDescent="0.35">
      <c r="N5319" s="10"/>
    </row>
    <row r="5320" spans="14:14" ht="21" customHeight="1" x14ac:dyDescent="0.35">
      <c r="N5320" s="10"/>
    </row>
    <row r="5321" spans="14:14" ht="21" customHeight="1" x14ac:dyDescent="0.35">
      <c r="N5321" s="10"/>
    </row>
    <row r="5322" spans="14:14" ht="21" customHeight="1" x14ac:dyDescent="0.35">
      <c r="N5322" s="10"/>
    </row>
    <row r="5323" spans="14:14" ht="21" customHeight="1" x14ac:dyDescent="0.35">
      <c r="N5323" s="10"/>
    </row>
    <row r="5324" spans="14:14" ht="21" customHeight="1" x14ac:dyDescent="0.35">
      <c r="N5324" s="10"/>
    </row>
    <row r="5325" spans="14:14" ht="21" customHeight="1" x14ac:dyDescent="0.35">
      <c r="N5325" s="10"/>
    </row>
    <row r="5326" spans="14:14" ht="21" customHeight="1" x14ac:dyDescent="0.35">
      <c r="N5326" s="10"/>
    </row>
    <row r="5327" spans="14:14" ht="21" customHeight="1" x14ac:dyDescent="0.35">
      <c r="N5327" s="10"/>
    </row>
    <row r="5328" spans="14:14" ht="21" customHeight="1" x14ac:dyDescent="0.35">
      <c r="N5328" s="10"/>
    </row>
    <row r="5329" spans="14:14" ht="21" customHeight="1" x14ac:dyDescent="0.35">
      <c r="N5329" s="10"/>
    </row>
    <row r="5330" spans="14:14" ht="21" customHeight="1" x14ac:dyDescent="0.35">
      <c r="N5330" s="10"/>
    </row>
    <row r="5331" spans="14:14" ht="21" customHeight="1" x14ac:dyDescent="0.35">
      <c r="N5331" s="10"/>
    </row>
    <row r="5332" spans="14:14" ht="21" customHeight="1" x14ac:dyDescent="0.35">
      <c r="N5332" s="10"/>
    </row>
    <row r="5333" spans="14:14" ht="21" customHeight="1" x14ac:dyDescent="0.35">
      <c r="N5333" s="10"/>
    </row>
    <row r="5334" spans="14:14" ht="21" customHeight="1" x14ac:dyDescent="0.35">
      <c r="N5334" s="10"/>
    </row>
    <row r="5335" spans="14:14" ht="21" customHeight="1" x14ac:dyDescent="0.35">
      <c r="N5335" s="10"/>
    </row>
    <row r="5336" spans="14:14" ht="21" customHeight="1" x14ac:dyDescent="0.35">
      <c r="N5336" s="10"/>
    </row>
    <row r="5337" spans="14:14" ht="21" customHeight="1" x14ac:dyDescent="0.35">
      <c r="N5337" s="10"/>
    </row>
    <row r="5338" spans="14:14" ht="21" customHeight="1" x14ac:dyDescent="0.35">
      <c r="N5338" s="10"/>
    </row>
    <row r="5339" spans="14:14" ht="21" customHeight="1" x14ac:dyDescent="0.35">
      <c r="N5339" s="10"/>
    </row>
    <row r="5340" spans="14:14" ht="21" customHeight="1" x14ac:dyDescent="0.35">
      <c r="N5340" s="10"/>
    </row>
    <row r="5341" spans="14:14" ht="21" customHeight="1" x14ac:dyDescent="0.35">
      <c r="N5341" s="10"/>
    </row>
    <row r="5342" spans="14:14" ht="21" customHeight="1" x14ac:dyDescent="0.35">
      <c r="N5342" s="10"/>
    </row>
    <row r="5343" spans="14:14" ht="21" customHeight="1" x14ac:dyDescent="0.35">
      <c r="N5343" s="10"/>
    </row>
    <row r="5344" spans="14:14" ht="21" customHeight="1" x14ac:dyDescent="0.35">
      <c r="N5344" s="10"/>
    </row>
    <row r="5345" spans="14:14" ht="21" customHeight="1" x14ac:dyDescent="0.35">
      <c r="N5345" s="10"/>
    </row>
    <row r="5346" spans="14:14" ht="21" customHeight="1" x14ac:dyDescent="0.35">
      <c r="N5346" s="10"/>
    </row>
    <row r="5347" spans="14:14" ht="21" customHeight="1" x14ac:dyDescent="0.35">
      <c r="N5347" s="10"/>
    </row>
    <row r="5348" spans="14:14" ht="21" customHeight="1" x14ac:dyDescent="0.35">
      <c r="N5348" s="10"/>
    </row>
    <row r="5349" spans="14:14" ht="21" customHeight="1" x14ac:dyDescent="0.35">
      <c r="N5349" s="10"/>
    </row>
    <row r="5350" spans="14:14" ht="21" customHeight="1" x14ac:dyDescent="0.35">
      <c r="N5350" s="10"/>
    </row>
    <row r="5351" spans="14:14" ht="21" customHeight="1" x14ac:dyDescent="0.35">
      <c r="N5351" s="10"/>
    </row>
    <row r="5352" spans="14:14" ht="21" customHeight="1" x14ac:dyDescent="0.35">
      <c r="N5352" s="10"/>
    </row>
    <row r="5353" spans="14:14" ht="21" customHeight="1" x14ac:dyDescent="0.35">
      <c r="N5353" s="10"/>
    </row>
    <row r="5354" spans="14:14" ht="21" customHeight="1" x14ac:dyDescent="0.35">
      <c r="N5354" s="10"/>
    </row>
    <row r="5355" spans="14:14" ht="21" customHeight="1" x14ac:dyDescent="0.35">
      <c r="N5355" s="10"/>
    </row>
    <row r="5356" spans="14:14" ht="21" customHeight="1" x14ac:dyDescent="0.35">
      <c r="N5356" s="10"/>
    </row>
    <row r="5357" spans="14:14" ht="21" customHeight="1" x14ac:dyDescent="0.35">
      <c r="N5357" s="10"/>
    </row>
    <row r="5358" spans="14:14" ht="21" customHeight="1" x14ac:dyDescent="0.35">
      <c r="N5358" s="10"/>
    </row>
    <row r="5359" spans="14:14" ht="21" customHeight="1" x14ac:dyDescent="0.35">
      <c r="N5359" s="10"/>
    </row>
    <row r="5360" spans="14:14" ht="21" customHeight="1" x14ac:dyDescent="0.35">
      <c r="N5360" s="10"/>
    </row>
    <row r="5361" spans="14:14" ht="21" customHeight="1" x14ac:dyDescent="0.35">
      <c r="N5361" s="10"/>
    </row>
    <row r="5362" spans="14:14" ht="21" customHeight="1" x14ac:dyDescent="0.35">
      <c r="N5362" s="10"/>
    </row>
    <row r="5363" spans="14:14" ht="21" customHeight="1" x14ac:dyDescent="0.35">
      <c r="N5363" s="10"/>
    </row>
    <row r="5364" spans="14:14" ht="21" customHeight="1" x14ac:dyDescent="0.35">
      <c r="N5364" s="10"/>
    </row>
    <row r="5365" spans="14:14" ht="21" customHeight="1" x14ac:dyDescent="0.35">
      <c r="N5365" s="10"/>
    </row>
    <row r="5366" spans="14:14" ht="21" customHeight="1" x14ac:dyDescent="0.35">
      <c r="N5366" s="10"/>
    </row>
    <row r="5367" spans="14:14" ht="21" customHeight="1" x14ac:dyDescent="0.35">
      <c r="N5367" s="10"/>
    </row>
    <row r="5368" spans="14:14" ht="21" customHeight="1" x14ac:dyDescent="0.35">
      <c r="N5368" s="10"/>
    </row>
    <row r="5369" spans="14:14" ht="21" customHeight="1" x14ac:dyDescent="0.35">
      <c r="N5369" s="10"/>
    </row>
    <row r="5370" spans="14:14" ht="21" customHeight="1" x14ac:dyDescent="0.35">
      <c r="N5370" s="10"/>
    </row>
    <row r="5371" spans="14:14" ht="21" customHeight="1" x14ac:dyDescent="0.35">
      <c r="N5371" s="10"/>
    </row>
    <row r="5372" spans="14:14" ht="21" customHeight="1" x14ac:dyDescent="0.35">
      <c r="N5372" s="10"/>
    </row>
    <row r="5373" spans="14:14" ht="21" customHeight="1" x14ac:dyDescent="0.35">
      <c r="N5373" s="10"/>
    </row>
    <row r="5374" spans="14:14" ht="21" customHeight="1" x14ac:dyDescent="0.35">
      <c r="N5374" s="10"/>
    </row>
    <row r="5375" spans="14:14" ht="21" customHeight="1" x14ac:dyDescent="0.35">
      <c r="N5375" s="10"/>
    </row>
    <row r="5376" spans="14:14" ht="21" customHeight="1" x14ac:dyDescent="0.35">
      <c r="N5376" s="10"/>
    </row>
    <row r="5377" spans="14:14" ht="21" customHeight="1" x14ac:dyDescent="0.35">
      <c r="N5377" s="10"/>
    </row>
    <row r="5378" spans="14:14" ht="21" customHeight="1" x14ac:dyDescent="0.35">
      <c r="N5378" s="10"/>
    </row>
    <row r="5379" spans="14:14" ht="21" customHeight="1" x14ac:dyDescent="0.35">
      <c r="N5379" s="10"/>
    </row>
    <row r="5380" spans="14:14" ht="21" customHeight="1" x14ac:dyDescent="0.35">
      <c r="N5380" s="10"/>
    </row>
    <row r="5381" spans="14:14" ht="21" customHeight="1" x14ac:dyDescent="0.35">
      <c r="N5381" s="10"/>
    </row>
    <row r="5382" spans="14:14" ht="21" customHeight="1" x14ac:dyDescent="0.35">
      <c r="N5382" s="10"/>
    </row>
    <row r="5383" spans="14:14" ht="21" customHeight="1" x14ac:dyDescent="0.35">
      <c r="N5383" s="10"/>
    </row>
    <row r="5384" spans="14:14" ht="21" customHeight="1" x14ac:dyDescent="0.35">
      <c r="N5384" s="10"/>
    </row>
    <row r="5385" spans="14:14" ht="21" customHeight="1" x14ac:dyDescent="0.35">
      <c r="N5385" s="10"/>
    </row>
    <row r="5386" spans="14:14" ht="21" customHeight="1" x14ac:dyDescent="0.35">
      <c r="N5386" s="10"/>
    </row>
    <row r="5387" spans="14:14" ht="21" customHeight="1" x14ac:dyDescent="0.35">
      <c r="N5387" s="10"/>
    </row>
    <row r="5388" spans="14:14" ht="21" customHeight="1" x14ac:dyDescent="0.35">
      <c r="N5388" s="10"/>
    </row>
    <row r="5389" spans="14:14" ht="21" customHeight="1" x14ac:dyDescent="0.35">
      <c r="N5389" s="10"/>
    </row>
    <row r="5390" spans="14:14" ht="21" customHeight="1" x14ac:dyDescent="0.35">
      <c r="N5390" s="10"/>
    </row>
    <row r="5391" spans="14:14" ht="21" customHeight="1" x14ac:dyDescent="0.35">
      <c r="N5391" s="10"/>
    </row>
    <row r="5392" spans="14:14" ht="21" customHeight="1" x14ac:dyDescent="0.35">
      <c r="N5392" s="10"/>
    </row>
    <row r="5393" spans="14:14" ht="21" customHeight="1" x14ac:dyDescent="0.35">
      <c r="N5393" s="10"/>
    </row>
    <row r="5394" spans="14:14" ht="21" customHeight="1" x14ac:dyDescent="0.35">
      <c r="N5394" s="10"/>
    </row>
    <row r="5395" spans="14:14" ht="21" customHeight="1" x14ac:dyDescent="0.35">
      <c r="N5395" s="10"/>
    </row>
    <row r="5396" spans="14:14" ht="21" customHeight="1" x14ac:dyDescent="0.35">
      <c r="N5396" s="10"/>
    </row>
    <row r="5397" spans="14:14" ht="21" customHeight="1" x14ac:dyDescent="0.35">
      <c r="N5397" s="10"/>
    </row>
    <row r="5398" spans="14:14" ht="21" customHeight="1" x14ac:dyDescent="0.35">
      <c r="N5398" s="10"/>
    </row>
    <row r="5399" spans="14:14" ht="21" customHeight="1" x14ac:dyDescent="0.35">
      <c r="N5399" s="10"/>
    </row>
    <row r="5400" spans="14:14" ht="21" customHeight="1" x14ac:dyDescent="0.35">
      <c r="N5400" s="10"/>
    </row>
    <row r="5401" spans="14:14" ht="21" customHeight="1" x14ac:dyDescent="0.35">
      <c r="N5401" s="10"/>
    </row>
    <row r="5402" spans="14:14" ht="21" customHeight="1" x14ac:dyDescent="0.35">
      <c r="N5402" s="10"/>
    </row>
    <row r="5403" spans="14:14" ht="21" customHeight="1" x14ac:dyDescent="0.35">
      <c r="N5403" s="10"/>
    </row>
    <row r="5404" spans="14:14" ht="21" customHeight="1" x14ac:dyDescent="0.35">
      <c r="N5404" s="10"/>
    </row>
    <row r="5405" spans="14:14" ht="21" customHeight="1" x14ac:dyDescent="0.35">
      <c r="N5405" s="10"/>
    </row>
    <row r="5406" spans="14:14" ht="21" customHeight="1" x14ac:dyDescent="0.35">
      <c r="N5406" s="10"/>
    </row>
    <row r="5407" spans="14:14" ht="21" customHeight="1" x14ac:dyDescent="0.35">
      <c r="N5407" s="10"/>
    </row>
    <row r="5408" spans="14:14" ht="21" customHeight="1" x14ac:dyDescent="0.35">
      <c r="N5408" s="10"/>
    </row>
    <row r="5409" spans="14:14" ht="21" customHeight="1" x14ac:dyDescent="0.35">
      <c r="N5409" s="10"/>
    </row>
    <row r="5410" spans="14:14" ht="21" customHeight="1" x14ac:dyDescent="0.35">
      <c r="N5410" s="10"/>
    </row>
    <row r="5411" spans="14:14" ht="21" customHeight="1" x14ac:dyDescent="0.35">
      <c r="N5411" s="10"/>
    </row>
    <row r="5412" spans="14:14" ht="21" customHeight="1" x14ac:dyDescent="0.35">
      <c r="N5412" s="10"/>
    </row>
    <row r="5413" spans="14:14" ht="21" customHeight="1" x14ac:dyDescent="0.35">
      <c r="N5413" s="10"/>
    </row>
    <row r="5414" spans="14:14" ht="21" customHeight="1" x14ac:dyDescent="0.35">
      <c r="N5414" s="10"/>
    </row>
    <row r="5415" spans="14:14" ht="21" customHeight="1" x14ac:dyDescent="0.35">
      <c r="N5415" s="10"/>
    </row>
    <row r="5416" spans="14:14" ht="21" customHeight="1" x14ac:dyDescent="0.35">
      <c r="N5416" s="10"/>
    </row>
    <row r="5417" spans="14:14" ht="21" customHeight="1" x14ac:dyDescent="0.35">
      <c r="N5417" s="10"/>
    </row>
    <row r="5418" spans="14:14" ht="21" customHeight="1" x14ac:dyDescent="0.35">
      <c r="N5418" s="10"/>
    </row>
    <row r="5419" spans="14:14" ht="21" customHeight="1" x14ac:dyDescent="0.35">
      <c r="N5419" s="10"/>
    </row>
    <row r="5420" spans="14:14" ht="21" customHeight="1" x14ac:dyDescent="0.35">
      <c r="N5420" s="10"/>
    </row>
    <row r="5421" spans="14:14" ht="21" customHeight="1" x14ac:dyDescent="0.35">
      <c r="N5421" s="10"/>
    </row>
    <row r="5422" spans="14:14" ht="21" customHeight="1" x14ac:dyDescent="0.35">
      <c r="N5422" s="10"/>
    </row>
    <row r="5423" spans="14:14" ht="21" customHeight="1" x14ac:dyDescent="0.35">
      <c r="N5423" s="10"/>
    </row>
    <row r="5424" spans="14:14" ht="21" customHeight="1" x14ac:dyDescent="0.35">
      <c r="N5424" s="10"/>
    </row>
    <row r="5425" spans="14:14" ht="21" customHeight="1" x14ac:dyDescent="0.35">
      <c r="N5425" s="10"/>
    </row>
    <row r="5426" spans="14:14" ht="21" customHeight="1" x14ac:dyDescent="0.35">
      <c r="N5426" s="10"/>
    </row>
    <row r="5427" spans="14:14" ht="21" customHeight="1" x14ac:dyDescent="0.35">
      <c r="N5427" s="10"/>
    </row>
    <row r="5428" spans="14:14" ht="21" customHeight="1" x14ac:dyDescent="0.35">
      <c r="N5428" s="10"/>
    </row>
    <row r="5429" spans="14:14" ht="21" customHeight="1" x14ac:dyDescent="0.35">
      <c r="N5429" s="10"/>
    </row>
    <row r="5430" spans="14:14" ht="21" customHeight="1" x14ac:dyDescent="0.35">
      <c r="N5430" s="10"/>
    </row>
    <row r="5431" spans="14:14" ht="21" customHeight="1" x14ac:dyDescent="0.35">
      <c r="N5431" s="10"/>
    </row>
    <row r="5432" spans="14:14" ht="21" customHeight="1" x14ac:dyDescent="0.35">
      <c r="N5432" s="10"/>
    </row>
    <row r="5433" spans="14:14" ht="21" customHeight="1" x14ac:dyDescent="0.35">
      <c r="N5433" s="10"/>
    </row>
    <row r="5434" spans="14:14" ht="21" customHeight="1" x14ac:dyDescent="0.35">
      <c r="N5434" s="10"/>
    </row>
    <row r="5435" spans="14:14" ht="21" customHeight="1" x14ac:dyDescent="0.35">
      <c r="N5435" s="10"/>
    </row>
    <row r="5436" spans="14:14" ht="21" customHeight="1" x14ac:dyDescent="0.35">
      <c r="N5436" s="10"/>
    </row>
    <row r="5437" spans="14:14" ht="21" customHeight="1" x14ac:dyDescent="0.35">
      <c r="N5437" s="10"/>
    </row>
    <row r="5438" spans="14:14" ht="21" customHeight="1" x14ac:dyDescent="0.35">
      <c r="N5438" s="10"/>
    </row>
    <row r="5439" spans="14:14" ht="21" customHeight="1" x14ac:dyDescent="0.35">
      <c r="N5439" s="10"/>
    </row>
    <row r="5440" spans="14:14" ht="21" customHeight="1" x14ac:dyDescent="0.35">
      <c r="N5440" s="10"/>
    </row>
    <row r="5441" spans="14:14" ht="21" customHeight="1" x14ac:dyDescent="0.35">
      <c r="N5441" s="10"/>
    </row>
    <row r="5442" spans="14:14" ht="21" customHeight="1" x14ac:dyDescent="0.35">
      <c r="N5442" s="10"/>
    </row>
    <row r="5443" spans="14:14" ht="21" customHeight="1" x14ac:dyDescent="0.35">
      <c r="N5443" s="10"/>
    </row>
    <row r="5444" spans="14:14" ht="21" customHeight="1" x14ac:dyDescent="0.35">
      <c r="N5444" s="10"/>
    </row>
    <row r="5445" spans="14:14" ht="21" customHeight="1" x14ac:dyDescent="0.35">
      <c r="N5445" s="10"/>
    </row>
    <row r="5446" spans="14:14" ht="21" customHeight="1" x14ac:dyDescent="0.35">
      <c r="N5446" s="10"/>
    </row>
    <row r="5447" spans="14:14" ht="21" customHeight="1" x14ac:dyDescent="0.35">
      <c r="N5447" s="10"/>
    </row>
    <row r="5448" spans="14:14" ht="21" customHeight="1" x14ac:dyDescent="0.35">
      <c r="N5448" s="10"/>
    </row>
    <row r="5449" spans="14:14" ht="21" customHeight="1" x14ac:dyDescent="0.35">
      <c r="N5449" s="10"/>
    </row>
    <row r="5450" spans="14:14" ht="21" customHeight="1" x14ac:dyDescent="0.35">
      <c r="N5450" s="10"/>
    </row>
    <row r="5451" spans="14:14" ht="21" customHeight="1" x14ac:dyDescent="0.35">
      <c r="N5451" s="10"/>
    </row>
    <row r="5452" spans="14:14" ht="21" customHeight="1" x14ac:dyDescent="0.35">
      <c r="N5452" s="10"/>
    </row>
    <row r="5453" spans="14:14" ht="21" customHeight="1" x14ac:dyDescent="0.35">
      <c r="N5453" s="10"/>
    </row>
    <row r="5454" spans="14:14" ht="21" customHeight="1" x14ac:dyDescent="0.35">
      <c r="N5454" s="10"/>
    </row>
    <row r="5455" spans="14:14" ht="21" customHeight="1" x14ac:dyDescent="0.35">
      <c r="N5455" s="10"/>
    </row>
    <row r="5456" spans="14:14" ht="21" customHeight="1" x14ac:dyDescent="0.35">
      <c r="N5456" s="10"/>
    </row>
    <row r="5457" spans="14:14" ht="21" customHeight="1" x14ac:dyDescent="0.35">
      <c r="N5457" s="10"/>
    </row>
    <row r="5458" spans="14:14" ht="21" customHeight="1" x14ac:dyDescent="0.35">
      <c r="N5458" s="10"/>
    </row>
    <row r="5459" spans="14:14" ht="21" customHeight="1" x14ac:dyDescent="0.35">
      <c r="N5459" s="10"/>
    </row>
    <row r="5460" spans="14:14" ht="21" customHeight="1" x14ac:dyDescent="0.35">
      <c r="N5460" s="10"/>
    </row>
    <row r="5461" spans="14:14" ht="21" customHeight="1" x14ac:dyDescent="0.35">
      <c r="N5461" s="10"/>
    </row>
    <row r="5462" spans="14:14" ht="21" customHeight="1" x14ac:dyDescent="0.35">
      <c r="N5462" s="10"/>
    </row>
    <row r="5463" spans="14:14" ht="21" customHeight="1" x14ac:dyDescent="0.35">
      <c r="N5463" s="10"/>
    </row>
    <row r="5464" spans="14:14" ht="21" customHeight="1" x14ac:dyDescent="0.35">
      <c r="N5464" s="10"/>
    </row>
    <row r="5465" spans="14:14" ht="21" customHeight="1" x14ac:dyDescent="0.35">
      <c r="N5465" s="10"/>
    </row>
    <row r="5466" spans="14:14" ht="21" customHeight="1" x14ac:dyDescent="0.35">
      <c r="N5466" s="10"/>
    </row>
    <row r="5467" spans="14:14" ht="21" customHeight="1" x14ac:dyDescent="0.35">
      <c r="N5467" s="10"/>
    </row>
    <row r="5468" spans="14:14" ht="21" customHeight="1" x14ac:dyDescent="0.35">
      <c r="N5468" s="10"/>
    </row>
    <row r="5469" spans="14:14" ht="21" customHeight="1" x14ac:dyDescent="0.35">
      <c r="N5469" s="10"/>
    </row>
    <row r="5470" spans="14:14" ht="21" customHeight="1" x14ac:dyDescent="0.35">
      <c r="N5470" s="10"/>
    </row>
    <row r="5471" spans="14:14" ht="21" customHeight="1" x14ac:dyDescent="0.35">
      <c r="N5471" s="10"/>
    </row>
    <row r="5472" spans="14:14" ht="21" customHeight="1" x14ac:dyDescent="0.35">
      <c r="N5472" s="10"/>
    </row>
    <row r="5473" spans="14:14" ht="21" customHeight="1" x14ac:dyDescent="0.35">
      <c r="N5473" s="10"/>
    </row>
    <row r="5474" spans="14:14" ht="21" customHeight="1" x14ac:dyDescent="0.35">
      <c r="N5474" s="10"/>
    </row>
    <row r="5475" spans="14:14" ht="21" customHeight="1" x14ac:dyDescent="0.35">
      <c r="N5475" s="10"/>
    </row>
    <row r="5476" spans="14:14" ht="21" customHeight="1" x14ac:dyDescent="0.35">
      <c r="N5476" s="10"/>
    </row>
    <row r="5477" spans="14:14" ht="21" customHeight="1" x14ac:dyDescent="0.35">
      <c r="N5477" s="10"/>
    </row>
    <row r="5478" spans="14:14" ht="21" customHeight="1" x14ac:dyDescent="0.35">
      <c r="N5478" s="10"/>
    </row>
    <row r="5479" spans="14:14" ht="21" customHeight="1" x14ac:dyDescent="0.35">
      <c r="N5479" s="10"/>
    </row>
    <row r="5480" spans="14:14" ht="21" customHeight="1" x14ac:dyDescent="0.35">
      <c r="N5480" s="10"/>
    </row>
    <row r="5481" spans="14:14" ht="21" customHeight="1" x14ac:dyDescent="0.35">
      <c r="N5481" s="10"/>
    </row>
    <row r="5482" spans="14:14" ht="21" customHeight="1" x14ac:dyDescent="0.35">
      <c r="N5482" s="10"/>
    </row>
    <row r="5483" spans="14:14" ht="21" customHeight="1" x14ac:dyDescent="0.35">
      <c r="N5483" s="10"/>
    </row>
    <row r="5484" spans="14:14" ht="21" customHeight="1" x14ac:dyDescent="0.35">
      <c r="N5484" s="10"/>
    </row>
    <row r="5485" spans="14:14" ht="21" customHeight="1" x14ac:dyDescent="0.35">
      <c r="N5485" s="10"/>
    </row>
    <row r="5486" spans="14:14" ht="21" customHeight="1" x14ac:dyDescent="0.35">
      <c r="N5486" s="10"/>
    </row>
    <row r="5487" spans="14:14" ht="21" customHeight="1" x14ac:dyDescent="0.35">
      <c r="N5487" s="10"/>
    </row>
    <row r="5488" spans="14:14" ht="21" customHeight="1" x14ac:dyDescent="0.35">
      <c r="N5488" s="10"/>
    </row>
    <row r="5489" spans="14:14" ht="21" customHeight="1" x14ac:dyDescent="0.35">
      <c r="N5489" s="10"/>
    </row>
    <row r="5490" spans="14:14" ht="21" customHeight="1" x14ac:dyDescent="0.35">
      <c r="N5490" s="10"/>
    </row>
    <row r="5491" spans="14:14" ht="21" customHeight="1" x14ac:dyDescent="0.35">
      <c r="N5491" s="10"/>
    </row>
    <row r="5492" spans="14:14" ht="21" customHeight="1" x14ac:dyDescent="0.35">
      <c r="N5492" s="10"/>
    </row>
    <row r="5493" spans="14:14" ht="21" customHeight="1" x14ac:dyDescent="0.35">
      <c r="N5493" s="10"/>
    </row>
    <row r="5494" spans="14:14" ht="21" customHeight="1" x14ac:dyDescent="0.35">
      <c r="N5494" s="10"/>
    </row>
    <row r="5495" spans="14:14" ht="21" customHeight="1" x14ac:dyDescent="0.35">
      <c r="N5495" s="10"/>
    </row>
    <row r="5496" spans="14:14" ht="21" customHeight="1" x14ac:dyDescent="0.35">
      <c r="N5496" s="10"/>
    </row>
    <row r="5497" spans="14:14" ht="21" customHeight="1" x14ac:dyDescent="0.35">
      <c r="N5497" s="10"/>
    </row>
    <row r="5498" spans="14:14" ht="21" customHeight="1" x14ac:dyDescent="0.35">
      <c r="N5498" s="10"/>
    </row>
    <row r="5499" spans="14:14" ht="21" customHeight="1" x14ac:dyDescent="0.35">
      <c r="N5499" s="10"/>
    </row>
    <row r="5500" spans="14:14" ht="21" customHeight="1" x14ac:dyDescent="0.35">
      <c r="N5500" s="10"/>
    </row>
    <row r="5501" spans="14:14" ht="21" customHeight="1" x14ac:dyDescent="0.35">
      <c r="N5501" s="10"/>
    </row>
    <row r="5502" spans="14:14" ht="21" customHeight="1" x14ac:dyDescent="0.35">
      <c r="N5502" s="10"/>
    </row>
    <row r="5503" spans="14:14" ht="21" customHeight="1" x14ac:dyDescent="0.35">
      <c r="N5503" s="10"/>
    </row>
    <row r="5504" spans="14:14" ht="21" customHeight="1" x14ac:dyDescent="0.35">
      <c r="N5504" s="10"/>
    </row>
    <row r="5505" spans="14:14" ht="21" customHeight="1" x14ac:dyDescent="0.35">
      <c r="N5505" s="10"/>
    </row>
    <row r="5506" spans="14:14" ht="21" customHeight="1" x14ac:dyDescent="0.35">
      <c r="N5506" s="10"/>
    </row>
    <row r="5507" spans="14:14" ht="21" customHeight="1" x14ac:dyDescent="0.35">
      <c r="N5507" s="10"/>
    </row>
    <row r="5508" spans="14:14" ht="21" customHeight="1" x14ac:dyDescent="0.35">
      <c r="N5508" s="10"/>
    </row>
    <row r="5509" spans="14:14" ht="21" customHeight="1" x14ac:dyDescent="0.35">
      <c r="N5509" s="10"/>
    </row>
    <row r="5510" spans="14:14" ht="21" customHeight="1" x14ac:dyDescent="0.35">
      <c r="N5510" s="10"/>
    </row>
    <row r="5511" spans="14:14" ht="21" customHeight="1" x14ac:dyDescent="0.35">
      <c r="N5511" s="10"/>
    </row>
    <row r="5512" spans="14:14" ht="21" customHeight="1" x14ac:dyDescent="0.35">
      <c r="N5512" s="10"/>
    </row>
    <row r="5513" spans="14:14" ht="21" customHeight="1" x14ac:dyDescent="0.35">
      <c r="N5513" s="10"/>
    </row>
    <row r="5514" spans="14:14" ht="21" customHeight="1" x14ac:dyDescent="0.35">
      <c r="N5514" s="10"/>
    </row>
    <row r="5515" spans="14:14" ht="21" customHeight="1" x14ac:dyDescent="0.35">
      <c r="N5515" s="10"/>
    </row>
    <row r="5516" spans="14:14" ht="21" customHeight="1" x14ac:dyDescent="0.35">
      <c r="N5516" s="10"/>
    </row>
    <row r="5517" spans="14:14" ht="21" customHeight="1" x14ac:dyDescent="0.35">
      <c r="N5517" s="10"/>
    </row>
    <row r="5518" spans="14:14" ht="21" customHeight="1" x14ac:dyDescent="0.35">
      <c r="N5518" s="10"/>
    </row>
    <row r="5519" spans="14:14" ht="21" customHeight="1" x14ac:dyDescent="0.35">
      <c r="N5519" s="10"/>
    </row>
    <row r="5520" spans="14:14" ht="21" customHeight="1" x14ac:dyDescent="0.35">
      <c r="N5520" s="10"/>
    </row>
    <row r="5521" spans="14:14" ht="21" customHeight="1" x14ac:dyDescent="0.35">
      <c r="N5521" s="10"/>
    </row>
    <row r="5522" spans="14:14" ht="21" customHeight="1" x14ac:dyDescent="0.35">
      <c r="N5522" s="10"/>
    </row>
    <row r="5523" spans="14:14" ht="21" customHeight="1" x14ac:dyDescent="0.35">
      <c r="N5523" s="10"/>
    </row>
    <row r="5524" spans="14:14" ht="21" customHeight="1" x14ac:dyDescent="0.35">
      <c r="N5524" s="10"/>
    </row>
    <row r="5525" spans="14:14" ht="21" customHeight="1" x14ac:dyDescent="0.35">
      <c r="N5525" s="10"/>
    </row>
    <row r="5526" spans="14:14" ht="21" customHeight="1" x14ac:dyDescent="0.35">
      <c r="N5526" s="10"/>
    </row>
    <row r="5527" spans="14:14" ht="21" customHeight="1" x14ac:dyDescent="0.35">
      <c r="N5527" s="10"/>
    </row>
    <row r="5528" spans="14:14" ht="21" customHeight="1" x14ac:dyDescent="0.35">
      <c r="N5528" s="10"/>
    </row>
    <row r="5529" spans="14:14" ht="21" customHeight="1" x14ac:dyDescent="0.35">
      <c r="N5529" s="10"/>
    </row>
    <row r="5530" spans="14:14" ht="21" customHeight="1" x14ac:dyDescent="0.35">
      <c r="N5530" s="10"/>
    </row>
    <row r="5531" spans="14:14" ht="21" customHeight="1" x14ac:dyDescent="0.35">
      <c r="N5531" s="10"/>
    </row>
    <row r="5532" spans="14:14" ht="21" customHeight="1" x14ac:dyDescent="0.35">
      <c r="N5532" s="10"/>
    </row>
    <row r="5533" spans="14:14" ht="21" customHeight="1" x14ac:dyDescent="0.35">
      <c r="N5533" s="10"/>
    </row>
    <row r="5534" spans="14:14" ht="21" customHeight="1" x14ac:dyDescent="0.35">
      <c r="N5534" s="10"/>
    </row>
    <row r="5535" spans="14:14" ht="21" customHeight="1" x14ac:dyDescent="0.35">
      <c r="N5535" s="10"/>
    </row>
    <row r="5536" spans="14:14" ht="21" customHeight="1" x14ac:dyDescent="0.35">
      <c r="N5536" s="10"/>
    </row>
    <row r="5537" spans="14:14" ht="21" customHeight="1" x14ac:dyDescent="0.35">
      <c r="N5537" s="10"/>
    </row>
    <row r="5538" spans="14:14" ht="21" customHeight="1" x14ac:dyDescent="0.35">
      <c r="N5538" s="10"/>
    </row>
    <row r="5539" spans="14:14" ht="21" customHeight="1" x14ac:dyDescent="0.35">
      <c r="N5539" s="10"/>
    </row>
    <row r="5540" spans="14:14" ht="21" customHeight="1" x14ac:dyDescent="0.35">
      <c r="N5540" s="10"/>
    </row>
    <row r="5541" spans="14:14" ht="21" customHeight="1" x14ac:dyDescent="0.35">
      <c r="N5541" s="10"/>
    </row>
    <row r="5542" spans="14:14" ht="21" customHeight="1" x14ac:dyDescent="0.35">
      <c r="N5542" s="10"/>
    </row>
    <row r="5543" spans="14:14" ht="21" customHeight="1" x14ac:dyDescent="0.35">
      <c r="N5543" s="10"/>
    </row>
    <row r="5544" spans="14:14" ht="21" customHeight="1" x14ac:dyDescent="0.35">
      <c r="N5544" s="10"/>
    </row>
    <row r="5545" spans="14:14" ht="21" customHeight="1" x14ac:dyDescent="0.35">
      <c r="N5545" s="10"/>
    </row>
    <row r="5546" spans="14:14" ht="21" customHeight="1" x14ac:dyDescent="0.35">
      <c r="N5546" s="10"/>
    </row>
    <row r="5547" spans="14:14" ht="21" customHeight="1" x14ac:dyDescent="0.35">
      <c r="N5547" s="10"/>
    </row>
    <row r="5548" spans="14:14" ht="21" customHeight="1" x14ac:dyDescent="0.35">
      <c r="N5548" s="10"/>
    </row>
    <row r="5549" spans="14:14" ht="21" customHeight="1" x14ac:dyDescent="0.35">
      <c r="N5549" s="10"/>
    </row>
    <row r="5550" spans="14:14" ht="21" customHeight="1" x14ac:dyDescent="0.35">
      <c r="N5550" s="10"/>
    </row>
    <row r="5551" spans="14:14" ht="21" customHeight="1" x14ac:dyDescent="0.35">
      <c r="N5551" s="10"/>
    </row>
    <row r="5552" spans="14:14" ht="21" customHeight="1" x14ac:dyDescent="0.35">
      <c r="N5552" s="10"/>
    </row>
    <row r="5553" spans="14:14" ht="21" customHeight="1" x14ac:dyDescent="0.35">
      <c r="N5553" s="10"/>
    </row>
    <row r="5554" spans="14:14" ht="21" customHeight="1" x14ac:dyDescent="0.35">
      <c r="N5554" s="10"/>
    </row>
    <row r="5555" spans="14:14" ht="21" customHeight="1" x14ac:dyDescent="0.35">
      <c r="N5555" s="10"/>
    </row>
    <row r="5556" spans="14:14" ht="21" customHeight="1" x14ac:dyDescent="0.35">
      <c r="N5556" s="10"/>
    </row>
    <row r="5557" spans="14:14" ht="21" customHeight="1" x14ac:dyDescent="0.35">
      <c r="N5557" s="10"/>
    </row>
    <row r="5558" spans="14:14" ht="21" customHeight="1" x14ac:dyDescent="0.35">
      <c r="N5558" s="10"/>
    </row>
    <row r="5559" spans="14:14" ht="21" customHeight="1" x14ac:dyDescent="0.35">
      <c r="N5559" s="10"/>
    </row>
    <row r="5560" spans="14:14" ht="21" customHeight="1" x14ac:dyDescent="0.35">
      <c r="N5560" s="10"/>
    </row>
    <row r="5561" spans="14:14" ht="21" customHeight="1" x14ac:dyDescent="0.35">
      <c r="N5561" s="10"/>
    </row>
    <row r="5562" spans="14:14" ht="21" customHeight="1" x14ac:dyDescent="0.35">
      <c r="N5562" s="10"/>
    </row>
    <row r="5563" spans="14:14" ht="21" customHeight="1" x14ac:dyDescent="0.35">
      <c r="N5563" s="10"/>
    </row>
    <row r="5564" spans="14:14" ht="21" customHeight="1" x14ac:dyDescent="0.35">
      <c r="N5564" s="10"/>
    </row>
    <row r="5565" spans="14:14" ht="21" customHeight="1" x14ac:dyDescent="0.35">
      <c r="N5565" s="10"/>
    </row>
    <row r="5566" spans="14:14" ht="21" customHeight="1" x14ac:dyDescent="0.35">
      <c r="N5566" s="10"/>
    </row>
    <row r="5567" spans="14:14" ht="21" customHeight="1" x14ac:dyDescent="0.35">
      <c r="N5567" s="10"/>
    </row>
    <row r="5568" spans="14:14" ht="21" customHeight="1" x14ac:dyDescent="0.35">
      <c r="N5568" s="10"/>
    </row>
    <row r="5569" spans="14:14" ht="21" customHeight="1" x14ac:dyDescent="0.35">
      <c r="N5569" s="10"/>
    </row>
    <row r="5570" spans="14:14" ht="21" customHeight="1" x14ac:dyDescent="0.35">
      <c r="N5570" s="10"/>
    </row>
    <row r="5571" spans="14:14" ht="21" customHeight="1" x14ac:dyDescent="0.35">
      <c r="N5571" s="10"/>
    </row>
    <row r="5572" spans="14:14" ht="21" customHeight="1" x14ac:dyDescent="0.35">
      <c r="N5572" s="10"/>
    </row>
    <row r="5573" spans="14:14" ht="21" customHeight="1" x14ac:dyDescent="0.35">
      <c r="N5573" s="10"/>
    </row>
    <row r="5574" spans="14:14" ht="21" customHeight="1" x14ac:dyDescent="0.35">
      <c r="N5574" s="10"/>
    </row>
    <row r="5575" spans="14:14" ht="21" customHeight="1" x14ac:dyDescent="0.35">
      <c r="N5575" s="10"/>
    </row>
    <row r="5576" spans="14:14" ht="21" customHeight="1" x14ac:dyDescent="0.35">
      <c r="N5576" s="10"/>
    </row>
    <row r="5577" spans="14:14" ht="21" customHeight="1" x14ac:dyDescent="0.35">
      <c r="N5577" s="10"/>
    </row>
    <row r="5578" spans="14:14" ht="21" customHeight="1" x14ac:dyDescent="0.35">
      <c r="N5578" s="10"/>
    </row>
    <row r="5579" spans="14:14" ht="21" customHeight="1" x14ac:dyDescent="0.35">
      <c r="N5579" s="10"/>
    </row>
    <row r="5580" spans="14:14" ht="21" customHeight="1" x14ac:dyDescent="0.35">
      <c r="N5580" s="10"/>
    </row>
    <row r="5581" spans="14:14" ht="21" customHeight="1" x14ac:dyDescent="0.35">
      <c r="N5581" s="10"/>
    </row>
    <row r="5582" spans="14:14" ht="21" customHeight="1" x14ac:dyDescent="0.35">
      <c r="N5582" s="10"/>
    </row>
    <row r="5583" spans="14:14" ht="21" customHeight="1" x14ac:dyDescent="0.35">
      <c r="N5583" s="10"/>
    </row>
    <row r="5584" spans="14:14" ht="21" customHeight="1" x14ac:dyDescent="0.35">
      <c r="N5584" s="10"/>
    </row>
    <row r="5585" spans="14:14" ht="21" customHeight="1" x14ac:dyDescent="0.35">
      <c r="N5585" s="10"/>
    </row>
    <row r="5586" spans="14:14" ht="21" customHeight="1" x14ac:dyDescent="0.35">
      <c r="N5586" s="10"/>
    </row>
    <row r="5587" spans="14:14" ht="21" customHeight="1" x14ac:dyDescent="0.35">
      <c r="N5587" s="10"/>
    </row>
    <row r="5588" spans="14:14" ht="21" customHeight="1" x14ac:dyDescent="0.35">
      <c r="N5588" s="10"/>
    </row>
    <row r="5589" spans="14:14" ht="21" customHeight="1" x14ac:dyDescent="0.35">
      <c r="N5589" s="10"/>
    </row>
    <row r="5590" spans="14:14" ht="21" customHeight="1" x14ac:dyDescent="0.35">
      <c r="N5590" s="10"/>
    </row>
    <row r="5591" spans="14:14" ht="21" customHeight="1" x14ac:dyDescent="0.35">
      <c r="N5591" s="10"/>
    </row>
    <row r="5592" spans="14:14" ht="21" customHeight="1" x14ac:dyDescent="0.35">
      <c r="N5592" s="10"/>
    </row>
    <row r="5593" spans="14:14" ht="21" customHeight="1" x14ac:dyDescent="0.35">
      <c r="N5593" s="10"/>
    </row>
    <row r="5594" spans="14:14" ht="21" customHeight="1" x14ac:dyDescent="0.35">
      <c r="N5594" s="10"/>
    </row>
    <row r="5595" spans="14:14" ht="21" customHeight="1" x14ac:dyDescent="0.35">
      <c r="N5595" s="10"/>
    </row>
    <row r="5596" spans="14:14" ht="21" customHeight="1" x14ac:dyDescent="0.35">
      <c r="N5596" s="10"/>
    </row>
    <row r="5597" spans="14:14" ht="21" customHeight="1" x14ac:dyDescent="0.35">
      <c r="N5597" s="10"/>
    </row>
    <row r="5598" spans="14:14" ht="21" customHeight="1" x14ac:dyDescent="0.35">
      <c r="N5598" s="10"/>
    </row>
    <row r="5599" spans="14:14" ht="21" customHeight="1" x14ac:dyDescent="0.35">
      <c r="N5599" s="10"/>
    </row>
    <row r="5600" spans="14:14" ht="21" customHeight="1" x14ac:dyDescent="0.35">
      <c r="N5600" s="10"/>
    </row>
    <row r="5601" spans="14:14" ht="21" customHeight="1" x14ac:dyDescent="0.35">
      <c r="N5601" s="10"/>
    </row>
    <row r="5602" spans="14:14" ht="21" customHeight="1" x14ac:dyDescent="0.35">
      <c r="N5602" s="10"/>
    </row>
    <row r="5603" spans="14:14" ht="21" customHeight="1" x14ac:dyDescent="0.35">
      <c r="N5603" s="10"/>
    </row>
    <row r="5604" spans="14:14" ht="21" customHeight="1" x14ac:dyDescent="0.35">
      <c r="N5604" s="10"/>
    </row>
    <row r="5605" spans="14:14" ht="21" customHeight="1" x14ac:dyDescent="0.35">
      <c r="N5605" s="10"/>
    </row>
    <row r="5606" spans="14:14" ht="21" customHeight="1" x14ac:dyDescent="0.35">
      <c r="N5606" s="10"/>
    </row>
    <row r="5607" spans="14:14" ht="21" customHeight="1" x14ac:dyDescent="0.35">
      <c r="N5607" s="10"/>
    </row>
    <row r="5608" spans="14:14" ht="21" customHeight="1" x14ac:dyDescent="0.35">
      <c r="N5608" s="10"/>
    </row>
    <row r="5609" spans="14:14" ht="21" customHeight="1" x14ac:dyDescent="0.35">
      <c r="N5609" s="10"/>
    </row>
    <row r="5610" spans="14:14" ht="21" customHeight="1" x14ac:dyDescent="0.35">
      <c r="N5610" s="10"/>
    </row>
    <row r="5611" spans="14:14" ht="21" customHeight="1" x14ac:dyDescent="0.35">
      <c r="N5611" s="10"/>
    </row>
    <row r="5612" spans="14:14" ht="21" customHeight="1" x14ac:dyDescent="0.35">
      <c r="N5612" s="10"/>
    </row>
    <row r="5613" spans="14:14" ht="21" customHeight="1" x14ac:dyDescent="0.35">
      <c r="N5613" s="10"/>
    </row>
    <row r="5614" spans="14:14" ht="21" customHeight="1" x14ac:dyDescent="0.35">
      <c r="N5614" s="10"/>
    </row>
    <row r="5615" spans="14:14" ht="21" customHeight="1" x14ac:dyDescent="0.35">
      <c r="N5615" s="10"/>
    </row>
    <row r="5616" spans="14:14" ht="21" customHeight="1" x14ac:dyDescent="0.35">
      <c r="N5616" s="10"/>
    </row>
    <row r="5617" spans="14:14" ht="21" customHeight="1" x14ac:dyDescent="0.35">
      <c r="N5617" s="10"/>
    </row>
    <row r="5618" spans="14:14" ht="21" customHeight="1" x14ac:dyDescent="0.35">
      <c r="N5618" s="10"/>
    </row>
    <row r="5619" spans="14:14" ht="21" customHeight="1" x14ac:dyDescent="0.35">
      <c r="N5619" s="10"/>
    </row>
    <row r="5620" spans="14:14" ht="21" customHeight="1" x14ac:dyDescent="0.35">
      <c r="N5620" s="10"/>
    </row>
    <row r="5621" spans="14:14" ht="21" customHeight="1" x14ac:dyDescent="0.35">
      <c r="N5621" s="10"/>
    </row>
    <row r="5622" spans="14:14" ht="21" customHeight="1" x14ac:dyDescent="0.35">
      <c r="N5622" s="10"/>
    </row>
    <row r="5623" spans="14:14" ht="21" customHeight="1" x14ac:dyDescent="0.35">
      <c r="N5623" s="10"/>
    </row>
    <row r="5624" spans="14:14" ht="21" customHeight="1" x14ac:dyDescent="0.35">
      <c r="N5624" s="10"/>
    </row>
    <row r="5625" spans="14:14" ht="21" customHeight="1" x14ac:dyDescent="0.35">
      <c r="N5625" s="10"/>
    </row>
    <row r="5626" spans="14:14" ht="21" customHeight="1" x14ac:dyDescent="0.35">
      <c r="N5626" s="10"/>
    </row>
    <row r="5627" spans="14:14" ht="21" customHeight="1" x14ac:dyDescent="0.35">
      <c r="N5627" s="10"/>
    </row>
    <row r="5628" spans="14:14" ht="21" customHeight="1" x14ac:dyDescent="0.35">
      <c r="N5628" s="10"/>
    </row>
    <row r="5629" spans="14:14" ht="21" customHeight="1" x14ac:dyDescent="0.35">
      <c r="N5629" s="10"/>
    </row>
    <row r="5630" spans="14:14" ht="21" customHeight="1" x14ac:dyDescent="0.35">
      <c r="N5630" s="10"/>
    </row>
    <row r="5631" spans="14:14" ht="21" customHeight="1" x14ac:dyDescent="0.35">
      <c r="N5631" s="10"/>
    </row>
    <row r="5632" spans="14:14" ht="21" customHeight="1" x14ac:dyDescent="0.35">
      <c r="N5632" s="10"/>
    </row>
    <row r="5633" spans="14:14" ht="21" customHeight="1" x14ac:dyDescent="0.35">
      <c r="N5633" s="10"/>
    </row>
    <row r="5634" spans="14:14" ht="21" customHeight="1" x14ac:dyDescent="0.35">
      <c r="N5634" s="10"/>
    </row>
    <row r="5635" spans="14:14" ht="21" customHeight="1" x14ac:dyDescent="0.35">
      <c r="N5635" s="10"/>
    </row>
    <row r="5636" spans="14:14" ht="21" customHeight="1" x14ac:dyDescent="0.35">
      <c r="N5636" s="10"/>
    </row>
    <row r="5637" spans="14:14" ht="21" customHeight="1" x14ac:dyDescent="0.35">
      <c r="N5637" s="10"/>
    </row>
    <row r="5638" spans="14:14" ht="21" customHeight="1" x14ac:dyDescent="0.35">
      <c r="N5638" s="10"/>
    </row>
    <row r="5639" spans="14:14" ht="21" customHeight="1" x14ac:dyDescent="0.35">
      <c r="N5639" s="10"/>
    </row>
    <row r="5640" spans="14:14" ht="21" customHeight="1" x14ac:dyDescent="0.35">
      <c r="N5640" s="10"/>
    </row>
    <row r="5641" spans="14:14" ht="21" customHeight="1" x14ac:dyDescent="0.35">
      <c r="N5641" s="10"/>
    </row>
    <row r="5642" spans="14:14" ht="21" customHeight="1" x14ac:dyDescent="0.35">
      <c r="N5642" s="10"/>
    </row>
    <row r="5643" spans="14:14" ht="21" customHeight="1" x14ac:dyDescent="0.35">
      <c r="N5643" s="10"/>
    </row>
    <row r="5644" spans="14:14" ht="21" customHeight="1" x14ac:dyDescent="0.35">
      <c r="N5644" s="10"/>
    </row>
    <row r="5645" spans="14:14" ht="21" customHeight="1" x14ac:dyDescent="0.35">
      <c r="N5645" s="10"/>
    </row>
    <row r="5646" spans="14:14" ht="21" customHeight="1" x14ac:dyDescent="0.35">
      <c r="N5646" s="10"/>
    </row>
    <row r="5647" spans="14:14" ht="21" customHeight="1" x14ac:dyDescent="0.35">
      <c r="N5647" s="10"/>
    </row>
    <row r="5648" spans="14:14" ht="21" customHeight="1" x14ac:dyDescent="0.35">
      <c r="N5648" s="10"/>
    </row>
    <row r="5649" spans="14:14" ht="21" customHeight="1" x14ac:dyDescent="0.35">
      <c r="N5649" s="10"/>
    </row>
    <row r="5650" spans="14:14" ht="21" customHeight="1" x14ac:dyDescent="0.35">
      <c r="N5650" s="10"/>
    </row>
    <row r="5651" spans="14:14" ht="21" customHeight="1" x14ac:dyDescent="0.35">
      <c r="N5651" s="10"/>
    </row>
    <row r="5652" spans="14:14" ht="21" customHeight="1" x14ac:dyDescent="0.35">
      <c r="N5652" s="10"/>
    </row>
    <row r="5653" spans="14:14" ht="21" customHeight="1" x14ac:dyDescent="0.35">
      <c r="N5653" s="10"/>
    </row>
    <row r="5654" spans="14:14" ht="21" customHeight="1" x14ac:dyDescent="0.35">
      <c r="N5654" s="10"/>
    </row>
    <row r="5655" spans="14:14" ht="21" customHeight="1" x14ac:dyDescent="0.35">
      <c r="N5655" s="10"/>
    </row>
    <row r="5656" spans="14:14" ht="21" customHeight="1" x14ac:dyDescent="0.35">
      <c r="N5656" s="10"/>
    </row>
    <row r="5657" spans="14:14" ht="21" customHeight="1" x14ac:dyDescent="0.35">
      <c r="N5657" s="10"/>
    </row>
    <row r="5658" spans="14:14" ht="21" customHeight="1" x14ac:dyDescent="0.35">
      <c r="N5658" s="10"/>
    </row>
    <row r="5659" spans="14:14" ht="21" customHeight="1" x14ac:dyDescent="0.35">
      <c r="N5659" s="10"/>
    </row>
    <row r="5660" spans="14:14" ht="21" customHeight="1" x14ac:dyDescent="0.35">
      <c r="N5660" s="10"/>
    </row>
    <row r="5661" spans="14:14" ht="21" customHeight="1" x14ac:dyDescent="0.35">
      <c r="N5661" s="10"/>
    </row>
    <row r="5662" spans="14:14" ht="21" customHeight="1" x14ac:dyDescent="0.35">
      <c r="N5662" s="10"/>
    </row>
    <row r="5663" spans="14:14" ht="21" customHeight="1" x14ac:dyDescent="0.35">
      <c r="N5663" s="10"/>
    </row>
    <row r="5664" spans="14:14" ht="21" customHeight="1" x14ac:dyDescent="0.35">
      <c r="N5664" s="10"/>
    </row>
    <row r="5665" spans="14:14" ht="21" customHeight="1" x14ac:dyDescent="0.35">
      <c r="N5665" s="10"/>
    </row>
    <row r="5666" spans="14:14" ht="21" customHeight="1" x14ac:dyDescent="0.35">
      <c r="N5666" s="10"/>
    </row>
    <row r="5667" spans="14:14" ht="21" customHeight="1" x14ac:dyDescent="0.35">
      <c r="N5667" s="10"/>
    </row>
    <row r="5668" spans="14:14" ht="21" customHeight="1" x14ac:dyDescent="0.35">
      <c r="N5668" s="10"/>
    </row>
    <row r="5669" spans="14:14" ht="21" customHeight="1" x14ac:dyDescent="0.35">
      <c r="N5669" s="10"/>
    </row>
    <row r="5670" spans="14:14" ht="21" customHeight="1" x14ac:dyDescent="0.35">
      <c r="N5670" s="10"/>
    </row>
    <row r="5671" spans="14:14" ht="21" customHeight="1" x14ac:dyDescent="0.35">
      <c r="N5671" s="10"/>
    </row>
    <row r="5672" spans="14:14" ht="21" customHeight="1" x14ac:dyDescent="0.35">
      <c r="N5672" s="10"/>
    </row>
    <row r="5673" spans="14:14" ht="21" customHeight="1" x14ac:dyDescent="0.35">
      <c r="N5673" s="10"/>
    </row>
    <row r="5674" spans="14:14" ht="21" customHeight="1" x14ac:dyDescent="0.35">
      <c r="N5674" s="10"/>
    </row>
    <row r="5675" spans="14:14" ht="21" customHeight="1" x14ac:dyDescent="0.35">
      <c r="N5675" s="10"/>
    </row>
    <row r="5676" spans="14:14" ht="21" customHeight="1" x14ac:dyDescent="0.35">
      <c r="N5676" s="10"/>
    </row>
    <row r="5677" spans="14:14" ht="21" customHeight="1" x14ac:dyDescent="0.35">
      <c r="N5677" s="10"/>
    </row>
    <row r="5678" spans="14:14" ht="21" customHeight="1" x14ac:dyDescent="0.35">
      <c r="N5678" s="10"/>
    </row>
    <row r="5679" spans="14:14" ht="21" customHeight="1" x14ac:dyDescent="0.35">
      <c r="N5679" s="10"/>
    </row>
    <row r="5680" spans="14:14" ht="21" customHeight="1" x14ac:dyDescent="0.35">
      <c r="N5680" s="10"/>
    </row>
    <row r="5681" spans="14:14" ht="21" customHeight="1" x14ac:dyDescent="0.35">
      <c r="N5681" s="10"/>
    </row>
    <row r="5682" spans="14:14" ht="21" customHeight="1" x14ac:dyDescent="0.35">
      <c r="N5682" s="10"/>
    </row>
    <row r="5683" spans="14:14" ht="21" customHeight="1" x14ac:dyDescent="0.35">
      <c r="N5683" s="10"/>
    </row>
    <row r="5684" spans="14:14" ht="21" customHeight="1" x14ac:dyDescent="0.35">
      <c r="N5684" s="10"/>
    </row>
    <row r="5685" spans="14:14" ht="21" customHeight="1" x14ac:dyDescent="0.35">
      <c r="N5685" s="10"/>
    </row>
    <row r="5686" spans="14:14" ht="21" customHeight="1" x14ac:dyDescent="0.35">
      <c r="N5686" s="10"/>
    </row>
    <row r="5687" spans="14:14" ht="21" customHeight="1" x14ac:dyDescent="0.35">
      <c r="N5687" s="10"/>
    </row>
    <row r="5688" spans="14:14" ht="21" customHeight="1" x14ac:dyDescent="0.35">
      <c r="N5688" s="10"/>
    </row>
    <row r="5689" spans="14:14" ht="21" customHeight="1" x14ac:dyDescent="0.35">
      <c r="N5689" s="10"/>
    </row>
    <row r="5690" spans="14:14" ht="21" customHeight="1" x14ac:dyDescent="0.35">
      <c r="N5690" s="10"/>
    </row>
    <row r="5691" spans="14:14" ht="21" customHeight="1" x14ac:dyDescent="0.35">
      <c r="N5691" s="10"/>
    </row>
    <row r="5692" spans="14:14" ht="21" customHeight="1" x14ac:dyDescent="0.35">
      <c r="N5692" s="10"/>
    </row>
    <row r="5693" spans="14:14" ht="21" customHeight="1" x14ac:dyDescent="0.35">
      <c r="N5693" s="10"/>
    </row>
    <row r="5694" spans="14:14" ht="21" customHeight="1" x14ac:dyDescent="0.35">
      <c r="N5694" s="10"/>
    </row>
    <row r="5695" spans="14:14" ht="21" customHeight="1" x14ac:dyDescent="0.35">
      <c r="N5695" s="10"/>
    </row>
    <row r="5696" spans="14:14" ht="21" customHeight="1" x14ac:dyDescent="0.35">
      <c r="N5696" s="10"/>
    </row>
    <row r="5697" spans="14:14" ht="21" customHeight="1" x14ac:dyDescent="0.35">
      <c r="N5697" s="10"/>
    </row>
    <row r="5698" spans="14:14" ht="21" customHeight="1" x14ac:dyDescent="0.35">
      <c r="N5698" s="10"/>
    </row>
    <row r="5699" spans="14:14" ht="21" customHeight="1" x14ac:dyDescent="0.35">
      <c r="N5699" s="10"/>
    </row>
    <row r="5700" spans="14:14" ht="21" customHeight="1" x14ac:dyDescent="0.35">
      <c r="N5700" s="10"/>
    </row>
    <row r="5701" spans="14:14" ht="21" customHeight="1" x14ac:dyDescent="0.35">
      <c r="N5701" s="10"/>
    </row>
    <row r="5702" spans="14:14" ht="21" customHeight="1" x14ac:dyDescent="0.35">
      <c r="N5702" s="10"/>
    </row>
    <row r="5703" spans="14:14" ht="21" customHeight="1" x14ac:dyDescent="0.35">
      <c r="N5703" s="10"/>
    </row>
    <row r="5704" spans="14:14" ht="21" customHeight="1" x14ac:dyDescent="0.35">
      <c r="N5704" s="10"/>
    </row>
    <row r="5705" spans="14:14" ht="21" customHeight="1" x14ac:dyDescent="0.35">
      <c r="N5705" s="10"/>
    </row>
    <row r="5706" spans="14:14" ht="21" customHeight="1" x14ac:dyDescent="0.35">
      <c r="N5706" s="10"/>
    </row>
    <row r="5707" spans="14:14" ht="21" customHeight="1" x14ac:dyDescent="0.35">
      <c r="N5707" s="10"/>
    </row>
    <row r="5708" spans="14:14" ht="21" customHeight="1" x14ac:dyDescent="0.35">
      <c r="N5708" s="10"/>
    </row>
    <row r="5709" spans="14:14" ht="21" customHeight="1" x14ac:dyDescent="0.35">
      <c r="N5709" s="10"/>
    </row>
    <row r="5710" spans="14:14" ht="21" customHeight="1" x14ac:dyDescent="0.35">
      <c r="N5710" s="10"/>
    </row>
    <row r="5711" spans="14:14" ht="21" customHeight="1" x14ac:dyDescent="0.35">
      <c r="N5711" s="10"/>
    </row>
    <row r="5712" spans="14:14" ht="21" customHeight="1" x14ac:dyDescent="0.35">
      <c r="N5712" s="10"/>
    </row>
    <row r="5713" spans="14:14" ht="21" customHeight="1" x14ac:dyDescent="0.35">
      <c r="N5713" s="10"/>
    </row>
    <row r="5714" spans="14:14" ht="21" customHeight="1" x14ac:dyDescent="0.35">
      <c r="N5714" s="10"/>
    </row>
    <row r="5715" spans="14:14" ht="21" customHeight="1" x14ac:dyDescent="0.35">
      <c r="N5715" s="10"/>
    </row>
    <row r="5716" spans="14:14" ht="21" customHeight="1" x14ac:dyDescent="0.35">
      <c r="N5716" s="10"/>
    </row>
    <row r="5717" spans="14:14" ht="21" customHeight="1" x14ac:dyDescent="0.35">
      <c r="N5717" s="10"/>
    </row>
    <row r="5718" spans="14:14" ht="21" customHeight="1" x14ac:dyDescent="0.35">
      <c r="N5718" s="10"/>
    </row>
    <row r="5719" spans="14:14" ht="21" customHeight="1" x14ac:dyDescent="0.35">
      <c r="N5719" s="10"/>
    </row>
    <row r="5720" spans="14:14" ht="21" customHeight="1" x14ac:dyDescent="0.35">
      <c r="N5720" s="10"/>
    </row>
    <row r="5721" spans="14:14" ht="21" customHeight="1" x14ac:dyDescent="0.35">
      <c r="N5721" s="10"/>
    </row>
    <row r="5722" spans="14:14" ht="21" customHeight="1" x14ac:dyDescent="0.35">
      <c r="N5722" s="10"/>
    </row>
    <row r="5723" spans="14:14" ht="21" customHeight="1" x14ac:dyDescent="0.35">
      <c r="N5723" s="10"/>
    </row>
    <row r="5724" spans="14:14" ht="21" customHeight="1" x14ac:dyDescent="0.35">
      <c r="N5724" s="10"/>
    </row>
    <row r="5725" spans="14:14" ht="21" customHeight="1" x14ac:dyDescent="0.35">
      <c r="N5725" s="10"/>
    </row>
    <row r="5726" spans="14:14" ht="21" customHeight="1" x14ac:dyDescent="0.35">
      <c r="N5726" s="10"/>
    </row>
    <row r="5727" spans="14:14" ht="21" customHeight="1" x14ac:dyDescent="0.35">
      <c r="N5727" s="10"/>
    </row>
    <row r="5728" spans="14:14" ht="21" customHeight="1" x14ac:dyDescent="0.35">
      <c r="N5728" s="10"/>
    </row>
    <row r="5729" spans="14:14" ht="21" customHeight="1" x14ac:dyDescent="0.35">
      <c r="N5729" s="10"/>
    </row>
    <row r="5730" spans="14:14" ht="21" customHeight="1" x14ac:dyDescent="0.35">
      <c r="N5730" s="10"/>
    </row>
    <row r="5731" spans="14:14" ht="21" customHeight="1" x14ac:dyDescent="0.35">
      <c r="N5731" s="10"/>
    </row>
    <row r="5732" spans="14:14" ht="21" customHeight="1" x14ac:dyDescent="0.35">
      <c r="N5732" s="10"/>
    </row>
    <row r="5733" spans="14:14" ht="21" customHeight="1" x14ac:dyDescent="0.35">
      <c r="N5733" s="10"/>
    </row>
    <row r="5734" spans="14:14" ht="21" customHeight="1" x14ac:dyDescent="0.35">
      <c r="N5734" s="10"/>
    </row>
    <row r="5735" spans="14:14" ht="21" customHeight="1" x14ac:dyDescent="0.35">
      <c r="N5735" s="10"/>
    </row>
    <row r="5736" spans="14:14" ht="21" customHeight="1" x14ac:dyDescent="0.35">
      <c r="N5736" s="10"/>
    </row>
    <row r="5737" spans="14:14" ht="21" customHeight="1" x14ac:dyDescent="0.35">
      <c r="N5737" s="10"/>
    </row>
    <row r="5738" spans="14:14" ht="21" customHeight="1" x14ac:dyDescent="0.35">
      <c r="N5738" s="10"/>
    </row>
    <row r="5739" spans="14:14" ht="21" customHeight="1" x14ac:dyDescent="0.35">
      <c r="N5739" s="10"/>
    </row>
    <row r="5740" spans="14:14" ht="21" customHeight="1" x14ac:dyDescent="0.35">
      <c r="N5740" s="10"/>
    </row>
    <row r="5741" spans="14:14" ht="21" customHeight="1" x14ac:dyDescent="0.35">
      <c r="N5741" s="10"/>
    </row>
    <row r="5742" spans="14:14" ht="21" customHeight="1" x14ac:dyDescent="0.35">
      <c r="N5742" s="10"/>
    </row>
    <row r="5743" spans="14:14" ht="21" customHeight="1" x14ac:dyDescent="0.35">
      <c r="N5743" s="10"/>
    </row>
    <row r="5744" spans="14:14" ht="21" customHeight="1" x14ac:dyDescent="0.35">
      <c r="N5744" s="10"/>
    </row>
    <row r="5745" spans="14:14" ht="21" customHeight="1" x14ac:dyDescent="0.35">
      <c r="N5745" s="10"/>
    </row>
    <row r="5746" spans="14:14" ht="21" customHeight="1" x14ac:dyDescent="0.35">
      <c r="N5746" s="10"/>
    </row>
    <row r="5747" spans="14:14" ht="21" customHeight="1" x14ac:dyDescent="0.35">
      <c r="N5747" s="10"/>
    </row>
    <row r="5748" spans="14:14" ht="21" customHeight="1" x14ac:dyDescent="0.35">
      <c r="N5748" s="10"/>
    </row>
    <row r="5749" spans="14:14" ht="21" customHeight="1" x14ac:dyDescent="0.35">
      <c r="N5749" s="10"/>
    </row>
    <row r="5750" spans="14:14" ht="21" customHeight="1" x14ac:dyDescent="0.35">
      <c r="N5750" s="10"/>
    </row>
    <row r="5751" spans="14:14" ht="21" customHeight="1" x14ac:dyDescent="0.35">
      <c r="N5751" s="10"/>
    </row>
    <row r="5752" spans="14:14" ht="21" customHeight="1" x14ac:dyDescent="0.35">
      <c r="N5752" s="10"/>
    </row>
    <row r="5753" spans="14:14" ht="21" customHeight="1" x14ac:dyDescent="0.35">
      <c r="N5753" s="10"/>
    </row>
    <row r="5754" spans="14:14" ht="21" customHeight="1" x14ac:dyDescent="0.35">
      <c r="N5754" s="10"/>
    </row>
    <row r="5755" spans="14:14" ht="21" customHeight="1" x14ac:dyDescent="0.35">
      <c r="N5755" s="10"/>
    </row>
    <row r="5756" spans="14:14" ht="21" customHeight="1" x14ac:dyDescent="0.35">
      <c r="N5756" s="10"/>
    </row>
    <row r="5757" spans="14:14" ht="21" customHeight="1" x14ac:dyDescent="0.35">
      <c r="N5757" s="10"/>
    </row>
    <row r="5758" spans="14:14" ht="21" customHeight="1" x14ac:dyDescent="0.35">
      <c r="N5758" s="10"/>
    </row>
    <row r="5759" spans="14:14" ht="21" customHeight="1" x14ac:dyDescent="0.35">
      <c r="N5759" s="10"/>
    </row>
    <row r="5760" spans="14:14" ht="21" customHeight="1" x14ac:dyDescent="0.35">
      <c r="N5760" s="10"/>
    </row>
    <row r="5761" spans="14:14" ht="21" customHeight="1" x14ac:dyDescent="0.35">
      <c r="N5761" s="10"/>
    </row>
    <row r="5762" spans="14:14" ht="21" customHeight="1" x14ac:dyDescent="0.35">
      <c r="N5762" s="10"/>
    </row>
    <row r="5763" spans="14:14" ht="21" customHeight="1" x14ac:dyDescent="0.35">
      <c r="N5763" s="10"/>
    </row>
    <row r="5764" spans="14:14" ht="21" customHeight="1" x14ac:dyDescent="0.35">
      <c r="N5764" s="10"/>
    </row>
    <row r="5765" spans="14:14" ht="21" customHeight="1" x14ac:dyDescent="0.35">
      <c r="N5765" s="10"/>
    </row>
    <row r="5766" spans="14:14" ht="21" customHeight="1" x14ac:dyDescent="0.35">
      <c r="N5766" s="10"/>
    </row>
    <row r="5767" spans="14:14" ht="21" customHeight="1" x14ac:dyDescent="0.35">
      <c r="N5767" s="10"/>
    </row>
    <row r="5768" spans="14:14" ht="21" customHeight="1" x14ac:dyDescent="0.35">
      <c r="N5768" s="10"/>
    </row>
    <row r="5769" spans="14:14" ht="21" customHeight="1" x14ac:dyDescent="0.35">
      <c r="N5769" s="10"/>
    </row>
    <row r="5770" spans="14:14" ht="21" customHeight="1" x14ac:dyDescent="0.35">
      <c r="N5770" s="10"/>
    </row>
    <row r="5771" spans="14:14" ht="21" customHeight="1" x14ac:dyDescent="0.35">
      <c r="N5771" s="10"/>
    </row>
    <row r="5772" spans="14:14" ht="21" customHeight="1" x14ac:dyDescent="0.35">
      <c r="N5772" s="10"/>
    </row>
    <row r="5773" spans="14:14" ht="21" customHeight="1" x14ac:dyDescent="0.35">
      <c r="N5773" s="10"/>
    </row>
    <row r="5774" spans="14:14" ht="21" customHeight="1" x14ac:dyDescent="0.35">
      <c r="N5774" s="10"/>
    </row>
    <row r="5775" spans="14:14" ht="21" customHeight="1" x14ac:dyDescent="0.35">
      <c r="N5775" s="10"/>
    </row>
    <row r="5776" spans="14:14" ht="21" customHeight="1" x14ac:dyDescent="0.35">
      <c r="N5776" s="10"/>
    </row>
    <row r="5777" spans="14:14" ht="21" customHeight="1" x14ac:dyDescent="0.35">
      <c r="N5777" s="10"/>
    </row>
    <row r="5778" spans="14:14" ht="21" customHeight="1" x14ac:dyDescent="0.35">
      <c r="N5778" s="10"/>
    </row>
    <row r="5779" spans="14:14" ht="21" customHeight="1" x14ac:dyDescent="0.35">
      <c r="N5779" s="10"/>
    </row>
    <row r="5780" spans="14:14" ht="21" customHeight="1" x14ac:dyDescent="0.35">
      <c r="N5780" s="10"/>
    </row>
    <row r="5781" spans="14:14" ht="21" customHeight="1" x14ac:dyDescent="0.35">
      <c r="N5781" s="10"/>
    </row>
    <row r="5782" spans="14:14" ht="21" customHeight="1" x14ac:dyDescent="0.35">
      <c r="N5782" s="10"/>
    </row>
    <row r="5783" spans="14:14" ht="21" customHeight="1" x14ac:dyDescent="0.35">
      <c r="N5783" s="10"/>
    </row>
    <row r="5784" spans="14:14" ht="21" customHeight="1" x14ac:dyDescent="0.35">
      <c r="N5784" s="10"/>
    </row>
    <row r="5785" spans="14:14" ht="21" customHeight="1" x14ac:dyDescent="0.35">
      <c r="N5785" s="10"/>
    </row>
    <row r="5786" spans="14:14" ht="21" customHeight="1" x14ac:dyDescent="0.35">
      <c r="N5786" s="10"/>
    </row>
    <row r="5787" spans="14:14" ht="21" customHeight="1" x14ac:dyDescent="0.35">
      <c r="N5787" s="10"/>
    </row>
    <row r="5788" spans="14:14" ht="21" customHeight="1" x14ac:dyDescent="0.35">
      <c r="N5788" s="10"/>
    </row>
    <row r="5789" spans="14:14" ht="21" customHeight="1" x14ac:dyDescent="0.35">
      <c r="N5789" s="10"/>
    </row>
    <row r="5790" spans="14:14" ht="21" customHeight="1" x14ac:dyDescent="0.35">
      <c r="N5790" s="10"/>
    </row>
    <row r="5791" spans="14:14" ht="21" customHeight="1" x14ac:dyDescent="0.35">
      <c r="N5791" s="10"/>
    </row>
    <row r="5792" spans="14:14" ht="21" customHeight="1" x14ac:dyDescent="0.35">
      <c r="N5792" s="10"/>
    </row>
    <row r="5793" spans="14:14" ht="21" customHeight="1" x14ac:dyDescent="0.35">
      <c r="N5793" s="10"/>
    </row>
    <row r="5794" spans="14:14" ht="21" customHeight="1" x14ac:dyDescent="0.35">
      <c r="N5794" s="10"/>
    </row>
    <row r="5795" spans="14:14" ht="21" customHeight="1" x14ac:dyDescent="0.35">
      <c r="N5795" s="10"/>
    </row>
    <row r="5796" spans="14:14" ht="21" customHeight="1" x14ac:dyDescent="0.35">
      <c r="N5796" s="10"/>
    </row>
    <row r="5797" spans="14:14" ht="21" customHeight="1" x14ac:dyDescent="0.35">
      <c r="N5797" s="10"/>
    </row>
    <row r="5798" spans="14:14" ht="21" customHeight="1" x14ac:dyDescent="0.35">
      <c r="N5798" s="10"/>
    </row>
    <row r="5799" spans="14:14" ht="21" customHeight="1" x14ac:dyDescent="0.35">
      <c r="N5799" s="10"/>
    </row>
    <row r="5800" spans="14:14" ht="21" customHeight="1" x14ac:dyDescent="0.35">
      <c r="N5800" s="10"/>
    </row>
    <row r="5801" spans="14:14" ht="21" customHeight="1" x14ac:dyDescent="0.35">
      <c r="N5801" s="10"/>
    </row>
    <row r="5802" spans="14:14" ht="21" customHeight="1" x14ac:dyDescent="0.35">
      <c r="N5802" s="10"/>
    </row>
    <row r="5803" spans="14:14" ht="21" customHeight="1" x14ac:dyDescent="0.35">
      <c r="N5803" s="10"/>
    </row>
    <row r="5804" spans="14:14" ht="21" customHeight="1" x14ac:dyDescent="0.35">
      <c r="N5804" s="10"/>
    </row>
    <row r="5805" spans="14:14" ht="21" customHeight="1" x14ac:dyDescent="0.35">
      <c r="N5805" s="10"/>
    </row>
    <row r="5806" spans="14:14" ht="21" customHeight="1" x14ac:dyDescent="0.35">
      <c r="N5806" s="10"/>
    </row>
    <row r="5807" spans="14:14" ht="21" customHeight="1" x14ac:dyDescent="0.35">
      <c r="N5807" s="10"/>
    </row>
    <row r="5808" spans="14:14" ht="21" customHeight="1" x14ac:dyDescent="0.35">
      <c r="N5808" s="10"/>
    </row>
    <row r="5809" spans="14:14" ht="21" customHeight="1" x14ac:dyDescent="0.35">
      <c r="N5809" s="10"/>
    </row>
    <row r="5810" spans="14:14" ht="21" customHeight="1" x14ac:dyDescent="0.35">
      <c r="N5810" s="10"/>
    </row>
    <row r="5811" spans="14:14" ht="21" customHeight="1" x14ac:dyDescent="0.35">
      <c r="N5811" s="10"/>
    </row>
    <row r="5812" spans="14:14" ht="21" customHeight="1" x14ac:dyDescent="0.35">
      <c r="N5812" s="10"/>
    </row>
    <row r="5813" spans="14:14" ht="21" customHeight="1" x14ac:dyDescent="0.35">
      <c r="N5813" s="10"/>
    </row>
    <row r="5814" spans="14:14" ht="21" customHeight="1" x14ac:dyDescent="0.35">
      <c r="N5814" s="10"/>
    </row>
    <row r="5815" spans="14:14" ht="21" customHeight="1" x14ac:dyDescent="0.35">
      <c r="N5815" s="10"/>
    </row>
    <row r="5816" spans="14:14" ht="21" customHeight="1" x14ac:dyDescent="0.35">
      <c r="N5816" s="10"/>
    </row>
    <row r="5817" spans="14:14" ht="21" customHeight="1" x14ac:dyDescent="0.35">
      <c r="N5817" s="10"/>
    </row>
    <row r="5818" spans="14:14" ht="21" customHeight="1" x14ac:dyDescent="0.35">
      <c r="N5818" s="10"/>
    </row>
    <row r="5819" spans="14:14" ht="21" customHeight="1" x14ac:dyDescent="0.35">
      <c r="N5819" s="10"/>
    </row>
    <row r="5820" spans="14:14" ht="21" customHeight="1" x14ac:dyDescent="0.35">
      <c r="N5820" s="10"/>
    </row>
    <row r="5821" spans="14:14" ht="21" customHeight="1" x14ac:dyDescent="0.35">
      <c r="N5821" s="10"/>
    </row>
    <row r="5822" spans="14:14" ht="21" customHeight="1" x14ac:dyDescent="0.35">
      <c r="N5822" s="10"/>
    </row>
    <row r="5823" spans="14:14" ht="21" customHeight="1" x14ac:dyDescent="0.35">
      <c r="N5823" s="10"/>
    </row>
    <row r="5824" spans="14:14" ht="21" customHeight="1" x14ac:dyDescent="0.35">
      <c r="N5824" s="10"/>
    </row>
    <row r="5825" spans="14:14" ht="21" customHeight="1" x14ac:dyDescent="0.35">
      <c r="N5825" s="10"/>
    </row>
    <row r="5826" spans="14:14" ht="21" customHeight="1" x14ac:dyDescent="0.35">
      <c r="N5826" s="10"/>
    </row>
    <row r="5827" spans="14:14" ht="21" customHeight="1" x14ac:dyDescent="0.35">
      <c r="N5827" s="10"/>
    </row>
    <row r="5828" spans="14:14" ht="21" customHeight="1" x14ac:dyDescent="0.35">
      <c r="N5828" s="10"/>
    </row>
    <row r="5829" spans="14:14" ht="21" customHeight="1" x14ac:dyDescent="0.35">
      <c r="N5829" s="10"/>
    </row>
    <row r="5830" spans="14:14" ht="21" customHeight="1" x14ac:dyDescent="0.35">
      <c r="N5830" s="10"/>
    </row>
    <row r="5831" spans="14:14" ht="21" customHeight="1" x14ac:dyDescent="0.35">
      <c r="N5831" s="10"/>
    </row>
    <row r="5832" spans="14:14" ht="21" customHeight="1" x14ac:dyDescent="0.35">
      <c r="N5832" s="10"/>
    </row>
    <row r="5833" spans="14:14" ht="21" customHeight="1" x14ac:dyDescent="0.35">
      <c r="N5833" s="10"/>
    </row>
    <row r="5834" spans="14:14" ht="21" customHeight="1" x14ac:dyDescent="0.35">
      <c r="N5834" s="10"/>
    </row>
    <row r="5835" spans="14:14" ht="21" customHeight="1" x14ac:dyDescent="0.35">
      <c r="N5835" s="10"/>
    </row>
    <row r="5836" spans="14:14" ht="21" customHeight="1" x14ac:dyDescent="0.35">
      <c r="N5836" s="10"/>
    </row>
    <row r="5837" spans="14:14" ht="21" customHeight="1" x14ac:dyDescent="0.35">
      <c r="N5837" s="10"/>
    </row>
    <row r="5838" spans="14:14" ht="21" customHeight="1" x14ac:dyDescent="0.35">
      <c r="N5838" s="10"/>
    </row>
    <row r="5839" spans="14:14" ht="21" customHeight="1" x14ac:dyDescent="0.35">
      <c r="N5839" s="10"/>
    </row>
    <row r="5840" spans="14:14" ht="21" customHeight="1" x14ac:dyDescent="0.35">
      <c r="N5840" s="10"/>
    </row>
    <row r="5841" spans="14:14" ht="21" customHeight="1" x14ac:dyDescent="0.35">
      <c r="N5841" s="10"/>
    </row>
    <row r="5842" spans="14:14" ht="21" customHeight="1" x14ac:dyDescent="0.35">
      <c r="N5842" s="10"/>
    </row>
    <row r="5843" spans="14:14" ht="21" customHeight="1" x14ac:dyDescent="0.35">
      <c r="N5843" s="10"/>
    </row>
    <row r="5844" spans="14:14" ht="21" customHeight="1" x14ac:dyDescent="0.35">
      <c r="N5844" s="10"/>
    </row>
    <row r="5845" spans="14:14" ht="21" customHeight="1" x14ac:dyDescent="0.35">
      <c r="N5845" s="10"/>
    </row>
    <row r="5846" spans="14:14" ht="21" customHeight="1" x14ac:dyDescent="0.35">
      <c r="N5846" s="10"/>
    </row>
    <row r="5847" spans="14:14" ht="21" customHeight="1" x14ac:dyDescent="0.35">
      <c r="N5847" s="10"/>
    </row>
    <row r="5848" spans="14:14" ht="21" customHeight="1" x14ac:dyDescent="0.35">
      <c r="N5848" s="10"/>
    </row>
    <row r="5849" spans="14:14" ht="21" customHeight="1" x14ac:dyDescent="0.35">
      <c r="N5849" s="10"/>
    </row>
    <row r="5850" spans="14:14" ht="21" customHeight="1" x14ac:dyDescent="0.35">
      <c r="N5850" s="10"/>
    </row>
    <row r="5851" spans="14:14" ht="21" customHeight="1" x14ac:dyDescent="0.35">
      <c r="N5851" s="10"/>
    </row>
    <row r="5852" spans="14:14" ht="21" customHeight="1" x14ac:dyDescent="0.35">
      <c r="N5852" s="10"/>
    </row>
    <row r="5853" spans="14:14" ht="21" customHeight="1" x14ac:dyDescent="0.35">
      <c r="N5853" s="10"/>
    </row>
    <row r="5854" spans="14:14" ht="21" customHeight="1" x14ac:dyDescent="0.35">
      <c r="N5854" s="10"/>
    </row>
    <row r="5855" spans="14:14" ht="21" customHeight="1" x14ac:dyDescent="0.35">
      <c r="N5855" s="10"/>
    </row>
    <row r="5856" spans="14:14" ht="21" customHeight="1" x14ac:dyDescent="0.35">
      <c r="N5856" s="10"/>
    </row>
    <row r="5857" spans="14:14" ht="21" customHeight="1" x14ac:dyDescent="0.35">
      <c r="N5857" s="10"/>
    </row>
    <row r="5858" spans="14:14" ht="21" customHeight="1" x14ac:dyDescent="0.35">
      <c r="N5858" s="10"/>
    </row>
    <row r="5859" spans="14:14" ht="21" customHeight="1" x14ac:dyDescent="0.35">
      <c r="N5859" s="10"/>
    </row>
    <row r="5860" spans="14:14" ht="21" customHeight="1" x14ac:dyDescent="0.35">
      <c r="N5860" s="10"/>
    </row>
    <row r="5861" spans="14:14" ht="21" customHeight="1" x14ac:dyDescent="0.35">
      <c r="N5861" s="10"/>
    </row>
    <row r="5862" spans="14:14" ht="21" customHeight="1" x14ac:dyDescent="0.35">
      <c r="N5862" s="10"/>
    </row>
    <row r="5863" spans="14:14" ht="21" customHeight="1" x14ac:dyDescent="0.35">
      <c r="N5863" s="10"/>
    </row>
    <row r="5864" spans="14:14" ht="21" customHeight="1" x14ac:dyDescent="0.35">
      <c r="N5864" s="10"/>
    </row>
    <row r="5865" spans="14:14" ht="21" customHeight="1" x14ac:dyDescent="0.35">
      <c r="N5865" s="10"/>
    </row>
    <row r="5866" spans="14:14" ht="21" customHeight="1" x14ac:dyDescent="0.35">
      <c r="N5866" s="10"/>
    </row>
    <row r="5867" spans="14:14" ht="21" customHeight="1" x14ac:dyDescent="0.35">
      <c r="N5867" s="10"/>
    </row>
    <row r="5868" spans="14:14" ht="21" customHeight="1" x14ac:dyDescent="0.35">
      <c r="N5868" s="10"/>
    </row>
    <row r="5869" spans="14:14" ht="21" customHeight="1" x14ac:dyDescent="0.35">
      <c r="N5869" s="10"/>
    </row>
    <row r="5870" spans="14:14" ht="21" customHeight="1" x14ac:dyDescent="0.35">
      <c r="N5870" s="10"/>
    </row>
    <row r="5871" spans="14:14" ht="21" customHeight="1" x14ac:dyDescent="0.35">
      <c r="N5871" s="10"/>
    </row>
    <row r="5872" spans="14:14" ht="21" customHeight="1" x14ac:dyDescent="0.35">
      <c r="N5872" s="10"/>
    </row>
    <row r="5873" spans="14:14" ht="21" customHeight="1" x14ac:dyDescent="0.35">
      <c r="N5873" s="10"/>
    </row>
    <row r="5874" spans="14:14" ht="21" customHeight="1" x14ac:dyDescent="0.35">
      <c r="N5874" s="10"/>
    </row>
    <row r="5875" spans="14:14" ht="21" customHeight="1" x14ac:dyDescent="0.35">
      <c r="N5875" s="10"/>
    </row>
    <row r="5876" spans="14:14" ht="21" customHeight="1" x14ac:dyDescent="0.35">
      <c r="N5876" s="10"/>
    </row>
    <row r="5877" spans="14:14" ht="21" customHeight="1" x14ac:dyDescent="0.35">
      <c r="N5877" s="10"/>
    </row>
    <row r="5878" spans="14:14" ht="21" customHeight="1" x14ac:dyDescent="0.35">
      <c r="N5878" s="10"/>
    </row>
    <row r="5879" spans="14:14" ht="21" customHeight="1" x14ac:dyDescent="0.35">
      <c r="N5879" s="10"/>
    </row>
    <row r="5880" spans="14:14" ht="21" customHeight="1" x14ac:dyDescent="0.35">
      <c r="N5880" s="10"/>
    </row>
    <row r="5881" spans="14:14" ht="21" customHeight="1" x14ac:dyDescent="0.35">
      <c r="N5881" s="10"/>
    </row>
    <row r="5882" spans="14:14" ht="21" customHeight="1" x14ac:dyDescent="0.35">
      <c r="N5882" s="10"/>
    </row>
    <row r="5883" spans="14:14" ht="21" customHeight="1" x14ac:dyDescent="0.35">
      <c r="N5883" s="10"/>
    </row>
    <row r="5884" spans="14:14" ht="21" customHeight="1" x14ac:dyDescent="0.35">
      <c r="N5884" s="10"/>
    </row>
    <row r="5885" spans="14:14" ht="21" customHeight="1" x14ac:dyDescent="0.35">
      <c r="N5885" s="10"/>
    </row>
    <row r="5886" spans="14:14" ht="21" customHeight="1" x14ac:dyDescent="0.35">
      <c r="N5886" s="10"/>
    </row>
    <row r="5887" spans="14:14" ht="21" customHeight="1" x14ac:dyDescent="0.35">
      <c r="N5887" s="10"/>
    </row>
    <row r="5888" spans="14:14" ht="21" customHeight="1" x14ac:dyDescent="0.35">
      <c r="N5888" s="10"/>
    </row>
    <row r="5889" spans="14:14" ht="21" customHeight="1" x14ac:dyDescent="0.35">
      <c r="N5889" s="10"/>
    </row>
    <row r="5890" spans="14:14" ht="21" customHeight="1" x14ac:dyDescent="0.35">
      <c r="N5890" s="10"/>
    </row>
    <row r="5891" spans="14:14" ht="21" customHeight="1" x14ac:dyDescent="0.35">
      <c r="N5891" s="10"/>
    </row>
    <row r="5892" spans="14:14" ht="21" customHeight="1" x14ac:dyDescent="0.35">
      <c r="N5892" s="10"/>
    </row>
    <row r="5893" spans="14:14" ht="21" customHeight="1" x14ac:dyDescent="0.35">
      <c r="N5893" s="10"/>
    </row>
    <row r="5894" spans="14:14" ht="21" customHeight="1" x14ac:dyDescent="0.35">
      <c r="N5894" s="10"/>
    </row>
    <row r="5895" spans="14:14" ht="21" customHeight="1" x14ac:dyDescent="0.35">
      <c r="N5895" s="10"/>
    </row>
    <row r="5896" spans="14:14" ht="21" customHeight="1" x14ac:dyDescent="0.35">
      <c r="N5896" s="10"/>
    </row>
    <row r="5897" spans="14:14" ht="21" customHeight="1" x14ac:dyDescent="0.35">
      <c r="N5897" s="10"/>
    </row>
    <row r="5898" spans="14:14" ht="21" customHeight="1" x14ac:dyDescent="0.35">
      <c r="N5898" s="10"/>
    </row>
    <row r="5899" spans="14:14" ht="21" customHeight="1" x14ac:dyDescent="0.35">
      <c r="N5899" s="10"/>
    </row>
    <row r="5900" spans="14:14" ht="21" customHeight="1" x14ac:dyDescent="0.35">
      <c r="N5900" s="10"/>
    </row>
    <row r="5901" spans="14:14" ht="21" customHeight="1" x14ac:dyDescent="0.35">
      <c r="N5901" s="10"/>
    </row>
    <row r="5902" spans="14:14" ht="21" customHeight="1" x14ac:dyDescent="0.35">
      <c r="N5902" s="10"/>
    </row>
    <row r="5903" spans="14:14" ht="21" customHeight="1" x14ac:dyDescent="0.35">
      <c r="N5903" s="10"/>
    </row>
    <row r="5904" spans="14:14" ht="21" customHeight="1" x14ac:dyDescent="0.35">
      <c r="N5904" s="10"/>
    </row>
    <row r="5905" spans="14:14" ht="21" customHeight="1" x14ac:dyDescent="0.35">
      <c r="N5905" s="10"/>
    </row>
    <row r="5906" spans="14:14" ht="21" customHeight="1" x14ac:dyDescent="0.35">
      <c r="N5906" s="10"/>
    </row>
    <row r="5907" spans="14:14" ht="21" customHeight="1" x14ac:dyDescent="0.35">
      <c r="N5907" s="10"/>
    </row>
    <row r="5908" spans="14:14" ht="21" customHeight="1" x14ac:dyDescent="0.35">
      <c r="N5908" s="10"/>
    </row>
    <row r="5909" spans="14:14" ht="21" customHeight="1" x14ac:dyDescent="0.35">
      <c r="N5909" s="10"/>
    </row>
    <row r="5910" spans="14:14" ht="21" customHeight="1" x14ac:dyDescent="0.35">
      <c r="N5910" s="10"/>
    </row>
    <row r="5911" spans="14:14" ht="21" customHeight="1" x14ac:dyDescent="0.35">
      <c r="N5911" s="10"/>
    </row>
    <row r="5912" spans="14:14" ht="21" customHeight="1" x14ac:dyDescent="0.35">
      <c r="N5912" s="10"/>
    </row>
    <row r="5913" spans="14:14" ht="21" customHeight="1" x14ac:dyDescent="0.35">
      <c r="N5913" s="10"/>
    </row>
    <row r="5914" spans="14:14" ht="21" customHeight="1" x14ac:dyDescent="0.35">
      <c r="N5914" s="10"/>
    </row>
    <row r="5915" spans="14:14" ht="21" customHeight="1" x14ac:dyDescent="0.35">
      <c r="N5915" s="10"/>
    </row>
    <row r="5916" spans="14:14" ht="21" customHeight="1" x14ac:dyDescent="0.35">
      <c r="N5916" s="10"/>
    </row>
    <row r="5917" spans="14:14" ht="21" customHeight="1" x14ac:dyDescent="0.35">
      <c r="N5917" s="10"/>
    </row>
    <row r="5918" spans="14:14" ht="21" customHeight="1" x14ac:dyDescent="0.35">
      <c r="N5918" s="10"/>
    </row>
    <row r="5919" spans="14:14" ht="21" customHeight="1" x14ac:dyDescent="0.35">
      <c r="N5919" s="10"/>
    </row>
    <row r="5920" spans="14:14" ht="21" customHeight="1" x14ac:dyDescent="0.35">
      <c r="N5920" s="10"/>
    </row>
    <row r="5921" spans="14:14" ht="21" customHeight="1" x14ac:dyDescent="0.35">
      <c r="N5921" s="10"/>
    </row>
    <row r="5922" spans="14:14" ht="21" customHeight="1" x14ac:dyDescent="0.35">
      <c r="N5922" s="10"/>
    </row>
    <row r="5923" spans="14:14" ht="21" customHeight="1" x14ac:dyDescent="0.35">
      <c r="N5923" s="10"/>
    </row>
    <row r="5924" spans="14:14" ht="21" customHeight="1" x14ac:dyDescent="0.35">
      <c r="N5924" s="10"/>
    </row>
    <row r="5925" spans="14:14" ht="21" customHeight="1" x14ac:dyDescent="0.35">
      <c r="N5925" s="10"/>
    </row>
    <row r="5926" spans="14:14" ht="21" customHeight="1" x14ac:dyDescent="0.35">
      <c r="N5926" s="10"/>
    </row>
    <row r="5927" spans="14:14" ht="21" customHeight="1" x14ac:dyDescent="0.35">
      <c r="N5927" s="10"/>
    </row>
    <row r="5928" spans="14:14" ht="21" customHeight="1" x14ac:dyDescent="0.35">
      <c r="N5928" s="10"/>
    </row>
    <row r="5929" spans="14:14" ht="21" customHeight="1" x14ac:dyDescent="0.35">
      <c r="N5929" s="10"/>
    </row>
    <row r="5930" spans="14:14" ht="21" customHeight="1" x14ac:dyDescent="0.35">
      <c r="N5930" s="10"/>
    </row>
    <row r="5931" spans="14:14" ht="21" customHeight="1" x14ac:dyDescent="0.35">
      <c r="N5931" s="10"/>
    </row>
    <row r="5932" spans="14:14" ht="21" customHeight="1" x14ac:dyDescent="0.35">
      <c r="N5932" s="10"/>
    </row>
    <row r="5933" spans="14:14" ht="21" customHeight="1" x14ac:dyDescent="0.35">
      <c r="N5933" s="10"/>
    </row>
    <row r="5934" spans="14:14" ht="21" customHeight="1" x14ac:dyDescent="0.35">
      <c r="N5934" s="10"/>
    </row>
    <row r="5935" spans="14:14" ht="21" customHeight="1" x14ac:dyDescent="0.35">
      <c r="N5935" s="10"/>
    </row>
    <row r="5936" spans="14:14" ht="21" customHeight="1" x14ac:dyDescent="0.35">
      <c r="N5936" s="10"/>
    </row>
    <row r="5937" spans="14:14" ht="21" customHeight="1" x14ac:dyDescent="0.35">
      <c r="N5937" s="10"/>
    </row>
    <row r="5938" spans="14:14" ht="21" customHeight="1" x14ac:dyDescent="0.35">
      <c r="N5938" s="10"/>
    </row>
    <row r="5939" spans="14:14" ht="21" customHeight="1" x14ac:dyDescent="0.35">
      <c r="N5939" s="10"/>
    </row>
    <row r="5940" spans="14:14" ht="21" customHeight="1" x14ac:dyDescent="0.35">
      <c r="N5940" s="10"/>
    </row>
    <row r="5941" spans="14:14" ht="21" customHeight="1" x14ac:dyDescent="0.35">
      <c r="N5941" s="10"/>
    </row>
    <row r="5942" spans="14:14" ht="21" customHeight="1" x14ac:dyDescent="0.35">
      <c r="N5942" s="10"/>
    </row>
    <row r="5943" spans="14:14" ht="21" customHeight="1" x14ac:dyDescent="0.35">
      <c r="N5943" s="10"/>
    </row>
    <row r="5944" spans="14:14" ht="21" customHeight="1" x14ac:dyDescent="0.35">
      <c r="N5944" s="10"/>
    </row>
    <row r="5945" spans="14:14" ht="21" customHeight="1" x14ac:dyDescent="0.35">
      <c r="N5945" s="10"/>
    </row>
    <row r="5946" spans="14:14" ht="21" customHeight="1" x14ac:dyDescent="0.35">
      <c r="N5946" s="10"/>
    </row>
    <row r="5947" spans="14:14" ht="21" customHeight="1" x14ac:dyDescent="0.35">
      <c r="N5947" s="10"/>
    </row>
    <row r="5948" spans="14:14" ht="21" customHeight="1" x14ac:dyDescent="0.35">
      <c r="N5948" s="10"/>
    </row>
    <row r="5949" spans="14:14" ht="21" customHeight="1" x14ac:dyDescent="0.35">
      <c r="N5949" s="10"/>
    </row>
    <row r="5950" spans="14:14" ht="21" customHeight="1" x14ac:dyDescent="0.35">
      <c r="N5950" s="10"/>
    </row>
    <row r="5951" spans="14:14" ht="21" customHeight="1" x14ac:dyDescent="0.35">
      <c r="N5951" s="10"/>
    </row>
    <row r="5952" spans="14:14" ht="21" customHeight="1" x14ac:dyDescent="0.35">
      <c r="N5952" s="10"/>
    </row>
    <row r="5953" spans="14:14" ht="21" customHeight="1" x14ac:dyDescent="0.35">
      <c r="N5953" s="10"/>
    </row>
    <row r="5954" spans="14:14" ht="21" customHeight="1" x14ac:dyDescent="0.35">
      <c r="N5954" s="10"/>
    </row>
    <row r="5955" spans="14:14" ht="21" customHeight="1" x14ac:dyDescent="0.35">
      <c r="N5955" s="10"/>
    </row>
    <row r="5956" spans="14:14" ht="21" customHeight="1" x14ac:dyDescent="0.35">
      <c r="N5956" s="10"/>
    </row>
    <row r="5957" spans="14:14" ht="21" customHeight="1" x14ac:dyDescent="0.35">
      <c r="N5957" s="10"/>
    </row>
    <row r="5958" spans="14:14" ht="21" customHeight="1" x14ac:dyDescent="0.35">
      <c r="N5958" s="10"/>
    </row>
    <row r="5959" spans="14:14" ht="21" customHeight="1" x14ac:dyDescent="0.35">
      <c r="N5959" s="10"/>
    </row>
    <row r="5960" spans="14:14" ht="21" customHeight="1" x14ac:dyDescent="0.35">
      <c r="N5960" s="10"/>
    </row>
    <row r="5961" spans="14:14" ht="21" customHeight="1" x14ac:dyDescent="0.35">
      <c r="N5961" s="10"/>
    </row>
    <row r="5962" spans="14:14" ht="21" customHeight="1" x14ac:dyDescent="0.35">
      <c r="N5962" s="10"/>
    </row>
    <row r="5963" spans="14:14" ht="21" customHeight="1" x14ac:dyDescent="0.35">
      <c r="N5963" s="10"/>
    </row>
    <row r="5964" spans="14:14" ht="21" customHeight="1" x14ac:dyDescent="0.35">
      <c r="N5964" s="10"/>
    </row>
    <row r="5965" spans="14:14" ht="21" customHeight="1" x14ac:dyDescent="0.35">
      <c r="N5965" s="10"/>
    </row>
    <row r="5966" spans="14:14" ht="21" customHeight="1" x14ac:dyDescent="0.35">
      <c r="N5966" s="10"/>
    </row>
    <row r="5967" spans="14:14" ht="21" customHeight="1" x14ac:dyDescent="0.35">
      <c r="N5967" s="10"/>
    </row>
    <row r="5968" spans="14:14" ht="21" customHeight="1" x14ac:dyDescent="0.35">
      <c r="N5968" s="10"/>
    </row>
    <row r="5969" spans="14:14" ht="21" customHeight="1" x14ac:dyDescent="0.35">
      <c r="N5969" s="10"/>
    </row>
    <row r="5970" spans="14:14" ht="21" customHeight="1" x14ac:dyDescent="0.35">
      <c r="N5970" s="10"/>
    </row>
    <row r="5971" spans="14:14" ht="21" customHeight="1" x14ac:dyDescent="0.35">
      <c r="N5971" s="10"/>
    </row>
    <row r="5972" spans="14:14" ht="21" customHeight="1" x14ac:dyDescent="0.35">
      <c r="N5972" s="10"/>
    </row>
    <row r="5973" spans="14:14" ht="21" customHeight="1" x14ac:dyDescent="0.35">
      <c r="N5973" s="10"/>
    </row>
    <row r="5974" spans="14:14" ht="21" customHeight="1" x14ac:dyDescent="0.35">
      <c r="N5974" s="10"/>
    </row>
    <row r="5975" spans="14:14" ht="21" customHeight="1" x14ac:dyDescent="0.35">
      <c r="N5975" s="10"/>
    </row>
    <row r="5976" spans="14:14" ht="21" customHeight="1" x14ac:dyDescent="0.35">
      <c r="N5976" s="10"/>
    </row>
    <row r="5977" spans="14:14" ht="21" customHeight="1" x14ac:dyDescent="0.35">
      <c r="N5977" s="10"/>
    </row>
    <row r="5978" spans="14:14" ht="21" customHeight="1" x14ac:dyDescent="0.35">
      <c r="N5978" s="10"/>
    </row>
    <row r="5979" spans="14:14" ht="21" customHeight="1" x14ac:dyDescent="0.35">
      <c r="N5979" s="10"/>
    </row>
    <row r="5980" spans="14:14" ht="21" customHeight="1" x14ac:dyDescent="0.35">
      <c r="N5980" s="10"/>
    </row>
    <row r="5981" spans="14:14" ht="21" customHeight="1" x14ac:dyDescent="0.35">
      <c r="N5981" s="10"/>
    </row>
    <row r="5982" spans="14:14" ht="21" customHeight="1" x14ac:dyDescent="0.35">
      <c r="N5982" s="10"/>
    </row>
    <row r="5983" spans="14:14" ht="21" customHeight="1" x14ac:dyDescent="0.35">
      <c r="N5983" s="10"/>
    </row>
    <row r="5984" spans="14:14" ht="21" customHeight="1" x14ac:dyDescent="0.35">
      <c r="N5984" s="10"/>
    </row>
    <row r="5985" spans="14:14" ht="21" customHeight="1" x14ac:dyDescent="0.35">
      <c r="N5985" s="10"/>
    </row>
    <row r="5986" spans="14:14" ht="21" customHeight="1" x14ac:dyDescent="0.35">
      <c r="N5986" s="10"/>
    </row>
    <row r="5987" spans="14:14" ht="21" customHeight="1" x14ac:dyDescent="0.35">
      <c r="N5987" s="10"/>
    </row>
    <row r="5988" spans="14:14" ht="21" customHeight="1" x14ac:dyDescent="0.35">
      <c r="N5988" s="10"/>
    </row>
    <row r="5989" spans="14:14" ht="21" customHeight="1" x14ac:dyDescent="0.35">
      <c r="N5989" s="10"/>
    </row>
    <row r="5990" spans="14:14" ht="21" customHeight="1" x14ac:dyDescent="0.35">
      <c r="N5990" s="10"/>
    </row>
    <row r="5991" spans="14:14" ht="21" customHeight="1" x14ac:dyDescent="0.35">
      <c r="N5991" s="10"/>
    </row>
    <row r="5992" spans="14:14" ht="21" customHeight="1" x14ac:dyDescent="0.35">
      <c r="N5992" s="10"/>
    </row>
    <row r="5993" spans="14:14" ht="21" customHeight="1" x14ac:dyDescent="0.35">
      <c r="N5993" s="10"/>
    </row>
    <row r="5994" spans="14:14" ht="21" customHeight="1" x14ac:dyDescent="0.35">
      <c r="N5994" s="10"/>
    </row>
    <row r="5995" spans="14:14" ht="21" customHeight="1" x14ac:dyDescent="0.35">
      <c r="N5995" s="10"/>
    </row>
    <row r="5996" spans="14:14" ht="21" customHeight="1" x14ac:dyDescent="0.35">
      <c r="N5996" s="10"/>
    </row>
    <row r="5997" spans="14:14" ht="21" customHeight="1" x14ac:dyDescent="0.35">
      <c r="N5997" s="10"/>
    </row>
    <row r="5998" spans="14:14" ht="21" customHeight="1" x14ac:dyDescent="0.35">
      <c r="N5998" s="10"/>
    </row>
    <row r="5999" spans="14:14" ht="21" customHeight="1" x14ac:dyDescent="0.35">
      <c r="N5999" s="10"/>
    </row>
    <row r="6000" spans="14:14" ht="21" customHeight="1" x14ac:dyDescent="0.35">
      <c r="N6000" s="10"/>
    </row>
    <row r="6001" spans="14:14" ht="21" customHeight="1" x14ac:dyDescent="0.35">
      <c r="N6001" s="10"/>
    </row>
    <row r="6002" spans="14:14" ht="21" customHeight="1" x14ac:dyDescent="0.35">
      <c r="N6002" s="10"/>
    </row>
    <row r="6003" spans="14:14" ht="21" customHeight="1" x14ac:dyDescent="0.35">
      <c r="N6003" s="10"/>
    </row>
    <row r="6004" spans="14:14" ht="21" customHeight="1" x14ac:dyDescent="0.35">
      <c r="N6004" s="10"/>
    </row>
    <row r="6005" spans="14:14" ht="21" customHeight="1" x14ac:dyDescent="0.35">
      <c r="N6005" s="10"/>
    </row>
    <row r="6006" spans="14:14" ht="21" customHeight="1" x14ac:dyDescent="0.35">
      <c r="N6006" s="10"/>
    </row>
    <row r="6007" spans="14:14" ht="21" customHeight="1" x14ac:dyDescent="0.35">
      <c r="N6007" s="10"/>
    </row>
    <row r="6008" spans="14:14" ht="21" customHeight="1" x14ac:dyDescent="0.35">
      <c r="N6008" s="10"/>
    </row>
    <row r="6009" spans="14:14" ht="21" customHeight="1" x14ac:dyDescent="0.35">
      <c r="N6009" s="10"/>
    </row>
    <row r="6010" spans="14:14" ht="21" customHeight="1" x14ac:dyDescent="0.35">
      <c r="N6010" s="10"/>
    </row>
    <row r="6011" spans="14:14" ht="21" customHeight="1" x14ac:dyDescent="0.35">
      <c r="N6011" s="10"/>
    </row>
    <row r="6012" spans="14:14" ht="21" customHeight="1" x14ac:dyDescent="0.35">
      <c r="N6012" s="10"/>
    </row>
    <row r="6013" spans="14:14" ht="21" customHeight="1" x14ac:dyDescent="0.35">
      <c r="N6013" s="10"/>
    </row>
    <row r="6014" spans="14:14" ht="21" customHeight="1" x14ac:dyDescent="0.35">
      <c r="N6014" s="10"/>
    </row>
    <row r="6015" spans="14:14" ht="21" customHeight="1" x14ac:dyDescent="0.35">
      <c r="N6015" s="10"/>
    </row>
    <row r="6016" spans="14:14" ht="21" customHeight="1" x14ac:dyDescent="0.35">
      <c r="N6016" s="10"/>
    </row>
    <row r="6017" spans="14:14" ht="21" customHeight="1" x14ac:dyDescent="0.35">
      <c r="N6017" s="10"/>
    </row>
    <row r="6018" spans="14:14" ht="21" customHeight="1" x14ac:dyDescent="0.35">
      <c r="N6018" s="10"/>
    </row>
    <row r="6019" spans="14:14" ht="21" customHeight="1" x14ac:dyDescent="0.35">
      <c r="N6019" s="10"/>
    </row>
    <row r="6020" spans="14:14" ht="21" customHeight="1" x14ac:dyDescent="0.35">
      <c r="N6020" s="10"/>
    </row>
    <row r="6021" spans="14:14" ht="21" customHeight="1" x14ac:dyDescent="0.35">
      <c r="N6021" s="10"/>
    </row>
    <row r="6022" spans="14:14" ht="21" customHeight="1" x14ac:dyDescent="0.35">
      <c r="N6022" s="10"/>
    </row>
    <row r="6023" spans="14:14" ht="21" customHeight="1" x14ac:dyDescent="0.35">
      <c r="N6023" s="10"/>
    </row>
    <row r="6024" spans="14:14" ht="21" customHeight="1" x14ac:dyDescent="0.35">
      <c r="N6024" s="10"/>
    </row>
    <row r="6025" spans="14:14" ht="21" customHeight="1" x14ac:dyDescent="0.35">
      <c r="N6025" s="10"/>
    </row>
    <row r="6026" spans="14:14" ht="21" customHeight="1" x14ac:dyDescent="0.35">
      <c r="N6026" s="10"/>
    </row>
    <row r="6027" spans="14:14" ht="21" customHeight="1" x14ac:dyDescent="0.35">
      <c r="N6027" s="10"/>
    </row>
    <row r="6028" spans="14:14" ht="21" customHeight="1" x14ac:dyDescent="0.35">
      <c r="N6028" s="10"/>
    </row>
    <row r="6029" spans="14:14" ht="21" customHeight="1" x14ac:dyDescent="0.35">
      <c r="N6029" s="10"/>
    </row>
    <row r="6030" spans="14:14" ht="21" customHeight="1" x14ac:dyDescent="0.35">
      <c r="N6030" s="10"/>
    </row>
    <row r="6031" spans="14:14" ht="21" customHeight="1" x14ac:dyDescent="0.35">
      <c r="N6031" s="10"/>
    </row>
    <row r="6032" spans="14:14" ht="21" customHeight="1" x14ac:dyDescent="0.35">
      <c r="N6032" s="10"/>
    </row>
    <row r="6033" spans="14:14" ht="21" customHeight="1" x14ac:dyDescent="0.35">
      <c r="N6033" s="10"/>
    </row>
    <row r="6034" spans="14:14" ht="21" customHeight="1" x14ac:dyDescent="0.35">
      <c r="N6034" s="10"/>
    </row>
    <row r="6035" spans="14:14" ht="21" customHeight="1" x14ac:dyDescent="0.35">
      <c r="N6035" s="10"/>
    </row>
    <row r="6036" spans="14:14" ht="21" customHeight="1" x14ac:dyDescent="0.35">
      <c r="N6036" s="10"/>
    </row>
    <row r="6037" spans="14:14" ht="21" customHeight="1" x14ac:dyDescent="0.35">
      <c r="N6037" s="10"/>
    </row>
    <row r="6038" spans="14:14" ht="21" customHeight="1" x14ac:dyDescent="0.35">
      <c r="N6038" s="10"/>
    </row>
    <row r="6039" spans="14:14" ht="21" customHeight="1" x14ac:dyDescent="0.35">
      <c r="N6039" s="10"/>
    </row>
    <row r="6040" spans="14:14" ht="21" customHeight="1" x14ac:dyDescent="0.35">
      <c r="N6040" s="10"/>
    </row>
    <row r="6041" spans="14:14" ht="21" customHeight="1" x14ac:dyDescent="0.35">
      <c r="N6041" s="10"/>
    </row>
    <row r="6042" spans="14:14" ht="21" customHeight="1" x14ac:dyDescent="0.35">
      <c r="N6042" s="10"/>
    </row>
    <row r="6043" spans="14:14" ht="21" customHeight="1" x14ac:dyDescent="0.35">
      <c r="N6043" s="10"/>
    </row>
    <row r="6044" spans="14:14" ht="21" customHeight="1" x14ac:dyDescent="0.35">
      <c r="N6044" s="10"/>
    </row>
    <row r="6045" spans="14:14" ht="21" customHeight="1" x14ac:dyDescent="0.35">
      <c r="N6045" s="10"/>
    </row>
    <row r="6046" spans="14:14" ht="21" customHeight="1" x14ac:dyDescent="0.35">
      <c r="N6046" s="10"/>
    </row>
    <row r="6047" spans="14:14" ht="21" customHeight="1" x14ac:dyDescent="0.35">
      <c r="N6047" s="10"/>
    </row>
    <row r="6048" spans="14:14" ht="21" customHeight="1" x14ac:dyDescent="0.35">
      <c r="N6048" s="10"/>
    </row>
    <row r="6049" spans="14:14" ht="21" customHeight="1" x14ac:dyDescent="0.35">
      <c r="N6049" s="10"/>
    </row>
    <row r="6050" spans="14:14" ht="21" customHeight="1" x14ac:dyDescent="0.35">
      <c r="N6050" s="10"/>
    </row>
    <row r="6051" spans="14:14" ht="21" customHeight="1" x14ac:dyDescent="0.35">
      <c r="N6051" s="10"/>
    </row>
    <row r="6052" spans="14:14" ht="21" customHeight="1" x14ac:dyDescent="0.35">
      <c r="N6052" s="10"/>
    </row>
    <row r="6053" spans="14:14" ht="21" customHeight="1" x14ac:dyDescent="0.35">
      <c r="N6053" s="10"/>
    </row>
    <row r="6054" spans="14:14" ht="21" customHeight="1" x14ac:dyDescent="0.35">
      <c r="N6054" s="10"/>
    </row>
    <row r="6055" spans="14:14" ht="21" customHeight="1" x14ac:dyDescent="0.35">
      <c r="N6055" s="10"/>
    </row>
    <row r="6056" spans="14:14" ht="21" customHeight="1" x14ac:dyDescent="0.35">
      <c r="N6056" s="10"/>
    </row>
    <row r="6057" spans="14:14" ht="21" customHeight="1" x14ac:dyDescent="0.35">
      <c r="N6057" s="10"/>
    </row>
    <row r="6058" spans="14:14" ht="21" customHeight="1" x14ac:dyDescent="0.35">
      <c r="N6058" s="10"/>
    </row>
    <row r="6059" spans="14:14" ht="21" customHeight="1" x14ac:dyDescent="0.35">
      <c r="N6059" s="10"/>
    </row>
    <row r="6060" spans="14:14" ht="21" customHeight="1" x14ac:dyDescent="0.35">
      <c r="N6060" s="10"/>
    </row>
    <row r="6061" spans="14:14" ht="21" customHeight="1" x14ac:dyDescent="0.35">
      <c r="N6061" s="10"/>
    </row>
    <row r="6062" spans="14:14" ht="21" customHeight="1" x14ac:dyDescent="0.35">
      <c r="N6062" s="10"/>
    </row>
    <row r="6063" spans="14:14" ht="21" customHeight="1" x14ac:dyDescent="0.35">
      <c r="N6063" s="10"/>
    </row>
    <row r="6064" spans="14:14" ht="21" customHeight="1" x14ac:dyDescent="0.35">
      <c r="N6064" s="10"/>
    </row>
    <row r="6065" spans="14:14" ht="21" customHeight="1" x14ac:dyDescent="0.35">
      <c r="N6065" s="10"/>
    </row>
    <row r="6066" spans="14:14" ht="21" customHeight="1" x14ac:dyDescent="0.35">
      <c r="N6066" s="10"/>
    </row>
    <row r="6067" spans="14:14" ht="21" customHeight="1" x14ac:dyDescent="0.35">
      <c r="N6067" s="10"/>
    </row>
    <row r="6068" spans="14:14" ht="21" customHeight="1" x14ac:dyDescent="0.35">
      <c r="N6068" s="10"/>
    </row>
    <row r="6069" spans="14:14" ht="21" customHeight="1" x14ac:dyDescent="0.35">
      <c r="N6069" s="10"/>
    </row>
    <row r="6070" spans="14:14" ht="21" customHeight="1" x14ac:dyDescent="0.35">
      <c r="N6070" s="10"/>
    </row>
    <row r="6071" spans="14:14" ht="21" customHeight="1" x14ac:dyDescent="0.35">
      <c r="N6071" s="10"/>
    </row>
    <row r="6072" spans="14:14" ht="21" customHeight="1" x14ac:dyDescent="0.35">
      <c r="N6072" s="10"/>
    </row>
    <row r="6073" spans="14:14" ht="21" customHeight="1" x14ac:dyDescent="0.35">
      <c r="N6073" s="10"/>
    </row>
    <row r="6074" spans="14:14" ht="21" customHeight="1" x14ac:dyDescent="0.35">
      <c r="N6074" s="10"/>
    </row>
    <row r="6075" spans="14:14" ht="21" customHeight="1" x14ac:dyDescent="0.35">
      <c r="N6075" s="10"/>
    </row>
    <row r="6076" spans="14:14" ht="21" customHeight="1" x14ac:dyDescent="0.35">
      <c r="N6076" s="10"/>
    </row>
    <row r="6077" spans="14:14" ht="21" customHeight="1" x14ac:dyDescent="0.35">
      <c r="N6077" s="10"/>
    </row>
    <row r="6078" spans="14:14" ht="21" customHeight="1" x14ac:dyDescent="0.35">
      <c r="N6078" s="10"/>
    </row>
    <row r="6079" spans="14:14" ht="21" customHeight="1" x14ac:dyDescent="0.35">
      <c r="N6079" s="10"/>
    </row>
    <row r="6080" spans="14:14" ht="21" customHeight="1" x14ac:dyDescent="0.35">
      <c r="N6080" s="10"/>
    </row>
    <row r="6081" spans="14:14" ht="21" customHeight="1" x14ac:dyDescent="0.35">
      <c r="N6081" s="10"/>
    </row>
    <row r="6082" spans="14:14" ht="21" customHeight="1" x14ac:dyDescent="0.35">
      <c r="N6082" s="10"/>
    </row>
    <row r="6083" spans="14:14" ht="21" customHeight="1" x14ac:dyDescent="0.35">
      <c r="N6083" s="10"/>
    </row>
    <row r="6084" spans="14:14" ht="21" customHeight="1" x14ac:dyDescent="0.35">
      <c r="N6084" s="10"/>
    </row>
    <row r="6085" spans="14:14" ht="21" customHeight="1" x14ac:dyDescent="0.35">
      <c r="N6085" s="10"/>
    </row>
    <row r="6086" spans="14:14" ht="21" customHeight="1" x14ac:dyDescent="0.35">
      <c r="N6086" s="10"/>
    </row>
    <row r="6087" spans="14:14" ht="21" customHeight="1" x14ac:dyDescent="0.35">
      <c r="N6087" s="10"/>
    </row>
    <row r="6088" spans="14:14" ht="21" customHeight="1" x14ac:dyDescent="0.35">
      <c r="N6088" s="10"/>
    </row>
    <row r="6089" spans="14:14" ht="21" customHeight="1" x14ac:dyDescent="0.35">
      <c r="N6089" s="10"/>
    </row>
    <row r="6090" spans="14:14" ht="21" customHeight="1" x14ac:dyDescent="0.35">
      <c r="N6090" s="10"/>
    </row>
    <row r="6091" spans="14:14" ht="21" customHeight="1" x14ac:dyDescent="0.35">
      <c r="N6091" s="10"/>
    </row>
    <row r="6092" spans="14:14" ht="21" customHeight="1" x14ac:dyDescent="0.35">
      <c r="N6092" s="10"/>
    </row>
    <row r="6093" spans="14:14" ht="21" customHeight="1" x14ac:dyDescent="0.35">
      <c r="N6093" s="10"/>
    </row>
    <row r="6094" spans="14:14" ht="21" customHeight="1" x14ac:dyDescent="0.35">
      <c r="N6094" s="10"/>
    </row>
    <row r="6095" spans="14:14" ht="21" customHeight="1" x14ac:dyDescent="0.35">
      <c r="N6095" s="10"/>
    </row>
    <row r="6096" spans="14:14" ht="21" customHeight="1" x14ac:dyDescent="0.35">
      <c r="N6096" s="10"/>
    </row>
    <row r="6097" spans="14:14" ht="21" customHeight="1" x14ac:dyDescent="0.35">
      <c r="N6097" s="10"/>
    </row>
    <row r="6098" spans="14:14" ht="21" customHeight="1" x14ac:dyDescent="0.35">
      <c r="N6098" s="10"/>
    </row>
    <row r="6099" spans="14:14" ht="21" customHeight="1" x14ac:dyDescent="0.35">
      <c r="N6099" s="10"/>
    </row>
    <row r="6100" spans="14:14" ht="21" customHeight="1" x14ac:dyDescent="0.35">
      <c r="N6100" s="10"/>
    </row>
    <row r="6101" spans="14:14" ht="21" customHeight="1" x14ac:dyDescent="0.35">
      <c r="N6101" s="10"/>
    </row>
    <row r="6102" spans="14:14" ht="21" customHeight="1" x14ac:dyDescent="0.35">
      <c r="N6102" s="10"/>
    </row>
    <row r="6103" spans="14:14" ht="21" customHeight="1" x14ac:dyDescent="0.35">
      <c r="N6103" s="10"/>
    </row>
    <row r="6104" spans="14:14" ht="21" customHeight="1" x14ac:dyDescent="0.35">
      <c r="N6104" s="10"/>
    </row>
    <row r="6105" spans="14:14" ht="21" customHeight="1" x14ac:dyDescent="0.35">
      <c r="N6105" s="10"/>
    </row>
    <row r="6106" spans="14:14" ht="21" customHeight="1" x14ac:dyDescent="0.35">
      <c r="N6106" s="10"/>
    </row>
    <row r="6107" spans="14:14" ht="21" customHeight="1" x14ac:dyDescent="0.35">
      <c r="N6107" s="10"/>
    </row>
    <row r="6108" spans="14:14" ht="21" customHeight="1" x14ac:dyDescent="0.35">
      <c r="N6108" s="10"/>
    </row>
    <row r="6109" spans="14:14" ht="21" customHeight="1" x14ac:dyDescent="0.35">
      <c r="N6109" s="10"/>
    </row>
    <row r="6110" spans="14:14" ht="21" customHeight="1" x14ac:dyDescent="0.35">
      <c r="N6110" s="10"/>
    </row>
    <row r="6111" spans="14:14" ht="21" customHeight="1" x14ac:dyDescent="0.35">
      <c r="N6111" s="10"/>
    </row>
    <row r="6112" spans="14:14" ht="21" customHeight="1" x14ac:dyDescent="0.35">
      <c r="N6112" s="10"/>
    </row>
    <row r="6113" spans="14:14" ht="21" customHeight="1" x14ac:dyDescent="0.35">
      <c r="N6113" s="10"/>
    </row>
    <row r="6114" spans="14:14" ht="21" customHeight="1" x14ac:dyDescent="0.35">
      <c r="N6114" s="10"/>
    </row>
    <row r="6115" spans="14:14" ht="21" customHeight="1" x14ac:dyDescent="0.35">
      <c r="N6115" s="10"/>
    </row>
    <row r="6116" spans="14:14" ht="21" customHeight="1" x14ac:dyDescent="0.35">
      <c r="N6116" s="10"/>
    </row>
    <row r="6117" spans="14:14" ht="21" customHeight="1" x14ac:dyDescent="0.35">
      <c r="N6117" s="10"/>
    </row>
    <row r="6118" spans="14:14" ht="21" customHeight="1" x14ac:dyDescent="0.35">
      <c r="N6118" s="10"/>
    </row>
    <row r="6119" spans="14:14" ht="21" customHeight="1" x14ac:dyDescent="0.35">
      <c r="N6119" s="10"/>
    </row>
    <row r="6120" spans="14:14" ht="21" customHeight="1" x14ac:dyDescent="0.35">
      <c r="N6120" s="10"/>
    </row>
    <row r="6121" spans="14:14" ht="21" customHeight="1" x14ac:dyDescent="0.35">
      <c r="N6121" s="10"/>
    </row>
    <row r="6122" spans="14:14" ht="21" customHeight="1" x14ac:dyDescent="0.35">
      <c r="N6122" s="10"/>
    </row>
    <row r="6123" spans="14:14" ht="21" customHeight="1" x14ac:dyDescent="0.35">
      <c r="N6123" s="10"/>
    </row>
    <row r="6124" spans="14:14" ht="21" customHeight="1" x14ac:dyDescent="0.35">
      <c r="N6124" s="10"/>
    </row>
    <row r="6125" spans="14:14" ht="21" customHeight="1" x14ac:dyDescent="0.35">
      <c r="N6125" s="10"/>
    </row>
    <row r="6126" spans="14:14" ht="21" customHeight="1" x14ac:dyDescent="0.35">
      <c r="N6126" s="10"/>
    </row>
    <row r="6127" spans="14:14" ht="21" customHeight="1" x14ac:dyDescent="0.35">
      <c r="N6127" s="10"/>
    </row>
    <row r="6128" spans="14:14" ht="21" customHeight="1" x14ac:dyDescent="0.35">
      <c r="N6128" s="10"/>
    </row>
    <row r="6129" spans="14:14" ht="21" customHeight="1" x14ac:dyDescent="0.35">
      <c r="N6129" s="10"/>
    </row>
    <row r="6130" spans="14:14" ht="21" customHeight="1" x14ac:dyDescent="0.35">
      <c r="N6130" s="10"/>
    </row>
    <row r="6131" spans="14:14" ht="21" customHeight="1" x14ac:dyDescent="0.35">
      <c r="N6131" s="10"/>
    </row>
    <row r="6132" spans="14:14" ht="21" customHeight="1" x14ac:dyDescent="0.35">
      <c r="N6132" s="10"/>
    </row>
    <row r="6133" spans="14:14" ht="21" customHeight="1" x14ac:dyDescent="0.35">
      <c r="N6133" s="10"/>
    </row>
    <row r="6134" spans="14:14" ht="21" customHeight="1" x14ac:dyDescent="0.35">
      <c r="N6134" s="10"/>
    </row>
    <row r="6135" spans="14:14" ht="21" customHeight="1" x14ac:dyDescent="0.35">
      <c r="N6135" s="10"/>
    </row>
    <row r="6136" spans="14:14" ht="21" customHeight="1" x14ac:dyDescent="0.35">
      <c r="N6136" s="10"/>
    </row>
    <row r="6137" spans="14:14" ht="21" customHeight="1" x14ac:dyDescent="0.35">
      <c r="N6137" s="10"/>
    </row>
    <row r="6138" spans="14:14" ht="21" customHeight="1" x14ac:dyDescent="0.35">
      <c r="N6138" s="10"/>
    </row>
    <row r="6139" spans="14:14" ht="21" customHeight="1" x14ac:dyDescent="0.35">
      <c r="N6139" s="10"/>
    </row>
    <row r="6140" spans="14:14" ht="21" customHeight="1" x14ac:dyDescent="0.35">
      <c r="N6140" s="10"/>
    </row>
    <row r="6141" spans="14:14" ht="21" customHeight="1" x14ac:dyDescent="0.35">
      <c r="N6141" s="10"/>
    </row>
    <row r="6142" spans="14:14" ht="21" customHeight="1" x14ac:dyDescent="0.35">
      <c r="N6142" s="10"/>
    </row>
    <row r="6143" spans="14:14" ht="21" customHeight="1" x14ac:dyDescent="0.35">
      <c r="N6143" s="10"/>
    </row>
    <row r="6144" spans="14:14" ht="21" customHeight="1" x14ac:dyDescent="0.35">
      <c r="N6144" s="10"/>
    </row>
    <row r="6145" spans="14:14" ht="21" customHeight="1" x14ac:dyDescent="0.35">
      <c r="N6145" s="10"/>
    </row>
    <row r="6146" spans="14:14" ht="21" customHeight="1" x14ac:dyDescent="0.35">
      <c r="N6146" s="10"/>
    </row>
    <row r="6147" spans="14:14" ht="21" customHeight="1" x14ac:dyDescent="0.35">
      <c r="N6147" s="10"/>
    </row>
    <row r="6148" spans="14:14" ht="21" customHeight="1" x14ac:dyDescent="0.35">
      <c r="N6148" s="10"/>
    </row>
    <row r="6149" spans="14:14" ht="21" customHeight="1" x14ac:dyDescent="0.35">
      <c r="N6149" s="10"/>
    </row>
    <row r="6150" spans="14:14" ht="21" customHeight="1" x14ac:dyDescent="0.35">
      <c r="N6150" s="10"/>
    </row>
    <row r="6151" spans="14:14" ht="21" customHeight="1" x14ac:dyDescent="0.35">
      <c r="N6151" s="10"/>
    </row>
    <row r="6152" spans="14:14" ht="21" customHeight="1" x14ac:dyDescent="0.35">
      <c r="N6152" s="10"/>
    </row>
    <row r="6153" spans="14:14" ht="21" customHeight="1" x14ac:dyDescent="0.35">
      <c r="N6153" s="10"/>
    </row>
    <row r="6154" spans="14:14" ht="21" customHeight="1" x14ac:dyDescent="0.35">
      <c r="N6154" s="10"/>
    </row>
    <row r="6155" spans="14:14" ht="21" customHeight="1" x14ac:dyDescent="0.35">
      <c r="N6155" s="10"/>
    </row>
    <row r="6156" spans="14:14" ht="21" customHeight="1" x14ac:dyDescent="0.35">
      <c r="N6156" s="10"/>
    </row>
    <row r="6157" spans="14:14" ht="21" customHeight="1" x14ac:dyDescent="0.35">
      <c r="N6157" s="10"/>
    </row>
    <row r="6158" spans="14:14" ht="21" customHeight="1" x14ac:dyDescent="0.35">
      <c r="N6158" s="10"/>
    </row>
    <row r="6159" spans="14:14" ht="21" customHeight="1" x14ac:dyDescent="0.35">
      <c r="N6159" s="10"/>
    </row>
    <row r="6160" spans="14:14" ht="21" customHeight="1" x14ac:dyDescent="0.35">
      <c r="N6160" s="10"/>
    </row>
    <row r="6161" spans="14:14" ht="21" customHeight="1" x14ac:dyDescent="0.35">
      <c r="N6161" s="10"/>
    </row>
    <row r="6162" spans="14:14" ht="21" customHeight="1" x14ac:dyDescent="0.35">
      <c r="N6162" s="10"/>
    </row>
    <row r="6163" spans="14:14" ht="21" customHeight="1" x14ac:dyDescent="0.35">
      <c r="N6163" s="10"/>
    </row>
    <row r="6164" spans="14:14" ht="21" customHeight="1" x14ac:dyDescent="0.35">
      <c r="N6164" s="10"/>
    </row>
    <row r="6165" spans="14:14" ht="21" customHeight="1" x14ac:dyDescent="0.35">
      <c r="N6165" s="10"/>
    </row>
    <row r="6166" spans="14:14" ht="21" customHeight="1" x14ac:dyDescent="0.35">
      <c r="N6166" s="10"/>
    </row>
    <row r="6167" spans="14:14" ht="21" customHeight="1" x14ac:dyDescent="0.35">
      <c r="N6167" s="10"/>
    </row>
    <row r="6168" spans="14:14" ht="21" customHeight="1" x14ac:dyDescent="0.35">
      <c r="N6168" s="10"/>
    </row>
    <row r="6169" spans="14:14" ht="21" customHeight="1" x14ac:dyDescent="0.35">
      <c r="N6169" s="10"/>
    </row>
    <row r="6170" spans="14:14" ht="21" customHeight="1" x14ac:dyDescent="0.35">
      <c r="N6170" s="10"/>
    </row>
    <row r="6171" spans="14:14" ht="21" customHeight="1" x14ac:dyDescent="0.35">
      <c r="N6171" s="10"/>
    </row>
    <row r="6172" spans="14:14" ht="21" customHeight="1" x14ac:dyDescent="0.35">
      <c r="N6172" s="10"/>
    </row>
    <row r="6173" spans="14:14" ht="21" customHeight="1" x14ac:dyDescent="0.35">
      <c r="N6173" s="10"/>
    </row>
    <row r="6174" spans="14:14" ht="21" customHeight="1" x14ac:dyDescent="0.35">
      <c r="N6174" s="10"/>
    </row>
    <row r="6175" spans="14:14" ht="21" customHeight="1" x14ac:dyDescent="0.35">
      <c r="N6175" s="10"/>
    </row>
    <row r="6176" spans="14:14" ht="21" customHeight="1" x14ac:dyDescent="0.35">
      <c r="N6176" s="10"/>
    </row>
    <row r="6177" spans="14:14" ht="21" customHeight="1" x14ac:dyDescent="0.35">
      <c r="N6177" s="10"/>
    </row>
    <row r="6178" spans="14:14" ht="21" customHeight="1" x14ac:dyDescent="0.35">
      <c r="N6178" s="10"/>
    </row>
    <row r="6179" spans="14:14" ht="21" customHeight="1" x14ac:dyDescent="0.35">
      <c r="N6179" s="10"/>
    </row>
    <row r="6180" spans="14:14" ht="21" customHeight="1" x14ac:dyDescent="0.35">
      <c r="N6180" s="10"/>
    </row>
    <row r="6181" spans="14:14" ht="21" customHeight="1" x14ac:dyDescent="0.35">
      <c r="N6181" s="10"/>
    </row>
    <row r="6182" spans="14:14" ht="21" customHeight="1" x14ac:dyDescent="0.35">
      <c r="N6182" s="10"/>
    </row>
    <row r="6183" spans="14:14" ht="21" customHeight="1" x14ac:dyDescent="0.35">
      <c r="N6183" s="10"/>
    </row>
    <row r="6184" spans="14:14" ht="21" customHeight="1" x14ac:dyDescent="0.35">
      <c r="N6184" s="10"/>
    </row>
    <row r="6185" spans="14:14" ht="21" customHeight="1" x14ac:dyDescent="0.35">
      <c r="N6185" s="10"/>
    </row>
    <row r="6186" spans="14:14" ht="21" customHeight="1" x14ac:dyDescent="0.35">
      <c r="N6186" s="10"/>
    </row>
    <row r="6187" spans="14:14" ht="21" customHeight="1" x14ac:dyDescent="0.35">
      <c r="N6187" s="10"/>
    </row>
    <row r="6188" spans="14:14" ht="21" customHeight="1" x14ac:dyDescent="0.35">
      <c r="N6188" s="10"/>
    </row>
    <row r="6189" spans="14:14" ht="21" customHeight="1" x14ac:dyDescent="0.35">
      <c r="N6189" s="10"/>
    </row>
    <row r="6190" spans="14:14" ht="21" customHeight="1" x14ac:dyDescent="0.35">
      <c r="N6190" s="10"/>
    </row>
    <row r="6191" spans="14:14" ht="21" customHeight="1" x14ac:dyDescent="0.35">
      <c r="N6191" s="10"/>
    </row>
    <row r="6192" spans="14:14" ht="21" customHeight="1" x14ac:dyDescent="0.35">
      <c r="N6192" s="10"/>
    </row>
    <row r="6193" spans="14:14" ht="21" customHeight="1" x14ac:dyDescent="0.35">
      <c r="N6193" s="10"/>
    </row>
    <row r="6194" spans="14:14" ht="21" customHeight="1" x14ac:dyDescent="0.35">
      <c r="N6194" s="10"/>
    </row>
    <row r="6195" spans="14:14" ht="21" customHeight="1" x14ac:dyDescent="0.35">
      <c r="N6195" s="10"/>
    </row>
    <row r="6196" spans="14:14" ht="21" customHeight="1" x14ac:dyDescent="0.35">
      <c r="N6196" s="10"/>
    </row>
    <row r="6197" spans="14:14" ht="21" customHeight="1" x14ac:dyDescent="0.35">
      <c r="N6197" s="10"/>
    </row>
    <row r="6198" spans="14:14" ht="21" customHeight="1" x14ac:dyDescent="0.35">
      <c r="N6198" s="10"/>
    </row>
    <row r="6199" spans="14:14" ht="21" customHeight="1" x14ac:dyDescent="0.35">
      <c r="N6199" s="10"/>
    </row>
    <row r="6200" spans="14:14" ht="21" customHeight="1" x14ac:dyDescent="0.35">
      <c r="N6200" s="10"/>
    </row>
    <row r="6201" spans="14:14" ht="21" customHeight="1" x14ac:dyDescent="0.35">
      <c r="N6201" s="10"/>
    </row>
    <row r="6202" spans="14:14" ht="21" customHeight="1" x14ac:dyDescent="0.35">
      <c r="N6202" s="10"/>
    </row>
    <row r="6203" spans="14:14" ht="21" customHeight="1" x14ac:dyDescent="0.35">
      <c r="N6203" s="10"/>
    </row>
    <row r="6204" spans="14:14" ht="21" customHeight="1" x14ac:dyDescent="0.35">
      <c r="N6204" s="10"/>
    </row>
    <row r="6205" spans="14:14" ht="21" customHeight="1" x14ac:dyDescent="0.35">
      <c r="N6205" s="10"/>
    </row>
    <row r="6206" spans="14:14" ht="21" customHeight="1" x14ac:dyDescent="0.35">
      <c r="N6206" s="10"/>
    </row>
    <row r="6207" spans="14:14" ht="21" customHeight="1" x14ac:dyDescent="0.35">
      <c r="N6207" s="10"/>
    </row>
    <row r="6208" spans="14:14" ht="21" customHeight="1" x14ac:dyDescent="0.35">
      <c r="N6208" s="10"/>
    </row>
    <row r="6209" spans="14:14" ht="21" customHeight="1" x14ac:dyDescent="0.35">
      <c r="N6209" s="10"/>
    </row>
    <row r="6210" spans="14:14" ht="21" customHeight="1" x14ac:dyDescent="0.35">
      <c r="N6210" s="10"/>
    </row>
    <row r="6211" spans="14:14" ht="21" customHeight="1" x14ac:dyDescent="0.35">
      <c r="N6211" s="10"/>
    </row>
    <row r="6212" spans="14:14" ht="21" customHeight="1" x14ac:dyDescent="0.35">
      <c r="N6212" s="10"/>
    </row>
    <row r="6213" spans="14:14" ht="21" customHeight="1" x14ac:dyDescent="0.35">
      <c r="N6213" s="10"/>
    </row>
    <row r="6214" spans="14:14" ht="21" customHeight="1" x14ac:dyDescent="0.35">
      <c r="N6214" s="10"/>
    </row>
    <row r="6215" spans="14:14" ht="21" customHeight="1" x14ac:dyDescent="0.35">
      <c r="N6215" s="10"/>
    </row>
    <row r="6216" spans="14:14" ht="21" customHeight="1" x14ac:dyDescent="0.35">
      <c r="N6216" s="10"/>
    </row>
    <row r="6217" spans="14:14" ht="21" customHeight="1" x14ac:dyDescent="0.35">
      <c r="N6217" s="10"/>
    </row>
    <row r="6218" spans="14:14" ht="21" customHeight="1" x14ac:dyDescent="0.35">
      <c r="N6218" s="10"/>
    </row>
    <row r="6219" spans="14:14" ht="21" customHeight="1" x14ac:dyDescent="0.35">
      <c r="N6219" s="10"/>
    </row>
    <row r="6220" spans="14:14" ht="21" customHeight="1" x14ac:dyDescent="0.35">
      <c r="N6220" s="10"/>
    </row>
    <row r="6221" spans="14:14" ht="21" customHeight="1" x14ac:dyDescent="0.35">
      <c r="N6221" s="10"/>
    </row>
    <row r="6222" spans="14:14" ht="21" customHeight="1" x14ac:dyDescent="0.35">
      <c r="N6222" s="10"/>
    </row>
    <row r="6223" spans="14:14" ht="21" customHeight="1" x14ac:dyDescent="0.35">
      <c r="N6223" s="10"/>
    </row>
    <row r="6224" spans="14:14" ht="21" customHeight="1" x14ac:dyDescent="0.35">
      <c r="N6224" s="10"/>
    </row>
    <row r="6225" spans="14:14" ht="21" customHeight="1" x14ac:dyDescent="0.35">
      <c r="N6225" s="10"/>
    </row>
    <row r="6226" spans="14:14" ht="21" customHeight="1" x14ac:dyDescent="0.35">
      <c r="N6226" s="10"/>
    </row>
    <row r="6227" spans="14:14" ht="21" customHeight="1" x14ac:dyDescent="0.35">
      <c r="N6227" s="10"/>
    </row>
    <row r="6228" spans="14:14" ht="21" customHeight="1" x14ac:dyDescent="0.35">
      <c r="N6228" s="10"/>
    </row>
    <row r="6229" spans="14:14" ht="21" customHeight="1" x14ac:dyDescent="0.35">
      <c r="N6229" s="10"/>
    </row>
    <row r="6230" spans="14:14" ht="21" customHeight="1" x14ac:dyDescent="0.35">
      <c r="N6230" s="10"/>
    </row>
    <row r="6231" spans="14:14" ht="21" customHeight="1" x14ac:dyDescent="0.35">
      <c r="N6231" s="10"/>
    </row>
    <row r="6232" spans="14:14" ht="21" customHeight="1" x14ac:dyDescent="0.35">
      <c r="N6232" s="10"/>
    </row>
    <row r="6233" spans="14:14" ht="21" customHeight="1" x14ac:dyDescent="0.35">
      <c r="N6233" s="10"/>
    </row>
    <row r="6234" spans="14:14" ht="21" customHeight="1" x14ac:dyDescent="0.35">
      <c r="N6234" s="10"/>
    </row>
    <row r="6235" spans="14:14" ht="21" customHeight="1" x14ac:dyDescent="0.35">
      <c r="N6235" s="10"/>
    </row>
    <row r="6236" spans="14:14" ht="21" customHeight="1" x14ac:dyDescent="0.35">
      <c r="N6236" s="10"/>
    </row>
    <row r="6237" spans="14:14" ht="21" customHeight="1" x14ac:dyDescent="0.35">
      <c r="N6237" s="10"/>
    </row>
    <row r="6238" spans="14:14" ht="21" customHeight="1" x14ac:dyDescent="0.35">
      <c r="N6238" s="10"/>
    </row>
    <row r="6239" spans="14:14" ht="21" customHeight="1" x14ac:dyDescent="0.35">
      <c r="N6239" s="10"/>
    </row>
    <row r="6240" spans="14:14" ht="21" customHeight="1" x14ac:dyDescent="0.35">
      <c r="N6240" s="10"/>
    </row>
    <row r="6241" spans="14:14" ht="21" customHeight="1" x14ac:dyDescent="0.35">
      <c r="N6241" s="10"/>
    </row>
    <row r="6242" spans="14:14" ht="21" customHeight="1" x14ac:dyDescent="0.35">
      <c r="N6242" s="10"/>
    </row>
    <row r="6243" spans="14:14" ht="21" customHeight="1" x14ac:dyDescent="0.35">
      <c r="N6243" s="10"/>
    </row>
    <row r="6244" spans="14:14" ht="21" customHeight="1" x14ac:dyDescent="0.35">
      <c r="N6244" s="10"/>
    </row>
    <row r="6245" spans="14:14" ht="21" customHeight="1" x14ac:dyDescent="0.35">
      <c r="N6245" s="10"/>
    </row>
    <row r="6246" spans="14:14" ht="21" customHeight="1" x14ac:dyDescent="0.35">
      <c r="N6246" s="10"/>
    </row>
    <row r="6247" spans="14:14" ht="21" customHeight="1" x14ac:dyDescent="0.35">
      <c r="N6247" s="10"/>
    </row>
    <row r="6248" spans="14:14" ht="21" customHeight="1" x14ac:dyDescent="0.35">
      <c r="N6248" s="10"/>
    </row>
    <row r="6249" spans="14:14" ht="21" customHeight="1" x14ac:dyDescent="0.35">
      <c r="N6249" s="10"/>
    </row>
    <row r="6250" spans="14:14" ht="21" customHeight="1" x14ac:dyDescent="0.35">
      <c r="N6250" s="10"/>
    </row>
    <row r="6251" spans="14:14" ht="21" customHeight="1" x14ac:dyDescent="0.35">
      <c r="N6251" s="10"/>
    </row>
    <row r="6252" spans="14:14" ht="21" customHeight="1" x14ac:dyDescent="0.35">
      <c r="N6252" s="10"/>
    </row>
    <row r="6253" spans="14:14" ht="21" customHeight="1" x14ac:dyDescent="0.35">
      <c r="N6253" s="10"/>
    </row>
    <row r="6254" spans="14:14" ht="21" customHeight="1" x14ac:dyDescent="0.35">
      <c r="N6254" s="10"/>
    </row>
    <row r="6255" spans="14:14" ht="21" customHeight="1" x14ac:dyDescent="0.35">
      <c r="N6255" s="10"/>
    </row>
    <row r="6256" spans="14:14" ht="21" customHeight="1" x14ac:dyDescent="0.35">
      <c r="N6256" s="10"/>
    </row>
    <row r="6257" spans="14:14" ht="21" customHeight="1" x14ac:dyDescent="0.35">
      <c r="N6257" s="10"/>
    </row>
    <row r="6258" spans="14:14" ht="21" customHeight="1" x14ac:dyDescent="0.35">
      <c r="N6258" s="10"/>
    </row>
    <row r="6259" spans="14:14" ht="21" customHeight="1" x14ac:dyDescent="0.35">
      <c r="N6259" s="10"/>
    </row>
    <row r="6260" spans="14:14" ht="21" customHeight="1" x14ac:dyDescent="0.35">
      <c r="N6260" s="10"/>
    </row>
    <row r="6261" spans="14:14" ht="21" customHeight="1" x14ac:dyDescent="0.35">
      <c r="N6261" s="10"/>
    </row>
    <row r="6262" spans="14:14" ht="21" customHeight="1" x14ac:dyDescent="0.35">
      <c r="N6262" s="10"/>
    </row>
    <row r="6263" spans="14:14" ht="21" customHeight="1" x14ac:dyDescent="0.35">
      <c r="N6263" s="10"/>
    </row>
    <row r="6264" spans="14:14" ht="21" customHeight="1" x14ac:dyDescent="0.35">
      <c r="N6264" s="10"/>
    </row>
    <row r="6265" spans="14:14" ht="21" customHeight="1" x14ac:dyDescent="0.35">
      <c r="N6265" s="10"/>
    </row>
    <row r="6266" spans="14:14" ht="21" customHeight="1" x14ac:dyDescent="0.35">
      <c r="N6266" s="10"/>
    </row>
    <row r="6267" spans="14:14" ht="21" customHeight="1" x14ac:dyDescent="0.35">
      <c r="N6267" s="10"/>
    </row>
    <row r="6268" spans="14:14" ht="21" customHeight="1" x14ac:dyDescent="0.35">
      <c r="N6268" s="10"/>
    </row>
    <row r="6269" spans="14:14" ht="21" customHeight="1" x14ac:dyDescent="0.35">
      <c r="N6269" s="10"/>
    </row>
    <row r="6270" spans="14:14" ht="21" customHeight="1" x14ac:dyDescent="0.35">
      <c r="N6270" s="10"/>
    </row>
    <row r="6271" spans="14:14" ht="21" customHeight="1" x14ac:dyDescent="0.35">
      <c r="N6271" s="10"/>
    </row>
    <row r="6272" spans="14:14" ht="21" customHeight="1" x14ac:dyDescent="0.35">
      <c r="N6272" s="10"/>
    </row>
    <row r="6273" spans="14:14" ht="21" customHeight="1" x14ac:dyDescent="0.35">
      <c r="N6273" s="10"/>
    </row>
    <row r="6274" spans="14:14" ht="21" customHeight="1" x14ac:dyDescent="0.35">
      <c r="N6274" s="10"/>
    </row>
    <row r="6275" spans="14:14" ht="21" customHeight="1" x14ac:dyDescent="0.35">
      <c r="N6275" s="10"/>
    </row>
    <row r="6276" spans="14:14" ht="21" customHeight="1" x14ac:dyDescent="0.35">
      <c r="N6276" s="10"/>
    </row>
    <row r="6277" spans="14:14" ht="21" customHeight="1" x14ac:dyDescent="0.35">
      <c r="N6277" s="10"/>
    </row>
    <row r="6278" spans="14:14" ht="21" customHeight="1" x14ac:dyDescent="0.35">
      <c r="N6278" s="10"/>
    </row>
    <row r="6279" spans="14:14" ht="21" customHeight="1" x14ac:dyDescent="0.35">
      <c r="N6279" s="10"/>
    </row>
    <row r="6280" spans="14:14" ht="21" customHeight="1" x14ac:dyDescent="0.35">
      <c r="N6280" s="10"/>
    </row>
    <row r="6281" spans="14:14" ht="21" customHeight="1" x14ac:dyDescent="0.35">
      <c r="N6281" s="10"/>
    </row>
    <row r="6282" spans="14:14" ht="21" customHeight="1" x14ac:dyDescent="0.35">
      <c r="N6282" s="10"/>
    </row>
    <row r="6283" spans="14:14" ht="21" customHeight="1" x14ac:dyDescent="0.35">
      <c r="N6283" s="10"/>
    </row>
    <row r="6284" spans="14:14" ht="21" customHeight="1" x14ac:dyDescent="0.35">
      <c r="N6284" s="10"/>
    </row>
    <row r="6285" spans="14:14" ht="21" customHeight="1" x14ac:dyDescent="0.35">
      <c r="N6285" s="10"/>
    </row>
    <row r="6286" spans="14:14" ht="21" customHeight="1" x14ac:dyDescent="0.35">
      <c r="N6286" s="10"/>
    </row>
    <row r="6287" spans="14:14" ht="21" customHeight="1" x14ac:dyDescent="0.35">
      <c r="N6287" s="10"/>
    </row>
    <row r="6288" spans="14:14" ht="21" customHeight="1" x14ac:dyDescent="0.35">
      <c r="N6288" s="10"/>
    </row>
    <row r="6289" spans="14:14" ht="21" customHeight="1" x14ac:dyDescent="0.35">
      <c r="N6289" s="10"/>
    </row>
    <row r="6290" spans="14:14" ht="21" customHeight="1" x14ac:dyDescent="0.35">
      <c r="N6290" s="10"/>
    </row>
    <row r="6291" spans="14:14" ht="21" customHeight="1" x14ac:dyDescent="0.35">
      <c r="N6291" s="10"/>
    </row>
    <row r="6292" spans="14:14" ht="21" customHeight="1" x14ac:dyDescent="0.35">
      <c r="N6292" s="10"/>
    </row>
    <row r="6293" spans="14:14" ht="21" customHeight="1" x14ac:dyDescent="0.35">
      <c r="N6293" s="10"/>
    </row>
    <row r="6294" spans="14:14" ht="21" customHeight="1" x14ac:dyDescent="0.35">
      <c r="N6294" s="10"/>
    </row>
    <row r="6295" spans="14:14" ht="21" customHeight="1" x14ac:dyDescent="0.35">
      <c r="N6295" s="10"/>
    </row>
    <row r="6296" spans="14:14" ht="21" customHeight="1" x14ac:dyDescent="0.35">
      <c r="N6296" s="10"/>
    </row>
    <row r="6297" spans="14:14" ht="21" customHeight="1" x14ac:dyDescent="0.35">
      <c r="N6297" s="10"/>
    </row>
    <row r="6298" spans="14:14" ht="21" customHeight="1" x14ac:dyDescent="0.35">
      <c r="N6298" s="10"/>
    </row>
    <row r="6299" spans="14:14" ht="21" customHeight="1" x14ac:dyDescent="0.35">
      <c r="N6299" s="10"/>
    </row>
    <row r="6300" spans="14:14" ht="21" customHeight="1" x14ac:dyDescent="0.35">
      <c r="N6300" s="10"/>
    </row>
    <row r="6301" spans="14:14" ht="21" customHeight="1" x14ac:dyDescent="0.35">
      <c r="N6301" s="10"/>
    </row>
    <row r="6302" spans="14:14" ht="21" customHeight="1" x14ac:dyDescent="0.35">
      <c r="N6302" s="10"/>
    </row>
    <row r="6303" spans="14:14" ht="21" customHeight="1" x14ac:dyDescent="0.35">
      <c r="N6303" s="10"/>
    </row>
    <row r="6304" spans="14:14" ht="21" customHeight="1" x14ac:dyDescent="0.35">
      <c r="N6304" s="10"/>
    </row>
    <row r="6305" spans="14:14" ht="21" customHeight="1" x14ac:dyDescent="0.35">
      <c r="N6305" s="10"/>
    </row>
    <row r="6306" spans="14:14" ht="21" customHeight="1" x14ac:dyDescent="0.35">
      <c r="N6306" s="10"/>
    </row>
    <row r="6307" spans="14:14" ht="21" customHeight="1" x14ac:dyDescent="0.35">
      <c r="N6307" s="10"/>
    </row>
    <row r="6308" spans="14:14" ht="21" customHeight="1" x14ac:dyDescent="0.35">
      <c r="N6308" s="10"/>
    </row>
    <row r="6309" spans="14:14" ht="21" customHeight="1" x14ac:dyDescent="0.35">
      <c r="N6309" s="10"/>
    </row>
    <row r="6310" spans="14:14" ht="21" customHeight="1" x14ac:dyDescent="0.35">
      <c r="N6310" s="10"/>
    </row>
    <row r="6311" spans="14:14" ht="21" customHeight="1" x14ac:dyDescent="0.35">
      <c r="N6311" s="10"/>
    </row>
    <row r="6312" spans="14:14" ht="21" customHeight="1" x14ac:dyDescent="0.35">
      <c r="N6312" s="10"/>
    </row>
    <row r="6313" spans="14:14" ht="21" customHeight="1" x14ac:dyDescent="0.35">
      <c r="N6313" s="10"/>
    </row>
    <row r="6314" spans="14:14" ht="21" customHeight="1" x14ac:dyDescent="0.35">
      <c r="N6314" s="10"/>
    </row>
    <row r="6315" spans="14:14" ht="21" customHeight="1" x14ac:dyDescent="0.35">
      <c r="N6315" s="10"/>
    </row>
    <row r="6316" spans="14:14" ht="21" customHeight="1" x14ac:dyDescent="0.35">
      <c r="N6316" s="10"/>
    </row>
    <row r="6317" spans="14:14" ht="21" customHeight="1" x14ac:dyDescent="0.35">
      <c r="N6317" s="10"/>
    </row>
    <row r="6318" spans="14:14" ht="21" customHeight="1" x14ac:dyDescent="0.35">
      <c r="N6318" s="10"/>
    </row>
    <row r="6319" spans="14:14" ht="21" customHeight="1" x14ac:dyDescent="0.35">
      <c r="N6319" s="10"/>
    </row>
    <row r="6320" spans="14:14" ht="21" customHeight="1" x14ac:dyDescent="0.35">
      <c r="N6320" s="10"/>
    </row>
    <row r="6321" spans="14:14" ht="21" customHeight="1" x14ac:dyDescent="0.35">
      <c r="N6321" s="10"/>
    </row>
    <row r="6322" spans="14:14" ht="21" customHeight="1" x14ac:dyDescent="0.35">
      <c r="N6322" s="10"/>
    </row>
    <row r="6323" spans="14:14" ht="21" customHeight="1" x14ac:dyDescent="0.35">
      <c r="N6323" s="10"/>
    </row>
    <row r="6324" spans="14:14" ht="21" customHeight="1" x14ac:dyDescent="0.35">
      <c r="N6324" s="10"/>
    </row>
    <row r="6325" spans="14:14" ht="21" customHeight="1" x14ac:dyDescent="0.35">
      <c r="N6325" s="10"/>
    </row>
    <row r="6326" spans="14:14" ht="21" customHeight="1" x14ac:dyDescent="0.35">
      <c r="N6326" s="10"/>
    </row>
    <row r="6327" spans="14:14" ht="21" customHeight="1" x14ac:dyDescent="0.35">
      <c r="N6327" s="10"/>
    </row>
    <row r="6328" spans="14:14" ht="21" customHeight="1" x14ac:dyDescent="0.35">
      <c r="N6328" s="10"/>
    </row>
    <row r="6329" spans="14:14" ht="21" customHeight="1" x14ac:dyDescent="0.35">
      <c r="N6329" s="10"/>
    </row>
    <row r="6330" spans="14:14" ht="21" customHeight="1" x14ac:dyDescent="0.35">
      <c r="N6330" s="10"/>
    </row>
    <row r="6331" spans="14:14" ht="21" customHeight="1" x14ac:dyDescent="0.35">
      <c r="N6331" s="10"/>
    </row>
    <row r="6332" spans="14:14" ht="21" customHeight="1" x14ac:dyDescent="0.35">
      <c r="N6332" s="10"/>
    </row>
    <row r="6333" spans="14:14" ht="21" customHeight="1" x14ac:dyDescent="0.35">
      <c r="N6333" s="10"/>
    </row>
    <row r="6334" spans="14:14" ht="21" customHeight="1" x14ac:dyDescent="0.35">
      <c r="N6334" s="10"/>
    </row>
    <row r="6335" spans="14:14" ht="21" customHeight="1" x14ac:dyDescent="0.35">
      <c r="N6335" s="10"/>
    </row>
    <row r="6336" spans="14:14" ht="21" customHeight="1" x14ac:dyDescent="0.35">
      <c r="N6336" s="10"/>
    </row>
    <row r="6337" spans="14:14" ht="21" customHeight="1" x14ac:dyDescent="0.35">
      <c r="N6337" s="10"/>
    </row>
    <row r="6338" spans="14:14" ht="21" customHeight="1" x14ac:dyDescent="0.35">
      <c r="N6338" s="10"/>
    </row>
    <row r="6339" spans="14:14" ht="21" customHeight="1" x14ac:dyDescent="0.35">
      <c r="N6339" s="10"/>
    </row>
    <row r="6340" spans="14:14" ht="21" customHeight="1" x14ac:dyDescent="0.35">
      <c r="N6340" s="10"/>
    </row>
    <row r="6341" spans="14:14" ht="21" customHeight="1" x14ac:dyDescent="0.35">
      <c r="N6341" s="10"/>
    </row>
    <row r="6342" spans="14:14" ht="21" customHeight="1" x14ac:dyDescent="0.35">
      <c r="N6342" s="10"/>
    </row>
    <row r="6343" spans="14:14" ht="21" customHeight="1" x14ac:dyDescent="0.35">
      <c r="N6343" s="10"/>
    </row>
    <row r="6344" spans="14:14" ht="21" customHeight="1" x14ac:dyDescent="0.35">
      <c r="N6344" s="10"/>
    </row>
    <row r="6345" spans="14:14" ht="21" customHeight="1" x14ac:dyDescent="0.35">
      <c r="N6345" s="10"/>
    </row>
    <row r="6346" spans="14:14" ht="21" customHeight="1" x14ac:dyDescent="0.35">
      <c r="N6346" s="10"/>
    </row>
    <row r="6347" spans="14:14" ht="21" customHeight="1" x14ac:dyDescent="0.35">
      <c r="N6347" s="10"/>
    </row>
    <row r="6348" spans="14:14" ht="21" customHeight="1" x14ac:dyDescent="0.35">
      <c r="N6348" s="10"/>
    </row>
    <row r="6349" spans="14:14" ht="21" customHeight="1" x14ac:dyDescent="0.35">
      <c r="N6349" s="10"/>
    </row>
    <row r="6350" spans="14:14" ht="21" customHeight="1" x14ac:dyDescent="0.35">
      <c r="N6350" s="10"/>
    </row>
    <row r="6351" spans="14:14" ht="21" customHeight="1" x14ac:dyDescent="0.35">
      <c r="N6351" s="10"/>
    </row>
    <row r="6352" spans="14:14" ht="21" customHeight="1" x14ac:dyDescent="0.35">
      <c r="N6352" s="10"/>
    </row>
    <row r="6353" spans="14:14" ht="21" customHeight="1" x14ac:dyDescent="0.35">
      <c r="N6353" s="10"/>
    </row>
    <row r="6354" spans="14:14" ht="21" customHeight="1" x14ac:dyDescent="0.35">
      <c r="N6354" s="10"/>
    </row>
    <row r="6355" spans="14:14" ht="21" customHeight="1" x14ac:dyDescent="0.35">
      <c r="N6355" s="10"/>
    </row>
    <row r="6356" spans="14:14" ht="21" customHeight="1" x14ac:dyDescent="0.35">
      <c r="N6356" s="10"/>
    </row>
    <row r="6357" spans="14:14" ht="21" customHeight="1" x14ac:dyDescent="0.35">
      <c r="N6357" s="10"/>
    </row>
    <row r="6358" spans="14:14" ht="21" customHeight="1" x14ac:dyDescent="0.35">
      <c r="N6358" s="10"/>
    </row>
    <row r="6359" spans="14:14" ht="21" customHeight="1" x14ac:dyDescent="0.35">
      <c r="N6359" s="10"/>
    </row>
    <row r="6360" spans="14:14" ht="21" customHeight="1" x14ac:dyDescent="0.35">
      <c r="N6360" s="10"/>
    </row>
    <row r="6361" spans="14:14" ht="21" customHeight="1" x14ac:dyDescent="0.35">
      <c r="N6361" s="10"/>
    </row>
    <row r="6362" spans="14:14" ht="21" customHeight="1" x14ac:dyDescent="0.35">
      <c r="N6362" s="10"/>
    </row>
    <row r="6363" spans="14:14" ht="21" customHeight="1" x14ac:dyDescent="0.35">
      <c r="N6363" s="10"/>
    </row>
    <row r="6364" spans="14:14" ht="21" customHeight="1" x14ac:dyDescent="0.35">
      <c r="N6364" s="10"/>
    </row>
    <row r="6365" spans="14:14" ht="21" customHeight="1" x14ac:dyDescent="0.35">
      <c r="N6365" s="10"/>
    </row>
    <row r="6366" spans="14:14" ht="21" customHeight="1" x14ac:dyDescent="0.35">
      <c r="N6366" s="10"/>
    </row>
    <row r="6367" spans="14:14" ht="21" customHeight="1" x14ac:dyDescent="0.35">
      <c r="N6367" s="10"/>
    </row>
    <row r="6368" spans="14:14" ht="21" customHeight="1" x14ac:dyDescent="0.35">
      <c r="N6368" s="10"/>
    </row>
    <row r="6369" spans="14:14" ht="21" customHeight="1" x14ac:dyDescent="0.35">
      <c r="N6369" s="10"/>
    </row>
    <row r="6370" spans="14:14" ht="21" customHeight="1" x14ac:dyDescent="0.35">
      <c r="N6370" s="10"/>
    </row>
    <row r="6371" spans="14:14" ht="21" customHeight="1" x14ac:dyDescent="0.35">
      <c r="N6371" s="10"/>
    </row>
    <row r="6372" spans="14:14" ht="21" customHeight="1" x14ac:dyDescent="0.35">
      <c r="N6372" s="10"/>
    </row>
    <row r="6373" spans="14:14" ht="21" customHeight="1" x14ac:dyDescent="0.35">
      <c r="N6373" s="10"/>
    </row>
    <row r="6374" spans="14:14" ht="21" customHeight="1" x14ac:dyDescent="0.35">
      <c r="N6374" s="10"/>
    </row>
    <row r="6375" spans="14:14" ht="21" customHeight="1" x14ac:dyDescent="0.35">
      <c r="N6375" s="10"/>
    </row>
    <row r="6376" spans="14:14" ht="21" customHeight="1" x14ac:dyDescent="0.35">
      <c r="N6376" s="10"/>
    </row>
    <row r="6377" spans="14:14" ht="21" customHeight="1" x14ac:dyDescent="0.35">
      <c r="N6377" s="10"/>
    </row>
    <row r="6378" spans="14:14" ht="21" customHeight="1" x14ac:dyDescent="0.35">
      <c r="N6378" s="10"/>
    </row>
    <row r="6379" spans="14:14" ht="21" customHeight="1" x14ac:dyDescent="0.35">
      <c r="N6379" s="10"/>
    </row>
    <row r="6380" spans="14:14" ht="21" customHeight="1" x14ac:dyDescent="0.35">
      <c r="N6380" s="10"/>
    </row>
    <row r="6381" spans="14:14" ht="21" customHeight="1" x14ac:dyDescent="0.35">
      <c r="N6381" s="10"/>
    </row>
    <row r="6382" spans="14:14" ht="21" customHeight="1" x14ac:dyDescent="0.35">
      <c r="N6382" s="10"/>
    </row>
    <row r="6383" spans="14:14" ht="21" customHeight="1" x14ac:dyDescent="0.35">
      <c r="N6383" s="10"/>
    </row>
    <row r="6384" spans="14:14" ht="21" customHeight="1" x14ac:dyDescent="0.35">
      <c r="N6384" s="10"/>
    </row>
    <row r="6385" spans="14:14" ht="21" customHeight="1" x14ac:dyDescent="0.35">
      <c r="N6385" s="10"/>
    </row>
    <row r="6386" spans="14:14" ht="21" customHeight="1" x14ac:dyDescent="0.35">
      <c r="N6386" s="10"/>
    </row>
    <row r="6387" spans="14:14" ht="21" customHeight="1" x14ac:dyDescent="0.35">
      <c r="N6387" s="10"/>
    </row>
    <row r="6388" spans="14:14" ht="21" customHeight="1" x14ac:dyDescent="0.35">
      <c r="N6388" s="10"/>
    </row>
    <row r="6389" spans="14:14" ht="21" customHeight="1" x14ac:dyDescent="0.35">
      <c r="N6389" s="10"/>
    </row>
    <row r="6390" spans="14:14" ht="21" customHeight="1" x14ac:dyDescent="0.35">
      <c r="N6390" s="10"/>
    </row>
    <row r="6391" spans="14:14" ht="21" customHeight="1" x14ac:dyDescent="0.35">
      <c r="N6391" s="10"/>
    </row>
    <row r="6392" spans="14:14" ht="21" customHeight="1" x14ac:dyDescent="0.35">
      <c r="N6392" s="10"/>
    </row>
    <row r="6393" spans="14:14" ht="21" customHeight="1" x14ac:dyDescent="0.35">
      <c r="N6393" s="10"/>
    </row>
    <row r="6394" spans="14:14" ht="21" customHeight="1" x14ac:dyDescent="0.35">
      <c r="N6394" s="10"/>
    </row>
    <row r="6395" spans="14:14" ht="21" customHeight="1" x14ac:dyDescent="0.35">
      <c r="N6395" s="10"/>
    </row>
    <row r="6396" spans="14:14" ht="21" customHeight="1" x14ac:dyDescent="0.35">
      <c r="N6396" s="10"/>
    </row>
    <row r="6397" spans="14:14" ht="21" customHeight="1" x14ac:dyDescent="0.35">
      <c r="N6397" s="10"/>
    </row>
    <row r="6398" spans="14:14" ht="21" customHeight="1" x14ac:dyDescent="0.35">
      <c r="N6398" s="10"/>
    </row>
    <row r="6399" spans="14:14" ht="21" customHeight="1" x14ac:dyDescent="0.35">
      <c r="N6399" s="10"/>
    </row>
    <row r="6400" spans="14:14" ht="21" customHeight="1" x14ac:dyDescent="0.35">
      <c r="N6400" s="10"/>
    </row>
    <row r="6401" spans="14:14" ht="21" customHeight="1" x14ac:dyDescent="0.35">
      <c r="N6401" s="10"/>
    </row>
    <row r="6402" spans="14:14" ht="21" customHeight="1" x14ac:dyDescent="0.35">
      <c r="N6402" s="10"/>
    </row>
    <row r="6403" spans="14:14" ht="21" customHeight="1" x14ac:dyDescent="0.35">
      <c r="N6403" s="10"/>
    </row>
    <row r="6404" spans="14:14" ht="21" customHeight="1" x14ac:dyDescent="0.35">
      <c r="N6404" s="10"/>
    </row>
    <row r="6405" spans="14:14" ht="21" customHeight="1" x14ac:dyDescent="0.35">
      <c r="N6405" s="10"/>
    </row>
    <row r="6406" spans="14:14" ht="21" customHeight="1" x14ac:dyDescent="0.35">
      <c r="N6406" s="10"/>
    </row>
    <row r="6407" spans="14:14" ht="21" customHeight="1" x14ac:dyDescent="0.35">
      <c r="N6407" s="10"/>
    </row>
    <row r="6408" spans="14:14" ht="21" customHeight="1" x14ac:dyDescent="0.35">
      <c r="N6408" s="10"/>
    </row>
    <row r="6409" spans="14:14" ht="21" customHeight="1" x14ac:dyDescent="0.35">
      <c r="N6409" s="10"/>
    </row>
    <row r="6410" spans="14:14" ht="21" customHeight="1" x14ac:dyDescent="0.35">
      <c r="N6410" s="10"/>
    </row>
    <row r="6411" spans="14:14" ht="21" customHeight="1" x14ac:dyDescent="0.35">
      <c r="N6411" s="10"/>
    </row>
    <row r="6412" spans="14:14" ht="21" customHeight="1" x14ac:dyDescent="0.35">
      <c r="N6412" s="10"/>
    </row>
    <row r="6413" spans="14:14" ht="21" customHeight="1" x14ac:dyDescent="0.35">
      <c r="N6413" s="10"/>
    </row>
    <row r="6414" spans="14:14" ht="21" customHeight="1" x14ac:dyDescent="0.35">
      <c r="N6414" s="10"/>
    </row>
    <row r="6415" spans="14:14" ht="21" customHeight="1" x14ac:dyDescent="0.35">
      <c r="N6415" s="10"/>
    </row>
    <row r="6416" spans="14:14" ht="21" customHeight="1" x14ac:dyDescent="0.35">
      <c r="N6416" s="10"/>
    </row>
    <row r="6417" spans="14:14" ht="21" customHeight="1" x14ac:dyDescent="0.35">
      <c r="N6417" s="10"/>
    </row>
    <row r="6418" spans="14:14" ht="21" customHeight="1" x14ac:dyDescent="0.35">
      <c r="N6418" s="10"/>
    </row>
    <row r="6419" spans="14:14" ht="21" customHeight="1" x14ac:dyDescent="0.35">
      <c r="N6419" s="10"/>
    </row>
    <row r="6420" spans="14:14" ht="21" customHeight="1" x14ac:dyDescent="0.35">
      <c r="N6420" s="10"/>
    </row>
    <row r="6421" spans="14:14" ht="21" customHeight="1" x14ac:dyDescent="0.35">
      <c r="N6421" s="10"/>
    </row>
    <row r="6422" spans="14:14" ht="21" customHeight="1" x14ac:dyDescent="0.35">
      <c r="N6422" s="10"/>
    </row>
    <row r="6423" spans="14:14" ht="21" customHeight="1" x14ac:dyDescent="0.35">
      <c r="N6423" s="10"/>
    </row>
    <row r="6424" spans="14:14" ht="21" customHeight="1" x14ac:dyDescent="0.35">
      <c r="N6424" s="10"/>
    </row>
    <row r="6425" spans="14:14" ht="21" customHeight="1" x14ac:dyDescent="0.35">
      <c r="N6425" s="10"/>
    </row>
    <row r="6426" spans="14:14" ht="21" customHeight="1" x14ac:dyDescent="0.35">
      <c r="N6426" s="10"/>
    </row>
    <row r="6427" spans="14:14" ht="21" customHeight="1" x14ac:dyDescent="0.35">
      <c r="N6427" s="10"/>
    </row>
    <row r="6428" spans="14:14" ht="21" customHeight="1" x14ac:dyDescent="0.35">
      <c r="N6428" s="10"/>
    </row>
    <row r="6429" spans="14:14" ht="21" customHeight="1" x14ac:dyDescent="0.35">
      <c r="N6429" s="10"/>
    </row>
    <row r="6430" spans="14:14" ht="21" customHeight="1" x14ac:dyDescent="0.35">
      <c r="N6430" s="10"/>
    </row>
    <row r="6431" spans="14:14" ht="21" customHeight="1" x14ac:dyDescent="0.35">
      <c r="N6431" s="10"/>
    </row>
    <row r="6432" spans="14:14" ht="21" customHeight="1" x14ac:dyDescent="0.35">
      <c r="N6432" s="10"/>
    </row>
    <row r="6433" spans="14:14" ht="21" customHeight="1" x14ac:dyDescent="0.35">
      <c r="N6433" s="10"/>
    </row>
    <row r="6434" spans="14:14" ht="21" customHeight="1" x14ac:dyDescent="0.35">
      <c r="N6434" s="10"/>
    </row>
    <row r="6435" spans="14:14" ht="21" customHeight="1" x14ac:dyDescent="0.35">
      <c r="N6435" s="10"/>
    </row>
    <row r="6436" spans="14:14" ht="21" customHeight="1" x14ac:dyDescent="0.35">
      <c r="N6436" s="10"/>
    </row>
    <row r="6437" spans="14:14" ht="21" customHeight="1" x14ac:dyDescent="0.35">
      <c r="N6437" s="10"/>
    </row>
    <row r="6438" spans="14:14" ht="21" customHeight="1" x14ac:dyDescent="0.35">
      <c r="N6438" s="10"/>
    </row>
    <row r="6439" spans="14:14" ht="21" customHeight="1" x14ac:dyDescent="0.35">
      <c r="N6439" s="10"/>
    </row>
    <row r="6440" spans="14:14" ht="21" customHeight="1" x14ac:dyDescent="0.35">
      <c r="N6440" s="10"/>
    </row>
    <row r="6441" spans="14:14" ht="21" customHeight="1" x14ac:dyDescent="0.35">
      <c r="N6441" s="10"/>
    </row>
    <row r="6442" spans="14:14" ht="21" customHeight="1" x14ac:dyDescent="0.35">
      <c r="N6442" s="10"/>
    </row>
    <row r="6443" spans="14:14" ht="21" customHeight="1" x14ac:dyDescent="0.35">
      <c r="N6443" s="10"/>
    </row>
    <row r="6444" spans="14:14" ht="21" customHeight="1" x14ac:dyDescent="0.35">
      <c r="N6444" s="10"/>
    </row>
    <row r="6445" spans="14:14" ht="21" customHeight="1" x14ac:dyDescent="0.35">
      <c r="N6445" s="10"/>
    </row>
    <row r="6446" spans="14:14" ht="21" customHeight="1" x14ac:dyDescent="0.35">
      <c r="N6446" s="10"/>
    </row>
    <row r="6447" spans="14:14" ht="21" customHeight="1" x14ac:dyDescent="0.35">
      <c r="N6447" s="10"/>
    </row>
    <row r="6448" spans="14:14" ht="21" customHeight="1" x14ac:dyDescent="0.35">
      <c r="N6448" s="10"/>
    </row>
    <row r="6449" spans="14:14" ht="21" customHeight="1" x14ac:dyDescent="0.35">
      <c r="N6449" s="10"/>
    </row>
    <row r="6450" spans="14:14" ht="21" customHeight="1" x14ac:dyDescent="0.35">
      <c r="N6450" s="10"/>
    </row>
    <row r="6451" spans="14:14" ht="21" customHeight="1" x14ac:dyDescent="0.35">
      <c r="N6451" s="10"/>
    </row>
    <row r="6452" spans="14:14" ht="21" customHeight="1" x14ac:dyDescent="0.35">
      <c r="N6452" s="10"/>
    </row>
    <row r="6453" spans="14:14" ht="21" customHeight="1" x14ac:dyDescent="0.35">
      <c r="N6453" s="10"/>
    </row>
    <row r="6454" spans="14:14" ht="21" customHeight="1" x14ac:dyDescent="0.35">
      <c r="N6454" s="10"/>
    </row>
    <row r="6455" spans="14:14" ht="21" customHeight="1" x14ac:dyDescent="0.35">
      <c r="N6455" s="10"/>
    </row>
    <row r="6456" spans="14:14" ht="21" customHeight="1" x14ac:dyDescent="0.35">
      <c r="N6456" s="10"/>
    </row>
    <row r="6457" spans="14:14" ht="21" customHeight="1" x14ac:dyDescent="0.35">
      <c r="N6457" s="10"/>
    </row>
    <row r="6458" spans="14:14" ht="21" customHeight="1" x14ac:dyDescent="0.35">
      <c r="N6458" s="10"/>
    </row>
    <row r="6459" spans="14:14" ht="21" customHeight="1" x14ac:dyDescent="0.35">
      <c r="N6459" s="10"/>
    </row>
    <row r="6460" spans="14:14" ht="21" customHeight="1" x14ac:dyDescent="0.35">
      <c r="N6460" s="10"/>
    </row>
    <row r="6461" spans="14:14" ht="21" customHeight="1" x14ac:dyDescent="0.35">
      <c r="N6461" s="10"/>
    </row>
    <row r="6462" spans="14:14" ht="21" customHeight="1" x14ac:dyDescent="0.35">
      <c r="N6462" s="10"/>
    </row>
    <row r="6463" spans="14:14" ht="21" customHeight="1" x14ac:dyDescent="0.35">
      <c r="N6463" s="10"/>
    </row>
    <row r="6464" spans="14:14" ht="21" customHeight="1" x14ac:dyDescent="0.35">
      <c r="N6464" s="10"/>
    </row>
    <row r="6465" spans="14:14" ht="21" customHeight="1" x14ac:dyDescent="0.35">
      <c r="N6465" s="10"/>
    </row>
    <row r="6466" spans="14:14" ht="21" customHeight="1" x14ac:dyDescent="0.35">
      <c r="N6466" s="10"/>
    </row>
    <row r="6467" spans="14:14" ht="21" customHeight="1" x14ac:dyDescent="0.35">
      <c r="N6467" s="10"/>
    </row>
    <row r="6468" spans="14:14" ht="21" customHeight="1" x14ac:dyDescent="0.35">
      <c r="N6468" s="10"/>
    </row>
    <row r="6469" spans="14:14" ht="21" customHeight="1" x14ac:dyDescent="0.35">
      <c r="N6469" s="10"/>
    </row>
    <row r="6470" spans="14:14" ht="21" customHeight="1" x14ac:dyDescent="0.35">
      <c r="N6470" s="10"/>
    </row>
    <row r="6471" spans="14:14" ht="21" customHeight="1" x14ac:dyDescent="0.35">
      <c r="N6471" s="10"/>
    </row>
    <row r="6472" spans="14:14" ht="21" customHeight="1" x14ac:dyDescent="0.35">
      <c r="N6472" s="10"/>
    </row>
    <row r="6473" spans="14:14" ht="21" customHeight="1" x14ac:dyDescent="0.35">
      <c r="N6473" s="10"/>
    </row>
    <row r="6474" spans="14:14" ht="21" customHeight="1" x14ac:dyDescent="0.35">
      <c r="N6474" s="10"/>
    </row>
    <row r="6475" spans="14:14" ht="21" customHeight="1" x14ac:dyDescent="0.35">
      <c r="N6475" s="10"/>
    </row>
    <row r="6476" spans="14:14" ht="21" customHeight="1" x14ac:dyDescent="0.35">
      <c r="N6476" s="10"/>
    </row>
    <row r="6477" spans="14:14" ht="21" customHeight="1" x14ac:dyDescent="0.35">
      <c r="N6477" s="10"/>
    </row>
    <row r="6478" spans="14:14" ht="21" customHeight="1" x14ac:dyDescent="0.35">
      <c r="N6478" s="10"/>
    </row>
    <row r="6479" spans="14:14" ht="21" customHeight="1" x14ac:dyDescent="0.35">
      <c r="N6479" s="10"/>
    </row>
    <row r="6480" spans="14:14" ht="21" customHeight="1" x14ac:dyDescent="0.35">
      <c r="N6480" s="10"/>
    </row>
    <row r="6481" spans="14:14" ht="21" customHeight="1" x14ac:dyDescent="0.35">
      <c r="N6481" s="10"/>
    </row>
    <row r="6482" spans="14:14" ht="21" customHeight="1" x14ac:dyDescent="0.35">
      <c r="N6482" s="10"/>
    </row>
    <row r="6483" spans="14:14" ht="21" customHeight="1" x14ac:dyDescent="0.35">
      <c r="N6483" s="10"/>
    </row>
    <row r="6484" spans="14:14" ht="21" customHeight="1" x14ac:dyDescent="0.35">
      <c r="N6484" s="10"/>
    </row>
    <row r="6485" spans="14:14" ht="21" customHeight="1" x14ac:dyDescent="0.35">
      <c r="N6485" s="10"/>
    </row>
    <row r="6486" spans="14:14" ht="21" customHeight="1" x14ac:dyDescent="0.35">
      <c r="N6486" s="10"/>
    </row>
    <row r="6487" spans="14:14" ht="21" customHeight="1" x14ac:dyDescent="0.35">
      <c r="N6487" s="10"/>
    </row>
    <row r="6488" spans="14:14" ht="21" customHeight="1" x14ac:dyDescent="0.35">
      <c r="N6488" s="10"/>
    </row>
    <row r="6489" spans="14:14" ht="21" customHeight="1" x14ac:dyDescent="0.35">
      <c r="N6489" s="10"/>
    </row>
    <row r="6490" spans="14:14" ht="21" customHeight="1" x14ac:dyDescent="0.35">
      <c r="N6490" s="10"/>
    </row>
    <row r="6491" spans="14:14" ht="21" customHeight="1" x14ac:dyDescent="0.35">
      <c r="N6491" s="10"/>
    </row>
    <row r="6492" spans="14:14" ht="21" customHeight="1" x14ac:dyDescent="0.35">
      <c r="N6492" s="10"/>
    </row>
    <row r="6493" spans="14:14" ht="21" customHeight="1" x14ac:dyDescent="0.35">
      <c r="N6493" s="10"/>
    </row>
    <row r="6494" spans="14:14" ht="21" customHeight="1" x14ac:dyDescent="0.35">
      <c r="N6494" s="10"/>
    </row>
    <row r="6495" spans="14:14" ht="21" customHeight="1" x14ac:dyDescent="0.35">
      <c r="N6495" s="10"/>
    </row>
    <row r="6496" spans="14:14" ht="21" customHeight="1" x14ac:dyDescent="0.35">
      <c r="N6496" s="10"/>
    </row>
    <row r="6497" spans="14:14" ht="21" customHeight="1" x14ac:dyDescent="0.35">
      <c r="N6497" s="10"/>
    </row>
    <row r="6498" spans="14:14" ht="21" customHeight="1" x14ac:dyDescent="0.35">
      <c r="N6498" s="10"/>
    </row>
    <row r="6499" spans="14:14" ht="21" customHeight="1" x14ac:dyDescent="0.35">
      <c r="N6499" s="10"/>
    </row>
    <row r="6500" spans="14:14" ht="21" customHeight="1" x14ac:dyDescent="0.35">
      <c r="N6500" s="10"/>
    </row>
    <row r="6501" spans="14:14" ht="21" customHeight="1" x14ac:dyDescent="0.35">
      <c r="N6501" s="10"/>
    </row>
    <row r="6502" spans="14:14" ht="21" customHeight="1" x14ac:dyDescent="0.35">
      <c r="N6502" s="10"/>
    </row>
    <row r="6503" spans="14:14" ht="21" customHeight="1" x14ac:dyDescent="0.35">
      <c r="N6503" s="10"/>
    </row>
    <row r="6504" spans="14:14" ht="21" customHeight="1" x14ac:dyDescent="0.35">
      <c r="N6504" s="10"/>
    </row>
    <row r="6505" spans="14:14" ht="21" customHeight="1" x14ac:dyDescent="0.35">
      <c r="N6505" s="10"/>
    </row>
    <row r="6506" spans="14:14" ht="21" customHeight="1" x14ac:dyDescent="0.35">
      <c r="N6506" s="10"/>
    </row>
    <row r="6507" spans="14:14" ht="21" customHeight="1" x14ac:dyDescent="0.35">
      <c r="N6507" s="10"/>
    </row>
    <row r="6508" spans="14:14" ht="21" customHeight="1" x14ac:dyDescent="0.35">
      <c r="N6508" s="10"/>
    </row>
    <row r="6509" spans="14:14" ht="21" customHeight="1" x14ac:dyDescent="0.35">
      <c r="N6509" s="10"/>
    </row>
    <row r="6510" spans="14:14" ht="21" customHeight="1" x14ac:dyDescent="0.35">
      <c r="N6510" s="10"/>
    </row>
    <row r="6511" spans="14:14" ht="21" customHeight="1" x14ac:dyDescent="0.35">
      <c r="N6511" s="10"/>
    </row>
    <row r="6512" spans="14:14" ht="21" customHeight="1" x14ac:dyDescent="0.35">
      <c r="N6512" s="10"/>
    </row>
    <row r="6513" spans="14:14" ht="21" customHeight="1" x14ac:dyDescent="0.35">
      <c r="N6513" s="10"/>
    </row>
    <row r="6514" spans="14:14" ht="21" customHeight="1" x14ac:dyDescent="0.35">
      <c r="N6514" s="10"/>
    </row>
    <row r="6515" spans="14:14" ht="21" customHeight="1" x14ac:dyDescent="0.35">
      <c r="N6515" s="10"/>
    </row>
    <row r="6516" spans="14:14" ht="21" customHeight="1" x14ac:dyDescent="0.35">
      <c r="N6516" s="10"/>
    </row>
    <row r="6517" spans="14:14" ht="21" customHeight="1" x14ac:dyDescent="0.35">
      <c r="N6517" s="10"/>
    </row>
    <row r="6518" spans="14:14" ht="21" customHeight="1" x14ac:dyDescent="0.35">
      <c r="N6518" s="10"/>
    </row>
    <row r="6519" spans="14:14" ht="21" customHeight="1" x14ac:dyDescent="0.35">
      <c r="N6519" s="10"/>
    </row>
    <row r="6520" spans="14:14" ht="21" customHeight="1" x14ac:dyDescent="0.35">
      <c r="N6520" s="10"/>
    </row>
    <row r="6521" spans="14:14" ht="21" customHeight="1" x14ac:dyDescent="0.35">
      <c r="N6521" s="10"/>
    </row>
    <row r="6522" spans="14:14" ht="21" customHeight="1" x14ac:dyDescent="0.35">
      <c r="N6522" s="10"/>
    </row>
    <row r="6523" spans="14:14" ht="21" customHeight="1" x14ac:dyDescent="0.35">
      <c r="N6523" s="10"/>
    </row>
    <row r="6524" spans="14:14" ht="21" customHeight="1" x14ac:dyDescent="0.35">
      <c r="N6524" s="10"/>
    </row>
    <row r="6525" spans="14:14" ht="21" customHeight="1" x14ac:dyDescent="0.35">
      <c r="N6525" s="10"/>
    </row>
    <row r="6526" spans="14:14" ht="21" customHeight="1" x14ac:dyDescent="0.35">
      <c r="N6526" s="10"/>
    </row>
    <row r="6527" spans="14:14" ht="21" customHeight="1" x14ac:dyDescent="0.35">
      <c r="N6527" s="10"/>
    </row>
    <row r="6528" spans="14:14" ht="21" customHeight="1" x14ac:dyDescent="0.35">
      <c r="N6528" s="10"/>
    </row>
    <row r="6529" spans="14:14" ht="21" customHeight="1" x14ac:dyDescent="0.35">
      <c r="N6529" s="10"/>
    </row>
    <row r="6530" spans="14:14" ht="21" customHeight="1" x14ac:dyDescent="0.35">
      <c r="N6530" s="10"/>
    </row>
    <row r="6531" spans="14:14" ht="21" customHeight="1" x14ac:dyDescent="0.35">
      <c r="N6531" s="10"/>
    </row>
    <row r="6532" spans="14:14" ht="21" customHeight="1" x14ac:dyDescent="0.35">
      <c r="N6532" s="10"/>
    </row>
    <row r="6533" spans="14:14" ht="21" customHeight="1" x14ac:dyDescent="0.35">
      <c r="N6533" s="10"/>
    </row>
    <row r="6534" spans="14:14" ht="21" customHeight="1" x14ac:dyDescent="0.35">
      <c r="N6534" s="10"/>
    </row>
    <row r="6535" spans="14:14" ht="21" customHeight="1" x14ac:dyDescent="0.35">
      <c r="N6535" s="10"/>
    </row>
    <row r="6536" spans="14:14" ht="21" customHeight="1" x14ac:dyDescent="0.35">
      <c r="N6536" s="10"/>
    </row>
    <row r="6537" spans="14:14" ht="21" customHeight="1" x14ac:dyDescent="0.35">
      <c r="N6537" s="10"/>
    </row>
    <row r="6538" spans="14:14" ht="21" customHeight="1" x14ac:dyDescent="0.35">
      <c r="N6538" s="10"/>
    </row>
    <row r="6539" spans="14:14" ht="21" customHeight="1" x14ac:dyDescent="0.35">
      <c r="N6539" s="10"/>
    </row>
    <row r="6540" spans="14:14" ht="21" customHeight="1" x14ac:dyDescent="0.35">
      <c r="N6540" s="10"/>
    </row>
    <row r="6541" spans="14:14" ht="21" customHeight="1" x14ac:dyDescent="0.35">
      <c r="N6541" s="10"/>
    </row>
    <row r="6542" spans="14:14" ht="21" customHeight="1" x14ac:dyDescent="0.35">
      <c r="N6542" s="10"/>
    </row>
    <row r="6543" spans="14:14" ht="21" customHeight="1" x14ac:dyDescent="0.35">
      <c r="N6543" s="10"/>
    </row>
    <row r="6544" spans="14:14" ht="21" customHeight="1" x14ac:dyDescent="0.35">
      <c r="N6544" s="10"/>
    </row>
    <row r="6545" spans="14:14" ht="21" customHeight="1" x14ac:dyDescent="0.35">
      <c r="N6545" s="10"/>
    </row>
    <row r="6546" spans="14:14" ht="21" customHeight="1" x14ac:dyDescent="0.35">
      <c r="N6546" s="10"/>
    </row>
    <row r="6547" spans="14:14" ht="21" customHeight="1" x14ac:dyDescent="0.35">
      <c r="N6547" s="10"/>
    </row>
    <row r="6548" spans="14:14" ht="21" customHeight="1" x14ac:dyDescent="0.35">
      <c r="N6548" s="10"/>
    </row>
    <row r="6549" spans="14:14" ht="21" customHeight="1" x14ac:dyDescent="0.35">
      <c r="N6549" s="10"/>
    </row>
    <row r="6550" spans="14:14" ht="21" customHeight="1" x14ac:dyDescent="0.35">
      <c r="N6550" s="10"/>
    </row>
    <row r="6551" spans="14:14" ht="21" customHeight="1" x14ac:dyDescent="0.35">
      <c r="N6551" s="10"/>
    </row>
    <row r="6552" spans="14:14" ht="21" customHeight="1" x14ac:dyDescent="0.35">
      <c r="N6552" s="10"/>
    </row>
    <row r="6553" spans="14:14" ht="21" customHeight="1" x14ac:dyDescent="0.35">
      <c r="N6553" s="10"/>
    </row>
    <row r="6554" spans="14:14" ht="21" customHeight="1" x14ac:dyDescent="0.35">
      <c r="N6554" s="10"/>
    </row>
    <row r="6555" spans="14:14" ht="21" customHeight="1" x14ac:dyDescent="0.35">
      <c r="N6555" s="10"/>
    </row>
    <row r="6556" spans="14:14" ht="21" customHeight="1" x14ac:dyDescent="0.35">
      <c r="N6556" s="10"/>
    </row>
    <row r="6557" spans="14:14" ht="21" customHeight="1" x14ac:dyDescent="0.35">
      <c r="N6557" s="10"/>
    </row>
    <row r="6558" spans="14:14" ht="21" customHeight="1" x14ac:dyDescent="0.35">
      <c r="N6558" s="10"/>
    </row>
    <row r="6559" spans="14:14" ht="21" customHeight="1" x14ac:dyDescent="0.35">
      <c r="N6559" s="10"/>
    </row>
    <row r="6560" spans="14:14" ht="21" customHeight="1" x14ac:dyDescent="0.35">
      <c r="N6560" s="10"/>
    </row>
    <row r="6561" spans="14:14" ht="21" customHeight="1" x14ac:dyDescent="0.35">
      <c r="N6561" s="10"/>
    </row>
    <row r="6562" spans="14:14" ht="21" customHeight="1" x14ac:dyDescent="0.35">
      <c r="N6562" s="10"/>
    </row>
    <row r="6563" spans="14:14" ht="21" customHeight="1" x14ac:dyDescent="0.35">
      <c r="N6563" s="10"/>
    </row>
    <row r="6564" spans="14:14" ht="21" customHeight="1" x14ac:dyDescent="0.35">
      <c r="N6564" s="10"/>
    </row>
    <row r="6565" spans="14:14" ht="21" customHeight="1" x14ac:dyDescent="0.35">
      <c r="N6565" s="10"/>
    </row>
    <row r="6566" spans="14:14" ht="21" customHeight="1" x14ac:dyDescent="0.35">
      <c r="N6566" s="10"/>
    </row>
    <row r="6567" spans="14:14" ht="21" customHeight="1" x14ac:dyDescent="0.35">
      <c r="N6567" s="10"/>
    </row>
    <row r="6568" spans="14:14" ht="21" customHeight="1" x14ac:dyDescent="0.35">
      <c r="N6568" s="10"/>
    </row>
    <row r="6569" spans="14:14" ht="21" customHeight="1" x14ac:dyDescent="0.35">
      <c r="N6569" s="10"/>
    </row>
    <row r="6570" spans="14:14" ht="21" customHeight="1" x14ac:dyDescent="0.35">
      <c r="N6570" s="10"/>
    </row>
    <row r="6571" spans="14:14" ht="21" customHeight="1" x14ac:dyDescent="0.35">
      <c r="N6571" s="10"/>
    </row>
    <row r="6572" spans="14:14" ht="21" customHeight="1" x14ac:dyDescent="0.35">
      <c r="N6572" s="10"/>
    </row>
    <row r="6573" spans="14:14" ht="21" customHeight="1" x14ac:dyDescent="0.35">
      <c r="N6573" s="10"/>
    </row>
    <row r="6574" spans="14:14" ht="21" customHeight="1" x14ac:dyDescent="0.35">
      <c r="N6574" s="10"/>
    </row>
    <row r="6575" spans="14:14" ht="21" customHeight="1" x14ac:dyDescent="0.35">
      <c r="N6575" s="10"/>
    </row>
    <row r="6576" spans="14:14" ht="21" customHeight="1" x14ac:dyDescent="0.35">
      <c r="N6576" s="10"/>
    </row>
    <row r="6577" spans="14:14" ht="21" customHeight="1" x14ac:dyDescent="0.35">
      <c r="N6577" s="10"/>
    </row>
    <row r="6578" spans="14:14" ht="21" customHeight="1" x14ac:dyDescent="0.35">
      <c r="N6578" s="10"/>
    </row>
    <row r="6579" spans="14:14" ht="21" customHeight="1" x14ac:dyDescent="0.35">
      <c r="N6579" s="10"/>
    </row>
    <row r="6580" spans="14:14" ht="21" customHeight="1" x14ac:dyDescent="0.35">
      <c r="N6580" s="10"/>
    </row>
    <row r="6581" spans="14:14" ht="21" customHeight="1" x14ac:dyDescent="0.35">
      <c r="N6581" s="10"/>
    </row>
    <row r="6582" spans="14:14" ht="21" customHeight="1" x14ac:dyDescent="0.35">
      <c r="N6582" s="10"/>
    </row>
    <row r="6583" spans="14:14" ht="21" customHeight="1" x14ac:dyDescent="0.35">
      <c r="N6583" s="10"/>
    </row>
    <row r="6584" spans="14:14" ht="21" customHeight="1" x14ac:dyDescent="0.35">
      <c r="N6584" s="10"/>
    </row>
    <row r="6585" spans="14:14" ht="21" customHeight="1" x14ac:dyDescent="0.35">
      <c r="N6585" s="10"/>
    </row>
    <row r="6586" spans="14:14" ht="21" customHeight="1" x14ac:dyDescent="0.35">
      <c r="N6586" s="10"/>
    </row>
    <row r="6587" spans="14:14" ht="21" customHeight="1" x14ac:dyDescent="0.35">
      <c r="N6587" s="10"/>
    </row>
    <row r="6588" spans="14:14" ht="21" customHeight="1" x14ac:dyDescent="0.35">
      <c r="N6588" s="10"/>
    </row>
    <row r="6589" spans="14:14" ht="21" customHeight="1" x14ac:dyDescent="0.35">
      <c r="N6589" s="10"/>
    </row>
    <row r="6590" spans="14:14" ht="21" customHeight="1" x14ac:dyDescent="0.35">
      <c r="N6590" s="10"/>
    </row>
    <row r="6591" spans="14:14" ht="21" customHeight="1" x14ac:dyDescent="0.35">
      <c r="N6591" s="10"/>
    </row>
    <row r="6592" spans="14:14" ht="21" customHeight="1" x14ac:dyDescent="0.35">
      <c r="N6592" s="10"/>
    </row>
    <row r="6593" spans="14:14" ht="21" customHeight="1" x14ac:dyDescent="0.35">
      <c r="N6593" s="10"/>
    </row>
    <row r="6594" spans="14:14" ht="21" customHeight="1" x14ac:dyDescent="0.35">
      <c r="N6594" s="10"/>
    </row>
    <row r="6595" spans="14:14" ht="21" customHeight="1" x14ac:dyDescent="0.35">
      <c r="N6595" s="10"/>
    </row>
    <row r="6596" spans="14:14" ht="21" customHeight="1" x14ac:dyDescent="0.35">
      <c r="N6596" s="10"/>
    </row>
    <row r="6597" spans="14:14" ht="21" customHeight="1" x14ac:dyDescent="0.35">
      <c r="N6597" s="10"/>
    </row>
    <row r="6598" spans="14:14" ht="21" customHeight="1" x14ac:dyDescent="0.35">
      <c r="N6598" s="10"/>
    </row>
    <row r="6599" spans="14:14" ht="21" customHeight="1" x14ac:dyDescent="0.35">
      <c r="N6599" s="10"/>
    </row>
    <row r="6600" spans="14:14" ht="21" customHeight="1" x14ac:dyDescent="0.35">
      <c r="N6600" s="10"/>
    </row>
    <row r="6601" spans="14:14" ht="21" customHeight="1" x14ac:dyDescent="0.35">
      <c r="N6601" s="10"/>
    </row>
    <row r="6602" spans="14:14" ht="21" customHeight="1" x14ac:dyDescent="0.35">
      <c r="N6602" s="10"/>
    </row>
    <row r="6603" spans="14:14" ht="21" customHeight="1" x14ac:dyDescent="0.35">
      <c r="N6603" s="10"/>
    </row>
    <row r="6604" spans="14:14" ht="21" customHeight="1" x14ac:dyDescent="0.35">
      <c r="N6604" s="10"/>
    </row>
    <row r="6605" spans="14:14" ht="21" customHeight="1" x14ac:dyDescent="0.35">
      <c r="N6605" s="10"/>
    </row>
    <row r="6606" spans="14:14" ht="21" customHeight="1" x14ac:dyDescent="0.35">
      <c r="N6606" s="10"/>
    </row>
    <row r="6607" spans="14:14" ht="21" customHeight="1" x14ac:dyDescent="0.35">
      <c r="N6607" s="10"/>
    </row>
    <row r="6608" spans="14:14" ht="21" customHeight="1" x14ac:dyDescent="0.35">
      <c r="N6608" s="10"/>
    </row>
    <row r="6609" spans="14:14" ht="21" customHeight="1" x14ac:dyDescent="0.35">
      <c r="N6609" s="10"/>
    </row>
    <row r="6610" spans="14:14" ht="21" customHeight="1" x14ac:dyDescent="0.35">
      <c r="N6610" s="10"/>
    </row>
    <row r="6611" spans="14:14" ht="21" customHeight="1" x14ac:dyDescent="0.35">
      <c r="N6611" s="10"/>
    </row>
    <row r="6612" spans="14:14" ht="21" customHeight="1" x14ac:dyDescent="0.35">
      <c r="N6612" s="10"/>
    </row>
    <row r="6613" spans="14:14" ht="21" customHeight="1" x14ac:dyDescent="0.35">
      <c r="N6613" s="10"/>
    </row>
    <row r="6614" spans="14:14" ht="21" customHeight="1" x14ac:dyDescent="0.35">
      <c r="N6614" s="10"/>
    </row>
    <row r="6615" spans="14:14" ht="21" customHeight="1" x14ac:dyDescent="0.35">
      <c r="N6615" s="10"/>
    </row>
    <row r="6616" spans="14:14" ht="21" customHeight="1" x14ac:dyDescent="0.35">
      <c r="N6616" s="10"/>
    </row>
    <row r="6617" spans="14:14" ht="21" customHeight="1" x14ac:dyDescent="0.35">
      <c r="N6617" s="10"/>
    </row>
    <row r="6618" spans="14:14" ht="21" customHeight="1" x14ac:dyDescent="0.35">
      <c r="N6618" s="10"/>
    </row>
    <row r="6619" spans="14:14" ht="21" customHeight="1" x14ac:dyDescent="0.35">
      <c r="N6619" s="10"/>
    </row>
    <row r="6620" spans="14:14" ht="21" customHeight="1" x14ac:dyDescent="0.35">
      <c r="N6620" s="10"/>
    </row>
    <row r="6621" spans="14:14" ht="21" customHeight="1" x14ac:dyDescent="0.35">
      <c r="N6621" s="10"/>
    </row>
    <row r="6622" spans="14:14" ht="21" customHeight="1" x14ac:dyDescent="0.35">
      <c r="N6622" s="10"/>
    </row>
    <row r="6623" spans="14:14" ht="21" customHeight="1" x14ac:dyDescent="0.35">
      <c r="N6623" s="10"/>
    </row>
    <row r="6624" spans="14:14" ht="21" customHeight="1" x14ac:dyDescent="0.35">
      <c r="N6624" s="10"/>
    </row>
    <row r="6625" spans="14:14" ht="21" customHeight="1" x14ac:dyDescent="0.35">
      <c r="N6625" s="10"/>
    </row>
    <row r="6626" spans="14:14" ht="21" customHeight="1" x14ac:dyDescent="0.35">
      <c r="N6626" s="10"/>
    </row>
    <row r="6627" spans="14:14" ht="21" customHeight="1" x14ac:dyDescent="0.35">
      <c r="N6627" s="10"/>
    </row>
    <row r="6628" spans="14:14" ht="21" customHeight="1" x14ac:dyDescent="0.35">
      <c r="N6628" s="10"/>
    </row>
    <row r="6629" spans="14:14" ht="21" customHeight="1" x14ac:dyDescent="0.35">
      <c r="N6629" s="10"/>
    </row>
    <row r="6630" spans="14:14" ht="21" customHeight="1" x14ac:dyDescent="0.35">
      <c r="N6630" s="10"/>
    </row>
    <row r="6631" spans="14:14" ht="21" customHeight="1" x14ac:dyDescent="0.35">
      <c r="N6631" s="10"/>
    </row>
    <row r="6632" spans="14:14" ht="21" customHeight="1" x14ac:dyDescent="0.35">
      <c r="N6632" s="10"/>
    </row>
    <row r="6633" spans="14:14" ht="21" customHeight="1" x14ac:dyDescent="0.35">
      <c r="N6633" s="10"/>
    </row>
    <row r="6634" spans="14:14" ht="21" customHeight="1" x14ac:dyDescent="0.35">
      <c r="N6634" s="10"/>
    </row>
    <row r="6635" spans="14:14" ht="21" customHeight="1" x14ac:dyDescent="0.35">
      <c r="N6635" s="10"/>
    </row>
    <row r="6636" spans="14:14" ht="21" customHeight="1" x14ac:dyDescent="0.35">
      <c r="N6636" s="10"/>
    </row>
    <row r="6637" spans="14:14" ht="21" customHeight="1" x14ac:dyDescent="0.35">
      <c r="N6637" s="10"/>
    </row>
    <row r="6638" spans="14:14" ht="21" customHeight="1" x14ac:dyDescent="0.35">
      <c r="N6638" s="10"/>
    </row>
    <row r="6639" spans="14:14" ht="21" customHeight="1" x14ac:dyDescent="0.35">
      <c r="N6639" s="10"/>
    </row>
    <row r="6640" spans="14:14" ht="21" customHeight="1" x14ac:dyDescent="0.35">
      <c r="N6640" s="10"/>
    </row>
    <row r="6641" spans="14:14" ht="21" customHeight="1" x14ac:dyDescent="0.35">
      <c r="N6641" s="10"/>
    </row>
    <row r="6642" spans="14:14" ht="21" customHeight="1" x14ac:dyDescent="0.35">
      <c r="N6642" s="10"/>
    </row>
    <row r="6643" spans="14:14" ht="21" customHeight="1" x14ac:dyDescent="0.35">
      <c r="N6643" s="10"/>
    </row>
    <row r="6644" spans="14:14" ht="21" customHeight="1" x14ac:dyDescent="0.35">
      <c r="N6644" s="10"/>
    </row>
    <row r="6645" spans="14:14" ht="21" customHeight="1" x14ac:dyDescent="0.35">
      <c r="N6645" s="10"/>
    </row>
    <row r="6646" spans="14:14" ht="21" customHeight="1" x14ac:dyDescent="0.35">
      <c r="N6646" s="10"/>
    </row>
    <row r="6647" spans="14:14" ht="21" customHeight="1" x14ac:dyDescent="0.35">
      <c r="N6647" s="10"/>
    </row>
    <row r="6648" spans="14:14" ht="21" customHeight="1" x14ac:dyDescent="0.35">
      <c r="N6648" s="10"/>
    </row>
    <row r="6649" spans="14:14" ht="21" customHeight="1" x14ac:dyDescent="0.35">
      <c r="N6649" s="10"/>
    </row>
    <row r="6650" spans="14:14" ht="21" customHeight="1" x14ac:dyDescent="0.35">
      <c r="N6650" s="10"/>
    </row>
    <row r="6651" spans="14:14" ht="21" customHeight="1" x14ac:dyDescent="0.35">
      <c r="N6651" s="10"/>
    </row>
    <row r="6652" spans="14:14" ht="21" customHeight="1" x14ac:dyDescent="0.35">
      <c r="N6652" s="10"/>
    </row>
    <row r="6653" spans="14:14" ht="21" customHeight="1" x14ac:dyDescent="0.35">
      <c r="N6653" s="10"/>
    </row>
    <row r="6654" spans="14:14" ht="21" customHeight="1" x14ac:dyDescent="0.35">
      <c r="N6654" s="10"/>
    </row>
    <row r="6655" spans="14:14" ht="21" customHeight="1" x14ac:dyDescent="0.35">
      <c r="N6655" s="10"/>
    </row>
    <row r="6656" spans="14:14" ht="21" customHeight="1" x14ac:dyDescent="0.35">
      <c r="N6656" s="10"/>
    </row>
    <row r="6657" spans="14:14" ht="21" customHeight="1" x14ac:dyDescent="0.35">
      <c r="N6657" s="10"/>
    </row>
    <row r="6658" spans="14:14" ht="21" customHeight="1" x14ac:dyDescent="0.35">
      <c r="N6658" s="10"/>
    </row>
    <row r="6659" spans="14:14" ht="21" customHeight="1" x14ac:dyDescent="0.35">
      <c r="N6659" s="10"/>
    </row>
    <row r="6660" spans="14:14" ht="21" customHeight="1" x14ac:dyDescent="0.35">
      <c r="N6660" s="10"/>
    </row>
    <row r="6661" spans="14:14" ht="21" customHeight="1" x14ac:dyDescent="0.35">
      <c r="N6661" s="10"/>
    </row>
    <row r="6662" spans="14:14" ht="21" customHeight="1" x14ac:dyDescent="0.35">
      <c r="N6662" s="10"/>
    </row>
    <row r="6663" spans="14:14" ht="21" customHeight="1" x14ac:dyDescent="0.35">
      <c r="N6663" s="10"/>
    </row>
    <row r="6664" spans="14:14" ht="21" customHeight="1" x14ac:dyDescent="0.35">
      <c r="N6664" s="10"/>
    </row>
    <row r="6665" spans="14:14" ht="21" customHeight="1" x14ac:dyDescent="0.35">
      <c r="N6665" s="10"/>
    </row>
    <row r="6666" spans="14:14" ht="21" customHeight="1" x14ac:dyDescent="0.35">
      <c r="N6666" s="10"/>
    </row>
    <row r="6667" spans="14:14" ht="21" customHeight="1" x14ac:dyDescent="0.35">
      <c r="N6667" s="10"/>
    </row>
    <row r="6668" spans="14:14" ht="21" customHeight="1" x14ac:dyDescent="0.35">
      <c r="N6668" s="10"/>
    </row>
    <row r="6669" spans="14:14" ht="21" customHeight="1" x14ac:dyDescent="0.35">
      <c r="N6669" s="10"/>
    </row>
    <row r="6670" spans="14:14" ht="21" customHeight="1" x14ac:dyDescent="0.35">
      <c r="N6670" s="10"/>
    </row>
    <row r="6671" spans="14:14" ht="21" customHeight="1" x14ac:dyDescent="0.35">
      <c r="N6671" s="10"/>
    </row>
    <row r="6672" spans="14:14" ht="21" customHeight="1" x14ac:dyDescent="0.35">
      <c r="N6672" s="10"/>
    </row>
    <row r="6673" spans="14:14" ht="21" customHeight="1" x14ac:dyDescent="0.35">
      <c r="N6673" s="10"/>
    </row>
    <row r="6674" spans="14:14" ht="21" customHeight="1" x14ac:dyDescent="0.35">
      <c r="N6674" s="10"/>
    </row>
    <row r="6675" spans="14:14" ht="21" customHeight="1" x14ac:dyDescent="0.35">
      <c r="N6675" s="10"/>
    </row>
    <row r="6676" spans="14:14" ht="21" customHeight="1" x14ac:dyDescent="0.35">
      <c r="N6676" s="10"/>
    </row>
    <row r="6677" spans="14:14" ht="21" customHeight="1" x14ac:dyDescent="0.35">
      <c r="N6677" s="10"/>
    </row>
    <row r="6678" spans="14:14" ht="21" customHeight="1" x14ac:dyDescent="0.35">
      <c r="N6678" s="10"/>
    </row>
    <row r="6679" spans="14:14" ht="21" customHeight="1" x14ac:dyDescent="0.35">
      <c r="N6679" s="10"/>
    </row>
    <row r="6680" spans="14:14" ht="21" customHeight="1" x14ac:dyDescent="0.35">
      <c r="N6680" s="10"/>
    </row>
    <row r="6681" spans="14:14" ht="21" customHeight="1" x14ac:dyDescent="0.35">
      <c r="N6681" s="10"/>
    </row>
    <row r="6682" spans="14:14" ht="21" customHeight="1" x14ac:dyDescent="0.35">
      <c r="N6682" s="10"/>
    </row>
    <row r="6683" spans="14:14" ht="21" customHeight="1" x14ac:dyDescent="0.35">
      <c r="N6683" s="10"/>
    </row>
    <row r="6684" spans="14:14" ht="21" customHeight="1" x14ac:dyDescent="0.35">
      <c r="N6684" s="10"/>
    </row>
    <row r="6685" spans="14:14" ht="21" customHeight="1" x14ac:dyDescent="0.35">
      <c r="N6685" s="10"/>
    </row>
    <row r="6686" spans="14:14" ht="21" customHeight="1" x14ac:dyDescent="0.35">
      <c r="N6686" s="10"/>
    </row>
    <row r="6687" spans="14:14" ht="21" customHeight="1" x14ac:dyDescent="0.35">
      <c r="N6687" s="10"/>
    </row>
    <row r="6688" spans="14:14" ht="21" customHeight="1" x14ac:dyDescent="0.35">
      <c r="N6688" s="10"/>
    </row>
    <row r="6689" spans="14:14" ht="21" customHeight="1" x14ac:dyDescent="0.35">
      <c r="N6689" s="10"/>
    </row>
    <row r="6690" spans="14:14" ht="21" customHeight="1" x14ac:dyDescent="0.35">
      <c r="N6690" s="10"/>
    </row>
    <row r="6691" spans="14:14" ht="21" customHeight="1" x14ac:dyDescent="0.35">
      <c r="N6691" s="10"/>
    </row>
    <row r="6692" spans="14:14" ht="21" customHeight="1" x14ac:dyDescent="0.35">
      <c r="N6692" s="10"/>
    </row>
    <row r="6693" spans="14:14" ht="21" customHeight="1" x14ac:dyDescent="0.35">
      <c r="N6693" s="10"/>
    </row>
    <row r="6694" spans="14:14" ht="21" customHeight="1" x14ac:dyDescent="0.35">
      <c r="N6694" s="10"/>
    </row>
    <row r="6695" spans="14:14" ht="21" customHeight="1" x14ac:dyDescent="0.35">
      <c r="N6695" s="10"/>
    </row>
    <row r="6696" spans="14:14" ht="21" customHeight="1" x14ac:dyDescent="0.35">
      <c r="N6696" s="10"/>
    </row>
    <row r="6697" spans="14:14" ht="21" customHeight="1" x14ac:dyDescent="0.35">
      <c r="N6697" s="10"/>
    </row>
    <row r="6698" spans="14:14" ht="21" customHeight="1" x14ac:dyDescent="0.35">
      <c r="N6698" s="10"/>
    </row>
    <row r="6699" spans="14:14" ht="21" customHeight="1" x14ac:dyDescent="0.35">
      <c r="N6699" s="10"/>
    </row>
    <row r="6700" spans="14:14" ht="21" customHeight="1" x14ac:dyDescent="0.35">
      <c r="N6700" s="10"/>
    </row>
    <row r="6701" spans="14:14" ht="21" customHeight="1" x14ac:dyDescent="0.35">
      <c r="N6701" s="10"/>
    </row>
    <row r="6702" spans="14:14" ht="21" customHeight="1" x14ac:dyDescent="0.35">
      <c r="N6702" s="10"/>
    </row>
    <row r="6703" spans="14:14" ht="21" customHeight="1" x14ac:dyDescent="0.35">
      <c r="N6703" s="10"/>
    </row>
    <row r="6704" spans="14:14" ht="21" customHeight="1" x14ac:dyDescent="0.35">
      <c r="N6704" s="10"/>
    </row>
    <row r="6705" spans="14:14" ht="21" customHeight="1" x14ac:dyDescent="0.35">
      <c r="N6705" s="10"/>
    </row>
    <row r="6706" spans="14:14" ht="21" customHeight="1" x14ac:dyDescent="0.35">
      <c r="N6706" s="10"/>
    </row>
    <row r="6707" spans="14:14" ht="21" customHeight="1" x14ac:dyDescent="0.35">
      <c r="N6707" s="10"/>
    </row>
    <row r="6708" spans="14:14" ht="21" customHeight="1" x14ac:dyDescent="0.35">
      <c r="N6708" s="10"/>
    </row>
    <row r="6709" spans="14:14" ht="21" customHeight="1" x14ac:dyDescent="0.35">
      <c r="N6709" s="10"/>
    </row>
    <row r="6710" spans="14:14" ht="21" customHeight="1" x14ac:dyDescent="0.35">
      <c r="N6710" s="10"/>
    </row>
    <row r="6711" spans="14:14" ht="21" customHeight="1" x14ac:dyDescent="0.35">
      <c r="N6711" s="10"/>
    </row>
    <row r="6712" spans="14:14" ht="21" customHeight="1" x14ac:dyDescent="0.35">
      <c r="N6712" s="10"/>
    </row>
    <row r="6713" spans="14:14" ht="21" customHeight="1" x14ac:dyDescent="0.35">
      <c r="N6713" s="10"/>
    </row>
    <row r="6714" spans="14:14" ht="21" customHeight="1" x14ac:dyDescent="0.35">
      <c r="N6714" s="10"/>
    </row>
    <row r="6715" spans="14:14" ht="21" customHeight="1" x14ac:dyDescent="0.35">
      <c r="N6715" s="10"/>
    </row>
    <row r="6716" spans="14:14" ht="21" customHeight="1" x14ac:dyDescent="0.35">
      <c r="N6716" s="10"/>
    </row>
    <row r="6717" spans="14:14" ht="21" customHeight="1" x14ac:dyDescent="0.35">
      <c r="N6717" s="10"/>
    </row>
    <row r="6718" spans="14:14" ht="21" customHeight="1" x14ac:dyDescent="0.35">
      <c r="N6718" s="10"/>
    </row>
    <row r="6719" spans="14:14" ht="21" customHeight="1" x14ac:dyDescent="0.35">
      <c r="N6719" s="10"/>
    </row>
    <row r="6720" spans="14:14" ht="21" customHeight="1" x14ac:dyDescent="0.35">
      <c r="N6720" s="10"/>
    </row>
    <row r="6721" spans="14:14" ht="21" customHeight="1" x14ac:dyDescent="0.35">
      <c r="N6721" s="10"/>
    </row>
    <row r="6722" spans="14:14" ht="21" customHeight="1" x14ac:dyDescent="0.35">
      <c r="N6722" s="10"/>
    </row>
    <row r="6723" spans="14:14" ht="21" customHeight="1" x14ac:dyDescent="0.35">
      <c r="N6723" s="10"/>
    </row>
    <row r="6724" spans="14:14" ht="21" customHeight="1" x14ac:dyDescent="0.35">
      <c r="N6724" s="10"/>
    </row>
    <row r="6725" spans="14:14" ht="21" customHeight="1" x14ac:dyDescent="0.35">
      <c r="N6725" s="10"/>
    </row>
    <row r="6726" spans="14:14" ht="21" customHeight="1" x14ac:dyDescent="0.35">
      <c r="N6726" s="10"/>
    </row>
    <row r="6727" spans="14:14" ht="21" customHeight="1" x14ac:dyDescent="0.35">
      <c r="N6727" s="10"/>
    </row>
    <row r="6728" spans="14:14" ht="21" customHeight="1" x14ac:dyDescent="0.35">
      <c r="N6728" s="10"/>
    </row>
    <row r="6729" spans="14:14" ht="21" customHeight="1" x14ac:dyDescent="0.35">
      <c r="N6729" s="10"/>
    </row>
    <row r="6730" spans="14:14" ht="21" customHeight="1" x14ac:dyDescent="0.35">
      <c r="N6730" s="10"/>
    </row>
    <row r="6731" spans="14:14" ht="21" customHeight="1" x14ac:dyDescent="0.35">
      <c r="N6731" s="10"/>
    </row>
    <row r="6732" spans="14:14" ht="21" customHeight="1" x14ac:dyDescent="0.35">
      <c r="N6732" s="10"/>
    </row>
    <row r="6733" spans="14:14" ht="21" customHeight="1" x14ac:dyDescent="0.35">
      <c r="N6733" s="10"/>
    </row>
    <row r="6734" spans="14:14" ht="21" customHeight="1" x14ac:dyDescent="0.35">
      <c r="N6734" s="10"/>
    </row>
    <row r="6735" spans="14:14" ht="21" customHeight="1" x14ac:dyDescent="0.35">
      <c r="N6735" s="10"/>
    </row>
    <row r="6736" spans="14:14" ht="21" customHeight="1" x14ac:dyDescent="0.35">
      <c r="N6736" s="10"/>
    </row>
    <row r="6737" spans="14:14" ht="21" customHeight="1" x14ac:dyDescent="0.35">
      <c r="N6737" s="10"/>
    </row>
    <row r="6738" spans="14:14" ht="21" customHeight="1" x14ac:dyDescent="0.35">
      <c r="N6738" s="10"/>
    </row>
    <row r="6739" spans="14:14" ht="21" customHeight="1" x14ac:dyDescent="0.35">
      <c r="N6739" s="10"/>
    </row>
    <row r="6740" spans="14:14" ht="21" customHeight="1" x14ac:dyDescent="0.35">
      <c r="N6740" s="10"/>
    </row>
    <row r="6741" spans="14:14" ht="21" customHeight="1" x14ac:dyDescent="0.35">
      <c r="N6741" s="10"/>
    </row>
    <row r="6742" spans="14:14" ht="21" customHeight="1" x14ac:dyDescent="0.35">
      <c r="N6742" s="10"/>
    </row>
    <row r="6743" spans="14:14" ht="21" customHeight="1" x14ac:dyDescent="0.35">
      <c r="N6743" s="10"/>
    </row>
    <row r="6744" spans="14:14" ht="21" customHeight="1" x14ac:dyDescent="0.35">
      <c r="N6744" s="10"/>
    </row>
    <row r="6745" spans="14:14" ht="21" customHeight="1" x14ac:dyDescent="0.35">
      <c r="N6745" s="10"/>
    </row>
    <row r="6746" spans="14:14" ht="21" customHeight="1" x14ac:dyDescent="0.35">
      <c r="N6746" s="10"/>
    </row>
    <row r="6747" spans="14:14" ht="21" customHeight="1" x14ac:dyDescent="0.35">
      <c r="N6747" s="10"/>
    </row>
    <row r="6748" spans="14:14" ht="21" customHeight="1" x14ac:dyDescent="0.35">
      <c r="N6748" s="10"/>
    </row>
    <row r="6749" spans="14:14" ht="21" customHeight="1" x14ac:dyDescent="0.35">
      <c r="N6749" s="10"/>
    </row>
    <row r="6750" spans="14:14" ht="21" customHeight="1" x14ac:dyDescent="0.35">
      <c r="N6750" s="10"/>
    </row>
    <row r="6751" spans="14:14" ht="21" customHeight="1" x14ac:dyDescent="0.35">
      <c r="N6751" s="10"/>
    </row>
    <row r="6752" spans="14:14" ht="21" customHeight="1" x14ac:dyDescent="0.35">
      <c r="N6752" s="10"/>
    </row>
    <row r="6753" spans="14:14" ht="21" customHeight="1" x14ac:dyDescent="0.35">
      <c r="N6753" s="10"/>
    </row>
    <row r="6754" spans="14:14" ht="21" customHeight="1" x14ac:dyDescent="0.35">
      <c r="N6754" s="10"/>
    </row>
    <row r="6755" spans="14:14" ht="21" customHeight="1" x14ac:dyDescent="0.35">
      <c r="N6755" s="10"/>
    </row>
    <row r="6756" spans="14:14" ht="21" customHeight="1" x14ac:dyDescent="0.35">
      <c r="N6756" s="10"/>
    </row>
    <row r="6757" spans="14:14" ht="21" customHeight="1" x14ac:dyDescent="0.35">
      <c r="N6757" s="10"/>
    </row>
    <row r="6758" spans="14:14" ht="21" customHeight="1" x14ac:dyDescent="0.35">
      <c r="N6758" s="10"/>
    </row>
    <row r="6759" spans="14:14" ht="21" customHeight="1" x14ac:dyDescent="0.35">
      <c r="N6759" s="10"/>
    </row>
    <row r="6760" spans="14:14" ht="21" customHeight="1" x14ac:dyDescent="0.35">
      <c r="N6760" s="10"/>
    </row>
    <row r="6761" spans="14:14" ht="21" customHeight="1" x14ac:dyDescent="0.35">
      <c r="N6761" s="10"/>
    </row>
    <row r="6762" spans="14:14" ht="21" customHeight="1" x14ac:dyDescent="0.35">
      <c r="N6762" s="10"/>
    </row>
    <row r="6763" spans="14:14" ht="21" customHeight="1" x14ac:dyDescent="0.35">
      <c r="N6763" s="10"/>
    </row>
    <row r="6764" spans="14:14" ht="21" customHeight="1" x14ac:dyDescent="0.35">
      <c r="N6764" s="10"/>
    </row>
    <row r="6765" spans="14:14" ht="21" customHeight="1" x14ac:dyDescent="0.35">
      <c r="N6765" s="10"/>
    </row>
    <row r="6766" spans="14:14" ht="21" customHeight="1" x14ac:dyDescent="0.35">
      <c r="N6766" s="10"/>
    </row>
    <row r="6767" spans="14:14" ht="21" customHeight="1" x14ac:dyDescent="0.35">
      <c r="N6767" s="10"/>
    </row>
    <row r="6768" spans="14:14" ht="21" customHeight="1" x14ac:dyDescent="0.35">
      <c r="N6768" s="10"/>
    </row>
    <row r="6769" spans="14:14" ht="21" customHeight="1" x14ac:dyDescent="0.35">
      <c r="N6769" s="10"/>
    </row>
    <row r="6770" spans="14:14" ht="21" customHeight="1" x14ac:dyDescent="0.35">
      <c r="N6770" s="10"/>
    </row>
    <row r="6771" spans="14:14" ht="21" customHeight="1" x14ac:dyDescent="0.35">
      <c r="N6771" s="10"/>
    </row>
    <row r="6772" spans="14:14" ht="21" customHeight="1" x14ac:dyDescent="0.35">
      <c r="N6772" s="10"/>
    </row>
    <row r="6773" spans="14:14" ht="21" customHeight="1" x14ac:dyDescent="0.35">
      <c r="N6773" s="10"/>
    </row>
    <row r="6774" spans="14:14" ht="21" customHeight="1" x14ac:dyDescent="0.35">
      <c r="N6774" s="10"/>
    </row>
    <row r="6775" spans="14:14" ht="21" customHeight="1" x14ac:dyDescent="0.35">
      <c r="N6775" s="10"/>
    </row>
    <row r="6776" spans="14:14" ht="21" customHeight="1" x14ac:dyDescent="0.35">
      <c r="N6776" s="10"/>
    </row>
    <row r="6777" spans="14:14" ht="21" customHeight="1" x14ac:dyDescent="0.35">
      <c r="N6777" s="10"/>
    </row>
    <row r="6778" spans="14:14" ht="21" customHeight="1" x14ac:dyDescent="0.35">
      <c r="N6778" s="10"/>
    </row>
    <row r="6779" spans="14:14" ht="21" customHeight="1" x14ac:dyDescent="0.35">
      <c r="N6779" s="10"/>
    </row>
    <row r="6780" spans="14:14" ht="21" customHeight="1" x14ac:dyDescent="0.35">
      <c r="N6780" s="10"/>
    </row>
    <row r="6781" spans="14:14" ht="21" customHeight="1" x14ac:dyDescent="0.35">
      <c r="N6781" s="10"/>
    </row>
    <row r="6782" spans="14:14" ht="21" customHeight="1" x14ac:dyDescent="0.35">
      <c r="N6782" s="10"/>
    </row>
    <row r="6783" spans="14:14" ht="21" customHeight="1" x14ac:dyDescent="0.35">
      <c r="N6783" s="10"/>
    </row>
    <row r="6784" spans="14:14" ht="21" customHeight="1" x14ac:dyDescent="0.35">
      <c r="N6784" s="10"/>
    </row>
    <row r="6785" spans="14:14" ht="21" customHeight="1" x14ac:dyDescent="0.35">
      <c r="N6785" s="10"/>
    </row>
    <row r="6786" spans="14:14" ht="21" customHeight="1" x14ac:dyDescent="0.35">
      <c r="N6786" s="10"/>
    </row>
    <row r="6787" spans="14:14" ht="21" customHeight="1" x14ac:dyDescent="0.35">
      <c r="N6787" s="10"/>
    </row>
    <row r="6788" spans="14:14" ht="21" customHeight="1" x14ac:dyDescent="0.35">
      <c r="N6788" s="10"/>
    </row>
    <row r="6789" spans="14:14" ht="21" customHeight="1" x14ac:dyDescent="0.35">
      <c r="N6789" s="10"/>
    </row>
    <row r="6790" spans="14:14" ht="21" customHeight="1" x14ac:dyDescent="0.35">
      <c r="N6790" s="10"/>
    </row>
    <row r="6791" spans="14:14" ht="21" customHeight="1" x14ac:dyDescent="0.35">
      <c r="N6791" s="10"/>
    </row>
    <row r="6792" spans="14:14" ht="21" customHeight="1" x14ac:dyDescent="0.35">
      <c r="N6792" s="10"/>
    </row>
    <row r="6793" spans="14:14" ht="21" customHeight="1" x14ac:dyDescent="0.35">
      <c r="N6793" s="10"/>
    </row>
    <row r="6794" spans="14:14" ht="21" customHeight="1" x14ac:dyDescent="0.35">
      <c r="N6794" s="10"/>
    </row>
    <row r="6795" spans="14:14" ht="21" customHeight="1" x14ac:dyDescent="0.35">
      <c r="N6795" s="10"/>
    </row>
    <row r="6796" spans="14:14" ht="21" customHeight="1" x14ac:dyDescent="0.35">
      <c r="N6796" s="10"/>
    </row>
    <row r="6797" spans="14:14" ht="21" customHeight="1" x14ac:dyDescent="0.35">
      <c r="N6797" s="10"/>
    </row>
    <row r="6798" spans="14:14" ht="21" customHeight="1" x14ac:dyDescent="0.35">
      <c r="N6798" s="10"/>
    </row>
    <row r="6799" spans="14:14" ht="21" customHeight="1" x14ac:dyDescent="0.35">
      <c r="N6799" s="10"/>
    </row>
    <row r="6800" spans="14:14" ht="21" customHeight="1" x14ac:dyDescent="0.35">
      <c r="N6800" s="10"/>
    </row>
    <row r="6801" spans="14:14" ht="21" customHeight="1" x14ac:dyDescent="0.35">
      <c r="N6801" s="10"/>
    </row>
    <row r="6802" spans="14:14" ht="21" customHeight="1" x14ac:dyDescent="0.35">
      <c r="N6802" s="10"/>
    </row>
    <row r="6803" spans="14:14" ht="21" customHeight="1" x14ac:dyDescent="0.35">
      <c r="N6803" s="10"/>
    </row>
    <row r="6804" spans="14:14" ht="21" customHeight="1" x14ac:dyDescent="0.35">
      <c r="N6804" s="10"/>
    </row>
    <row r="6805" spans="14:14" ht="21" customHeight="1" x14ac:dyDescent="0.35">
      <c r="N6805" s="10"/>
    </row>
    <row r="6806" spans="14:14" ht="21" customHeight="1" x14ac:dyDescent="0.35">
      <c r="N6806" s="10"/>
    </row>
    <row r="6807" spans="14:14" ht="21" customHeight="1" x14ac:dyDescent="0.35">
      <c r="N6807" s="10"/>
    </row>
    <row r="6808" spans="14:14" ht="21" customHeight="1" x14ac:dyDescent="0.35">
      <c r="N6808" s="10"/>
    </row>
    <row r="6809" spans="14:14" ht="21" customHeight="1" x14ac:dyDescent="0.35">
      <c r="N6809" s="10"/>
    </row>
    <row r="6810" spans="14:14" ht="21" customHeight="1" x14ac:dyDescent="0.35">
      <c r="N6810" s="10"/>
    </row>
    <row r="6811" spans="14:14" ht="21" customHeight="1" x14ac:dyDescent="0.35">
      <c r="N6811" s="10"/>
    </row>
    <row r="6812" spans="14:14" ht="21" customHeight="1" x14ac:dyDescent="0.35">
      <c r="N6812" s="10"/>
    </row>
    <row r="6813" spans="14:14" ht="21" customHeight="1" x14ac:dyDescent="0.35">
      <c r="N6813" s="10"/>
    </row>
    <row r="6814" spans="14:14" ht="21" customHeight="1" x14ac:dyDescent="0.35">
      <c r="N6814" s="10"/>
    </row>
    <row r="6815" spans="14:14" ht="21" customHeight="1" x14ac:dyDescent="0.35">
      <c r="N6815" s="10"/>
    </row>
    <row r="6816" spans="14:14" ht="21" customHeight="1" x14ac:dyDescent="0.35">
      <c r="N6816" s="10"/>
    </row>
    <row r="6817" spans="14:14" ht="21" customHeight="1" x14ac:dyDescent="0.35">
      <c r="N6817" s="10"/>
    </row>
    <row r="6818" spans="14:14" ht="21" customHeight="1" x14ac:dyDescent="0.35">
      <c r="N6818" s="10"/>
    </row>
    <row r="6819" spans="14:14" ht="21" customHeight="1" x14ac:dyDescent="0.35">
      <c r="N6819" s="10"/>
    </row>
    <row r="6820" spans="14:14" ht="21" customHeight="1" x14ac:dyDescent="0.35">
      <c r="N6820" s="10"/>
    </row>
    <row r="6821" spans="14:14" ht="21" customHeight="1" x14ac:dyDescent="0.35">
      <c r="N6821" s="10"/>
    </row>
    <row r="6822" spans="14:14" ht="21" customHeight="1" x14ac:dyDescent="0.35">
      <c r="N6822" s="10"/>
    </row>
    <row r="6823" spans="14:14" ht="21" customHeight="1" x14ac:dyDescent="0.35">
      <c r="N6823" s="10"/>
    </row>
    <row r="6824" spans="14:14" ht="21" customHeight="1" x14ac:dyDescent="0.35">
      <c r="N6824" s="10"/>
    </row>
    <row r="6825" spans="14:14" ht="21" customHeight="1" x14ac:dyDescent="0.35">
      <c r="N6825" s="10"/>
    </row>
    <row r="6826" spans="14:14" ht="21" customHeight="1" x14ac:dyDescent="0.35">
      <c r="N6826" s="10"/>
    </row>
    <row r="6827" spans="14:14" ht="21" customHeight="1" x14ac:dyDescent="0.35">
      <c r="N6827" s="10"/>
    </row>
    <row r="6828" spans="14:14" ht="21" customHeight="1" x14ac:dyDescent="0.35">
      <c r="N6828" s="10"/>
    </row>
    <row r="6829" spans="14:14" ht="21" customHeight="1" x14ac:dyDescent="0.35">
      <c r="N6829" s="10"/>
    </row>
    <row r="6830" spans="14:14" ht="21" customHeight="1" x14ac:dyDescent="0.35">
      <c r="N6830" s="10"/>
    </row>
    <row r="6831" spans="14:14" ht="21" customHeight="1" x14ac:dyDescent="0.35">
      <c r="N6831" s="10"/>
    </row>
    <row r="6832" spans="14:14" ht="21" customHeight="1" x14ac:dyDescent="0.35">
      <c r="N6832" s="10"/>
    </row>
    <row r="6833" spans="14:14" ht="21" customHeight="1" x14ac:dyDescent="0.35">
      <c r="N6833" s="10"/>
    </row>
    <row r="6834" spans="14:14" ht="21" customHeight="1" x14ac:dyDescent="0.35">
      <c r="N6834" s="10"/>
    </row>
    <row r="6835" spans="14:14" ht="21" customHeight="1" x14ac:dyDescent="0.35">
      <c r="N6835" s="10"/>
    </row>
    <row r="6836" spans="14:14" ht="21" customHeight="1" x14ac:dyDescent="0.35">
      <c r="N6836" s="10"/>
    </row>
    <row r="6837" spans="14:14" ht="21" customHeight="1" x14ac:dyDescent="0.35">
      <c r="N6837" s="10"/>
    </row>
    <row r="6838" spans="14:14" ht="21" customHeight="1" x14ac:dyDescent="0.35">
      <c r="N6838" s="10"/>
    </row>
    <row r="6839" spans="14:14" ht="21" customHeight="1" x14ac:dyDescent="0.35">
      <c r="N6839" s="10"/>
    </row>
    <row r="6840" spans="14:14" ht="21" customHeight="1" x14ac:dyDescent="0.35">
      <c r="N6840" s="10"/>
    </row>
    <row r="6841" spans="14:14" ht="21" customHeight="1" x14ac:dyDescent="0.35">
      <c r="N6841" s="10"/>
    </row>
    <row r="6842" spans="14:14" ht="21" customHeight="1" x14ac:dyDescent="0.35">
      <c r="N6842" s="10"/>
    </row>
    <row r="6843" spans="14:14" ht="21" customHeight="1" x14ac:dyDescent="0.35">
      <c r="N6843" s="10"/>
    </row>
    <row r="6844" spans="14:14" ht="21" customHeight="1" x14ac:dyDescent="0.35">
      <c r="N6844" s="10"/>
    </row>
    <row r="6845" spans="14:14" ht="21" customHeight="1" x14ac:dyDescent="0.35">
      <c r="N6845" s="10"/>
    </row>
    <row r="6846" spans="14:14" ht="21" customHeight="1" x14ac:dyDescent="0.35">
      <c r="N6846" s="10"/>
    </row>
    <row r="6847" spans="14:14" ht="21" customHeight="1" x14ac:dyDescent="0.35">
      <c r="N6847" s="10"/>
    </row>
    <row r="6848" spans="14:14" ht="21" customHeight="1" x14ac:dyDescent="0.35">
      <c r="N6848" s="10"/>
    </row>
    <row r="6849" spans="14:14" ht="21" customHeight="1" x14ac:dyDescent="0.35">
      <c r="N6849" s="10"/>
    </row>
    <row r="6850" spans="14:14" ht="21" customHeight="1" x14ac:dyDescent="0.35">
      <c r="N6850" s="10"/>
    </row>
    <row r="6851" spans="14:14" ht="21" customHeight="1" x14ac:dyDescent="0.35">
      <c r="N6851" s="10"/>
    </row>
    <row r="6852" spans="14:14" ht="21" customHeight="1" x14ac:dyDescent="0.35">
      <c r="N6852" s="10"/>
    </row>
    <row r="6853" spans="14:14" ht="21" customHeight="1" x14ac:dyDescent="0.35">
      <c r="N6853" s="10"/>
    </row>
    <row r="6854" spans="14:14" ht="21" customHeight="1" x14ac:dyDescent="0.35">
      <c r="N6854" s="10"/>
    </row>
    <row r="6855" spans="14:14" ht="21" customHeight="1" x14ac:dyDescent="0.35">
      <c r="N6855" s="10"/>
    </row>
    <row r="6856" spans="14:14" ht="21" customHeight="1" x14ac:dyDescent="0.35">
      <c r="N6856" s="10"/>
    </row>
    <row r="6857" spans="14:14" ht="21" customHeight="1" x14ac:dyDescent="0.35">
      <c r="N6857" s="10"/>
    </row>
    <row r="6858" spans="14:14" ht="21" customHeight="1" x14ac:dyDescent="0.35">
      <c r="N6858" s="10"/>
    </row>
    <row r="6859" spans="14:14" ht="21" customHeight="1" x14ac:dyDescent="0.35">
      <c r="N6859" s="10"/>
    </row>
    <row r="6860" spans="14:14" ht="21" customHeight="1" x14ac:dyDescent="0.35">
      <c r="N6860" s="10"/>
    </row>
    <row r="6861" spans="14:14" ht="21" customHeight="1" x14ac:dyDescent="0.35">
      <c r="N6861" s="10"/>
    </row>
    <row r="6862" spans="14:14" ht="21" customHeight="1" x14ac:dyDescent="0.35">
      <c r="N6862" s="10"/>
    </row>
    <row r="6863" spans="14:14" ht="21" customHeight="1" x14ac:dyDescent="0.35">
      <c r="N6863" s="10"/>
    </row>
    <row r="6864" spans="14:14" ht="21" customHeight="1" x14ac:dyDescent="0.35">
      <c r="N6864" s="10"/>
    </row>
    <row r="6865" spans="14:14" ht="21" customHeight="1" x14ac:dyDescent="0.35">
      <c r="N6865" s="10"/>
    </row>
    <row r="6866" spans="14:14" ht="21" customHeight="1" x14ac:dyDescent="0.35">
      <c r="N6866" s="10"/>
    </row>
    <row r="6867" spans="14:14" ht="21" customHeight="1" x14ac:dyDescent="0.35">
      <c r="N6867" s="10"/>
    </row>
    <row r="6868" spans="14:14" ht="21" customHeight="1" x14ac:dyDescent="0.35">
      <c r="N6868" s="10"/>
    </row>
    <row r="6869" spans="14:14" ht="21" customHeight="1" x14ac:dyDescent="0.35">
      <c r="N6869" s="10"/>
    </row>
    <row r="6870" spans="14:14" ht="21" customHeight="1" x14ac:dyDescent="0.35">
      <c r="N6870" s="10"/>
    </row>
    <row r="6871" spans="14:14" ht="21" customHeight="1" x14ac:dyDescent="0.35">
      <c r="N6871" s="10"/>
    </row>
    <row r="6872" spans="14:14" ht="21" customHeight="1" x14ac:dyDescent="0.35">
      <c r="N6872" s="10"/>
    </row>
    <row r="6873" spans="14:14" ht="21" customHeight="1" x14ac:dyDescent="0.35">
      <c r="N6873" s="10"/>
    </row>
    <row r="6874" spans="14:14" ht="21" customHeight="1" x14ac:dyDescent="0.35">
      <c r="N6874" s="10"/>
    </row>
    <row r="6875" spans="14:14" ht="21" customHeight="1" x14ac:dyDescent="0.35">
      <c r="N6875" s="10"/>
    </row>
    <row r="6876" spans="14:14" ht="21" customHeight="1" x14ac:dyDescent="0.35">
      <c r="N6876" s="10"/>
    </row>
    <row r="6877" spans="14:14" ht="21" customHeight="1" x14ac:dyDescent="0.35">
      <c r="N6877" s="10"/>
    </row>
    <row r="6878" spans="14:14" ht="21" customHeight="1" x14ac:dyDescent="0.35">
      <c r="N6878" s="10"/>
    </row>
    <row r="6879" spans="14:14" ht="21" customHeight="1" x14ac:dyDescent="0.35">
      <c r="N6879" s="10"/>
    </row>
    <row r="6880" spans="14:14" ht="21" customHeight="1" x14ac:dyDescent="0.35">
      <c r="N6880" s="10"/>
    </row>
    <row r="6881" spans="14:14" ht="21" customHeight="1" x14ac:dyDescent="0.35">
      <c r="N6881" s="10"/>
    </row>
    <row r="6882" spans="14:14" ht="21" customHeight="1" x14ac:dyDescent="0.35">
      <c r="N6882" s="10"/>
    </row>
    <row r="6883" spans="14:14" ht="21" customHeight="1" x14ac:dyDescent="0.35">
      <c r="N6883" s="10"/>
    </row>
    <row r="6884" spans="14:14" ht="21" customHeight="1" x14ac:dyDescent="0.35">
      <c r="N6884" s="10"/>
    </row>
    <row r="6885" spans="14:14" ht="21" customHeight="1" x14ac:dyDescent="0.35">
      <c r="N6885" s="10"/>
    </row>
    <row r="6886" spans="14:14" ht="21" customHeight="1" x14ac:dyDescent="0.35">
      <c r="N6886" s="10"/>
    </row>
    <row r="6887" spans="14:14" ht="21" customHeight="1" x14ac:dyDescent="0.35">
      <c r="N6887" s="10"/>
    </row>
    <row r="6888" spans="14:14" ht="21" customHeight="1" x14ac:dyDescent="0.35">
      <c r="N6888" s="10"/>
    </row>
    <row r="6889" spans="14:14" ht="21" customHeight="1" x14ac:dyDescent="0.35">
      <c r="N6889" s="10"/>
    </row>
    <row r="6890" spans="14:14" ht="21" customHeight="1" x14ac:dyDescent="0.35">
      <c r="N6890" s="10"/>
    </row>
    <row r="6891" spans="14:14" ht="21" customHeight="1" x14ac:dyDescent="0.35">
      <c r="N6891" s="10"/>
    </row>
    <row r="6892" spans="14:14" ht="21" customHeight="1" x14ac:dyDescent="0.35">
      <c r="N6892" s="10"/>
    </row>
    <row r="6893" spans="14:14" ht="21" customHeight="1" x14ac:dyDescent="0.35">
      <c r="N6893" s="10"/>
    </row>
    <row r="6894" spans="14:14" ht="21" customHeight="1" x14ac:dyDescent="0.35">
      <c r="N6894" s="10"/>
    </row>
    <row r="6895" spans="14:14" ht="21" customHeight="1" x14ac:dyDescent="0.35">
      <c r="N6895" s="10"/>
    </row>
    <row r="6896" spans="14:14" ht="21" customHeight="1" x14ac:dyDescent="0.35">
      <c r="N6896" s="10"/>
    </row>
    <row r="6897" spans="14:14" ht="21" customHeight="1" x14ac:dyDescent="0.35">
      <c r="N6897" s="10"/>
    </row>
    <row r="6898" spans="14:14" ht="21" customHeight="1" x14ac:dyDescent="0.35">
      <c r="N6898" s="10"/>
    </row>
    <row r="6899" spans="14:14" ht="21" customHeight="1" x14ac:dyDescent="0.35">
      <c r="N6899" s="10"/>
    </row>
    <row r="6900" spans="14:14" ht="21" customHeight="1" x14ac:dyDescent="0.35">
      <c r="N6900" s="10"/>
    </row>
    <row r="6901" spans="14:14" ht="21" customHeight="1" x14ac:dyDescent="0.35">
      <c r="N6901" s="10"/>
    </row>
    <row r="6902" spans="14:14" ht="21" customHeight="1" x14ac:dyDescent="0.35">
      <c r="N6902" s="10"/>
    </row>
    <row r="6903" spans="14:14" ht="21" customHeight="1" x14ac:dyDescent="0.35">
      <c r="N6903" s="10"/>
    </row>
    <row r="6904" spans="14:14" ht="21" customHeight="1" x14ac:dyDescent="0.35">
      <c r="N6904" s="10"/>
    </row>
    <row r="6905" spans="14:14" ht="21" customHeight="1" x14ac:dyDescent="0.35">
      <c r="N6905" s="10"/>
    </row>
    <row r="6906" spans="14:14" ht="21" customHeight="1" x14ac:dyDescent="0.35">
      <c r="N6906" s="10"/>
    </row>
    <row r="6907" spans="14:14" ht="21" customHeight="1" x14ac:dyDescent="0.35">
      <c r="N6907" s="10"/>
    </row>
    <row r="6908" spans="14:14" ht="21" customHeight="1" x14ac:dyDescent="0.35">
      <c r="N6908" s="10"/>
    </row>
    <row r="6909" spans="14:14" ht="21" customHeight="1" x14ac:dyDescent="0.35">
      <c r="N6909" s="10"/>
    </row>
    <row r="6910" spans="14:14" ht="21" customHeight="1" x14ac:dyDescent="0.35">
      <c r="N6910" s="10"/>
    </row>
    <row r="6911" spans="14:14" ht="21" customHeight="1" x14ac:dyDescent="0.35">
      <c r="N6911" s="10"/>
    </row>
    <row r="6912" spans="14:14" ht="21" customHeight="1" x14ac:dyDescent="0.35">
      <c r="N6912" s="10"/>
    </row>
    <row r="6913" spans="14:14" ht="21" customHeight="1" x14ac:dyDescent="0.35">
      <c r="N6913" s="10"/>
    </row>
    <row r="6914" spans="14:14" ht="21" customHeight="1" x14ac:dyDescent="0.35">
      <c r="N6914" s="10"/>
    </row>
    <row r="6915" spans="14:14" ht="21" customHeight="1" x14ac:dyDescent="0.35">
      <c r="N6915" s="10"/>
    </row>
    <row r="6916" spans="14:14" ht="21" customHeight="1" x14ac:dyDescent="0.35">
      <c r="N6916" s="10"/>
    </row>
    <row r="6917" spans="14:14" ht="21" customHeight="1" x14ac:dyDescent="0.35">
      <c r="N6917" s="10"/>
    </row>
    <row r="6918" spans="14:14" ht="21" customHeight="1" x14ac:dyDescent="0.35">
      <c r="N6918" s="10"/>
    </row>
    <row r="6919" spans="14:14" ht="21" customHeight="1" x14ac:dyDescent="0.35">
      <c r="N6919" s="10"/>
    </row>
    <row r="6920" spans="14:14" ht="21" customHeight="1" x14ac:dyDescent="0.35">
      <c r="N6920" s="10"/>
    </row>
    <row r="6921" spans="14:14" ht="21" customHeight="1" x14ac:dyDescent="0.35">
      <c r="N6921" s="10"/>
    </row>
    <row r="6922" spans="14:14" ht="21" customHeight="1" x14ac:dyDescent="0.35">
      <c r="N6922" s="10"/>
    </row>
    <row r="6923" spans="14:14" ht="21" customHeight="1" x14ac:dyDescent="0.35">
      <c r="N6923" s="10"/>
    </row>
    <row r="6924" spans="14:14" ht="21" customHeight="1" x14ac:dyDescent="0.35">
      <c r="N6924" s="10"/>
    </row>
    <row r="6925" spans="14:14" ht="21" customHeight="1" x14ac:dyDescent="0.35">
      <c r="N6925" s="10"/>
    </row>
    <row r="6926" spans="14:14" ht="21" customHeight="1" x14ac:dyDescent="0.35">
      <c r="N6926" s="10"/>
    </row>
    <row r="6927" spans="14:14" ht="21" customHeight="1" x14ac:dyDescent="0.35">
      <c r="N6927" s="10"/>
    </row>
    <row r="6928" spans="14:14" ht="21" customHeight="1" x14ac:dyDescent="0.35">
      <c r="N6928" s="10"/>
    </row>
    <row r="6929" spans="14:14" ht="21" customHeight="1" x14ac:dyDescent="0.35">
      <c r="N6929" s="10"/>
    </row>
    <row r="6930" spans="14:14" ht="21" customHeight="1" x14ac:dyDescent="0.35">
      <c r="N6930" s="10"/>
    </row>
    <row r="6931" spans="14:14" ht="21" customHeight="1" x14ac:dyDescent="0.35">
      <c r="N6931" s="10"/>
    </row>
    <row r="6932" spans="14:14" ht="21" customHeight="1" x14ac:dyDescent="0.35">
      <c r="N6932" s="10"/>
    </row>
    <row r="6933" spans="14:14" ht="21" customHeight="1" x14ac:dyDescent="0.35">
      <c r="N6933" s="10"/>
    </row>
    <row r="6934" spans="14:14" ht="21" customHeight="1" x14ac:dyDescent="0.35">
      <c r="N6934" s="10"/>
    </row>
    <row r="6935" spans="14:14" ht="21" customHeight="1" x14ac:dyDescent="0.35">
      <c r="N6935" s="10"/>
    </row>
    <row r="6936" spans="14:14" ht="21" customHeight="1" x14ac:dyDescent="0.35">
      <c r="N6936" s="10"/>
    </row>
    <row r="6937" spans="14:14" ht="21" customHeight="1" x14ac:dyDescent="0.35">
      <c r="N6937" s="10"/>
    </row>
    <row r="6938" spans="14:14" ht="21" customHeight="1" x14ac:dyDescent="0.35">
      <c r="N6938" s="10"/>
    </row>
    <row r="6939" spans="14:14" ht="21" customHeight="1" x14ac:dyDescent="0.35">
      <c r="N6939" s="10"/>
    </row>
    <row r="6940" spans="14:14" ht="21" customHeight="1" x14ac:dyDescent="0.35">
      <c r="N6940" s="10"/>
    </row>
    <row r="6941" spans="14:14" ht="21" customHeight="1" x14ac:dyDescent="0.35">
      <c r="N6941" s="10"/>
    </row>
    <row r="6942" spans="14:14" ht="21" customHeight="1" x14ac:dyDescent="0.35">
      <c r="N6942" s="10"/>
    </row>
    <row r="6943" spans="14:14" ht="21" customHeight="1" x14ac:dyDescent="0.35">
      <c r="N6943" s="10"/>
    </row>
    <row r="6944" spans="14:14" ht="21" customHeight="1" x14ac:dyDescent="0.35">
      <c r="N6944" s="10"/>
    </row>
    <row r="6945" spans="14:14" ht="21" customHeight="1" x14ac:dyDescent="0.35">
      <c r="N6945" s="10"/>
    </row>
    <row r="6946" spans="14:14" ht="21" customHeight="1" x14ac:dyDescent="0.35">
      <c r="N6946" s="10"/>
    </row>
    <row r="6947" spans="14:14" ht="21" customHeight="1" x14ac:dyDescent="0.35">
      <c r="N6947" s="10"/>
    </row>
    <row r="6948" spans="14:14" ht="21" customHeight="1" x14ac:dyDescent="0.35">
      <c r="N6948" s="10"/>
    </row>
    <row r="6949" spans="14:14" ht="21" customHeight="1" x14ac:dyDescent="0.35">
      <c r="N6949" s="10"/>
    </row>
    <row r="6950" spans="14:14" ht="21" customHeight="1" x14ac:dyDescent="0.35">
      <c r="N6950" s="10"/>
    </row>
    <row r="6951" spans="14:14" ht="21" customHeight="1" x14ac:dyDescent="0.35">
      <c r="N6951" s="10"/>
    </row>
    <row r="6952" spans="14:14" ht="21" customHeight="1" x14ac:dyDescent="0.35">
      <c r="N6952" s="10"/>
    </row>
    <row r="6953" spans="14:14" ht="21" customHeight="1" x14ac:dyDescent="0.35">
      <c r="N6953" s="10"/>
    </row>
    <row r="6954" spans="14:14" ht="21" customHeight="1" x14ac:dyDescent="0.35">
      <c r="N6954" s="10"/>
    </row>
    <row r="6955" spans="14:14" ht="21" customHeight="1" x14ac:dyDescent="0.35">
      <c r="N6955" s="10"/>
    </row>
    <row r="6956" spans="14:14" ht="21" customHeight="1" x14ac:dyDescent="0.35">
      <c r="N6956" s="10"/>
    </row>
    <row r="6957" spans="14:14" ht="21" customHeight="1" x14ac:dyDescent="0.35">
      <c r="N6957" s="10"/>
    </row>
    <row r="6958" spans="14:14" ht="21" customHeight="1" x14ac:dyDescent="0.35">
      <c r="N6958" s="10"/>
    </row>
    <row r="6959" spans="14:14" ht="21" customHeight="1" x14ac:dyDescent="0.35">
      <c r="N6959" s="10"/>
    </row>
    <row r="6960" spans="14:14" ht="21" customHeight="1" x14ac:dyDescent="0.35">
      <c r="N6960" s="10"/>
    </row>
    <row r="6961" spans="14:14" ht="21" customHeight="1" x14ac:dyDescent="0.35">
      <c r="N6961" s="10"/>
    </row>
    <row r="6962" spans="14:14" ht="21" customHeight="1" x14ac:dyDescent="0.35">
      <c r="N6962" s="10"/>
    </row>
    <row r="6963" spans="14:14" ht="21" customHeight="1" x14ac:dyDescent="0.35">
      <c r="N6963" s="10"/>
    </row>
    <row r="6964" spans="14:14" ht="21" customHeight="1" x14ac:dyDescent="0.35">
      <c r="N6964" s="10"/>
    </row>
    <row r="6965" spans="14:14" ht="21" customHeight="1" x14ac:dyDescent="0.35">
      <c r="N6965" s="10"/>
    </row>
    <row r="6966" spans="14:14" ht="21" customHeight="1" x14ac:dyDescent="0.35">
      <c r="N6966" s="10"/>
    </row>
    <row r="6967" spans="14:14" ht="21" customHeight="1" x14ac:dyDescent="0.35">
      <c r="N6967" s="10"/>
    </row>
    <row r="6968" spans="14:14" ht="21" customHeight="1" x14ac:dyDescent="0.35">
      <c r="N6968" s="10"/>
    </row>
    <row r="6969" spans="14:14" ht="21" customHeight="1" x14ac:dyDescent="0.35">
      <c r="N6969" s="10"/>
    </row>
    <row r="6970" spans="14:14" ht="21" customHeight="1" x14ac:dyDescent="0.35">
      <c r="N6970" s="10"/>
    </row>
    <row r="6971" spans="14:14" ht="21" customHeight="1" x14ac:dyDescent="0.35">
      <c r="N6971" s="10"/>
    </row>
    <row r="6972" spans="14:14" ht="21" customHeight="1" x14ac:dyDescent="0.35">
      <c r="N6972" s="10"/>
    </row>
    <row r="6973" spans="14:14" ht="21" customHeight="1" x14ac:dyDescent="0.35">
      <c r="N6973" s="10"/>
    </row>
    <row r="6974" spans="14:14" ht="21" customHeight="1" x14ac:dyDescent="0.35">
      <c r="N6974" s="10"/>
    </row>
    <row r="6975" spans="14:14" ht="21" customHeight="1" x14ac:dyDescent="0.35">
      <c r="N6975" s="10"/>
    </row>
    <row r="6976" spans="14:14" ht="21" customHeight="1" x14ac:dyDescent="0.35">
      <c r="N6976" s="10"/>
    </row>
    <row r="6977" spans="14:14" ht="21" customHeight="1" x14ac:dyDescent="0.35">
      <c r="N6977" s="10"/>
    </row>
    <row r="6978" spans="14:14" ht="21" customHeight="1" x14ac:dyDescent="0.35">
      <c r="N6978" s="10"/>
    </row>
    <row r="6979" spans="14:14" ht="21" customHeight="1" x14ac:dyDescent="0.35">
      <c r="N6979" s="10"/>
    </row>
    <row r="6980" spans="14:14" ht="21" customHeight="1" x14ac:dyDescent="0.35">
      <c r="N6980" s="10"/>
    </row>
    <row r="6981" spans="14:14" ht="21" customHeight="1" x14ac:dyDescent="0.35">
      <c r="N6981" s="10"/>
    </row>
    <row r="6982" spans="14:14" ht="21" customHeight="1" x14ac:dyDescent="0.35">
      <c r="N6982" s="10"/>
    </row>
    <row r="6983" spans="14:14" ht="21" customHeight="1" x14ac:dyDescent="0.35">
      <c r="N6983" s="10"/>
    </row>
    <row r="6984" spans="14:14" ht="21" customHeight="1" x14ac:dyDescent="0.35">
      <c r="N6984" s="10"/>
    </row>
    <row r="6985" spans="14:14" ht="21" customHeight="1" x14ac:dyDescent="0.35">
      <c r="N6985" s="10"/>
    </row>
    <row r="6986" spans="14:14" ht="21" customHeight="1" x14ac:dyDescent="0.35">
      <c r="N6986" s="10"/>
    </row>
    <row r="6987" spans="14:14" ht="21" customHeight="1" x14ac:dyDescent="0.35">
      <c r="N6987" s="10"/>
    </row>
    <row r="6988" spans="14:14" ht="21" customHeight="1" x14ac:dyDescent="0.35">
      <c r="N6988" s="10"/>
    </row>
    <row r="6989" spans="14:14" ht="21" customHeight="1" x14ac:dyDescent="0.35">
      <c r="N6989" s="10"/>
    </row>
    <row r="6990" spans="14:14" ht="21" customHeight="1" x14ac:dyDescent="0.35">
      <c r="N6990" s="10"/>
    </row>
    <row r="6991" spans="14:14" ht="21" customHeight="1" x14ac:dyDescent="0.35">
      <c r="N6991" s="10"/>
    </row>
    <row r="6992" spans="14:14" ht="21" customHeight="1" x14ac:dyDescent="0.35">
      <c r="N6992" s="10"/>
    </row>
    <row r="6993" spans="14:14" ht="21" customHeight="1" x14ac:dyDescent="0.35">
      <c r="N6993" s="10"/>
    </row>
    <row r="6994" spans="14:14" ht="21" customHeight="1" x14ac:dyDescent="0.35">
      <c r="N6994" s="10"/>
    </row>
    <row r="6995" spans="14:14" ht="21" customHeight="1" x14ac:dyDescent="0.35">
      <c r="N6995" s="10"/>
    </row>
    <row r="6996" spans="14:14" ht="21" customHeight="1" x14ac:dyDescent="0.35">
      <c r="N6996" s="10"/>
    </row>
    <row r="6997" spans="14:14" ht="21" customHeight="1" x14ac:dyDescent="0.35">
      <c r="N6997" s="10"/>
    </row>
    <row r="6998" spans="14:14" ht="21" customHeight="1" x14ac:dyDescent="0.35">
      <c r="N6998" s="10"/>
    </row>
    <row r="6999" spans="14:14" ht="21" customHeight="1" x14ac:dyDescent="0.35">
      <c r="N6999" s="10"/>
    </row>
    <row r="7000" spans="14:14" ht="21" customHeight="1" x14ac:dyDescent="0.35">
      <c r="N7000" s="10"/>
    </row>
    <row r="7001" spans="14:14" ht="21" customHeight="1" x14ac:dyDescent="0.35">
      <c r="N7001" s="10"/>
    </row>
    <row r="7002" spans="14:14" ht="21" customHeight="1" x14ac:dyDescent="0.35">
      <c r="N7002" s="10"/>
    </row>
    <row r="7003" spans="14:14" ht="21" customHeight="1" x14ac:dyDescent="0.35">
      <c r="N7003" s="10"/>
    </row>
    <row r="7004" spans="14:14" ht="21" customHeight="1" x14ac:dyDescent="0.35">
      <c r="N7004" s="10"/>
    </row>
    <row r="7005" spans="14:14" ht="21" customHeight="1" x14ac:dyDescent="0.35">
      <c r="N7005" s="10"/>
    </row>
    <row r="7006" spans="14:14" ht="21" customHeight="1" x14ac:dyDescent="0.35">
      <c r="N7006" s="10"/>
    </row>
    <row r="7007" spans="14:14" ht="21" customHeight="1" x14ac:dyDescent="0.35">
      <c r="N7007" s="10"/>
    </row>
    <row r="7008" spans="14:14" ht="21" customHeight="1" x14ac:dyDescent="0.35">
      <c r="N7008" s="10"/>
    </row>
    <row r="7009" spans="14:14" ht="21" customHeight="1" x14ac:dyDescent="0.35">
      <c r="N7009" s="10"/>
    </row>
    <row r="7010" spans="14:14" ht="21" customHeight="1" x14ac:dyDescent="0.35">
      <c r="N7010" s="10"/>
    </row>
    <row r="7011" spans="14:14" ht="21" customHeight="1" x14ac:dyDescent="0.35">
      <c r="N7011" s="10"/>
    </row>
    <row r="7012" spans="14:14" ht="21" customHeight="1" x14ac:dyDescent="0.35">
      <c r="N7012" s="10"/>
    </row>
    <row r="7013" spans="14:14" ht="21" customHeight="1" x14ac:dyDescent="0.35">
      <c r="N7013" s="10"/>
    </row>
    <row r="7014" spans="14:14" ht="21" customHeight="1" x14ac:dyDescent="0.35">
      <c r="N7014" s="10"/>
    </row>
    <row r="7015" spans="14:14" ht="21" customHeight="1" x14ac:dyDescent="0.35">
      <c r="N7015" s="10"/>
    </row>
    <row r="7016" spans="14:14" ht="21" customHeight="1" x14ac:dyDescent="0.35">
      <c r="N7016" s="10"/>
    </row>
    <row r="7017" spans="14:14" ht="21" customHeight="1" x14ac:dyDescent="0.35">
      <c r="N7017" s="10"/>
    </row>
    <row r="7018" spans="14:14" ht="21" customHeight="1" x14ac:dyDescent="0.35">
      <c r="N7018" s="10"/>
    </row>
    <row r="7019" spans="14:14" ht="21" customHeight="1" x14ac:dyDescent="0.35">
      <c r="N7019" s="10"/>
    </row>
    <row r="7020" spans="14:14" ht="21" customHeight="1" x14ac:dyDescent="0.35">
      <c r="N7020" s="10"/>
    </row>
    <row r="7021" spans="14:14" ht="21" customHeight="1" x14ac:dyDescent="0.35">
      <c r="N7021" s="10"/>
    </row>
    <row r="7022" spans="14:14" ht="21" customHeight="1" x14ac:dyDescent="0.35">
      <c r="N7022" s="10"/>
    </row>
    <row r="7023" spans="14:14" ht="21" customHeight="1" x14ac:dyDescent="0.35">
      <c r="N7023" s="10"/>
    </row>
    <row r="7024" spans="14:14" ht="21" customHeight="1" x14ac:dyDescent="0.35">
      <c r="N7024" s="10"/>
    </row>
    <row r="7025" spans="14:14" ht="21" customHeight="1" x14ac:dyDescent="0.35">
      <c r="N7025" s="10"/>
    </row>
    <row r="7026" spans="14:14" ht="21" customHeight="1" x14ac:dyDescent="0.35">
      <c r="N7026" s="10"/>
    </row>
    <row r="7027" spans="14:14" ht="21" customHeight="1" x14ac:dyDescent="0.35">
      <c r="N7027" s="10"/>
    </row>
    <row r="7028" spans="14:14" ht="21" customHeight="1" x14ac:dyDescent="0.35">
      <c r="N7028" s="10"/>
    </row>
    <row r="7029" spans="14:14" ht="21" customHeight="1" x14ac:dyDescent="0.35">
      <c r="N7029" s="10"/>
    </row>
    <row r="7030" spans="14:14" ht="21" customHeight="1" x14ac:dyDescent="0.35">
      <c r="N7030" s="10"/>
    </row>
    <row r="7031" spans="14:14" ht="21" customHeight="1" x14ac:dyDescent="0.35">
      <c r="N7031" s="10"/>
    </row>
    <row r="7032" spans="14:14" ht="21" customHeight="1" x14ac:dyDescent="0.35">
      <c r="N7032" s="10"/>
    </row>
    <row r="7033" spans="14:14" ht="21" customHeight="1" x14ac:dyDescent="0.35">
      <c r="N7033" s="10"/>
    </row>
    <row r="7034" spans="14:14" ht="21" customHeight="1" x14ac:dyDescent="0.35">
      <c r="N7034" s="10"/>
    </row>
    <row r="7035" spans="14:14" ht="21" customHeight="1" x14ac:dyDescent="0.35">
      <c r="N7035" s="10"/>
    </row>
    <row r="7036" spans="14:14" ht="21" customHeight="1" x14ac:dyDescent="0.35">
      <c r="N7036" s="10"/>
    </row>
    <row r="7037" spans="14:14" ht="21" customHeight="1" x14ac:dyDescent="0.35">
      <c r="N7037" s="10"/>
    </row>
    <row r="7038" spans="14:14" ht="21" customHeight="1" x14ac:dyDescent="0.35">
      <c r="N7038" s="10"/>
    </row>
    <row r="7039" spans="14:14" ht="21" customHeight="1" x14ac:dyDescent="0.35">
      <c r="N7039" s="10"/>
    </row>
    <row r="7040" spans="14:14" ht="21" customHeight="1" x14ac:dyDescent="0.35">
      <c r="N7040" s="10"/>
    </row>
    <row r="7041" spans="14:14" ht="21" customHeight="1" x14ac:dyDescent="0.35">
      <c r="N7041" s="10"/>
    </row>
    <row r="7042" spans="14:14" ht="21" customHeight="1" x14ac:dyDescent="0.35">
      <c r="N7042" s="10"/>
    </row>
    <row r="7043" spans="14:14" ht="21" customHeight="1" x14ac:dyDescent="0.35">
      <c r="N7043" s="10"/>
    </row>
    <row r="7044" spans="14:14" ht="21" customHeight="1" x14ac:dyDescent="0.35">
      <c r="N7044" s="10"/>
    </row>
    <row r="7045" spans="14:14" ht="21" customHeight="1" x14ac:dyDescent="0.35">
      <c r="N7045" s="10"/>
    </row>
    <row r="7046" spans="14:14" ht="21" customHeight="1" x14ac:dyDescent="0.35">
      <c r="N7046" s="10"/>
    </row>
    <row r="7047" spans="14:14" ht="21" customHeight="1" x14ac:dyDescent="0.35">
      <c r="N7047" s="10"/>
    </row>
    <row r="7048" spans="14:14" ht="21" customHeight="1" x14ac:dyDescent="0.35">
      <c r="N7048" s="10"/>
    </row>
    <row r="7049" spans="14:14" ht="21" customHeight="1" x14ac:dyDescent="0.35">
      <c r="N7049" s="10"/>
    </row>
    <row r="7050" spans="14:14" ht="21" customHeight="1" x14ac:dyDescent="0.35">
      <c r="N7050" s="10"/>
    </row>
    <row r="7051" spans="14:14" ht="21" customHeight="1" x14ac:dyDescent="0.35">
      <c r="N7051" s="10"/>
    </row>
    <row r="7052" spans="14:14" ht="21" customHeight="1" x14ac:dyDescent="0.35">
      <c r="N7052" s="10"/>
    </row>
    <row r="7053" spans="14:14" ht="21" customHeight="1" x14ac:dyDescent="0.35">
      <c r="N7053" s="10"/>
    </row>
    <row r="7054" spans="14:14" ht="21" customHeight="1" x14ac:dyDescent="0.35">
      <c r="N7054" s="10"/>
    </row>
    <row r="7055" spans="14:14" ht="21" customHeight="1" x14ac:dyDescent="0.35">
      <c r="N7055" s="10"/>
    </row>
    <row r="7056" spans="14:14" ht="21" customHeight="1" x14ac:dyDescent="0.35">
      <c r="N7056" s="10"/>
    </row>
    <row r="7057" spans="14:14" ht="21" customHeight="1" x14ac:dyDescent="0.35">
      <c r="N7057" s="10"/>
    </row>
    <row r="7058" spans="14:14" ht="21" customHeight="1" x14ac:dyDescent="0.35">
      <c r="N7058" s="10"/>
    </row>
    <row r="7059" spans="14:14" ht="21" customHeight="1" x14ac:dyDescent="0.35">
      <c r="N7059" s="10"/>
    </row>
    <row r="7060" spans="14:14" ht="21" customHeight="1" x14ac:dyDescent="0.35">
      <c r="N7060" s="10"/>
    </row>
    <row r="7061" spans="14:14" ht="21" customHeight="1" x14ac:dyDescent="0.35">
      <c r="N7061" s="10"/>
    </row>
    <row r="7062" spans="14:14" ht="21" customHeight="1" x14ac:dyDescent="0.35">
      <c r="N7062" s="10"/>
    </row>
    <row r="7063" spans="14:14" ht="21" customHeight="1" x14ac:dyDescent="0.35">
      <c r="N7063" s="10"/>
    </row>
    <row r="7064" spans="14:14" ht="21" customHeight="1" x14ac:dyDescent="0.35">
      <c r="N7064" s="10"/>
    </row>
    <row r="7065" spans="14:14" ht="21" customHeight="1" x14ac:dyDescent="0.35">
      <c r="N7065" s="10"/>
    </row>
    <row r="7066" spans="14:14" ht="21" customHeight="1" x14ac:dyDescent="0.35">
      <c r="N7066" s="10"/>
    </row>
    <row r="7067" spans="14:14" ht="21" customHeight="1" x14ac:dyDescent="0.35">
      <c r="N7067" s="10"/>
    </row>
    <row r="7068" spans="14:14" ht="21" customHeight="1" x14ac:dyDescent="0.35">
      <c r="N7068" s="10"/>
    </row>
    <row r="7069" spans="14:14" ht="21" customHeight="1" x14ac:dyDescent="0.35">
      <c r="N7069" s="10"/>
    </row>
    <row r="7070" spans="14:14" ht="21" customHeight="1" x14ac:dyDescent="0.35">
      <c r="N7070" s="10"/>
    </row>
    <row r="7071" spans="14:14" ht="21" customHeight="1" x14ac:dyDescent="0.35">
      <c r="N7071" s="10"/>
    </row>
    <row r="7072" spans="14:14" ht="21" customHeight="1" x14ac:dyDescent="0.35">
      <c r="N7072" s="10"/>
    </row>
    <row r="7073" spans="14:14" ht="21" customHeight="1" x14ac:dyDescent="0.35">
      <c r="N7073" s="10"/>
    </row>
    <row r="7074" spans="14:14" ht="21" customHeight="1" x14ac:dyDescent="0.35">
      <c r="N7074" s="10"/>
    </row>
    <row r="7075" spans="14:14" ht="21" customHeight="1" x14ac:dyDescent="0.35">
      <c r="N7075" s="10"/>
    </row>
    <row r="7076" spans="14:14" ht="21" customHeight="1" x14ac:dyDescent="0.35">
      <c r="N7076" s="10"/>
    </row>
    <row r="7077" spans="14:14" ht="21" customHeight="1" x14ac:dyDescent="0.35">
      <c r="N7077" s="10"/>
    </row>
    <row r="7078" spans="14:14" ht="21" customHeight="1" x14ac:dyDescent="0.35">
      <c r="N7078" s="10"/>
    </row>
    <row r="7079" spans="14:14" ht="21" customHeight="1" x14ac:dyDescent="0.35">
      <c r="N7079" s="10"/>
    </row>
    <row r="7080" spans="14:14" ht="21" customHeight="1" x14ac:dyDescent="0.35">
      <c r="N7080" s="10"/>
    </row>
    <row r="7081" spans="14:14" ht="21" customHeight="1" x14ac:dyDescent="0.35">
      <c r="N7081" s="10"/>
    </row>
    <row r="7082" spans="14:14" ht="21" customHeight="1" x14ac:dyDescent="0.35">
      <c r="N7082" s="10"/>
    </row>
    <row r="7083" spans="14:14" ht="21" customHeight="1" x14ac:dyDescent="0.35">
      <c r="N7083" s="10"/>
    </row>
    <row r="7084" spans="14:14" ht="21" customHeight="1" x14ac:dyDescent="0.35">
      <c r="N7084" s="10"/>
    </row>
    <row r="7085" spans="14:14" ht="21" customHeight="1" x14ac:dyDescent="0.35">
      <c r="N7085" s="10"/>
    </row>
    <row r="7086" spans="14:14" ht="21" customHeight="1" x14ac:dyDescent="0.35">
      <c r="N7086" s="10"/>
    </row>
    <row r="7087" spans="14:14" ht="21" customHeight="1" x14ac:dyDescent="0.35">
      <c r="N7087" s="10"/>
    </row>
    <row r="7088" spans="14:14" ht="21" customHeight="1" x14ac:dyDescent="0.35">
      <c r="N7088" s="10"/>
    </row>
    <row r="7089" spans="14:14" ht="21" customHeight="1" x14ac:dyDescent="0.35">
      <c r="N7089" s="10"/>
    </row>
    <row r="7090" spans="14:14" ht="21" customHeight="1" x14ac:dyDescent="0.35">
      <c r="N7090" s="10"/>
    </row>
    <row r="7091" spans="14:14" ht="21" customHeight="1" x14ac:dyDescent="0.35">
      <c r="N7091" s="10"/>
    </row>
    <row r="7092" spans="14:14" ht="21" customHeight="1" x14ac:dyDescent="0.35">
      <c r="N7092" s="10"/>
    </row>
    <row r="7093" spans="14:14" ht="21" customHeight="1" x14ac:dyDescent="0.35">
      <c r="N7093" s="10"/>
    </row>
    <row r="7094" spans="14:14" ht="21" customHeight="1" x14ac:dyDescent="0.35">
      <c r="N7094" s="10"/>
    </row>
    <row r="7095" spans="14:14" ht="21" customHeight="1" x14ac:dyDescent="0.35">
      <c r="N7095" s="10"/>
    </row>
    <row r="7096" spans="14:14" ht="21" customHeight="1" x14ac:dyDescent="0.35">
      <c r="N7096" s="10"/>
    </row>
    <row r="7097" spans="14:14" ht="21" customHeight="1" x14ac:dyDescent="0.35">
      <c r="N7097" s="10"/>
    </row>
    <row r="7098" spans="14:14" ht="21" customHeight="1" x14ac:dyDescent="0.35">
      <c r="N7098" s="10"/>
    </row>
    <row r="7099" spans="14:14" ht="21" customHeight="1" x14ac:dyDescent="0.35">
      <c r="N7099" s="10"/>
    </row>
    <row r="7100" spans="14:14" ht="21" customHeight="1" x14ac:dyDescent="0.35">
      <c r="N7100" s="10"/>
    </row>
    <row r="7101" spans="14:14" ht="21" customHeight="1" x14ac:dyDescent="0.35">
      <c r="N7101" s="10"/>
    </row>
    <row r="7102" spans="14:14" ht="21" customHeight="1" x14ac:dyDescent="0.35">
      <c r="N7102" s="10"/>
    </row>
    <row r="7103" spans="14:14" ht="21" customHeight="1" x14ac:dyDescent="0.35">
      <c r="N7103" s="10"/>
    </row>
    <row r="7104" spans="14:14" ht="21" customHeight="1" x14ac:dyDescent="0.35">
      <c r="N7104" s="10"/>
    </row>
    <row r="7105" spans="14:14" ht="21" customHeight="1" x14ac:dyDescent="0.35">
      <c r="N7105" s="10"/>
    </row>
    <row r="7106" spans="14:14" ht="21" customHeight="1" x14ac:dyDescent="0.35">
      <c r="N7106" s="10"/>
    </row>
    <row r="7107" spans="14:14" ht="21" customHeight="1" x14ac:dyDescent="0.35">
      <c r="N7107" s="10"/>
    </row>
    <row r="7108" spans="14:14" ht="21" customHeight="1" x14ac:dyDescent="0.35">
      <c r="N7108" s="10"/>
    </row>
    <row r="7109" spans="14:14" ht="21" customHeight="1" x14ac:dyDescent="0.35">
      <c r="N7109" s="10"/>
    </row>
    <row r="7110" spans="14:14" ht="21" customHeight="1" x14ac:dyDescent="0.35">
      <c r="N7110" s="10"/>
    </row>
    <row r="7111" spans="14:14" ht="21" customHeight="1" x14ac:dyDescent="0.35">
      <c r="N7111" s="10"/>
    </row>
    <row r="7112" spans="14:14" ht="21" customHeight="1" x14ac:dyDescent="0.35">
      <c r="N7112" s="10"/>
    </row>
    <row r="7113" spans="14:14" ht="21" customHeight="1" x14ac:dyDescent="0.35">
      <c r="N7113" s="10"/>
    </row>
    <row r="7114" spans="14:14" ht="21" customHeight="1" x14ac:dyDescent="0.35">
      <c r="N7114" s="10"/>
    </row>
    <row r="7115" spans="14:14" ht="21" customHeight="1" x14ac:dyDescent="0.35">
      <c r="N7115" s="10"/>
    </row>
    <row r="7116" spans="14:14" ht="21" customHeight="1" x14ac:dyDescent="0.35">
      <c r="N7116" s="10"/>
    </row>
    <row r="7117" spans="14:14" ht="21" customHeight="1" x14ac:dyDescent="0.35">
      <c r="N7117" s="10"/>
    </row>
    <row r="7118" spans="14:14" ht="21" customHeight="1" x14ac:dyDescent="0.35">
      <c r="N7118" s="10"/>
    </row>
    <row r="7119" spans="14:14" ht="21" customHeight="1" x14ac:dyDescent="0.35">
      <c r="N7119" s="10"/>
    </row>
    <row r="7120" spans="14:14" ht="21" customHeight="1" x14ac:dyDescent="0.35">
      <c r="N7120" s="10"/>
    </row>
    <row r="7121" spans="14:14" ht="21" customHeight="1" x14ac:dyDescent="0.35">
      <c r="N7121" s="10"/>
    </row>
    <row r="7122" spans="14:14" ht="21" customHeight="1" x14ac:dyDescent="0.35">
      <c r="N7122" s="10"/>
    </row>
    <row r="7123" spans="14:14" ht="21" customHeight="1" x14ac:dyDescent="0.35">
      <c r="N7123" s="10"/>
    </row>
    <row r="7124" spans="14:14" ht="21" customHeight="1" x14ac:dyDescent="0.35">
      <c r="N7124" s="10"/>
    </row>
    <row r="7125" spans="14:14" ht="21" customHeight="1" x14ac:dyDescent="0.35">
      <c r="N7125" s="10"/>
    </row>
    <row r="7126" spans="14:14" ht="21" customHeight="1" x14ac:dyDescent="0.35">
      <c r="N7126" s="10"/>
    </row>
    <row r="7127" spans="14:14" ht="21" customHeight="1" x14ac:dyDescent="0.35">
      <c r="N7127" s="10"/>
    </row>
    <row r="7128" spans="14:14" ht="21" customHeight="1" x14ac:dyDescent="0.35">
      <c r="N7128" s="10"/>
    </row>
    <row r="7129" spans="14:14" ht="21" customHeight="1" x14ac:dyDescent="0.35">
      <c r="N7129" s="10"/>
    </row>
    <row r="7130" spans="14:14" ht="21" customHeight="1" x14ac:dyDescent="0.35">
      <c r="N7130" s="10"/>
    </row>
    <row r="7131" spans="14:14" ht="21" customHeight="1" x14ac:dyDescent="0.35">
      <c r="N7131" s="10"/>
    </row>
    <row r="7132" spans="14:14" ht="21" customHeight="1" x14ac:dyDescent="0.35">
      <c r="N7132" s="10"/>
    </row>
    <row r="7133" spans="14:14" ht="21" customHeight="1" x14ac:dyDescent="0.35">
      <c r="N7133" s="10"/>
    </row>
    <row r="7134" spans="14:14" ht="21" customHeight="1" x14ac:dyDescent="0.35">
      <c r="N7134" s="10"/>
    </row>
    <row r="7135" spans="14:14" ht="21" customHeight="1" x14ac:dyDescent="0.35">
      <c r="N7135" s="10"/>
    </row>
    <row r="7136" spans="14:14" ht="21" customHeight="1" x14ac:dyDescent="0.35">
      <c r="N7136" s="10"/>
    </row>
    <row r="7137" spans="14:14" ht="21" customHeight="1" x14ac:dyDescent="0.35">
      <c r="N7137" s="10"/>
    </row>
    <row r="7138" spans="14:14" ht="21" customHeight="1" x14ac:dyDescent="0.35">
      <c r="N7138" s="10"/>
    </row>
    <row r="7139" spans="14:14" ht="21" customHeight="1" x14ac:dyDescent="0.35">
      <c r="N7139" s="10"/>
    </row>
    <row r="7140" spans="14:14" ht="21" customHeight="1" x14ac:dyDescent="0.35">
      <c r="N7140" s="10"/>
    </row>
    <row r="7141" spans="14:14" ht="21" customHeight="1" x14ac:dyDescent="0.35">
      <c r="N7141" s="10"/>
    </row>
    <row r="7142" spans="14:14" ht="21" customHeight="1" x14ac:dyDescent="0.35">
      <c r="N7142" s="10"/>
    </row>
    <row r="7143" spans="14:14" ht="21" customHeight="1" x14ac:dyDescent="0.35">
      <c r="N7143" s="10"/>
    </row>
    <row r="7144" spans="14:14" ht="21" customHeight="1" x14ac:dyDescent="0.35">
      <c r="N7144" s="10"/>
    </row>
    <row r="7145" spans="14:14" ht="21" customHeight="1" x14ac:dyDescent="0.35">
      <c r="N7145" s="10"/>
    </row>
    <row r="7146" spans="14:14" ht="21" customHeight="1" x14ac:dyDescent="0.35">
      <c r="N7146" s="10"/>
    </row>
    <row r="7147" spans="14:14" ht="21" customHeight="1" x14ac:dyDescent="0.35">
      <c r="N7147" s="10"/>
    </row>
    <row r="7148" spans="14:14" ht="21" customHeight="1" x14ac:dyDescent="0.35">
      <c r="N7148" s="10"/>
    </row>
    <row r="7149" spans="14:14" ht="21" customHeight="1" x14ac:dyDescent="0.35">
      <c r="N7149" s="10"/>
    </row>
    <row r="7150" spans="14:14" ht="21" customHeight="1" x14ac:dyDescent="0.35">
      <c r="N7150" s="10"/>
    </row>
    <row r="7151" spans="14:14" ht="21" customHeight="1" x14ac:dyDescent="0.35">
      <c r="N7151" s="10"/>
    </row>
    <row r="7152" spans="14:14" ht="21" customHeight="1" x14ac:dyDescent="0.35">
      <c r="N7152" s="10"/>
    </row>
    <row r="7153" spans="14:14" ht="21" customHeight="1" x14ac:dyDescent="0.35">
      <c r="N7153" s="10"/>
    </row>
    <row r="7154" spans="14:14" ht="21" customHeight="1" x14ac:dyDescent="0.35">
      <c r="N7154" s="10"/>
    </row>
    <row r="7155" spans="14:14" ht="21" customHeight="1" x14ac:dyDescent="0.35">
      <c r="N7155" s="10"/>
    </row>
    <row r="7156" spans="14:14" ht="21" customHeight="1" x14ac:dyDescent="0.35">
      <c r="N7156" s="10"/>
    </row>
    <row r="7157" spans="14:14" ht="21" customHeight="1" x14ac:dyDescent="0.35">
      <c r="N7157" s="10"/>
    </row>
    <row r="7158" spans="14:14" ht="21" customHeight="1" x14ac:dyDescent="0.35">
      <c r="N7158" s="10"/>
    </row>
    <row r="7159" spans="14:14" ht="21" customHeight="1" x14ac:dyDescent="0.35">
      <c r="N7159" s="10"/>
    </row>
    <row r="7160" spans="14:14" ht="21" customHeight="1" x14ac:dyDescent="0.35">
      <c r="N7160" s="10"/>
    </row>
    <row r="7161" spans="14:14" ht="21" customHeight="1" x14ac:dyDescent="0.35">
      <c r="N7161" s="10"/>
    </row>
    <row r="7162" spans="14:14" ht="21" customHeight="1" x14ac:dyDescent="0.35">
      <c r="N7162" s="10"/>
    </row>
    <row r="7163" spans="14:14" ht="21" customHeight="1" x14ac:dyDescent="0.35">
      <c r="N7163" s="10"/>
    </row>
    <row r="7164" spans="14:14" ht="21" customHeight="1" x14ac:dyDescent="0.35">
      <c r="N7164" s="10"/>
    </row>
    <row r="7165" spans="14:14" ht="21" customHeight="1" x14ac:dyDescent="0.35">
      <c r="N7165" s="10"/>
    </row>
    <row r="7166" spans="14:14" ht="21" customHeight="1" x14ac:dyDescent="0.35">
      <c r="N7166" s="10"/>
    </row>
    <row r="7167" spans="14:14" ht="21" customHeight="1" x14ac:dyDescent="0.35">
      <c r="N7167" s="10"/>
    </row>
    <row r="7168" spans="14:14" ht="21" customHeight="1" x14ac:dyDescent="0.35">
      <c r="N7168" s="10"/>
    </row>
    <row r="7169" spans="14:14" ht="21" customHeight="1" x14ac:dyDescent="0.35">
      <c r="N7169" s="10"/>
    </row>
    <row r="7170" spans="14:14" ht="21" customHeight="1" x14ac:dyDescent="0.35">
      <c r="N7170" s="10"/>
    </row>
    <row r="7171" spans="14:14" ht="21" customHeight="1" x14ac:dyDescent="0.35">
      <c r="N7171" s="10"/>
    </row>
    <row r="7172" spans="14:14" ht="21" customHeight="1" x14ac:dyDescent="0.35">
      <c r="N7172" s="10"/>
    </row>
    <row r="7173" spans="14:14" ht="21" customHeight="1" x14ac:dyDescent="0.35">
      <c r="N7173" s="10"/>
    </row>
    <row r="7174" spans="14:14" ht="21" customHeight="1" x14ac:dyDescent="0.35">
      <c r="N7174" s="10"/>
    </row>
    <row r="7175" spans="14:14" ht="21" customHeight="1" x14ac:dyDescent="0.35">
      <c r="N7175" s="10"/>
    </row>
    <row r="7176" spans="14:14" ht="21" customHeight="1" x14ac:dyDescent="0.35">
      <c r="N7176" s="10"/>
    </row>
    <row r="7177" spans="14:14" ht="21" customHeight="1" x14ac:dyDescent="0.35">
      <c r="N7177" s="10"/>
    </row>
    <row r="7178" spans="14:14" ht="21" customHeight="1" x14ac:dyDescent="0.35">
      <c r="N7178" s="10"/>
    </row>
    <row r="7179" spans="14:14" ht="21" customHeight="1" x14ac:dyDescent="0.35">
      <c r="N7179" s="10"/>
    </row>
    <row r="7180" spans="14:14" ht="21" customHeight="1" x14ac:dyDescent="0.35">
      <c r="N7180" s="10"/>
    </row>
    <row r="7181" spans="14:14" ht="21" customHeight="1" x14ac:dyDescent="0.35">
      <c r="N7181" s="10"/>
    </row>
    <row r="7182" spans="14:14" ht="21" customHeight="1" x14ac:dyDescent="0.35">
      <c r="N7182" s="10"/>
    </row>
    <row r="7183" spans="14:14" ht="21" customHeight="1" x14ac:dyDescent="0.35">
      <c r="N7183" s="10"/>
    </row>
    <row r="7184" spans="14:14" ht="21" customHeight="1" x14ac:dyDescent="0.35">
      <c r="N7184" s="10"/>
    </row>
    <row r="7185" spans="14:14" ht="21" customHeight="1" x14ac:dyDescent="0.35">
      <c r="N7185" s="10"/>
    </row>
    <row r="7186" spans="14:14" ht="21" customHeight="1" x14ac:dyDescent="0.35">
      <c r="N7186" s="10"/>
    </row>
    <row r="7187" spans="14:14" ht="21" customHeight="1" x14ac:dyDescent="0.35">
      <c r="N7187" s="10"/>
    </row>
    <row r="7188" spans="14:14" ht="21" customHeight="1" x14ac:dyDescent="0.35">
      <c r="N7188" s="10"/>
    </row>
    <row r="7189" spans="14:14" ht="21" customHeight="1" x14ac:dyDescent="0.35">
      <c r="N7189" s="10"/>
    </row>
    <row r="7190" spans="14:14" ht="21" customHeight="1" x14ac:dyDescent="0.35">
      <c r="N7190" s="10"/>
    </row>
    <row r="7191" spans="14:14" ht="21" customHeight="1" x14ac:dyDescent="0.35">
      <c r="N7191" s="10"/>
    </row>
    <row r="7192" spans="14:14" ht="21" customHeight="1" x14ac:dyDescent="0.35">
      <c r="N7192" s="10"/>
    </row>
    <row r="7193" spans="14:14" ht="21" customHeight="1" x14ac:dyDescent="0.35">
      <c r="N7193" s="10"/>
    </row>
    <row r="7194" spans="14:14" ht="21" customHeight="1" x14ac:dyDescent="0.35">
      <c r="N7194" s="10"/>
    </row>
    <row r="7195" spans="14:14" ht="21" customHeight="1" x14ac:dyDescent="0.35">
      <c r="N7195" s="10"/>
    </row>
    <row r="7196" spans="14:14" ht="21" customHeight="1" x14ac:dyDescent="0.35">
      <c r="N7196" s="10"/>
    </row>
    <row r="7197" spans="14:14" ht="21" customHeight="1" x14ac:dyDescent="0.35">
      <c r="N7197" s="10"/>
    </row>
    <row r="7198" spans="14:14" ht="21" customHeight="1" x14ac:dyDescent="0.35">
      <c r="N7198" s="10"/>
    </row>
    <row r="7199" spans="14:14" ht="21" customHeight="1" x14ac:dyDescent="0.35">
      <c r="N7199" s="10"/>
    </row>
    <row r="7200" spans="14:14" ht="21" customHeight="1" x14ac:dyDescent="0.35">
      <c r="N7200" s="10"/>
    </row>
    <row r="7201" spans="14:14" ht="21" customHeight="1" x14ac:dyDescent="0.35">
      <c r="N7201" s="10"/>
    </row>
    <row r="7202" spans="14:14" ht="21" customHeight="1" x14ac:dyDescent="0.35">
      <c r="N7202" s="10"/>
    </row>
    <row r="7203" spans="14:14" ht="21" customHeight="1" x14ac:dyDescent="0.35">
      <c r="N7203" s="10"/>
    </row>
    <row r="7204" spans="14:14" ht="21" customHeight="1" x14ac:dyDescent="0.35">
      <c r="N7204" s="10"/>
    </row>
    <row r="7205" spans="14:14" ht="21" customHeight="1" x14ac:dyDescent="0.35">
      <c r="N7205" s="10"/>
    </row>
    <row r="7206" spans="14:14" ht="21" customHeight="1" x14ac:dyDescent="0.35">
      <c r="N7206" s="10"/>
    </row>
    <row r="7207" spans="14:14" ht="21" customHeight="1" x14ac:dyDescent="0.35">
      <c r="N7207" s="10"/>
    </row>
    <row r="7208" spans="14:14" ht="21" customHeight="1" x14ac:dyDescent="0.35">
      <c r="N7208" s="10"/>
    </row>
    <row r="7209" spans="14:14" ht="21" customHeight="1" x14ac:dyDescent="0.35">
      <c r="N7209" s="10"/>
    </row>
    <row r="7210" spans="14:14" ht="21" customHeight="1" x14ac:dyDescent="0.35">
      <c r="N7210" s="10"/>
    </row>
    <row r="7211" spans="14:14" ht="21" customHeight="1" x14ac:dyDescent="0.35">
      <c r="N7211" s="10"/>
    </row>
    <row r="7212" spans="14:14" ht="21" customHeight="1" x14ac:dyDescent="0.35">
      <c r="N7212" s="10"/>
    </row>
    <row r="7213" spans="14:14" ht="21" customHeight="1" x14ac:dyDescent="0.35">
      <c r="N7213" s="10"/>
    </row>
    <row r="7214" spans="14:14" ht="21" customHeight="1" x14ac:dyDescent="0.35">
      <c r="N7214" s="10"/>
    </row>
    <row r="7215" spans="14:14" ht="21" customHeight="1" x14ac:dyDescent="0.35">
      <c r="N7215" s="10"/>
    </row>
    <row r="7216" spans="14:14" ht="21" customHeight="1" x14ac:dyDescent="0.35">
      <c r="N7216" s="10"/>
    </row>
    <row r="7217" spans="14:14" ht="21" customHeight="1" x14ac:dyDescent="0.35">
      <c r="N7217" s="10"/>
    </row>
    <row r="7218" spans="14:14" ht="21" customHeight="1" x14ac:dyDescent="0.35">
      <c r="N7218" s="10"/>
    </row>
    <row r="7219" spans="14:14" ht="21" customHeight="1" x14ac:dyDescent="0.35">
      <c r="N7219" s="10"/>
    </row>
    <row r="7220" spans="14:14" ht="21" customHeight="1" x14ac:dyDescent="0.35">
      <c r="N7220" s="10"/>
    </row>
    <row r="7221" spans="14:14" ht="21" customHeight="1" x14ac:dyDescent="0.35">
      <c r="N7221" s="10"/>
    </row>
    <row r="7222" spans="14:14" ht="21" customHeight="1" x14ac:dyDescent="0.35">
      <c r="N7222" s="10"/>
    </row>
    <row r="7223" spans="14:14" ht="21" customHeight="1" x14ac:dyDescent="0.35">
      <c r="N7223" s="10"/>
    </row>
    <row r="7224" spans="14:14" ht="21" customHeight="1" x14ac:dyDescent="0.35">
      <c r="N7224" s="10"/>
    </row>
    <row r="7225" spans="14:14" ht="21" customHeight="1" x14ac:dyDescent="0.35">
      <c r="N7225" s="10"/>
    </row>
    <row r="7226" spans="14:14" ht="21" customHeight="1" x14ac:dyDescent="0.35">
      <c r="N7226" s="10"/>
    </row>
    <row r="7227" spans="14:14" ht="21" customHeight="1" x14ac:dyDescent="0.35">
      <c r="N7227" s="10"/>
    </row>
    <row r="7228" spans="14:14" ht="21" customHeight="1" x14ac:dyDescent="0.35">
      <c r="N7228" s="10"/>
    </row>
    <row r="7229" spans="14:14" ht="21" customHeight="1" x14ac:dyDescent="0.35">
      <c r="N7229" s="10"/>
    </row>
    <row r="7230" spans="14:14" ht="21" customHeight="1" x14ac:dyDescent="0.35">
      <c r="N7230" s="10"/>
    </row>
    <row r="7231" spans="14:14" ht="21" customHeight="1" x14ac:dyDescent="0.35">
      <c r="N7231" s="10"/>
    </row>
    <row r="7232" spans="14:14" ht="21" customHeight="1" x14ac:dyDescent="0.35">
      <c r="N7232" s="10"/>
    </row>
    <row r="7233" spans="14:14" ht="21" customHeight="1" x14ac:dyDescent="0.35">
      <c r="N7233" s="10"/>
    </row>
    <row r="7234" spans="14:14" ht="21" customHeight="1" x14ac:dyDescent="0.35">
      <c r="N7234" s="10"/>
    </row>
    <row r="7235" spans="14:14" ht="21" customHeight="1" x14ac:dyDescent="0.35">
      <c r="N7235" s="10"/>
    </row>
    <row r="7236" spans="14:14" ht="21" customHeight="1" x14ac:dyDescent="0.35">
      <c r="N7236" s="10"/>
    </row>
    <row r="7237" spans="14:14" ht="21" customHeight="1" x14ac:dyDescent="0.35">
      <c r="N7237" s="10"/>
    </row>
    <row r="7238" spans="14:14" ht="21" customHeight="1" x14ac:dyDescent="0.35">
      <c r="N7238" s="10"/>
    </row>
    <row r="7239" spans="14:14" ht="21" customHeight="1" x14ac:dyDescent="0.35">
      <c r="N7239" s="10"/>
    </row>
    <row r="7240" spans="14:14" ht="21" customHeight="1" x14ac:dyDescent="0.35">
      <c r="N7240" s="10"/>
    </row>
    <row r="7241" spans="14:14" ht="21" customHeight="1" x14ac:dyDescent="0.35">
      <c r="N7241" s="10"/>
    </row>
    <row r="7242" spans="14:14" ht="21" customHeight="1" x14ac:dyDescent="0.35">
      <c r="N7242" s="10"/>
    </row>
    <row r="7243" spans="14:14" ht="21" customHeight="1" x14ac:dyDescent="0.35">
      <c r="N7243" s="10"/>
    </row>
    <row r="7244" spans="14:14" ht="21" customHeight="1" x14ac:dyDescent="0.35">
      <c r="N7244" s="10"/>
    </row>
    <row r="7245" spans="14:14" ht="21" customHeight="1" x14ac:dyDescent="0.35">
      <c r="N7245" s="10"/>
    </row>
    <row r="7246" spans="14:14" ht="21" customHeight="1" x14ac:dyDescent="0.35">
      <c r="N7246" s="10"/>
    </row>
    <row r="7247" spans="14:14" ht="21" customHeight="1" x14ac:dyDescent="0.35">
      <c r="N7247" s="10"/>
    </row>
    <row r="7248" spans="14:14" ht="21" customHeight="1" x14ac:dyDescent="0.35">
      <c r="N7248" s="10"/>
    </row>
    <row r="7249" spans="14:14" ht="21" customHeight="1" x14ac:dyDescent="0.35">
      <c r="N7249" s="10"/>
    </row>
    <row r="7250" spans="14:14" ht="21" customHeight="1" x14ac:dyDescent="0.35">
      <c r="N7250" s="10"/>
    </row>
    <row r="7251" spans="14:14" ht="21" customHeight="1" x14ac:dyDescent="0.35">
      <c r="N7251" s="10"/>
    </row>
    <row r="7252" spans="14:14" ht="21" customHeight="1" x14ac:dyDescent="0.35">
      <c r="N7252" s="10"/>
    </row>
    <row r="7253" spans="14:14" ht="21" customHeight="1" x14ac:dyDescent="0.35">
      <c r="N7253" s="10"/>
    </row>
    <row r="7254" spans="14:14" ht="21" customHeight="1" x14ac:dyDescent="0.35">
      <c r="N7254" s="10"/>
    </row>
    <row r="7255" spans="14:14" ht="21" customHeight="1" x14ac:dyDescent="0.35">
      <c r="N7255" s="10"/>
    </row>
    <row r="7256" spans="14:14" ht="21" customHeight="1" x14ac:dyDescent="0.35">
      <c r="N7256" s="10"/>
    </row>
    <row r="7257" spans="14:14" ht="21" customHeight="1" x14ac:dyDescent="0.35">
      <c r="N7257" s="10"/>
    </row>
    <row r="7258" spans="14:14" ht="21" customHeight="1" x14ac:dyDescent="0.35">
      <c r="N7258" s="10"/>
    </row>
    <row r="7259" spans="14:14" ht="21" customHeight="1" x14ac:dyDescent="0.35">
      <c r="N7259" s="10"/>
    </row>
    <row r="7260" spans="14:14" ht="21" customHeight="1" x14ac:dyDescent="0.35">
      <c r="N7260" s="10"/>
    </row>
    <row r="7261" spans="14:14" ht="21" customHeight="1" x14ac:dyDescent="0.35">
      <c r="N7261" s="10"/>
    </row>
    <row r="7262" spans="14:14" ht="21" customHeight="1" x14ac:dyDescent="0.35">
      <c r="N7262" s="10"/>
    </row>
    <row r="7263" spans="14:14" ht="21" customHeight="1" x14ac:dyDescent="0.35">
      <c r="N7263" s="10"/>
    </row>
    <row r="7264" spans="14:14" ht="21" customHeight="1" x14ac:dyDescent="0.35">
      <c r="N7264" s="10"/>
    </row>
    <row r="7265" spans="14:14" ht="21" customHeight="1" x14ac:dyDescent="0.35">
      <c r="N7265" s="10"/>
    </row>
    <row r="7266" spans="14:14" ht="21" customHeight="1" x14ac:dyDescent="0.35">
      <c r="N7266" s="10"/>
    </row>
    <row r="7267" spans="14:14" ht="21" customHeight="1" x14ac:dyDescent="0.35">
      <c r="N7267" s="10"/>
    </row>
    <row r="7268" spans="14:14" ht="21" customHeight="1" x14ac:dyDescent="0.35">
      <c r="N7268" s="10"/>
    </row>
    <row r="7269" spans="14:14" ht="21" customHeight="1" x14ac:dyDescent="0.35">
      <c r="N7269" s="10"/>
    </row>
    <row r="7270" spans="14:14" ht="21" customHeight="1" x14ac:dyDescent="0.35">
      <c r="N7270" s="10"/>
    </row>
    <row r="7271" spans="14:14" ht="21" customHeight="1" x14ac:dyDescent="0.35">
      <c r="N7271" s="10"/>
    </row>
    <row r="7272" spans="14:14" ht="21" customHeight="1" x14ac:dyDescent="0.35">
      <c r="N7272" s="10"/>
    </row>
    <row r="7273" spans="14:14" ht="21" customHeight="1" x14ac:dyDescent="0.35">
      <c r="N7273" s="10"/>
    </row>
    <row r="7274" spans="14:14" ht="21" customHeight="1" x14ac:dyDescent="0.35">
      <c r="N7274" s="10"/>
    </row>
    <row r="7275" spans="14:14" ht="21" customHeight="1" x14ac:dyDescent="0.35">
      <c r="N7275" s="10"/>
    </row>
    <row r="7276" spans="14:14" ht="21" customHeight="1" x14ac:dyDescent="0.35">
      <c r="N7276" s="10"/>
    </row>
    <row r="7277" spans="14:14" ht="21" customHeight="1" x14ac:dyDescent="0.35">
      <c r="N7277" s="10"/>
    </row>
    <row r="7278" spans="14:14" ht="21" customHeight="1" x14ac:dyDescent="0.35">
      <c r="N7278" s="10"/>
    </row>
    <row r="7279" spans="14:14" ht="21" customHeight="1" x14ac:dyDescent="0.35">
      <c r="N7279" s="10"/>
    </row>
    <row r="7280" spans="14:14" ht="21" customHeight="1" x14ac:dyDescent="0.35">
      <c r="N7280" s="10"/>
    </row>
    <row r="7281" spans="14:14" ht="21" customHeight="1" x14ac:dyDescent="0.35">
      <c r="N7281" s="10"/>
    </row>
    <row r="7282" spans="14:14" ht="21" customHeight="1" x14ac:dyDescent="0.35">
      <c r="N7282" s="10"/>
    </row>
    <row r="7283" spans="14:14" ht="21" customHeight="1" x14ac:dyDescent="0.35">
      <c r="N7283" s="10"/>
    </row>
    <row r="7284" spans="14:14" ht="21" customHeight="1" x14ac:dyDescent="0.35">
      <c r="N7284" s="10"/>
    </row>
    <row r="7285" spans="14:14" ht="21" customHeight="1" x14ac:dyDescent="0.35">
      <c r="N7285" s="10"/>
    </row>
    <row r="7286" spans="14:14" ht="21" customHeight="1" x14ac:dyDescent="0.35">
      <c r="N7286" s="10"/>
    </row>
    <row r="7287" spans="14:14" ht="21" customHeight="1" x14ac:dyDescent="0.35">
      <c r="N7287" s="10"/>
    </row>
    <row r="7288" spans="14:14" ht="21" customHeight="1" x14ac:dyDescent="0.35">
      <c r="N7288" s="10"/>
    </row>
    <row r="7289" spans="14:14" ht="21" customHeight="1" x14ac:dyDescent="0.35">
      <c r="N7289" s="10"/>
    </row>
    <row r="7290" spans="14:14" ht="21" customHeight="1" x14ac:dyDescent="0.35">
      <c r="N7290" s="10"/>
    </row>
    <row r="7291" spans="14:14" ht="21" customHeight="1" x14ac:dyDescent="0.35">
      <c r="N7291" s="10"/>
    </row>
    <row r="7292" spans="14:14" ht="21" customHeight="1" x14ac:dyDescent="0.35">
      <c r="N7292" s="10"/>
    </row>
    <row r="7293" spans="14:14" ht="21" customHeight="1" x14ac:dyDescent="0.35">
      <c r="N7293" s="10"/>
    </row>
    <row r="7294" spans="14:14" ht="21" customHeight="1" x14ac:dyDescent="0.35">
      <c r="N7294" s="10"/>
    </row>
    <row r="7295" spans="14:14" ht="21" customHeight="1" x14ac:dyDescent="0.35">
      <c r="N7295" s="10"/>
    </row>
    <row r="7296" spans="14:14" ht="21" customHeight="1" x14ac:dyDescent="0.35">
      <c r="N7296" s="10"/>
    </row>
    <row r="7297" spans="14:14" ht="21" customHeight="1" x14ac:dyDescent="0.35">
      <c r="N7297" s="10"/>
    </row>
    <row r="7298" spans="14:14" ht="21" customHeight="1" x14ac:dyDescent="0.35">
      <c r="N7298" s="10"/>
    </row>
    <row r="7299" spans="14:14" ht="21" customHeight="1" x14ac:dyDescent="0.35">
      <c r="N7299" s="10"/>
    </row>
    <row r="7300" spans="14:14" ht="21" customHeight="1" x14ac:dyDescent="0.35">
      <c r="N7300" s="10"/>
    </row>
    <row r="7301" spans="14:14" ht="21" customHeight="1" x14ac:dyDescent="0.35">
      <c r="N7301" s="10"/>
    </row>
    <row r="7302" spans="14:14" ht="21" customHeight="1" x14ac:dyDescent="0.35">
      <c r="N7302" s="10"/>
    </row>
    <row r="7303" spans="14:14" ht="21" customHeight="1" x14ac:dyDescent="0.35">
      <c r="N7303" s="10"/>
    </row>
    <row r="7304" spans="14:14" ht="21" customHeight="1" x14ac:dyDescent="0.35">
      <c r="N7304" s="10"/>
    </row>
    <row r="7305" spans="14:14" ht="21" customHeight="1" x14ac:dyDescent="0.35">
      <c r="N7305" s="10"/>
    </row>
    <row r="7306" spans="14:14" ht="21" customHeight="1" x14ac:dyDescent="0.35">
      <c r="N7306" s="10"/>
    </row>
    <row r="7307" spans="14:14" ht="21" customHeight="1" x14ac:dyDescent="0.35">
      <c r="N7307" s="10"/>
    </row>
    <row r="7308" spans="14:14" ht="21" customHeight="1" x14ac:dyDescent="0.35">
      <c r="N7308" s="10"/>
    </row>
    <row r="7309" spans="14:14" ht="21" customHeight="1" x14ac:dyDescent="0.35">
      <c r="N7309" s="10"/>
    </row>
    <row r="7310" spans="14:14" ht="21" customHeight="1" x14ac:dyDescent="0.35">
      <c r="N7310" s="10"/>
    </row>
    <row r="7311" spans="14:14" ht="21" customHeight="1" x14ac:dyDescent="0.35">
      <c r="N7311" s="10"/>
    </row>
    <row r="7312" spans="14:14" ht="21" customHeight="1" x14ac:dyDescent="0.35">
      <c r="N7312" s="10"/>
    </row>
    <row r="7313" spans="14:14" ht="21" customHeight="1" x14ac:dyDescent="0.35">
      <c r="N7313" s="10"/>
    </row>
    <row r="7314" spans="14:14" ht="21" customHeight="1" x14ac:dyDescent="0.35">
      <c r="N7314" s="10"/>
    </row>
    <row r="7315" spans="14:14" ht="21" customHeight="1" x14ac:dyDescent="0.35">
      <c r="N7315" s="10"/>
    </row>
    <row r="7316" spans="14:14" ht="21" customHeight="1" x14ac:dyDescent="0.35">
      <c r="N7316" s="10"/>
    </row>
    <row r="7317" spans="14:14" ht="21" customHeight="1" x14ac:dyDescent="0.35">
      <c r="N7317" s="10"/>
    </row>
    <row r="7318" spans="14:14" ht="21" customHeight="1" x14ac:dyDescent="0.35">
      <c r="N7318" s="10"/>
    </row>
    <row r="7319" spans="14:14" ht="21" customHeight="1" x14ac:dyDescent="0.35">
      <c r="N7319" s="10"/>
    </row>
    <row r="7320" spans="14:14" ht="21" customHeight="1" x14ac:dyDescent="0.35">
      <c r="N7320" s="10"/>
    </row>
    <row r="7321" spans="14:14" ht="21" customHeight="1" x14ac:dyDescent="0.35">
      <c r="N7321" s="10"/>
    </row>
    <row r="7322" spans="14:14" ht="21" customHeight="1" x14ac:dyDescent="0.35">
      <c r="N7322" s="10"/>
    </row>
    <row r="7323" spans="14:14" ht="21" customHeight="1" x14ac:dyDescent="0.35">
      <c r="N7323" s="10"/>
    </row>
    <row r="7324" spans="14:14" ht="21" customHeight="1" x14ac:dyDescent="0.35">
      <c r="N7324" s="10"/>
    </row>
    <row r="7325" spans="14:14" ht="21" customHeight="1" x14ac:dyDescent="0.35">
      <c r="N7325" s="10"/>
    </row>
    <row r="7326" spans="14:14" ht="21" customHeight="1" x14ac:dyDescent="0.35">
      <c r="N7326" s="10"/>
    </row>
    <row r="7327" spans="14:14" ht="21" customHeight="1" x14ac:dyDescent="0.35">
      <c r="N7327" s="10"/>
    </row>
    <row r="7328" spans="14:14" ht="21" customHeight="1" x14ac:dyDescent="0.35">
      <c r="N7328" s="10"/>
    </row>
    <row r="7329" spans="14:14" ht="21" customHeight="1" x14ac:dyDescent="0.35">
      <c r="N7329" s="10"/>
    </row>
    <row r="7330" spans="14:14" ht="21" customHeight="1" x14ac:dyDescent="0.35">
      <c r="N7330" s="10"/>
    </row>
    <row r="7331" spans="14:14" ht="21" customHeight="1" x14ac:dyDescent="0.35">
      <c r="N7331" s="10"/>
    </row>
    <row r="7332" spans="14:14" ht="21" customHeight="1" x14ac:dyDescent="0.35">
      <c r="N7332" s="10"/>
    </row>
    <row r="7333" spans="14:14" ht="21" customHeight="1" x14ac:dyDescent="0.35">
      <c r="N7333" s="10"/>
    </row>
    <row r="7334" spans="14:14" ht="21" customHeight="1" x14ac:dyDescent="0.35">
      <c r="N7334" s="10"/>
    </row>
    <row r="7335" spans="14:14" ht="21" customHeight="1" x14ac:dyDescent="0.35">
      <c r="N7335" s="10"/>
    </row>
    <row r="7336" spans="14:14" ht="21" customHeight="1" x14ac:dyDescent="0.35">
      <c r="N7336" s="10"/>
    </row>
    <row r="7337" spans="14:14" ht="21" customHeight="1" x14ac:dyDescent="0.35">
      <c r="N7337" s="10"/>
    </row>
    <row r="7338" spans="14:14" ht="21" customHeight="1" x14ac:dyDescent="0.35">
      <c r="N7338" s="10"/>
    </row>
    <row r="7339" spans="14:14" ht="21" customHeight="1" x14ac:dyDescent="0.35">
      <c r="N7339" s="10"/>
    </row>
    <row r="7340" spans="14:14" ht="21" customHeight="1" x14ac:dyDescent="0.35">
      <c r="N7340" s="10"/>
    </row>
    <row r="7341" spans="14:14" ht="21" customHeight="1" x14ac:dyDescent="0.35">
      <c r="N7341" s="10"/>
    </row>
    <row r="7342" spans="14:14" ht="21" customHeight="1" x14ac:dyDescent="0.35">
      <c r="N7342" s="10"/>
    </row>
    <row r="7343" spans="14:14" ht="21" customHeight="1" x14ac:dyDescent="0.35">
      <c r="N7343" s="10"/>
    </row>
    <row r="7344" spans="14:14" ht="21" customHeight="1" x14ac:dyDescent="0.35">
      <c r="N7344" s="10"/>
    </row>
    <row r="7345" spans="14:14" ht="21" customHeight="1" x14ac:dyDescent="0.35">
      <c r="N7345" s="10"/>
    </row>
    <row r="7346" spans="14:14" ht="21" customHeight="1" x14ac:dyDescent="0.35">
      <c r="N7346" s="10"/>
    </row>
    <row r="7347" spans="14:14" ht="21" customHeight="1" x14ac:dyDescent="0.35">
      <c r="N7347" s="10"/>
    </row>
    <row r="7348" spans="14:14" ht="21" customHeight="1" x14ac:dyDescent="0.35">
      <c r="N7348" s="10"/>
    </row>
    <row r="7349" spans="14:14" ht="21" customHeight="1" x14ac:dyDescent="0.35">
      <c r="N7349" s="10"/>
    </row>
    <row r="7350" spans="14:14" ht="21" customHeight="1" x14ac:dyDescent="0.35">
      <c r="N7350" s="10"/>
    </row>
    <row r="7351" spans="14:14" ht="21" customHeight="1" x14ac:dyDescent="0.35">
      <c r="N7351" s="10"/>
    </row>
    <row r="7352" spans="14:14" ht="21" customHeight="1" x14ac:dyDescent="0.35">
      <c r="N7352" s="10"/>
    </row>
    <row r="7353" spans="14:14" ht="21" customHeight="1" x14ac:dyDescent="0.35">
      <c r="N7353" s="10"/>
    </row>
    <row r="7354" spans="14:14" ht="21" customHeight="1" x14ac:dyDescent="0.35">
      <c r="N7354" s="10"/>
    </row>
    <row r="7355" spans="14:14" ht="21" customHeight="1" x14ac:dyDescent="0.35">
      <c r="N7355" s="10"/>
    </row>
    <row r="7356" spans="14:14" ht="21" customHeight="1" x14ac:dyDescent="0.35">
      <c r="N7356" s="10"/>
    </row>
    <row r="7357" spans="14:14" ht="21" customHeight="1" x14ac:dyDescent="0.35">
      <c r="N7357" s="10"/>
    </row>
    <row r="7358" spans="14:14" ht="21" customHeight="1" x14ac:dyDescent="0.35">
      <c r="N7358" s="10"/>
    </row>
    <row r="7359" spans="14:14" ht="21" customHeight="1" x14ac:dyDescent="0.35">
      <c r="N7359" s="10"/>
    </row>
    <row r="7360" spans="14:14" ht="21" customHeight="1" x14ac:dyDescent="0.35">
      <c r="N7360" s="10"/>
    </row>
    <row r="7361" spans="14:14" ht="21" customHeight="1" x14ac:dyDescent="0.35">
      <c r="N7361" s="10"/>
    </row>
    <row r="7362" spans="14:14" ht="21" customHeight="1" x14ac:dyDescent="0.35">
      <c r="N7362" s="10"/>
    </row>
    <row r="7363" spans="14:14" ht="21" customHeight="1" x14ac:dyDescent="0.35">
      <c r="N7363" s="10"/>
    </row>
    <row r="7364" spans="14:14" ht="21" customHeight="1" x14ac:dyDescent="0.35">
      <c r="N7364" s="10"/>
    </row>
    <row r="7365" spans="14:14" ht="21" customHeight="1" x14ac:dyDescent="0.35">
      <c r="N7365" s="10"/>
    </row>
    <row r="7366" spans="14:14" ht="21" customHeight="1" x14ac:dyDescent="0.35">
      <c r="N7366" s="10"/>
    </row>
    <row r="7367" spans="14:14" ht="21" customHeight="1" x14ac:dyDescent="0.35">
      <c r="N7367" s="10"/>
    </row>
    <row r="7368" spans="14:14" ht="21" customHeight="1" x14ac:dyDescent="0.35">
      <c r="N7368" s="10"/>
    </row>
    <row r="7369" spans="14:14" ht="21" customHeight="1" x14ac:dyDescent="0.35">
      <c r="N7369" s="10"/>
    </row>
    <row r="7370" spans="14:14" ht="21" customHeight="1" x14ac:dyDescent="0.35">
      <c r="N7370" s="10"/>
    </row>
    <row r="7371" spans="14:14" ht="21" customHeight="1" x14ac:dyDescent="0.35">
      <c r="N7371" s="10"/>
    </row>
    <row r="7372" spans="14:14" ht="21" customHeight="1" x14ac:dyDescent="0.35">
      <c r="N7372" s="10"/>
    </row>
    <row r="7373" spans="14:14" ht="21" customHeight="1" x14ac:dyDescent="0.35">
      <c r="N7373" s="10"/>
    </row>
    <row r="7374" spans="14:14" ht="21" customHeight="1" x14ac:dyDescent="0.35">
      <c r="N7374" s="10"/>
    </row>
    <row r="7375" spans="14:14" ht="21" customHeight="1" x14ac:dyDescent="0.35">
      <c r="N7375" s="10"/>
    </row>
    <row r="7376" spans="14:14" ht="21" customHeight="1" x14ac:dyDescent="0.35">
      <c r="N7376" s="10"/>
    </row>
    <row r="7377" spans="14:14" ht="21" customHeight="1" x14ac:dyDescent="0.35">
      <c r="N7377" s="10"/>
    </row>
    <row r="7378" spans="14:14" ht="21" customHeight="1" x14ac:dyDescent="0.35">
      <c r="N7378" s="10"/>
    </row>
    <row r="7379" spans="14:14" ht="21" customHeight="1" x14ac:dyDescent="0.35">
      <c r="N7379" s="10"/>
    </row>
    <row r="7380" spans="14:14" ht="21" customHeight="1" x14ac:dyDescent="0.35">
      <c r="N7380" s="10"/>
    </row>
    <row r="7381" spans="14:14" ht="21" customHeight="1" x14ac:dyDescent="0.35">
      <c r="N7381" s="10"/>
    </row>
    <row r="7382" spans="14:14" ht="21" customHeight="1" x14ac:dyDescent="0.35">
      <c r="N7382" s="10"/>
    </row>
    <row r="7383" spans="14:14" ht="21" customHeight="1" x14ac:dyDescent="0.35">
      <c r="N7383" s="10"/>
    </row>
    <row r="7384" spans="14:14" ht="21" customHeight="1" x14ac:dyDescent="0.35">
      <c r="N7384" s="10"/>
    </row>
    <row r="7385" spans="14:14" ht="21" customHeight="1" x14ac:dyDescent="0.35">
      <c r="N7385" s="10"/>
    </row>
    <row r="7386" spans="14:14" ht="21" customHeight="1" x14ac:dyDescent="0.35">
      <c r="N7386" s="10"/>
    </row>
    <row r="7387" spans="14:14" ht="21" customHeight="1" x14ac:dyDescent="0.35">
      <c r="N7387" s="10"/>
    </row>
    <row r="7388" spans="14:14" ht="21" customHeight="1" x14ac:dyDescent="0.35">
      <c r="N7388" s="10"/>
    </row>
    <row r="7389" spans="14:14" ht="21" customHeight="1" x14ac:dyDescent="0.35">
      <c r="N7389" s="10"/>
    </row>
    <row r="7390" spans="14:14" ht="21" customHeight="1" x14ac:dyDescent="0.35">
      <c r="N7390" s="10"/>
    </row>
    <row r="7391" spans="14:14" ht="21" customHeight="1" x14ac:dyDescent="0.35">
      <c r="N7391" s="10"/>
    </row>
    <row r="7392" spans="14:14" ht="21" customHeight="1" x14ac:dyDescent="0.35">
      <c r="N7392" s="10"/>
    </row>
    <row r="7393" spans="14:14" ht="21" customHeight="1" x14ac:dyDescent="0.35">
      <c r="N7393" s="10"/>
    </row>
    <row r="7394" spans="14:14" ht="21" customHeight="1" x14ac:dyDescent="0.35">
      <c r="N7394" s="10"/>
    </row>
    <row r="7395" spans="14:14" ht="21" customHeight="1" x14ac:dyDescent="0.35">
      <c r="N7395" s="10"/>
    </row>
    <row r="7396" spans="14:14" ht="21" customHeight="1" x14ac:dyDescent="0.35">
      <c r="N7396" s="10"/>
    </row>
    <row r="7397" spans="14:14" ht="21" customHeight="1" x14ac:dyDescent="0.35">
      <c r="N7397" s="10"/>
    </row>
    <row r="7398" spans="14:14" ht="21" customHeight="1" x14ac:dyDescent="0.35">
      <c r="N7398" s="10"/>
    </row>
    <row r="7399" spans="14:14" ht="21" customHeight="1" x14ac:dyDescent="0.35">
      <c r="N7399" s="10"/>
    </row>
    <row r="7400" spans="14:14" ht="21" customHeight="1" x14ac:dyDescent="0.35">
      <c r="N7400" s="10"/>
    </row>
    <row r="7401" spans="14:14" ht="21" customHeight="1" x14ac:dyDescent="0.35">
      <c r="N7401" s="10"/>
    </row>
    <row r="7402" spans="14:14" ht="21" customHeight="1" x14ac:dyDescent="0.35">
      <c r="N7402" s="10"/>
    </row>
    <row r="7403" spans="14:14" ht="21" customHeight="1" x14ac:dyDescent="0.35">
      <c r="N7403" s="10"/>
    </row>
    <row r="7404" spans="14:14" ht="21" customHeight="1" x14ac:dyDescent="0.35">
      <c r="N7404" s="10"/>
    </row>
    <row r="7405" spans="14:14" ht="21" customHeight="1" x14ac:dyDescent="0.35">
      <c r="N7405" s="10"/>
    </row>
    <row r="7406" spans="14:14" ht="21" customHeight="1" x14ac:dyDescent="0.35">
      <c r="N7406" s="10"/>
    </row>
    <row r="7407" spans="14:14" ht="21" customHeight="1" x14ac:dyDescent="0.35">
      <c r="N7407" s="10"/>
    </row>
    <row r="7408" spans="14:14" ht="21" customHeight="1" x14ac:dyDescent="0.35">
      <c r="N7408" s="10"/>
    </row>
    <row r="7409" spans="14:14" ht="21" customHeight="1" x14ac:dyDescent="0.35">
      <c r="N7409" s="10"/>
    </row>
    <row r="7410" spans="14:14" ht="21" customHeight="1" x14ac:dyDescent="0.35">
      <c r="N7410" s="10"/>
    </row>
    <row r="7411" spans="14:14" ht="21" customHeight="1" x14ac:dyDescent="0.35">
      <c r="N7411" s="10"/>
    </row>
    <row r="7412" spans="14:14" ht="21" customHeight="1" x14ac:dyDescent="0.35">
      <c r="N7412" s="10"/>
    </row>
    <row r="7413" spans="14:14" ht="21" customHeight="1" x14ac:dyDescent="0.35">
      <c r="N7413" s="10"/>
    </row>
    <row r="7414" spans="14:14" ht="21" customHeight="1" x14ac:dyDescent="0.35">
      <c r="N7414" s="10"/>
    </row>
    <row r="7415" spans="14:14" ht="21" customHeight="1" x14ac:dyDescent="0.35">
      <c r="N7415" s="10"/>
    </row>
    <row r="7416" spans="14:14" ht="21" customHeight="1" x14ac:dyDescent="0.35">
      <c r="N7416" s="10"/>
    </row>
    <row r="7417" spans="14:14" ht="21" customHeight="1" x14ac:dyDescent="0.35">
      <c r="N7417" s="10"/>
    </row>
    <row r="7418" spans="14:14" ht="21" customHeight="1" x14ac:dyDescent="0.35">
      <c r="N7418" s="10"/>
    </row>
    <row r="7419" spans="14:14" ht="21" customHeight="1" x14ac:dyDescent="0.35">
      <c r="N7419" s="10"/>
    </row>
    <row r="7420" spans="14:14" ht="21" customHeight="1" x14ac:dyDescent="0.35">
      <c r="N7420" s="10"/>
    </row>
    <row r="7421" spans="14:14" ht="21" customHeight="1" x14ac:dyDescent="0.35">
      <c r="N7421" s="10"/>
    </row>
    <row r="7422" spans="14:14" ht="21" customHeight="1" x14ac:dyDescent="0.35">
      <c r="N7422" s="10"/>
    </row>
    <row r="7423" spans="14:14" ht="21" customHeight="1" x14ac:dyDescent="0.35">
      <c r="N7423" s="10"/>
    </row>
    <row r="7424" spans="14:14" ht="21" customHeight="1" x14ac:dyDescent="0.35">
      <c r="N7424" s="10"/>
    </row>
    <row r="7425" spans="14:14" ht="21" customHeight="1" x14ac:dyDescent="0.35">
      <c r="N7425" s="10"/>
    </row>
    <row r="7426" spans="14:14" ht="21" customHeight="1" x14ac:dyDescent="0.35">
      <c r="N7426" s="10"/>
    </row>
    <row r="7427" spans="14:14" ht="21" customHeight="1" x14ac:dyDescent="0.35">
      <c r="N7427" s="10"/>
    </row>
    <row r="7428" spans="14:14" ht="21" customHeight="1" x14ac:dyDescent="0.35">
      <c r="N7428" s="10"/>
    </row>
    <row r="7429" spans="14:14" ht="21" customHeight="1" x14ac:dyDescent="0.35">
      <c r="N7429" s="10"/>
    </row>
    <row r="7430" spans="14:14" ht="21" customHeight="1" x14ac:dyDescent="0.35">
      <c r="N7430" s="10"/>
    </row>
    <row r="7431" spans="14:14" ht="21" customHeight="1" x14ac:dyDescent="0.35">
      <c r="N7431" s="10"/>
    </row>
    <row r="7432" spans="14:14" ht="21" customHeight="1" x14ac:dyDescent="0.35">
      <c r="N7432" s="10"/>
    </row>
    <row r="7433" spans="14:14" ht="21" customHeight="1" x14ac:dyDescent="0.35">
      <c r="N7433" s="10"/>
    </row>
    <row r="7434" spans="14:14" ht="21" customHeight="1" x14ac:dyDescent="0.35">
      <c r="N7434" s="10"/>
    </row>
    <row r="7435" spans="14:14" ht="21" customHeight="1" x14ac:dyDescent="0.35">
      <c r="N7435" s="10"/>
    </row>
    <row r="7436" spans="14:14" ht="21" customHeight="1" x14ac:dyDescent="0.35">
      <c r="N7436" s="10"/>
    </row>
    <row r="7437" spans="14:14" ht="21" customHeight="1" x14ac:dyDescent="0.35">
      <c r="N7437" s="10"/>
    </row>
    <row r="7438" spans="14:14" ht="21" customHeight="1" x14ac:dyDescent="0.35">
      <c r="N7438" s="10"/>
    </row>
    <row r="7439" spans="14:14" ht="21" customHeight="1" x14ac:dyDescent="0.35">
      <c r="N7439" s="10"/>
    </row>
    <row r="7440" spans="14:14" ht="21" customHeight="1" x14ac:dyDescent="0.35">
      <c r="N7440" s="10"/>
    </row>
    <row r="7441" spans="14:14" ht="21" customHeight="1" x14ac:dyDescent="0.35">
      <c r="N7441" s="10"/>
    </row>
    <row r="7442" spans="14:14" ht="21" customHeight="1" x14ac:dyDescent="0.35">
      <c r="N7442" s="10"/>
    </row>
    <row r="7443" spans="14:14" ht="21" customHeight="1" x14ac:dyDescent="0.35">
      <c r="N7443" s="10"/>
    </row>
    <row r="7444" spans="14:14" ht="21" customHeight="1" x14ac:dyDescent="0.35">
      <c r="N7444" s="10"/>
    </row>
    <row r="7445" spans="14:14" ht="21" customHeight="1" x14ac:dyDescent="0.35">
      <c r="N7445" s="10"/>
    </row>
    <row r="7446" spans="14:14" ht="21" customHeight="1" x14ac:dyDescent="0.35">
      <c r="N7446" s="10"/>
    </row>
    <row r="7447" spans="14:14" ht="21" customHeight="1" x14ac:dyDescent="0.35">
      <c r="N7447" s="10"/>
    </row>
    <row r="7448" spans="14:14" ht="21" customHeight="1" x14ac:dyDescent="0.35">
      <c r="N7448" s="10"/>
    </row>
    <row r="7449" spans="14:14" ht="21" customHeight="1" x14ac:dyDescent="0.35">
      <c r="N7449" s="10"/>
    </row>
    <row r="7450" spans="14:14" ht="21" customHeight="1" x14ac:dyDescent="0.35">
      <c r="N7450" s="10"/>
    </row>
    <row r="7451" spans="14:14" ht="21" customHeight="1" x14ac:dyDescent="0.35">
      <c r="N7451" s="10"/>
    </row>
    <row r="7452" spans="14:14" ht="21" customHeight="1" x14ac:dyDescent="0.35">
      <c r="N7452" s="10"/>
    </row>
    <row r="7453" spans="14:14" ht="21" customHeight="1" x14ac:dyDescent="0.35">
      <c r="N7453" s="10"/>
    </row>
    <row r="7454" spans="14:14" ht="21" customHeight="1" x14ac:dyDescent="0.35">
      <c r="N7454" s="10"/>
    </row>
    <row r="7455" spans="14:14" ht="21" customHeight="1" x14ac:dyDescent="0.35">
      <c r="N7455" s="10"/>
    </row>
    <row r="7456" spans="14:14" ht="21" customHeight="1" x14ac:dyDescent="0.35">
      <c r="N7456" s="10"/>
    </row>
    <row r="7457" spans="14:14" ht="21" customHeight="1" x14ac:dyDescent="0.35">
      <c r="N7457" s="10"/>
    </row>
    <row r="7458" spans="14:14" ht="21" customHeight="1" x14ac:dyDescent="0.35">
      <c r="N7458" s="10"/>
    </row>
    <row r="7459" spans="14:14" ht="21" customHeight="1" x14ac:dyDescent="0.35">
      <c r="N7459" s="10"/>
    </row>
    <row r="7460" spans="14:14" ht="21" customHeight="1" x14ac:dyDescent="0.35">
      <c r="N7460" s="10"/>
    </row>
    <row r="7461" spans="14:14" ht="21" customHeight="1" x14ac:dyDescent="0.35">
      <c r="N7461" s="10"/>
    </row>
    <row r="7462" spans="14:14" ht="21" customHeight="1" x14ac:dyDescent="0.35">
      <c r="N7462" s="10"/>
    </row>
    <row r="7463" spans="14:14" ht="21" customHeight="1" x14ac:dyDescent="0.35">
      <c r="N7463" s="10"/>
    </row>
    <row r="7464" spans="14:14" ht="21" customHeight="1" x14ac:dyDescent="0.35">
      <c r="N7464" s="10"/>
    </row>
    <row r="7465" spans="14:14" ht="21" customHeight="1" x14ac:dyDescent="0.35">
      <c r="N7465" s="10"/>
    </row>
    <row r="7466" spans="14:14" ht="21" customHeight="1" x14ac:dyDescent="0.35">
      <c r="N7466" s="10"/>
    </row>
    <row r="7467" spans="14:14" ht="21" customHeight="1" x14ac:dyDescent="0.35">
      <c r="N7467" s="10"/>
    </row>
    <row r="7468" spans="14:14" ht="21" customHeight="1" x14ac:dyDescent="0.35">
      <c r="N7468" s="10"/>
    </row>
    <row r="7469" spans="14:14" ht="21" customHeight="1" x14ac:dyDescent="0.35">
      <c r="N7469" s="10"/>
    </row>
    <row r="7470" spans="14:14" ht="21" customHeight="1" x14ac:dyDescent="0.35">
      <c r="N7470" s="10"/>
    </row>
    <row r="7471" spans="14:14" ht="21" customHeight="1" x14ac:dyDescent="0.35">
      <c r="N7471" s="10"/>
    </row>
    <row r="7472" spans="14:14" ht="21" customHeight="1" x14ac:dyDescent="0.35">
      <c r="N7472" s="10"/>
    </row>
    <row r="7473" spans="14:14" ht="21" customHeight="1" x14ac:dyDescent="0.35">
      <c r="N7473" s="10"/>
    </row>
    <row r="7474" spans="14:14" ht="21" customHeight="1" x14ac:dyDescent="0.35">
      <c r="N7474" s="10"/>
    </row>
    <row r="7475" spans="14:14" ht="21" customHeight="1" x14ac:dyDescent="0.35">
      <c r="N7475" s="10"/>
    </row>
    <row r="7476" spans="14:14" ht="21" customHeight="1" x14ac:dyDescent="0.35">
      <c r="N7476" s="10"/>
    </row>
    <row r="7477" spans="14:14" ht="21" customHeight="1" x14ac:dyDescent="0.35">
      <c r="N7477" s="10"/>
    </row>
    <row r="7478" spans="14:14" ht="21" customHeight="1" x14ac:dyDescent="0.35">
      <c r="N7478" s="10"/>
    </row>
    <row r="7479" spans="14:14" ht="21" customHeight="1" x14ac:dyDescent="0.35">
      <c r="N7479" s="10"/>
    </row>
    <row r="7480" spans="14:14" ht="21" customHeight="1" x14ac:dyDescent="0.35">
      <c r="N7480" s="10"/>
    </row>
    <row r="7481" spans="14:14" ht="21" customHeight="1" x14ac:dyDescent="0.35">
      <c r="N7481" s="10"/>
    </row>
    <row r="7482" spans="14:14" ht="21" customHeight="1" x14ac:dyDescent="0.35">
      <c r="N7482" s="10"/>
    </row>
    <row r="7483" spans="14:14" ht="21" customHeight="1" x14ac:dyDescent="0.35">
      <c r="N7483" s="10"/>
    </row>
    <row r="7484" spans="14:14" ht="21" customHeight="1" x14ac:dyDescent="0.35">
      <c r="N7484" s="10"/>
    </row>
    <row r="7485" spans="14:14" ht="21" customHeight="1" x14ac:dyDescent="0.35">
      <c r="N7485" s="10"/>
    </row>
    <row r="7486" spans="14:14" ht="21" customHeight="1" x14ac:dyDescent="0.35">
      <c r="N7486" s="10"/>
    </row>
    <row r="7487" spans="14:14" ht="21" customHeight="1" x14ac:dyDescent="0.35">
      <c r="N7487" s="10"/>
    </row>
    <row r="7488" spans="14:14" ht="21" customHeight="1" x14ac:dyDescent="0.35">
      <c r="N7488" s="10"/>
    </row>
    <row r="7489" spans="14:14" ht="21" customHeight="1" x14ac:dyDescent="0.35">
      <c r="N7489" s="10"/>
    </row>
    <row r="7490" spans="14:14" ht="21" customHeight="1" x14ac:dyDescent="0.35">
      <c r="N7490" s="10"/>
    </row>
    <row r="7491" spans="14:14" ht="21" customHeight="1" x14ac:dyDescent="0.35">
      <c r="N7491" s="10"/>
    </row>
    <row r="7492" spans="14:14" ht="21" customHeight="1" x14ac:dyDescent="0.35">
      <c r="N7492" s="10"/>
    </row>
    <row r="7493" spans="14:14" ht="21" customHeight="1" x14ac:dyDescent="0.35">
      <c r="N7493" s="10"/>
    </row>
    <row r="7494" spans="14:14" ht="21" customHeight="1" x14ac:dyDescent="0.35">
      <c r="N7494" s="10"/>
    </row>
    <row r="7495" spans="14:14" ht="21" customHeight="1" x14ac:dyDescent="0.35">
      <c r="N7495" s="10"/>
    </row>
    <row r="7496" spans="14:14" ht="21" customHeight="1" x14ac:dyDescent="0.35">
      <c r="N7496" s="10"/>
    </row>
    <row r="7497" spans="14:14" ht="21" customHeight="1" x14ac:dyDescent="0.35">
      <c r="N7497" s="10"/>
    </row>
    <row r="7498" spans="14:14" ht="21" customHeight="1" x14ac:dyDescent="0.35">
      <c r="N7498" s="10"/>
    </row>
    <row r="7499" spans="14:14" ht="21" customHeight="1" x14ac:dyDescent="0.35">
      <c r="N7499" s="10"/>
    </row>
    <row r="7500" spans="14:14" ht="21" customHeight="1" x14ac:dyDescent="0.35">
      <c r="N7500" s="10"/>
    </row>
    <row r="7501" spans="14:14" ht="21" customHeight="1" x14ac:dyDescent="0.35">
      <c r="N7501" s="10"/>
    </row>
    <row r="7502" spans="14:14" ht="21" customHeight="1" x14ac:dyDescent="0.35">
      <c r="N7502" s="10"/>
    </row>
    <row r="7503" spans="14:14" ht="21" customHeight="1" x14ac:dyDescent="0.35">
      <c r="N7503" s="10"/>
    </row>
    <row r="7504" spans="14:14" ht="21" customHeight="1" x14ac:dyDescent="0.35">
      <c r="N7504" s="10"/>
    </row>
    <row r="7505" spans="14:14" ht="21" customHeight="1" x14ac:dyDescent="0.35">
      <c r="N7505" s="10"/>
    </row>
    <row r="7506" spans="14:14" ht="21" customHeight="1" x14ac:dyDescent="0.35">
      <c r="N7506" s="10"/>
    </row>
    <row r="7507" spans="14:14" ht="21" customHeight="1" x14ac:dyDescent="0.35">
      <c r="N7507" s="10"/>
    </row>
    <row r="7508" spans="14:14" ht="21" customHeight="1" x14ac:dyDescent="0.35">
      <c r="N7508" s="10"/>
    </row>
    <row r="7509" spans="14:14" ht="21" customHeight="1" x14ac:dyDescent="0.35">
      <c r="N7509" s="10"/>
    </row>
    <row r="7510" spans="14:14" ht="21" customHeight="1" x14ac:dyDescent="0.35">
      <c r="N7510" s="10"/>
    </row>
    <row r="7511" spans="14:14" ht="21" customHeight="1" x14ac:dyDescent="0.35">
      <c r="N7511" s="10"/>
    </row>
    <row r="7512" spans="14:14" ht="21" customHeight="1" x14ac:dyDescent="0.35">
      <c r="N7512" s="10"/>
    </row>
    <row r="7513" spans="14:14" ht="21" customHeight="1" x14ac:dyDescent="0.35">
      <c r="N7513" s="10"/>
    </row>
    <row r="7514" spans="14:14" ht="21" customHeight="1" x14ac:dyDescent="0.35">
      <c r="N7514" s="10"/>
    </row>
    <row r="7515" spans="14:14" ht="21" customHeight="1" x14ac:dyDescent="0.35">
      <c r="N7515" s="10"/>
    </row>
    <row r="7516" spans="14:14" ht="21" customHeight="1" x14ac:dyDescent="0.35">
      <c r="N7516" s="10"/>
    </row>
    <row r="7517" spans="14:14" ht="21" customHeight="1" x14ac:dyDescent="0.35">
      <c r="N7517" s="10"/>
    </row>
    <row r="7518" spans="14:14" ht="21" customHeight="1" x14ac:dyDescent="0.35">
      <c r="N7518" s="10"/>
    </row>
    <row r="7519" spans="14:14" ht="21" customHeight="1" x14ac:dyDescent="0.35">
      <c r="N7519" s="10"/>
    </row>
    <row r="7520" spans="14:14" ht="21" customHeight="1" x14ac:dyDescent="0.35">
      <c r="N7520" s="10"/>
    </row>
    <row r="7521" spans="14:14" ht="21" customHeight="1" x14ac:dyDescent="0.35">
      <c r="N7521" s="10"/>
    </row>
    <row r="7522" spans="14:14" ht="21" customHeight="1" x14ac:dyDescent="0.35">
      <c r="N7522" s="10"/>
    </row>
    <row r="7523" spans="14:14" ht="21" customHeight="1" x14ac:dyDescent="0.35">
      <c r="N7523" s="10"/>
    </row>
    <row r="7524" spans="14:14" ht="21" customHeight="1" x14ac:dyDescent="0.35">
      <c r="N7524" s="10"/>
    </row>
    <row r="7525" spans="14:14" ht="21" customHeight="1" x14ac:dyDescent="0.35">
      <c r="N7525" s="10"/>
    </row>
    <row r="7526" spans="14:14" ht="21" customHeight="1" x14ac:dyDescent="0.35">
      <c r="N7526" s="10"/>
    </row>
    <row r="7527" spans="14:14" ht="21" customHeight="1" x14ac:dyDescent="0.35">
      <c r="N7527" s="10"/>
    </row>
    <row r="7528" spans="14:14" ht="21" customHeight="1" x14ac:dyDescent="0.35">
      <c r="N7528" s="10"/>
    </row>
    <row r="7529" spans="14:14" ht="21" customHeight="1" x14ac:dyDescent="0.35">
      <c r="N7529" s="10"/>
    </row>
    <row r="7530" spans="14:14" ht="21" customHeight="1" x14ac:dyDescent="0.35">
      <c r="N7530" s="10"/>
    </row>
    <row r="7531" spans="14:14" ht="21" customHeight="1" x14ac:dyDescent="0.35">
      <c r="N7531" s="10"/>
    </row>
    <row r="7532" spans="14:14" ht="21" customHeight="1" x14ac:dyDescent="0.35">
      <c r="N7532" s="10"/>
    </row>
    <row r="7533" spans="14:14" ht="21" customHeight="1" x14ac:dyDescent="0.35">
      <c r="N7533" s="10"/>
    </row>
    <row r="7534" spans="14:14" ht="21" customHeight="1" x14ac:dyDescent="0.35">
      <c r="N7534" s="10"/>
    </row>
    <row r="7535" spans="14:14" ht="21" customHeight="1" x14ac:dyDescent="0.35">
      <c r="N7535" s="10"/>
    </row>
    <row r="7536" spans="14:14" ht="21" customHeight="1" x14ac:dyDescent="0.35">
      <c r="N7536" s="10"/>
    </row>
    <row r="7537" spans="14:14" ht="21" customHeight="1" x14ac:dyDescent="0.35">
      <c r="N7537" s="10"/>
    </row>
    <row r="7538" spans="14:14" ht="21" customHeight="1" x14ac:dyDescent="0.35">
      <c r="N7538" s="10"/>
    </row>
    <row r="7539" spans="14:14" ht="21" customHeight="1" x14ac:dyDescent="0.35">
      <c r="N7539" s="10"/>
    </row>
    <row r="7540" spans="14:14" ht="21" customHeight="1" x14ac:dyDescent="0.35">
      <c r="N7540" s="10"/>
    </row>
    <row r="7541" spans="14:14" ht="21" customHeight="1" x14ac:dyDescent="0.35">
      <c r="N7541" s="10"/>
    </row>
    <row r="7542" spans="14:14" ht="21" customHeight="1" x14ac:dyDescent="0.35">
      <c r="N7542" s="10"/>
    </row>
    <row r="7543" spans="14:14" ht="21" customHeight="1" x14ac:dyDescent="0.35">
      <c r="N7543" s="10"/>
    </row>
    <row r="7544" spans="14:14" ht="21" customHeight="1" x14ac:dyDescent="0.35">
      <c r="N7544" s="10"/>
    </row>
    <row r="7545" spans="14:14" ht="21" customHeight="1" x14ac:dyDescent="0.35">
      <c r="N7545" s="10"/>
    </row>
    <row r="7546" spans="14:14" ht="21" customHeight="1" x14ac:dyDescent="0.35">
      <c r="N7546" s="10"/>
    </row>
    <row r="7547" spans="14:14" ht="21" customHeight="1" x14ac:dyDescent="0.35">
      <c r="N7547" s="10"/>
    </row>
    <row r="7548" spans="14:14" ht="21" customHeight="1" x14ac:dyDescent="0.35">
      <c r="N7548" s="10"/>
    </row>
    <row r="7549" spans="14:14" ht="21" customHeight="1" x14ac:dyDescent="0.35">
      <c r="N7549" s="10"/>
    </row>
    <row r="7550" spans="14:14" ht="21" customHeight="1" x14ac:dyDescent="0.35">
      <c r="N7550" s="10"/>
    </row>
    <row r="7551" spans="14:14" ht="21" customHeight="1" x14ac:dyDescent="0.35">
      <c r="N7551" s="10"/>
    </row>
    <row r="7552" spans="14:14" ht="21" customHeight="1" x14ac:dyDescent="0.35">
      <c r="N7552" s="10"/>
    </row>
    <row r="7553" spans="14:14" ht="21" customHeight="1" x14ac:dyDescent="0.35">
      <c r="N7553" s="10"/>
    </row>
    <row r="7554" spans="14:14" ht="21" customHeight="1" x14ac:dyDescent="0.35">
      <c r="N7554" s="10"/>
    </row>
    <row r="7555" spans="14:14" ht="21" customHeight="1" x14ac:dyDescent="0.35">
      <c r="N7555" s="10"/>
    </row>
    <row r="7556" spans="14:14" ht="21" customHeight="1" x14ac:dyDescent="0.35">
      <c r="N7556" s="10"/>
    </row>
    <row r="7557" spans="14:14" ht="21" customHeight="1" x14ac:dyDescent="0.35">
      <c r="N7557" s="10"/>
    </row>
    <row r="7558" spans="14:14" ht="21" customHeight="1" x14ac:dyDescent="0.35">
      <c r="N7558" s="10"/>
    </row>
    <row r="7559" spans="14:14" ht="21" customHeight="1" x14ac:dyDescent="0.35">
      <c r="N7559" s="10"/>
    </row>
    <row r="7560" spans="14:14" ht="21" customHeight="1" x14ac:dyDescent="0.35">
      <c r="N7560" s="10"/>
    </row>
    <row r="7561" spans="14:14" ht="21" customHeight="1" x14ac:dyDescent="0.35">
      <c r="N7561" s="10"/>
    </row>
    <row r="7562" spans="14:14" ht="21" customHeight="1" x14ac:dyDescent="0.35">
      <c r="N7562" s="10"/>
    </row>
    <row r="7563" spans="14:14" ht="21" customHeight="1" x14ac:dyDescent="0.35">
      <c r="N7563" s="10"/>
    </row>
    <row r="7564" spans="14:14" ht="21" customHeight="1" x14ac:dyDescent="0.35">
      <c r="N7564" s="10"/>
    </row>
    <row r="7565" spans="14:14" ht="21" customHeight="1" x14ac:dyDescent="0.35">
      <c r="N7565" s="10"/>
    </row>
    <row r="7566" spans="14:14" ht="21" customHeight="1" x14ac:dyDescent="0.35">
      <c r="N7566" s="10"/>
    </row>
    <row r="7567" spans="14:14" ht="21" customHeight="1" x14ac:dyDescent="0.35">
      <c r="N7567" s="10"/>
    </row>
    <row r="7568" spans="14:14" ht="21" customHeight="1" x14ac:dyDescent="0.35">
      <c r="N7568" s="10"/>
    </row>
    <row r="7569" spans="14:14" ht="21" customHeight="1" x14ac:dyDescent="0.35">
      <c r="N7569" s="10"/>
    </row>
    <row r="7570" spans="14:14" ht="21" customHeight="1" x14ac:dyDescent="0.35">
      <c r="N7570" s="10"/>
    </row>
    <row r="7571" spans="14:14" ht="21" customHeight="1" x14ac:dyDescent="0.35">
      <c r="N7571" s="10"/>
    </row>
    <row r="7572" spans="14:14" ht="21" customHeight="1" x14ac:dyDescent="0.35">
      <c r="N7572" s="10"/>
    </row>
    <row r="7573" spans="14:14" ht="21" customHeight="1" x14ac:dyDescent="0.35">
      <c r="N7573" s="10"/>
    </row>
    <row r="7574" spans="14:14" ht="21" customHeight="1" x14ac:dyDescent="0.35">
      <c r="N7574" s="10"/>
    </row>
    <row r="7575" spans="14:14" ht="21" customHeight="1" x14ac:dyDescent="0.35">
      <c r="N7575" s="10"/>
    </row>
    <row r="7576" spans="14:14" ht="21" customHeight="1" x14ac:dyDescent="0.35">
      <c r="N7576" s="10"/>
    </row>
    <row r="7577" spans="14:14" ht="21" customHeight="1" x14ac:dyDescent="0.35">
      <c r="N7577" s="10"/>
    </row>
    <row r="7578" spans="14:14" ht="21" customHeight="1" x14ac:dyDescent="0.35">
      <c r="N7578" s="10"/>
    </row>
    <row r="7579" spans="14:14" ht="21" customHeight="1" x14ac:dyDescent="0.35">
      <c r="N7579" s="10"/>
    </row>
    <row r="7580" spans="14:14" ht="21" customHeight="1" x14ac:dyDescent="0.35">
      <c r="N7580" s="10"/>
    </row>
    <row r="7581" spans="14:14" ht="21" customHeight="1" x14ac:dyDescent="0.35">
      <c r="N7581" s="10"/>
    </row>
    <row r="7582" spans="14:14" ht="21" customHeight="1" x14ac:dyDescent="0.35">
      <c r="N7582" s="10"/>
    </row>
    <row r="7583" spans="14:14" ht="21" customHeight="1" x14ac:dyDescent="0.35">
      <c r="N7583" s="10"/>
    </row>
    <row r="7584" spans="14:14" ht="21" customHeight="1" x14ac:dyDescent="0.35">
      <c r="N7584" s="10"/>
    </row>
    <row r="7585" spans="14:14" ht="21" customHeight="1" x14ac:dyDescent="0.35">
      <c r="N7585" s="10"/>
    </row>
    <row r="7586" spans="14:14" ht="21" customHeight="1" x14ac:dyDescent="0.35">
      <c r="N7586" s="10"/>
    </row>
    <row r="7587" spans="14:14" ht="21" customHeight="1" x14ac:dyDescent="0.35">
      <c r="N7587" s="10"/>
    </row>
    <row r="7588" spans="14:14" ht="21" customHeight="1" x14ac:dyDescent="0.35">
      <c r="N7588" s="10"/>
    </row>
    <row r="7589" spans="14:14" ht="21" customHeight="1" x14ac:dyDescent="0.35">
      <c r="N7589" s="10"/>
    </row>
    <row r="7590" spans="14:14" ht="21" customHeight="1" x14ac:dyDescent="0.35">
      <c r="N7590" s="10"/>
    </row>
    <row r="7591" spans="14:14" ht="21" customHeight="1" x14ac:dyDescent="0.35">
      <c r="N7591" s="10"/>
    </row>
    <row r="7592" spans="14:14" ht="21" customHeight="1" x14ac:dyDescent="0.35">
      <c r="N7592" s="10"/>
    </row>
    <row r="7593" spans="14:14" ht="21" customHeight="1" x14ac:dyDescent="0.35">
      <c r="N7593" s="10"/>
    </row>
    <row r="7594" spans="14:14" ht="21" customHeight="1" x14ac:dyDescent="0.35">
      <c r="N7594" s="10"/>
    </row>
    <row r="7595" spans="14:14" ht="21" customHeight="1" x14ac:dyDescent="0.35">
      <c r="N7595" s="10"/>
    </row>
    <row r="7596" spans="14:14" ht="21" customHeight="1" x14ac:dyDescent="0.35">
      <c r="N7596" s="10"/>
    </row>
    <row r="7597" spans="14:14" ht="21" customHeight="1" x14ac:dyDescent="0.35">
      <c r="N7597" s="10"/>
    </row>
    <row r="7598" spans="14:14" ht="21" customHeight="1" x14ac:dyDescent="0.35">
      <c r="N7598" s="10"/>
    </row>
    <row r="7599" spans="14:14" ht="21" customHeight="1" x14ac:dyDescent="0.35">
      <c r="N7599" s="10"/>
    </row>
    <row r="7600" spans="14:14" ht="21" customHeight="1" x14ac:dyDescent="0.35">
      <c r="N7600" s="10"/>
    </row>
    <row r="7601" spans="14:14" ht="21" customHeight="1" x14ac:dyDescent="0.35">
      <c r="N7601" s="10"/>
    </row>
    <row r="7602" spans="14:14" ht="21" customHeight="1" x14ac:dyDescent="0.35">
      <c r="N7602" s="10"/>
    </row>
    <row r="7603" spans="14:14" ht="21" customHeight="1" x14ac:dyDescent="0.35">
      <c r="N7603" s="10"/>
    </row>
    <row r="7604" spans="14:14" ht="21" customHeight="1" x14ac:dyDescent="0.35">
      <c r="N7604" s="10"/>
    </row>
    <row r="7605" spans="14:14" ht="21" customHeight="1" x14ac:dyDescent="0.35">
      <c r="N7605" s="10"/>
    </row>
    <row r="7606" spans="14:14" ht="21" customHeight="1" x14ac:dyDescent="0.35">
      <c r="N7606" s="10"/>
    </row>
    <row r="7607" spans="14:14" ht="21" customHeight="1" x14ac:dyDescent="0.35">
      <c r="N7607" s="10"/>
    </row>
    <row r="7608" spans="14:14" ht="21" customHeight="1" x14ac:dyDescent="0.35">
      <c r="N7608" s="10"/>
    </row>
    <row r="7609" spans="14:14" ht="21" customHeight="1" x14ac:dyDescent="0.35">
      <c r="N7609" s="10"/>
    </row>
    <row r="7610" spans="14:14" ht="21" customHeight="1" x14ac:dyDescent="0.35">
      <c r="N7610" s="10"/>
    </row>
    <row r="7611" spans="14:14" ht="21" customHeight="1" x14ac:dyDescent="0.35">
      <c r="N7611" s="10"/>
    </row>
    <row r="7612" spans="14:14" ht="21" customHeight="1" x14ac:dyDescent="0.35">
      <c r="N7612" s="10"/>
    </row>
    <row r="7613" spans="14:14" ht="21" customHeight="1" x14ac:dyDescent="0.35">
      <c r="N7613" s="10"/>
    </row>
    <row r="7614" spans="14:14" ht="21" customHeight="1" x14ac:dyDescent="0.35">
      <c r="N7614" s="10"/>
    </row>
    <row r="7615" spans="14:14" ht="21" customHeight="1" x14ac:dyDescent="0.35">
      <c r="N7615" s="10"/>
    </row>
    <row r="7616" spans="14:14" ht="21" customHeight="1" x14ac:dyDescent="0.35">
      <c r="N7616" s="10"/>
    </row>
    <row r="7617" spans="14:14" ht="21" customHeight="1" x14ac:dyDescent="0.35">
      <c r="N7617" s="10"/>
    </row>
    <row r="7618" spans="14:14" ht="21" customHeight="1" x14ac:dyDescent="0.35">
      <c r="N7618" s="10"/>
    </row>
    <row r="7619" spans="14:14" ht="21" customHeight="1" x14ac:dyDescent="0.35">
      <c r="N7619" s="10"/>
    </row>
    <row r="7620" spans="14:14" ht="21" customHeight="1" x14ac:dyDescent="0.35">
      <c r="N7620" s="10"/>
    </row>
    <row r="7621" spans="14:14" ht="21" customHeight="1" x14ac:dyDescent="0.35">
      <c r="N7621" s="10"/>
    </row>
    <row r="7622" spans="14:14" ht="21" customHeight="1" x14ac:dyDescent="0.35">
      <c r="N7622" s="10"/>
    </row>
    <row r="7623" spans="14:14" ht="21" customHeight="1" x14ac:dyDescent="0.35">
      <c r="N7623" s="10"/>
    </row>
    <row r="7624" spans="14:14" ht="21" customHeight="1" x14ac:dyDescent="0.35">
      <c r="N7624" s="10"/>
    </row>
    <row r="7625" spans="14:14" ht="21" customHeight="1" x14ac:dyDescent="0.35">
      <c r="N7625" s="10"/>
    </row>
    <row r="7626" spans="14:14" ht="21" customHeight="1" x14ac:dyDescent="0.35">
      <c r="N7626" s="10"/>
    </row>
    <row r="7627" spans="14:14" ht="21" customHeight="1" x14ac:dyDescent="0.35">
      <c r="N7627" s="10"/>
    </row>
    <row r="7628" spans="14:14" ht="21" customHeight="1" x14ac:dyDescent="0.35">
      <c r="N7628" s="10"/>
    </row>
    <row r="7629" spans="14:14" ht="21" customHeight="1" x14ac:dyDescent="0.35">
      <c r="N7629" s="10"/>
    </row>
    <row r="7630" spans="14:14" ht="21" customHeight="1" x14ac:dyDescent="0.35">
      <c r="N7630" s="10"/>
    </row>
    <row r="7631" spans="14:14" ht="21" customHeight="1" x14ac:dyDescent="0.35">
      <c r="N7631" s="10"/>
    </row>
    <row r="7632" spans="14:14" ht="21" customHeight="1" x14ac:dyDescent="0.35">
      <c r="N7632" s="10"/>
    </row>
    <row r="7633" spans="14:14" ht="21" customHeight="1" x14ac:dyDescent="0.35">
      <c r="N7633" s="10"/>
    </row>
    <row r="7634" spans="14:14" ht="21" customHeight="1" x14ac:dyDescent="0.35">
      <c r="N7634" s="10"/>
    </row>
    <row r="7635" spans="14:14" ht="21" customHeight="1" x14ac:dyDescent="0.35">
      <c r="N7635" s="10"/>
    </row>
    <row r="7636" spans="14:14" ht="21" customHeight="1" x14ac:dyDescent="0.35">
      <c r="N7636" s="10"/>
    </row>
    <row r="7637" spans="14:14" ht="21" customHeight="1" x14ac:dyDescent="0.35">
      <c r="N7637" s="10"/>
    </row>
    <row r="7638" spans="14:14" ht="21" customHeight="1" x14ac:dyDescent="0.35">
      <c r="N7638" s="10"/>
    </row>
    <row r="7639" spans="14:14" ht="21" customHeight="1" x14ac:dyDescent="0.35">
      <c r="N7639" s="10"/>
    </row>
    <row r="7640" spans="14:14" ht="21" customHeight="1" x14ac:dyDescent="0.35">
      <c r="N7640" s="10"/>
    </row>
    <row r="7641" spans="14:14" ht="21" customHeight="1" x14ac:dyDescent="0.35">
      <c r="N7641" s="10"/>
    </row>
    <row r="7642" spans="14:14" ht="21" customHeight="1" x14ac:dyDescent="0.35">
      <c r="N7642" s="10"/>
    </row>
    <row r="7643" spans="14:14" ht="21" customHeight="1" x14ac:dyDescent="0.35">
      <c r="N7643" s="10"/>
    </row>
    <row r="7644" spans="14:14" ht="21" customHeight="1" x14ac:dyDescent="0.35">
      <c r="N7644" s="10"/>
    </row>
    <row r="7645" spans="14:14" ht="21" customHeight="1" x14ac:dyDescent="0.35">
      <c r="N7645" s="10"/>
    </row>
    <row r="7646" spans="14:14" ht="21" customHeight="1" x14ac:dyDescent="0.35">
      <c r="N7646" s="10"/>
    </row>
    <row r="7647" spans="14:14" ht="21" customHeight="1" x14ac:dyDescent="0.35">
      <c r="N7647" s="10"/>
    </row>
    <row r="7648" spans="14:14" ht="21" customHeight="1" x14ac:dyDescent="0.35">
      <c r="N7648" s="10"/>
    </row>
    <row r="7649" spans="14:14" ht="21" customHeight="1" x14ac:dyDescent="0.35">
      <c r="N7649" s="10"/>
    </row>
    <row r="7650" spans="14:14" ht="21" customHeight="1" x14ac:dyDescent="0.35">
      <c r="N7650" s="10"/>
    </row>
    <row r="7651" spans="14:14" ht="21" customHeight="1" x14ac:dyDescent="0.35">
      <c r="N7651" s="10"/>
    </row>
    <row r="7652" spans="14:14" ht="21" customHeight="1" x14ac:dyDescent="0.35">
      <c r="N7652" s="10"/>
    </row>
    <row r="7653" spans="14:14" ht="21" customHeight="1" x14ac:dyDescent="0.35">
      <c r="N7653" s="10"/>
    </row>
    <row r="7654" spans="14:14" ht="21" customHeight="1" x14ac:dyDescent="0.35">
      <c r="N7654" s="10"/>
    </row>
    <row r="7655" spans="14:14" ht="21" customHeight="1" x14ac:dyDescent="0.35">
      <c r="N7655" s="10"/>
    </row>
    <row r="7656" spans="14:14" ht="21" customHeight="1" x14ac:dyDescent="0.35">
      <c r="N7656" s="10"/>
    </row>
    <row r="7657" spans="14:14" ht="21" customHeight="1" x14ac:dyDescent="0.35">
      <c r="N7657" s="10"/>
    </row>
    <row r="7658" spans="14:14" ht="21" customHeight="1" x14ac:dyDescent="0.35">
      <c r="N7658" s="10"/>
    </row>
    <row r="7659" spans="14:14" ht="21" customHeight="1" x14ac:dyDescent="0.35">
      <c r="N7659" s="10"/>
    </row>
    <row r="7660" spans="14:14" ht="21" customHeight="1" x14ac:dyDescent="0.35">
      <c r="N7660" s="10"/>
    </row>
    <row r="7661" spans="14:14" ht="21" customHeight="1" x14ac:dyDescent="0.35">
      <c r="N7661" s="10"/>
    </row>
    <row r="7662" spans="14:14" ht="21" customHeight="1" x14ac:dyDescent="0.35">
      <c r="N7662" s="10"/>
    </row>
    <row r="7663" spans="14:14" ht="21" customHeight="1" x14ac:dyDescent="0.35">
      <c r="N7663" s="10"/>
    </row>
    <row r="7664" spans="14:14" ht="21" customHeight="1" x14ac:dyDescent="0.35">
      <c r="N7664" s="10"/>
    </row>
    <row r="7665" spans="14:14" ht="21" customHeight="1" x14ac:dyDescent="0.35">
      <c r="N7665" s="10"/>
    </row>
    <row r="7666" spans="14:14" ht="21" customHeight="1" x14ac:dyDescent="0.35">
      <c r="N7666" s="10"/>
    </row>
    <row r="7667" spans="14:14" ht="21" customHeight="1" x14ac:dyDescent="0.35">
      <c r="N7667" s="10"/>
    </row>
    <row r="7668" spans="14:14" ht="21" customHeight="1" x14ac:dyDescent="0.35">
      <c r="N7668" s="10"/>
    </row>
    <row r="7669" spans="14:14" ht="21" customHeight="1" x14ac:dyDescent="0.35">
      <c r="N7669" s="10"/>
    </row>
    <row r="7670" spans="14:14" ht="21" customHeight="1" x14ac:dyDescent="0.35">
      <c r="N7670" s="10"/>
    </row>
    <row r="7671" spans="14:14" ht="21" customHeight="1" x14ac:dyDescent="0.35">
      <c r="N7671" s="10"/>
    </row>
    <row r="7672" spans="14:14" ht="21" customHeight="1" x14ac:dyDescent="0.35">
      <c r="N7672" s="10"/>
    </row>
    <row r="7673" spans="14:14" ht="21" customHeight="1" x14ac:dyDescent="0.35">
      <c r="N7673" s="10"/>
    </row>
    <row r="7674" spans="14:14" ht="21" customHeight="1" x14ac:dyDescent="0.35">
      <c r="N7674" s="10"/>
    </row>
    <row r="7675" spans="14:14" ht="21" customHeight="1" x14ac:dyDescent="0.35">
      <c r="N7675" s="10"/>
    </row>
    <row r="7676" spans="14:14" ht="21" customHeight="1" x14ac:dyDescent="0.35">
      <c r="N7676" s="10"/>
    </row>
    <row r="7677" spans="14:14" ht="21" customHeight="1" x14ac:dyDescent="0.35">
      <c r="N7677" s="10"/>
    </row>
    <row r="7678" spans="14:14" ht="21" customHeight="1" x14ac:dyDescent="0.35">
      <c r="N7678" s="10"/>
    </row>
    <row r="7679" spans="14:14" ht="21" customHeight="1" x14ac:dyDescent="0.35">
      <c r="N7679" s="10"/>
    </row>
    <row r="7680" spans="14:14" ht="21" customHeight="1" x14ac:dyDescent="0.35">
      <c r="N7680" s="10"/>
    </row>
    <row r="7681" spans="14:14" ht="21" customHeight="1" x14ac:dyDescent="0.35">
      <c r="N7681" s="10"/>
    </row>
    <row r="7682" spans="14:14" ht="21" customHeight="1" x14ac:dyDescent="0.35">
      <c r="N7682" s="10"/>
    </row>
    <row r="7683" spans="14:14" ht="21" customHeight="1" x14ac:dyDescent="0.35">
      <c r="N7683" s="10"/>
    </row>
    <row r="7684" spans="14:14" ht="21" customHeight="1" x14ac:dyDescent="0.35">
      <c r="N7684" s="10"/>
    </row>
    <row r="7685" spans="14:14" ht="21" customHeight="1" x14ac:dyDescent="0.35">
      <c r="N7685" s="10"/>
    </row>
    <row r="7686" spans="14:14" ht="21" customHeight="1" x14ac:dyDescent="0.35">
      <c r="N7686" s="10"/>
    </row>
    <row r="7687" spans="14:14" ht="21" customHeight="1" x14ac:dyDescent="0.35">
      <c r="N7687" s="10"/>
    </row>
    <row r="7688" spans="14:14" ht="21" customHeight="1" x14ac:dyDescent="0.35">
      <c r="N7688" s="10"/>
    </row>
    <row r="7689" spans="14:14" ht="21" customHeight="1" x14ac:dyDescent="0.35">
      <c r="N7689" s="10"/>
    </row>
    <row r="7690" spans="14:14" ht="21" customHeight="1" x14ac:dyDescent="0.35">
      <c r="N7690" s="10"/>
    </row>
    <row r="7691" spans="14:14" ht="21" customHeight="1" x14ac:dyDescent="0.35">
      <c r="N7691" s="10"/>
    </row>
    <row r="7692" spans="14:14" ht="21" customHeight="1" x14ac:dyDescent="0.35">
      <c r="N7692" s="10"/>
    </row>
    <row r="7693" spans="14:14" ht="21" customHeight="1" x14ac:dyDescent="0.35">
      <c r="N7693" s="10"/>
    </row>
    <row r="7694" spans="14:14" ht="21" customHeight="1" x14ac:dyDescent="0.35">
      <c r="N7694" s="10"/>
    </row>
    <row r="7695" spans="14:14" ht="21" customHeight="1" x14ac:dyDescent="0.35">
      <c r="N7695" s="10"/>
    </row>
    <row r="7696" spans="14:14" ht="21" customHeight="1" x14ac:dyDescent="0.35">
      <c r="N7696" s="10"/>
    </row>
    <row r="7697" spans="14:14" ht="21" customHeight="1" x14ac:dyDescent="0.35">
      <c r="N7697" s="10"/>
    </row>
    <row r="7698" spans="14:14" ht="21" customHeight="1" x14ac:dyDescent="0.35">
      <c r="N7698" s="10"/>
    </row>
    <row r="7699" spans="14:14" ht="21" customHeight="1" x14ac:dyDescent="0.35">
      <c r="N7699" s="10"/>
    </row>
    <row r="7700" spans="14:14" ht="21" customHeight="1" x14ac:dyDescent="0.35">
      <c r="N7700" s="10"/>
    </row>
    <row r="7701" spans="14:14" ht="21" customHeight="1" x14ac:dyDescent="0.35">
      <c r="N7701" s="10"/>
    </row>
    <row r="7702" spans="14:14" ht="21" customHeight="1" x14ac:dyDescent="0.35">
      <c r="N7702" s="10"/>
    </row>
    <row r="7703" spans="14:14" ht="21" customHeight="1" x14ac:dyDescent="0.35">
      <c r="N7703" s="10"/>
    </row>
    <row r="7704" spans="14:14" ht="21" customHeight="1" x14ac:dyDescent="0.35">
      <c r="N7704" s="10"/>
    </row>
    <row r="7705" spans="14:14" ht="21" customHeight="1" x14ac:dyDescent="0.35">
      <c r="N7705" s="10"/>
    </row>
    <row r="7706" spans="14:14" ht="21" customHeight="1" x14ac:dyDescent="0.35">
      <c r="N7706" s="10"/>
    </row>
    <row r="7707" spans="14:14" ht="21" customHeight="1" x14ac:dyDescent="0.35">
      <c r="N7707" s="10"/>
    </row>
    <row r="7708" spans="14:14" ht="21" customHeight="1" x14ac:dyDescent="0.35">
      <c r="N7708" s="10"/>
    </row>
    <row r="7709" spans="14:14" ht="21" customHeight="1" x14ac:dyDescent="0.35">
      <c r="N7709" s="10"/>
    </row>
    <row r="7710" spans="14:14" ht="21" customHeight="1" x14ac:dyDescent="0.35">
      <c r="N7710" s="10"/>
    </row>
    <row r="7711" spans="14:14" ht="21" customHeight="1" x14ac:dyDescent="0.35">
      <c r="N7711" s="10"/>
    </row>
    <row r="7712" spans="14:14" ht="21" customHeight="1" x14ac:dyDescent="0.35">
      <c r="N7712" s="10"/>
    </row>
    <row r="7713" spans="14:14" ht="21" customHeight="1" x14ac:dyDescent="0.35">
      <c r="N7713" s="10"/>
    </row>
    <row r="7714" spans="14:14" ht="21" customHeight="1" x14ac:dyDescent="0.35">
      <c r="N7714" s="10"/>
    </row>
    <row r="7715" spans="14:14" ht="21" customHeight="1" x14ac:dyDescent="0.35">
      <c r="N7715" s="10"/>
    </row>
    <row r="7716" spans="14:14" ht="21" customHeight="1" x14ac:dyDescent="0.35">
      <c r="N7716" s="10"/>
    </row>
    <row r="7717" spans="14:14" ht="21" customHeight="1" x14ac:dyDescent="0.35">
      <c r="N7717" s="10"/>
    </row>
    <row r="7718" spans="14:14" ht="21" customHeight="1" x14ac:dyDescent="0.35">
      <c r="N7718" s="10"/>
    </row>
    <row r="7719" spans="14:14" ht="21" customHeight="1" x14ac:dyDescent="0.35">
      <c r="N7719" s="10"/>
    </row>
    <row r="7720" spans="14:14" ht="21" customHeight="1" x14ac:dyDescent="0.35">
      <c r="N7720" s="10"/>
    </row>
    <row r="7721" spans="14:14" ht="21" customHeight="1" x14ac:dyDescent="0.35">
      <c r="N7721" s="10"/>
    </row>
    <row r="7722" spans="14:14" ht="21" customHeight="1" x14ac:dyDescent="0.35">
      <c r="N7722" s="10"/>
    </row>
    <row r="7723" spans="14:14" ht="21" customHeight="1" x14ac:dyDescent="0.35">
      <c r="N7723" s="10"/>
    </row>
    <row r="7724" spans="14:14" ht="21" customHeight="1" x14ac:dyDescent="0.35">
      <c r="N7724" s="10"/>
    </row>
    <row r="7725" spans="14:14" ht="21" customHeight="1" x14ac:dyDescent="0.35">
      <c r="N7725" s="10"/>
    </row>
    <row r="7726" spans="14:14" ht="21" customHeight="1" x14ac:dyDescent="0.35">
      <c r="N7726" s="10"/>
    </row>
    <row r="7727" spans="14:14" ht="21" customHeight="1" x14ac:dyDescent="0.35">
      <c r="N7727" s="10"/>
    </row>
    <row r="7728" spans="14:14" ht="21" customHeight="1" x14ac:dyDescent="0.35">
      <c r="N7728" s="10"/>
    </row>
    <row r="7729" spans="14:14" ht="21" customHeight="1" x14ac:dyDescent="0.35">
      <c r="N7729" s="10"/>
    </row>
    <row r="7730" spans="14:14" ht="21" customHeight="1" x14ac:dyDescent="0.35">
      <c r="N7730" s="10"/>
    </row>
    <row r="7731" spans="14:14" ht="21" customHeight="1" x14ac:dyDescent="0.35">
      <c r="N7731" s="10"/>
    </row>
    <row r="7732" spans="14:14" ht="21" customHeight="1" x14ac:dyDescent="0.35">
      <c r="N7732" s="10"/>
    </row>
    <row r="7733" spans="14:14" ht="21" customHeight="1" x14ac:dyDescent="0.35">
      <c r="N7733" s="10"/>
    </row>
    <row r="7734" spans="14:14" ht="21" customHeight="1" x14ac:dyDescent="0.35">
      <c r="N7734" s="10"/>
    </row>
    <row r="7735" spans="14:14" ht="21" customHeight="1" x14ac:dyDescent="0.35">
      <c r="N7735" s="10"/>
    </row>
    <row r="7736" spans="14:14" ht="21" customHeight="1" x14ac:dyDescent="0.35">
      <c r="N7736" s="10"/>
    </row>
    <row r="7737" spans="14:14" ht="21" customHeight="1" x14ac:dyDescent="0.35">
      <c r="N7737" s="10"/>
    </row>
    <row r="7738" spans="14:14" ht="21" customHeight="1" x14ac:dyDescent="0.35">
      <c r="N7738" s="10"/>
    </row>
    <row r="7739" spans="14:14" ht="21" customHeight="1" x14ac:dyDescent="0.35">
      <c r="N7739" s="10"/>
    </row>
    <row r="7740" spans="14:14" ht="21" customHeight="1" x14ac:dyDescent="0.35">
      <c r="N7740" s="10"/>
    </row>
    <row r="7741" spans="14:14" ht="21" customHeight="1" x14ac:dyDescent="0.35">
      <c r="N7741" s="10"/>
    </row>
    <row r="7742" spans="14:14" ht="21" customHeight="1" x14ac:dyDescent="0.35">
      <c r="N7742" s="10"/>
    </row>
    <row r="7743" spans="14:14" ht="21" customHeight="1" x14ac:dyDescent="0.35">
      <c r="N7743" s="10"/>
    </row>
    <row r="7744" spans="14:14" ht="21" customHeight="1" x14ac:dyDescent="0.35">
      <c r="N7744" s="10"/>
    </row>
    <row r="7745" spans="14:14" ht="21" customHeight="1" x14ac:dyDescent="0.35">
      <c r="N7745" s="10"/>
    </row>
    <row r="7746" spans="14:14" ht="21" customHeight="1" x14ac:dyDescent="0.35">
      <c r="N7746" s="10"/>
    </row>
    <row r="7747" spans="14:14" ht="21" customHeight="1" x14ac:dyDescent="0.35">
      <c r="N7747" s="10"/>
    </row>
    <row r="7748" spans="14:14" ht="21" customHeight="1" x14ac:dyDescent="0.35">
      <c r="N7748" s="10"/>
    </row>
    <row r="7749" spans="14:14" ht="21" customHeight="1" x14ac:dyDescent="0.35">
      <c r="N7749" s="10"/>
    </row>
    <row r="7750" spans="14:14" ht="21" customHeight="1" x14ac:dyDescent="0.35">
      <c r="N7750" s="10"/>
    </row>
    <row r="7751" spans="14:14" ht="21" customHeight="1" x14ac:dyDescent="0.35">
      <c r="N7751" s="10"/>
    </row>
    <row r="7752" spans="14:14" ht="21" customHeight="1" x14ac:dyDescent="0.35">
      <c r="N7752" s="10"/>
    </row>
    <row r="7753" spans="14:14" ht="21" customHeight="1" x14ac:dyDescent="0.35">
      <c r="N7753" s="10"/>
    </row>
    <row r="7754" spans="14:14" ht="21" customHeight="1" x14ac:dyDescent="0.35">
      <c r="N7754" s="10"/>
    </row>
    <row r="7755" spans="14:14" ht="21" customHeight="1" x14ac:dyDescent="0.35">
      <c r="N7755" s="10"/>
    </row>
    <row r="7756" spans="14:14" ht="21" customHeight="1" x14ac:dyDescent="0.35">
      <c r="N7756" s="10"/>
    </row>
    <row r="7757" spans="14:14" ht="21" customHeight="1" x14ac:dyDescent="0.35">
      <c r="N7757" s="10"/>
    </row>
    <row r="7758" spans="14:14" ht="21" customHeight="1" x14ac:dyDescent="0.35">
      <c r="N7758" s="10"/>
    </row>
    <row r="7759" spans="14:14" ht="21" customHeight="1" x14ac:dyDescent="0.35">
      <c r="N7759" s="10"/>
    </row>
    <row r="7760" spans="14:14" ht="21" customHeight="1" x14ac:dyDescent="0.35">
      <c r="N7760" s="10"/>
    </row>
    <row r="7761" spans="14:14" ht="21" customHeight="1" x14ac:dyDescent="0.35">
      <c r="N7761" s="10"/>
    </row>
    <row r="7762" spans="14:14" ht="21" customHeight="1" x14ac:dyDescent="0.35">
      <c r="N7762" s="10"/>
    </row>
    <row r="7763" spans="14:14" ht="21" customHeight="1" x14ac:dyDescent="0.35">
      <c r="N7763" s="10"/>
    </row>
    <row r="7764" spans="14:14" ht="21" customHeight="1" x14ac:dyDescent="0.35">
      <c r="N7764" s="10"/>
    </row>
    <row r="7765" spans="14:14" ht="21" customHeight="1" x14ac:dyDescent="0.35">
      <c r="N7765" s="10"/>
    </row>
    <row r="7766" spans="14:14" ht="21" customHeight="1" x14ac:dyDescent="0.35">
      <c r="N7766" s="10"/>
    </row>
    <row r="7767" spans="14:14" ht="21" customHeight="1" x14ac:dyDescent="0.35">
      <c r="N7767" s="10"/>
    </row>
    <row r="7768" spans="14:14" ht="21" customHeight="1" x14ac:dyDescent="0.35">
      <c r="N7768" s="10"/>
    </row>
    <row r="7769" spans="14:14" ht="21" customHeight="1" x14ac:dyDescent="0.35">
      <c r="N7769" s="10"/>
    </row>
    <row r="7770" spans="14:14" ht="21" customHeight="1" x14ac:dyDescent="0.35">
      <c r="N7770" s="10"/>
    </row>
    <row r="7771" spans="14:14" ht="21" customHeight="1" x14ac:dyDescent="0.35">
      <c r="N7771" s="10"/>
    </row>
    <row r="7772" spans="14:14" ht="21" customHeight="1" x14ac:dyDescent="0.35">
      <c r="N7772" s="10"/>
    </row>
    <row r="7773" spans="14:14" ht="21" customHeight="1" x14ac:dyDescent="0.35">
      <c r="N7773" s="10"/>
    </row>
    <row r="7774" spans="14:14" ht="21" customHeight="1" x14ac:dyDescent="0.35">
      <c r="N7774" s="10"/>
    </row>
    <row r="7775" spans="14:14" ht="21" customHeight="1" x14ac:dyDescent="0.35">
      <c r="N7775" s="10"/>
    </row>
    <row r="7776" spans="14:14" ht="21" customHeight="1" x14ac:dyDescent="0.35">
      <c r="N7776" s="10"/>
    </row>
    <row r="7777" spans="14:14" ht="21" customHeight="1" x14ac:dyDescent="0.35">
      <c r="N7777" s="10"/>
    </row>
    <row r="7778" spans="14:14" ht="21" customHeight="1" x14ac:dyDescent="0.35">
      <c r="N7778" s="10"/>
    </row>
    <row r="7779" spans="14:14" ht="21" customHeight="1" x14ac:dyDescent="0.35">
      <c r="N7779" s="10"/>
    </row>
    <row r="7780" spans="14:14" ht="21" customHeight="1" x14ac:dyDescent="0.35">
      <c r="N7780" s="10"/>
    </row>
    <row r="7781" spans="14:14" ht="21" customHeight="1" x14ac:dyDescent="0.35">
      <c r="N7781" s="10"/>
    </row>
    <row r="7782" spans="14:14" ht="21" customHeight="1" x14ac:dyDescent="0.35">
      <c r="N7782" s="10"/>
    </row>
    <row r="7783" spans="14:14" ht="21" customHeight="1" x14ac:dyDescent="0.35">
      <c r="N7783" s="10"/>
    </row>
    <row r="7784" spans="14:14" ht="21" customHeight="1" x14ac:dyDescent="0.35">
      <c r="N7784" s="10"/>
    </row>
    <row r="7785" spans="14:14" ht="21" customHeight="1" x14ac:dyDescent="0.35">
      <c r="N7785" s="10"/>
    </row>
    <row r="7786" spans="14:14" ht="21" customHeight="1" x14ac:dyDescent="0.35">
      <c r="N7786" s="10"/>
    </row>
    <row r="7787" spans="14:14" ht="21" customHeight="1" x14ac:dyDescent="0.35">
      <c r="N7787" s="10"/>
    </row>
    <row r="7788" spans="14:14" ht="21" customHeight="1" x14ac:dyDescent="0.35">
      <c r="N7788" s="10"/>
    </row>
    <row r="7789" spans="14:14" ht="21" customHeight="1" x14ac:dyDescent="0.35">
      <c r="N7789" s="10"/>
    </row>
    <row r="7790" spans="14:14" ht="21" customHeight="1" x14ac:dyDescent="0.35">
      <c r="N7790" s="10"/>
    </row>
    <row r="7791" spans="14:14" ht="21" customHeight="1" x14ac:dyDescent="0.35">
      <c r="N7791" s="10"/>
    </row>
    <row r="7792" spans="14:14" ht="21" customHeight="1" x14ac:dyDescent="0.35">
      <c r="N7792" s="10"/>
    </row>
    <row r="7793" spans="14:14" ht="21" customHeight="1" x14ac:dyDescent="0.35">
      <c r="N7793" s="10"/>
    </row>
    <row r="7794" spans="14:14" ht="21" customHeight="1" x14ac:dyDescent="0.35">
      <c r="N7794" s="10"/>
    </row>
    <row r="7795" spans="14:14" ht="21" customHeight="1" x14ac:dyDescent="0.35">
      <c r="N7795" s="10"/>
    </row>
    <row r="7796" spans="14:14" ht="21" customHeight="1" x14ac:dyDescent="0.35">
      <c r="N7796" s="10"/>
    </row>
    <row r="7797" spans="14:14" ht="21" customHeight="1" x14ac:dyDescent="0.35">
      <c r="N7797" s="10"/>
    </row>
    <row r="7798" spans="14:14" ht="21" customHeight="1" x14ac:dyDescent="0.35">
      <c r="N7798" s="10"/>
    </row>
    <row r="7799" spans="14:14" ht="21" customHeight="1" x14ac:dyDescent="0.35">
      <c r="N7799" s="10"/>
    </row>
    <row r="7800" spans="14:14" ht="21" customHeight="1" x14ac:dyDescent="0.35">
      <c r="N7800" s="10"/>
    </row>
    <row r="7801" spans="14:14" ht="21" customHeight="1" x14ac:dyDescent="0.35">
      <c r="N7801" s="10"/>
    </row>
    <row r="7802" spans="14:14" ht="21" customHeight="1" x14ac:dyDescent="0.35">
      <c r="N7802" s="10"/>
    </row>
    <row r="7803" spans="14:14" ht="21" customHeight="1" x14ac:dyDescent="0.35">
      <c r="N7803" s="10"/>
    </row>
    <row r="7804" spans="14:14" ht="21" customHeight="1" x14ac:dyDescent="0.35">
      <c r="N7804" s="10"/>
    </row>
    <row r="7805" spans="14:14" ht="21" customHeight="1" x14ac:dyDescent="0.35">
      <c r="N7805" s="10"/>
    </row>
    <row r="7806" spans="14:14" ht="21" customHeight="1" x14ac:dyDescent="0.35">
      <c r="N7806" s="10"/>
    </row>
    <row r="7807" spans="14:14" ht="21" customHeight="1" x14ac:dyDescent="0.35">
      <c r="N7807" s="10"/>
    </row>
    <row r="7808" spans="14:14" ht="21" customHeight="1" x14ac:dyDescent="0.35">
      <c r="N7808" s="10"/>
    </row>
    <row r="7809" spans="14:14" ht="21" customHeight="1" x14ac:dyDescent="0.35">
      <c r="N7809" s="10"/>
    </row>
    <row r="7810" spans="14:14" ht="21" customHeight="1" x14ac:dyDescent="0.35">
      <c r="N7810" s="10"/>
    </row>
    <row r="7811" spans="14:14" ht="21" customHeight="1" x14ac:dyDescent="0.35">
      <c r="N7811" s="10"/>
    </row>
    <row r="7812" spans="14:14" ht="21" customHeight="1" x14ac:dyDescent="0.35">
      <c r="N7812" s="10"/>
    </row>
    <row r="7813" spans="14:14" ht="21" customHeight="1" x14ac:dyDescent="0.35">
      <c r="N7813" s="10"/>
    </row>
    <row r="7814" spans="14:14" ht="21" customHeight="1" x14ac:dyDescent="0.35">
      <c r="N7814" s="10"/>
    </row>
    <row r="7815" spans="14:14" ht="21" customHeight="1" x14ac:dyDescent="0.35">
      <c r="N7815" s="10"/>
    </row>
    <row r="7816" spans="14:14" ht="21" customHeight="1" x14ac:dyDescent="0.35">
      <c r="N7816" s="10"/>
    </row>
    <row r="7817" spans="14:14" ht="21" customHeight="1" x14ac:dyDescent="0.35">
      <c r="N7817" s="10"/>
    </row>
    <row r="7818" spans="14:14" ht="21" customHeight="1" x14ac:dyDescent="0.35">
      <c r="N7818" s="10"/>
    </row>
    <row r="7819" spans="14:14" ht="21" customHeight="1" x14ac:dyDescent="0.35">
      <c r="N7819" s="10"/>
    </row>
    <row r="7820" spans="14:14" ht="21" customHeight="1" x14ac:dyDescent="0.35">
      <c r="N7820" s="10"/>
    </row>
    <row r="7821" spans="14:14" ht="21" customHeight="1" x14ac:dyDescent="0.35">
      <c r="N7821" s="10"/>
    </row>
    <row r="7822" spans="14:14" ht="21" customHeight="1" x14ac:dyDescent="0.35">
      <c r="N7822" s="10"/>
    </row>
    <row r="7823" spans="14:14" ht="21" customHeight="1" x14ac:dyDescent="0.35">
      <c r="N7823" s="10"/>
    </row>
    <row r="7824" spans="14:14" ht="21" customHeight="1" x14ac:dyDescent="0.35">
      <c r="N7824" s="10"/>
    </row>
    <row r="7825" spans="14:14" ht="21" customHeight="1" x14ac:dyDescent="0.35">
      <c r="N7825" s="10"/>
    </row>
    <row r="7826" spans="14:14" ht="21" customHeight="1" x14ac:dyDescent="0.35">
      <c r="N7826" s="10"/>
    </row>
    <row r="7827" spans="14:14" ht="21" customHeight="1" x14ac:dyDescent="0.35">
      <c r="N7827" s="10"/>
    </row>
    <row r="7828" spans="14:14" ht="21" customHeight="1" x14ac:dyDescent="0.35">
      <c r="N7828" s="10"/>
    </row>
    <row r="7829" spans="14:14" ht="21" customHeight="1" x14ac:dyDescent="0.35">
      <c r="N7829" s="10"/>
    </row>
    <row r="7830" spans="14:14" ht="21" customHeight="1" x14ac:dyDescent="0.35">
      <c r="N7830" s="10"/>
    </row>
    <row r="7831" spans="14:14" ht="21" customHeight="1" x14ac:dyDescent="0.35">
      <c r="N7831" s="10"/>
    </row>
    <row r="7832" spans="14:14" ht="21" customHeight="1" x14ac:dyDescent="0.35">
      <c r="N7832" s="10"/>
    </row>
    <row r="7833" spans="14:14" ht="21" customHeight="1" x14ac:dyDescent="0.35">
      <c r="N7833" s="10"/>
    </row>
    <row r="7834" spans="14:14" ht="21" customHeight="1" x14ac:dyDescent="0.35">
      <c r="N7834" s="10"/>
    </row>
    <row r="7835" spans="14:14" ht="21" customHeight="1" x14ac:dyDescent="0.35">
      <c r="N7835" s="10"/>
    </row>
    <row r="7836" spans="14:14" ht="21" customHeight="1" x14ac:dyDescent="0.35">
      <c r="N7836" s="10"/>
    </row>
    <row r="7837" spans="14:14" ht="21" customHeight="1" x14ac:dyDescent="0.35">
      <c r="N7837" s="10"/>
    </row>
    <row r="7838" spans="14:14" ht="21" customHeight="1" x14ac:dyDescent="0.35">
      <c r="N7838" s="10"/>
    </row>
    <row r="7839" spans="14:14" ht="21" customHeight="1" x14ac:dyDescent="0.35">
      <c r="N7839" s="10"/>
    </row>
    <row r="7840" spans="14:14" ht="21" customHeight="1" x14ac:dyDescent="0.35">
      <c r="N7840" s="10"/>
    </row>
    <row r="7841" spans="14:14" ht="21" customHeight="1" x14ac:dyDescent="0.35">
      <c r="N7841" s="10"/>
    </row>
    <row r="7842" spans="14:14" ht="21" customHeight="1" x14ac:dyDescent="0.35">
      <c r="N7842" s="10"/>
    </row>
    <row r="7843" spans="14:14" ht="21" customHeight="1" x14ac:dyDescent="0.35">
      <c r="N7843" s="10"/>
    </row>
    <row r="7844" spans="14:14" ht="21" customHeight="1" x14ac:dyDescent="0.35">
      <c r="N7844" s="10"/>
    </row>
    <row r="7845" spans="14:14" ht="21" customHeight="1" x14ac:dyDescent="0.35">
      <c r="N7845" s="10"/>
    </row>
    <row r="7846" spans="14:14" ht="21" customHeight="1" x14ac:dyDescent="0.35">
      <c r="N7846" s="10"/>
    </row>
    <row r="7847" spans="14:14" ht="21" customHeight="1" x14ac:dyDescent="0.35">
      <c r="N7847" s="10"/>
    </row>
    <row r="7848" spans="14:14" ht="21" customHeight="1" x14ac:dyDescent="0.35">
      <c r="N7848" s="10"/>
    </row>
    <row r="7849" spans="14:14" ht="21" customHeight="1" x14ac:dyDescent="0.35">
      <c r="N7849" s="10"/>
    </row>
    <row r="7850" spans="14:14" ht="21" customHeight="1" x14ac:dyDescent="0.35">
      <c r="N7850" s="10"/>
    </row>
    <row r="7851" spans="14:14" ht="21" customHeight="1" x14ac:dyDescent="0.35">
      <c r="N7851" s="10"/>
    </row>
    <row r="7852" spans="14:14" ht="21" customHeight="1" x14ac:dyDescent="0.35">
      <c r="N7852" s="10"/>
    </row>
    <row r="7853" spans="14:14" ht="21" customHeight="1" x14ac:dyDescent="0.35">
      <c r="N7853" s="10"/>
    </row>
    <row r="7854" spans="14:14" ht="21" customHeight="1" x14ac:dyDescent="0.35">
      <c r="N7854" s="10"/>
    </row>
    <row r="7855" spans="14:14" ht="21" customHeight="1" x14ac:dyDescent="0.35">
      <c r="N7855" s="10"/>
    </row>
    <row r="7856" spans="14:14" ht="21" customHeight="1" x14ac:dyDescent="0.35">
      <c r="N7856" s="10"/>
    </row>
    <row r="7857" spans="14:14" ht="21" customHeight="1" x14ac:dyDescent="0.35">
      <c r="N7857" s="10"/>
    </row>
    <row r="7858" spans="14:14" ht="21" customHeight="1" x14ac:dyDescent="0.35">
      <c r="N7858" s="10"/>
    </row>
    <row r="7859" spans="14:14" ht="21" customHeight="1" x14ac:dyDescent="0.35">
      <c r="N7859" s="10"/>
    </row>
    <row r="7860" spans="14:14" ht="21" customHeight="1" x14ac:dyDescent="0.35">
      <c r="N7860" s="10"/>
    </row>
    <row r="7861" spans="14:14" ht="21" customHeight="1" x14ac:dyDescent="0.35">
      <c r="N7861" s="10"/>
    </row>
    <row r="7862" spans="14:14" ht="21" customHeight="1" x14ac:dyDescent="0.35">
      <c r="N7862" s="10"/>
    </row>
    <row r="7863" spans="14:14" ht="21" customHeight="1" x14ac:dyDescent="0.35">
      <c r="N7863" s="10"/>
    </row>
    <row r="7864" spans="14:14" ht="21" customHeight="1" x14ac:dyDescent="0.35">
      <c r="N7864" s="10"/>
    </row>
    <row r="7865" spans="14:14" ht="21" customHeight="1" x14ac:dyDescent="0.35">
      <c r="N7865" s="10"/>
    </row>
    <row r="7866" spans="14:14" ht="21" customHeight="1" x14ac:dyDescent="0.35">
      <c r="N7866" s="10"/>
    </row>
    <row r="7867" spans="14:14" ht="21" customHeight="1" x14ac:dyDescent="0.35">
      <c r="N7867" s="10"/>
    </row>
    <row r="7868" spans="14:14" ht="21" customHeight="1" x14ac:dyDescent="0.35">
      <c r="N7868" s="10"/>
    </row>
    <row r="7869" spans="14:14" ht="21" customHeight="1" x14ac:dyDescent="0.35">
      <c r="N7869" s="10"/>
    </row>
    <row r="7870" spans="14:14" ht="21" customHeight="1" x14ac:dyDescent="0.35">
      <c r="N7870" s="10"/>
    </row>
    <row r="7871" spans="14:14" ht="21" customHeight="1" x14ac:dyDescent="0.35">
      <c r="N7871" s="10"/>
    </row>
    <row r="7872" spans="14:14" ht="21" customHeight="1" x14ac:dyDescent="0.35">
      <c r="N7872" s="10"/>
    </row>
    <row r="7873" spans="14:14" ht="21" customHeight="1" x14ac:dyDescent="0.35">
      <c r="N7873" s="10"/>
    </row>
    <row r="7874" spans="14:14" ht="21" customHeight="1" x14ac:dyDescent="0.35">
      <c r="N7874" s="10"/>
    </row>
    <row r="7875" spans="14:14" ht="21" customHeight="1" x14ac:dyDescent="0.35">
      <c r="N7875" s="10"/>
    </row>
    <row r="7876" spans="14:14" ht="21" customHeight="1" x14ac:dyDescent="0.35">
      <c r="N7876" s="10"/>
    </row>
    <row r="7877" spans="14:14" ht="21" customHeight="1" x14ac:dyDescent="0.35">
      <c r="N7877" s="10"/>
    </row>
    <row r="7878" spans="14:14" ht="21" customHeight="1" x14ac:dyDescent="0.35">
      <c r="N7878" s="10"/>
    </row>
    <row r="7879" spans="14:14" ht="21" customHeight="1" x14ac:dyDescent="0.35">
      <c r="N7879" s="10"/>
    </row>
    <row r="7880" spans="14:14" ht="21" customHeight="1" x14ac:dyDescent="0.35">
      <c r="N7880" s="10"/>
    </row>
    <row r="7881" spans="14:14" ht="21" customHeight="1" x14ac:dyDescent="0.35">
      <c r="N7881" s="10"/>
    </row>
    <row r="7882" spans="14:14" ht="21" customHeight="1" x14ac:dyDescent="0.35">
      <c r="N7882" s="10"/>
    </row>
    <row r="7883" spans="14:14" ht="21" customHeight="1" x14ac:dyDescent="0.35">
      <c r="N7883" s="10"/>
    </row>
    <row r="7884" spans="14:14" ht="21" customHeight="1" x14ac:dyDescent="0.35">
      <c r="N7884" s="10"/>
    </row>
    <row r="7885" spans="14:14" ht="21" customHeight="1" x14ac:dyDescent="0.35">
      <c r="N7885" s="10"/>
    </row>
    <row r="7886" spans="14:14" ht="21" customHeight="1" x14ac:dyDescent="0.35">
      <c r="N7886" s="10"/>
    </row>
    <row r="7887" spans="14:14" ht="21" customHeight="1" x14ac:dyDescent="0.35">
      <c r="N7887" s="10"/>
    </row>
    <row r="7888" spans="14:14" ht="21" customHeight="1" x14ac:dyDescent="0.35">
      <c r="N7888" s="10"/>
    </row>
    <row r="7889" spans="14:14" ht="21" customHeight="1" x14ac:dyDescent="0.35">
      <c r="N7889" s="10"/>
    </row>
    <row r="7890" spans="14:14" ht="21" customHeight="1" x14ac:dyDescent="0.35">
      <c r="N7890" s="10"/>
    </row>
    <row r="7891" spans="14:14" ht="21" customHeight="1" x14ac:dyDescent="0.35">
      <c r="N7891" s="10"/>
    </row>
    <row r="7892" spans="14:14" ht="21" customHeight="1" x14ac:dyDescent="0.35">
      <c r="N7892" s="10"/>
    </row>
    <row r="7893" spans="14:14" ht="21" customHeight="1" x14ac:dyDescent="0.35">
      <c r="N7893" s="10"/>
    </row>
    <row r="7894" spans="14:14" ht="21" customHeight="1" x14ac:dyDescent="0.35">
      <c r="N7894" s="10"/>
    </row>
    <row r="7895" spans="14:14" ht="21" customHeight="1" x14ac:dyDescent="0.35">
      <c r="N7895" s="10"/>
    </row>
    <row r="7896" spans="14:14" ht="21" customHeight="1" x14ac:dyDescent="0.35">
      <c r="N7896" s="10"/>
    </row>
    <row r="7897" spans="14:14" ht="21" customHeight="1" x14ac:dyDescent="0.35">
      <c r="N7897" s="10"/>
    </row>
    <row r="7898" spans="14:14" ht="21" customHeight="1" x14ac:dyDescent="0.35">
      <c r="N7898" s="10"/>
    </row>
    <row r="7899" spans="14:14" ht="21" customHeight="1" x14ac:dyDescent="0.35">
      <c r="N7899" s="10"/>
    </row>
    <row r="7900" spans="14:14" ht="21" customHeight="1" x14ac:dyDescent="0.35">
      <c r="N7900" s="10"/>
    </row>
    <row r="7901" spans="14:14" ht="21" customHeight="1" x14ac:dyDescent="0.35">
      <c r="N7901" s="10"/>
    </row>
    <row r="7902" spans="14:14" ht="21" customHeight="1" x14ac:dyDescent="0.35">
      <c r="N7902" s="10"/>
    </row>
    <row r="7903" spans="14:14" ht="21" customHeight="1" x14ac:dyDescent="0.35">
      <c r="N7903" s="10"/>
    </row>
    <row r="7904" spans="14:14" ht="21" customHeight="1" x14ac:dyDescent="0.35">
      <c r="N7904" s="10"/>
    </row>
    <row r="7905" spans="14:14" ht="21" customHeight="1" x14ac:dyDescent="0.35">
      <c r="N7905" s="10"/>
    </row>
    <row r="7906" spans="14:14" ht="21" customHeight="1" x14ac:dyDescent="0.35">
      <c r="N7906" s="10"/>
    </row>
    <row r="7907" spans="14:14" ht="21" customHeight="1" x14ac:dyDescent="0.35">
      <c r="N7907" s="10"/>
    </row>
    <row r="7908" spans="14:14" ht="21" customHeight="1" x14ac:dyDescent="0.35">
      <c r="N7908" s="10"/>
    </row>
    <row r="7909" spans="14:14" ht="21" customHeight="1" x14ac:dyDescent="0.35">
      <c r="N7909" s="10"/>
    </row>
    <row r="7910" spans="14:14" ht="21" customHeight="1" x14ac:dyDescent="0.35">
      <c r="N7910" s="10"/>
    </row>
    <row r="7911" spans="14:14" ht="21" customHeight="1" x14ac:dyDescent="0.35">
      <c r="N7911" s="10"/>
    </row>
    <row r="7912" spans="14:14" ht="21" customHeight="1" x14ac:dyDescent="0.35">
      <c r="N7912" s="10"/>
    </row>
    <row r="7913" spans="14:14" ht="21" customHeight="1" x14ac:dyDescent="0.35">
      <c r="N7913" s="10"/>
    </row>
    <row r="7914" spans="14:14" ht="21" customHeight="1" x14ac:dyDescent="0.35">
      <c r="N7914" s="10"/>
    </row>
    <row r="7915" spans="14:14" ht="21" customHeight="1" x14ac:dyDescent="0.35">
      <c r="N7915" s="10"/>
    </row>
    <row r="7916" spans="14:14" ht="21" customHeight="1" x14ac:dyDescent="0.35">
      <c r="N7916" s="10"/>
    </row>
    <row r="7917" spans="14:14" ht="21" customHeight="1" x14ac:dyDescent="0.35">
      <c r="N7917" s="10"/>
    </row>
    <row r="7918" spans="14:14" ht="21" customHeight="1" x14ac:dyDescent="0.35">
      <c r="N7918" s="10"/>
    </row>
    <row r="7919" spans="14:14" ht="21" customHeight="1" x14ac:dyDescent="0.35">
      <c r="N7919" s="10"/>
    </row>
    <row r="7920" spans="14:14" ht="21" customHeight="1" x14ac:dyDescent="0.35">
      <c r="N7920" s="10"/>
    </row>
    <row r="7921" spans="14:14" ht="21" customHeight="1" x14ac:dyDescent="0.35">
      <c r="N7921" s="10"/>
    </row>
    <row r="7922" spans="14:14" ht="21" customHeight="1" x14ac:dyDescent="0.35">
      <c r="N7922" s="10"/>
    </row>
    <row r="7923" spans="14:14" ht="21" customHeight="1" x14ac:dyDescent="0.35">
      <c r="N7923" s="10"/>
    </row>
    <row r="7924" spans="14:14" ht="21" customHeight="1" x14ac:dyDescent="0.35">
      <c r="N7924" s="10"/>
    </row>
    <row r="7925" spans="14:14" ht="21" customHeight="1" x14ac:dyDescent="0.35">
      <c r="N7925" s="10"/>
    </row>
    <row r="7926" spans="14:14" ht="21" customHeight="1" x14ac:dyDescent="0.35">
      <c r="N7926" s="10"/>
    </row>
    <row r="7927" spans="14:14" ht="21" customHeight="1" x14ac:dyDescent="0.35">
      <c r="N7927" s="10"/>
    </row>
    <row r="7928" spans="14:14" ht="21" customHeight="1" x14ac:dyDescent="0.35">
      <c r="N7928" s="10"/>
    </row>
    <row r="7929" spans="14:14" ht="21" customHeight="1" x14ac:dyDescent="0.35">
      <c r="N7929" s="10"/>
    </row>
    <row r="7930" spans="14:14" ht="21" customHeight="1" x14ac:dyDescent="0.35">
      <c r="N7930" s="10"/>
    </row>
    <row r="7931" spans="14:14" ht="21" customHeight="1" x14ac:dyDescent="0.35">
      <c r="N7931" s="10"/>
    </row>
    <row r="7932" spans="14:14" ht="21" customHeight="1" x14ac:dyDescent="0.35">
      <c r="N7932" s="10"/>
    </row>
    <row r="7933" spans="14:14" ht="21" customHeight="1" x14ac:dyDescent="0.35">
      <c r="N7933" s="10"/>
    </row>
    <row r="7934" spans="14:14" ht="21" customHeight="1" x14ac:dyDescent="0.35">
      <c r="N7934" s="10"/>
    </row>
    <row r="7935" spans="14:14" ht="21" customHeight="1" x14ac:dyDescent="0.35">
      <c r="N7935" s="10"/>
    </row>
    <row r="7936" spans="14:14" ht="21" customHeight="1" x14ac:dyDescent="0.35">
      <c r="N7936" s="10"/>
    </row>
    <row r="7937" spans="14:14" ht="21" customHeight="1" x14ac:dyDescent="0.35">
      <c r="N7937" s="10"/>
    </row>
    <row r="7938" spans="14:14" ht="21" customHeight="1" x14ac:dyDescent="0.35">
      <c r="N7938" s="10"/>
    </row>
    <row r="7939" spans="14:14" ht="21" customHeight="1" x14ac:dyDescent="0.35">
      <c r="N7939" s="10"/>
    </row>
    <row r="7940" spans="14:14" ht="21" customHeight="1" x14ac:dyDescent="0.35">
      <c r="N7940" s="10"/>
    </row>
    <row r="7941" spans="14:14" ht="21" customHeight="1" x14ac:dyDescent="0.35">
      <c r="N7941" s="10"/>
    </row>
    <row r="7942" spans="14:14" ht="21" customHeight="1" x14ac:dyDescent="0.35">
      <c r="N7942" s="10"/>
    </row>
    <row r="7943" spans="14:14" ht="21" customHeight="1" x14ac:dyDescent="0.35">
      <c r="N7943" s="10"/>
    </row>
    <row r="7944" spans="14:14" ht="21" customHeight="1" x14ac:dyDescent="0.35">
      <c r="N7944" s="10"/>
    </row>
    <row r="7945" spans="14:14" ht="21" customHeight="1" x14ac:dyDescent="0.35">
      <c r="N7945" s="10"/>
    </row>
    <row r="7946" spans="14:14" ht="21" customHeight="1" x14ac:dyDescent="0.35">
      <c r="N7946" s="10"/>
    </row>
    <row r="7947" spans="14:14" ht="21" customHeight="1" x14ac:dyDescent="0.35">
      <c r="N7947" s="10"/>
    </row>
    <row r="7948" spans="14:14" ht="21" customHeight="1" x14ac:dyDescent="0.35">
      <c r="N7948" s="10"/>
    </row>
    <row r="7949" spans="14:14" ht="21" customHeight="1" x14ac:dyDescent="0.35">
      <c r="N7949" s="10"/>
    </row>
    <row r="7950" spans="14:14" ht="21" customHeight="1" x14ac:dyDescent="0.35">
      <c r="N7950" s="10"/>
    </row>
    <row r="7951" spans="14:14" ht="21" customHeight="1" x14ac:dyDescent="0.35">
      <c r="N7951" s="10"/>
    </row>
    <row r="7952" spans="14:14" ht="21" customHeight="1" x14ac:dyDescent="0.35">
      <c r="N7952" s="10"/>
    </row>
    <row r="7953" spans="14:14" ht="21" customHeight="1" x14ac:dyDescent="0.35">
      <c r="N7953" s="10"/>
    </row>
    <row r="7954" spans="14:14" ht="21" customHeight="1" x14ac:dyDescent="0.35">
      <c r="N7954" s="10"/>
    </row>
    <row r="7955" spans="14:14" ht="21" customHeight="1" x14ac:dyDescent="0.35">
      <c r="N7955" s="10"/>
    </row>
    <row r="7956" spans="14:14" ht="21" customHeight="1" x14ac:dyDescent="0.35">
      <c r="N7956" s="10"/>
    </row>
    <row r="7957" spans="14:14" ht="21" customHeight="1" x14ac:dyDescent="0.35">
      <c r="N7957" s="10"/>
    </row>
    <row r="7958" spans="14:14" ht="21" customHeight="1" x14ac:dyDescent="0.35">
      <c r="N7958" s="10"/>
    </row>
    <row r="7959" spans="14:14" ht="21" customHeight="1" x14ac:dyDescent="0.35">
      <c r="N7959" s="10"/>
    </row>
    <row r="7960" spans="14:14" ht="21" customHeight="1" x14ac:dyDescent="0.35">
      <c r="N7960" s="10"/>
    </row>
    <row r="7961" spans="14:14" ht="21" customHeight="1" x14ac:dyDescent="0.35">
      <c r="N7961" s="10"/>
    </row>
    <row r="7962" spans="14:14" ht="21" customHeight="1" x14ac:dyDescent="0.35">
      <c r="N7962" s="10"/>
    </row>
    <row r="7963" spans="14:14" ht="21" customHeight="1" x14ac:dyDescent="0.35">
      <c r="N7963" s="10"/>
    </row>
    <row r="7964" spans="14:14" ht="21" customHeight="1" x14ac:dyDescent="0.35">
      <c r="N7964" s="10"/>
    </row>
    <row r="7965" spans="14:14" ht="21" customHeight="1" x14ac:dyDescent="0.35">
      <c r="N7965" s="10"/>
    </row>
    <row r="7966" spans="14:14" ht="21" customHeight="1" x14ac:dyDescent="0.35">
      <c r="N7966" s="10"/>
    </row>
    <row r="7967" spans="14:14" ht="21" customHeight="1" x14ac:dyDescent="0.35">
      <c r="N7967" s="10"/>
    </row>
    <row r="7968" spans="14:14" ht="21" customHeight="1" x14ac:dyDescent="0.35">
      <c r="N7968" s="10"/>
    </row>
    <row r="7969" spans="14:14" ht="21" customHeight="1" x14ac:dyDescent="0.35">
      <c r="N7969" s="10"/>
    </row>
    <row r="7970" spans="14:14" ht="21" customHeight="1" x14ac:dyDescent="0.35">
      <c r="N7970" s="10"/>
    </row>
    <row r="7971" spans="14:14" ht="21" customHeight="1" x14ac:dyDescent="0.35">
      <c r="N7971" s="10"/>
    </row>
    <row r="7972" spans="14:14" ht="21" customHeight="1" x14ac:dyDescent="0.35">
      <c r="N7972" s="10"/>
    </row>
    <row r="7973" spans="14:14" ht="21" customHeight="1" x14ac:dyDescent="0.35">
      <c r="N7973" s="10"/>
    </row>
    <row r="7974" spans="14:14" ht="21" customHeight="1" x14ac:dyDescent="0.35">
      <c r="N7974" s="10"/>
    </row>
    <row r="7975" spans="14:14" ht="21" customHeight="1" x14ac:dyDescent="0.35">
      <c r="N7975" s="10"/>
    </row>
    <row r="7976" spans="14:14" ht="21" customHeight="1" x14ac:dyDescent="0.35">
      <c r="N7976" s="10"/>
    </row>
    <row r="7977" spans="14:14" ht="21" customHeight="1" x14ac:dyDescent="0.35">
      <c r="N7977" s="10"/>
    </row>
    <row r="7978" spans="14:14" ht="21" customHeight="1" x14ac:dyDescent="0.35">
      <c r="N7978" s="10"/>
    </row>
    <row r="7979" spans="14:14" ht="21" customHeight="1" x14ac:dyDescent="0.35">
      <c r="N7979" s="10"/>
    </row>
    <row r="7980" spans="14:14" ht="21" customHeight="1" x14ac:dyDescent="0.35">
      <c r="N7980" s="10"/>
    </row>
    <row r="7981" spans="14:14" ht="21" customHeight="1" x14ac:dyDescent="0.35">
      <c r="N7981" s="10"/>
    </row>
    <row r="7982" spans="14:14" ht="21" customHeight="1" x14ac:dyDescent="0.35">
      <c r="N7982" s="10"/>
    </row>
    <row r="7983" spans="14:14" ht="21" customHeight="1" x14ac:dyDescent="0.35">
      <c r="N7983" s="10"/>
    </row>
    <row r="7984" spans="14:14" ht="21" customHeight="1" x14ac:dyDescent="0.35">
      <c r="N7984" s="10"/>
    </row>
    <row r="7985" spans="14:14" ht="21" customHeight="1" x14ac:dyDescent="0.35">
      <c r="N7985" s="10"/>
    </row>
    <row r="7986" spans="14:14" ht="21" customHeight="1" x14ac:dyDescent="0.35">
      <c r="N7986" s="10"/>
    </row>
    <row r="7987" spans="14:14" ht="21" customHeight="1" x14ac:dyDescent="0.35">
      <c r="N7987" s="10"/>
    </row>
    <row r="7988" spans="14:14" ht="21" customHeight="1" x14ac:dyDescent="0.35">
      <c r="N7988" s="10"/>
    </row>
    <row r="7989" spans="14:14" ht="21" customHeight="1" x14ac:dyDescent="0.35">
      <c r="N7989" s="10"/>
    </row>
    <row r="7990" spans="14:14" ht="21" customHeight="1" x14ac:dyDescent="0.35">
      <c r="N7990" s="10"/>
    </row>
    <row r="7991" spans="14:14" ht="21" customHeight="1" x14ac:dyDescent="0.35">
      <c r="N7991" s="10"/>
    </row>
    <row r="7992" spans="14:14" ht="21" customHeight="1" x14ac:dyDescent="0.35">
      <c r="N7992" s="10"/>
    </row>
    <row r="7993" spans="14:14" ht="21" customHeight="1" x14ac:dyDescent="0.35">
      <c r="N7993" s="10"/>
    </row>
    <row r="7994" spans="14:14" ht="21" customHeight="1" x14ac:dyDescent="0.35">
      <c r="N7994" s="10"/>
    </row>
  </sheetData>
  <phoneticPr fontId="4" type="noConversion"/>
  <pageMargins left="0.7" right="0.7" top="0.75" bottom="0.75" header="0.3" footer="0.3"/>
  <pageSetup paperSize="9" orientation="portrait" horizontalDpi="4294967293" verticalDpi="4294967293" r:id="rId1"/>
  <drawing r:id="rId2"/>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N3126"/>
  <sheetViews>
    <sheetView tabSelected="1" workbookViewId="0">
      <selection activeCell="D2" sqref="D2"/>
    </sheetView>
  </sheetViews>
  <sheetFormatPr defaultRowHeight="14.5" x14ac:dyDescent="0.35"/>
  <cols>
    <col min="1" max="1" width="11.26953125" customWidth="1"/>
    <col min="4" max="4" width="37.453125" bestFit="1" customWidth="1"/>
    <col min="5" max="5" width="47.90625" bestFit="1" customWidth="1"/>
    <col min="6" max="6" width="17.36328125" customWidth="1"/>
    <col min="8" max="8" width="16" customWidth="1"/>
    <col min="9" max="9" width="15.36328125" customWidth="1"/>
    <col min="10" max="10" width="10.26953125" customWidth="1"/>
    <col min="11" max="11" width="10.7265625" customWidth="1"/>
    <col min="12" max="12" width="14.7265625" customWidth="1"/>
    <col min="13" max="13" width="16.26953125" customWidth="1"/>
    <col min="14" max="14" width="11.36328125" customWidth="1"/>
  </cols>
  <sheetData>
    <row r="1" spans="1:14" x14ac:dyDescent="0.35">
      <c r="A1" t="s">
        <v>172</v>
      </c>
      <c r="B1" t="s">
        <v>173</v>
      </c>
      <c r="C1" t="s">
        <v>174</v>
      </c>
      <c r="D1" t="s">
        <v>175</v>
      </c>
      <c r="E1" t="s">
        <v>185</v>
      </c>
      <c r="F1" t="s">
        <v>176</v>
      </c>
      <c r="G1" t="s">
        <v>179</v>
      </c>
      <c r="H1" t="s">
        <v>177</v>
      </c>
      <c r="I1" t="s">
        <v>178</v>
      </c>
      <c r="J1" t="s">
        <v>181</v>
      </c>
      <c r="K1" t="s">
        <v>180</v>
      </c>
      <c r="L1" t="s">
        <v>182</v>
      </c>
      <c r="M1" t="s">
        <v>183</v>
      </c>
      <c r="N1" t="s">
        <v>65</v>
      </c>
    </row>
    <row r="2" spans="1:14" x14ac:dyDescent="0.35">
      <c r="A2" s="75">
        <v>44592</v>
      </c>
      <c r="B2" s="85">
        <v>31</v>
      </c>
      <c r="C2" t="s">
        <v>92</v>
      </c>
      <c r="D2" s="86" t="s">
        <v>184</v>
      </c>
      <c r="E2" t="s">
        <v>186</v>
      </c>
      <c r="F2">
        <v>7590000</v>
      </c>
      <c r="J2" t="s">
        <v>15</v>
      </c>
      <c r="K2" t="s">
        <v>2</v>
      </c>
      <c r="L2" t="s">
        <v>67</v>
      </c>
      <c r="M2" t="s">
        <v>80</v>
      </c>
      <c r="N2" t="s">
        <v>11</v>
      </c>
    </row>
    <row r="3" spans="1:14" ht="43.5" x14ac:dyDescent="0.35">
      <c r="A3" s="75">
        <v>44592</v>
      </c>
      <c r="B3" s="85">
        <v>31</v>
      </c>
      <c r="C3" t="s">
        <v>92</v>
      </c>
      <c r="D3" t="s">
        <v>187</v>
      </c>
      <c r="E3" s="87" t="s">
        <v>188</v>
      </c>
      <c r="F3">
        <v>77000000</v>
      </c>
      <c r="J3" t="s">
        <v>16</v>
      </c>
      <c r="K3" t="s">
        <v>4</v>
      </c>
      <c r="L3" t="s">
        <v>67</v>
      </c>
      <c r="M3" t="s">
        <v>82</v>
      </c>
      <c r="N3" t="s">
        <v>12</v>
      </c>
    </row>
    <row r="4" spans="1:14" ht="43.5" x14ac:dyDescent="0.35">
      <c r="A4" s="75">
        <v>44592</v>
      </c>
      <c r="B4" s="85">
        <v>31</v>
      </c>
      <c r="C4" t="s">
        <v>92</v>
      </c>
      <c r="D4" t="s">
        <v>189</v>
      </c>
      <c r="E4" s="87" t="s">
        <v>220</v>
      </c>
      <c r="F4">
        <v>200000000</v>
      </c>
      <c r="J4" t="s">
        <v>18</v>
      </c>
      <c r="K4" t="s">
        <v>5</v>
      </c>
      <c r="L4" t="s">
        <v>67</v>
      </c>
      <c r="M4" t="s">
        <v>82</v>
      </c>
      <c r="N4" t="s">
        <v>14</v>
      </c>
    </row>
    <row r="5" spans="1:14" x14ac:dyDescent="0.35">
      <c r="A5" s="75">
        <v>44592</v>
      </c>
      <c r="B5" s="85">
        <v>31</v>
      </c>
      <c r="C5" t="s">
        <v>92</v>
      </c>
      <c r="D5" t="s">
        <v>190</v>
      </c>
      <c r="E5" t="s">
        <v>191</v>
      </c>
      <c r="F5">
        <v>438855000</v>
      </c>
      <c r="J5" t="s">
        <v>17</v>
      </c>
      <c r="K5" t="s">
        <v>8</v>
      </c>
      <c r="L5" t="s">
        <v>67</v>
      </c>
      <c r="M5" t="s">
        <v>82</v>
      </c>
      <c r="N5" t="s">
        <v>13</v>
      </c>
    </row>
    <row r="6" spans="1:14" x14ac:dyDescent="0.35">
      <c r="A6" s="75">
        <v>44592</v>
      </c>
      <c r="B6" s="85">
        <v>31</v>
      </c>
      <c r="C6" t="s">
        <v>92</v>
      </c>
      <c r="D6" t="s">
        <v>192</v>
      </c>
      <c r="E6" t="s">
        <v>193</v>
      </c>
      <c r="F6">
        <v>69707400</v>
      </c>
      <c r="J6" t="s">
        <v>22</v>
      </c>
      <c r="K6" t="s">
        <v>7</v>
      </c>
      <c r="L6" t="s">
        <v>67</v>
      </c>
      <c r="M6" t="s">
        <v>80</v>
      </c>
      <c r="N6" t="s">
        <v>13</v>
      </c>
    </row>
    <row r="7" spans="1:14" x14ac:dyDescent="0.35">
      <c r="A7" s="75">
        <v>44592</v>
      </c>
      <c r="B7" s="85">
        <v>31</v>
      </c>
      <c r="C7" t="s">
        <v>92</v>
      </c>
      <c r="D7" t="s">
        <v>194</v>
      </c>
      <c r="E7" t="s">
        <v>195</v>
      </c>
      <c r="F7">
        <v>1652824179</v>
      </c>
      <c r="J7" t="s">
        <v>19</v>
      </c>
      <c r="K7" t="s">
        <v>5</v>
      </c>
      <c r="L7" t="s">
        <v>67</v>
      </c>
      <c r="M7" t="s">
        <v>81</v>
      </c>
      <c r="N7" t="s">
        <v>12</v>
      </c>
    </row>
    <row r="8" spans="1:14" x14ac:dyDescent="0.35">
      <c r="A8" s="75">
        <v>44592</v>
      </c>
      <c r="B8" s="85">
        <v>31</v>
      </c>
      <c r="C8" t="s">
        <v>92</v>
      </c>
      <c r="D8" t="s">
        <v>196</v>
      </c>
      <c r="E8" t="s">
        <v>197</v>
      </c>
      <c r="F8">
        <v>52734000</v>
      </c>
      <c r="J8" t="s">
        <v>23</v>
      </c>
      <c r="K8" t="s">
        <v>2</v>
      </c>
      <c r="L8" t="s">
        <v>67</v>
      </c>
      <c r="M8" t="s">
        <v>80</v>
      </c>
      <c r="N8" t="s">
        <v>14</v>
      </c>
    </row>
    <row r="9" spans="1:14" x14ac:dyDescent="0.35">
      <c r="A9" s="75">
        <v>44592</v>
      </c>
      <c r="B9" s="85">
        <v>31</v>
      </c>
      <c r="C9" t="s">
        <v>92</v>
      </c>
      <c r="D9" t="s">
        <v>198</v>
      </c>
      <c r="E9" t="s">
        <v>199</v>
      </c>
      <c r="F9">
        <v>62850000</v>
      </c>
      <c r="J9" t="s">
        <v>25</v>
      </c>
      <c r="K9" t="s">
        <v>5</v>
      </c>
      <c r="L9" t="s">
        <v>67</v>
      </c>
      <c r="M9" t="s">
        <v>81</v>
      </c>
      <c r="N9" t="s">
        <v>11</v>
      </c>
    </row>
    <row r="10" spans="1:14" x14ac:dyDescent="0.35">
      <c r="A10" s="75">
        <v>44592</v>
      </c>
      <c r="B10" s="85">
        <v>31</v>
      </c>
      <c r="C10" t="s">
        <v>92</v>
      </c>
      <c r="D10" t="s">
        <v>200</v>
      </c>
      <c r="E10" t="s">
        <v>201</v>
      </c>
      <c r="F10">
        <v>52835700</v>
      </c>
      <c r="J10" t="s">
        <v>24</v>
      </c>
      <c r="K10" t="s">
        <v>2</v>
      </c>
      <c r="L10" t="s">
        <v>67</v>
      </c>
      <c r="M10" t="s">
        <v>82</v>
      </c>
      <c r="N10" t="s">
        <v>14</v>
      </c>
    </row>
    <row r="11" spans="1:14" x14ac:dyDescent="0.35">
      <c r="A11" s="75">
        <v>44592</v>
      </c>
      <c r="B11" s="85">
        <v>31</v>
      </c>
      <c r="C11" t="s">
        <v>92</v>
      </c>
      <c r="D11" t="s">
        <v>202</v>
      </c>
      <c r="E11" t="s">
        <v>203</v>
      </c>
      <c r="F11">
        <v>385000000</v>
      </c>
      <c r="J11" t="s">
        <v>26</v>
      </c>
      <c r="K11" t="s">
        <v>8</v>
      </c>
      <c r="L11" t="s">
        <v>67</v>
      </c>
      <c r="M11" t="s">
        <v>81</v>
      </c>
      <c r="N11" t="s">
        <v>12</v>
      </c>
    </row>
    <row r="12" spans="1:14" x14ac:dyDescent="0.35">
      <c r="A12" s="75">
        <v>44592</v>
      </c>
      <c r="B12" s="85">
        <v>31</v>
      </c>
      <c r="C12" t="s">
        <v>92</v>
      </c>
      <c r="D12" t="s">
        <v>204</v>
      </c>
      <c r="E12" t="s">
        <v>205</v>
      </c>
      <c r="F12">
        <v>488700000</v>
      </c>
      <c r="J12" t="s">
        <v>20</v>
      </c>
      <c r="K12" t="s">
        <v>5</v>
      </c>
      <c r="L12" t="s">
        <v>67</v>
      </c>
      <c r="M12" t="s">
        <v>82</v>
      </c>
      <c r="N12" t="s">
        <v>11</v>
      </c>
    </row>
    <row r="13" spans="1:14" x14ac:dyDescent="0.35">
      <c r="A13" s="75">
        <v>44592</v>
      </c>
      <c r="B13" s="85">
        <v>31</v>
      </c>
      <c r="C13" t="s">
        <v>92</v>
      </c>
      <c r="D13" t="s">
        <v>207</v>
      </c>
      <c r="E13" t="s">
        <v>206</v>
      </c>
      <c r="F13">
        <v>605000000</v>
      </c>
      <c r="J13" t="s">
        <v>21</v>
      </c>
      <c r="K13" t="s">
        <v>4</v>
      </c>
      <c r="L13" t="s">
        <v>67</v>
      </c>
      <c r="M13" t="s">
        <v>81</v>
      </c>
      <c r="N13" t="s">
        <v>12</v>
      </c>
    </row>
    <row r="14" spans="1:14" x14ac:dyDescent="0.35">
      <c r="A14" s="75">
        <v>44592</v>
      </c>
      <c r="B14" s="85">
        <v>31</v>
      </c>
      <c r="C14" t="s">
        <v>92</v>
      </c>
      <c r="D14" t="s">
        <v>208</v>
      </c>
      <c r="E14" t="s">
        <v>209</v>
      </c>
      <c r="F14">
        <v>495000000</v>
      </c>
      <c r="J14" t="s">
        <v>25</v>
      </c>
      <c r="K14" t="s">
        <v>2</v>
      </c>
      <c r="L14" t="s">
        <v>67</v>
      </c>
      <c r="M14" t="s">
        <v>80</v>
      </c>
      <c r="N14" t="s">
        <v>11</v>
      </c>
    </row>
    <row r="15" spans="1:14" x14ac:dyDescent="0.35">
      <c r="A15" s="75">
        <v>44592</v>
      </c>
      <c r="B15" s="85">
        <v>31</v>
      </c>
      <c r="C15" t="s">
        <v>92</v>
      </c>
      <c r="D15" t="s">
        <v>210</v>
      </c>
      <c r="E15" t="s">
        <v>211</v>
      </c>
      <c r="F15">
        <v>4167000000</v>
      </c>
      <c r="J15" t="s">
        <v>27</v>
      </c>
      <c r="K15" t="s">
        <v>5</v>
      </c>
      <c r="L15" t="s">
        <v>67</v>
      </c>
      <c r="M15" t="s">
        <v>82</v>
      </c>
      <c r="N15" t="s">
        <v>12</v>
      </c>
    </row>
    <row r="16" spans="1:14" x14ac:dyDescent="0.35">
      <c r="A16" s="75">
        <v>44592</v>
      </c>
      <c r="B16" s="85">
        <v>31</v>
      </c>
      <c r="C16" t="s">
        <v>92</v>
      </c>
      <c r="D16" t="s">
        <v>212</v>
      </c>
      <c r="E16" t="s">
        <v>213</v>
      </c>
      <c r="F16">
        <v>385000000</v>
      </c>
      <c r="J16" t="s">
        <v>28</v>
      </c>
      <c r="K16" t="s">
        <v>2</v>
      </c>
      <c r="L16" t="s">
        <v>67</v>
      </c>
      <c r="M16" t="s">
        <v>80</v>
      </c>
      <c r="N16" t="s">
        <v>13</v>
      </c>
    </row>
    <row r="17" spans="1:14" ht="43.5" x14ac:dyDescent="0.35">
      <c r="A17" s="75">
        <v>44592</v>
      </c>
      <c r="B17" s="85">
        <v>31</v>
      </c>
      <c r="C17" t="s">
        <v>92</v>
      </c>
      <c r="D17" t="s">
        <v>214</v>
      </c>
      <c r="E17" s="87" t="s">
        <v>215</v>
      </c>
      <c r="F17">
        <v>303000000</v>
      </c>
      <c r="J17" t="s">
        <v>23</v>
      </c>
      <c r="K17" t="s">
        <v>2</v>
      </c>
      <c r="L17" t="s">
        <v>67</v>
      </c>
      <c r="M17" t="s">
        <v>81</v>
      </c>
      <c r="N17" t="s">
        <v>11</v>
      </c>
    </row>
    <row r="18" spans="1:14" x14ac:dyDescent="0.35">
      <c r="A18" s="75">
        <v>44592</v>
      </c>
      <c r="B18" s="85">
        <v>31</v>
      </c>
      <c r="C18" t="s">
        <v>92</v>
      </c>
      <c r="D18" t="s">
        <v>216</v>
      </c>
      <c r="E18" t="s">
        <v>217</v>
      </c>
      <c r="F18">
        <v>400000000</v>
      </c>
      <c r="J18" t="s">
        <v>23</v>
      </c>
      <c r="K18" t="s">
        <v>2</v>
      </c>
      <c r="L18" t="s">
        <v>67</v>
      </c>
      <c r="M18" t="s">
        <v>81</v>
      </c>
      <c r="N18" t="s">
        <v>11</v>
      </c>
    </row>
    <row r="19" spans="1:14" ht="29" x14ac:dyDescent="0.35">
      <c r="A19" s="75">
        <v>44592</v>
      </c>
      <c r="B19" s="85">
        <v>31</v>
      </c>
      <c r="C19" t="s">
        <v>92</v>
      </c>
      <c r="D19" t="s">
        <v>218</v>
      </c>
      <c r="E19" s="87" t="s">
        <v>219</v>
      </c>
      <c r="F19">
        <v>656400000</v>
      </c>
      <c r="J19" t="s">
        <v>23</v>
      </c>
      <c r="K19" t="s">
        <v>5</v>
      </c>
      <c r="L19" t="s">
        <v>67</v>
      </c>
      <c r="M19" t="s">
        <v>81</v>
      </c>
      <c r="N19" t="s">
        <v>14</v>
      </c>
    </row>
    <row r="20" spans="1:14" x14ac:dyDescent="0.35">
      <c r="A20" s="75">
        <v>43833</v>
      </c>
      <c r="B20" t="s">
        <v>142</v>
      </c>
      <c r="C20" t="s">
        <v>92</v>
      </c>
      <c r="E20">
        <v>3</v>
      </c>
      <c r="F20">
        <v>2</v>
      </c>
      <c r="G20" t="s">
        <v>76</v>
      </c>
      <c r="H20" t="s">
        <v>79</v>
      </c>
      <c r="J20" t="s">
        <v>29</v>
      </c>
      <c r="K20" t="s">
        <v>5</v>
      </c>
      <c r="L20" t="s">
        <v>67</v>
      </c>
      <c r="M20" t="s">
        <v>81</v>
      </c>
      <c r="N20" t="s">
        <v>12</v>
      </c>
    </row>
    <row r="21" spans="1:14" x14ac:dyDescent="0.35">
      <c r="A21" s="75">
        <v>43833</v>
      </c>
      <c r="B21" t="s">
        <v>142</v>
      </c>
      <c r="C21" t="s">
        <v>92</v>
      </c>
      <c r="E21">
        <v>4</v>
      </c>
      <c r="F21">
        <v>1</v>
      </c>
      <c r="G21" t="s">
        <v>72</v>
      </c>
      <c r="H21" t="s">
        <v>78</v>
      </c>
      <c r="J21" t="s">
        <v>30</v>
      </c>
      <c r="K21" t="s">
        <v>2</v>
      </c>
      <c r="L21" t="s">
        <v>67</v>
      </c>
      <c r="M21" t="s">
        <v>82</v>
      </c>
      <c r="N21" t="s">
        <v>11</v>
      </c>
    </row>
    <row r="22" spans="1:14" x14ac:dyDescent="0.35">
      <c r="A22" s="75">
        <v>43833</v>
      </c>
      <c r="B22" t="s">
        <v>142</v>
      </c>
      <c r="C22" t="s">
        <v>92</v>
      </c>
      <c r="E22">
        <v>2</v>
      </c>
      <c r="F22">
        <v>1</v>
      </c>
      <c r="G22" t="s">
        <v>74</v>
      </c>
      <c r="H22" t="s">
        <v>77</v>
      </c>
      <c r="J22" t="s">
        <v>26</v>
      </c>
      <c r="K22" t="s">
        <v>2</v>
      </c>
      <c r="L22" t="s">
        <v>67</v>
      </c>
      <c r="M22" t="s">
        <v>81</v>
      </c>
      <c r="N22" t="s">
        <v>14</v>
      </c>
    </row>
    <row r="23" spans="1:14" x14ac:dyDescent="0.35">
      <c r="A23" s="75">
        <v>43834</v>
      </c>
      <c r="B23" t="s">
        <v>143</v>
      </c>
      <c r="C23" t="s">
        <v>92</v>
      </c>
      <c r="E23">
        <v>8</v>
      </c>
      <c r="F23">
        <v>2</v>
      </c>
      <c r="G23" t="s">
        <v>70</v>
      </c>
      <c r="H23" t="s">
        <v>1</v>
      </c>
      <c r="J23" t="s">
        <v>30</v>
      </c>
      <c r="K23" t="s">
        <v>7</v>
      </c>
      <c r="L23" t="s">
        <v>67</v>
      </c>
      <c r="M23" t="s">
        <v>82</v>
      </c>
      <c r="N23" t="s">
        <v>13</v>
      </c>
    </row>
    <row r="24" spans="1:14" x14ac:dyDescent="0.35">
      <c r="A24" s="75">
        <v>43834</v>
      </c>
      <c r="B24" t="s">
        <v>143</v>
      </c>
      <c r="C24" t="s">
        <v>92</v>
      </c>
      <c r="E24">
        <v>6</v>
      </c>
      <c r="F24">
        <v>3</v>
      </c>
      <c r="G24" t="s">
        <v>113</v>
      </c>
      <c r="H24" t="s">
        <v>77</v>
      </c>
      <c r="J24" t="s">
        <v>34</v>
      </c>
      <c r="K24" t="s">
        <v>2</v>
      </c>
      <c r="L24" t="s">
        <v>67</v>
      </c>
      <c r="M24" t="s">
        <v>82</v>
      </c>
      <c r="N24" t="s">
        <v>14</v>
      </c>
    </row>
    <row r="25" spans="1:14" x14ac:dyDescent="0.35">
      <c r="A25" s="75">
        <v>43834</v>
      </c>
      <c r="B25" t="s">
        <v>143</v>
      </c>
      <c r="C25" t="s">
        <v>92</v>
      </c>
      <c r="E25">
        <v>5</v>
      </c>
      <c r="F25">
        <v>2</v>
      </c>
      <c r="G25" t="s">
        <v>73</v>
      </c>
      <c r="H25" t="s">
        <v>78</v>
      </c>
      <c r="J25" t="s">
        <v>32</v>
      </c>
      <c r="K25" t="s">
        <v>5</v>
      </c>
      <c r="L25" t="s">
        <v>67</v>
      </c>
      <c r="M25" t="s">
        <v>82</v>
      </c>
      <c r="N25" t="s">
        <v>11</v>
      </c>
    </row>
    <row r="26" spans="1:14" x14ac:dyDescent="0.35">
      <c r="A26" s="75">
        <v>43834</v>
      </c>
      <c r="B26" t="s">
        <v>143</v>
      </c>
      <c r="C26" t="s">
        <v>92</v>
      </c>
      <c r="E26">
        <v>2</v>
      </c>
      <c r="F26">
        <v>2</v>
      </c>
      <c r="G26" t="s">
        <v>75</v>
      </c>
      <c r="H26" t="s">
        <v>6</v>
      </c>
      <c r="J26" t="s">
        <v>31</v>
      </c>
      <c r="K26" t="s">
        <v>5</v>
      </c>
      <c r="L26" t="s">
        <v>67</v>
      </c>
      <c r="M26" t="s">
        <v>81</v>
      </c>
      <c r="N26" t="s">
        <v>12</v>
      </c>
    </row>
    <row r="27" spans="1:14" x14ac:dyDescent="0.35">
      <c r="A27" s="75">
        <v>43834</v>
      </c>
      <c r="B27" t="s">
        <v>143</v>
      </c>
      <c r="C27" t="s">
        <v>92</v>
      </c>
      <c r="E27">
        <v>1</v>
      </c>
      <c r="F27">
        <v>2</v>
      </c>
      <c r="G27" t="s">
        <v>72</v>
      </c>
      <c r="H27" t="s">
        <v>78</v>
      </c>
      <c r="J27" t="s">
        <v>33</v>
      </c>
      <c r="K27" t="s">
        <v>5</v>
      </c>
      <c r="L27" t="s">
        <v>67</v>
      </c>
      <c r="M27" t="s">
        <v>82</v>
      </c>
      <c r="N27" t="s">
        <v>11</v>
      </c>
    </row>
    <row r="28" spans="1:14" x14ac:dyDescent="0.35">
      <c r="A28" s="75">
        <v>43835</v>
      </c>
      <c r="B28" t="s">
        <v>144</v>
      </c>
      <c r="C28" t="s">
        <v>92</v>
      </c>
      <c r="E28">
        <v>8</v>
      </c>
      <c r="F28">
        <v>2</v>
      </c>
      <c r="G28" t="s">
        <v>72</v>
      </c>
      <c r="H28" t="s">
        <v>78</v>
      </c>
      <c r="J28" t="s">
        <v>32</v>
      </c>
      <c r="K28" t="s">
        <v>7</v>
      </c>
      <c r="L28" t="s">
        <v>67</v>
      </c>
      <c r="M28" t="s">
        <v>82</v>
      </c>
      <c r="N28" t="s">
        <v>14</v>
      </c>
    </row>
    <row r="29" spans="1:14" x14ac:dyDescent="0.35">
      <c r="A29" s="75">
        <v>43835</v>
      </c>
      <c r="B29" t="s">
        <v>144</v>
      </c>
      <c r="C29" t="s">
        <v>92</v>
      </c>
      <c r="D29">
        <v>9</v>
      </c>
      <c r="E29">
        <v>8</v>
      </c>
      <c r="F29">
        <v>1</v>
      </c>
      <c r="G29" t="s">
        <v>73</v>
      </c>
      <c r="H29" t="s">
        <v>78</v>
      </c>
      <c r="J29" t="s">
        <v>35</v>
      </c>
      <c r="K29" t="s">
        <v>5</v>
      </c>
      <c r="L29" t="s">
        <v>67</v>
      </c>
      <c r="M29" t="s">
        <v>81</v>
      </c>
      <c r="N29" t="s">
        <v>12</v>
      </c>
    </row>
    <row r="30" spans="1:14" x14ac:dyDescent="0.35">
      <c r="A30" s="75">
        <v>43835</v>
      </c>
      <c r="B30" t="s">
        <v>144</v>
      </c>
      <c r="C30" t="s">
        <v>92</v>
      </c>
      <c r="D30">
        <v>9</v>
      </c>
      <c r="E30">
        <v>8</v>
      </c>
      <c r="F30">
        <v>1</v>
      </c>
      <c r="G30" t="s">
        <v>76</v>
      </c>
      <c r="H30" t="s">
        <v>79</v>
      </c>
      <c r="J30" t="s">
        <v>37</v>
      </c>
      <c r="K30" t="s">
        <v>8</v>
      </c>
      <c r="L30" t="s">
        <v>67</v>
      </c>
      <c r="M30" t="s">
        <v>82</v>
      </c>
      <c r="N30" t="s">
        <v>13</v>
      </c>
    </row>
    <row r="31" spans="1:14" x14ac:dyDescent="0.35">
      <c r="A31" s="75">
        <v>43835</v>
      </c>
      <c r="B31" t="s">
        <v>144</v>
      </c>
      <c r="C31" t="s">
        <v>92</v>
      </c>
      <c r="D31">
        <v>8</v>
      </c>
      <c r="E31">
        <v>7</v>
      </c>
      <c r="F31">
        <v>1</v>
      </c>
      <c r="G31" t="s">
        <v>71</v>
      </c>
      <c r="H31" t="s">
        <v>6</v>
      </c>
      <c r="J31" t="s">
        <v>25</v>
      </c>
      <c r="K31" t="s">
        <v>4</v>
      </c>
      <c r="L31" t="s">
        <v>67</v>
      </c>
      <c r="M31" t="s">
        <v>80</v>
      </c>
      <c r="N31" t="s">
        <v>11</v>
      </c>
    </row>
    <row r="32" spans="1:14" x14ac:dyDescent="0.35">
      <c r="A32" s="75">
        <v>43835</v>
      </c>
      <c r="B32" t="s">
        <v>144</v>
      </c>
      <c r="C32" t="s">
        <v>92</v>
      </c>
      <c r="D32">
        <v>7</v>
      </c>
      <c r="E32">
        <v>6</v>
      </c>
      <c r="F32">
        <v>1</v>
      </c>
      <c r="G32" t="s">
        <v>114</v>
      </c>
      <c r="H32" t="s">
        <v>3</v>
      </c>
      <c r="J32" t="s">
        <v>24</v>
      </c>
      <c r="K32" t="s">
        <v>9</v>
      </c>
      <c r="L32" t="s">
        <v>67</v>
      </c>
      <c r="M32" t="s">
        <v>81</v>
      </c>
      <c r="N32" t="s">
        <v>12</v>
      </c>
    </row>
    <row r="33" spans="1:14" x14ac:dyDescent="0.35">
      <c r="A33" s="75">
        <v>43835</v>
      </c>
      <c r="B33" t="s">
        <v>144</v>
      </c>
      <c r="C33" t="s">
        <v>92</v>
      </c>
      <c r="D33">
        <v>6</v>
      </c>
      <c r="E33">
        <v>3</v>
      </c>
      <c r="F33">
        <v>3</v>
      </c>
      <c r="G33" t="s">
        <v>76</v>
      </c>
      <c r="H33" t="s">
        <v>79</v>
      </c>
      <c r="J33" t="s">
        <v>25</v>
      </c>
      <c r="K33" t="s">
        <v>5</v>
      </c>
      <c r="L33" t="s">
        <v>67</v>
      </c>
      <c r="M33" t="s">
        <v>82</v>
      </c>
      <c r="N33" t="s">
        <v>11</v>
      </c>
    </row>
    <row r="34" spans="1:14" x14ac:dyDescent="0.35">
      <c r="A34" s="75">
        <v>43835</v>
      </c>
      <c r="B34" t="s">
        <v>144</v>
      </c>
      <c r="C34" t="s">
        <v>92</v>
      </c>
      <c r="D34">
        <v>6</v>
      </c>
      <c r="E34">
        <v>5</v>
      </c>
      <c r="F34">
        <v>1</v>
      </c>
      <c r="G34" t="s">
        <v>113</v>
      </c>
      <c r="H34" t="s">
        <v>77</v>
      </c>
      <c r="J34" t="s">
        <v>38</v>
      </c>
      <c r="K34" t="s">
        <v>5</v>
      </c>
      <c r="L34" t="s">
        <v>67</v>
      </c>
      <c r="M34" t="s">
        <v>80</v>
      </c>
      <c r="N34" t="s">
        <v>14</v>
      </c>
    </row>
    <row r="35" spans="1:14" x14ac:dyDescent="0.35">
      <c r="A35" s="75">
        <v>43835</v>
      </c>
      <c r="B35" t="s">
        <v>144</v>
      </c>
      <c r="C35" t="s">
        <v>92</v>
      </c>
      <c r="D35">
        <v>5</v>
      </c>
      <c r="E35">
        <v>4</v>
      </c>
      <c r="F35">
        <v>1</v>
      </c>
      <c r="G35" t="s">
        <v>72</v>
      </c>
      <c r="H35" t="s">
        <v>78</v>
      </c>
      <c r="J35" t="s">
        <v>21</v>
      </c>
      <c r="K35" t="s">
        <v>2</v>
      </c>
      <c r="L35" t="s">
        <v>67</v>
      </c>
      <c r="M35" t="s">
        <v>81</v>
      </c>
      <c r="N35" t="s">
        <v>12</v>
      </c>
    </row>
    <row r="36" spans="1:14" x14ac:dyDescent="0.35">
      <c r="A36" s="75">
        <v>43835</v>
      </c>
      <c r="B36" t="s">
        <v>144</v>
      </c>
      <c r="C36" t="s">
        <v>92</v>
      </c>
      <c r="D36">
        <v>4</v>
      </c>
      <c r="E36">
        <v>2</v>
      </c>
      <c r="F36">
        <v>2</v>
      </c>
      <c r="G36" t="s">
        <v>70</v>
      </c>
      <c r="H36" t="s">
        <v>1</v>
      </c>
      <c r="J36" t="s">
        <v>35</v>
      </c>
      <c r="K36" t="s">
        <v>2</v>
      </c>
      <c r="L36" t="s">
        <v>67</v>
      </c>
      <c r="M36" t="s">
        <v>80</v>
      </c>
      <c r="N36" t="s">
        <v>12</v>
      </c>
    </row>
    <row r="37" spans="1:14" x14ac:dyDescent="0.35">
      <c r="A37" s="75">
        <v>43835</v>
      </c>
      <c r="B37" t="s">
        <v>144</v>
      </c>
      <c r="C37" t="s">
        <v>92</v>
      </c>
      <c r="D37">
        <v>4</v>
      </c>
      <c r="E37">
        <v>2</v>
      </c>
      <c r="F37">
        <v>2</v>
      </c>
      <c r="G37" t="s">
        <v>114</v>
      </c>
      <c r="H37" t="s">
        <v>3</v>
      </c>
      <c r="J37" t="s">
        <v>29</v>
      </c>
      <c r="K37" t="s">
        <v>5</v>
      </c>
      <c r="L37" t="s">
        <v>67</v>
      </c>
      <c r="M37" t="s">
        <v>80</v>
      </c>
      <c r="N37" t="s">
        <v>12</v>
      </c>
    </row>
    <row r="38" spans="1:14" x14ac:dyDescent="0.35">
      <c r="A38" s="75">
        <v>43835</v>
      </c>
      <c r="B38" t="s">
        <v>144</v>
      </c>
      <c r="C38" t="s">
        <v>92</v>
      </c>
      <c r="D38">
        <v>4</v>
      </c>
      <c r="E38">
        <v>2</v>
      </c>
      <c r="F38">
        <v>2</v>
      </c>
      <c r="G38" t="s">
        <v>113</v>
      </c>
      <c r="H38" t="s">
        <v>77</v>
      </c>
      <c r="J38" t="s">
        <v>35</v>
      </c>
      <c r="K38" t="s">
        <v>2</v>
      </c>
      <c r="L38" t="s">
        <v>67</v>
      </c>
      <c r="M38" t="s">
        <v>80</v>
      </c>
      <c r="N38" t="s">
        <v>11</v>
      </c>
    </row>
    <row r="39" spans="1:14" x14ac:dyDescent="0.35">
      <c r="A39" s="75">
        <v>43835</v>
      </c>
      <c r="B39" t="s">
        <v>144</v>
      </c>
      <c r="C39" t="s">
        <v>92</v>
      </c>
      <c r="D39">
        <v>3</v>
      </c>
      <c r="E39">
        <v>1</v>
      </c>
      <c r="F39">
        <v>2</v>
      </c>
      <c r="G39" t="s">
        <v>76</v>
      </c>
      <c r="H39" t="s">
        <v>79</v>
      </c>
      <c r="J39" t="s">
        <v>36</v>
      </c>
      <c r="K39" t="s">
        <v>5</v>
      </c>
      <c r="L39" t="s">
        <v>67</v>
      </c>
      <c r="M39" t="s">
        <v>80</v>
      </c>
      <c r="N39" t="s">
        <v>13</v>
      </c>
    </row>
    <row r="40" spans="1:14" x14ac:dyDescent="0.35">
      <c r="A40" s="75">
        <v>43836</v>
      </c>
      <c r="B40" t="s">
        <v>145</v>
      </c>
      <c r="C40" t="s">
        <v>92</v>
      </c>
      <c r="D40">
        <v>10</v>
      </c>
      <c r="E40">
        <v>6</v>
      </c>
      <c r="F40">
        <v>4</v>
      </c>
      <c r="G40" t="s">
        <v>72</v>
      </c>
      <c r="H40" t="s">
        <v>78</v>
      </c>
      <c r="J40" t="s">
        <v>27</v>
      </c>
      <c r="K40" t="s">
        <v>5</v>
      </c>
      <c r="L40" t="s">
        <v>67</v>
      </c>
      <c r="M40" t="s">
        <v>82</v>
      </c>
      <c r="N40" t="s">
        <v>14</v>
      </c>
    </row>
    <row r="41" spans="1:14" x14ac:dyDescent="0.35">
      <c r="A41" s="75">
        <v>43836</v>
      </c>
      <c r="B41" t="s">
        <v>145</v>
      </c>
      <c r="C41" t="s">
        <v>92</v>
      </c>
      <c r="D41">
        <v>9</v>
      </c>
      <c r="E41">
        <v>7</v>
      </c>
      <c r="F41">
        <v>2</v>
      </c>
      <c r="G41" t="s">
        <v>74</v>
      </c>
      <c r="H41" t="s">
        <v>77</v>
      </c>
      <c r="J41" t="s">
        <v>43</v>
      </c>
      <c r="K41" t="s">
        <v>2</v>
      </c>
      <c r="L41" t="s">
        <v>67</v>
      </c>
      <c r="M41" t="s">
        <v>82</v>
      </c>
      <c r="N41" t="s">
        <v>14</v>
      </c>
    </row>
    <row r="42" spans="1:14" x14ac:dyDescent="0.35">
      <c r="A42" s="75">
        <v>43836</v>
      </c>
      <c r="B42" t="s">
        <v>145</v>
      </c>
      <c r="C42" t="s">
        <v>92</v>
      </c>
      <c r="D42">
        <v>8</v>
      </c>
      <c r="E42">
        <v>6</v>
      </c>
      <c r="F42">
        <v>2</v>
      </c>
      <c r="G42" t="s">
        <v>74</v>
      </c>
      <c r="H42" t="s">
        <v>77</v>
      </c>
      <c r="J42" t="s">
        <v>39</v>
      </c>
      <c r="K42" t="s">
        <v>5</v>
      </c>
      <c r="L42" t="s">
        <v>67</v>
      </c>
      <c r="M42" t="s">
        <v>81</v>
      </c>
      <c r="N42" t="s">
        <v>11</v>
      </c>
    </row>
    <row r="43" spans="1:14" x14ac:dyDescent="0.35">
      <c r="A43" s="75">
        <v>43836</v>
      </c>
      <c r="B43" t="s">
        <v>145</v>
      </c>
      <c r="C43" t="s">
        <v>92</v>
      </c>
      <c r="D43">
        <v>8</v>
      </c>
      <c r="E43">
        <v>4</v>
      </c>
      <c r="F43">
        <v>4</v>
      </c>
      <c r="G43" t="s">
        <v>73</v>
      </c>
      <c r="H43" t="s">
        <v>78</v>
      </c>
      <c r="J43" t="s">
        <v>36</v>
      </c>
      <c r="K43" t="s">
        <v>8</v>
      </c>
      <c r="L43" t="s">
        <v>67</v>
      </c>
      <c r="M43" t="s">
        <v>81</v>
      </c>
      <c r="N43" t="s">
        <v>13</v>
      </c>
    </row>
    <row r="44" spans="1:14" x14ac:dyDescent="0.35">
      <c r="A44" s="75">
        <v>43836</v>
      </c>
      <c r="B44" t="s">
        <v>145</v>
      </c>
      <c r="C44" t="s">
        <v>92</v>
      </c>
      <c r="D44">
        <v>7</v>
      </c>
      <c r="E44">
        <v>6</v>
      </c>
      <c r="F44">
        <v>1</v>
      </c>
      <c r="G44" t="s">
        <v>74</v>
      </c>
      <c r="H44" t="s">
        <v>77</v>
      </c>
      <c r="J44" t="s">
        <v>26</v>
      </c>
      <c r="K44" t="s">
        <v>8</v>
      </c>
      <c r="L44" t="s">
        <v>67</v>
      </c>
      <c r="M44" t="s">
        <v>80</v>
      </c>
      <c r="N44" t="s">
        <v>14</v>
      </c>
    </row>
    <row r="45" spans="1:14" x14ac:dyDescent="0.35">
      <c r="A45" s="75">
        <v>43836</v>
      </c>
      <c r="B45" t="s">
        <v>145</v>
      </c>
      <c r="C45" t="s">
        <v>92</v>
      </c>
      <c r="D45">
        <v>7</v>
      </c>
      <c r="E45">
        <v>6</v>
      </c>
      <c r="F45">
        <v>1</v>
      </c>
      <c r="G45" t="s">
        <v>76</v>
      </c>
      <c r="H45" t="s">
        <v>79</v>
      </c>
      <c r="J45" t="s">
        <v>40</v>
      </c>
      <c r="K45" t="s">
        <v>5</v>
      </c>
      <c r="L45" t="s">
        <v>67</v>
      </c>
      <c r="M45" t="s">
        <v>81</v>
      </c>
      <c r="N45" t="s">
        <v>14</v>
      </c>
    </row>
    <row r="46" spans="1:14" x14ac:dyDescent="0.35">
      <c r="A46" s="75">
        <v>43836</v>
      </c>
      <c r="B46" t="s">
        <v>145</v>
      </c>
      <c r="C46" t="s">
        <v>92</v>
      </c>
      <c r="D46">
        <v>7</v>
      </c>
      <c r="E46">
        <v>6</v>
      </c>
      <c r="F46">
        <v>1</v>
      </c>
      <c r="G46" t="s">
        <v>73</v>
      </c>
      <c r="H46" t="s">
        <v>78</v>
      </c>
      <c r="J46" t="s">
        <v>41</v>
      </c>
      <c r="K46" t="s">
        <v>5</v>
      </c>
      <c r="L46" t="s">
        <v>67</v>
      </c>
      <c r="M46" t="s">
        <v>82</v>
      </c>
      <c r="N46" t="s">
        <v>13</v>
      </c>
    </row>
    <row r="47" spans="1:14" x14ac:dyDescent="0.35">
      <c r="A47" s="75">
        <v>43836</v>
      </c>
      <c r="B47" t="s">
        <v>145</v>
      </c>
      <c r="C47" t="s">
        <v>92</v>
      </c>
      <c r="D47">
        <v>4</v>
      </c>
      <c r="E47">
        <v>3</v>
      </c>
      <c r="F47">
        <v>1</v>
      </c>
      <c r="G47" t="s">
        <v>113</v>
      </c>
      <c r="H47" t="s">
        <v>77</v>
      </c>
      <c r="J47" t="s">
        <v>31</v>
      </c>
      <c r="K47" t="s">
        <v>2</v>
      </c>
      <c r="L47" t="s">
        <v>67</v>
      </c>
      <c r="M47" t="s">
        <v>80</v>
      </c>
      <c r="N47" t="s">
        <v>12</v>
      </c>
    </row>
    <row r="48" spans="1:14" x14ac:dyDescent="0.35">
      <c r="A48" s="75">
        <v>43836</v>
      </c>
      <c r="B48" t="s">
        <v>145</v>
      </c>
      <c r="C48" t="s">
        <v>92</v>
      </c>
      <c r="D48">
        <v>4</v>
      </c>
      <c r="E48">
        <v>2</v>
      </c>
      <c r="F48">
        <v>2</v>
      </c>
      <c r="G48" t="s">
        <v>70</v>
      </c>
      <c r="H48" t="s">
        <v>1</v>
      </c>
      <c r="J48" t="s">
        <v>44</v>
      </c>
      <c r="K48" t="s">
        <v>4</v>
      </c>
      <c r="L48" t="s">
        <v>67</v>
      </c>
      <c r="M48" t="s">
        <v>81</v>
      </c>
      <c r="N48" t="s">
        <v>14</v>
      </c>
    </row>
    <row r="49" spans="1:14" x14ac:dyDescent="0.35">
      <c r="A49" s="75">
        <v>43836</v>
      </c>
      <c r="B49" t="s">
        <v>145</v>
      </c>
      <c r="C49" t="s">
        <v>92</v>
      </c>
      <c r="D49">
        <v>3</v>
      </c>
      <c r="E49">
        <v>2</v>
      </c>
      <c r="F49">
        <v>1</v>
      </c>
      <c r="G49" t="s">
        <v>73</v>
      </c>
      <c r="H49" t="s">
        <v>78</v>
      </c>
      <c r="J49" t="s">
        <v>42</v>
      </c>
      <c r="K49" t="s">
        <v>2</v>
      </c>
      <c r="L49" t="s">
        <v>67</v>
      </c>
      <c r="M49" t="s">
        <v>82</v>
      </c>
      <c r="N49" t="s">
        <v>11</v>
      </c>
    </row>
    <row r="50" spans="1:14" x14ac:dyDescent="0.35">
      <c r="A50" s="75">
        <v>43837</v>
      </c>
      <c r="B50" t="s">
        <v>146</v>
      </c>
      <c r="C50" t="s">
        <v>92</v>
      </c>
      <c r="D50">
        <v>10</v>
      </c>
      <c r="E50">
        <v>8</v>
      </c>
      <c r="F50">
        <v>2</v>
      </c>
      <c r="G50" t="s">
        <v>74</v>
      </c>
      <c r="H50" t="s">
        <v>77</v>
      </c>
      <c r="J50" t="s">
        <v>40</v>
      </c>
      <c r="K50" t="s">
        <v>7</v>
      </c>
      <c r="L50" t="s">
        <v>67</v>
      </c>
      <c r="M50" t="s">
        <v>80</v>
      </c>
      <c r="N50" t="s">
        <v>14</v>
      </c>
    </row>
    <row r="51" spans="1:14" x14ac:dyDescent="0.35">
      <c r="A51" s="75">
        <v>43837</v>
      </c>
      <c r="B51" t="s">
        <v>146</v>
      </c>
      <c r="C51" t="s">
        <v>92</v>
      </c>
      <c r="D51">
        <v>10</v>
      </c>
      <c r="E51">
        <v>9</v>
      </c>
      <c r="F51">
        <v>1</v>
      </c>
      <c r="G51" t="s">
        <v>113</v>
      </c>
      <c r="H51" t="s">
        <v>77</v>
      </c>
      <c r="J51" t="s">
        <v>26</v>
      </c>
      <c r="K51" t="s">
        <v>5</v>
      </c>
      <c r="L51" t="s">
        <v>67</v>
      </c>
      <c r="M51" t="s">
        <v>82</v>
      </c>
      <c r="N51" t="s">
        <v>12</v>
      </c>
    </row>
    <row r="52" spans="1:14" x14ac:dyDescent="0.35">
      <c r="A52" s="75">
        <v>43837</v>
      </c>
      <c r="B52" t="s">
        <v>146</v>
      </c>
      <c r="C52" t="s">
        <v>92</v>
      </c>
      <c r="D52">
        <v>9</v>
      </c>
      <c r="E52">
        <v>8</v>
      </c>
      <c r="F52">
        <v>1</v>
      </c>
      <c r="G52" t="s">
        <v>76</v>
      </c>
      <c r="H52" t="s">
        <v>79</v>
      </c>
      <c r="J52" t="s">
        <v>29</v>
      </c>
      <c r="K52" t="s">
        <v>7</v>
      </c>
      <c r="L52" t="s">
        <v>67</v>
      </c>
      <c r="M52" t="s">
        <v>82</v>
      </c>
      <c r="N52" t="s">
        <v>11</v>
      </c>
    </row>
    <row r="53" spans="1:14" x14ac:dyDescent="0.35">
      <c r="A53" s="75">
        <v>43837</v>
      </c>
      <c r="B53" t="s">
        <v>146</v>
      </c>
      <c r="C53" t="s">
        <v>92</v>
      </c>
      <c r="D53">
        <v>9</v>
      </c>
      <c r="E53">
        <v>6</v>
      </c>
      <c r="F53">
        <v>3</v>
      </c>
      <c r="G53" t="s">
        <v>75</v>
      </c>
      <c r="H53" t="s">
        <v>6</v>
      </c>
      <c r="J53" t="s">
        <v>26</v>
      </c>
      <c r="K53" t="s">
        <v>9</v>
      </c>
      <c r="L53" t="s">
        <v>67</v>
      </c>
      <c r="M53" t="s">
        <v>82</v>
      </c>
      <c r="N53" t="s">
        <v>11</v>
      </c>
    </row>
    <row r="54" spans="1:14" x14ac:dyDescent="0.35">
      <c r="A54" s="75">
        <v>43837</v>
      </c>
      <c r="B54" t="s">
        <v>146</v>
      </c>
      <c r="C54" t="s">
        <v>92</v>
      </c>
      <c r="D54">
        <v>8</v>
      </c>
      <c r="E54">
        <v>7</v>
      </c>
      <c r="F54">
        <v>1</v>
      </c>
      <c r="G54" t="s">
        <v>114</v>
      </c>
      <c r="H54" t="s">
        <v>3</v>
      </c>
      <c r="J54" t="s">
        <v>26</v>
      </c>
      <c r="K54" t="s">
        <v>2</v>
      </c>
      <c r="L54" t="s">
        <v>67</v>
      </c>
      <c r="M54" t="s">
        <v>82</v>
      </c>
      <c r="N54" t="s">
        <v>13</v>
      </c>
    </row>
    <row r="55" spans="1:14" x14ac:dyDescent="0.35">
      <c r="A55" s="75">
        <v>43837</v>
      </c>
      <c r="B55" t="s">
        <v>146</v>
      </c>
      <c r="C55" t="s">
        <v>92</v>
      </c>
      <c r="D55">
        <v>8</v>
      </c>
      <c r="E55">
        <v>6</v>
      </c>
      <c r="F55">
        <v>2</v>
      </c>
      <c r="G55" t="s">
        <v>74</v>
      </c>
      <c r="H55" t="s">
        <v>77</v>
      </c>
      <c r="J55" t="s">
        <v>21</v>
      </c>
      <c r="K55" t="s">
        <v>5</v>
      </c>
      <c r="L55" t="s">
        <v>67</v>
      </c>
      <c r="M55" t="s">
        <v>82</v>
      </c>
      <c r="N55" t="s">
        <v>14</v>
      </c>
    </row>
    <row r="56" spans="1:14" x14ac:dyDescent="0.35">
      <c r="A56" s="75">
        <v>43837</v>
      </c>
      <c r="B56" t="s">
        <v>146</v>
      </c>
      <c r="C56" t="s">
        <v>92</v>
      </c>
      <c r="D56">
        <v>6</v>
      </c>
      <c r="E56">
        <v>5</v>
      </c>
      <c r="F56">
        <v>1</v>
      </c>
      <c r="G56" t="s">
        <v>76</v>
      </c>
      <c r="H56" t="s">
        <v>79</v>
      </c>
      <c r="J56" t="s">
        <v>46</v>
      </c>
      <c r="K56" t="s">
        <v>2</v>
      </c>
      <c r="L56" t="s">
        <v>67</v>
      </c>
      <c r="M56" t="s">
        <v>81</v>
      </c>
      <c r="N56" t="s">
        <v>13</v>
      </c>
    </row>
    <row r="57" spans="1:14" x14ac:dyDescent="0.35">
      <c r="A57" s="75">
        <v>43837</v>
      </c>
      <c r="B57" t="s">
        <v>146</v>
      </c>
      <c r="C57" t="s">
        <v>92</v>
      </c>
      <c r="D57">
        <v>6</v>
      </c>
      <c r="E57">
        <v>5</v>
      </c>
      <c r="F57">
        <v>1</v>
      </c>
      <c r="G57" t="s">
        <v>71</v>
      </c>
      <c r="H57" t="s">
        <v>6</v>
      </c>
      <c r="J57" t="s">
        <v>47</v>
      </c>
      <c r="K57" t="s">
        <v>2</v>
      </c>
      <c r="L57" t="s">
        <v>67</v>
      </c>
      <c r="M57" t="s">
        <v>80</v>
      </c>
      <c r="N57" t="s">
        <v>14</v>
      </c>
    </row>
    <row r="58" spans="1:14" x14ac:dyDescent="0.35">
      <c r="A58" s="75">
        <v>43837</v>
      </c>
      <c r="B58" t="s">
        <v>146</v>
      </c>
      <c r="C58" t="s">
        <v>92</v>
      </c>
      <c r="D58">
        <v>5</v>
      </c>
      <c r="E58">
        <v>4</v>
      </c>
      <c r="F58">
        <v>1</v>
      </c>
      <c r="G58" t="s">
        <v>76</v>
      </c>
      <c r="H58" t="s">
        <v>79</v>
      </c>
      <c r="J58" t="s">
        <v>34</v>
      </c>
      <c r="K58" t="s">
        <v>2</v>
      </c>
      <c r="L58" t="s">
        <v>67</v>
      </c>
      <c r="M58" t="s">
        <v>82</v>
      </c>
      <c r="N58" t="s">
        <v>12</v>
      </c>
    </row>
    <row r="59" spans="1:14" x14ac:dyDescent="0.35">
      <c r="A59" s="75">
        <v>43837</v>
      </c>
      <c r="B59" t="s">
        <v>146</v>
      </c>
      <c r="C59" t="s">
        <v>92</v>
      </c>
      <c r="D59">
        <v>5</v>
      </c>
      <c r="E59">
        <v>3</v>
      </c>
      <c r="F59">
        <v>2</v>
      </c>
      <c r="G59" t="s">
        <v>72</v>
      </c>
      <c r="H59" t="s">
        <v>78</v>
      </c>
      <c r="J59" t="s">
        <v>30</v>
      </c>
      <c r="K59" t="s">
        <v>5</v>
      </c>
      <c r="L59" t="s">
        <v>67</v>
      </c>
      <c r="M59" t="s">
        <v>80</v>
      </c>
      <c r="N59" t="s">
        <v>12</v>
      </c>
    </row>
    <row r="60" spans="1:14" x14ac:dyDescent="0.35">
      <c r="A60" s="75">
        <v>43837</v>
      </c>
      <c r="B60" t="s">
        <v>146</v>
      </c>
      <c r="C60" t="s">
        <v>92</v>
      </c>
      <c r="D60">
        <v>5</v>
      </c>
      <c r="E60">
        <v>3</v>
      </c>
      <c r="F60">
        <v>2</v>
      </c>
      <c r="G60" t="s">
        <v>71</v>
      </c>
      <c r="H60" t="s">
        <v>6</v>
      </c>
      <c r="J60" t="s">
        <v>48</v>
      </c>
      <c r="K60" t="s">
        <v>8</v>
      </c>
      <c r="L60" t="s">
        <v>67</v>
      </c>
      <c r="M60" t="s">
        <v>81</v>
      </c>
      <c r="N60" t="s">
        <v>12</v>
      </c>
    </row>
    <row r="61" spans="1:14" x14ac:dyDescent="0.35">
      <c r="A61" s="75">
        <v>43837</v>
      </c>
      <c r="B61" t="s">
        <v>146</v>
      </c>
      <c r="C61" t="s">
        <v>92</v>
      </c>
      <c r="D61">
        <v>4</v>
      </c>
      <c r="E61">
        <v>2</v>
      </c>
      <c r="F61">
        <v>2</v>
      </c>
      <c r="G61" t="s">
        <v>71</v>
      </c>
      <c r="H61" t="s">
        <v>6</v>
      </c>
      <c r="J61" t="s">
        <v>24</v>
      </c>
      <c r="K61" t="s">
        <v>2</v>
      </c>
      <c r="L61" t="s">
        <v>67</v>
      </c>
      <c r="M61" t="s">
        <v>80</v>
      </c>
      <c r="N61" t="s">
        <v>12</v>
      </c>
    </row>
    <row r="62" spans="1:14" x14ac:dyDescent="0.35">
      <c r="A62" s="75">
        <v>43837</v>
      </c>
      <c r="B62" t="s">
        <v>146</v>
      </c>
      <c r="C62" t="s">
        <v>92</v>
      </c>
      <c r="D62">
        <v>3</v>
      </c>
      <c r="E62">
        <v>2</v>
      </c>
      <c r="F62">
        <v>1</v>
      </c>
      <c r="G62" t="s">
        <v>74</v>
      </c>
      <c r="H62" t="s">
        <v>77</v>
      </c>
      <c r="J62" t="s">
        <v>45</v>
      </c>
      <c r="K62" t="s">
        <v>2</v>
      </c>
      <c r="L62" t="s">
        <v>67</v>
      </c>
      <c r="M62" t="s">
        <v>81</v>
      </c>
      <c r="N62" t="s">
        <v>12</v>
      </c>
    </row>
    <row r="63" spans="1:14" x14ac:dyDescent="0.35">
      <c r="A63" s="75">
        <v>43838</v>
      </c>
      <c r="B63" t="s">
        <v>147</v>
      </c>
      <c r="C63" t="s">
        <v>92</v>
      </c>
      <c r="D63">
        <v>10</v>
      </c>
      <c r="E63">
        <v>10</v>
      </c>
      <c r="F63" t="s">
        <v>10</v>
      </c>
      <c r="G63" t="s">
        <v>73</v>
      </c>
      <c r="H63" t="s">
        <v>78</v>
      </c>
      <c r="J63" t="s">
        <v>52</v>
      </c>
      <c r="K63" t="s">
        <v>2</v>
      </c>
      <c r="L63" t="s">
        <v>67</v>
      </c>
      <c r="M63" t="s">
        <v>80</v>
      </c>
      <c r="N63" t="s">
        <v>12</v>
      </c>
    </row>
    <row r="64" spans="1:14" x14ac:dyDescent="0.35">
      <c r="A64" s="75">
        <v>43838</v>
      </c>
      <c r="B64" t="s">
        <v>147</v>
      </c>
      <c r="C64" t="s">
        <v>92</v>
      </c>
      <c r="D64">
        <v>8</v>
      </c>
      <c r="E64">
        <v>8</v>
      </c>
      <c r="F64" t="s">
        <v>10</v>
      </c>
      <c r="G64" t="s">
        <v>70</v>
      </c>
      <c r="H64" t="s">
        <v>1</v>
      </c>
      <c r="J64" t="s">
        <v>27</v>
      </c>
      <c r="K64" t="s">
        <v>5</v>
      </c>
      <c r="L64" t="s">
        <v>67</v>
      </c>
      <c r="M64" t="s">
        <v>82</v>
      </c>
      <c r="N64" t="s">
        <v>14</v>
      </c>
    </row>
    <row r="65" spans="1:14" x14ac:dyDescent="0.35">
      <c r="A65" s="75">
        <v>43838</v>
      </c>
      <c r="B65" t="s">
        <v>147</v>
      </c>
      <c r="C65" t="s">
        <v>92</v>
      </c>
      <c r="D65">
        <v>8</v>
      </c>
      <c r="E65">
        <v>8</v>
      </c>
      <c r="F65" t="s">
        <v>10</v>
      </c>
      <c r="G65" t="s">
        <v>74</v>
      </c>
      <c r="H65" t="s">
        <v>77</v>
      </c>
      <c r="J65" t="s">
        <v>30</v>
      </c>
      <c r="K65" t="s">
        <v>5</v>
      </c>
      <c r="L65" t="s">
        <v>67</v>
      </c>
      <c r="M65" t="s">
        <v>80</v>
      </c>
      <c r="N65" t="s">
        <v>12</v>
      </c>
    </row>
    <row r="66" spans="1:14" x14ac:dyDescent="0.35">
      <c r="A66" s="75">
        <v>43838</v>
      </c>
      <c r="B66" t="s">
        <v>147</v>
      </c>
      <c r="C66" t="s">
        <v>92</v>
      </c>
      <c r="D66">
        <v>6</v>
      </c>
      <c r="E66">
        <v>6</v>
      </c>
      <c r="F66" t="s">
        <v>10</v>
      </c>
      <c r="G66" t="s">
        <v>73</v>
      </c>
      <c r="H66" t="s">
        <v>78</v>
      </c>
      <c r="J66" t="s">
        <v>49</v>
      </c>
      <c r="K66" t="s">
        <v>4</v>
      </c>
      <c r="L66" t="s">
        <v>67</v>
      </c>
      <c r="M66" t="s">
        <v>81</v>
      </c>
      <c r="N66" t="s">
        <v>13</v>
      </c>
    </row>
    <row r="67" spans="1:14" x14ac:dyDescent="0.35">
      <c r="A67" s="75">
        <v>43838</v>
      </c>
      <c r="B67" t="s">
        <v>147</v>
      </c>
      <c r="C67" t="s">
        <v>92</v>
      </c>
      <c r="D67">
        <v>6</v>
      </c>
      <c r="E67">
        <v>6</v>
      </c>
      <c r="F67" t="s">
        <v>10</v>
      </c>
      <c r="G67" t="s">
        <v>72</v>
      </c>
      <c r="H67" t="s">
        <v>78</v>
      </c>
      <c r="J67" t="s">
        <v>50</v>
      </c>
      <c r="K67" t="s">
        <v>5</v>
      </c>
      <c r="L67" t="s">
        <v>67</v>
      </c>
      <c r="M67" t="s">
        <v>82</v>
      </c>
      <c r="N67" t="s">
        <v>14</v>
      </c>
    </row>
    <row r="68" spans="1:14" x14ac:dyDescent="0.35">
      <c r="A68" s="75">
        <v>43838</v>
      </c>
      <c r="B68" t="s">
        <v>147</v>
      </c>
      <c r="C68" t="s">
        <v>92</v>
      </c>
      <c r="D68">
        <v>6</v>
      </c>
      <c r="E68">
        <v>6</v>
      </c>
      <c r="F68" t="s">
        <v>10</v>
      </c>
      <c r="G68" t="s">
        <v>73</v>
      </c>
      <c r="H68" t="s">
        <v>78</v>
      </c>
      <c r="J68" t="s">
        <v>51</v>
      </c>
      <c r="K68" t="s">
        <v>5</v>
      </c>
      <c r="L68" t="s">
        <v>67</v>
      </c>
      <c r="M68" t="s">
        <v>81</v>
      </c>
      <c r="N68" t="s">
        <v>11</v>
      </c>
    </row>
    <row r="69" spans="1:14" x14ac:dyDescent="0.35">
      <c r="A69" s="75">
        <v>43838</v>
      </c>
      <c r="B69" t="s">
        <v>147</v>
      </c>
      <c r="C69" t="s">
        <v>92</v>
      </c>
      <c r="D69">
        <v>5</v>
      </c>
      <c r="E69">
        <v>5</v>
      </c>
      <c r="F69" t="s">
        <v>10</v>
      </c>
      <c r="G69" t="s">
        <v>72</v>
      </c>
      <c r="H69" t="s">
        <v>78</v>
      </c>
      <c r="J69" t="s">
        <v>38</v>
      </c>
      <c r="K69" t="s">
        <v>2</v>
      </c>
      <c r="L69" t="s">
        <v>67</v>
      </c>
      <c r="M69" t="s">
        <v>82</v>
      </c>
      <c r="N69" t="s">
        <v>13</v>
      </c>
    </row>
    <row r="70" spans="1:14" x14ac:dyDescent="0.35">
      <c r="A70" s="75">
        <v>43838</v>
      </c>
      <c r="B70" t="s">
        <v>147</v>
      </c>
      <c r="C70" t="s">
        <v>92</v>
      </c>
      <c r="D70">
        <v>5</v>
      </c>
      <c r="E70">
        <v>5</v>
      </c>
      <c r="F70" t="s">
        <v>10</v>
      </c>
      <c r="G70" t="s">
        <v>72</v>
      </c>
      <c r="H70" t="s">
        <v>78</v>
      </c>
      <c r="J70" t="s">
        <v>25</v>
      </c>
      <c r="K70" t="s">
        <v>9</v>
      </c>
      <c r="L70" t="s">
        <v>67</v>
      </c>
      <c r="M70" t="s">
        <v>82</v>
      </c>
      <c r="N70" t="s">
        <v>11</v>
      </c>
    </row>
    <row r="71" spans="1:14" x14ac:dyDescent="0.35">
      <c r="A71" s="75">
        <v>43838</v>
      </c>
      <c r="B71" t="s">
        <v>147</v>
      </c>
      <c r="C71" t="s">
        <v>92</v>
      </c>
      <c r="D71">
        <v>5</v>
      </c>
      <c r="E71">
        <v>5</v>
      </c>
      <c r="F71" t="s">
        <v>10</v>
      </c>
      <c r="G71" t="s">
        <v>71</v>
      </c>
      <c r="H71" t="s">
        <v>6</v>
      </c>
      <c r="J71" t="s">
        <v>30</v>
      </c>
      <c r="K71" t="s">
        <v>8</v>
      </c>
      <c r="L71" t="s">
        <v>67</v>
      </c>
      <c r="M71" t="s">
        <v>82</v>
      </c>
      <c r="N71" t="s">
        <v>11</v>
      </c>
    </row>
    <row r="72" spans="1:14" x14ac:dyDescent="0.35">
      <c r="A72" s="75">
        <v>43838</v>
      </c>
      <c r="B72" t="s">
        <v>147</v>
      </c>
      <c r="C72" t="s">
        <v>92</v>
      </c>
      <c r="D72">
        <v>5</v>
      </c>
      <c r="E72">
        <v>5</v>
      </c>
      <c r="F72" t="s">
        <v>10</v>
      </c>
      <c r="G72" t="s">
        <v>114</v>
      </c>
      <c r="H72" t="s">
        <v>3</v>
      </c>
      <c r="J72" t="s">
        <v>46</v>
      </c>
      <c r="K72" t="s">
        <v>2</v>
      </c>
      <c r="L72" t="s">
        <v>67</v>
      </c>
      <c r="M72" t="s">
        <v>80</v>
      </c>
      <c r="N72" t="s">
        <v>14</v>
      </c>
    </row>
    <row r="73" spans="1:14" x14ac:dyDescent="0.35">
      <c r="A73" s="75">
        <v>43839</v>
      </c>
      <c r="B73" t="s">
        <v>148</v>
      </c>
      <c r="C73" t="s">
        <v>92</v>
      </c>
      <c r="D73">
        <v>10</v>
      </c>
      <c r="E73">
        <v>10</v>
      </c>
      <c r="F73" t="s">
        <v>10</v>
      </c>
      <c r="G73" t="s">
        <v>76</v>
      </c>
      <c r="H73" t="s">
        <v>79</v>
      </c>
      <c r="J73" t="s">
        <v>20</v>
      </c>
      <c r="K73" t="s">
        <v>5</v>
      </c>
      <c r="L73" t="s">
        <v>67</v>
      </c>
      <c r="M73" t="s">
        <v>82</v>
      </c>
      <c r="N73" t="s">
        <v>13</v>
      </c>
    </row>
    <row r="74" spans="1:14" x14ac:dyDescent="0.35">
      <c r="A74" s="75">
        <v>43839</v>
      </c>
      <c r="B74" t="s">
        <v>148</v>
      </c>
      <c r="C74" t="s">
        <v>92</v>
      </c>
      <c r="D74">
        <v>9</v>
      </c>
      <c r="E74">
        <v>9</v>
      </c>
      <c r="F74" t="s">
        <v>10</v>
      </c>
      <c r="G74" t="s">
        <v>70</v>
      </c>
      <c r="H74" t="s">
        <v>1</v>
      </c>
      <c r="J74" t="s">
        <v>39</v>
      </c>
      <c r="K74" t="s">
        <v>2</v>
      </c>
      <c r="L74" t="s">
        <v>67</v>
      </c>
      <c r="M74" t="s">
        <v>81</v>
      </c>
      <c r="N74" t="s">
        <v>14</v>
      </c>
    </row>
    <row r="75" spans="1:14" x14ac:dyDescent="0.35">
      <c r="A75" s="75">
        <v>43839</v>
      </c>
      <c r="B75" t="s">
        <v>148</v>
      </c>
      <c r="C75" t="s">
        <v>92</v>
      </c>
      <c r="D75">
        <v>9</v>
      </c>
      <c r="E75">
        <v>9</v>
      </c>
      <c r="F75" t="s">
        <v>10</v>
      </c>
      <c r="G75" t="s">
        <v>113</v>
      </c>
      <c r="H75" t="s">
        <v>77</v>
      </c>
      <c r="J75" t="s">
        <v>50</v>
      </c>
      <c r="K75" t="s">
        <v>5</v>
      </c>
      <c r="L75" t="s">
        <v>67</v>
      </c>
      <c r="M75" t="s">
        <v>82</v>
      </c>
      <c r="N75" t="s">
        <v>12</v>
      </c>
    </row>
    <row r="76" spans="1:14" x14ac:dyDescent="0.35">
      <c r="A76" s="75">
        <v>43839</v>
      </c>
      <c r="B76" t="s">
        <v>148</v>
      </c>
      <c r="C76" t="s">
        <v>92</v>
      </c>
      <c r="D76">
        <v>8</v>
      </c>
      <c r="E76">
        <v>8</v>
      </c>
      <c r="F76" t="s">
        <v>10</v>
      </c>
      <c r="G76" t="s">
        <v>113</v>
      </c>
      <c r="H76" t="s">
        <v>77</v>
      </c>
      <c r="J76" t="s">
        <v>43</v>
      </c>
      <c r="K76" t="s">
        <v>2</v>
      </c>
      <c r="L76" t="s">
        <v>67</v>
      </c>
      <c r="M76" t="s">
        <v>80</v>
      </c>
      <c r="N76" t="s">
        <v>14</v>
      </c>
    </row>
    <row r="77" spans="1:14" x14ac:dyDescent="0.35">
      <c r="A77" s="75">
        <v>43839</v>
      </c>
      <c r="B77" t="s">
        <v>148</v>
      </c>
      <c r="C77" t="s">
        <v>92</v>
      </c>
      <c r="D77">
        <v>7</v>
      </c>
      <c r="E77">
        <v>7</v>
      </c>
      <c r="F77" t="s">
        <v>10</v>
      </c>
      <c r="G77" t="s">
        <v>73</v>
      </c>
      <c r="H77" t="s">
        <v>78</v>
      </c>
      <c r="J77" t="s">
        <v>39</v>
      </c>
      <c r="K77" t="s">
        <v>2</v>
      </c>
      <c r="L77" t="s">
        <v>67</v>
      </c>
      <c r="M77" t="s">
        <v>80</v>
      </c>
      <c r="N77" t="s">
        <v>11</v>
      </c>
    </row>
    <row r="78" spans="1:14" x14ac:dyDescent="0.35">
      <c r="A78" s="75">
        <v>43839</v>
      </c>
      <c r="B78" t="s">
        <v>148</v>
      </c>
      <c r="C78" t="s">
        <v>92</v>
      </c>
      <c r="D78">
        <v>7</v>
      </c>
      <c r="E78">
        <v>7</v>
      </c>
      <c r="F78" t="s">
        <v>10</v>
      </c>
      <c r="G78" t="s">
        <v>113</v>
      </c>
      <c r="H78" t="s">
        <v>77</v>
      </c>
      <c r="J78" t="s">
        <v>19</v>
      </c>
      <c r="K78" t="s">
        <v>9</v>
      </c>
      <c r="L78" t="s">
        <v>67</v>
      </c>
      <c r="M78" t="s">
        <v>80</v>
      </c>
      <c r="N78" t="s">
        <v>12</v>
      </c>
    </row>
    <row r="79" spans="1:14" x14ac:dyDescent="0.35">
      <c r="A79" s="75">
        <v>43839</v>
      </c>
      <c r="B79" t="s">
        <v>148</v>
      </c>
      <c r="C79" t="s">
        <v>92</v>
      </c>
      <c r="D79">
        <v>6</v>
      </c>
      <c r="E79">
        <v>6</v>
      </c>
      <c r="F79" t="s">
        <v>10</v>
      </c>
      <c r="G79" t="s">
        <v>114</v>
      </c>
      <c r="H79" t="s">
        <v>3</v>
      </c>
      <c r="J79" t="s">
        <v>46</v>
      </c>
      <c r="K79" t="s">
        <v>2</v>
      </c>
      <c r="L79" t="s">
        <v>67</v>
      </c>
      <c r="M79" t="s">
        <v>81</v>
      </c>
      <c r="N79" t="s">
        <v>12</v>
      </c>
    </row>
    <row r="80" spans="1:14" x14ac:dyDescent="0.35">
      <c r="A80" s="75">
        <v>43839</v>
      </c>
      <c r="B80" t="s">
        <v>148</v>
      </c>
      <c r="C80" t="s">
        <v>92</v>
      </c>
      <c r="D80">
        <v>5</v>
      </c>
      <c r="E80">
        <v>5</v>
      </c>
      <c r="F80" t="s">
        <v>10</v>
      </c>
      <c r="G80" t="s">
        <v>76</v>
      </c>
      <c r="H80" t="s">
        <v>79</v>
      </c>
      <c r="J80" t="s">
        <v>35</v>
      </c>
      <c r="K80" t="s">
        <v>5</v>
      </c>
      <c r="L80" t="s">
        <v>67</v>
      </c>
      <c r="M80" t="s">
        <v>81</v>
      </c>
      <c r="N80" t="s">
        <v>11</v>
      </c>
    </row>
    <row r="81" spans="1:14" x14ac:dyDescent="0.35">
      <c r="A81" s="75">
        <v>43839</v>
      </c>
      <c r="B81" t="s">
        <v>148</v>
      </c>
      <c r="C81" t="s">
        <v>92</v>
      </c>
      <c r="D81">
        <v>4</v>
      </c>
      <c r="E81">
        <v>4</v>
      </c>
      <c r="F81" t="s">
        <v>10</v>
      </c>
      <c r="G81" t="s">
        <v>113</v>
      </c>
      <c r="H81" t="s">
        <v>77</v>
      </c>
      <c r="J81" t="s">
        <v>51</v>
      </c>
      <c r="K81" t="s">
        <v>9</v>
      </c>
      <c r="L81" t="s">
        <v>67</v>
      </c>
      <c r="M81" t="s">
        <v>81</v>
      </c>
      <c r="N81" t="s">
        <v>13</v>
      </c>
    </row>
    <row r="82" spans="1:14" x14ac:dyDescent="0.35">
      <c r="A82" s="75">
        <v>43839</v>
      </c>
      <c r="B82" t="s">
        <v>148</v>
      </c>
      <c r="C82" t="s">
        <v>92</v>
      </c>
      <c r="D82">
        <v>3</v>
      </c>
      <c r="E82">
        <v>3</v>
      </c>
      <c r="F82" t="s">
        <v>10</v>
      </c>
      <c r="G82" t="s">
        <v>74</v>
      </c>
      <c r="H82" t="s">
        <v>77</v>
      </c>
      <c r="J82" t="s">
        <v>53</v>
      </c>
      <c r="K82" t="s">
        <v>2</v>
      </c>
      <c r="L82" t="s">
        <v>67</v>
      </c>
      <c r="M82" t="s">
        <v>82</v>
      </c>
      <c r="N82" t="s">
        <v>11</v>
      </c>
    </row>
    <row r="83" spans="1:14" x14ac:dyDescent="0.35">
      <c r="A83" s="75">
        <v>43840</v>
      </c>
      <c r="B83" t="s">
        <v>149</v>
      </c>
      <c r="C83" t="s">
        <v>92</v>
      </c>
      <c r="D83">
        <v>10</v>
      </c>
      <c r="E83">
        <v>10</v>
      </c>
      <c r="F83" t="s">
        <v>10</v>
      </c>
      <c r="G83" t="s">
        <v>73</v>
      </c>
      <c r="H83" t="s">
        <v>78</v>
      </c>
      <c r="J83" t="s">
        <v>44</v>
      </c>
      <c r="K83" t="s">
        <v>2</v>
      </c>
      <c r="L83" t="s">
        <v>67</v>
      </c>
      <c r="M83" t="s">
        <v>80</v>
      </c>
      <c r="N83" t="s">
        <v>14</v>
      </c>
    </row>
    <row r="84" spans="1:14" x14ac:dyDescent="0.35">
      <c r="A84" s="75">
        <v>43840</v>
      </c>
      <c r="B84" t="s">
        <v>149</v>
      </c>
      <c r="C84" t="s">
        <v>92</v>
      </c>
      <c r="D84">
        <v>9</v>
      </c>
      <c r="E84">
        <v>9</v>
      </c>
      <c r="F84" t="s">
        <v>10</v>
      </c>
      <c r="G84" t="s">
        <v>114</v>
      </c>
      <c r="H84" t="s">
        <v>3</v>
      </c>
      <c r="J84" t="s">
        <v>41</v>
      </c>
      <c r="K84" t="s">
        <v>5</v>
      </c>
      <c r="L84" t="s">
        <v>67</v>
      </c>
      <c r="M84" t="s">
        <v>82</v>
      </c>
      <c r="N84" t="s">
        <v>11</v>
      </c>
    </row>
    <row r="85" spans="1:14" x14ac:dyDescent="0.35">
      <c r="A85" s="75">
        <v>43840</v>
      </c>
      <c r="B85" t="s">
        <v>149</v>
      </c>
      <c r="C85" t="s">
        <v>92</v>
      </c>
      <c r="D85">
        <v>9</v>
      </c>
      <c r="E85">
        <v>9</v>
      </c>
      <c r="F85" t="s">
        <v>10</v>
      </c>
      <c r="G85" t="s">
        <v>74</v>
      </c>
      <c r="H85" t="s">
        <v>77</v>
      </c>
      <c r="J85" t="s">
        <v>38</v>
      </c>
      <c r="K85" t="s">
        <v>5</v>
      </c>
      <c r="L85" t="s">
        <v>67</v>
      </c>
      <c r="M85" t="s">
        <v>82</v>
      </c>
      <c r="N85" t="s">
        <v>11</v>
      </c>
    </row>
    <row r="86" spans="1:14" x14ac:dyDescent="0.35">
      <c r="A86" s="75">
        <v>43840</v>
      </c>
      <c r="B86" t="s">
        <v>149</v>
      </c>
      <c r="C86" t="s">
        <v>92</v>
      </c>
      <c r="D86">
        <v>9</v>
      </c>
      <c r="E86">
        <v>9</v>
      </c>
      <c r="F86" t="s">
        <v>10</v>
      </c>
      <c r="G86" t="s">
        <v>113</v>
      </c>
      <c r="H86" t="s">
        <v>77</v>
      </c>
      <c r="J86" t="s">
        <v>17</v>
      </c>
      <c r="K86" t="s">
        <v>9</v>
      </c>
      <c r="L86" t="s">
        <v>67</v>
      </c>
      <c r="M86" t="s">
        <v>82</v>
      </c>
      <c r="N86" t="s">
        <v>13</v>
      </c>
    </row>
    <row r="87" spans="1:14" x14ac:dyDescent="0.35">
      <c r="A87" s="75">
        <v>43840</v>
      </c>
      <c r="B87" t="s">
        <v>149</v>
      </c>
      <c r="C87" t="s">
        <v>92</v>
      </c>
      <c r="D87">
        <v>8</v>
      </c>
      <c r="E87">
        <v>8</v>
      </c>
      <c r="F87" t="s">
        <v>10</v>
      </c>
      <c r="G87" t="s">
        <v>74</v>
      </c>
      <c r="H87" t="s">
        <v>77</v>
      </c>
      <c r="J87" t="s">
        <v>18</v>
      </c>
      <c r="K87" t="s">
        <v>5</v>
      </c>
      <c r="L87" t="s">
        <v>67</v>
      </c>
      <c r="M87" t="s">
        <v>82</v>
      </c>
      <c r="N87" t="s">
        <v>11</v>
      </c>
    </row>
    <row r="88" spans="1:14" x14ac:dyDescent="0.35">
      <c r="A88" s="75">
        <v>43840</v>
      </c>
      <c r="B88" t="s">
        <v>149</v>
      </c>
      <c r="C88" t="s">
        <v>92</v>
      </c>
      <c r="D88">
        <v>8</v>
      </c>
      <c r="E88">
        <v>8</v>
      </c>
      <c r="F88" t="s">
        <v>10</v>
      </c>
      <c r="G88" t="s">
        <v>73</v>
      </c>
      <c r="H88" t="s">
        <v>78</v>
      </c>
      <c r="J88" t="s">
        <v>38</v>
      </c>
      <c r="K88" t="s">
        <v>2</v>
      </c>
      <c r="L88" t="s">
        <v>67</v>
      </c>
      <c r="M88" t="s">
        <v>81</v>
      </c>
      <c r="N88" t="s">
        <v>14</v>
      </c>
    </row>
    <row r="89" spans="1:14" x14ac:dyDescent="0.35">
      <c r="A89" s="75">
        <v>43840</v>
      </c>
      <c r="B89" t="s">
        <v>149</v>
      </c>
      <c r="C89" t="s">
        <v>92</v>
      </c>
      <c r="D89">
        <v>7</v>
      </c>
      <c r="E89">
        <v>7</v>
      </c>
      <c r="F89" t="s">
        <v>10</v>
      </c>
      <c r="G89" t="s">
        <v>71</v>
      </c>
      <c r="H89" t="s">
        <v>6</v>
      </c>
      <c r="J89" t="s">
        <v>48</v>
      </c>
      <c r="K89" t="s">
        <v>8</v>
      </c>
      <c r="L89" t="s">
        <v>67</v>
      </c>
      <c r="M89" t="s">
        <v>82</v>
      </c>
      <c r="N89" t="s">
        <v>14</v>
      </c>
    </row>
    <row r="90" spans="1:14" x14ac:dyDescent="0.35">
      <c r="A90" s="75">
        <v>43840</v>
      </c>
      <c r="B90" t="s">
        <v>149</v>
      </c>
      <c r="C90" t="s">
        <v>92</v>
      </c>
      <c r="D90">
        <v>6</v>
      </c>
      <c r="E90">
        <v>6</v>
      </c>
      <c r="F90" t="s">
        <v>10</v>
      </c>
      <c r="G90" t="s">
        <v>113</v>
      </c>
      <c r="H90" t="s">
        <v>77</v>
      </c>
      <c r="J90" t="s">
        <v>19</v>
      </c>
      <c r="K90" t="s">
        <v>5</v>
      </c>
      <c r="L90" t="s">
        <v>67</v>
      </c>
      <c r="M90" t="s">
        <v>80</v>
      </c>
      <c r="N90" t="s">
        <v>14</v>
      </c>
    </row>
    <row r="91" spans="1:14" x14ac:dyDescent="0.35">
      <c r="A91" s="75">
        <v>43840</v>
      </c>
      <c r="B91" t="s">
        <v>149</v>
      </c>
      <c r="C91" t="s">
        <v>92</v>
      </c>
      <c r="D91">
        <v>6</v>
      </c>
      <c r="E91">
        <v>6</v>
      </c>
      <c r="F91" t="s">
        <v>10</v>
      </c>
      <c r="G91" t="s">
        <v>73</v>
      </c>
      <c r="H91" t="s">
        <v>78</v>
      </c>
      <c r="J91" t="s">
        <v>32</v>
      </c>
      <c r="K91" t="s">
        <v>2</v>
      </c>
      <c r="L91" t="s">
        <v>67</v>
      </c>
      <c r="M91" t="s">
        <v>80</v>
      </c>
      <c r="N91" t="s">
        <v>14</v>
      </c>
    </row>
    <row r="92" spans="1:14" x14ac:dyDescent="0.35">
      <c r="A92" s="75">
        <v>43840</v>
      </c>
      <c r="B92" t="s">
        <v>149</v>
      </c>
      <c r="C92" t="s">
        <v>92</v>
      </c>
      <c r="D92">
        <v>4</v>
      </c>
      <c r="E92">
        <v>4</v>
      </c>
      <c r="F92" t="s">
        <v>10</v>
      </c>
      <c r="G92" t="s">
        <v>76</v>
      </c>
      <c r="H92" t="s">
        <v>79</v>
      </c>
      <c r="J92" t="s">
        <v>31</v>
      </c>
      <c r="K92" t="s">
        <v>2</v>
      </c>
      <c r="L92" t="s">
        <v>67</v>
      </c>
      <c r="M92" t="s">
        <v>82</v>
      </c>
      <c r="N92" t="s">
        <v>11</v>
      </c>
    </row>
    <row r="93" spans="1:14" x14ac:dyDescent="0.35">
      <c r="A93" s="75">
        <v>43840</v>
      </c>
      <c r="B93" t="s">
        <v>149</v>
      </c>
      <c r="C93" t="s">
        <v>92</v>
      </c>
      <c r="D93">
        <v>3</v>
      </c>
      <c r="E93">
        <v>3</v>
      </c>
      <c r="F93" t="s">
        <v>10</v>
      </c>
      <c r="G93" t="s">
        <v>72</v>
      </c>
      <c r="H93" t="s">
        <v>78</v>
      </c>
      <c r="J93" t="s">
        <v>51</v>
      </c>
      <c r="K93" t="s">
        <v>2</v>
      </c>
      <c r="L93" t="s">
        <v>67</v>
      </c>
      <c r="M93" t="s">
        <v>82</v>
      </c>
      <c r="N93" t="s">
        <v>12</v>
      </c>
    </row>
    <row r="94" spans="1:14" x14ac:dyDescent="0.35">
      <c r="A94" s="75">
        <v>43840</v>
      </c>
      <c r="B94" t="s">
        <v>149</v>
      </c>
      <c r="C94" t="s">
        <v>92</v>
      </c>
      <c r="D94">
        <v>3</v>
      </c>
      <c r="E94">
        <v>3</v>
      </c>
      <c r="F94" t="s">
        <v>10</v>
      </c>
      <c r="G94" t="s">
        <v>74</v>
      </c>
      <c r="H94" t="s">
        <v>77</v>
      </c>
      <c r="J94" t="s">
        <v>54</v>
      </c>
      <c r="K94" t="s">
        <v>5</v>
      </c>
      <c r="L94" t="s">
        <v>67</v>
      </c>
      <c r="M94" t="s">
        <v>80</v>
      </c>
      <c r="N94" t="s">
        <v>11</v>
      </c>
    </row>
    <row r="95" spans="1:14" x14ac:dyDescent="0.35">
      <c r="A95" s="75">
        <v>43841</v>
      </c>
      <c r="B95" t="s">
        <v>150</v>
      </c>
      <c r="C95" t="s">
        <v>92</v>
      </c>
      <c r="D95">
        <v>10</v>
      </c>
      <c r="E95">
        <v>10</v>
      </c>
      <c r="F95" t="s">
        <v>10</v>
      </c>
      <c r="G95" t="s">
        <v>72</v>
      </c>
      <c r="H95" t="s">
        <v>78</v>
      </c>
      <c r="J95" t="s">
        <v>30</v>
      </c>
      <c r="K95" t="s">
        <v>2</v>
      </c>
      <c r="L95" t="s">
        <v>67</v>
      </c>
      <c r="M95" t="s">
        <v>82</v>
      </c>
      <c r="N95" t="s">
        <v>11</v>
      </c>
    </row>
    <row r="96" spans="1:14" x14ac:dyDescent="0.35">
      <c r="A96" s="75">
        <v>43841</v>
      </c>
      <c r="B96" t="s">
        <v>150</v>
      </c>
      <c r="C96" t="s">
        <v>92</v>
      </c>
      <c r="D96">
        <v>8</v>
      </c>
      <c r="E96">
        <v>8</v>
      </c>
      <c r="F96" t="s">
        <v>10</v>
      </c>
      <c r="G96" t="s">
        <v>71</v>
      </c>
      <c r="H96" t="s">
        <v>6</v>
      </c>
      <c r="J96" t="s">
        <v>34</v>
      </c>
      <c r="K96" t="s">
        <v>8</v>
      </c>
      <c r="L96" t="s">
        <v>67</v>
      </c>
      <c r="M96" t="s">
        <v>81</v>
      </c>
      <c r="N96" t="s">
        <v>12</v>
      </c>
    </row>
    <row r="97" spans="1:14" x14ac:dyDescent="0.35">
      <c r="A97" s="75">
        <v>43841</v>
      </c>
      <c r="B97" t="s">
        <v>150</v>
      </c>
      <c r="C97" t="s">
        <v>92</v>
      </c>
      <c r="D97">
        <v>8</v>
      </c>
      <c r="E97">
        <v>8</v>
      </c>
      <c r="F97" t="s">
        <v>10</v>
      </c>
      <c r="G97" t="s">
        <v>75</v>
      </c>
      <c r="H97" t="s">
        <v>6</v>
      </c>
      <c r="J97" t="s">
        <v>34</v>
      </c>
      <c r="K97" t="s">
        <v>2</v>
      </c>
      <c r="L97" t="s">
        <v>67</v>
      </c>
      <c r="M97" t="s">
        <v>82</v>
      </c>
      <c r="N97" t="s">
        <v>14</v>
      </c>
    </row>
    <row r="98" spans="1:14" x14ac:dyDescent="0.35">
      <c r="A98" s="75">
        <v>43841</v>
      </c>
      <c r="B98" t="s">
        <v>150</v>
      </c>
      <c r="C98" t="s">
        <v>92</v>
      </c>
      <c r="D98">
        <v>8</v>
      </c>
      <c r="E98">
        <v>8</v>
      </c>
      <c r="F98" t="s">
        <v>10</v>
      </c>
      <c r="G98" t="s">
        <v>114</v>
      </c>
      <c r="H98" t="s">
        <v>3</v>
      </c>
      <c r="J98" t="s">
        <v>32</v>
      </c>
      <c r="K98" t="s">
        <v>2</v>
      </c>
      <c r="L98" t="s">
        <v>67</v>
      </c>
      <c r="M98" t="s">
        <v>80</v>
      </c>
      <c r="N98" t="s">
        <v>11</v>
      </c>
    </row>
    <row r="99" spans="1:14" x14ac:dyDescent="0.35">
      <c r="A99" s="75">
        <v>43841</v>
      </c>
      <c r="B99" t="s">
        <v>150</v>
      </c>
      <c r="C99" t="s">
        <v>92</v>
      </c>
      <c r="D99">
        <v>7</v>
      </c>
      <c r="E99">
        <v>7</v>
      </c>
      <c r="F99" t="s">
        <v>10</v>
      </c>
      <c r="G99" t="s">
        <v>75</v>
      </c>
      <c r="H99" t="s">
        <v>6</v>
      </c>
      <c r="J99" t="s">
        <v>37</v>
      </c>
      <c r="K99" t="s">
        <v>5</v>
      </c>
      <c r="L99" t="s">
        <v>67</v>
      </c>
      <c r="M99" t="s">
        <v>82</v>
      </c>
      <c r="N99" t="s">
        <v>11</v>
      </c>
    </row>
    <row r="100" spans="1:14" x14ac:dyDescent="0.35">
      <c r="A100" s="75">
        <v>43841</v>
      </c>
      <c r="B100" t="s">
        <v>150</v>
      </c>
      <c r="C100" t="s">
        <v>92</v>
      </c>
      <c r="D100">
        <v>6</v>
      </c>
      <c r="E100">
        <v>6</v>
      </c>
      <c r="F100" t="s">
        <v>10</v>
      </c>
      <c r="G100" t="s">
        <v>70</v>
      </c>
      <c r="H100" t="s">
        <v>1</v>
      </c>
      <c r="J100" t="s">
        <v>18</v>
      </c>
      <c r="K100" t="s">
        <v>5</v>
      </c>
      <c r="L100" t="s">
        <v>67</v>
      </c>
      <c r="M100" t="s">
        <v>80</v>
      </c>
      <c r="N100" t="s">
        <v>11</v>
      </c>
    </row>
    <row r="101" spans="1:14" x14ac:dyDescent="0.35">
      <c r="A101" s="75">
        <v>43841</v>
      </c>
      <c r="B101" t="s">
        <v>150</v>
      </c>
      <c r="C101" t="s">
        <v>92</v>
      </c>
      <c r="D101">
        <v>4</v>
      </c>
      <c r="E101">
        <v>4</v>
      </c>
      <c r="F101" t="s">
        <v>10</v>
      </c>
      <c r="G101" t="s">
        <v>76</v>
      </c>
      <c r="H101" t="s">
        <v>79</v>
      </c>
      <c r="J101" t="s">
        <v>18</v>
      </c>
      <c r="K101" t="s">
        <v>5</v>
      </c>
      <c r="L101" t="s">
        <v>67</v>
      </c>
      <c r="M101" t="s">
        <v>82</v>
      </c>
      <c r="N101" t="s">
        <v>13</v>
      </c>
    </row>
    <row r="102" spans="1:14" x14ac:dyDescent="0.35">
      <c r="A102" s="75">
        <v>43841</v>
      </c>
      <c r="B102" t="s">
        <v>150</v>
      </c>
      <c r="C102" t="s">
        <v>92</v>
      </c>
      <c r="D102">
        <v>4</v>
      </c>
      <c r="E102">
        <v>4</v>
      </c>
      <c r="F102" t="s">
        <v>10</v>
      </c>
      <c r="G102" t="s">
        <v>75</v>
      </c>
      <c r="H102" t="s">
        <v>6</v>
      </c>
      <c r="J102" t="s">
        <v>32</v>
      </c>
      <c r="K102" t="s">
        <v>2</v>
      </c>
      <c r="L102" t="s">
        <v>67</v>
      </c>
      <c r="M102" t="s">
        <v>82</v>
      </c>
      <c r="N102" t="s">
        <v>14</v>
      </c>
    </row>
    <row r="103" spans="1:14" x14ac:dyDescent="0.35">
      <c r="A103" s="75">
        <v>43841</v>
      </c>
      <c r="B103" t="s">
        <v>150</v>
      </c>
      <c r="C103" t="s">
        <v>92</v>
      </c>
      <c r="D103">
        <v>4</v>
      </c>
      <c r="E103">
        <v>4</v>
      </c>
      <c r="F103" t="s">
        <v>10</v>
      </c>
      <c r="G103" t="s">
        <v>76</v>
      </c>
      <c r="H103" t="s">
        <v>79</v>
      </c>
      <c r="J103" t="s">
        <v>56</v>
      </c>
      <c r="K103" t="s">
        <v>5</v>
      </c>
      <c r="L103" t="s">
        <v>67</v>
      </c>
      <c r="M103" t="s">
        <v>81</v>
      </c>
      <c r="N103" t="s">
        <v>12</v>
      </c>
    </row>
    <row r="104" spans="1:14" x14ac:dyDescent="0.35">
      <c r="A104" s="75">
        <v>43841</v>
      </c>
      <c r="B104" t="s">
        <v>150</v>
      </c>
      <c r="C104" t="s">
        <v>92</v>
      </c>
      <c r="D104">
        <v>3</v>
      </c>
      <c r="E104">
        <v>3</v>
      </c>
      <c r="F104" t="s">
        <v>10</v>
      </c>
      <c r="G104" t="s">
        <v>75</v>
      </c>
      <c r="H104" t="s">
        <v>6</v>
      </c>
      <c r="J104" t="s">
        <v>52</v>
      </c>
      <c r="K104" t="s">
        <v>2</v>
      </c>
      <c r="L104" t="s">
        <v>67</v>
      </c>
      <c r="M104" t="s">
        <v>82</v>
      </c>
      <c r="N104" t="s">
        <v>12</v>
      </c>
    </row>
    <row r="105" spans="1:14" x14ac:dyDescent="0.35">
      <c r="A105" s="75">
        <v>43841</v>
      </c>
      <c r="B105" t="s">
        <v>150</v>
      </c>
      <c r="C105" t="s">
        <v>92</v>
      </c>
      <c r="D105">
        <v>3</v>
      </c>
      <c r="E105">
        <v>3</v>
      </c>
      <c r="F105" t="s">
        <v>10</v>
      </c>
      <c r="G105" t="s">
        <v>73</v>
      </c>
      <c r="H105" t="s">
        <v>78</v>
      </c>
      <c r="J105" t="s">
        <v>19</v>
      </c>
      <c r="K105" t="s">
        <v>7</v>
      </c>
      <c r="L105" t="s">
        <v>67</v>
      </c>
      <c r="M105" t="s">
        <v>82</v>
      </c>
      <c r="N105" t="s">
        <v>13</v>
      </c>
    </row>
    <row r="106" spans="1:14" x14ac:dyDescent="0.35">
      <c r="A106" s="75">
        <v>43841</v>
      </c>
      <c r="B106" t="s">
        <v>150</v>
      </c>
      <c r="C106" t="s">
        <v>92</v>
      </c>
      <c r="D106">
        <v>3</v>
      </c>
      <c r="E106">
        <v>3</v>
      </c>
      <c r="F106" t="s">
        <v>10</v>
      </c>
      <c r="G106" t="s">
        <v>71</v>
      </c>
      <c r="H106" t="s">
        <v>6</v>
      </c>
      <c r="J106" t="s">
        <v>55</v>
      </c>
      <c r="K106" t="s">
        <v>5</v>
      </c>
      <c r="L106" t="s">
        <v>67</v>
      </c>
      <c r="M106" t="s">
        <v>81</v>
      </c>
      <c r="N106" t="s">
        <v>11</v>
      </c>
    </row>
    <row r="107" spans="1:14" x14ac:dyDescent="0.35">
      <c r="A107" s="75">
        <v>43841</v>
      </c>
      <c r="B107" t="s">
        <v>150</v>
      </c>
      <c r="C107" t="s">
        <v>92</v>
      </c>
      <c r="D107">
        <v>3</v>
      </c>
      <c r="E107">
        <v>3</v>
      </c>
      <c r="F107" t="s">
        <v>10</v>
      </c>
      <c r="G107" t="s">
        <v>75</v>
      </c>
      <c r="H107" t="s">
        <v>6</v>
      </c>
      <c r="J107" t="s">
        <v>34</v>
      </c>
      <c r="K107" t="s">
        <v>2</v>
      </c>
      <c r="L107" t="s">
        <v>67</v>
      </c>
      <c r="M107" t="s">
        <v>80</v>
      </c>
      <c r="N107" t="s">
        <v>14</v>
      </c>
    </row>
    <row r="108" spans="1:14" x14ac:dyDescent="0.35">
      <c r="A108" s="75">
        <v>43842</v>
      </c>
      <c r="B108" t="s">
        <v>151</v>
      </c>
      <c r="C108" t="s">
        <v>92</v>
      </c>
      <c r="D108">
        <v>10</v>
      </c>
      <c r="E108">
        <v>10</v>
      </c>
      <c r="F108" t="s">
        <v>10</v>
      </c>
      <c r="G108" t="s">
        <v>72</v>
      </c>
      <c r="H108" t="s">
        <v>78</v>
      </c>
      <c r="J108" t="s">
        <v>43</v>
      </c>
      <c r="K108" t="s">
        <v>5</v>
      </c>
      <c r="L108" t="s">
        <v>67</v>
      </c>
      <c r="M108" t="s">
        <v>80</v>
      </c>
      <c r="N108" t="s">
        <v>11</v>
      </c>
    </row>
    <row r="109" spans="1:14" x14ac:dyDescent="0.35">
      <c r="A109" s="75">
        <v>43842</v>
      </c>
      <c r="B109" t="s">
        <v>151</v>
      </c>
      <c r="C109" t="s">
        <v>92</v>
      </c>
      <c r="D109">
        <v>10</v>
      </c>
      <c r="E109">
        <v>10</v>
      </c>
      <c r="F109" t="s">
        <v>10</v>
      </c>
      <c r="G109" t="s">
        <v>70</v>
      </c>
      <c r="H109" t="s">
        <v>1</v>
      </c>
      <c r="J109" t="s">
        <v>29</v>
      </c>
      <c r="K109" t="s">
        <v>5</v>
      </c>
      <c r="L109" t="s">
        <v>67</v>
      </c>
      <c r="M109" t="s">
        <v>82</v>
      </c>
      <c r="N109" t="s">
        <v>13</v>
      </c>
    </row>
    <row r="110" spans="1:14" x14ac:dyDescent="0.35">
      <c r="A110" s="75">
        <v>43842</v>
      </c>
      <c r="B110" t="s">
        <v>151</v>
      </c>
      <c r="C110" t="s">
        <v>92</v>
      </c>
      <c r="D110">
        <v>10</v>
      </c>
      <c r="E110">
        <v>10</v>
      </c>
      <c r="F110" t="s">
        <v>10</v>
      </c>
      <c r="G110" t="s">
        <v>76</v>
      </c>
      <c r="H110" t="s">
        <v>79</v>
      </c>
      <c r="J110" t="s">
        <v>19</v>
      </c>
      <c r="K110" t="s">
        <v>2</v>
      </c>
      <c r="L110" t="s">
        <v>67</v>
      </c>
      <c r="M110" t="s">
        <v>82</v>
      </c>
      <c r="N110" t="s">
        <v>14</v>
      </c>
    </row>
    <row r="111" spans="1:14" x14ac:dyDescent="0.35">
      <c r="A111" s="75">
        <v>43842</v>
      </c>
      <c r="B111" t="s">
        <v>151</v>
      </c>
      <c r="C111" t="s">
        <v>92</v>
      </c>
      <c r="D111">
        <v>10</v>
      </c>
      <c r="E111">
        <v>10</v>
      </c>
      <c r="F111" t="s">
        <v>10</v>
      </c>
      <c r="G111" t="s">
        <v>75</v>
      </c>
      <c r="H111" t="s">
        <v>6</v>
      </c>
      <c r="J111" t="s">
        <v>25</v>
      </c>
      <c r="K111" t="s">
        <v>5</v>
      </c>
      <c r="L111" t="s">
        <v>67</v>
      </c>
      <c r="M111" t="s">
        <v>81</v>
      </c>
      <c r="N111" t="s">
        <v>11</v>
      </c>
    </row>
    <row r="112" spans="1:14" x14ac:dyDescent="0.35">
      <c r="A112" s="75">
        <v>43842</v>
      </c>
      <c r="B112" t="s">
        <v>151</v>
      </c>
      <c r="C112" t="s">
        <v>92</v>
      </c>
      <c r="D112">
        <v>10</v>
      </c>
      <c r="E112">
        <v>10</v>
      </c>
      <c r="F112" t="s">
        <v>10</v>
      </c>
      <c r="G112" t="s">
        <v>76</v>
      </c>
      <c r="H112" t="s">
        <v>79</v>
      </c>
      <c r="J112" t="s">
        <v>19</v>
      </c>
      <c r="K112" t="s">
        <v>9</v>
      </c>
      <c r="L112" t="s">
        <v>67</v>
      </c>
      <c r="M112" t="s">
        <v>81</v>
      </c>
      <c r="N112" t="s">
        <v>11</v>
      </c>
    </row>
    <row r="113" spans="1:14" x14ac:dyDescent="0.35">
      <c r="A113" s="75">
        <v>43842</v>
      </c>
      <c r="B113" t="s">
        <v>151</v>
      </c>
      <c r="C113" t="s">
        <v>92</v>
      </c>
      <c r="D113">
        <v>10</v>
      </c>
      <c r="E113">
        <v>10</v>
      </c>
      <c r="F113" t="s">
        <v>10</v>
      </c>
      <c r="G113" t="s">
        <v>75</v>
      </c>
      <c r="H113" t="s">
        <v>6</v>
      </c>
      <c r="J113" t="s">
        <v>55</v>
      </c>
      <c r="K113" t="s">
        <v>5</v>
      </c>
      <c r="L113" t="s">
        <v>67</v>
      </c>
      <c r="M113" t="s">
        <v>82</v>
      </c>
      <c r="N113" t="s">
        <v>13</v>
      </c>
    </row>
    <row r="114" spans="1:14" x14ac:dyDescent="0.35">
      <c r="A114" s="75">
        <v>43842</v>
      </c>
      <c r="B114" t="s">
        <v>151</v>
      </c>
      <c r="C114" t="s">
        <v>92</v>
      </c>
      <c r="D114">
        <v>9</v>
      </c>
      <c r="E114">
        <v>9</v>
      </c>
      <c r="F114" t="s">
        <v>10</v>
      </c>
      <c r="G114" t="s">
        <v>76</v>
      </c>
      <c r="H114" t="s">
        <v>79</v>
      </c>
      <c r="J114" t="s">
        <v>30</v>
      </c>
      <c r="K114" t="s">
        <v>8</v>
      </c>
      <c r="L114" t="s">
        <v>67</v>
      </c>
      <c r="M114" t="s">
        <v>80</v>
      </c>
      <c r="N114" t="s">
        <v>12</v>
      </c>
    </row>
    <row r="115" spans="1:14" x14ac:dyDescent="0.35">
      <c r="A115" s="75">
        <v>43842</v>
      </c>
      <c r="B115" t="s">
        <v>151</v>
      </c>
      <c r="C115" t="s">
        <v>92</v>
      </c>
      <c r="D115">
        <v>8</v>
      </c>
      <c r="E115">
        <v>8</v>
      </c>
      <c r="F115" t="s">
        <v>10</v>
      </c>
      <c r="G115" t="s">
        <v>113</v>
      </c>
      <c r="H115" t="s">
        <v>77</v>
      </c>
      <c r="J115" t="s">
        <v>57</v>
      </c>
      <c r="K115" t="s">
        <v>4</v>
      </c>
      <c r="L115" t="s">
        <v>67</v>
      </c>
      <c r="M115" t="s">
        <v>81</v>
      </c>
      <c r="N115" t="s">
        <v>13</v>
      </c>
    </row>
    <row r="116" spans="1:14" x14ac:dyDescent="0.35">
      <c r="A116" s="75">
        <v>43842</v>
      </c>
      <c r="B116" t="s">
        <v>151</v>
      </c>
      <c r="C116" t="s">
        <v>92</v>
      </c>
      <c r="D116">
        <v>7</v>
      </c>
      <c r="E116">
        <v>7</v>
      </c>
      <c r="F116" t="s">
        <v>10</v>
      </c>
      <c r="G116" t="s">
        <v>72</v>
      </c>
      <c r="H116" t="s">
        <v>78</v>
      </c>
      <c r="J116" t="s">
        <v>38</v>
      </c>
      <c r="K116" t="s">
        <v>2</v>
      </c>
      <c r="L116" t="s">
        <v>67</v>
      </c>
      <c r="M116" t="s">
        <v>81</v>
      </c>
      <c r="N116" t="s">
        <v>13</v>
      </c>
    </row>
    <row r="117" spans="1:14" x14ac:dyDescent="0.35">
      <c r="A117" s="75">
        <v>43842</v>
      </c>
      <c r="B117" t="s">
        <v>151</v>
      </c>
      <c r="C117" t="s">
        <v>92</v>
      </c>
      <c r="D117">
        <v>7</v>
      </c>
      <c r="E117">
        <v>7</v>
      </c>
      <c r="F117" t="s">
        <v>10</v>
      </c>
      <c r="G117" t="s">
        <v>73</v>
      </c>
      <c r="H117" t="s">
        <v>78</v>
      </c>
      <c r="J117" t="s">
        <v>42</v>
      </c>
      <c r="K117" t="s">
        <v>2</v>
      </c>
      <c r="L117" t="s">
        <v>67</v>
      </c>
      <c r="M117" t="s">
        <v>82</v>
      </c>
      <c r="N117" t="s">
        <v>11</v>
      </c>
    </row>
    <row r="118" spans="1:14" x14ac:dyDescent="0.35">
      <c r="A118" s="75">
        <v>43842</v>
      </c>
      <c r="B118" t="s">
        <v>151</v>
      </c>
      <c r="C118" t="s">
        <v>92</v>
      </c>
      <c r="D118">
        <v>5</v>
      </c>
      <c r="E118">
        <v>5</v>
      </c>
      <c r="F118" t="s">
        <v>10</v>
      </c>
      <c r="G118" t="s">
        <v>75</v>
      </c>
      <c r="H118" t="s">
        <v>6</v>
      </c>
      <c r="J118" t="s">
        <v>27</v>
      </c>
      <c r="K118" t="s">
        <v>5</v>
      </c>
      <c r="L118" t="s">
        <v>67</v>
      </c>
      <c r="M118" t="s">
        <v>82</v>
      </c>
      <c r="N118" t="s">
        <v>12</v>
      </c>
    </row>
    <row r="119" spans="1:14" x14ac:dyDescent="0.35">
      <c r="A119" s="75">
        <v>43842</v>
      </c>
      <c r="B119" t="s">
        <v>151</v>
      </c>
      <c r="C119" t="s">
        <v>92</v>
      </c>
      <c r="D119">
        <v>3</v>
      </c>
      <c r="E119">
        <v>3</v>
      </c>
      <c r="F119" t="s">
        <v>10</v>
      </c>
      <c r="G119" t="s">
        <v>73</v>
      </c>
      <c r="H119" t="s">
        <v>78</v>
      </c>
      <c r="J119" t="s">
        <v>36</v>
      </c>
      <c r="K119" t="s">
        <v>5</v>
      </c>
      <c r="L119" t="s">
        <v>67</v>
      </c>
      <c r="M119" t="s">
        <v>82</v>
      </c>
      <c r="N119" t="s">
        <v>12</v>
      </c>
    </row>
    <row r="120" spans="1:14" x14ac:dyDescent="0.35">
      <c r="A120" s="75">
        <v>43842</v>
      </c>
      <c r="B120" t="s">
        <v>151</v>
      </c>
      <c r="C120" t="s">
        <v>92</v>
      </c>
      <c r="D120">
        <v>3</v>
      </c>
      <c r="E120">
        <v>3</v>
      </c>
      <c r="F120" t="s">
        <v>10</v>
      </c>
      <c r="G120" t="s">
        <v>114</v>
      </c>
      <c r="H120" t="s">
        <v>3</v>
      </c>
      <c r="J120" t="s">
        <v>52</v>
      </c>
      <c r="K120" t="s">
        <v>2</v>
      </c>
      <c r="L120" t="s">
        <v>67</v>
      </c>
      <c r="M120" t="s">
        <v>82</v>
      </c>
      <c r="N120" t="s">
        <v>13</v>
      </c>
    </row>
    <row r="121" spans="1:14" x14ac:dyDescent="0.35">
      <c r="A121" s="75">
        <v>43843</v>
      </c>
      <c r="B121" t="s">
        <v>152</v>
      </c>
      <c r="C121" t="s">
        <v>92</v>
      </c>
      <c r="D121">
        <v>10</v>
      </c>
      <c r="E121">
        <v>8</v>
      </c>
      <c r="F121">
        <v>2</v>
      </c>
      <c r="G121" t="s">
        <v>73</v>
      </c>
      <c r="H121" t="s">
        <v>78</v>
      </c>
      <c r="J121" t="s">
        <v>41</v>
      </c>
      <c r="K121" t="s">
        <v>2</v>
      </c>
      <c r="L121" t="s">
        <v>67</v>
      </c>
      <c r="M121" t="s">
        <v>80</v>
      </c>
      <c r="N121" t="s">
        <v>14</v>
      </c>
    </row>
    <row r="122" spans="1:14" x14ac:dyDescent="0.35">
      <c r="A122" s="75">
        <v>43843</v>
      </c>
      <c r="B122" t="s">
        <v>152</v>
      </c>
      <c r="C122" t="s">
        <v>92</v>
      </c>
      <c r="D122">
        <v>10</v>
      </c>
      <c r="E122">
        <v>9</v>
      </c>
      <c r="F122">
        <v>1</v>
      </c>
      <c r="G122" t="s">
        <v>71</v>
      </c>
      <c r="H122" t="s">
        <v>6</v>
      </c>
      <c r="J122" t="s">
        <v>37</v>
      </c>
      <c r="K122" t="s">
        <v>5</v>
      </c>
      <c r="L122" t="s">
        <v>67</v>
      </c>
      <c r="M122" t="s">
        <v>82</v>
      </c>
      <c r="N122" t="s">
        <v>12</v>
      </c>
    </row>
    <row r="123" spans="1:14" x14ac:dyDescent="0.35">
      <c r="A123" s="75">
        <v>43843</v>
      </c>
      <c r="B123" t="s">
        <v>152</v>
      </c>
      <c r="C123" t="s">
        <v>92</v>
      </c>
      <c r="D123">
        <v>9</v>
      </c>
      <c r="E123">
        <v>7</v>
      </c>
      <c r="F123">
        <v>2</v>
      </c>
      <c r="G123" t="s">
        <v>113</v>
      </c>
      <c r="H123" t="s">
        <v>77</v>
      </c>
      <c r="J123" t="s">
        <v>28</v>
      </c>
      <c r="K123" t="s">
        <v>7</v>
      </c>
      <c r="L123" t="s">
        <v>67</v>
      </c>
      <c r="M123" t="s">
        <v>80</v>
      </c>
      <c r="N123" t="s">
        <v>11</v>
      </c>
    </row>
    <row r="124" spans="1:14" x14ac:dyDescent="0.35">
      <c r="A124" s="75">
        <v>43843</v>
      </c>
      <c r="B124" t="s">
        <v>152</v>
      </c>
      <c r="C124" t="s">
        <v>92</v>
      </c>
      <c r="D124">
        <v>9</v>
      </c>
      <c r="E124">
        <v>8</v>
      </c>
      <c r="F124">
        <v>1</v>
      </c>
      <c r="G124" t="s">
        <v>73</v>
      </c>
      <c r="H124" t="s">
        <v>78</v>
      </c>
      <c r="J124" t="s">
        <v>52</v>
      </c>
      <c r="K124" t="s">
        <v>2</v>
      </c>
      <c r="L124" t="s">
        <v>67</v>
      </c>
      <c r="M124" t="s">
        <v>81</v>
      </c>
      <c r="N124" t="s">
        <v>12</v>
      </c>
    </row>
    <row r="125" spans="1:14" x14ac:dyDescent="0.35">
      <c r="A125" s="75">
        <v>43843</v>
      </c>
      <c r="B125" t="s">
        <v>152</v>
      </c>
      <c r="C125" t="s">
        <v>92</v>
      </c>
      <c r="D125">
        <v>9</v>
      </c>
      <c r="E125">
        <v>7</v>
      </c>
      <c r="F125">
        <v>2</v>
      </c>
      <c r="G125" t="s">
        <v>75</v>
      </c>
      <c r="H125" t="s">
        <v>6</v>
      </c>
      <c r="J125" t="s">
        <v>35</v>
      </c>
      <c r="K125" t="s">
        <v>2</v>
      </c>
      <c r="L125" t="s">
        <v>67</v>
      </c>
      <c r="M125" t="s">
        <v>82</v>
      </c>
      <c r="N125" t="s">
        <v>14</v>
      </c>
    </row>
    <row r="126" spans="1:14" x14ac:dyDescent="0.35">
      <c r="A126" s="75">
        <v>43843</v>
      </c>
      <c r="B126" t="s">
        <v>152</v>
      </c>
      <c r="C126" t="s">
        <v>92</v>
      </c>
      <c r="D126">
        <v>9</v>
      </c>
      <c r="E126">
        <v>7</v>
      </c>
      <c r="F126">
        <v>2</v>
      </c>
      <c r="G126" t="s">
        <v>114</v>
      </c>
      <c r="H126" t="s">
        <v>3</v>
      </c>
      <c r="J126" t="s">
        <v>24</v>
      </c>
      <c r="K126" t="s">
        <v>5</v>
      </c>
      <c r="L126" t="s">
        <v>67</v>
      </c>
      <c r="M126" t="s">
        <v>80</v>
      </c>
      <c r="N126" t="s">
        <v>13</v>
      </c>
    </row>
    <row r="127" spans="1:14" x14ac:dyDescent="0.35">
      <c r="A127" s="75">
        <v>43843</v>
      </c>
      <c r="B127" t="s">
        <v>152</v>
      </c>
      <c r="C127" t="s">
        <v>92</v>
      </c>
      <c r="D127">
        <v>6</v>
      </c>
      <c r="E127">
        <v>3</v>
      </c>
      <c r="F127">
        <v>3</v>
      </c>
      <c r="G127" t="s">
        <v>71</v>
      </c>
      <c r="H127" t="s">
        <v>6</v>
      </c>
      <c r="J127" t="s">
        <v>25</v>
      </c>
      <c r="K127" t="s">
        <v>9</v>
      </c>
      <c r="L127" t="s">
        <v>67</v>
      </c>
      <c r="M127" t="s">
        <v>80</v>
      </c>
      <c r="N127" t="s">
        <v>11</v>
      </c>
    </row>
    <row r="128" spans="1:14" x14ac:dyDescent="0.35">
      <c r="A128" s="75">
        <v>43843</v>
      </c>
      <c r="B128" t="s">
        <v>152</v>
      </c>
      <c r="C128" t="s">
        <v>92</v>
      </c>
      <c r="D128">
        <v>5</v>
      </c>
      <c r="E128">
        <v>4</v>
      </c>
      <c r="F128">
        <v>1</v>
      </c>
      <c r="G128" t="s">
        <v>74</v>
      </c>
      <c r="H128" t="s">
        <v>77</v>
      </c>
      <c r="J128" t="s">
        <v>27</v>
      </c>
      <c r="K128" t="s">
        <v>2</v>
      </c>
      <c r="L128" t="s">
        <v>67</v>
      </c>
      <c r="M128" t="s">
        <v>80</v>
      </c>
      <c r="N128" t="s">
        <v>12</v>
      </c>
    </row>
    <row r="129" spans="1:14" x14ac:dyDescent="0.35">
      <c r="A129" s="75">
        <v>43843</v>
      </c>
      <c r="B129" t="s">
        <v>152</v>
      </c>
      <c r="C129" t="s">
        <v>92</v>
      </c>
      <c r="D129">
        <v>5</v>
      </c>
      <c r="E129">
        <v>4</v>
      </c>
      <c r="F129">
        <v>1</v>
      </c>
      <c r="G129" t="s">
        <v>74</v>
      </c>
      <c r="H129" t="s">
        <v>77</v>
      </c>
      <c r="J129" t="s">
        <v>48</v>
      </c>
      <c r="K129" t="s">
        <v>5</v>
      </c>
      <c r="L129" t="s">
        <v>67</v>
      </c>
      <c r="M129" t="s">
        <v>82</v>
      </c>
      <c r="N129" t="s">
        <v>13</v>
      </c>
    </row>
    <row r="130" spans="1:14" x14ac:dyDescent="0.35">
      <c r="A130" s="75">
        <v>43844</v>
      </c>
      <c r="B130" t="s">
        <v>153</v>
      </c>
      <c r="C130" t="s">
        <v>92</v>
      </c>
      <c r="D130">
        <v>9</v>
      </c>
      <c r="E130">
        <v>8</v>
      </c>
      <c r="F130">
        <v>1</v>
      </c>
      <c r="G130" t="s">
        <v>71</v>
      </c>
      <c r="H130" t="s">
        <v>6</v>
      </c>
      <c r="J130" t="s">
        <v>60</v>
      </c>
      <c r="K130" t="s">
        <v>5</v>
      </c>
      <c r="L130" t="s">
        <v>67</v>
      </c>
      <c r="M130" t="s">
        <v>82</v>
      </c>
      <c r="N130" t="s">
        <v>12</v>
      </c>
    </row>
    <row r="131" spans="1:14" x14ac:dyDescent="0.35">
      <c r="A131" s="75">
        <v>43844</v>
      </c>
      <c r="B131" t="s">
        <v>153</v>
      </c>
      <c r="C131" t="s">
        <v>92</v>
      </c>
      <c r="D131">
        <v>8</v>
      </c>
      <c r="E131">
        <v>7</v>
      </c>
      <c r="F131">
        <v>1</v>
      </c>
      <c r="G131" t="s">
        <v>114</v>
      </c>
      <c r="H131" t="s">
        <v>3</v>
      </c>
      <c r="J131" t="s">
        <v>54</v>
      </c>
      <c r="K131" t="s">
        <v>9</v>
      </c>
      <c r="L131" t="s">
        <v>67</v>
      </c>
      <c r="M131" t="s">
        <v>82</v>
      </c>
      <c r="N131" t="s">
        <v>13</v>
      </c>
    </row>
    <row r="132" spans="1:14" x14ac:dyDescent="0.35">
      <c r="A132" s="75">
        <v>43844</v>
      </c>
      <c r="B132" t="s">
        <v>153</v>
      </c>
      <c r="C132" t="s">
        <v>92</v>
      </c>
      <c r="D132">
        <v>7</v>
      </c>
      <c r="E132">
        <v>4</v>
      </c>
      <c r="F132">
        <v>3</v>
      </c>
      <c r="G132" t="s">
        <v>73</v>
      </c>
      <c r="H132" t="s">
        <v>78</v>
      </c>
      <c r="J132" t="s">
        <v>59</v>
      </c>
      <c r="K132" t="s">
        <v>2</v>
      </c>
      <c r="L132" t="s">
        <v>67</v>
      </c>
      <c r="M132" t="s">
        <v>80</v>
      </c>
      <c r="N132" t="s">
        <v>13</v>
      </c>
    </row>
    <row r="133" spans="1:14" x14ac:dyDescent="0.35">
      <c r="A133" s="75">
        <v>43844</v>
      </c>
      <c r="B133" t="s">
        <v>153</v>
      </c>
      <c r="C133" t="s">
        <v>92</v>
      </c>
      <c r="D133">
        <v>7</v>
      </c>
      <c r="E133">
        <v>4</v>
      </c>
      <c r="F133">
        <v>3</v>
      </c>
      <c r="G133" t="s">
        <v>114</v>
      </c>
      <c r="H133" t="s">
        <v>3</v>
      </c>
      <c r="J133" t="s">
        <v>15</v>
      </c>
      <c r="K133" t="s">
        <v>2</v>
      </c>
      <c r="L133" t="s">
        <v>67</v>
      </c>
      <c r="M133" t="s">
        <v>82</v>
      </c>
      <c r="N133" t="s">
        <v>13</v>
      </c>
    </row>
    <row r="134" spans="1:14" x14ac:dyDescent="0.35">
      <c r="A134" s="75">
        <v>43844</v>
      </c>
      <c r="B134" t="s">
        <v>153</v>
      </c>
      <c r="C134" t="s">
        <v>92</v>
      </c>
      <c r="D134">
        <v>6</v>
      </c>
      <c r="E134">
        <v>5</v>
      </c>
      <c r="F134">
        <v>1</v>
      </c>
      <c r="G134" t="s">
        <v>113</v>
      </c>
      <c r="H134" t="s">
        <v>77</v>
      </c>
      <c r="J134" t="s">
        <v>30</v>
      </c>
      <c r="K134" t="s">
        <v>7</v>
      </c>
      <c r="L134" t="s">
        <v>67</v>
      </c>
      <c r="M134" t="s">
        <v>82</v>
      </c>
      <c r="N134" t="s">
        <v>14</v>
      </c>
    </row>
    <row r="135" spans="1:14" x14ac:dyDescent="0.35">
      <c r="A135" s="75">
        <v>43844</v>
      </c>
      <c r="B135" t="s">
        <v>153</v>
      </c>
      <c r="C135" t="s">
        <v>92</v>
      </c>
      <c r="D135">
        <v>6</v>
      </c>
      <c r="E135">
        <v>3</v>
      </c>
      <c r="F135">
        <v>3</v>
      </c>
      <c r="G135" t="s">
        <v>114</v>
      </c>
      <c r="H135" t="s">
        <v>3</v>
      </c>
      <c r="J135" t="s">
        <v>53</v>
      </c>
      <c r="K135" t="s">
        <v>2</v>
      </c>
      <c r="L135" t="s">
        <v>67</v>
      </c>
      <c r="M135" t="s">
        <v>82</v>
      </c>
      <c r="N135" t="s">
        <v>11</v>
      </c>
    </row>
    <row r="136" spans="1:14" x14ac:dyDescent="0.35">
      <c r="A136" s="75">
        <v>43844</v>
      </c>
      <c r="B136" t="s">
        <v>153</v>
      </c>
      <c r="C136" t="s">
        <v>92</v>
      </c>
      <c r="D136">
        <v>6</v>
      </c>
      <c r="E136">
        <v>3</v>
      </c>
      <c r="F136">
        <v>3</v>
      </c>
      <c r="G136" t="s">
        <v>73</v>
      </c>
      <c r="H136" t="s">
        <v>78</v>
      </c>
      <c r="J136" t="s">
        <v>32</v>
      </c>
      <c r="K136" t="s">
        <v>7</v>
      </c>
      <c r="L136" t="s">
        <v>67</v>
      </c>
      <c r="M136" t="s">
        <v>81</v>
      </c>
      <c r="N136" t="s">
        <v>11</v>
      </c>
    </row>
    <row r="137" spans="1:14" x14ac:dyDescent="0.35">
      <c r="A137" s="75">
        <v>43844</v>
      </c>
      <c r="B137" t="s">
        <v>153</v>
      </c>
      <c r="C137" t="s">
        <v>92</v>
      </c>
      <c r="D137">
        <v>5</v>
      </c>
      <c r="E137">
        <v>3</v>
      </c>
      <c r="F137">
        <v>2</v>
      </c>
      <c r="G137" t="s">
        <v>74</v>
      </c>
      <c r="H137" t="s">
        <v>77</v>
      </c>
      <c r="J137" t="s">
        <v>53</v>
      </c>
      <c r="K137" t="s">
        <v>2</v>
      </c>
      <c r="L137" t="s">
        <v>67</v>
      </c>
      <c r="M137" t="s">
        <v>82</v>
      </c>
      <c r="N137" t="s">
        <v>11</v>
      </c>
    </row>
    <row r="138" spans="1:14" x14ac:dyDescent="0.35">
      <c r="A138" s="75">
        <v>43844</v>
      </c>
      <c r="B138" t="s">
        <v>153</v>
      </c>
      <c r="C138" t="s">
        <v>92</v>
      </c>
      <c r="D138">
        <v>4</v>
      </c>
      <c r="E138">
        <v>3</v>
      </c>
      <c r="F138">
        <v>1</v>
      </c>
      <c r="G138" t="s">
        <v>75</v>
      </c>
      <c r="H138" t="s">
        <v>6</v>
      </c>
      <c r="J138" t="s">
        <v>58</v>
      </c>
      <c r="K138" t="s">
        <v>2</v>
      </c>
      <c r="L138" t="s">
        <v>67</v>
      </c>
      <c r="M138" t="s">
        <v>80</v>
      </c>
      <c r="N138" t="s">
        <v>12</v>
      </c>
    </row>
    <row r="139" spans="1:14" x14ac:dyDescent="0.35">
      <c r="A139" s="75">
        <v>43844</v>
      </c>
      <c r="B139" t="s">
        <v>153</v>
      </c>
      <c r="C139" t="s">
        <v>92</v>
      </c>
      <c r="D139">
        <v>3</v>
      </c>
      <c r="E139">
        <v>1</v>
      </c>
      <c r="F139">
        <v>2</v>
      </c>
      <c r="G139" t="s">
        <v>113</v>
      </c>
      <c r="H139" t="s">
        <v>77</v>
      </c>
      <c r="J139" t="s">
        <v>43</v>
      </c>
      <c r="K139" t="s">
        <v>2</v>
      </c>
      <c r="L139" t="s">
        <v>67</v>
      </c>
      <c r="M139" t="s">
        <v>82</v>
      </c>
      <c r="N139" t="s">
        <v>13</v>
      </c>
    </row>
    <row r="140" spans="1:14" x14ac:dyDescent="0.35">
      <c r="A140" s="75">
        <v>43845</v>
      </c>
      <c r="B140" t="s">
        <v>154</v>
      </c>
      <c r="C140" t="s">
        <v>92</v>
      </c>
      <c r="D140">
        <v>10</v>
      </c>
      <c r="E140">
        <v>10</v>
      </c>
      <c r="F140" t="s">
        <v>10</v>
      </c>
      <c r="G140" t="s">
        <v>75</v>
      </c>
      <c r="H140" t="s">
        <v>6</v>
      </c>
      <c r="J140" t="s">
        <v>50</v>
      </c>
      <c r="K140" t="s">
        <v>5</v>
      </c>
      <c r="L140" t="s">
        <v>67</v>
      </c>
      <c r="M140" t="s">
        <v>80</v>
      </c>
      <c r="N140" t="s">
        <v>14</v>
      </c>
    </row>
    <row r="141" spans="1:14" x14ac:dyDescent="0.35">
      <c r="A141" s="75">
        <v>43845</v>
      </c>
      <c r="B141" t="s">
        <v>154</v>
      </c>
      <c r="C141" t="s">
        <v>92</v>
      </c>
      <c r="D141">
        <v>9</v>
      </c>
      <c r="E141">
        <v>9</v>
      </c>
      <c r="F141" t="s">
        <v>10</v>
      </c>
      <c r="G141" t="s">
        <v>72</v>
      </c>
      <c r="H141" t="s">
        <v>78</v>
      </c>
      <c r="J141" t="s">
        <v>60</v>
      </c>
      <c r="K141" t="s">
        <v>5</v>
      </c>
      <c r="L141" t="s">
        <v>67</v>
      </c>
      <c r="M141" t="s">
        <v>80</v>
      </c>
      <c r="N141" t="s">
        <v>13</v>
      </c>
    </row>
    <row r="142" spans="1:14" x14ac:dyDescent="0.35">
      <c r="A142" s="75">
        <v>43845</v>
      </c>
      <c r="B142" t="s">
        <v>154</v>
      </c>
      <c r="C142" t="s">
        <v>92</v>
      </c>
      <c r="D142">
        <v>7</v>
      </c>
      <c r="E142">
        <v>7</v>
      </c>
      <c r="F142" t="s">
        <v>10</v>
      </c>
      <c r="G142" t="s">
        <v>114</v>
      </c>
      <c r="H142" t="s">
        <v>3</v>
      </c>
      <c r="J142" t="s">
        <v>27</v>
      </c>
      <c r="K142" t="s">
        <v>2</v>
      </c>
      <c r="L142" t="s">
        <v>67</v>
      </c>
      <c r="M142" t="s">
        <v>81</v>
      </c>
      <c r="N142" t="s">
        <v>13</v>
      </c>
    </row>
    <row r="143" spans="1:14" x14ac:dyDescent="0.35">
      <c r="A143" s="75">
        <v>43845</v>
      </c>
      <c r="B143" t="s">
        <v>154</v>
      </c>
      <c r="C143" t="s">
        <v>92</v>
      </c>
      <c r="D143">
        <v>7</v>
      </c>
      <c r="E143">
        <v>7</v>
      </c>
      <c r="F143" t="s">
        <v>10</v>
      </c>
      <c r="G143" t="s">
        <v>72</v>
      </c>
      <c r="H143" t="s">
        <v>78</v>
      </c>
      <c r="J143" t="s">
        <v>34</v>
      </c>
      <c r="K143" t="s">
        <v>5</v>
      </c>
      <c r="L143" t="s">
        <v>67</v>
      </c>
      <c r="M143" t="s">
        <v>80</v>
      </c>
      <c r="N143" t="s">
        <v>12</v>
      </c>
    </row>
    <row r="144" spans="1:14" x14ac:dyDescent="0.35">
      <c r="A144" s="75">
        <v>43845</v>
      </c>
      <c r="B144" t="s">
        <v>154</v>
      </c>
      <c r="C144" t="s">
        <v>92</v>
      </c>
      <c r="D144">
        <v>5</v>
      </c>
      <c r="E144">
        <v>5</v>
      </c>
      <c r="F144" t="s">
        <v>10</v>
      </c>
      <c r="G144" t="s">
        <v>113</v>
      </c>
      <c r="H144" t="s">
        <v>77</v>
      </c>
      <c r="J144" t="s">
        <v>52</v>
      </c>
      <c r="K144" t="s">
        <v>7</v>
      </c>
      <c r="L144" t="s">
        <v>67</v>
      </c>
      <c r="M144" t="s">
        <v>81</v>
      </c>
      <c r="N144" t="s">
        <v>13</v>
      </c>
    </row>
    <row r="145" spans="1:14" x14ac:dyDescent="0.35">
      <c r="A145" s="75">
        <v>43845</v>
      </c>
      <c r="B145" t="s">
        <v>154</v>
      </c>
      <c r="C145" t="s">
        <v>92</v>
      </c>
      <c r="D145">
        <v>4</v>
      </c>
      <c r="E145">
        <v>4</v>
      </c>
      <c r="F145" t="s">
        <v>10</v>
      </c>
      <c r="G145" t="s">
        <v>113</v>
      </c>
      <c r="H145" t="s">
        <v>77</v>
      </c>
      <c r="J145" t="s">
        <v>26</v>
      </c>
      <c r="K145" t="s">
        <v>2</v>
      </c>
      <c r="L145" t="s">
        <v>67</v>
      </c>
      <c r="M145" t="s">
        <v>80</v>
      </c>
      <c r="N145" t="s">
        <v>11</v>
      </c>
    </row>
    <row r="146" spans="1:14" x14ac:dyDescent="0.35">
      <c r="A146" s="75">
        <v>43845</v>
      </c>
      <c r="B146" t="s">
        <v>154</v>
      </c>
      <c r="C146" t="s">
        <v>92</v>
      </c>
      <c r="D146">
        <v>4</v>
      </c>
      <c r="E146">
        <v>4</v>
      </c>
      <c r="F146" t="s">
        <v>10</v>
      </c>
      <c r="G146" t="s">
        <v>72</v>
      </c>
      <c r="H146" t="s">
        <v>78</v>
      </c>
      <c r="J146" t="s">
        <v>25</v>
      </c>
      <c r="K146" t="s">
        <v>7</v>
      </c>
      <c r="L146" t="s">
        <v>67</v>
      </c>
      <c r="M146" t="s">
        <v>80</v>
      </c>
      <c r="N146" t="s">
        <v>11</v>
      </c>
    </row>
    <row r="147" spans="1:14" x14ac:dyDescent="0.35">
      <c r="A147" s="75">
        <v>43845</v>
      </c>
      <c r="B147" t="s">
        <v>154</v>
      </c>
      <c r="C147" t="s">
        <v>92</v>
      </c>
      <c r="D147">
        <v>3</v>
      </c>
      <c r="E147">
        <v>3</v>
      </c>
      <c r="F147" t="s">
        <v>10</v>
      </c>
      <c r="G147" t="s">
        <v>75</v>
      </c>
      <c r="H147" t="s">
        <v>6</v>
      </c>
      <c r="J147" t="s">
        <v>29</v>
      </c>
      <c r="K147" t="s">
        <v>7</v>
      </c>
      <c r="L147" t="s">
        <v>67</v>
      </c>
      <c r="M147" t="s">
        <v>82</v>
      </c>
      <c r="N147" t="s">
        <v>12</v>
      </c>
    </row>
    <row r="148" spans="1:14" x14ac:dyDescent="0.35">
      <c r="A148" s="75">
        <v>43846</v>
      </c>
      <c r="B148" t="s">
        <v>155</v>
      </c>
      <c r="C148" t="s">
        <v>92</v>
      </c>
      <c r="D148">
        <v>10</v>
      </c>
      <c r="E148">
        <v>10</v>
      </c>
      <c r="F148" t="s">
        <v>10</v>
      </c>
      <c r="G148" t="s">
        <v>113</v>
      </c>
      <c r="H148" t="s">
        <v>77</v>
      </c>
      <c r="J148" t="s">
        <v>41</v>
      </c>
      <c r="K148" t="s">
        <v>2</v>
      </c>
      <c r="L148" t="s">
        <v>67</v>
      </c>
      <c r="M148" t="s">
        <v>82</v>
      </c>
      <c r="N148" t="s">
        <v>11</v>
      </c>
    </row>
    <row r="149" spans="1:14" x14ac:dyDescent="0.35">
      <c r="A149" s="75">
        <v>43846</v>
      </c>
      <c r="B149" t="s">
        <v>155</v>
      </c>
      <c r="C149" t="s">
        <v>92</v>
      </c>
      <c r="D149">
        <v>10</v>
      </c>
      <c r="E149">
        <v>10</v>
      </c>
      <c r="F149" t="s">
        <v>10</v>
      </c>
      <c r="G149" t="s">
        <v>76</v>
      </c>
      <c r="H149" t="s">
        <v>79</v>
      </c>
      <c r="J149" t="s">
        <v>37</v>
      </c>
      <c r="K149" t="s">
        <v>5</v>
      </c>
      <c r="L149" t="s">
        <v>67</v>
      </c>
      <c r="M149" t="s">
        <v>81</v>
      </c>
      <c r="N149" t="s">
        <v>14</v>
      </c>
    </row>
    <row r="150" spans="1:14" x14ac:dyDescent="0.35">
      <c r="A150" s="75">
        <v>43846</v>
      </c>
      <c r="B150" t="s">
        <v>155</v>
      </c>
      <c r="C150" t="s">
        <v>92</v>
      </c>
      <c r="D150">
        <v>10</v>
      </c>
      <c r="E150">
        <v>10</v>
      </c>
      <c r="F150" t="s">
        <v>10</v>
      </c>
      <c r="G150" t="s">
        <v>76</v>
      </c>
      <c r="H150" t="s">
        <v>79</v>
      </c>
      <c r="J150" t="s">
        <v>41</v>
      </c>
      <c r="K150" t="s">
        <v>5</v>
      </c>
      <c r="L150" t="s">
        <v>67</v>
      </c>
      <c r="M150" t="s">
        <v>82</v>
      </c>
      <c r="N150" t="s">
        <v>14</v>
      </c>
    </row>
    <row r="151" spans="1:14" x14ac:dyDescent="0.35">
      <c r="A151" s="75">
        <v>43846</v>
      </c>
      <c r="B151" t="s">
        <v>155</v>
      </c>
      <c r="C151" t="s">
        <v>92</v>
      </c>
      <c r="D151">
        <v>9</v>
      </c>
      <c r="E151">
        <v>9</v>
      </c>
      <c r="F151" t="s">
        <v>10</v>
      </c>
      <c r="G151" t="s">
        <v>73</v>
      </c>
      <c r="H151" t="s">
        <v>78</v>
      </c>
      <c r="J151" t="s">
        <v>58</v>
      </c>
      <c r="K151" t="s">
        <v>5</v>
      </c>
      <c r="L151" t="s">
        <v>67</v>
      </c>
      <c r="M151" t="s">
        <v>82</v>
      </c>
      <c r="N151" t="s">
        <v>12</v>
      </c>
    </row>
    <row r="152" spans="1:14" x14ac:dyDescent="0.35">
      <c r="A152" s="75">
        <v>43846</v>
      </c>
      <c r="B152" t="s">
        <v>155</v>
      </c>
      <c r="C152" t="s">
        <v>92</v>
      </c>
      <c r="D152">
        <v>8</v>
      </c>
      <c r="E152">
        <v>8</v>
      </c>
      <c r="F152" t="s">
        <v>10</v>
      </c>
      <c r="G152" t="s">
        <v>71</v>
      </c>
      <c r="H152" t="s">
        <v>6</v>
      </c>
      <c r="J152" t="s">
        <v>15</v>
      </c>
      <c r="K152" t="s">
        <v>7</v>
      </c>
      <c r="L152" t="s">
        <v>67</v>
      </c>
      <c r="M152" t="s">
        <v>82</v>
      </c>
      <c r="N152" t="s">
        <v>14</v>
      </c>
    </row>
    <row r="153" spans="1:14" x14ac:dyDescent="0.35">
      <c r="A153" s="75">
        <v>43846</v>
      </c>
      <c r="B153" t="s">
        <v>155</v>
      </c>
      <c r="C153" t="s">
        <v>92</v>
      </c>
      <c r="D153">
        <v>8</v>
      </c>
      <c r="E153">
        <v>8</v>
      </c>
      <c r="F153" t="s">
        <v>10</v>
      </c>
      <c r="G153" t="s">
        <v>71</v>
      </c>
      <c r="H153" t="s">
        <v>6</v>
      </c>
      <c r="J153" t="s">
        <v>23</v>
      </c>
      <c r="K153" t="s">
        <v>2</v>
      </c>
      <c r="L153" t="s">
        <v>67</v>
      </c>
      <c r="M153" t="s">
        <v>80</v>
      </c>
      <c r="N153" t="s">
        <v>13</v>
      </c>
    </row>
    <row r="154" spans="1:14" x14ac:dyDescent="0.35">
      <c r="A154" s="75">
        <v>43846</v>
      </c>
      <c r="B154" t="s">
        <v>155</v>
      </c>
      <c r="C154" t="s">
        <v>92</v>
      </c>
      <c r="D154">
        <v>8</v>
      </c>
      <c r="E154">
        <v>8</v>
      </c>
      <c r="F154" t="s">
        <v>10</v>
      </c>
      <c r="G154" t="s">
        <v>114</v>
      </c>
      <c r="H154" t="s">
        <v>3</v>
      </c>
      <c r="J154" t="s">
        <v>37</v>
      </c>
      <c r="K154" t="s">
        <v>2</v>
      </c>
      <c r="L154" t="s">
        <v>67</v>
      </c>
      <c r="M154" t="s">
        <v>81</v>
      </c>
      <c r="N154" t="s">
        <v>11</v>
      </c>
    </row>
    <row r="155" spans="1:14" x14ac:dyDescent="0.35">
      <c r="A155" s="75">
        <v>43846</v>
      </c>
      <c r="B155" t="s">
        <v>155</v>
      </c>
      <c r="C155" t="s">
        <v>92</v>
      </c>
      <c r="D155">
        <v>7</v>
      </c>
      <c r="E155">
        <v>7</v>
      </c>
      <c r="F155" t="s">
        <v>10</v>
      </c>
      <c r="G155" t="s">
        <v>76</v>
      </c>
      <c r="H155" t="s">
        <v>79</v>
      </c>
      <c r="J155" t="s">
        <v>49</v>
      </c>
      <c r="K155" t="s">
        <v>7</v>
      </c>
      <c r="L155" t="s">
        <v>67</v>
      </c>
      <c r="M155" t="s">
        <v>82</v>
      </c>
      <c r="N155" t="s">
        <v>13</v>
      </c>
    </row>
    <row r="156" spans="1:14" x14ac:dyDescent="0.35">
      <c r="A156" s="75">
        <v>43846</v>
      </c>
      <c r="B156" t="s">
        <v>155</v>
      </c>
      <c r="C156" t="s">
        <v>92</v>
      </c>
      <c r="D156">
        <v>5</v>
      </c>
      <c r="E156">
        <v>5</v>
      </c>
      <c r="F156" t="s">
        <v>10</v>
      </c>
      <c r="G156" t="s">
        <v>114</v>
      </c>
      <c r="H156" t="s">
        <v>3</v>
      </c>
      <c r="J156" t="s">
        <v>58</v>
      </c>
      <c r="K156" t="s">
        <v>7</v>
      </c>
      <c r="L156" t="s">
        <v>67</v>
      </c>
      <c r="M156" t="s">
        <v>80</v>
      </c>
      <c r="N156" t="s">
        <v>14</v>
      </c>
    </row>
    <row r="157" spans="1:14" x14ac:dyDescent="0.35">
      <c r="A157" s="75">
        <v>43846</v>
      </c>
      <c r="B157" t="s">
        <v>155</v>
      </c>
      <c r="C157" t="s">
        <v>92</v>
      </c>
      <c r="D157">
        <v>4</v>
      </c>
      <c r="E157">
        <v>4</v>
      </c>
      <c r="F157" t="s">
        <v>10</v>
      </c>
      <c r="G157" t="s">
        <v>71</v>
      </c>
      <c r="H157" t="s">
        <v>6</v>
      </c>
      <c r="J157" t="s">
        <v>15</v>
      </c>
      <c r="K157" t="s">
        <v>2</v>
      </c>
      <c r="L157" t="s">
        <v>67</v>
      </c>
      <c r="M157" t="s">
        <v>82</v>
      </c>
      <c r="N157" t="s">
        <v>14</v>
      </c>
    </row>
    <row r="158" spans="1:14" x14ac:dyDescent="0.35">
      <c r="A158" s="75">
        <v>43846</v>
      </c>
      <c r="B158" t="s">
        <v>155</v>
      </c>
      <c r="C158" t="s">
        <v>92</v>
      </c>
      <c r="D158">
        <v>3</v>
      </c>
      <c r="E158">
        <v>3</v>
      </c>
      <c r="F158" t="s">
        <v>10</v>
      </c>
      <c r="G158" t="s">
        <v>70</v>
      </c>
      <c r="H158" t="s">
        <v>1</v>
      </c>
      <c r="J158" t="s">
        <v>30</v>
      </c>
      <c r="K158" t="s">
        <v>5</v>
      </c>
      <c r="L158" t="s">
        <v>67</v>
      </c>
      <c r="M158" t="s">
        <v>81</v>
      </c>
      <c r="N158" t="s">
        <v>11</v>
      </c>
    </row>
    <row r="159" spans="1:14" x14ac:dyDescent="0.35">
      <c r="A159" s="75">
        <v>43847</v>
      </c>
      <c r="B159" t="s">
        <v>156</v>
      </c>
      <c r="C159" t="s">
        <v>92</v>
      </c>
      <c r="D159">
        <v>8</v>
      </c>
      <c r="E159">
        <v>8</v>
      </c>
      <c r="F159" t="s">
        <v>10</v>
      </c>
      <c r="G159" t="s">
        <v>75</v>
      </c>
      <c r="H159" t="s">
        <v>6</v>
      </c>
      <c r="J159" t="s">
        <v>18</v>
      </c>
      <c r="K159" t="s">
        <v>4</v>
      </c>
      <c r="L159" t="s">
        <v>67</v>
      </c>
      <c r="M159" t="s">
        <v>80</v>
      </c>
      <c r="N159" t="s">
        <v>14</v>
      </c>
    </row>
    <row r="160" spans="1:14" x14ac:dyDescent="0.35">
      <c r="A160" s="75">
        <v>43847</v>
      </c>
      <c r="B160" t="s">
        <v>156</v>
      </c>
      <c r="C160" t="s">
        <v>92</v>
      </c>
      <c r="D160">
        <v>7</v>
      </c>
      <c r="E160">
        <v>7</v>
      </c>
      <c r="F160" t="s">
        <v>10</v>
      </c>
      <c r="G160" t="s">
        <v>73</v>
      </c>
      <c r="H160" t="s">
        <v>78</v>
      </c>
      <c r="J160" t="s">
        <v>59</v>
      </c>
      <c r="K160" t="s">
        <v>7</v>
      </c>
      <c r="L160" t="s">
        <v>67</v>
      </c>
      <c r="M160" t="s">
        <v>82</v>
      </c>
      <c r="N160" t="s">
        <v>13</v>
      </c>
    </row>
    <row r="161" spans="1:14" x14ac:dyDescent="0.35">
      <c r="A161" s="75">
        <v>43847</v>
      </c>
      <c r="B161" t="s">
        <v>156</v>
      </c>
      <c r="C161" t="s">
        <v>92</v>
      </c>
      <c r="D161">
        <v>6</v>
      </c>
      <c r="E161">
        <v>6</v>
      </c>
      <c r="F161" t="s">
        <v>10</v>
      </c>
      <c r="G161" t="s">
        <v>76</v>
      </c>
      <c r="H161" t="s">
        <v>79</v>
      </c>
      <c r="J161" t="s">
        <v>58</v>
      </c>
      <c r="K161" t="s">
        <v>9</v>
      </c>
      <c r="L161" t="s">
        <v>67</v>
      </c>
      <c r="M161" t="s">
        <v>80</v>
      </c>
      <c r="N161" t="s">
        <v>12</v>
      </c>
    </row>
    <row r="162" spans="1:14" x14ac:dyDescent="0.35">
      <c r="A162" s="75">
        <v>43847</v>
      </c>
      <c r="B162" t="s">
        <v>156</v>
      </c>
      <c r="C162" t="s">
        <v>92</v>
      </c>
      <c r="D162">
        <v>6</v>
      </c>
      <c r="E162">
        <v>6</v>
      </c>
      <c r="F162" t="s">
        <v>10</v>
      </c>
      <c r="G162" t="s">
        <v>75</v>
      </c>
      <c r="H162" t="s">
        <v>6</v>
      </c>
      <c r="J162" t="s">
        <v>54</v>
      </c>
      <c r="K162" t="s">
        <v>2</v>
      </c>
      <c r="L162" t="s">
        <v>67</v>
      </c>
      <c r="M162" t="s">
        <v>82</v>
      </c>
      <c r="N162" t="s">
        <v>12</v>
      </c>
    </row>
    <row r="163" spans="1:14" x14ac:dyDescent="0.35">
      <c r="A163" s="75">
        <v>43847</v>
      </c>
      <c r="B163" t="s">
        <v>156</v>
      </c>
      <c r="C163" t="s">
        <v>92</v>
      </c>
      <c r="D163">
        <v>6</v>
      </c>
      <c r="E163">
        <v>6</v>
      </c>
      <c r="F163" t="s">
        <v>10</v>
      </c>
      <c r="G163" t="s">
        <v>113</v>
      </c>
      <c r="H163" t="s">
        <v>77</v>
      </c>
      <c r="J163" t="s">
        <v>25</v>
      </c>
      <c r="K163" t="s">
        <v>2</v>
      </c>
      <c r="L163" t="s">
        <v>67</v>
      </c>
      <c r="M163" t="s">
        <v>81</v>
      </c>
      <c r="N163" t="s">
        <v>11</v>
      </c>
    </row>
    <row r="164" spans="1:14" x14ac:dyDescent="0.35">
      <c r="A164" s="75">
        <v>43847</v>
      </c>
      <c r="B164" t="s">
        <v>156</v>
      </c>
      <c r="C164" t="s">
        <v>92</v>
      </c>
      <c r="D164">
        <v>5</v>
      </c>
      <c r="E164">
        <v>5</v>
      </c>
      <c r="F164" t="s">
        <v>10</v>
      </c>
      <c r="G164" t="s">
        <v>71</v>
      </c>
      <c r="H164" t="s">
        <v>6</v>
      </c>
      <c r="J164" t="s">
        <v>16</v>
      </c>
      <c r="K164" t="s">
        <v>5</v>
      </c>
      <c r="L164" t="s">
        <v>67</v>
      </c>
      <c r="M164" t="s">
        <v>82</v>
      </c>
      <c r="N164" t="s">
        <v>11</v>
      </c>
    </row>
    <row r="165" spans="1:14" x14ac:dyDescent="0.35">
      <c r="A165" s="75">
        <v>43847</v>
      </c>
      <c r="B165" t="s">
        <v>156</v>
      </c>
      <c r="C165" t="s">
        <v>92</v>
      </c>
      <c r="D165">
        <v>4</v>
      </c>
      <c r="E165">
        <v>4</v>
      </c>
      <c r="F165" t="s">
        <v>10</v>
      </c>
      <c r="G165" t="s">
        <v>75</v>
      </c>
      <c r="H165" t="s">
        <v>6</v>
      </c>
      <c r="J165" t="s">
        <v>61</v>
      </c>
      <c r="K165" t="s">
        <v>2</v>
      </c>
      <c r="L165" t="s">
        <v>67</v>
      </c>
      <c r="M165" t="s">
        <v>80</v>
      </c>
      <c r="N165" t="s">
        <v>11</v>
      </c>
    </row>
    <row r="166" spans="1:14" x14ac:dyDescent="0.35">
      <c r="A166" s="75">
        <v>43847</v>
      </c>
      <c r="B166" t="s">
        <v>156</v>
      </c>
      <c r="C166" t="s">
        <v>92</v>
      </c>
      <c r="D166">
        <v>4</v>
      </c>
      <c r="E166">
        <v>4</v>
      </c>
      <c r="F166" t="s">
        <v>10</v>
      </c>
      <c r="G166" t="s">
        <v>75</v>
      </c>
      <c r="H166" t="s">
        <v>6</v>
      </c>
      <c r="J166" t="s">
        <v>58</v>
      </c>
      <c r="K166" t="s">
        <v>2</v>
      </c>
      <c r="L166" t="s">
        <v>67</v>
      </c>
      <c r="M166" t="s">
        <v>82</v>
      </c>
      <c r="N166" t="s">
        <v>14</v>
      </c>
    </row>
    <row r="167" spans="1:14" x14ac:dyDescent="0.35">
      <c r="A167" s="75">
        <v>43847</v>
      </c>
      <c r="B167" t="s">
        <v>156</v>
      </c>
      <c r="C167" t="s">
        <v>92</v>
      </c>
      <c r="D167">
        <v>3</v>
      </c>
      <c r="E167">
        <v>3</v>
      </c>
      <c r="F167" t="s">
        <v>10</v>
      </c>
      <c r="G167" t="s">
        <v>72</v>
      </c>
      <c r="H167" t="s">
        <v>78</v>
      </c>
      <c r="J167" t="s">
        <v>61</v>
      </c>
      <c r="K167" t="s">
        <v>2</v>
      </c>
      <c r="L167" t="s">
        <v>67</v>
      </c>
      <c r="M167" t="s">
        <v>82</v>
      </c>
      <c r="N167" t="s">
        <v>11</v>
      </c>
    </row>
    <row r="168" spans="1:14" x14ac:dyDescent="0.35">
      <c r="A168" s="75">
        <v>43848</v>
      </c>
      <c r="B168" t="s">
        <v>157</v>
      </c>
      <c r="C168" t="s">
        <v>92</v>
      </c>
      <c r="D168">
        <v>9</v>
      </c>
      <c r="E168">
        <v>9</v>
      </c>
      <c r="F168" t="s">
        <v>10</v>
      </c>
      <c r="G168" t="s">
        <v>114</v>
      </c>
      <c r="H168" t="s">
        <v>3</v>
      </c>
      <c r="J168" t="s">
        <v>16</v>
      </c>
      <c r="K168" t="s">
        <v>2</v>
      </c>
      <c r="L168" t="s">
        <v>67</v>
      </c>
      <c r="M168" t="s">
        <v>81</v>
      </c>
      <c r="N168" t="s">
        <v>12</v>
      </c>
    </row>
    <row r="169" spans="1:14" x14ac:dyDescent="0.35">
      <c r="A169" s="75">
        <v>43848</v>
      </c>
      <c r="B169" t="s">
        <v>157</v>
      </c>
      <c r="C169" t="s">
        <v>92</v>
      </c>
      <c r="D169">
        <v>6</v>
      </c>
      <c r="E169">
        <v>6</v>
      </c>
      <c r="F169" t="s">
        <v>10</v>
      </c>
      <c r="G169" t="s">
        <v>73</v>
      </c>
      <c r="H169" t="s">
        <v>78</v>
      </c>
      <c r="J169" t="s">
        <v>30</v>
      </c>
      <c r="K169" t="s">
        <v>7</v>
      </c>
      <c r="L169" t="s">
        <v>67</v>
      </c>
      <c r="M169" t="s">
        <v>80</v>
      </c>
      <c r="N169" t="s">
        <v>13</v>
      </c>
    </row>
    <row r="170" spans="1:14" x14ac:dyDescent="0.35">
      <c r="A170" s="75">
        <v>43848</v>
      </c>
      <c r="B170" t="s">
        <v>157</v>
      </c>
      <c r="C170" t="s">
        <v>92</v>
      </c>
      <c r="D170">
        <v>5</v>
      </c>
      <c r="E170">
        <v>5</v>
      </c>
      <c r="F170" t="s">
        <v>10</v>
      </c>
      <c r="G170" t="s">
        <v>113</v>
      </c>
      <c r="H170" t="s">
        <v>77</v>
      </c>
      <c r="J170" t="s">
        <v>29</v>
      </c>
      <c r="K170" t="s">
        <v>2</v>
      </c>
      <c r="L170" t="s">
        <v>67</v>
      </c>
      <c r="M170" t="s">
        <v>82</v>
      </c>
      <c r="N170" t="s">
        <v>12</v>
      </c>
    </row>
    <row r="171" spans="1:14" x14ac:dyDescent="0.35">
      <c r="A171" s="75">
        <v>43848</v>
      </c>
      <c r="B171" t="s">
        <v>157</v>
      </c>
      <c r="C171" t="s">
        <v>92</v>
      </c>
      <c r="D171">
        <v>5</v>
      </c>
      <c r="E171">
        <v>5</v>
      </c>
      <c r="F171" t="s">
        <v>10</v>
      </c>
      <c r="G171" t="s">
        <v>114</v>
      </c>
      <c r="H171" t="s">
        <v>3</v>
      </c>
      <c r="J171" t="s">
        <v>21</v>
      </c>
      <c r="K171" t="s">
        <v>5</v>
      </c>
      <c r="L171" t="s">
        <v>67</v>
      </c>
      <c r="M171" t="s">
        <v>81</v>
      </c>
      <c r="N171" t="s">
        <v>13</v>
      </c>
    </row>
    <row r="172" spans="1:14" x14ac:dyDescent="0.35">
      <c r="A172" s="75">
        <v>43848</v>
      </c>
      <c r="B172" t="s">
        <v>157</v>
      </c>
      <c r="C172" t="s">
        <v>92</v>
      </c>
      <c r="D172">
        <v>5</v>
      </c>
      <c r="E172">
        <v>5</v>
      </c>
      <c r="F172" t="s">
        <v>10</v>
      </c>
      <c r="G172" t="s">
        <v>74</v>
      </c>
      <c r="H172" t="s">
        <v>77</v>
      </c>
      <c r="J172" t="s">
        <v>57</v>
      </c>
      <c r="K172" t="s">
        <v>2</v>
      </c>
      <c r="L172" t="s">
        <v>67</v>
      </c>
      <c r="M172" t="s">
        <v>82</v>
      </c>
      <c r="N172" t="s">
        <v>12</v>
      </c>
    </row>
    <row r="173" spans="1:14" x14ac:dyDescent="0.35">
      <c r="A173" s="75">
        <v>43849</v>
      </c>
      <c r="B173" t="s">
        <v>158</v>
      </c>
      <c r="C173" t="s">
        <v>92</v>
      </c>
      <c r="D173">
        <v>10</v>
      </c>
      <c r="E173">
        <v>10</v>
      </c>
      <c r="F173" t="s">
        <v>10</v>
      </c>
      <c r="G173" t="s">
        <v>74</v>
      </c>
      <c r="H173" t="s">
        <v>77</v>
      </c>
      <c r="J173" t="s">
        <v>58</v>
      </c>
      <c r="K173" t="s">
        <v>5</v>
      </c>
      <c r="L173" t="s">
        <v>67</v>
      </c>
      <c r="M173" t="s">
        <v>81</v>
      </c>
      <c r="N173" t="s">
        <v>13</v>
      </c>
    </row>
    <row r="174" spans="1:14" x14ac:dyDescent="0.35">
      <c r="A174" s="75">
        <v>43849</v>
      </c>
      <c r="B174" t="s">
        <v>158</v>
      </c>
      <c r="C174" t="s">
        <v>92</v>
      </c>
      <c r="D174">
        <v>10</v>
      </c>
      <c r="E174">
        <v>10</v>
      </c>
      <c r="F174" t="s">
        <v>10</v>
      </c>
      <c r="G174" t="s">
        <v>72</v>
      </c>
      <c r="H174" t="s">
        <v>78</v>
      </c>
      <c r="J174" t="s">
        <v>37</v>
      </c>
      <c r="K174" t="s">
        <v>5</v>
      </c>
      <c r="L174" t="s">
        <v>67</v>
      </c>
      <c r="M174" t="s">
        <v>82</v>
      </c>
      <c r="N174" t="s">
        <v>13</v>
      </c>
    </row>
    <row r="175" spans="1:14" x14ac:dyDescent="0.35">
      <c r="A175" s="75">
        <v>43849</v>
      </c>
      <c r="B175" t="s">
        <v>158</v>
      </c>
      <c r="C175" t="s">
        <v>92</v>
      </c>
      <c r="D175">
        <v>9</v>
      </c>
      <c r="E175">
        <v>9</v>
      </c>
      <c r="F175" t="s">
        <v>10</v>
      </c>
      <c r="G175" t="s">
        <v>113</v>
      </c>
      <c r="H175" t="s">
        <v>77</v>
      </c>
      <c r="J175" t="s">
        <v>50</v>
      </c>
      <c r="K175" t="s">
        <v>5</v>
      </c>
      <c r="L175" t="s">
        <v>67</v>
      </c>
      <c r="M175" t="s">
        <v>81</v>
      </c>
      <c r="N175" t="s">
        <v>14</v>
      </c>
    </row>
    <row r="176" spans="1:14" x14ac:dyDescent="0.35">
      <c r="A176" s="75">
        <v>43849</v>
      </c>
      <c r="B176" t="s">
        <v>158</v>
      </c>
      <c r="C176" t="s">
        <v>92</v>
      </c>
      <c r="D176">
        <v>8</v>
      </c>
      <c r="E176">
        <v>8</v>
      </c>
      <c r="F176" t="s">
        <v>10</v>
      </c>
      <c r="G176" t="s">
        <v>73</v>
      </c>
      <c r="H176" t="s">
        <v>78</v>
      </c>
      <c r="J176" t="s">
        <v>60</v>
      </c>
      <c r="K176" t="s">
        <v>5</v>
      </c>
      <c r="L176" t="s">
        <v>67</v>
      </c>
      <c r="M176" t="s">
        <v>82</v>
      </c>
      <c r="N176" t="s">
        <v>13</v>
      </c>
    </row>
    <row r="177" spans="1:14" x14ac:dyDescent="0.35">
      <c r="A177" s="75">
        <v>43849</v>
      </c>
      <c r="B177" t="s">
        <v>158</v>
      </c>
      <c r="C177" t="s">
        <v>92</v>
      </c>
      <c r="D177">
        <v>8</v>
      </c>
      <c r="E177">
        <v>8</v>
      </c>
      <c r="F177" t="s">
        <v>10</v>
      </c>
      <c r="G177" t="s">
        <v>113</v>
      </c>
      <c r="H177" t="s">
        <v>77</v>
      </c>
      <c r="J177" t="s">
        <v>29</v>
      </c>
      <c r="K177" t="s">
        <v>9</v>
      </c>
      <c r="L177" t="s">
        <v>67</v>
      </c>
      <c r="M177" t="s">
        <v>80</v>
      </c>
      <c r="N177" t="s">
        <v>11</v>
      </c>
    </row>
    <row r="178" spans="1:14" x14ac:dyDescent="0.35">
      <c r="A178" s="75">
        <v>43849</v>
      </c>
      <c r="B178" t="s">
        <v>158</v>
      </c>
      <c r="C178" t="s">
        <v>92</v>
      </c>
      <c r="D178">
        <v>7</v>
      </c>
      <c r="E178">
        <v>7</v>
      </c>
      <c r="F178" t="s">
        <v>10</v>
      </c>
      <c r="G178" t="s">
        <v>70</v>
      </c>
      <c r="H178" t="s">
        <v>1</v>
      </c>
      <c r="J178" t="s">
        <v>24</v>
      </c>
      <c r="K178" t="s">
        <v>7</v>
      </c>
      <c r="L178" t="s">
        <v>67</v>
      </c>
      <c r="M178" t="s">
        <v>82</v>
      </c>
      <c r="N178" t="s">
        <v>14</v>
      </c>
    </row>
    <row r="179" spans="1:14" x14ac:dyDescent="0.35">
      <c r="A179" s="75">
        <v>43849</v>
      </c>
      <c r="B179" t="s">
        <v>158</v>
      </c>
      <c r="C179" t="s">
        <v>92</v>
      </c>
      <c r="D179">
        <v>5</v>
      </c>
      <c r="E179">
        <v>5</v>
      </c>
      <c r="F179" t="s">
        <v>10</v>
      </c>
      <c r="G179" t="s">
        <v>73</v>
      </c>
      <c r="H179" t="s">
        <v>78</v>
      </c>
      <c r="J179" t="s">
        <v>62</v>
      </c>
      <c r="K179" t="s">
        <v>7</v>
      </c>
      <c r="L179" t="s">
        <v>67</v>
      </c>
      <c r="M179" t="s">
        <v>82</v>
      </c>
      <c r="N179" t="s">
        <v>13</v>
      </c>
    </row>
    <row r="180" spans="1:14" x14ac:dyDescent="0.35">
      <c r="A180" s="75">
        <v>43849</v>
      </c>
      <c r="B180" t="s">
        <v>158</v>
      </c>
      <c r="C180" t="s">
        <v>92</v>
      </c>
      <c r="D180">
        <v>5</v>
      </c>
      <c r="E180">
        <v>5</v>
      </c>
      <c r="F180" t="s">
        <v>10</v>
      </c>
      <c r="G180" t="s">
        <v>72</v>
      </c>
      <c r="H180" t="s">
        <v>78</v>
      </c>
      <c r="J180" t="s">
        <v>48</v>
      </c>
      <c r="K180" t="s">
        <v>8</v>
      </c>
      <c r="L180" t="s">
        <v>67</v>
      </c>
      <c r="M180" t="s">
        <v>82</v>
      </c>
      <c r="N180" t="s">
        <v>14</v>
      </c>
    </row>
    <row r="181" spans="1:14" x14ac:dyDescent="0.35">
      <c r="A181" s="75">
        <v>43849</v>
      </c>
      <c r="B181" t="s">
        <v>158</v>
      </c>
      <c r="C181" t="s">
        <v>92</v>
      </c>
      <c r="D181">
        <v>4</v>
      </c>
      <c r="E181">
        <v>4</v>
      </c>
      <c r="F181" t="s">
        <v>10</v>
      </c>
      <c r="G181" t="s">
        <v>113</v>
      </c>
      <c r="H181" t="s">
        <v>77</v>
      </c>
      <c r="J181" t="s">
        <v>30</v>
      </c>
      <c r="K181" t="s">
        <v>7</v>
      </c>
      <c r="L181" t="s">
        <v>67</v>
      </c>
      <c r="M181" t="s">
        <v>82</v>
      </c>
      <c r="N181" t="s">
        <v>13</v>
      </c>
    </row>
    <row r="182" spans="1:14" x14ac:dyDescent="0.35">
      <c r="A182" s="75">
        <v>43849</v>
      </c>
      <c r="B182" t="s">
        <v>158</v>
      </c>
      <c r="C182" t="s">
        <v>92</v>
      </c>
      <c r="D182">
        <v>3</v>
      </c>
      <c r="E182">
        <v>3</v>
      </c>
      <c r="F182" t="s">
        <v>10</v>
      </c>
      <c r="G182" t="s">
        <v>113</v>
      </c>
      <c r="H182" t="s">
        <v>77</v>
      </c>
      <c r="J182" t="s">
        <v>25</v>
      </c>
      <c r="K182" t="s">
        <v>7</v>
      </c>
      <c r="L182" t="s">
        <v>67</v>
      </c>
      <c r="M182" t="s">
        <v>80</v>
      </c>
      <c r="N182" t="s">
        <v>13</v>
      </c>
    </row>
    <row r="183" spans="1:14" x14ac:dyDescent="0.35">
      <c r="A183" s="75">
        <v>43849</v>
      </c>
      <c r="B183" t="s">
        <v>158</v>
      </c>
      <c r="C183" t="s">
        <v>92</v>
      </c>
      <c r="D183">
        <v>3</v>
      </c>
      <c r="E183">
        <v>3</v>
      </c>
      <c r="F183" t="s">
        <v>10</v>
      </c>
      <c r="G183" t="s">
        <v>73</v>
      </c>
      <c r="H183" t="s">
        <v>78</v>
      </c>
      <c r="J183" t="s">
        <v>56</v>
      </c>
      <c r="K183" t="s">
        <v>2</v>
      </c>
      <c r="L183" t="s">
        <v>67</v>
      </c>
      <c r="M183" t="s">
        <v>80</v>
      </c>
      <c r="N183" t="s">
        <v>13</v>
      </c>
    </row>
    <row r="184" spans="1:14" x14ac:dyDescent="0.35">
      <c r="A184" s="75">
        <v>43850</v>
      </c>
      <c r="B184" t="s">
        <v>159</v>
      </c>
      <c r="C184" t="s">
        <v>92</v>
      </c>
      <c r="D184">
        <v>10</v>
      </c>
      <c r="E184">
        <v>10</v>
      </c>
      <c r="F184" t="s">
        <v>10</v>
      </c>
      <c r="G184" t="s">
        <v>76</v>
      </c>
      <c r="H184" t="s">
        <v>79</v>
      </c>
      <c r="J184" t="s">
        <v>46</v>
      </c>
      <c r="K184" t="s">
        <v>8</v>
      </c>
      <c r="L184" t="s">
        <v>67</v>
      </c>
      <c r="M184" t="s">
        <v>81</v>
      </c>
      <c r="N184" t="s">
        <v>13</v>
      </c>
    </row>
    <row r="185" spans="1:14" x14ac:dyDescent="0.35">
      <c r="A185" s="75">
        <v>43850</v>
      </c>
      <c r="B185" t="s">
        <v>159</v>
      </c>
      <c r="C185" t="s">
        <v>92</v>
      </c>
      <c r="D185">
        <v>8</v>
      </c>
      <c r="E185">
        <v>8</v>
      </c>
      <c r="F185" t="s">
        <v>10</v>
      </c>
      <c r="G185" t="s">
        <v>113</v>
      </c>
      <c r="H185" t="s">
        <v>77</v>
      </c>
      <c r="J185" t="s">
        <v>40</v>
      </c>
      <c r="K185" t="s">
        <v>4</v>
      </c>
      <c r="L185" t="s">
        <v>67</v>
      </c>
      <c r="M185" t="s">
        <v>81</v>
      </c>
      <c r="N185" t="s">
        <v>13</v>
      </c>
    </row>
    <row r="186" spans="1:14" x14ac:dyDescent="0.35">
      <c r="A186" s="75">
        <v>43850</v>
      </c>
      <c r="B186" t="s">
        <v>159</v>
      </c>
      <c r="C186" t="s">
        <v>92</v>
      </c>
      <c r="D186">
        <v>8</v>
      </c>
      <c r="E186">
        <v>8</v>
      </c>
      <c r="F186" t="s">
        <v>10</v>
      </c>
      <c r="G186" t="s">
        <v>75</v>
      </c>
      <c r="H186" t="s">
        <v>6</v>
      </c>
      <c r="J186" t="s">
        <v>41</v>
      </c>
      <c r="K186" t="s">
        <v>2</v>
      </c>
      <c r="L186" t="s">
        <v>67</v>
      </c>
      <c r="M186" t="s">
        <v>80</v>
      </c>
      <c r="N186" t="s">
        <v>14</v>
      </c>
    </row>
    <row r="187" spans="1:14" x14ac:dyDescent="0.35">
      <c r="A187" s="75">
        <v>43850</v>
      </c>
      <c r="B187" t="s">
        <v>159</v>
      </c>
      <c r="C187" t="s">
        <v>92</v>
      </c>
      <c r="D187">
        <v>6</v>
      </c>
      <c r="E187">
        <v>6</v>
      </c>
      <c r="F187" t="s">
        <v>10</v>
      </c>
      <c r="G187" t="s">
        <v>113</v>
      </c>
      <c r="H187" t="s">
        <v>77</v>
      </c>
      <c r="J187" t="s">
        <v>34</v>
      </c>
      <c r="K187" t="s">
        <v>2</v>
      </c>
      <c r="L187" t="s">
        <v>67</v>
      </c>
      <c r="M187" t="s">
        <v>82</v>
      </c>
      <c r="N187" t="s">
        <v>11</v>
      </c>
    </row>
    <row r="188" spans="1:14" x14ac:dyDescent="0.35">
      <c r="A188" s="75">
        <v>43850</v>
      </c>
      <c r="B188" t="s">
        <v>159</v>
      </c>
      <c r="C188" t="s">
        <v>92</v>
      </c>
      <c r="D188">
        <v>3</v>
      </c>
      <c r="E188">
        <v>3</v>
      </c>
      <c r="F188" t="s">
        <v>10</v>
      </c>
      <c r="G188" t="s">
        <v>74</v>
      </c>
      <c r="H188" t="s">
        <v>77</v>
      </c>
      <c r="J188" t="s">
        <v>36</v>
      </c>
      <c r="K188" t="s">
        <v>5</v>
      </c>
      <c r="L188" t="s">
        <v>67</v>
      </c>
      <c r="M188" t="s">
        <v>80</v>
      </c>
      <c r="N188" t="s">
        <v>12</v>
      </c>
    </row>
    <row r="189" spans="1:14" x14ac:dyDescent="0.35">
      <c r="A189" s="75">
        <v>43851</v>
      </c>
      <c r="B189" t="s">
        <v>160</v>
      </c>
      <c r="C189" t="s">
        <v>92</v>
      </c>
      <c r="D189">
        <v>10</v>
      </c>
      <c r="E189">
        <v>10</v>
      </c>
      <c r="F189" t="s">
        <v>10</v>
      </c>
      <c r="G189" t="s">
        <v>75</v>
      </c>
      <c r="H189" t="s">
        <v>6</v>
      </c>
      <c r="J189" t="s">
        <v>24</v>
      </c>
      <c r="K189" t="s">
        <v>9</v>
      </c>
      <c r="L189" t="s">
        <v>67</v>
      </c>
      <c r="M189" t="s">
        <v>82</v>
      </c>
      <c r="N189" t="s">
        <v>12</v>
      </c>
    </row>
    <row r="190" spans="1:14" x14ac:dyDescent="0.35">
      <c r="A190" s="75">
        <v>43851</v>
      </c>
      <c r="B190" t="s">
        <v>160</v>
      </c>
      <c r="C190" t="s">
        <v>92</v>
      </c>
      <c r="D190">
        <v>10</v>
      </c>
      <c r="E190">
        <v>10</v>
      </c>
      <c r="F190" t="s">
        <v>10</v>
      </c>
      <c r="G190" t="s">
        <v>76</v>
      </c>
      <c r="H190" t="s">
        <v>79</v>
      </c>
      <c r="J190" t="s">
        <v>47</v>
      </c>
      <c r="K190" t="s">
        <v>5</v>
      </c>
      <c r="L190" t="s">
        <v>67</v>
      </c>
      <c r="M190" t="s">
        <v>81</v>
      </c>
      <c r="N190" t="s">
        <v>11</v>
      </c>
    </row>
    <row r="191" spans="1:14" x14ac:dyDescent="0.35">
      <c r="A191" s="75">
        <v>43851</v>
      </c>
      <c r="B191" t="s">
        <v>160</v>
      </c>
      <c r="C191" t="s">
        <v>92</v>
      </c>
      <c r="D191">
        <v>9</v>
      </c>
      <c r="E191">
        <v>9</v>
      </c>
      <c r="F191" t="s">
        <v>10</v>
      </c>
      <c r="G191" t="s">
        <v>74</v>
      </c>
      <c r="H191" t="s">
        <v>77</v>
      </c>
      <c r="J191" t="s">
        <v>55</v>
      </c>
      <c r="K191" t="s">
        <v>5</v>
      </c>
      <c r="L191" t="s">
        <v>67</v>
      </c>
      <c r="M191" t="s">
        <v>81</v>
      </c>
      <c r="N191" t="s">
        <v>14</v>
      </c>
    </row>
    <row r="192" spans="1:14" x14ac:dyDescent="0.35">
      <c r="A192" s="75">
        <v>43851</v>
      </c>
      <c r="B192" t="s">
        <v>160</v>
      </c>
      <c r="C192" t="s">
        <v>92</v>
      </c>
      <c r="D192">
        <v>9</v>
      </c>
      <c r="E192">
        <v>9</v>
      </c>
      <c r="F192" t="s">
        <v>10</v>
      </c>
      <c r="G192" t="s">
        <v>71</v>
      </c>
      <c r="H192" t="s">
        <v>6</v>
      </c>
      <c r="J192" t="s">
        <v>41</v>
      </c>
      <c r="K192" t="s">
        <v>2</v>
      </c>
      <c r="L192" t="s">
        <v>67</v>
      </c>
      <c r="M192" t="s">
        <v>82</v>
      </c>
      <c r="N192" t="s">
        <v>11</v>
      </c>
    </row>
    <row r="193" spans="1:14" x14ac:dyDescent="0.35">
      <c r="A193" s="75">
        <v>43851</v>
      </c>
      <c r="B193" t="s">
        <v>160</v>
      </c>
      <c r="C193" t="s">
        <v>92</v>
      </c>
      <c r="D193">
        <v>8</v>
      </c>
      <c r="E193">
        <v>8</v>
      </c>
      <c r="F193" t="s">
        <v>10</v>
      </c>
      <c r="G193" t="s">
        <v>72</v>
      </c>
      <c r="H193" t="s">
        <v>78</v>
      </c>
      <c r="J193" t="s">
        <v>28</v>
      </c>
      <c r="K193" t="s">
        <v>2</v>
      </c>
      <c r="L193" t="s">
        <v>67</v>
      </c>
      <c r="M193" t="s">
        <v>80</v>
      </c>
      <c r="N193" t="s">
        <v>13</v>
      </c>
    </row>
    <row r="194" spans="1:14" x14ac:dyDescent="0.35">
      <c r="A194" s="75">
        <v>43851</v>
      </c>
      <c r="B194" t="s">
        <v>160</v>
      </c>
      <c r="C194" t="s">
        <v>92</v>
      </c>
      <c r="D194">
        <v>7</v>
      </c>
      <c r="E194">
        <v>7</v>
      </c>
      <c r="F194" t="s">
        <v>10</v>
      </c>
      <c r="G194" t="s">
        <v>70</v>
      </c>
      <c r="H194" t="s">
        <v>1</v>
      </c>
      <c r="J194" t="s">
        <v>46</v>
      </c>
      <c r="K194" t="s">
        <v>5</v>
      </c>
      <c r="L194" t="s">
        <v>67</v>
      </c>
      <c r="M194" t="s">
        <v>80</v>
      </c>
      <c r="N194" t="s">
        <v>14</v>
      </c>
    </row>
    <row r="195" spans="1:14" x14ac:dyDescent="0.35">
      <c r="A195" s="75">
        <v>43851</v>
      </c>
      <c r="B195" t="s">
        <v>160</v>
      </c>
      <c r="C195" t="s">
        <v>92</v>
      </c>
      <c r="D195">
        <v>7</v>
      </c>
      <c r="E195">
        <v>7</v>
      </c>
      <c r="F195" t="s">
        <v>10</v>
      </c>
      <c r="G195" t="s">
        <v>73</v>
      </c>
      <c r="H195" t="s">
        <v>78</v>
      </c>
      <c r="J195" t="s">
        <v>41</v>
      </c>
      <c r="K195" t="s">
        <v>5</v>
      </c>
      <c r="L195" t="s">
        <v>67</v>
      </c>
      <c r="M195" t="s">
        <v>80</v>
      </c>
      <c r="N195" t="s">
        <v>11</v>
      </c>
    </row>
    <row r="196" spans="1:14" x14ac:dyDescent="0.35">
      <c r="A196" s="75">
        <v>43851</v>
      </c>
      <c r="B196" t="s">
        <v>160</v>
      </c>
      <c r="C196" t="s">
        <v>92</v>
      </c>
      <c r="D196">
        <v>6</v>
      </c>
      <c r="E196">
        <v>6</v>
      </c>
      <c r="F196" t="s">
        <v>10</v>
      </c>
      <c r="G196" t="s">
        <v>113</v>
      </c>
      <c r="H196" t="s">
        <v>77</v>
      </c>
      <c r="J196" t="s">
        <v>31</v>
      </c>
      <c r="K196" t="s">
        <v>5</v>
      </c>
      <c r="L196" t="s">
        <v>67</v>
      </c>
      <c r="M196" t="s">
        <v>82</v>
      </c>
      <c r="N196" t="s">
        <v>11</v>
      </c>
    </row>
    <row r="197" spans="1:14" x14ac:dyDescent="0.35">
      <c r="A197" s="75">
        <v>43851</v>
      </c>
      <c r="B197" t="s">
        <v>160</v>
      </c>
      <c r="C197" t="s">
        <v>92</v>
      </c>
      <c r="D197">
        <v>5</v>
      </c>
      <c r="E197">
        <v>5</v>
      </c>
      <c r="F197" t="s">
        <v>10</v>
      </c>
      <c r="G197" t="s">
        <v>73</v>
      </c>
      <c r="H197" t="s">
        <v>78</v>
      </c>
      <c r="J197" t="s">
        <v>58</v>
      </c>
      <c r="K197" t="s">
        <v>5</v>
      </c>
      <c r="L197" t="s">
        <v>67</v>
      </c>
      <c r="M197" t="s">
        <v>80</v>
      </c>
      <c r="N197" t="s">
        <v>11</v>
      </c>
    </row>
    <row r="198" spans="1:14" x14ac:dyDescent="0.35">
      <c r="A198" s="75">
        <v>43851</v>
      </c>
      <c r="B198" t="s">
        <v>160</v>
      </c>
      <c r="C198" t="s">
        <v>92</v>
      </c>
      <c r="D198">
        <v>4</v>
      </c>
      <c r="E198">
        <v>4</v>
      </c>
      <c r="F198" t="s">
        <v>10</v>
      </c>
      <c r="G198" t="s">
        <v>71</v>
      </c>
      <c r="H198" t="s">
        <v>6</v>
      </c>
      <c r="J198" t="s">
        <v>21</v>
      </c>
      <c r="K198" t="s">
        <v>5</v>
      </c>
      <c r="L198" t="s">
        <v>67</v>
      </c>
      <c r="M198" t="s">
        <v>80</v>
      </c>
      <c r="N198" t="s">
        <v>12</v>
      </c>
    </row>
    <row r="199" spans="1:14" x14ac:dyDescent="0.35">
      <c r="A199" s="75">
        <v>43851</v>
      </c>
      <c r="B199" t="s">
        <v>160</v>
      </c>
      <c r="C199" t="s">
        <v>92</v>
      </c>
      <c r="D199">
        <v>4</v>
      </c>
      <c r="E199">
        <v>4</v>
      </c>
      <c r="F199" t="s">
        <v>10</v>
      </c>
      <c r="G199" t="s">
        <v>71</v>
      </c>
      <c r="H199" t="s">
        <v>6</v>
      </c>
      <c r="J199" t="s">
        <v>30</v>
      </c>
      <c r="K199" t="s">
        <v>9</v>
      </c>
      <c r="L199" t="s">
        <v>67</v>
      </c>
      <c r="M199" t="s">
        <v>80</v>
      </c>
      <c r="N199" t="s">
        <v>12</v>
      </c>
    </row>
    <row r="200" spans="1:14" x14ac:dyDescent="0.35">
      <c r="A200" s="75">
        <v>43851</v>
      </c>
      <c r="B200" t="s">
        <v>160</v>
      </c>
      <c r="C200" t="s">
        <v>92</v>
      </c>
      <c r="D200">
        <v>3</v>
      </c>
      <c r="E200">
        <v>3</v>
      </c>
      <c r="F200" t="s">
        <v>10</v>
      </c>
      <c r="G200" t="s">
        <v>75</v>
      </c>
      <c r="H200" t="s">
        <v>6</v>
      </c>
      <c r="J200" t="s">
        <v>49</v>
      </c>
      <c r="K200" t="s">
        <v>9</v>
      </c>
      <c r="L200" t="s">
        <v>67</v>
      </c>
      <c r="M200" t="s">
        <v>81</v>
      </c>
      <c r="N200" t="s">
        <v>13</v>
      </c>
    </row>
    <row r="201" spans="1:14" x14ac:dyDescent="0.35">
      <c r="A201" s="75">
        <v>43852</v>
      </c>
      <c r="B201" t="s">
        <v>161</v>
      </c>
      <c r="C201" t="s">
        <v>92</v>
      </c>
      <c r="D201">
        <v>9</v>
      </c>
      <c r="E201">
        <v>9</v>
      </c>
      <c r="F201" t="s">
        <v>10</v>
      </c>
      <c r="G201" t="s">
        <v>76</v>
      </c>
      <c r="H201" t="s">
        <v>79</v>
      </c>
      <c r="J201" t="s">
        <v>48</v>
      </c>
      <c r="K201" t="s">
        <v>5</v>
      </c>
      <c r="L201" t="s">
        <v>67</v>
      </c>
      <c r="M201" t="s">
        <v>82</v>
      </c>
      <c r="N201" t="s">
        <v>13</v>
      </c>
    </row>
    <row r="202" spans="1:14" x14ac:dyDescent="0.35">
      <c r="A202" s="75">
        <v>43852</v>
      </c>
      <c r="B202" t="s">
        <v>161</v>
      </c>
      <c r="C202" t="s">
        <v>92</v>
      </c>
      <c r="D202">
        <v>7</v>
      </c>
      <c r="E202">
        <v>7</v>
      </c>
      <c r="F202" t="s">
        <v>10</v>
      </c>
      <c r="G202" t="s">
        <v>75</v>
      </c>
      <c r="H202" t="s">
        <v>6</v>
      </c>
      <c r="J202" t="s">
        <v>52</v>
      </c>
      <c r="K202" t="s">
        <v>2</v>
      </c>
      <c r="L202" t="s">
        <v>67</v>
      </c>
      <c r="M202" t="s">
        <v>82</v>
      </c>
      <c r="N202" t="s">
        <v>11</v>
      </c>
    </row>
    <row r="203" spans="1:14" x14ac:dyDescent="0.35">
      <c r="A203" s="75">
        <v>43852</v>
      </c>
      <c r="B203" t="s">
        <v>161</v>
      </c>
      <c r="C203" t="s">
        <v>92</v>
      </c>
      <c r="D203">
        <v>6</v>
      </c>
      <c r="E203">
        <v>6</v>
      </c>
      <c r="F203" t="s">
        <v>10</v>
      </c>
      <c r="G203" t="s">
        <v>72</v>
      </c>
      <c r="H203" t="s">
        <v>78</v>
      </c>
      <c r="J203" t="s">
        <v>59</v>
      </c>
      <c r="K203" t="s">
        <v>8</v>
      </c>
      <c r="L203" t="s">
        <v>67</v>
      </c>
      <c r="M203" t="s">
        <v>82</v>
      </c>
      <c r="N203" t="s">
        <v>11</v>
      </c>
    </row>
    <row r="204" spans="1:14" x14ac:dyDescent="0.35">
      <c r="A204" s="75">
        <v>43852</v>
      </c>
      <c r="B204" t="s">
        <v>161</v>
      </c>
      <c r="C204" t="s">
        <v>92</v>
      </c>
      <c r="D204">
        <v>6</v>
      </c>
      <c r="E204">
        <v>6</v>
      </c>
      <c r="F204" t="s">
        <v>10</v>
      </c>
      <c r="G204" t="s">
        <v>72</v>
      </c>
      <c r="H204" t="s">
        <v>78</v>
      </c>
      <c r="J204" t="s">
        <v>58</v>
      </c>
      <c r="K204" t="s">
        <v>2</v>
      </c>
      <c r="L204" t="s">
        <v>67</v>
      </c>
      <c r="M204" t="s">
        <v>82</v>
      </c>
      <c r="N204" t="s">
        <v>13</v>
      </c>
    </row>
    <row r="205" spans="1:14" x14ac:dyDescent="0.35">
      <c r="A205" s="75">
        <v>43852</v>
      </c>
      <c r="B205" t="s">
        <v>161</v>
      </c>
      <c r="C205" t="s">
        <v>92</v>
      </c>
      <c r="D205">
        <v>6</v>
      </c>
      <c r="E205">
        <v>6</v>
      </c>
      <c r="F205" t="s">
        <v>10</v>
      </c>
      <c r="G205" t="s">
        <v>70</v>
      </c>
      <c r="H205" t="s">
        <v>1</v>
      </c>
      <c r="J205" t="s">
        <v>52</v>
      </c>
      <c r="K205" t="s">
        <v>7</v>
      </c>
      <c r="L205" t="s">
        <v>67</v>
      </c>
      <c r="M205" t="s">
        <v>82</v>
      </c>
      <c r="N205" t="s">
        <v>13</v>
      </c>
    </row>
    <row r="206" spans="1:14" x14ac:dyDescent="0.35">
      <c r="A206" s="75">
        <v>43852</v>
      </c>
      <c r="B206" t="s">
        <v>161</v>
      </c>
      <c r="C206" t="s">
        <v>92</v>
      </c>
      <c r="D206">
        <v>6</v>
      </c>
      <c r="E206">
        <v>6</v>
      </c>
      <c r="F206" t="s">
        <v>10</v>
      </c>
      <c r="G206" t="s">
        <v>114</v>
      </c>
      <c r="H206" t="s">
        <v>3</v>
      </c>
      <c r="J206" t="s">
        <v>28</v>
      </c>
      <c r="K206" t="s">
        <v>5</v>
      </c>
      <c r="L206" t="s">
        <v>67</v>
      </c>
      <c r="M206" t="s">
        <v>82</v>
      </c>
      <c r="N206" t="s">
        <v>11</v>
      </c>
    </row>
    <row r="207" spans="1:14" x14ac:dyDescent="0.35">
      <c r="A207" s="75">
        <v>43852</v>
      </c>
      <c r="B207" t="s">
        <v>161</v>
      </c>
      <c r="C207" t="s">
        <v>92</v>
      </c>
      <c r="D207">
        <v>5</v>
      </c>
      <c r="E207">
        <v>5</v>
      </c>
      <c r="F207" t="s">
        <v>10</v>
      </c>
      <c r="G207" t="s">
        <v>75</v>
      </c>
      <c r="H207" t="s">
        <v>6</v>
      </c>
      <c r="J207" t="s">
        <v>48</v>
      </c>
      <c r="K207" t="s">
        <v>5</v>
      </c>
      <c r="L207" t="s">
        <v>67</v>
      </c>
      <c r="M207" t="s">
        <v>82</v>
      </c>
      <c r="N207" t="s">
        <v>13</v>
      </c>
    </row>
    <row r="208" spans="1:14" x14ac:dyDescent="0.35">
      <c r="A208" s="75">
        <v>43852</v>
      </c>
      <c r="B208" t="s">
        <v>161</v>
      </c>
      <c r="C208" t="s">
        <v>92</v>
      </c>
      <c r="D208">
        <v>4</v>
      </c>
      <c r="E208">
        <v>4</v>
      </c>
      <c r="F208" t="s">
        <v>10</v>
      </c>
      <c r="G208" t="s">
        <v>76</v>
      </c>
      <c r="H208" t="s">
        <v>79</v>
      </c>
      <c r="J208" t="s">
        <v>29</v>
      </c>
      <c r="K208" t="s">
        <v>4</v>
      </c>
      <c r="L208" t="s">
        <v>67</v>
      </c>
      <c r="M208" t="s">
        <v>82</v>
      </c>
      <c r="N208" t="s">
        <v>14</v>
      </c>
    </row>
    <row r="209" spans="1:14" x14ac:dyDescent="0.35">
      <c r="A209" s="75">
        <v>43852</v>
      </c>
      <c r="B209" t="s">
        <v>161</v>
      </c>
      <c r="C209" t="s">
        <v>92</v>
      </c>
      <c r="D209">
        <v>3</v>
      </c>
      <c r="E209">
        <v>3</v>
      </c>
      <c r="F209" t="s">
        <v>10</v>
      </c>
      <c r="G209" t="s">
        <v>114</v>
      </c>
      <c r="H209" t="s">
        <v>3</v>
      </c>
      <c r="J209" t="s">
        <v>19</v>
      </c>
      <c r="K209" t="s">
        <v>8</v>
      </c>
      <c r="L209" t="s">
        <v>67</v>
      </c>
      <c r="M209" t="s">
        <v>80</v>
      </c>
      <c r="N209" t="s">
        <v>14</v>
      </c>
    </row>
    <row r="210" spans="1:14" x14ac:dyDescent="0.35">
      <c r="A210" s="75">
        <v>43853</v>
      </c>
      <c r="B210" t="s">
        <v>162</v>
      </c>
      <c r="C210" t="s">
        <v>92</v>
      </c>
      <c r="D210">
        <v>10</v>
      </c>
      <c r="E210">
        <v>10</v>
      </c>
      <c r="F210" t="s">
        <v>10</v>
      </c>
      <c r="G210" t="s">
        <v>76</v>
      </c>
      <c r="H210" t="s">
        <v>79</v>
      </c>
      <c r="J210" t="s">
        <v>28</v>
      </c>
      <c r="K210" t="s">
        <v>5</v>
      </c>
      <c r="L210" t="s">
        <v>67</v>
      </c>
      <c r="M210" t="s">
        <v>81</v>
      </c>
      <c r="N210" t="s">
        <v>13</v>
      </c>
    </row>
    <row r="211" spans="1:14" x14ac:dyDescent="0.35">
      <c r="A211" s="75">
        <v>43853</v>
      </c>
      <c r="B211" t="s">
        <v>162</v>
      </c>
      <c r="C211" t="s">
        <v>92</v>
      </c>
      <c r="D211">
        <v>10</v>
      </c>
      <c r="E211">
        <v>10</v>
      </c>
      <c r="F211" t="s">
        <v>10</v>
      </c>
      <c r="G211" t="s">
        <v>75</v>
      </c>
      <c r="H211" t="s">
        <v>6</v>
      </c>
      <c r="J211" t="s">
        <v>46</v>
      </c>
      <c r="K211" t="s">
        <v>5</v>
      </c>
      <c r="L211" t="s">
        <v>67</v>
      </c>
      <c r="M211" t="s">
        <v>80</v>
      </c>
      <c r="N211" t="s">
        <v>12</v>
      </c>
    </row>
    <row r="212" spans="1:14" x14ac:dyDescent="0.35">
      <c r="A212" s="75">
        <v>43853</v>
      </c>
      <c r="B212" t="s">
        <v>162</v>
      </c>
      <c r="C212" t="s">
        <v>92</v>
      </c>
      <c r="D212">
        <v>9</v>
      </c>
      <c r="E212">
        <v>9</v>
      </c>
      <c r="F212" t="s">
        <v>10</v>
      </c>
      <c r="G212" t="s">
        <v>72</v>
      </c>
      <c r="H212" t="s">
        <v>78</v>
      </c>
      <c r="J212" t="s">
        <v>33</v>
      </c>
      <c r="K212" t="s">
        <v>8</v>
      </c>
      <c r="L212" t="s">
        <v>67</v>
      </c>
      <c r="M212" t="s">
        <v>82</v>
      </c>
      <c r="N212" t="s">
        <v>13</v>
      </c>
    </row>
    <row r="213" spans="1:14" x14ac:dyDescent="0.35">
      <c r="A213" s="75">
        <v>43853</v>
      </c>
      <c r="B213" t="s">
        <v>162</v>
      </c>
      <c r="C213" t="s">
        <v>92</v>
      </c>
      <c r="D213">
        <v>8</v>
      </c>
      <c r="E213">
        <v>8</v>
      </c>
      <c r="F213" t="s">
        <v>10</v>
      </c>
      <c r="G213" t="s">
        <v>75</v>
      </c>
      <c r="H213" t="s">
        <v>6</v>
      </c>
      <c r="J213" t="s">
        <v>36</v>
      </c>
      <c r="K213" t="s">
        <v>8</v>
      </c>
      <c r="L213" t="s">
        <v>67</v>
      </c>
      <c r="M213" t="s">
        <v>82</v>
      </c>
      <c r="N213" t="s">
        <v>13</v>
      </c>
    </row>
    <row r="214" spans="1:14" x14ac:dyDescent="0.35">
      <c r="A214" s="75">
        <v>43853</v>
      </c>
      <c r="B214" t="s">
        <v>162</v>
      </c>
      <c r="C214" t="s">
        <v>92</v>
      </c>
      <c r="D214">
        <v>6</v>
      </c>
      <c r="E214">
        <v>6</v>
      </c>
      <c r="F214" t="s">
        <v>10</v>
      </c>
      <c r="G214" t="s">
        <v>72</v>
      </c>
      <c r="H214" t="s">
        <v>78</v>
      </c>
      <c r="J214" t="s">
        <v>47</v>
      </c>
      <c r="K214" t="s">
        <v>2</v>
      </c>
      <c r="L214" t="s">
        <v>67</v>
      </c>
      <c r="M214" t="s">
        <v>81</v>
      </c>
      <c r="N214" t="s">
        <v>14</v>
      </c>
    </row>
    <row r="215" spans="1:14" x14ac:dyDescent="0.35">
      <c r="A215" s="75">
        <v>43853</v>
      </c>
      <c r="B215" t="s">
        <v>162</v>
      </c>
      <c r="C215" t="s">
        <v>92</v>
      </c>
      <c r="D215">
        <v>5</v>
      </c>
      <c r="E215">
        <v>5</v>
      </c>
      <c r="F215" t="s">
        <v>10</v>
      </c>
      <c r="G215" t="s">
        <v>113</v>
      </c>
      <c r="H215" t="s">
        <v>77</v>
      </c>
      <c r="J215" t="s">
        <v>25</v>
      </c>
      <c r="K215" t="s">
        <v>8</v>
      </c>
      <c r="L215" t="s">
        <v>67</v>
      </c>
      <c r="M215" t="s">
        <v>81</v>
      </c>
      <c r="N215" t="s">
        <v>12</v>
      </c>
    </row>
    <row r="216" spans="1:14" x14ac:dyDescent="0.35">
      <c r="A216" s="75">
        <v>43853</v>
      </c>
      <c r="B216" t="s">
        <v>162</v>
      </c>
      <c r="C216" t="s">
        <v>92</v>
      </c>
      <c r="D216">
        <v>5</v>
      </c>
      <c r="E216">
        <v>5</v>
      </c>
      <c r="F216" t="s">
        <v>10</v>
      </c>
      <c r="G216" t="s">
        <v>71</v>
      </c>
      <c r="H216" t="s">
        <v>6</v>
      </c>
      <c r="J216" t="s">
        <v>26</v>
      </c>
      <c r="K216" t="s">
        <v>4</v>
      </c>
      <c r="L216" t="s">
        <v>67</v>
      </c>
      <c r="M216" t="s">
        <v>80</v>
      </c>
      <c r="N216" t="s">
        <v>14</v>
      </c>
    </row>
    <row r="217" spans="1:14" x14ac:dyDescent="0.35">
      <c r="A217" s="75">
        <v>43853</v>
      </c>
      <c r="B217" t="s">
        <v>162</v>
      </c>
      <c r="C217" t="s">
        <v>92</v>
      </c>
      <c r="D217">
        <v>5</v>
      </c>
      <c r="E217">
        <v>5</v>
      </c>
      <c r="F217" t="s">
        <v>10</v>
      </c>
      <c r="G217" t="s">
        <v>73</v>
      </c>
      <c r="H217" t="s">
        <v>78</v>
      </c>
      <c r="J217" t="s">
        <v>62</v>
      </c>
      <c r="K217" t="s">
        <v>2</v>
      </c>
      <c r="L217" t="s">
        <v>67</v>
      </c>
      <c r="M217" t="s">
        <v>80</v>
      </c>
      <c r="N217" t="s">
        <v>11</v>
      </c>
    </row>
    <row r="218" spans="1:14" x14ac:dyDescent="0.35">
      <c r="A218" s="75">
        <v>43853</v>
      </c>
      <c r="B218" t="s">
        <v>162</v>
      </c>
      <c r="C218" t="s">
        <v>92</v>
      </c>
      <c r="D218">
        <v>3</v>
      </c>
      <c r="E218">
        <v>3</v>
      </c>
      <c r="F218" t="s">
        <v>10</v>
      </c>
      <c r="G218" t="s">
        <v>114</v>
      </c>
      <c r="H218" t="s">
        <v>3</v>
      </c>
      <c r="J218" t="s">
        <v>63</v>
      </c>
      <c r="K218" t="s">
        <v>2</v>
      </c>
      <c r="L218" t="s">
        <v>67</v>
      </c>
      <c r="M218" t="s">
        <v>81</v>
      </c>
      <c r="N218" t="s">
        <v>11</v>
      </c>
    </row>
    <row r="219" spans="1:14" x14ac:dyDescent="0.35">
      <c r="A219" s="75">
        <v>43854</v>
      </c>
      <c r="B219" t="s">
        <v>163</v>
      </c>
      <c r="C219" t="s">
        <v>92</v>
      </c>
      <c r="D219">
        <v>9</v>
      </c>
      <c r="E219">
        <v>9</v>
      </c>
      <c r="F219" t="s">
        <v>10</v>
      </c>
      <c r="G219" t="s">
        <v>70</v>
      </c>
      <c r="H219" t="s">
        <v>1</v>
      </c>
      <c r="J219" t="s">
        <v>48</v>
      </c>
      <c r="K219" t="s">
        <v>2</v>
      </c>
      <c r="L219" t="s">
        <v>67</v>
      </c>
      <c r="M219" t="s">
        <v>81</v>
      </c>
      <c r="N219" t="s">
        <v>14</v>
      </c>
    </row>
    <row r="220" spans="1:14" x14ac:dyDescent="0.35">
      <c r="A220" s="75">
        <v>43854</v>
      </c>
      <c r="B220" t="s">
        <v>163</v>
      </c>
      <c r="C220" t="s">
        <v>92</v>
      </c>
      <c r="D220">
        <v>7</v>
      </c>
      <c r="E220">
        <v>7</v>
      </c>
      <c r="F220" t="s">
        <v>10</v>
      </c>
      <c r="G220" t="s">
        <v>72</v>
      </c>
      <c r="H220" t="s">
        <v>78</v>
      </c>
      <c r="J220" t="s">
        <v>64</v>
      </c>
      <c r="K220" t="s">
        <v>5</v>
      </c>
      <c r="L220" t="s">
        <v>67</v>
      </c>
      <c r="M220" t="s">
        <v>80</v>
      </c>
      <c r="N220" t="s">
        <v>11</v>
      </c>
    </row>
    <row r="221" spans="1:14" x14ac:dyDescent="0.35">
      <c r="A221" s="75">
        <v>43854</v>
      </c>
      <c r="B221" t="s">
        <v>163</v>
      </c>
      <c r="C221" t="s">
        <v>92</v>
      </c>
      <c r="D221">
        <v>5</v>
      </c>
      <c r="E221">
        <v>5</v>
      </c>
      <c r="F221" t="s">
        <v>10</v>
      </c>
      <c r="G221" t="s">
        <v>74</v>
      </c>
      <c r="H221" t="s">
        <v>77</v>
      </c>
      <c r="J221" t="s">
        <v>30</v>
      </c>
      <c r="K221" t="s">
        <v>7</v>
      </c>
      <c r="L221" t="s">
        <v>67</v>
      </c>
      <c r="M221" t="s">
        <v>81</v>
      </c>
      <c r="N221" t="s">
        <v>13</v>
      </c>
    </row>
    <row r="222" spans="1:14" x14ac:dyDescent="0.35">
      <c r="A222" s="75">
        <v>43854</v>
      </c>
      <c r="B222" t="s">
        <v>163</v>
      </c>
      <c r="C222" t="s">
        <v>92</v>
      </c>
      <c r="D222">
        <v>5</v>
      </c>
      <c r="E222">
        <v>5</v>
      </c>
      <c r="F222" t="s">
        <v>10</v>
      </c>
      <c r="G222" t="s">
        <v>75</v>
      </c>
      <c r="H222" t="s">
        <v>6</v>
      </c>
      <c r="J222" t="s">
        <v>58</v>
      </c>
      <c r="K222" t="s">
        <v>5</v>
      </c>
      <c r="L222" t="s">
        <v>67</v>
      </c>
      <c r="M222" t="s">
        <v>80</v>
      </c>
      <c r="N222" t="s">
        <v>14</v>
      </c>
    </row>
    <row r="223" spans="1:14" x14ac:dyDescent="0.35">
      <c r="A223" s="75">
        <v>43854</v>
      </c>
      <c r="B223" t="s">
        <v>163</v>
      </c>
      <c r="C223" t="s">
        <v>92</v>
      </c>
      <c r="D223">
        <v>5</v>
      </c>
      <c r="E223">
        <v>5</v>
      </c>
      <c r="F223" t="s">
        <v>10</v>
      </c>
      <c r="G223" t="s">
        <v>114</v>
      </c>
      <c r="H223" t="s">
        <v>3</v>
      </c>
      <c r="J223" t="s">
        <v>20</v>
      </c>
      <c r="K223" t="s">
        <v>5</v>
      </c>
      <c r="L223" t="s">
        <v>67</v>
      </c>
      <c r="M223" t="s">
        <v>82</v>
      </c>
      <c r="N223" t="s">
        <v>14</v>
      </c>
    </row>
    <row r="224" spans="1:14" x14ac:dyDescent="0.35">
      <c r="A224" s="75">
        <v>43854</v>
      </c>
      <c r="B224" t="s">
        <v>163</v>
      </c>
      <c r="C224" t="s">
        <v>92</v>
      </c>
      <c r="D224">
        <v>5</v>
      </c>
      <c r="E224">
        <v>5</v>
      </c>
      <c r="F224" t="s">
        <v>10</v>
      </c>
      <c r="G224" t="s">
        <v>73</v>
      </c>
      <c r="H224" t="s">
        <v>78</v>
      </c>
      <c r="J224" t="s">
        <v>40</v>
      </c>
      <c r="K224" t="s">
        <v>8</v>
      </c>
      <c r="L224" t="s">
        <v>67</v>
      </c>
      <c r="M224" t="s">
        <v>82</v>
      </c>
      <c r="N224" t="s">
        <v>11</v>
      </c>
    </row>
    <row r="225" spans="1:14" x14ac:dyDescent="0.35">
      <c r="A225" s="75">
        <v>43854</v>
      </c>
      <c r="B225" t="s">
        <v>163</v>
      </c>
      <c r="C225" t="s">
        <v>92</v>
      </c>
      <c r="D225">
        <v>4</v>
      </c>
      <c r="E225">
        <v>4</v>
      </c>
      <c r="F225" t="s">
        <v>10</v>
      </c>
      <c r="G225" t="s">
        <v>70</v>
      </c>
      <c r="H225" t="s">
        <v>1</v>
      </c>
      <c r="J225" t="s">
        <v>15</v>
      </c>
      <c r="K225" t="s">
        <v>5</v>
      </c>
      <c r="L225" t="s">
        <v>67</v>
      </c>
      <c r="M225" t="s">
        <v>81</v>
      </c>
      <c r="N225" t="s">
        <v>12</v>
      </c>
    </row>
    <row r="226" spans="1:14" x14ac:dyDescent="0.35">
      <c r="A226" s="75">
        <v>43854</v>
      </c>
      <c r="B226" t="s">
        <v>163</v>
      </c>
      <c r="C226" t="s">
        <v>92</v>
      </c>
      <c r="D226">
        <v>3</v>
      </c>
      <c r="E226">
        <v>3</v>
      </c>
      <c r="F226" t="s">
        <v>10</v>
      </c>
      <c r="G226" t="s">
        <v>76</v>
      </c>
      <c r="H226" t="s">
        <v>79</v>
      </c>
      <c r="J226" t="s">
        <v>60</v>
      </c>
      <c r="K226" t="s">
        <v>5</v>
      </c>
      <c r="L226" t="s">
        <v>67</v>
      </c>
      <c r="M226" t="s">
        <v>81</v>
      </c>
      <c r="N226" t="s">
        <v>14</v>
      </c>
    </row>
    <row r="227" spans="1:14" x14ac:dyDescent="0.35">
      <c r="A227" s="75">
        <v>43855</v>
      </c>
      <c r="B227" t="s">
        <v>164</v>
      </c>
      <c r="C227" t="s">
        <v>92</v>
      </c>
      <c r="D227">
        <v>10</v>
      </c>
      <c r="E227">
        <v>10</v>
      </c>
      <c r="F227" t="s">
        <v>10</v>
      </c>
      <c r="G227" t="s">
        <v>70</v>
      </c>
      <c r="H227" t="s">
        <v>1</v>
      </c>
      <c r="J227" t="s">
        <v>17</v>
      </c>
      <c r="K227" t="s">
        <v>7</v>
      </c>
      <c r="L227" t="s">
        <v>67</v>
      </c>
      <c r="M227" t="s">
        <v>80</v>
      </c>
      <c r="N227" t="s">
        <v>11</v>
      </c>
    </row>
    <row r="228" spans="1:14" x14ac:dyDescent="0.35">
      <c r="A228" s="75">
        <v>43855</v>
      </c>
      <c r="B228" t="s">
        <v>164</v>
      </c>
      <c r="C228" t="s">
        <v>92</v>
      </c>
      <c r="D228">
        <v>9</v>
      </c>
      <c r="E228">
        <v>9</v>
      </c>
      <c r="F228" t="s">
        <v>10</v>
      </c>
      <c r="G228" t="s">
        <v>113</v>
      </c>
      <c r="H228" t="s">
        <v>77</v>
      </c>
      <c r="J228" t="s">
        <v>59</v>
      </c>
      <c r="K228" t="s">
        <v>8</v>
      </c>
      <c r="L228" t="s">
        <v>67</v>
      </c>
      <c r="M228" t="s">
        <v>82</v>
      </c>
      <c r="N228" t="s">
        <v>13</v>
      </c>
    </row>
    <row r="229" spans="1:14" x14ac:dyDescent="0.35">
      <c r="A229" s="75">
        <v>43855</v>
      </c>
      <c r="B229" t="s">
        <v>164</v>
      </c>
      <c r="C229" t="s">
        <v>92</v>
      </c>
      <c r="D229">
        <v>8</v>
      </c>
      <c r="E229">
        <v>8</v>
      </c>
      <c r="F229" t="s">
        <v>10</v>
      </c>
      <c r="G229" t="s">
        <v>70</v>
      </c>
      <c r="H229" t="s">
        <v>1</v>
      </c>
      <c r="J229" t="s">
        <v>53</v>
      </c>
      <c r="K229" t="s">
        <v>2</v>
      </c>
      <c r="L229" t="s">
        <v>67</v>
      </c>
      <c r="M229" t="s">
        <v>82</v>
      </c>
      <c r="N229" t="s">
        <v>13</v>
      </c>
    </row>
    <row r="230" spans="1:14" x14ac:dyDescent="0.35">
      <c r="A230" s="75">
        <v>43855</v>
      </c>
      <c r="B230" t="s">
        <v>164</v>
      </c>
      <c r="C230" t="s">
        <v>92</v>
      </c>
      <c r="D230">
        <v>7</v>
      </c>
      <c r="E230">
        <v>7</v>
      </c>
      <c r="F230" t="s">
        <v>10</v>
      </c>
      <c r="G230" t="s">
        <v>71</v>
      </c>
      <c r="H230" t="s">
        <v>6</v>
      </c>
      <c r="J230" t="s">
        <v>29</v>
      </c>
      <c r="K230" t="s">
        <v>7</v>
      </c>
      <c r="L230" t="s">
        <v>67</v>
      </c>
      <c r="M230" t="s">
        <v>81</v>
      </c>
      <c r="N230" t="s">
        <v>13</v>
      </c>
    </row>
    <row r="231" spans="1:14" x14ac:dyDescent="0.35">
      <c r="A231" s="75">
        <v>43855</v>
      </c>
      <c r="B231" t="s">
        <v>164</v>
      </c>
      <c r="C231" t="s">
        <v>92</v>
      </c>
      <c r="D231">
        <v>7</v>
      </c>
      <c r="E231">
        <v>7</v>
      </c>
      <c r="F231" t="s">
        <v>10</v>
      </c>
      <c r="G231" t="s">
        <v>72</v>
      </c>
      <c r="H231" t="s">
        <v>78</v>
      </c>
      <c r="J231" t="s">
        <v>20</v>
      </c>
      <c r="K231" t="s">
        <v>2</v>
      </c>
      <c r="L231" t="s">
        <v>67</v>
      </c>
      <c r="M231" t="s">
        <v>82</v>
      </c>
      <c r="N231" t="s">
        <v>11</v>
      </c>
    </row>
    <row r="232" spans="1:14" x14ac:dyDescent="0.35">
      <c r="A232" s="75">
        <v>43855</v>
      </c>
      <c r="B232" t="s">
        <v>164</v>
      </c>
      <c r="C232" t="s">
        <v>92</v>
      </c>
      <c r="D232">
        <v>5</v>
      </c>
      <c r="E232">
        <v>5</v>
      </c>
      <c r="F232" t="s">
        <v>10</v>
      </c>
      <c r="G232" t="s">
        <v>71</v>
      </c>
      <c r="H232" t="s">
        <v>6</v>
      </c>
      <c r="J232" t="s">
        <v>42</v>
      </c>
      <c r="K232" t="s">
        <v>8</v>
      </c>
      <c r="L232" t="s">
        <v>67</v>
      </c>
      <c r="M232" t="s">
        <v>81</v>
      </c>
      <c r="N232" t="s">
        <v>13</v>
      </c>
    </row>
    <row r="233" spans="1:14" x14ac:dyDescent="0.35">
      <c r="A233" s="75">
        <v>43856</v>
      </c>
      <c r="B233" t="s">
        <v>165</v>
      </c>
      <c r="C233" t="s">
        <v>92</v>
      </c>
      <c r="D233">
        <v>9</v>
      </c>
      <c r="E233">
        <v>9</v>
      </c>
      <c r="F233" t="s">
        <v>10</v>
      </c>
      <c r="G233" t="s">
        <v>71</v>
      </c>
      <c r="H233" t="s">
        <v>6</v>
      </c>
      <c r="J233" t="s">
        <v>17</v>
      </c>
      <c r="K233" t="s">
        <v>9</v>
      </c>
      <c r="L233" t="s">
        <v>67</v>
      </c>
      <c r="M233" t="s">
        <v>80</v>
      </c>
      <c r="N233" t="s">
        <v>12</v>
      </c>
    </row>
    <row r="234" spans="1:14" x14ac:dyDescent="0.35">
      <c r="A234" s="75">
        <v>43856</v>
      </c>
      <c r="B234" t="s">
        <v>165</v>
      </c>
      <c r="C234" t="s">
        <v>92</v>
      </c>
      <c r="D234">
        <v>8</v>
      </c>
      <c r="E234">
        <v>8</v>
      </c>
      <c r="F234" t="s">
        <v>10</v>
      </c>
      <c r="G234" t="s">
        <v>72</v>
      </c>
      <c r="H234" t="s">
        <v>78</v>
      </c>
      <c r="J234" t="s">
        <v>16</v>
      </c>
      <c r="K234" t="s">
        <v>8</v>
      </c>
      <c r="L234" t="s">
        <v>67</v>
      </c>
      <c r="M234" t="s">
        <v>81</v>
      </c>
      <c r="N234" t="s">
        <v>11</v>
      </c>
    </row>
    <row r="235" spans="1:14" x14ac:dyDescent="0.35">
      <c r="A235" s="75">
        <v>43856</v>
      </c>
      <c r="B235" t="s">
        <v>165</v>
      </c>
      <c r="C235" t="s">
        <v>92</v>
      </c>
      <c r="D235">
        <v>7</v>
      </c>
      <c r="E235">
        <v>7</v>
      </c>
      <c r="F235" t="s">
        <v>10</v>
      </c>
      <c r="G235" t="s">
        <v>75</v>
      </c>
      <c r="H235" t="s">
        <v>6</v>
      </c>
      <c r="J235" t="s">
        <v>63</v>
      </c>
      <c r="K235" t="s">
        <v>2</v>
      </c>
      <c r="L235" t="s">
        <v>67</v>
      </c>
      <c r="M235" t="s">
        <v>82</v>
      </c>
      <c r="N235" t="s">
        <v>11</v>
      </c>
    </row>
    <row r="236" spans="1:14" x14ac:dyDescent="0.35">
      <c r="A236" s="75">
        <v>43856</v>
      </c>
      <c r="B236" t="s">
        <v>165</v>
      </c>
      <c r="C236" t="s">
        <v>92</v>
      </c>
      <c r="D236">
        <v>7</v>
      </c>
      <c r="E236">
        <v>7</v>
      </c>
      <c r="F236" t="s">
        <v>10</v>
      </c>
      <c r="G236" t="s">
        <v>75</v>
      </c>
      <c r="H236" t="s">
        <v>6</v>
      </c>
      <c r="J236" t="s">
        <v>33</v>
      </c>
      <c r="K236" t="s">
        <v>5</v>
      </c>
      <c r="L236" t="s">
        <v>67</v>
      </c>
      <c r="M236" t="s">
        <v>82</v>
      </c>
      <c r="N236" t="s">
        <v>11</v>
      </c>
    </row>
    <row r="237" spans="1:14" x14ac:dyDescent="0.35">
      <c r="A237" s="75">
        <v>43856</v>
      </c>
      <c r="B237" t="s">
        <v>165</v>
      </c>
      <c r="C237" t="s">
        <v>92</v>
      </c>
      <c r="D237">
        <v>7</v>
      </c>
      <c r="E237">
        <v>7</v>
      </c>
      <c r="F237" t="s">
        <v>10</v>
      </c>
      <c r="G237" t="s">
        <v>113</v>
      </c>
      <c r="H237" t="s">
        <v>77</v>
      </c>
      <c r="J237" t="s">
        <v>44</v>
      </c>
      <c r="K237" t="s">
        <v>7</v>
      </c>
      <c r="L237" t="s">
        <v>67</v>
      </c>
      <c r="M237" t="s">
        <v>81</v>
      </c>
      <c r="N237" t="s">
        <v>11</v>
      </c>
    </row>
    <row r="238" spans="1:14" x14ac:dyDescent="0.35">
      <c r="A238" s="75">
        <v>43856</v>
      </c>
      <c r="B238" t="s">
        <v>165</v>
      </c>
      <c r="C238" t="s">
        <v>92</v>
      </c>
      <c r="D238">
        <v>5</v>
      </c>
      <c r="E238">
        <v>5</v>
      </c>
      <c r="F238" t="s">
        <v>10</v>
      </c>
      <c r="G238" t="s">
        <v>113</v>
      </c>
      <c r="H238" t="s">
        <v>77</v>
      </c>
      <c r="J238" t="s">
        <v>55</v>
      </c>
      <c r="K238" t="s">
        <v>2</v>
      </c>
      <c r="L238" t="s">
        <v>67</v>
      </c>
      <c r="M238" t="s">
        <v>80</v>
      </c>
      <c r="N238" t="s">
        <v>14</v>
      </c>
    </row>
    <row r="239" spans="1:14" x14ac:dyDescent="0.35">
      <c r="A239" s="75">
        <v>43856</v>
      </c>
      <c r="B239" t="s">
        <v>165</v>
      </c>
      <c r="C239" t="s">
        <v>92</v>
      </c>
      <c r="D239">
        <v>3</v>
      </c>
      <c r="E239">
        <v>3</v>
      </c>
      <c r="F239" t="s">
        <v>10</v>
      </c>
      <c r="G239" t="s">
        <v>73</v>
      </c>
      <c r="H239" t="s">
        <v>78</v>
      </c>
      <c r="J239" t="s">
        <v>46</v>
      </c>
      <c r="K239" t="s">
        <v>2</v>
      </c>
      <c r="L239" t="s">
        <v>67</v>
      </c>
      <c r="M239" t="s">
        <v>80</v>
      </c>
      <c r="N239" t="s">
        <v>12</v>
      </c>
    </row>
    <row r="240" spans="1:14" x14ac:dyDescent="0.35">
      <c r="A240" s="75">
        <v>43857</v>
      </c>
      <c r="B240" t="s">
        <v>166</v>
      </c>
      <c r="C240" t="s">
        <v>92</v>
      </c>
      <c r="D240">
        <v>10</v>
      </c>
      <c r="E240">
        <v>10</v>
      </c>
      <c r="F240" t="s">
        <v>10</v>
      </c>
      <c r="G240" t="s">
        <v>71</v>
      </c>
      <c r="H240" t="s">
        <v>6</v>
      </c>
      <c r="J240" t="s">
        <v>51</v>
      </c>
      <c r="K240" t="s">
        <v>5</v>
      </c>
      <c r="L240" t="s">
        <v>67</v>
      </c>
      <c r="M240" t="s">
        <v>81</v>
      </c>
      <c r="N240" t="s">
        <v>12</v>
      </c>
    </row>
    <row r="241" spans="1:14" x14ac:dyDescent="0.35">
      <c r="A241" s="75">
        <v>43857</v>
      </c>
      <c r="B241" t="s">
        <v>166</v>
      </c>
      <c r="C241" t="s">
        <v>92</v>
      </c>
      <c r="D241">
        <v>9</v>
      </c>
      <c r="E241">
        <v>9</v>
      </c>
      <c r="F241" t="s">
        <v>10</v>
      </c>
      <c r="G241" t="s">
        <v>74</v>
      </c>
      <c r="H241" t="s">
        <v>77</v>
      </c>
      <c r="J241" t="s">
        <v>17</v>
      </c>
      <c r="K241" t="s">
        <v>9</v>
      </c>
      <c r="L241" t="s">
        <v>67</v>
      </c>
      <c r="M241" t="s">
        <v>80</v>
      </c>
      <c r="N241" t="s">
        <v>14</v>
      </c>
    </row>
    <row r="242" spans="1:14" x14ac:dyDescent="0.35">
      <c r="A242" s="75">
        <v>43857</v>
      </c>
      <c r="B242" t="s">
        <v>166</v>
      </c>
      <c r="C242" t="s">
        <v>92</v>
      </c>
      <c r="D242">
        <v>8</v>
      </c>
      <c r="E242">
        <v>8</v>
      </c>
      <c r="F242" t="s">
        <v>10</v>
      </c>
      <c r="G242" t="s">
        <v>75</v>
      </c>
      <c r="H242" t="s">
        <v>6</v>
      </c>
      <c r="J242" t="s">
        <v>41</v>
      </c>
      <c r="K242" t="s">
        <v>5</v>
      </c>
      <c r="L242" t="s">
        <v>67</v>
      </c>
      <c r="M242" t="s">
        <v>82</v>
      </c>
      <c r="N242" t="s">
        <v>12</v>
      </c>
    </row>
    <row r="243" spans="1:14" x14ac:dyDescent="0.35">
      <c r="A243" s="75">
        <v>43857</v>
      </c>
      <c r="B243" t="s">
        <v>166</v>
      </c>
      <c r="C243" t="s">
        <v>92</v>
      </c>
      <c r="D243">
        <v>7</v>
      </c>
      <c r="E243">
        <v>7</v>
      </c>
      <c r="F243" t="s">
        <v>10</v>
      </c>
      <c r="G243" t="s">
        <v>70</v>
      </c>
      <c r="H243" t="s">
        <v>1</v>
      </c>
      <c r="J243" t="s">
        <v>32</v>
      </c>
      <c r="K243" t="s">
        <v>2</v>
      </c>
      <c r="L243" t="s">
        <v>67</v>
      </c>
      <c r="M243" t="s">
        <v>82</v>
      </c>
      <c r="N243" t="s">
        <v>11</v>
      </c>
    </row>
    <row r="244" spans="1:14" x14ac:dyDescent="0.35">
      <c r="A244" s="75">
        <v>43857</v>
      </c>
      <c r="B244" t="s">
        <v>166</v>
      </c>
      <c r="C244" t="s">
        <v>92</v>
      </c>
      <c r="D244">
        <v>7</v>
      </c>
      <c r="E244">
        <v>7</v>
      </c>
      <c r="F244" t="s">
        <v>10</v>
      </c>
      <c r="G244" t="s">
        <v>113</v>
      </c>
      <c r="H244" t="s">
        <v>77</v>
      </c>
      <c r="J244" t="s">
        <v>54</v>
      </c>
      <c r="K244" t="s">
        <v>7</v>
      </c>
      <c r="L244" t="s">
        <v>67</v>
      </c>
      <c r="M244" t="s">
        <v>81</v>
      </c>
      <c r="N244" t="s">
        <v>11</v>
      </c>
    </row>
    <row r="245" spans="1:14" x14ac:dyDescent="0.35">
      <c r="A245" s="75">
        <v>43857</v>
      </c>
      <c r="B245" t="s">
        <v>166</v>
      </c>
      <c r="C245" t="s">
        <v>92</v>
      </c>
      <c r="D245">
        <v>6</v>
      </c>
      <c r="E245">
        <v>6</v>
      </c>
      <c r="F245" t="s">
        <v>10</v>
      </c>
      <c r="G245" t="s">
        <v>73</v>
      </c>
      <c r="H245" t="s">
        <v>78</v>
      </c>
      <c r="J245" t="s">
        <v>23</v>
      </c>
      <c r="K245" t="s">
        <v>4</v>
      </c>
      <c r="L245" t="s">
        <v>67</v>
      </c>
      <c r="M245" t="s">
        <v>81</v>
      </c>
      <c r="N245" t="s">
        <v>12</v>
      </c>
    </row>
    <row r="246" spans="1:14" x14ac:dyDescent="0.35">
      <c r="A246" s="75">
        <v>43857</v>
      </c>
      <c r="B246" t="s">
        <v>166</v>
      </c>
      <c r="C246" t="s">
        <v>92</v>
      </c>
      <c r="D246">
        <v>5</v>
      </c>
      <c r="E246">
        <v>5</v>
      </c>
      <c r="F246" t="s">
        <v>10</v>
      </c>
      <c r="G246" t="s">
        <v>71</v>
      </c>
      <c r="H246" t="s">
        <v>6</v>
      </c>
      <c r="J246" t="s">
        <v>23</v>
      </c>
      <c r="K246" t="s">
        <v>2</v>
      </c>
      <c r="L246" t="s">
        <v>67</v>
      </c>
      <c r="M246" t="s">
        <v>82</v>
      </c>
      <c r="N246" t="s">
        <v>12</v>
      </c>
    </row>
    <row r="247" spans="1:14" x14ac:dyDescent="0.35">
      <c r="A247" s="75">
        <v>43857</v>
      </c>
      <c r="B247" t="s">
        <v>166</v>
      </c>
      <c r="C247" t="s">
        <v>92</v>
      </c>
      <c r="D247">
        <v>3</v>
      </c>
      <c r="E247">
        <v>3</v>
      </c>
      <c r="F247" t="s">
        <v>10</v>
      </c>
      <c r="G247" t="s">
        <v>70</v>
      </c>
      <c r="H247" t="s">
        <v>1</v>
      </c>
      <c r="J247" t="s">
        <v>45</v>
      </c>
      <c r="K247" t="s">
        <v>2</v>
      </c>
      <c r="L247" t="s">
        <v>67</v>
      </c>
      <c r="M247" t="s">
        <v>82</v>
      </c>
      <c r="N247" t="s">
        <v>11</v>
      </c>
    </row>
    <row r="248" spans="1:14" x14ac:dyDescent="0.35">
      <c r="A248" s="75">
        <v>43858</v>
      </c>
      <c r="B248" t="s">
        <v>167</v>
      </c>
      <c r="C248" t="s">
        <v>92</v>
      </c>
      <c r="D248">
        <v>10</v>
      </c>
      <c r="E248">
        <v>10</v>
      </c>
      <c r="F248" t="s">
        <v>10</v>
      </c>
      <c r="G248" t="s">
        <v>75</v>
      </c>
      <c r="H248" t="s">
        <v>6</v>
      </c>
      <c r="J248" t="s">
        <v>60</v>
      </c>
      <c r="K248" t="s">
        <v>5</v>
      </c>
      <c r="L248" t="s">
        <v>67</v>
      </c>
      <c r="M248" t="s">
        <v>80</v>
      </c>
      <c r="N248" t="s">
        <v>14</v>
      </c>
    </row>
    <row r="249" spans="1:14" x14ac:dyDescent="0.35">
      <c r="A249" s="75">
        <v>43858</v>
      </c>
      <c r="B249" t="s">
        <v>167</v>
      </c>
      <c r="C249" t="s">
        <v>92</v>
      </c>
      <c r="D249">
        <v>8</v>
      </c>
      <c r="E249">
        <v>8</v>
      </c>
      <c r="F249" t="s">
        <v>10</v>
      </c>
      <c r="G249" t="s">
        <v>70</v>
      </c>
      <c r="H249" t="s">
        <v>1</v>
      </c>
      <c r="J249" t="s">
        <v>52</v>
      </c>
      <c r="K249" t="s">
        <v>7</v>
      </c>
      <c r="L249" t="s">
        <v>67</v>
      </c>
      <c r="M249" t="s">
        <v>82</v>
      </c>
      <c r="N249" t="s">
        <v>13</v>
      </c>
    </row>
    <row r="250" spans="1:14" x14ac:dyDescent="0.35">
      <c r="A250" s="75">
        <v>43858</v>
      </c>
      <c r="B250" t="s">
        <v>167</v>
      </c>
      <c r="C250" t="s">
        <v>92</v>
      </c>
      <c r="D250">
        <v>7</v>
      </c>
      <c r="E250">
        <v>7</v>
      </c>
      <c r="F250" t="s">
        <v>10</v>
      </c>
      <c r="G250" t="s">
        <v>72</v>
      </c>
      <c r="H250" t="s">
        <v>78</v>
      </c>
      <c r="J250" t="s">
        <v>54</v>
      </c>
      <c r="K250" t="s">
        <v>5</v>
      </c>
      <c r="L250" t="s">
        <v>67</v>
      </c>
      <c r="M250" t="s">
        <v>81</v>
      </c>
      <c r="N250" t="s">
        <v>13</v>
      </c>
    </row>
    <row r="251" spans="1:14" x14ac:dyDescent="0.35">
      <c r="A251" s="75">
        <v>43858</v>
      </c>
      <c r="B251" t="s">
        <v>167</v>
      </c>
      <c r="C251" t="s">
        <v>92</v>
      </c>
      <c r="D251">
        <v>7</v>
      </c>
      <c r="E251">
        <v>7</v>
      </c>
      <c r="F251" t="s">
        <v>10</v>
      </c>
      <c r="G251" t="s">
        <v>114</v>
      </c>
      <c r="H251" t="s">
        <v>3</v>
      </c>
      <c r="J251" t="s">
        <v>16</v>
      </c>
      <c r="K251" t="s">
        <v>5</v>
      </c>
      <c r="L251" t="s">
        <v>67</v>
      </c>
      <c r="M251" t="s">
        <v>82</v>
      </c>
      <c r="N251" t="s">
        <v>14</v>
      </c>
    </row>
    <row r="252" spans="1:14" x14ac:dyDescent="0.35">
      <c r="A252" s="75">
        <v>43858</v>
      </c>
      <c r="B252" t="s">
        <v>167</v>
      </c>
      <c r="C252" t="s">
        <v>92</v>
      </c>
      <c r="D252">
        <v>7</v>
      </c>
      <c r="E252">
        <v>7</v>
      </c>
      <c r="F252" t="s">
        <v>10</v>
      </c>
      <c r="G252" t="s">
        <v>70</v>
      </c>
      <c r="H252" t="s">
        <v>1</v>
      </c>
      <c r="J252" t="s">
        <v>50</v>
      </c>
      <c r="K252" t="s">
        <v>2</v>
      </c>
      <c r="L252" t="s">
        <v>67</v>
      </c>
      <c r="M252" t="s">
        <v>80</v>
      </c>
      <c r="N252" t="s">
        <v>11</v>
      </c>
    </row>
    <row r="253" spans="1:14" x14ac:dyDescent="0.35">
      <c r="A253" s="75">
        <v>43858</v>
      </c>
      <c r="B253" t="s">
        <v>167</v>
      </c>
      <c r="C253" t="s">
        <v>92</v>
      </c>
      <c r="D253">
        <v>6</v>
      </c>
      <c r="E253">
        <v>6</v>
      </c>
      <c r="F253" t="s">
        <v>10</v>
      </c>
      <c r="G253" t="s">
        <v>74</v>
      </c>
      <c r="H253" t="s">
        <v>77</v>
      </c>
      <c r="J253" t="s">
        <v>48</v>
      </c>
      <c r="K253" t="s">
        <v>2</v>
      </c>
      <c r="L253" t="s">
        <v>67</v>
      </c>
      <c r="M253" t="s">
        <v>82</v>
      </c>
      <c r="N253" t="s">
        <v>13</v>
      </c>
    </row>
    <row r="254" spans="1:14" x14ac:dyDescent="0.35">
      <c r="A254" s="75">
        <v>43858</v>
      </c>
      <c r="B254" t="s">
        <v>167</v>
      </c>
      <c r="C254" t="s">
        <v>92</v>
      </c>
      <c r="D254">
        <v>4</v>
      </c>
      <c r="E254">
        <v>4</v>
      </c>
      <c r="F254" t="s">
        <v>10</v>
      </c>
      <c r="G254" t="s">
        <v>74</v>
      </c>
      <c r="H254" t="s">
        <v>77</v>
      </c>
      <c r="J254" t="s">
        <v>37</v>
      </c>
      <c r="K254" t="s">
        <v>2</v>
      </c>
      <c r="L254" t="s">
        <v>67</v>
      </c>
      <c r="M254" t="s">
        <v>80</v>
      </c>
      <c r="N254" t="s">
        <v>12</v>
      </c>
    </row>
    <row r="255" spans="1:14" x14ac:dyDescent="0.35">
      <c r="A255" s="75">
        <v>43859</v>
      </c>
      <c r="B255" t="s">
        <v>168</v>
      </c>
      <c r="C255" t="s">
        <v>92</v>
      </c>
      <c r="D255">
        <v>10</v>
      </c>
      <c r="E255">
        <v>10</v>
      </c>
      <c r="F255" t="s">
        <v>10</v>
      </c>
      <c r="G255" t="s">
        <v>113</v>
      </c>
      <c r="H255" t="s">
        <v>77</v>
      </c>
      <c r="J255" t="s">
        <v>31</v>
      </c>
      <c r="K255" t="s">
        <v>5</v>
      </c>
      <c r="L255" t="s">
        <v>67</v>
      </c>
      <c r="M255" t="s">
        <v>81</v>
      </c>
      <c r="N255" t="s">
        <v>14</v>
      </c>
    </row>
    <row r="256" spans="1:14" x14ac:dyDescent="0.35">
      <c r="A256" s="75">
        <v>43859</v>
      </c>
      <c r="B256" t="s">
        <v>168</v>
      </c>
      <c r="C256" t="s">
        <v>92</v>
      </c>
      <c r="D256">
        <v>8</v>
      </c>
      <c r="E256">
        <v>8</v>
      </c>
      <c r="F256" t="s">
        <v>10</v>
      </c>
      <c r="G256" t="s">
        <v>76</v>
      </c>
      <c r="H256" t="s">
        <v>79</v>
      </c>
      <c r="J256" t="s">
        <v>31</v>
      </c>
      <c r="K256" t="s">
        <v>5</v>
      </c>
      <c r="L256" t="s">
        <v>67</v>
      </c>
      <c r="M256" t="s">
        <v>81</v>
      </c>
      <c r="N256" t="s">
        <v>14</v>
      </c>
    </row>
    <row r="257" spans="1:14" x14ac:dyDescent="0.35">
      <c r="A257" s="75">
        <v>43859</v>
      </c>
      <c r="B257" t="s">
        <v>168</v>
      </c>
      <c r="C257" t="s">
        <v>92</v>
      </c>
      <c r="D257">
        <v>7</v>
      </c>
      <c r="E257">
        <v>7</v>
      </c>
      <c r="F257" t="s">
        <v>10</v>
      </c>
      <c r="G257" t="s">
        <v>75</v>
      </c>
      <c r="H257" t="s">
        <v>6</v>
      </c>
      <c r="J257" t="s">
        <v>30</v>
      </c>
      <c r="K257" t="s">
        <v>2</v>
      </c>
      <c r="L257" t="s">
        <v>67</v>
      </c>
      <c r="M257" t="s">
        <v>81</v>
      </c>
      <c r="N257" t="s">
        <v>11</v>
      </c>
    </row>
    <row r="258" spans="1:14" x14ac:dyDescent="0.35">
      <c r="A258" s="75">
        <v>43859</v>
      </c>
      <c r="B258" t="s">
        <v>168</v>
      </c>
      <c r="C258" t="s">
        <v>92</v>
      </c>
      <c r="D258">
        <v>6</v>
      </c>
      <c r="E258">
        <v>6</v>
      </c>
      <c r="F258" t="s">
        <v>10</v>
      </c>
      <c r="G258" t="s">
        <v>71</v>
      </c>
      <c r="H258" t="s">
        <v>6</v>
      </c>
      <c r="J258" t="s">
        <v>36</v>
      </c>
      <c r="K258" t="s">
        <v>5</v>
      </c>
      <c r="L258" t="s">
        <v>67</v>
      </c>
      <c r="M258" t="s">
        <v>80</v>
      </c>
      <c r="N258" t="s">
        <v>13</v>
      </c>
    </row>
    <row r="259" spans="1:14" x14ac:dyDescent="0.35">
      <c r="A259" s="75">
        <v>43859</v>
      </c>
      <c r="B259" t="s">
        <v>168</v>
      </c>
      <c r="C259" t="s">
        <v>92</v>
      </c>
      <c r="D259">
        <v>6</v>
      </c>
      <c r="E259">
        <v>6</v>
      </c>
      <c r="F259" t="s">
        <v>10</v>
      </c>
      <c r="G259" t="s">
        <v>114</v>
      </c>
      <c r="H259" t="s">
        <v>3</v>
      </c>
      <c r="J259" t="s">
        <v>18</v>
      </c>
      <c r="K259" t="s">
        <v>5</v>
      </c>
      <c r="L259" t="s">
        <v>67</v>
      </c>
      <c r="M259" t="s">
        <v>81</v>
      </c>
      <c r="N259" t="s">
        <v>12</v>
      </c>
    </row>
    <row r="260" spans="1:14" x14ac:dyDescent="0.35">
      <c r="A260" s="75">
        <v>43859</v>
      </c>
      <c r="B260" t="s">
        <v>168</v>
      </c>
      <c r="C260" t="s">
        <v>92</v>
      </c>
      <c r="D260">
        <v>6</v>
      </c>
      <c r="E260">
        <v>6</v>
      </c>
      <c r="F260" t="s">
        <v>10</v>
      </c>
      <c r="G260" t="s">
        <v>114</v>
      </c>
      <c r="H260" t="s">
        <v>3</v>
      </c>
      <c r="J260" t="s">
        <v>15</v>
      </c>
      <c r="K260" t="s">
        <v>5</v>
      </c>
      <c r="L260" t="s">
        <v>67</v>
      </c>
      <c r="M260" t="s">
        <v>80</v>
      </c>
      <c r="N260" t="s">
        <v>14</v>
      </c>
    </row>
    <row r="261" spans="1:14" x14ac:dyDescent="0.35">
      <c r="A261" s="75">
        <v>43859</v>
      </c>
      <c r="B261" t="s">
        <v>168</v>
      </c>
      <c r="C261" t="s">
        <v>92</v>
      </c>
      <c r="D261">
        <v>5</v>
      </c>
      <c r="E261">
        <v>5</v>
      </c>
      <c r="F261" t="s">
        <v>10</v>
      </c>
      <c r="G261" t="s">
        <v>76</v>
      </c>
      <c r="H261" t="s">
        <v>79</v>
      </c>
      <c r="J261" t="s">
        <v>17</v>
      </c>
      <c r="K261" t="s">
        <v>2</v>
      </c>
      <c r="L261" t="s">
        <v>67</v>
      </c>
      <c r="M261" t="s">
        <v>82</v>
      </c>
      <c r="N261" t="s">
        <v>12</v>
      </c>
    </row>
    <row r="262" spans="1:14" x14ac:dyDescent="0.35">
      <c r="A262" s="75">
        <v>43859</v>
      </c>
      <c r="B262" t="s">
        <v>168</v>
      </c>
      <c r="C262" t="s">
        <v>92</v>
      </c>
      <c r="D262">
        <v>4</v>
      </c>
      <c r="E262">
        <v>4</v>
      </c>
      <c r="F262" t="s">
        <v>10</v>
      </c>
      <c r="G262" t="s">
        <v>76</v>
      </c>
      <c r="H262" t="s">
        <v>79</v>
      </c>
      <c r="J262" t="s">
        <v>49</v>
      </c>
      <c r="K262" t="s">
        <v>7</v>
      </c>
      <c r="L262" t="s">
        <v>67</v>
      </c>
      <c r="M262" t="s">
        <v>82</v>
      </c>
      <c r="N262" t="s">
        <v>11</v>
      </c>
    </row>
    <row r="263" spans="1:14" x14ac:dyDescent="0.35">
      <c r="A263" s="75">
        <v>43860</v>
      </c>
      <c r="B263" t="s">
        <v>169</v>
      </c>
      <c r="C263" t="s">
        <v>92</v>
      </c>
      <c r="D263">
        <v>10</v>
      </c>
      <c r="E263">
        <v>10</v>
      </c>
      <c r="F263" t="s">
        <v>10</v>
      </c>
      <c r="G263" t="s">
        <v>70</v>
      </c>
      <c r="H263" t="s">
        <v>1</v>
      </c>
      <c r="J263" t="s">
        <v>45</v>
      </c>
      <c r="K263" t="s">
        <v>5</v>
      </c>
      <c r="L263" t="s">
        <v>67</v>
      </c>
      <c r="M263" t="s">
        <v>81</v>
      </c>
      <c r="N263" t="s">
        <v>13</v>
      </c>
    </row>
    <row r="264" spans="1:14" x14ac:dyDescent="0.35">
      <c r="A264" s="75">
        <v>43860</v>
      </c>
      <c r="B264" t="s">
        <v>169</v>
      </c>
      <c r="C264" t="s">
        <v>92</v>
      </c>
      <c r="D264">
        <v>10</v>
      </c>
      <c r="E264">
        <v>10</v>
      </c>
      <c r="F264" t="s">
        <v>10</v>
      </c>
      <c r="G264" t="s">
        <v>76</v>
      </c>
      <c r="H264" t="s">
        <v>79</v>
      </c>
      <c r="J264" t="s">
        <v>32</v>
      </c>
      <c r="K264" t="s">
        <v>7</v>
      </c>
      <c r="L264" t="s">
        <v>67</v>
      </c>
      <c r="M264" t="s">
        <v>81</v>
      </c>
      <c r="N264" t="s">
        <v>13</v>
      </c>
    </row>
    <row r="265" spans="1:14" x14ac:dyDescent="0.35">
      <c r="A265" s="75">
        <v>43860</v>
      </c>
      <c r="B265" t="s">
        <v>169</v>
      </c>
      <c r="C265" t="s">
        <v>92</v>
      </c>
      <c r="D265">
        <v>9</v>
      </c>
      <c r="E265">
        <v>9</v>
      </c>
      <c r="F265" t="s">
        <v>10</v>
      </c>
      <c r="G265" t="s">
        <v>74</v>
      </c>
      <c r="H265" t="s">
        <v>77</v>
      </c>
      <c r="J265" t="s">
        <v>50</v>
      </c>
      <c r="K265" t="s">
        <v>2</v>
      </c>
      <c r="L265" t="s">
        <v>67</v>
      </c>
      <c r="M265" t="s">
        <v>80</v>
      </c>
      <c r="N265" t="s">
        <v>12</v>
      </c>
    </row>
    <row r="266" spans="1:14" x14ac:dyDescent="0.35">
      <c r="A266" s="75">
        <v>43860</v>
      </c>
      <c r="B266" t="s">
        <v>169</v>
      </c>
      <c r="C266" t="s">
        <v>92</v>
      </c>
      <c r="D266">
        <v>8</v>
      </c>
      <c r="E266">
        <v>8</v>
      </c>
      <c r="F266" t="s">
        <v>10</v>
      </c>
      <c r="G266" t="s">
        <v>71</v>
      </c>
      <c r="H266" t="s">
        <v>6</v>
      </c>
      <c r="J266" t="s">
        <v>25</v>
      </c>
      <c r="K266" t="s">
        <v>5</v>
      </c>
      <c r="L266" t="s">
        <v>67</v>
      </c>
      <c r="M266" t="s">
        <v>82</v>
      </c>
      <c r="N266" t="s">
        <v>11</v>
      </c>
    </row>
    <row r="267" spans="1:14" x14ac:dyDescent="0.35">
      <c r="A267" s="75">
        <v>43860</v>
      </c>
      <c r="B267" t="s">
        <v>169</v>
      </c>
      <c r="C267" t="s">
        <v>92</v>
      </c>
      <c r="D267">
        <v>7</v>
      </c>
      <c r="E267">
        <v>7</v>
      </c>
      <c r="F267" t="s">
        <v>10</v>
      </c>
      <c r="G267" t="s">
        <v>75</v>
      </c>
      <c r="H267" t="s">
        <v>6</v>
      </c>
      <c r="J267" t="s">
        <v>16</v>
      </c>
      <c r="K267" t="s">
        <v>2</v>
      </c>
      <c r="L267" t="s">
        <v>67</v>
      </c>
      <c r="M267" t="s">
        <v>82</v>
      </c>
      <c r="N267" t="s">
        <v>12</v>
      </c>
    </row>
    <row r="268" spans="1:14" x14ac:dyDescent="0.35">
      <c r="A268" s="75">
        <v>43860</v>
      </c>
      <c r="B268" t="s">
        <v>169</v>
      </c>
      <c r="C268" t="s">
        <v>92</v>
      </c>
      <c r="D268">
        <v>6</v>
      </c>
      <c r="E268">
        <v>6</v>
      </c>
      <c r="F268" t="s">
        <v>10</v>
      </c>
      <c r="G268" t="s">
        <v>74</v>
      </c>
      <c r="H268" t="s">
        <v>77</v>
      </c>
      <c r="J268" t="s">
        <v>45</v>
      </c>
      <c r="K268" t="s">
        <v>2</v>
      </c>
      <c r="L268" t="s">
        <v>67</v>
      </c>
      <c r="M268" t="s">
        <v>82</v>
      </c>
      <c r="N268" t="s">
        <v>12</v>
      </c>
    </row>
    <row r="269" spans="1:14" x14ac:dyDescent="0.35">
      <c r="A269" s="75">
        <v>43860</v>
      </c>
      <c r="B269" t="s">
        <v>169</v>
      </c>
      <c r="C269" t="s">
        <v>92</v>
      </c>
      <c r="D269">
        <v>5</v>
      </c>
      <c r="E269">
        <v>5</v>
      </c>
      <c r="F269" t="s">
        <v>10</v>
      </c>
      <c r="G269" t="s">
        <v>73</v>
      </c>
      <c r="H269" t="s">
        <v>78</v>
      </c>
      <c r="J269" t="s">
        <v>40</v>
      </c>
      <c r="K269" t="s">
        <v>4</v>
      </c>
      <c r="L269" t="s">
        <v>67</v>
      </c>
      <c r="M269" t="s">
        <v>82</v>
      </c>
      <c r="N269" t="s">
        <v>11</v>
      </c>
    </row>
    <row r="270" spans="1:14" x14ac:dyDescent="0.35">
      <c r="A270" s="75">
        <v>43860</v>
      </c>
      <c r="B270" t="s">
        <v>169</v>
      </c>
      <c r="C270" t="s">
        <v>92</v>
      </c>
      <c r="D270">
        <v>3</v>
      </c>
      <c r="E270">
        <v>3</v>
      </c>
      <c r="F270" t="s">
        <v>10</v>
      </c>
      <c r="G270" t="s">
        <v>74</v>
      </c>
      <c r="H270" t="s">
        <v>77</v>
      </c>
      <c r="J270" t="s">
        <v>64</v>
      </c>
      <c r="K270" t="s">
        <v>4</v>
      </c>
      <c r="L270" t="s">
        <v>67</v>
      </c>
      <c r="M270" t="s">
        <v>80</v>
      </c>
      <c r="N270" t="s">
        <v>13</v>
      </c>
    </row>
    <row r="271" spans="1:14" x14ac:dyDescent="0.35">
      <c r="A271" s="75">
        <v>43861</v>
      </c>
      <c r="B271" t="s">
        <v>170</v>
      </c>
      <c r="C271" t="s">
        <v>92</v>
      </c>
      <c r="D271">
        <v>10</v>
      </c>
      <c r="E271">
        <v>10</v>
      </c>
      <c r="F271" t="s">
        <v>10</v>
      </c>
      <c r="G271" t="s">
        <v>74</v>
      </c>
      <c r="H271" t="s">
        <v>77</v>
      </c>
      <c r="J271" t="s">
        <v>28</v>
      </c>
      <c r="K271" t="s">
        <v>5</v>
      </c>
      <c r="L271" t="s">
        <v>67</v>
      </c>
      <c r="M271" t="s">
        <v>81</v>
      </c>
      <c r="N271" t="s">
        <v>12</v>
      </c>
    </row>
    <row r="272" spans="1:14" x14ac:dyDescent="0.35">
      <c r="A272" s="75">
        <v>43861</v>
      </c>
      <c r="B272" t="s">
        <v>170</v>
      </c>
      <c r="C272" t="s">
        <v>92</v>
      </c>
      <c r="D272">
        <v>8</v>
      </c>
      <c r="E272">
        <v>8</v>
      </c>
      <c r="F272" t="s">
        <v>10</v>
      </c>
      <c r="G272" t="s">
        <v>75</v>
      </c>
      <c r="H272" t="s">
        <v>6</v>
      </c>
      <c r="J272" t="s">
        <v>45</v>
      </c>
      <c r="K272" t="s">
        <v>5</v>
      </c>
      <c r="L272" t="s">
        <v>67</v>
      </c>
      <c r="M272" t="s">
        <v>81</v>
      </c>
      <c r="N272" t="s">
        <v>11</v>
      </c>
    </row>
    <row r="273" spans="1:14" x14ac:dyDescent="0.35">
      <c r="A273" s="75">
        <v>43861</v>
      </c>
      <c r="B273" t="s">
        <v>170</v>
      </c>
      <c r="C273" t="s">
        <v>92</v>
      </c>
      <c r="D273">
        <v>7</v>
      </c>
      <c r="E273">
        <v>7</v>
      </c>
      <c r="F273" t="s">
        <v>10</v>
      </c>
      <c r="G273" t="s">
        <v>114</v>
      </c>
      <c r="H273" t="s">
        <v>3</v>
      </c>
      <c r="J273" t="s">
        <v>51</v>
      </c>
      <c r="K273" t="s">
        <v>2</v>
      </c>
      <c r="L273" t="s">
        <v>67</v>
      </c>
      <c r="M273" t="s">
        <v>81</v>
      </c>
      <c r="N273" t="s">
        <v>14</v>
      </c>
    </row>
    <row r="274" spans="1:14" x14ac:dyDescent="0.35">
      <c r="A274" s="75">
        <v>43861</v>
      </c>
      <c r="B274" t="s">
        <v>170</v>
      </c>
      <c r="C274" t="s">
        <v>92</v>
      </c>
      <c r="D274">
        <v>7</v>
      </c>
      <c r="E274">
        <v>7</v>
      </c>
      <c r="F274" t="s">
        <v>10</v>
      </c>
      <c r="G274" t="s">
        <v>113</v>
      </c>
      <c r="H274" t="s">
        <v>77</v>
      </c>
      <c r="J274" t="s">
        <v>38</v>
      </c>
      <c r="K274" t="s">
        <v>5</v>
      </c>
      <c r="L274" t="s">
        <v>67</v>
      </c>
      <c r="M274" t="s">
        <v>80</v>
      </c>
      <c r="N274" t="s">
        <v>14</v>
      </c>
    </row>
    <row r="275" spans="1:14" x14ac:dyDescent="0.35">
      <c r="A275" s="75">
        <v>43861</v>
      </c>
      <c r="B275" t="s">
        <v>170</v>
      </c>
      <c r="C275" t="s">
        <v>92</v>
      </c>
      <c r="D275">
        <v>6</v>
      </c>
      <c r="E275">
        <v>6</v>
      </c>
      <c r="F275" t="s">
        <v>10</v>
      </c>
      <c r="G275" t="s">
        <v>113</v>
      </c>
      <c r="H275" t="s">
        <v>77</v>
      </c>
      <c r="J275" t="s">
        <v>37</v>
      </c>
      <c r="K275" t="s">
        <v>7</v>
      </c>
      <c r="L275" t="s">
        <v>67</v>
      </c>
      <c r="M275" t="s">
        <v>82</v>
      </c>
      <c r="N275" t="s">
        <v>13</v>
      </c>
    </row>
    <row r="276" spans="1:14" x14ac:dyDescent="0.35">
      <c r="A276" s="75">
        <v>43861</v>
      </c>
      <c r="B276" t="s">
        <v>170</v>
      </c>
      <c r="C276" t="s">
        <v>92</v>
      </c>
      <c r="D276">
        <v>5</v>
      </c>
      <c r="E276">
        <v>5</v>
      </c>
      <c r="F276" t="s">
        <v>10</v>
      </c>
      <c r="G276" t="s">
        <v>76</v>
      </c>
      <c r="H276" t="s">
        <v>79</v>
      </c>
      <c r="J276" t="s">
        <v>44</v>
      </c>
      <c r="K276" t="s">
        <v>2</v>
      </c>
      <c r="L276" t="s">
        <v>67</v>
      </c>
      <c r="M276" t="s">
        <v>80</v>
      </c>
      <c r="N276" t="s">
        <v>12</v>
      </c>
    </row>
    <row r="277" spans="1:14" x14ac:dyDescent="0.35">
      <c r="A277" s="75">
        <v>43861</v>
      </c>
      <c r="B277" t="s">
        <v>170</v>
      </c>
      <c r="C277" t="s">
        <v>92</v>
      </c>
      <c r="D277">
        <v>3</v>
      </c>
      <c r="E277">
        <v>3</v>
      </c>
      <c r="F277" t="s">
        <v>10</v>
      </c>
      <c r="G277" t="s">
        <v>74</v>
      </c>
      <c r="H277" t="s">
        <v>77</v>
      </c>
      <c r="J277" t="s">
        <v>26</v>
      </c>
      <c r="K277" t="s">
        <v>2</v>
      </c>
      <c r="L277" t="s">
        <v>67</v>
      </c>
      <c r="M277" t="s">
        <v>81</v>
      </c>
      <c r="N277" t="s">
        <v>13</v>
      </c>
    </row>
    <row r="278" spans="1:14" x14ac:dyDescent="0.35">
      <c r="A278" s="75">
        <v>43862</v>
      </c>
      <c r="B278" t="s">
        <v>140</v>
      </c>
      <c r="C278" t="s">
        <v>93</v>
      </c>
      <c r="D278">
        <v>10</v>
      </c>
      <c r="E278">
        <v>9</v>
      </c>
      <c r="F278">
        <v>1</v>
      </c>
      <c r="G278" t="s">
        <v>76</v>
      </c>
      <c r="H278" t="s">
        <v>79</v>
      </c>
      <c r="J278" t="s">
        <v>60</v>
      </c>
      <c r="K278" t="s">
        <v>2</v>
      </c>
      <c r="L278" t="s">
        <v>67</v>
      </c>
      <c r="M278" t="s">
        <v>81</v>
      </c>
      <c r="N278" t="s">
        <v>11</v>
      </c>
    </row>
    <row r="279" spans="1:14" x14ac:dyDescent="0.35">
      <c r="A279" s="75">
        <v>43862</v>
      </c>
      <c r="B279" t="s">
        <v>140</v>
      </c>
      <c r="C279" t="s">
        <v>93</v>
      </c>
      <c r="D279">
        <v>7</v>
      </c>
      <c r="E279">
        <v>6</v>
      </c>
      <c r="F279">
        <v>1</v>
      </c>
      <c r="G279" t="s">
        <v>75</v>
      </c>
      <c r="H279" t="s">
        <v>6</v>
      </c>
      <c r="J279" t="s">
        <v>44</v>
      </c>
      <c r="K279" t="s">
        <v>2</v>
      </c>
      <c r="L279" t="s">
        <v>67</v>
      </c>
      <c r="M279" t="s">
        <v>81</v>
      </c>
      <c r="N279" t="s">
        <v>13</v>
      </c>
    </row>
    <row r="280" spans="1:14" x14ac:dyDescent="0.35">
      <c r="A280" s="75">
        <v>43862</v>
      </c>
      <c r="B280" t="s">
        <v>140</v>
      </c>
      <c r="C280" t="s">
        <v>93</v>
      </c>
      <c r="D280">
        <v>7</v>
      </c>
      <c r="E280">
        <v>4</v>
      </c>
      <c r="F280">
        <v>3</v>
      </c>
      <c r="G280" t="s">
        <v>113</v>
      </c>
      <c r="H280" t="s">
        <v>77</v>
      </c>
      <c r="J280" t="s">
        <v>33</v>
      </c>
      <c r="K280" t="s">
        <v>2</v>
      </c>
      <c r="L280" t="s">
        <v>67</v>
      </c>
      <c r="M280" t="s">
        <v>80</v>
      </c>
      <c r="N280" t="s">
        <v>12</v>
      </c>
    </row>
    <row r="281" spans="1:14" x14ac:dyDescent="0.35">
      <c r="A281" s="75">
        <v>43862</v>
      </c>
      <c r="B281" t="s">
        <v>140</v>
      </c>
      <c r="C281" t="s">
        <v>93</v>
      </c>
      <c r="D281">
        <v>6</v>
      </c>
      <c r="E281">
        <v>4</v>
      </c>
      <c r="F281">
        <v>2</v>
      </c>
      <c r="G281" t="s">
        <v>76</v>
      </c>
      <c r="H281" t="s">
        <v>79</v>
      </c>
      <c r="J281" t="s">
        <v>24</v>
      </c>
      <c r="K281" t="s">
        <v>5</v>
      </c>
      <c r="L281" t="s">
        <v>67</v>
      </c>
      <c r="M281" t="s">
        <v>82</v>
      </c>
      <c r="N281" t="s">
        <v>12</v>
      </c>
    </row>
    <row r="282" spans="1:14" x14ac:dyDescent="0.35">
      <c r="A282" s="75">
        <v>43862</v>
      </c>
      <c r="B282" t="s">
        <v>140</v>
      </c>
      <c r="C282" t="s">
        <v>93</v>
      </c>
      <c r="D282">
        <v>5</v>
      </c>
      <c r="E282">
        <v>4</v>
      </c>
      <c r="F282">
        <v>1</v>
      </c>
      <c r="G282" t="s">
        <v>73</v>
      </c>
      <c r="H282" t="s">
        <v>78</v>
      </c>
      <c r="J282" t="s">
        <v>54</v>
      </c>
      <c r="K282" t="s">
        <v>5</v>
      </c>
      <c r="L282" t="s">
        <v>67</v>
      </c>
      <c r="M282" t="s">
        <v>81</v>
      </c>
      <c r="N282" t="s">
        <v>14</v>
      </c>
    </row>
    <row r="283" spans="1:14" x14ac:dyDescent="0.35">
      <c r="A283" s="75">
        <v>43862</v>
      </c>
      <c r="B283" t="s">
        <v>140</v>
      </c>
      <c r="C283" t="s">
        <v>93</v>
      </c>
      <c r="D283">
        <v>5</v>
      </c>
      <c r="E283">
        <v>4</v>
      </c>
      <c r="F283">
        <v>1</v>
      </c>
      <c r="G283" t="s">
        <v>113</v>
      </c>
      <c r="H283" t="s">
        <v>77</v>
      </c>
      <c r="J283" t="s">
        <v>39</v>
      </c>
      <c r="K283" t="s">
        <v>7</v>
      </c>
      <c r="L283" t="s">
        <v>67</v>
      </c>
      <c r="M283" t="s">
        <v>82</v>
      </c>
      <c r="N283" t="s">
        <v>13</v>
      </c>
    </row>
    <row r="284" spans="1:14" x14ac:dyDescent="0.35">
      <c r="A284" s="75">
        <v>43863</v>
      </c>
      <c r="B284" t="s">
        <v>141</v>
      </c>
      <c r="C284" t="s">
        <v>93</v>
      </c>
      <c r="D284">
        <v>10</v>
      </c>
      <c r="E284">
        <v>7</v>
      </c>
      <c r="F284">
        <v>3</v>
      </c>
      <c r="G284" t="s">
        <v>70</v>
      </c>
      <c r="H284" t="s">
        <v>1</v>
      </c>
      <c r="J284" t="s">
        <v>44</v>
      </c>
      <c r="K284" t="s">
        <v>5</v>
      </c>
      <c r="L284" t="s">
        <v>67</v>
      </c>
      <c r="M284" t="s">
        <v>82</v>
      </c>
      <c r="N284" t="s">
        <v>11</v>
      </c>
    </row>
    <row r="285" spans="1:14" x14ac:dyDescent="0.35">
      <c r="A285" s="75">
        <v>43863</v>
      </c>
      <c r="B285" t="s">
        <v>141</v>
      </c>
      <c r="C285" t="s">
        <v>93</v>
      </c>
      <c r="D285">
        <v>10</v>
      </c>
      <c r="E285">
        <v>9</v>
      </c>
      <c r="F285">
        <v>1</v>
      </c>
      <c r="G285" t="s">
        <v>73</v>
      </c>
      <c r="H285" t="s">
        <v>78</v>
      </c>
      <c r="J285" t="s">
        <v>56</v>
      </c>
      <c r="K285" t="s">
        <v>5</v>
      </c>
      <c r="L285" t="s">
        <v>67</v>
      </c>
      <c r="M285" t="s">
        <v>81</v>
      </c>
      <c r="N285" t="s">
        <v>13</v>
      </c>
    </row>
    <row r="286" spans="1:14" x14ac:dyDescent="0.35">
      <c r="A286" s="75">
        <v>43863</v>
      </c>
      <c r="B286" t="s">
        <v>141</v>
      </c>
      <c r="C286" t="s">
        <v>93</v>
      </c>
      <c r="D286">
        <v>9</v>
      </c>
      <c r="E286">
        <v>5</v>
      </c>
      <c r="F286">
        <v>4</v>
      </c>
      <c r="G286" t="s">
        <v>71</v>
      </c>
      <c r="H286" t="s">
        <v>6</v>
      </c>
      <c r="J286" t="s">
        <v>43</v>
      </c>
      <c r="K286" t="s">
        <v>7</v>
      </c>
      <c r="L286" t="s">
        <v>67</v>
      </c>
      <c r="M286" t="s">
        <v>80</v>
      </c>
      <c r="N286" t="s">
        <v>11</v>
      </c>
    </row>
    <row r="287" spans="1:14" x14ac:dyDescent="0.35">
      <c r="A287" s="75">
        <v>43863</v>
      </c>
      <c r="B287" t="s">
        <v>141</v>
      </c>
      <c r="C287" t="s">
        <v>93</v>
      </c>
      <c r="D287">
        <v>9</v>
      </c>
      <c r="E287">
        <v>7</v>
      </c>
      <c r="F287">
        <v>2</v>
      </c>
      <c r="G287" t="s">
        <v>114</v>
      </c>
      <c r="H287" t="s">
        <v>3</v>
      </c>
      <c r="J287" t="s">
        <v>35</v>
      </c>
      <c r="K287" t="s">
        <v>2</v>
      </c>
      <c r="L287" t="s">
        <v>67</v>
      </c>
      <c r="M287" t="s">
        <v>81</v>
      </c>
      <c r="N287" t="s">
        <v>12</v>
      </c>
    </row>
    <row r="288" spans="1:14" x14ac:dyDescent="0.35">
      <c r="A288" s="75">
        <v>43863</v>
      </c>
      <c r="B288" t="s">
        <v>141</v>
      </c>
      <c r="C288" t="s">
        <v>93</v>
      </c>
      <c r="D288">
        <v>9</v>
      </c>
      <c r="E288">
        <v>7</v>
      </c>
      <c r="F288">
        <v>2</v>
      </c>
      <c r="G288" t="s">
        <v>73</v>
      </c>
      <c r="H288" t="s">
        <v>78</v>
      </c>
      <c r="J288" t="s">
        <v>49</v>
      </c>
      <c r="K288" t="s">
        <v>7</v>
      </c>
      <c r="L288" t="s">
        <v>67</v>
      </c>
      <c r="M288" t="s">
        <v>80</v>
      </c>
      <c r="N288" t="s">
        <v>13</v>
      </c>
    </row>
    <row r="289" spans="1:14" x14ac:dyDescent="0.35">
      <c r="A289" s="75">
        <v>43863</v>
      </c>
      <c r="B289" t="s">
        <v>141</v>
      </c>
      <c r="C289" t="s">
        <v>93</v>
      </c>
      <c r="D289">
        <v>5</v>
      </c>
      <c r="E289">
        <v>4</v>
      </c>
      <c r="F289">
        <v>1</v>
      </c>
      <c r="G289" t="s">
        <v>74</v>
      </c>
      <c r="H289" t="s">
        <v>77</v>
      </c>
      <c r="J289" t="s">
        <v>47</v>
      </c>
      <c r="K289" t="s">
        <v>8</v>
      </c>
      <c r="L289" t="s">
        <v>67</v>
      </c>
      <c r="M289" t="s">
        <v>80</v>
      </c>
      <c r="N289" t="s">
        <v>12</v>
      </c>
    </row>
    <row r="290" spans="1:14" x14ac:dyDescent="0.35">
      <c r="A290" s="75">
        <v>43863</v>
      </c>
      <c r="B290" t="s">
        <v>141</v>
      </c>
      <c r="C290" t="s">
        <v>93</v>
      </c>
      <c r="D290">
        <v>5</v>
      </c>
      <c r="E290">
        <v>4</v>
      </c>
      <c r="F290">
        <v>1</v>
      </c>
      <c r="G290" t="s">
        <v>72</v>
      </c>
      <c r="H290" t="s">
        <v>78</v>
      </c>
      <c r="J290" t="s">
        <v>61</v>
      </c>
      <c r="K290" t="s">
        <v>5</v>
      </c>
      <c r="L290" t="s">
        <v>67</v>
      </c>
      <c r="M290" t="s">
        <v>81</v>
      </c>
      <c r="N290" t="s">
        <v>11</v>
      </c>
    </row>
    <row r="291" spans="1:14" x14ac:dyDescent="0.35">
      <c r="A291" s="75">
        <v>43863</v>
      </c>
      <c r="B291" t="s">
        <v>141</v>
      </c>
      <c r="C291" t="s">
        <v>93</v>
      </c>
      <c r="D291">
        <v>5</v>
      </c>
      <c r="E291">
        <v>4</v>
      </c>
      <c r="F291">
        <v>1</v>
      </c>
      <c r="G291" t="s">
        <v>114</v>
      </c>
      <c r="H291" t="s">
        <v>3</v>
      </c>
      <c r="J291" t="s">
        <v>15</v>
      </c>
      <c r="K291" t="s">
        <v>2</v>
      </c>
      <c r="L291" t="s">
        <v>67</v>
      </c>
      <c r="M291" t="s">
        <v>80</v>
      </c>
      <c r="N291" t="s">
        <v>12</v>
      </c>
    </row>
    <row r="292" spans="1:14" x14ac:dyDescent="0.35">
      <c r="A292" s="75">
        <v>43863</v>
      </c>
      <c r="B292" t="s">
        <v>141</v>
      </c>
      <c r="C292" t="s">
        <v>93</v>
      </c>
      <c r="D292">
        <v>4</v>
      </c>
      <c r="E292">
        <v>3</v>
      </c>
      <c r="F292">
        <v>1</v>
      </c>
      <c r="G292" t="s">
        <v>113</v>
      </c>
      <c r="H292" t="s">
        <v>77</v>
      </c>
      <c r="J292" t="s">
        <v>21</v>
      </c>
      <c r="K292" t="s">
        <v>8</v>
      </c>
      <c r="L292" t="s">
        <v>67</v>
      </c>
      <c r="M292" t="s">
        <v>82</v>
      </c>
      <c r="N292" t="s">
        <v>11</v>
      </c>
    </row>
    <row r="293" spans="1:14" x14ac:dyDescent="0.35">
      <c r="A293" s="75">
        <v>43863</v>
      </c>
      <c r="B293" t="s">
        <v>141</v>
      </c>
      <c r="C293" t="s">
        <v>93</v>
      </c>
      <c r="D293">
        <v>4</v>
      </c>
      <c r="E293">
        <v>2</v>
      </c>
      <c r="F293">
        <v>2</v>
      </c>
      <c r="G293" t="s">
        <v>70</v>
      </c>
      <c r="H293" t="s">
        <v>1</v>
      </c>
      <c r="J293" t="s">
        <v>19</v>
      </c>
      <c r="K293" t="s">
        <v>2</v>
      </c>
      <c r="L293" t="s">
        <v>67</v>
      </c>
      <c r="M293" t="s">
        <v>82</v>
      </c>
      <c r="N293" t="s">
        <v>13</v>
      </c>
    </row>
    <row r="294" spans="1:14" x14ac:dyDescent="0.35">
      <c r="A294" s="75">
        <v>43863</v>
      </c>
      <c r="B294" t="s">
        <v>141</v>
      </c>
      <c r="C294" t="s">
        <v>93</v>
      </c>
      <c r="D294">
        <v>3</v>
      </c>
      <c r="E294">
        <v>1</v>
      </c>
      <c r="F294">
        <v>2</v>
      </c>
      <c r="G294" t="s">
        <v>75</v>
      </c>
      <c r="H294" t="s">
        <v>6</v>
      </c>
      <c r="J294" t="s">
        <v>49</v>
      </c>
      <c r="K294" t="s">
        <v>5</v>
      </c>
      <c r="L294" t="s">
        <v>67</v>
      </c>
      <c r="M294" t="s">
        <v>80</v>
      </c>
      <c r="N294" t="s">
        <v>11</v>
      </c>
    </row>
    <row r="295" spans="1:14" x14ac:dyDescent="0.35">
      <c r="A295" s="75">
        <v>43864</v>
      </c>
      <c r="B295" t="s">
        <v>142</v>
      </c>
      <c r="C295" t="s">
        <v>93</v>
      </c>
      <c r="D295">
        <v>9</v>
      </c>
      <c r="E295">
        <v>6</v>
      </c>
      <c r="F295">
        <v>3</v>
      </c>
      <c r="G295" t="s">
        <v>70</v>
      </c>
      <c r="H295" t="s">
        <v>1</v>
      </c>
      <c r="J295" t="s">
        <v>17</v>
      </c>
      <c r="K295" t="s">
        <v>5</v>
      </c>
      <c r="L295" t="s">
        <v>67</v>
      </c>
      <c r="M295" t="s">
        <v>82</v>
      </c>
      <c r="N295" t="s">
        <v>13</v>
      </c>
    </row>
    <row r="296" spans="1:14" x14ac:dyDescent="0.35">
      <c r="A296" s="75">
        <v>43864</v>
      </c>
      <c r="B296" t="s">
        <v>142</v>
      </c>
      <c r="C296" t="s">
        <v>93</v>
      </c>
      <c r="D296">
        <v>9</v>
      </c>
      <c r="E296">
        <v>6</v>
      </c>
      <c r="F296">
        <v>3</v>
      </c>
      <c r="G296" t="s">
        <v>114</v>
      </c>
      <c r="H296" t="s">
        <v>3</v>
      </c>
      <c r="J296" t="s">
        <v>30</v>
      </c>
      <c r="K296" t="s">
        <v>2</v>
      </c>
      <c r="L296" t="s">
        <v>67</v>
      </c>
      <c r="M296" t="s">
        <v>81</v>
      </c>
      <c r="N296" t="s">
        <v>12</v>
      </c>
    </row>
    <row r="297" spans="1:14" x14ac:dyDescent="0.35">
      <c r="A297" s="75">
        <v>43864</v>
      </c>
      <c r="B297" t="s">
        <v>142</v>
      </c>
      <c r="C297" t="s">
        <v>93</v>
      </c>
      <c r="D297">
        <v>8</v>
      </c>
      <c r="E297">
        <v>6</v>
      </c>
      <c r="F297">
        <v>2</v>
      </c>
      <c r="G297" t="s">
        <v>70</v>
      </c>
      <c r="H297" t="s">
        <v>1</v>
      </c>
      <c r="J297" t="s">
        <v>18</v>
      </c>
      <c r="K297" t="s">
        <v>5</v>
      </c>
      <c r="L297" t="s">
        <v>67</v>
      </c>
      <c r="M297" t="s">
        <v>81</v>
      </c>
      <c r="N297" t="s">
        <v>11</v>
      </c>
    </row>
    <row r="298" spans="1:14" x14ac:dyDescent="0.35">
      <c r="A298" s="75">
        <v>43864</v>
      </c>
      <c r="B298" t="s">
        <v>142</v>
      </c>
      <c r="C298" t="s">
        <v>93</v>
      </c>
      <c r="D298">
        <v>8</v>
      </c>
      <c r="E298">
        <v>7</v>
      </c>
      <c r="F298">
        <v>1</v>
      </c>
      <c r="G298" t="s">
        <v>72</v>
      </c>
      <c r="H298" t="s">
        <v>78</v>
      </c>
      <c r="J298" t="s">
        <v>34</v>
      </c>
      <c r="K298" t="s">
        <v>2</v>
      </c>
      <c r="L298" t="s">
        <v>67</v>
      </c>
      <c r="M298" t="s">
        <v>82</v>
      </c>
      <c r="N298" t="s">
        <v>12</v>
      </c>
    </row>
    <row r="299" spans="1:14" x14ac:dyDescent="0.35">
      <c r="A299" s="75">
        <v>43864</v>
      </c>
      <c r="B299" t="s">
        <v>142</v>
      </c>
      <c r="C299" t="s">
        <v>93</v>
      </c>
      <c r="D299">
        <v>7</v>
      </c>
      <c r="E299">
        <v>4</v>
      </c>
      <c r="F299">
        <v>3</v>
      </c>
      <c r="G299" t="s">
        <v>72</v>
      </c>
      <c r="H299" t="s">
        <v>78</v>
      </c>
      <c r="J299" t="s">
        <v>49</v>
      </c>
      <c r="K299" t="s">
        <v>2</v>
      </c>
      <c r="L299" t="s">
        <v>67</v>
      </c>
      <c r="M299" t="s">
        <v>81</v>
      </c>
      <c r="N299" t="s">
        <v>12</v>
      </c>
    </row>
    <row r="300" spans="1:14" x14ac:dyDescent="0.35">
      <c r="A300" s="75">
        <v>43864</v>
      </c>
      <c r="B300" t="s">
        <v>142</v>
      </c>
      <c r="C300" t="s">
        <v>93</v>
      </c>
      <c r="D300">
        <v>6</v>
      </c>
      <c r="E300">
        <v>4</v>
      </c>
      <c r="F300">
        <v>2</v>
      </c>
      <c r="G300" t="s">
        <v>74</v>
      </c>
      <c r="H300" t="s">
        <v>77</v>
      </c>
      <c r="J300" t="s">
        <v>52</v>
      </c>
      <c r="K300" t="s">
        <v>2</v>
      </c>
      <c r="L300" t="s">
        <v>67</v>
      </c>
      <c r="M300" t="s">
        <v>82</v>
      </c>
      <c r="N300" t="s">
        <v>13</v>
      </c>
    </row>
    <row r="301" spans="1:14" x14ac:dyDescent="0.35">
      <c r="A301" s="75">
        <v>43864</v>
      </c>
      <c r="B301" t="s">
        <v>142</v>
      </c>
      <c r="C301" t="s">
        <v>93</v>
      </c>
      <c r="D301">
        <v>5</v>
      </c>
      <c r="E301">
        <v>4</v>
      </c>
      <c r="F301">
        <v>1</v>
      </c>
      <c r="G301" t="s">
        <v>114</v>
      </c>
      <c r="H301" t="s">
        <v>3</v>
      </c>
      <c r="J301" t="s">
        <v>34</v>
      </c>
      <c r="K301" t="s">
        <v>5</v>
      </c>
      <c r="L301" t="s">
        <v>67</v>
      </c>
      <c r="M301" t="s">
        <v>82</v>
      </c>
      <c r="N301" t="s">
        <v>12</v>
      </c>
    </row>
    <row r="302" spans="1:14" x14ac:dyDescent="0.35">
      <c r="A302" s="75">
        <v>43864</v>
      </c>
      <c r="B302" t="s">
        <v>142</v>
      </c>
      <c r="C302" t="s">
        <v>93</v>
      </c>
      <c r="D302">
        <v>5</v>
      </c>
      <c r="E302">
        <v>4</v>
      </c>
      <c r="F302">
        <v>1</v>
      </c>
      <c r="G302" t="s">
        <v>73</v>
      </c>
      <c r="H302" t="s">
        <v>78</v>
      </c>
      <c r="J302" t="s">
        <v>21</v>
      </c>
      <c r="K302" t="s">
        <v>5</v>
      </c>
      <c r="L302" t="s">
        <v>67</v>
      </c>
      <c r="M302" t="s">
        <v>80</v>
      </c>
      <c r="N302" t="s">
        <v>12</v>
      </c>
    </row>
    <row r="303" spans="1:14" x14ac:dyDescent="0.35">
      <c r="A303" s="75">
        <v>43864</v>
      </c>
      <c r="B303" t="s">
        <v>142</v>
      </c>
      <c r="C303" t="s">
        <v>93</v>
      </c>
      <c r="D303">
        <v>3</v>
      </c>
      <c r="E303">
        <v>1</v>
      </c>
      <c r="F303">
        <v>2</v>
      </c>
      <c r="G303" t="s">
        <v>72</v>
      </c>
      <c r="H303" t="s">
        <v>78</v>
      </c>
      <c r="J303" t="s">
        <v>60</v>
      </c>
      <c r="K303" t="s">
        <v>5</v>
      </c>
      <c r="L303" t="s">
        <v>67</v>
      </c>
      <c r="M303" t="s">
        <v>82</v>
      </c>
      <c r="N303" t="s">
        <v>14</v>
      </c>
    </row>
    <row r="304" spans="1:14" x14ac:dyDescent="0.35">
      <c r="A304" s="75">
        <v>43865</v>
      </c>
      <c r="B304" t="s">
        <v>143</v>
      </c>
      <c r="C304" t="s">
        <v>93</v>
      </c>
      <c r="D304">
        <v>10</v>
      </c>
      <c r="E304">
        <v>9</v>
      </c>
      <c r="F304">
        <v>1</v>
      </c>
      <c r="G304" t="s">
        <v>71</v>
      </c>
      <c r="H304" t="s">
        <v>6</v>
      </c>
      <c r="J304" t="s">
        <v>22</v>
      </c>
      <c r="K304" t="s">
        <v>2</v>
      </c>
      <c r="L304" t="s">
        <v>67</v>
      </c>
      <c r="M304" t="s">
        <v>80</v>
      </c>
      <c r="N304" t="s">
        <v>14</v>
      </c>
    </row>
    <row r="305" spans="1:14" x14ac:dyDescent="0.35">
      <c r="A305" s="75">
        <v>43865</v>
      </c>
      <c r="B305" t="s">
        <v>143</v>
      </c>
      <c r="C305" t="s">
        <v>93</v>
      </c>
      <c r="D305">
        <v>10</v>
      </c>
      <c r="E305">
        <v>6</v>
      </c>
      <c r="F305">
        <v>4</v>
      </c>
      <c r="G305" t="s">
        <v>72</v>
      </c>
      <c r="H305" t="s">
        <v>78</v>
      </c>
      <c r="J305" t="s">
        <v>62</v>
      </c>
      <c r="K305" t="s">
        <v>7</v>
      </c>
      <c r="L305" t="s">
        <v>67</v>
      </c>
      <c r="M305" t="s">
        <v>80</v>
      </c>
      <c r="N305" t="s">
        <v>14</v>
      </c>
    </row>
    <row r="306" spans="1:14" x14ac:dyDescent="0.35">
      <c r="A306" s="75">
        <v>43865</v>
      </c>
      <c r="B306" t="s">
        <v>143</v>
      </c>
      <c r="C306" t="s">
        <v>93</v>
      </c>
      <c r="D306">
        <v>9</v>
      </c>
      <c r="E306">
        <v>8</v>
      </c>
      <c r="F306">
        <v>1</v>
      </c>
      <c r="G306" t="s">
        <v>75</v>
      </c>
      <c r="H306" t="s">
        <v>6</v>
      </c>
      <c r="J306" t="s">
        <v>39</v>
      </c>
      <c r="K306" t="s">
        <v>7</v>
      </c>
      <c r="L306" t="s">
        <v>67</v>
      </c>
      <c r="M306" t="s">
        <v>81</v>
      </c>
      <c r="N306" t="s">
        <v>14</v>
      </c>
    </row>
    <row r="307" spans="1:14" x14ac:dyDescent="0.35">
      <c r="A307" s="75">
        <v>43865</v>
      </c>
      <c r="B307" t="s">
        <v>143</v>
      </c>
      <c r="C307" t="s">
        <v>93</v>
      </c>
      <c r="D307">
        <v>7</v>
      </c>
      <c r="E307">
        <v>5</v>
      </c>
      <c r="F307">
        <v>2</v>
      </c>
      <c r="G307" t="s">
        <v>113</v>
      </c>
      <c r="H307" t="s">
        <v>77</v>
      </c>
      <c r="J307" t="s">
        <v>64</v>
      </c>
      <c r="K307" t="s">
        <v>2</v>
      </c>
      <c r="L307" t="s">
        <v>67</v>
      </c>
      <c r="M307" t="s">
        <v>82</v>
      </c>
      <c r="N307" t="s">
        <v>12</v>
      </c>
    </row>
    <row r="308" spans="1:14" x14ac:dyDescent="0.35">
      <c r="A308" s="75">
        <v>43865</v>
      </c>
      <c r="B308" t="s">
        <v>143</v>
      </c>
      <c r="C308" t="s">
        <v>93</v>
      </c>
      <c r="D308">
        <v>6</v>
      </c>
      <c r="E308">
        <v>4</v>
      </c>
      <c r="F308">
        <v>2</v>
      </c>
      <c r="G308" t="s">
        <v>114</v>
      </c>
      <c r="H308" t="s">
        <v>3</v>
      </c>
      <c r="J308" t="s">
        <v>17</v>
      </c>
      <c r="K308" t="s">
        <v>8</v>
      </c>
      <c r="L308" t="s">
        <v>67</v>
      </c>
      <c r="M308" t="s">
        <v>81</v>
      </c>
      <c r="N308" t="s">
        <v>12</v>
      </c>
    </row>
    <row r="309" spans="1:14" x14ac:dyDescent="0.35">
      <c r="A309" s="75">
        <v>43865</v>
      </c>
      <c r="B309" t="s">
        <v>143</v>
      </c>
      <c r="C309" t="s">
        <v>93</v>
      </c>
      <c r="D309">
        <v>6</v>
      </c>
      <c r="E309">
        <v>3</v>
      </c>
      <c r="F309">
        <v>3</v>
      </c>
      <c r="G309" t="s">
        <v>113</v>
      </c>
      <c r="H309" t="s">
        <v>77</v>
      </c>
      <c r="J309" t="s">
        <v>62</v>
      </c>
      <c r="K309" t="s">
        <v>7</v>
      </c>
      <c r="L309" t="s">
        <v>67</v>
      </c>
      <c r="M309" t="s">
        <v>82</v>
      </c>
      <c r="N309" t="s">
        <v>14</v>
      </c>
    </row>
    <row r="310" spans="1:14" x14ac:dyDescent="0.35">
      <c r="A310" s="75">
        <v>43866</v>
      </c>
      <c r="B310" t="s">
        <v>144</v>
      </c>
      <c r="C310" t="s">
        <v>93</v>
      </c>
      <c r="D310">
        <v>10</v>
      </c>
      <c r="E310">
        <v>7</v>
      </c>
      <c r="F310">
        <v>3</v>
      </c>
      <c r="G310" t="s">
        <v>70</v>
      </c>
      <c r="H310" t="s">
        <v>1</v>
      </c>
      <c r="J310" t="s">
        <v>54</v>
      </c>
      <c r="K310" t="s">
        <v>4</v>
      </c>
      <c r="L310" t="s">
        <v>67</v>
      </c>
      <c r="M310" t="s">
        <v>80</v>
      </c>
      <c r="N310" t="s">
        <v>13</v>
      </c>
    </row>
    <row r="311" spans="1:14" x14ac:dyDescent="0.35">
      <c r="A311" s="75">
        <v>43866</v>
      </c>
      <c r="B311" t="s">
        <v>144</v>
      </c>
      <c r="C311" t="s">
        <v>93</v>
      </c>
      <c r="D311">
        <v>9</v>
      </c>
      <c r="E311">
        <v>8</v>
      </c>
      <c r="F311">
        <v>1</v>
      </c>
      <c r="G311" t="s">
        <v>70</v>
      </c>
      <c r="H311" t="s">
        <v>1</v>
      </c>
      <c r="J311" t="s">
        <v>29</v>
      </c>
      <c r="K311" t="s">
        <v>2</v>
      </c>
      <c r="L311" t="s">
        <v>67</v>
      </c>
      <c r="M311" t="s">
        <v>80</v>
      </c>
      <c r="N311" t="s">
        <v>12</v>
      </c>
    </row>
    <row r="312" spans="1:14" x14ac:dyDescent="0.35">
      <c r="A312" s="75">
        <v>43866</v>
      </c>
      <c r="B312" t="s">
        <v>144</v>
      </c>
      <c r="C312" t="s">
        <v>93</v>
      </c>
      <c r="D312">
        <v>8</v>
      </c>
      <c r="E312">
        <v>5</v>
      </c>
      <c r="F312">
        <v>3</v>
      </c>
      <c r="G312" t="s">
        <v>114</v>
      </c>
      <c r="H312" t="s">
        <v>3</v>
      </c>
      <c r="J312" t="s">
        <v>31</v>
      </c>
      <c r="K312" t="s">
        <v>5</v>
      </c>
      <c r="L312" t="s">
        <v>67</v>
      </c>
      <c r="M312" t="s">
        <v>82</v>
      </c>
      <c r="N312" t="s">
        <v>13</v>
      </c>
    </row>
    <row r="313" spans="1:14" x14ac:dyDescent="0.35">
      <c r="A313" s="75">
        <v>43866</v>
      </c>
      <c r="B313" t="s">
        <v>144</v>
      </c>
      <c r="C313" t="s">
        <v>93</v>
      </c>
      <c r="D313">
        <v>8</v>
      </c>
      <c r="E313">
        <v>7</v>
      </c>
      <c r="F313">
        <v>1</v>
      </c>
      <c r="G313" t="s">
        <v>70</v>
      </c>
      <c r="H313" t="s">
        <v>1</v>
      </c>
      <c r="J313" t="s">
        <v>28</v>
      </c>
      <c r="K313" t="s">
        <v>9</v>
      </c>
      <c r="L313" t="s">
        <v>67</v>
      </c>
      <c r="M313" t="s">
        <v>80</v>
      </c>
      <c r="N313" t="s">
        <v>13</v>
      </c>
    </row>
    <row r="314" spans="1:14" x14ac:dyDescent="0.35">
      <c r="A314" s="75">
        <v>43866</v>
      </c>
      <c r="B314" t="s">
        <v>144</v>
      </c>
      <c r="C314" t="s">
        <v>93</v>
      </c>
      <c r="D314">
        <v>3</v>
      </c>
      <c r="E314">
        <v>1</v>
      </c>
      <c r="F314">
        <v>2</v>
      </c>
      <c r="G314" t="s">
        <v>75</v>
      </c>
      <c r="H314" t="s">
        <v>6</v>
      </c>
      <c r="J314" t="s">
        <v>31</v>
      </c>
      <c r="K314" t="s">
        <v>5</v>
      </c>
      <c r="L314" t="s">
        <v>67</v>
      </c>
      <c r="M314" t="s">
        <v>81</v>
      </c>
      <c r="N314" t="s">
        <v>14</v>
      </c>
    </row>
    <row r="315" spans="1:14" x14ac:dyDescent="0.35">
      <c r="A315" s="75">
        <v>43867</v>
      </c>
      <c r="B315" t="s">
        <v>145</v>
      </c>
      <c r="C315" t="s">
        <v>93</v>
      </c>
      <c r="D315">
        <v>9</v>
      </c>
      <c r="E315">
        <v>6</v>
      </c>
      <c r="F315">
        <v>3</v>
      </c>
      <c r="G315" t="s">
        <v>113</v>
      </c>
      <c r="H315" t="s">
        <v>77</v>
      </c>
      <c r="J315" t="s">
        <v>30</v>
      </c>
      <c r="K315" t="s">
        <v>8</v>
      </c>
      <c r="L315" t="s">
        <v>67</v>
      </c>
      <c r="M315" t="s">
        <v>82</v>
      </c>
      <c r="N315" t="s">
        <v>13</v>
      </c>
    </row>
    <row r="316" spans="1:14" x14ac:dyDescent="0.35">
      <c r="A316" s="75">
        <v>43867</v>
      </c>
      <c r="B316" t="s">
        <v>145</v>
      </c>
      <c r="C316" t="s">
        <v>93</v>
      </c>
      <c r="D316">
        <v>9</v>
      </c>
      <c r="E316">
        <v>8</v>
      </c>
      <c r="F316">
        <v>1</v>
      </c>
      <c r="G316" t="s">
        <v>70</v>
      </c>
      <c r="H316" t="s">
        <v>1</v>
      </c>
      <c r="J316" t="s">
        <v>39</v>
      </c>
      <c r="K316" t="s">
        <v>5</v>
      </c>
      <c r="L316" t="s">
        <v>67</v>
      </c>
      <c r="M316" t="s">
        <v>82</v>
      </c>
      <c r="N316" t="s">
        <v>13</v>
      </c>
    </row>
    <row r="317" spans="1:14" x14ac:dyDescent="0.35">
      <c r="A317" s="75">
        <v>43867</v>
      </c>
      <c r="B317" t="s">
        <v>145</v>
      </c>
      <c r="C317" t="s">
        <v>93</v>
      </c>
      <c r="D317">
        <v>8</v>
      </c>
      <c r="E317">
        <v>6</v>
      </c>
      <c r="F317">
        <v>2</v>
      </c>
      <c r="G317" t="s">
        <v>72</v>
      </c>
      <c r="H317" t="s">
        <v>78</v>
      </c>
      <c r="J317" t="s">
        <v>44</v>
      </c>
      <c r="K317" t="s">
        <v>2</v>
      </c>
      <c r="L317" t="s">
        <v>67</v>
      </c>
      <c r="M317" t="s">
        <v>80</v>
      </c>
      <c r="N317" t="s">
        <v>12</v>
      </c>
    </row>
    <row r="318" spans="1:14" x14ac:dyDescent="0.35">
      <c r="A318" s="75">
        <v>43867</v>
      </c>
      <c r="B318" t="s">
        <v>145</v>
      </c>
      <c r="C318" t="s">
        <v>93</v>
      </c>
      <c r="D318">
        <v>8</v>
      </c>
      <c r="E318">
        <v>4</v>
      </c>
      <c r="F318">
        <v>4</v>
      </c>
      <c r="G318" t="s">
        <v>113</v>
      </c>
      <c r="H318" t="s">
        <v>77</v>
      </c>
      <c r="J318" t="s">
        <v>45</v>
      </c>
      <c r="K318" t="s">
        <v>9</v>
      </c>
      <c r="L318" t="s">
        <v>67</v>
      </c>
      <c r="M318" t="s">
        <v>82</v>
      </c>
      <c r="N318" t="s">
        <v>11</v>
      </c>
    </row>
    <row r="319" spans="1:14" x14ac:dyDescent="0.35">
      <c r="A319" s="75">
        <v>43867</v>
      </c>
      <c r="B319" t="s">
        <v>145</v>
      </c>
      <c r="C319" t="s">
        <v>93</v>
      </c>
      <c r="D319">
        <v>7</v>
      </c>
      <c r="E319">
        <v>4</v>
      </c>
      <c r="F319">
        <v>3</v>
      </c>
      <c r="G319" t="s">
        <v>114</v>
      </c>
      <c r="H319" t="s">
        <v>3</v>
      </c>
      <c r="J319" t="s">
        <v>47</v>
      </c>
      <c r="K319" t="s">
        <v>2</v>
      </c>
      <c r="L319" t="s">
        <v>67</v>
      </c>
      <c r="M319" t="s">
        <v>81</v>
      </c>
      <c r="N319" t="s">
        <v>13</v>
      </c>
    </row>
    <row r="320" spans="1:14" x14ac:dyDescent="0.35">
      <c r="A320" s="75">
        <v>43867</v>
      </c>
      <c r="B320" t="s">
        <v>145</v>
      </c>
      <c r="C320" t="s">
        <v>93</v>
      </c>
      <c r="D320">
        <v>6</v>
      </c>
      <c r="E320">
        <v>4</v>
      </c>
      <c r="F320">
        <v>2</v>
      </c>
      <c r="G320" t="s">
        <v>74</v>
      </c>
      <c r="H320" t="s">
        <v>77</v>
      </c>
      <c r="J320" t="s">
        <v>20</v>
      </c>
      <c r="K320" t="s">
        <v>2</v>
      </c>
      <c r="L320" t="s">
        <v>67</v>
      </c>
      <c r="M320" t="s">
        <v>80</v>
      </c>
      <c r="N320" t="s">
        <v>14</v>
      </c>
    </row>
    <row r="321" spans="1:14" x14ac:dyDescent="0.35">
      <c r="A321" s="75">
        <v>43867</v>
      </c>
      <c r="B321" t="s">
        <v>145</v>
      </c>
      <c r="C321" t="s">
        <v>93</v>
      </c>
      <c r="D321">
        <v>4</v>
      </c>
      <c r="E321">
        <v>2</v>
      </c>
      <c r="F321">
        <v>2</v>
      </c>
      <c r="G321" t="s">
        <v>75</v>
      </c>
      <c r="H321" t="s">
        <v>6</v>
      </c>
      <c r="J321" t="s">
        <v>30</v>
      </c>
      <c r="K321" t="s">
        <v>5</v>
      </c>
      <c r="L321" t="s">
        <v>67</v>
      </c>
      <c r="M321" t="s">
        <v>80</v>
      </c>
      <c r="N321" t="s">
        <v>11</v>
      </c>
    </row>
    <row r="322" spans="1:14" x14ac:dyDescent="0.35">
      <c r="A322" s="75">
        <v>43867</v>
      </c>
      <c r="B322" t="s">
        <v>145</v>
      </c>
      <c r="C322" t="s">
        <v>93</v>
      </c>
      <c r="D322">
        <v>4</v>
      </c>
      <c r="E322">
        <v>3</v>
      </c>
      <c r="F322">
        <v>1</v>
      </c>
      <c r="G322" t="s">
        <v>72</v>
      </c>
      <c r="H322" t="s">
        <v>78</v>
      </c>
      <c r="J322" t="s">
        <v>40</v>
      </c>
      <c r="K322" t="s">
        <v>5</v>
      </c>
      <c r="L322" t="s">
        <v>67</v>
      </c>
      <c r="M322" t="s">
        <v>82</v>
      </c>
      <c r="N322" t="s">
        <v>12</v>
      </c>
    </row>
    <row r="323" spans="1:14" x14ac:dyDescent="0.35">
      <c r="A323" s="75">
        <v>43867</v>
      </c>
      <c r="B323" t="s">
        <v>145</v>
      </c>
      <c r="C323" t="s">
        <v>93</v>
      </c>
      <c r="D323">
        <v>4</v>
      </c>
      <c r="E323">
        <v>3</v>
      </c>
      <c r="F323">
        <v>1</v>
      </c>
      <c r="G323" t="s">
        <v>74</v>
      </c>
      <c r="H323" t="s">
        <v>77</v>
      </c>
      <c r="J323" t="s">
        <v>31</v>
      </c>
      <c r="K323" t="s">
        <v>2</v>
      </c>
      <c r="L323" t="s">
        <v>67</v>
      </c>
      <c r="M323" t="s">
        <v>80</v>
      </c>
      <c r="N323" t="s">
        <v>13</v>
      </c>
    </row>
    <row r="324" spans="1:14" x14ac:dyDescent="0.35">
      <c r="A324" s="75">
        <v>43868</v>
      </c>
      <c r="B324" t="s">
        <v>146</v>
      </c>
      <c r="C324" t="s">
        <v>93</v>
      </c>
      <c r="D324">
        <v>10</v>
      </c>
      <c r="E324">
        <v>7</v>
      </c>
      <c r="F324">
        <v>3</v>
      </c>
      <c r="G324" t="s">
        <v>76</v>
      </c>
      <c r="H324" t="s">
        <v>79</v>
      </c>
      <c r="J324" t="s">
        <v>58</v>
      </c>
      <c r="K324" t="s">
        <v>5</v>
      </c>
      <c r="L324" t="s">
        <v>67</v>
      </c>
      <c r="M324" t="s">
        <v>80</v>
      </c>
      <c r="N324" t="s">
        <v>13</v>
      </c>
    </row>
    <row r="325" spans="1:14" x14ac:dyDescent="0.35">
      <c r="A325" s="75">
        <v>43868</v>
      </c>
      <c r="B325" t="s">
        <v>146</v>
      </c>
      <c r="C325" t="s">
        <v>93</v>
      </c>
      <c r="D325">
        <v>9</v>
      </c>
      <c r="E325">
        <v>8</v>
      </c>
      <c r="F325">
        <v>1</v>
      </c>
      <c r="G325" t="s">
        <v>72</v>
      </c>
      <c r="H325" t="s">
        <v>78</v>
      </c>
      <c r="J325" t="s">
        <v>24</v>
      </c>
      <c r="K325" t="s">
        <v>2</v>
      </c>
      <c r="L325" t="s">
        <v>67</v>
      </c>
      <c r="M325" t="s">
        <v>80</v>
      </c>
      <c r="N325" t="s">
        <v>11</v>
      </c>
    </row>
    <row r="326" spans="1:14" x14ac:dyDescent="0.35">
      <c r="A326" s="75">
        <v>43868</v>
      </c>
      <c r="B326" t="s">
        <v>146</v>
      </c>
      <c r="C326" t="s">
        <v>93</v>
      </c>
      <c r="D326">
        <v>7</v>
      </c>
      <c r="E326">
        <v>5</v>
      </c>
      <c r="F326">
        <v>2</v>
      </c>
      <c r="G326" t="s">
        <v>113</v>
      </c>
      <c r="H326" t="s">
        <v>77</v>
      </c>
      <c r="J326" t="s">
        <v>47</v>
      </c>
      <c r="K326" t="s">
        <v>4</v>
      </c>
      <c r="L326" t="s">
        <v>67</v>
      </c>
      <c r="M326" t="s">
        <v>82</v>
      </c>
      <c r="N326" t="s">
        <v>13</v>
      </c>
    </row>
    <row r="327" spans="1:14" x14ac:dyDescent="0.35">
      <c r="A327" s="75">
        <v>43868</v>
      </c>
      <c r="B327" t="s">
        <v>146</v>
      </c>
      <c r="C327" t="s">
        <v>93</v>
      </c>
      <c r="D327">
        <v>6</v>
      </c>
      <c r="E327">
        <v>5</v>
      </c>
      <c r="F327">
        <v>1</v>
      </c>
      <c r="G327" t="s">
        <v>73</v>
      </c>
      <c r="H327" t="s">
        <v>78</v>
      </c>
      <c r="J327" t="s">
        <v>36</v>
      </c>
      <c r="K327" t="s">
        <v>2</v>
      </c>
      <c r="L327" t="s">
        <v>67</v>
      </c>
      <c r="M327" t="s">
        <v>81</v>
      </c>
      <c r="N327" t="s">
        <v>11</v>
      </c>
    </row>
    <row r="328" spans="1:14" x14ac:dyDescent="0.35">
      <c r="A328" s="75">
        <v>43868</v>
      </c>
      <c r="B328" t="s">
        <v>146</v>
      </c>
      <c r="C328" t="s">
        <v>93</v>
      </c>
      <c r="D328">
        <v>4</v>
      </c>
      <c r="E328">
        <v>3</v>
      </c>
      <c r="F328">
        <v>1</v>
      </c>
      <c r="G328" t="s">
        <v>113</v>
      </c>
      <c r="H328" t="s">
        <v>77</v>
      </c>
      <c r="J328" t="s">
        <v>61</v>
      </c>
      <c r="K328" t="s">
        <v>2</v>
      </c>
      <c r="L328" t="s">
        <v>67</v>
      </c>
      <c r="M328" t="s">
        <v>81</v>
      </c>
      <c r="N328" t="s">
        <v>13</v>
      </c>
    </row>
    <row r="329" spans="1:14" x14ac:dyDescent="0.35">
      <c r="A329" s="75">
        <v>43868</v>
      </c>
      <c r="B329" t="s">
        <v>146</v>
      </c>
      <c r="C329" t="s">
        <v>93</v>
      </c>
      <c r="D329">
        <v>3</v>
      </c>
      <c r="E329">
        <v>1</v>
      </c>
      <c r="F329">
        <v>2</v>
      </c>
      <c r="G329" t="s">
        <v>113</v>
      </c>
      <c r="H329" t="s">
        <v>77</v>
      </c>
      <c r="J329" t="s">
        <v>54</v>
      </c>
      <c r="K329" t="s">
        <v>2</v>
      </c>
      <c r="L329" t="s">
        <v>67</v>
      </c>
      <c r="M329" t="s">
        <v>80</v>
      </c>
      <c r="N329" t="s">
        <v>13</v>
      </c>
    </row>
    <row r="330" spans="1:14" x14ac:dyDescent="0.35">
      <c r="A330" s="75">
        <v>43869</v>
      </c>
      <c r="B330" t="s">
        <v>147</v>
      </c>
      <c r="C330" t="s">
        <v>93</v>
      </c>
      <c r="D330">
        <v>10</v>
      </c>
      <c r="E330">
        <v>9</v>
      </c>
      <c r="F330">
        <v>1</v>
      </c>
      <c r="G330" t="s">
        <v>114</v>
      </c>
      <c r="H330" t="s">
        <v>3</v>
      </c>
      <c r="J330" t="s">
        <v>31</v>
      </c>
      <c r="K330" t="s">
        <v>5</v>
      </c>
      <c r="L330" t="s">
        <v>67</v>
      </c>
      <c r="M330" t="s">
        <v>81</v>
      </c>
      <c r="N330" t="s">
        <v>14</v>
      </c>
    </row>
    <row r="331" spans="1:14" x14ac:dyDescent="0.35">
      <c r="A331" s="75">
        <v>43869</v>
      </c>
      <c r="B331" t="s">
        <v>147</v>
      </c>
      <c r="C331" t="s">
        <v>93</v>
      </c>
      <c r="D331">
        <v>8</v>
      </c>
      <c r="E331">
        <v>4</v>
      </c>
      <c r="F331">
        <v>4</v>
      </c>
      <c r="G331" t="s">
        <v>76</v>
      </c>
      <c r="H331" t="s">
        <v>79</v>
      </c>
      <c r="J331" t="s">
        <v>22</v>
      </c>
      <c r="K331" t="s">
        <v>5</v>
      </c>
      <c r="L331" t="s">
        <v>67</v>
      </c>
      <c r="M331" t="s">
        <v>80</v>
      </c>
      <c r="N331" t="s">
        <v>14</v>
      </c>
    </row>
    <row r="332" spans="1:14" x14ac:dyDescent="0.35">
      <c r="A332" s="75">
        <v>43869</v>
      </c>
      <c r="B332" t="s">
        <v>147</v>
      </c>
      <c r="C332" t="s">
        <v>93</v>
      </c>
      <c r="D332">
        <v>8</v>
      </c>
      <c r="E332">
        <v>6</v>
      </c>
      <c r="F332">
        <v>2</v>
      </c>
      <c r="G332" t="s">
        <v>75</v>
      </c>
      <c r="H332" t="s">
        <v>6</v>
      </c>
      <c r="J332" t="s">
        <v>46</v>
      </c>
      <c r="K332" t="s">
        <v>5</v>
      </c>
      <c r="L332" t="s">
        <v>67</v>
      </c>
      <c r="M332" t="s">
        <v>82</v>
      </c>
      <c r="N332" t="s">
        <v>12</v>
      </c>
    </row>
    <row r="333" spans="1:14" x14ac:dyDescent="0.35">
      <c r="A333" s="75">
        <v>43869</v>
      </c>
      <c r="B333" t="s">
        <v>147</v>
      </c>
      <c r="C333" t="s">
        <v>93</v>
      </c>
      <c r="D333">
        <v>5</v>
      </c>
      <c r="E333">
        <v>3</v>
      </c>
      <c r="F333">
        <v>2</v>
      </c>
      <c r="G333" t="s">
        <v>73</v>
      </c>
      <c r="H333" t="s">
        <v>78</v>
      </c>
      <c r="J333" t="s">
        <v>26</v>
      </c>
      <c r="K333" t="s">
        <v>8</v>
      </c>
      <c r="L333" t="s">
        <v>67</v>
      </c>
      <c r="M333" t="s">
        <v>80</v>
      </c>
      <c r="N333" t="s">
        <v>12</v>
      </c>
    </row>
    <row r="334" spans="1:14" x14ac:dyDescent="0.35">
      <c r="A334" s="75">
        <v>43869</v>
      </c>
      <c r="B334" t="s">
        <v>147</v>
      </c>
      <c r="C334" t="s">
        <v>93</v>
      </c>
      <c r="D334">
        <v>4</v>
      </c>
      <c r="E334">
        <v>3</v>
      </c>
      <c r="F334">
        <v>1</v>
      </c>
      <c r="G334" t="s">
        <v>70</v>
      </c>
      <c r="H334" t="s">
        <v>1</v>
      </c>
      <c r="J334" t="s">
        <v>62</v>
      </c>
      <c r="K334" t="s">
        <v>2</v>
      </c>
      <c r="L334" t="s">
        <v>67</v>
      </c>
      <c r="M334" t="s">
        <v>82</v>
      </c>
      <c r="N334" t="s">
        <v>12</v>
      </c>
    </row>
    <row r="335" spans="1:14" x14ac:dyDescent="0.35">
      <c r="A335" s="75">
        <v>43869</v>
      </c>
      <c r="B335" t="s">
        <v>147</v>
      </c>
      <c r="C335" t="s">
        <v>93</v>
      </c>
      <c r="D335">
        <v>4</v>
      </c>
      <c r="E335">
        <v>2</v>
      </c>
      <c r="F335">
        <v>2</v>
      </c>
      <c r="G335" t="s">
        <v>76</v>
      </c>
      <c r="H335" t="s">
        <v>79</v>
      </c>
      <c r="J335" t="s">
        <v>55</v>
      </c>
      <c r="K335" t="s">
        <v>2</v>
      </c>
      <c r="L335" t="s">
        <v>67</v>
      </c>
      <c r="M335" t="s">
        <v>82</v>
      </c>
      <c r="N335" t="s">
        <v>12</v>
      </c>
    </row>
    <row r="336" spans="1:14" x14ac:dyDescent="0.35">
      <c r="A336" s="75">
        <v>43870</v>
      </c>
      <c r="B336" t="s">
        <v>148</v>
      </c>
      <c r="C336" t="s">
        <v>93</v>
      </c>
      <c r="D336">
        <v>8</v>
      </c>
      <c r="E336">
        <v>5</v>
      </c>
      <c r="F336">
        <v>3</v>
      </c>
      <c r="G336" t="s">
        <v>75</v>
      </c>
      <c r="H336" t="s">
        <v>6</v>
      </c>
      <c r="J336" t="s">
        <v>63</v>
      </c>
      <c r="K336" t="s">
        <v>7</v>
      </c>
      <c r="L336" t="s">
        <v>67</v>
      </c>
      <c r="M336" t="s">
        <v>81</v>
      </c>
      <c r="N336" t="s">
        <v>12</v>
      </c>
    </row>
    <row r="337" spans="1:14" x14ac:dyDescent="0.35">
      <c r="A337" s="75">
        <v>43870</v>
      </c>
      <c r="B337" t="s">
        <v>148</v>
      </c>
      <c r="C337" t="s">
        <v>93</v>
      </c>
      <c r="D337">
        <v>7</v>
      </c>
      <c r="E337">
        <v>4</v>
      </c>
      <c r="F337">
        <v>3</v>
      </c>
      <c r="G337" t="s">
        <v>75</v>
      </c>
      <c r="H337" t="s">
        <v>6</v>
      </c>
      <c r="J337" t="s">
        <v>43</v>
      </c>
      <c r="K337" t="s">
        <v>2</v>
      </c>
      <c r="L337" t="s">
        <v>67</v>
      </c>
      <c r="M337" t="s">
        <v>81</v>
      </c>
      <c r="N337" t="s">
        <v>12</v>
      </c>
    </row>
    <row r="338" spans="1:14" x14ac:dyDescent="0.35">
      <c r="A338" s="75">
        <v>43870</v>
      </c>
      <c r="B338" t="s">
        <v>148</v>
      </c>
      <c r="C338" t="s">
        <v>93</v>
      </c>
      <c r="D338">
        <v>7</v>
      </c>
      <c r="E338">
        <v>5</v>
      </c>
      <c r="F338">
        <v>2</v>
      </c>
      <c r="G338" t="s">
        <v>75</v>
      </c>
      <c r="H338" t="s">
        <v>6</v>
      </c>
      <c r="J338" t="s">
        <v>34</v>
      </c>
      <c r="K338" t="s">
        <v>2</v>
      </c>
      <c r="L338" t="s">
        <v>67</v>
      </c>
      <c r="M338" t="s">
        <v>81</v>
      </c>
      <c r="N338" t="s">
        <v>12</v>
      </c>
    </row>
    <row r="339" spans="1:14" x14ac:dyDescent="0.35">
      <c r="A339" s="75">
        <v>43870</v>
      </c>
      <c r="B339" t="s">
        <v>148</v>
      </c>
      <c r="C339" t="s">
        <v>93</v>
      </c>
      <c r="D339">
        <v>6</v>
      </c>
      <c r="E339">
        <v>5</v>
      </c>
      <c r="F339">
        <v>1</v>
      </c>
      <c r="G339" t="s">
        <v>76</v>
      </c>
      <c r="H339" t="s">
        <v>79</v>
      </c>
      <c r="J339" t="s">
        <v>19</v>
      </c>
      <c r="K339" t="s">
        <v>7</v>
      </c>
      <c r="L339" t="s">
        <v>67</v>
      </c>
      <c r="M339" t="s">
        <v>82</v>
      </c>
      <c r="N339" t="s">
        <v>11</v>
      </c>
    </row>
    <row r="340" spans="1:14" x14ac:dyDescent="0.35">
      <c r="A340" s="75">
        <v>43870</v>
      </c>
      <c r="B340" t="s">
        <v>148</v>
      </c>
      <c r="C340" t="s">
        <v>93</v>
      </c>
      <c r="D340">
        <v>5</v>
      </c>
      <c r="E340">
        <v>3</v>
      </c>
      <c r="F340">
        <v>2</v>
      </c>
      <c r="G340" t="s">
        <v>71</v>
      </c>
      <c r="H340" t="s">
        <v>6</v>
      </c>
      <c r="J340" t="s">
        <v>51</v>
      </c>
      <c r="K340" t="s">
        <v>2</v>
      </c>
      <c r="L340" t="s">
        <v>67</v>
      </c>
      <c r="M340" t="s">
        <v>80</v>
      </c>
      <c r="N340" t="s">
        <v>12</v>
      </c>
    </row>
    <row r="341" spans="1:14" x14ac:dyDescent="0.35">
      <c r="A341" s="75">
        <v>43870</v>
      </c>
      <c r="B341" t="s">
        <v>148</v>
      </c>
      <c r="C341" t="s">
        <v>93</v>
      </c>
      <c r="D341">
        <v>5</v>
      </c>
      <c r="E341">
        <v>3</v>
      </c>
      <c r="F341">
        <v>2</v>
      </c>
      <c r="G341" t="s">
        <v>114</v>
      </c>
      <c r="H341" t="s">
        <v>3</v>
      </c>
      <c r="J341" t="s">
        <v>42</v>
      </c>
      <c r="K341" t="s">
        <v>5</v>
      </c>
      <c r="L341" t="s">
        <v>67</v>
      </c>
      <c r="M341" t="s">
        <v>80</v>
      </c>
      <c r="N341" t="s">
        <v>13</v>
      </c>
    </row>
    <row r="342" spans="1:14" x14ac:dyDescent="0.35">
      <c r="A342" s="75">
        <v>43870</v>
      </c>
      <c r="B342" t="s">
        <v>148</v>
      </c>
      <c r="C342" t="s">
        <v>93</v>
      </c>
      <c r="D342">
        <v>5</v>
      </c>
      <c r="E342">
        <v>3</v>
      </c>
      <c r="F342">
        <v>2</v>
      </c>
      <c r="G342" t="s">
        <v>72</v>
      </c>
      <c r="H342" t="s">
        <v>78</v>
      </c>
      <c r="J342" t="s">
        <v>64</v>
      </c>
      <c r="K342" t="s">
        <v>8</v>
      </c>
      <c r="L342" t="s">
        <v>67</v>
      </c>
      <c r="M342" t="s">
        <v>81</v>
      </c>
      <c r="N342" t="s">
        <v>12</v>
      </c>
    </row>
    <row r="343" spans="1:14" x14ac:dyDescent="0.35">
      <c r="A343" s="75">
        <v>43870</v>
      </c>
      <c r="B343" t="s">
        <v>148</v>
      </c>
      <c r="C343" t="s">
        <v>93</v>
      </c>
      <c r="D343">
        <v>4</v>
      </c>
      <c r="E343">
        <v>2</v>
      </c>
      <c r="F343">
        <v>2</v>
      </c>
      <c r="G343" t="s">
        <v>113</v>
      </c>
      <c r="H343" t="s">
        <v>77</v>
      </c>
      <c r="J343" t="s">
        <v>20</v>
      </c>
      <c r="K343" t="s">
        <v>8</v>
      </c>
      <c r="L343" t="s">
        <v>67</v>
      </c>
      <c r="M343" t="s">
        <v>82</v>
      </c>
      <c r="N343" t="s">
        <v>14</v>
      </c>
    </row>
    <row r="344" spans="1:14" x14ac:dyDescent="0.35">
      <c r="A344" s="75">
        <v>43870</v>
      </c>
      <c r="B344" t="s">
        <v>148</v>
      </c>
      <c r="C344" t="s">
        <v>93</v>
      </c>
      <c r="D344">
        <v>4</v>
      </c>
      <c r="E344">
        <v>2</v>
      </c>
      <c r="F344">
        <v>2</v>
      </c>
      <c r="G344" t="s">
        <v>73</v>
      </c>
      <c r="H344" t="s">
        <v>78</v>
      </c>
      <c r="J344" t="s">
        <v>26</v>
      </c>
      <c r="K344" t="s">
        <v>2</v>
      </c>
      <c r="L344" t="s">
        <v>67</v>
      </c>
      <c r="M344" t="s">
        <v>82</v>
      </c>
      <c r="N344" t="s">
        <v>14</v>
      </c>
    </row>
    <row r="345" spans="1:14" x14ac:dyDescent="0.35">
      <c r="A345" s="75">
        <v>43870</v>
      </c>
      <c r="B345" t="s">
        <v>148</v>
      </c>
      <c r="C345" t="s">
        <v>93</v>
      </c>
      <c r="D345">
        <v>3</v>
      </c>
      <c r="E345">
        <v>2</v>
      </c>
      <c r="F345">
        <v>1</v>
      </c>
      <c r="G345" t="s">
        <v>73</v>
      </c>
      <c r="H345" t="s">
        <v>78</v>
      </c>
      <c r="J345" t="s">
        <v>51</v>
      </c>
      <c r="K345" t="s">
        <v>5</v>
      </c>
      <c r="L345" t="s">
        <v>67</v>
      </c>
      <c r="M345" t="s">
        <v>81</v>
      </c>
      <c r="N345" t="s">
        <v>13</v>
      </c>
    </row>
    <row r="346" spans="1:14" x14ac:dyDescent="0.35">
      <c r="A346" s="75">
        <v>43871</v>
      </c>
      <c r="B346" t="s">
        <v>149</v>
      </c>
      <c r="C346" t="s">
        <v>93</v>
      </c>
      <c r="D346">
        <v>10</v>
      </c>
      <c r="E346">
        <v>9</v>
      </c>
      <c r="F346">
        <v>1</v>
      </c>
      <c r="G346" t="s">
        <v>70</v>
      </c>
      <c r="H346" t="s">
        <v>1</v>
      </c>
      <c r="J346" t="s">
        <v>50</v>
      </c>
      <c r="K346" t="s">
        <v>2</v>
      </c>
      <c r="L346" t="s">
        <v>67</v>
      </c>
      <c r="M346" t="s">
        <v>81</v>
      </c>
      <c r="N346" t="s">
        <v>12</v>
      </c>
    </row>
    <row r="347" spans="1:14" x14ac:dyDescent="0.35">
      <c r="A347" s="75">
        <v>43871</v>
      </c>
      <c r="B347" t="s">
        <v>149</v>
      </c>
      <c r="C347" t="s">
        <v>93</v>
      </c>
      <c r="D347">
        <v>9</v>
      </c>
      <c r="E347">
        <v>5</v>
      </c>
      <c r="F347">
        <v>4</v>
      </c>
      <c r="G347" t="s">
        <v>74</v>
      </c>
      <c r="H347" t="s">
        <v>77</v>
      </c>
      <c r="J347" t="s">
        <v>41</v>
      </c>
      <c r="K347" t="s">
        <v>2</v>
      </c>
      <c r="L347" t="s">
        <v>67</v>
      </c>
      <c r="M347" t="s">
        <v>82</v>
      </c>
      <c r="N347" t="s">
        <v>12</v>
      </c>
    </row>
    <row r="348" spans="1:14" x14ac:dyDescent="0.35">
      <c r="A348" s="75">
        <v>43871</v>
      </c>
      <c r="B348" t="s">
        <v>149</v>
      </c>
      <c r="C348" t="s">
        <v>93</v>
      </c>
      <c r="D348">
        <v>9</v>
      </c>
      <c r="E348">
        <v>5</v>
      </c>
      <c r="F348">
        <v>4</v>
      </c>
      <c r="G348" t="s">
        <v>74</v>
      </c>
      <c r="H348" t="s">
        <v>77</v>
      </c>
      <c r="J348" t="s">
        <v>36</v>
      </c>
      <c r="K348" t="s">
        <v>7</v>
      </c>
      <c r="L348" t="s">
        <v>67</v>
      </c>
      <c r="M348" t="s">
        <v>82</v>
      </c>
      <c r="N348" t="s">
        <v>13</v>
      </c>
    </row>
    <row r="349" spans="1:14" x14ac:dyDescent="0.35">
      <c r="A349" s="75">
        <v>43871</v>
      </c>
      <c r="B349" t="s">
        <v>149</v>
      </c>
      <c r="C349" t="s">
        <v>93</v>
      </c>
      <c r="D349">
        <v>9</v>
      </c>
      <c r="E349">
        <v>6</v>
      </c>
      <c r="F349">
        <v>3</v>
      </c>
      <c r="G349" t="s">
        <v>70</v>
      </c>
      <c r="H349" t="s">
        <v>1</v>
      </c>
      <c r="J349" t="s">
        <v>15</v>
      </c>
      <c r="K349" t="s">
        <v>2</v>
      </c>
      <c r="L349" t="s">
        <v>67</v>
      </c>
      <c r="M349" t="s">
        <v>81</v>
      </c>
      <c r="N349" t="s">
        <v>12</v>
      </c>
    </row>
    <row r="350" spans="1:14" x14ac:dyDescent="0.35">
      <c r="A350" s="75">
        <v>43871</v>
      </c>
      <c r="B350" t="s">
        <v>149</v>
      </c>
      <c r="C350" t="s">
        <v>93</v>
      </c>
      <c r="D350">
        <v>8</v>
      </c>
      <c r="E350">
        <v>6</v>
      </c>
      <c r="F350">
        <v>2</v>
      </c>
      <c r="G350" t="s">
        <v>72</v>
      </c>
      <c r="H350" t="s">
        <v>78</v>
      </c>
      <c r="J350" t="s">
        <v>57</v>
      </c>
      <c r="K350" t="s">
        <v>7</v>
      </c>
      <c r="L350" t="s">
        <v>67</v>
      </c>
      <c r="M350" t="s">
        <v>81</v>
      </c>
      <c r="N350" t="s">
        <v>11</v>
      </c>
    </row>
    <row r="351" spans="1:14" x14ac:dyDescent="0.35">
      <c r="A351" s="75">
        <v>43871</v>
      </c>
      <c r="B351" t="s">
        <v>149</v>
      </c>
      <c r="C351" t="s">
        <v>93</v>
      </c>
      <c r="D351">
        <v>7</v>
      </c>
      <c r="E351">
        <v>6</v>
      </c>
      <c r="F351">
        <v>1</v>
      </c>
      <c r="G351" t="s">
        <v>70</v>
      </c>
      <c r="H351" t="s">
        <v>1</v>
      </c>
      <c r="J351" t="s">
        <v>31</v>
      </c>
      <c r="K351" t="s">
        <v>5</v>
      </c>
      <c r="L351" t="s">
        <v>67</v>
      </c>
      <c r="M351" t="s">
        <v>82</v>
      </c>
      <c r="N351" t="s">
        <v>14</v>
      </c>
    </row>
    <row r="352" spans="1:14" x14ac:dyDescent="0.35">
      <c r="A352" s="75">
        <v>43871</v>
      </c>
      <c r="B352" t="s">
        <v>149</v>
      </c>
      <c r="C352" t="s">
        <v>93</v>
      </c>
      <c r="D352">
        <v>7</v>
      </c>
      <c r="E352">
        <v>4</v>
      </c>
      <c r="F352">
        <v>3</v>
      </c>
      <c r="G352" t="s">
        <v>71</v>
      </c>
      <c r="H352" t="s">
        <v>6</v>
      </c>
      <c r="J352" t="s">
        <v>20</v>
      </c>
      <c r="K352" t="s">
        <v>2</v>
      </c>
      <c r="L352" t="s">
        <v>67</v>
      </c>
      <c r="M352" t="s">
        <v>80</v>
      </c>
      <c r="N352" t="s">
        <v>13</v>
      </c>
    </row>
    <row r="353" spans="1:14" x14ac:dyDescent="0.35">
      <c r="A353" s="75">
        <v>43871</v>
      </c>
      <c r="B353" t="s">
        <v>149</v>
      </c>
      <c r="C353" t="s">
        <v>93</v>
      </c>
      <c r="D353">
        <v>6</v>
      </c>
      <c r="E353">
        <v>4</v>
      </c>
      <c r="F353">
        <v>2</v>
      </c>
      <c r="G353" t="s">
        <v>72</v>
      </c>
      <c r="H353" t="s">
        <v>78</v>
      </c>
      <c r="J353" t="s">
        <v>53</v>
      </c>
      <c r="K353" t="s">
        <v>5</v>
      </c>
      <c r="L353" t="s">
        <v>67</v>
      </c>
      <c r="M353" t="s">
        <v>80</v>
      </c>
      <c r="N353" t="s">
        <v>14</v>
      </c>
    </row>
    <row r="354" spans="1:14" x14ac:dyDescent="0.35">
      <c r="A354" s="75">
        <v>43871</v>
      </c>
      <c r="B354" t="s">
        <v>149</v>
      </c>
      <c r="C354" t="s">
        <v>93</v>
      </c>
      <c r="D354">
        <v>6</v>
      </c>
      <c r="E354">
        <v>4</v>
      </c>
      <c r="F354">
        <v>2</v>
      </c>
      <c r="G354" t="s">
        <v>74</v>
      </c>
      <c r="H354" t="s">
        <v>77</v>
      </c>
      <c r="J354" t="s">
        <v>30</v>
      </c>
      <c r="K354" t="s">
        <v>5</v>
      </c>
      <c r="L354" t="s">
        <v>67</v>
      </c>
      <c r="M354" t="s">
        <v>80</v>
      </c>
      <c r="N354" t="s">
        <v>11</v>
      </c>
    </row>
    <row r="355" spans="1:14" x14ac:dyDescent="0.35">
      <c r="A355" s="75">
        <v>43871</v>
      </c>
      <c r="B355" t="s">
        <v>149</v>
      </c>
      <c r="C355" t="s">
        <v>93</v>
      </c>
      <c r="D355">
        <v>5</v>
      </c>
      <c r="E355">
        <v>3</v>
      </c>
      <c r="F355">
        <v>2</v>
      </c>
      <c r="G355" t="s">
        <v>114</v>
      </c>
      <c r="H355" t="s">
        <v>3</v>
      </c>
      <c r="J355" t="s">
        <v>24</v>
      </c>
      <c r="K355" t="s">
        <v>5</v>
      </c>
      <c r="L355" t="s">
        <v>67</v>
      </c>
      <c r="M355" t="s">
        <v>81</v>
      </c>
      <c r="N355" t="s">
        <v>14</v>
      </c>
    </row>
    <row r="356" spans="1:14" x14ac:dyDescent="0.35">
      <c r="A356" s="75">
        <v>43871</v>
      </c>
      <c r="B356" t="s">
        <v>149</v>
      </c>
      <c r="C356" t="s">
        <v>93</v>
      </c>
      <c r="D356">
        <v>5</v>
      </c>
      <c r="E356">
        <v>4</v>
      </c>
      <c r="F356">
        <v>1</v>
      </c>
      <c r="G356" t="s">
        <v>71</v>
      </c>
      <c r="H356" t="s">
        <v>6</v>
      </c>
      <c r="J356" t="s">
        <v>61</v>
      </c>
      <c r="K356" t="s">
        <v>5</v>
      </c>
      <c r="L356" t="s">
        <v>67</v>
      </c>
      <c r="M356" t="s">
        <v>81</v>
      </c>
      <c r="N356" t="s">
        <v>14</v>
      </c>
    </row>
    <row r="357" spans="1:14" x14ac:dyDescent="0.35">
      <c r="A357" s="75">
        <v>43871</v>
      </c>
      <c r="B357" t="s">
        <v>149</v>
      </c>
      <c r="C357" t="s">
        <v>93</v>
      </c>
      <c r="D357">
        <v>4</v>
      </c>
      <c r="E357">
        <v>2</v>
      </c>
      <c r="F357">
        <v>2</v>
      </c>
      <c r="G357" t="s">
        <v>114</v>
      </c>
      <c r="H357" t="s">
        <v>3</v>
      </c>
      <c r="J357" t="s">
        <v>23</v>
      </c>
      <c r="K357" t="s">
        <v>2</v>
      </c>
      <c r="L357" t="s">
        <v>67</v>
      </c>
      <c r="M357" t="s">
        <v>81</v>
      </c>
      <c r="N357" t="s">
        <v>14</v>
      </c>
    </row>
    <row r="358" spans="1:14" x14ac:dyDescent="0.35">
      <c r="A358" s="75">
        <v>43871</v>
      </c>
      <c r="B358" t="s">
        <v>149</v>
      </c>
      <c r="C358" t="s">
        <v>93</v>
      </c>
      <c r="D358">
        <v>3</v>
      </c>
      <c r="E358">
        <v>1</v>
      </c>
      <c r="F358">
        <v>2</v>
      </c>
      <c r="G358" t="s">
        <v>113</v>
      </c>
      <c r="H358" t="s">
        <v>77</v>
      </c>
      <c r="J358" t="s">
        <v>31</v>
      </c>
      <c r="K358" t="s">
        <v>9</v>
      </c>
      <c r="L358" t="s">
        <v>67</v>
      </c>
      <c r="M358" t="s">
        <v>82</v>
      </c>
      <c r="N358" t="s">
        <v>14</v>
      </c>
    </row>
    <row r="359" spans="1:14" x14ac:dyDescent="0.35">
      <c r="A359" s="75">
        <v>43872</v>
      </c>
      <c r="B359" t="s">
        <v>150</v>
      </c>
      <c r="C359" t="s">
        <v>93</v>
      </c>
      <c r="D359">
        <v>10</v>
      </c>
      <c r="E359">
        <v>8</v>
      </c>
      <c r="F359">
        <v>2</v>
      </c>
      <c r="G359" t="s">
        <v>71</v>
      </c>
      <c r="H359" t="s">
        <v>6</v>
      </c>
      <c r="J359" t="s">
        <v>31</v>
      </c>
      <c r="K359" t="s">
        <v>2</v>
      </c>
      <c r="L359" t="s">
        <v>67</v>
      </c>
      <c r="M359" t="s">
        <v>82</v>
      </c>
      <c r="N359" t="s">
        <v>14</v>
      </c>
    </row>
    <row r="360" spans="1:14" x14ac:dyDescent="0.35">
      <c r="A360" s="75">
        <v>43872</v>
      </c>
      <c r="B360" t="s">
        <v>150</v>
      </c>
      <c r="C360" t="s">
        <v>93</v>
      </c>
      <c r="D360">
        <v>9</v>
      </c>
      <c r="E360">
        <v>8</v>
      </c>
      <c r="F360">
        <v>1</v>
      </c>
      <c r="G360" t="s">
        <v>70</v>
      </c>
      <c r="H360" t="s">
        <v>1</v>
      </c>
      <c r="J360" t="s">
        <v>57</v>
      </c>
      <c r="K360" t="s">
        <v>8</v>
      </c>
      <c r="L360" t="s">
        <v>67</v>
      </c>
      <c r="M360" t="s">
        <v>82</v>
      </c>
      <c r="N360" t="s">
        <v>14</v>
      </c>
    </row>
    <row r="361" spans="1:14" x14ac:dyDescent="0.35">
      <c r="A361" s="75">
        <v>43872</v>
      </c>
      <c r="B361" t="s">
        <v>150</v>
      </c>
      <c r="C361" t="s">
        <v>93</v>
      </c>
      <c r="D361">
        <v>8</v>
      </c>
      <c r="E361">
        <v>4</v>
      </c>
      <c r="F361">
        <v>4</v>
      </c>
      <c r="G361" t="s">
        <v>70</v>
      </c>
      <c r="H361" t="s">
        <v>1</v>
      </c>
      <c r="I361">
        <v>120000000</v>
      </c>
      <c r="J361" t="s">
        <v>22</v>
      </c>
      <c r="K361" t="s">
        <v>2</v>
      </c>
      <c r="L361" t="s">
        <v>67</v>
      </c>
      <c r="M361" t="s">
        <v>80</v>
      </c>
      <c r="N361" t="s">
        <v>13</v>
      </c>
    </row>
    <row r="362" spans="1:14" x14ac:dyDescent="0.35">
      <c r="A362" s="75">
        <v>43872</v>
      </c>
      <c r="B362" t="s">
        <v>150</v>
      </c>
      <c r="C362" t="s">
        <v>93</v>
      </c>
      <c r="D362">
        <v>8</v>
      </c>
      <c r="E362">
        <v>4</v>
      </c>
      <c r="F362">
        <v>4</v>
      </c>
      <c r="G362" t="s">
        <v>114</v>
      </c>
      <c r="H362" t="s">
        <v>3</v>
      </c>
      <c r="I362">
        <v>80000000</v>
      </c>
      <c r="J362" t="s">
        <v>40</v>
      </c>
      <c r="K362" t="s">
        <v>2</v>
      </c>
      <c r="L362" t="s">
        <v>67</v>
      </c>
      <c r="M362" t="s">
        <v>82</v>
      </c>
      <c r="N362" t="s">
        <v>11</v>
      </c>
    </row>
    <row r="363" spans="1:14" x14ac:dyDescent="0.35">
      <c r="A363" s="75">
        <v>43872</v>
      </c>
      <c r="B363" t="s">
        <v>150</v>
      </c>
      <c r="C363" t="s">
        <v>93</v>
      </c>
      <c r="D363">
        <v>5</v>
      </c>
      <c r="E363">
        <v>3</v>
      </c>
      <c r="F363">
        <v>2</v>
      </c>
      <c r="G363" t="s">
        <v>76</v>
      </c>
      <c r="H363" t="s">
        <v>79</v>
      </c>
      <c r="I363">
        <v>100000000</v>
      </c>
      <c r="J363" t="s">
        <v>44</v>
      </c>
      <c r="K363" t="s">
        <v>2</v>
      </c>
      <c r="L363" t="s">
        <v>67</v>
      </c>
      <c r="M363" t="s">
        <v>82</v>
      </c>
      <c r="N363" t="s">
        <v>11</v>
      </c>
    </row>
    <row r="364" spans="1:14" x14ac:dyDescent="0.35">
      <c r="A364" s="75">
        <v>43872</v>
      </c>
      <c r="B364" t="s">
        <v>150</v>
      </c>
      <c r="C364" t="s">
        <v>93</v>
      </c>
      <c r="D364">
        <v>4</v>
      </c>
      <c r="E364">
        <v>2</v>
      </c>
      <c r="F364">
        <v>2</v>
      </c>
      <c r="G364" t="s">
        <v>75</v>
      </c>
      <c r="H364" t="s">
        <v>6</v>
      </c>
      <c r="I364">
        <v>60000000</v>
      </c>
      <c r="J364" t="s">
        <v>42</v>
      </c>
      <c r="K364" t="s">
        <v>5</v>
      </c>
      <c r="L364" t="s">
        <v>67</v>
      </c>
      <c r="M364" t="s">
        <v>81</v>
      </c>
      <c r="N364" t="s">
        <v>13</v>
      </c>
    </row>
    <row r="365" spans="1:14" x14ac:dyDescent="0.35">
      <c r="A365" s="75">
        <v>43872</v>
      </c>
      <c r="B365" t="s">
        <v>150</v>
      </c>
      <c r="C365" t="s">
        <v>93</v>
      </c>
      <c r="D365">
        <v>3</v>
      </c>
      <c r="E365">
        <v>2</v>
      </c>
      <c r="F365">
        <v>1</v>
      </c>
      <c r="G365" t="s">
        <v>74</v>
      </c>
      <c r="H365" t="s">
        <v>77</v>
      </c>
      <c r="I365">
        <v>80000000</v>
      </c>
      <c r="J365" t="s">
        <v>42</v>
      </c>
      <c r="K365" t="s">
        <v>7</v>
      </c>
      <c r="L365" t="s">
        <v>67</v>
      </c>
      <c r="M365" t="s">
        <v>80</v>
      </c>
      <c r="N365" t="s">
        <v>12</v>
      </c>
    </row>
    <row r="366" spans="1:14" x14ac:dyDescent="0.35">
      <c r="A366" s="75">
        <v>43872</v>
      </c>
      <c r="B366" t="s">
        <v>150</v>
      </c>
      <c r="C366" t="s">
        <v>93</v>
      </c>
      <c r="D366">
        <v>3</v>
      </c>
      <c r="E366">
        <v>2</v>
      </c>
      <c r="F366">
        <v>1</v>
      </c>
      <c r="G366" t="s">
        <v>72</v>
      </c>
      <c r="H366" t="s">
        <v>78</v>
      </c>
      <c r="I366">
        <v>100000000</v>
      </c>
      <c r="J366" t="s">
        <v>51</v>
      </c>
      <c r="K366" t="s">
        <v>2</v>
      </c>
      <c r="L366" t="s">
        <v>67</v>
      </c>
      <c r="M366" t="s">
        <v>80</v>
      </c>
      <c r="N366" t="s">
        <v>12</v>
      </c>
    </row>
    <row r="367" spans="1:14" x14ac:dyDescent="0.35">
      <c r="A367" s="75">
        <v>43873</v>
      </c>
      <c r="B367" t="s">
        <v>151</v>
      </c>
      <c r="C367" t="s">
        <v>93</v>
      </c>
      <c r="D367">
        <v>10</v>
      </c>
      <c r="E367">
        <v>10</v>
      </c>
      <c r="F367" t="s">
        <v>10</v>
      </c>
      <c r="G367" t="s">
        <v>73</v>
      </c>
      <c r="H367" t="s">
        <v>78</v>
      </c>
      <c r="I367">
        <v>120000000</v>
      </c>
      <c r="J367" t="s">
        <v>49</v>
      </c>
      <c r="K367" t="s">
        <v>8</v>
      </c>
      <c r="L367" t="s">
        <v>67</v>
      </c>
      <c r="M367" t="s">
        <v>81</v>
      </c>
      <c r="N367" t="s">
        <v>13</v>
      </c>
    </row>
    <row r="368" spans="1:14" x14ac:dyDescent="0.35">
      <c r="A368" s="75">
        <v>43873</v>
      </c>
      <c r="B368" t="s">
        <v>151</v>
      </c>
      <c r="C368" t="s">
        <v>93</v>
      </c>
      <c r="D368">
        <v>10</v>
      </c>
      <c r="E368">
        <v>10</v>
      </c>
      <c r="F368" t="s">
        <v>10</v>
      </c>
      <c r="G368" t="s">
        <v>71</v>
      </c>
      <c r="H368" t="s">
        <v>6</v>
      </c>
      <c r="I368">
        <v>120000000</v>
      </c>
      <c r="J368" t="s">
        <v>34</v>
      </c>
      <c r="K368" t="s">
        <v>2</v>
      </c>
      <c r="L368" t="s">
        <v>67</v>
      </c>
      <c r="M368" t="s">
        <v>80</v>
      </c>
      <c r="N368" t="s">
        <v>14</v>
      </c>
    </row>
    <row r="369" spans="1:14" x14ac:dyDescent="0.35">
      <c r="A369" s="75">
        <v>43873</v>
      </c>
      <c r="B369" t="s">
        <v>151</v>
      </c>
      <c r="C369" t="s">
        <v>93</v>
      </c>
      <c r="D369">
        <v>9</v>
      </c>
      <c r="E369">
        <v>9</v>
      </c>
      <c r="F369" t="s">
        <v>10</v>
      </c>
      <c r="G369" t="s">
        <v>74</v>
      </c>
      <c r="H369" t="s">
        <v>77</v>
      </c>
      <c r="I369">
        <v>80000000</v>
      </c>
      <c r="J369" t="s">
        <v>21</v>
      </c>
      <c r="K369" t="s">
        <v>2</v>
      </c>
      <c r="L369" t="s">
        <v>67</v>
      </c>
      <c r="M369" t="s">
        <v>80</v>
      </c>
      <c r="N369" t="s">
        <v>12</v>
      </c>
    </row>
    <row r="370" spans="1:14" x14ac:dyDescent="0.35">
      <c r="A370" s="75">
        <v>43873</v>
      </c>
      <c r="B370" t="s">
        <v>151</v>
      </c>
      <c r="C370" t="s">
        <v>93</v>
      </c>
      <c r="D370">
        <v>9</v>
      </c>
      <c r="E370">
        <v>9</v>
      </c>
      <c r="F370" t="s">
        <v>10</v>
      </c>
      <c r="G370" t="s">
        <v>75</v>
      </c>
      <c r="H370" t="s">
        <v>6</v>
      </c>
      <c r="I370">
        <v>60000000</v>
      </c>
      <c r="J370" t="s">
        <v>44</v>
      </c>
      <c r="K370" t="s">
        <v>2</v>
      </c>
      <c r="L370" t="s">
        <v>67</v>
      </c>
      <c r="M370" t="s">
        <v>82</v>
      </c>
      <c r="N370" t="s">
        <v>11</v>
      </c>
    </row>
    <row r="371" spans="1:14" x14ac:dyDescent="0.35">
      <c r="A371" s="75">
        <v>43873</v>
      </c>
      <c r="B371" t="s">
        <v>151</v>
      </c>
      <c r="C371" t="s">
        <v>93</v>
      </c>
      <c r="D371">
        <v>8</v>
      </c>
      <c r="E371">
        <v>8</v>
      </c>
      <c r="F371" t="s">
        <v>10</v>
      </c>
      <c r="G371" t="s">
        <v>73</v>
      </c>
      <c r="H371" t="s">
        <v>78</v>
      </c>
      <c r="I371">
        <v>140000000</v>
      </c>
      <c r="J371" t="s">
        <v>39</v>
      </c>
      <c r="K371" t="s">
        <v>5</v>
      </c>
      <c r="L371" t="s">
        <v>67</v>
      </c>
      <c r="M371" t="s">
        <v>82</v>
      </c>
      <c r="N371" t="s">
        <v>12</v>
      </c>
    </row>
    <row r="372" spans="1:14" x14ac:dyDescent="0.35">
      <c r="A372" s="75">
        <v>43873</v>
      </c>
      <c r="B372" t="s">
        <v>151</v>
      </c>
      <c r="C372" t="s">
        <v>93</v>
      </c>
      <c r="D372">
        <v>4</v>
      </c>
      <c r="E372">
        <v>4</v>
      </c>
      <c r="F372" t="s">
        <v>10</v>
      </c>
      <c r="G372" t="s">
        <v>76</v>
      </c>
      <c r="H372" t="s">
        <v>79</v>
      </c>
      <c r="I372">
        <v>120000000</v>
      </c>
      <c r="J372" t="s">
        <v>18</v>
      </c>
      <c r="K372" t="s">
        <v>7</v>
      </c>
      <c r="L372" t="s">
        <v>67</v>
      </c>
      <c r="M372" t="s">
        <v>81</v>
      </c>
      <c r="N372" t="s">
        <v>13</v>
      </c>
    </row>
    <row r="373" spans="1:14" x14ac:dyDescent="0.35">
      <c r="A373" s="75">
        <v>43873</v>
      </c>
      <c r="B373" t="s">
        <v>151</v>
      </c>
      <c r="C373" t="s">
        <v>93</v>
      </c>
      <c r="D373">
        <v>3</v>
      </c>
      <c r="E373">
        <v>3</v>
      </c>
      <c r="F373" t="s">
        <v>10</v>
      </c>
      <c r="G373" t="s">
        <v>114</v>
      </c>
      <c r="H373" t="s">
        <v>3</v>
      </c>
      <c r="I373">
        <v>140000000</v>
      </c>
      <c r="J373" t="s">
        <v>41</v>
      </c>
      <c r="K373" t="s">
        <v>2</v>
      </c>
      <c r="L373" t="s">
        <v>67</v>
      </c>
      <c r="M373" t="s">
        <v>82</v>
      </c>
      <c r="N373" t="s">
        <v>12</v>
      </c>
    </row>
    <row r="374" spans="1:14" x14ac:dyDescent="0.35">
      <c r="A374" s="75">
        <v>43873</v>
      </c>
      <c r="B374" t="s">
        <v>151</v>
      </c>
      <c r="C374" t="s">
        <v>93</v>
      </c>
      <c r="D374">
        <v>3</v>
      </c>
      <c r="E374">
        <v>3</v>
      </c>
      <c r="F374" t="s">
        <v>10</v>
      </c>
      <c r="G374" t="s">
        <v>74</v>
      </c>
      <c r="H374" t="s">
        <v>77</v>
      </c>
      <c r="I374">
        <v>80000000</v>
      </c>
      <c r="J374" t="s">
        <v>62</v>
      </c>
      <c r="K374" t="s">
        <v>2</v>
      </c>
      <c r="L374" t="s">
        <v>67</v>
      </c>
      <c r="M374" t="s">
        <v>82</v>
      </c>
      <c r="N374" t="s">
        <v>14</v>
      </c>
    </row>
    <row r="375" spans="1:14" x14ac:dyDescent="0.35">
      <c r="A375" s="75">
        <v>43873</v>
      </c>
      <c r="B375" t="s">
        <v>151</v>
      </c>
      <c r="C375" t="s">
        <v>93</v>
      </c>
      <c r="D375">
        <v>3</v>
      </c>
      <c r="E375">
        <v>3</v>
      </c>
      <c r="F375" t="s">
        <v>10</v>
      </c>
      <c r="G375" t="s">
        <v>76</v>
      </c>
      <c r="H375" t="s">
        <v>79</v>
      </c>
      <c r="I375">
        <v>40000000</v>
      </c>
      <c r="J375" t="s">
        <v>41</v>
      </c>
      <c r="K375" t="s">
        <v>7</v>
      </c>
      <c r="L375" t="s">
        <v>67</v>
      </c>
      <c r="M375" t="s">
        <v>82</v>
      </c>
      <c r="N375" t="s">
        <v>14</v>
      </c>
    </row>
    <row r="376" spans="1:14" x14ac:dyDescent="0.35">
      <c r="A376" s="75">
        <v>43874</v>
      </c>
      <c r="B376" t="s">
        <v>152</v>
      </c>
      <c r="C376" t="s">
        <v>93</v>
      </c>
      <c r="D376">
        <v>9</v>
      </c>
      <c r="E376">
        <v>9</v>
      </c>
      <c r="F376" t="s">
        <v>10</v>
      </c>
      <c r="G376" t="s">
        <v>74</v>
      </c>
      <c r="H376" t="s">
        <v>77</v>
      </c>
      <c r="I376">
        <v>100000000</v>
      </c>
      <c r="J376" t="s">
        <v>46</v>
      </c>
      <c r="K376" t="s">
        <v>7</v>
      </c>
      <c r="L376" t="s">
        <v>67</v>
      </c>
      <c r="M376" t="s">
        <v>80</v>
      </c>
      <c r="N376" t="s">
        <v>13</v>
      </c>
    </row>
    <row r="377" spans="1:14" x14ac:dyDescent="0.35">
      <c r="A377" s="75">
        <v>43874</v>
      </c>
      <c r="B377" t="s">
        <v>152</v>
      </c>
      <c r="C377" t="s">
        <v>93</v>
      </c>
      <c r="D377">
        <v>9</v>
      </c>
      <c r="E377">
        <v>9</v>
      </c>
      <c r="F377" t="s">
        <v>10</v>
      </c>
      <c r="G377" t="s">
        <v>73</v>
      </c>
      <c r="H377" t="s">
        <v>78</v>
      </c>
      <c r="I377">
        <v>140000000</v>
      </c>
      <c r="J377" t="s">
        <v>58</v>
      </c>
      <c r="K377" t="s">
        <v>5</v>
      </c>
      <c r="L377" t="s">
        <v>67</v>
      </c>
      <c r="M377" t="s">
        <v>82</v>
      </c>
      <c r="N377" t="s">
        <v>13</v>
      </c>
    </row>
    <row r="378" spans="1:14" x14ac:dyDescent="0.35">
      <c r="A378" s="75">
        <v>43874</v>
      </c>
      <c r="B378" t="s">
        <v>152</v>
      </c>
      <c r="C378" t="s">
        <v>93</v>
      </c>
      <c r="D378">
        <v>9</v>
      </c>
      <c r="E378">
        <v>9</v>
      </c>
      <c r="F378" t="s">
        <v>10</v>
      </c>
      <c r="G378" t="s">
        <v>70</v>
      </c>
      <c r="H378" t="s">
        <v>1</v>
      </c>
      <c r="I378">
        <v>60000000</v>
      </c>
      <c r="J378" t="s">
        <v>22</v>
      </c>
      <c r="K378" t="s">
        <v>7</v>
      </c>
      <c r="L378" t="s">
        <v>67</v>
      </c>
      <c r="M378" t="s">
        <v>80</v>
      </c>
      <c r="N378" t="s">
        <v>12</v>
      </c>
    </row>
    <row r="379" spans="1:14" x14ac:dyDescent="0.35">
      <c r="A379" s="75">
        <v>43874</v>
      </c>
      <c r="B379" t="s">
        <v>152</v>
      </c>
      <c r="C379" t="s">
        <v>93</v>
      </c>
      <c r="D379">
        <v>7</v>
      </c>
      <c r="E379">
        <v>7</v>
      </c>
      <c r="F379" t="s">
        <v>10</v>
      </c>
      <c r="G379" t="s">
        <v>114</v>
      </c>
      <c r="H379" t="s">
        <v>3</v>
      </c>
      <c r="I379">
        <v>120000000</v>
      </c>
      <c r="J379" t="s">
        <v>57</v>
      </c>
      <c r="K379" t="s">
        <v>2</v>
      </c>
      <c r="L379" t="s">
        <v>67</v>
      </c>
      <c r="M379" t="s">
        <v>82</v>
      </c>
      <c r="N379" t="s">
        <v>13</v>
      </c>
    </row>
    <row r="380" spans="1:14" x14ac:dyDescent="0.35">
      <c r="A380" s="75">
        <v>43874</v>
      </c>
      <c r="B380" t="s">
        <v>152</v>
      </c>
      <c r="C380" t="s">
        <v>93</v>
      </c>
      <c r="D380">
        <v>6</v>
      </c>
      <c r="E380">
        <v>6</v>
      </c>
      <c r="F380" t="s">
        <v>10</v>
      </c>
      <c r="G380" t="s">
        <v>74</v>
      </c>
      <c r="H380" t="s">
        <v>77</v>
      </c>
      <c r="I380">
        <v>120000000</v>
      </c>
      <c r="J380" t="s">
        <v>57</v>
      </c>
      <c r="K380" t="s">
        <v>9</v>
      </c>
      <c r="L380" t="s">
        <v>67</v>
      </c>
      <c r="M380" t="s">
        <v>82</v>
      </c>
      <c r="N380" t="s">
        <v>13</v>
      </c>
    </row>
    <row r="381" spans="1:14" x14ac:dyDescent="0.35">
      <c r="A381" s="75">
        <v>43874</v>
      </c>
      <c r="B381" t="s">
        <v>152</v>
      </c>
      <c r="C381" t="s">
        <v>93</v>
      </c>
      <c r="D381">
        <v>6</v>
      </c>
      <c r="E381">
        <v>6</v>
      </c>
      <c r="F381" t="s">
        <v>10</v>
      </c>
      <c r="G381" t="s">
        <v>114</v>
      </c>
      <c r="H381" t="s">
        <v>3</v>
      </c>
      <c r="I381">
        <v>140000000</v>
      </c>
      <c r="J381" t="s">
        <v>59</v>
      </c>
      <c r="K381" t="s">
        <v>4</v>
      </c>
      <c r="L381" t="s">
        <v>67</v>
      </c>
      <c r="M381" t="s">
        <v>81</v>
      </c>
      <c r="N381" t="s">
        <v>14</v>
      </c>
    </row>
    <row r="382" spans="1:14" x14ac:dyDescent="0.35">
      <c r="A382" s="75">
        <v>43874</v>
      </c>
      <c r="B382" t="s">
        <v>152</v>
      </c>
      <c r="C382" t="s">
        <v>93</v>
      </c>
      <c r="D382">
        <v>4</v>
      </c>
      <c r="E382">
        <v>4</v>
      </c>
      <c r="F382" t="s">
        <v>10</v>
      </c>
      <c r="G382" t="s">
        <v>72</v>
      </c>
      <c r="H382" t="s">
        <v>78</v>
      </c>
      <c r="I382">
        <v>80000000</v>
      </c>
      <c r="J382" t="s">
        <v>30</v>
      </c>
      <c r="K382" t="s">
        <v>2</v>
      </c>
      <c r="L382" t="s">
        <v>67</v>
      </c>
      <c r="M382" t="s">
        <v>80</v>
      </c>
      <c r="N382" t="s">
        <v>14</v>
      </c>
    </row>
    <row r="383" spans="1:14" x14ac:dyDescent="0.35">
      <c r="A383" s="75">
        <v>43875</v>
      </c>
      <c r="B383" t="s">
        <v>153</v>
      </c>
      <c r="C383" t="s">
        <v>93</v>
      </c>
      <c r="D383">
        <v>10</v>
      </c>
      <c r="E383">
        <v>10</v>
      </c>
      <c r="F383" t="s">
        <v>10</v>
      </c>
      <c r="G383" t="s">
        <v>72</v>
      </c>
      <c r="H383" t="s">
        <v>78</v>
      </c>
      <c r="I383">
        <v>40000000</v>
      </c>
      <c r="J383" t="s">
        <v>64</v>
      </c>
      <c r="K383" t="s">
        <v>2</v>
      </c>
      <c r="L383" t="s">
        <v>67</v>
      </c>
      <c r="M383" t="s">
        <v>80</v>
      </c>
      <c r="N383" t="s">
        <v>13</v>
      </c>
    </row>
    <row r="384" spans="1:14" x14ac:dyDescent="0.35">
      <c r="A384" s="75">
        <v>43875</v>
      </c>
      <c r="B384" t="s">
        <v>153</v>
      </c>
      <c r="C384" t="s">
        <v>93</v>
      </c>
      <c r="D384">
        <v>9</v>
      </c>
      <c r="E384">
        <v>9</v>
      </c>
      <c r="F384" t="s">
        <v>10</v>
      </c>
      <c r="G384" t="s">
        <v>75</v>
      </c>
      <c r="H384" t="s">
        <v>6</v>
      </c>
      <c r="I384">
        <v>120000000</v>
      </c>
      <c r="J384" t="s">
        <v>45</v>
      </c>
      <c r="K384" t="s">
        <v>7</v>
      </c>
      <c r="L384" t="s">
        <v>67</v>
      </c>
      <c r="M384" t="s">
        <v>81</v>
      </c>
      <c r="N384" t="s">
        <v>12</v>
      </c>
    </row>
    <row r="385" spans="1:14" x14ac:dyDescent="0.35">
      <c r="A385" s="75">
        <v>43875</v>
      </c>
      <c r="B385" t="s">
        <v>153</v>
      </c>
      <c r="C385" t="s">
        <v>93</v>
      </c>
      <c r="D385">
        <v>8</v>
      </c>
      <c r="E385">
        <v>8</v>
      </c>
      <c r="F385" t="s">
        <v>10</v>
      </c>
      <c r="G385" t="s">
        <v>73</v>
      </c>
      <c r="H385" t="s">
        <v>78</v>
      </c>
      <c r="I385">
        <v>120000000</v>
      </c>
      <c r="J385" t="s">
        <v>60</v>
      </c>
      <c r="K385" t="s">
        <v>9</v>
      </c>
      <c r="L385" t="s">
        <v>67</v>
      </c>
      <c r="M385" t="s">
        <v>81</v>
      </c>
      <c r="N385" t="s">
        <v>13</v>
      </c>
    </row>
    <row r="386" spans="1:14" x14ac:dyDescent="0.35">
      <c r="A386" s="75">
        <v>43875</v>
      </c>
      <c r="B386" t="s">
        <v>153</v>
      </c>
      <c r="C386" t="s">
        <v>93</v>
      </c>
      <c r="D386">
        <v>7</v>
      </c>
      <c r="E386">
        <v>7</v>
      </c>
      <c r="F386" t="s">
        <v>10</v>
      </c>
      <c r="G386" t="s">
        <v>114</v>
      </c>
      <c r="H386" t="s">
        <v>3</v>
      </c>
      <c r="I386">
        <v>60000000</v>
      </c>
      <c r="J386" t="s">
        <v>50</v>
      </c>
      <c r="K386" t="s">
        <v>5</v>
      </c>
      <c r="L386" t="s">
        <v>67</v>
      </c>
      <c r="M386" t="s">
        <v>81</v>
      </c>
      <c r="N386" t="s">
        <v>11</v>
      </c>
    </row>
    <row r="387" spans="1:14" x14ac:dyDescent="0.35">
      <c r="A387" s="75">
        <v>43875</v>
      </c>
      <c r="B387" t="s">
        <v>153</v>
      </c>
      <c r="C387" t="s">
        <v>93</v>
      </c>
      <c r="D387">
        <v>7</v>
      </c>
      <c r="E387">
        <v>7</v>
      </c>
      <c r="F387" t="s">
        <v>10</v>
      </c>
      <c r="G387" t="s">
        <v>74</v>
      </c>
      <c r="H387" t="s">
        <v>77</v>
      </c>
      <c r="I387">
        <v>60000000</v>
      </c>
      <c r="J387" t="s">
        <v>28</v>
      </c>
      <c r="K387" t="s">
        <v>5</v>
      </c>
      <c r="L387" t="s">
        <v>67</v>
      </c>
      <c r="M387" t="s">
        <v>81</v>
      </c>
      <c r="N387" t="s">
        <v>13</v>
      </c>
    </row>
    <row r="388" spans="1:14" x14ac:dyDescent="0.35">
      <c r="A388" s="75">
        <v>43875</v>
      </c>
      <c r="B388" t="s">
        <v>153</v>
      </c>
      <c r="C388" t="s">
        <v>93</v>
      </c>
      <c r="D388">
        <v>7</v>
      </c>
      <c r="E388">
        <v>7</v>
      </c>
      <c r="F388" t="s">
        <v>10</v>
      </c>
      <c r="G388" t="s">
        <v>113</v>
      </c>
      <c r="H388" t="s">
        <v>77</v>
      </c>
      <c r="I388">
        <v>60000000</v>
      </c>
      <c r="J388" t="s">
        <v>45</v>
      </c>
      <c r="K388" t="s">
        <v>8</v>
      </c>
      <c r="L388" t="s">
        <v>67</v>
      </c>
      <c r="M388" t="s">
        <v>80</v>
      </c>
      <c r="N388" t="s">
        <v>14</v>
      </c>
    </row>
    <row r="389" spans="1:14" x14ac:dyDescent="0.35">
      <c r="A389" s="75">
        <v>43875</v>
      </c>
      <c r="B389" t="s">
        <v>153</v>
      </c>
      <c r="C389" t="s">
        <v>93</v>
      </c>
      <c r="D389">
        <v>6</v>
      </c>
      <c r="E389">
        <v>6</v>
      </c>
      <c r="F389" t="s">
        <v>10</v>
      </c>
      <c r="G389" t="s">
        <v>113</v>
      </c>
      <c r="H389" t="s">
        <v>77</v>
      </c>
      <c r="I389">
        <v>40000000</v>
      </c>
      <c r="J389" t="s">
        <v>41</v>
      </c>
      <c r="K389" t="s">
        <v>9</v>
      </c>
      <c r="L389" t="s">
        <v>67</v>
      </c>
      <c r="M389" t="s">
        <v>80</v>
      </c>
      <c r="N389" t="s">
        <v>12</v>
      </c>
    </row>
    <row r="390" spans="1:14" x14ac:dyDescent="0.35">
      <c r="A390" s="75">
        <v>43876</v>
      </c>
      <c r="B390" t="s">
        <v>154</v>
      </c>
      <c r="C390" t="s">
        <v>93</v>
      </c>
      <c r="D390">
        <v>9</v>
      </c>
      <c r="E390">
        <v>9</v>
      </c>
      <c r="F390" t="s">
        <v>10</v>
      </c>
      <c r="G390" t="s">
        <v>74</v>
      </c>
      <c r="H390" t="s">
        <v>77</v>
      </c>
      <c r="I390">
        <v>40000000</v>
      </c>
      <c r="J390" t="s">
        <v>17</v>
      </c>
      <c r="K390" t="s">
        <v>2</v>
      </c>
      <c r="L390" t="s">
        <v>67</v>
      </c>
      <c r="M390" t="s">
        <v>82</v>
      </c>
      <c r="N390" t="s">
        <v>13</v>
      </c>
    </row>
    <row r="391" spans="1:14" x14ac:dyDescent="0.35">
      <c r="A391" s="75">
        <v>43876</v>
      </c>
      <c r="B391" t="s">
        <v>154</v>
      </c>
      <c r="C391" t="s">
        <v>93</v>
      </c>
      <c r="D391">
        <v>7</v>
      </c>
      <c r="E391">
        <v>7</v>
      </c>
      <c r="F391" t="s">
        <v>10</v>
      </c>
      <c r="G391" t="s">
        <v>75</v>
      </c>
      <c r="H391" t="s">
        <v>6</v>
      </c>
      <c r="I391">
        <v>140000000</v>
      </c>
      <c r="J391" t="s">
        <v>36</v>
      </c>
      <c r="K391" t="s">
        <v>2</v>
      </c>
      <c r="L391" t="s">
        <v>67</v>
      </c>
      <c r="M391" t="s">
        <v>81</v>
      </c>
      <c r="N391" t="s">
        <v>13</v>
      </c>
    </row>
    <row r="392" spans="1:14" x14ac:dyDescent="0.35">
      <c r="A392" s="75">
        <v>43876</v>
      </c>
      <c r="B392" t="s">
        <v>154</v>
      </c>
      <c r="C392" t="s">
        <v>93</v>
      </c>
      <c r="D392">
        <v>5</v>
      </c>
      <c r="E392">
        <v>5</v>
      </c>
      <c r="F392" t="s">
        <v>10</v>
      </c>
      <c r="G392" t="s">
        <v>71</v>
      </c>
      <c r="H392" t="s">
        <v>6</v>
      </c>
      <c r="I392">
        <v>120000000</v>
      </c>
      <c r="J392" t="s">
        <v>51</v>
      </c>
      <c r="K392" t="s">
        <v>8</v>
      </c>
      <c r="L392" t="s">
        <v>67</v>
      </c>
      <c r="M392" t="s">
        <v>81</v>
      </c>
      <c r="N392" t="s">
        <v>13</v>
      </c>
    </row>
    <row r="393" spans="1:14" x14ac:dyDescent="0.35">
      <c r="A393" s="75">
        <v>43876</v>
      </c>
      <c r="B393" t="s">
        <v>154</v>
      </c>
      <c r="C393" t="s">
        <v>93</v>
      </c>
      <c r="D393">
        <v>5</v>
      </c>
      <c r="E393">
        <v>5</v>
      </c>
      <c r="F393" t="s">
        <v>10</v>
      </c>
      <c r="G393" t="s">
        <v>113</v>
      </c>
      <c r="H393" t="s">
        <v>77</v>
      </c>
      <c r="I393">
        <v>40000000</v>
      </c>
      <c r="J393" t="s">
        <v>60</v>
      </c>
      <c r="K393" t="s">
        <v>5</v>
      </c>
      <c r="L393" t="s">
        <v>67</v>
      </c>
      <c r="M393" t="s">
        <v>82</v>
      </c>
      <c r="N393" t="s">
        <v>11</v>
      </c>
    </row>
    <row r="394" spans="1:14" x14ac:dyDescent="0.35">
      <c r="A394" s="75">
        <v>43876</v>
      </c>
      <c r="B394" t="s">
        <v>154</v>
      </c>
      <c r="C394" t="s">
        <v>93</v>
      </c>
      <c r="D394">
        <v>3</v>
      </c>
      <c r="E394">
        <v>3</v>
      </c>
      <c r="F394" t="s">
        <v>10</v>
      </c>
      <c r="G394" t="s">
        <v>70</v>
      </c>
      <c r="H394" t="s">
        <v>1</v>
      </c>
      <c r="I394">
        <v>140000000</v>
      </c>
      <c r="J394" t="s">
        <v>37</v>
      </c>
      <c r="K394" t="s">
        <v>2</v>
      </c>
      <c r="L394" t="s">
        <v>67</v>
      </c>
      <c r="M394" t="s">
        <v>81</v>
      </c>
      <c r="N394" t="s">
        <v>14</v>
      </c>
    </row>
    <row r="395" spans="1:14" x14ac:dyDescent="0.35">
      <c r="A395" s="75">
        <v>43876</v>
      </c>
      <c r="B395" t="s">
        <v>154</v>
      </c>
      <c r="C395" t="s">
        <v>93</v>
      </c>
      <c r="D395">
        <v>3</v>
      </c>
      <c r="E395">
        <v>3</v>
      </c>
      <c r="F395" t="s">
        <v>10</v>
      </c>
      <c r="G395" t="s">
        <v>70</v>
      </c>
      <c r="H395" t="s">
        <v>1</v>
      </c>
      <c r="I395">
        <v>100000000</v>
      </c>
      <c r="J395" t="s">
        <v>20</v>
      </c>
      <c r="K395" t="s">
        <v>5</v>
      </c>
      <c r="L395" t="s">
        <v>67</v>
      </c>
      <c r="M395" t="s">
        <v>80</v>
      </c>
      <c r="N395" t="s">
        <v>12</v>
      </c>
    </row>
    <row r="396" spans="1:14" x14ac:dyDescent="0.35">
      <c r="A396" s="75">
        <v>43876</v>
      </c>
      <c r="B396" t="s">
        <v>154</v>
      </c>
      <c r="C396" t="s">
        <v>93</v>
      </c>
      <c r="D396">
        <v>3</v>
      </c>
      <c r="E396">
        <v>3</v>
      </c>
      <c r="F396" t="s">
        <v>10</v>
      </c>
      <c r="G396" t="s">
        <v>72</v>
      </c>
      <c r="H396" t="s">
        <v>78</v>
      </c>
      <c r="I396">
        <v>60000000</v>
      </c>
      <c r="J396" t="s">
        <v>53</v>
      </c>
      <c r="K396" t="s">
        <v>2</v>
      </c>
      <c r="L396" t="s">
        <v>67</v>
      </c>
      <c r="M396" t="s">
        <v>80</v>
      </c>
      <c r="N396" t="s">
        <v>11</v>
      </c>
    </row>
    <row r="397" spans="1:14" x14ac:dyDescent="0.35">
      <c r="A397" s="75">
        <v>43876</v>
      </c>
      <c r="B397" t="s">
        <v>154</v>
      </c>
      <c r="C397" t="s">
        <v>93</v>
      </c>
      <c r="D397">
        <v>3</v>
      </c>
      <c r="E397">
        <v>3</v>
      </c>
      <c r="F397" t="s">
        <v>10</v>
      </c>
      <c r="G397" t="s">
        <v>114</v>
      </c>
      <c r="H397" t="s">
        <v>3</v>
      </c>
      <c r="I397">
        <v>100000000</v>
      </c>
      <c r="J397" t="s">
        <v>23</v>
      </c>
      <c r="K397" t="s">
        <v>5</v>
      </c>
      <c r="L397" t="s">
        <v>67</v>
      </c>
      <c r="M397" t="s">
        <v>82</v>
      </c>
      <c r="N397" t="s">
        <v>13</v>
      </c>
    </row>
    <row r="398" spans="1:14" x14ac:dyDescent="0.35">
      <c r="A398" s="75">
        <v>43876</v>
      </c>
      <c r="B398" t="s">
        <v>154</v>
      </c>
      <c r="C398" t="s">
        <v>93</v>
      </c>
      <c r="D398">
        <v>3</v>
      </c>
      <c r="E398">
        <v>3</v>
      </c>
      <c r="F398" t="s">
        <v>10</v>
      </c>
      <c r="G398" t="s">
        <v>75</v>
      </c>
      <c r="H398" t="s">
        <v>6</v>
      </c>
      <c r="I398">
        <v>140000000</v>
      </c>
      <c r="J398" t="s">
        <v>40</v>
      </c>
      <c r="K398" t="s">
        <v>9</v>
      </c>
      <c r="L398" t="s">
        <v>67</v>
      </c>
      <c r="M398" t="s">
        <v>80</v>
      </c>
      <c r="N398" t="s">
        <v>11</v>
      </c>
    </row>
    <row r="399" spans="1:14" x14ac:dyDescent="0.35">
      <c r="A399" s="75">
        <v>43877</v>
      </c>
      <c r="B399" t="s">
        <v>155</v>
      </c>
      <c r="C399" t="s">
        <v>93</v>
      </c>
      <c r="D399">
        <v>10</v>
      </c>
      <c r="E399">
        <v>10</v>
      </c>
      <c r="F399" t="s">
        <v>10</v>
      </c>
      <c r="G399" t="s">
        <v>75</v>
      </c>
      <c r="H399" t="s">
        <v>6</v>
      </c>
      <c r="I399">
        <v>140000000</v>
      </c>
      <c r="J399" t="s">
        <v>28</v>
      </c>
      <c r="K399" t="s">
        <v>5</v>
      </c>
      <c r="L399" t="s">
        <v>67</v>
      </c>
      <c r="M399" t="s">
        <v>82</v>
      </c>
      <c r="N399" t="s">
        <v>13</v>
      </c>
    </row>
    <row r="400" spans="1:14" x14ac:dyDescent="0.35">
      <c r="A400" s="75">
        <v>43877</v>
      </c>
      <c r="B400" t="s">
        <v>155</v>
      </c>
      <c r="C400" t="s">
        <v>93</v>
      </c>
      <c r="D400">
        <v>10</v>
      </c>
      <c r="E400">
        <v>10</v>
      </c>
      <c r="F400" t="s">
        <v>10</v>
      </c>
      <c r="G400" t="s">
        <v>113</v>
      </c>
      <c r="H400" t="s">
        <v>77</v>
      </c>
      <c r="I400">
        <v>80000000</v>
      </c>
      <c r="J400" t="s">
        <v>42</v>
      </c>
      <c r="K400" t="s">
        <v>2</v>
      </c>
      <c r="L400" t="s">
        <v>67</v>
      </c>
      <c r="M400" t="s">
        <v>82</v>
      </c>
      <c r="N400" t="s">
        <v>14</v>
      </c>
    </row>
    <row r="401" spans="1:14" x14ac:dyDescent="0.35">
      <c r="A401" s="75">
        <v>43877</v>
      </c>
      <c r="B401" t="s">
        <v>155</v>
      </c>
      <c r="C401" t="s">
        <v>93</v>
      </c>
      <c r="D401">
        <v>10</v>
      </c>
      <c r="E401">
        <v>10</v>
      </c>
      <c r="F401" t="s">
        <v>10</v>
      </c>
      <c r="G401" t="s">
        <v>73</v>
      </c>
      <c r="H401" t="s">
        <v>78</v>
      </c>
      <c r="I401">
        <v>80000000</v>
      </c>
      <c r="J401" t="s">
        <v>17</v>
      </c>
      <c r="K401" t="s">
        <v>2</v>
      </c>
      <c r="L401" t="s">
        <v>67</v>
      </c>
      <c r="M401" t="s">
        <v>80</v>
      </c>
      <c r="N401" t="s">
        <v>11</v>
      </c>
    </row>
    <row r="402" spans="1:14" x14ac:dyDescent="0.35">
      <c r="A402" s="75">
        <v>43877</v>
      </c>
      <c r="B402" t="s">
        <v>155</v>
      </c>
      <c r="C402" t="s">
        <v>93</v>
      </c>
      <c r="D402">
        <v>10</v>
      </c>
      <c r="E402">
        <v>10</v>
      </c>
      <c r="F402" t="s">
        <v>10</v>
      </c>
      <c r="G402" t="s">
        <v>71</v>
      </c>
      <c r="H402" t="s">
        <v>6</v>
      </c>
      <c r="I402">
        <v>60000000</v>
      </c>
      <c r="J402" t="s">
        <v>43</v>
      </c>
      <c r="K402" t="s">
        <v>7</v>
      </c>
      <c r="L402" t="s">
        <v>67</v>
      </c>
      <c r="M402" t="s">
        <v>81</v>
      </c>
      <c r="N402" t="s">
        <v>14</v>
      </c>
    </row>
    <row r="403" spans="1:14" x14ac:dyDescent="0.35">
      <c r="A403" s="75">
        <v>43877</v>
      </c>
      <c r="B403" t="s">
        <v>155</v>
      </c>
      <c r="C403" t="s">
        <v>93</v>
      </c>
      <c r="D403">
        <v>10</v>
      </c>
      <c r="E403">
        <v>10</v>
      </c>
      <c r="F403" t="s">
        <v>10</v>
      </c>
      <c r="G403" t="s">
        <v>75</v>
      </c>
      <c r="H403" t="s">
        <v>6</v>
      </c>
      <c r="I403">
        <v>80000000</v>
      </c>
      <c r="J403" t="s">
        <v>57</v>
      </c>
      <c r="K403" t="s">
        <v>5</v>
      </c>
      <c r="L403" t="s">
        <v>67</v>
      </c>
      <c r="M403" t="s">
        <v>80</v>
      </c>
      <c r="N403" t="s">
        <v>14</v>
      </c>
    </row>
    <row r="404" spans="1:14" x14ac:dyDescent="0.35">
      <c r="A404" s="75">
        <v>43877</v>
      </c>
      <c r="B404" t="s">
        <v>155</v>
      </c>
      <c r="C404" t="s">
        <v>93</v>
      </c>
      <c r="D404">
        <v>8</v>
      </c>
      <c r="E404">
        <v>8</v>
      </c>
      <c r="F404" t="s">
        <v>10</v>
      </c>
      <c r="G404" t="s">
        <v>113</v>
      </c>
      <c r="H404" t="s">
        <v>77</v>
      </c>
      <c r="I404">
        <v>40000000</v>
      </c>
      <c r="J404" t="s">
        <v>31</v>
      </c>
      <c r="K404" t="s">
        <v>2</v>
      </c>
      <c r="L404" t="s">
        <v>67</v>
      </c>
      <c r="M404" t="s">
        <v>80</v>
      </c>
      <c r="N404" t="s">
        <v>13</v>
      </c>
    </row>
    <row r="405" spans="1:14" x14ac:dyDescent="0.35">
      <c r="A405" s="75">
        <v>43877</v>
      </c>
      <c r="B405" t="s">
        <v>155</v>
      </c>
      <c r="C405" t="s">
        <v>93</v>
      </c>
      <c r="D405">
        <v>8</v>
      </c>
      <c r="E405">
        <v>8</v>
      </c>
      <c r="F405" t="s">
        <v>10</v>
      </c>
      <c r="G405" t="s">
        <v>74</v>
      </c>
      <c r="H405" t="s">
        <v>77</v>
      </c>
      <c r="I405">
        <v>140000000</v>
      </c>
      <c r="J405" t="s">
        <v>54</v>
      </c>
      <c r="K405" t="s">
        <v>8</v>
      </c>
      <c r="L405" t="s">
        <v>67</v>
      </c>
      <c r="M405" t="s">
        <v>82</v>
      </c>
      <c r="N405" t="s">
        <v>12</v>
      </c>
    </row>
    <row r="406" spans="1:14" x14ac:dyDescent="0.35">
      <c r="A406" s="75">
        <v>43877</v>
      </c>
      <c r="B406" t="s">
        <v>155</v>
      </c>
      <c r="C406" t="s">
        <v>93</v>
      </c>
      <c r="D406">
        <v>5</v>
      </c>
      <c r="E406">
        <v>5</v>
      </c>
      <c r="F406" t="s">
        <v>10</v>
      </c>
      <c r="G406" t="s">
        <v>74</v>
      </c>
      <c r="H406" t="s">
        <v>77</v>
      </c>
      <c r="I406">
        <v>120000000</v>
      </c>
      <c r="J406" t="s">
        <v>33</v>
      </c>
      <c r="K406" t="s">
        <v>7</v>
      </c>
      <c r="L406" t="s">
        <v>67</v>
      </c>
      <c r="M406" t="s">
        <v>81</v>
      </c>
      <c r="N406" t="s">
        <v>14</v>
      </c>
    </row>
    <row r="407" spans="1:14" x14ac:dyDescent="0.35">
      <c r="A407" s="75">
        <v>43877</v>
      </c>
      <c r="B407" t="s">
        <v>155</v>
      </c>
      <c r="C407" t="s">
        <v>93</v>
      </c>
      <c r="D407">
        <v>5</v>
      </c>
      <c r="E407">
        <v>5</v>
      </c>
      <c r="F407" t="s">
        <v>10</v>
      </c>
      <c r="G407" t="s">
        <v>74</v>
      </c>
      <c r="H407" t="s">
        <v>77</v>
      </c>
      <c r="I407">
        <v>120000000</v>
      </c>
      <c r="J407" t="s">
        <v>53</v>
      </c>
      <c r="K407" t="s">
        <v>9</v>
      </c>
      <c r="L407" t="s">
        <v>67</v>
      </c>
      <c r="M407" t="s">
        <v>81</v>
      </c>
      <c r="N407" t="s">
        <v>14</v>
      </c>
    </row>
    <row r="408" spans="1:14" x14ac:dyDescent="0.35">
      <c r="A408" s="75">
        <v>43878</v>
      </c>
      <c r="B408" t="s">
        <v>156</v>
      </c>
      <c r="C408" t="s">
        <v>93</v>
      </c>
      <c r="D408">
        <v>10</v>
      </c>
      <c r="E408">
        <v>10</v>
      </c>
      <c r="F408" t="s">
        <v>10</v>
      </c>
      <c r="G408" t="s">
        <v>76</v>
      </c>
      <c r="H408" t="s">
        <v>79</v>
      </c>
      <c r="I408">
        <v>80000000</v>
      </c>
      <c r="J408" t="s">
        <v>15</v>
      </c>
      <c r="K408" t="s">
        <v>2</v>
      </c>
      <c r="L408" t="s">
        <v>67</v>
      </c>
      <c r="M408" t="s">
        <v>80</v>
      </c>
      <c r="N408" t="s">
        <v>11</v>
      </c>
    </row>
    <row r="409" spans="1:14" x14ac:dyDescent="0.35">
      <c r="A409" s="75">
        <v>43878</v>
      </c>
      <c r="B409" t="s">
        <v>156</v>
      </c>
      <c r="C409" t="s">
        <v>93</v>
      </c>
      <c r="D409">
        <v>10</v>
      </c>
      <c r="E409">
        <v>10</v>
      </c>
      <c r="F409" t="s">
        <v>10</v>
      </c>
      <c r="G409" t="s">
        <v>74</v>
      </c>
      <c r="H409" t="s">
        <v>77</v>
      </c>
      <c r="I409">
        <v>60000000</v>
      </c>
      <c r="J409" t="s">
        <v>15</v>
      </c>
      <c r="K409" t="s">
        <v>2</v>
      </c>
      <c r="L409" t="s">
        <v>67</v>
      </c>
      <c r="M409" t="s">
        <v>81</v>
      </c>
      <c r="N409" t="s">
        <v>13</v>
      </c>
    </row>
    <row r="410" spans="1:14" x14ac:dyDescent="0.35">
      <c r="A410" s="75">
        <v>43878</v>
      </c>
      <c r="B410" t="s">
        <v>156</v>
      </c>
      <c r="C410" t="s">
        <v>93</v>
      </c>
      <c r="D410">
        <v>9</v>
      </c>
      <c r="E410">
        <v>9</v>
      </c>
      <c r="F410" t="s">
        <v>10</v>
      </c>
      <c r="G410" t="s">
        <v>70</v>
      </c>
      <c r="H410" t="s">
        <v>1</v>
      </c>
      <c r="I410">
        <v>140000000</v>
      </c>
      <c r="J410" t="s">
        <v>61</v>
      </c>
      <c r="K410" t="s">
        <v>5</v>
      </c>
      <c r="L410" t="s">
        <v>67</v>
      </c>
      <c r="M410" t="s">
        <v>80</v>
      </c>
      <c r="N410" t="s">
        <v>13</v>
      </c>
    </row>
    <row r="411" spans="1:14" x14ac:dyDescent="0.35">
      <c r="A411" s="75">
        <v>43878</v>
      </c>
      <c r="B411" t="s">
        <v>156</v>
      </c>
      <c r="C411" t="s">
        <v>93</v>
      </c>
      <c r="D411">
        <v>7</v>
      </c>
      <c r="E411">
        <v>7</v>
      </c>
      <c r="F411" t="s">
        <v>10</v>
      </c>
      <c r="G411" t="s">
        <v>113</v>
      </c>
      <c r="H411" t="s">
        <v>77</v>
      </c>
      <c r="I411">
        <v>60000000</v>
      </c>
      <c r="J411" t="s">
        <v>27</v>
      </c>
      <c r="K411" t="s">
        <v>2</v>
      </c>
      <c r="L411" t="s">
        <v>67</v>
      </c>
      <c r="M411" t="s">
        <v>80</v>
      </c>
      <c r="N411" t="s">
        <v>14</v>
      </c>
    </row>
    <row r="412" spans="1:14" x14ac:dyDescent="0.35">
      <c r="A412" s="75">
        <v>43878</v>
      </c>
      <c r="B412" t="s">
        <v>156</v>
      </c>
      <c r="C412" t="s">
        <v>93</v>
      </c>
      <c r="D412">
        <v>5</v>
      </c>
      <c r="E412">
        <v>5</v>
      </c>
      <c r="F412" t="s">
        <v>10</v>
      </c>
      <c r="G412" t="s">
        <v>114</v>
      </c>
      <c r="H412" t="s">
        <v>3</v>
      </c>
      <c r="I412">
        <v>100000000</v>
      </c>
      <c r="J412" t="s">
        <v>48</v>
      </c>
      <c r="K412" t="s">
        <v>7</v>
      </c>
      <c r="L412" t="s">
        <v>67</v>
      </c>
      <c r="M412" t="s">
        <v>80</v>
      </c>
      <c r="N412" t="s">
        <v>12</v>
      </c>
    </row>
    <row r="413" spans="1:14" x14ac:dyDescent="0.35">
      <c r="A413" s="75">
        <v>43878</v>
      </c>
      <c r="B413" t="s">
        <v>156</v>
      </c>
      <c r="C413" t="s">
        <v>93</v>
      </c>
      <c r="D413">
        <v>5</v>
      </c>
      <c r="E413">
        <v>5</v>
      </c>
      <c r="F413" t="s">
        <v>10</v>
      </c>
      <c r="G413" t="s">
        <v>71</v>
      </c>
      <c r="H413" t="s">
        <v>6</v>
      </c>
      <c r="I413">
        <v>100000000</v>
      </c>
      <c r="J413" t="s">
        <v>51</v>
      </c>
      <c r="K413" t="s">
        <v>5</v>
      </c>
      <c r="L413" t="s">
        <v>67</v>
      </c>
      <c r="M413" t="s">
        <v>80</v>
      </c>
      <c r="N413" t="s">
        <v>12</v>
      </c>
    </row>
    <row r="414" spans="1:14" x14ac:dyDescent="0.35">
      <c r="A414" s="75">
        <v>43878</v>
      </c>
      <c r="B414" t="s">
        <v>156</v>
      </c>
      <c r="C414" t="s">
        <v>93</v>
      </c>
      <c r="D414">
        <v>4</v>
      </c>
      <c r="E414">
        <v>4</v>
      </c>
      <c r="F414" t="s">
        <v>10</v>
      </c>
      <c r="G414" t="s">
        <v>74</v>
      </c>
      <c r="H414" t="s">
        <v>77</v>
      </c>
      <c r="I414">
        <v>100000000</v>
      </c>
      <c r="J414" t="s">
        <v>58</v>
      </c>
      <c r="K414" t="s">
        <v>5</v>
      </c>
      <c r="L414" t="s">
        <v>67</v>
      </c>
      <c r="M414" t="s">
        <v>80</v>
      </c>
      <c r="N414" t="s">
        <v>11</v>
      </c>
    </row>
    <row r="415" spans="1:14" x14ac:dyDescent="0.35">
      <c r="A415" s="75">
        <v>43878</v>
      </c>
      <c r="B415" t="s">
        <v>156</v>
      </c>
      <c r="C415" t="s">
        <v>93</v>
      </c>
      <c r="D415">
        <v>3</v>
      </c>
      <c r="E415">
        <v>3</v>
      </c>
      <c r="F415" t="s">
        <v>10</v>
      </c>
      <c r="G415" t="s">
        <v>76</v>
      </c>
      <c r="H415" t="s">
        <v>79</v>
      </c>
      <c r="I415">
        <v>40000000</v>
      </c>
      <c r="J415" t="s">
        <v>33</v>
      </c>
      <c r="K415" t="s">
        <v>5</v>
      </c>
      <c r="L415" t="s">
        <v>67</v>
      </c>
      <c r="M415" t="s">
        <v>81</v>
      </c>
      <c r="N415" t="s">
        <v>13</v>
      </c>
    </row>
    <row r="416" spans="1:14" x14ac:dyDescent="0.35">
      <c r="A416" s="75">
        <v>43879</v>
      </c>
      <c r="B416" t="s">
        <v>157</v>
      </c>
      <c r="C416" t="s">
        <v>93</v>
      </c>
      <c r="D416">
        <v>10</v>
      </c>
      <c r="E416">
        <v>10</v>
      </c>
      <c r="F416" t="s">
        <v>10</v>
      </c>
      <c r="G416" t="s">
        <v>75</v>
      </c>
      <c r="H416" t="s">
        <v>6</v>
      </c>
      <c r="I416">
        <v>60000000</v>
      </c>
      <c r="J416" t="s">
        <v>30</v>
      </c>
      <c r="K416" t="s">
        <v>8</v>
      </c>
      <c r="L416" t="s">
        <v>67</v>
      </c>
      <c r="M416" t="s">
        <v>82</v>
      </c>
      <c r="N416" t="s">
        <v>13</v>
      </c>
    </row>
    <row r="417" spans="1:14" x14ac:dyDescent="0.35">
      <c r="A417" s="75">
        <v>43879</v>
      </c>
      <c r="B417" t="s">
        <v>157</v>
      </c>
      <c r="C417" t="s">
        <v>93</v>
      </c>
      <c r="D417">
        <v>8</v>
      </c>
      <c r="E417">
        <v>8</v>
      </c>
      <c r="F417" t="s">
        <v>10</v>
      </c>
      <c r="G417" t="s">
        <v>71</v>
      </c>
      <c r="H417" t="s">
        <v>6</v>
      </c>
      <c r="I417">
        <v>60000000</v>
      </c>
      <c r="J417" t="s">
        <v>50</v>
      </c>
      <c r="K417" t="s">
        <v>5</v>
      </c>
      <c r="L417" t="s">
        <v>67</v>
      </c>
      <c r="M417" t="s">
        <v>82</v>
      </c>
      <c r="N417" t="s">
        <v>11</v>
      </c>
    </row>
    <row r="418" spans="1:14" x14ac:dyDescent="0.35">
      <c r="A418" s="75">
        <v>43879</v>
      </c>
      <c r="B418" t="s">
        <v>157</v>
      </c>
      <c r="C418" t="s">
        <v>93</v>
      </c>
      <c r="D418">
        <v>8</v>
      </c>
      <c r="E418">
        <v>8</v>
      </c>
      <c r="F418" t="s">
        <v>10</v>
      </c>
      <c r="G418" t="s">
        <v>71</v>
      </c>
      <c r="H418" t="s">
        <v>6</v>
      </c>
      <c r="I418">
        <v>80000000</v>
      </c>
      <c r="J418" t="s">
        <v>31</v>
      </c>
      <c r="K418" t="s">
        <v>2</v>
      </c>
      <c r="L418" t="s">
        <v>67</v>
      </c>
      <c r="M418" t="s">
        <v>80</v>
      </c>
      <c r="N418" t="s">
        <v>12</v>
      </c>
    </row>
    <row r="419" spans="1:14" x14ac:dyDescent="0.35">
      <c r="A419" s="75">
        <v>43879</v>
      </c>
      <c r="B419" t="s">
        <v>157</v>
      </c>
      <c r="C419" t="s">
        <v>93</v>
      </c>
      <c r="D419">
        <v>8</v>
      </c>
      <c r="E419">
        <v>8</v>
      </c>
      <c r="F419" t="s">
        <v>10</v>
      </c>
      <c r="G419" t="s">
        <v>74</v>
      </c>
      <c r="H419" t="s">
        <v>77</v>
      </c>
      <c r="I419">
        <v>100000000</v>
      </c>
      <c r="J419" t="s">
        <v>22</v>
      </c>
      <c r="K419" t="s">
        <v>2</v>
      </c>
      <c r="L419" t="s">
        <v>67</v>
      </c>
      <c r="M419" t="s">
        <v>82</v>
      </c>
      <c r="N419" t="s">
        <v>14</v>
      </c>
    </row>
    <row r="420" spans="1:14" x14ac:dyDescent="0.35">
      <c r="A420" s="75">
        <v>43879</v>
      </c>
      <c r="B420" t="s">
        <v>157</v>
      </c>
      <c r="C420" t="s">
        <v>93</v>
      </c>
      <c r="D420">
        <v>7</v>
      </c>
      <c r="E420">
        <v>7</v>
      </c>
      <c r="F420" t="s">
        <v>10</v>
      </c>
      <c r="G420" t="s">
        <v>113</v>
      </c>
      <c r="H420" t="s">
        <v>77</v>
      </c>
      <c r="I420">
        <v>80000000</v>
      </c>
      <c r="J420" t="s">
        <v>60</v>
      </c>
      <c r="K420" t="s">
        <v>2</v>
      </c>
      <c r="L420" t="s">
        <v>67</v>
      </c>
      <c r="M420" t="s">
        <v>81</v>
      </c>
      <c r="N420" t="s">
        <v>13</v>
      </c>
    </row>
    <row r="421" spans="1:14" x14ac:dyDescent="0.35">
      <c r="A421" s="75">
        <v>43879</v>
      </c>
      <c r="B421" t="s">
        <v>157</v>
      </c>
      <c r="C421" t="s">
        <v>93</v>
      </c>
      <c r="D421">
        <v>5</v>
      </c>
      <c r="E421">
        <v>5</v>
      </c>
      <c r="F421" t="s">
        <v>10</v>
      </c>
      <c r="G421" t="s">
        <v>72</v>
      </c>
      <c r="H421" t="s">
        <v>78</v>
      </c>
      <c r="I421">
        <v>100000000</v>
      </c>
      <c r="J421" t="s">
        <v>17</v>
      </c>
      <c r="K421" t="s">
        <v>8</v>
      </c>
      <c r="L421" t="s">
        <v>67</v>
      </c>
      <c r="M421" t="s">
        <v>81</v>
      </c>
      <c r="N421" t="s">
        <v>14</v>
      </c>
    </row>
    <row r="422" spans="1:14" x14ac:dyDescent="0.35">
      <c r="A422" s="75">
        <v>43879</v>
      </c>
      <c r="B422" t="s">
        <v>157</v>
      </c>
      <c r="C422" t="s">
        <v>93</v>
      </c>
      <c r="D422">
        <v>5</v>
      </c>
      <c r="E422">
        <v>5</v>
      </c>
      <c r="F422" t="s">
        <v>10</v>
      </c>
      <c r="G422" t="s">
        <v>70</v>
      </c>
      <c r="H422" t="s">
        <v>1</v>
      </c>
      <c r="I422">
        <v>80000000</v>
      </c>
      <c r="J422" t="s">
        <v>26</v>
      </c>
      <c r="K422" t="s">
        <v>5</v>
      </c>
      <c r="L422" t="s">
        <v>67</v>
      </c>
      <c r="M422" t="s">
        <v>81</v>
      </c>
      <c r="N422" t="s">
        <v>13</v>
      </c>
    </row>
    <row r="423" spans="1:14" x14ac:dyDescent="0.35">
      <c r="A423" s="75">
        <v>43879</v>
      </c>
      <c r="B423" t="s">
        <v>157</v>
      </c>
      <c r="C423" t="s">
        <v>93</v>
      </c>
      <c r="D423">
        <v>4</v>
      </c>
      <c r="E423">
        <v>4</v>
      </c>
      <c r="F423" t="s">
        <v>10</v>
      </c>
      <c r="G423" t="s">
        <v>75</v>
      </c>
      <c r="H423" t="s">
        <v>6</v>
      </c>
      <c r="I423">
        <v>100000000</v>
      </c>
      <c r="J423" t="s">
        <v>55</v>
      </c>
      <c r="K423" t="s">
        <v>2</v>
      </c>
      <c r="L423" t="s">
        <v>67</v>
      </c>
      <c r="M423" t="s">
        <v>82</v>
      </c>
      <c r="N423" t="s">
        <v>13</v>
      </c>
    </row>
    <row r="424" spans="1:14" x14ac:dyDescent="0.35">
      <c r="A424" s="75">
        <v>43879</v>
      </c>
      <c r="B424" t="s">
        <v>157</v>
      </c>
      <c r="C424" t="s">
        <v>93</v>
      </c>
      <c r="D424">
        <v>4</v>
      </c>
      <c r="E424">
        <v>4</v>
      </c>
      <c r="F424" t="s">
        <v>10</v>
      </c>
      <c r="G424" t="s">
        <v>113</v>
      </c>
      <c r="H424" t="s">
        <v>77</v>
      </c>
      <c r="I424">
        <v>60000000</v>
      </c>
      <c r="J424" t="s">
        <v>36</v>
      </c>
      <c r="K424" t="s">
        <v>2</v>
      </c>
      <c r="L424" t="s">
        <v>67</v>
      </c>
      <c r="M424" t="s">
        <v>81</v>
      </c>
      <c r="N424" t="s">
        <v>11</v>
      </c>
    </row>
    <row r="425" spans="1:14" x14ac:dyDescent="0.35">
      <c r="A425" s="75">
        <v>43879</v>
      </c>
      <c r="B425" t="s">
        <v>157</v>
      </c>
      <c r="C425" t="s">
        <v>93</v>
      </c>
      <c r="D425">
        <v>3</v>
      </c>
      <c r="E425">
        <v>3</v>
      </c>
      <c r="F425" t="s">
        <v>10</v>
      </c>
      <c r="G425" t="s">
        <v>114</v>
      </c>
      <c r="H425" t="s">
        <v>3</v>
      </c>
      <c r="I425">
        <v>100000000</v>
      </c>
      <c r="J425" t="s">
        <v>35</v>
      </c>
      <c r="K425" t="s">
        <v>5</v>
      </c>
      <c r="L425" t="s">
        <v>67</v>
      </c>
      <c r="M425" t="s">
        <v>82</v>
      </c>
      <c r="N425" t="s">
        <v>13</v>
      </c>
    </row>
    <row r="426" spans="1:14" x14ac:dyDescent="0.35">
      <c r="A426" s="75">
        <v>43879</v>
      </c>
      <c r="B426" t="s">
        <v>157</v>
      </c>
      <c r="C426" t="s">
        <v>93</v>
      </c>
      <c r="D426">
        <v>3</v>
      </c>
      <c r="E426">
        <v>3</v>
      </c>
      <c r="F426" t="s">
        <v>10</v>
      </c>
      <c r="G426" t="s">
        <v>72</v>
      </c>
      <c r="H426" t="s">
        <v>78</v>
      </c>
      <c r="I426">
        <v>40000000</v>
      </c>
      <c r="J426" t="s">
        <v>32</v>
      </c>
      <c r="K426" t="s">
        <v>8</v>
      </c>
      <c r="L426" t="s">
        <v>67</v>
      </c>
      <c r="M426" t="s">
        <v>81</v>
      </c>
      <c r="N426" t="s">
        <v>13</v>
      </c>
    </row>
    <row r="427" spans="1:14" x14ac:dyDescent="0.35">
      <c r="A427" s="75">
        <v>43879</v>
      </c>
      <c r="B427" t="s">
        <v>157</v>
      </c>
      <c r="C427" t="s">
        <v>93</v>
      </c>
      <c r="D427">
        <v>3</v>
      </c>
      <c r="E427">
        <v>3</v>
      </c>
      <c r="F427" t="s">
        <v>10</v>
      </c>
      <c r="G427" t="s">
        <v>71</v>
      </c>
      <c r="H427" t="s">
        <v>6</v>
      </c>
      <c r="I427">
        <v>60000000</v>
      </c>
      <c r="J427" t="s">
        <v>40</v>
      </c>
      <c r="K427" t="s">
        <v>2</v>
      </c>
      <c r="L427" t="s">
        <v>67</v>
      </c>
      <c r="M427" t="s">
        <v>81</v>
      </c>
      <c r="N427" t="s">
        <v>13</v>
      </c>
    </row>
    <row r="428" spans="1:14" x14ac:dyDescent="0.35">
      <c r="A428" s="75">
        <v>43880</v>
      </c>
      <c r="B428" t="s">
        <v>158</v>
      </c>
      <c r="C428" t="s">
        <v>93</v>
      </c>
      <c r="D428">
        <v>10</v>
      </c>
      <c r="E428">
        <v>10</v>
      </c>
      <c r="F428" t="s">
        <v>10</v>
      </c>
      <c r="G428" t="s">
        <v>72</v>
      </c>
      <c r="H428" t="s">
        <v>78</v>
      </c>
      <c r="I428">
        <v>140000000</v>
      </c>
      <c r="J428" t="s">
        <v>48</v>
      </c>
      <c r="K428" t="s">
        <v>5</v>
      </c>
      <c r="L428" t="s">
        <v>67</v>
      </c>
      <c r="M428" t="s">
        <v>81</v>
      </c>
      <c r="N428" t="s">
        <v>14</v>
      </c>
    </row>
    <row r="429" spans="1:14" x14ac:dyDescent="0.35">
      <c r="A429" s="75">
        <v>43880</v>
      </c>
      <c r="B429" t="s">
        <v>158</v>
      </c>
      <c r="C429" t="s">
        <v>93</v>
      </c>
      <c r="D429">
        <v>10</v>
      </c>
      <c r="E429">
        <v>10</v>
      </c>
      <c r="F429" t="s">
        <v>10</v>
      </c>
      <c r="G429" t="s">
        <v>74</v>
      </c>
      <c r="H429" t="s">
        <v>77</v>
      </c>
      <c r="I429">
        <v>60000000</v>
      </c>
      <c r="J429" t="s">
        <v>44</v>
      </c>
      <c r="K429" t="s">
        <v>5</v>
      </c>
      <c r="L429" t="s">
        <v>67</v>
      </c>
      <c r="M429" t="s">
        <v>80</v>
      </c>
      <c r="N429" t="s">
        <v>14</v>
      </c>
    </row>
    <row r="430" spans="1:14" x14ac:dyDescent="0.35">
      <c r="A430" s="75">
        <v>43880</v>
      </c>
      <c r="B430" t="s">
        <v>158</v>
      </c>
      <c r="C430" t="s">
        <v>93</v>
      </c>
      <c r="D430">
        <v>10</v>
      </c>
      <c r="E430">
        <v>10</v>
      </c>
      <c r="F430" t="s">
        <v>10</v>
      </c>
      <c r="G430" t="s">
        <v>113</v>
      </c>
      <c r="H430" t="s">
        <v>77</v>
      </c>
      <c r="I430">
        <v>120000000</v>
      </c>
      <c r="J430" t="s">
        <v>56</v>
      </c>
      <c r="K430" t="s">
        <v>2</v>
      </c>
      <c r="L430" t="s">
        <v>67</v>
      </c>
      <c r="M430" t="s">
        <v>80</v>
      </c>
      <c r="N430" t="s">
        <v>11</v>
      </c>
    </row>
    <row r="431" spans="1:14" x14ac:dyDescent="0.35">
      <c r="A431" s="75">
        <v>43880</v>
      </c>
      <c r="B431" t="s">
        <v>158</v>
      </c>
      <c r="C431" t="s">
        <v>93</v>
      </c>
      <c r="D431">
        <v>8</v>
      </c>
      <c r="E431">
        <v>8</v>
      </c>
      <c r="F431" t="s">
        <v>10</v>
      </c>
      <c r="G431" t="s">
        <v>114</v>
      </c>
      <c r="H431" t="s">
        <v>3</v>
      </c>
      <c r="I431">
        <v>120000000</v>
      </c>
      <c r="J431" t="s">
        <v>38</v>
      </c>
      <c r="K431" t="s">
        <v>7</v>
      </c>
      <c r="L431" t="s">
        <v>67</v>
      </c>
      <c r="M431" t="s">
        <v>82</v>
      </c>
      <c r="N431" t="s">
        <v>11</v>
      </c>
    </row>
    <row r="432" spans="1:14" x14ac:dyDescent="0.35">
      <c r="A432" s="75">
        <v>43880</v>
      </c>
      <c r="B432" t="s">
        <v>158</v>
      </c>
      <c r="C432" t="s">
        <v>93</v>
      </c>
      <c r="D432">
        <v>7</v>
      </c>
      <c r="E432">
        <v>7</v>
      </c>
      <c r="F432" t="s">
        <v>10</v>
      </c>
      <c r="G432" t="s">
        <v>74</v>
      </c>
      <c r="H432" t="s">
        <v>77</v>
      </c>
      <c r="I432">
        <v>100000000</v>
      </c>
      <c r="J432" t="s">
        <v>47</v>
      </c>
      <c r="K432" t="s">
        <v>2</v>
      </c>
      <c r="L432" t="s">
        <v>67</v>
      </c>
      <c r="M432" t="s">
        <v>82</v>
      </c>
      <c r="N432" t="s">
        <v>12</v>
      </c>
    </row>
    <row r="433" spans="1:14" x14ac:dyDescent="0.35">
      <c r="A433" s="75">
        <v>43880</v>
      </c>
      <c r="B433" t="s">
        <v>158</v>
      </c>
      <c r="C433" t="s">
        <v>93</v>
      </c>
      <c r="D433">
        <v>6</v>
      </c>
      <c r="E433">
        <v>6</v>
      </c>
      <c r="F433" t="s">
        <v>10</v>
      </c>
      <c r="G433" t="s">
        <v>73</v>
      </c>
      <c r="H433" t="s">
        <v>78</v>
      </c>
      <c r="I433">
        <v>40000000</v>
      </c>
      <c r="J433" t="s">
        <v>59</v>
      </c>
      <c r="K433" t="s">
        <v>2</v>
      </c>
      <c r="L433" t="s">
        <v>67</v>
      </c>
      <c r="M433" t="s">
        <v>82</v>
      </c>
      <c r="N433" t="s">
        <v>11</v>
      </c>
    </row>
    <row r="434" spans="1:14" x14ac:dyDescent="0.35">
      <c r="A434" s="75">
        <v>43880</v>
      </c>
      <c r="B434" t="s">
        <v>158</v>
      </c>
      <c r="C434" t="s">
        <v>93</v>
      </c>
      <c r="D434">
        <v>6</v>
      </c>
      <c r="E434">
        <v>6</v>
      </c>
      <c r="F434" t="s">
        <v>10</v>
      </c>
      <c r="G434" t="s">
        <v>70</v>
      </c>
      <c r="H434" t="s">
        <v>1</v>
      </c>
      <c r="I434">
        <v>80000000</v>
      </c>
      <c r="J434" t="s">
        <v>44</v>
      </c>
      <c r="K434" t="s">
        <v>2</v>
      </c>
      <c r="L434" t="s">
        <v>67</v>
      </c>
      <c r="M434" t="s">
        <v>81</v>
      </c>
      <c r="N434" t="s">
        <v>14</v>
      </c>
    </row>
    <row r="435" spans="1:14" x14ac:dyDescent="0.35">
      <c r="A435" s="75">
        <v>43880</v>
      </c>
      <c r="B435" t="s">
        <v>158</v>
      </c>
      <c r="C435" t="s">
        <v>93</v>
      </c>
      <c r="D435">
        <v>5</v>
      </c>
      <c r="E435">
        <v>5</v>
      </c>
      <c r="F435" t="s">
        <v>10</v>
      </c>
      <c r="G435" t="s">
        <v>71</v>
      </c>
      <c r="H435" t="s">
        <v>6</v>
      </c>
      <c r="I435">
        <v>80000000</v>
      </c>
      <c r="J435" t="s">
        <v>61</v>
      </c>
      <c r="K435" t="s">
        <v>5</v>
      </c>
      <c r="L435" t="s">
        <v>67</v>
      </c>
      <c r="M435" t="s">
        <v>81</v>
      </c>
      <c r="N435" t="s">
        <v>14</v>
      </c>
    </row>
    <row r="436" spans="1:14" x14ac:dyDescent="0.35">
      <c r="A436" s="75">
        <v>43880</v>
      </c>
      <c r="B436" t="s">
        <v>158</v>
      </c>
      <c r="C436" t="s">
        <v>93</v>
      </c>
      <c r="D436">
        <v>5</v>
      </c>
      <c r="E436">
        <v>5</v>
      </c>
      <c r="F436" t="s">
        <v>10</v>
      </c>
      <c r="G436" t="s">
        <v>75</v>
      </c>
      <c r="H436" t="s">
        <v>6</v>
      </c>
      <c r="I436">
        <v>100000000</v>
      </c>
      <c r="J436" t="s">
        <v>32</v>
      </c>
      <c r="K436" t="s">
        <v>2</v>
      </c>
      <c r="L436" t="s">
        <v>67</v>
      </c>
      <c r="M436" t="s">
        <v>82</v>
      </c>
      <c r="N436" t="s">
        <v>13</v>
      </c>
    </row>
    <row r="437" spans="1:14" x14ac:dyDescent="0.35">
      <c r="A437" s="75">
        <v>43880</v>
      </c>
      <c r="B437" t="s">
        <v>158</v>
      </c>
      <c r="C437" t="s">
        <v>93</v>
      </c>
      <c r="D437">
        <v>4</v>
      </c>
      <c r="E437">
        <v>4</v>
      </c>
      <c r="F437" t="s">
        <v>10</v>
      </c>
      <c r="G437" t="s">
        <v>114</v>
      </c>
      <c r="H437" t="s">
        <v>3</v>
      </c>
      <c r="I437">
        <v>140000000</v>
      </c>
      <c r="J437" t="s">
        <v>28</v>
      </c>
      <c r="K437" t="s">
        <v>2</v>
      </c>
      <c r="L437" t="s">
        <v>67</v>
      </c>
      <c r="M437" t="s">
        <v>81</v>
      </c>
      <c r="N437" t="s">
        <v>13</v>
      </c>
    </row>
    <row r="438" spans="1:14" x14ac:dyDescent="0.35">
      <c r="A438" s="75">
        <v>43880</v>
      </c>
      <c r="B438" t="s">
        <v>158</v>
      </c>
      <c r="C438" t="s">
        <v>93</v>
      </c>
      <c r="D438">
        <v>4</v>
      </c>
      <c r="E438">
        <v>4</v>
      </c>
      <c r="F438" t="s">
        <v>10</v>
      </c>
      <c r="G438" t="s">
        <v>113</v>
      </c>
      <c r="H438" t="s">
        <v>77</v>
      </c>
      <c r="I438">
        <v>40000000</v>
      </c>
      <c r="J438" t="s">
        <v>62</v>
      </c>
      <c r="K438" t="s">
        <v>5</v>
      </c>
      <c r="L438" t="s">
        <v>67</v>
      </c>
      <c r="M438" t="s">
        <v>81</v>
      </c>
      <c r="N438" t="s">
        <v>13</v>
      </c>
    </row>
    <row r="439" spans="1:14" x14ac:dyDescent="0.35">
      <c r="A439" s="75">
        <v>43880</v>
      </c>
      <c r="B439" t="s">
        <v>158</v>
      </c>
      <c r="C439" t="s">
        <v>93</v>
      </c>
      <c r="D439">
        <v>3</v>
      </c>
      <c r="E439">
        <v>3</v>
      </c>
      <c r="F439" t="s">
        <v>10</v>
      </c>
      <c r="G439" t="s">
        <v>72</v>
      </c>
      <c r="H439" t="s">
        <v>78</v>
      </c>
      <c r="I439">
        <v>80000000</v>
      </c>
      <c r="J439" t="s">
        <v>57</v>
      </c>
      <c r="K439" t="s">
        <v>5</v>
      </c>
      <c r="L439" t="s">
        <v>67</v>
      </c>
      <c r="M439" t="s">
        <v>82</v>
      </c>
      <c r="N439" t="s">
        <v>14</v>
      </c>
    </row>
    <row r="440" spans="1:14" x14ac:dyDescent="0.35">
      <c r="A440" s="75">
        <v>43880</v>
      </c>
      <c r="B440" t="s">
        <v>158</v>
      </c>
      <c r="C440" t="s">
        <v>93</v>
      </c>
      <c r="D440">
        <v>3</v>
      </c>
      <c r="E440">
        <v>3</v>
      </c>
      <c r="F440" t="s">
        <v>10</v>
      </c>
      <c r="G440" t="s">
        <v>70</v>
      </c>
      <c r="H440" t="s">
        <v>1</v>
      </c>
      <c r="I440">
        <v>60000000</v>
      </c>
      <c r="J440" t="s">
        <v>32</v>
      </c>
      <c r="K440" t="s">
        <v>9</v>
      </c>
      <c r="L440" t="s">
        <v>67</v>
      </c>
      <c r="M440" t="s">
        <v>80</v>
      </c>
      <c r="N440" t="s">
        <v>14</v>
      </c>
    </row>
    <row r="441" spans="1:14" x14ac:dyDescent="0.35">
      <c r="A441" s="75">
        <v>43881</v>
      </c>
      <c r="B441" t="s">
        <v>159</v>
      </c>
      <c r="C441" t="s">
        <v>93</v>
      </c>
      <c r="D441">
        <v>10</v>
      </c>
      <c r="E441">
        <v>10</v>
      </c>
      <c r="F441" t="s">
        <v>10</v>
      </c>
      <c r="G441" t="s">
        <v>70</v>
      </c>
      <c r="H441" t="s">
        <v>1</v>
      </c>
      <c r="I441">
        <v>80000000</v>
      </c>
      <c r="J441" t="s">
        <v>64</v>
      </c>
      <c r="K441" t="s">
        <v>9</v>
      </c>
      <c r="L441" t="s">
        <v>67</v>
      </c>
      <c r="M441" t="s">
        <v>80</v>
      </c>
      <c r="N441" t="s">
        <v>14</v>
      </c>
    </row>
    <row r="442" spans="1:14" x14ac:dyDescent="0.35">
      <c r="A442" s="75">
        <v>43881</v>
      </c>
      <c r="B442" t="s">
        <v>159</v>
      </c>
      <c r="C442" t="s">
        <v>93</v>
      </c>
      <c r="D442">
        <v>10</v>
      </c>
      <c r="E442">
        <v>10</v>
      </c>
      <c r="F442" t="s">
        <v>10</v>
      </c>
      <c r="G442" t="s">
        <v>72</v>
      </c>
      <c r="H442" t="s">
        <v>78</v>
      </c>
      <c r="I442">
        <v>140000000</v>
      </c>
      <c r="J442" t="s">
        <v>60</v>
      </c>
      <c r="K442" t="s">
        <v>8</v>
      </c>
      <c r="L442" t="s">
        <v>67</v>
      </c>
      <c r="M442" t="s">
        <v>82</v>
      </c>
      <c r="N442" t="s">
        <v>11</v>
      </c>
    </row>
    <row r="443" spans="1:14" x14ac:dyDescent="0.35">
      <c r="A443" s="75">
        <v>43881</v>
      </c>
      <c r="B443" t="s">
        <v>159</v>
      </c>
      <c r="C443" t="s">
        <v>93</v>
      </c>
      <c r="D443">
        <v>10</v>
      </c>
      <c r="E443">
        <v>10</v>
      </c>
      <c r="F443" t="s">
        <v>10</v>
      </c>
      <c r="G443" t="s">
        <v>70</v>
      </c>
      <c r="H443" t="s">
        <v>1</v>
      </c>
      <c r="I443">
        <v>140000000</v>
      </c>
      <c r="J443" t="s">
        <v>21</v>
      </c>
      <c r="K443" t="s">
        <v>2</v>
      </c>
      <c r="L443" t="s">
        <v>67</v>
      </c>
      <c r="M443" t="s">
        <v>82</v>
      </c>
      <c r="N443" t="s">
        <v>13</v>
      </c>
    </row>
    <row r="444" spans="1:14" x14ac:dyDescent="0.35">
      <c r="A444" s="75">
        <v>43881</v>
      </c>
      <c r="B444" t="s">
        <v>159</v>
      </c>
      <c r="C444" t="s">
        <v>93</v>
      </c>
      <c r="D444">
        <v>9</v>
      </c>
      <c r="E444">
        <v>9</v>
      </c>
      <c r="F444" t="s">
        <v>10</v>
      </c>
      <c r="G444" t="s">
        <v>113</v>
      </c>
      <c r="H444" t="s">
        <v>77</v>
      </c>
      <c r="I444">
        <v>60000000</v>
      </c>
      <c r="J444" t="s">
        <v>46</v>
      </c>
      <c r="K444" t="s">
        <v>2</v>
      </c>
      <c r="L444" t="s">
        <v>67</v>
      </c>
      <c r="M444" t="s">
        <v>82</v>
      </c>
      <c r="N444" t="s">
        <v>14</v>
      </c>
    </row>
    <row r="445" spans="1:14" x14ac:dyDescent="0.35">
      <c r="A445" s="75">
        <v>43881</v>
      </c>
      <c r="B445" t="s">
        <v>159</v>
      </c>
      <c r="C445" t="s">
        <v>93</v>
      </c>
      <c r="D445">
        <v>8</v>
      </c>
      <c r="E445">
        <v>8</v>
      </c>
      <c r="F445" t="s">
        <v>10</v>
      </c>
      <c r="G445" t="s">
        <v>114</v>
      </c>
      <c r="H445" t="s">
        <v>3</v>
      </c>
      <c r="I445">
        <v>120000000</v>
      </c>
      <c r="J445" t="s">
        <v>51</v>
      </c>
      <c r="K445" t="s">
        <v>2</v>
      </c>
      <c r="L445" t="s">
        <v>67</v>
      </c>
      <c r="M445" t="s">
        <v>81</v>
      </c>
      <c r="N445" t="s">
        <v>13</v>
      </c>
    </row>
    <row r="446" spans="1:14" x14ac:dyDescent="0.35">
      <c r="A446" s="75">
        <v>43881</v>
      </c>
      <c r="B446" t="s">
        <v>159</v>
      </c>
      <c r="C446" t="s">
        <v>93</v>
      </c>
      <c r="D446">
        <v>7</v>
      </c>
      <c r="E446">
        <v>7</v>
      </c>
      <c r="F446" t="s">
        <v>10</v>
      </c>
      <c r="G446" t="s">
        <v>113</v>
      </c>
      <c r="H446" t="s">
        <v>77</v>
      </c>
      <c r="I446">
        <v>100000000</v>
      </c>
      <c r="J446" t="s">
        <v>59</v>
      </c>
      <c r="K446" t="s">
        <v>4</v>
      </c>
      <c r="L446" t="s">
        <v>67</v>
      </c>
      <c r="M446" t="s">
        <v>80</v>
      </c>
      <c r="N446" t="s">
        <v>11</v>
      </c>
    </row>
    <row r="447" spans="1:14" x14ac:dyDescent="0.35">
      <c r="A447" s="75">
        <v>43881</v>
      </c>
      <c r="B447" t="s">
        <v>159</v>
      </c>
      <c r="C447" t="s">
        <v>93</v>
      </c>
      <c r="D447">
        <v>7</v>
      </c>
      <c r="E447">
        <v>7</v>
      </c>
      <c r="F447" t="s">
        <v>10</v>
      </c>
      <c r="G447" t="s">
        <v>74</v>
      </c>
      <c r="H447" t="s">
        <v>77</v>
      </c>
      <c r="I447">
        <v>60000000</v>
      </c>
      <c r="J447" t="s">
        <v>23</v>
      </c>
      <c r="K447" t="s">
        <v>8</v>
      </c>
      <c r="L447" t="s">
        <v>67</v>
      </c>
      <c r="M447" t="s">
        <v>80</v>
      </c>
      <c r="N447" t="s">
        <v>14</v>
      </c>
    </row>
    <row r="448" spans="1:14" x14ac:dyDescent="0.35">
      <c r="A448" s="75">
        <v>43881</v>
      </c>
      <c r="B448" t="s">
        <v>159</v>
      </c>
      <c r="C448" t="s">
        <v>93</v>
      </c>
      <c r="D448">
        <v>7</v>
      </c>
      <c r="E448">
        <v>7</v>
      </c>
      <c r="F448" t="s">
        <v>10</v>
      </c>
      <c r="G448" t="s">
        <v>114</v>
      </c>
      <c r="H448" t="s">
        <v>3</v>
      </c>
      <c r="I448">
        <v>120000000</v>
      </c>
      <c r="J448" t="s">
        <v>35</v>
      </c>
      <c r="K448" t="s">
        <v>5</v>
      </c>
      <c r="L448" t="s">
        <v>67</v>
      </c>
      <c r="M448" t="s">
        <v>82</v>
      </c>
      <c r="N448" t="s">
        <v>11</v>
      </c>
    </row>
    <row r="449" spans="1:14" x14ac:dyDescent="0.35">
      <c r="A449" s="75">
        <v>43881</v>
      </c>
      <c r="B449" t="s">
        <v>159</v>
      </c>
      <c r="C449" t="s">
        <v>93</v>
      </c>
      <c r="D449">
        <v>6</v>
      </c>
      <c r="E449">
        <v>6</v>
      </c>
      <c r="F449" t="s">
        <v>10</v>
      </c>
      <c r="G449" t="s">
        <v>76</v>
      </c>
      <c r="H449" t="s">
        <v>79</v>
      </c>
      <c r="I449">
        <v>140000000</v>
      </c>
      <c r="J449" t="s">
        <v>25</v>
      </c>
      <c r="K449" t="s">
        <v>2</v>
      </c>
      <c r="L449" t="s">
        <v>67</v>
      </c>
      <c r="M449" t="s">
        <v>81</v>
      </c>
      <c r="N449" t="s">
        <v>14</v>
      </c>
    </row>
    <row r="450" spans="1:14" x14ac:dyDescent="0.35">
      <c r="A450" s="75">
        <v>43881</v>
      </c>
      <c r="B450" t="s">
        <v>159</v>
      </c>
      <c r="C450" t="s">
        <v>93</v>
      </c>
      <c r="D450">
        <v>5</v>
      </c>
      <c r="E450">
        <v>5</v>
      </c>
      <c r="F450" t="s">
        <v>10</v>
      </c>
      <c r="G450" t="s">
        <v>71</v>
      </c>
      <c r="H450" t="s">
        <v>6</v>
      </c>
      <c r="I450">
        <v>120000000</v>
      </c>
      <c r="J450" t="s">
        <v>59</v>
      </c>
      <c r="K450" t="s">
        <v>7</v>
      </c>
      <c r="L450" t="s">
        <v>67</v>
      </c>
      <c r="M450" t="s">
        <v>81</v>
      </c>
      <c r="N450" t="s">
        <v>14</v>
      </c>
    </row>
    <row r="451" spans="1:14" x14ac:dyDescent="0.35">
      <c r="A451" s="75">
        <v>43881</v>
      </c>
      <c r="B451" t="s">
        <v>159</v>
      </c>
      <c r="C451" t="s">
        <v>93</v>
      </c>
      <c r="D451">
        <v>3</v>
      </c>
      <c r="E451">
        <v>3</v>
      </c>
      <c r="F451" t="s">
        <v>10</v>
      </c>
      <c r="G451" t="s">
        <v>113</v>
      </c>
      <c r="H451" t="s">
        <v>77</v>
      </c>
      <c r="I451">
        <v>140000000</v>
      </c>
      <c r="J451" t="s">
        <v>38</v>
      </c>
      <c r="K451" t="s">
        <v>8</v>
      </c>
      <c r="L451" t="s">
        <v>67</v>
      </c>
      <c r="M451" t="s">
        <v>80</v>
      </c>
      <c r="N451" t="s">
        <v>12</v>
      </c>
    </row>
    <row r="452" spans="1:14" x14ac:dyDescent="0.35">
      <c r="A452" s="75">
        <v>43882</v>
      </c>
      <c r="B452" t="s">
        <v>160</v>
      </c>
      <c r="C452" t="s">
        <v>93</v>
      </c>
      <c r="D452">
        <v>10</v>
      </c>
      <c r="E452">
        <v>10</v>
      </c>
      <c r="F452" t="s">
        <v>10</v>
      </c>
      <c r="G452" t="s">
        <v>113</v>
      </c>
      <c r="H452" t="s">
        <v>77</v>
      </c>
      <c r="I452">
        <v>60000000</v>
      </c>
      <c r="J452" t="s">
        <v>46</v>
      </c>
      <c r="K452" t="s">
        <v>8</v>
      </c>
      <c r="L452" t="s">
        <v>67</v>
      </c>
      <c r="M452" t="s">
        <v>81</v>
      </c>
      <c r="N452" t="s">
        <v>12</v>
      </c>
    </row>
    <row r="453" spans="1:14" x14ac:dyDescent="0.35">
      <c r="A453" s="75">
        <v>43882</v>
      </c>
      <c r="B453" t="s">
        <v>160</v>
      </c>
      <c r="C453" t="s">
        <v>93</v>
      </c>
      <c r="D453">
        <v>10</v>
      </c>
      <c r="E453">
        <v>10</v>
      </c>
      <c r="F453" t="s">
        <v>10</v>
      </c>
      <c r="G453" t="s">
        <v>71</v>
      </c>
      <c r="H453" t="s">
        <v>6</v>
      </c>
      <c r="I453">
        <v>40000000</v>
      </c>
      <c r="J453" t="s">
        <v>59</v>
      </c>
      <c r="K453" t="s">
        <v>2</v>
      </c>
      <c r="L453" t="s">
        <v>67</v>
      </c>
      <c r="M453" t="s">
        <v>82</v>
      </c>
      <c r="N453" t="s">
        <v>12</v>
      </c>
    </row>
    <row r="454" spans="1:14" x14ac:dyDescent="0.35">
      <c r="A454" s="75">
        <v>43882</v>
      </c>
      <c r="B454" t="s">
        <v>160</v>
      </c>
      <c r="C454" t="s">
        <v>93</v>
      </c>
      <c r="D454">
        <v>10</v>
      </c>
      <c r="E454">
        <v>10</v>
      </c>
      <c r="F454" t="s">
        <v>10</v>
      </c>
      <c r="G454" t="s">
        <v>114</v>
      </c>
      <c r="H454" t="s">
        <v>3</v>
      </c>
      <c r="I454">
        <v>60000000</v>
      </c>
      <c r="J454" t="s">
        <v>38</v>
      </c>
      <c r="K454" t="s">
        <v>5</v>
      </c>
      <c r="L454" t="s">
        <v>67</v>
      </c>
      <c r="M454" t="s">
        <v>82</v>
      </c>
      <c r="N454" t="s">
        <v>11</v>
      </c>
    </row>
    <row r="455" spans="1:14" x14ac:dyDescent="0.35">
      <c r="A455" s="75">
        <v>43882</v>
      </c>
      <c r="B455" t="s">
        <v>160</v>
      </c>
      <c r="C455" t="s">
        <v>93</v>
      </c>
      <c r="D455">
        <v>7</v>
      </c>
      <c r="E455">
        <v>7</v>
      </c>
      <c r="F455" t="s">
        <v>10</v>
      </c>
      <c r="G455" t="s">
        <v>72</v>
      </c>
      <c r="H455" t="s">
        <v>78</v>
      </c>
      <c r="I455">
        <v>140000000</v>
      </c>
      <c r="J455" t="s">
        <v>40</v>
      </c>
      <c r="K455" t="s">
        <v>2</v>
      </c>
      <c r="L455" t="s">
        <v>67</v>
      </c>
      <c r="M455" t="s">
        <v>81</v>
      </c>
      <c r="N455" t="s">
        <v>12</v>
      </c>
    </row>
    <row r="456" spans="1:14" x14ac:dyDescent="0.35">
      <c r="A456" s="75">
        <v>43882</v>
      </c>
      <c r="B456" t="s">
        <v>160</v>
      </c>
      <c r="C456" t="s">
        <v>93</v>
      </c>
      <c r="D456">
        <v>7</v>
      </c>
      <c r="E456">
        <v>7</v>
      </c>
      <c r="F456" t="s">
        <v>10</v>
      </c>
      <c r="G456" t="s">
        <v>114</v>
      </c>
      <c r="H456" t="s">
        <v>3</v>
      </c>
      <c r="I456">
        <v>60000000</v>
      </c>
      <c r="J456" t="s">
        <v>31</v>
      </c>
      <c r="K456" t="s">
        <v>2</v>
      </c>
      <c r="L456" t="s">
        <v>67</v>
      </c>
      <c r="M456" t="s">
        <v>82</v>
      </c>
      <c r="N456" t="s">
        <v>14</v>
      </c>
    </row>
    <row r="457" spans="1:14" x14ac:dyDescent="0.35">
      <c r="A457" s="75">
        <v>43882</v>
      </c>
      <c r="B457" t="s">
        <v>160</v>
      </c>
      <c r="C457" t="s">
        <v>93</v>
      </c>
      <c r="D457">
        <v>7</v>
      </c>
      <c r="E457">
        <v>7</v>
      </c>
      <c r="F457" t="s">
        <v>10</v>
      </c>
      <c r="G457" t="s">
        <v>113</v>
      </c>
      <c r="H457" t="s">
        <v>77</v>
      </c>
      <c r="I457">
        <v>140000000</v>
      </c>
      <c r="J457" t="s">
        <v>26</v>
      </c>
      <c r="K457" t="s">
        <v>9</v>
      </c>
      <c r="L457" t="s">
        <v>67</v>
      </c>
      <c r="M457" t="s">
        <v>81</v>
      </c>
      <c r="N457" t="s">
        <v>14</v>
      </c>
    </row>
    <row r="458" spans="1:14" x14ac:dyDescent="0.35">
      <c r="A458" s="75">
        <v>43882</v>
      </c>
      <c r="B458" t="s">
        <v>160</v>
      </c>
      <c r="C458" t="s">
        <v>93</v>
      </c>
      <c r="D458">
        <v>6</v>
      </c>
      <c r="E458">
        <v>6</v>
      </c>
      <c r="F458" t="s">
        <v>10</v>
      </c>
      <c r="G458" t="s">
        <v>75</v>
      </c>
      <c r="H458" t="s">
        <v>6</v>
      </c>
      <c r="I458">
        <v>40000000</v>
      </c>
      <c r="J458" t="s">
        <v>51</v>
      </c>
      <c r="K458" t="s">
        <v>5</v>
      </c>
      <c r="L458" t="s">
        <v>67</v>
      </c>
      <c r="M458" t="s">
        <v>82</v>
      </c>
      <c r="N458" t="s">
        <v>12</v>
      </c>
    </row>
    <row r="459" spans="1:14" x14ac:dyDescent="0.35">
      <c r="A459" s="75">
        <v>43882</v>
      </c>
      <c r="B459" t="s">
        <v>160</v>
      </c>
      <c r="C459" t="s">
        <v>93</v>
      </c>
      <c r="D459">
        <v>6</v>
      </c>
      <c r="E459">
        <v>6</v>
      </c>
      <c r="F459" t="s">
        <v>10</v>
      </c>
      <c r="G459" t="s">
        <v>73</v>
      </c>
      <c r="H459" t="s">
        <v>78</v>
      </c>
      <c r="I459">
        <v>60000000</v>
      </c>
      <c r="J459" t="s">
        <v>16</v>
      </c>
      <c r="K459" t="s">
        <v>5</v>
      </c>
      <c r="L459" t="s">
        <v>67</v>
      </c>
      <c r="M459" t="s">
        <v>80</v>
      </c>
      <c r="N459" t="s">
        <v>14</v>
      </c>
    </row>
    <row r="460" spans="1:14" x14ac:dyDescent="0.35">
      <c r="A460" s="75">
        <v>43882</v>
      </c>
      <c r="B460" t="s">
        <v>160</v>
      </c>
      <c r="C460" t="s">
        <v>93</v>
      </c>
      <c r="D460">
        <v>6</v>
      </c>
      <c r="E460">
        <v>6</v>
      </c>
      <c r="F460" t="s">
        <v>10</v>
      </c>
      <c r="G460" t="s">
        <v>73</v>
      </c>
      <c r="H460" t="s">
        <v>78</v>
      </c>
      <c r="I460">
        <v>140000000</v>
      </c>
      <c r="J460" t="s">
        <v>15</v>
      </c>
      <c r="K460" t="s">
        <v>2</v>
      </c>
      <c r="L460" t="s">
        <v>67</v>
      </c>
      <c r="M460" t="s">
        <v>81</v>
      </c>
      <c r="N460" t="s">
        <v>13</v>
      </c>
    </row>
    <row r="461" spans="1:14" x14ac:dyDescent="0.35">
      <c r="A461" s="75">
        <v>43882</v>
      </c>
      <c r="B461" t="s">
        <v>160</v>
      </c>
      <c r="C461" t="s">
        <v>93</v>
      </c>
      <c r="D461">
        <v>4</v>
      </c>
      <c r="E461">
        <v>4</v>
      </c>
      <c r="F461" t="s">
        <v>10</v>
      </c>
      <c r="G461" t="s">
        <v>73</v>
      </c>
      <c r="H461" t="s">
        <v>78</v>
      </c>
      <c r="I461">
        <v>100000000</v>
      </c>
      <c r="J461" t="s">
        <v>51</v>
      </c>
      <c r="K461" t="s">
        <v>9</v>
      </c>
      <c r="L461" t="s">
        <v>67</v>
      </c>
      <c r="M461" t="s">
        <v>81</v>
      </c>
      <c r="N461" t="s">
        <v>13</v>
      </c>
    </row>
    <row r="462" spans="1:14" x14ac:dyDescent="0.35">
      <c r="A462" s="75">
        <v>43883</v>
      </c>
      <c r="B462" t="s">
        <v>161</v>
      </c>
      <c r="C462" t="s">
        <v>93</v>
      </c>
      <c r="D462">
        <v>9</v>
      </c>
      <c r="E462">
        <v>9</v>
      </c>
      <c r="F462" t="s">
        <v>10</v>
      </c>
      <c r="G462" t="s">
        <v>73</v>
      </c>
      <c r="H462" t="s">
        <v>78</v>
      </c>
      <c r="I462">
        <v>60000000</v>
      </c>
      <c r="J462" t="s">
        <v>22</v>
      </c>
      <c r="K462" t="s">
        <v>8</v>
      </c>
      <c r="L462" t="s">
        <v>67</v>
      </c>
      <c r="M462" t="s">
        <v>80</v>
      </c>
      <c r="N462" t="s">
        <v>13</v>
      </c>
    </row>
    <row r="463" spans="1:14" x14ac:dyDescent="0.35">
      <c r="A463" s="75">
        <v>43883</v>
      </c>
      <c r="B463" t="s">
        <v>161</v>
      </c>
      <c r="C463" t="s">
        <v>93</v>
      </c>
      <c r="D463">
        <v>9</v>
      </c>
      <c r="E463">
        <v>9</v>
      </c>
      <c r="F463" t="s">
        <v>10</v>
      </c>
      <c r="G463" t="s">
        <v>75</v>
      </c>
      <c r="H463" t="s">
        <v>6</v>
      </c>
      <c r="I463">
        <v>120000000</v>
      </c>
      <c r="J463" t="s">
        <v>48</v>
      </c>
      <c r="K463" t="s">
        <v>9</v>
      </c>
      <c r="L463" t="s">
        <v>67</v>
      </c>
      <c r="M463" t="s">
        <v>80</v>
      </c>
      <c r="N463" t="s">
        <v>11</v>
      </c>
    </row>
    <row r="464" spans="1:14" x14ac:dyDescent="0.35">
      <c r="A464" s="75">
        <v>43883</v>
      </c>
      <c r="B464" t="s">
        <v>161</v>
      </c>
      <c r="C464" t="s">
        <v>93</v>
      </c>
      <c r="D464">
        <v>8</v>
      </c>
      <c r="E464">
        <v>8</v>
      </c>
      <c r="F464" t="s">
        <v>10</v>
      </c>
      <c r="G464" t="s">
        <v>76</v>
      </c>
      <c r="H464" t="s">
        <v>79</v>
      </c>
      <c r="I464">
        <v>120000000</v>
      </c>
      <c r="J464" t="s">
        <v>18</v>
      </c>
      <c r="K464" t="s">
        <v>2</v>
      </c>
      <c r="L464" t="s">
        <v>67</v>
      </c>
      <c r="M464" t="s">
        <v>80</v>
      </c>
      <c r="N464" t="s">
        <v>14</v>
      </c>
    </row>
    <row r="465" spans="1:14" x14ac:dyDescent="0.35">
      <c r="A465" s="75">
        <v>43883</v>
      </c>
      <c r="B465" t="s">
        <v>161</v>
      </c>
      <c r="C465" t="s">
        <v>93</v>
      </c>
      <c r="D465">
        <v>8</v>
      </c>
      <c r="E465">
        <v>8</v>
      </c>
      <c r="F465" t="s">
        <v>10</v>
      </c>
      <c r="G465" t="s">
        <v>74</v>
      </c>
      <c r="H465" t="s">
        <v>77</v>
      </c>
      <c r="I465">
        <v>80000000</v>
      </c>
      <c r="J465" t="s">
        <v>40</v>
      </c>
      <c r="K465" t="s">
        <v>9</v>
      </c>
      <c r="L465" t="s">
        <v>67</v>
      </c>
      <c r="M465" t="s">
        <v>81</v>
      </c>
      <c r="N465" t="s">
        <v>14</v>
      </c>
    </row>
    <row r="466" spans="1:14" x14ac:dyDescent="0.35">
      <c r="A466" s="75">
        <v>43883</v>
      </c>
      <c r="B466" t="s">
        <v>161</v>
      </c>
      <c r="C466" t="s">
        <v>93</v>
      </c>
      <c r="D466">
        <v>8</v>
      </c>
      <c r="E466">
        <v>8</v>
      </c>
      <c r="F466" t="s">
        <v>10</v>
      </c>
      <c r="G466" t="s">
        <v>72</v>
      </c>
      <c r="H466" t="s">
        <v>78</v>
      </c>
      <c r="I466">
        <v>60000000</v>
      </c>
      <c r="J466" t="s">
        <v>17</v>
      </c>
      <c r="K466" t="s">
        <v>2</v>
      </c>
      <c r="L466" t="s">
        <v>67</v>
      </c>
      <c r="M466" t="s">
        <v>80</v>
      </c>
      <c r="N466" t="s">
        <v>11</v>
      </c>
    </row>
    <row r="467" spans="1:14" x14ac:dyDescent="0.35">
      <c r="A467" s="75">
        <v>43883</v>
      </c>
      <c r="B467" t="s">
        <v>161</v>
      </c>
      <c r="C467" t="s">
        <v>93</v>
      </c>
      <c r="D467">
        <v>7</v>
      </c>
      <c r="E467">
        <v>7</v>
      </c>
      <c r="F467" t="s">
        <v>10</v>
      </c>
      <c r="G467" t="s">
        <v>72</v>
      </c>
      <c r="H467" t="s">
        <v>78</v>
      </c>
      <c r="I467">
        <v>80000000</v>
      </c>
      <c r="J467" t="s">
        <v>35</v>
      </c>
      <c r="K467" t="s">
        <v>2</v>
      </c>
      <c r="L467" t="s">
        <v>67</v>
      </c>
      <c r="M467" t="s">
        <v>82</v>
      </c>
      <c r="N467" t="s">
        <v>14</v>
      </c>
    </row>
    <row r="468" spans="1:14" x14ac:dyDescent="0.35">
      <c r="A468" s="75">
        <v>43883</v>
      </c>
      <c r="B468" t="s">
        <v>161</v>
      </c>
      <c r="C468" t="s">
        <v>93</v>
      </c>
      <c r="D468">
        <v>7</v>
      </c>
      <c r="E468">
        <v>7</v>
      </c>
      <c r="F468" t="s">
        <v>10</v>
      </c>
      <c r="G468" t="s">
        <v>113</v>
      </c>
      <c r="H468" t="s">
        <v>77</v>
      </c>
      <c r="I468">
        <v>100000000</v>
      </c>
      <c r="J468" t="s">
        <v>44</v>
      </c>
      <c r="K468" t="s">
        <v>7</v>
      </c>
      <c r="L468" t="s">
        <v>67</v>
      </c>
      <c r="M468" t="s">
        <v>82</v>
      </c>
      <c r="N468" t="s">
        <v>11</v>
      </c>
    </row>
    <row r="469" spans="1:14" x14ac:dyDescent="0.35">
      <c r="A469" s="75">
        <v>43883</v>
      </c>
      <c r="B469" t="s">
        <v>161</v>
      </c>
      <c r="C469" t="s">
        <v>93</v>
      </c>
      <c r="D469">
        <v>5</v>
      </c>
      <c r="E469">
        <v>5</v>
      </c>
      <c r="F469" t="s">
        <v>10</v>
      </c>
      <c r="G469" t="s">
        <v>114</v>
      </c>
      <c r="H469" t="s">
        <v>3</v>
      </c>
      <c r="I469">
        <v>60000000</v>
      </c>
      <c r="J469" t="s">
        <v>35</v>
      </c>
      <c r="K469" t="s">
        <v>9</v>
      </c>
      <c r="L469" t="s">
        <v>67</v>
      </c>
      <c r="M469" t="s">
        <v>81</v>
      </c>
      <c r="N469" t="s">
        <v>14</v>
      </c>
    </row>
    <row r="470" spans="1:14" x14ac:dyDescent="0.35">
      <c r="A470" s="75">
        <v>43883</v>
      </c>
      <c r="B470" t="s">
        <v>161</v>
      </c>
      <c r="C470" t="s">
        <v>93</v>
      </c>
      <c r="D470">
        <v>5</v>
      </c>
      <c r="E470">
        <v>5</v>
      </c>
      <c r="F470" t="s">
        <v>10</v>
      </c>
      <c r="G470" t="s">
        <v>74</v>
      </c>
      <c r="H470" t="s">
        <v>77</v>
      </c>
      <c r="I470">
        <v>100000000</v>
      </c>
      <c r="J470" t="s">
        <v>22</v>
      </c>
      <c r="K470" t="s">
        <v>2</v>
      </c>
      <c r="L470" t="s">
        <v>67</v>
      </c>
      <c r="M470" t="s">
        <v>81</v>
      </c>
      <c r="N470" t="s">
        <v>14</v>
      </c>
    </row>
    <row r="471" spans="1:14" x14ac:dyDescent="0.35">
      <c r="A471" s="75">
        <v>43883</v>
      </c>
      <c r="B471" t="s">
        <v>161</v>
      </c>
      <c r="C471" t="s">
        <v>93</v>
      </c>
      <c r="D471">
        <v>5</v>
      </c>
      <c r="E471">
        <v>5</v>
      </c>
      <c r="F471" t="s">
        <v>10</v>
      </c>
      <c r="G471" t="s">
        <v>113</v>
      </c>
      <c r="H471" t="s">
        <v>77</v>
      </c>
      <c r="I471">
        <v>120000000</v>
      </c>
      <c r="J471" t="s">
        <v>57</v>
      </c>
      <c r="K471" t="s">
        <v>9</v>
      </c>
      <c r="L471" t="s">
        <v>67</v>
      </c>
      <c r="M471" t="s">
        <v>81</v>
      </c>
      <c r="N471" t="s">
        <v>14</v>
      </c>
    </row>
    <row r="472" spans="1:14" x14ac:dyDescent="0.35">
      <c r="A472" s="75">
        <v>43883</v>
      </c>
      <c r="B472" t="s">
        <v>161</v>
      </c>
      <c r="C472" t="s">
        <v>93</v>
      </c>
      <c r="D472">
        <v>3</v>
      </c>
      <c r="E472">
        <v>3</v>
      </c>
      <c r="F472" t="s">
        <v>10</v>
      </c>
      <c r="G472" t="s">
        <v>70</v>
      </c>
      <c r="H472" t="s">
        <v>1</v>
      </c>
      <c r="I472">
        <v>60000000</v>
      </c>
      <c r="J472" t="s">
        <v>20</v>
      </c>
      <c r="K472" t="s">
        <v>2</v>
      </c>
      <c r="L472" t="s">
        <v>67</v>
      </c>
      <c r="M472" t="s">
        <v>80</v>
      </c>
      <c r="N472" t="s">
        <v>11</v>
      </c>
    </row>
    <row r="473" spans="1:14" x14ac:dyDescent="0.35">
      <c r="A473" s="75">
        <v>43883</v>
      </c>
      <c r="B473" t="s">
        <v>161</v>
      </c>
      <c r="C473" t="s">
        <v>93</v>
      </c>
      <c r="D473">
        <v>3</v>
      </c>
      <c r="E473">
        <v>3</v>
      </c>
      <c r="F473" t="s">
        <v>10</v>
      </c>
      <c r="G473" t="s">
        <v>113</v>
      </c>
      <c r="H473" t="s">
        <v>77</v>
      </c>
      <c r="I473">
        <v>140000000</v>
      </c>
      <c r="J473" t="s">
        <v>25</v>
      </c>
      <c r="K473" t="s">
        <v>5</v>
      </c>
      <c r="L473" t="s">
        <v>67</v>
      </c>
      <c r="M473" t="s">
        <v>80</v>
      </c>
      <c r="N473" t="s">
        <v>13</v>
      </c>
    </row>
    <row r="474" spans="1:14" x14ac:dyDescent="0.35">
      <c r="A474" s="75">
        <v>43883</v>
      </c>
      <c r="B474" t="s">
        <v>161</v>
      </c>
      <c r="C474" t="s">
        <v>93</v>
      </c>
      <c r="D474">
        <v>3</v>
      </c>
      <c r="E474">
        <v>3</v>
      </c>
      <c r="F474" t="s">
        <v>10</v>
      </c>
      <c r="G474" t="s">
        <v>75</v>
      </c>
      <c r="H474" t="s">
        <v>6</v>
      </c>
      <c r="I474">
        <v>80000000</v>
      </c>
      <c r="J474" t="s">
        <v>42</v>
      </c>
      <c r="K474" t="s">
        <v>5</v>
      </c>
      <c r="L474" t="s">
        <v>67</v>
      </c>
      <c r="M474" t="s">
        <v>80</v>
      </c>
      <c r="N474" t="s">
        <v>14</v>
      </c>
    </row>
    <row r="475" spans="1:14" x14ac:dyDescent="0.35">
      <c r="A475" s="75">
        <v>43884</v>
      </c>
      <c r="B475" t="s">
        <v>162</v>
      </c>
      <c r="C475" t="s">
        <v>93</v>
      </c>
      <c r="D475">
        <v>10</v>
      </c>
      <c r="E475">
        <v>10</v>
      </c>
      <c r="F475" t="s">
        <v>10</v>
      </c>
      <c r="G475" t="s">
        <v>113</v>
      </c>
      <c r="H475" t="s">
        <v>77</v>
      </c>
      <c r="I475">
        <v>120000000</v>
      </c>
      <c r="J475" t="s">
        <v>60</v>
      </c>
      <c r="K475" t="s">
        <v>7</v>
      </c>
      <c r="L475" t="s">
        <v>67</v>
      </c>
      <c r="M475" t="s">
        <v>81</v>
      </c>
      <c r="N475" t="s">
        <v>12</v>
      </c>
    </row>
    <row r="476" spans="1:14" x14ac:dyDescent="0.35">
      <c r="A476" s="75">
        <v>43884</v>
      </c>
      <c r="B476" t="s">
        <v>162</v>
      </c>
      <c r="C476" t="s">
        <v>93</v>
      </c>
      <c r="D476">
        <v>10</v>
      </c>
      <c r="E476">
        <v>10</v>
      </c>
      <c r="F476" t="s">
        <v>10</v>
      </c>
      <c r="G476" t="s">
        <v>70</v>
      </c>
      <c r="H476" t="s">
        <v>1</v>
      </c>
      <c r="I476">
        <v>60000000</v>
      </c>
      <c r="J476" t="s">
        <v>26</v>
      </c>
      <c r="K476" t="s">
        <v>7</v>
      </c>
      <c r="L476" t="s">
        <v>67</v>
      </c>
      <c r="M476" t="s">
        <v>80</v>
      </c>
      <c r="N476" t="s">
        <v>14</v>
      </c>
    </row>
    <row r="477" spans="1:14" x14ac:dyDescent="0.35">
      <c r="A477" s="75">
        <v>43884</v>
      </c>
      <c r="B477" t="s">
        <v>162</v>
      </c>
      <c r="C477" t="s">
        <v>93</v>
      </c>
      <c r="D477">
        <v>9</v>
      </c>
      <c r="E477">
        <v>9</v>
      </c>
      <c r="F477" t="s">
        <v>10</v>
      </c>
      <c r="G477" t="s">
        <v>70</v>
      </c>
      <c r="H477" t="s">
        <v>1</v>
      </c>
      <c r="I477">
        <v>100000000</v>
      </c>
      <c r="J477" t="s">
        <v>63</v>
      </c>
      <c r="K477" t="s">
        <v>2</v>
      </c>
      <c r="L477" t="s">
        <v>67</v>
      </c>
      <c r="M477" t="s">
        <v>82</v>
      </c>
      <c r="N477" t="s">
        <v>11</v>
      </c>
    </row>
    <row r="478" spans="1:14" x14ac:dyDescent="0.35">
      <c r="A478" s="75">
        <v>43884</v>
      </c>
      <c r="B478" t="s">
        <v>162</v>
      </c>
      <c r="C478" t="s">
        <v>93</v>
      </c>
      <c r="D478">
        <v>8</v>
      </c>
      <c r="E478">
        <v>8</v>
      </c>
      <c r="F478" t="s">
        <v>10</v>
      </c>
      <c r="G478" t="s">
        <v>114</v>
      </c>
      <c r="H478" t="s">
        <v>3</v>
      </c>
      <c r="I478">
        <v>80000000</v>
      </c>
      <c r="J478" t="s">
        <v>35</v>
      </c>
      <c r="K478" t="s">
        <v>5</v>
      </c>
      <c r="L478" t="s">
        <v>67</v>
      </c>
      <c r="M478" t="s">
        <v>82</v>
      </c>
      <c r="N478" t="s">
        <v>13</v>
      </c>
    </row>
    <row r="479" spans="1:14" x14ac:dyDescent="0.35">
      <c r="A479" s="75">
        <v>43884</v>
      </c>
      <c r="B479" t="s">
        <v>162</v>
      </c>
      <c r="C479" t="s">
        <v>93</v>
      </c>
      <c r="D479">
        <v>7</v>
      </c>
      <c r="E479">
        <v>7</v>
      </c>
      <c r="F479" t="s">
        <v>10</v>
      </c>
      <c r="G479" t="s">
        <v>73</v>
      </c>
      <c r="H479" t="s">
        <v>78</v>
      </c>
      <c r="I479">
        <v>140000000</v>
      </c>
      <c r="J479" t="s">
        <v>46</v>
      </c>
      <c r="K479" t="s">
        <v>5</v>
      </c>
      <c r="L479" t="s">
        <v>67</v>
      </c>
      <c r="M479" t="s">
        <v>82</v>
      </c>
      <c r="N479" t="s">
        <v>13</v>
      </c>
    </row>
    <row r="480" spans="1:14" x14ac:dyDescent="0.35">
      <c r="A480" s="75">
        <v>43884</v>
      </c>
      <c r="B480" t="s">
        <v>162</v>
      </c>
      <c r="C480" t="s">
        <v>93</v>
      </c>
      <c r="D480">
        <v>7</v>
      </c>
      <c r="E480">
        <v>7</v>
      </c>
      <c r="F480" t="s">
        <v>10</v>
      </c>
      <c r="G480" t="s">
        <v>72</v>
      </c>
      <c r="H480" t="s">
        <v>78</v>
      </c>
      <c r="I480">
        <v>40000000</v>
      </c>
      <c r="J480" t="s">
        <v>23</v>
      </c>
      <c r="K480" t="s">
        <v>8</v>
      </c>
      <c r="L480" t="s">
        <v>67</v>
      </c>
      <c r="M480" t="s">
        <v>80</v>
      </c>
      <c r="N480" t="s">
        <v>14</v>
      </c>
    </row>
    <row r="481" spans="1:14" x14ac:dyDescent="0.35">
      <c r="A481" s="75">
        <v>43884</v>
      </c>
      <c r="B481" t="s">
        <v>162</v>
      </c>
      <c r="C481" t="s">
        <v>93</v>
      </c>
      <c r="D481">
        <v>5</v>
      </c>
      <c r="E481">
        <v>5</v>
      </c>
      <c r="F481" t="s">
        <v>10</v>
      </c>
      <c r="G481" t="s">
        <v>75</v>
      </c>
      <c r="H481" t="s">
        <v>6</v>
      </c>
      <c r="I481">
        <v>120000000</v>
      </c>
      <c r="J481" t="s">
        <v>25</v>
      </c>
      <c r="K481" t="s">
        <v>5</v>
      </c>
      <c r="L481" t="s">
        <v>67</v>
      </c>
      <c r="M481" t="s">
        <v>82</v>
      </c>
      <c r="N481" t="s">
        <v>14</v>
      </c>
    </row>
    <row r="482" spans="1:14" x14ac:dyDescent="0.35">
      <c r="A482" s="75">
        <v>43884</v>
      </c>
      <c r="B482" t="s">
        <v>162</v>
      </c>
      <c r="C482" t="s">
        <v>93</v>
      </c>
      <c r="D482">
        <v>4</v>
      </c>
      <c r="E482">
        <v>4</v>
      </c>
      <c r="F482" t="s">
        <v>10</v>
      </c>
      <c r="G482" t="s">
        <v>75</v>
      </c>
      <c r="H482" t="s">
        <v>6</v>
      </c>
      <c r="I482">
        <v>60000000</v>
      </c>
      <c r="J482" t="s">
        <v>15</v>
      </c>
      <c r="K482" t="s">
        <v>2</v>
      </c>
      <c r="L482" t="s">
        <v>67</v>
      </c>
      <c r="M482" t="s">
        <v>82</v>
      </c>
      <c r="N482" t="s">
        <v>14</v>
      </c>
    </row>
    <row r="483" spans="1:14" x14ac:dyDescent="0.35">
      <c r="A483" s="75">
        <v>43884</v>
      </c>
      <c r="B483" t="s">
        <v>162</v>
      </c>
      <c r="C483" t="s">
        <v>93</v>
      </c>
      <c r="D483">
        <v>3</v>
      </c>
      <c r="E483">
        <v>3</v>
      </c>
      <c r="F483" t="s">
        <v>10</v>
      </c>
      <c r="G483" t="s">
        <v>113</v>
      </c>
      <c r="H483" t="s">
        <v>77</v>
      </c>
      <c r="I483">
        <v>80000000</v>
      </c>
      <c r="J483" t="s">
        <v>45</v>
      </c>
      <c r="K483" t="s">
        <v>5</v>
      </c>
      <c r="L483" t="s">
        <v>67</v>
      </c>
      <c r="M483" t="s">
        <v>81</v>
      </c>
      <c r="N483" t="s">
        <v>11</v>
      </c>
    </row>
    <row r="484" spans="1:14" x14ac:dyDescent="0.35">
      <c r="A484" s="75">
        <v>43884</v>
      </c>
      <c r="B484" t="s">
        <v>162</v>
      </c>
      <c r="C484" t="s">
        <v>93</v>
      </c>
      <c r="D484">
        <v>3</v>
      </c>
      <c r="E484">
        <v>3</v>
      </c>
      <c r="F484" t="s">
        <v>10</v>
      </c>
      <c r="G484" t="s">
        <v>74</v>
      </c>
      <c r="H484" t="s">
        <v>77</v>
      </c>
      <c r="I484">
        <v>60000000</v>
      </c>
      <c r="J484" t="s">
        <v>40</v>
      </c>
      <c r="K484" t="s">
        <v>5</v>
      </c>
      <c r="L484" t="s">
        <v>67</v>
      </c>
      <c r="M484" t="s">
        <v>80</v>
      </c>
      <c r="N484" t="s">
        <v>11</v>
      </c>
    </row>
    <row r="485" spans="1:14" x14ac:dyDescent="0.35">
      <c r="A485" s="75">
        <v>43884</v>
      </c>
      <c r="B485" t="s">
        <v>162</v>
      </c>
      <c r="C485" t="s">
        <v>93</v>
      </c>
      <c r="D485">
        <v>3</v>
      </c>
      <c r="E485">
        <v>3</v>
      </c>
      <c r="F485" t="s">
        <v>10</v>
      </c>
      <c r="G485" t="s">
        <v>70</v>
      </c>
      <c r="H485" t="s">
        <v>1</v>
      </c>
      <c r="I485">
        <v>80000000</v>
      </c>
      <c r="J485" t="s">
        <v>54</v>
      </c>
      <c r="K485" t="s">
        <v>2</v>
      </c>
      <c r="L485" t="s">
        <v>67</v>
      </c>
      <c r="M485" t="s">
        <v>81</v>
      </c>
      <c r="N485" t="s">
        <v>13</v>
      </c>
    </row>
    <row r="486" spans="1:14" x14ac:dyDescent="0.35">
      <c r="A486" s="75">
        <v>43885</v>
      </c>
      <c r="B486" t="s">
        <v>163</v>
      </c>
      <c r="C486" t="s">
        <v>93</v>
      </c>
      <c r="D486">
        <v>10</v>
      </c>
      <c r="E486">
        <v>10</v>
      </c>
      <c r="F486" t="s">
        <v>10</v>
      </c>
      <c r="G486" t="s">
        <v>76</v>
      </c>
      <c r="H486" t="s">
        <v>79</v>
      </c>
      <c r="I486">
        <v>60000000</v>
      </c>
      <c r="J486" t="s">
        <v>49</v>
      </c>
      <c r="K486" t="s">
        <v>7</v>
      </c>
      <c r="L486" t="s">
        <v>67</v>
      </c>
      <c r="M486" t="s">
        <v>80</v>
      </c>
      <c r="N486" t="s">
        <v>14</v>
      </c>
    </row>
    <row r="487" spans="1:14" x14ac:dyDescent="0.35">
      <c r="A487" s="75">
        <v>43885</v>
      </c>
      <c r="B487" t="s">
        <v>163</v>
      </c>
      <c r="C487" t="s">
        <v>93</v>
      </c>
      <c r="D487">
        <v>10</v>
      </c>
      <c r="E487">
        <v>8</v>
      </c>
      <c r="F487">
        <v>2</v>
      </c>
      <c r="G487" t="s">
        <v>75</v>
      </c>
      <c r="H487" t="s">
        <v>6</v>
      </c>
      <c r="I487">
        <v>80000000</v>
      </c>
      <c r="J487" t="s">
        <v>16</v>
      </c>
      <c r="K487" t="s">
        <v>8</v>
      </c>
      <c r="L487" t="s">
        <v>67</v>
      </c>
      <c r="M487" t="s">
        <v>81</v>
      </c>
      <c r="N487" t="s">
        <v>13</v>
      </c>
    </row>
    <row r="488" spans="1:14" x14ac:dyDescent="0.35">
      <c r="A488" s="75">
        <v>43885</v>
      </c>
      <c r="B488" t="s">
        <v>163</v>
      </c>
      <c r="C488" t="s">
        <v>93</v>
      </c>
      <c r="D488">
        <v>8</v>
      </c>
      <c r="E488">
        <v>7</v>
      </c>
      <c r="F488">
        <v>1</v>
      </c>
      <c r="G488" t="s">
        <v>75</v>
      </c>
      <c r="H488" t="s">
        <v>6</v>
      </c>
      <c r="I488">
        <v>100000000</v>
      </c>
      <c r="J488" t="s">
        <v>40</v>
      </c>
      <c r="K488" t="s">
        <v>4</v>
      </c>
      <c r="L488" t="s">
        <v>67</v>
      </c>
      <c r="M488" t="s">
        <v>82</v>
      </c>
      <c r="N488" t="s">
        <v>12</v>
      </c>
    </row>
    <row r="489" spans="1:14" x14ac:dyDescent="0.35">
      <c r="A489" s="75">
        <v>43885</v>
      </c>
      <c r="B489" t="s">
        <v>163</v>
      </c>
      <c r="C489" t="s">
        <v>93</v>
      </c>
      <c r="D489">
        <v>8</v>
      </c>
      <c r="E489">
        <v>5</v>
      </c>
      <c r="F489">
        <v>3</v>
      </c>
      <c r="G489" t="s">
        <v>75</v>
      </c>
      <c r="H489" t="s">
        <v>6</v>
      </c>
      <c r="I489">
        <v>80000000</v>
      </c>
      <c r="J489" t="s">
        <v>18</v>
      </c>
      <c r="K489" t="s">
        <v>5</v>
      </c>
      <c r="L489" t="s">
        <v>67</v>
      </c>
      <c r="M489" t="s">
        <v>81</v>
      </c>
      <c r="N489" t="s">
        <v>12</v>
      </c>
    </row>
    <row r="490" spans="1:14" x14ac:dyDescent="0.35">
      <c r="A490" s="75">
        <v>43885</v>
      </c>
      <c r="B490" t="s">
        <v>163</v>
      </c>
      <c r="C490" t="s">
        <v>93</v>
      </c>
      <c r="D490">
        <v>8</v>
      </c>
      <c r="E490">
        <v>5</v>
      </c>
      <c r="F490">
        <v>3</v>
      </c>
      <c r="G490" t="s">
        <v>71</v>
      </c>
      <c r="H490" t="s">
        <v>6</v>
      </c>
      <c r="I490">
        <v>100000000</v>
      </c>
      <c r="J490" t="s">
        <v>60</v>
      </c>
      <c r="K490" t="s">
        <v>2</v>
      </c>
      <c r="L490" t="s">
        <v>67</v>
      </c>
      <c r="M490" t="s">
        <v>82</v>
      </c>
      <c r="N490" t="s">
        <v>13</v>
      </c>
    </row>
    <row r="491" spans="1:14" x14ac:dyDescent="0.35">
      <c r="A491" s="75">
        <v>43885</v>
      </c>
      <c r="B491" t="s">
        <v>163</v>
      </c>
      <c r="C491" t="s">
        <v>93</v>
      </c>
      <c r="D491">
        <v>7</v>
      </c>
      <c r="E491">
        <v>5</v>
      </c>
      <c r="F491">
        <v>2</v>
      </c>
      <c r="G491" t="s">
        <v>75</v>
      </c>
      <c r="H491" t="s">
        <v>6</v>
      </c>
      <c r="I491">
        <v>60000000</v>
      </c>
      <c r="J491" t="s">
        <v>55</v>
      </c>
      <c r="K491" t="s">
        <v>2</v>
      </c>
      <c r="L491" t="s">
        <v>67</v>
      </c>
      <c r="M491" t="s">
        <v>82</v>
      </c>
      <c r="N491" t="s">
        <v>13</v>
      </c>
    </row>
    <row r="492" spans="1:14" x14ac:dyDescent="0.35">
      <c r="A492" s="75">
        <v>43885</v>
      </c>
      <c r="B492" t="s">
        <v>163</v>
      </c>
      <c r="C492" t="s">
        <v>93</v>
      </c>
      <c r="D492">
        <v>6</v>
      </c>
      <c r="E492">
        <v>6</v>
      </c>
      <c r="F492" t="s">
        <v>10</v>
      </c>
      <c r="G492" t="s">
        <v>74</v>
      </c>
      <c r="H492" t="s">
        <v>77</v>
      </c>
      <c r="I492">
        <v>40000000</v>
      </c>
      <c r="J492" t="s">
        <v>22</v>
      </c>
      <c r="K492" t="s">
        <v>2</v>
      </c>
      <c r="L492" t="s">
        <v>67</v>
      </c>
      <c r="M492" t="s">
        <v>82</v>
      </c>
      <c r="N492" t="s">
        <v>12</v>
      </c>
    </row>
    <row r="493" spans="1:14" x14ac:dyDescent="0.35">
      <c r="A493" s="75">
        <v>43885</v>
      </c>
      <c r="B493" t="s">
        <v>163</v>
      </c>
      <c r="C493" t="s">
        <v>93</v>
      </c>
      <c r="D493">
        <v>6</v>
      </c>
      <c r="E493">
        <v>4</v>
      </c>
      <c r="F493">
        <v>2</v>
      </c>
      <c r="G493" t="s">
        <v>114</v>
      </c>
      <c r="H493" t="s">
        <v>3</v>
      </c>
      <c r="I493">
        <v>80000000</v>
      </c>
      <c r="J493" t="s">
        <v>33</v>
      </c>
      <c r="K493" t="s">
        <v>9</v>
      </c>
      <c r="L493" t="s">
        <v>67</v>
      </c>
      <c r="M493" t="s">
        <v>82</v>
      </c>
      <c r="N493" t="s">
        <v>13</v>
      </c>
    </row>
    <row r="494" spans="1:14" x14ac:dyDescent="0.35">
      <c r="A494" s="75">
        <v>43885</v>
      </c>
      <c r="B494" t="s">
        <v>163</v>
      </c>
      <c r="C494" t="s">
        <v>93</v>
      </c>
      <c r="D494">
        <v>5</v>
      </c>
      <c r="E494">
        <v>4</v>
      </c>
      <c r="F494">
        <v>1</v>
      </c>
      <c r="G494" t="s">
        <v>73</v>
      </c>
      <c r="H494" t="s">
        <v>78</v>
      </c>
      <c r="I494">
        <v>140000000</v>
      </c>
      <c r="J494" t="s">
        <v>38</v>
      </c>
      <c r="K494" t="s">
        <v>2</v>
      </c>
      <c r="L494" t="s">
        <v>67</v>
      </c>
      <c r="M494" t="s">
        <v>80</v>
      </c>
      <c r="N494" t="s">
        <v>11</v>
      </c>
    </row>
    <row r="495" spans="1:14" x14ac:dyDescent="0.35">
      <c r="A495" s="75">
        <v>43885</v>
      </c>
      <c r="B495" t="s">
        <v>163</v>
      </c>
      <c r="C495" t="s">
        <v>93</v>
      </c>
      <c r="D495">
        <v>5</v>
      </c>
      <c r="E495">
        <v>3</v>
      </c>
      <c r="F495">
        <v>2</v>
      </c>
      <c r="G495" t="s">
        <v>71</v>
      </c>
      <c r="H495" t="s">
        <v>6</v>
      </c>
      <c r="I495">
        <v>100000000</v>
      </c>
      <c r="J495" t="s">
        <v>23</v>
      </c>
      <c r="K495" t="s">
        <v>2</v>
      </c>
      <c r="L495" t="s">
        <v>67</v>
      </c>
      <c r="M495" t="s">
        <v>81</v>
      </c>
      <c r="N495" t="s">
        <v>12</v>
      </c>
    </row>
    <row r="496" spans="1:14" x14ac:dyDescent="0.35">
      <c r="A496" s="75">
        <v>43885</v>
      </c>
      <c r="B496" t="s">
        <v>163</v>
      </c>
      <c r="C496" t="s">
        <v>93</v>
      </c>
      <c r="D496">
        <v>4</v>
      </c>
      <c r="E496">
        <v>2</v>
      </c>
      <c r="F496">
        <v>2</v>
      </c>
      <c r="G496" t="s">
        <v>114</v>
      </c>
      <c r="H496" t="s">
        <v>3</v>
      </c>
      <c r="I496">
        <v>100000000</v>
      </c>
      <c r="J496" t="s">
        <v>35</v>
      </c>
      <c r="K496" t="s">
        <v>8</v>
      </c>
      <c r="L496" t="s">
        <v>67</v>
      </c>
      <c r="M496" t="s">
        <v>82</v>
      </c>
      <c r="N496" t="s">
        <v>12</v>
      </c>
    </row>
    <row r="497" spans="1:14" x14ac:dyDescent="0.35">
      <c r="A497" s="75">
        <v>43886</v>
      </c>
      <c r="B497" t="s">
        <v>164</v>
      </c>
      <c r="C497" t="s">
        <v>93</v>
      </c>
      <c r="D497">
        <v>8</v>
      </c>
      <c r="E497">
        <v>4</v>
      </c>
      <c r="F497">
        <v>4</v>
      </c>
      <c r="G497" t="s">
        <v>71</v>
      </c>
      <c r="H497" t="s">
        <v>6</v>
      </c>
      <c r="I497">
        <v>140000000</v>
      </c>
      <c r="J497" t="s">
        <v>42</v>
      </c>
      <c r="K497" t="s">
        <v>5</v>
      </c>
      <c r="L497" t="s">
        <v>67</v>
      </c>
      <c r="M497" t="s">
        <v>80</v>
      </c>
      <c r="N497" t="s">
        <v>13</v>
      </c>
    </row>
    <row r="498" spans="1:14" x14ac:dyDescent="0.35">
      <c r="A498" s="75">
        <v>43886</v>
      </c>
      <c r="B498" t="s">
        <v>164</v>
      </c>
      <c r="C498" t="s">
        <v>93</v>
      </c>
      <c r="D498">
        <v>8</v>
      </c>
      <c r="E498">
        <v>4</v>
      </c>
      <c r="F498">
        <v>4</v>
      </c>
      <c r="G498" t="s">
        <v>71</v>
      </c>
      <c r="H498" t="s">
        <v>6</v>
      </c>
      <c r="I498">
        <v>40000000</v>
      </c>
      <c r="J498" t="s">
        <v>32</v>
      </c>
      <c r="K498" t="s">
        <v>7</v>
      </c>
      <c r="L498" t="s">
        <v>67</v>
      </c>
      <c r="M498" t="s">
        <v>82</v>
      </c>
      <c r="N498" t="s">
        <v>12</v>
      </c>
    </row>
    <row r="499" spans="1:14" x14ac:dyDescent="0.35">
      <c r="A499" s="75">
        <v>43886</v>
      </c>
      <c r="B499" t="s">
        <v>164</v>
      </c>
      <c r="C499" t="s">
        <v>93</v>
      </c>
      <c r="D499">
        <v>7</v>
      </c>
      <c r="E499">
        <v>5</v>
      </c>
      <c r="F499">
        <v>2</v>
      </c>
      <c r="G499" t="s">
        <v>73</v>
      </c>
      <c r="H499" t="s">
        <v>78</v>
      </c>
      <c r="I499">
        <v>60000000</v>
      </c>
      <c r="J499" t="s">
        <v>45</v>
      </c>
      <c r="K499" t="s">
        <v>5</v>
      </c>
      <c r="L499" t="s">
        <v>67</v>
      </c>
      <c r="M499" t="s">
        <v>80</v>
      </c>
      <c r="N499" t="s">
        <v>14</v>
      </c>
    </row>
    <row r="500" spans="1:14" x14ac:dyDescent="0.35">
      <c r="A500" s="75">
        <v>43886</v>
      </c>
      <c r="B500" t="s">
        <v>164</v>
      </c>
      <c r="C500" t="s">
        <v>93</v>
      </c>
      <c r="D500">
        <v>7</v>
      </c>
      <c r="E500">
        <v>5</v>
      </c>
      <c r="F500">
        <v>2</v>
      </c>
      <c r="G500" t="s">
        <v>70</v>
      </c>
      <c r="H500" t="s">
        <v>1</v>
      </c>
      <c r="I500">
        <v>100000000</v>
      </c>
      <c r="J500" t="s">
        <v>25</v>
      </c>
      <c r="K500" t="s">
        <v>2</v>
      </c>
      <c r="L500" t="s">
        <v>67</v>
      </c>
      <c r="M500" t="s">
        <v>82</v>
      </c>
      <c r="N500" t="s">
        <v>12</v>
      </c>
    </row>
    <row r="501" spans="1:14" x14ac:dyDescent="0.35">
      <c r="A501" s="75">
        <v>43886</v>
      </c>
      <c r="B501" t="s">
        <v>164</v>
      </c>
      <c r="C501" t="s">
        <v>93</v>
      </c>
      <c r="D501">
        <v>7</v>
      </c>
      <c r="E501">
        <v>5</v>
      </c>
      <c r="F501">
        <v>2</v>
      </c>
      <c r="G501" t="s">
        <v>74</v>
      </c>
      <c r="H501" t="s">
        <v>77</v>
      </c>
      <c r="I501">
        <v>80000000</v>
      </c>
      <c r="J501" t="s">
        <v>39</v>
      </c>
      <c r="K501" t="s">
        <v>7</v>
      </c>
      <c r="L501" t="s">
        <v>67</v>
      </c>
      <c r="M501" t="s">
        <v>81</v>
      </c>
      <c r="N501" t="s">
        <v>11</v>
      </c>
    </row>
    <row r="502" spans="1:14" x14ac:dyDescent="0.35">
      <c r="A502" s="75">
        <v>43886</v>
      </c>
      <c r="B502" t="s">
        <v>164</v>
      </c>
      <c r="C502" t="s">
        <v>93</v>
      </c>
      <c r="D502">
        <v>7</v>
      </c>
      <c r="E502">
        <v>6</v>
      </c>
      <c r="F502">
        <v>1</v>
      </c>
      <c r="G502" t="s">
        <v>114</v>
      </c>
      <c r="H502" t="s">
        <v>3</v>
      </c>
      <c r="I502">
        <v>60000000</v>
      </c>
      <c r="J502" t="s">
        <v>19</v>
      </c>
      <c r="K502" t="s">
        <v>5</v>
      </c>
      <c r="L502" t="s">
        <v>67</v>
      </c>
      <c r="M502" t="s">
        <v>81</v>
      </c>
      <c r="N502" t="s">
        <v>14</v>
      </c>
    </row>
    <row r="503" spans="1:14" x14ac:dyDescent="0.35">
      <c r="A503" s="75">
        <v>43886</v>
      </c>
      <c r="B503" t="s">
        <v>164</v>
      </c>
      <c r="C503" t="s">
        <v>93</v>
      </c>
      <c r="D503">
        <v>6</v>
      </c>
      <c r="E503">
        <v>5</v>
      </c>
      <c r="F503">
        <v>1</v>
      </c>
      <c r="G503" t="s">
        <v>114</v>
      </c>
      <c r="H503" t="s">
        <v>3</v>
      </c>
      <c r="I503">
        <v>40000000</v>
      </c>
      <c r="J503" t="s">
        <v>34</v>
      </c>
      <c r="K503" t="s">
        <v>8</v>
      </c>
      <c r="L503" t="s">
        <v>67</v>
      </c>
      <c r="M503" t="s">
        <v>81</v>
      </c>
      <c r="N503" t="s">
        <v>13</v>
      </c>
    </row>
    <row r="504" spans="1:14" x14ac:dyDescent="0.35">
      <c r="A504" s="75">
        <v>43886</v>
      </c>
      <c r="B504" t="s">
        <v>164</v>
      </c>
      <c r="C504" t="s">
        <v>93</v>
      </c>
      <c r="D504">
        <v>6</v>
      </c>
      <c r="E504">
        <v>4</v>
      </c>
      <c r="F504">
        <v>2</v>
      </c>
      <c r="G504" t="s">
        <v>74</v>
      </c>
      <c r="H504" t="s">
        <v>77</v>
      </c>
      <c r="I504">
        <v>120000000</v>
      </c>
      <c r="J504" t="s">
        <v>42</v>
      </c>
      <c r="K504" t="s">
        <v>7</v>
      </c>
      <c r="L504" t="s">
        <v>67</v>
      </c>
      <c r="M504" t="s">
        <v>80</v>
      </c>
      <c r="N504" t="s">
        <v>14</v>
      </c>
    </row>
    <row r="505" spans="1:14" x14ac:dyDescent="0.35">
      <c r="A505" s="75">
        <v>43886</v>
      </c>
      <c r="B505" t="s">
        <v>164</v>
      </c>
      <c r="C505" t="s">
        <v>93</v>
      </c>
      <c r="D505">
        <v>6</v>
      </c>
      <c r="E505">
        <v>3</v>
      </c>
      <c r="F505">
        <v>3</v>
      </c>
      <c r="G505" t="s">
        <v>76</v>
      </c>
      <c r="H505" t="s">
        <v>79</v>
      </c>
      <c r="I505">
        <v>60000000</v>
      </c>
      <c r="J505" t="s">
        <v>64</v>
      </c>
      <c r="K505" t="s">
        <v>2</v>
      </c>
      <c r="L505" t="s">
        <v>67</v>
      </c>
      <c r="M505" t="s">
        <v>80</v>
      </c>
      <c r="N505" t="s">
        <v>14</v>
      </c>
    </row>
    <row r="506" spans="1:14" x14ac:dyDescent="0.35">
      <c r="A506" s="75">
        <v>43886</v>
      </c>
      <c r="B506" t="s">
        <v>164</v>
      </c>
      <c r="C506" t="s">
        <v>93</v>
      </c>
      <c r="D506">
        <v>6</v>
      </c>
      <c r="E506">
        <v>4</v>
      </c>
      <c r="F506">
        <v>2</v>
      </c>
      <c r="G506" t="s">
        <v>72</v>
      </c>
      <c r="H506" t="s">
        <v>78</v>
      </c>
      <c r="I506">
        <v>80000000</v>
      </c>
      <c r="J506" t="s">
        <v>63</v>
      </c>
      <c r="K506" t="s">
        <v>7</v>
      </c>
      <c r="L506" t="s">
        <v>67</v>
      </c>
      <c r="M506" t="s">
        <v>81</v>
      </c>
      <c r="N506" t="s">
        <v>12</v>
      </c>
    </row>
    <row r="507" spans="1:14" x14ac:dyDescent="0.35">
      <c r="A507" s="75">
        <v>43886</v>
      </c>
      <c r="B507" t="s">
        <v>164</v>
      </c>
      <c r="C507" t="s">
        <v>93</v>
      </c>
      <c r="D507">
        <v>4</v>
      </c>
      <c r="E507">
        <v>2</v>
      </c>
      <c r="F507">
        <v>2</v>
      </c>
      <c r="G507" t="s">
        <v>74</v>
      </c>
      <c r="H507" t="s">
        <v>77</v>
      </c>
      <c r="I507">
        <v>140000000</v>
      </c>
      <c r="J507" t="s">
        <v>25</v>
      </c>
      <c r="K507" t="s">
        <v>2</v>
      </c>
      <c r="L507" t="s">
        <v>67</v>
      </c>
      <c r="M507" t="s">
        <v>82</v>
      </c>
      <c r="N507" t="s">
        <v>11</v>
      </c>
    </row>
    <row r="508" spans="1:14" x14ac:dyDescent="0.35">
      <c r="A508" s="75">
        <v>43886</v>
      </c>
      <c r="B508" t="s">
        <v>164</v>
      </c>
      <c r="C508" t="s">
        <v>93</v>
      </c>
      <c r="D508">
        <v>4</v>
      </c>
      <c r="E508">
        <v>3</v>
      </c>
      <c r="F508">
        <v>1</v>
      </c>
      <c r="G508" t="s">
        <v>73</v>
      </c>
      <c r="H508" t="s">
        <v>78</v>
      </c>
      <c r="I508">
        <v>140000000</v>
      </c>
      <c r="J508" t="s">
        <v>58</v>
      </c>
      <c r="K508" t="s">
        <v>2</v>
      </c>
      <c r="L508" t="s">
        <v>67</v>
      </c>
      <c r="M508" t="s">
        <v>82</v>
      </c>
      <c r="N508" t="s">
        <v>13</v>
      </c>
    </row>
    <row r="509" spans="1:14" x14ac:dyDescent="0.35">
      <c r="A509" s="75">
        <v>43886</v>
      </c>
      <c r="B509" t="s">
        <v>164</v>
      </c>
      <c r="C509" t="s">
        <v>93</v>
      </c>
      <c r="D509">
        <v>4</v>
      </c>
      <c r="E509">
        <v>2</v>
      </c>
      <c r="F509">
        <v>2</v>
      </c>
      <c r="G509" t="s">
        <v>113</v>
      </c>
      <c r="H509" t="s">
        <v>77</v>
      </c>
      <c r="I509">
        <v>60000000</v>
      </c>
      <c r="J509" t="s">
        <v>32</v>
      </c>
      <c r="K509" t="s">
        <v>5</v>
      </c>
      <c r="L509" t="s">
        <v>67</v>
      </c>
      <c r="M509" t="s">
        <v>80</v>
      </c>
      <c r="N509" t="s">
        <v>11</v>
      </c>
    </row>
    <row r="510" spans="1:14" x14ac:dyDescent="0.35">
      <c r="A510" s="75">
        <v>43886</v>
      </c>
      <c r="B510" t="s">
        <v>164</v>
      </c>
      <c r="C510" t="s">
        <v>93</v>
      </c>
      <c r="D510">
        <v>3</v>
      </c>
      <c r="E510">
        <v>1</v>
      </c>
      <c r="F510">
        <v>2</v>
      </c>
      <c r="G510" t="s">
        <v>74</v>
      </c>
      <c r="H510" t="s">
        <v>77</v>
      </c>
      <c r="I510">
        <v>80000000</v>
      </c>
      <c r="J510" t="s">
        <v>29</v>
      </c>
      <c r="K510" t="s">
        <v>5</v>
      </c>
      <c r="L510" t="s">
        <v>67</v>
      </c>
      <c r="M510" t="s">
        <v>80</v>
      </c>
      <c r="N510" t="s">
        <v>11</v>
      </c>
    </row>
    <row r="511" spans="1:14" x14ac:dyDescent="0.35">
      <c r="A511" s="75">
        <v>43887</v>
      </c>
      <c r="B511" t="s">
        <v>165</v>
      </c>
      <c r="C511" t="s">
        <v>93</v>
      </c>
      <c r="D511">
        <v>10</v>
      </c>
      <c r="E511">
        <v>6</v>
      </c>
      <c r="F511">
        <v>4</v>
      </c>
      <c r="G511" t="s">
        <v>74</v>
      </c>
      <c r="H511" t="s">
        <v>77</v>
      </c>
      <c r="I511">
        <v>100000000</v>
      </c>
      <c r="J511" t="s">
        <v>39</v>
      </c>
      <c r="K511" t="s">
        <v>7</v>
      </c>
      <c r="L511" t="s">
        <v>67</v>
      </c>
      <c r="M511" t="s">
        <v>80</v>
      </c>
      <c r="N511" t="s">
        <v>13</v>
      </c>
    </row>
    <row r="512" spans="1:14" x14ac:dyDescent="0.35">
      <c r="A512" s="75">
        <v>43887</v>
      </c>
      <c r="B512" t="s">
        <v>165</v>
      </c>
      <c r="C512" t="s">
        <v>93</v>
      </c>
      <c r="D512">
        <v>10</v>
      </c>
      <c r="E512">
        <v>8</v>
      </c>
      <c r="F512">
        <v>2</v>
      </c>
      <c r="G512" t="s">
        <v>70</v>
      </c>
      <c r="H512" t="s">
        <v>1</v>
      </c>
      <c r="I512">
        <v>60000000</v>
      </c>
      <c r="J512" t="s">
        <v>62</v>
      </c>
      <c r="K512" t="s">
        <v>5</v>
      </c>
      <c r="L512" t="s">
        <v>67</v>
      </c>
      <c r="M512" t="s">
        <v>81</v>
      </c>
      <c r="N512" t="s">
        <v>11</v>
      </c>
    </row>
    <row r="513" spans="1:14" x14ac:dyDescent="0.35">
      <c r="A513" s="75">
        <v>43887</v>
      </c>
      <c r="B513" t="s">
        <v>165</v>
      </c>
      <c r="C513" t="s">
        <v>93</v>
      </c>
      <c r="D513">
        <v>8</v>
      </c>
      <c r="E513">
        <v>5</v>
      </c>
      <c r="F513">
        <v>3</v>
      </c>
      <c r="G513" t="s">
        <v>71</v>
      </c>
      <c r="H513" t="s">
        <v>6</v>
      </c>
      <c r="I513">
        <v>40000000</v>
      </c>
      <c r="J513" t="s">
        <v>63</v>
      </c>
      <c r="K513" t="s">
        <v>9</v>
      </c>
      <c r="L513" t="s">
        <v>67</v>
      </c>
      <c r="M513" t="s">
        <v>81</v>
      </c>
      <c r="N513" t="s">
        <v>13</v>
      </c>
    </row>
    <row r="514" spans="1:14" x14ac:dyDescent="0.35">
      <c r="A514" s="75">
        <v>43887</v>
      </c>
      <c r="B514" t="s">
        <v>165</v>
      </c>
      <c r="C514" t="s">
        <v>93</v>
      </c>
      <c r="D514">
        <v>8</v>
      </c>
      <c r="E514">
        <v>5</v>
      </c>
      <c r="F514">
        <v>3</v>
      </c>
      <c r="G514" t="s">
        <v>72</v>
      </c>
      <c r="H514" t="s">
        <v>78</v>
      </c>
      <c r="I514">
        <v>60000000</v>
      </c>
      <c r="J514" t="s">
        <v>16</v>
      </c>
      <c r="K514" t="s">
        <v>5</v>
      </c>
      <c r="L514" t="s">
        <v>67</v>
      </c>
      <c r="M514" t="s">
        <v>82</v>
      </c>
      <c r="N514" t="s">
        <v>14</v>
      </c>
    </row>
    <row r="515" spans="1:14" x14ac:dyDescent="0.35">
      <c r="A515" s="75">
        <v>43887</v>
      </c>
      <c r="B515" t="s">
        <v>165</v>
      </c>
      <c r="C515" t="s">
        <v>93</v>
      </c>
      <c r="D515">
        <v>5</v>
      </c>
      <c r="E515">
        <v>3</v>
      </c>
      <c r="F515">
        <v>2</v>
      </c>
      <c r="G515" t="s">
        <v>113</v>
      </c>
      <c r="H515" t="s">
        <v>77</v>
      </c>
      <c r="I515">
        <v>60000000</v>
      </c>
      <c r="J515" t="s">
        <v>60</v>
      </c>
      <c r="K515" t="s">
        <v>2</v>
      </c>
      <c r="L515" t="s">
        <v>67</v>
      </c>
      <c r="M515" t="s">
        <v>82</v>
      </c>
      <c r="N515" t="s">
        <v>13</v>
      </c>
    </row>
    <row r="516" spans="1:14" x14ac:dyDescent="0.35">
      <c r="A516" s="75">
        <v>43887</v>
      </c>
      <c r="B516" t="s">
        <v>165</v>
      </c>
      <c r="C516" t="s">
        <v>93</v>
      </c>
      <c r="D516">
        <v>3</v>
      </c>
      <c r="E516">
        <v>2</v>
      </c>
      <c r="F516">
        <v>1</v>
      </c>
      <c r="G516" t="s">
        <v>72</v>
      </c>
      <c r="H516" t="s">
        <v>78</v>
      </c>
      <c r="I516">
        <v>60000000</v>
      </c>
      <c r="J516" t="s">
        <v>52</v>
      </c>
      <c r="K516" t="s">
        <v>9</v>
      </c>
      <c r="L516" t="s">
        <v>67</v>
      </c>
      <c r="M516" t="s">
        <v>80</v>
      </c>
      <c r="N516" t="s">
        <v>13</v>
      </c>
    </row>
    <row r="517" spans="1:14" x14ac:dyDescent="0.35">
      <c r="A517" s="75">
        <v>43887</v>
      </c>
      <c r="B517" t="s">
        <v>165</v>
      </c>
      <c r="C517" t="s">
        <v>93</v>
      </c>
      <c r="D517">
        <v>3</v>
      </c>
      <c r="E517">
        <v>1</v>
      </c>
      <c r="F517">
        <v>2</v>
      </c>
      <c r="G517" t="s">
        <v>70</v>
      </c>
      <c r="H517" t="s">
        <v>1</v>
      </c>
      <c r="I517">
        <v>140000000</v>
      </c>
      <c r="J517" t="s">
        <v>37</v>
      </c>
      <c r="K517" t="s">
        <v>5</v>
      </c>
      <c r="L517" t="s">
        <v>67</v>
      </c>
      <c r="M517" t="s">
        <v>80</v>
      </c>
      <c r="N517" t="s">
        <v>14</v>
      </c>
    </row>
    <row r="518" spans="1:14" x14ac:dyDescent="0.35">
      <c r="A518" s="75">
        <v>43887</v>
      </c>
      <c r="B518" t="s">
        <v>165</v>
      </c>
      <c r="C518" t="s">
        <v>93</v>
      </c>
      <c r="D518">
        <v>3</v>
      </c>
      <c r="E518">
        <v>2</v>
      </c>
      <c r="F518">
        <v>1</v>
      </c>
      <c r="G518" t="s">
        <v>114</v>
      </c>
      <c r="H518" t="s">
        <v>3</v>
      </c>
      <c r="I518">
        <v>120000000</v>
      </c>
      <c r="J518" t="s">
        <v>15</v>
      </c>
      <c r="K518" t="s">
        <v>7</v>
      </c>
      <c r="L518" t="s">
        <v>67</v>
      </c>
      <c r="M518" t="s">
        <v>82</v>
      </c>
      <c r="N518" t="s">
        <v>12</v>
      </c>
    </row>
    <row r="519" spans="1:14" x14ac:dyDescent="0.35">
      <c r="A519" s="75">
        <v>43888</v>
      </c>
      <c r="B519" t="s">
        <v>166</v>
      </c>
      <c r="C519" t="s">
        <v>93</v>
      </c>
      <c r="D519">
        <v>10</v>
      </c>
      <c r="E519">
        <v>6</v>
      </c>
      <c r="F519">
        <v>4</v>
      </c>
      <c r="G519" t="s">
        <v>113</v>
      </c>
      <c r="H519" t="s">
        <v>77</v>
      </c>
      <c r="I519">
        <v>60000000</v>
      </c>
      <c r="J519" t="s">
        <v>20</v>
      </c>
      <c r="K519" t="s">
        <v>8</v>
      </c>
      <c r="L519" t="s">
        <v>67</v>
      </c>
      <c r="M519" t="s">
        <v>81</v>
      </c>
      <c r="N519" t="s">
        <v>14</v>
      </c>
    </row>
    <row r="520" spans="1:14" x14ac:dyDescent="0.35">
      <c r="A520" s="75">
        <v>43888</v>
      </c>
      <c r="B520" t="s">
        <v>166</v>
      </c>
      <c r="C520" t="s">
        <v>93</v>
      </c>
      <c r="D520">
        <v>10</v>
      </c>
      <c r="E520">
        <v>6</v>
      </c>
      <c r="F520">
        <v>4</v>
      </c>
      <c r="G520" t="s">
        <v>113</v>
      </c>
      <c r="H520" t="s">
        <v>77</v>
      </c>
      <c r="I520">
        <v>80000000</v>
      </c>
      <c r="J520" t="s">
        <v>39</v>
      </c>
      <c r="K520" t="s">
        <v>7</v>
      </c>
      <c r="L520" t="s">
        <v>67</v>
      </c>
      <c r="M520" t="s">
        <v>80</v>
      </c>
      <c r="N520" t="s">
        <v>14</v>
      </c>
    </row>
    <row r="521" spans="1:14" x14ac:dyDescent="0.35">
      <c r="A521" s="75">
        <v>43888</v>
      </c>
      <c r="B521" t="s">
        <v>166</v>
      </c>
      <c r="C521" t="s">
        <v>93</v>
      </c>
      <c r="D521">
        <v>8</v>
      </c>
      <c r="E521">
        <v>5</v>
      </c>
      <c r="F521">
        <v>3</v>
      </c>
      <c r="G521" t="s">
        <v>70</v>
      </c>
      <c r="H521" t="s">
        <v>1</v>
      </c>
      <c r="I521">
        <v>100000000</v>
      </c>
      <c r="J521" t="s">
        <v>38</v>
      </c>
      <c r="K521" t="s">
        <v>2</v>
      </c>
      <c r="L521" t="s">
        <v>67</v>
      </c>
      <c r="M521" t="s">
        <v>81</v>
      </c>
      <c r="N521" t="s">
        <v>13</v>
      </c>
    </row>
    <row r="522" spans="1:14" x14ac:dyDescent="0.35">
      <c r="A522" s="75">
        <v>43888</v>
      </c>
      <c r="B522" t="s">
        <v>166</v>
      </c>
      <c r="C522" t="s">
        <v>93</v>
      </c>
      <c r="D522">
        <v>6</v>
      </c>
      <c r="E522">
        <v>5</v>
      </c>
      <c r="F522">
        <v>1</v>
      </c>
      <c r="G522" t="s">
        <v>75</v>
      </c>
      <c r="H522" t="s">
        <v>6</v>
      </c>
      <c r="I522">
        <v>120000000</v>
      </c>
      <c r="J522" t="s">
        <v>27</v>
      </c>
      <c r="K522" t="s">
        <v>4</v>
      </c>
      <c r="L522" t="s">
        <v>67</v>
      </c>
      <c r="M522" t="s">
        <v>82</v>
      </c>
      <c r="N522" t="s">
        <v>14</v>
      </c>
    </row>
    <row r="523" spans="1:14" x14ac:dyDescent="0.35">
      <c r="A523" s="75">
        <v>43888</v>
      </c>
      <c r="B523" t="s">
        <v>166</v>
      </c>
      <c r="C523" t="s">
        <v>93</v>
      </c>
      <c r="D523">
        <v>6</v>
      </c>
      <c r="E523">
        <v>4</v>
      </c>
      <c r="F523">
        <v>2</v>
      </c>
      <c r="G523" t="s">
        <v>74</v>
      </c>
      <c r="H523" t="s">
        <v>77</v>
      </c>
      <c r="I523">
        <v>80000000</v>
      </c>
      <c r="J523" t="s">
        <v>33</v>
      </c>
      <c r="K523" t="s">
        <v>2</v>
      </c>
      <c r="L523" t="s">
        <v>67</v>
      </c>
      <c r="M523" t="s">
        <v>82</v>
      </c>
      <c r="N523" t="s">
        <v>14</v>
      </c>
    </row>
    <row r="524" spans="1:14" x14ac:dyDescent="0.35">
      <c r="A524" s="75">
        <v>43888</v>
      </c>
      <c r="B524" t="s">
        <v>166</v>
      </c>
      <c r="C524" t="s">
        <v>93</v>
      </c>
      <c r="D524">
        <v>5</v>
      </c>
      <c r="E524">
        <v>3</v>
      </c>
      <c r="F524">
        <v>2</v>
      </c>
      <c r="G524" t="s">
        <v>73</v>
      </c>
      <c r="H524" t="s">
        <v>78</v>
      </c>
      <c r="I524">
        <v>40000000</v>
      </c>
      <c r="J524" t="s">
        <v>19</v>
      </c>
      <c r="K524" t="s">
        <v>5</v>
      </c>
      <c r="L524" t="s">
        <v>67</v>
      </c>
      <c r="M524" t="s">
        <v>82</v>
      </c>
      <c r="N524" t="s">
        <v>11</v>
      </c>
    </row>
    <row r="525" spans="1:14" x14ac:dyDescent="0.35">
      <c r="A525" s="75">
        <v>43888</v>
      </c>
      <c r="B525" t="s">
        <v>166</v>
      </c>
      <c r="C525" t="s">
        <v>93</v>
      </c>
      <c r="D525">
        <v>5</v>
      </c>
      <c r="E525">
        <v>4</v>
      </c>
      <c r="F525">
        <v>1</v>
      </c>
      <c r="G525" t="s">
        <v>113</v>
      </c>
      <c r="H525" t="s">
        <v>77</v>
      </c>
      <c r="I525">
        <v>80000000</v>
      </c>
      <c r="J525" t="s">
        <v>20</v>
      </c>
      <c r="K525" t="s">
        <v>9</v>
      </c>
      <c r="L525" t="s">
        <v>67</v>
      </c>
      <c r="M525" t="s">
        <v>82</v>
      </c>
      <c r="N525" t="s">
        <v>11</v>
      </c>
    </row>
    <row r="526" spans="1:14" x14ac:dyDescent="0.35">
      <c r="A526" s="75">
        <v>43888</v>
      </c>
      <c r="B526" t="s">
        <v>166</v>
      </c>
      <c r="C526" t="s">
        <v>93</v>
      </c>
      <c r="D526">
        <v>4</v>
      </c>
      <c r="E526">
        <v>2</v>
      </c>
      <c r="F526">
        <v>2</v>
      </c>
      <c r="G526" t="s">
        <v>70</v>
      </c>
      <c r="H526" t="s">
        <v>1</v>
      </c>
      <c r="I526">
        <v>100000000</v>
      </c>
      <c r="J526" t="s">
        <v>59</v>
      </c>
      <c r="K526" t="s">
        <v>2</v>
      </c>
      <c r="L526" t="s">
        <v>67</v>
      </c>
      <c r="M526" t="s">
        <v>81</v>
      </c>
      <c r="N526" t="s">
        <v>11</v>
      </c>
    </row>
    <row r="527" spans="1:14" x14ac:dyDescent="0.35">
      <c r="A527" s="75">
        <v>43889</v>
      </c>
      <c r="B527" t="s">
        <v>167</v>
      </c>
      <c r="C527" t="s">
        <v>93</v>
      </c>
      <c r="D527">
        <v>10</v>
      </c>
      <c r="E527">
        <v>9</v>
      </c>
      <c r="F527">
        <v>1</v>
      </c>
      <c r="G527" t="s">
        <v>70</v>
      </c>
      <c r="H527" t="s">
        <v>1</v>
      </c>
      <c r="I527">
        <v>100000000</v>
      </c>
      <c r="J527" t="s">
        <v>64</v>
      </c>
      <c r="K527" t="s">
        <v>5</v>
      </c>
      <c r="L527" t="s">
        <v>67</v>
      </c>
      <c r="M527" t="s">
        <v>82</v>
      </c>
      <c r="N527" t="s">
        <v>11</v>
      </c>
    </row>
    <row r="528" spans="1:14" x14ac:dyDescent="0.35">
      <c r="A528" s="75">
        <v>43889</v>
      </c>
      <c r="B528" t="s">
        <v>167</v>
      </c>
      <c r="C528" t="s">
        <v>93</v>
      </c>
      <c r="D528">
        <v>9</v>
      </c>
      <c r="E528">
        <v>7</v>
      </c>
      <c r="F528">
        <v>2</v>
      </c>
      <c r="G528" t="s">
        <v>73</v>
      </c>
      <c r="H528" t="s">
        <v>78</v>
      </c>
      <c r="I528">
        <v>140000000</v>
      </c>
      <c r="J528" t="s">
        <v>27</v>
      </c>
      <c r="K528" t="s">
        <v>2</v>
      </c>
      <c r="L528" t="s">
        <v>67</v>
      </c>
      <c r="M528" t="s">
        <v>81</v>
      </c>
      <c r="N528" t="s">
        <v>11</v>
      </c>
    </row>
    <row r="529" spans="1:14" x14ac:dyDescent="0.35">
      <c r="A529" s="75">
        <v>43889</v>
      </c>
      <c r="B529" t="s">
        <v>167</v>
      </c>
      <c r="C529" t="s">
        <v>93</v>
      </c>
      <c r="D529">
        <v>8</v>
      </c>
      <c r="E529">
        <v>4</v>
      </c>
      <c r="F529">
        <v>4</v>
      </c>
      <c r="G529" t="s">
        <v>71</v>
      </c>
      <c r="H529" t="s">
        <v>6</v>
      </c>
      <c r="I529">
        <v>40000000</v>
      </c>
      <c r="J529" t="s">
        <v>22</v>
      </c>
      <c r="K529" t="s">
        <v>2</v>
      </c>
      <c r="L529" t="s">
        <v>67</v>
      </c>
      <c r="M529" t="s">
        <v>80</v>
      </c>
      <c r="N529" t="s">
        <v>13</v>
      </c>
    </row>
    <row r="530" spans="1:14" x14ac:dyDescent="0.35">
      <c r="A530" s="75">
        <v>43889</v>
      </c>
      <c r="B530" t="s">
        <v>167</v>
      </c>
      <c r="C530" t="s">
        <v>93</v>
      </c>
      <c r="D530">
        <v>8</v>
      </c>
      <c r="E530">
        <v>6</v>
      </c>
      <c r="F530">
        <v>2</v>
      </c>
      <c r="G530" t="s">
        <v>113</v>
      </c>
      <c r="H530" t="s">
        <v>77</v>
      </c>
      <c r="I530">
        <v>120000000</v>
      </c>
      <c r="J530" t="s">
        <v>55</v>
      </c>
      <c r="K530" t="s">
        <v>4</v>
      </c>
      <c r="L530" t="s">
        <v>67</v>
      </c>
      <c r="M530" t="s">
        <v>80</v>
      </c>
      <c r="N530" t="s">
        <v>12</v>
      </c>
    </row>
    <row r="531" spans="1:14" x14ac:dyDescent="0.35">
      <c r="A531" s="75">
        <v>43889</v>
      </c>
      <c r="B531" t="s">
        <v>167</v>
      </c>
      <c r="C531" t="s">
        <v>93</v>
      </c>
      <c r="D531">
        <v>6</v>
      </c>
      <c r="E531">
        <v>5</v>
      </c>
      <c r="F531">
        <v>1</v>
      </c>
      <c r="G531" t="s">
        <v>73</v>
      </c>
      <c r="H531" t="s">
        <v>78</v>
      </c>
      <c r="I531">
        <v>140000000</v>
      </c>
      <c r="J531" t="s">
        <v>52</v>
      </c>
      <c r="K531" t="s">
        <v>9</v>
      </c>
      <c r="L531" t="s">
        <v>67</v>
      </c>
      <c r="M531" t="s">
        <v>81</v>
      </c>
      <c r="N531" t="s">
        <v>14</v>
      </c>
    </row>
    <row r="532" spans="1:14" x14ac:dyDescent="0.35">
      <c r="A532" s="75">
        <v>43889</v>
      </c>
      <c r="B532" t="s">
        <v>167</v>
      </c>
      <c r="C532" t="s">
        <v>93</v>
      </c>
      <c r="D532">
        <v>4</v>
      </c>
      <c r="E532">
        <v>3</v>
      </c>
      <c r="F532">
        <v>1</v>
      </c>
      <c r="G532" t="s">
        <v>73</v>
      </c>
      <c r="H532" t="s">
        <v>78</v>
      </c>
      <c r="I532">
        <v>140000000</v>
      </c>
      <c r="J532" t="s">
        <v>55</v>
      </c>
      <c r="K532" t="s">
        <v>5</v>
      </c>
      <c r="L532" t="s">
        <v>67</v>
      </c>
      <c r="M532" t="s">
        <v>82</v>
      </c>
      <c r="N532" t="s">
        <v>12</v>
      </c>
    </row>
    <row r="533" spans="1:14" x14ac:dyDescent="0.35">
      <c r="A533" s="75">
        <v>43889</v>
      </c>
      <c r="B533" t="s">
        <v>167</v>
      </c>
      <c r="C533" t="s">
        <v>93</v>
      </c>
      <c r="D533">
        <v>3</v>
      </c>
      <c r="E533">
        <v>2</v>
      </c>
      <c r="F533">
        <v>1</v>
      </c>
      <c r="G533" t="s">
        <v>114</v>
      </c>
      <c r="H533" t="s">
        <v>3</v>
      </c>
      <c r="I533">
        <v>60000000</v>
      </c>
      <c r="J533" t="s">
        <v>31</v>
      </c>
      <c r="K533" t="s">
        <v>5</v>
      </c>
      <c r="L533" t="s">
        <v>67</v>
      </c>
      <c r="M533" t="s">
        <v>81</v>
      </c>
      <c r="N533" t="s">
        <v>11</v>
      </c>
    </row>
    <row r="534" spans="1:14" x14ac:dyDescent="0.35">
      <c r="A534" s="75">
        <v>43889</v>
      </c>
      <c r="B534" t="s">
        <v>167</v>
      </c>
      <c r="C534" t="s">
        <v>93</v>
      </c>
      <c r="D534">
        <v>3</v>
      </c>
      <c r="E534">
        <v>1</v>
      </c>
      <c r="F534">
        <v>2</v>
      </c>
      <c r="G534" t="s">
        <v>113</v>
      </c>
      <c r="H534" t="s">
        <v>77</v>
      </c>
      <c r="I534">
        <v>80000000</v>
      </c>
      <c r="J534" t="s">
        <v>42</v>
      </c>
      <c r="K534" t="s">
        <v>8</v>
      </c>
      <c r="L534" t="s">
        <v>67</v>
      </c>
      <c r="M534" t="s">
        <v>82</v>
      </c>
      <c r="N534" t="s">
        <v>11</v>
      </c>
    </row>
    <row r="535" spans="1:14" x14ac:dyDescent="0.35">
      <c r="A535" s="75">
        <v>43890</v>
      </c>
      <c r="B535" t="s">
        <v>168</v>
      </c>
      <c r="C535" t="s">
        <v>93</v>
      </c>
      <c r="D535">
        <v>10</v>
      </c>
      <c r="E535">
        <v>7</v>
      </c>
      <c r="F535">
        <v>3</v>
      </c>
      <c r="G535" t="s">
        <v>73</v>
      </c>
      <c r="H535" t="s">
        <v>78</v>
      </c>
      <c r="I535">
        <v>100000000</v>
      </c>
      <c r="J535" t="s">
        <v>45</v>
      </c>
      <c r="K535" t="s">
        <v>2</v>
      </c>
      <c r="L535" t="s">
        <v>67</v>
      </c>
      <c r="M535" t="s">
        <v>81</v>
      </c>
      <c r="N535" t="s">
        <v>14</v>
      </c>
    </row>
    <row r="536" spans="1:14" x14ac:dyDescent="0.35">
      <c r="A536" s="75">
        <v>43890</v>
      </c>
      <c r="B536" t="s">
        <v>168</v>
      </c>
      <c r="C536" t="s">
        <v>93</v>
      </c>
      <c r="D536">
        <v>10</v>
      </c>
      <c r="E536">
        <v>7</v>
      </c>
      <c r="F536">
        <v>3</v>
      </c>
      <c r="G536" t="s">
        <v>76</v>
      </c>
      <c r="H536" t="s">
        <v>79</v>
      </c>
      <c r="I536">
        <v>120000000</v>
      </c>
      <c r="J536" t="s">
        <v>44</v>
      </c>
      <c r="K536" t="s">
        <v>5</v>
      </c>
      <c r="L536" t="s">
        <v>67</v>
      </c>
      <c r="M536" t="s">
        <v>82</v>
      </c>
      <c r="N536" t="s">
        <v>12</v>
      </c>
    </row>
    <row r="537" spans="1:14" x14ac:dyDescent="0.35">
      <c r="A537" s="75">
        <v>43890</v>
      </c>
      <c r="B537" t="s">
        <v>168</v>
      </c>
      <c r="C537" t="s">
        <v>93</v>
      </c>
      <c r="D537">
        <v>10</v>
      </c>
      <c r="E537">
        <v>7</v>
      </c>
      <c r="F537">
        <v>3</v>
      </c>
      <c r="G537" t="s">
        <v>74</v>
      </c>
      <c r="H537" t="s">
        <v>77</v>
      </c>
      <c r="I537">
        <v>80000000</v>
      </c>
      <c r="J537" t="s">
        <v>42</v>
      </c>
      <c r="K537" t="s">
        <v>5</v>
      </c>
      <c r="L537" t="s">
        <v>67</v>
      </c>
      <c r="M537" t="s">
        <v>82</v>
      </c>
      <c r="N537" t="s">
        <v>14</v>
      </c>
    </row>
    <row r="538" spans="1:14" x14ac:dyDescent="0.35">
      <c r="A538" s="75">
        <v>43890</v>
      </c>
      <c r="B538" t="s">
        <v>168</v>
      </c>
      <c r="C538" t="s">
        <v>93</v>
      </c>
      <c r="D538">
        <v>10</v>
      </c>
      <c r="E538">
        <v>9</v>
      </c>
      <c r="F538">
        <v>1</v>
      </c>
      <c r="G538" t="s">
        <v>76</v>
      </c>
      <c r="H538" t="s">
        <v>79</v>
      </c>
      <c r="I538">
        <v>100000000</v>
      </c>
      <c r="J538" t="s">
        <v>35</v>
      </c>
      <c r="K538" t="s">
        <v>2</v>
      </c>
      <c r="L538" t="s">
        <v>67</v>
      </c>
      <c r="M538" t="s">
        <v>80</v>
      </c>
      <c r="N538" t="s">
        <v>11</v>
      </c>
    </row>
    <row r="539" spans="1:14" x14ac:dyDescent="0.35">
      <c r="A539" s="75">
        <v>43890</v>
      </c>
      <c r="B539" t="s">
        <v>168</v>
      </c>
      <c r="C539" t="s">
        <v>93</v>
      </c>
      <c r="D539">
        <v>9</v>
      </c>
      <c r="E539">
        <v>5</v>
      </c>
      <c r="F539">
        <v>4</v>
      </c>
      <c r="G539" t="s">
        <v>72</v>
      </c>
      <c r="H539" t="s">
        <v>78</v>
      </c>
      <c r="I539">
        <v>80000000</v>
      </c>
      <c r="J539" t="s">
        <v>40</v>
      </c>
      <c r="K539" t="s">
        <v>7</v>
      </c>
      <c r="L539" t="s">
        <v>67</v>
      </c>
      <c r="M539" t="s">
        <v>82</v>
      </c>
      <c r="N539" t="s">
        <v>14</v>
      </c>
    </row>
    <row r="540" spans="1:14" x14ac:dyDescent="0.35">
      <c r="A540" s="75">
        <v>43890</v>
      </c>
      <c r="B540" t="s">
        <v>168</v>
      </c>
      <c r="C540" t="s">
        <v>93</v>
      </c>
      <c r="D540">
        <v>9</v>
      </c>
      <c r="E540">
        <v>7</v>
      </c>
      <c r="F540">
        <v>2</v>
      </c>
      <c r="G540" t="s">
        <v>114</v>
      </c>
      <c r="H540" t="s">
        <v>3</v>
      </c>
      <c r="I540">
        <v>100000000</v>
      </c>
      <c r="J540" t="s">
        <v>52</v>
      </c>
      <c r="K540" t="s">
        <v>5</v>
      </c>
      <c r="L540" t="s">
        <v>67</v>
      </c>
      <c r="M540" t="s">
        <v>82</v>
      </c>
      <c r="N540" t="s">
        <v>11</v>
      </c>
    </row>
    <row r="541" spans="1:14" x14ac:dyDescent="0.35">
      <c r="A541" s="75">
        <v>43890</v>
      </c>
      <c r="B541" t="s">
        <v>168</v>
      </c>
      <c r="C541" t="s">
        <v>93</v>
      </c>
      <c r="D541">
        <v>8</v>
      </c>
      <c r="E541">
        <v>4</v>
      </c>
      <c r="F541">
        <v>4</v>
      </c>
      <c r="G541" t="s">
        <v>70</v>
      </c>
      <c r="H541" t="s">
        <v>1</v>
      </c>
      <c r="I541">
        <v>140000000</v>
      </c>
      <c r="J541" t="s">
        <v>54</v>
      </c>
      <c r="K541" t="s">
        <v>2</v>
      </c>
      <c r="L541" t="s">
        <v>67</v>
      </c>
      <c r="M541" t="s">
        <v>82</v>
      </c>
      <c r="N541" t="s">
        <v>14</v>
      </c>
    </row>
    <row r="542" spans="1:14" x14ac:dyDescent="0.35">
      <c r="A542" s="75">
        <v>43890</v>
      </c>
      <c r="B542" t="s">
        <v>168</v>
      </c>
      <c r="C542" t="s">
        <v>93</v>
      </c>
      <c r="D542">
        <v>6</v>
      </c>
      <c r="E542">
        <v>3</v>
      </c>
      <c r="F542">
        <v>3</v>
      </c>
      <c r="G542" t="s">
        <v>70</v>
      </c>
      <c r="H542" t="s">
        <v>1</v>
      </c>
      <c r="I542">
        <v>80000000</v>
      </c>
      <c r="J542" t="s">
        <v>42</v>
      </c>
      <c r="K542" t="s">
        <v>5</v>
      </c>
      <c r="L542" t="s">
        <v>67</v>
      </c>
      <c r="M542" t="s">
        <v>81</v>
      </c>
      <c r="N542" t="s">
        <v>14</v>
      </c>
    </row>
    <row r="543" spans="1:14" x14ac:dyDescent="0.35">
      <c r="A543" s="75">
        <v>43890</v>
      </c>
      <c r="B543" t="s">
        <v>168</v>
      </c>
      <c r="C543" t="s">
        <v>93</v>
      </c>
      <c r="D543">
        <v>6</v>
      </c>
      <c r="E543">
        <v>4</v>
      </c>
      <c r="F543">
        <v>2</v>
      </c>
      <c r="G543" t="s">
        <v>73</v>
      </c>
      <c r="H543" t="s">
        <v>78</v>
      </c>
      <c r="I543">
        <v>60000000</v>
      </c>
      <c r="J543" t="s">
        <v>30</v>
      </c>
      <c r="K543" t="s">
        <v>2</v>
      </c>
      <c r="L543" t="s">
        <v>67</v>
      </c>
      <c r="M543" t="s">
        <v>80</v>
      </c>
      <c r="N543" t="s">
        <v>11</v>
      </c>
    </row>
    <row r="544" spans="1:14" x14ac:dyDescent="0.35">
      <c r="A544" s="75">
        <v>43890</v>
      </c>
      <c r="B544" t="s">
        <v>168</v>
      </c>
      <c r="C544" t="s">
        <v>93</v>
      </c>
      <c r="D544">
        <v>6</v>
      </c>
      <c r="E544">
        <v>5</v>
      </c>
      <c r="F544">
        <v>1</v>
      </c>
      <c r="G544" t="s">
        <v>70</v>
      </c>
      <c r="H544" t="s">
        <v>1</v>
      </c>
      <c r="I544">
        <v>100000000</v>
      </c>
      <c r="J544" t="s">
        <v>55</v>
      </c>
      <c r="K544" t="s">
        <v>2</v>
      </c>
      <c r="L544" t="s">
        <v>67</v>
      </c>
      <c r="M544" t="s">
        <v>80</v>
      </c>
      <c r="N544" t="s">
        <v>14</v>
      </c>
    </row>
    <row r="545" spans="1:14" x14ac:dyDescent="0.35">
      <c r="A545" s="75">
        <v>43890</v>
      </c>
      <c r="B545" t="s">
        <v>168</v>
      </c>
      <c r="C545" t="s">
        <v>93</v>
      </c>
      <c r="D545">
        <v>4</v>
      </c>
      <c r="E545">
        <v>3</v>
      </c>
      <c r="F545">
        <v>1</v>
      </c>
      <c r="G545" t="s">
        <v>76</v>
      </c>
      <c r="H545" t="s">
        <v>79</v>
      </c>
      <c r="I545">
        <v>140000000</v>
      </c>
      <c r="J545" t="s">
        <v>23</v>
      </c>
      <c r="K545" t="s">
        <v>2</v>
      </c>
      <c r="L545" t="s">
        <v>67</v>
      </c>
      <c r="M545" t="s">
        <v>81</v>
      </c>
      <c r="N545" t="s">
        <v>13</v>
      </c>
    </row>
    <row r="546" spans="1:14" x14ac:dyDescent="0.35">
      <c r="A546" s="75">
        <v>43890</v>
      </c>
      <c r="B546" t="s">
        <v>168</v>
      </c>
      <c r="C546" t="s">
        <v>93</v>
      </c>
      <c r="D546">
        <v>4</v>
      </c>
      <c r="E546">
        <v>3</v>
      </c>
      <c r="F546">
        <v>1</v>
      </c>
      <c r="G546" t="s">
        <v>114</v>
      </c>
      <c r="H546" t="s">
        <v>3</v>
      </c>
      <c r="I546">
        <v>40000000</v>
      </c>
      <c r="J546" t="s">
        <v>28</v>
      </c>
      <c r="K546" t="s">
        <v>7</v>
      </c>
      <c r="L546" t="s">
        <v>67</v>
      </c>
      <c r="M546" t="s">
        <v>80</v>
      </c>
      <c r="N546" t="s">
        <v>13</v>
      </c>
    </row>
    <row r="547" spans="1:14" x14ac:dyDescent="0.35">
      <c r="A547" s="75">
        <v>43890</v>
      </c>
      <c r="B547" t="s">
        <v>168</v>
      </c>
      <c r="C547" t="s">
        <v>93</v>
      </c>
      <c r="D547">
        <v>3</v>
      </c>
      <c r="E547">
        <v>1</v>
      </c>
      <c r="F547">
        <v>2</v>
      </c>
      <c r="G547" t="s">
        <v>76</v>
      </c>
      <c r="H547" t="s">
        <v>79</v>
      </c>
      <c r="I547">
        <v>80000000</v>
      </c>
      <c r="J547" t="s">
        <v>25</v>
      </c>
      <c r="K547" t="s">
        <v>5</v>
      </c>
      <c r="L547" t="s">
        <v>67</v>
      </c>
      <c r="M547" t="s">
        <v>81</v>
      </c>
      <c r="N547" t="s">
        <v>14</v>
      </c>
    </row>
    <row r="548" spans="1:14" x14ac:dyDescent="0.35">
      <c r="A548" s="75">
        <v>43891</v>
      </c>
      <c r="B548" t="s">
        <v>140</v>
      </c>
      <c r="C548" t="s">
        <v>94</v>
      </c>
      <c r="D548">
        <v>10</v>
      </c>
      <c r="E548">
        <v>10</v>
      </c>
      <c r="F548" t="s">
        <v>10</v>
      </c>
      <c r="G548" t="s">
        <v>73</v>
      </c>
      <c r="H548" t="s">
        <v>78</v>
      </c>
      <c r="I548">
        <v>140000000</v>
      </c>
      <c r="J548" t="s">
        <v>17</v>
      </c>
      <c r="K548" t="s">
        <v>8</v>
      </c>
      <c r="L548" t="s">
        <v>67</v>
      </c>
      <c r="M548" t="s">
        <v>80</v>
      </c>
      <c r="N548" t="s">
        <v>13</v>
      </c>
    </row>
    <row r="549" spans="1:14" x14ac:dyDescent="0.35">
      <c r="A549" s="75">
        <v>43891</v>
      </c>
      <c r="B549" t="s">
        <v>140</v>
      </c>
      <c r="C549" t="s">
        <v>94</v>
      </c>
      <c r="D549">
        <v>8</v>
      </c>
      <c r="E549">
        <v>8</v>
      </c>
      <c r="F549" t="s">
        <v>10</v>
      </c>
      <c r="G549" t="s">
        <v>74</v>
      </c>
      <c r="H549" t="s">
        <v>77</v>
      </c>
      <c r="I549">
        <v>60000000</v>
      </c>
      <c r="J549" t="s">
        <v>50</v>
      </c>
      <c r="K549" t="s">
        <v>5</v>
      </c>
      <c r="L549" t="s">
        <v>67</v>
      </c>
      <c r="M549" t="s">
        <v>80</v>
      </c>
      <c r="N549" t="s">
        <v>13</v>
      </c>
    </row>
    <row r="550" spans="1:14" x14ac:dyDescent="0.35">
      <c r="A550" s="75">
        <v>43891</v>
      </c>
      <c r="B550" t="s">
        <v>140</v>
      </c>
      <c r="C550" t="s">
        <v>94</v>
      </c>
      <c r="D550">
        <v>8</v>
      </c>
      <c r="E550">
        <v>8</v>
      </c>
      <c r="F550" t="s">
        <v>10</v>
      </c>
      <c r="G550" t="s">
        <v>72</v>
      </c>
      <c r="H550" t="s">
        <v>78</v>
      </c>
      <c r="I550">
        <v>140000000</v>
      </c>
      <c r="J550" t="s">
        <v>48</v>
      </c>
      <c r="K550" t="s">
        <v>2</v>
      </c>
      <c r="L550" t="s">
        <v>67</v>
      </c>
      <c r="M550" t="s">
        <v>81</v>
      </c>
      <c r="N550" t="s">
        <v>12</v>
      </c>
    </row>
    <row r="551" spans="1:14" x14ac:dyDescent="0.35">
      <c r="A551" s="75">
        <v>43891</v>
      </c>
      <c r="B551" t="s">
        <v>140</v>
      </c>
      <c r="C551" t="s">
        <v>94</v>
      </c>
      <c r="D551">
        <v>6</v>
      </c>
      <c r="E551">
        <v>6</v>
      </c>
      <c r="F551" t="s">
        <v>10</v>
      </c>
      <c r="G551" t="s">
        <v>114</v>
      </c>
      <c r="H551" t="s">
        <v>3</v>
      </c>
      <c r="I551">
        <v>120000000</v>
      </c>
      <c r="J551" t="s">
        <v>34</v>
      </c>
      <c r="K551" t="s">
        <v>2</v>
      </c>
      <c r="L551" t="s">
        <v>67</v>
      </c>
      <c r="M551" t="s">
        <v>80</v>
      </c>
      <c r="N551" t="s">
        <v>13</v>
      </c>
    </row>
    <row r="552" spans="1:14" x14ac:dyDescent="0.35">
      <c r="A552" s="75">
        <v>43892</v>
      </c>
      <c r="B552" t="s">
        <v>141</v>
      </c>
      <c r="C552" t="s">
        <v>94</v>
      </c>
      <c r="D552">
        <v>10</v>
      </c>
      <c r="E552">
        <v>10</v>
      </c>
      <c r="F552" t="s">
        <v>10</v>
      </c>
      <c r="G552" t="s">
        <v>76</v>
      </c>
      <c r="H552" t="s">
        <v>79</v>
      </c>
      <c r="I552">
        <v>40000000</v>
      </c>
      <c r="J552" t="s">
        <v>32</v>
      </c>
      <c r="K552" t="s">
        <v>7</v>
      </c>
      <c r="L552" t="s">
        <v>67</v>
      </c>
      <c r="M552" t="s">
        <v>82</v>
      </c>
      <c r="N552" t="s">
        <v>11</v>
      </c>
    </row>
    <row r="553" spans="1:14" x14ac:dyDescent="0.35">
      <c r="A553" s="75">
        <v>43892</v>
      </c>
      <c r="B553" t="s">
        <v>141</v>
      </c>
      <c r="C553" t="s">
        <v>94</v>
      </c>
      <c r="D553">
        <v>9</v>
      </c>
      <c r="E553">
        <v>9</v>
      </c>
      <c r="F553" t="s">
        <v>10</v>
      </c>
      <c r="G553" t="s">
        <v>114</v>
      </c>
      <c r="H553" t="s">
        <v>3</v>
      </c>
      <c r="I553">
        <v>40000000</v>
      </c>
      <c r="J553" t="s">
        <v>36</v>
      </c>
      <c r="K553" t="s">
        <v>8</v>
      </c>
      <c r="L553" t="s">
        <v>67</v>
      </c>
      <c r="M553" t="s">
        <v>82</v>
      </c>
      <c r="N553" t="s">
        <v>14</v>
      </c>
    </row>
    <row r="554" spans="1:14" x14ac:dyDescent="0.35">
      <c r="A554" s="75">
        <v>43892</v>
      </c>
      <c r="B554" t="s">
        <v>141</v>
      </c>
      <c r="C554" t="s">
        <v>94</v>
      </c>
      <c r="D554">
        <v>7</v>
      </c>
      <c r="E554">
        <v>7</v>
      </c>
      <c r="F554" t="s">
        <v>10</v>
      </c>
      <c r="G554" t="s">
        <v>113</v>
      </c>
      <c r="H554" t="s">
        <v>77</v>
      </c>
      <c r="I554">
        <v>80000000</v>
      </c>
      <c r="J554" t="s">
        <v>24</v>
      </c>
      <c r="K554" t="s">
        <v>2</v>
      </c>
      <c r="L554" t="s">
        <v>67</v>
      </c>
      <c r="M554" t="s">
        <v>82</v>
      </c>
      <c r="N554" t="s">
        <v>14</v>
      </c>
    </row>
    <row r="555" spans="1:14" x14ac:dyDescent="0.35">
      <c r="A555" s="75">
        <v>43892</v>
      </c>
      <c r="B555" t="s">
        <v>141</v>
      </c>
      <c r="C555" t="s">
        <v>94</v>
      </c>
      <c r="D555">
        <v>7</v>
      </c>
      <c r="E555">
        <v>7</v>
      </c>
      <c r="F555" t="s">
        <v>10</v>
      </c>
      <c r="G555" t="s">
        <v>74</v>
      </c>
      <c r="H555" t="s">
        <v>77</v>
      </c>
      <c r="I555">
        <v>60000000</v>
      </c>
      <c r="J555" t="s">
        <v>33</v>
      </c>
      <c r="K555" t="s">
        <v>5</v>
      </c>
      <c r="L555" t="s">
        <v>67</v>
      </c>
      <c r="M555" t="s">
        <v>82</v>
      </c>
      <c r="N555" t="s">
        <v>13</v>
      </c>
    </row>
    <row r="556" spans="1:14" x14ac:dyDescent="0.35">
      <c r="A556" s="75">
        <v>43892</v>
      </c>
      <c r="B556" t="s">
        <v>141</v>
      </c>
      <c r="C556" t="s">
        <v>94</v>
      </c>
      <c r="D556">
        <v>5</v>
      </c>
      <c r="E556">
        <v>5</v>
      </c>
      <c r="F556" t="s">
        <v>10</v>
      </c>
      <c r="G556" t="s">
        <v>71</v>
      </c>
      <c r="H556" t="s">
        <v>6</v>
      </c>
      <c r="I556">
        <v>100000000</v>
      </c>
      <c r="J556" t="s">
        <v>48</v>
      </c>
      <c r="K556" t="s">
        <v>5</v>
      </c>
      <c r="L556" t="s">
        <v>67</v>
      </c>
      <c r="M556" t="s">
        <v>80</v>
      </c>
      <c r="N556" t="s">
        <v>12</v>
      </c>
    </row>
    <row r="557" spans="1:14" x14ac:dyDescent="0.35">
      <c r="A557" s="75">
        <v>43892</v>
      </c>
      <c r="B557" t="s">
        <v>141</v>
      </c>
      <c r="C557" t="s">
        <v>94</v>
      </c>
      <c r="D557">
        <v>4</v>
      </c>
      <c r="E557">
        <v>4</v>
      </c>
      <c r="F557" t="s">
        <v>10</v>
      </c>
      <c r="G557" t="s">
        <v>75</v>
      </c>
      <c r="H557" t="s">
        <v>6</v>
      </c>
      <c r="I557">
        <v>80000000</v>
      </c>
      <c r="J557" t="s">
        <v>41</v>
      </c>
      <c r="K557" t="s">
        <v>8</v>
      </c>
      <c r="L557" t="s">
        <v>67</v>
      </c>
      <c r="M557" t="s">
        <v>80</v>
      </c>
      <c r="N557" t="s">
        <v>14</v>
      </c>
    </row>
    <row r="558" spans="1:14" x14ac:dyDescent="0.35">
      <c r="A558" s="75">
        <v>43892</v>
      </c>
      <c r="B558" t="s">
        <v>141</v>
      </c>
      <c r="C558" t="s">
        <v>94</v>
      </c>
      <c r="D558">
        <v>4</v>
      </c>
      <c r="E558">
        <v>4</v>
      </c>
      <c r="F558" t="s">
        <v>10</v>
      </c>
      <c r="G558" t="s">
        <v>72</v>
      </c>
      <c r="H558" t="s">
        <v>78</v>
      </c>
      <c r="I558">
        <v>80000000</v>
      </c>
      <c r="J558" t="s">
        <v>56</v>
      </c>
      <c r="K558" t="s">
        <v>7</v>
      </c>
      <c r="L558" t="s">
        <v>67</v>
      </c>
      <c r="M558" t="s">
        <v>81</v>
      </c>
      <c r="N558" t="s">
        <v>12</v>
      </c>
    </row>
    <row r="559" spans="1:14" x14ac:dyDescent="0.35">
      <c r="A559" s="75">
        <v>43893</v>
      </c>
      <c r="B559" t="s">
        <v>142</v>
      </c>
      <c r="C559" t="s">
        <v>94</v>
      </c>
      <c r="D559">
        <v>10</v>
      </c>
      <c r="E559">
        <v>10</v>
      </c>
      <c r="F559" t="s">
        <v>10</v>
      </c>
      <c r="G559" t="s">
        <v>114</v>
      </c>
      <c r="H559" t="s">
        <v>3</v>
      </c>
      <c r="I559">
        <v>60000000</v>
      </c>
      <c r="J559" t="s">
        <v>15</v>
      </c>
      <c r="K559" t="s">
        <v>5</v>
      </c>
      <c r="L559" t="s">
        <v>67</v>
      </c>
      <c r="M559" t="s">
        <v>81</v>
      </c>
      <c r="N559" t="s">
        <v>12</v>
      </c>
    </row>
    <row r="560" spans="1:14" x14ac:dyDescent="0.35">
      <c r="A560" s="75">
        <v>43893</v>
      </c>
      <c r="B560" t="s">
        <v>142</v>
      </c>
      <c r="C560" t="s">
        <v>94</v>
      </c>
      <c r="D560">
        <v>10</v>
      </c>
      <c r="E560">
        <v>10</v>
      </c>
      <c r="F560" t="s">
        <v>10</v>
      </c>
      <c r="G560" t="s">
        <v>75</v>
      </c>
      <c r="H560" t="s">
        <v>6</v>
      </c>
      <c r="I560">
        <v>140000000</v>
      </c>
      <c r="J560" t="s">
        <v>62</v>
      </c>
      <c r="K560" t="s">
        <v>5</v>
      </c>
      <c r="L560" t="s">
        <v>67</v>
      </c>
      <c r="M560" t="s">
        <v>82</v>
      </c>
      <c r="N560" t="s">
        <v>12</v>
      </c>
    </row>
    <row r="561" spans="1:14" x14ac:dyDescent="0.35">
      <c r="A561" s="75">
        <v>43893</v>
      </c>
      <c r="B561" t="s">
        <v>142</v>
      </c>
      <c r="C561" t="s">
        <v>94</v>
      </c>
      <c r="D561">
        <v>9</v>
      </c>
      <c r="E561">
        <v>9</v>
      </c>
      <c r="F561" t="s">
        <v>10</v>
      </c>
      <c r="G561" t="s">
        <v>70</v>
      </c>
      <c r="H561" t="s">
        <v>1</v>
      </c>
      <c r="I561">
        <v>100000000</v>
      </c>
      <c r="J561" t="s">
        <v>15</v>
      </c>
      <c r="K561" t="s">
        <v>5</v>
      </c>
      <c r="L561" t="s">
        <v>67</v>
      </c>
      <c r="M561" t="s">
        <v>80</v>
      </c>
      <c r="N561" t="s">
        <v>12</v>
      </c>
    </row>
    <row r="562" spans="1:14" x14ac:dyDescent="0.35">
      <c r="A562" s="75">
        <v>43893</v>
      </c>
      <c r="B562" t="s">
        <v>142</v>
      </c>
      <c r="C562" t="s">
        <v>94</v>
      </c>
      <c r="D562">
        <v>8</v>
      </c>
      <c r="E562">
        <v>8</v>
      </c>
      <c r="F562" t="s">
        <v>10</v>
      </c>
      <c r="G562" t="s">
        <v>113</v>
      </c>
      <c r="H562" t="s">
        <v>77</v>
      </c>
      <c r="I562">
        <v>100000000</v>
      </c>
      <c r="J562" t="s">
        <v>15</v>
      </c>
      <c r="K562" t="s">
        <v>5</v>
      </c>
      <c r="L562" t="s">
        <v>67</v>
      </c>
      <c r="M562" t="s">
        <v>80</v>
      </c>
      <c r="N562" t="s">
        <v>12</v>
      </c>
    </row>
    <row r="563" spans="1:14" x14ac:dyDescent="0.35">
      <c r="A563" s="75">
        <v>43893</v>
      </c>
      <c r="B563" t="s">
        <v>142</v>
      </c>
      <c r="C563" t="s">
        <v>94</v>
      </c>
      <c r="D563">
        <v>7</v>
      </c>
      <c r="E563">
        <v>7</v>
      </c>
      <c r="F563" t="s">
        <v>10</v>
      </c>
      <c r="G563" t="s">
        <v>114</v>
      </c>
      <c r="H563" t="s">
        <v>3</v>
      </c>
      <c r="I563">
        <v>80000000</v>
      </c>
      <c r="J563" t="s">
        <v>17</v>
      </c>
      <c r="K563" t="s">
        <v>9</v>
      </c>
      <c r="L563" t="s">
        <v>67</v>
      </c>
      <c r="M563" t="s">
        <v>81</v>
      </c>
      <c r="N563" t="s">
        <v>12</v>
      </c>
    </row>
    <row r="564" spans="1:14" x14ac:dyDescent="0.35">
      <c r="A564" s="75">
        <v>43893</v>
      </c>
      <c r="B564" t="s">
        <v>142</v>
      </c>
      <c r="C564" t="s">
        <v>94</v>
      </c>
      <c r="D564">
        <v>6</v>
      </c>
      <c r="E564">
        <v>6</v>
      </c>
      <c r="F564" t="s">
        <v>10</v>
      </c>
      <c r="G564" t="s">
        <v>72</v>
      </c>
      <c r="H564" t="s">
        <v>78</v>
      </c>
      <c r="I564">
        <v>60000000</v>
      </c>
      <c r="J564" t="s">
        <v>27</v>
      </c>
      <c r="K564" t="s">
        <v>5</v>
      </c>
      <c r="L564" t="s">
        <v>67</v>
      </c>
      <c r="M564" t="s">
        <v>81</v>
      </c>
      <c r="N564" t="s">
        <v>13</v>
      </c>
    </row>
    <row r="565" spans="1:14" x14ac:dyDescent="0.35">
      <c r="A565" s="75">
        <v>43893</v>
      </c>
      <c r="B565" t="s">
        <v>142</v>
      </c>
      <c r="C565" t="s">
        <v>94</v>
      </c>
      <c r="D565">
        <v>5</v>
      </c>
      <c r="E565">
        <v>5</v>
      </c>
      <c r="F565" t="s">
        <v>10</v>
      </c>
      <c r="G565" t="s">
        <v>73</v>
      </c>
      <c r="H565" t="s">
        <v>78</v>
      </c>
      <c r="I565">
        <v>40000000</v>
      </c>
      <c r="J565" t="s">
        <v>53</v>
      </c>
      <c r="K565" t="s">
        <v>7</v>
      </c>
      <c r="L565" t="s">
        <v>67</v>
      </c>
      <c r="M565" t="s">
        <v>82</v>
      </c>
      <c r="N565" t="s">
        <v>12</v>
      </c>
    </row>
    <row r="566" spans="1:14" x14ac:dyDescent="0.35">
      <c r="A566" s="75">
        <v>43894</v>
      </c>
      <c r="B566" t="s">
        <v>143</v>
      </c>
      <c r="C566" t="s">
        <v>94</v>
      </c>
      <c r="D566">
        <v>10</v>
      </c>
      <c r="E566">
        <v>10</v>
      </c>
      <c r="F566" t="s">
        <v>10</v>
      </c>
      <c r="G566" t="s">
        <v>74</v>
      </c>
      <c r="H566" t="s">
        <v>77</v>
      </c>
      <c r="I566">
        <v>80000000</v>
      </c>
      <c r="J566" t="s">
        <v>33</v>
      </c>
      <c r="K566" t="s">
        <v>2</v>
      </c>
      <c r="L566" t="s">
        <v>67</v>
      </c>
      <c r="M566" t="s">
        <v>81</v>
      </c>
      <c r="N566" t="s">
        <v>12</v>
      </c>
    </row>
    <row r="567" spans="1:14" x14ac:dyDescent="0.35">
      <c r="A567" s="75">
        <v>43894</v>
      </c>
      <c r="B567" t="s">
        <v>143</v>
      </c>
      <c r="C567" t="s">
        <v>94</v>
      </c>
      <c r="D567">
        <v>9</v>
      </c>
      <c r="E567">
        <v>9</v>
      </c>
      <c r="F567" t="s">
        <v>10</v>
      </c>
      <c r="G567" t="s">
        <v>113</v>
      </c>
      <c r="H567" t="s">
        <v>77</v>
      </c>
      <c r="I567">
        <v>60000000</v>
      </c>
      <c r="J567" t="s">
        <v>36</v>
      </c>
      <c r="K567" t="s">
        <v>5</v>
      </c>
      <c r="L567" t="s">
        <v>67</v>
      </c>
      <c r="M567" t="s">
        <v>80</v>
      </c>
      <c r="N567" t="s">
        <v>13</v>
      </c>
    </row>
    <row r="568" spans="1:14" x14ac:dyDescent="0.35">
      <c r="A568" s="75">
        <v>43894</v>
      </c>
      <c r="B568" t="s">
        <v>143</v>
      </c>
      <c r="C568" t="s">
        <v>94</v>
      </c>
      <c r="D568">
        <v>8</v>
      </c>
      <c r="E568">
        <v>8</v>
      </c>
      <c r="F568" t="s">
        <v>10</v>
      </c>
      <c r="G568" t="s">
        <v>75</v>
      </c>
      <c r="H568" t="s">
        <v>6</v>
      </c>
      <c r="I568">
        <v>40000000</v>
      </c>
      <c r="J568" t="s">
        <v>23</v>
      </c>
      <c r="K568" t="s">
        <v>2</v>
      </c>
      <c r="L568" t="s">
        <v>67</v>
      </c>
      <c r="M568" t="s">
        <v>82</v>
      </c>
      <c r="N568" t="s">
        <v>11</v>
      </c>
    </row>
    <row r="569" spans="1:14" x14ac:dyDescent="0.35">
      <c r="A569" s="75">
        <v>43894</v>
      </c>
      <c r="B569" t="s">
        <v>143</v>
      </c>
      <c r="C569" t="s">
        <v>94</v>
      </c>
      <c r="D569">
        <v>6</v>
      </c>
      <c r="E569">
        <v>6</v>
      </c>
      <c r="F569" t="s">
        <v>10</v>
      </c>
      <c r="G569" t="s">
        <v>75</v>
      </c>
      <c r="H569" t="s">
        <v>6</v>
      </c>
      <c r="I569">
        <v>100000000</v>
      </c>
      <c r="J569" t="s">
        <v>47</v>
      </c>
      <c r="K569" t="s">
        <v>2</v>
      </c>
      <c r="L569" t="s">
        <v>67</v>
      </c>
      <c r="M569" t="s">
        <v>80</v>
      </c>
      <c r="N569" t="s">
        <v>13</v>
      </c>
    </row>
    <row r="570" spans="1:14" x14ac:dyDescent="0.35">
      <c r="A570" s="75">
        <v>43894</v>
      </c>
      <c r="B570" t="s">
        <v>143</v>
      </c>
      <c r="C570" t="s">
        <v>94</v>
      </c>
      <c r="D570">
        <v>6</v>
      </c>
      <c r="E570">
        <v>6</v>
      </c>
      <c r="F570" t="s">
        <v>10</v>
      </c>
      <c r="G570" t="s">
        <v>71</v>
      </c>
      <c r="H570" t="s">
        <v>6</v>
      </c>
      <c r="I570">
        <v>60000000</v>
      </c>
      <c r="J570" t="s">
        <v>51</v>
      </c>
      <c r="K570" t="s">
        <v>5</v>
      </c>
      <c r="L570" t="s">
        <v>67</v>
      </c>
      <c r="M570" t="s">
        <v>82</v>
      </c>
      <c r="N570" t="s">
        <v>13</v>
      </c>
    </row>
    <row r="571" spans="1:14" x14ac:dyDescent="0.35">
      <c r="A571" s="75">
        <v>43894</v>
      </c>
      <c r="B571" t="s">
        <v>143</v>
      </c>
      <c r="C571" t="s">
        <v>94</v>
      </c>
      <c r="D571">
        <v>4</v>
      </c>
      <c r="E571">
        <v>4</v>
      </c>
      <c r="F571" t="s">
        <v>10</v>
      </c>
      <c r="G571" t="s">
        <v>113</v>
      </c>
      <c r="H571" t="s">
        <v>77</v>
      </c>
      <c r="I571">
        <v>120000000</v>
      </c>
      <c r="J571" t="s">
        <v>15</v>
      </c>
      <c r="K571" t="s">
        <v>4</v>
      </c>
      <c r="L571" t="s">
        <v>67</v>
      </c>
      <c r="M571" t="s">
        <v>80</v>
      </c>
      <c r="N571" t="s">
        <v>14</v>
      </c>
    </row>
    <row r="572" spans="1:14" x14ac:dyDescent="0.35">
      <c r="A572" s="75">
        <v>43894</v>
      </c>
      <c r="B572" t="s">
        <v>143</v>
      </c>
      <c r="C572" t="s">
        <v>94</v>
      </c>
      <c r="D572">
        <v>3</v>
      </c>
      <c r="E572">
        <v>3</v>
      </c>
      <c r="F572" t="s">
        <v>10</v>
      </c>
      <c r="G572" t="s">
        <v>114</v>
      </c>
      <c r="H572" t="s">
        <v>3</v>
      </c>
      <c r="I572">
        <v>60000000</v>
      </c>
      <c r="J572" t="s">
        <v>20</v>
      </c>
      <c r="K572" t="s">
        <v>2</v>
      </c>
      <c r="L572" t="s">
        <v>67</v>
      </c>
      <c r="M572" t="s">
        <v>81</v>
      </c>
      <c r="N572" t="s">
        <v>13</v>
      </c>
    </row>
    <row r="573" spans="1:14" x14ac:dyDescent="0.35">
      <c r="A573" s="75">
        <v>43894</v>
      </c>
      <c r="B573" t="s">
        <v>143</v>
      </c>
      <c r="C573" t="s">
        <v>94</v>
      </c>
      <c r="D573">
        <v>3</v>
      </c>
      <c r="E573">
        <v>3</v>
      </c>
      <c r="F573" t="s">
        <v>10</v>
      </c>
      <c r="G573" t="s">
        <v>74</v>
      </c>
      <c r="H573" t="s">
        <v>77</v>
      </c>
      <c r="I573">
        <v>100000000</v>
      </c>
      <c r="J573" t="s">
        <v>43</v>
      </c>
      <c r="K573" t="s">
        <v>2</v>
      </c>
      <c r="L573" t="s">
        <v>67</v>
      </c>
      <c r="M573" t="s">
        <v>80</v>
      </c>
      <c r="N573" t="s">
        <v>12</v>
      </c>
    </row>
    <row r="574" spans="1:14" x14ac:dyDescent="0.35">
      <c r="A574" s="75">
        <v>43895</v>
      </c>
      <c r="B574" t="s">
        <v>144</v>
      </c>
      <c r="C574" t="s">
        <v>94</v>
      </c>
      <c r="D574">
        <v>9</v>
      </c>
      <c r="E574">
        <v>9</v>
      </c>
      <c r="F574" t="s">
        <v>10</v>
      </c>
      <c r="G574" t="s">
        <v>74</v>
      </c>
      <c r="H574" t="s">
        <v>77</v>
      </c>
      <c r="I574">
        <v>60000000</v>
      </c>
      <c r="J574" t="s">
        <v>28</v>
      </c>
      <c r="K574" t="s">
        <v>8</v>
      </c>
      <c r="L574" t="s">
        <v>67</v>
      </c>
      <c r="M574" t="s">
        <v>81</v>
      </c>
      <c r="N574" t="s">
        <v>13</v>
      </c>
    </row>
    <row r="575" spans="1:14" x14ac:dyDescent="0.35">
      <c r="A575" s="75">
        <v>43895</v>
      </c>
      <c r="B575" t="s">
        <v>144</v>
      </c>
      <c r="C575" t="s">
        <v>94</v>
      </c>
      <c r="D575">
        <v>9</v>
      </c>
      <c r="E575">
        <v>9</v>
      </c>
      <c r="F575" t="s">
        <v>10</v>
      </c>
      <c r="G575" t="s">
        <v>76</v>
      </c>
      <c r="H575" t="s">
        <v>79</v>
      </c>
      <c r="I575">
        <v>120000000</v>
      </c>
      <c r="J575" t="s">
        <v>34</v>
      </c>
      <c r="K575" t="s">
        <v>2</v>
      </c>
      <c r="L575" t="s">
        <v>67</v>
      </c>
      <c r="M575" t="s">
        <v>80</v>
      </c>
      <c r="N575" t="s">
        <v>14</v>
      </c>
    </row>
    <row r="576" spans="1:14" x14ac:dyDescent="0.35">
      <c r="A576" s="75">
        <v>43895</v>
      </c>
      <c r="B576" t="s">
        <v>144</v>
      </c>
      <c r="C576" t="s">
        <v>94</v>
      </c>
      <c r="D576">
        <v>8</v>
      </c>
      <c r="E576">
        <v>8</v>
      </c>
      <c r="F576" t="s">
        <v>10</v>
      </c>
      <c r="G576" t="s">
        <v>76</v>
      </c>
      <c r="H576" t="s">
        <v>79</v>
      </c>
      <c r="I576">
        <v>60000000</v>
      </c>
      <c r="J576" t="s">
        <v>20</v>
      </c>
      <c r="K576" t="s">
        <v>9</v>
      </c>
      <c r="L576" t="s">
        <v>67</v>
      </c>
      <c r="M576" t="s">
        <v>82</v>
      </c>
      <c r="N576" t="s">
        <v>14</v>
      </c>
    </row>
    <row r="577" spans="1:14" x14ac:dyDescent="0.35">
      <c r="A577" s="75">
        <v>43895</v>
      </c>
      <c r="B577" t="s">
        <v>144</v>
      </c>
      <c r="C577" t="s">
        <v>94</v>
      </c>
      <c r="D577">
        <v>8</v>
      </c>
      <c r="E577">
        <v>8</v>
      </c>
      <c r="F577" t="s">
        <v>10</v>
      </c>
      <c r="G577" t="s">
        <v>75</v>
      </c>
      <c r="H577" t="s">
        <v>6</v>
      </c>
      <c r="I577">
        <v>100000000</v>
      </c>
      <c r="J577" t="s">
        <v>25</v>
      </c>
      <c r="K577" t="s">
        <v>5</v>
      </c>
      <c r="L577" t="s">
        <v>67</v>
      </c>
      <c r="M577" t="s">
        <v>81</v>
      </c>
      <c r="N577" t="s">
        <v>14</v>
      </c>
    </row>
    <row r="578" spans="1:14" x14ac:dyDescent="0.35">
      <c r="A578" s="75">
        <v>43895</v>
      </c>
      <c r="B578" t="s">
        <v>144</v>
      </c>
      <c r="C578" t="s">
        <v>94</v>
      </c>
      <c r="D578">
        <v>7</v>
      </c>
      <c r="E578">
        <v>7</v>
      </c>
      <c r="F578" t="s">
        <v>10</v>
      </c>
      <c r="G578" t="s">
        <v>70</v>
      </c>
      <c r="H578" t="s">
        <v>1</v>
      </c>
      <c r="I578">
        <v>120000000</v>
      </c>
      <c r="J578" t="s">
        <v>52</v>
      </c>
      <c r="K578" t="s">
        <v>2</v>
      </c>
      <c r="L578" t="s">
        <v>67</v>
      </c>
      <c r="M578" t="s">
        <v>82</v>
      </c>
      <c r="N578" t="s">
        <v>12</v>
      </c>
    </row>
    <row r="579" spans="1:14" x14ac:dyDescent="0.35">
      <c r="A579" s="75">
        <v>43895</v>
      </c>
      <c r="B579" t="s">
        <v>144</v>
      </c>
      <c r="C579" t="s">
        <v>94</v>
      </c>
      <c r="D579">
        <v>5</v>
      </c>
      <c r="E579">
        <v>5</v>
      </c>
      <c r="F579" t="s">
        <v>10</v>
      </c>
      <c r="G579" t="s">
        <v>113</v>
      </c>
      <c r="H579" t="s">
        <v>77</v>
      </c>
      <c r="I579">
        <v>80000000</v>
      </c>
      <c r="J579" t="s">
        <v>28</v>
      </c>
      <c r="K579" t="s">
        <v>2</v>
      </c>
      <c r="L579" t="s">
        <v>67</v>
      </c>
      <c r="M579" t="s">
        <v>82</v>
      </c>
      <c r="N579" t="s">
        <v>11</v>
      </c>
    </row>
    <row r="580" spans="1:14" x14ac:dyDescent="0.35">
      <c r="A580" s="75">
        <v>43896</v>
      </c>
      <c r="B580" t="s">
        <v>145</v>
      </c>
      <c r="C580" t="s">
        <v>94</v>
      </c>
      <c r="D580">
        <v>9</v>
      </c>
      <c r="E580">
        <v>9</v>
      </c>
      <c r="F580" t="s">
        <v>10</v>
      </c>
      <c r="G580" t="s">
        <v>75</v>
      </c>
      <c r="H580" t="s">
        <v>6</v>
      </c>
      <c r="I580">
        <v>40000000</v>
      </c>
      <c r="J580" t="s">
        <v>29</v>
      </c>
      <c r="K580" t="s">
        <v>5</v>
      </c>
      <c r="L580" t="s">
        <v>67</v>
      </c>
      <c r="M580" t="s">
        <v>82</v>
      </c>
      <c r="N580" t="s">
        <v>11</v>
      </c>
    </row>
    <row r="581" spans="1:14" x14ac:dyDescent="0.35">
      <c r="A581" s="75">
        <v>43896</v>
      </c>
      <c r="B581" t="s">
        <v>145</v>
      </c>
      <c r="C581" t="s">
        <v>94</v>
      </c>
      <c r="D581">
        <v>8</v>
      </c>
      <c r="E581">
        <v>8</v>
      </c>
      <c r="F581" t="s">
        <v>10</v>
      </c>
      <c r="G581" t="s">
        <v>70</v>
      </c>
      <c r="H581" t="s">
        <v>1</v>
      </c>
      <c r="I581">
        <v>40000000</v>
      </c>
      <c r="J581" t="s">
        <v>28</v>
      </c>
      <c r="K581" t="s">
        <v>5</v>
      </c>
      <c r="L581" t="s">
        <v>67</v>
      </c>
      <c r="M581" t="s">
        <v>82</v>
      </c>
      <c r="N581" t="s">
        <v>12</v>
      </c>
    </row>
    <row r="582" spans="1:14" x14ac:dyDescent="0.35">
      <c r="A582" s="75">
        <v>43896</v>
      </c>
      <c r="B582" t="s">
        <v>145</v>
      </c>
      <c r="C582" t="s">
        <v>94</v>
      </c>
      <c r="D582">
        <v>7</v>
      </c>
      <c r="E582">
        <v>7</v>
      </c>
      <c r="F582" t="s">
        <v>10</v>
      </c>
      <c r="G582" t="s">
        <v>74</v>
      </c>
      <c r="H582" t="s">
        <v>77</v>
      </c>
      <c r="I582">
        <v>60000000</v>
      </c>
      <c r="J582" t="s">
        <v>30</v>
      </c>
      <c r="K582" t="s">
        <v>2</v>
      </c>
      <c r="L582" t="s">
        <v>67</v>
      </c>
      <c r="M582" t="s">
        <v>80</v>
      </c>
      <c r="N582" t="s">
        <v>11</v>
      </c>
    </row>
    <row r="583" spans="1:14" x14ac:dyDescent="0.35">
      <c r="A583" s="75">
        <v>43897</v>
      </c>
      <c r="B583" t="s">
        <v>146</v>
      </c>
      <c r="C583" t="s">
        <v>94</v>
      </c>
      <c r="D583">
        <v>10</v>
      </c>
      <c r="E583">
        <v>10</v>
      </c>
      <c r="F583" t="s">
        <v>10</v>
      </c>
      <c r="G583" t="s">
        <v>114</v>
      </c>
      <c r="H583" t="s">
        <v>3</v>
      </c>
      <c r="I583">
        <v>60000000</v>
      </c>
      <c r="J583" t="s">
        <v>42</v>
      </c>
      <c r="K583" t="s">
        <v>2</v>
      </c>
      <c r="L583" t="s">
        <v>67</v>
      </c>
      <c r="M583" t="s">
        <v>80</v>
      </c>
      <c r="N583" t="s">
        <v>11</v>
      </c>
    </row>
    <row r="584" spans="1:14" x14ac:dyDescent="0.35">
      <c r="A584" s="75">
        <v>43897</v>
      </c>
      <c r="B584" t="s">
        <v>146</v>
      </c>
      <c r="C584" t="s">
        <v>94</v>
      </c>
      <c r="D584">
        <v>9</v>
      </c>
      <c r="E584">
        <v>9</v>
      </c>
      <c r="F584" t="s">
        <v>10</v>
      </c>
      <c r="G584" t="s">
        <v>70</v>
      </c>
      <c r="H584" t="s">
        <v>1</v>
      </c>
      <c r="I584">
        <v>120000000</v>
      </c>
      <c r="J584" t="s">
        <v>28</v>
      </c>
      <c r="K584" t="s">
        <v>7</v>
      </c>
      <c r="L584" t="s">
        <v>67</v>
      </c>
      <c r="M584" t="s">
        <v>80</v>
      </c>
      <c r="N584" t="s">
        <v>11</v>
      </c>
    </row>
    <row r="585" spans="1:14" x14ac:dyDescent="0.35">
      <c r="A585" s="75">
        <v>43897</v>
      </c>
      <c r="B585" t="s">
        <v>146</v>
      </c>
      <c r="C585" t="s">
        <v>94</v>
      </c>
      <c r="D585">
        <v>8</v>
      </c>
      <c r="E585">
        <v>8</v>
      </c>
      <c r="F585" t="s">
        <v>10</v>
      </c>
      <c r="G585" t="s">
        <v>75</v>
      </c>
      <c r="H585" t="s">
        <v>6</v>
      </c>
      <c r="I585">
        <v>100000000</v>
      </c>
      <c r="J585" t="s">
        <v>40</v>
      </c>
      <c r="K585" t="s">
        <v>5</v>
      </c>
      <c r="L585" t="s">
        <v>67</v>
      </c>
      <c r="M585" t="s">
        <v>81</v>
      </c>
      <c r="N585" t="s">
        <v>14</v>
      </c>
    </row>
    <row r="586" spans="1:14" x14ac:dyDescent="0.35">
      <c r="A586" s="75">
        <v>43897</v>
      </c>
      <c r="B586" t="s">
        <v>146</v>
      </c>
      <c r="C586" t="s">
        <v>94</v>
      </c>
      <c r="D586">
        <v>8</v>
      </c>
      <c r="E586">
        <v>8</v>
      </c>
      <c r="F586" t="s">
        <v>10</v>
      </c>
      <c r="G586" t="s">
        <v>113</v>
      </c>
      <c r="H586" t="s">
        <v>77</v>
      </c>
      <c r="I586">
        <v>100000000</v>
      </c>
      <c r="J586" t="s">
        <v>53</v>
      </c>
      <c r="K586" t="s">
        <v>2</v>
      </c>
      <c r="L586" t="s">
        <v>67</v>
      </c>
      <c r="M586" t="s">
        <v>82</v>
      </c>
      <c r="N586" t="s">
        <v>11</v>
      </c>
    </row>
    <row r="587" spans="1:14" x14ac:dyDescent="0.35">
      <c r="A587" s="75">
        <v>43897</v>
      </c>
      <c r="B587" t="s">
        <v>146</v>
      </c>
      <c r="C587" t="s">
        <v>94</v>
      </c>
      <c r="D587">
        <v>7</v>
      </c>
      <c r="E587">
        <v>7</v>
      </c>
      <c r="F587" t="s">
        <v>10</v>
      </c>
      <c r="G587" t="s">
        <v>113</v>
      </c>
      <c r="H587" t="s">
        <v>77</v>
      </c>
      <c r="I587">
        <v>100000000</v>
      </c>
      <c r="J587" t="s">
        <v>59</v>
      </c>
      <c r="K587" t="s">
        <v>2</v>
      </c>
      <c r="L587" t="s">
        <v>67</v>
      </c>
      <c r="M587" t="s">
        <v>80</v>
      </c>
      <c r="N587" t="s">
        <v>11</v>
      </c>
    </row>
    <row r="588" spans="1:14" x14ac:dyDescent="0.35">
      <c r="A588" s="75">
        <v>43897</v>
      </c>
      <c r="B588" t="s">
        <v>146</v>
      </c>
      <c r="C588" t="s">
        <v>94</v>
      </c>
      <c r="D588">
        <v>7</v>
      </c>
      <c r="E588">
        <v>7</v>
      </c>
      <c r="F588" t="s">
        <v>10</v>
      </c>
      <c r="G588" t="s">
        <v>114</v>
      </c>
      <c r="H588" t="s">
        <v>3</v>
      </c>
      <c r="I588">
        <v>80000000</v>
      </c>
      <c r="J588" t="s">
        <v>30</v>
      </c>
      <c r="K588" t="s">
        <v>5</v>
      </c>
      <c r="L588" t="s">
        <v>67</v>
      </c>
      <c r="M588" t="s">
        <v>80</v>
      </c>
      <c r="N588" t="s">
        <v>12</v>
      </c>
    </row>
    <row r="589" spans="1:14" x14ac:dyDescent="0.35">
      <c r="A589" s="75">
        <v>43897</v>
      </c>
      <c r="B589" t="s">
        <v>146</v>
      </c>
      <c r="C589" t="s">
        <v>94</v>
      </c>
      <c r="D589">
        <v>5</v>
      </c>
      <c r="E589">
        <v>5</v>
      </c>
      <c r="F589" t="s">
        <v>10</v>
      </c>
      <c r="G589" t="s">
        <v>74</v>
      </c>
      <c r="H589" t="s">
        <v>77</v>
      </c>
      <c r="I589">
        <v>40000000</v>
      </c>
      <c r="J589" t="s">
        <v>48</v>
      </c>
      <c r="K589" t="s">
        <v>5</v>
      </c>
      <c r="L589" t="s">
        <v>67</v>
      </c>
      <c r="M589" t="s">
        <v>81</v>
      </c>
      <c r="N589" t="s">
        <v>12</v>
      </c>
    </row>
    <row r="590" spans="1:14" x14ac:dyDescent="0.35">
      <c r="A590" s="75">
        <v>43897</v>
      </c>
      <c r="B590" t="s">
        <v>146</v>
      </c>
      <c r="C590" t="s">
        <v>94</v>
      </c>
      <c r="D590">
        <v>5</v>
      </c>
      <c r="E590">
        <v>5</v>
      </c>
      <c r="F590" t="s">
        <v>10</v>
      </c>
      <c r="G590" t="s">
        <v>75</v>
      </c>
      <c r="H590" t="s">
        <v>6</v>
      </c>
      <c r="I590">
        <v>80000000</v>
      </c>
      <c r="J590" t="s">
        <v>59</v>
      </c>
      <c r="K590" t="s">
        <v>5</v>
      </c>
      <c r="L590" t="s">
        <v>67</v>
      </c>
      <c r="M590" t="s">
        <v>81</v>
      </c>
      <c r="N590" t="s">
        <v>13</v>
      </c>
    </row>
    <row r="591" spans="1:14" x14ac:dyDescent="0.35">
      <c r="A591" s="75">
        <v>43897</v>
      </c>
      <c r="B591" t="s">
        <v>146</v>
      </c>
      <c r="C591" t="s">
        <v>94</v>
      </c>
      <c r="D591">
        <v>5</v>
      </c>
      <c r="E591">
        <v>5</v>
      </c>
      <c r="F591" t="s">
        <v>10</v>
      </c>
      <c r="G591" t="s">
        <v>73</v>
      </c>
      <c r="H591" t="s">
        <v>78</v>
      </c>
      <c r="I591">
        <v>100000000</v>
      </c>
      <c r="J591" t="s">
        <v>18</v>
      </c>
      <c r="K591" t="s">
        <v>5</v>
      </c>
      <c r="L591" t="s">
        <v>67</v>
      </c>
      <c r="M591" t="s">
        <v>80</v>
      </c>
      <c r="N591" t="s">
        <v>12</v>
      </c>
    </row>
    <row r="592" spans="1:14" x14ac:dyDescent="0.35">
      <c r="A592" s="75">
        <v>43897</v>
      </c>
      <c r="B592" t="s">
        <v>146</v>
      </c>
      <c r="C592" t="s">
        <v>94</v>
      </c>
      <c r="D592">
        <v>5</v>
      </c>
      <c r="E592">
        <v>5</v>
      </c>
      <c r="F592" t="s">
        <v>10</v>
      </c>
      <c r="G592" t="s">
        <v>73</v>
      </c>
      <c r="H592" t="s">
        <v>78</v>
      </c>
      <c r="I592">
        <v>120000000</v>
      </c>
      <c r="J592" t="s">
        <v>30</v>
      </c>
      <c r="K592" t="s">
        <v>8</v>
      </c>
      <c r="L592" t="s">
        <v>67</v>
      </c>
      <c r="M592" t="s">
        <v>81</v>
      </c>
      <c r="N592" t="s">
        <v>12</v>
      </c>
    </row>
    <row r="593" spans="1:14" x14ac:dyDescent="0.35">
      <c r="A593" s="75">
        <v>43897</v>
      </c>
      <c r="B593" t="s">
        <v>146</v>
      </c>
      <c r="C593" t="s">
        <v>94</v>
      </c>
      <c r="D593">
        <v>4</v>
      </c>
      <c r="E593">
        <v>4</v>
      </c>
      <c r="F593" t="s">
        <v>10</v>
      </c>
      <c r="G593" t="s">
        <v>74</v>
      </c>
      <c r="H593" t="s">
        <v>77</v>
      </c>
      <c r="I593">
        <v>100000000</v>
      </c>
      <c r="J593" t="s">
        <v>43</v>
      </c>
      <c r="K593" t="s">
        <v>5</v>
      </c>
      <c r="L593" t="s">
        <v>67</v>
      </c>
      <c r="M593" t="s">
        <v>82</v>
      </c>
      <c r="N593" t="s">
        <v>13</v>
      </c>
    </row>
    <row r="594" spans="1:14" x14ac:dyDescent="0.35">
      <c r="A594" s="75">
        <v>43897</v>
      </c>
      <c r="B594" t="s">
        <v>146</v>
      </c>
      <c r="C594" t="s">
        <v>94</v>
      </c>
      <c r="D594">
        <v>4</v>
      </c>
      <c r="E594">
        <v>4</v>
      </c>
      <c r="F594" t="s">
        <v>10</v>
      </c>
      <c r="G594" t="s">
        <v>73</v>
      </c>
      <c r="H594" t="s">
        <v>78</v>
      </c>
      <c r="I594">
        <v>140000000</v>
      </c>
      <c r="J594" t="s">
        <v>29</v>
      </c>
      <c r="K594" t="s">
        <v>5</v>
      </c>
      <c r="L594" t="s">
        <v>67</v>
      </c>
      <c r="M594" t="s">
        <v>80</v>
      </c>
      <c r="N594" t="s">
        <v>11</v>
      </c>
    </row>
    <row r="595" spans="1:14" x14ac:dyDescent="0.35">
      <c r="A595" s="75">
        <v>43897</v>
      </c>
      <c r="B595" t="s">
        <v>146</v>
      </c>
      <c r="C595" t="s">
        <v>94</v>
      </c>
      <c r="D595">
        <v>4</v>
      </c>
      <c r="E595">
        <v>4</v>
      </c>
      <c r="F595" t="s">
        <v>10</v>
      </c>
      <c r="G595" t="s">
        <v>74</v>
      </c>
      <c r="H595" t="s">
        <v>77</v>
      </c>
      <c r="I595">
        <v>60000000</v>
      </c>
      <c r="J595" t="s">
        <v>52</v>
      </c>
      <c r="K595" t="s">
        <v>2</v>
      </c>
      <c r="L595" t="s">
        <v>67</v>
      </c>
      <c r="M595" t="s">
        <v>82</v>
      </c>
      <c r="N595" t="s">
        <v>14</v>
      </c>
    </row>
    <row r="596" spans="1:14" x14ac:dyDescent="0.35">
      <c r="A596" s="75">
        <v>43897</v>
      </c>
      <c r="B596" t="s">
        <v>146</v>
      </c>
      <c r="C596" t="s">
        <v>94</v>
      </c>
      <c r="D596">
        <v>3</v>
      </c>
      <c r="E596">
        <v>3</v>
      </c>
      <c r="F596" t="s">
        <v>10</v>
      </c>
      <c r="G596" t="s">
        <v>114</v>
      </c>
      <c r="H596" t="s">
        <v>3</v>
      </c>
      <c r="I596">
        <v>80000000</v>
      </c>
      <c r="J596" t="s">
        <v>63</v>
      </c>
      <c r="K596" t="s">
        <v>2</v>
      </c>
      <c r="L596" t="s">
        <v>67</v>
      </c>
      <c r="M596" t="s">
        <v>82</v>
      </c>
      <c r="N596" t="s">
        <v>12</v>
      </c>
    </row>
    <row r="597" spans="1:14" x14ac:dyDescent="0.35">
      <c r="A597" s="75">
        <v>43898</v>
      </c>
      <c r="B597" t="s">
        <v>147</v>
      </c>
      <c r="C597" t="s">
        <v>94</v>
      </c>
      <c r="D597">
        <v>10</v>
      </c>
      <c r="E597">
        <v>10</v>
      </c>
      <c r="F597" t="s">
        <v>10</v>
      </c>
      <c r="G597" t="s">
        <v>73</v>
      </c>
      <c r="H597" t="s">
        <v>78</v>
      </c>
      <c r="I597">
        <v>120000000</v>
      </c>
      <c r="J597" t="s">
        <v>30</v>
      </c>
      <c r="K597" t="s">
        <v>8</v>
      </c>
      <c r="L597" t="s">
        <v>67</v>
      </c>
      <c r="M597" t="s">
        <v>82</v>
      </c>
      <c r="N597" t="s">
        <v>12</v>
      </c>
    </row>
    <row r="598" spans="1:14" x14ac:dyDescent="0.35">
      <c r="A598" s="75">
        <v>43898</v>
      </c>
      <c r="B598" t="s">
        <v>147</v>
      </c>
      <c r="C598" t="s">
        <v>94</v>
      </c>
      <c r="D598">
        <v>10</v>
      </c>
      <c r="E598">
        <v>10</v>
      </c>
      <c r="F598" t="s">
        <v>10</v>
      </c>
      <c r="G598" t="s">
        <v>71</v>
      </c>
      <c r="H598" t="s">
        <v>6</v>
      </c>
      <c r="I598">
        <v>60000000</v>
      </c>
      <c r="J598" t="s">
        <v>50</v>
      </c>
      <c r="K598" t="s">
        <v>2</v>
      </c>
      <c r="L598" t="s">
        <v>67</v>
      </c>
      <c r="M598" t="s">
        <v>81</v>
      </c>
      <c r="N598" t="s">
        <v>13</v>
      </c>
    </row>
    <row r="599" spans="1:14" x14ac:dyDescent="0.35">
      <c r="A599" s="75">
        <v>43898</v>
      </c>
      <c r="B599" t="s">
        <v>147</v>
      </c>
      <c r="C599" t="s">
        <v>94</v>
      </c>
      <c r="D599">
        <v>10</v>
      </c>
      <c r="E599">
        <v>10</v>
      </c>
      <c r="F599" t="s">
        <v>10</v>
      </c>
      <c r="G599" t="s">
        <v>113</v>
      </c>
      <c r="H599" t="s">
        <v>77</v>
      </c>
      <c r="I599">
        <v>100000000</v>
      </c>
      <c r="J599" t="s">
        <v>43</v>
      </c>
      <c r="K599" t="s">
        <v>5</v>
      </c>
      <c r="L599" t="s">
        <v>67</v>
      </c>
      <c r="M599" t="s">
        <v>82</v>
      </c>
      <c r="N599" t="s">
        <v>12</v>
      </c>
    </row>
    <row r="600" spans="1:14" x14ac:dyDescent="0.35">
      <c r="A600" s="75">
        <v>43898</v>
      </c>
      <c r="B600" t="s">
        <v>147</v>
      </c>
      <c r="C600" t="s">
        <v>94</v>
      </c>
      <c r="D600">
        <v>9</v>
      </c>
      <c r="E600">
        <v>9</v>
      </c>
      <c r="F600" t="s">
        <v>10</v>
      </c>
      <c r="G600" t="s">
        <v>72</v>
      </c>
      <c r="H600" t="s">
        <v>78</v>
      </c>
      <c r="I600">
        <v>40000000</v>
      </c>
      <c r="J600" t="s">
        <v>43</v>
      </c>
      <c r="K600" t="s">
        <v>5</v>
      </c>
      <c r="L600" t="s">
        <v>67</v>
      </c>
      <c r="M600" t="s">
        <v>80</v>
      </c>
      <c r="N600" t="s">
        <v>14</v>
      </c>
    </row>
    <row r="601" spans="1:14" x14ac:dyDescent="0.35">
      <c r="A601" s="75">
        <v>43898</v>
      </c>
      <c r="B601" t="s">
        <v>147</v>
      </c>
      <c r="C601" t="s">
        <v>94</v>
      </c>
      <c r="D601">
        <v>9</v>
      </c>
      <c r="E601">
        <v>9</v>
      </c>
      <c r="F601" t="s">
        <v>10</v>
      </c>
      <c r="G601" t="s">
        <v>71</v>
      </c>
      <c r="H601" t="s">
        <v>6</v>
      </c>
      <c r="I601">
        <v>80000000</v>
      </c>
      <c r="J601" t="s">
        <v>16</v>
      </c>
      <c r="K601" t="s">
        <v>4</v>
      </c>
      <c r="L601" t="s">
        <v>67</v>
      </c>
      <c r="M601" t="s">
        <v>81</v>
      </c>
      <c r="N601" t="s">
        <v>11</v>
      </c>
    </row>
    <row r="602" spans="1:14" x14ac:dyDescent="0.35">
      <c r="A602" s="75">
        <v>43898</v>
      </c>
      <c r="B602" t="s">
        <v>147</v>
      </c>
      <c r="C602" t="s">
        <v>94</v>
      </c>
      <c r="D602">
        <v>8</v>
      </c>
      <c r="E602">
        <v>8</v>
      </c>
      <c r="F602" t="s">
        <v>10</v>
      </c>
      <c r="G602" t="s">
        <v>70</v>
      </c>
      <c r="H602" t="s">
        <v>1</v>
      </c>
      <c r="I602">
        <v>140000000</v>
      </c>
      <c r="J602" t="s">
        <v>43</v>
      </c>
      <c r="K602" t="s">
        <v>2</v>
      </c>
      <c r="L602" t="s">
        <v>67</v>
      </c>
      <c r="M602" t="s">
        <v>80</v>
      </c>
      <c r="N602" t="s">
        <v>13</v>
      </c>
    </row>
    <row r="603" spans="1:14" x14ac:dyDescent="0.35">
      <c r="A603" s="75">
        <v>43898</v>
      </c>
      <c r="B603" t="s">
        <v>147</v>
      </c>
      <c r="C603" t="s">
        <v>94</v>
      </c>
      <c r="D603">
        <v>7</v>
      </c>
      <c r="E603">
        <v>7</v>
      </c>
      <c r="F603" t="s">
        <v>10</v>
      </c>
      <c r="G603" t="s">
        <v>76</v>
      </c>
      <c r="H603" t="s">
        <v>79</v>
      </c>
      <c r="I603">
        <v>120000000</v>
      </c>
      <c r="J603" t="s">
        <v>50</v>
      </c>
      <c r="K603" t="s">
        <v>5</v>
      </c>
      <c r="L603" t="s">
        <v>67</v>
      </c>
      <c r="M603" t="s">
        <v>81</v>
      </c>
      <c r="N603" t="s">
        <v>12</v>
      </c>
    </row>
    <row r="604" spans="1:14" x14ac:dyDescent="0.35">
      <c r="A604" s="75">
        <v>43899</v>
      </c>
      <c r="B604" t="s">
        <v>148</v>
      </c>
      <c r="C604" t="s">
        <v>94</v>
      </c>
      <c r="D604">
        <v>9</v>
      </c>
      <c r="E604">
        <v>9</v>
      </c>
      <c r="F604" t="s">
        <v>10</v>
      </c>
      <c r="G604" t="s">
        <v>76</v>
      </c>
      <c r="H604" t="s">
        <v>79</v>
      </c>
      <c r="I604">
        <v>40000000</v>
      </c>
      <c r="J604" t="s">
        <v>30</v>
      </c>
      <c r="K604" t="s">
        <v>5</v>
      </c>
      <c r="L604" t="s">
        <v>67</v>
      </c>
      <c r="M604" t="s">
        <v>80</v>
      </c>
      <c r="N604" t="s">
        <v>12</v>
      </c>
    </row>
    <row r="605" spans="1:14" x14ac:dyDescent="0.35">
      <c r="A605" s="75">
        <v>43899</v>
      </c>
      <c r="B605" t="s">
        <v>148</v>
      </c>
      <c r="C605" t="s">
        <v>94</v>
      </c>
      <c r="D605">
        <v>8</v>
      </c>
      <c r="E605">
        <v>8</v>
      </c>
      <c r="F605" t="s">
        <v>10</v>
      </c>
      <c r="G605" t="s">
        <v>73</v>
      </c>
      <c r="H605" t="s">
        <v>78</v>
      </c>
      <c r="I605">
        <v>40000000</v>
      </c>
      <c r="J605" t="s">
        <v>36</v>
      </c>
      <c r="K605" t="s">
        <v>5</v>
      </c>
      <c r="L605" t="s">
        <v>67</v>
      </c>
      <c r="M605" t="s">
        <v>81</v>
      </c>
      <c r="N605" t="s">
        <v>13</v>
      </c>
    </row>
    <row r="606" spans="1:14" x14ac:dyDescent="0.35">
      <c r="A606" s="75">
        <v>43899</v>
      </c>
      <c r="B606" t="s">
        <v>148</v>
      </c>
      <c r="C606" t="s">
        <v>94</v>
      </c>
      <c r="D606">
        <v>7</v>
      </c>
      <c r="E606">
        <v>7</v>
      </c>
      <c r="F606" t="s">
        <v>10</v>
      </c>
      <c r="G606" t="s">
        <v>74</v>
      </c>
      <c r="H606" t="s">
        <v>77</v>
      </c>
      <c r="I606">
        <v>40000000</v>
      </c>
      <c r="J606" t="s">
        <v>42</v>
      </c>
      <c r="K606" t="s">
        <v>2</v>
      </c>
      <c r="L606" t="s">
        <v>67</v>
      </c>
      <c r="M606" t="s">
        <v>81</v>
      </c>
      <c r="N606" t="s">
        <v>13</v>
      </c>
    </row>
    <row r="607" spans="1:14" x14ac:dyDescent="0.35">
      <c r="A607" s="75">
        <v>43899</v>
      </c>
      <c r="B607" t="s">
        <v>148</v>
      </c>
      <c r="C607" t="s">
        <v>94</v>
      </c>
      <c r="D607">
        <v>7</v>
      </c>
      <c r="E607">
        <v>7</v>
      </c>
      <c r="F607" t="s">
        <v>10</v>
      </c>
      <c r="G607" t="s">
        <v>113</v>
      </c>
      <c r="H607" t="s">
        <v>77</v>
      </c>
      <c r="I607">
        <v>120000000</v>
      </c>
      <c r="J607" t="s">
        <v>44</v>
      </c>
      <c r="K607" t="s">
        <v>5</v>
      </c>
      <c r="L607" t="s">
        <v>67</v>
      </c>
      <c r="M607" t="s">
        <v>82</v>
      </c>
      <c r="N607" t="s">
        <v>14</v>
      </c>
    </row>
    <row r="608" spans="1:14" x14ac:dyDescent="0.35">
      <c r="A608" s="75">
        <v>43899</v>
      </c>
      <c r="B608" t="s">
        <v>148</v>
      </c>
      <c r="C608" t="s">
        <v>94</v>
      </c>
      <c r="D608">
        <v>5</v>
      </c>
      <c r="E608">
        <v>5</v>
      </c>
      <c r="F608" t="s">
        <v>10</v>
      </c>
      <c r="G608" t="s">
        <v>75</v>
      </c>
      <c r="H608" t="s">
        <v>6</v>
      </c>
      <c r="I608">
        <v>120000000</v>
      </c>
      <c r="J608" t="s">
        <v>25</v>
      </c>
      <c r="K608" t="s">
        <v>5</v>
      </c>
      <c r="L608" t="s">
        <v>67</v>
      </c>
      <c r="M608" t="s">
        <v>82</v>
      </c>
      <c r="N608" t="s">
        <v>11</v>
      </c>
    </row>
    <row r="609" spans="1:14" x14ac:dyDescent="0.35">
      <c r="A609" s="75">
        <v>43899</v>
      </c>
      <c r="B609" t="s">
        <v>148</v>
      </c>
      <c r="C609" t="s">
        <v>94</v>
      </c>
      <c r="D609">
        <v>5</v>
      </c>
      <c r="E609">
        <v>5</v>
      </c>
      <c r="F609" t="s">
        <v>10</v>
      </c>
      <c r="G609" t="s">
        <v>72</v>
      </c>
      <c r="H609" t="s">
        <v>78</v>
      </c>
      <c r="I609">
        <v>140000000</v>
      </c>
      <c r="J609" t="s">
        <v>33</v>
      </c>
      <c r="K609" t="s">
        <v>5</v>
      </c>
      <c r="L609" t="s">
        <v>67</v>
      </c>
      <c r="M609" t="s">
        <v>82</v>
      </c>
      <c r="N609" t="s">
        <v>14</v>
      </c>
    </row>
    <row r="610" spans="1:14" x14ac:dyDescent="0.35">
      <c r="A610" s="75">
        <v>43899</v>
      </c>
      <c r="B610" t="s">
        <v>148</v>
      </c>
      <c r="C610" t="s">
        <v>94</v>
      </c>
      <c r="D610">
        <v>5</v>
      </c>
      <c r="E610">
        <v>5</v>
      </c>
      <c r="F610" t="s">
        <v>10</v>
      </c>
      <c r="G610" t="s">
        <v>70</v>
      </c>
      <c r="H610" t="s">
        <v>1</v>
      </c>
      <c r="I610">
        <v>60000000</v>
      </c>
      <c r="J610" t="s">
        <v>23</v>
      </c>
      <c r="K610" t="s">
        <v>5</v>
      </c>
      <c r="L610" t="s">
        <v>67</v>
      </c>
      <c r="M610" t="s">
        <v>80</v>
      </c>
      <c r="N610" t="s">
        <v>11</v>
      </c>
    </row>
    <row r="611" spans="1:14" x14ac:dyDescent="0.35">
      <c r="A611" s="75">
        <v>43899</v>
      </c>
      <c r="B611" t="s">
        <v>148</v>
      </c>
      <c r="C611" t="s">
        <v>94</v>
      </c>
      <c r="D611">
        <v>4</v>
      </c>
      <c r="E611">
        <v>4</v>
      </c>
      <c r="F611" t="s">
        <v>10</v>
      </c>
      <c r="G611" t="s">
        <v>113</v>
      </c>
      <c r="H611" t="s">
        <v>77</v>
      </c>
      <c r="I611">
        <v>140000000</v>
      </c>
      <c r="J611" t="s">
        <v>44</v>
      </c>
      <c r="K611" t="s">
        <v>7</v>
      </c>
      <c r="L611" t="s">
        <v>67</v>
      </c>
      <c r="M611" t="s">
        <v>80</v>
      </c>
      <c r="N611" t="s">
        <v>13</v>
      </c>
    </row>
    <row r="612" spans="1:14" x14ac:dyDescent="0.35">
      <c r="A612" s="75">
        <v>43899</v>
      </c>
      <c r="B612" t="s">
        <v>148</v>
      </c>
      <c r="C612" t="s">
        <v>94</v>
      </c>
      <c r="D612">
        <v>4</v>
      </c>
      <c r="E612">
        <v>4</v>
      </c>
      <c r="F612" t="s">
        <v>10</v>
      </c>
      <c r="G612" t="s">
        <v>70</v>
      </c>
      <c r="H612" t="s">
        <v>1</v>
      </c>
      <c r="I612">
        <v>120000000</v>
      </c>
      <c r="J612" t="s">
        <v>56</v>
      </c>
      <c r="K612" t="s">
        <v>7</v>
      </c>
      <c r="L612" t="s">
        <v>67</v>
      </c>
      <c r="M612" t="s">
        <v>82</v>
      </c>
      <c r="N612" t="s">
        <v>14</v>
      </c>
    </row>
    <row r="613" spans="1:14" x14ac:dyDescent="0.35">
      <c r="A613" s="75">
        <v>43899</v>
      </c>
      <c r="B613" t="s">
        <v>148</v>
      </c>
      <c r="C613" t="s">
        <v>94</v>
      </c>
      <c r="D613">
        <v>3</v>
      </c>
      <c r="E613">
        <v>3</v>
      </c>
      <c r="F613" t="s">
        <v>10</v>
      </c>
      <c r="G613" t="s">
        <v>71</v>
      </c>
      <c r="H613" t="s">
        <v>6</v>
      </c>
      <c r="I613">
        <v>120000000</v>
      </c>
      <c r="J613" t="s">
        <v>59</v>
      </c>
      <c r="K613" t="s">
        <v>2</v>
      </c>
      <c r="L613" t="s">
        <v>67</v>
      </c>
      <c r="M613" t="s">
        <v>82</v>
      </c>
      <c r="N613" t="s">
        <v>11</v>
      </c>
    </row>
    <row r="614" spans="1:14" x14ac:dyDescent="0.35">
      <c r="A614" s="75">
        <v>43899</v>
      </c>
      <c r="B614" t="s">
        <v>148</v>
      </c>
      <c r="C614" t="s">
        <v>94</v>
      </c>
      <c r="D614">
        <v>3</v>
      </c>
      <c r="E614">
        <v>3</v>
      </c>
      <c r="F614" t="s">
        <v>10</v>
      </c>
      <c r="G614" t="s">
        <v>114</v>
      </c>
      <c r="H614" t="s">
        <v>3</v>
      </c>
      <c r="I614">
        <v>40000000</v>
      </c>
      <c r="J614" t="s">
        <v>44</v>
      </c>
      <c r="K614" t="s">
        <v>2</v>
      </c>
      <c r="L614" t="s">
        <v>67</v>
      </c>
      <c r="M614" t="s">
        <v>80</v>
      </c>
      <c r="N614" t="s">
        <v>11</v>
      </c>
    </row>
    <row r="615" spans="1:14" x14ac:dyDescent="0.35">
      <c r="A615" s="75">
        <v>43900</v>
      </c>
      <c r="B615" t="s">
        <v>149</v>
      </c>
      <c r="C615" t="s">
        <v>94</v>
      </c>
      <c r="D615">
        <v>10</v>
      </c>
      <c r="E615">
        <v>10</v>
      </c>
      <c r="F615" t="s">
        <v>10</v>
      </c>
      <c r="G615" t="s">
        <v>75</v>
      </c>
      <c r="H615" t="s">
        <v>6</v>
      </c>
      <c r="I615">
        <v>120000000</v>
      </c>
      <c r="J615" t="s">
        <v>39</v>
      </c>
      <c r="K615" t="s">
        <v>2</v>
      </c>
      <c r="L615" t="s">
        <v>67</v>
      </c>
      <c r="M615" t="s">
        <v>80</v>
      </c>
      <c r="N615" t="s">
        <v>14</v>
      </c>
    </row>
    <row r="616" spans="1:14" x14ac:dyDescent="0.35">
      <c r="A616" s="75">
        <v>43900</v>
      </c>
      <c r="B616" t="s">
        <v>149</v>
      </c>
      <c r="C616" t="s">
        <v>94</v>
      </c>
      <c r="D616">
        <v>6</v>
      </c>
      <c r="E616">
        <v>6</v>
      </c>
      <c r="F616" t="s">
        <v>10</v>
      </c>
      <c r="G616" t="s">
        <v>71</v>
      </c>
      <c r="H616" t="s">
        <v>6</v>
      </c>
      <c r="I616">
        <v>100000000</v>
      </c>
      <c r="J616" t="s">
        <v>30</v>
      </c>
      <c r="K616" t="s">
        <v>5</v>
      </c>
      <c r="L616" t="s">
        <v>67</v>
      </c>
      <c r="M616" t="s">
        <v>80</v>
      </c>
      <c r="N616" t="s">
        <v>14</v>
      </c>
    </row>
    <row r="617" spans="1:14" x14ac:dyDescent="0.35">
      <c r="A617" s="75">
        <v>43900</v>
      </c>
      <c r="B617" t="s">
        <v>149</v>
      </c>
      <c r="C617" t="s">
        <v>94</v>
      </c>
      <c r="D617">
        <v>6</v>
      </c>
      <c r="E617">
        <v>6</v>
      </c>
      <c r="F617" t="s">
        <v>10</v>
      </c>
      <c r="G617" t="s">
        <v>72</v>
      </c>
      <c r="H617" t="s">
        <v>78</v>
      </c>
      <c r="I617">
        <v>140000000</v>
      </c>
      <c r="J617" t="s">
        <v>33</v>
      </c>
      <c r="K617" t="s">
        <v>9</v>
      </c>
      <c r="L617" t="s">
        <v>67</v>
      </c>
      <c r="M617" t="s">
        <v>81</v>
      </c>
      <c r="N617" t="s">
        <v>14</v>
      </c>
    </row>
    <row r="618" spans="1:14" x14ac:dyDescent="0.35">
      <c r="A618" s="75">
        <v>43900</v>
      </c>
      <c r="B618" t="s">
        <v>149</v>
      </c>
      <c r="C618" t="s">
        <v>94</v>
      </c>
      <c r="D618">
        <v>6</v>
      </c>
      <c r="E618">
        <v>6</v>
      </c>
      <c r="F618" t="s">
        <v>10</v>
      </c>
      <c r="G618" t="s">
        <v>76</v>
      </c>
      <c r="H618" t="s">
        <v>79</v>
      </c>
      <c r="I618">
        <v>60000000</v>
      </c>
      <c r="J618" t="s">
        <v>53</v>
      </c>
      <c r="K618" t="s">
        <v>2</v>
      </c>
      <c r="L618" t="s">
        <v>67</v>
      </c>
      <c r="M618" t="s">
        <v>82</v>
      </c>
      <c r="N618" t="s">
        <v>12</v>
      </c>
    </row>
    <row r="619" spans="1:14" x14ac:dyDescent="0.35">
      <c r="A619" s="75">
        <v>43900</v>
      </c>
      <c r="B619" t="s">
        <v>149</v>
      </c>
      <c r="C619" t="s">
        <v>94</v>
      </c>
      <c r="D619">
        <v>4</v>
      </c>
      <c r="E619">
        <v>4</v>
      </c>
      <c r="F619" t="s">
        <v>10</v>
      </c>
      <c r="G619" t="s">
        <v>114</v>
      </c>
      <c r="H619" t="s">
        <v>3</v>
      </c>
      <c r="I619">
        <v>120000000</v>
      </c>
      <c r="J619" t="s">
        <v>57</v>
      </c>
      <c r="K619" t="s">
        <v>7</v>
      </c>
      <c r="L619" t="s">
        <v>67</v>
      </c>
      <c r="M619" t="s">
        <v>81</v>
      </c>
      <c r="N619" t="s">
        <v>12</v>
      </c>
    </row>
    <row r="620" spans="1:14" x14ac:dyDescent="0.35">
      <c r="A620" s="75">
        <v>43900</v>
      </c>
      <c r="B620" t="s">
        <v>149</v>
      </c>
      <c r="C620" t="s">
        <v>94</v>
      </c>
      <c r="D620">
        <v>3</v>
      </c>
      <c r="E620">
        <v>3</v>
      </c>
      <c r="F620" t="s">
        <v>10</v>
      </c>
      <c r="G620" t="s">
        <v>114</v>
      </c>
      <c r="H620" t="s">
        <v>3</v>
      </c>
      <c r="I620">
        <v>80000000</v>
      </c>
      <c r="J620" t="s">
        <v>36</v>
      </c>
      <c r="K620" t="s">
        <v>2</v>
      </c>
      <c r="L620" t="s">
        <v>67</v>
      </c>
      <c r="M620" t="s">
        <v>81</v>
      </c>
      <c r="N620" t="s">
        <v>14</v>
      </c>
    </row>
    <row r="621" spans="1:14" x14ac:dyDescent="0.35">
      <c r="A621" s="75">
        <v>43900</v>
      </c>
      <c r="B621" t="s">
        <v>149</v>
      </c>
      <c r="C621" t="s">
        <v>94</v>
      </c>
      <c r="D621">
        <v>3</v>
      </c>
      <c r="E621">
        <v>3</v>
      </c>
      <c r="F621" t="s">
        <v>10</v>
      </c>
      <c r="G621" t="s">
        <v>75</v>
      </c>
      <c r="H621" t="s">
        <v>6</v>
      </c>
      <c r="I621">
        <v>40000000</v>
      </c>
      <c r="J621" t="s">
        <v>41</v>
      </c>
      <c r="K621" t="s">
        <v>8</v>
      </c>
      <c r="L621" t="s">
        <v>67</v>
      </c>
      <c r="M621" t="s">
        <v>82</v>
      </c>
      <c r="N621" t="s">
        <v>14</v>
      </c>
    </row>
    <row r="622" spans="1:14" x14ac:dyDescent="0.35">
      <c r="A622" s="75">
        <v>43901</v>
      </c>
      <c r="B622" t="s">
        <v>150</v>
      </c>
      <c r="C622" t="s">
        <v>94</v>
      </c>
      <c r="D622">
        <v>9</v>
      </c>
      <c r="E622">
        <v>9</v>
      </c>
      <c r="F622" t="s">
        <v>10</v>
      </c>
      <c r="G622" t="s">
        <v>71</v>
      </c>
      <c r="H622" t="s">
        <v>6</v>
      </c>
      <c r="I622">
        <v>80000000</v>
      </c>
      <c r="J622" t="s">
        <v>21</v>
      </c>
      <c r="K622" t="s">
        <v>2</v>
      </c>
      <c r="L622" t="s">
        <v>67</v>
      </c>
      <c r="M622" t="s">
        <v>82</v>
      </c>
      <c r="N622" t="s">
        <v>13</v>
      </c>
    </row>
    <row r="623" spans="1:14" x14ac:dyDescent="0.35">
      <c r="A623" s="75">
        <v>43901</v>
      </c>
      <c r="B623" t="s">
        <v>150</v>
      </c>
      <c r="C623" t="s">
        <v>94</v>
      </c>
      <c r="D623">
        <v>7</v>
      </c>
      <c r="E623">
        <v>7</v>
      </c>
      <c r="F623" t="s">
        <v>10</v>
      </c>
      <c r="G623" t="s">
        <v>75</v>
      </c>
      <c r="H623" t="s">
        <v>6</v>
      </c>
      <c r="I623">
        <v>40000000</v>
      </c>
      <c r="J623" t="s">
        <v>17</v>
      </c>
      <c r="K623" t="s">
        <v>2</v>
      </c>
      <c r="L623" t="s">
        <v>67</v>
      </c>
      <c r="M623" t="s">
        <v>82</v>
      </c>
      <c r="N623" t="s">
        <v>13</v>
      </c>
    </row>
    <row r="624" spans="1:14" x14ac:dyDescent="0.35">
      <c r="A624" s="75">
        <v>43901</v>
      </c>
      <c r="B624" t="s">
        <v>150</v>
      </c>
      <c r="C624" t="s">
        <v>94</v>
      </c>
      <c r="D624">
        <v>7</v>
      </c>
      <c r="E624">
        <v>7</v>
      </c>
      <c r="F624" t="s">
        <v>10</v>
      </c>
      <c r="G624" t="s">
        <v>72</v>
      </c>
      <c r="H624" t="s">
        <v>78</v>
      </c>
      <c r="I624">
        <v>140000000</v>
      </c>
      <c r="J624" t="s">
        <v>47</v>
      </c>
      <c r="K624" t="s">
        <v>5</v>
      </c>
      <c r="L624" t="s">
        <v>67</v>
      </c>
      <c r="M624" t="s">
        <v>81</v>
      </c>
      <c r="N624" t="s">
        <v>12</v>
      </c>
    </row>
    <row r="625" spans="1:14" x14ac:dyDescent="0.35">
      <c r="A625" s="75">
        <v>43901</v>
      </c>
      <c r="B625" t="s">
        <v>150</v>
      </c>
      <c r="C625" t="s">
        <v>94</v>
      </c>
      <c r="D625">
        <v>6</v>
      </c>
      <c r="E625">
        <v>6</v>
      </c>
      <c r="F625" t="s">
        <v>10</v>
      </c>
      <c r="G625" t="s">
        <v>71</v>
      </c>
      <c r="H625" t="s">
        <v>6</v>
      </c>
      <c r="I625">
        <v>60000000</v>
      </c>
      <c r="J625" t="s">
        <v>15</v>
      </c>
      <c r="K625" t="s">
        <v>7</v>
      </c>
      <c r="L625" t="s">
        <v>67</v>
      </c>
      <c r="M625" t="s">
        <v>82</v>
      </c>
      <c r="N625" t="s">
        <v>14</v>
      </c>
    </row>
    <row r="626" spans="1:14" x14ac:dyDescent="0.35">
      <c r="A626" s="75">
        <v>43901</v>
      </c>
      <c r="B626" t="s">
        <v>150</v>
      </c>
      <c r="C626" t="s">
        <v>94</v>
      </c>
      <c r="D626">
        <v>6</v>
      </c>
      <c r="E626">
        <v>6</v>
      </c>
      <c r="F626" t="s">
        <v>10</v>
      </c>
      <c r="G626" t="s">
        <v>76</v>
      </c>
      <c r="H626" t="s">
        <v>79</v>
      </c>
      <c r="I626">
        <v>100000000</v>
      </c>
      <c r="J626" t="s">
        <v>64</v>
      </c>
      <c r="K626" t="s">
        <v>5</v>
      </c>
      <c r="L626" t="s">
        <v>67</v>
      </c>
      <c r="M626" t="s">
        <v>81</v>
      </c>
      <c r="N626" t="s">
        <v>11</v>
      </c>
    </row>
    <row r="627" spans="1:14" x14ac:dyDescent="0.35">
      <c r="A627" s="75">
        <v>43901</v>
      </c>
      <c r="B627" t="s">
        <v>150</v>
      </c>
      <c r="C627" t="s">
        <v>94</v>
      </c>
      <c r="D627">
        <v>6</v>
      </c>
      <c r="E627">
        <v>6</v>
      </c>
      <c r="F627" t="s">
        <v>10</v>
      </c>
      <c r="G627" t="s">
        <v>75</v>
      </c>
      <c r="H627" t="s">
        <v>6</v>
      </c>
      <c r="I627">
        <v>140000000</v>
      </c>
      <c r="J627" t="s">
        <v>57</v>
      </c>
      <c r="K627" t="s">
        <v>4</v>
      </c>
      <c r="L627" t="s">
        <v>67</v>
      </c>
      <c r="M627" t="s">
        <v>81</v>
      </c>
      <c r="N627" t="s">
        <v>12</v>
      </c>
    </row>
    <row r="628" spans="1:14" x14ac:dyDescent="0.35">
      <c r="A628" s="75">
        <v>43901</v>
      </c>
      <c r="B628" t="s">
        <v>150</v>
      </c>
      <c r="C628" t="s">
        <v>94</v>
      </c>
      <c r="D628">
        <v>3</v>
      </c>
      <c r="E628">
        <v>3</v>
      </c>
      <c r="F628" t="s">
        <v>10</v>
      </c>
      <c r="G628" t="s">
        <v>74</v>
      </c>
      <c r="H628" t="s">
        <v>77</v>
      </c>
      <c r="I628">
        <v>40000000</v>
      </c>
      <c r="J628" t="s">
        <v>23</v>
      </c>
      <c r="K628" t="s">
        <v>7</v>
      </c>
      <c r="L628" t="s">
        <v>67</v>
      </c>
      <c r="M628" t="s">
        <v>80</v>
      </c>
      <c r="N628" t="s">
        <v>11</v>
      </c>
    </row>
    <row r="629" spans="1:14" x14ac:dyDescent="0.35">
      <c r="A629" s="75">
        <v>43901</v>
      </c>
      <c r="B629" t="s">
        <v>150</v>
      </c>
      <c r="C629" t="s">
        <v>94</v>
      </c>
      <c r="D629">
        <v>3</v>
      </c>
      <c r="E629">
        <v>3</v>
      </c>
      <c r="F629" t="s">
        <v>10</v>
      </c>
      <c r="G629" t="s">
        <v>70</v>
      </c>
      <c r="H629" t="s">
        <v>1</v>
      </c>
      <c r="I629">
        <v>100000000</v>
      </c>
      <c r="J629" t="s">
        <v>59</v>
      </c>
      <c r="K629" t="s">
        <v>4</v>
      </c>
      <c r="L629" t="s">
        <v>67</v>
      </c>
      <c r="M629" t="s">
        <v>82</v>
      </c>
      <c r="N629" t="s">
        <v>12</v>
      </c>
    </row>
    <row r="630" spans="1:14" x14ac:dyDescent="0.35">
      <c r="A630" s="75">
        <v>43902</v>
      </c>
      <c r="B630" t="s">
        <v>151</v>
      </c>
      <c r="C630" t="s">
        <v>94</v>
      </c>
      <c r="D630">
        <v>9</v>
      </c>
      <c r="E630">
        <v>9</v>
      </c>
      <c r="F630" t="s">
        <v>10</v>
      </c>
      <c r="G630" t="s">
        <v>73</v>
      </c>
      <c r="H630" t="s">
        <v>78</v>
      </c>
      <c r="I630">
        <v>80000000</v>
      </c>
      <c r="J630" t="s">
        <v>56</v>
      </c>
      <c r="K630" t="s">
        <v>5</v>
      </c>
      <c r="L630" t="s">
        <v>67</v>
      </c>
      <c r="M630" t="s">
        <v>82</v>
      </c>
      <c r="N630" t="s">
        <v>13</v>
      </c>
    </row>
    <row r="631" spans="1:14" x14ac:dyDescent="0.35">
      <c r="A631" s="75">
        <v>43902</v>
      </c>
      <c r="B631" t="s">
        <v>151</v>
      </c>
      <c r="C631" t="s">
        <v>94</v>
      </c>
      <c r="D631">
        <v>8</v>
      </c>
      <c r="E631">
        <v>8</v>
      </c>
      <c r="F631" t="s">
        <v>10</v>
      </c>
      <c r="G631" t="s">
        <v>75</v>
      </c>
      <c r="H631" t="s">
        <v>6</v>
      </c>
      <c r="I631">
        <v>60000000</v>
      </c>
      <c r="J631" t="s">
        <v>61</v>
      </c>
      <c r="K631" t="s">
        <v>4</v>
      </c>
      <c r="L631" t="s">
        <v>67</v>
      </c>
      <c r="M631" t="s">
        <v>81</v>
      </c>
      <c r="N631" t="s">
        <v>13</v>
      </c>
    </row>
    <row r="632" spans="1:14" x14ac:dyDescent="0.35">
      <c r="A632" s="75">
        <v>43902</v>
      </c>
      <c r="B632" t="s">
        <v>151</v>
      </c>
      <c r="C632" t="s">
        <v>94</v>
      </c>
      <c r="D632">
        <v>8</v>
      </c>
      <c r="E632">
        <v>8</v>
      </c>
      <c r="F632" t="s">
        <v>10</v>
      </c>
      <c r="G632" t="s">
        <v>71</v>
      </c>
      <c r="H632" t="s">
        <v>6</v>
      </c>
      <c r="I632">
        <v>80000000</v>
      </c>
      <c r="J632" t="s">
        <v>51</v>
      </c>
      <c r="K632" t="s">
        <v>2</v>
      </c>
      <c r="L632" t="s">
        <v>67</v>
      </c>
      <c r="M632" t="s">
        <v>81</v>
      </c>
      <c r="N632" t="s">
        <v>13</v>
      </c>
    </row>
    <row r="633" spans="1:14" x14ac:dyDescent="0.35">
      <c r="A633" s="75">
        <v>43902</v>
      </c>
      <c r="B633" t="s">
        <v>151</v>
      </c>
      <c r="C633" t="s">
        <v>94</v>
      </c>
      <c r="D633">
        <v>7</v>
      </c>
      <c r="E633">
        <v>7</v>
      </c>
      <c r="F633" t="s">
        <v>10</v>
      </c>
      <c r="G633" t="s">
        <v>113</v>
      </c>
      <c r="H633" t="s">
        <v>77</v>
      </c>
      <c r="I633">
        <v>60000000</v>
      </c>
      <c r="J633" t="s">
        <v>52</v>
      </c>
      <c r="K633" t="s">
        <v>5</v>
      </c>
      <c r="L633" t="s">
        <v>67</v>
      </c>
      <c r="M633" t="s">
        <v>81</v>
      </c>
      <c r="N633" t="s">
        <v>13</v>
      </c>
    </row>
    <row r="634" spans="1:14" x14ac:dyDescent="0.35">
      <c r="A634" s="75">
        <v>43902</v>
      </c>
      <c r="B634" t="s">
        <v>151</v>
      </c>
      <c r="C634" t="s">
        <v>94</v>
      </c>
      <c r="D634">
        <v>5</v>
      </c>
      <c r="E634">
        <v>5</v>
      </c>
      <c r="F634" t="s">
        <v>10</v>
      </c>
      <c r="G634" t="s">
        <v>75</v>
      </c>
      <c r="H634" t="s">
        <v>6</v>
      </c>
      <c r="I634">
        <v>100000000</v>
      </c>
      <c r="J634" t="s">
        <v>47</v>
      </c>
      <c r="K634" t="s">
        <v>5</v>
      </c>
      <c r="L634" t="s">
        <v>67</v>
      </c>
      <c r="M634" t="s">
        <v>82</v>
      </c>
      <c r="N634" t="s">
        <v>12</v>
      </c>
    </row>
    <row r="635" spans="1:14" x14ac:dyDescent="0.35">
      <c r="A635" s="75">
        <v>43902</v>
      </c>
      <c r="B635" t="s">
        <v>151</v>
      </c>
      <c r="C635" t="s">
        <v>94</v>
      </c>
      <c r="D635">
        <v>4</v>
      </c>
      <c r="E635">
        <v>4</v>
      </c>
      <c r="F635" t="s">
        <v>10</v>
      </c>
      <c r="G635" t="s">
        <v>70</v>
      </c>
      <c r="H635" t="s">
        <v>1</v>
      </c>
      <c r="I635">
        <v>100000000</v>
      </c>
      <c r="J635" t="s">
        <v>26</v>
      </c>
      <c r="K635" t="s">
        <v>7</v>
      </c>
      <c r="L635" t="s">
        <v>67</v>
      </c>
      <c r="M635" t="s">
        <v>81</v>
      </c>
      <c r="N635" t="s">
        <v>14</v>
      </c>
    </row>
    <row r="636" spans="1:14" x14ac:dyDescent="0.35">
      <c r="A636" s="75">
        <v>43902</v>
      </c>
      <c r="B636" t="s">
        <v>151</v>
      </c>
      <c r="C636" t="s">
        <v>94</v>
      </c>
      <c r="D636">
        <v>4</v>
      </c>
      <c r="E636">
        <v>4</v>
      </c>
      <c r="F636" t="s">
        <v>10</v>
      </c>
      <c r="G636" t="s">
        <v>76</v>
      </c>
      <c r="H636" t="s">
        <v>79</v>
      </c>
      <c r="I636">
        <v>60000000</v>
      </c>
      <c r="J636" t="s">
        <v>30</v>
      </c>
      <c r="K636" t="s">
        <v>5</v>
      </c>
      <c r="L636" t="s">
        <v>67</v>
      </c>
      <c r="M636" t="s">
        <v>81</v>
      </c>
      <c r="N636" t="s">
        <v>12</v>
      </c>
    </row>
    <row r="637" spans="1:14" x14ac:dyDescent="0.35">
      <c r="A637" s="75">
        <v>43903</v>
      </c>
      <c r="B637" t="s">
        <v>152</v>
      </c>
      <c r="C637" t="s">
        <v>94</v>
      </c>
      <c r="D637">
        <v>9</v>
      </c>
      <c r="E637">
        <v>9</v>
      </c>
      <c r="F637" t="s">
        <v>10</v>
      </c>
      <c r="G637" t="s">
        <v>73</v>
      </c>
      <c r="H637" t="s">
        <v>78</v>
      </c>
      <c r="I637">
        <v>40000000</v>
      </c>
      <c r="J637" t="s">
        <v>37</v>
      </c>
      <c r="K637" t="s">
        <v>2</v>
      </c>
      <c r="L637" t="s">
        <v>67</v>
      </c>
      <c r="M637" t="s">
        <v>81</v>
      </c>
      <c r="N637" t="s">
        <v>12</v>
      </c>
    </row>
    <row r="638" spans="1:14" x14ac:dyDescent="0.35">
      <c r="A638" s="75">
        <v>43903</v>
      </c>
      <c r="B638" t="s">
        <v>152</v>
      </c>
      <c r="C638" t="s">
        <v>94</v>
      </c>
      <c r="D638">
        <v>9</v>
      </c>
      <c r="E638">
        <v>9</v>
      </c>
      <c r="F638" t="s">
        <v>10</v>
      </c>
      <c r="G638" t="s">
        <v>72</v>
      </c>
      <c r="H638" t="s">
        <v>78</v>
      </c>
      <c r="I638">
        <v>40000000</v>
      </c>
      <c r="J638" t="s">
        <v>26</v>
      </c>
      <c r="K638" t="s">
        <v>2</v>
      </c>
      <c r="L638" t="s">
        <v>67</v>
      </c>
      <c r="M638" t="s">
        <v>82</v>
      </c>
      <c r="N638" t="s">
        <v>13</v>
      </c>
    </row>
    <row r="639" spans="1:14" x14ac:dyDescent="0.35">
      <c r="A639" s="75">
        <v>43903</v>
      </c>
      <c r="B639" t="s">
        <v>152</v>
      </c>
      <c r="C639" t="s">
        <v>94</v>
      </c>
      <c r="D639">
        <v>8</v>
      </c>
      <c r="E639">
        <v>8</v>
      </c>
      <c r="F639" t="s">
        <v>10</v>
      </c>
      <c r="G639" t="s">
        <v>113</v>
      </c>
      <c r="H639" t="s">
        <v>77</v>
      </c>
      <c r="I639">
        <v>140000000</v>
      </c>
      <c r="J639" t="s">
        <v>15</v>
      </c>
      <c r="K639" t="s">
        <v>5</v>
      </c>
      <c r="L639" t="s">
        <v>67</v>
      </c>
      <c r="M639" t="s">
        <v>80</v>
      </c>
      <c r="N639" t="s">
        <v>13</v>
      </c>
    </row>
    <row r="640" spans="1:14" x14ac:dyDescent="0.35">
      <c r="A640" s="75">
        <v>43903</v>
      </c>
      <c r="B640" t="s">
        <v>152</v>
      </c>
      <c r="C640" t="s">
        <v>94</v>
      </c>
      <c r="D640">
        <v>7</v>
      </c>
      <c r="E640">
        <v>7</v>
      </c>
      <c r="F640" t="s">
        <v>10</v>
      </c>
      <c r="G640" t="s">
        <v>74</v>
      </c>
      <c r="H640" t="s">
        <v>77</v>
      </c>
      <c r="I640">
        <v>100000000</v>
      </c>
      <c r="J640" t="s">
        <v>31</v>
      </c>
      <c r="K640" t="s">
        <v>2</v>
      </c>
      <c r="L640" t="s">
        <v>67</v>
      </c>
      <c r="M640" t="s">
        <v>80</v>
      </c>
      <c r="N640" t="s">
        <v>11</v>
      </c>
    </row>
    <row r="641" spans="1:14" x14ac:dyDescent="0.35">
      <c r="A641" s="75">
        <v>43903</v>
      </c>
      <c r="B641" t="s">
        <v>152</v>
      </c>
      <c r="C641" t="s">
        <v>94</v>
      </c>
      <c r="D641">
        <v>6</v>
      </c>
      <c r="E641">
        <v>6</v>
      </c>
      <c r="F641" t="s">
        <v>10</v>
      </c>
      <c r="G641" t="s">
        <v>113</v>
      </c>
      <c r="H641" t="s">
        <v>77</v>
      </c>
      <c r="I641">
        <v>60000000</v>
      </c>
      <c r="J641" t="s">
        <v>58</v>
      </c>
      <c r="K641" t="s">
        <v>5</v>
      </c>
      <c r="L641" t="s">
        <v>67</v>
      </c>
      <c r="M641" t="s">
        <v>81</v>
      </c>
      <c r="N641" t="s">
        <v>14</v>
      </c>
    </row>
    <row r="642" spans="1:14" x14ac:dyDescent="0.35">
      <c r="A642" s="75">
        <v>43903</v>
      </c>
      <c r="B642" t="s">
        <v>152</v>
      </c>
      <c r="C642" t="s">
        <v>94</v>
      </c>
      <c r="D642">
        <v>4</v>
      </c>
      <c r="E642">
        <v>4</v>
      </c>
      <c r="F642" t="s">
        <v>10</v>
      </c>
      <c r="G642" t="s">
        <v>75</v>
      </c>
      <c r="H642" t="s">
        <v>6</v>
      </c>
      <c r="I642">
        <v>60000000</v>
      </c>
      <c r="J642" t="s">
        <v>50</v>
      </c>
      <c r="K642" t="s">
        <v>2</v>
      </c>
      <c r="L642" t="s">
        <v>67</v>
      </c>
      <c r="M642" t="s">
        <v>80</v>
      </c>
      <c r="N642" t="s">
        <v>14</v>
      </c>
    </row>
    <row r="643" spans="1:14" x14ac:dyDescent="0.35">
      <c r="A643" s="75">
        <v>43904</v>
      </c>
      <c r="B643" t="s">
        <v>153</v>
      </c>
      <c r="C643" t="s">
        <v>94</v>
      </c>
      <c r="D643">
        <v>10</v>
      </c>
      <c r="E643">
        <v>10</v>
      </c>
      <c r="F643" t="s">
        <v>10</v>
      </c>
      <c r="G643" t="s">
        <v>76</v>
      </c>
      <c r="H643" t="s">
        <v>79</v>
      </c>
      <c r="I643">
        <v>120000000</v>
      </c>
      <c r="J643" t="s">
        <v>63</v>
      </c>
      <c r="K643" t="s">
        <v>2</v>
      </c>
      <c r="L643" t="s">
        <v>67</v>
      </c>
      <c r="M643" t="s">
        <v>82</v>
      </c>
      <c r="N643" t="s">
        <v>13</v>
      </c>
    </row>
    <row r="644" spans="1:14" x14ac:dyDescent="0.35">
      <c r="A644" s="75">
        <v>43904</v>
      </c>
      <c r="B644" t="s">
        <v>153</v>
      </c>
      <c r="C644" t="s">
        <v>94</v>
      </c>
      <c r="D644">
        <v>9</v>
      </c>
      <c r="E644">
        <v>9</v>
      </c>
      <c r="F644" t="s">
        <v>10</v>
      </c>
      <c r="G644" t="s">
        <v>72</v>
      </c>
      <c r="H644" t="s">
        <v>78</v>
      </c>
      <c r="I644">
        <v>80000000</v>
      </c>
      <c r="J644" t="s">
        <v>38</v>
      </c>
      <c r="K644" t="s">
        <v>5</v>
      </c>
      <c r="L644" t="s">
        <v>67</v>
      </c>
      <c r="M644" t="s">
        <v>82</v>
      </c>
      <c r="N644" t="s">
        <v>13</v>
      </c>
    </row>
    <row r="645" spans="1:14" x14ac:dyDescent="0.35">
      <c r="A645" s="75">
        <v>43904</v>
      </c>
      <c r="B645" t="s">
        <v>153</v>
      </c>
      <c r="C645" t="s">
        <v>94</v>
      </c>
      <c r="D645">
        <v>8</v>
      </c>
      <c r="E645">
        <v>8</v>
      </c>
      <c r="F645" t="s">
        <v>10</v>
      </c>
      <c r="G645" t="s">
        <v>71</v>
      </c>
      <c r="H645" t="s">
        <v>6</v>
      </c>
      <c r="I645">
        <v>100000000</v>
      </c>
      <c r="J645" t="s">
        <v>47</v>
      </c>
      <c r="K645" t="s">
        <v>8</v>
      </c>
      <c r="L645" t="s">
        <v>67</v>
      </c>
      <c r="M645" t="s">
        <v>80</v>
      </c>
      <c r="N645" t="s">
        <v>13</v>
      </c>
    </row>
    <row r="646" spans="1:14" x14ac:dyDescent="0.35">
      <c r="A646" s="75">
        <v>43904</v>
      </c>
      <c r="B646" t="s">
        <v>153</v>
      </c>
      <c r="C646" t="s">
        <v>94</v>
      </c>
      <c r="D646">
        <v>7</v>
      </c>
      <c r="E646">
        <v>7</v>
      </c>
      <c r="F646" t="s">
        <v>10</v>
      </c>
      <c r="G646" t="s">
        <v>71</v>
      </c>
      <c r="H646" t="s">
        <v>6</v>
      </c>
      <c r="I646">
        <v>40000000</v>
      </c>
      <c r="J646" t="s">
        <v>25</v>
      </c>
      <c r="K646" t="s">
        <v>2</v>
      </c>
      <c r="L646" t="s">
        <v>67</v>
      </c>
      <c r="M646" t="s">
        <v>80</v>
      </c>
      <c r="N646" t="s">
        <v>13</v>
      </c>
    </row>
    <row r="647" spans="1:14" x14ac:dyDescent="0.35">
      <c r="A647" s="75">
        <v>43904</v>
      </c>
      <c r="B647" t="s">
        <v>153</v>
      </c>
      <c r="C647" t="s">
        <v>94</v>
      </c>
      <c r="D647">
        <v>5</v>
      </c>
      <c r="E647">
        <v>5</v>
      </c>
      <c r="F647" t="s">
        <v>10</v>
      </c>
      <c r="G647" t="s">
        <v>72</v>
      </c>
      <c r="H647" t="s">
        <v>78</v>
      </c>
      <c r="I647">
        <v>60000000</v>
      </c>
      <c r="J647" t="s">
        <v>32</v>
      </c>
      <c r="K647" t="s">
        <v>2</v>
      </c>
      <c r="L647" t="s">
        <v>67</v>
      </c>
      <c r="M647" t="s">
        <v>82</v>
      </c>
      <c r="N647" t="s">
        <v>13</v>
      </c>
    </row>
    <row r="648" spans="1:14" x14ac:dyDescent="0.35">
      <c r="A648" s="75">
        <v>43904</v>
      </c>
      <c r="B648" t="s">
        <v>153</v>
      </c>
      <c r="C648" t="s">
        <v>94</v>
      </c>
      <c r="D648">
        <v>4</v>
      </c>
      <c r="E648">
        <v>4</v>
      </c>
      <c r="F648" t="s">
        <v>10</v>
      </c>
      <c r="G648" t="s">
        <v>73</v>
      </c>
      <c r="H648" t="s">
        <v>78</v>
      </c>
      <c r="I648">
        <v>100000000</v>
      </c>
      <c r="J648" t="s">
        <v>45</v>
      </c>
      <c r="K648" t="s">
        <v>5</v>
      </c>
      <c r="L648" t="s">
        <v>67</v>
      </c>
      <c r="M648" t="s">
        <v>82</v>
      </c>
      <c r="N648" t="s">
        <v>13</v>
      </c>
    </row>
    <row r="649" spans="1:14" x14ac:dyDescent="0.35">
      <c r="A649" s="75">
        <v>43904</v>
      </c>
      <c r="B649" t="s">
        <v>153</v>
      </c>
      <c r="C649" t="s">
        <v>94</v>
      </c>
      <c r="D649">
        <v>4</v>
      </c>
      <c r="E649">
        <v>4</v>
      </c>
      <c r="F649" t="s">
        <v>10</v>
      </c>
      <c r="G649" t="s">
        <v>70</v>
      </c>
      <c r="H649" t="s">
        <v>1</v>
      </c>
      <c r="I649">
        <v>60000000</v>
      </c>
      <c r="J649" t="s">
        <v>64</v>
      </c>
      <c r="K649" t="s">
        <v>2</v>
      </c>
      <c r="L649" t="s">
        <v>67</v>
      </c>
      <c r="M649" t="s">
        <v>81</v>
      </c>
      <c r="N649" t="s">
        <v>12</v>
      </c>
    </row>
    <row r="650" spans="1:14" x14ac:dyDescent="0.35">
      <c r="A650" s="75">
        <v>43904</v>
      </c>
      <c r="B650" t="s">
        <v>153</v>
      </c>
      <c r="C650" t="s">
        <v>94</v>
      </c>
      <c r="D650">
        <v>3</v>
      </c>
      <c r="E650">
        <v>3</v>
      </c>
      <c r="F650" t="s">
        <v>10</v>
      </c>
      <c r="G650" t="s">
        <v>113</v>
      </c>
      <c r="H650" t="s">
        <v>77</v>
      </c>
      <c r="I650">
        <v>100000000</v>
      </c>
      <c r="J650" t="s">
        <v>15</v>
      </c>
      <c r="K650" t="s">
        <v>5</v>
      </c>
      <c r="L650" t="s">
        <v>67</v>
      </c>
      <c r="M650" t="s">
        <v>80</v>
      </c>
      <c r="N650" t="s">
        <v>13</v>
      </c>
    </row>
    <row r="651" spans="1:14" x14ac:dyDescent="0.35">
      <c r="A651" s="75">
        <v>43905</v>
      </c>
      <c r="B651" t="s">
        <v>154</v>
      </c>
      <c r="C651" t="s">
        <v>94</v>
      </c>
      <c r="D651">
        <v>6</v>
      </c>
      <c r="E651">
        <v>6</v>
      </c>
      <c r="F651" t="s">
        <v>10</v>
      </c>
      <c r="G651" t="s">
        <v>75</v>
      </c>
      <c r="H651" t="s">
        <v>6</v>
      </c>
      <c r="I651">
        <v>40000000</v>
      </c>
      <c r="J651" t="s">
        <v>18</v>
      </c>
      <c r="K651" t="s">
        <v>2</v>
      </c>
      <c r="L651" t="s">
        <v>67</v>
      </c>
      <c r="M651" t="s">
        <v>82</v>
      </c>
      <c r="N651" t="s">
        <v>11</v>
      </c>
    </row>
    <row r="652" spans="1:14" x14ac:dyDescent="0.35">
      <c r="A652" s="75">
        <v>43905</v>
      </c>
      <c r="B652" t="s">
        <v>154</v>
      </c>
      <c r="C652" t="s">
        <v>94</v>
      </c>
      <c r="D652">
        <v>5</v>
      </c>
      <c r="E652">
        <v>5</v>
      </c>
      <c r="F652" t="s">
        <v>10</v>
      </c>
      <c r="G652" t="s">
        <v>72</v>
      </c>
      <c r="H652" t="s">
        <v>78</v>
      </c>
      <c r="I652">
        <v>80000000</v>
      </c>
      <c r="J652" t="s">
        <v>20</v>
      </c>
      <c r="K652" t="s">
        <v>2</v>
      </c>
      <c r="L652" t="s">
        <v>67</v>
      </c>
      <c r="M652" t="s">
        <v>80</v>
      </c>
      <c r="N652" t="s">
        <v>13</v>
      </c>
    </row>
    <row r="653" spans="1:14" x14ac:dyDescent="0.35">
      <c r="A653" s="75">
        <v>43905</v>
      </c>
      <c r="B653" t="s">
        <v>154</v>
      </c>
      <c r="C653" t="s">
        <v>94</v>
      </c>
      <c r="D653">
        <v>4</v>
      </c>
      <c r="E653">
        <v>4</v>
      </c>
      <c r="F653" t="s">
        <v>10</v>
      </c>
      <c r="G653" t="s">
        <v>71</v>
      </c>
      <c r="H653" t="s">
        <v>6</v>
      </c>
      <c r="I653">
        <v>120000000</v>
      </c>
      <c r="J653" t="s">
        <v>40</v>
      </c>
      <c r="K653" t="s">
        <v>5</v>
      </c>
      <c r="L653" t="s">
        <v>67</v>
      </c>
      <c r="M653" t="s">
        <v>81</v>
      </c>
      <c r="N653" t="s">
        <v>14</v>
      </c>
    </row>
    <row r="654" spans="1:14" x14ac:dyDescent="0.35">
      <c r="A654" s="75">
        <v>43905</v>
      </c>
      <c r="B654" t="s">
        <v>154</v>
      </c>
      <c r="C654" t="s">
        <v>94</v>
      </c>
      <c r="D654">
        <v>3</v>
      </c>
      <c r="E654">
        <v>3</v>
      </c>
      <c r="F654" t="s">
        <v>10</v>
      </c>
      <c r="G654" t="s">
        <v>71</v>
      </c>
      <c r="H654" t="s">
        <v>6</v>
      </c>
      <c r="I654">
        <v>120000000</v>
      </c>
      <c r="J654" t="s">
        <v>60</v>
      </c>
      <c r="K654" t="s">
        <v>5</v>
      </c>
      <c r="L654" t="s">
        <v>67</v>
      </c>
      <c r="M654" t="s">
        <v>80</v>
      </c>
      <c r="N654" t="s">
        <v>12</v>
      </c>
    </row>
    <row r="655" spans="1:14" x14ac:dyDescent="0.35">
      <c r="A655" s="75">
        <v>43906</v>
      </c>
      <c r="B655" t="s">
        <v>155</v>
      </c>
      <c r="C655" t="s">
        <v>94</v>
      </c>
      <c r="D655">
        <v>8</v>
      </c>
      <c r="E655">
        <v>8</v>
      </c>
      <c r="F655" t="s">
        <v>10</v>
      </c>
      <c r="G655" t="s">
        <v>76</v>
      </c>
      <c r="H655" t="s">
        <v>79</v>
      </c>
      <c r="I655">
        <v>40000000</v>
      </c>
      <c r="J655" t="s">
        <v>46</v>
      </c>
      <c r="K655" t="s">
        <v>2</v>
      </c>
      <c r="L655" t="s">
        <v>67</v>
      </c>
      <c r="M655" t="s">
        <v>81</v>
      </c>
      <c r="N655" t="s">
        <v>12</v>
      </c>
    </row>
    <row r="656" spans="1:14" x14ac:dyDescent="0.35">
      <c r="A656" s="75">
        <v>43906</v>
      </c>
      <c r="B656" t="s">
        <v>155</v>
      </c>
      <c r="C656" t="s">
        <v>94</v>
      </c>
      <c r="D656">
        <v>7</v>
      </c>
      <c r="E656">
        <v>7</v>
      </c>
      <c r="F656" t="s">
        <v>10</v>
      </c>
      <c r="G656" t="s">
        <v>70</v>
      </c>
      <c r="H656" t="s">
        <v>1</v>
      </c>
      <c r="I656">
        <v>140000000</v>
      </c>
      <c r="J656" t="s">
        <v>57</v>
      </c>
      <c r="K656" t="s">
        <v>5</v>
      </c>
      <c r="L656" t="s">
        <v>67</v>
      </c>
      <c r="M656" t="s">
        <v>81</v>
      </c>
      <c r="N656" t="s">
        <v>11</v>
      </c>
    </row>
    <row r="657" spans="1:14" x14ac:dyDescent="0.35">
      <c r="A657" s="75">
        <v>43906</v>
      </c>
      <c r="B657" t="s">
        <v>155</v>
      </c>
      <c r="C657" t="s">
        <v>94</v>
      </c>
      <c r="D657">
        <v>6</v>
      </c>
      <c r="E657">
        <v>6</v>
      </c>
      <c r="F657" t="s">
        <v>10</v>
      </c>
      <c r="G657" t="s">
        <v>70</v>
      </c>
      <c r="H657" t="s">
        <v>1</v>
      </c>
      <c r="I657">
        <v>100000000</v>
      </c>
      <c r="J657" t="s">
        <v>53</v>
      </c>
      <c r="K657" t="s">
        <v>8</v>
      </c>
      <c r="L657" t="s">
        <v>67</v>
      </c>
      <c r="M657" t="s">
        <v>80</v>
      </c>
      <c r="N657" t="s">
        <v>13</v>
      </c>
    </row>
    <row r="658" spans="1:14" x14ac:dyDescent="0.35">
      <c r="A658" s="75">
        <v>43906</v>
      </c>
      <c r="B658" t="s">
        <v>155</v>
      </c>
      <c r="C658" t="s">
        <v>94</v>
      </c>
      <c r="D658">
        <v>5</v>
      </c>
      <c r="E658">
        <v>5</v>
      </c>
      <c r="F658" t="s">
        <v>10</v>
      </c>
      <c r="G658" t="s">
        <v>76</v>
      </c>
      <c r="H658" t="s">
        <v>79</v>
      </c>
      <c r="I658">
        <v>120000000</v>
      </c>
      <c r="J658" t="s">
        <v>60</v>
      </c>
      <c r="K658" t="s">
        <v>2</v>
      </c>
      <c r="L658" t="s">
        <v>67</v>
      </c>
      <c r="M658" t="s">
        <v>81</v>
      </c>
      <c r="N658" t="s">
        <v>11</v>
      </c>
    </row>
    <row r="659" spans="1:14" x14ac:dyDescent="0.35">
      <c r="A659" s="75">
        <v>43906</v>
      </c>
      <c r="B659" t="s">
        <v>155</v>
      </c>
      <c r="C659" t="s">
        <v>94</v>
      </c>
      <c r="D659">
        <v>5</v>
      </c>
      <c r="E659">
        <v>5</v>
      </c>
      <c r="F659" t="s">
        <v>10</v>
      </c>
      <c r="G659" t="s">
        <v>74</v>
      </c>
      <c r="H659" t="s">
        <v>77</v>
      </c>
      <c r="I659">
        <v>80000000</v>
      </c>
      <c r="J659" t="s">
        <v>29</v>
      </c>
      <c r="K659" t="s">
        <v>2</v>
      </c>
      <c r="L659" t="s">
        <v>67</v>
      </c>
      <c r="M659" t="s">
        <v>82</v>
      </c>
      <c r="N659" t="s">
        <v>13</v>
      </c>
    </row>
    <row r="660" spans="1:14" x14ac:dyDescent="0.35">
      <c r="A660" s="75">
        <v>43906</v>
      </c>
      <c r="B660" t="s">
        <v>155</v>
      </c>
      <c r="C660" t="s">
        <v>94</v>
      </c>
      <c r="D660">
        <v>4</v>
      </c>
      <c r="E660">
        <v>4</v>
      </c>
      <c r="F660" t="s">
        <v>10</v>
      </c>
      <c r="G660" t="s">
        <v>73</v>
      </c>
      <c r="H660" t="s">
        <v>78</v>
      </c>
      <c r="I660">
        <v>80000000</v>
      </c>
      <c r="J660" t="s">
        <v>22</v>
      </c>
      <c r="K660" t="s">
        <v>2</v>
      </c>
      <c r="L660" t="s">
        <v>67</v>
      </c>
      <c r="M660" t="s">
        <v>82</v>
      </c>
      <c r="N660" t="s">
        <v>14</v>
      </c>
    </row>
    <row r="661" spans="1:14" x14ac:dyDescent="0.35">
      <c r="A661" s="75">
        <v>43907</v>
      </c>
      <c r="B661" t="s">
        <v>156</v>
      </c>
      <c r="C661" t="s">
        <v>94</v>
      </c>
      <c r="D661">
        <v>10</v>
      </c>
      <c r="E661">
        <v>10</v>
      </c>
      <c r="F661" t="s">
        <v>10</v>
      </c>
      <c r="G661" t="s">
        <v>113</v>
      </c>
      <c r="H661" t="s">
        <v>77</v>
      </c>
      <c r="I661">
        <v>80000000</v>
      </c>
      <c r="J661" t="s">
        <v>38</v>
      </c>
      <c r="K661" t="s">
        <v>2</v>
      </c>
      <c r="L661" t="s">
        <v>67</v>
      </c>
      <c r="M661" t="s">
        <v>82</v>
      </c>
      <c r="N661" t="s">
        <v>12</v>
      </c>
    </row>
    <row r="662" spans="1:14" x14ac:dyDescent="0.35">
      <c r="A662" s="75">
        <v>43907</v>
      </c>
      <c r="B662" t="s">
        <v>156</v>
      </c>
      <c r="C662" t="s">
        <v>94</v>
      </c>
      <c r="D662">
        <v>9</v>
      </c>
      <c r="E662">
        <v>9</v>
      </c>
      <c r="F662" t="s">
        <v>10</v>
      </c>
      <c r="G662" t="s">
        <v>75</v>
      </c>
      <c r="H662" t="s">
        <v>6</v>
      </c>
      <c r="I662">
        <v>100000000</v>
      </c>
      <c r="J662" t="s">
        <v>27</v>
      </c>
      <c r="K662" t="s">
        <v>7</v>
      </c>
      <c r="L662" t="s">
        <v>67</v>
      </c>
      <c r="M662" t="s">
        <v>80</v>
      </c>
      <c r="N662" t="s">
        <v>11</v>
      </c>
    </row>
    <row r="663" spans="1:14" x14ac:dyDescent="0.35">
      <c r="A663" s="75">
        <v>43907</v>
      </c>
      <c r="B663" t="s">
        <v>156</v>
      </c>
      <c r="C663" t="s">
        <v>94</v>
      </c>
      <c r="D663">
        <v>9</v>
      </c>
      <c r="E663">
        <v>9</v>
      </c>
      <c r="F663" t="s">
        <v>10</v>
      </c>
      <c r="G663" t="s">
        <v>114</v>
      </c>
      <c r="H663" t="s">
        <v>3</v>
      </c>
      <c r="I663">
        <v>120000000</v>
      </c>
      <c r="J663" t="s">
        <v>49</v>
      </c>
      <c r="K663" t="s">
        <v>8</v>
      </c>
      <c r="L663" t="s">
        <v>67</v>
      </c>
      <c r="M663" t="s">
        <v>81</v>
      </c>
      <c r="N663" t="s">
        <v>13</v>
      </c>
    </row>
    <row r="664" spans="1:14" x14ac:dyDescent="0.35">
      <c r="A664" s="75">
        <v>43907</v>
      </c>
      <c r="B664" t="s">
        <v>156</v>
      </c>
      <c r="C664" t="s">
        <v>94</v>
      </c>
      <c r="D664">
        <v>5</v>
      </c>
      <c r="E664">
        <v>5</v>
      </c>
      <c r="F664" t="s">
        <v>10</v>
      </c>
      <c r="G664" t="s">
        <v>76</v>
      </c>
      <c r="H664" t="s">
        <v>79</v>
      </c>
      <c r="I664">
        <v>40000000</v>
      </c>
      <c r="J664" t="s">
        <v>42</v>
      </c>
      <c r="K664" t="s">
        <v>5</v>
      </c>
      <c r="L664" t="s">
        <v>67</v>
      </c>
      <c r="M664" t="s">
        <v>82</v>
      </c>
      <c r="N664" t="s">
        <v>13</v>
      </c>
    </row>
    <row r="665" spans="1:14" x14ac:dyDescent="0.35">
      <c r="A665" s="75">
        <v>43907</v>
      </c>
      <c r="B665" t="s">
        <v>156</v>
      </c>
      <c r="C665" t="s">
        <v>94</v>
      </c>
      <c r="D665">
        <v>4</v>
      </c>
      <c r="E665">
        <v>4</v>
      </c>
      <c r="F665" t="s">
        <v>10</v>
      </c>
      <c r="G665" t="s">
        <v>114</v>
      </c>
      <c r="H665" t="s">
        <v>3</v>
      </c>
      <c r="I665">
        <v>80000000</v>
      </c>
      <c r="J665" t="s">
        <v>42</v>
      </c>
      <c r="K665" t="s">
        <v>5</v>
      </c>
      <c r="L665" t="s">
        <v>67</v>
      </c>
      <c r="M665" t="s">
        <v>82</v>
      </c>
      <c r="N665" t="s">
        <v>14</v>
      </c>
    </row>
    <row r="666" spans="1:14" x14ac:dyDescent="0.35">
      <c r="A666" s="75">
        <v>43907</v>
      </c>
      <c r="B666" t="s">
        <v>156</v>
      </c>
      <c r="C666" t="s">
        <v>94</v>
      </c>
      <c r="D666">
        <v>4</v>
      </c>
      <c r="E666">
        <v>4</v>
      </c>
      <c r="F666" t="s">
        <v>10</v>
      </c>
      <c r="G666" t="s">
        <v>72</v>
      </c>
      <c r="H666" t="s">
        <v>78</v>
      </c>
      <c r="I666">
        <v>40000000</v>
      </c>
      <c r="J666" t="s">
        <v>31</v>
      </c>
      <c r="K666" t="s">
        <v>2</v>
      </c>
      <c r="L666" t="s">
        <v>67</v>
      </c>
      <c r="M666" t="s">
        <v>82</v>
      </c>
      <c r="N666" t="s">
        <v>11</v>
      </c>
    </row>
    <row r="667" spans="1:14" x14ac:dyDescent="0.35">
      <c r="A667" s="75">
        <v>43907</v>
      </c>
      <c r="B667" t="s">
        <v>156</v>
      </c>
      <c r="C667" t="s">
        <v>94</v>
      </c>
      <c r="D667">
        <v>4</v>
      </c>
      <c r="E667">
        <v>4</v>
      </c>
      <c r="F667" t="s">
        <v>10</v>
      </c>
      <c r="G667" t="s">
        <v>114</v>
      </c>
      <c r="H667" t="s">
        <v>3</v>
      </c>
      <c r="I667">
        <v>120000000</v>
      </c>
      <c r="J667" t="s">
        <v>21</v>
      </c>
      <c r="K667" t="s">
        <v>5</v>
      </c>
      <c r="L667" t="s">
        <v>67</v>
      </c>
      <c r="M667" t="s">
        <v>82</v>
      </c>
      <c r="N667" t="s">
        <v>11</v>
      </c>
    </row>
    <row r="668" spans="1:14" x14ac:dyDescent="0.35">
      <c r="A668" s="75">
        <v>43907</v>
      </c>
      <c r="B668" t="s">
        <v>156</v>
      </c>
      <c r="C668" t="s">
        <v>94</v>
      </c>
      <c r="D668">
        <v>4</v>
      </c>
      <c r="E668">
        <v>4</v>
      </c>
      <c r="F668" t="s">
        <v>10</v>
      </c>
      <c r="G668" t="s">
        <v>114</v>
      </c>
      <c r="H668" t="s">
        <v>3</v>
      </c>
      <c r="I668">
        <v>80000000</v>
      </c>
      <c r="J668" t="s">
        <v>64</v>
      </c>
      <c r="K668" t="s">
        <v>2</v>
      </c>
      <c r="L668" t="s">
        <v>67</v>
      </c>
      <c r="M668" t="s">
        <v>82</v>
      </c>
      <c r="N668" t="s">
        <v>11</v>
      </c>
    </row>
    <row r="669" spans="1:14" x14ac:dyDescent="0.35">
      <c r="A669" s="75">
        <v>43907</v>
      </c>
      <c r="B669" t="s">
        <v>156</v>
      </c>
      <c r="C669" t="s">
        <v>94</v>
      </c>
      <c r="D669">
        <v>3</v>
      </c>
      <c r="E669">
        <v>3</v>
      </c>
      <c r="F669" t="s">
        <v>10</v>
      </c>
      <c r="G669" t="s">
        <v>73</v>
      </c>
      <c r="H669" t="s">
        <v>78</v>
      </c>
      <c r="I669">
        <v>120000000</v>
      </c>
      <c r="J669" t="s">
        <v>38</v>
      </c>
      <c r="K669" t="s">
        <v>2</v>
      </c>
      <c r="L669" t="s">
        <v>67</v>
      </c>
      <c r="M669" t="s">
        <v>81</v>
      </c>
      <c r="N669" t="s">
        <v>13</v>
      </c>
    </row>
    <row r="670" spans="1:14" x14ac:dyDescent="0.35">
      <c r="A670" s="75">
        <v>43907</v>
      </c>
      <c r="B670" t="s">
        <v>156</v>
      </c>
      <c r="C670" t="s">
        <v>94</v>
      </c>
      <c r="D670">
        <v>3</v>
      </c>
      <c r="E670">
        <v>3</v>
      </c>
      <c r="F670" t="s">
        <v>10</v>
      </c>
      <c r="G670" t="s">
        <v>71</v>
      </c>
      <c r="H670" t="s">
        <v>6</v>
      </c>
      <c r="I670">
        <v>120000000</v>
      </c>
      <c r="J670" t="s">
        <v>64</v>
      </c>
      <c r="K670" t="s">
        <v>2</v>
      </c>
      <c r="L670" t="s">
        <v>67</v>
      </c>
      <c r="M670" t="s">
        <v>82</v>
      </c>
      <c r="N670" t="s">
        <v>11</v>
      </c>
    </row>
    <row r="671" spans="1:14" x14ac:dyDescent="0.35">
      <c r="A671" s="75">
        <v>43908</v>
      </c>
      <c r="B671" t="s">
        <v>157</v>
      </c>
      <c r="C671" t="s">
        <v>94</v>
      </c>
      <c r="D671">
        <v>9</v>
      </c>
      <c r="E671">
        <v>9</v>
      </c>
      <c r="F671" t="s">
        <v>10</v>
      </c>
      <c r="G671" t="s">
        <v>114</v>
      </c>
      <c r="H671" t="s">
        <v>3</v>
      </c>
      <c r="I671">
        <v>40000000</v>
      </c>
      <c r="J671" t="s">
        <v>30</v>
      </c>
      <c r="K671" t="s">
        <v>5</v>
      </c>
      <c r="L671" t="s">
        <v>67</v>
      </c>
      <c r="M671" t="s">
        <v>82</v>
      </c>
      <c r="N671" t="s">
        <v>14</v>
      </c>
    </row>
    <row r="672" spans="1:14" x14ac:dyDescent="0.35">
      <c r="A672" s="75">
        <v>43908</v>
      </c>
      <c r="B672" t="s">
        <v>157</v>
      </c>
      <c r="C672" t="s">
        <v>94</v>
      </c>
      <c r="D672">
        <v>7</v>
      </c>
      <c r="E672">
        <v>7</v>
      </c>
      <c r="F672" t="s">
        <v>10</v>
      </c>
      <c r="G672" t="s">
        <v>70</v>
      </c>
      <c r="H672" t="s">
        <v>1</v>
      </c>
      <c r="I672">
        <v>140000000</v>
      </c>
      <c r="J672" t="s">
        <v>16</v>
      </c>
      <c r="K672" t="s">
        <v>5</v>
      </c>
      <c r="L672" t="s">
        <v>67</v>
      </c>
      <c r="M672" t="s">
        <v>82</v>
      </c>
      <c r="N672" t="s">
        <v>14</v>
      </c>
    </row>
    <row r="673" spans="1:14" x14ac:dyDescent="0.35">
      <c r="A673" s="75">
        <v>43908</v>
      </c>
      <c r="B673" t="s">
        <v>157</v>
      </c>
      <c r="C673" t="s">
        <v>94</v>
      </c>
      <c r="D673">
        <v>7</v>
      </c>
      <c r="E673">
        <v>7</v>
      </c>
      <c r="F673" t="s">
        <v>10</v>
      </c>
      <c r="G673" t="s">
        <v>113</v>
      </c>
      <c r="H673" t="s">
        <v>77</v>
      </c>
      <c r="I673">
        <v>100000000</v>
      </c>
      <c r="J673" t="s">
        <v>45</v>
      </c>
      <c r="K673" t="s">
        <v>5</v>
      </c>
      <c r="L673" t="s">
        <v>67</v>
      </c>
      <c r="M673" t="s">
        <v>82</v>
      </c>
      <c r="N673" t="s">
        <v>13</v>
      </c>
    </row>
    <row r="674" spans="1:14" x14ac:dyDescent="0.35">
      <c r="A674" s="75">
        <v>43908</v>
      </c>
      <c r="B674" t="s">
        <v>157</v>
      </c>
      <c r="C674" t="s">
        <v>94</v>
      </c>
      <c r="D674">
        <v>6</v>
      </c>
      <c r="E674">
        <v>6</v>
      </c>
      <c r="F674" t="s">
        <v>10</v>
      </c>
      <c r="G674" t="s">
        <v>114</v>
      </c>
      <c r="H674" t="s">
        <v>3</v>
      </c>
      <c r="I674">
        <v>60000000</v>
      </c>
      <c r="J674" t="s">
        <v>36</v>
      </c>
      <c r="K674" t="s">
        <v>2</v>
      </c>
      <c r="L674" t="s">
        <v>67</v>
      </c>
      <c r="M674" t="s">
        <v>81</v>
      </c>
      <c r="N674" t="s">
        <v>14</v>
      </c>
    </row>
    <row r="675" spans="1:14" x14ac:dyDescent="0.35">
      <c r="A675" s="75">
        <v>43908</v>
      </c>
      <c r="B675" t="s">
        <v>157</v>
      </c>
      <c r="C675" t="s">
        <v>94</v>
      </c>
      <c r="D675">
        <v>5</v>
      </c>
      <c r="E675">
        <v>5</v>
      </c>
      <c r="F675" t="s">
        <v>10</v>
      </c>
      <c r="G675" t="s">
        <v>74</v>
      </c>
      <c r="H675" t="s">
        <v>77</v>
      </c>
      <c r="I675">
        <v>120000000</v>
      </c>
      <c r="J675" t="s">
        <v>61</v>
      </c>
      <c r="K675" t="s">
        <v>5</v>
      </c>
      <c r="L675" t="s">
        <v>67</v>
      </c>
      <c r="M675" t="s">
        <v>82</v>
      </c>
      <c r="N675" t="s">
        <v>13</v>
      </c>
    </row>
    <row r="676" spans="1:14" x14ac:dyDescent="0.35">
      <c r="A676" s="75">
        <v>43908</v>
      </c>
      <c r="B676" t="s">
        <v>157</v>
      </c>
      <c r="C676" t="s">
        <v>94</v>
      </c>
      <c r="D676">
        <v>4</v>
      </c>
      <c r="E676">
        <v>4</v>
      </c>
      <c r="F676" t="s">
        <v>10</v>
      </c>
      <c r="G676" t="s">
        <v>72</v>
      </c>
      <c r="H676" t="s">
        <v>78</v>
      </c>
      <c r="I676">
        <v>60000000</v>
      </c>
      <c r="J676" t="s">
        <v>51</v>
      </c>
      <c r="K676" t="s">
        <v>2</v>
      </c>
      <c r="L676" t="s">
        <v>67</v>
      </c>
      <c r="M676" t="s">
        <v>82</v>
      </c>
      <c r="N676" t="s">
        <v>12</v>
      </c>
    </row>
    <row r="677" spans="1:14" x14ac:dyDescent="0.35">
      <c r="A677" s="75">
        <v>43908</v>
      </c>
      <c r="B677" t="s">
        <v>157</v>
      </c>
      <c r="C677" t="s">
        <v>94</v>
      </c>
      <c r="D677">
        <v>4</v>
      </c>
      <c r="E677">
        <v>4</v>
      </c>
      <c r="F677" t="s">
        <v>10</v>
      </c>
      <c r="G677" t="s">
        <v>71</v>
      </c>
      <c r="H677" t="s">
        <v>6</v>
      </c>
      <c r="I677">
        <v>120000000</v>
      </c>
      <c r="J677" t="s">
        <v>54</v>
      </c>
      <c r="K677" t="s">
        <v>2</v>
      </c>
      <c r="L677" t="s">
        <v>67</v>
      </c>
      <c r="M677" t="s">
        <v>81</v>
      </c>
      <c r="N677" t="s">
        <v>12</v>
      </c>
    </row>
    <row r="678" spans="1:14" x14ac:dyDescent="0.35">
      <c r="A678" s="75">
        <v>43908</v>
      </c>
      <c r="B678" t="s">
        <v>157</v>
      </c>
      <c r="C678" t="s">
        <v>94</v>
      </c>
      <c r="D678">
        <v>4</v>
      </c>
      <c r="E678">
        <v>4</v>
      </c>
      <c r="F678" t="s">
        <v>10</v>
      </c>
      <c r="G678" t="s">
        <v>71</v>
      </c>
      <c r="H678" t="s">
        <v>6</v>
      </c>
      <c r="I678">
        <v>40000000</v>
      </c>
      <c r="J678" t="s">
        <v>43</v>
      </c>
      <c r="K678" t="s">
        <v>2</v>
      </c>
      <c r="L678" t="s">
        <v>67</v>
      </c>
      <c r="M678" t="s">
        <v>82</v>
      </c>
      <c r="N678" t="s">
        <v>14</v>
      </c>
    </row>
    <row r="679" spans="1:14" x14ac:dyDescent="0.35">
      <c r="A679" s="75">
        <v>43908</v>
      </c>
      <c r="B679" t="s">
        <v>157</v>
      </c>
      <c r="C679" t="s">
        <v>94</v>
      </c>
      <c r="D679">
        <v>3</v>
      </c>
      <c r="E679">
        <v>3</v>
      </c>
      <c r="F679" t="s">
        <v>10</v>
      </c>
      <c r="G679" t="s">
        <v>71</v>
      </c>
      <c r="H679" t="s">
        <v>6</v>
      </c>
      <c r="I679">
        <v>40000000</v>
      </c>
      <c r="J679" t="s">
        <v>33</v>
      </c>
      <c r="K679" t="s">
        <v>5</v>
      </c>
      <c r="L679" t="s">
        <v>67</v>
      </c>
      <c r="M679" t="s">
        <v>82</v>
      </c>
      <c r="N679" t="s">
        <v>11</v>
      </c>
    </row>
    <row r="680" spans="1:14" x14ac:dyDescent="0.35">
      <c r="A680" s="75">
        <v>43909</v>
      </c>
      <c r="B680" t="s">
        <v>158</v>
      </c>
      <c r="C680" t="s">
        <v>94</v>
      </c>
      <c r="D680">
        <v>9</v>
      </c>
      <c r="E680">
        <v>9</v>
      </c>
      <c r="F680" t="s">
        <v>10</v>
      </c>
      <c r="G680" t="s">
        <v>72</v>
      </c>
      <c r="H680" t="s">
        <v>78</v>
      </c>
      <c r="I680">
        <v>100000000</v>
      </c>
      <c r="J680" t="s">
        <v>47</v>
      </c>
      <c r="K680" t="s">
        <v>5</v>
      </c>
      <c r="L680" t="s">
        <v>67</v>
      </c>
      <c r="M680" t="s">
        <v>80</v>
      </c>
      <c r="N680" t="s">
        <v>13</v>
      </c>
    </row>
    <row r="681" spans="1:14" x14ac:dyDescent="0.35">
      <c r="A681" s="75">
        <v>43909</v>
      </c>
      <c r="B681" t="s">
        <v>158</v>
      </c>
      <c r="C681" t="s">
        <v>94</v>
      </c>
      <c r="D681">
        <v>9</v>
      </c>
      <c r="E681">
        <v>9</v>
      </c>
      <c r="F681" t="s">
        <v>10</v>
      </c>
      <c r="G681" t="s">
        <v>113</v>
      </c>
      <c r="H681" t="s">
        <v>77</v>
      </c>
      <c r="I681">
        <v>80000000</v>
      </c>
      <c r="J681" t="s">
        <v>42</v>
      </c>
      <c r="K681" t="s">
        <v>5</v>
      </c>
      <c r="L681" t="s">
        <v>67</v>
      </c>
      <c r="M681" t="s">
        <v>81</v>
      </c>
      <c r="N681" t="s">
        <v>11</v>
      </c>
    </row>
    <row r="682" spans="1:14" x14ac:dyDescent="0.35">
      <c r="A682" s="75">
        <v>43909</v>
      </c>
      <c r="B682" t="s">
        <v>158</v>
      </c>
      <c r="C682" t="s">
        <v>94</v>
      </c>
      <c r="D682">
        <v>9</v>
      </c>
      <c r="E682">
        <v>9</v>
      </c>
      <c r="F682" t="s">
        <v>10</v>
      </c>
      <c r="G682" t="s">
        <v>73</v>
      </c>
      <c r="H682" t="s">
        <v>78</v>
      </c>
      <c r="I682">
        <v>40000000</v>
      </c>
      <c r="J682" t="s">
        <v>51</v>
      </c>
      <c r="K682" t="s">
        <v>2</v>
      </c>
      <c r="L682" t="s">
        <v>67</v>
      </c>
      <c r="M682" t="s">
        <v>81</v>
      </c>
      <c r="N682" t="s">
        <v>13</v>
      </c>
    </row>
    <row r="683" spans="1:14" x14ac:dyDescent="0.35">
      <c r="A683" s="75">
        <v>43909</v>
      </c>
      <c r="B683" t="s">
        <v>158</v>
      </c>
      <c r="C683" t="s">
        <v>94</v>
      </c>
      <c r="D683">
        <v>7</v>
      </c>
      <c r="E683">
        <v>7</v>
      </c>
      <c r="F683" t="s">
        <v>10</v>
      </c>
      <c r="G683" t="s">
        <v>113</v>
      </c>
      <c r="H683" t="s">
        <v>77</v>
      </c>
      <c r="I683">
        <v>60000000</v>
      </c>
      <c r="J683" t="s">
        <v>55</v>
      </c>
      <c r="K683" t="s">
        <v>9</v>
      </c>
      <c r="L683" t="s">
        <v>67</v>
      </c>
      <c r="M683" t="s">
        <v>82</v>
      </c>
      <c r="N683" t="s">
        <v>11</v>
      </c>
    </row>
    <row r="684" spans="1:14" x14ac:dyDescent="0.35">
      <c r="A684" s="75">
        <v>43909</v>
      </c>
      <c r="B684" t="s">
        <v>158</v>
      </c>
      <c r="C684" t="s">
        <v>94</v>
      </c>
      <c r="D684">
        <v>6</v>
      </c>
      <c r="E684">
        <v>6</v>
      </c>
      <c r="F684" t="s">
        <v>10</v>
      </c>
      <c r="G684" t="s">
        <v>76</v>
      </c>
      <c r="H684" t="s">
        <v>79</v>
      </c>
      <c r="I684">
        <v>60000000</v>
      </c>
      <c r="J684" t="s">
        <v>54</v>
      </c>
      <c r="K684" t="s">
        <v>2</v>
      </c>
      <c r="L684" t="s">
        <v>67</v>
      </c>
      <c r="M684" t="s">
        <v>82</v>
      </c>
      <c r="N684" t="s">
        <v>13</v>
      </c>
    </row>
    <row r="685" spans="1:14" x14ac:dyDescent="0.35">
      <c r="A685" s="75">
        <v>43909</v>
      </c>
      <c r="B685" t="s">
        <v>158</v>
      </c>
      <c r="C685" t="s">
        <v>94</v>
      </c>
      <c r="D685">
        <v>5</v>
      </c>
      <c r="E685">
        <v>5</v>
      </c>
      <c r="F685" t="s">
        <v>10</v>
      </c>
      <c r="G685" t="s">
        <v>73</v>
      </c>
      <c r="H685" t="s">
        <v>78</v>
      </c>
      <c r="I685">
        <v>40000000</v>
      </c>
      <c r="J685" t="s">
        <v>44</v>
      </c>
      <c r="K685" t="s">
        <v>7</v>
      </c>
      <c r="L685" t="s">
        <v>67</v>
      </c>
      <c r="M685" t="s">
        <v>81</v>
      </c>
      <c r="N685" t="s">
        <v>13</v>
      </c>
    </row>
    <row r="686" spans="1:14" x14ac:dyDescent="0.35">
      <c r="A686" s="75">
        <v>43909</v>
      </c>
      <c r="B686" t="s">
        <v>158</v>
      </c>
      <c r="C686" t="s">
        <v>94</v>
      </c>
      <c r="D686">
        <v>5</v>
      </c>
      <c r="E686">
        <v>5</v>
      </c>
      <c r="F686" t="s">
        <v>10</v>
      </c>
      <c r="G686" t="s">
        <v>71</v>
      </c>
      <c r="H686" t="s">
        <v>6</v>
      </c>
      <c r="I686">
        <v>100000000</v>
      </c>
      <c r="J686" t="s">
        <v>38</v>
      </c>
      <c r="K686" t="s">
        <v>5</v>
      </c>
      <c r="L686" t="s">
        <v>67</v>
      </c>
      <c r="M686" t="s">
        <v>81</v>
      </c>
      <c r="N686" t="s">
        <v>14</v>
      </c>
    </row>
    <row r="687" spans="1:14" x14ac:dyDescent="0.35">
      <c r="A687" s="75">
        <v>43910</v>
      </c>
      <c r="B687" t="s">
        <v>159</v>
      </c>
      <c r="C687" t="s">
        <v>94</v>
      </c>
      <c r="D687">
        <v>8</v>
      </c>
      <c r="E687">
        <v>8</v>
      </c>
      <c r="F687" t="s">
        <v>10</v>
      </c>
      <c r="G687" t="s">
        <v>71</v>
      </c>
      <c r="H687" t="s">
        <v>6</v>
      </c>
      <c r="I687">
        <v>120000000</v>
      </c>
      <c r="J687" t="s">
        <v>47</v>
      </c>
      <c r="K687" t="s">
        <v>2</v>
      </c>
      <c r="L687" t="s">
        <v>67</v>
      </c>
      <c r="M687" t="s">
        <v>82</v>
      </c>
      <c r="N687" t="s">
        <v>12</v>
      </c>
    </row>
    <row r="688" spans="1:14" x14ac:dyDescent="0.35">
      <c r="A688" s="75">
        <v>43911</v>
      </c>
      <c r="B688" t="s">
        <v>160</v>
      </c>
      <c r="C688" t="s">
        <v>94</v>
      </c>
      <c r="D688">
        <v>10</v>
      </c>
      <c r="E688">
        <v>10</v>
      </c>
      <c r="F688" t="s">
        <v>10</v>
      </c>
      <c r="G688" t="s">
        <v>74</v>
      </c>
      <c r="H688" t="s">
        <v>77</v>
      </c>
      <c r="I688">
        <v>100000000</v>
      </c>
      <c r="J688" t="s">
        <v>45</v>
      </c>
      <c r="K688" t="s">
        <v>7</v>
      </c>
      <c r="L688" t="s">
        <v>67</v>
      </c>
      <c r="M688" t="s">
        <v>82</v>
      </c>
      <c r="N688" t="s">
        <v>11</v>
      </c>
    </row>
    <row r="689" spans="1:14" x14ac:dyDescent="0.35">
      <c r="A689" s="75">
        <v>43911</v>
      </c>
      <c r="B689" t="s">
        <v>160</v>
      </c>
      <c r="C689" t="s">
        <v>94</v>
      </c>
      <c r="D689">
        <v>10</v>
      </c>
      <c r="E689">
        <v>10</v>
      </c>
      <c r="F689" t="s">
        <v>10</v>
      </c>
      <c r="G689" t="s">
        <v>76</v>
      </c>
      <c r="H689" t="s">
        <v>79</v>
      </c>
      <c r="I689">
        <v>40000000</v>
      </c>
      <c r="J689" t="s">
        <v>55</v>
      </c>
      <c r="K689" t="s">
        <v>2</v>
      </c>
      <c r="L689" t="s">
        <v>67</v>
      </c>
      <c r="M689" t="s">
        <v>80</v>
      </c>
      <c r="N689" t="s">
        <v>13</v>
      </c>
    </row>
    <row r="690" spans="1:14" x14ac:dyDescent="0.35">
      <c r="A690" s="75">
        <v>43911</v>
      </c>
      <c r="B690" t="s">
        <v>160</v>
      </c>
      <c r="C690" t="s">
        <v>94</v>
      </c>
      <c r="D690">
        <v>9</v>
      </c>
      <c r="E690">
        <v>9</v>
      </c>
      <c r="F690" t="s">
        <v>10</v>
      </c>
      <c r="G690" t="s">
        <v>74</v>
      </c>
      <c r="H690" t="s">
        <v>77</v>
      </c>
      <c r="I690">
        <v>80000000</v>
      </c>
      <c r="J690" t="s">
        <v>60</v>
      </c>
      <c r="K690" t="s">
        <v>7</v>
      </c>
      <c r="L690" t="s">
        <v>67</v>
      </c>
      <c r="M690" t="s">
        <v>82</v>
      </c>
      <c r="N690" t="s">
        <v>11</v>
      </c>
    </row>
    <row r="691" spans="1:14" x14ac:dyDescent="0.35">
      <c r="A691" s="75">
        <v>43911</v>
      </c>
      <c r="B691" t="s">
        <v>160</v>
      </c>
      <c r="C691" t="s">
        <v>94</v>
      </c>
      <c r="D691">
        <v>8</v>
      </c>
      <c r="E691">
        <v>8</v>
      </c>
      <c r="F691" t="s">
        <v>10</v>
      </c>
      <c r="G691" t="s">
        <v>73</v>
      </c>
      <c r="H691" t="s">
        <v>78</v>
      </c>
      <c r="I691">
        <v>120000000</v>
      </c>
      <c r="J691" t="s">
        <v>21</v>
      </c>
      <c r="K691" t="s">
        <v>5</v>
      </c>
      <c r="L691" t="s">
        <v>67</v>
      </c>
      <c r="M691" t="s">
        <v>82</v>
      </c>
      <c r="N691" t="s">
        <v>14</v>
      </c>
    </row>
    <row r="692" spans="1:14" x14ac:dyDescent="0.35">
      <c r="A692" s="75">
        <v>43911</v>
      </c>
      <c r="B692" t="s">
        <v>160</v>
      </c>
      <c r="C692" t="s">
        <v>94</v>
      </c>
      <c r="D692">
        <v>7</v>
      </c>
      <c r="E692">
        <v>7</v>
      </c>
      <c r="F692" t="s">
        <v>10</v>
      </c>
      <c r="G692" t="s">
        <v>75</v>
      </c>
      <c r="H692" t="s">
        <v>6</v>
      </c>
      <c r="I692">
        <v>60000000</v>
      </c>
      <c r="J692" t="s">
        <v>36</v>
      </c>
      <c r="K692" t="s">
        <v>9</v>
      </c>
      <c r="L692" t="s">
        <v>67</v>
      </c>
      <c r="M692" t="s">
        <v>81</v>
      </c>
      <c r="N692" t="s">
        <v>12</v>
      </c>
    </row>
    <row r="693" spans="1:14" x14ac:dyDescent="0.35">
      <c r="A693" s="75">
        <v>43911</v>
      </c>
      <c r="B693" t="s">
        <v>160</v>
      </c>
      <c r="C693" t="s">
        <v>94</v>
      </c>
      <c r="D693">
        <v>7</v>
      </c>
      <c r="E693">
        <v>7</v>
      </c>
      <c r="F693" t="s">
        <v>10</v>
      </c>
      <c r="G693" t="s">
        <v>74</v>
      </c>
      <c r="H693" t="s">
        <v>77</v>
      </c>
      <c r="I693">
        <v>80000000</v>
      </c>
      <c r="J693" t="s">
        <v>23</v>
      </c>
      <c r="K693" t="s">
        <v>8</v>
      </c>
      <c r="L693" t="s">
        <v>67</v>
      </c>
      <c r="M693" t="s">
        <v>82</v>
      </c>
      <c r="N693" t="s">
        <v>13</v>
      </c>
    </row>
    <row r="694" spans="1:14" x14ac:dyDescent="0.35">
      <c r="A694" s="75">
        <v>43911</v>
      </c>
      <c r="B694" t="s">
        <v>160</v>
      </c>
      <c r="C694" t="s">
        <v>94</v>
      </c>
      <c r="D694">
        <v>6</v>
      </c>
      <c r="E694">
        <v>6</v>
      </c>
      <c r="F694" t="s">
        <v>10</v>
      </c>
      <c r="G694" t="s">
        <v>70</v>
      </c>
      <c r="H694" t="s">
        <v>1</v>
      </c>
      <c r="I694">
        <v>100000000</v>
      </c>
      <c r="J694" t="s">
        <v>44</v>
      </c>
      <c r="K694" t="s">
        <v>2</v>
      </c>
      <c r="L694" t="s">
        <v>67</v>
      </c>
      <c r="M694" t="s">
        <v>81</v>
      </c>
      <c r="N694" t="s">
        <v>11</v>
      </c>
    </row>
    <row r="695" spans="1:14" x14ac:dyDescent="0.35">
      <c r="A695" s="75">
        <v>43911</v>
      </c>
      <c r="B695" t="s">
        <v>160</v>
      </c>
      <c r="C695" t="s">
        <v>94</v>
      </c>
      <c r="D695">
        <v>6</v>
      </c>
      <c r="E695">
        <v>6</v>
      </c>
      <c r="F695" t="s">
        <v>10</v>
      </c>
      <c r="G695" t="s">
        <v>75</v>
      </c>
      <c r="H695" t="s">
        <v>6</v>
      </c>
      <c r="I695">
        <v>140000000</v>
      </c>
      <c r="J695" t="s">
        <v>36</v>
      </c>
      <c r="K695" t="s">
        <v>8</v>
      </c>
      <c r="L695" t="s">
        <v>67</v>
      </c>
      <c r="M695" t="s">
        <v>82</v>
      </c>
      <c r="N695" t="s">
        <v>11</v>
      </c>
    </row>
    <row r="696" spans="1:14" x14ac:dyDescent="0.35">
      <c r="A696" s="75">
        <v>43911</v>
      </c>
      <c r="B696" t="s">
        <v>160</v>
      </c>
      <c r="C696" t="s">
        <v>94</v>
      </c>
      <c r="D696">
        <v>6</v>
      </c>
      <c r="E696">
        <v>6</v>
      </c>
      <c r="F696" t="s">
        <v>10</v>
      </c>
      <c r="G696" t="s">
        <v>76</v>
      </c>
      <c r="H696" t="s">
        <v>79</v>
      </c>
      <c r="I696">
        <v>80000000</v>
      </c>
      <c r="J696" t="s">
        <v>43</v>
      </c>
      <c r="K696" t="s">
        <v>7</v>
      </c>
      <c r="L696" t="s">
        <v>67</v>
      </c>
      <c r="M696" t="s">
        <v>80</v>
      </c>
      <c r="N696" t="s">
        <v>12</v>
      </c>
    </row>
    <row r="697" spans="1:14" x14ac:dyDescent="0.35">
      <c r="A697" s="75">
        <v>43911</v>
      </c>
      <c r="B697" t="s">
        <v>160</v>
      </c>
      <c r="C697" t="s">
        <v>94</v>
      </c>
      <c r="D697">
        <v>5</v>
      </c>
      <c r="E697">
        <v>5</v>
      </c>
      <c r="F697" t="s">
        <v>10</v>
      </c>
      <c r="G697" t="s">
        <v>74</v>
      </c>
      <c r="H697" t="s">
        <v>77</v>
      </c>
      <c r="I697">
        <v>140000000</v>
      </c>
      <c r="J697" t="s">
        <v>25</v>
      </c>
      <c r="K697" t="s">
        <v>2</v>
      </c>
      <c r="L697" t="s">
        <v>67</v>
      </c>
      <c r="M697" t="s">
        <v>81</v>
      </c>
      <c r="N697" t="s">
        <v>14</v>
      </c>
    </row>
    <row r="698" spans="1:14" x14ac:dyDescent="0.35">
      <c r="A698" s="75">
        <v>43911</v>
      </c>
      <c r="B698" t="s">
        <v>160</v>
      </c>
      <c r="C698" t="s">
        <v>94</v>
      </c>
      <c r="D698">
        <v>5</v>
      </c>
      <c r="E698">
        <v>5</v>
      </c>
      <c r="F698" t="s">
        <v>10</v>
      </c>
      <c r="G698" t="s">
        <v>70</v>
      </c>
      <c r="H698" t="s">
        <v>1</v>
      </c>
      <c r="I698">
        <v>140000000</v>
      </c>
      <c r="J698" t="s">
        <v>32</v>
      </c>
      <c r="K698" t="s">
        <v>8</v>
      </c>
      <c r="L698" t="s">
        <v>67</v>
      </c>
      <c r="M698" t="s">
        <v>82</v>
      </c>
      <c r="N698" t="s">
        <v>13</v>
      </c>
    </row>
    <row r="699" spans="1:14" x14ac:dyDescent="0.35">
      <c r="A699" s="75">
        <v>43911</v>
      </c>
      <c r="B699" t="s">
        <v>160</v>
      </c>
      <c r="C699" t="s">
        <v>94</v>
      </c>
      <c r="D699">
        <v>4</v>
      </c>
      <c r="E699">
        <v>4</v>
      </c>
      <c r="F699" t="s">
        <v>10</v>
      </c>
      <c r="G699" t="s">
        <v>113</v>
      </c>
      <c r="H699" t="s">
        <v>77</v>
      </c>
      <c r="I699">
        <v>40000000</v>
      </c>
      <c r="J699" t="s">
        <v>58</v>
      </c>
      <c r="K699" t="s">
        <v>5</v>
      </c>
      <c r="L699" t="s">
        <v>67</v>
      </c>
      <c r="M699" t="s">
        <v>81</v>
      </c>
      <c r="N699" t="s">
        <v>12</v>
      </c>
    </row>
    <row r="700" spans="1:14" x14ac:dyDescent="0.35">
      <c r="A700" s="75">
        <v>43911</v>
      </c>
      <c r="B700" t="s">
        <v>160</v>
      </c>
      <c r="C700" t="s">
        <v>94</v>
      </c>
      <c r="D700">
        <v>4</v>
      </c>
      <c r="E700">
        <v>4</v>
      </c>
      <c r="F700" t="s">
        <v>10</v>
      </c>
      <c r="G700" t="s">
        <v>74</v>
      </c>
      <c r="H700" t="s">
        <v>77</v>
      </c>
      <c r="I700">
        <v>60000000</v>
      </c>
      <c r="J700" t="s">
        <v>60</v>
      </c>
      <c r="K700" t="s">
        <v>2</v>
      </c>
      <c r="L700" t="s">
        <v>67</v>
      </c>
      <c r="M700" t="s">
        <v>80</v>
      </c>
      <c r="N700" t="s">
        <v>13</v>
      </c>
    </row>
    <row r="701" spans="1:14" x14ac:dyDescent="0.35">
      <c r="A701" s="75">
        <v>43911</v>
      </c>
      <c r="B701" t="s">
        <v>160</v>
      </c>
      <c r="C701" t="s">
        <v>94</v>
      </c>
      <c r="D701">
        <v>3</v>
      </c>
      <c r="E701">
        <v>3</v>
      </c>
      <c r="F701" t="s">
        <v>10</v>
      </c>
      <c r="G701" t="s">
        <v>74</v>
      </c>
      <c r="H701" t="s">
        <v>77</v>
      </c>
      <c r="I701">
        <v>80000000</v>
      </c>
      <c r="J701" t="s">
        <v>48</v>
      </c>
      <c r="K701" t="s">
        <v>7</v>
      </c>
      <c r="L701" t="s">
        <v>67</v>
      </c>
      <c r="M701" t="s">
        <v>81</v>
      </c>
      <c r="N701" t="s">
        <v>14</v>
      </c>
    </row>
    <row r="702" spans="1:14" x14ac:dyDescent="0.35">
      <c r="A702" s="75">
        <v>43912</v>
      </c>
      <c r="B702" t="s">
        <v>161</v>
      </c>
      <c r="C702" t="s">
        <v>94</v>
      </c>
      <c r="D702">
        <v>10</v>
      </c>
      <c r="E702">
        <v>9</v>
      </c>
      <c r="F702">
        <v>1</v>
      </c>
      <c r="G702" t="s">
        <v>113</v>
      </c>
      <c r="H702" t="s">
        <v>77</v>
      </c>
      <c r="I702">
        <v>40000000</v>
      </c>
      <c r="J702" t="s">
        <v>44</v>
      </c>
      <c r="K702" t="s">
        <v>9</v>
      </c>
      <c r="L702" t="s">
        <v>67</v>
      </c>
      <c r="M702" t="s">
        <v>80</v>
      </c>
      <c r="N702" t="s">
        <v>13</v>
      </c>
    </row>
    <row r="703" spans="1:14" x14ac:dyDescent="0.35">
      <c r="A703" s="75">
        <v>43912</v>
      </c>
      <c r="B703" t="s">
        <v>161</v>
      </c>
      <c r="C703" t="s">
        <v>94</v>
      </c>
      <c r="D703">
        <v>10</v>
      </c>
      <c r="E703">
        <v>8</v>
      </c>
      <c r="F703">
        <v>2</v>
      </c>
      <c r="G703" t="s">
        <v>72</v>
      </c>
      <c r="H703" t="s">
        <v>78</v>
      </c>
      <c r="I703">
        <v>60000000</v>
      </c>
      <c r="J703" t="s">
        <v>63</v>
      </c>
      <c r="K703" t="s">
        <v>5</v>
      </c>
      <c r="L703" t="s">
        <v>67</v>
      </c>
      <c r="M703" t="s">
        <v>82</v>
      </c>
      <c r="N703" t="s">
        <v>14</v>
      </c>
    </row>
    <row r="704" spans="1:14" x14ac:dyDescent="0.35">
      <c r="A704" s="75">
        <v>43912</v>
      </c>
      <c r="B704" t="s">
        <v>161</v>
      </c>
      <c r="C704" t="s">
        <v>94</v>
      </c>
      <c r="D704">
        <v>9</v>
      </c>
      <c r="E704">
        <v>8</v>
      </c>
      <c r="F704">
        <v>1</v>
      </c>
      <c r="G704" t="s">
        <v>72</v>
      </c>
      <c r="H704" t="s">
        <v>78</v>
      </c>
      <c r="I704">
        <v>120000000</v>
      </c>
      <c r="J704" t="s">
        <v>47</v>
      </c>
      <c r="K704" t="s">
        <v>4</v>
      </c>
      <c r="L704" t="s">
        <v>67</v>
      </c>
      <c r="M704" t="s">
        <v>81</v>
      </c>
      <c r="N704" t="s">
        <v>14</v>
      </c>
    </row>
    <row r="705" spans="1:14" x14ac:dyDescent="0.35">
      <c r="A705" s="75">
        <v>43912</v>
      </c>
      <c r="B705" t="s">
        <v>161</v>
      </c>
      <c r="C705" t="s">
        <v>94</v>
      </c>
      <c r="D705">
        <v>7</v>
      </c>
      <c r="E705">
        <v>5</v>
      </c>
      <c r="F705">
        <v>2</v>
      </c>
      <c r="G705" t="s">
        <v>72</v>
      </c>
      <c r="H705" t="s">
        <v>78</v>
      </c>
      <c r="I705">
        <v>140000000</v>
      </c>
      <c r="J705" t="s">
        <v>56</v>
      </c>
      <c r="K705" t="s">
        <v>5</v>
      </c>
      <c r="L705" t="s">
        <v>67</v>
      </c>
      <c r="M705" t="s">
        <v>82</v>
      </c>
      <c r="N705" t="s">
        <v>11</v>
      </c>
    </row>
    <row r="706" spans="1:14" x14ac:dyDescent="0.35">
      <c r="A706" s="75">
        <v>43912</v>
      </c>
      <c r="B706" t="s">
        <v>161</v>
      </c>
      <c r="C706" t="s">
        <v>94</v>
      </c>
      <c r="D706">
        <v>6</v>
      </c>
      <c r="E706">
        <v>4</v>
      </c>
      <c r="F706">
        <v>2</v>
      </c>
      <c r="G706" t="s">
        <v>71</v>
      </c>
      <c r="H706" t="s">
        <v>6</v>
      </c>
      <c r="I706">
        <v>120000000</v>
      </c>
      <c r="J706" t="s">
        <v>16</v>
      </c>
      <c r="K706" t="s">
        <v>2</v>
      </c>
      <c r="L706" t="s">
        <v>67</v>
      </c>
      <c r="M706" t="s">
        <v>81</v>
      </c>
      <c r="N706" t="s">
        <v>11</v>
      </c>
    </row>
    <row r="707" spans="1:14" x14ac:dyDescent="0.35">
      <c r="A707" s="75">
        <v>43912</v>
      </c>
      <c r="B707" t="s">
        <v>161</v>
      </c>
      <c r="C707" t="s">
        <v>94</v>
      </c>
      <c r="D707">
        <v>6</v>
      </c>
      <c r="E707">
        <v>4</v>
      </c>
      <c r="F707">
        <v>2</v>
      </c>
      <c r="G707" t="s">
        <v>70</v>
      </c>
      <c r="H707" t="s">
        <v>1</v>
      </c>
      <c r="I707">
        <v>80000000</v>
      </c>
      <c r="J707" t="s">
        <v>46</v>
      </c>
      <c r="K707" t="s">
        <v>2</v>
      </c>
      <c r="L707" t="s">
        <v>67</v>
      </c>
      <c r="M707" t="s">
        <v>80</v>
      </c>
      <c r="N707" t="s">
        <v>12</v>
      </c>
    </row>
    <row r="708" spans="1:14" x14ac:dyDescent="0.35">
      <c r="A708" s="75">
        <v>43912</v>
      </c>
      <c r="B708" t="s">
        <v>161</v>
      </c>
      <c r="C708" t="s">
        <v>94</v>
      </c>
      <c r="D708">
        <v>5</v>
      </c>
      <c r="E708">
        <v>4</v>
      </c>
      <c r="F708">
        <v>1</v>
      </c>
      <c r="G708" t="s">
        <v>72</v>
      </c>
      <c r="H708" t="s">
        <v>78</v>
      </c>
      <c r="I708">
        <v>100000000</v>
      </c>
      <c r="J708" t="s">
        <v>35</v>
      </c>
      <c r="K708" t="s">
        <v>2</v>
      </c>
      <c r="L708" t="s">
        <v>67</v>
      </c>
      <c r="M708" t="s">
        <v>82</v>
      </c>
      <c r="N708" t="s">
        <v>14</v>
      </c>
    </row>
    <row r="709" spans="1:14" x14ac:dyDescent="0.35">
      <c r="A709" s="75">
        <v>43912</v>
      </c>
      <c r="B709" t="s">
        <v>161</v>
      </c>
      <c r="C709" t="s">
        <v>94</v>
      </c>
      <c r="D709">
        <v>4</v>
      </c>
      <c r="E709">
        <v>2</v>
      </c>
      <c r="F709">
        <v>2</v>
      </c>
      <c r="G709" t="s">
        <v>71</v>
      </c>
      <c r="H709" t="s">
        <v>6</v>
      </c>
      <c r="I709">
        <v>100000000</v>
      </c>
      <c r="J709" t="s">
        <v>44</v>
      </c>
      <c r="K709" t="s">
        <v>9</v>
      </c>
      <c r="L709" t="s">
        <v>67</v>
      </c>
      <c r="M709" t="s">
        <v>80</v>
      </c>
      <c r="N709" t="s">
        <v>12</v>
      </c>
    </row>
    <row r="710" spans="1:14" x14ac:dyDescent="0.35">
      <c r="A710" s="75">
        <v>43912</v>
      </c>
      <c r="B710" t="s">
        <v>161</v>
      </c>
      <c r="C710" t="s">
        <v>94</v>
      </c>
      <c r="D710">
        <v>4</v>
      </c>
      <c r="E710">
        <v>3</v>
      </c>
      <c r="F710">
        <v>1</v>
      </c>
      <c r="G710" t="s">
        <v>72</v>
      </c>
      <c r="H710" t="s">
        <v>78</v>
      </c>
      <c r="I710">
        <v>140000000</v>
      </c>
      <c r="J710" t="s">
        <v>62</v>
      </c>
      <c r="K710" t="s">
        <v>2</v>
      </c>
      <c r="L710" t="s">
        <v>67</v>
      </c>
      <c r="M710" t="s">
        <v>82</v>
      </c>
      <c r="N710" t="s">
        <v>12</v>
      </c>
    </row>
    <row r="711" spans="1:14" x14ac:dyDescent="0.35">
      <c r="A711" s="75">
        <v>43913</v>
      </c>
      <c r="B711" t="s">
        <v>162</v>
      </c>
      <c r="C711" t="s">
        <v>94</v>
      </c>
      <c r="D711">
        <v>10</v>
      </c>
      <c r="E711">
        <v>7</v>
      </c>
      <c r="F711">
        <v>3</v>
      </c>
      <c r="G711" t="s">
        <v>71</v>
      </c>
      <c r="H711" t="s">
        <v>6</v>
      </c>
      <c r="I711">
        <v>80000000</v>
      </c>
      <c r="J711" t="s">
        <v>62</v>
      </c>
      <c r="K711" t="s">
        <v>2</v>
      </c>
      <c r="L711" t="s">
        <v>67</v>
      </c>
      <c r="M711" t="s">
        <v>81</v>
      </c>
      <c r="N711" t="s">
        <v>12</v>
      </c>
    </row>
    <row r="712" spans="1:14" x14ac:dyDescent="0.35">
      <c r="A712" s="75">
        <v>43913</v>
      </c>
      <c r="B712" t="s">
        <v>162</v>
      </c>
      <c r="C712" t="s">
        <v>94</v>
      </c>
      <c r="D712">
        <v>7</v>
      </c>
      <c r="E712">
        <v>4</v>
      </c>
      <c r="F712">
        <v>3</v>
      </c>
      <c r="G712" t="s">
        <v>113</v>
      </c>
      <c r="H712" t="s">
        <v>77</v>
      </c>
      <c r="I712">
        <v>80000000</v>
      </c>
      <c r="J712" t="s">
        <v>54</v>
      </c>
      <c r="K712" t="s">
        <v>2</v>
      </c>
      <c r="L712" t="s">
        <v>67</v>
      </c>
      <c r="M712" t="s">
        <v>81</v>
      </c>
      <c r="N712" t="s">
        <v>11</v>
      </c>
    </row>
    <row r="713" spans="1:14" x14ac:dyDescent="0.35">
      <c r="A713" s="75">
        <v>43913</v>
      </c>
      <c r="B713" t="s">
        <v>162</v>
      </c>
      <c r="C713" t="s">
        <v>94</v>
      </c>
      <c r="D713">
        <v>6</v>
      </c>
      <c r="E713">
        <v>3</v>
      </c>
      <c r="F713">
        <v>3</v>
      </c>
      <c r="G713" t="s">
        <v>75</v>
      </c>
      <c r="H713" t="s">
        <v>6</v>
      </c>
      <c r="I713">
        <v>120000000</v>
      </c>
      <c r="J713" t="s">
        <v>64</v>
      </c>
      <c r="K713" t="s">
        <v>5</v>
      </c>
      <c r="L713" t="s">
        <v>67</v>
      </c>
      <c r="M713" t="s">
        <v>82</v>
      </c>
      <c r="N713" t="s">
        <v>11</v>
      </c>
    </row>
    <row r="714" spans="1:14" x14ac:dyDescent="0.35">
      <c r="A714" s="75">
        <v>43913</v>
      </c>
      <c r="B714" t="s">
        <v>162</v>
      </c>
      <c r="C714" t="s">
        <v>94</v>
      </c>
      <c r="D714">
        <v>3</v>
      </c>
      <c r="E714">
        <v>1</v>
      </c>
      <c r="F714">
        <v>2</v>
      </c>
      <c r="G714" t="s">
        <v>72</v>
      </c>
      <c r="H714" t="s">
        <v>78</v>
      </c>
      <c r="I714">
        <v>40000000</v>
      </c>
      <c r="J714" t="s">
        <v>64</v>
      </c>
      <c r="K714" t="s">
        <v>8</v>
      </c>
      <c r="L714" t="s">
        <v>67</v>
      </c>
      <c r="M714" t="s">
        <v>80</v>
      </c>
      <c r="N714" t="s">
        <v>12</v>
      </c>
    </row>
    <row r="715" spans="1:14" x14ac:dyDescent="0.35">
      <c r="A715" s="75">
        <v>43914</v>
      </c>
      <c r="B715" t="s">
        <v>163</v>
      </c>
      <c r="C715" t="s">
        <v>94</v>
      </c>
      <c r="D715">
        <v>10</v>
      </c>
      <c r="E715">
        <v>8</v>
      </c>
      <c r="F715">
        <v>2</v>
      </c>
      <c r="G715" t="s">
        <v>70</v>
      </c>
      <c r="H715" t="s">
        <v>1</v>
      </c>
      <c r="I715">
        <v>40000000</v>
      </c>
      <c r="J715" t="s">
        <v>34</v>
      </c>
      <c r="K715" t="s">
        <v>8</v>
      </c>
      <c r="L715" t="s">
        <v>67</v>
      </c>
      <c r="M715" t="s">
        <v>81</v>
      </c>
      <c r="N715" t="s">
        <v>12</v>
      </c>
    </row>
    <row r="716" spans="1:14" x14ac:dyDescent="0.35">
      <c r="A716" s="75">
        <v>43914</v>
      </c>
      <c r="B716" t="s">
        <v>163</v>
      </c>
      <c r="C716" t="s">
        <v>94</v>
      </c>
      <c r="D716">
        <v>9</v>
      </c>
      <c r="E716">
        <v>6</v>
      </c>
      <c r="F716">
        <v>3</v>
      </c>
      <c r="G716" t="s">
        <v>76</v>
      </c>
      <c r="H716" t="s">
        <v>79</v>
      </c>
      <c r="I716">
        <v>60000000</v>
      </c>
      <c r="J716" t="s">
        <v>35</v>
      </c>
      <c r="K716" t="s">
        <v>5</v>
      </c>
      <c r="L716" t="s">
        <v>67</v>
      </c>
      <c r="M716" t="s">
        <v>82</v>
      </c>
      <c r="N716" t="s">
        <v>12</v>
      </c>
    </row>
    <row r="717" spans="1:14" x14ac:dyDescent="0.35">
      <c r="A717" s="75">
        <v>43914</v>
      </c>
      <c r="B717" t="s">
        <v>163</v>
      </c>
      <c r="C717" t="s">
        <v>94</v>
      </c>
      <c r="D717">
        <v>8</v>
      </c>
      <c r="E717">
        <v>5</v>
      </c>
      <c r="F717">
        <v>3</v>
      </c>
      <c r="G717" t="s">
        <v>76</v>
      </c>
      <c r="H717" t="s">
        <v>79</v>
      </c>
      <c r="I717">
        <v>140000000</v>
      </c>
      <c r="J717" t="s">
        <v>17</v>
      </c>
      <c r="K717" t="s">
        <v>2</v>
      </c>
      <c r="L717" t="s">
        <v>67</v>
      </c>
      <c r="M717" t="s">
        <v>80</v>
      </c>
      <c r="N717" t="s">
        <v>14</v>
      </c>
    </row>
    <row r="718" spans="1:14" x14ac:dyDescent="0.35">
      <c r="A718" s="75">
        <v>43914</v>
      </c>
      <c r="B718" t="s">
        <v>163</v>
      </c>
      <c r="C718" t="s">
        <v>94</v>
      </c>
      <c r="D718">
        <v>7</v>
      </c>
      <c r="E718">
        <v>4</v>
      </c>
      <c r="F718">
        <v>3</v>
      </c>
      <c r="G718" t="s">
        <v>74</v>
      </c>
      <c r="H718" t="s">
        <v>77</v>
      </c>
      <c r="I718">
        <v>100000000</v>
      </c>
      <c r="J718" t="s">
        <v>27</v>
      </c>
      <c r="K718" t="s">
        <v>2</v>
      </c>
      <c r="L718" t="s">
        <v>67</v>
      </c>
      <c r="M718" t="s">
        <v>81</v>
      </c>
      <c r="N718" t="s">
        <v>14</v>
      </c>
    </row>
    <row r="719" spans="1:14" x14ac:dyDescent="0.35">
      <c r="A719" s="75">
        <v>43914</v>
      </c>
      <c r="B719" t="s">
        <v>163</v>
      </c>
      <c r="C719" t="s">
        <v>94</v>
      </c>
      <c r="D719">
        <v>6</v>
      </c>
      <c r="E719">
        <v>5</v>
      </c>
      <c r="F719">
        <v>1</v>
      </c>
      <c r="G719" t="s">
        <v>75</v>
      </c>
      <c r="H719" t="s">
        <v>6</v>
      </c>
      <c r="I719">
        <v>40000000</v>
      </c>
      <c r="J719" t="s">
        <v>61</v>
      </c>
      <c r="K719" t="s">
        <v>7</v>
      </c>
      <c r="L719" t="s">
        <v>67</v>
      </c>
      <c r="M719" t="s">
        <v>82</v>
      </c>
      <c r="N719" t="s">
        <v>13</v>
      </c>
    </row>
    <row r="720" spans="1:14" x14ac:dyDescent="0.35">
      <c r="A720" s="75">
        <v>43914</v>
      </c>
      <c r="B720" t="s">
        <v>163</v>
      </c>
      <c r="C720" t="s">
        <v>94</v>
      </c>
      <c r="D720">
        <v>6</v>
      </c>
      <c r="E720">
        <v>4</v>
      </c>
      <c r="F720">
        <v>2</v>
      </c>
      <c r="G720" t="s">
        <v>76</v>
      </c>
      <c r="H720" t="s">
        <v>79</v>
      </c>
      <c r="I720">
        <v>80000000</v>
      </c>
      <c r="J720" t="s">
        <v>25</v>
      </c>
      <c r="K720" t="s">
        <v>2</v>
      </c>
      <c r="L720" t="s">
        <v>67</v>
      </c>
      <c r="M720" t="s">
        <v>80</v>
      </c>
      <c r="N720" t="s">
        <v>11</v>
      </c>
    </row>
    <row r="721" spans="1:14" x14ac:dyDescent="0.35">
      <c r="A721" s="75">
        <v>43914</v>
      </c>
      <c r="B721" t="s">
        <v>163</v>
      </c>
      <c r="C721" t="s">
        <v>94</v>
      </c>
      <c r="D721">
        <v>5</v>
      </c>
      <c r="E721">
        <v>4</v>
      </c>
      <c r="F721">
        <v>1</v>
      </c>
      <c r="G721" t="s">
        <v>76</v>
      </c>
      <c r="H721" t="s">
        <v>79</v>
      </c>
      <c r="I721">
        <v>140000000</v>
      </c>
      <c r="J721" t="s">
        <v>47</v>
      </c>
      <c r="K721" t="s">
        <v>2</v>
      </c>
      <c r="L721" t="s">
        <v>67</v>
      </c>
      <c r="M721" t="s">
        <v>81</v>
      </c>
      <c r="N721" t="s">
        <v>13</v>
      </c>
    </row>
    <row r="722" spans="1:14" x14ac:dyDescent="0.35">
      <c r="A722" s="75">
        <v>43914</v>
      </c>
      <c r="B722" t="s">
        <v>163</v>
      </c>
      <c r="C722" t="s">
        <v>94</v>
      </c>
      <c r="D722">
        <v>4</v>
      </c>
      <c r="E722">
        <v>3</v>
      </c>
      <c r="F722">
        <v>1</v>
      </c>
      <c r="G722" t="s">
        <v>75</v>
      </c>
      <c r="H722" t="s">
        <v>6</v>
      </c>
      <c r="I722">
        <v>80000000</v>
      </c>
      <c r="J722" t="s">
        <v>32</v>
      </c>
      <c r="K722" t="s">
        <v>9</v>
      </c>
      <c r="L722" t="s">
        <v>67</v>
      </c>
      <c r="M722" t="s">
        <v>82</v>
      </c>
      <c r="N722" t="s">
        <v>11</v>
      </c>
    </row>
    <row r="723" spans="1:14" x14ac:dyDescent="0.35">
      <c r="A723" s="75">
        <v>43914</v>
      </c>
      <c r="B723" t="s">
        <v>163</v>
      </c>
      <c r="C723" t="s">
        <v>94</v>
      </c>
      <c r="D723">
        <v>4</v>
      </c>
      <c r="E723">
        <v>3</v>
      </c>
      <c r="F723">
        <v>1</v>
      </c>
      <c r="G723" t="s">
        <v>113</v>
      </c>
      <c r="H723" t="s">
        <v>77</v>
      </c>
      <c r="I723">
        <v>80000000</v>
      </c>
      <c r="J723" t="s">
        <v>19</v>
      </c>
      <c r="K723" t="s">
        <v>2</v>
      </c>
      <c r="L723" t="s">
        <v>67</v>
      </c>
      <c r="M723" t="s">
        <v>80</v>
      </c>
      <c r="N723" t="s">
        <v>13</v>
      </c>
    </row>
    <row r="724" spans="1:14" x14ac:dyDescent="0.35">
      <c r="A724" s="75">
        <v>43914</v>
      </c>
      <c r="B724" t="s">
        <v>163</v>
      </c>
      <c r="C724" t="s">
        <v>94</v>
      </c>
      <c r="D724">
        <v>3</v>
      </c>
      <c r="E724">
        <v>2</v>
      </c>
      <c r="F724">
        <v>1</v>
      </c>
      <c r="G724" t="s">
        <v>73</v>
      </c>
      <c r="H724" t="s">
        <v>78</v>
      </c>
      <c r="I724">
        <v>100000000</v>
      </c>
      <c r="J724" t="s">
        <v>42</v>
      </c>
      <c r="K724" t="s">
        <v>9</v>
      </c>
      <c r="L724" t="s">
        <v>67</v>
      </c>
      <c r="M724" t="s">
        <v>81</v>
      </c>
      <c r="N724" t="s">
        <v>12</v>
      </c>
    </row>
    <row r="725" spans="1:14" x14ac:dyDescent="0.35">
      <c r="A725" s="75">
        <v>43914</v>
      </c>
      <c r="B725" t="s">
        <v>163</v>
      </c>
      <c r="C725" t="s">
        <v>94</v>
      </c>
      <c r="D725">
        <v>3</v>
      </c>
      <c r="E725">
        <v>1</v>
      </c>
      <c r="F725">
        <v>2</v>
      </c>
      <c r="G725" t="s">
        <v>76</v>
      </c>
      <c r="H725" t="s">
        <v>79</v>
      </c>
      <c r="I725">
        <v>80000000</v>
      </c>
      <c r="J725" t="s">
        <v>43</v>
      </c>
      <c r="K725" t="s">
        <v>5</v>
      </c>
      <c r="L725" t="s">
        <v>67</v>
      </c>
      <c r="M725" t="s">
        <v>81</v>
      </c>
      <c r="N725" t="s">
        <v>13</v>
      </c>
    </row>
    <row r="726" spans="1:14" x14ac:dyDescent="0.35">
      <c r="A726" s="75">
        <v>43914</v>
      </c>
      <c r="B726" t="s">
        <v>163</v>
      </c>
      <c r="C726" t="s">
        <v>94</v>
      </c>
      <c r="D726">
        <v>3</v>
      </c>
      <c r="E726">
        <v>2</v>
      </c>
      <c r="F726">
        <v>1</v>
      </c>
      <c r="G726" t="s">
        <v>71</v>
      </c>
      <c r="H726" t="s">
        <v>6</v>
      </c>
      <c r="I726">
        <v>60000000</v>
      </c>
      <c r="J726" t="s">
        <v>42</v>
      </c>
      <c r="K726" t="s">
        <v>9</v>
      </c>
      <c r="L726" t="s">
        <v>67</v>
      </c>
      <c r="M726" t="s">
        <v>82</v>
      </c>
      <c r="N726" t="s">
        <v>12</v>
      </c>
    </row>
    <row r="727" spans="1:14" x14ac:dyDescent="0.35">
      <c r="A727" s="75">
        <v>43915</v>
      </c>
      <c r="B727" t="s">
        <v>164</v>
      </c>
      <c r="C727" t="s">
        <v>94</v>
      </c>
      <c r="D727">
        <v>10</v>
      </c>
      <c r="E727">
        <v>7</v>
      </c>
      <c r="F727">
        <v>3</v>
      </c>
      <c r="G727" t="s">
        <v>75</v>
      </c>
      <c r="H727" t="s">
        <v>6</v>
      </c>
      <c r="I727">
        <v>80000000</v>
      </c>
      <c r="J727" t="s">
        <v>45</v>
      </c>
      <c r="K727" t="s">
        <v>5</v>
      </c>
      <c r="L727" t="s">
        <v>67</v>
      </c>
      <c r="M727" t="s">
        <v>81</v>
      </c>
      <c r="N727" t="s">
        <v>13</v>
      </c>
    </row>
    <row r="728" spans="1:14" x14ac:dyDescent="0.35">
      <c r="A728" s="75">
        <v>43915</v>
      </c>
      <c r="B728" t="s">
        <v>164</v>
      </c>
      <c r="C728" t="s">
        <v>94</v>
      </c>
      <c r="D728">
        <v>10</v>
      </c>
      <c r="E728">
        <v>7</v>
      </c>
      <c r="F728">
        <v>3</v>
      </c>
      <c r="G728" t="s">
        <v>72</v>
      </c>
      <c r="H728" t="s">
        <v>78</v>
      </c>
      <c r="I728">
        <v>40000000</v>
      </c>
      <c r="J728" t="s">
        <v>44</v>
      </c>
      <c r="K728" t="s">
        <v>8</v>
      </c>
      <c r="L728" t="s">
        <v>67</v>
      </c>
      <c r="M728" t="s">
        <v>82</v>
      </c>
      <c r="N728" t="s">
        <v>12</v>
      </c>
    </row>
    <row r="729" spans="1:14" x14ac:dyDescent="0.35">
      <c r="A729" s="75">
        <v>43915</v>
      </c>
      <c r="B729" t="s">
        <v>164</v>
      </c>
      <c r="C729" t="s">
        <v>94</v>
      </c>
      <c r="D729">
        <v>9</v>
      </c>
      <c r="E729">
        <v>7</v>
      </c>
      <c r="F729">
        <v>2</v>
      </c>
      <c r="G729" t="s">
        <v>70</v>
      </c>
      <c r="H729" t="s">
        <v>1</v>
      </c>
      <c r="I729">
        <v>60000000</v>
      </c>
      <c r="J729" t="s">
        <v>54</v>
      </c>
      <c r="K729" t="s">
        <v>2</v>
      </c>
      <c r="L729" t="s">
        <v>67</v>
      </c>
      <c r="M729" t="s">
        <v>81</v>
      </c>
      <c r="N729" t="s">
        <v>12</v>
      </c>
    </row>
    <row r="730" spans="1:14" x14ac:dyDescent="0.35">
      <c r="A730" s="75">
        <v>43915</v>
      </c>
      <c r="B730" t="s">
        <v>164</v>
      </c>
      <c r="C730" t="s">
        <v>94</v>
      </c>
      <c r="D730">
        <v>8</v>
      </c>
      <c r="E730">
        <v>6</v>
      </c>
      <c r="F730">
        <v>2</v>
      </c>
      <c r="G730" t="s">
        <v>74</v>
      </c>
      <c r="H730" t="s">
        <v>77</v>
      </c>
      <c r="I730">
        <v>40000000</v>
      </c>
      <c r="J730" t="s">
        <v>45</v>
      </c>
      <c r="K730" t="s">
        <v>8</v>
      </c>
      <c r="L730" t="s">
        <v>67</v>
      </c>
      <c r="M730" t="s">
        <v>81</v>
      </c>
      <c r="N730" t="s">
        <v>14</v>
      </c>
    </row>
    <row r="731" spans="1:14" x14ac:dyDescent="0.35">
      <c r="A731" s="75">
        <v>43915</v>
      </c>
      <c r="B731" t="s">
        <v>164</v>
      </c>
      <c r="C731" t="s">
        <v>94</v>
      </c>
      <c r="D731">
        <v>3</v>
      </c>
      <c r="E731">
        <v>1</v>
      </c>
      <c r="F731">
        <v>2</v>
      </c>
      <c r="G731" t="s">
        <v>114</v>
      </c>
      <c r="H731" t="s">
        <v>3</v>
      </c>
      <c r="I731">
        <v>120000000</v>
      </c>
      <c r="J731" t="s">
        <v>19</v>
      </c>
      <c r="K731" t="s">
        <v>2</v>
      </c>
      <c r="L731" t="s">
        <v>67</v>
      </c>
      <c r="M731" t="s">
        <v>81</v>
      </c>
      <c r="N731" t="s">
        <v>11</v>
      </c>
    </row>
    <row r="732" spans="1:14" x14ac:dyDescent="0.35">
      <c r="A732" s="75">
        <v>43915</v>
      </c>
      <c r="B732" t="s">
        <v>164</v>
      </c>
      <c r="C732" t="s">
        <v>94</v>
      </c>
      <c r="D732">
        <v>3</v>
      </c>
      <c r="E732">
        <v>2</v>
      </c>
      <c r="F732">
        <v>1</v>
      </c>
      <c r="G732" t="s">
        <v>70</v>
      </c>
      <c r="H732" t="s">
        <v>1</v>
      </c>
      <c r="I732">
        <v>40000000</v>
      </c>
      <c r="J732" t="s">
        <v>45</v>
      </c>
      <c r="K732" t="s">
        <v>2</v>
      </c>
      <c r="L732" t="s">
        <v>67</v>
      </c>
      <c r="M732" t="s">
        <v>82</v>
      </c>
      <c r="N732" t="s">
        <v>14</v>
      </c>
    </row>
    <row r="733" spans="1:14" x14ac:dyDescent="0.35">
      <c r="A733" s="75">
        <v>43915</v>
      </c>
      <c r="B733" t="s">
        <v>164</v>
      </c>
      <c r="C733" t="s">
        <v>94</v>
      </c>
      <c r="D733">
        <v>3</v>
      </c>
      <c r="E733">
        <v>1</v>
      </c>
      <c r="F733">
        <v>2</v>
      </c>
      <c r="G733" t="s">
        <v>73</v>
      </c>
      <c r="H733" t="s">
        <v>78</v>
      </c>
      <c r="I733">
        <v>140000000</v>
      </c>
      <c r="J733" t="s">
        <v>40</v>
      </c>
      <c r="K733" t="s">
        <v>7</v>
      </c>
      <c r="L733" t="s">
        <v>67</v>
      </c>
      <c r="M733" t="s">
        <v>82</v>
      </c>
      <c r="N733" t="s">
        <v>11</v>
      </c>
    </row>
    <row r="734" spans="1:14" x14ac:dyDescent="0.35">
      <c r="A734" s="75">
        <v>43916</v>
      </c>
      <c r="B734" t="s">
        <v>165</v>
      </c>
      <c r="C734" t="s">
        <v>94</v>
      </c>
      <c r="D734">
        <v>10</v>
      </c>
      <c r="E734">
        <v>6</v>
      </c>
      <c r="F734">
        <v>4</v>
      </c>
      <c r="G734" t="s">
        <v>72</v>
      </c>
      <c r="H734" t="s">
        <v>78</v>
      </c>
      <c r="I734">
        <v>60000000</v>
      </c>
      <c r="J734" t="s">
        <v>29</v>
      </c>
      <c r="K734" t="s">
        <v>9</v>
      </c>
      <c r="L734" t="s">
        <v>67</v>
      </c>
      <c r="M734" t="s">
        <v>81</v>
      </c>
      <c r="N734" t="s">
        <v>12</v>
      </c>
    </row>
    <row r="735" spans="1:14" x14ac:dyDescent="0.35">
      <c r="A735" s="75">
        <v>43916</v>
      </c>
      <c r="B735" t="s">
        <v>165</v>
      </c>
      <c r="C735" t="s">
        <v>94</v>
      </c>
      <c r="D735">
        <v>9</v>
      </c>
      <c r="E735">
        <v>8</v>
      </c>
      <c r="F735">
        <v>1</v>
      </c>
      <c r="G735" t="s">
        <v>113</v>
      </c>
      <c r="H735" t="s">
        <v>77</v>
      </c>
      <c r="I735">
        <v>100000000</v>
      </c>
      <c r="J735" t="s">
        <v>31</v>
      </c>
      <c r="K735" t="s">
        <v>5</v>
      </c>
      <c r="L735" t="s">
        <v>67</v>
      </c>
      <c r="M735" t="s">
        <v>80</v>
      </c>
      <c r="N735" t="s">
        <v>11</v>
      </c>
    </row>
    <row r="736" spans="1:14" x14ac:dyDescent="0.35">
      <c r="A736" s="75">
        <v>43916</v>
      </c>
      <c r="B736" t="s">
        <v>165</v>
      </c>
      <c r="C736" t="s">
        <v>94</v>
      </c>
      <c r="D736">
        <v>7</v>
      </c>
      <c r="E736">
        <v>6</v>
      </c>
      <c r="F736">
        <v>1</v>
      </c>
      <c r="G736" t="s">
        <v>114</v>
      </c>
      <c r="H736" t="s">
        <v>3</v>
      </c>
      <c r="I736">
        <v>60000000</v>
      </c>
      <c r="J736" t="s">
        <v>37</v>
      </c>
      <c r="K736" t="s">
        <v>8</v>
      </c>
      <c r="L736" t="s">
        <v>67</v>
      </c>
      <c r="M736" t="s">
        <v>80</v>
      </c>
      <c r="N736" t="s">
        <v>11</v>
      </c>
    </row>
    <row r="737" spans="1:14" x14ac:dyDescent="0.35">
      <c r="A737" s="75">
        <v>43916</v>
      </c>
      <c r="B737" t="s">
        <v>165</v>
      </c>
      <c r="C737" t="s">
        <v>94</v>
      </c>
      <c r="D737">
        <v>5</v>
      </c>
      <c r="E737">
        <v>4</v>
      </c>
      <c r="F737">
        <v>1</v>
      </c>
      <c r="G737" t="s">
        <v>74</v>
      </c>
      <c r="H737" t="s">
        <v>77</v>
      </c>
      <c r="I737">
        <v>80000000</v>
      </c>
      <c r="J737" t="s">
        <v>43</v>
      </c>
      <c r="K737" t="s">
        <v>8</v>
      </c>
      <c r="L737" t="s">
        <v>67</v>
      </c>
      <c r="M737" t="s">
        <v>80</v>
      </c>
      <c r="N737" t="s">
        <v>11</v>
      </c>
    </row>
    <row r="738" spans="1:14" x14ac:dyDescent="0.35">
      <c r="A738" s="75">
        <v>43917</v>
      </c>
      <c r="B738" t="s">
        <v>166</v>
      </c>
      <c r="C738" t="s">
        <v>94</v>
      </c>
      <c r="D738">
        <v>10</v>
      </c>
      <c r="E738">
        <v>9</v>
      </c>
      <c r="F738">
        <v>1</v>
      </c>
      <c r="G738" t="s">
        <v>71</v>
      </c>
      <c r="H738" t="s">
        <v>6</v>
      </c>
      <c r="I738">
        <v>60000000</v>
      </c>
      <c r="J738" t="s">
        <v>33</v>
      </c>
      <c r="K738" t="s">
        <v>2</v>
      </c>
      <c r="L738" t="s">
        <v>67</v>
      </c>
      <c r="M738" t="s">
        <v>80</v>
      </c>
      <c r="N738" t="s">
        <v>14</v>
      </c>
    </row>
    <row r="739" spans="1:14" x14ac:dyDescent="0.35">
      <c r="A739" s="75">
        <v>43917</v>
      </c>
      <c r="B739" t="s">
        <v>166</v>
      </c>
      <c r="C739" t="s">
        <v>94</v>
      </c>
      <c r="D739">
        <v>9</v>
      </c>
      <c r="E739">
        <v>8</v>
      </c>
      <c r="F739">
        <v>1</v>
      </c>
      <c r="G739" t="s">
        <v>74</v>
      </c>
      <c r="H739" t="s">
        <v>77</v>
      </c>
      <c r="I739">
        <v>120000000</v>
      </c>
      <c r="J739" t="s">
        <v>60</v>
      </c>
      <c r="K739" t="s">
        <v>5</v>
      </c>
      <c r="L739" t="s">
        <v>67</v>
      </c>
      <c r="M739" t="s">
        <v>82</v>
      </c>
      <c r="N739" t="s">
        <v>11</v>
      </c>
    </row>
    <row r="740" spans="1:14" x14ac:dyDescent="0.35">
      <c r="A740" s="75">
        <v>43917</v>
      </c>
      <c r="B740" t="s">
        <v>166</v>
      </c>
      <c r="C740" t="s">
        <v>94</v>
      </c>
      <c r="D740">
        <v>7</v>
      </c>
      <c r="E740">
        <v>5</v>
      </c>
      <c r="F740">
        <v>2</v>
      </c>
      <c r="G740" t="s">
        <v>72</v>
      </c>
      <c r="H740" t="s">
        <v>78</v>
      </c>
      <c r="I740">
        <v>120000000</v>
      </c>
      <c r="J740" t="s">
        <v>48</v>
      </c>
      <c r="K740" t="s">
        <v>2</v>
      </c>
      <c r="L740" t="s">
        <v>67</v>
      </c>
      <c r="M740" t="s">
        <v>81</v>
      </c>
      <c r="N740" t="s">
        <v>12</v>
      </c>
    </row>
    <row r="741" spans="1:14" x14ac:dyDescent="0.35">
      <c r="A741" s="75">
        <v>43917</v>
      </c>
      <c r="B741" t="s">
        <v>166</v>
      </c>
      <c r="C741" t="s">
        <v>94</v>
      </c>
      <c r="D741">
        <v>6</v>
      </c>
      <c r="E741">
        <v>3</v>
      </c>
      <c r="F741">
        <v>3</v>
      </c>
      <c r="G741" t="s">
        <v>114</v>
      </c>
      <c r="H741" t="s">
        <v>3</v>
      </c>
      <c r="I741">
        <v>40000000</v>
      </c>
      <c r="J741" t="s">
        <v>37</v>
      </c>
      <c r="K741" t="s">
        <v>2</v>
      </c>
      <c r="L741" t="s">
        <v>67</v>
      </c>
      <c r="M741" t="s">
        <v>82</v>
      </c>
      <c r="N741" t="s">
        <v>12</v>
      </c>
    </row>
    <row r="742" spans="1:14" x14ac:dyDescent="0.35">
      <c r="A742" s="75">
        <v>43917</v>
      </c>
      <c r="B742" t="s">
        <v>166</v>
      </c>
      <c r="C742" t="s">
        <v>94</v>
      </c>
      <c r="D742">
        <v>5</v>
      </c>
      <c r="E742">
        <v>4</v>
      </c>
      <c r="F742">
        <v>1</v>
      </c>
      <c r="G742" t="s">
        <v>72</v>
      </c>
      <c r="H742" t="s">
        <v>78</v>
      </c>
      <c r="I742">
        <v>60000000</v>
      </c>
      <c r="J742" t="s">
        <v>43</v>
      </c>
      <c r="K742" t="s">
        <v>5</v>
      </c>
      <c r="L742" t="s">
        <v>67</v>
      </c>
      <c r="M742" t="s">
        <v>81</v>
      </c>
      <c r="N742" t="s">
        <v>11</v>
      </c>
    </row>
    <row r="743" spans="1:14" x14ac:dyDescent="0.35">
      <c r="A743" s="75">
        <v>43917</v>
      </c>
      <c r="B743" t="s">
        <v>166</v>
      </c>
      <c r="C743" t="s">
        <v>94</v>
      </c>
      <c r="D743">
        <v>4</v>
      </c>
      <c r="E743">
        <v>3</v>
      </c>
      <c r="F743">
        <v>1</v>
      </c>
      <c r="G743" t="s">
        <v>71</v>
      </c>
      <c r="H743" t="s">
        <v>6</v>
      </c>
      <c r="I743">
        <v>80000000</v>
      </c>
      <c r="J743" t="s">
        <v>33</v>
      </c>
      <c r="K743" t="s">
        <v>5</v>
      </c>
      <c r="L743" t="s">
        <v>67</v>
      </c>
      <c r="M743" t="s">
        <v>82</v>
      </c>
      <c r="N743" t="s">
        <v>14</v>
      </c>
    </row>
    <row r="744" spans="1:14" x14ac:dyDescent="0.35">
      <c r="A744" s="75">
        <v>43918</v>
      </c>
      <c r="B744" t="s">
        <v>167</v>
      </c>
      <c r="C744" t="s">
        <v>94</v>
      </c>
      <c r="D744">
        <v>10</v>
      </c>
      <c r="E744">
        <v>6</v>
      </c>
      <c r="F744">
        <v>4</v>
      </c>
      <c r="G744" t="s">
        <v>70</v>
      </c>
      <c r="H744" t="s">
        <v>1</v>
      </c>
      <c r="I744">
        <v>60000000</v>
      </c>
      <c r="J744" t="s">
        <v>19</v>
      </c>
      <c r="K744" t="s">
        <v>2</v>
      </c>
      <c r="L744" t="s">
        <v>67</v>
      </c>
      <c r="M744" t="s">
        <v>80</v>
      </c>
      <c r="N744" t="s">
        <v>14</v>
      </c>
    </row>
    <row r="745" spans="1:14" x14ac:dyDescent="0.35">
      <c r="A745" s="75">
        <v>43918</v>
      </c>
      <c r="B745" t="s">
        <v>167</v>
      </c>
      <c r="C745" t="s">
        <v>94</v>
      </c>
      <c r="D745">
        <v>9</v>
      </c>
      <c r="E745">
        <v>7</v>
      </c>
      <c r="F745">
        <v>2</v>
      </c>
      <c r="G745" t="s">
        <v>73</v>
      </c>
      <c r="H745" t="s">
        <v>78</v>
      </c>
      <c r="I745">
        <v>80000000</v>
      </c>
      <c r="J745" t="s">
        <v>63</v>
      </c>
      <c r="K745" t="s">
        <v>5</v>
      </c>
      <c r="L745" t="s">
        <v>67</v>
      </c>
      <c r="M745" t="s">
        <v>80</v>
      </c>
      <c r="N745" t="s">
        <v>12</v>
      </c>
    </row>
    <row r="746" spans="1:14" x14ac:dyDescent="0.35">
      <c r="A746" s="75">
        <v>43918</v>
      </c>
      <c r="B746" t="s">
        <v>167</v>
      </c>
      <c r="C746" t="s">
        <v>94</v>
      </c>
      <c r="D746">
        <v>8</v>
      </c>
      <c r="E746">
        <v>6</v>
      </c>
      <c r="F746">
        <v>2</v>
      </c>
      <c r="G746" t="s">
        <v>114</v>
      </c>
      <c r="H746" t="s">
        <v>3</v>
      </c>
      <c r="I746">
        <v>100000000</v>
      </c>
      <c r="J746" t="s">
        <v>32</v>
      </c>
      <c r="K746" t="s">
        <v>9</v>
      </c>
      <c r="L746" t="s">
        <v>67</v>
      </c>
      <c r="M746" t="s">
        <v>80</v>
      </c>
      <c r="N746" t="s">
        <v>12</v>
      </c>
    </row>
    <row r="747" spans="1:14" x14ac:dyDescent="0.35">
      <c r="A747" s="75">
        <v>43918</v>
      </c>
      <c r="B747" t="s">
        <v>167</v>
      </c>
      <c r="C747" t="s">
        <v>94</v>
      </c>
      <c r="D747">
        <v>7</v>
      </c>
      <c r="E747">
        <v>5</v>
      </c>
      <c r="F747">
        <v>2</v>
      </c>
      <c r="G747" t="s">
        <v>74</v>
      </c>
      <c r="H747" t="s">
        <v>77</v>
      </c>
      <c r="I747">
        <v>100000000</v>
      </c>
      <c r="J747" t="s">
        <v>16</v>
      </c>
      <c r="K747" t="s">
        <v>9</v>
      </c>
      <c r="L747" t="s">
        <v>67</v>
      </c>
      <c r="M747" t="s">
        <v>82</v>
      </c>
      <c r="N747" t="s">
        <v>11</v>
      </c>
    </row>
    <row r="748" spans="1:14" x14ac:dyDescent="0.35">
      <c r="A748" s="75">
        <v>43918</v>
      </c>
      <c r="B748" t="s">
        <v>167</v>
      </c>
      <c r="C748" t="s">
        <v>94</v>
      </c>
      <c r="D748">
        <v>7</v>
      </c>
      <c r="E748">
        <v>5</v>
      </c>
      <c r="F748">
        <v>2</v>
      </c>
      <c r="G748" t="s">
        <v>72</v>
      </c>
      <c r="H748" t="s">
        <v>78</v>
      </c>
      <c r="I748">
        <v>80000000</v>
      </c>
      <c r="J748" t="s">
        <v>30</v>
      </c>
      <c r="K748" t="s">
        <v>5</v>
      </c>
      <c r="L748" t="s">
        <v>67</v>
      </c>
      <c r="M748" t="s">
        <v>82</v>
      </c>
      <c r="N748" t="s">
        <v>14</v>
      </c>
    </row>
    <row r="749" spans="1:14" x14ac:dyDescent="0.35">
      <c r="A749" s="75">
        <v>43918</v>
      </c>
      <c r="B749" t="s">
        <v>167</v>
      </c>
      <c r="C749" t="s">
        <v>94</v>
      </c>
      <c r="D749">
        <v>6</v>
      </c>
      <c r="E749">
        <v>4</v>
      </c>
      <c r="F749">
        <v>2</v>
      </c>
      <c r="G749" t="s">
        <v>73</v>
      </c>
      <c r="H749" t="s">
        <v>78</v>
      </c>
      <c r="I749">
        <v>140000000</v>
      </c>
      <c r="J749" t="s">
        <v>26</v>
      </c>
      <c r="K749" t="s">
        <v>2</v>
      </c>
      <c r="L749" t="s">
        <v>67</v>
      </c>
      <c r="M749" t="s">
        <v>81</v>
      </c>
      <c r="N749" t="s">
        <v>13</v>
      </c>
    </row>
    <row r="750" spans="1:14" x14ac:dyDescent="0.35">
      <c r="A750" s="75">
        <v>43918</v>
      </c>
      <c r="B750" t="s">
        <v>167</v>
      </c>
      <c r="C750" t="s">
        <v>94</v>
      </c>
      <c r="D750">
        <v>5</v>
      </c>
      <c r="E750">
        <v>4</v>
      </c>
      <c r="F750">
        <v>1</v>
      </c>
      <c r="G750" t="s">
        <v>75</v>
      </c>
      <c r="H750" t="s">
        <v>6</v>
      </c>
      <c r="I750">
        <v>40000000</v>
      </c>
      <c r="J750" t="s">
        <v>28</v>
      </c>
      <c r="K750" t="s">
        <v>2</v>
      </c>
      <c r="L750" t="s">
        <v>67</v>
      </c>
      <c r="M750" t="s">
        <v>80</v>
      </c>
      <c r="N750" t="s">
        <v>11</v>
      </c>
    </row>
    <row r="751" spans="1:14" x14ac:dyDescent="0.35">
      <c r="A751" s="75">
        <v>43918</v>
      </c>
      <c r="B751" t="s">
        <v>167</v>
      </c>
      <c r="C751" t="s">
        <v>94</v>
      </c>
      <c r="D751">
        <v>5</v>
      </c>
      <c r="E751">
        <v>3</v>
      </c>
      <c r="F751">
        <v>2</v>
      </c>
      <c r="G751" t="s">
        <v>73</v>
      </c>
      <c r="H751" t="s">
        <v>78</v>
      </c>
      <c r="I751">
        <v>60000000</v>
      </c>
      <c r="J751" t="s">
        <v>29</v>
      </c>
      <c r="K751" t="s">
        <v>5</v>
      </c>
      <c r="L751" t="s">
        <v>67</v>
      </c>
      <c r="M751" t="s">
        <v>82</v>
      </c>
      <c r="N751" t="s">
        <v>12</v>
      </c>
    </row>
    <row r="752" spans="1:14" x14ac:dyDescent="0.35">
      <c r="A752" s="75">
        <v>43918</v>
      </c>
      <c r="B752" t="s">
        <v>167</v>
      </c>
      <c r="C752" t="s">
        <v>94</v>
      </c>
      <c r="D752">
        <v>4</v>
      </c>
      <c r="E752">
        <v>3</v>
      </c>
      <c r="F752">
        <v>1</v>
      </c>
      <c r="G752" t="s">
        <v>73</v>
      </c>
      <c r="H752" t="s">
        <v>78</v>
      </c>
      <c r="I752">
        <v>120000000</v>
      </c>
      <c r="J752" t="s">
        <v>41</v>
      </c>
      <c r="K752" t="s">
        <v>2</v>
      </c>
      <c r="L752" t="s">
        <v>67</v>
      </c>
      <c r="M752" t="s">
        <v>80</v>
      </c>
      <c r="N752" t="s">
        <v>11</v>
      </c>
    </row>
    <row r="753" spans="1:14" x14ac:dyDescent="0.35">
      <c r="A753" s="75">
        <v>43918</v>
      </c>
      <c r="B753" t="s">
        <v>167</v>
      </c>
      <c r="C753" t="s">
        <v>94</v>
      </c>
      <c r="D753">
        <v>4</v>
      </c>
      <c r="E753">
        <v>2</v>
      </c>
      <c r="F753">
        <v>2</v>
      </c>
      <c r="G753" t="s">
        <v>70</v>
      </c>
      <c r="H753" t="s">
        <v>1</v>
      </c>
      <c r="I753">
        <v>40000000</v>
      </c>
      <c r="J753" t="s">
        <v>62</v>
      </c>
      <c r="K753" t="s">
        <v>2</v>
      </c>
      <c r="L753" t="s">
        <v>67</v>
      </c>
      <c r="M753" t="s">
        <v>82</v>
      </c>
      <c r="N753" t="s">
        <v>12</v>
      </c>
    </row>
    <row r="754" spans="1:14" x14ac:dyDescent="0.35">
      <c r="A754" s="75">
        <v>43919</v>
      </c>
      <c r="B754" t="s">
        <v>168</v>
      </c>
      <c r="C754" t="s">
        <v>94</v>
      </c>
      <c r="D754">
        <v>10</v>
      </c>
      <c r="E754">
        <v>8</v>
      </c>
      <c r="F754">
        <v>2</v>
      </c>
      <c r="G754" t="s">
        <v>75</v>
      </c>
      <c r="H754" t="s">
        <v>6</v>
      </c>
      <c r="I754">
        <v>80000000</v>
      </c>
      <c r="J754" t="s">
        <v>16</v>
      </c>
      <c r="K754" t="s">
        <v>5</v>
      </c>
      <c r="L754" t="s">
        <v>67</v>
      </c>
      <c r="M754" t="s">
        <v>80</v>
      </c>
      <c r="N754" t="s">
        <v>14</v>
      </c>
    </row>
    <row r="755" spans="1:14" x14ac:dyDescent="0.35">
      <c r="A755" s="75">
        <v>43919</v>
      </c>
      <c r="B755" t="s">
        <v>168</v>
      </c>
      <c r="C755" t="s">
        <v>94</v>
      </c>
      <c r="D755">
        <v>9</v>
      </c>
      <c r="E755">
        <v>5</v>
      </c>
      <c r="F755">
        <v>4</v>
      </c>
      <c r="G755" t="s">
        <v>113</v>
      </c>
      <c r="H755" t="s">
        <v>77</v>
      </c>
      <c r="I755">
        <v>100000000</v>
      </c>
      <c r="J755" t="s">
        <v>49</v>
      </c>
      <c r="K755" t="s">
        <v>5</v>
      </c>
      <c r="L755" t="s">
        <v>67</v>
      </c>
      <c r="M755" t="s">
        <v>82</v>
      </c>
      <c r="N755" t="s">
        <v>12</v>
      </c>
    </row>
    <row r="756" spans="1:14" x14ac:dyDescent="0.35">
      <c r="A756" s="75">
        <v>43919</v>
      </c>
      <c r="B756" t="s">
        <v>168</v>
      </c>
      <c r="C756" t="s">
        <v>94</v>
      </c>
      <c r="D756">
        <v>8</v>
      </c>
      <c r="E756">
        <v>5</v>
      </c>
      <c r="F756">
        <v>3</v>
      </c>
      <c r="G756" t="s">
        <v>71</v>
      </c>
      <c r="H756" t="s">
        <v>6</v>
      </c>
      <c r="I756">
        <v>40000000</v>
      </c>
      <c r="J756" t="s">
        <v>33</v>
      </c>
      <c r="K756" t="s">
        <v>5</v>
      </c>
      <c r="L756" t="s">
        <v>67</v>
      </c>
      <c r="M756" t="s">
        <v>80</v>
      </c>
      <c r="N756" t="s">
        <v>14</v>
      </c>
    </row>
    <row r="757" spans="1:14" x14ac:dyDescent="0.35">
      <c r="A757" s="75">
        <v>43919</v>
      </c>
      <c r="B757" t="s">
        <v>168</v>
      </c>
      <c r="C757" t="s">
        <v>94</v>
      </c>
      <c r="D757">
        <v>8</v>
      </c>
      <c r="E757">
        <v>4</v>
      </c>
      <c r="F757">
        <v>4</v>
      </c>
      <c r="G757" t="s">
        <v>73</v>
      </c>
      <c r="H757" t="s">
        <v>78</v>
      </c>
      <c r="I757">
        <v>100000000</v>
      </c>
      <c r="J757" t="s">
        <v>19</v>
      </c>
      <c r="K757" t="s">
        <v>7</v>
      </c>
      <c r="L757" t="s">
        <v>67</v>
      </c>
      <c r="M757" t="s">
        <v>80</v>
      </c>
      <c r="N757" t="s">
        <v>11</v>
      </c>
    </row>
    <row r="758" spans="1:14" x14ac:dyDescent="0.35">
      <c r="A758" s="75">
        <v>43919</v>
      </c>
      <c r="B758" t="s">
        <v>168</v>
      </c>
      <c r="C758" t="s">
        <v>94</v>
      </c>
      <c r="D758">
        <v>8</v>
      </c>
      <c r="E758">
        <v>7</v>
      </c>
      <c r="F758">
        <v>1</v>
      </c>
      <c r="G758" t="s">
        <v>114</v>
      </c>
      <c r="H758" t="s">
        <v>3</v>
      </c>
      <c r="I758">
        <v>120000000</v>
      </c>
      <c r="J758" t="s">
        <v>63</v>
      </c>
      <c r="K758" t="s">
        <v>2</v>
      </c>
      <c r="L758" t="s">
        <v>67</v>
      </c>
      <c r="M758" t="s">
        <v>80</v>
      </c>
      <c r="N758" t="s">
        <v>12</v>
      </c>
    </row>
    <row r="759" spans="1:14" x14ac:dyDescent="0.35">
      <c r="A759" s="75">
        <v>43919</v>
      </c>
      <c r="B759" t="s">
        <v>168</v>
      </c>
      <c r="C759" t="s">
        <v>94</v>
      </c>
      <c r="D759">
        <v>7</v>
      </c>
      <c r="E759">
        <v>4</v>
      </c>
      <c r="F759">
        <v>3</v>
      </c>
      <c r="G759" t="s">
        <v>76</v>
      </c>
      <c r="H759" t="s">
        <v>79</v>
      </c>
      <c r="I759">
        <v>120000000</v>
      </c>
      <c r="J759" t="s">
        <v>36</v>
      </c>
      <c r="K759" t="s">
        <v>2</v>
      </c>
      <c r="L759" t="s">
        <v>67</v>
      </c>
      <c r="M759" t="s">
        <v>80</v>
      </c>
      <c r="N759" t="s">
        <v>12</v>
      </c>
    </row>
    <row r="760" spans="1:14" x14ac:dyDescent="0.35">
      <c r="A760" s="75">
        <v>43919</v>
      </c>
      <c r="B760" t="s">
        <v>168</v>
      </c>
      <c r="C760" t="s">
        <v>94</v>
      </c>
      <c r="D760">
        <v>7</v>
      </c>
      <c r="E760">
        <v>5</v>
      </c>
      <c r="F760">
        <v>2</v>
      </c>
      <c r="G760" t="s">
        <v>71</v>
      </c>
      <c r="H760" t="s">
        <v>6</v>
      </c>
      <c r="I760">
        <v>120000000</v>
      </c>
      <c r="J760" t="s">
        <v>54</v>
      </c>
      <c r="K760" t="s">
        <v>2</v>
      </c>
      <c r="L760" t="s">
        <v>67</v>
      </c>
      <c r="M760" t="s">
        <v>80</v>
      </c>
      <c r="N760" t="s">
        <v>14</v>
      </c>
    </row>
    <row r="761" spans="1:14" x14ac:dyDescent="0.35">
      <c r="A761" s="75">
        <v>43919</v>
      </c>
      <c r="B761" t="s">
        <v>168</v>
      </c>
      <c r="C761" t="s">
        <v>94</v>
      </c>
      <c r="D761">
        <v>6</v>
      </c>
      <c r="E761">
        <v>4</v>
      </c>
      <c r="F761">
        <v>2</v>
      </c>
      <c r="G761" t="s">
        <v>113</v>
      </c>
      <c r="H761" t="s">
        <v>77</v>
      </c>
      <c r="I761">
        <v>120000000</v>
      </c>
      <c r="J761" t="s">
        <v>38</v>
      </c>
      <c r="K761" t="s">
        <v>5</v>
      </c>
      <c r="L761" t="s">
        <v>67</v>
      </c>
      <c r="M761" t="s">
        <v>81</v>
      </c>
      <c r="N761" t="s">
        <v>13</v>
      </c>
    </row>
    <row r="762" spans="1:14" x14ac:dyDescent="0.35">
      <c r="A762" s="75">
        <v>43919</v>
      </c>
      <c r="B762" t="s">
        <v>168</v>
      </c>
      <c r="C762" t="s">
        <v>94</v>
      </c>
      <c r="D762">
        <v>6</v>
      </c>
      <c r="E762">
        <v>3</v>
      </c>
      <c r="F762">
        <v>3</v>
      </c>
      <c r="G762" t="s">
        <v>76</v>
      </c>
      <c r="H762" t="s">
        <v>79</v>
      </c>
      <c r="I762">
        <v>100000000</v>
      </c>
      <c r="J762" t="s">
        <v>31</v>
      </c>
      <c r="K762" t="s">
        <v>4</v>
      </c>
      <c r="L762" t="s">
        <v>67</v>
      </c>
      <c r="M762" t="s">
        <v>80</v>
      </c>
      <c r="N762" t="s">
        <v>11</v>
      </c>
    </row>
    <row r="763" spans="1:14" x14ac:dyDescent="0.35">
      <c r="A763" s="75">
        <v>43919</v>
      </c>
      <c r="B763" t="s">
        <v>168</v>
      </c>
      <c r="C763" t="s">
        <v>94</v>
      </c>
      <c r="D763">
        <v>5</v>
      </c>
      <c r="E763">
        <v>4</v>
      </c>
      <c r="F763">
        <v>1</v>
      </c>
      <c r="G763" t="s">
        <v>114</v>
      </c>
      <c r="H763" t="s">
        <v>3</v>
      </c>
      <c r="I763">
        <v>100000000</v>
      </c>
      <c r="J763" t="s">
        <v>43</v>
      </c>
      <c r="K763" t="s">
        <v>5</v>
      </c>
      <c r="L763" t="s">
        <v>67</v>
      </c>
      <c r="M763" t="s">
        <v>82</v>
      </c>
      <c r="N763" t="s">
        <v>14</v>
      </c>
    </row>
    <row r="764" spans="1:14" x14ac:dyDescent="0.35">
      <c r="A764" s="75">
        <v>43919</v>
      </c>
      <c r="B764" t="s">
        <v>168</v>
      </c>
      <c r="C764" t="s">
        <v>94</v>
      </c>
      <c r="D764">
        <v>5</v>
      </c>
      <c r="E764">
        <v>3</v>
      </c>
      <c r="F764">
        <v>2</v>
      </c>
      <c r="G764" t="s">
        <v>70</v>
      </c>
      <c r="H764" t="s">
        <v>1</v>
      </c>
      <c r="I764">
        <v>80000000</v>
      </c>
      <c r="J764" t="s">
        <v>34</v>
      </c>
      <c r="K764" t="s">
        <v>8</v>
      </c>
      <c r="L764" t="s">
        <v>67</v>
      </c>
      <c r="M764" t="s">
        <v>80</v>
      </c>
      <c r="N764" t="s">
        <v>12</v>
      </c>
    </row>
    <row r="765" spans="1:14" x14ac:dyDescent="0.35">
      <c r="A765" s="75">
        <v>43919</v>
      </c>
      <c r="B765" t="s">
        <v>168</v>
      </c>
      <c r="C765" t="s">
        <v>94</v>
      </c>
      <c r="D765">
        <v>4</v>
      </c>
      <c r="E765">
        <v>2</v>
      </c>
      <c r="F765">
        <v>2</v>
      </c>
      <c r="G765" t="s">
        <v>75</v>
      </c>
      <c r="H765" t="s">
        <v>6</v>
      </c>
      <c r="I765">
        <v>100000000</v>
      </c>
      <c r="J765" t="s">
        <v>23</v>
      </c>
      <c r="K765" t="s">
        <v>5</v>
      </c>
      <c r="L765" t="s">
        <v>67</v>
      </c>
      <c r="M765" t="s">
        <v>81</v>
      </c>
      <c r="N765" t="s">
        <v>14</v>
      </c>
    </row>
    <row r="766" spans="1:14" x14ac:dyDescent="0.35">
      <c r="A766" s="75">
        <v>43919</v>
      </c>
      <c r="B766" t="s">
        <v>168</v>
      </c>
      <c r="C766" t="s">
        <v>94</v>
      </c>
      <c r="D766">
        <v>4</v>
      </c>
      <c r="E766">
        <v>2</v>
      </c>
      <c r="F766">
        <v>2</v>
      </c>
      <c r="G766" t="s">
        <v>71</v>
      </c>
      <c r="H766" t="s">
        <v>6</v>
      </c>
      <c r="I766">
        <v>140000000</v>
      </c>
      <c r="J766" t="s">
        <v>20</v>
      </c>
      <c r="K766" t="s">
        <v>5</v>
      </c>
      <c r="L766" t="s">
        <v>67</v>
      </c>
      <c r="M766" t="s">
        <v>80</v>
      </c>
      <c r="N766" t="s">
        <v>13</v>
      </c>
    </row>
    <row r="767" spans="1:14" x14ac:dyDescent="0.35">
      <c r="A767" s="75">
        <v>43920</v>
      </c>
      <c r="B767" t="s">
        <v>169</v>
      </c>
      <c r="C767" t="s">
        <v>94</v>
      </c>
      <c r="D767">
        <v>9</v>
      </c>
      <c r="E767">
        <v>5</v>
      </c>
      <c r="F767">
        <v>4</v>
      </c>
      <c r="G767" t="s">
        <v>74</v>
      </c>
      <c r="H767" t="s">
        <v>77</v>
      </c>
      <c r="I767">
        <v>40000000</v>
      </c>
      <c r="J767" t="s">
        <v>63</v>
      </c>
      <c r="K767" t="s">
        <v>2</v>
      </c>
      <c r="L767" t="s">
        <v>67</v>
      </c>
      <c r="M767" t="s">
        <v>81</v>
      </c>
      <c r="N767" t="s">
        <v>14</v>
      </c>
    </row>
    <row r="768" spans="1:14" x14ac:dyDescent="0.35">
      <c r="A768" s="75">
        <v>43920</v>
      </c>
      <c r="B768" t="s">
        <v>169</v>
      </c>
      <c r="C768" t="s">
        <v>94</v>
      </c>
      <c r="D768">
        <v>9</v>
      </c>
      <c r="E768">
        <v>7</v>
      </c>
      <c r="F768">
        <v>2</v>
      </c>
      <c r="G768" t="s">
        <v>75</v>
      </c>
      <c r="H768" t="s">
        <v>6</v>
      </c>
      <c r="I768">
        <v>40000000</v>
      </c>
      <c r="J768" t="s">
        <v>38</v>
      </c>
      <c r="K768" t="s">
        <v>4</v>
      </c>
      <c r="L768" t="s">
        <v>67</v>
      </c>
      <c r="M768" t="s">
        <v>81</v>
      </c>
      <c r="N768" t="s">
        <v>11</v>
      </c>
    </row>
    <row r="769" spans="1:14" x14ac:dyDescent="0.35">
      <c r="A769" s="75">
        <v>43920</v>
      </c>
      <c r="B769" t="s">
        <v>169</v>
      </c>
      <c r="C769" t="s">
        <v>94</v>
      </c>
      <c r="D769">
        <v>7</v>
      </c>
      <c r="E769">
        <v>5</v>
      </c>
      <c r="F769">
        <v>2</v>
      </c>
      <c r="G769" t="s">
        <v>76</v>
      </c>
      <c r="H769" t="s">
        <v>79</v>
      </c>
      <c r="I769">
        <v>80000000</v>
      </c>
      <c r="J769" t="s">
        <v>46</v>
      </c>
      <c r="K769" t="s">
        <v>5</v>
      </c>
      <c r="L769" t="s">
        <v>67</v>
      </c>
      <c r="M769" t="s">
        <v>80</v>
      </c>
      <c r="N769" t="s">
        <v>11</v>
      </c>
    </row>
    <row r="770" spans="1:14" x14ac:dyDescent="0.35">
      <c r="A770" s="75">
        <v>43920</v>
      </c>
      <c r="B770" t="s">
        <v>169</v>
      </c>
      <c r="C770" t="s">
        <v>94</v>
      </c>
      <c r="D770">
        <v>6</v>
      </c>
      <c r="E770">
        <v>3</v>
      </c>
      <c r="F770">
        <v>3</v>
      </c>
      <c r="G770" t="s">
        <v>70</v>
      </c>
      <c r="H770" t="s">
        <v>1</v>
      </c>
      <c r="I770">
        <v>100000000</v>
      </c>
      <c r="J770" t="s">
        <v>17</v>
      </c>
      <c r="K770" t="s">
        <v>2</v>
      </c>
      <c r="L770" t="s">
        <v>67</v>
      </c>
      <c r="M770" t="s">
        <v>81</v>
      </c>
      <c r="N770" t="s">
        <v>14</v>
      </c>
    </row>
    <row r="771" spans="1:14" x14ac:dyDescent="0.35">
      <c r="A771" s="75">
        <v>43920</v>
      </c>
      <c r="B771" t="s">
        <v>169</v>
      </c>
      <c r="C771" t="s">
        <v>94</v>
      </c>
      <c r="D771">
        <v>5</v>
      </c>
      <c r="E771">
        <v>4</v>
      </c>
      <c r="F771">
        <v>1</v>
      </c>
      <c r="G771" t="s">
        <v>74</v>
      </c>
      <c r="H771" t="s">
        <v>77</v>
      </c>
      <c r="I771">
        <v>100000000</v>
      </c>
      <c r="J771" t="s">
        <v>57</v>
      </c>
      <c r="K771" t="s">
        <v>7</v>
      </c>
      <c r="L771" t="s">
        <v>67</v>
      </c>
      <c r="M771" t="s">
        <v>80</v>
      </c>
      <c r="N771" t="s">
        <v>11</v>
      </c>
    </row>
    <row r="772" spans="1:14" x14ac:dyDescent="0.35">
      <c r="A772" s="75">
        <v>43920</v>
      </c>
      <c r="B772" t="s">
        <v>169</v>
      </c>
      <c r="C772" t="s">
        <v>94</v>
      </c>
      <c r="D772">
        <v>4</v>
      </c>
      <c r="E772">
        <v>2</v>
      </c>
      <c r="F772">
        <v>2</v>
      </c>
      <c r="G772" t="s">
        <v>70</v>
      </c>
      <c r="H772" t="s">
        <v>1</v>
      </c>
      <c r="I772">
        <v>40000000</v>
      </c>
      <c r="J772" t="s">
        <v>24</v>
      </c>
      <c r="K772" t="s">
        <v>2</v>
      </c>
      <c r="L772" t="s">
        <v>67</v>
      </c>
      <c r="M772" t="s">
        <v>81</v>
      </c>
      <c r="N772" t="s">
        <v>12</v>
      </c>
    </row>
    <row r="773" spans="1:14" x14ac:dyDescent="0.35">
      <c r="A773" s="75">
        <v>43920</v>
      </c>
      <c r="B773" t="s">
        <v>169</v>
      </c>
      <c r="C773" t="s">
        <v>94</v>
      </c>
      <c r="D773">
        <v>4</v>
      </c>
      <c r="E773">
        <v>3</v>
      </c>
      <c r="F773">
        <v>1</v>
      </c>
      <c r="G773" t="s">
        <v>74</v>
      </c>
      <c r="H773" t="s">
        <v>77</v>
      </c>
      <c r="I773">
        <v>40000000</v>
      </c>
      <c r="J773" t="s">
        <v>46</v>
      </c>
      <c r="K773" t="s">
        <v>2</v>
      </c>
      <c r="L773" t="s">
        <v>67</v>
      </c>
      <c r="M773" t="s">
        <v>81</v>
      </c>
      <c r="N773" t="s">
        <v>14</v>
      </c>
    </row>
    <row r="774" spans="1:14" x14ac:dyDescent="0.35">
      <c r="A774" s="75">
        <v>43920</v>
      </c>
      <c r="B774" t="s">
        <v>169</v>
      </c>
      <c r="C774" t="s">
        <v>94</v>
      </c>
      <c r="D774">
        <v>4</v>
      </c>
      <c r="E774">
        <v>3</v>
      </c>
      <c r="F774">
        <v>1</v>
      </c>
      <c r="G774" t="s">
        <v>72</v>
      </c>
      <c r="H774" t="s">
        <v>78</v>
      </c>
      <c r="I774">
        <v>140000000</v>
      </c>
      <c r="J774" t="s">
        <v>54</v>
      </c>
      <c r="K774" t="s">
        <v>5</v>
      </c>
      <c r="L774" t="s">
        <v>67</v>
      </c>
      <c r="M774" t="s">
        <v>80</v>
      </c>
      <c r="N774" t="s">
        <v>11</v>
      </c>
    </row>
    <row r="775" spans="1:14" x14ac:dyDescent="0.35">
      <c r="A775" s="75">
        <v>43920</v>
      </c>
      <c r="B775" t="s">
        <v>169</v>
      </c>
      <c r="C775" t="s">
        <v>94</v>
      </c>
      <c r="D775">
        <v>4</v>
      </c>
      <c r="E775">
        <v>2</v>
      </c>
      <c r="F775">
        <v>2</v>
      </c>
      <c r="G775" t="s">
        <v>73</v>
      </c>
      <c r="H775" t="s">
        <v>78</v>
      </c>
      <c r="I775">
        <v>40000000</v>
      </c>
      <c r="J775" t="s">
        <v>48</v>
      </c>
      <c r="K775" t="s">
        <v>2</v>
      </c>
      <c r="L775" t="s">
        <v>67</v>
      </c>
      <c r="M775" t="s">
        <v>81</v>
      </c>
      <c r="N775" t="s">
        <v>12</v>
      </c>
    </row>
    <row r="776" spans="1:14" x14ac:dyDescent="0.35">
      <c r="A776" s="75">
        <v>43920</v>
      </c>
      <c r="B776" t="s">
        <v>169</v>
      </c>
      <c r="C776" t="s">
        <v>94</v>
      </c>
      <c r="D776">
        <v>4</v>
      </c>
      <c r="E776">
        <v>2</v>
      </c>
      <c r="F776">
        <v>2</v>
      </c>
      <c r="G776" t="s">
        <v>71</v>
      </c>
      <c r="H776" t="s">
        <v>6</v>
      </c>
      <c r="I776">
        <v>120000000</v>
      </c>
      <c r="J776" t="s">
        <v>45</v>
      </c>
      <c r="K776" t="s">
        <v>9</v>
      </c>
      <c r="L776" t="s">
        <v>67</v>
      </c>
      <c r="M776" t="s">
        <v>81</v>
      </c>
      <c r="N776" t="s">
        <v>13</v>
      </c>
    </row>
    <row r="777" spans="1:14" x14ac:dyDescent="0.35">
      <c r="A777" s="75">
        <v>43921</v>
      </c>
      <c r="B777" t="s">
        <v>170</v>
      </c>
      <c r="C777" t="s">
        <v>94</v>
      </c>
      <c r="D777">
        <v>9</v>
      </c>
      <c r="E777">
        <v>8</v>
      </c>
      <c r="F777">
        <v>1</v>
      </c>
      <c r="G777" t="s">
        <v>73</v>
      </c>
      <c r="H777" t="s">
        <v>78</v>
      </c>
      <c r="I777">
        <v>100000000</v>
      </c>
      <c r="J777" t="s">
        <v>53</v>
      </c>
      <c r="K777" t="s">
        <v>2</v>
      </c>
      <c r="L777" t="s">
        <v>67</v>
      </c>
      <c r="M777" t="s">
        <v>81</v>
      </c>
      <c r="N777" t="s">
        <v>11</v>
      </c>
    </row>
    <row r="778" spans="1:14" x14ac:dyDescent="0.35">
      <c r="A778" s="75">
        <v>43921</v>
      </c>
      <c r="B778" t="s">
        <v>170</v>
      </c>
      <c r="C778" t="s">
        <v>94</v>
      </c>
      <c r="D778">
        <v>9</v>
      </c>
      <c r="E778">
        <v>7</v>
      </c>
      <c r="F778">
        <v>2</v>
      </c>
      <c r="G778" t="s">
        <v>73</v>
      </c>
      <c r="H778" t="s">
        <v>78</v>
      </c>
      <c r="I778">
        <v>80000000</v>
      </c>
      <c r="J778" t="s">
        <v>61</v>
      </c>
      <c r="K778" t="s">
        <v>5</v>
      </c>
      <c r="L778" t="s">
        <v>67</v>
      </c>
      <c r="M778" t="s">
        <v>80</v>
      </c>
      <c r="N778" t="s">
        <v>13</v>
      </c>
    </row>
    <row r="779" spans="1:14" x14ac:dyDescent="0.35">
      <c r="A779" s="75">
        <v>43921</v>
      </c>
      <c r="B779" t="s">
        <v>170</v>
      </c>
      <c r="C779" t="s">
        <v>94</v>
      </c>
      <c r="D779">
        <v>7</v>
      </c>
      <c r="E779">
        <v>6</v>
      </c>
      <c r="F779">
        <v>1</v>
      </c>
      <c r="G779" t="s">
        <v>114</v>
      </c>
      <c r="H779" t="s">
        <v>3</v>
      </c>
      <c r="I779">
        <v>100000000</v>
      </c>
      <c r="J779" t="s">
        <v>64</v>
      </c>
      <c r="K779" t="s">
        <v>2</v>
      </c>
      <c r="L779" t="s">
        <v>67</v>
      </c>
      <c r="M779" t="s">
        <v>80</v>
      </c>
      <c r="N779" t="s">
        <v>13</v>
      </c>
    </row>
    <row r="780" spans="1:14" x14ac:dyDescent="0.35">
      <c r="A780" s="75">
        <v>43921</v>
      </c>
      <c r="B780" t="s">
        <v>170</v>
      </c>
      <c r="C780" t="s">
        <v>94</v>
      </c>
      <c r="D780">
        <v>7</v>
      </c>
      <c r="E780">
        <v>5</v>
      </c>
      <c r="F780">
        <v>2</v>
      </c>
      <c r="G780" t="s">
        <v>72</v>
      </c>
      <c r="H780" t="s">
        <v>78</v>
      </c>
      <c r="I780">
        <v>100000000</v>
      </c>
      <c r="J780" t="s">
        <v>27</v>
      </c>
      <c r="K780" t="s">
        <v>5</v>
      </c>
      <c r="L780" t="s">
        <v>67</v>
      </c>
      <c r="M780" t="s">
        <v>80</v>
      </c>
      <c r="N780" t="s">
        <v>14</v>
      </c>
    </row>
    <row r="781" spans="1:14" x14ac:dyDescent="0.35">
      <c r="A781" s="75">
        <v>43921</v>
      </c>
      <c r="B781" t="s">
        <v>170</v>
      </c>
      <c r="C781" t="s">
        <v>94</v>
      </c>
      <c r="D781">
        <v>4</v>
      </c>
      <c r="E781">
        <v>3</v>
      </c>
      <c r="F781">
        <v>1</v>
      </c>
      <c r="G781" t="s">
        <v>113</v>
      </c>
      <c r="H781" t="s">
        <v>77</v>
      </c>
      <c r="I781">
        <v>60000000</v>
      </c>
      <c r="J781" t="s">
        <v>22</v>
      </c>
      <c r="K781" t="s">
        <v>8</v>
      </c>
      <c r="L781" t="s">
        <v>67</v>
      </c>
      <c r="M781" t="s">
        <v>80</v>
      </c>
      <c r="N781" t="s">
        <v>12</v>
      </c>
    </row>
    <row r="782" spans="1:14" x14ac:dyDescent="0.35">
      <c r="A782" s="75">
        <v>43921</v>
      </c>
      <c r="B782" t="s">
        <v>170</v>
      </c>
      <c r="C782" t="s">
        <v>94</v>
      </c>
      <c r="D782">
        <v>4</v>
      </c>
      <c r="E782">
        <v>2</v>
      </c>
      <c r="F782">
        <v>2</v>
      </c>
      <c r="G782" t="s">
        <v>76</v>
      </c>
      <c r="H782" t="s">
        <v>79</v>
      </c>
      <c r="I782">
        <v>100000000</v>
      </c>
      <c r="J782" t="s">
        <v>32</v>
      </c>
      <c r="K782" t="s">
        <v>2</v>
      </c>
      <c r="L782" t="s">
        <v>67</v>
      </c>
      <c r="M782" t="s">
        <v>81</v>
      </c>
      <c r="N782" t="s">
        <v>11</v>
      </c>
    </row>
    <row r="783" spans="1:14" x14ac:dyDescent="0.35">
      <c r="A783" s="75">
        <v>43921</v>
      </c>
      <c r="B783" t="s">
        <v>170</v>
      </c>
      <c r="C783" t="s">
        <v>94</v>
      </c>
      <c r="D783">
        <v>3</v>
      </c>
      <c r="E783">
        <v>1</v>
      </c>
      <c r="F783">
        <v>2</v>
      </c>
      <c r="G783" t="s">
        <v>70</v>
      </c>
      <c r="H783" t="s">
        <v>1</v>
      </c>
      <c r="I783">
        <v>100000000</v>
      </c>
      <c r="J783" t="s">
        <v>33</v>
      </c>
      <c r="K783" t="s">
        <v>2</v>
      </c>
      <c r="L783" t="s">
        <v>67</v>
      </c>
      <c r="M783" t="s">
        <v>81</v>
      </c>
      <c r="N783" t="s">
        <v>11</v>
      </c>
    </row>
    <row r="784" spans="1:14" x14ac:dyDescent="0.35">
      <c r="A784" s="75">
        <v>43922</v>
      </c>
      <c r="B784" t="s">
        <v>140</v>
      </c>
      <c r="C784" t="s">
        <v>95</v>
      </c>
      <c r="D784">
        <v>10</v>
      </c>
      <c r="E784">
        <v>9</v>
      </c>
      <c r="F784">
        <v>1</v>
      </c>
      <c r="G784" t="s">
        <v>72</v>
      </c>
      <c r="H784" t="s">
        <v>78</v>
      </c>
      <c r="I784">
        <v>140000000</v>
      </c>
      <c r="J784" t="s">
        <v>58</v>
      </c>
      <c r="K784" t="s">
        <v>2</v>
      </c>
      <c r="L784" t="s">
        <v>67</v>
      </c>
      <c r="M784" t="s">
        <v>81</v>
      </c>
      <c r="N784" t="s">
        <v>11</v>
      </c>
    </row>
    <row r="785" spans="1:14" x14ac:dyDescent="0.35">
      <c r="A785" s="75">
        <v>43922</v>
      </c>
      <c r="B785" t="s">
        <v>140</v>
      </c>
      <c r="C785" t="s">
        <v>95</v>
      </c>
      <c r="D785">
        <v>10</v>
      </c>
      <c r="E785">
        <v>9</v>
      </c>
      <c r="F785">
        <v>1</v>
      </c>
      <c r="G785" t="s">
        <v>70</v>
      </c>
      <c r="H785" t="s">
        <v>1</v>
      </c>
      <c r="I785">
        <v>60000000</v>
      </c>
      <c r="J785" t="s">
        <v>16</v>
      </c>
      <c r="K785" t="s">
        <v>5</v>
      </c>
      <c r="L785" t="s">
        <v>67</v>
      </c>
      <c r="M785" t="s">
        <v>82</v>
      </c>
      <c r="N785" t="s">
        <v>11</v>
      </c>
    </row>
    <row r="786" spans="1:14" x14ac:dyDescent="0.35">
      <c r="A786" s="75">
        <v>43922</v>
      </c>
      <c r="B786" t="s">
        <v>140</v>
      </c>
      <c r="C786" t="s">
        <v>95</v>
      </c>
      <c r="D786">
        <v>9</v>
      </c>
      <c r="E786">
        <v>7</v>
      </c>
      <c r="F786">
        <v>2</v>
      </c>
      <c r="G786" t="s">
        <v>76</v>
      </c>
      <c r="H786" t="s">
        <v>79</v>
      </c>
      <c r="I786">
        <v>80000000</v>
      </c>
      <c r="J786" t="s">
        <v>52</v>
      </c>
      <c r="K786" t="s">
        <v>2</v>
      </c>
      <c r="L786" t="s">
        <v>67</v>
      </c>
      <c r="M786" t="s">
        <v>81</v>
      </c>
      <c r="N786" t="s">
        <v>12</v>
      </c>
    </row>
    <row r="787" spans="1:14" x14ac:dyDescent="0.35">
      <c r="A787" s="75">
        <v>43922</v>
      </c>
      <c r="B787" t="s">
        <v>140</v>
      </c>
      <c r="C787" t="s">
        <v>95</v>
      </c>
      <c r="D787">
        <v>8</v>
      </c>
      <c r="E787">
        <v>6</v>
      </c>
      <c r="F787">
        <v>2</v>
      </c>
      <c r="G787" t="s">
        <v>114</v>
      </c>
      <c r="H787" t="s">
        <v>3</v>
      </c>
      <c r="I787">
        <v>100000000</v>
      </c>
      <c r="J787" t="s">
        <v>42</v>
      </c>
      <c r="K787" t="s">
        <v>7</v>
      </c>
      <c r="L787" t="s">
        <v>67</v>
      </c>
      <c r="M787" t="s">
        <v>80</v>
      </c>
      <c r="N787" t="s">
        <v>11</v>
      </c>
    </row>
    <row r="788" spans="1:14" x14ac:dyDescent="0.35">
      <c r="A788" s="75">
        <v>43922</v>
      </c>
      <c r="B788" t="s">
        <v>140</v>
      </c>
      <c r="C788" t="s">
        <v>95</v>
      </c>
      <c r="D788">
        <v>6</v>
      </c>
      <c r="E788">
        <v>4</v>
      </c>
      <c r="F788">
        <v>2</v>
      </c>
      <c r="G788" t="s">
        <v>70</v>
      </c>
      <c r="H788" t="s">
        <v>1</v>
      </c>
      <c r="I788">
        <v>60000000</v>
      </c>
      <c r="J788" t="s">
        <v>46</v>
      </c>
      <c r="K788" t="s">
        <v>4</v>
      </c>
      <c r="L788" t="s">
        <v>67</v>
      </c>
      <c r="M788" t="s">
        <v>82</v>
      </c>
      <c r="N788" t="s">
        <v>11</v>
      </c>
    </row>
    <row r="789" spans="1:14" x14ac:dyDescent="0.35">
      <c r="A789" s="75">
        <v>43922</v>
      </c>
      <c r="B789" t="s">
        <v>140</v>
      </c>
      <c r="C789" t="s">
        <v>95</v>
      </c>
      <c r="D789">
        <v>5</v>
      </c>
      <c r="E789">
        <v>3</v>
      </c>
      <c r="F789">
        <v>2</v>
      </c>
      <c r="G789" t="s">
        <v>75</v>
      </c>
      <c r="H789" t="s">
        <v>6</v>
      </c>
      <c r="I789">
        <v>60000000</v>
      </c>
      <c r="J789" t="s">
        <v>47</v>
      </c>
      <c r="K789" t="s">
        <v>2</v>
      </c>
      <c r="L789" t="s">
        <v>67</v>
      </c>
      <c r="M789" t="s">
        <v>80</v>
      </c>
      <c r="N789" t="s">
        <v>12</v>
      </c>
    </row>
    <row r="790" spans="1:14" x14ac:dyDescent="0.35">
      <c r="A790" s="75">
        <v>43922</v>
      </c>
      <c r="B790" t="s">
        <v>140</v>
      </c>
      <c r="C790" t="s">
        <v>95</v>
      </c>
      <c r="D790">
        <v>5</v>
      </c>
      <c r="E790">
        <v>4</v>
      </c>
      <c r="F790">
        <v>1</v>
      </c>
      <c r="G790" t="s">
        <v>76</v>
      </c>
      <c r="H790" t="s">
        <v>79</v>
      </c>
      <c r="I790">
        <v>140000000</v>
      </c>
      <c r="J790" t="s">
        <v>48</v>
      </c>
      <c r="K790" t="s">
        <v>7</v>
      </c>
      <c r="L790" t="s">
        <v>67</v>
      </c>
      <c r="M790" t="s">
        <v>82</v>
      </c>
      <c r="N790" t="s">
        <v>12</v>
      </c>
    </row>
    <row r="791" spans="1:14" x14ac:dyDescent="0.35">
      <c r="A791" s="75">
        <v>43922</v>
      </c>
      <c r="B791" t="s">
        <v>140</v>
      </c>
      <c r="C791" t="s">
        <v>95</v>
      </c>
      <c r="D791">
        <v>4</v>
      </c>
      <c r="E791">
        <v>3</v>
      </c>
      <c r="F791">
        <v>1</v>
      </c>
      <c r="G791" t="s">
        <v>113</v>
      </c>
      <c r="H791" t="s">
        <v>77</v>
      </c>
      <c r="I791">
        <v>80000000</v>
      </c>
      <c r="J791" t="s">
        <v>46</v>
      </c>
      <c r="K791" t="s">
        <v>7</v>
      </c>
      <c r="L791" t="s">
        <v>67</v>
      </c>
      <c r="M791" t="s">
        <v>80</v>
      </c>
      <c r="N791" t="s">
        <v>11</v>
      </c>
    </row>
    <row r="792" spans="1:14" x14ac:dyDescent="0.35">
      <c r="A792" s="75">
        <v>43923</v>
      </c>
      <c r="B792" t="s">
        <v>141</v>
      </c>
      <c r="C792" t="s">
        <v>95</v>
      </c>
      <c r="D792">
        <v>7</v>
      </c>
      <c r="E792">
        <v>5</v>
      </c>
      <c r="F792">
        <v>2</v>
      </c>
      <c r="G792" t="s">
        <v>70</v>
      </c>
      <c r="H792" t="s">
        <v>1</v>
      </c>
      <c r="I792">
        <v>60000000</v>
      </c>
      <c r="J792" t="s">
        <v>46</v>
      </c>
      <c r="K792" t="s">
        <v>5</v>
      </c>
      <c r="L792" t="s">
        <v>67</v>
      </c>
      <c r="M792" t="s">
        <v>80</v>
      </c>
      <c r="N792" t="s">
        <v>13</v>
      </c>
    </row>
    <row r="793" spans="1:14" x14ac:dyDescent="0.35">
      <c r="A793" s="75">
        <v>43923</v>
      </c>
      <c r="B793" t="s">
        <v>141</v>
      </c>
      <c r="C793" t="s">
        <v>95</v>
      </c>
      <c r="D793">
        <v>6</v>
      </c>
      <c r="E793">
        <v>3</v>
      </c>
      <c r="F793">
        <v>3</v>
      </c>
      <c r="G793" t="s">
        <v>71</v>
      </c>
      <c r="H793" t="s">
        <v>6</v>
      </c>
      <c r="I793">
        <v>140000000</v>
      </c>
      <c r="J793" t="s">
        <v>51</v>
      </c>
      <c r="K793" t="s">
        <v>2</v>
      </c>
      <c r="L793" t="s">
        <v>67</v>
      </c>
      <c r="M793" t="s">
        <v>81</v>
      </c>
      <c r="N793" t="s">
        <v>13</v>
      </c>
    </row>
    <row r="794" spans="1:14" x14ac:dyDescent="0.35">
      <c r="A794" s="75">
        <v>43923</v>
      </c>
      <c r="B794" t="s">
        <v>141</v>
      </c>
      <c r="C794" t="s">
        <v>95</v>
      </c>
      <c r="D794">
        <v>6</v>
      </c>
      <c r="E794">
        <v>3</v>
      </c>
      <c r="F794">
        <v>3</v>
      </c>
      <c r="G794" t="s">
        <v>71</v>
      </c>
      <c r="H794" t="s">
        <v>6</v>
      </c>
      <c r="I794">
        <v>80000000</v>
      </c>
      <c r="J794" t="s">
        <v>47</v>
      </c>
      <c r="K794" t="s">
        <v>5</v>
      </c>
      <c r="L794" t="s">
        <v>67</v>
      </c>
      <c r="M794" t="s">
        <v>81</v>
      </c>
      <c r="N794" t="s">
        <v>12</v>
      </c>
    </row>
    <row r="795" spans="1:14" x14ac:dyDescent="0.35">
      <c r="A795" s="75">
        <v>43923</v>
      </c>
      <c r="B795" t="s">
        <v>141</v>
      </c>
      <c r="C795" t="s">
        <v>95</v>
      </c>
      <c r="D795">
        <v>5</v>
      </c>
      <c r="E795">
        <v>4</v>
      </c>
      <c r="F795">
        <v>1</v>
      </c>
      <c r="G795" t="s">
        <v>71</v>
      </c>
      <c r="H795" t="s">
        <v>6</v>
      </c>
      <c r="I795">
        <v>80000000</v>
      </c>
      <c r="J795" t="s">
        <v>43</v>
      </c>
      <c r="K795" t="s">
        <v>2</v>
      </c>
      <c r="L795" t="s">
        <v>67</v>
      </c>
      <c r="M795" t="s">
        <v>80</v>
      </c>
      <c r="N795" t="s">
        <v>14</v>
      </c>
    </row>
    <row r="796" spans="1:14" x14ac:dyDescent="0.35">
      <c r="A796" s="75">
        <v>43923</v>
      </c>
      <c r="B796" t="s">
        <v>141</v>
      </c>
      <c r="C796" t="s">
        <v>95</v>
      </c>
      <c r="D796">
        <v>5</v>
      </c>
      <c r="E796">
        <v>4</v>
      </c>
      <c r="F796">
        <v>1</v>
      </c>
      <c r="G796" t="s">
        <v>71</v>
      </c>
      <c r="H796" t="s">
        <v>6</v>
      </c>
      <c r="I796">
        <v>40000000</v>
      </c>
      <c r="J796" t="s">
        <v>16</v>
      </c>
      <c r="K796" t="s">
        <v>2</v>
      </c>
      <c r="L796" t="s">
        <v>67</v>
      </c>
      <c r="M796" t="s">
        <v>82</v>
      </c>
      <c r="N796" t="s">
        <v>12</v>
      </c>
    </row>
    <row r="797" spans="1:14" x14ac:dyDescent="0.35">
      <c r="A797" s="75">
        <v>43923</v>
      </c>
      <c r="B797" t="s">
        <v>141</v>
      </c>
      <c r="C797" t="s">
        <v>95</v>
      </c>
      <c r="D797">
        <v>4</v>
      </c>
      <c r="E797">
        <v>3</v>
      </c>
      <c r="F797">
        <v>1</v>
      </c>
      <c r="G797" t="s">
        <v>114</v>
      </c>
      <c r="H797" t="s">
        <v>3</v>
      </c>
      <c r="I797">
        <v>40000000</v>
      </c>
      <c r="J797" t="s">
        <v>52</v>
      </c>
      <c r="K797" t="s">
        <v>8</v>
      </c>
      <c r="L797" t="s">
        <v>67</v>
      </c>
      <c r="M797" t="s">
        <v>82</v>
      </c>
      <c r="N797" t="s">
        <v>14</v>
      </c>
    </row>
    <row r="798" spans="1:14" x14ac:dyDescent="0.35">
      <c r="A798" s="75">
        <v>43923</v>
      </c>
      <c r="B798" t="s">
        <v>141</v>
      </c>
      <c r="C798" t="s">
        <v>95</v>
      </c>
      <c r="D798">
        <v>4</v>
      </c>
      <c r="E798">
        <v>2</v>
      </c>
      <c r="F798">
        <v>2</v>
      </c>
      <c r="G798" t="s">
        <v>113</v>
      </c>
      <c r="H798" t="s">
        <v>77</v>
      </c>
      <c r="I798">
        <v>120000000</v>
      </c>
      <c r="J798" t="s">
        <v>27</v>
      </c>
      <c r="K798" t="s">
        <v>2</v>
      </c>
      <c r="L798" t="s">
        <v>67</v>
      </c>
      <c r="M798" t="s">
        <v>81</v>
      </c>
      <c r="N798" t="s">
        <v>11</v>
      </c>
    </row>
    <row r="799" spans="1:14" x14ac:dyDescent="0.35">
      <c r="A799" s="75">
        <v>43923</v>
      </c>
      <c r="B799" t="s">
        <v>141</v>
      </c>
      <c r="C799" t="s">
        <v>95</v>
      </c>
      <c r="D799">
        <v>4</v>
      </c>
      <c r="E799">
        <v>2</v>
      </c>
      <c r="F799">
        <v>2</v>
      </c>
      <c r="G799" t="s">
        <v>113</v>
      </c>
      <c r="H799" t="s">
        <v>77</v>
      </c>
      <c r="I799">
        <v>120000000</v>
      </c>
      <c r="J799" t="s">
        <v>34</v>
      </c>
      <c r="K799" t="s">
        <v>8</v>
      </c>
      <c r="L799" t="s">
        <v>67</v>
      </c>
      <c r="M799" t="s">
        <v>80</v>
      </c>
      <c r="N799" t="s">
        <v>11</v>
      </c>
    </row>
    <row r="800" spans="1:14" x14ac:dyDescent="0.35">
      <c r="A800" s="75">
        <v>43923</v>
      </c>
      <c r="B800" t="s">
        <v>141</v>
      </c>
      <c r="C800" t="s">
        <v>95</v>
      </c>
      <c r="D800">
        <v>4</v>
      </c>
      <c r="E800">
        <v>3</v>
      </c>
      <c r="F800">
        <v>1</v>
      </c>
      <c r="G800" t="s">
        <v>75</v>
      </c>
      <c r="H800" t="s">
        <v>6</v>
      </c>
      <c r="I800">
        <v>40000000</v>
      </c>
      <c r="J800" t="s">
        <v>37</v>
      </c>
      <c r="K800" t="s">
        <v>2</v>
      </c>
      <c r="L800" t="s">
        <v>67</v>
      </c>
      <c r="M800" t="s">
        <v>80</v>
      </c>
      <c r="N800" t="s">
        <v>11</v>
      </c>
    </row>
    <row r="801" spans="1:14" x14ac:dyDescent="0.35">
      <c r="A801" s="75">
        <v>43923</v>
      </c>
      <c r="B801" t="s">
        <v>141</v>
      </c>
      <c r="C801" t="s">
        <v>95</v>
      </c>
      <c r="D801">
        <v>3</v>
      </c>
      <c r="E801">
        <v>2</v>
      </c>
      <c r="F801">
        <v>1</v>
      </c>
      <c r="G801" t="s">
        <v>73</v>
      </c>
      <c r="H801" t="s">
        <v>78</v>
      </c>
      <c r="I801">
        <v>60000000</v>
      </c>
      <c r="J801" t="s">
        <v>18</v>
      </c>
      <c r="K801" t="s">
        <v>8</v>
      </c>
      <c r="L801" t="s">
        <v>67</v>
      </c>
      <c r="M801" t="s">
        <v>80</v>
      </c>
      <c r="N801" t="s">
        <v>12</v>
      </c>
    </row>
    <row r="802" spans="1:14" x14ac:dyDescent="0.35">
      <c r="A802" s="75">
        <v>43924</v>
      </c>
      <c r="B802" t="s">
        <v>142</v>
      </c>
      <c r="C802" t="s">
        <v>95</v>
      </c>
      <c r="D802">
        <v>10</v>
      </c>
      <c r="E802">
        <v>8</v>
      </c>
      <c r="F802">
        <v>2</v>
      </c>
      <c r="G802" t="s">
        <v>76</v>
      </c>
      <c r="H802" t="s">
        <v>79</v>
      </c>
      <c r="I802">
        <v>80000000</v>
      </c>
      <c r="J802" t="s">
        <v>62</v>
      </c>
      <c r="K802" t="s">
        <v>2</v>
      </c>
      <c r="L802" t="s">
        <v>67</v>
      </c>
      <c r="M802" t="s">
        <v>81</v>
      </c>
      <c r="N802" t="s">
        <v>14</v>
      </c>
    </row>
    <row r="803" spans="1:14" x14ac:dyDescent="0.35">
      <c r="A803" s="75">
        <v>43924</v>
      </c>
      <c r="B803" t="s">
        <v>142</v>
      </c>
      <c r="C803" t="s">
        <v>95</v>
      </c>
      <c r="D803">
        <v>10</v>
      </c>
      <c r="E803">
        <v>7</v>
      </c>
      <c r="F803">
        <v>3</v>
      </c>
      <c r="G803" t="s">
        <v>74</v>
      </c>
      <c r="H803" t="s">
        <v>77</v>
      </c>
      <c r="I803">
        <v>120000000</v>
      </c>
      <c r="J803" t="s">
        <v>49</v>
      </c>
      <c r="K803" t="s">
        <v>7</v>
      </c>
      <c r="L803" t="s">
        <v>67</v>
      </c>
      <c r="M803" t="s">
        <v>81</v>
      </c>
      <c r="N803" t="s">
        <v>13</v>
      </c>
    </row>
    <row r="804" spans="1:14" x14ac:dyDescent="0.35">
      <c r="A804" s="75">
        <v>43924</v>
      </c>
      <c r="B804" t="s">
        <v>142</v>
      </c>
      <c r="C804" t="s">
        <v>95</v>
      </c>
      <c r="D804">
        <v>9</v>
      </c>
      <c r="E804">
        <v>7</v>
      </c>
      <c r="F804">
        <v>2</v>
      </c>
      <c r="G804" t="s">
        <v>75</v>
      </c>
      <c r="H804" t="s">
        <v>6</v>
      </c>
      <c r="I804">
        <v>80000000</v>
      </c>
      <c r="J804" t="s">
        <v>16</v>
      </c>
      <c r="K804" t="s">
        <v>5</v>
      </c>
      <c r="L804" t="s">
        <v>67</v>
      </c>
      <c r="M804" t="s">
        <v>80</v>
      </c>
      <c r="N804" t="s">
        <v>11</v>
      </c>
    </row>
    <row r="805" spans="1:14" x14ac:dyDescent="0.35">
      <c r="A805" s="75">
        <v>43924</v>
      </c>
      <c r="B805" t="s">
        <v>142</v>
      </c>
      <c r="C805" t="s">
        <v>95</v>
      </c>
      <c r="D805">
        <v>9</v>
      </c>
      <c r="E805">
        <v>8</v>
      </c>
      <c r="F805">
        <v>1</v>
      </c>
      <c r="G805" t="s">
        <v>74</v>
      </c>
      <c r="H805" t="s">
        <v>77</v>
      </c>
      <c r="I805">
        <v>60000000</v>
      </c>
      <c r="J805" t="s">
        <v>36</v>
      </c>
      <c r="K805" t="s">
        <v>2</v>
      </c>
      <c r="L805" t="s">
        <v>67</v>
      </c>
      <c r="M805" t="s">
        <v>81</v>
      </c>
      <c r="N805" t="s">
        <v>13</v>
      </c>
    </row>
    <row r="806" spans="1:14" x14ac:dyDescent="0.35">
      <c r="A806" s="75">
        <v>43924</v>
      </c>
      <c r="B806" t="s">
        <v>142</v>
      </c>
      <c r="C806" t="s">
        <v>95</v>
      </c>
      <c r="D806">
        <v>9</v>
      </c>
      <c r="E806">
        <v>5</v>
      </c>
      <c r="F806">
        <v>4</v>
      </c>
      <c r="G806" t="s">
        <v>70</v>
      </c>
      <c r="H806" t="s">
        <v>1</v>
      </c>
      <c r="I806">
        <v>80000000</v>
      </c>
      <c r="J806" t="s">
        <v>37</v>
      </c>
      <c r="K806" t="s">
        <v>5</v>
      </c>
      <c r="L806" t="s">
        <v>67</v>
      </c>
      <c r="M806" t="s">
        <v>82</v>
      </c>
      <c r="N806" t="s">
        <v>14</v>
      </c>
    </row>
    <row r="807" spans="1:14" x14ac:dyDescent="0.35">
      <c r="A807" s="75">
        <v>43924</v>
      </c>
      <c r="B807" t="s">
        <v>142</v>
      </c>
      <c r="C807" t="s">
        <v>95</v>
      </c>
      <c r="D807">
        <v>8</v>
      </c>
      <c r="E807">
        <v>5</v>
      </c>
      <c r="F807">
        <v>3</v>
      </c>
      <c r="G807" t="s">
        <v>70</v>
      </c>
      <c r="H807" t="s">
        <v>1</v>
      </c>
      <c r="I807">
        <v>100000000</v>
      </c>
      <c r="J807" t="s">
        <v>48</v>
      </c>
      <c r="K807" t="s">
        <v>5</v>
      </c>
      <c r="L807" t="s">
        <v>67</v>
      </c>
      <c r="M807" t="s">
        <v>82</v>
      </c>
      <c r="N807" t="s">
        <v>13</v>
      </c>
    </row>
    <row r="808" spans="1:14" x14ac:dyDescent="0.35">
      <c r="A808" s="75">
        <v>43924</v>
      </c>
      <c r="B808" t="s">
        <v>142</v>
      </c>
      <c r="C808" t="s">
        <v>95</v>
      </c>
      <c r="D808">
        <v>8</v>
      </c>
      <c r="E808">
        <v>4</v>
      </c>
      <c r="F808">
        <v>4</v>
      </c>
      <c r="G808" t="s">
        <v>71</v>
      </c>
      <c r="H808" t="s">
        <v>6</v>
      </c>
      <c r="I808">
        <v>140000000</v>
      </c>
      <c r="J808" t="s">
        <v>52</v>
      </c>
      <c r="K808" t="s">
        <v>2</v>
      </c>
      <c r="L808" t="s">
        <v>67</v>
      </c>
      <c r="M808" t="s">
        <v>82</v>
      </c>
      <c r="N808" t="s">
        <v>12</v>
      </c>
    </row>
    <row r="809" spans="1:14" x14ac:dyDescent="0.35">
      <c r="A809" s="75">
        <v>43924</v>
      </c>
      <c r="B809" t="s">
        <v>142</v>
      </c>
      <c r="C809" t="s">
        <v>95</v>
      </c>
      <c r="D809">
        <v>6</v>
      </c>
      <c r="E809">
        <v>3</v>
      </c>
      <c r="F809">
        <v>3</v>
      </c>
      <c r="G809" t="s">
        <v>76</v>
      </c>
      <c r="H809" t="s">
        <v>79</v>
      </c>
      <c r="I809">
        <v>60000000</v>
      </c>
      <c r="J809" t="s">
        <v>64</v>
      </c>
      <c r="K809" t="s">
        <v>5</v>
      </c>
      <c r="L809" t="s">
        <v>67</v>
      </c>
      <c r="M809" t="s">
        <v>82</v>
      </c>
      <c r="N809" t="s">
        <v>14</v>
      </c>
    </row>
    <row r="810" spans="1:14" x14ac:dyDescent="0.35">
      <c r="A810" s="75">
        <v>43924</v>
      </c>
      <c r="B810" t="s">
        <v>142</v>
      </c>
      <c r="C810" t="s">
        <v>95</v>
      </c>
      <c r="D810">
        <v>6</v>
      </c>
      <c r="E810">
        <v>4</v>
      </c>
      <c r="F810">
        <v>2</v>
      </c>
      <c r="G810" t="s">
        <v>113</v>
      </c>
      <c r="H810" t="s">
        <v>77</v>
      </c>
      <c r="I810">
        <v>80000000</v>
      </c>
      <c r="J810" t="s">
        <v>22</v>
      </c>
      <c r="K810" t="s">
        <v>5</v>
      </c>
      <c r="L810" t="s">
        <v>67</v>
      </c>
      <c r="M810" t="s">
        <v>80</v>
      </c>
      <c r="N810" t="s">
        <v>14</v>
      </c>
    </row>
    <row r="811" spans="1:14" x14ac:dyDescent="0.35">
      <c r="A811" s="75">
        <v>43924</v>
      </c>
      <c r="B811" t="s">
        <v>142</v>
      </c>
      <c r="C811" t="s">
        <v>95</v>
      </c>
      <c r="D811">
        <v>5</v>
      </c>
      <c r="E811">
        <v>3</v>
      </c>
      <c r="F811">
        <v>2</v>
      </c>
      <c r="G811" t="s">
        <v>76</v>
      </c>
      <c r="H811" t="s">
        <v>79</v>
      </c>
      <c r="I811">
        <v>120000000</v>
      </c>
      <c r="J811" t="s">
        <v>43</v>
      </c>
      <c r="K811" t="s">
        <v>8</v>
      </c>
      <c r="L811" t="s">
        <v>67</v>
      </c>
      <c r="M811" t="s">
        <v>80</v>
      </c>
      <c r="N811" t="s">
        <v>13</v>
      </c>
    </row>
    <row r="812" spans="1:14" x14ac:dyDescent="0.35">
      <c r="A812" s="75">
        <v>43924</v>
      </c>
      <c r="B812" t="s">
        <v>142</v>
      </c>
      <c r="C812" t="s">
        <v>95</v>
      </c>
      <c r="D812">
        <v>5</v>
      </c>
      <c r="E812">
        <v>4</v>
      </c>
      <c r="F812">
        <v>1</v>
      </c>
      <c r="G812" t="s">
        <v>74</v>
      </c>
      <c r="H812" t="s">
        <v>77</v>
      </c>
      <c r="I812">
        <v>60000000</v>
      </c>
      <c r="J812" t="s">
        <v>48</v>
      </c>
      <c r="K812" t="s">
        <v>7</v>
      </c>
      <c r="L812" t="s">
        <v>67</v>
      </c>
      <c r="M812" t="s">
        <v>80</v>
      </c>
      <c r="N812" t="s">
        <v>11</v>
      </c>
    </row>
    <row r="813" spans="1:14" x14ac:dyDescent="0.35">
      <c r="A813" s="75">
        <v>43924</v>
      </c>
      <c r="B813" t="s">
        <v>142</v>
      </c>
      <c r="C813" t="s">
        <v>95</v>
      </c>
      <c r="D813">
        <v>4</v>
      </c>
      <c r="E813">
        <v>3</v>
      </c>
      <c r="F813">
        <v>1</v>
      </c>
      <c r="G813" t="s">
        <v>114</v>
      </c>
      <c r="H813" t="s">
        <v>3</v>
      </c>
      <c r="I813">
        <v>120000000</v>
      </c>
      <c r="J813" t="s">
        <v>61</v>
      </c>
      <c r="K813" t="s">
        <v>7</v>
      </c>
      <c r="L813" t="s">
        <v>67</v>
      </c>
      <c r="M813" t="s">
        <v>81</v>
      </c>
      <c r="N813" t="s">
        <v>12</v>
      </c>
    </row>
    <row r="814" spans="1:14" x14ac:dyDescent="0.35">
      <c r="A814" s="75">
        <v>43925</v>
      </c>
      <c r="B814" t="s">
        <v>143</v>
      </c>
      <c r="C814" t="s">
        <v>95</v>
      </c>
      <c r="D814">
        <v>9</v>
      </c>
      <c r="E814">
        <v>8</v>
      </c>
      <c r="F814">
        <v>1</v>
      </c>
      <c r="G814" t="s">
        <v>70</v>
      </c>
      <c r="H814" t="s">
        <v>1</v>
      </c>
      <c r="I814">
        <v>140000000</v>
      </c>
      <c r="J814" t="s">
        <v>24</v>
      </c>
      <c r="K814" t="s">
        <v>5</v>
      </c>
      <c r="L814" t="s">
        <v>67</v>
      </c>
      <c r="M814" t="s">
        <v>82</v>
      </c>
      <c r="N814" t="s">
        <v>13</v>
      </c>
    </row>
    <row r="815" spans="1:14" x14ac:dyDescent="0.35">
      <c r="A815" s="75">
        <v>43925</v>
      </c>
      <c r="B815" t="s">
        <v>143</v>
      </c>
      <c r="C815" t="s">
        <v>95</v>
      </c>
      <c r="D815">
        <v>8</v>
      </c>
      <c r="E815">
        <v>6</v>
      </c>
      <c r="F815">
        <v>2</v>
      </c>
      <c r="G815" t="s">
        <v>114</v>
      </c>
      <c r="H815" t="s">
        <v>3</v>
      </c>
      <c r="I815">
        <v>100000000</v>
      </c>
      <c r="J815" t="s">
        <v>22</v>
      </c>
      <c r="K815" t="s">
        <v>2</v>
      </c>
      <c r="L815" t="s">
        <v>67</v>
      </c>
      <c r="M815" t="s">
        <v>80</v>
      </c>
      <c r="N815" t="s">
        <v>12</v>
      </c>
    </row>
    <row r="816" spans="1:14" x14ac:dyDescent="0.35">
      <c r="A816" s="75">
        <v>43925</v>
      </c>
      <c r="B816" t="s">
        <v>143</v>
      </c>
      <c r="C816" t="s">
        <v>95</v>
      </c>
      <c r="D816">
        <v>7</v>
      </c>
      <c r="E816">
        <v>4</v>
      </c>
      <c r="F816">
        <v>3</v>
      </c>
      <c r="G816" t="s">
        <v>71</v>
      </c>
      <c r="H816" t="s">
        <v>6</v>
      </c>
      <c r="I816">
        <v>60000000</v>
      </c>
      <c r="J816" t="s">
        <v>43</v>
      </c>
      <c r="K816" t="s">
        <v>5</v>
      </c>
      <c r="L816" t="s">
        <v>67</v>
      </c>
      <c r="M816" t="s">
        <v>82</v>
      </c>
      <c r="N816" t="s">
        <v>12</v>
      </c>
    </row>
    <row r="817" spans="1:14" x14ac:dyDescent="0.35">
      <c r="A817" s="75">
        <v>43925</v>
      </c>
      <c r="B817" t="s">
        <v>143</v>
      </c>
      <c r="C817" t="s">
        <v>95</v>
      </c>
      <c r="D817">
        <v>7</v>
      </c>
      <c r="E817">
        <v>5</v>
      </c>
      <c r="F817">
        <v>2</v>
      </c>
      <c r="G817" t="s">
        <v>76</v>
      </c>
      <c r="H817" t="s">
        <v>79</v>
      </c>
      <c r="I817">
        <v>120000000</v>
      </c>
      <c r="J817" t="s">
        <v>25</v>
      </c>
      <c r="K817" t="s">
        <v>7</v>
      </c>
      <c r="L817" t="s">
        <v>67</v>
      </c>
      <c r="M817" t="s">
        <v>82</v>
      </c>
      <c r="N817" t="s">
        <v>12</v>
      </c>
    </row>
    <row r="818" spans="1:14" x14ac:dyDescent="0.35">
      <c r="A818" s="75">
        <v>43925</v>
      </c>
      <c r="B818" t="s">
        <v>143</v>
      </c>
      <c r="C818" t="s">
        <v>95</v>
      </c>
      <c r="D818">
        <v>7</v>
      </c>
      <c r="E818">
        <v>5</v>
      </c>
      <c r="F818">
        <v>2</v>
      </c>
      <c r="G818" t="s">
        <v>113</v>
      </c>
      <c r="H818" t="s">
        <v>77</v>
      </c>
      <c r="I818">
        <v>120000000</v>
      </c>
      <c r="J818" t="s">
        <v>30</v>
      </c>
      <c r="K818" t="s">
        <v>5</v>
      </c>
      <c r="L818" t="s">
        <v>67</v>
      </c>
      <c r="M818" t="s">
        <v>80</v>
      </c>
      <c r="N818" t="s">
        <v>12</v>
      </c>
    </row>
    <row r="819" spans="1:14" x14ac:dyDescent="0.35">
      <c r="A819" s="75">
        <v>43925</v>
      </c>
      <c r="B819" t="s">
        <v>143</v>
      </c>
      <c r="C819" t="s">
        <v>95</v>
      </c>
      <c r="D819">
        <v>7</v>
      </c>
      <c r="E819">
        <v>5</v>
      </c>
      <c r="F819">
        <v>2</v>
      </c>
      <c r="G819" t="s">
        <v>72</v>
      </c>
      <c r="H819" t="s">
        <v>78</v>
      </c>
      <c r="I819">
        <v>120000000</v>
      </c>
      <c r="J819" t="s">
        <v>63</v>
      </c>
      <c r="K819" t="s">
        <v>2</v>
      </c>
      <c r="L819" t="s">
        <v>67</v>
      </c>
      <c r="M819" t="s">
        <v>80</v>
      </c>
      <c r="N819" t="s">
        <v>12</v>
      </c>
    </row>
    <row r="820" spans="1:14" x14ac:dyDescent="0.35">
      <c r="A820" s="75">
        <v>43925</v>
      </c>
      <c r="B820" t="s">
        <v>143</v>
      </c>
      <c r="C820" t="s">
        <v>95</v>
      </c>
      <c r="D820">
        <v>6</v>
      </c>
      <c r="E820">
        <v>5</v>
      </c>
      <c r="F820">
        <v>1</v>
      </c>
      <c r="G820" t="s">
        <v>76</v>
      </c>
      <c r="H820" t="s">
        <v>79</v>
      </c>
      <c r="I820">
        <v>40000000</v>
      </c>
      <c r="J820" t="s">
        <v>27</v>
      </c>
      <c r="K820" t="s">
        <v>2</v>
      </c>
      <c r="L820" t="s">
        <v>67</v>
      </c>
      <c r="M820" t="s">
        <v>80</v>
      </c>
      <c r="N820" t="s">
        <v>12</v>
      </c>
    </row>
    <row r="821" spans="1:14" x14ac:dyDescent="0.35">
      <c r="A821" s="75">
        <v>43925</v>
      </c>
      <c r="B821" t="s">
        <v>143</v>
      </c>
      <c r="C821" t="s">
        <v>95</v>
      </c>
      <c r="D821">
        <v>6</v>
      </c>
      <c r="E821">
        <v>4</v>
      </c>
      <c r="F821">
        <v>2</v>
      </c>
      <c r="G821" t="s">
        <v>76</v>
      </c>
      <c r="H821" t="s">
        <v>79</v>
      </c>
      <c r="I821">
        <v>120000000</v>
      </c>
      <c r="J821" t="s">
        <v>56</v>
      </c>
      <c r="K821" t="s">
        <v>2</v>
      </c>
      <c r="L821" t="s">
        <v>67</v>
      </c>
      <c r="M821" t="s">
        <v>80</v>
      </c>
      <c r="N821" t="s">
        <v>14</v>
      </c>
    </row>
    <row r="822" spans="1:14" x14ac:dyDescent="0.35">
      <c r="A822" s="75">
        <v>43925</v>
      </c>
      <c r="B822" t="s">
        <v>143</v>
      </c>
      <c r="C822" t="s">
        <v>95</v>
      </c>
      <c r="D822">
        <v>6</v>
      </c>
      <c r="E822">
        <v>5</v>
      </c>
      <c r="F822">
        <v>1</v>
      </c>
      <c r="G822" t="s">
        <v>114</v>
      </c>
      <c r="H822" t="s">
        <v>3</v>
      </c>
      <c r="I822">
        <v>80000000</v>
      </c>
      <c r="J822" t="s">
        <v>51</v>
      </c>
      <c r="K822" t="s">
        <v>5</v>
      </c>
      <c r="L822" t="s">
        <v>67</v>
      </c>
      <c r="M822" t="s">
        <v>82</v>
      </c>
      <c r="N822" t="s">
        <v>14</v>
      </c>
    </row>
    <row r="823" spans="1:14" x14ac:dyDescent="0.35">
      <c r="A823" s="75">
        <v>43925</v>
      </c>
      <c r="B823" t="s">
        <v>143</v>
      </c>
      <c r="C823" t="s">
        <v>95</v>
      </c>
      <c r="D823">
        <v>4</v>
      </c>
      <c r="E823">
        <v>3</v>
      </c>
      <c r="F823">
        <v>1</v>
      </c>
      <c r="G823" t="s">
        <v>75</v>
      </c>
      <c r="H823" t="s">
        <v>6</v>
      </c>
      <c r="I823">
        <v>140000000</v>
      </c>
      <c r="J823" t="s">
        <v>58</v>
      </c>
      <c r="K823" t="s">
        <v>5</v>
      </c>
      <c r="L823" t="s">
        <v>67</v>
      </c>
      <c r="M823" t="s">
        <v>82</v>
      </c>
      <c r="N823" t="s">
        <v>14</v>
      </c>
    </row>
    <row r="824" spans="1:14" x14ac:dyDescent="0.35">
      <c r="A824" s="75">
        <v>43925</v>
      </c>
      <c r="B824" t="s">
        <v>143</v>
      </c>
      <c r="C824" t="s">
        <v>95</v>
      </c>
      <c r="D824">
        <v>3</v>
      </c>
      <c r="E824">
        <v>1</v>
      </c>
      <c r="F824">
        <v>2</v>
      </c>
      <c r="G824" t="s">
        <v>70</v>
      </c>
      <c r="H824" t="s">
        <v>1</v>
      </c>
      <c r="I824">
        <v>140000000</v>
      </c>
      <c r="J824" t="s">
        <v>54</v>
      </c>
      <c r="K824" t="s">
        <v>4</v>
      </c>
      <c r="L824" t="s">
        <v>67</v>
      </c>
      <c r="M824" t="s">
        <v>81</v>
      </c>
      <c r="N824" t="s">
        <v>12</v>
      </c>
    </row>
    <row r="825" spans="1:14" x14ac:dyDescent="0.35">
      <c r="A825" s="75">
        <v>43925</v>
      </c>
      <c r="B825" t="s">
        <v>143</v>
      </c>
      <c r="C825" t="s">
        <v>95</v>
      </c>
      <c r="D825">
        <v>3</v>
      </c>
      <c r="E825">
        <v>1</v>
      </c>
      <c r="F825">
        <v>2</v>
      </c>
      <c r="G825" t="s">
        <v>72</v>
      </c>
      <c r="H825" t="s">
        <v>78</v>
      </c>
      <c r="I825">
        <v>80000000</v>
      </c>
      <c r="J825" t="s">
        <v>28</v>
      </c>
      <c r="K825" t="s">
        <v>5</v>
      </c>
      <c r="L825" t="s">
        <v>67</v>
      </c>
      <c r="M825" t="s">
        <v>81</v>
      </c>
      <c r="N825" t="s">
        <v>13</v>
      </c>
    </row>
    <row r="826" spans="1:14" x14ac:dyDescent="0.35">
      <c r="A826" s="75">
        <v>43926</v>
      </c>
      <c r="B826" t="s">
        <v>144</v>
      </c>
      <c r="C826" t="s">
        <v>95</v>
      </c>
      <c r="D826">
        <v>10</v>
      </c>
      <c r="E826">
        <v>8</v>
      </c>
      <c r="F826">
        <v>2</v>
      </c>
      <c r="G826" t="s">
        <v>76</v>
      </c>
      <c r="H826" t="s">
        <v>79</v>
      </c>
      <c r="I826">
        <v>40000000</v>
      </c>
      <c r="J826" t="s">
        <v>57</v>
      </c>
      <c r="K826" t="s">
        <v>2</v>
      </c>
      <c r="L826" t="s">
        <v>67</v>
      </c>
      <c r="M826" t="s">
        <v>80</v>
      </c>
      <c r="N826" t="s">
        <v>14</v>
      </c>
    </row>
    <row r="827" spans="1:14" x14ac:dyDescent="0.35">
      <c r="A827" s="75">
        <v>43926</v>
      </c>
      <c r="B827" t="s">
        <v>144</v>
      </c>
      <c r="C827" t="s">
        <v>95</v>
      </c>
      <c r="D827">
        <v>10</v>
      </c>
      <c r="E827">
        <v>6</v>
      </c>
      <c r="F827">
        <v>4</v>
      </c>
      <c r="G827" t="s">
        <v>71</v>
      </c>
      <c r="H827" t="s">
        <v>6</v>
      </c>
      <c r="I827">
        <v>140000000</v>
      </c>
      <c r="J827" t="s">
        <v>26</v>
      </c>
      <c r="K827" t="s">
        <v>5</v>
      </c>
      <c r="L827" t="s">
        <v>67</v>
      </c>
      <c r="M827" t="s">
        <v>81</v>
      </c>
      <c r="N827" t="s">
        <v>12</v>
      </c>
    </row>
    <row r="828" spans="1:14" x14ac:dyDescent="0.35">
      <c r="A828" s="75">
        <v>43926</v>
      </c>
      <c r="B828" t="s">
        <v>144</v>
      </c>
      <c r="C828" t="s">
        <v>95</v>
      </c>
      <c r="D828">
        <v>7</v>
      </c>
      <c r="E828">
        <v>4</v>
      </c>
      <c r="F828">
        <v>3</v>
      </c>
      <c r="G828" t="s">
        <v>75</v>
      </c>
      <c r="H828" t="s">
        <v>6</v>
      </c>
      <c r="I828">
        <v>140000000</v>
      </c>
      <c r="J828" t="s">
        <v>35</v>
      </c>
      <c r="K828" t="s">
        <v>8</v>
      </c>
      <c r="L828" t="s">
        <v>67</v>
      </c>
      <c r="M828" t="s">
        <v>82</v>
      </c>
      <c r="N828" t="s">
        <v>14</v>
      </c>
    </row>
    <row r="829" spans="1:14" x14ac:dyDescent="0.35">
      <c r="A829" s="75">
        <v>43926</v>
      </c>
      <c r="B829" t="s">
        <v>144</v>
      </c>
      <c r="C829" t="s">
        <v>95</v>
      </c>
      <c r="D829">
        <v>7</v>
      </c>
      <c r="E829">
        <v>4</v>
      </c>
      <c r="F829">
        <v>3</v>
      </c>
      <c r="G829" t="s">
        <v>72</v>
      </c>
      <c r="H829" t="s">
        <v>78</v>
      </c>
      <c r="I829">
        <v>140000000</v>
      </c>
      <c r="J829" t="s">
        <v>38</v>
      </c>
      <c r="K829" t="s">
        <v>5</v>
      </c>
      <c r="L829" t="s">
        <v>67</v>
      </c>
      <c r="M829" t="s">
        <v>80</v>
      </c>
      <c r="N829" t="s">
        <v>11</v>
      </c>
    </row>
    <row r="830" spans="1:14" x14ac:dyDescent="0.35">
      <c r="A830" s="75">
        <v>43926</v>
      </c>
      <c r="B830" t="s">
        <v>144</v>
      </c>
      <c r="C830" t="s">
        <v>95</v>
      </c>
      <c r="D830">
        <v>7</v>
      </c>
      <c r="E830">
        <v>6</v>
      </c>
      <c r="F830">
        <v>1</v>
      </c>
      <c r="G830" t="s">
        <v>114</v>
      </c>
      <c r="H830" t="s">
        <v>3</v>
      </c>
      <c r="I830">
        <v>120000000</v>
      </c>
      <c r="J830" t="s">
        <v>41</v>
      </c>
      <c r="K830" t="s">
        <v>2</v>
      </c>
      <c r="L830" t="s">
        <v>67</v>
      </c>
      <c r="M830" t="s">
        <v>80</v>
      </c>
      <c r="N830" t="s">
        <v>13</v>
      </c>
    </row>
    <row r="831" spans="1:14" x14ac:dyDescent="0.35">
      <c r="A831" s="75">
        <v>43926</v>
      </c>
      <c r="B831" t="s">
        <v>144</v>
      </c>
      <c r="C831" t="s">
        <v>95</v>
      </c>
      <c r="D831">
        <v>6</v>
      </c>
      <c r="E831">
        <v>3</v>
      </c>
      <c r="F831">
        <v>3</v>
      </c>
      <c r="G831" t="s">
        <v>73</v>
      </c>
      <c r="H831" t="s">
        <v>78</v>
      </c>
      <c r="I831">
        <v>40000000</v>
      </c>
      <c r="J831" t="s">
        <v>47</v>
      </c>
      <c r="K831" t="s">
        <v>5</v>
      </c>
      <c r="L831" t="s">
        <v>67</v>
      </c>
      <c r="M831" t="s">
        <v>80</v>
      </c>
      <c r="N831" t="s">
        <v>14</v>
      </c>
    </row>
    <row r="832" spans="1:14" x14ac:dyDescent="0.35">
      <c r="A832" s="75">
        <v>43926</v>
      </c>
      <c r="B832" t="s">
        <v>144</v>
      </c>
      <c r="C832" t="s">
        <v>95</v>
      </c>
      <c r="D832">
        <v>6</v>
      </c>
      <c r="E832">
        <v>5</v>
      </c>
      <c r="F832">
        <v>1</v>
      </c>
      <c r="G832" t="s">
        <v>113</v>
      </c>
      <c r="H832" t="s">
        <v>77</v>
      </c>
      <c r="I832">
        <v>100000000</v>
      </c>
      <c r="J832" t="s">
        <v>30</v>
      </c>
      <c r="K832" t="s">
        <v>2</v>
      </c>
      <c r="L832" t="s">
        <v>67</v>
      </c>
      <c r="M832" t="s">
        <v>81</v>
      </c>
      <c r="N832" t="s">
        <v>11</v>
      </c>
    </row>
    <row r="833" spans="1:14" x14ac:dyDescent="0.35">
      <c r="A833" s="75">
        <v>43926</v>
      </c>
      <c r="B833" t="s">
        <v>144</v>
      </c>
      <c r="C833" t="s">
        <v>95</v>
      </c>
      <c r="D833">
        <v>4</v>
      </c>
      <c r="E833">
        <v>3</v>
      </c>
      <c r="F833">
        <v>1</v>
      </c>
      <c r="G833" t="s">
        <v>74</v>
      </c>
      <c r="H833" t="s">
        <v>77</v>
      </c>
      <c r="I833">
        <v>100000000</v>
      </c>
      <c r="J833" t="s">
        <v>30</v>
      </c>
      <c r="K833" t="s">
        <v>8</v>
      </c>
      <c r="L833" t="s">
        <v>67</v>
      </c>
      <c r="M833" t="s">
        <v>81</v>
      </c>
      <c r="N833" t="s">
        <v>13</v>
      </c>
    </row>
    <row r="834" spans="1:14" x14ac:dyDescent="0.35">
      <c r="A834" s="75">
        <v>43927</v>
      </c>
      <c r="B834" t="s">
        <v>145</v>
      </c>
      <c r="C834" t="s">
        <v>95</v>
      </c>
      <c r="D834">
        <v>10</v>
      </c>
      <c r="E834">
        <v>9</v>
      </c>
      <c r="F834">
        <v>1</v>
      </c>
      <c r="G834" t="s">
        <v>70</v>
      </c>
      <c r="H834" t="s">
        <v>1</v>
      </c>
      <c r="I834">
        <v>140000000</v>
      </c>
      <c r="J834" t="s">
        <v>51</v>
      </c>
      <c r="K834" t="s">
        <v>5</v>
      </c>
      <c r="L834" t="s">
        <v>67</v>
      </c>
      <c r="M834" t="s">
        <v>81</v>
      </c>
      <c r="N834" t="s">
        <v>11</v>
      </c>
    </row>
    <row r="835" spans="1:14" x14ac:dyDescent="0.35">
      <c r="A835" s="75">
        <v>43927</v>
      </c>
      <c r="B835" t="s">
        <v>145</v>
      </c>
      <c r="C835" t="s">
        <v>95</v>
      </c>
      <c r="D835">
        <v>10</v>
      </c>
      <c r="E835">
        <v>9</v>
      </c>
      <c r="F835">
        <v>1</v>
      </c>
      <c r="G835" t="s">
        <v>71</v>
      </c>
      <c r="H835" t="s">
        <v>6</v>
      </c>
      <c r="I835">
        <v>80000000</v>
      </c>
      <c r="J835" t="s">
        <v>27</v>
      </c>
      <c r="K835" t="s">
        <v>7</v>
      </c>
      <c r="L835" t="s">
        <v>67</v>
      </c>
      <c r="M835" t="s">
        <v>80</v>
      </c>
      <c r="N835" t="s">
        <v>13</v>
      </c>
    </row>
    <row r="836" spans="1:14" x14ac:dyDescent="0.35">
      <c r="A836" s="75">
        <v>43927</v>
      </c>
      <c r="B836" t="s">
        <v>145</v>
      </c>
      <c r="C836" t="s">
        <v>95</v>
      </c>
      <c r="D836">
        <v>7</v>
      </c>
      <c r="E836">
        <v>4</v>
      </c>
      <c r="F836">
        <v>3</v>
      </c>
      <c r="G836" t="s">
        <v>70</v>
      </c>
      <c r="H836" t="s">
        <v>1</v>
      </c>
      <c r="I836">
        <v>80000000</v>
      </c>
      <c r="J836" t="s">
        <v>63</v>
      </c>
      <c r="K836" t="s">
        <v>7</v>
      </c>
      <c r="L836" t="s">
        <v>67</v>
      </c>
      <c r="M836" t="s">
        <v>80</v>
      </c>
      <c r="N836" t="s">
        <v>14</v>
      </c>
    </row>
    <row r="837" spans="1:14" x14ac:dyDescent="0.35">
      <c r="A837" s="75">
        <v>43927</v>
      </c>
      <c r="B837" t="s">
        <v>145</v>
      </c>
      <c r="C837" t="s">
        <v>95</v>
      </c>
      <c r="D837">
        <v>6</v>
      </c>
      <c r="E837">
        <v>3</v>
      </c>
      <c r="F837">
        <v>3</v>
      </c>
      <c r="G837" t="s">
        <v>71</v>
      </c>
      <c r="H837" t="s">
        <v>6</v>
      </c>
      <c r="I837">
        <v>120000000</v>
      </c>
      <c r="J837" t="s">
        <v>30</v>
      </c>
      <c r="K837" t="s">
        <v>5</v>
      </c>
      <c r="L837" t="s">
        <v>67</v>
      </c>
      <c r="M837" t="s">
        <v>80</v>
      </c>
      <c r="N837" t="s">
        <v>11</v>
      </c>
    </row>
    <row r="838" spans="1:14" x14ac:dyDescent="0.35">
      <c r="A838" s="75">
        <v>43927</v>
      </c>
      <c r="B838" t="s">
        <v>145</v>
      </c>
      <c r="C838" t="s">
        <v>95</v>
      </c>
      <c r="D838">
        <v>6</v>
      </c>
      <c r="E838">
        <v>4</v>
      </c>
      <c r="F838">
        <v>2</v>
      </c>
      <c r="G838" t="s">
        <v>74</v>
      </c>
      <c r="H838" t="s">
        <v>77</v>
      </c>
      <c r="I838">
        <v>120000000</v>
      </c>
      <c r="J838" t="s">
        <v>55</v>
      </c>
      <c r="K838" t="s">
        <v>5</v>
      </c>
      <c r="L838" t="s">
        <v>67</v>
      </c>
      <c r="M838" t="s">
        <v>80</v>
      </c>
      <c r="N838" t="s">
        <v>12</v>
      </c>
    </row>
    <row r="839" spans="1:14" x14ac:dyDescent="0.35">
      <c r="A839" s="75">
        <v>43927</v>
      </c>
      <c r="B839" t="s">
        <v>145</v>
      </c>
      <c r="C839" t="s">
        <v>95</v>
      </c>
      <c r="D839">
        <v>6</v>
      </c>
      <c r="E839">
        <v>5</v>
      </c>
      <c r="F839">
        <v>1</v>
      </c>
      <c r="G839" t="s">
        <v>113</v>
      </c>
      <c r="H839" t="s">
        <v>77</v>
      </c>
      <c r="I839">
        <v>80000000</v>
      </c>
      <c r="J839" t="s">
        <v>17</v>
      </c>
      <c r="K839" t="s">
        <v>9</v>
      </c>
      <c r="L839" t="s">
        <v>67</v>
      </c>
      <c r="M839" t="s">
        <v>80</v>
      </c>
      <c r="N839" t="s">
        <v>13</v>
      </c>
    </row>
    <row r="840" spans="1:14" x14ac:dyDescent="0.35">
      <c r="A840" s="75">
        <v>43927</v>
      </c>
      <c r="B840" t="s">
        <v>145</v>
      </c>
      <c r="C840" t="s">
        <v>95</v>
      </c>
      <c r="D840">
        <v>6</v>
      </c>
      <c r="E840">
        <v>4</v>
      </c>
      <c r="F840">
        <v>2</v>
      </c>
      <c r="G840" t="s">
        <v>113</v>
      </c>
      <c r="H840" t="s">
        <v>77</v>
      </c>
      <c r="I840">
        <v>80000000</v>
      </c>
      <c r="J840" t="s">
        <v>30</v>
      </c>
      <c r="K840" t="s">
        <v>5</v>
      </c>
      <c r="L840" t="s">
        <v>67</v>
      </c>
      <c r="M840" t="s">
        <v>81</v>
      </c>
      <c r="N840" t="s">
        <v>12</v>
      </c>
    </row>
    <row r="841" spans="1:14" x14ac:dyDescent="0.35">
      <c r="A841" s="75">
        <v>43927</v>
      </c>
      <c r="B841" t="s">
        <v>145</v>
      </c>
      <c r="C841" t="s">
        <v>95</v>
      </c>
      <c r="D841">
        <v>5</v>
      </c>
      <c r="E841">
        <v>4</v>
      </c>
      <c r="F841">
        <v>1</v>
      </c>
      <c r="G841" t="s">
        <v>75</v>
      </c>
      <c r="H841" t="s">
        <v>6</v>
      </c>
      <c r="I841">
        <v>140000000</v>
      </c>
      <c r="J841" t="s">
        <v>30</v>
      </c>
      <c r="K841" t="s">
        <v>5</v>
      </c>
      <c r="L841" t="s">
        <v>67</v>
      </c>
      <c r="M841" t="s">
        <v>81</v>
      </c>
      <c r="N841" t="s">
        <v>13</v>
      </c>
    </row>
    <row r="842" spans="1:14" x14ac:dyDescent="0.35">
      <c r="A842" s="75">
        <v>43927</v>
      </c>
      <c r="B842" t="s">
        <v>145</v>
      </c>
      <c r="C842" t="s">
        <v>95</v>
      </c>
      <c r="D842">
        <v>5</v>
      </c>
      <c r="E842">
        <v>4</v>
      </c>
      <c r="F842">
        <v>1</v>
      </c>
      <c r="G842" t="s">
        <v>76</v>
      </c>
      <c r="H842" t="s">
        <v>79</v>
      </c>
      <c r="I842">
        <v>100000000</v>
      </c>
      <c r="J842" t="s">
        <v>54</v>
      </c>
      <c r="K842" t="s">
        <v>2</v>
      </c>
      <c r="L842" t="s">
        <v>67</v>
      </c>
      <c r="M842" t="s">
        <v>80</v>
      </c>
      <c r="N842" t="s">
        <v>12</v>
      </c>
    </row>
    <row r="843" spans="1:14" x14ac:dyDescent="0.35">
      <c r="A843" s="75">
        <v>43927</v>
      </c>
      <c r="B843" t="s">
        <v>145</v>
      </c>
      <c r="C843" t="s">
        <v>95</v>
      </c>
      <c r="D843">
        <v>3</v>
      </c>
      <c r="E843">
        <v>1</v>
      </c>
      <c r="F843">
        <v>2</v>
      </c>
      <c r="G843" t="s">
        <v>70</v>
      </c>
      <c r="H843" t="s">
        <v>1</v>
      </c>
      <c r="I843">
        <v>100000000</v>
      </c>
      <c r="J843" t="s">
        <v>43</v>
      </c>
      <c r="K843" t="s">
        <v>5</v>
      </c>
      <c r="L843" t="s">
        <v>67</v>
      </c>
      <c r="M843" t="s">
        <v>81</v>
      </c>
      <c r="N843" t="s">
        <v>11</v>
      </c>
    </row>
    <row r="844" spans="1:14" x14ac:dyDescent="0.35">
      <c r="A844" s="75">
        <v>43928</v>
      </c>
      <c r="B844" t="s">
        <v>146</v>
      </c>
      <c r="C844" t="s">
        <v>95</v>
      </c>
      <c r="D844">
        <v>9</v>
      </c>
      <c r="E844">
        <v>7</v>
      </c>
      <c r="F844">
        <v>2</v>
      </c>
      <c r="G844" t="s">
        <v>75</v>
      </c>
      <c r="H844" t="s">
        <v>6</v>
      </c>
      <c r="I844">
        <v>120000000</v>
      </c>
      <c r="J844" t="s">
        <v>40</v>
      </c>
      <c r="K844" t="s">
        <v>4</v>
      </c>
      <c r="L844" t="s">
        <v>67</v>
      </c>
      <c r="M844" t="s">
        <v>81</v>
      </c>
      <c r="N844" t="s">
        <v>12</v>
      </c>
    </row>
    <row r="845" spans="1:14" x14ac:dyDescent="0.35">
      <c r="A845" s="75">
        <v>43928</v>
      </c>
      <c r="B845" t="s">
        <v>146</v>
      </c>
      <c r="C845" t="s">
        <v>95</v>
      </c>
      <c r="D845">
        <v>9</v>
      </c>
      <c r="E845">
        <v>7</v>
      </c>
      <c r="F845">
        <v>2</v>
      </c>
      <c r="G845" t="s">
        <v>76</v>
      </c>
      <c r="H845" t="s">
        <v>79</v>
      </c>
      <c r="I845">
        <v>120000000</v>
      </c>
      <c r="J845" t="s">
        <v>50</v>
      </c>
      <c r="K845" t="s">
        <v>2</v>
      </c>
      <c r="L845" t="s">
        <v>67</v>
      </c>
      <c r="M845" t="s">
        <v>81</v>
      </c>
      <c r="N845" t="s">
        <v>13</v>
      </c>
    </row>
    <row r="846" spans="1:14" x14ac:dyDescent="0.35">
      <c r="A846" s="75">
        <v>43928</v>
      </c>
      <c r="B846" t="s">
        <v>146</v>
      </c>
      <c r="C846" t="s">
        <v>95</v>
      </c>
      <c r="D846">
        <v>9</v>
      </c>
      <c r="E846">
        <v>6</v>
      </c>
      <c r="F846">
        <v>3</v>
      </c>
      <c r="G846" t="s">
        <v>70</v>
      </c>
      <c r="H846" t="s">
        <v>1</v>
      </c>
      <c r="I846">
        <v>120000000</v>
      </c>
      <c r="J846" t="s">
        <v>51</v>
      </c>
      <c r="K846" t="s">
        <v>7</v>
      </c>
      <c r="L846" t="s">
        <v>67</v>
      </c>
      <c r="M846" t="s">
        <v>80</v>
      </c>
      <c r="N846" t="s">
        <v>11</v>
      </c>
    </row>
    <row r="847" spans="1:14" x14ac:dyDescent="0.35">
      <c r="A847" s="75">
        <v>43928</v>
      </c>
      <c r="B847" t="s">
        <v>146</v>
      </c>
      <c r="C847" t="s">
        <v>95</v>
      </c>
      <c r="D847">
        <v>7</v>
      </c>
      <c r="E847">
        <v>5</v>
      </c>
      <c r="F847">
        <v>2</v>
      </c>
      <c r="G847" t="s">
        <v>114</v>
      </c>
      <c r="H847" t="s">
        <v>3</v>
      </c>
      <c r="I847">
        <v>140000000</v>
      </c>
      <c r="J847" t="s">
        <v>34</v>
      </c>
      <c r="K847" t="s">
        <v>2</v>
      </c>
      <c r="L847" t="s">
        <v>67</v>
      </c>
      <c r="M847" t="s">
        <v>81</v>
      </c>
      <c r="N847" t="s">
        <v>12</v>
      </c>
    </row>
    <row r="848" spans="1:14" x14ac:dyDescent="0.35">
      <c r="A848" s="75">
        <v>43928</v>
      </c>
      <c r="B848" t="s">
        <v>146</v>
      </c>
      <c r="C848" t="s">
        <v>95</v>
      </c>
      <c r="D848">
        <v>7</v>
      </c>
      <c r="E848">
        <v>6</v>
      </c>
      <c r="F848">
        <v>1</v>
      </c>
      <c r="G848" t="s">
        <v>71</v>
      </c>
      <c r="H848" t="s">
        <v>6</v>
      </c>
      <c r="I848">
        <v>80000000</v>
      </c>
      <c r="J848" t="s">
        <v>45</v>
      </c>
      <c r="K848" t="s">
        <v>5</v>
      </c>
      <c r="L848" t="s">
        <v>67</v>
      </c>
      <c r="M848" t="s">
        <v>81</v>
      </c>
      <c r="N848" t="s">
        <v>11</v>
      </c>
    </row>
    <row r="849" spans="1:14" x14ac:dyDescent="0.35">
      <c r="A849" s="75">
        <v>43928</v>
      </c>
      <c r="B849" t="s">
        <v>146</v>
      </c>
      <c r="C849" t="s">
        <v>95</v>
      </c>
      <c r="D849">
        <v>7</v>
      </c>
      <c r="E849">
        <v>5</v>
      </c>
      <c r="F849">
        <v>2</v>
      </c>
      <c r="G849" t="s">
        <v>76</v>
      </c>
      <c r="H849" t="s">
        <v>79</v>
      </c>
      <c r="I849">
        <v>100000000</v>
      </c>
      <c r="J849" t="s">
        <v>60</v>
      </c>
      <c r="K849" t="s">
        <v>2</v>
      </c>
      <c r="L849" t="s">
        <v>67</v>
      </c>
      <c r="M849" t="s">
        <v>81</v>
      </c>
      <c r="N849" t="s">
        <v>13</v>
      </c>
    </row>
    <row r="850" spans="1:14" x14ac:dyDescent="0.35">
      <c r="A850" s="75">
        <v>43928</v>
      </c>
      <c r="B850" t="s">
        <v>146</v>
      </c>
      <c r="C850" t="s">
        <v>95</v>
      </c>
      <c r="D850">
        <v>6</v>
      </c>
      <c r="E850">
        <v>4</v>
      </c>
      <c r="F850">
        <v>2</v>
      </c>
      <c r="G850" t="s">
        <v>75</v>
      </c>
      <c r="H850" t="s">
        <v>6</v>
      </c>
      <c r="I850">
        <v>100000000</v>
      </c>
      <c r="J850" t="s">
        <v>26</v>
      </c>
      <c r="K850" t="s">
        <v>7</v>
      </c>
      <c r="L850" t="s">
        <v>67</v>
      </c>
      <c r="M850" t="s">
        <v>82</v>
      </c>
      <c r="N850" t="s">
        <v>13</v>
      </c>
    </row>
    <row r="851" spans="1:14" x14ac:dyDescent="0.35">
      <c r="A851" s="75">
        <v>43928</v>
      </c>
      <c r="B851" t="s">
        <v>146</v>
      </c>
      <c r="C851" t="s">
        <v>95</v>
      </c>
      <c r="D851">
        <v>6</v>
      </c>
      <c r="E851">
        <v>5</v>
      </c>
      <c r="F851">
        <v>1</v>
      </c>
      <c r="G851" t="s">
        <v>113</v>
      </c>
      <c r="H851" t="s">
        <v>77</v>
      </c>
      <c r="I851">
        <v>80000000</v>
      </c>
      <c r="J851" t="s">
        <v>25</v>
      </c>
      <c r="K851" t="s">
        <v>4</v>
      </c>
      <c r="L851" t="s">
        <v>67</v>
      </c>
      <c r="M851" t="s">
        <v>82</v>
      </c>
      <c r="N851" t="s">
        <v>12</v>
      </c>
    </row>
    <row r="852" spans="1:14" x14ac:dyDescent="0.35">
      <c r="A852" s="75">
        <v>43928</v>
      </c>
      <c r="B852" t="s">
        <v>146</v>
      </c>
      <c r="C852" t="s">
        <v>95</v>
      </c>
      <c r="D852">
        <v>6</v>
      </c>
      <c r="E852">
        <v>4</v>
      </c>
      <c r="F852">
        <v>2</v>
      </c>
      <c r="G852" t="s">
        <v>113</v>
      </c>
      <c r="H852" t="s">
        <v>77</v>
      </c>
      <c r="I852">
        <v>80000000</v>
      </c>
      <c r="J852" t="s">
        <v>63</v>
      </c>
      <c r="K852" t="s">
        <v>2</v>
      </c>
      <c r="L852" t="s">
        <v>67</v>
      </c>
      <c r="M852" t="s">
        <v>80</v>
      </c>
      <c r="N852" t="s">
        <v>11</v>
      </c>
    </row>
    <row r="853" spans="1:14" x14ac:dyDescent="0.35">
      <c r="A853" s="75">
        <v>43928</v>
      </c>
      <c r="B853" t="s">
        <v>146</v>
      </c>
      <c r="C853" t="s">
        <v>95</v>
      </c>
      <c r="D853">
        <v>4</v>
      </c>
      <c r="E853">
        <v>2</v>
      </c>
      <c r="F853">
        <v>2</v>
      </c>
      <c r="G853" t="s">
        <v>76</v>
      </c>
      <c r="H853" t="s">
        <v>79</v>
      </c>
      <c r="I853">
        <v>100000000</v>
      </c>
      <c r="J853" t="s">
        <v>61</v>
      </c>
      <c r="K853" t="s">
        <v>2</v>
      </c>
      <c r="L853" t="s">
        <v>67</v>
      </c>
      <c r="M853" t="s">
        <v>82</v>
      </c>
      <c r="N853" t="s">
        <v>13</v>
      </c>
    </row>
    <row r="854" spans="1:14" x14ac:dyDescent="0.35">
      <c r="A854" s="75">
        <v>43928</v>
      </c>
      <c r="B854" t="s">
        <v>146</v>
      </c>
      <c r="C854" t="s">
        <v>95</v>
      </c>
      <c r="D854">
        <v>4</v>
      </c>
      <c r="E854">
        <v>2</v>
      </c>
      <c r="F854">
        <v>2</v>
      </c>
      <c r="G854" t="s">
        <v>72</v>
      </c>
      <c r="H854" t="s">
        <v>78</v>
      </c>
      <c r="I854">
        <v>140000000</v>
      </c>
      <c r="J854" t="s">
        <v>23</v>
      </c>
      <c r="K854" t="s">
        <v>2</v>
      </c>
      <c r="L854" t="s">
        <v>67</v>
      </c>
      <c r="M854" t="s">
        <v>80</v>
      </c>
      <c r="N854" t="s">
        <v>12</v>
      </c>
    </row>
    <row r="855" spans="1:14" x14ac:dyDescent="0.35">
      <c r="A855" s="75">
        <v>43928</v>
      </c>
      <c r="B855" t="s">
        <v>146</v>
      </c>
      <c r="C855" t="s">
        <v>95</v>
      </c>
      <c r="D855">
        <v>3</v>
      </c>
      <c r="E855">
        <v>2</v>
      </c>
      <c r="F855">
        <v>1</v>
      </c>
      <c r="G855" t="s">
        <v>114</v>
      </c>
      <c r="H855" t="s">
        <v>3</v>
      </c>
      <c r="I855">
        <v>40000000</v>
      </c>
      <c r="J855" t="s">
        <v>37</v>
      </c>
      <c r="K855" t="s">
        <v>5</v>
      </c>
      <c r="L855" t="s">
        <v>67</v>
      </c>
      <c r="M855" t="s">
        <v>80</v>
      </c>
      <c r="N855" t="s">
        <v>12</v>
      </c>
    </row>
    <row r="856" spans="1:14" x14ac:dyDescent="0.35">
      <c r="A856" s="75">
        <v>43928</v>
      </c>
      <c r="B856" t="s">
        <v>146</v>
      </c>
      <c r="C856" t="s">
        <v>95</v>
      </c>
      <c r="D856">
        <v>3</v>
      </c>
      <c r="E856">
        <v>2</v>
      </c>
      <c r="F856">
        <v>1</v>
      </c>
      <c r="G856" t="s">
        <v>74</v>
      </c>
      <c r="H856" t="s">
        <v>77</v>
      </c>
      <c r="I856">
        <v>120000000</v>
      </c>
      <c r="J856" t="s">
        <v>60</v>
      </c>
      <c r="K856" t="s">
        <v>5</v>
      </c>
      <c r="L856" t="s">
        <v>67</v>
      </c>
      <c r="M856" t="s">
        <v>80</v>
      </c>
      <c r="N856" t="s">
        <v>11</v>
      </c>
    </row>
    <row r="857" spans="1:14" x14ac:dyDescent="0.35">
      <c r="A857" s="75">
        <v>43929</v>
      </c>
      <c r="B857" t="s">
        <v>147</v>
      </c>
      <c r="C857" t="s">
        <v>95</v>
      </c>
      <c r="D857">
        <v>4</v>
      </c>
      <c r="E857">
        <v>2</v>
      </c>
      <c r="F857">
        <v>2</v>
      </c>
      <c r="G857" t="s">
        <v>74</v>
      </c>
      <c r="H857" t="s">
        <v>77</v>
      </c>
      <c r="I857">
        <v>80000000</v>
      </c>
      <c r="J857" t="s">
        <v>40</v>
      </c>
      <c r="K857" t="s">
        <v>9</v>
      </c>
      <c r="L857" t="s">
        <v>67</v>
      </c>
      <c r="M857" t="s">
        <v>82</v>
      </c>
      <c r="N857" t="s">
        <v>12</v>
      </c>
    </row>
    <row r="858" spans="1:14" x14ac:dyDescent="0.35">
      <c r="A858" s="75">
        <v>43929</v>
      </c>
      <c r="B858" t="s">
        <v>147</v>
      </c>
      <c r="C858" t="s">
        <v>95</v>
      </c>
      <c r="D858">
        <v>3</v>
      </c>
      <c r="E858">
        <v>2</v>
      </c>
      <c r="F858">
        <v>1</v>
      </c>
      <c r="G858" t="s">
        <v>71</v>
      </c>
      <c r="H858" t="s">
        <v>6</v>
      </c>
      <c r="I858">
        <v>40000000</v>
      </c>
      <c r="J858" t="s">
        <v>21</v>
      </c>
      <c r="K858" t="s">
        <v>9</v>
      </c>
      <c r="L858" t="s">
        <v>67</v>
      </c>
      <c r="M858" t="s">
        <v>82</v>
      </c>
      <c r="N858" t="s">
        <v>14</v>
      </c>
    </row>
    <row r="859" spans="1:14" x14ac:dyDescent="0.35">
      <c r="A859" s="75">
        <v>43929</v>
      </c>
      <c r="B859" t="s">
        <v>147</v>
      </c>
      <c r="C859" t="s">
        <v>95</v>
      </c>
      <c r="D859">
        <v>3</v>
      </c>
      <c r="E859">
        <v>1</v>
      </c>
      <c r="F859">
        <v>2</v>
      </c>
      <c r="G859" t="s">
        <v>76</v>
      </c>
      <c r="H859" t="s">
        <v>79</v>
      </c>
      <c r="I859">
        <v>100000000</v>
      </c>
      <c r="J859" t="s">
        <v>59</v>
      </c>
      <c r="K859" t="s">
        <v>5</v>
      </c>
      <c r="L859" t="s">
        <v>67</v>
      </c>
      <c r="M859" t="s">
        <v>81</v>
      </c>
      <c r="N859" t="s">
        <v>12</v>
      </c>
    </row>
    <row r="860" spans="1:14" x14ac:dyDescent="0.35">
      <c r="A860" s="75">
        <v>43930</v>
      </c>
      <c r="B860" t="s">
        <v>148</v>
      </c>
      <c r="C860" t="s">
        <v>95</v>
      </c>
      <c r="D860">
        <v>9</v>
      </c>
      <c r="E860">
        <v>8</v>
      </c>
      <c r="F860">
        <v>1</v>
      </c>
      <c r="G860" t="s">
        <v>71</v>
      </c>
      <c r="H860" t="s">
        <v>6</v>
      </c>
      <c r="I860">
        <v>40000000</v>
      </c>
      <c r="J860" t="s">
        <v>25</v>
      </c>
      <c r="K860" t="s">
        <v>2</v>
      </c>
      <c r="L860" t="s">
        <v>67</v>
      </c>
      <c r="M860" t="s">
        <v>80</v>
      </c>
      <c r="N860" t="s">
        <v>12</v>
      </c>
    </row>
    <row r="861" spans="1:14" x14ac:dyDescent="0.35">
      <c r="A861" s="75">
        <v>43930</v>
      </c>
      <c r="B861" t="s">
        <v>148</v>
      </c>
      <c r="C861" t="s">
        <v>95</v>
      </c>
      <c r="D861">
        <v>8</v>
      </c>
      <c r="E861">
        <v>6</v>
      </c>
      <c r="F861">
        <v>2</v>
      </c>
      <c r="G861" t="s">
        <v>75</v>
      </c>
      <c r="H861" t="s">
        <v>6</v>
      </c>
      <c r="I861">
        <v>80000000</v>
      </c>
      <c r="J861" t="s">
        <v>48</v>
      </c>
      <c r="K861" t="s">
        <v>4</v>
      </c>
      <c r="L861" t="s">
        <v>67</v>
      </c>
      <c r="M861" t="s">
        <v>82</v>
      </c>
      <c r="N861" t="s">
        <v>13</v>
      </c>
    </row>
    <row r="862" spans="1:14" x14ac:dyDescent="0.35">
      <c r="A862" s="75">
        <v>43930</v>
      </c>
      <c r="B862" t="s">
        <v>148</v>
      </c>
      <c r="C862" t="s">
        <v>95</v>
      </c>
      <c r="D862">
        <v>6</v>
      </c>
      <c r="E862">
        <v>3</v>
      </c>
      <c r="F862">
        <v>3</v>
      </c>
      <c r="G862" t="s">
        <v>72</v>
      </c>
      <c r="H862" t="s">
        <v>78</v>
      </c>
      <c r="I862">
        <v>120000000</v>
      </c>
      <c r="J862" t="s">
        <v>20</v>
      </c>
      <c r="K862" t="s">
        <v>5</v>
      </c>
      <c r="L862" t="s">
        <v>67</v>
      </c>
      <c r="M862" t="s">
        <v>80</v>
      </c>
      <c r="N862" t="s">
        <v>11</v>
      </c>
    </row>
    <row r="863" spans="1:14" x14ac:dyDescent="0.35">
      <c r="A863" s="75">
        <v>43930</v>
      </c>
      <c r="B863" t="s">
        <v>148</v>
      </c>
      <c r="C863" t="s">
        <v>95</v>
      </c>
      <c r="D863">
        <v>3</v>
      </c>
      <c r="E863">
        <v>1</v>
      </c>
      <c r="F863">
        <v>2</v>
      </c>
      <c r="G863" t="s">
        <v>114</v>
      </c>
      <c r="H863" t="s">
        <v>3</v>
      </c>
      <c r="I863">
        <v>120000000</v>
      </c>
      <c r="J863" t="s">
        <v>18</v>
      </c>
      <c r="K863" t="s">
        <v>9</v>
      </c>
      <c r="L863" t="s">
        <v>67</v>
      </c>
      <c r="M863" t="s">
        <v>82</v>
      </c>
      <c r="N863" t="s">
        <v>12</v>
      </c>
    </row>
    <row r="864" spans="1:14" x14ac:dyDescent="0.35">
      <c r="A864" s="75">
        <v>43930</v>
      </c>
      <c r="B864" t="s">
        <v>148</v>
      </c>
      <c r="C864" t="s">
        <v>95</v>
      </c>
      <c r="D864">
        <v>3</v>
      </c>
      <c r="E864">
        <v>2</v>
      </c>
      <c r="F864">
        <v>1</v>
      </c>
      <c r="G864" t="s">
        <v>72</v>
      </c>
      <c r="H864" t="s">
        <v>78</v>
      </c>
      <c r="I864">
        <v>140000000</v>
      </c>
      <c r="J864" t="s">
        <v>58</v>
      </c>
      <c r="K864" t="s">
        <v>2</v>
      </c>
      <c r="L864" t="s">
        <v>67</v>
      </c>
      <c r="M864" t="s">
        <v>82</v>
      </c>
      <c r="N864" t="s">
        <v>12</v>
      </c>
    </row>
    <row r="865" spans="1:14" x14ac:dyDescent="0.35">
      <c r="A865" s="75">
        <v>43930</v>
      </c>
      <c r="B865" t="s">
        <v>148</v>
      </c>
      <c r="C865" t="s">
        <v>95</v>
      </c>
      <c r="D865">
        <v>3</v>
      </c>
      <c r="E865">
        <v>2</v>
      </c>
      <c r="F865">
        <v>1</v>
      </c>
      <c r="G865" t="s">
        <v>74</v>
      </c>
      <c r="H865" t="s">
        <v>77</v>
      </c>
      <c r="I865">
        <v>120000000</v>
      </c>
      <c r="J865" t="s">
        <v>58</v>
      </c>
      <c r="K865" t="s">
        <v>4</v>
      </c>
      <c r="L865" t="s">
        <v>67</v>
      </c>
      <c r="M865" t="s">
        <v>82</v>
      </c>
      <c r="N865" t="s">
        <v>11</v>
      </c>
    </row>
    <row r="866" spans="1:14" x14ac:dyDescent="0.35">
      <c r="A866" s="75">
        <v>43931</v>
      </c>
      <c r="B866" t="s">
        <v>149</v>
      </c>
      <c r="C866" t="s">
        <v>95</v>
      </c>
      <c r="D866">
        <v>10</v>
      </c>
      <c r="E866">
        <v>6</v>
      </c>
      <c r="F866">
        <v>4</v>
      </c>
      <c r="G866" t="s">
        <v>75</v>
      </c>
      <c r="H866" t="s">
        <v>6</v>
      </c>
      <c r="I866">
        <v>60000000</v>
      </c>
      <c r="J866" t="s">
        <v>37</v>
      </c>
      <c r="K866" t="s">
        <v>2</v>
      </c>
      <c r="L866" t="s">
        <v>67</v>
      </c>
      <c r="M866" t="s">
        <v>82</v>
      </c>
      <c r="N866" t="s">
        <v>13</v>
      </c>
    </row>
    <row r="867" spans="1:14" x14ac:dyDescent="0.35">
      <c r="A867" s="75">
        <v>43931</v>
      </c>
      <c r="B867" t="s">
        <v>149</v>
      </c>
      <c r="C867" t="s">
        <v>95</v>
      </c>
      <c r="D867">
        <v>10</v>
      </c>
      <c r="E867">
        <v>9</v>
      </c>
      <c r="F867">
        <v>1</v>
      </c>
      <c r="G867" t="s">
        <v>114</v>
      </c>
      <c r="H867" t="s">
        <v>3</v>
      </c>
      <c r="I867">
        <v>40000000</v>
      </c>
      <c r="J867" t="s">
        <v>31</v>
      </c>
      <c r="K867" t="s">
        <v>5</v>
      </c>
      <c r="L867" t="s">
        <v>67</v>
      </c>
      <c r="M867" t="s">
        <v>81</v>
      </c>
      <c r="N867" t="s">
        <v>13</v>
      </c>
    </row>
    <row r="868" spans="1:14" x14ac:dyDescent="0.35">
      <c r="A868" s="75">
        <v>43931</v>
      </c>
      <c r="B868" t="s">
        <v>149</v>
      </c>
      <c r="C868" t="s">
        <v>95</v>
      </c>
      <c r="D868">
        <v>9</v>
      </c>
      <c r="E868">
        <v>5</v>
      </c>
      <c r="F868">
        <v>4</v>
      </c>
      <c r="G868" t="s">
        <v>71</v>
      </c>
      <c r="H868" t="s">
        <v>6</v>
      </c>
      <c r="I868">
        <v>140000000</v>
      </c>
      <c r="J868" t="s">
        <v>49</v>
      </c>
      <c r="K868" t="s">
        <v>5</v>
      </c>
      <c r="L868" t="s">
        <v>67</v>
      </c>
      <c r="M868" t="s">
        <v>81</v>
      </c>
      <c r="N868" t="s">
        <v>11</v>
      </c>
    </row>
    <row r="869" spans="1:14" x14ac:dyDescent="0.35">
      <c r="A869" s="75">
        <v>43931</v>
      </c>
      <c r="B869" t="s">
        <v>149</v>
      </c>
      <c r="C869" t="s">
        <v>95</v>
      </c>
      <c r="D869">
        <v>8</v>
      </c>
      <c r="E869">
        <v>7</v>
      </c>
      <c r="F869">
        <v>1</v>
      </c>
      <c r="G869" t="s">
        <v>113</v>
      </c>
      <c r="H869" t="s">
        <v>77</v>
      </c>
      <c r="I869">
        <v>60000000</v>
      </c>
      <c r="J869" t="s">
        <v>61</v>
      </c>
      <c r="K869" t="s">
        <v>2</v>
      </c>
      <c r="L869" t="s">
        <v>67</v>
      </c>
      <c r="M869" t="s">
        <v>81</v>
      </c>
      <c r="N869" t="s">
        <v>13</v>
      </c>
    </row>
    <row r="870" spans="1:14" x14ac:dyDescent="0.35">
      <c r="A870" s="75">
        <v>43931</v>
      </c>
      <c r="B870" t="s">
        <v>149</v>
      </c>
      <c r="C870" t="s">
        <v>95</v>
      </c>
      <c r="D870">
        <v>7</v>
      </c>
      <c r="E870">
        <v>6</v>
      </c>
      <c r="F870">
        <v>1</v>
      </c>
      <c r="G870" t="s">
        <v>70</v>
      </c>
      <c r="H870" t="s">
        <v>1</v>
      </c>
      <c r="I870">
        <v>120000000</v>
      </c>
      <c r="J870" t="s">
        <v>53</v>
      </c>
      <c r="K870" t="s">
        <v>4</v>
      </c>
      <c r="L870" t="s">
        <v>67</v>
      </c>
      <c r="M870" t="s">
        <v>81</v>
      </c>
      <c r="N870" t="s">
        <v>11</v>
      </c>
    </row>
    <row r="871" spans="1:14" x14ac:dyDescent="0.35">
      <c r="A871" s="75">
        <v>43931</v>
      </c>
      <c r="B871" t="s">
        <v>149</v>
      </c>
      <c r="C871" t="s">
        <v>95</v>
      </c>
      <c r="D871">
        <v>6</v>
      </c>
      <c r="E871">
        <v>3</v>
      </c>
      <c r="F871">
        <v>3</v>
      </c>
      <c r="G871" t="s">
        <v>76</v>
      </c>
      <c r="H871" t="s">
        <v>79</v>
      </c>
      <c r="I871">
        <v>100000000</v>
      </c>
      <c r="J871" t="s">
        <v>55</v>
      </c>
      <c r="K871" t="s">
        <v>2</v>
      </c>
      <c r="L871" t="s">
        <v>67</v>
      </c>
      <c r="M871" t="s">
        <v>82</v>
      </c>
      <c r="N871" t="s">
        <v>11</v>
      </c>
    </row>
    <row r="872" spans="1:14" x14ac:dyDescent="0.35">
      <c r="A872" s="75">
        <v>43931</v>
      </c>
      <c r="B872" t="s">
        <v>149</v>
      </c>
      <c r="C872" t="s">
        <v>95</v>
      </c>
      <c r="D872">
        <v>6</v>
      </c>
      <c r="E872">
        <v>3</v>
      </c>
      <c r="F872">
        <v>3</v>
      </c>
      <c r="G872" t="s">
        <v>73</v>
      </c>
      <c r="H872" t="s">
        <v>78</v>
      </c>
      <c r="I872">
        <v>140000000</v>
      </c>
      <c r="J872" t="s">
        <v>37</v>
      </c>
      <c r="K872" t="s">
        <v>5</v>
      </c>
      <c r="L872" t="s">
        <v>67</v>
      </c>
      <c r="M872" t="s">
        <v>81</v>
      </c>
      <c r="N872" t="s">
        <v>14</v>
      </c>
    </row>
    <row r="873" spans="1:14" x14ac:dyDescent="0.35">
      <c r="A873" s="75">
        <v>43931</v>
      </c>
      <c r="B873" t="s">
        <v>149</v>
      </c>
      <c r="C873" t="s">
        <v>95</v>
      </c>
      <c r="D873">
        <v>4</v>
      </c>
      <c r="E873">
        <v>2</v>
      </c>
      <c r="F873">
        <v>2</v>
      </c>
      <c r="G873" t="s">
        <v>76</v>
      </c>
      <c r="H873" t="s">
        <v>79</v>
      </c>
      <c r="I873">
        <v>100000000</v>
      </c>
      <c r="J873" t="s">
        <v>45</v>
      </c>
      <c r="K873" t="s">
        <v>5</v>
      </c>
      <c r="L873" t="s">
        <v>67</v>
      </c>
      <c r="M873" t="s">
        <v>81</v>
      </c>
      <c r="N873" t="s">
        <v>13</v>
      </c>
    </row>
    <row r="874" spans="1:14" x14ac:dyDescent="0.35">
      <c r="A874" s="75">
        <v>43931</v>
      </c>
      <c r="B874" t="s">
        <v>149</v>
      </c>
      <c r="C874" t="s">
        <v>95</v>
      </c>
      <c r="D874">
        <v>3</v>
      </c>
      <c r="E874">
        <v>2</v>
      </c>
      <c r="F874">
        <v>1</v>
      </c>
      <c r="G874" t="s">
        <v>70</v>
      </c>
      <c r="H874" t="s">
        <v>1</v>
      </c>
      <c r="I874">
        <v>60000000</v>
      </c>
      <c r="J874" t="s">
        <v>47</v>
      </c>
      <c r="K874" t="s">
        <v>2</v>
      </c>
      <c r="L874" t="s">
        <v>67</v>
      </c>
      <c r="M874" t="s">
        <v>80</v>
      </c>
      <c r="N874" t="s">
        <v>11</v>
      </c>
    </row>
    <row r="875" spans="1:14" x14ac:dyDescent="0.35">
      <c r="A875" s="75">
        <v>43931</v>
      </c>
      <c r="B875" t="s">
        <v>149</v>
      </c>
      <c r="C875" t="s">
        <v>95</v>
      </c>
      <c r="D875">
        <v>3</v>
      </c>
      <c r="E875">
        <v>1</v>
      </c>
      <c r="F875">
        <v>2</v>
      </c>
      <c r="G875" t="s">
        <v>113</v>
      </c>
      <c r="H875" t="s">
        <v>77</v>
      </c>
      <c r="I875">
        <v>60000000</v>
      </c>
      <c r="J875" t="s">
        <v>15</v>
      </c>
      <c r="K875" t="s">
        <v>9</v>
      </c>
      <c r="L875" t="s">
        <v>67</v>
      </c>
      <c r="M875" t="s">
        <v>82</v>
      </c>
      <c r="N875" t="s">
        <v>11</v>
      </c>
    </row>
    <row r="876" spans="1:14" x14ac:dyDescent="0.35">
      <c r="A876" s="75">
        <v>43932</v>
      </c>
      <c r="B876" t="s">
        <v>150</v>
      </c>
      <c r="C876" t="s">
        <v>95</v>
      </c>
      <c r="D876">
        <v>8</v>
      </c>
      <c r="E876">
        <v>5</v>
      </c>
      <c r="F876">
        <v>3</v>
      </c>
      <c r="G876" t="s">
        <v>70</v>
      </c>
      <c r="H876" t="s">
        <v>1</v>
      </c>
      <c r="I876">
        <v>40000000</v>
      </c>
      <c r="J876" t="s">
        <v>39</v>
      </c>
      <c r="K876" t="s">
        <v>4</v>
      </c>
      <c r="L876" t="s">
        <v>67</v>
      </c>
      <c r="M876" t="s">
        <v>81</v>
      </c>
      <c r="N876" t="s">
        <v>14</v>
      </c>
    </row>
    <row r="877" spans="1:14" x14ac:dyDescent="0.35">
      <c r="A877" s="75">
        <v>43932</v>
      </c>
      <c r="B877" t="s">
        <v>150</v>
      </c>
      <c r="C877" t="s">
        <v>95</v>
      </c>
      <c r="D877">
        <v>8</v>
      </c>
      <c r="E877">
        <v>5</v>
      </c>
      <c r="F877">
        <v>3</v>
      </c>
      <c r="G877" t="s">
        <v>74</v>
      </c>
      <c r="H877" t="s">
        <v>77</v>
      </c>
      <c r="I877">
        <v>120000000</v>
      </c>
      <c r="J877" t="s">
        <v>54</v>
      </c>
      <c r="K877" t="s">
        <v>2</v>
      </c>
      <c r="L877" t="s">
        <v>67</v>
      </c>
      <c r="M877" t="s">
        <v>81</v>
      </c>
      <c r="N877" t="s">
        <v>11</v>
      </c>
    </row>
    <row r="878" spans="1:14" x14ac:dyDescent="0.35">
      <c r="A878" s="75">
        <v>43932</v>
      </c>
      <c r="B878" t="s">
        <v>150</v>
      </c>
      <c r="C878" t="s">
        <v>95</v>
      </c>
      <c r="D878">
        <v>7</v>
      </c>
      <c r="E878">
        <v>5</v>
      </c>
      <c r="F878">
        <v>2</v>
      </c>
      <c r="G878" t="s">
        <v>75</v>
      </c>
      <c r="H878" t="s">
        <v>6</v>
      </c>
      <c r="I878">
        <v>140000000</v>
      </c>
      <c r="J878" t="s">
        <v>28</v>
      </c>
      <c r="K878" t="s">
        <v>2</v>
      </c>
      <c r="L878" t="s">
        <v>67</v>
      </c>
      <c r="M878" t="s">
        <v>80</v>
      </c>
      <c r="N878" t="s">
        <v>12</v>
      </c>
    </row>
    <row r="879" spans="1:14" x14ac:dyDescent="0.35">
      <c r="A879" s="75">
        <v>43932</v>
      </c>
      <c r="B879" t="s">
        <v>150</v>
      </c>
      <c r="C879" t="s">
        <v>95</v>
      </c>
      <c r="D879">
        <v>6</v>
      </c>
      <c r="E879">
        <v>3</v>
      </c>
      <c r="F879">
        <v>3</v>
      </c>
      <c r="G879" t="s">
        <v>70</v>
      </c>
      <c r="H879" t="s">
        <v>1</v>
      </c>
      <c r="I879">
        <v>100000000</v>
      </c>
      <c r="J879" t="s">
        <v>60</v>
      </c>
      <c r="K879" t="s">
        <v>8</v>
      </c>
      <c r="L879" t="s">
        <v>67</v>
      </c>
      <c r="M879" t="s">
        <v>81</v>
      </c>
      <c r="N879" t="s">
        <v>12</v>
      </c>
    </row>
    <row r="880" spans="1:14" x14ac:dyDescent="0.35">
      <c r="A880" s="75">
        <v>43932</v>
      </c>
      <c r="B880" t="s">
        <v>150</v>
      </c>
      <c r="C880" t="s">
        <v>95</v>
      </c>
      <c r="D880">
        <v>4</v>
      </c>
      <c r="E880">
        <v>3</v>
      </c>
      <c r="F880">
        <v>1</v>
      </c>
      <c r="G880" t="s">
        <v>72</v>
      </c>
      <c r="H880" t="s">
        <v>78</v>
      </c>
      <c r="I880">
        <v>80000000</v>
      </c>
      <c r="J880" t="s">
        <v>51</v>
      </c>
      <c r="K880" t="s">
        <v>4</v>
      </c>
      <c r="L880" t="s">
        <v>67</v>
      </c>
      <c r="M880" t="s">
        <v>80</v>
      </c>
      <c r="N880" t="s">
        <v>11</v>
      </c>
    </row>
    <row r="881" spans="1:14" x14ac:dyDescent="0.35">
      <c r="A881" s="75">
        <v>43932</v>
      </c>
      <c r="B881" t="s">
        <v>150</v>
      </c>
      <c r="C881" t="s">
        <v>95</v>
      </c>
      <c r="D881">
        <v>4</v>
      </c>
      <c r="E881">
        <v>2</v>
      </c>
      <c r="F881">
        <v>2</v>
      </c>
      <c r="G881" t="s">
        <v>72</v>
      </c>
      <c r="H881" t="s">
        <v>78</v>
      </c>
      <c r="I881">
        <v>140000000</v>
      </c>
      <c r="J881" t="s">
        <v>40</v>
      </c>
      <c r="K881" t="s">
        <v>5</v>
      </c>
      <c r="L881" t="s">
        <v>67</v>
      </c>
      <c r="M881" t="s">
        <v>80</v>
      </c>
      <c r="N881" t="s">
        <v>12</v>
      </c>
    </row>
    <row r="882" spans="1:14" x14ac:dyDescent="0.35">
      <c r="A882" s="75">
        <v>43932</v>
      </c>
      <c r="B882" t="s">
        <v>150</v>
      </c>
      <c r="C882" t="s">
        <v>95</v>
      </c>
      <c r="D882">
        <v>4</v>
      </c>
      <c r="E882">
        <v>2</v>
      </c>
      <c r="F882">
        <v>2</v>
      </c>
      <c r="G882" t="s">
        <v>74</v>
      </c>
      <c r="H882" t="s">
        <v>77</v>
      </c>
      <c r="I882">
        <v>140000000</v>
      </c>
      <c r="J882" t="s">
        <v>29</v>
      </c>
      <c r="K882" t="s">
        <v>5</v>
      </c>
      <c r="L882" t="s">
        <v>67</v>
      </c>
      <c r="M882" t="s">
        <v>81</v>
      </c>
      <c r="N882" t="s">
        <v>12</v>
      </c>
    </row>
    <row r="883" spans="1:14" x14ac:dyDescent="0.35">
      <c r="A883" s="75">
        <v>43932</v>
      </c>
      <c r="B883" t="s">
        <v>150</v>
      </c>
      <c r="C883" t="s">
        <v>95</v>
      </c>
      <c r="D883">
        <v>3</v>
      </c>
      <c r="E883">
        <v>2</v>
      </c>
      <c r="F883">
        <v>1</v>
      </c>
      <c r="G883" t="s">
        <v>71</v>
      </c>
      <c r="H883" t="s">
        <v>6</v>
      </c>
      <c r="I883">
        <v>60000000</v>
      </c>
      <c r="J883" t="s">
        <v>18</v>
      </c>
      <c r="K883" t="s">
        <v>2</v>
      </c>
      <c r="L883" t="s">
        <v>67</v>
      </c>
      <c r="M883" t="s">
        <v>81</v>
      </c>
      <c r="N883" t="s">
        <v>12</v>
      </c>
    </row>
    <row r="884" spans="1:14" x14ac:dyDescent="0.35">
      <c r="A884" s="75">
        <v>43932</v>
      </c>
      <c r="B884" t="s">
        <v>150</v>
      </c>
      <c r="C884" t="s">
        <v>95</v>
      </c>
      <c r="D884">
        <v>3</v>
      </c>
      <c r="E884">
        <v>1</v>
      </c>
      <c r="F884">
        <v>2</v>
      </c>
      <c r="G884" t="s">
        <v>75</v>
      </c>
      <c r="H884" t="s">
        <v>6</v>
      </c>
      <c r="I884">
        <v>40000000</v>
      </c>
      <c r="J884" t="s">
        <v>60</v>
      </c>
      <c r="K884" t="s">
        <v>5</v>
      </c>
      <c r="L884" t="s">
        <v>67</v>
      </c>
      <c r="M884" t="s">
        <v>82</v>
      </c>
      <c r="N884" t="s">
        <v>11</v>
      </c>
    </row>
    <row r="885" spans="1:14" x14ac:dyDescent="0.35">
      <c r="A885" s="75">
        <v>43933</v>
      </c>
      <c r="B885" t="s">
        <v>151</v>
      </c>
      <c r="C885" t="s">
        <v>95</v>
      </c>
      <c r="D885">
        <v>9</v>
      </c>
      <c r="E885">
        <v>7</v>
      </c>
      <c r="F885">
        <v>2</v>
      </c>
      <c r="G885" t="s">
        <v>76</v>
      </c>
      <c r="H885" t="s">
        <v>79</v>
      </c>
      <c r="I885">
        <v>100000000</v>
      </c>
      <c r="J885" t="s">
        <v>53</v>
      </c>
      <c r="K885" t="s">
        <v>5</v>
      </c>
      <c r="L885" t="s">
        <v>67</v>
      </c>
      <c r="M885" t="s">
        <v>82</v>
      </c>
      <c r="N885" t="s">
        <v>14</v>
      </c>
    </row>
    <row r="886" spans="1:14" x14ac:dyDescent="0.35">
      <c r="A886" s="75">
        <v>43933</v>
      </c>
      <c r="B886" t="s">
        <v>151</v>
      </c>
      <c r="C886" t="s">
        <v>95</v>
      </c>
      <c r="D886">
        <v>8</v>
      </c>
      <c r="E886">
        <v>4</v>
      </c>
      <c r="F886">
        <v>4</v>
      </c>
      <c r="G886" t="s">
        <v>72</v>
      </c>
      <c r="H886" t="s">
        <v>78</v>
      </c>
      <c r="I886">
        <v>120000000</v>
      </c>
      <c r="J886" t="s">
        <v>58</v>
      </c>
      <c r="K886" t="s">
        <v>7</v>
      </c>
      <c r="L886" t="s">
        <v>67</v>
      </c>
      <c r="M886" t="s">
        <v>80</v>
      </c>
      <c r="N886" t="s">
        <v>14</v>
      </c>
    </row>
    <row r="887" spans="1:14" x14ac:dyDescent="0.35">
      <c r="A887" s="75">
        <v>43933</v>
      </c>
      <c r="B887" t="s">
        <v>151</v>
      </c>
      <c r="C887" t="s">
        <v>95</v>
      </c>
      <c r="D887">
        <v>7</v>
      </c>
      <c r="E887">
        <v>6</v>
      </c>
      <c r="F887">
        <v>1</v>
      </c>
      <c r="G887" t="s">
        <v>74</v>
      </c>
      <c r="H887" t="s">
        <v>77</v>
      </c>
      <c r="I887">
        <v>120000000</v>
      </c>
      <c r="J887" t="s">
        <v>23</v>
      </c>
      <c r="K887" t="s">
        <v>2</v>
      </c>
      <c r="L887" t="s">
        <v>67</v>
      </c>
      <c r="M887" t="s">
        <v>82</v>
      </c>
      <c r="N887" t="s">
        <v>11</v>
      </c>
    </row>
    <row r="888" spans="1:14" x14ac:dyDescent="0.35">
      <c r="A888" s="75">
        <v>43933</v>
      </c>
      <c r="B888" t="s">
        <v>151</v>
      </c>
      <c r="C888" t="s">
        <v>95</v>
      </c>
      <c r="D888">
        <v>6</v>
      </c>
      <c r="E888">
        <v>5</v>
      </c>
      <c r="F888">
        <v>1</v>
      </c>
      <c r="G888" t="s">
        <v>73</v>
      </c>
      <c r="H888" t="s">
        <v>78</v>
      </c>
      <c r="I888">
        <v>100000000</v>
      </c>
      <c r="J888" t="s">
        <v>17</v>
      </c>
      <c r="K888" t="s">
        <v>5</v>
      </c>
      <c r="L888" t="s">
        <v>67</v>
      </c>
      <c r="M888" t="s">
        <v>81</v>
      </c>
      <c r="N888" t="s">
        <v>13</v>
      </c>
    </row>
    <row r="889" spans="1:14" x14ac:dyDescent="0.35">
      <c r="A889" s="75">
        <v>43933</v>
      </c>
      <c r="B889" t="s">
        <v>151</v>
      </c>
      <c r="C889" t="s">
        <v>95</v>
      </c>
      <c r="D889">
        <v>4</v>
      </c>
      <c r="E889">
        <v>3</v>
      </c>
      <c r="F889">
        <v>1</v>
      </c>
      <c r="G889" t="s">
        <v>76</v>
      </c>
      <c r="H889" t="s">
        <v>79</v>
      </c>
      <c r="I889">
        <v>140000000</v>
      </c>
      <c r="J889" t="s">
        <v>34</v>
      </c>
      <c r="K889" t="s">
        <v>2</v>
      </c>
      <c r="L889" t="s">
        <v>67</v>
      </c>
      <c r="M889" t="s">
        <v>80</v>
      </c>
      <c r="N889" t="s">
        <v>14</v>
      </c>
    </row>
    <row r="890" spans="1:14" x14ac:dyDescent="0.35">
      <c r="A890" s="75">
        <v>43933</v>
      </c>
      <c r="B890" t="s">
        <v>151</v>
      </c>
      <c r="C890" t="s">
        <v>95</v>
      </c>
      <c r="D890">
        <v>3</v>
      </c>
      <c r="E890">
        <v>2</v>
      </c>
      <c r="F890">
        <v>1</v>
      </c>
      <c r="G890" t="s">
        <v>72</v>
      </c>
      <c r="H890" t="s">
        <v>78</v>
      </c>
      <c r="I890">
        <v>100000000</v>
      </c>
      <c r="J890" t="s">
        <v>35</v>
      </c>
      <c r="K890" t="s">
        <v>5</v>
      </c>
      <c r="L890" t="s">
        <v>67</v>
      </c>
      <c r="M890" t="s">
        <v>81</v>
      </c>
      <c r="N890" t="s">
        <v>13</v>
      </c>
    </row>
    <row r="891" spans="1:14" x14ac:dyDescent="0.35">
      <c r="A891" s="75">
        <v>43933</v>
      </c>
      <c r="B891" t="s">
        <v>151</v>
      </c>
      <c r="C891" t="s">
        <v>95</v>
      </c>
      <c r="D891">
        <v>3</v>
      </c>
      <c r="E891">
        <v>2</v>
      </c>
      <c r="F891">
        <v>1</v>
      </c>
      <c r="G891" t="s">
        <v>75</v>
      </c>
      <c r="H891" t="s">
        <v>6</v>
      </c>
      <c r="I891">
        <v>120000000</v>
      </c>
      <c r="J891" t="s">
        <v>31</v>
      </c>
      <c r="K891" t="s">
        <v>5</v>
      </c>
      <c r="L891" t="s">
        <v>67</v>
      </c>
      <c r="M891" t="s">
        <v>82</v>
      </c>
      <c r="N891" t="s">
        <v>13</v>
      </c>
    </row>
    <row r="892" spans="1:14" x14ac:dyDescent="0.35">
      <c r="A892" s="75">
        <v>43933</v>
      </c>
      <c r="B892" t="s">
        <v>151</v>
      </c>
      <c r="C892" t="s">
        <v>95</v>
      </c>
      <c r="D892">
        <v>3</v>
      </c>
      <c r="E892">
        <v>1</v>
      </c>
      <c r="F892">
        <v>2</v>
      </c>
      <c r="G892" t="s">
        <v>73</v>
      </c>
      <c r="H892" t="s">
        <v>78</v>
      </c>
      <c r="I892">
        <v>80000000</v>
      </c>
      <c r="J892" t="s">
        <v>40</v>
      </c>
      <c r="K892" t="s">
        <v>4</v>
      </c>
      <c r="L892" t="s">
        <v>67</v>
      </c>
      <c r="M892" t="s">
        <v>81</v>
      </c>
      <c r="N892" t="s">
        <v>12</v>
      </c>
    </row>
    <row r="893" spans="1:14" x14ac:dyDescent="0.35">
      <c r="A893" s="75">
        <v>43934</v>
      </c>
      <c r="B893" t="s">
        <v>152</v>
      </c>
      <c r="C893" t="s">
        <v>95</v>
      </c>
      <c r="D893">
        <v>10</v>
      </c>
      <c r="E893">
        <v>10</v>
      </c>
      <c r="F893" t="s">
        <v>10</v>
      </c>
      <c r="G893" t="s">
        <v>113</v>
      </c>
      <c r="H893" t="s">
        <v>77</v>
      </c>
      <c r="I893">
        <v>60000000</v>
      </c>
      <c r="J893" t="s">
        <v>50</v>
      </c>
      <c r="K893" t="s">
        <v>2</v>
      </c>
      <c r="L893" t="s">
        <v>67</v>
      </c>
      <c r="M893" t="s">
        <v>82</v>
      </c>
      <c r="N893" t="s">
        <v>11</v>
      </c>
    </row>
    <row r="894" spans="1:14" x14ac:dyDescent="0.35">
      <c r="A894" s="75">
        <v>43934</v>
      </c>
      <c r="B894" t="s">
        <v>152</v>
      </c>
      <c r="C894" t="s">
        <v>95</v>
      </c>
      <c r="D894">
        <v>9</v>
      </c>
      <c r="E894">
        <v>9</v>
      </c>
      <c r="F894" t="s">
        <v>10</v>
      </c>
      <c r="G894" t="s">
        <v>74</v>
      </c>
      <c r="H894" t="s">
        <v>77</v>
      </c>
      <c r="I894">
        <v>100000000</v>
      </c>
      <c r="J894" t="s">
        <v>23</v>
      </c>
      <c r="K894" t="s">
        <v>7</v>
      </c>
      <c r="L894" t="s">
        <v>67</v>
      </c>
      <c r="M894" t="s">
        <v>82</v>
      </c>
      <c r="N894" t="s">
        <v>13</v>
      </c>
    </row>
    <row r="895" spans="1:14" x14ac:dyDescent="0.35">
      <c r="A895" s="75">
        <v>43934</v>
      </c>
      <c r="B895" t="s">
        <v>152</v>
      </c>
      <c r="C895" t="s">
        <v>95</v>
      </c>
      <c r="D895">
        <v>6</v>
      </c>
      <c r="E895">
        <v>6</v>
      </c>
      <c r="F895" t="s">
        <v>10</v>
      </c>
      <c r="G895" t="s">
        <v>114</v>
      </c>
      <c r="H895" t="s">
        <v>3</v>
      </c>
      <c r="I895">
        <v>120000000</v>
      </c>
      <c r="J895" t="s">
        <v>61</v>
      </c>
      <c r="K895" t="s">
        <v>5</v>
      </c>
      <c r="L895" t="s">
        <v>67</v>
      </c>
      <c r="M895" t="s">
        <v>82</v>
      </c>
      <c r="N895" t="s">
        <v>12</v>
      </c>
    </row>
    <row r="896" spans="1:14" x14ac:dyDescent="0.35">
      <c r="A896" s="75">
        <v>43934</v>
      </c>
      <c r="B896" t="s">
        <v>152</v>
      </c>
      <c r="C896" t="s">
        <v>95</v>
      </c>
      <c r="D896">
        <v>4</v>
      </c>
      <c r="E896">
        <v>4</v>
      </c>
      <c r="F896" t="s">
        <v>10</v>
      </c>
      <c r="G896" t="s">
        <v>113</v>
      </c>
      <c r="H896" t="s">
        <v>77</v>
      </c>
      <c r="I896">
        <v>140000000</v>
      </c>
      <c r="J896" t="s">
        <v>37</v>
      </c>
      <c r="K896" t="s">
        <v>9</v>
      </c>
      <c r="L896" t="s">
        <v>67</v>
      </c>
      <c r="M896" t="s">
        <v>82</v>
      </c>
      <c r="N896" t="s">
        <v>11</v>
      </c>
    </row>
    <row r="897" spans="1:14" x14ac:dyDescent="0.35">
      <c r="A897" s="75">
        <v>43934</v>
      </c>
      <c r="B897" t="s">
        <v>152</v>
      </c>
      <c r="C897" t="s">
        <v>95</v>
      </c>
      <c r="D897">
        <v>3</v>
      </c>
      <c r="E897">
        <v>3</v>
      </c>
      <c r="F897" t="s">
        <v>10</v>
      </c>
      <c r="G897" t="s">
        <v>72</v>
      </c>
      <c r="H897" t="s">
        <v>78</v>
      </c>
      <c r="I897">
        <v>60000000</v>
      </c>
      <c r="J897" t="s">
        <v>41</v>
      </c>
      <c r="K897" t="s">
        <v>2</v>
      </c>
      <c r="L897" t="s">
        <v>67</v>
      </c>
      <c r="M897" t="s">
        <v>80</v>
      </c>
      <c r="N897" t="s">
        <v>13</v>
      </c>
    </row>
    <row r="898" spans="1:14" x14ac:dyDescent="0.35">
      <c r="A898" s="75">
        <v>43935</v>
      </c>
      <c r="B898" t="s">
        <v>153</v>
      </c>
      <c r="C898" t="s">
        <v>95</v>
      </c>
      <c r="D898">
        <v>10</v>
      </c>
      <c r="E898">
        <v>10</v>
      </c>
      <c r="F898" t="s">
        <v>10</v>
      </c>
      <c r="G898" t="s">
        <v>113</v>
      </c>
      <c r="H898" t="s">
        <v>77</v>
      </c>
      <c r="I898">
        <v>80000000</v>
      </c>
      <c r="J898" t="s">
        <v>27</v>
      </c>
      <c r="K898" t="s">
        <v>5</v>
      </c>
      <c r="L898" t="s">
        <v>67</v>
      </c>
      <c r="M898" t="s">
        <v>80</v>
      </c>
      <c r="N898" t="s">
        <v>12</v>
      </c>
    </row>
    <row r="899" spans="1:14" x14ac:dyDescent="0.35">
      <c r="A899" s="75">
        <v>43935</v>
      </c>
      <c r="B899" t="s">
        <v>153</v>
      </c>
      <c r="C899" t="s">
        <v>95</v>
      </c>
      <c r="D899">
        <v>10</v>
      </c>
      <c r="E899">
        <v>10</v>
      </c>
      <c r="F899" t="s">
        <v>10</v>
      </c>
      <c r="G899" t="s">
        <v>71</v>
      </c>
      <c r="H899" t="s">
        <v>6</v>
      </c>
      <c r="I899">
        <v>40000000</v>
      </c>
      <c r="J899" t="s">
        <v>33</v>
      </c>
      <c r="K899" t="s">
        <v>7</v>
      </c>
      <c r="L899" t="s">
        <v>67</v>
      </c>
      <c r="M899" t="s">
        <v>80</v>
      </c>
      <c r="N899" t="s">
        <v>13</v>
      </c>
    </row>
    <row r="900" spans="1:14" x14ac:dyDescent="0.35">
      <c r="A900" s="75">
        <v>43935</v>
      </c>
      <c r="B900" t="s">
        <v>153</v>
      </c>
      <c r="C900" t="s">
        <v>95</v>
      </c>
      <c r="D900">
        <v>9</v>
      </c>
      <c r="E900">
        <v>9</v>
      </c>
      <c r="F900" t="s">
        <v>10</v>
      </c>
      <c r="G900" t="s">
        <v>113</v>
      </c>
      <c r="H900" t="s">
        <v>77</v>
      </c>
      <c r="I900">
        <v>80000000</v>
      </c>
      <c r="J900" t="s">
        <v>25</v>
      </c>
      <c r="K900" t="s">
        <v>7</v>
      </c>
      <c r="L900" t="s">
        <v>67</v>
      </c>
      <c r="M900" t="s">
        <v>81</v>
      </c>
      <c r="N900" t="s">
        <v>14</v>
      </c>
    </row>
    <row r="901" spans="1:14" x14ac:dyDescent="0.35">
      <c r="A901" s="75">
        <v>43935</v>
      </c>
      <c r="B901" t="s">
        <v>153</v>
      </c>
      <c r="C901" t="s">
        <v>95</v>
      </c>
      <c r="D901">
        <v>9</v>
      </c>
      <c r="E901">
        <v>9</v>
      </c>
      <c r="F901" t="s">
        <v>10</v>
      </c>
      <c r="G901" t="s">
        <v>75</v>
      </c>
      <c r="H901" t="s">
        <v>6</v>
      </c>
      <c r="I901">
        <v>140000000</v>
      </c>
      <c r="J901" t="s">
        <v>58</v>
      </c>
      <c r="K901" t="s">
        <v>2</v>
      </c>
      <c r="L901" t="s">
        <v>67</v>
      </c>
      <c r="M901" t="s">
        <v>80</v>
      </c>
      <c r="N901" t="s">
        <v>14</v>
      </c>
    </row>
    <row r="902" spans="1:14" x14ac:dyDescent="0.35">
      <c r="A902" s="75">
        <v>43935</v>
      </c>
      <c r="B902" t="s">
        <v>153</v>
      </c>
      <c r="C902" t="s">
        <v>95</v>
      </c>
      <c r="D902">
        <v>6</v>
      </c>
      <c r="E902">
        <v>6</v>
      </c>
      <c r="F902" t="s">
        <v>10</v>
      </c>
      <c r="G902" t="s">
        <v>114</v>
      </c>
      <c r="H902" t="s">
        <v>3</v>
      </c>
      <c r="I902">
        <v>120000000</v>
      </c>
      <c r="J902" t="s">
        <v>61</v>
      </c>
      <c r="K902" t="s">
        <v>5</v>
      </c>
      <c r="L902" t="s">
        <v>67</v>
      </c>
      <c r="M902" t="s">
        <v>82</v>
      </c>
      <c r="N902" t="s">
        <v>12</v>
      </c>
    </row>
    <row r="903" spans="1:14" x14ac:dyDescent="0.35">
      <c r="A903" s="75">
        <v>43935</v>
      </c>
      <c r="B903" t="s">
        <v>153</v>
      </c>
      <c r="C903" t="s">
        <v>95</v>
      </c>
      <c r="D903">
        <v>6</v>
      </c>
      <c r="E903">
        <v>6</v>
      </c>
      <c r="F903" t="s">
        <v>10</v>
      </c>
      <c r="G903" t="s">
        <v>114</v>
      </c>
      <c r="H903" t="s">
        <v>3</v>
      </c>
      <c r="I903">
        <v>100000000</v>
      </c>
      <c r="J903" t="s">
        <v>29</v>
      </c>
      <c r="K903" t="s">
        <v>9</v>
      </c>
      <c r="L903" t="s">
        <v>67</v>
      </c>
      <c r="M903" t="s">
        <v>82</v>
      </c>
      <c r="N903" t="s">
        <v>13</v>
      </c>
    </row>
    <row r="904" spans="1:14" x14ac:dyDescent="0.35">
      <c r="A904" s="75">
        <v>43935</v>
      </c>
      <c r="B904" t="s">
        <v>153</v>
      </c>
      <c r="C904" t="s">
        <v>95</v>
      </c>
      <c r="D904">
        <v>5</v>
      </c>
      <c r="E904">
        <v>5</v>
      </c>
      <c r="F904" t="s">
        <v>10</v>
      </c>
      <c r="G904" t="s">
        <v>73</v>
      </c>
      <c r="H904" t="s">
        <v>78</v>
      </c>
      <c r="I904">
        <v>140000000</v>
      </c>
      <c r="J904" t="s">
        <v>39</v>
      </c>
      <c r="K904" t="s">
        <v>2</v>
      </c>
      <c r="L904" t="s">
        <v>67</v>
      </c>
      <c r="M904" t="s">
        <v>82</v>
      </c>
      <c r="N904" t="s">
        <v>11</v>
      </c>
    </row>
    <row r="905" spans="1:14" x14ac:dyDescent="0.35">
      <c r="A905" s="75">
        <v>43935</v>
      </c>
      <c r="B905" t="s">
        <v>153</v>
      </c>
      <c r="C905" t="s">
        <v>95</v>
      </c>
      <c r="D905">
        <v>5</v>
      </c>
      <c r="E905">
        <v>5</v>
      </c>
      <c r="F905" t="s">
        <v>10</v>
      </c>
      <c r="G905" t="s">
        <v>113</v>
      </c>
      <c r="H905" t="s">
        <v>77</v>
      </c>
      <c r="I905">
        <v>120000000</v>
      </c>
      <c r="J905" t="s">
        <v>45</v>
      </c>
      <c r="K905" t="s">
        <v>5</v>
      </c>
      <c r="L905" t="s">
        <v>67</v>
      </c>
      <c r="M905" t="s">
        <v>81</v>
      </c>
      <c r="N905" t="s">
        <v>12</v>
      </c>
    </row>
    <row r="906" spans="1:14" x14ac:dyDescent="0.35">
      <c r="A906" s="75">
        <v>43935</v>
      </c>
      <c r="B906" t="s">
        <v>153</v>
      </c>
      <c r="C906" t="s">
        <v>95</v>
      </c>
      <c r="D906">
        <v>5</v>
      </c>
      <c r="E906">
        <v>5</v>
      </c>
      <c r="F906" t="s">
        <v>10</v>
      </c>
      <c r="G906" t="s">
        <v>113</v>
      </c>
      <c r="H906" t="s">
        <v>77</v>
      </c>
      <c r="I906">
        <v>120000000</v>
      </c>
      <c r="J906" t="s">
        <v>45</v>
      </c>
      <c r="K906" t="s">
        <v>2</v>
      </c>
      <c r="L906" t="s">
        <v>67</v>
      </c>
      <c r="M906" t="s">
        <v>82</v>
      </c>
      <c r="N906" t="s">
        <v>14</v>
      </c>
    </row>
    <row r="907" spans="1:14" x14ac:dyDescent="0.35">
      <c r="A907" s="75">
        <v>43935</v>
      </c>
      <c r="B907" t="s">
        <v>153</v>
      </c>
      <c r="C907" t="s">
        <v>95</v>
      </c>
      <c r="D907">
        <v>4</v>
      </c>
      <c r="E907">
        <v>4</v>
      </c>
      <c r="F907" t="s">
        <v>10</v>
      </c>
      <c r="G907" t="s">
        <v>73</v>
      </c>
      <c r="H907" t="s">
        <v>78</v>
      </c>
      <c r="I907">
        <v>80000000</v>
      </c>
      <c r="J907" t="s">
        <v>59</v>
      </c>
      <c r="K907" t="s">
        <v>7</v>
      </c>
      <c r="L907" t="s">
        <v>67</v>
      </c>
      <c r="M907" t="s">
        <v>82</v>
      </c>
      <c r="N907" t="s">
        <v>12</v>
      </c>
    </row>
    <row r="908" spans="1:14" x14ac:dyDescent="0.35">
      <c r="A908" s="75">
        <v>43935</v>
      </c>
      <c r="B908" t="s">
        <v>153</v>
      </c>
      <c r="C908" t="s">
        <v>95</v>
      </c>
      <c r="D908">
        <v>4</v>
      </c>
      <c r="E908">
        <v>4</v>
      </c>
      <c r="F908" t="s">
        <v>10</v>
      </c>
      <c r="G908" t="s">
        <v>114</v>
      </c>
      <c r="H908" t="s">
        <v>3</v>
      </c>
      <c r="I908">
        <v>140000000</v>
      </c>
      <c r="J908" t="s">
        <v>41</v>
      </c>
      <c r="K908" t="s">
        <v>9</v>
      </c>
      <c r="L908" t="s">
        <v>67</v>
      </c>
      <c r="M908" t="s">
        <v>80</v>
      </c>
      <c r="N908" t="s">
        <v>11</v>
      </c>
    </row>
    <row r="909" spans="1:14" x14ac:dyDescent="0.35">
      <c r="A909" s="75">
        <v>43936</v>
      </c>
      <c r="B909" t="s">
        <v>154</v>
      </c>
      <c r="C909" t="s">
        <v>95</v>
      </c>
      <c r="D909">
        <v>10</v>
      </c>
      <c r="E909">
        <v>10</v>
      </c>
      <c r="F909" t="s">
        <v>10</v>
      </c>
      <c r="G909" t="s">
        <v>74</v>
      </c>
      <c r="H909" t="s">
        <v>77</v>
      </c>
      <c r="I909">
        <v>80000000</v>
      </c>
      <c r="J909" t="s">
        <v>45</v>
      </c>
      <c r="K909" t="s">
        <v>7</v>
      </c>
      <c r="L909" t="s">
        <v>67</v>
      </c>
      <c r="M909" t="s">
        <v>81</v>
      </c>
      <c r="N909" t="s">
        <v>12</v>
      </c>
    </row>
    <row r="910" spans="1:14" x14ac:dyDescent="0.35">
      <c r="A910" s="75">
        <v>43936</v>
      </c>
      <c r="B910" t="s">
        <v>154</v>
      </c>
      <c r="C910" t="s">
        <v>95</v>
      </c>
      <c r="D910">
        <v>10</v>
      </c>
      <c r="E910">
        <v>10</v>
      </c>
      <c r="F910" t="s">
        <v>10</v>
      </c>
      <c r="G910" t="s">
        <v>74</v>
      </c>
      <c r="H910" t="s">
        <v>77</v>
      </c>
      <c r="I910">
        <v>80000000</v>
      </c>
      <c r="J910" t="s">
        <v>61</v>
      </c>
      <c r="K910" t="s">
        <v>2</v>
      </c>
      <c r="L910" t="s">
        <v>67</v>
      </c>
      <c r="M910" t="s">
        <v>80</v>
      </c>
      <c r="N910" t="s">
        <v>12</v>
      </c>
    </row>
    <row r="911" spans="1:14" x14ac:dyDescent="0.35">
      <c r="A911" s="75">
        <v>43936</v>
      </c>
      <c r="B911" t="s">
        <v>154</v>
      </c>
      <c r="C911" t="s">
        <v>95</v>
      </c>
      <c r="D911">
        <v>8</v>
      </c>
      <c r="E911">
        <v>8</v>
      </c>
      <c r="F911" t="s">
        <v>10</v>
      </c>
      <c r="G911" t="s">
        <v>71</v>
      </c>
      <c r="H911" t="s">
        <v>6</v>
      </c>
      <c r="I911">
        <v>60000000</v>
      </c>
      <c r="J911" t="s">
        <v>25</v>
      </c>
      <c r="K911" t="s">
        <v>2</v>
      </c>
      <c r="L911" t="s">
        <v>67</v>
      </c>
      <c r="M911" t="s">
        <v>81</v>
      </c>
      <c r="N911" t="s">
        <v>12</v>
      </c>
    </row>
    <row r="912" spans="1:14" x14ac:dyDescent="0.35">
      <c r="A912" s="75">
        <v>43936</v>
      </c>
      <c r="B912" t="s">
        <v>154</v>
      </c>
      <c r="C912" t="s">
        <v>95</v>
      </c>
      <c r="D912">
        <v>8</v>
      </c>
      <c r="E912">
        <v>8</v>
      </c>
      <c r="F912" t="s">
        <v>10</v>
      </c>
      <c r="G912" t="s">
        <v>70</v>
      </c>
      <c r="H912" t="s">
        <v>1</v>
      </c>
      <c r="I912">
        <v>120000000</v>
      </c>
      <c r="J912" t="s">
        <v>27</v>
      </c>
      <c r="K912" t="s">
        <v>2</v>
      </c>
      <c r="L912" t="s">
        <v>67</v>
      </c>
      <c r="M912" t="s">
        <v>80</v>
      </c>
      <c r="N912" t="s">
        <v>13</v>
      </c>
    </row>
    <row r="913" spans="1:14" x14ac:dyDescent="0.35">
      <c r="A913" s="75">
        <v>43936</v>
      </c>
      <c r="B913" t="s">
        <v>154</v>
      </c>
      <c r="C913" t="s">
        <v>95</v>
      </c>
      <c r="D913">
        <v>7</v>
      </c>
      <c r="E913">
        <v>7</v>
      </c>
      <c r="F913" t="s">
        <v>10</v>
      </c>
      <c r="G913" t="s">
        <v>76</v>
      </c>
      <c r="H913" t="s">
        <v>79</v>
      </c>
      <c r="I913">
        <v>60000000</v>
      </c>
      <c r="J913" t="s">
        <v>40</v>
      </c>
      <c r="K913" t="s">
        <v>2</v>
      </c>
      <c r="L913" t="s">
        <v>67</v>
      </c>
      <c r="M913" t="s">
        <v>82</v>
      </c>
      <c r="N913" t="s">
        <v>12</v>
      </c>
    </row>
    <row r="914" spans="1:14" x14ac:dyDescent="0.35">
      <c r="A914" s="75">
        <v>43936</v>
      </c>
      <c r="B914" t="s">
        <v>154</v>
      </c>
      <c r="C914" t="s">
        <v>95</v>
      </c>
      <c r="D914">
        <v>7</v>
      </c>
      <c r="E914">
        <v>7</v>
      </c>
      <c r="F914" t="s">
        <v>10</v>
      </c>
      <c r="G914" t="s">
        <v>73</v>
      </c>
      <c r="H914" t="s">
        <v>78</v>
      </c>
      <c r="I914">
        <v>100000000</v>
      </c>
      <c r="J914" t="s">
        <v>26</v>
      </c>
      <c r="K914" t="s">
        <v>8</v>
      </c>
      <c r="L914" t="s">
        <v>67</v>
      </c>
      <c r="M914" t="s">
        <v>81</v>
      </c>
      <c r="N914" t="s">
        <v>12</v>
      </c>
    </row>
    <row r="915" spans="1:14" x14ac:dyDescent="0.35">
      <c r="A915" s="75">
        <v>43936</v>
      </c>
      <c r="B915" t="s">
        <v>154</v>
      </c>
      <c r="C915" t="s">
        <v>95</v>
      </c>
      <c r="D915">
        <v>3</v>
      </c>
      <c r="E915">
        <v>3</v>
      </c>
      <c r="F915" t="s">
        <v>10</v>
      </c>
      <c r="G915" t="s">
        <v>76</v>
      </c>
      <c r="H915" t="s">
        <v>79</v>
      </c>
      <c r="I915">
        <v>120000000</v>
      </c>
      <c r="J915" t="s">
        <v>24</v>
      </c>
      <c r="K915" t="s">
        <v>7</v>
      </c>
      <c r="L915" t="s">
        <v>67</v>
      </c>
      <c r="M915" t="s">
        <v>81</v>
      </c>
      <c r="N915" t="s">
        <v>12</v>
      </c>
    </row>
    <row r="916" spans="1:14" x14ac:dyDescent="0.35">
      <c r="A916" s="75">
        <v>43937</v>
      </c>
      <c r="B916" t="s">
        <v>155</v>
      </c>
      <c r="C916" t="s">
        <v>95</v>
      </c>
      <c r="D916">
        <v>10</v>
      </c>
      <c r="E916">
        <v>10</v>
      </c>
      <c r="F916" t="s">
        <v>10</v>
      </c>
      <c r="G916" t="s">
        <v>71</v>
      </c>
      <c r="H916" t="s">
        <v>6</v>
      </c>
      <c r="I916">
        <v>80000000</v>
      </c>
      <c r="J916" t="s">
        <v>17</v>
      </c>
      <c r="K916" t="s">
        <v>7</v>
      </c>
      <c r="L916" t="s">
        <v>67</v>
      </c>
      <c r="M916" t="s">
        <v>80</v>
      </c>
      <c r="N916" t="s">
        <v>12</v>
      </c>
    </row>
    <row r="917" spans="1:14" x14ac:dyDescent="0.35">
      <c r="A917" s="75">
        <v>43937</v>
      </c>
      <c r="B917" t="s">
        <v>155</v>
      </c>
      <c r="C917" t="s">
        <v>95</v>
      </c>
      <c r="D917">
        <v>7</v>
      </c>
      <c r="E917">
        <v>7</v>
      </c>
      <c r="F917" t="s">
        <v>10</v>
      </c>
      <c r="G917" t="s">
        <v>70</v>
      </c>
      <c r="H917" t="s">
        <v>1</v>
      </c>
      <c r="I917">
        <v>60000000</v>
      </c>
      <c r="J917" t="s">
        <v>63</v>
      </c>
      <c r="K917" t="s">
        <v>2</v>
      </c>
      <c r="L917" t="s">
        <v>67</v>
      </c>
      <c r="M917" t="s">
        <v>80</v>
      </c>
      <c r="N917" t="s">
        <v>13</v>
      </c>
    </row>
    <row r="918" spans="1:14" x14ac:dyDescent="0.35">
      <c r="A918" s="75">
        <v>43937</v>
      </c>
      <c r="B918" t="s">
        <v>155</v>
      </c>
      <c r="C918" t="s">
        <v>95</v>
      </c>
      <c r="D918">
        <v>5</v>
      </c>
      <c r="E918">
        <v>5</v>
      </c>
      <c r="F918" t="s">
        <v>10</v>
      </c>
      <c r="G918" t="s">
        <v>74</v>
      </c>
      <c r="H918" t="s">
        <v>77</v>
      </c>
      <c r="I918">
        <v>80000000</v>
      </c>
      <c r="J918" t="s">
        <v>30</v>
      </c>
      <c r="K918" t="s">
        <v>5</v>
      </c>
      <c r="L918" t="s">
        <v>67</v>
      </c>
      <c r="M918" t="s">
        <v>82</v>
      </c>
      <c r="N918" t="s">
        <v>13</v>
      </c>
    </row>
    <row r="919" spans="1:14" x14ac:dyDescent="0.35">
      <c r="A919" s="75">
        <v>43937</v>
      </c>
      <c r="B919" t="s">
        <v>155</v>
      </c>
      <c r="C919" t="s">
        <v>95</v>
      </c>
      <c r="D919">
        <v>4</v>
      </c>
      <c r="E919">
        <v>4</v>
      </c>
      <c r="F919" t="s">
        <v>10</v>
      </c>
      <c r="G919" t="s">
        <v>76</v>
      </c>
      <c r="H919" t="s">
        <v>79</v>
      </c>
      <c r="I919">
        <v>100000000</v>
      </c>
      <c r="J919" t="s">
        <v>57</v>
      </c>
      <c r="K919" t="s">
        <v>2</v>
      </c>
      <c r="L919" t="s">
        <v>67</v>
      </c>
      <c r="M919" t="s">
        <v>82</v>
      </c>
      <c r="N919" t="s">
        <v>12</v>
      </c>
    </row>
    <row r="920" spans="1:14" x14ac:dyDescent="0.35">
      <c r="A920" s="75">
        <v>43937</v>
      </c>
      <c r="B920" t="s">
        <v>155</v>
      </c>
      <c r="C920" t="s">
        <v>95</v>
      </c>
      <c r="D920">
        <v>3</v>
      </c>
      <c r="E920">
        <v>3</v>
      </c>
      <c r="F920" t="s">
        <v>10</v>
      </c>
      <c r="G920" t="s">
        <v>114</v>
      </c>
      <c r="H920" t="s">
        <v>3</v>
      </c>
      <c r="I920">
        <v>100000000</v>
      </c>
      <c r="J920" t="s">
        <v>45</v>
      </c>
      <c r="K920" t="s">
        <v>4</v>
      </c>
      <c r="L920" t="s">
        <v>67</v>
      </c>
      <c r="M920" t="s">
        <v>80</v>
      </c>
      <c r="N920" t="s">
        <v>11</v>
      </c>
    </row>
    <row r="921" spans="1:14" x14ac:dyDescent="0.35">
      <c r="A921" s="75">
        <v>43938</v>
      </c>
      <c r="B921" t="s">
        <v>156</v>
      </c>
      <c r="C921" t="s">
        <v>95</v>
      </c>
      <c r="D921">
        <v>9</v>
      </c>
      <c r="E921">
        <v>9</v>
      </c>
      <c r="F921" t="s">
        <v>10</v>
      </c>
      <c r="G921" t="s">
        <v>73</v>
      </c>
      <c r="H921" t="s">
        <v>78</v>
      </c>
      <c r="I921">
        <v>60000000</v>
      </c>
      <c r="J921" t="s">
        <v>18</v>
      </c>
      <c r="K921" t="s">
        <v>5</v>
      </c>
      <c r="L921" t="s">
        <v>67</v>
      </c>
      <c r="M921" t="s">
        <v>82</v>
      </c>
      <c r="N921" t="s">
        <v>12</v>
      </c>
    </row>
    <row r="922" spans="1:14" x14ac:dyDescent="0.35">
      <c r="A922" s="75">
        <v>43938</v>
      </c>
      <c r="B922" t="s">
        <v>156</v>
      </c>
      <c r="C922" t="s">
        <v>95</v>
      </c>
      <c r="D922">
        <v>9</v>
      </c>
      <c r="E922">
        <v>9</v>
      </c>
      <c r="F922" t="s">
        <v>10</v>
      </c>
      <c r="G922" t="s">
        <v>74</v>
      </c>
      <c r="H922" t="s">
        <v>77</v>
      </c>
      <c r="I922">
        <v>120000000</v>
      </c>
      <c r="J922" t="s">
        <v>30</v>
      </c>
      <c r="K922" t="s">
        <v>2</v>
      </c>
      <c r="L922" t="s">
        <v>67</v>
      </c>
      <c r="M922" t="s">
        <v>80</v>
      </c>
      <c r="N922" t="s">
        <v>12</v>
      </c>
    </row>
    <row r="923" spans="1:14" x14ac:dyDescent="0.35">
      <c r="A923" s="75">
        <v>43938</v>
      </c>
      <c r="B923" t="s">
        <v>156</v>
      </c>
      <c r="C923" t="s">
        <v>95</v>
      </c>
      <c r="D923">
        <v>8</v>
      </c>
      <c r="E923">
        <v>8</v>
      </c>
      <c r="F923" t="s">
        <v>10</v>
      </c>
      <c r="G923" t="s">
        <v>75</v>
      </c>
      <c r="H923" t="s">
        <v>6</v>
      </c>
      <c r="I923">
        <v>120000000</v>
      </c>
      <c r="J923" t="s">
        <v>30</v>
      </c>
      <c r="K923" t="s">
        <v>5</v>
      </c>
      <c r="L923" t="s">
        <v>67</v>
      </c>
      <c r="M923" t="s">
        <v>80</v>
      </c>
      <c r="N923" t="s">
        <v>13</v>
      </c>
    </row>
    <row r="924" spans="1:14" x14ac:dyDescent="0.35">
      <c r="A924" s="75">
        <v>43938</v>
      </c>
      <c r="B924" t="s">
        <v>156</v>
      </c>
      <c r="C924" t="s">
        <v>95</v>
      </c>
      <c r="D924">
        <v>7</v>
      </c>
      <c r="E924">
        <v>7</v>
      </c>
      <c r="F924" t="s">
        <v>10</v>
      </c>
      <c r="G924" t="s">
        <v>70</v>
      </c>
      <c r="H924" t="s">
        <v>1</v>
      </c>
      <c r="I924">
        <v>60000000</v>
      </c>
      <c r="J924" t="s">
        <v>53</v>
      </c>
      <c r="K924" t="s">
        <v>8</v>
      </c>
      <c r="L924" t="s">
        <v>67</v>
      </c>
      <c r="M924" t="s">
        <v>81</v>
      </c>
      <c r="N924" t="s">
        <v>14</v>
      </c>
    </row>
    <row r="925" spans="1:14" x14ac:dyDescent="0.35">
      <c r="A925" s="75">
        <v>43938</v>
      </c>
      <c r="B925" t="s">
        <v>156</v>
      </c>
      <c r="C925" t="s">
        <v>95</v>
      </c>
      <c r="D925">
        <v>7</v>
      </c>
      <c r="E925">
        <v>7</v>
      </c>
      <c r="F925" t="s">
        <v>10</v>
      </c>
      <c r="G925" t="s">
        <v>72</v>
      </c>
      <c r="H925" t="s">
        <v>78</v>
      </c>
      <c r="I925">
        <v>80000000</v>
      </c>
      <c r="J925" t="s">
        <v>18</v>
      </c>
      <c r="K925" t="s">
        <v>7</v>
      </c>
      <c r="L925" t="s">
        <v>67</v>
      </c>
      <c r="M925" t="s">
        <v>81</v>
      </c>
      <c r="N925" t="s">
        <v>13</v>
      </c>
    </row>
    <row r="926" spans="1:14" x14ac:dyDescent="0.35">
      <c r="A926" s="75">
        <v>43938</v>
      </c>
      <c r="B926" t="s">
        <v>156</v>
      </c>
      <c r="C926" t="s">
        <v>95</v>
      </c>
      <c r="D926">
        <v>6</v>
      </c>
      <c r="E926">
        <v>6</v>
      </c>
      <c r="F926" t="s">
        <v>10</v>
      </c>
      <c r="G926" t="s">
        <v>75</v>
      </c>
      <c r="H926" t="s">
        <v>6</v>
      </c>
      <c r="I926">
        <v>120000000</v>
      </c>
      <c r="J926" t="s">
        <v>38</v>
      </c>
      <c r="K926" t="s">
        <v>8</v>
      </c>
      <c r="L926" t="s">
        <v>67</v>
      </c>
      <c r="M926" t="s">
        <v>80</v>
      </c>
      <c r="N926" t="s">
        <v>12</v>
      </c>
    </row>
    <row r="927" spans="1:14" x14ac:dyDescent="0.35">
      <c r="A927" s="75">
        <v>43938</v>
      </c>
      <c r="B927" t="s">
        <v>156</v>
      </c>
      <c r="C927" t="s">
        <v>95</v>
      </c>
      <c r="D927">
        <v>5</v>
      </c>
      <c r="E927">
        <v>5</v>
      </c>
      <c r="F927" t="s">
        <v>10</v>
      </c>
      <c r="G927" t="s">
        <v>70</v>
      </c>
      <c r="H927" t="s">
        <v>1</v>
      </c>
      <c r="I927">
        <v>80000000</v>
      </c>
      <c r="J927" t="s">
        <v>24</v>
      </c>
      <c r="K927" t="s">
        <v>5</v>
      </c>
      <c r="L927" t="s">
        <v>67</v>
      </c>
      <c r="M927" t="s">
        <v>82</v>
      </c>
      <c r="N927" t="s">
        <v>14</v>
      </c>
    </row>
    <row r="928" spans="1:14" x14ac:dyDescent="0.35">
      <c r="A928" s="75">
        <v>43938</v>
      </c>
      <c r="B928" t="s">
        <v>156</v>
      </c>
      <c r="C928" t="s">
        <v>95</v>
      </c>
      <c r="D928">
        <v>3</v>
      </c>
      <c r="E928">
        <v>3</v>
      </c>
      <c r="F928" t="s">
        <v>10</v>
      </c>
      <c r="G928" t="s">
        <v>76</v>
      </c>
      <c r="H928" t="s">
        <v>79</v>
      </c>
      <c r="I928">
        <v>100000000</v>
      </c>
      <c r="J928" t="s">
        <v>45</v>
      </c>
      <c r="K928" t="s">
        <v>2</v>
      </c>
      <c r="L928" t="s">
        <v>67</v>
      </c>
      <c r="M928" t="s">
        <v>80</v>
      </c>
      <c r="N928" t="s">
        <v>11</v>
      </c>
    </row>
    <row r="929" spans="1:14" x14ac:dyDescent="0.35">
      <c r="A929" s="75">
        <v>43939</v>
      </c>
      <c r="B929" t="s">
        <v>157</v>
      </c>
      <c r="C929" t="s">
        <v>95</v>
      </c>
      <c r="D929">
        <v>9</v>
      </c>
      <c r="E929">
        <v>9</v>
      </c>
      <c r="F929" t="s">
        <v>10</v>
      </c>
      <c r="G929" t="s">
        <v>114</v>
      </c>
      <c r="H929" t="s">
        <v>3</v>
      </c>
      <c r="I929">
        <v>120000000</v>
      </c>
      <c r="J929" t="s">
        <v>22</v>
      </c>
      <c r="K929" t="s">
        <v>5</v>
      </c>
      <c r="L929" t="s">
        <v>67</v>
      </c>
      <c r="M929" t="s">
        <v>82</v>
      </c>
      <c r="N929" t="s">
        <v>14</v>
      </c>
    </row>
    <row r="930" spans="1:14" x14ac:dyDescent="0.35">
      <c r="A930" s="75">
        <v>43939</v>
      </c>
      <c r="B930" t="s">
        <v>157</v>
      </c>
      <c r="C930" t="s">
        <v>95</v>
      </c>
      <c r="D930">
        <v>8</v>
      </c>
      <c r="E930">
        <v>8</v>
      </c>
      <c r="F930" t="s">
        <v>10</v>
      </c>
      <c r="G930" t="s">
        <v>70</v>
      </c>
      <c r="H930" t="s">
        <v>1</v>
      </c>
      <c r="I930">
        <v>100000000</v>
      </c>
      <c r="J930" t="s">
        <v>47</v>
      </c>
      <c r="K930" t="s">
        <v>2</v>
      </c>
      <c r="L930" t="s">
        <v>67</v>
      </c>
      <c r="M930" t="s">
        <v>80</v>
      </c>
      <c r="N930" t="s">
        <v>12</v>
      </c>
    </row>
    <row r="931" spans="1:14" x14ac:dyDescent="0.35">
      <c r="A931" s="75">
        <v>43939</v>
      </c>
      <c r="B931" t="s">
        <v>157</v>
      </c>
      <c r="C931" t="s">
        <v>95</v>
      </c>
      <c r="D931">
        <v>7</v>
      </c>
      <c r="E931">
        <v>7</v>
      </c>
      <c r="F931" t="s">
        <v>10</v>
      </c>
      <c r="G931" t="s">
        <v>114</v>
      </c>
      <c r="H931" t="s">
        <v>3</v>
      </c>
      <c r="I931">
        <v>100000000</v>
      </c>
      <c r="J931" t="s">
        <v>51</v>
      </c>
      <c r="K931" t="s">
        <v>2</v>
      </c>
      <c r="L931" t="s">
        <v>67</v>
      </c>
      <c r="M931" t="s">
        <v>80</v>
      </c>
      <c r="N931" t="s">
        <v>14</v>
      </c>
    </row>
    <row r="932" spans="1:14" x14ac:dyDescent="0.35">
      <c r="A932" s="75">
        <v>43939</v>
      </c>
      <c r="B932" t="s">
        <v>157</v>
      </c>
      <c r="C932" t="s">
        <v>95</v>
      </c>
      <c r="D932">
        <v>7</v>
      </c>
      <c r="E932">
        <v>7</v>
      </c>
      <c r="F932" t="s">
        <v>10</v>
      </c>
      <c r="G932" t="s">
        <v>76</v>
      </c>
      <c r="H932" t="s">
        <v>79</v>
      </c>
      <c r="I932">
        <v>80000000</v>
      </c>
      <c r="J932" t="s">
        <v>46</v>
      </c>
      <c r="K932" t="s">
        <v>2</v>
      </c>
      <c r="L932" t="s">
        <v>67</v>
      </c>
      <c r="M932" t="s">
        <v>80</v>
      </c>
      <c r="N932" t="s">
        <v>11</v>
      </c>
    </row>
    <row r="933" spans="1:14" x14ac:dyDescent="0.35">
      <c r="A933" s="75">
        <v>43939</v>
      </c>
      <c r="B933" t="s">
        <v>157</v>
      </c>
      <c r="C933" t="s">
        <v>95</v>
      </c>
      <c r="D933">
        <v>6</v>
      </c>
      <c r="E933">
        <v>6</v>
      </c>
      <c r="F933" t="s">
        <v>10</v>
      </c>
      <c r="G933" t="s">
        <v>76</v>
      </c>
      <c r="H933" t="s">
        <v>79</v>
      </c>
      <c r="I933">
        <v>100000000</v>
      </c>
      <c r="J933" t="s">
        <v>58</v>
      </c>
      <c r="K933" t="s">
        <v>5</v>
      </c>
      <c r="L933" t="s">
        <v>67</v>
      </c>
      <c r="M933" t="s">
        <v>82</v>
      </c>
      <c r="N933" t="s">
        <v>11</v>
      </c>
    </row>
    <row r="934" spans="1:14" x14ac:dyDescent="0.35">
      <c r="A934" s="75">
        <v>43939</v>
      </c>
      <c r="B934" t="s">
        <v>157</v>
      </c>
      <c r="C934" t="s">
        <v>95</v>
      </c>
      <c r="D934">
        <v>5</v>
      </c>
      <c r="E934">
        <v>5</v>
      </c>
      <c r="F934" t="s">
        <v>10</v>
      </c>
      <c r="G934" t="s">
        <v>74</v>
      </c>
      <c r="H934" t="s">
        <v>77</v>
      </c>
      <c r="I934">
        <v>40000000</v>
      </c>
      <c r="J934" t="s">
        <v>59</v>
      </c>
      <c r="K934" t="s">
        <v>8</v>
      </c>
      <c r="L934" t="s">
        <v>67</v>
      </c>
      <c r="M934" t="s">
        <v>82</v>
      </c>
      <c r="N934" t="s">
        <v>12</v>
      </c>
    </row>
    <row r="935" spans="1:14" x14ac:dyDescent="0.35">
      <c r="A935" s="75">
        <v>43939</v>
      </c>
      <c r="B935" t="s">
        <v>157</v>
      </c>
      <c r="C935" t="s">
        <v>95</v>
      </c>
      <c r="D935">
        <v>5</v>
      </c>
      <c r="E935">
        <v>5</v>
      </c>
      <c r="F935" t="s">
        <v>10</v>
      </c>
      <c r="G935" t="s">
        <v>76</v>
      </c>
      <c r="H935" t="s">
        <v>79</v>
      </c>
      <c r="I935">
        <v>60000000</v>
      </c>
      <c r="J935" t="s">
        <v>62</v>
      </c>
      <c r="K935" t="s">
        <v>2</v>
      </c>
      <c r="L935" t="s">
        <v>67</v>
      </c>
      <c r="M935" t="s">
        <v>82</v>
      </c>
      <c r="N935" t="s">
        <v>13</v>
      </c>
    </row>
    <row r="936" spans="1:14" x14ac:dyDescent="0.35">
      <c r="A936" s="75">
        <v>43939</v>
      </c>
      <c r="B936" t="s">
        <v>157</v>
      </c>
      <c r="C936" t="s">
        <v>95</v>
      </c>
      <c r="D936">
        <v>4</v>
      </c>
      <c r="E936">
        <v>4</v>
      </c>
      <c r="F936" t="s">
        <v>10</v>
      </c>
      <c r="G936" t="s">
        <v>72</v>
      </c>
      <c r="H936" t="s">
        <v>78</v>
      </c>
      <c r="I936">
        <v>80000000</v>
      </c>
      <c r="J936" t="s">
        <v>50</v>
      </c>
      <c r="K936" t="s">
        <v>2</v>
      </c>
      <c r="L936" t="s">
        <v>67</v>
      </c>
      <c r="M936" t="s">
        <v>81</v>
      </c>
      <c r="N936" t="s">
        <v>13</v>
      </c>
    </row>
    <row r="937" spans="1:14" x14ac:dyDescent="0.35">
      <c r="A937" s="75">
        <v>43939</v>
      </c>
      <c r="B937" t="s">
        <v>157</v>
      </c>
      <c r="C937" t="s">
        <v>95</v>
      </c>
      <c r="D937">
        <v>3</v>
      </c>
      <c r="E937">
        <v>3</v>
      </c>
      <c r="F937" t="s">
        <v>10</v>
      </c>
      <c r="G937" t="s">
        <v>75</v>
      </c>
      <c r="H937" t="s">
        <v>6</v>
      </c>
      <c r="I937">
        <v>140000000</v>
      </c>
      <c r="J937" t="s">
        <v>58</v>
      </c>
      <c r="K937" t="s">
        <v>2</v>
      </c>
      <c r="L937" t="s">
        <v>67</v>
      </c>
      <c r="M937" t="s">
        <v>80</v>
      </c>
      <c r="N937" t="s">
        <v>11</v>
      </c>
    </row>
    <row r="938" spans="1:14" x14ac:dyDescent="0.35">
      <c r="A938" s="75">
        <v>43940</v>
      </c>
      <c r="B938" t="s">
        <v>158</v>
      </c>
      <c r="C938" t="s">
        <v>95</v>
      </c>
      <c r="D938">
        <v>9</v>
      </c>
      <c r="E938">
        <v>9</v>
      </c>
      <c r="F938" t="s">
        <v>10</v>
      </c>
      <c r="G938" t="s">
        <v>70</v>
      </c>
      <c r="H938" t="s">
        <v>1</v>
      </c>
      <c r="I938">
        <v>120000000</v>
      </c>
      <c r="J938" t="s">
        <v>41</v>
      </c>
      <c r="K938" t="s">
        <v>2</v>
      </c>
      <c r="L938" t="s">
        <v>67</v>
      </c>
      <c r="M938" t="s">
        <v>80</v>
      </c>
      <c r="N938" t="s">
        <v>12</v>
      </c>
    </row>
    <row r="939" spans="1:14" x14ac:dyDescent="0.35">
      <c r="A939" s="75">
        <v>43940</v>
      </c>
      <c r="B939" t="s">
        <v>158</v>
      </c>
      <c r="C939" t="s">
        <v>95</v>
      </c>
      <c r="D939">
        <v>7</v>
      </c>
      <c r="E939">
        <v>7</v>
      </c>
      <c r="F939" t="s">
        <v>10</v>
      </c>
      <c r="G939" t="s">
        <v>75</v>
      </c>
      <c r="H939" t="s">
        <v>6</v>
      </c>
      <c r="I939">
        <v>120000000</v>
      </c>
      <c r="J939" t="s">
        <v>22</v>
      </c>
      <c r="K939" t="s">
        <v>2</v>
      </c>
      <c r="L939" t="s">
        <v>67</v>
      </c>
      <c r="M939" t="s">
        <v>82</v>
      </c>
      <c r="N939" t="s">
        <v>13</v>
      </c>
    </row>
    <row r="940" spans="1:14" x14ac:dyDescent="0.35">
      <c r="A940" s="75">
        <v>43940</v>
      </c>
      <c r="B940" t="s">
        <v>158</v>
      </c>
      <c r="C940" t="s">
        <v>95</v>
      </c>
      <c r="D940">
        <v>7</v>
      </c>
      <c r="E940">
        <v>7</v>
      </c>
      <c r="F940" t="s">
        <v>10</v>
      </c>
      <c r="G940" t="s">
        <v>114</v>
      </c>
      <c r="H940" t="s">
        <v>3</v>
      </c>
      <c r="I940">
        <v>120000000</v>
      </c>
      <c r="J940" t="s">
        <v>64</v>
      </c>
      <c r="K940" t="s">
        <v>2</v>
      </c>
      <c r="L940" t="s">
        <v>67</v>
      </c>
      <c r="M940" t="s">
        <v>80</v>
      </c>
      <c r="N940" t="s">
        <v>14</v>
      </c>
    </row>
    <row r="941" spans="1:14" x14ac:dyDescent="0.35">
      <c r="A941" s="75">
        <v>43940</v>
      </c>
      <c r="B941" t="s">
        <v>158</v>
      </c>
      <c r="C941" t="s">
        <v>95</v>
      </c>
      <c r="D941">
        <v>6</v>
      </c>
      <c r="E941">
        <v>6</v>
      </c>
      <c r="F941" t="s">
        <v>10</v>
      </c>
      <c r="G941" t="s">
        <v>71</v>
      </c>
      <c r="H941" t="s">
        <v>6</v>
      </c>
      <c r="I941">
        <v>60000000</v>
      </c>
      <c r="J941" t="s">
        <v>17</v>
      </c>
      <c r="K941" t="s">
        <v>2</v>
      </c>
      <c r="L941" t="s">
        <v>67</v>
      </c>
      <c r="M941" t="s">
        <v>82</v>
      </c>
      <c r="N941" t="s">
        <v>14</v>
      </c>
    </row>
    <row r="942" spans="1:14" x14ac:dyDescent="0.35">
      <c r="A942" s="75">
        <v>43940</v>
      </c>
      <c r="B942" t="s">
        <v>158</v>
      </c>
      <c r="C942" t="s">
        <v>95</v>
      </c>
      <c r="D942">
        <v>5</v>
      </c>
      <c r="E942">
        <v>5</v>
      </c>
      <c r="F942" t="s">
        <v>10</v>
      </c>
      <c r="G942" t="s">
        <v>73</v>
      </c>
      <c r="H942" t="s">
        <v>78</v>
      </c>
      <c r="I942">
        <v>80000000</v>
      </c>
      <c r="J942" t="s">
        <v>38</v>
      </c>
      <c r="K942" t="s">
        <v>5</v>
      </c>
      <c r="L942" t="s">
        <v>67</v>
      </c>
      <c r="M942" t="s">
        <v>82</v>
      </c>
      <c r="N942" t="s">
        <v>12</v>
      </c>
    </row>
    <row r="943" spans="1:14" x14ac:dyDescent="0.35">
      <c r="A943" s="75">
        <v>43941</v>
      </c>
      <c r="B943" t="s">
        <v>159</v>
      </c>
      <c r="C943" t="s">
        <v>95</v>
      </c>
      <c r="D943">
        <v>10</v>
      </c>
      <c r="E943">
        <v>10</v>
      </c>
      <c r="F943" t="s">
        <v>10</v>
      </c>
      <c r="G943" t="s">
        <v>73</v>
      </c>
      <c r="H943" t="s">
        <v>78</v>
      </c>
      <c r="I943">
        <v>120000000</v>
      </c>
      <c r="J943" t="s">
        <v>47</v>
      </c>
      <c r="K943" t="s">
        <v>2</v>
      </c>
      <c r="L943" t="s">
        <v>67</v>
      </c>
      <c r="M943" t="s">
        <v>80</v>
      </c>
      <c r="N943" t="s">
        <v>13</v>
      </c>
    </row>
    <row r="944" spans="1:14" x14ac:dyDescent="0.35">
      <c r="A944" s="75">
        <v>43941</v>
      </c>
      <c r="B944" t="s">
        <v>159</v>
      </c>
      <c r="C944" t="s">
        <v>95</v>
      </c>
      <c r="D944">
        <v>9</v>
      </c>
      <c r="E944">
        <v>9</v>
      </c>
      <c r="F944" t="s">
        <v>10</v>
      </c>
      <c r="G944" t="s">
        <v>75</v>
      </c>
      <c r="H944" t="s">
        <v>6</v>
      </c>
      <c r="I944">
        <v>100000000</v>
      </c>
      <c r="J944" t="s">
        <v>44</v>
      </c>
      <c r="K944" t="s">
        <v>9</v>
      </c>
      <c r="L944" t="s">
        <v>67</v>
      </c>
      <c r="M944" t="s">
        <v>81</v>
      </c>
      <c r="N944" t="s">
        <v>13</v>
      </c>
    </row>
    <row r="945" spans="1:14" x14ac:dyDescent="0.35">
      <c r="A945" s="75">
        <v>43941</v>
      </c>
      <c r="B945" t="s">
        <v>159</v>
      </c>
      <c r="C945" t="s">
        <v>95</v>
      </c>
      <c r="D945">
        <v>8</v>
      </c>
      <c r="E945">
        <v>8</v>
      </c>
      <c r="F945" t="s">
        <v>10</v>
      </c>
      <c r="G945" t="s">
        <v>113</v>
      </c>
      <c r="H945" t="s">
        <v>77</v>
      </c>
      <c r="I945">
        <v>100000000</v>
      </c>
      <c r="J945" t="s">
        <v>63</v>
      </c>
      <c r="K945" t="s">
        <v>8</v>
      </c>
      <c r="L945" t="s">
        <v>67</v>
      </c>
      <c r="M945" t="s">
        <v>81</v>
      </c>
      <c r="N945" t="s">
        <v>14</v>
      </c>
    </row>
    <row r="946" spans="1:14" x14ac:dyDescent="0.35">
      <c r="A946" s="75">
        <v>43941</v>
      </c>
      <c r="B946" t="s">
        <v>159</v>
      </c>
      <c r="C946" t="s">
        <v>95</v>
      </c>
      <c r="D946">
        <v>8</v>
      </c>
      <c r="E946">
        <v>8</v>
      </c>
      <c r="F946" t="s">
        <v>10</v>
      </c>
      <c r="G946" t="s">
        <v>71</v>
      </c>
      <c r="H946" t="s">
        <v>6</v>
      </c>
      <c r="I946">
        <v>120000000</v>
      </c>
      <c r="J946" t="s">
        <v>53</v>
      </c>
      <c r="K946" t="s">
        <v>5</v>
      </c>
      <c r="L946" t="s">
        <v>67</v>
      </c>
      <c r="M946" t="s">
        <v>81</v>
      </c>
      <c r="N946" t="s">
        <v>14</v>
      </c>
    </row>
    <row r="947" spans="1:14" x14ac:dyDescent="0.35">
      <c r="A947" s="75">
        <v>43941</v>
      </c>
      <c r="B947" t="s">
        <v>159</v>
      </c>
      <c r="C947" t="s">
        <v>95</v>
      </c>
      <c r="D947">
        <v>6</v>
      </c>
      <c r="E947">
        <v>6</v>
      </c>
      <c r="F947" t="s">
        <v>10</v>
      </c>
      <c r="G947" t="s">
        <v>72</v>
      </c>
      <c r="H947" t="s">
        <v>78</v>
      </c>
      <c r="I947">
        <v>120000000</v>
      </c>
      <c r="J947" t="s">
        <v>44</v>
      </c>
      <c r="K947" t="s">
        <v>7</v>
      </c>
      <c r="L947" t="s">
        <v>67</v>
      </c>
      <c r="M947" t="s">
        <v>82</v>
      </c>
      <c r="N947" t="s">
        <v>14</v>
      </c>
    </row>
    <row r="948" spans="1:14" x14ac:dyDescent="0.35">
      <c r="A948" s="75">
        <v>43941</v>
      </c>
      <c r="B948" t="s">
        <v>159</v>
      </c>
      <c r="C948" t="s">
        <v>95</v>
      </c>
      <c r="D948">
        <v>5</v>
      </c>
      <c r="E948">
        <v>5</v>
      </c>
      <c r="F948" t="s">
        <v>10</v>
      </c>
      <c r="G948" t="s">
        <v>72</v>
      </c>
      <c r="H948" t="s">
        <v>78</v>
      </c>
      <c r="I948">
        <v>100000000</v>
      </c>
      <c r="J948" t="s">
        <v>61</v>
      </c>
      <c r="K948" t="s">
        <v>5</v>
      </c>
      <c r="L948" t="s">
        <v>67</v>
      </c>
      <c r="M948" t="s">
        <v>82</v>
      </c>
      <c r="N948" t="s">
        <v>13</v>
      </c>
    </row>
    <row r="949" spans="1:14" x14ac:dyDescent="0.35">
      <c r="A949" s="75">
        <v>43941</v>
      </c>
      <c r="B949" t="s">
        <v>159</v>
      </c>
      <c r="C949" t="s">
        <v>95</v>
      </c>
      <c r="D949">
        <v>5</v>
      </c>
      <c r="E949">
        <v>5</v>
      </c>
      <c r="F949" t="s">
        <v>10</v>
      </c>
      <c r="G949" t="s">
        <v>76</v>
      </c>
      <c r="H949" t="s">
        <v>79</v>
      </c>
      <c r="I949">
        <v>40000000</v>
      </c>
      <c r="J949" t="s">
        <v>42</v>
      </c>
      <c r="K949" t="s">
        <v>2</v>
      </c>
      <c r="L949" t="s">
        <v>67</v>
      </c>
      <c r="M949" t="s">
        <v>82</v>
      </c>
      <c r="N949" t="s">
        <v>14</v>
      </c>
    </row>
    <row r="950" spans="1:14" x14ac:dyDescent="0.35">
      <c r="A950" s="75">
        <v>43941</v>
      </c>
      <c r="B950" t="s">
        <v>159</v>
      </c>
      <c r="C950" t="s">
        <v>95</v>
      </c>
      <c r="D950">
        <v>5</v>
      </c>
      <c r="E950">
        <v>5</v>
      </c>
      <c r="F950" t="s">
        <v>10</v>
      </c>
      <c r="G950" t="s">
        <v>73</v>
      </c>
      <c r="H950" t="s">
        <v>78</v>
      </c>
      <c r="I950">
        <v>60000000</v>
      </c>
      <c r="J950" t="s">
        <v>38</v>
      </c>
      <c r="K950" t="s">
        <v>2</v>
      </c>
      <c r="L950" t="s">
        <v>67</v>
      </c>
      <c r="M950" t="s">
        <v>82</v>
      </c>
      <c r="N950" t="s">
        <v>12</v>
      </c>
    </row>
    <row r="951" spans="1:14" x14ac:dyDescent="0.35">
      <c r="A951" s="75">
        <v>43941</v>
      </c>
      <c r="B951" t="s">
        <v>159</v>
      </c>
      <c r="C951" t="s">
        <v>95</v>
      </c>
      <c r="D951">
        <v>3</v>
      </c>
      <c r="E951">
        <v>3</v>
      </c>
      <c r="F951" t="s">
        <v>10</v>
      </c>
      <c r="G951" t="s">
        <v>113</v>
      </c>
      <c r="H951" t="s">
        <v>77</v>
      </c>
      <c r="I951">
        <v>100000000</v>
      </c>
      <c r="J951" t="s">
        <v>33</v>
      </c>
      <c r="K951" t="s">
        <v>5</v>
      </c>
      <c r="L951" t="s">
        <v>67</v>
      </c>
      <c r="M951" t="s">
        <v>82</v>
      </c>
      <c r="N951" t="s">
        <v>11</v>
      </c>
    </row>
    <row r="952" spans="1:14" x14ac:dyDescent="0.35">
      <c r="A952" s="75">
        <v>43942</v>
      </c>
      <c r="B952" t="s">
        <v>160</v>
      </c>
      <c r="C952" t="s">
        <v>95</v>
      </c>
      <c r="D952">
        <v>10</v>
      </c>
      <c r="E952">
        <v>10</v>
      </c>
      <c r="F952" t="s">
        <v>10</v>
      </c>
      <c r="G952" t="s">
        <v>76</v>
      </c>
      <c r="H952" t="s">
        <v>79</v>
      </c>
      <c r="I952">
        <v>80000000</v>
      </c>
      <c r="J952" t="s">
        <v>61</v>
      </c>
      <c r="K952" t="s">
        <v>2</v>
      </c>
      <c r="L952" t="s">
        <v>67</v>
      </c>
      <c r="M952" t="s">
        <v>81</v>
      </c>
      <c r="N952" t="s">
        <v>13</v>
      </c>
    </row>
    <row r="953" spans="1:14" x14ac:dyDescent="0.35">
      <c r="A953" s="75">
        <v>43942</v>
      </c>
      <c r="B953" t="s">
        <v>160</v>
      </c>
      <c r="C953" t="s">
        <v>95</v>
      </c>
      <c r="D953">
        <v>9</v>
      </c>
      <c r="E953">
        <v>9</v>
      </c>
      <c r="F953" t="s">
        <v>10</v>
      </c>
      <c r="G953" t="s">
        <v>71</v>
      </c>
      <c r="H953" t="s">
        <v>6</v>
      </c>
      <c r="I953">
        <v>100000000</v>
      </c>
      <c r="J953" t="s">
        <v>15</v>
      </c>
      <c r="K953" t="s">
        <v>7</v>
      </c>
      <c r="L953" t="s">
        <v>67</v>
      </c>
      <c r="M953" t="s">
        <v>82</v>
      </c>
      <c r="N953" t="s">
        <v>12</v>
      </c>
    </row>
    <row r="954" spans="1:14" x14ac:dyDescent="0.35">
      <c r="A954" s="75">
        <v>43942</v>
      </c>
      <c r="B954" t="s">
        <v>160</v>
      </c>
      <c r="C954" t="s">
        <v>95</v>
      </c>
      <c r="D954">
        <v>9</v>
      </c>
      <c r="E954">
        <v>9</v>
      </c>
      <c r="F954" t="s">
        <v>10</v>
      </c>
      <c r="G954" t="s">
        <v>76</v>
      </c>
      <c r="H954" t="s">
        <v>79</v>
      </c>
      <c r="I954">
        <v>40000000</v>
      </c>
      <c r="J954" t="s">
        <v>18</v>
      </c>
      <c r="K954" t="s">
        <v>9</v>
      </c>
      <c r="L954" t="s">
        <v>67</v>
      </c>
      <c r="M954" t="s">
        <v>82</v>
      </c>
      <c r="N954" t="s">
        <v>12</v>
      </c>
    </row>
    <row r="955" spans="1:14" x14ac:dyDescent="0.35">
      <c r="A955" s="75">
        <v>43942</v>
      </c>
      <c r="B955" t="s">
        <v>160</v>
      </c>
      <c r="C955" t="s">
        <v>95</v>
      </c>
      <c r="D955">
        <v>8</v>
      </c>
      <c r="E955">
        <v>8</v>
      </c>
      <c r="F955" t="s">
        <v>10</v>
      </c>
      <c r="G955" t="s">
        <v>75</v>
      </c>
      <c r="H955" t="s">
        <v>6</v>
      </c>
      <c r="I955">
        <v>100000000</v>
      </c>
      <c r="J955" t="s">
        <v>41</v>
      </c>
      <c r="K955" t="s">
        <v>2</v>
      </c>
      <c r="L955" t="s">
        <v>67</v>
      </c>
      <c r="M955" t="s">
        <v>80</v>
      </c>
      <c r="N955" t="s">
        <v>14</v>
      </c>
    </row>
    <row r="956" spans="1:14" x14ac:dyDescent="0.35">
      <c r="A956" s="75">
        <v>43942</v>
      </c>
      <c r="B956" t="s">
        <v>160</v>
      </c>
      <c r="C956" t="s">
        <v>95</v>
      </c>
      <c r="D956">
        <v>5</v>
      </c>
      <c r="E956">
        <v>5</v>
      </c>
      <c r="F956" t="s">
        <v>10</v>
      </c>
      <c r="G956" t="s">
        <v>76</v>
      </c>
      <c r="H956" t="s">
        <v>79</v>
      </c>
      <c r="I956">
        <v>40000000</v>
      </c>
      <c r="J956" t="s">
        <v>47</v>
      </c>
      <c r="K956" t="s">
        <v>4</v>
      </c>
      <c r="L956" t="s">
        <v>67</v>
      </c>
      <c r="M956" t="s">
        <v>81</v>
      </c>
      <c r="N956" t="s">
        <v>13</v>
      </c>
    </row>
    <row r="957" spans="1:14" x14ac:dyDescent="0.35">
      <c r="A957" s="75">
        <v>43943</v>
      </c>
      <c r="B957" t="s">
        <v>161</v>
      </c>
      <c r="C957" t="s">
        <v>95</v>
      </c>
      <c r="D957">
        <v>10</v>
      </c>
      <c r="E957">
        <v>10</v>
      </c>
      <c r="F957" t="s">
        <v>10</v>
      </c>
      <c r="G957" t="s">
        <v>74</v>
      </c>
      <c r="H957" t="s">
        <v>77</v>
      </c>
      <c r="I957">
        <v>140000000</v>
      </c>
      <c r="J957" t="s">
        <v>28</v>
      </c>
      <c r="K957" t="s">
        <v>7</v>
      </c>
      <c r="L957" t="s">
        <v>67</v>
      </c>
      <c r="M957" t="s">
        <v>81</v>
      </c>
      <c r="N957" t="s">
        <v>12</v>
      </c>
    </row>
    <row r="958" spans="1:14" x14ac:dyDescent="0.35">
      <c r="A958" s="75">
        <v>43943</v>
      </c>
      <c r="B958" t="s">
        <v>161</v>
      </c>
      <c r="C958" t="s">
        <v>95</v>
      </c>
      <c r="D958">
        <v>9</v>
      </c>
      <c r="E958">
        <v>9</v>
      </c>
      <c r="F958" t="s">
        <v>10</v>
      </c>
      <c r="G958" t="s">
        <v>72</v>
      </c>
      <c r="H958" t="s">
        <v>78</v>
      </c>
      <c r="I958">
        <v>120000000</v>
      </c>
      <c r="J958" t="s">
        <v>52</v>
      </c>
      <c r="K958" t="s">
        <v>5</v>
      </c>
      <c r="L958" t="s">
        <v>67</v>
      </c>
      <c r="M958" t="s">
        <v>81</v>
      </c>
      <c r="N958" t="s">
        <v>14</v>
      </c>
    </row>
    <row r="959" spans="1:14" x14ac:dyDescent="0.35">
      <c r="A959" s="75">
        <v>43943</v>
      </c>
      <c r="B959" t="s">
        <v>161</v>
      </c>
      <c r="C959" t="s">
        <v>95</v>
      </c>
      <c r="D959">
        <v>7</v>
      </c>
      <c r="E959">
        <v>7</v>
      </c>
      <c r="F959" t="s">
        <v>10</v>
      </c>
      <c r="G959" t="s">
        <v>70</v>
      </c>
      <c r="H959" t="s">
        <v>1</v>
      </c>
      <c r="I959">
        <v>80000000</v>
      </c>
      <c r="J959" t="s">
        <v>38</v>
      </c>
      <c r="K959" t="s">
        <v>2</v>
      </c>
      <c r="L959" t="s">
        <v>67</v>
      </c>
      <c r="M959" t="s">
        <v>80</v>
      </c>
      <c r="N959" t="s">
        <v>14</v>
      </c>
    </row>
    <row r="960" spans="1:14" x14ac:dyDescent="0.35">
      <c r="A960" s="75">
        <v>43943</v>
      </c>
      <c r="B960" t="s">
        <v>161</v>
      </c>
      <c r="C960" t="s">
        <v>95</v>
      </c>
      <c r="D960">
        <v>6</v>
      </c>
      <c r="E960">
        <v>6</v>
      </c>
      <c r="F960" t="s">
        <v>10</v>
      </c>
      <c r="G960" t="s">
        <v>76</v>
      </c>
      <c r="H960" t="s">
        <v>79</v>
      </c>
      <c r="I960">
        <v>40000000</v>
      </c>
      <c r="J960" t="s">
        <v>26</v>
      </c>
      <c r="K960" t="s">
        <v>7</v>
      </c>
      <c r="L960" t="s">
        <v>67</v>
      </c>
      <c r="M960" t="s">
        <v>82</v>
      </c>
      <c r="N960" t="s">
        <v>12</v>
      </c>
    </row>
    <row r="961" spans="1:14" x14ac:dyDescent="0.35">
      <c r="A961" s="75">
        <v>43943</v>
      </c>
      <c r="B961" t="s">
        <v>161</v>
      </c>
      <c r="C961" t="s">
        <v>95</v>
      </c>
      <c r="D961">
        <v>5</v>
      </c>
      <c r="E961">
        <v>5</v>
      </c>
      <c r="F961" t="s">
        <v>10</v>
      </c>
      <c r="G961" t="s">
        <v>76</v>
      </c>
      <c r="H961" t="s">
        <v>79</v>
      </c>
      <c r="I961">
        <v>100000000</v>
      </c>
      <c r="J961" t="s">
        <v>36</v>
      </c>
      <c r="K961" t="s">
        <v>2</v>
      </c>
      <c r="L961" t="s">
        <v>67</v>
      </c>
      <c r="M961" t="s">
        <v>82</v>
      </c>
      <c r="N961" t="s">
        <v>11</v>
      </c>
    </row>
    <row r="962" spans="1:14" x14ac:dyDescent="0.35">
      <c r="A962" s="75">
        <v>43943</v>
      </c>
      <c r="B962" t="s">
        <v>161</v>
      </c>
      <c r="C962" t="s">
        <v>95</v>
      </c>
      <c r="D962">
        <v>4</v>
      </c>
      <c r="E962">
        <v>4</v>
      </c>
      <c r="F962" t="s">
        <v>10</v>
      </c>
      <c r="G962" t="s">
        <v>113</v>
      </c>
      <c r="H962" t="s">
        <v>77</v>
      </c>
      <c r="I962">
        <v>100000000</v>
      </c>
      <c r="J962" t="s">
        <v>23</v>
      </c>
      <c r="K962" t="s">
        <v>5</v>
      </c>
      <c r="L962" t="s">
        <v>67</v>
      </c>
      <c r="M962" t="s">
        <v>82</v>
      </c>
      <c r="N962" t="s">
        <v>12</v>
      </c>
    </row>
    <row r="963" spans="1:14" x14ac:dyDescent="0.35">
      <c r="A963" s="75">
        <v>43943</v>
      </c>
      <c r="B963" t="s">
        <v>161</v>
      </c>
      <c r="C963" t="s">
        <v>95</v>
      </c>
      <c r="D963">
        <v>3</v>
      </c>
      <c r="E963">
        <v>3</v>
      </c>
      <c r="F963" t="s">
        <v>10</v>
      </c>
      <c r="G963" t="s">
        <v>113</v>
      </c>
      <c r="H963" t="s">
        <v>77</v>
      </c>
      <c r="I963">
        <v>60000000</v>
      </c>
      <c r="J963" t="s">
        <v>59</v>
      </c>
      <c r="K963" t="s">
        <v>7</v>
      </c>
      <c r="L963" t="s">
        <v>67</v>
      </c>
      <c r="M963" t="s">
        <v>82</v>
      </c>
      <c r="N963" t="s">
        <v>11</v>
      </c>
    </row>
    <row r="964" spans="1:14" x14ac:dyDescent="0.35">
      <c r="A964" s="75">
        <v>43943</v>
      </c>
      <c r="B964" t="s">
        <v>161</v>
      </c>
      <c r="C964" t="s">
        <v>95</v>
      </c>
      <c r="D964">
        <v>3</v>
      </c>
      <c r="E964">
        <v>3</v>
      </c>
      <c r="F964" t="s">
        <v>10</v>
      </c>
      <c r="G964" t="s">
        <v>73</v>
      </c>
      <c r="H964" t="s">
        <v>78</v>
      </c>
      <c r="I964">
        <v>140000000</v>
      </c>
      <c r="J964" t="s">
        <v>33</v>
      </c>
      <c r="K964" t="s">
        <v>2</v>
      </c>
      <c r="L964" t="s">
        <v>67</v>
      </c>
      <c r="M964" t="s">
        <v>81</v>
      </c>
      <c r="N964" t="s">
        <v>12</v>
      </c>
    </row>
    <row r="965" spans="1:14" x14ac:dyDescent="0.35">
      <c r="A965" s="75">
        <v>43944</v>
      </c>
      <c r="B965" t="s">
        <v>162</v>
      </c>
      <c r="C965" t="s">
        <v>95</v>
      </c>
      <c r="D965">
        <v>10</v>
      </c>
      <c r="E965">
        <v>10</v>
      </c>
      <c r="F965" t="s">
        <v>10</v>
      </c>
      <c r="G965" t="s">
        <v>76</v>
      </c>
      <c r="H965" t="s">
        <v>79</v>
      </c>
      <c r="I965">
        <v>140000000</v>
      </c>
      <c r="J965" t="s">
        <v>26</v>
      </c>
      <c r="K965" t="s">
        <v>2</v>
      </c>
      <c r="L965" t="s">
        <v>67</v>
      </c>
      <c r="M965" t="s">
        <v>80</v>
      </c>
      <c r="N965" t="s">
        <v>12</v>
      </c>
    </row>
    <row r="966" spans="1:14" x14ac:dyDescent="0.35">
      <c r="A966" s="75">
        <v>43944</v>
      </c>
      <c r="B966" t="s">
        <v>162</v>
      </c>
      <c r="C966" t="s">
        <v>95</v>
      </c>
      <c r="D966">
        <v>9</v>
      </c>
      <c r="E966">
        <v>9</v>
      </c>
      <c r="F966" t="s">
        <v>10</v>
      </c>
      <c r="G966" t="s">
        <v>73</v>
      </c>
      <c r="H966" t="s">
        <v>78</v>
      </c>
      <c r="I966">
        <v>140000000</v>
      </c>
      <c r="J966" t="s">
        <v>56</v>
      </c>
      <c r="K966" t="s">
        <v>4</v>
      </c>
      <c r="L966" t="s">
        <v>67</v>
      </c>
      <c r="M966" t="s">
        <v>80</v>
      </c>
      <c r="N966" t="s">
        <v>12</v>
      </c>
    </row>
    <row r="967" spans="1:14" x14ac:dyDescent="0.35">
      <c r="A967" s="75">
        <v>43944</v>
      </c>
      <c r="B967" t="s">
        <v>162</v>
      </c>
      <c r="C967" t="s">
        <v>95</v>
      </c>
      <c r="D967">
        <v>9</v>
      </c>
      <c r="E967">
        <v>9</v>
      </c>
      <c r="F967" t="s">
        <v>10</v>
      </c>
      <c r="G967" t="s">
        <v>113</v>
      </c>
      <c r="H967" t="s">
        <v>77</v>
      </c>
      <c r="I967">
        <v>100000000</v>
      </c>
      <c r="J967" t="s">
        <v>17</v>
      </c>
      <c r="K967" t="s">
        <v>2</v>
      </c>
      <c r="L967" t="s">
        <v>67</v>
      </c>
      <c r="M967" t="s">
        <v>82</v>
      </c>
      <c r="N967" t="s">
        <v>13</v>
      </c>
    </row>
    <row r="968" spans="1:14" x14ac:dyDescent="0.35">
      <c r="A968" s="75">
        <v>43944</v>
      </c>
      <c r="B968" t="s">
        <v>162</v>
      </c>
      <c r="C968" t="s">
        <v>95</v>
      </c>
      <c r="D968">
        <v>7</v>
      </c>
      <c r="E968">
        <v>7</v>
      </c>
      <c r="F968" t="s">
        <v>10</v>
      </c>
      <c r="G968" t="s">
        <v>72</v>
      </c>
      <c r="H968" t="s">
        <v>78</v>
      </c>
      <c r="I968">
        <v>100000000</v>
      </c>
      <c r="J968" t="s">
        <v>26</v>
      </c>
      <c r="K968" t="s">
        <v>2</v>
      </c>
      <c r="L968" t="s">
        <v>67</v>
      </c>
      <c r="M968" t="s">
        <v>81</v>
      </c>
      <c r="N968" t="s">
        <v>11</v>
      </c>
    </row>
    <row r="969" spans="1:14" x14ac:dyDescent="0.35">
      <c r="A969" s="75">
        <v>43944</v>
      </c>
      <c r="B969" t="s">
        <v>162</v>
      </c>
      <c r="C969" t="s">
        <v>95</v>
      </c>
      <c r="D969">
        <v>7</v>
      </c>
      <c r="E969">
        <v>7</v>
      </c>
      <c r="F969" t="s">
        <v>10</v>
      </c>
      <c r="G969" t="s">
        <v>76</v>
      </c>
      <c r="H969" t="s">
        <v>79</v>
      </c>
      <c r="I969">
        <v>140000000</v>
      </c>
      <c r="J969" t="s">
        <v>44</v>
      </c>
      <c r="K969" t="s">
        <v>2</v>
      </c>
      <c r="L969" t="s">
        <v>67</v>
      </c>
      <c r="M969" t="s">
        <v>82</v>
      </c>
      <c r="N969" t="s">
        <v>13</v>
      </c>
    </row>
    <row r="970" spans="1:14" x14ac:dyDescent="0.35">
      <c r="A970" s="75">
        <v>43944</v>
      </c>
      <c r="B970" t="s">
        <v>162</v>
      </c>
      <c r="C970" t="s">
        <v>95</v>
      </c>
      <c r="D970">
        <v>7</v>
      </c>
      <c r="E970">
        <v>7</v>
      </c>
      <c r="F970" t="s">
        <v>10</v>
      </c>
      <c r="G970" t="s">
        <v>70</v>
      </c>
      <c r="H970" t="s">
        <v>1</v>
      </c>
      <c r="I970">
        <v>140000000</v>
      </c>
      <c r="J970" t="s">
        <v>39</v>
      </c>
      <c r="K970" t="s">
        <v>2</v>
      </c>
      <c r="L970" t="s">
        <v>67</v>
      </c>
      <c r="M970" t="s">
        <v>81</v>
      </c>
      <c r="N970" t="s">
        <v>11</v>
      </c>
    </row>
    <row r="971" spans="1:14" x14ac:dyDescent="0.35">
      <c r="A971" s="75">
        <v>43944</v>
      </c>
      <c r="B971" t="s">
        <v>162</v>
      </c>
      <c r="C971" t="s">
        <v>95</v>
      </c>
      <c r="D971">
        <v>7</v>
      </c>
      <c r="E971">
        <v>7</v>
      </c>
      <c r="F971" t="s">
        <v>10</v>
      </c>
      <c r="G971" t="s">
        <v>72</v>
      </c>
      <c r="H971" t="s">
        <v>78</v>
      </c>
      <c r="I971">
        <v>140000000</v>
      </c>
      <c r="J971" t="s">
        <v>61</v>
      </c>
      <c r="K971" t="s">
        <v>2</v>
      </c>
      <c r="L971" t="s">
        <v>67</v>
      </c>
      <c r="M971" t="s">
        <v>80</v>
      </c>
      <c r="N971" t="s">
        <v>13</v>
      </c>
    </row>
    <row r="972" spans="1:14" x14ac:dyDescent="0.35">
      <c r="A972" s="75">
        <v>43944</v>
      </c>
      <c r="B972" t="s">
        <v>162</v>
      </c>
      <c r="C972" t="s">
        <v>95</v>
      </c>
      <c r="D972">
        <v>6</v>
      </c>
      <c r="E972">
        <v>6</v>
      </c>
      <c r="F972" t="s">
        <v>10</v>
      </c>
      <c r="G972" t="s">
        <v>76</v>
      </c>
      <c r="H972" t="s">
        <v>79</v>
      </c>
      <c r="I972">
        <v>120000000</v>
      </c>
      <c r="J972" t="s">
        <v>39</v>
      </c>
      <c r="K972" t="s">
        <v>7</v>
      </c>
      <c r="L972" t="s">
        <v>67</v>
      </c>
      <c r="M972" t="s">
        <v>82</v>
      </c>
      <c r="N972" t="s">
        <v>12</v>
      </c>
    </row>
    <row r="973" spans="1:14" x14ac:dyDescent="0.35">
      <c r="A973" s="75">
        <v>43944</v>
      </c>
      <c r="B973" t="s">
        <v>162</v>
      </c>
      <c r="C973" t="s">
        <v>95</v>
      </c>
      <c r="D973">
        <v>6</v>
      </c>
      <c r="E973">
        <v>6</v>
      </c>
      <c r="F973" t="s">
        <v>10</v>
      </c>
      <c r="G973" t="s">
        <v>113</v>
      </c>
      <c r="H973" t="s">
        <v>77</v>
      </c>
      <c r="I973">
        <v>40000000</v>
      </c>
      <c r="J973" t="s">
        <v>25</v>
      </c>
      <c r="K973" t="s">
        <v>2</v>
      </c>
      <c r="L973" t="s">
        <v>67</v>
      </c>
      <c r="M973" t="s">
        <v>82</v>
      </c>
      <c r="N973" t="s">
        <v>13</v>
      </c>
    </row>
    <row r="974" spans="1:14" x14ac:dyDescent="0.35">
      <c r="A974" s="75">
        <v>43944</v>
      </c>
      <c r="B974" t="s">
        <v>162</v>
      </c>
      <c r="C974" t="s">
        <v>95</v>
      </c>
      <c r="D974">
        <v>6</v>
      </c>
      <c r="E974">
        <v>6</v>
      </c>
      <c r="F974" t="s">
        <v>10</v>
      </c>
      <c r="G974" t="s">
        <v>71</v>
      </c>
      <c r="H974" t="s">
        <v>6</v>
      </c>
      <c r="I974">
        <v>80000000</v>
      </c>
      <c r="J974" t="s">
        <v>30</v>
      </c>
      <c r="K974" t="s">
        <v>5</v>
      </c>
      <c r="L974" t="s">
        <v>67</v>
      </c>
      <c r="M974" t="s">
        <v>81</v>
      </c>
      <c r="N974" t="s">
        <v>14</v>
      </c>
    </row>
    <row r="975" spans="1:14" x14ac:dyDescent="0.35">
      <c r="A975" s="75">
        <v>43944</v>
      </c>
      <c r="B975" t="s">
        <v>162</v>
      </c>
      <c r="C975" t="s">
        <v>95</v>
      </c>
      <c r="D975">
        <v>4</v>
      </c>
      <c r="E975">
        <v>4</v>
      </c>
      <c r="F975" t="s">
        <v>10</v>
      </c>
      <c r="G975" t="s">
        <v>114</v>
      </c>
      <c r="H975" t="s">
        <v>3</v>
      </c>
      <c r="I975">
        <v>80000000</v>
      </c>
      <c r="J975" t="s">
        <v>52</v>
      </c>
      <c r="K975" t="s">
        <v>2</v>
      </c>
      <c r="L975" t="s">
        <v>67</v>
      </c>
      <c r="M975" t="s">
        <v>82</v>
      </c>
      <c r="N975" t="s">
        <v>11</v>
      </c>
    </row>
    <row r="976" spans="1:14" x14ac:dyDescent="0.35">
      <c r="A976" s="75">
        <v>43944</v>
      </c>
      <c r="B976" t="s">
        <v>162</v>
      </c>
      <c r="C976" t="s">
        <v>95</v>
      </c>
      <c r="D976">
        <v>4</v>
      </c>
      <c r="E976">
        <v>4</v>
      </c>
      <c r="F976" t="s">
        <v>10</v>
      </c>
      <c r="G976" t="s">
        <v>72</v>
      </c>
      <c r="H976" t="s">
        <v>78</v>
      </c>
      <c r="I976">
        <v>120000000</v>
      </c>
      <c r="J976" t="s">
        <v>30</v>
      </c>
      <c r="K976" t="s">
        <v>7</v>
      </c>
      <c r="L976" t="s">
        <v>67</v>
      </c>
      <c r="M976" t="s">
        <v>82</v>
      </c>
      <c r="N976" t="s">
        <v>14</v>
      </c>
    </row>
    <row r="977" spans="1:14" x14ac:dyDescent="0.35">
      <c r="A977" s="75">
        <v>43944</v>
      </c>
      <c r="B977" t="s">
        <v>162</v>
      </c>
      <c r="C977" t="s">
        <v>95</v>
      </c>
      <c r="D977">
        <v>3</v>
      </c>
      <c r="E977">
        <v>3</v>
      </c>
      <c r="F977" t="s">
        <v>10</v>
      </c>
      <c r="G977" t="s">
        <v>70</v>
      </c>
      <c r="H977" t="s">
        <v>1</v>
      </c>
      <c r="I977">
        <v>40000000</v>
      </c>
      <c r="J977" t="s">
        <v>32</v>
      </c>
      <c r="K977" t="s">
        <v>2</v>
      </c>
      <c r="L977" t="s">
        <v>67</v>
      </c>
      <c r="M977" t="s">
        <v>82</v>
      </c>
      <c r="N977" t="s">
        <v>12</v>
      </c>
    </row>
    <row r="978" spans="1:14" x14ac:dyDescent="0.35">
      <c r="A978" s="75">
        <v>43944</v>
      </c>
      <c r="B978" t="s">
        <v>162</v>
      </c>
      <c r="C978" t="s">
        <v>95</v>
      </c>
      <c r="D978">
        <v>3</v>
      </c>
      <c r="E978">
        <v>3</v>
      </c>
      <c r="F978" t="s">
        <v>10</v>
      </c>
      <c r="G978" t="s">
        <v>70</v>
      </c>
      <c r="H978" t="s">
        <v>1</v>
      </c>
      <c r="I978">
        <v>140000000</v>
      </c>
      <c r="J978" t="s">
        <v>16</v>
      </c>
      <c r="K978" t="s">
        <v>8</v>
      </c>
      <c r="L978" t="s">
        <v>67</v>
      </c>
      <c r="M978" t="s">
        <v>82</v>
      </c>
      <c r="N978" t="s">
        <v>13</v>
      </c>
    </row>
    <row r="979" spans="1:14" x14ac:dyDescent="0.35">
      <c r="A979" s="75">
        <v>43945</v>
      </c>
      <c r="B979" t="s">
        <v>163</v>
      </c>
      <c r="C979" t="s">
        <v>95</v>
      </c>
      <c r="D979">
        <v>10</v>
      </c>
      <c r="E979">
        <v>8</v>
      </c>
      <c r="F979">
        <v>2</v>
      </c>
      <c r="G979" t="s">
        <v>113</v>
      </c>
      <c r="H979" t="s">
        <v>77</v>
      </c>
      <c r="I979">
        <v>140000000</v>
      </c>
      <c r="J979" t="s">
        <v>38</v>
      </c>
      <c r="K979" t="s">
        <v>4</v>
      </c>
      <c r="L979" t="s">
        <v>67</v>
      </c>
      <c r="M979" t="s">
        <v>82</v>
      </c>
      <c r="N979" t="s">
        <v>11</v>
      </c>
    </row>
    <row r="980" spans="1:14" x14ac:dyDescent="0.35">
      <c r="A980" s="75">
        <v>43945</v>
      </c>
      <c r="B980" t="s">
        <v>163</v>
      </c>
      <c r="C980" t="s">
        <v>95</v>
      </c>
      <c r="D980">
        <v>10</v>
      </c>
      <c r="E980">
        <v>7</v>
      </c>
      <c r="F980">
        <v>3</v>
      </c>
      <c r="G980" t="s">
        <v>74</v>
      </c>
      <c r="H980" t="s">
        <v>77</v>
      </c>
      <c r="I980">
        <v>80000000</v>
      </c>
      <c r="J980" t="s">
        <v>64</v>
      </c>
      <c r="K980" t="s">
        <v>7</v>
      </c>
      <c r="L980" t="s">
        <v>67</v>
      </c>
      <c r="M980" t="s">
        <v>80</v>
      </c>
      <c r="N980" t="s">
        <v>11</v>
      </c>
    </row>
    <row r="981" spans="1:14" x14ac:dyDescent="0.35">
      <c r="A981" s="75">
        <v>43945</v>
      </c>
      <c r="B981" t="s">
        <v>163</v>
      </c>
      <c r="C981" t="s">
        <v>95</v>
      </c>
      <c r="D981">
        <v>9</v>
      </c>
      <c r="E981">
        <v>5</v>
      </c>
      <c r="F981">
        <v>4</v>
      </c>
      <c r="G981" t="s">
        <v>74</v>
      </c>
      <c r="H981" t="s">
        <v>77</v>
      </c>
      <c r="I981">
        <v>80000000</v>
      </c>
      <c r="J981" t="s">
        <v>17</v>
      </c>
      <c r="K981" t="s">
        <v>2</v>
      </c>
      <c r="L981" t="s">
        <v>67</v>
      </c>
      <c r="M981" t="s">
        <v>81</v>
      </c>
      <c r="N981" t="s">
        <v>13</v>
      </c>
    </row>
    <row r="982" spans="1:14" x14ac:dyDescent="0.35">
      <c r="A982" s="75">
        <v>43945</v>
      </c>
      <c r="B982" t="s">
        <v>163</v>
      </c>
      <c r="C982" t="s">
        <v>95</v>
      </c>
      <c r="D982">
        <v>6</v>
      </c>
      <c r="E982">
        <v>3</v>
      </c>
      <c r="F982">
        <v>3</v>
      </c>
      <c r="G982" t="s">
        <v>72</v>
      </c>
      <c r="H982" t="s">
        <v>78</v>
      </c>
      <c r="I982">
        <v>100000000</v>
      </c>
      <c r="J982" t="s">
        <v>46</v>
      </c>
      <c r="K982" t="s">
        <v>5</v>
      </c>
      <c r="L982" t="s">
        <v>67</v>
      </c>
      <c r="M982" t="s">
        <v>82</v>
      </c>
      <c r="N982" t="s">
        <v>13</v>
      </c>
    </row>
    <row r="983" spans="1:14" x14ac:dyDescent="0.35">
      <c r="A983" s="75">
        <v>43945</v>
      </c>
      <c r="B983" t="s">
        <v>163</v>
      </c>
      <c r="C983" t="s">
        <v>95</v>
      </c>
      <c r="D983">
        <v>4</v>
      </c>
      <c r="E983">
        <v>2</v>
      </c>
      <c r="F983">
        <v>2</v>
      </c>
      <c r="G983" t="s">
        <v>75</v>
      </c>
      <c r="H983" t="s">
        <v>6</v>
      </c>
      <c r="I983">
        <v>60000000</v>
      </c>
      <c r="J983" t="s">
        <v>46</v>
      </c>
      <c r="K983" t="s">
        <v>5</v>
      </c>
      <c r="L983" t="s">
        <v>67</v>
      </c>
      <c r="M983" t="s">
        <v>82</v>
      </c>
      <c r="N983" t="s">
        <v>13</v>
      </c>
    </row>
    <row r="984" spans="1:14" x14ac:dyDescent="0.35">
      <c r="A984" s="75">
        <v>43945</v>
      </c>
      <c r="B984" t="s">
        <v>163</v>
      </c>
      <c r="C984" t="s">
        <v>95</v>
      </c>
      <c r="D984">
        <v>4</v>
      </c>
      <c r="E984">
        <v>3</v>
      </c>
      <c r="F984">
        <v>1</v>
      </c>
      <c r="G984" t="s">
        <v>114</v>
      </c>
      <c r="H984" t="s">
        <v>3</v>
      </c>
      <c r="I984">
        <v>100000000</v>
      </c>
      <c r="J984" t="s">
        <v>45</v>
      </c>
      <c r="K984" t="s">
        <v>2</v>
      </c>
      <c r="L984" t="s">
        <v>67</v>
      </c>
      <c r="M984" t="s">
        <v>81</v>
      </c>
      <c r="N984" t="s">
        <v>12</v>
      </c>
    </row>
    <row r="985" spans="1:14" x14ac:dyDescent="0.35">
      <c r="A985" s="75">
        <v>43945</v>
      </c>
      <c r="B985" t="s">
        <v>163</v>
      </c>
      <c r="C985" t="s">
        <v>95</v>
      </c>
      <c r="D985">
        <v>3</v>
      </c>
      <c r="E985">
        <v>1</v>
      </c>
      <c r="F985">
        <v>2</v>
      </c>
      <c r="G985" t="s">
        <v>75</v>
      </c>
      <c r="H985" t="s">
        <v>6</v>
      </c>
      <c r="I985">
        <v>120000000</v>
      </c>
      <c r="J985" t="s">
        <v>22</v>
      </c>
      <c r="K985" t="s">
        <v>5</v>
      </c>
      <c r="L985" t="s">
        <v>67</v>
      </c>
      <c r="M985" t="s">
        <v>80</v>
      </c>
      <c r="N985" t="s">
        <v>12</v>
      </c>
    </row>
    <row r="986" spans="1:14" x14ac:dyDescent="0.35">
      <c r="A986" s="75">
        <v>43946</v>
      </c>
      <c r="B986" t="s">
        <v>164</v>
      </c>
      <c r="C986" t="s">
        <v>95</v>
      </c>
      <c r="D986">
        <v>9</v>
      </c>
      <c r="E986">
        <v>6</v>
      </c>
      <c r="F986">
        <v>3</v>
      </c>
      <c r="G986" t="s">
        <v>71</v>
      </c>
      <c r="H986" t="s">
        <v>6</v>
      </c>
      <c r="I986">
        <v>100000000</v>
      </c>
      <c r="J986" t="s">
        <v>24</v>
      </c>
      <c r="K986" t="s">
        <v>8</v>
      </c>
      <c r="L986" t="s">
        <v>67</v>
      </c>
      <c r="M986" t="s">
        <v>82</v>
      </c>
      <c r="N986" t="s">
        <v>14</v>
      </c>
    </row>
    <row r="987" spans="1:14" x14ac:dyDescent="0.35">
      <c r="A987" s="75">
        <v>43946</v>
      </c>
      <c r="B987" t="s">
        <v>164</v>
      </c>
      <c r="C987" t="s">
        <v>95</v>
      </c>
      <c r="D987">
        <v>8</v>
      </c>
      <c r="E987">
        <v>6</v>
      </c>
      <c r="F987">
        <v>2</v>
      </c>
      <c r="G987" t="s">
        <v>75</v>
      </c>
      <c r="H987" t="s">
        <v>6</v>
      </c>
      <c r="I987">
        <v>120000000</v>
      </c>
      <c r="J987" t="s">
        <v>23</v>
      </c>
      <c r="K987" t="s">
        <v>5</v>
      </c>
      <c r="L987" t="s">
        <v>67</v>
      </c>
      <c r="M987" t="s">
        <v>82</v>
      </c>
      <c r="N987" t="s">
        <v>13</v>
      </c>
    </row>
    <row r="988" spans="1:14" x14ac:dyDescent="0.35">
      <c r="A988" s="75">
        <v>43946</v>
      </c>
      <c r="B988" t="s">
        <v>164</v>
      </c>
      <c r="C988" t="s">
        <v>95</v>
      </c>
      <c r="D988">
        <v>8</v>
      </c>
      <c r="E988">
        <v>4</v>
      </c>
      <c r="F988">
        <v>4</v>
      </c>
      <c r="G988" t="s">
        <v>114</v>
      </c>
      <c r="H988" t="s">
        <v>3</v>
      </c>
      <c r="I988">
        <v>100000000</v>
      </c>
      <c r="J988" t="s">
        <v>21</v>
      </c>
      <c r="K988" t="s">
        <v>2</v>
      </c>
      <c r="L988" t="s">
        <v>67</v>
      </c>
      <c r="M988" t="s">
        <v>80</v>
      </c>
      <c r="N988" t="s">
        <v>13</v>
      </c>
    </row>
    <row r="989" spans="1:14" x14ac:dyDescent="0.35">
      <c r="A989" s="75">
        <v>43946</v>
      </c>
      <c r="B989" t="s">
        <v>164</v>
      </c>
      <c r="C989" t="s">
        <v>95</v>
      </c>
      <c r="D989">
        <v>7</v>
      </c>
      <c r="E989">
        <v>6</v>
      </c>
      <c r="F989">
        <v>1</v>
      </c>
      <c r="G989" t="s">
        <v>70</v>
      </c>
      <c r="H989" t="s">
        <v>1</v>
      </c>
      <c r="I989">
        <v>80000000</v>
      </c>
      <c r="J989" t="s">
        <v>63</v>
      </c>
      <c r="K989" t="s">
        <v>2</v>
      </c>
      <c r="L989" t="s">
        <v>67</v>
      </c>
      <c r="M989" t="s">
        <v>81</v>
      </c>
      <c r="N989" t="s">
        <v>11</v>
      </c>
    </row>
    <row r="990" spans="1:14" x14ac:dyDescent="0.35">
      <c r="A990" s="75">
        <v>43946</v>
      </c>
      <c r="B990" t="s">
        <v>164</v>
      </c>
      <c r="C990" t="s">
        <v>95</v>
      </c>
      <c r="D990">
        <v>6</v>
      </c>
      <c r="E990">
        <v>3</v>
      </c>
      <c r="F990">
        <v>3</v>
      </c>
      <c r="G990" t="s">
        <v>76</v>
      </c>
      <c r="H990" t="s">
        <v>79</v>
      </c>
      <c r="I990">
        <v>100000000</v>
      </c>
      <c r="J990" t="s">
        <v>15</v>
      </c>
      <c r="K990" t="s">
        <v>8</v>
      </c>
      <c r="L990" t="s">
        <v>67</v>
      </c>
      <c r="M990" t="s">
        <v>80</v>
      </c>
      <c r="N990" t="s">
        <v>14</v>
      </c>
    </row>
    <row r="991" spans="1:14" x14ac:dyDescent="0.35">
      <c r="A991" s="75">
        <v>43946</v>
      </c>
      <c r="B991" t="s">
        <v>164</v>
      </c>
      <c r="C991" t="s">
        <v>95</v>
      </c>
      <c r="D991">
        <v>6</v>
      </c>
      <c r="E991">
        <v>5</v>
      </c>
      <c r="F991">
        <v>1</v>
      </c>
      <c r="G991" t="s">
        <v>72</v>
      </c>
      <c r="H991" t="s">
        <v>78</v>
      </c>
      <c r="I991">
        <v>120000000</v>
      </c>
      <c r="J991" t="s">
        <v>30</v>
      </c>
      <c r="K991" t="s">
        <v>5</v>
      </c>
      <c r="L991" t="s">
        <v>67</v>
      </c>
      <c r="M991" t="s">
        <v>82</v>
      </c>
      <c r="N991" t="s">
        <v>14</v>
      </c>
    </row>
    <row r="992" spans="1:14" x14ac:dyDescent="0.35">
      <c r="A992" s="75">
        <v>43946</v>
      </c>
      <c r="B992" t="s">
        <v>164</v>
      </c>
      <c r="C992" t="s">
        <v>95</v>
      </c>
      <c r="D992">
        <v>5</v>
      </c>
      <c r="E992">
        <v>4</v>
      </c>
      <c r="F992">
        <v>1</v>
      </c>
      <c r="G992" t="s">
        <v>73</v>
      </c>
      <c r="H992" t="s">
        <v>78</v>
      </c>
      <c r="I992">
        <v>80000000</v>
      </c>
      <c r="J992" t="s">
        <v>61</v>
      </c>
      <c r="K992" t="s">
        <v>2</v>
      </c>
      <c r="L992" t="s">
        <v>67</v>
      </c>
      <c r="M992" t="s">
        <v>82</v>
      </c>
      <c r="N992" t="s">
        <v>11</v>
      </c>
    </row>
    <row r="993" spans="1:14" x14ac:dyDescent="0.35">
      <c r="A993" s="75">
        <v>43946</v>
      </c>
      <c r="B993" t="s">
        <v>164</v>
      </c>
      <c r="C993" t="s">
        <v>95</v>
      </c>
      <c r="D993">
        <v>5</v>
      </c>
      <c r="E993">
        <v>4</v>
      </c>
      <c r="F993">
        <v>1</v>
      </c>
      <c r="G993" t="s">
        <v>114</v>
      </c>
      <c r="H993" t="s">
        <v>3</v>
      </c>
      <c r="I993">
        <v>60000000</v>
      </c>
      <c r="J993" t="s">
        <v>57</v>
      </c>
      <c r="K993" t="s">
        <v>2</v>
      </c>
      <c r="L993" t="s">
        <v>67</v>
      </c>
      <c r="M993" t="s">
        <v>81</v>
      </c>
      <c r="N993" t="s">
        <v>14</v>
      </c>
    </row>
    <row r="994" spans="1:14" x14ac:dyDescent="0.35">
      <c r="A994" s="75">
        <v>43946</v>
      </c>
      <c r="B994" t="s">
        <v>164</v>
      </c>
      <c r="C994" t="s">
        <v>95</v>
      </c>
      <c r="D994">
        <v>5</v>
      </c>
      <c r="E994">
        <v>3</v>
      </c>
      <c r="F994">
        <v>2</v>
      </c>
      <c r="G994" t="s">
        <v>74</v>
      </c>
      <c r="H994" t="s">
        <v>77</v>
      </c>
      <c r="I994">
        <v>40000000</v>
      </c>
      <c r="J994" t="s">
        <v>32</v>
      </c>
      <c r="K994" t="s">
        <v>2</v>
      </c>
      <c r="L994" t="s">
        <v>67</v>
      </c>
      <c r="M994" t="s">
        <v>81</v>
      </c>
      <c r="N994" t="s">
        <v>13</v>
      </c>
    </row>
    <row r="995" spans="1:14" x14ac:dyDescent="0.35">
      <c r="A995" s="75">
        <v>43946</v>
      </c>
      <c r="B995" t="s">
        <v>164</v>
      </c>
      <c r="C995" t="s">
        <v>95</v>
      </c>
      <c r="D995">
        <v>3</v>
      </c>
      <c r="E995">
        <v>2</v>
      </c>
      <c r="F995">
        <v>1</v>
      </c>
      <c r="G995" t="s">
        <v>70</v>
      </c>
      <c r="H995" t="s">
        <v>1</v>
      </c>
      <c r="I995">
        <v>100000000</v>
      </c>
      <c r="J995" t="s">
        <v>48</v>
      </c>
      <c r="K995" t="s">
        <v>2</v>
      </c>
      <c r="L995" t="s">
        <v>67</v>
      </c>
      <c r="M995" t="s">
        <v>82</v>
      </c>
      <c r="N995" t="s">
        <v>11</v>
      </c>
    </row>
    <row r="996" spans="1:14" x14ac:dyDescent="0.35">
      <c r="A996" s="75">
        <v>43946</v>
      </c>
      <c r="B996" t="s">
        <v>164</v>
      </c>
      <c r="C996" t="s">
        <v>95</v>
      </c>
      <c r="D996">
        <v>3</v>
      </c>
      <c r="E996">
        <v>2</v>
      </c>
      <c r="F996">
        <v>1</v>
      </c>
      <c r="G996" t="s">
        <v>73</v>
      </c>
      <c r="H996" t="s">
        <v>78</v>
      </c>
      <c r="I996">
        <v>100000000</v>
      </c>
      <c r="J996" t="s">
        <v>26</v>
      </c>
      <c r="K996" t="s">
        <v>5</v>
      </c>
      <c r="L996" t="s">
        <v>67</v>
      </c>
      <c r="M996" t="s">
        <v>81</v>
      </c>
      <c r="N996" t="s">
        <v>14</v>
      </c>
    </row>
    <row r="997" spans="1:14" x14ac:dyDescent="0.35">
      <c r="A997" s="75">
        <v>43947</v>
      </c>
      <c r="B997" t="s">
        <v>165</v>
      </c>
      <c r="C997" t="s">
        <v>95</v>
      </c>
      <c r="D997">
        <v>10</v>
      </c>
      <c r="E997">
        <v>7</v>
      </c>
      <c r="F997">
        <v>3</v>
      </c>
      <c r="G997" t="s">
        <v>76</v>
      </c>
      <c r="H997" t="s">
        <v>79</v>
      </c>
      <c r="I997">
        <v>60000000</v>
      </c>
      <c r="J997" t="s">
        <v>48</v>
      </c>
      <c r="K997" t="s">
        <v>5</v>
      </c>
      <c r="L997" t="s">
        <v>67</v>
      </c>
      <c r="M997" t="s">
        <v>81</v>
      </c>
      <c r="N997" t="s">
        <v>12</v>
      </c>
    </row>
    <row r="998" spans="1:14" x14ac:dyDescent="0.35">
      <c r="A998" s="75">
        <v>43947</v>
      </c>
      <c r="B998" t="s">
        <v>165</v>
      </c>
      <c r="C998" t="s">
        <v>95</v>
      </c>
      <c r="D998">
        <v>9</v>
      </c>
      <c r="E998">
        <v>6</v>
      </c>
      <c r="F998">
        <v>3</v>
      </c>
      <c r="G998" t="s">
        <v>71</v>
      </c>
      <c r="H998" t="s">
        <v>6</v>
      </c>
      <c r="I998">
        <v>120000000</v>
      </c>
      <c r="J998" t="s">
        <v>24</v>
      </c>
      <c r="K998" t="s">
        <v>2</v>
      </c>
      <c r="L998" t="s">
        <v>67</v>
      </c>
      <c r="M998" t="s">
        <v>80</v>
      </c>
      <c r="N998" t="s">
        <v>12</v>
      </c>
    </row>
    <row r="999" spans="1:14" x14ac:dyDescent="0.35">
      <c r="A999" s="75">
        <v>43947</v>
      </c>
      <c r="B999" t="s">
        <v>165</v>
      </c>
      <c r="C999" t="s">
        <v>95</v>
      </c>
      <c r="D999">
        <v>7</v>
      </c>
      <c r="E999">
        <v>4</v>
      </c>
      <c r="F999">
        <v>3</v>
      </c>
      <c r="G999" t="s">
        <v>76</v>
      </c>
      <c r="H999" t="s">
        <v>79</v>
      </c>
      <c r="I999">
        <v>120000000</v>
      </c>
      <c r="J999" t="s">
        <v>30</v>
      </c>
      <c r="K999" t="s">
        <v>2</v>
      </c>
      <c r="L999" t="s">
        <v>67</v>
      </c>
      <c r="M999" t="s">
        <v>81</v>
      </c>
      <c r="N999" t="s">
        <v>13</v>
      </c>
    </row>
    <row r="1000" spans="1:14" x14ac:dyDescent="0.35">
      <c r="A1000" s="75">
        <v>43947</v>
      </c>
      <c r="B1000" t="s">
        <v>165</v>
      </c>
      <c r="C1000" t="s">
        <v>95</v>
      </c>
      <c r="D1000">
        <v>7</v>
      </c>
      <c r="E1000">
        <v>5</v>
      </c>
      <c r="F1000">
        <v>2</v>
      </c>
      <c r="G1000" t="s">
        <v>76</v>
      </c>
      <c r="H1000" t="s">
        <v>79</v>
      </c>
      <c r="I1000">
        <v>100000000</v>
      </c>
      <c r="J1000" t="s">
        <v>21</v>
      </c>
      <c r="K1000" t="s">
        <v>5</v>
      </c>
      <c r="L1000" t="s">
        <v>67</v>
      </c>
      <c r="M1000" t="s">
        <v>82</v>
      </c>
      <c r="N1000" t="s">
        <v>14</v>
      </c>
    </row>
    <row r="1001" spans="1:14" x14ac:dyDescent="0.35">
      <c r="A1001" s="75">
        <v>43947</v>
      </c>
      <c r="B1001" t="s">
        <v>165</v>
      </c>
      <c r="C1001" t="s">
        <v>95</v>
      </c>
      <c r="D1001">
        <v>4</v>
      </c>
      <c r="E1001">
        <v>2</v>
      </c>
      <c r="F1001">
        <v>2</v>
      </c>
      <c r="G1001" t="s">
        <v>114</v>
      </c>
      <c r="H1001" t="s">
        <v>3</v>
      </c>
      <c r="I1001">
        <v>60000000</v>
      </c>
      <c r="J1001" t="s">
        <v>48</v>
      </c>
      <c r="K1001" t="s">
        <v>2</v>
      </c>
      <c r="L1001" t="s">
        <v>67</v>
      </c>
      <c r="M1001" t="s">
        <v>81</v>
      </c>
      <c r="N1001" t="s">
        <v>14</v>
      </c>
    </row>
    <row r="1002" spans="1:14" x14ac:dyDescent="0.35">
      <c r="A1002" s="75">
        <v>43947</v>
      </c>
      <c r="B1002" t="s">
        <v>165</v>
      </c>
      <c r="C1002" t="s">
        <v>95</v>
      </c>
      <c r="D1002">
        <v>4</v>
      </c>
      <c r="E1002">
        <v>2</v>
      </c>
      <c r="F1002">
        <v>2</v>
      </c>
      <c r="G1002" t="s">
        <v>113</v>
      </c>
      <c r="H1002" t="s">
        <v>77</v>
      </c>
      <c r="I1002">
        <v>100000000</v>
      </c>
      <c r="J1002" t="s">
        <v>17</v>
      </c>
      <c r="K1002" t="s">
        <v>2</v>
      </c>
      <c r="L1002" t="s">
        <v>67</v>
      </c>
      <c r="M1002" t="s">
        <v>82</v>
      </c>
      <c r="N1002" t="s">
        <v>11</v>
      </c>
    </row>
    <row r="1003" spans="1:14" x14ac:dyDescent="0.35">
      <c r="A1003" s="75">
        <v>43947</v>
      </c>
      <c r="B1003" t="s">
        <v>165</v>
      </c>
      <c r="C1003" t="s">
        <v>95</v>
      </c>
      <c r="D1003">
        <v>3</v>
      </c>
      <c r="E1003">
        <v>2</v>
      </c>
      <c r="F1003">
        <v>1</v>
      </c>
      <c r="G1003" t="s">
        <v>74</v>
      </c>
      <c r="H1003" t="s">
        <v>77</v>
      </c>
      <c r="I1003">
        <v>100000000</v>
      </c>
      <c r="J1003" t="s">
        <v>32</v>
      </c>
      <c r="K1003" t="s">
        <v>2</v>
      </c>
      <c r="L1003" t="s">
        <v>67</v>
      </c>
      <c r="M1003" t="s">
        <v>81</v>
      </c>
      <c r="N1003" t="s">
        <v>14</v>
      </c>
    </row>
    <row r="1004" spans="1:14" x14ac:dyDescent="0.35">
      <c r="A1004" s="75">
        <v>43947</v>
      </c>
      <c r="B1004" t="s">
        <v>165</v>
      </c>
      <c r="C1004" t="s">
        <v>95</v>
      </c>
      <c r="D1004">
        <v>3</v>
      </c>
      <c r="E1004">
        <v>2</v>
      </c>
      <c r="F1004">
        <v>1</v>
      </c>
      <c r="G1004" t="s">
        <v>114</v>
      </c>
      <c r="H1004" t="s">
        <v>3</v>
      </c>
      <c r="I1004">
        <v>120000000</v>
      </c>
      <c r="J1004" t="s">
        <v>60</v>
      </c>
      <c r="K1004" t="s">
        <v>2</v>
      </c>
      <c r="L1004" t="s">
        <v>67</v>
      </c>
      <c r="M1004" t="s">
        <v>81</v>
      </c>
      <c r="N1004" t="s">
        <v>11</v>
      </c>
    </row>
    <row r="1005" spans="1:14" x14ac:dyDescent="0.35">
      <c r="A1005" s="75">
        <v>43948</v>
      </c>
      <c r="B1005" t="s">
        <v>166</v>
      </c>
      <c r="C1005" t="s">
        <v>95</v>
      </c>
      <c r="D1005">
        <v>10</v>
      </c>
      <c r="E1005">
        <v>8</v>
      </c>
      <c r="F1005">
        <v>2</v>
      </c>
      <c r="G1005" t="s">
        <v>76</v>
      </c>
      <c r="H1005" t="s">
        <v>79</v>
      </c>
      <c r="I1005">
        <v>100000000</v>
      </c>
      <c r="J1005" t="s">
        <v>39</v>
      </c>
      <c r="K1005" t="s">
        <v>5</v>
      </c>
      <c r="L1005" t="s">
        <v>67</v>
      </c>
      <c r="M1005" t="s">
        <v>80</v>
      </c>
      <c r="N1005" t="s">
        <v>11</v>
      </c>
    </row>
    <row r="1006" spans="1:14" x14ac:dyDescent="0.35">
      <c r="A1006" s="75">
        <v>43948</v>
      </c>
      <c r="B1006" t="s">
        <v>166</v>
      </c>
      <c r="C1006" t="s">
        <v>95</v>
      </c>
      <c r="D1006">
        <v>10</v>
      </c>
      <c r="E1006">
        <v>6</v>
      </c>
      <c r="F1006">
        <v>4</v>
      </c>
      <c r="G1006" t="s">
        <v>76</v>
      </c>
      <c r="H1006" t="s">
        <v>79</v>
      </c>
      <c r="I1006">
        <v>140000000</v>
      </c>
      <c r="J1006" t="s">
        <v>58</v>
      </c>
      <c r="K1006" t="s">
        <v>4</v>
      </c>
      <c r="L1006" t="s">
        <v>67</v>
      </c>
      <c r="M1006" t="s">
        <v>80</v>
      </c>
      <c r="N1006" t="s">
        <v>13</v>
      </c>
    </row>
    <row r="1007" spans="1:14" x14ac:dyDescent="0.35">
      <c r="A1007" s="75">
        <v>43948</v>
      </c>
      <c r="B1007" t="s">
        <v>166</v>
      </c>
      <c r="C1007" t="s">
        <v>95</v>
      </c>
      <c r="D1007">
        <v>7</v>
      </c>
      <c r="E1007">
        <v>6</v>
      </c>
      <c r="F1007">
        <v>1</v>
      </c>
      <c r="G1007" t="s">
        <v>71</v>
      </c>
      <c r="H1007" t="s">
        <v>6</v>
      </c>
      <c r="I1007">
        <v>40000000</v>
      </c>
      <c r="J1007" t="s">
        <v>46</v>
      </c>
      <c r="K1007" t="s">
        <v>2</v>
      </c>
      <c r="L1007" t="s">
        <v>67</v>
      </c>
      <c r="M1007" t="s">
        <v>80</v>
      </c>
      <c r="N1007" t="s">
        <v>12</v>
      </c>
    </row>
    <row r="1008" spans="1:14" x14ac:dyDescent="0.35">
      <c r="A1008" s="75">
        <v>43948</v>
      </c>
      <c r="B1008" t="s">
        <v>166</v>
      </c>
      <c r="C1008" t="s">
        <v>95</v>
      </c>
      <c r="D1008">
        <v>6</v>
      </c>
      <c r="E1008">
        <v>3</v>
      </c>
      <c r="F1008">
        <v>3</v>
      </c>
      <c r="G1008" t="s">
        <v>76</v>
      </c>
      <c r="H1008" t="s">
        <v>79</v>
      </c>
      <c r="I1008">
        <v>140000000</v>
      </c>
      <c r="J1008" t="s">
        <v>42</v>
      </c>
      <c r="K1008" t="s">
        <v>5</v>
      </c>
      <c r="L1008" t="s">
        <v>67</v>
      </c>
      <c r="M1008" t="s">
        <v>81</v>
      </c>
      <c r="N1008" t="s">
        <v>13</v>
      </c>
    </row>
    <row r="1009" spans="1:14" x14ac:dyDescent="0.35">
      <c r="A1009" s="75">
        <v>43948</v>
      </c>
      <c r="B1009" t="s">
        <v>166</v>
      </c>
      <c r="C1009" t="s">
        <v>95</v>
      </c>
      <c r="D1009">
        <v>6</v>
      </c>
      <c r="E1009">
        <v>3</v>
      </c>
      <c r="F1009">
        <v>3</v>
      </c>
      <c r="G1009" t="s">
        <v>73</v>
      </c>
      <c r="H1009" t="s">
        <v>78</v>
      </c>
      <c r="I1009">
        <v>80000000</v>
      </c>
      <c r="J1009" t="s">
        <v>50</v>
      </c>
      <c r="K1009" t="s">
        <v>2</v>
      </c>
      <c r="L1009" t="s">
        <v>67</v>
      </c>
      <c r="M1009" t="s">
        <v>81</v>
      </c>
      <c r="N1009" t="s">
        <v>11</v>
      </c>
    </row>
    <row r="1010" spans="1:14" x14ac:dyDescent="0.35">
      <c r="A1010" s="75">
        <v>43948</v>
      </c>
      <c r="B1010" t="s">
        <v>166</v>
      </c>
      <c r="C1010" t="s">
        <v>95</v>
      </c>
      <c r="D1010">
        <v>4</v>
      </c>
      <c r="E1010">
        <v>2</v>
      </c>
      <c r="F1010">
        <v>2</v>
      </c>
      <c r="G1010" t="s">
        <v>70</v>
      </c>
      <c r="H1010" t="s">
        <v>1</v>
      </c>
      <c r="I1010">
        <v>120000000</v>
      </c>
      <c r="J1010" t="s">
        <v>52</v>
      </c>
      <c r="K1010" t="s">
        <v>2</v>
      </c>
      <c r="L1010" t="s">
        <v>67</v>
      </c>
      <c r="M1010" t="s">
        <v>80</v>
      </c>
      <c r="N1010" t="s">
        <v>12</v>
      </c>
    </row>
    <row r="1011" spans="1:14" x14ac:dyDescent="0.35">
      <c r="A1011" s="75">
        <v>43948</v>
      </c>
      <c r="B1011" t="s">
        <v>166</v>
      </c>
      <c r="C1011" t="s">
        <v>95</v>
      </c>
      <c r="D1011">
        <v>4</v>
      </c>
      <c r="E1011">
        <v>2</v>
      </c>
      <c r="F1011">
        <v>2</v>
      </c>
      <c r="G1011" t="s">
        <v>74</v>
      </c>
      <c r="H1011" t="s">
        <v>77</v>
      </c>
      <c r="I1011">
        <v>40000000</v>
      </c>
      <c r="J1011" t="s">
        <v>24</v>
      </c>
      <c r="K1011" t="s">
        <v>2</v>
      </c>
      <c r="L1011" t="s">
        <v>67</v>
      </c>
      <c r="M1011" t="s">
        <v>80</v>
      </c>
      <c r="N1011" t="s">
        <v>13</v>
      </c>
    </row>
    <row r="1012" spans="1:14" x14ac:dyDescent="0.35">
      <c r="A1012" s="75">
        <v>43948</v>
      </c>
      <c r="B1012" t="s">
        <v>166</v>
      </c>
      <c r="C1012" t="s">
        <v>95</v>
      </c>
      <c r="D1012">
        <v>3</v>
      </c>
      <c r="E1012">
        <v>2</v>
      </c>
      <c r="F1012">
        <v>1</v>
      </c>
      <c r="G1012" t="s">
        <v>76</v>
      </c>
      <c r="H1012" t="s">
        <v>79</v>
      </c>
      <c r="I1012">
        <v>140000000</v>
      </c>
      <c r="J1012" t="s">
        <v>16</v>
      </c>
      <c r="K1012" t="s">
        <v>5</v>
      </c>
      <c r="L1012" t="s">
        <v>67</v>
      </c>
      <c r="M1012" t="s">
        <v>81</v>
      </c>
      <c r="N1012" t="s">
        <v>12</v>
      </c>
    </row>
    <row r="1013" spans="1:14" x14ac:dyDescent="0.35">
      <c r="A1013" s="75">
        <v>43948</v>
      </c>
      <c r="B1013" t="s">
        <v>166</v>
      </c>
      <c r="C1013" t="s">
        <v>95</v>
      </c>
      <c r="D1013">
        <v>3</v>
      </c>
      <c r="E1013">
        <v>1</v>
      </c>
      <c r="F1013">
        <v>2</v>
      </c>
      <c r="G1013" t="s">
        <v>75</v>
      </c>
      <c r="H1013" t="s">
        <v>6</v>
      </c>
      <c r="I1013">
        <v>140000000</v>
      </c>
      <c r="J1013" t="s">
        <v>18</v>
      </c>
      <c r="K1013" t="s">
        <v>5</v>
      </c>
      <c r="L1013" t="s">
        <v>67</v>
      </c>
      <c r="M1013" t="s">
        <v>81</v>
      </c>
      <c r="N1013" t="s">
        <v>14</v>
      </c>
    </row>
    <row r="1014" spans="1:14" x14ac:dyDescent="0.35">
      <c r="A1014" s="75">
        <v>43949</v>
      </c>
      <c r="B1014" t="s">
        <v>167</v>
      </c>
      <c r="C1014" t="s">
        <v>95</v>
      </c>
      <c r="D1014">
        <v>10</v>
      </c>
      <c r="E1014">
        <v>6</v>
      </c>
      <c r="F1014">
        <v>4</v>
      </c>
      <c r="G1014" t="s">
        <v>76</v>
      </c>
      <c r="H1014" t="s">
        <v>79</v>
      </c>
      <c r="I1014">
        <v>60000000</v>
      </c>
      <c r="J1014" t="s">
        <v>22</v>
      </c>
      <c r="K1014" t="s">
        <v>5</v>
      </c>
      <c r="L1014" t="s">
        <v>67</v>
      </c>
      <c r="M1014" t="s">
        <v>82</v>
      </c>
      <c r="N1014" t="s">
        <v>11</v>
      </c>
    </row>
    <row r="1015" spans="1:14" x14ac:dyDescent="0.35">
      <c r="A1015" s="75">
        <v>43949</v>
      </c>
      <c r="B1015" t="s">
        <v>167</v>
      </c>
      <c r="C1015" t="s">
        <v>95</v>
      </c>
      <c r="D1015">
        <v>9</v>
      </c>
      <c r="E1015">
        <v>7</v>
      </c>
      <c r="F1015">
        <v>2</v>
      </c>
      <c r="G1015" t="s">
        <v>70</v>
      </c>
      <c r="H1015" t="s">
        <v>1</v>
      </c>
      <c r="I1015">
        <v>100000000</v>
      </c>
      <c r="J1015" t="s">
        <v>29</v>
      </c>
      <c r="K1015" t="s">
        <v>5</v>
      </c>
      <c r="L1015" t="s">
        <v>67</v>
      </c>
      <c r="M1015" t="s">
        <v>82</v>
      </c>
      <c r="N1015" t="s">
        <v>12</v>
      </c>
    </row>
    <row r="1016" spans="1:14" x14ac:dyDescent="0.35">
      <c r="A1016" s="75">
        <v>43949</v>
      </c>
      <c r="B1016" t="s">
        <v>167</v>
      </c>
      <c r="C1016" t="s">
        <v>95</v>
      </c>
      <c r="D1016">
        <v>9</v>
      </c>
      <c r="E1016">
        <v>8</v>
      </c>
      <c r="F1016">
        <v>1</v>
      </c>
      <c r="G1016" t="s">
        <v>76</v>
      </c>
      <c r="H1016" t="s">
        <v>79</v>
      </c>
      <c r="I1016">
        <v>100000000</v>
      </c>
      <c r="J1016" t="s">
        <v>58</v>
      </c>
      <c r="K1016" t="s">
        <v>2</v>
      </c>
      <c r="L1016" t="s">
        <v>67</v>
      </c>
      <c r="M1016" t="s">
        <v>81</v>
      </c>
      <c r="N1016" t="s">
        <v>14</v>
      </c>
    </row>
    <row r="1017" spans="1:14" x14ac:dyDescent="0.35">
      <c r="A1017" s="75">
        <v>43949</v>
      </c>
      <c r="B1017" t="s">
        <v>167</v>
      </c>
      <c r="C1017" t="s">
        <v>95</v>
      </c>
      <c r="D1017">
        <v>8</v>
      </c>
      <c r="E1017">
        <v>5</v>
      </c>
      <c r="F1017">
        <v>3</v>
      </c>
      <c r="G1017" t="s">
        <v>113</v>
      </c>
      <c r="H1017" t="s">
        <v>77</v>
      </c>
      <c r="I1017">
        <v>40000000</v>
      </c>
      <c r="J1017" t="s">
        <v>29</v>
      </c>
      <c r="K1017" t="s">
        <v>8</v>
      </c>
      <c r="L1017" t="s">
        <v>67</v>
      </c>
      <c r="M1017" t="s">
        <v>80</v>
      </c>
      <c r="N1017" t="s">
        <v>11</v>
      </c>
    </row>
    <row r="1018" spans="1:14" x14ac:dyDescent="0.35">
      <c r="A1018" s="75">
        <v>43949</v>
      </c>
      <c r="B1018" t="s">
        <v>167</v>
      </c>
      <c r="C1018" t="s">
        <v>95</v>
      </c>
      <c r="D1018">
        <v>7</v>
      </c>
      <c r="E1018">
        <v>4</v>
      </c>
      <c r="F1018">
        <v>3</v>
      </c>
      <c r="G1018" t="s">
        <v>75</v>
      </c>
      <c r="H1018" t="s">
        <v>6</v>
      </c>
      <c r="I1018">
        <v>120000000</v>
      </c>
      <c r="J1018" t="s">
        <v>47</v>
      </c>
      <c r="K1018" t="s">
        <v>2</v>
      </c>
      <c r="L1018" t="s">
        <v>67</v>
      </c>
      <c r="M1018" t="s">
        <v>82</v>
      </c>
      <c r="N1018" t="s">
        <v>11</v>
      </c>
    </row>
    <row r="1019" spans="1:14" x14ac:dyDescent="0.35">
      <c r="A1019" s="75">
        <v>43949</v>
      </c>
      <c r="B1019" t="s">
        <v>167</v>
      </c>
      <c r="C1019" t="s">
        <v>95</v>
      </c>
      <c r="D1019">
        <v>7</v>
      </c>
      <c r="E1019">
        <v>4</v>
      </c>
      <c r="F1019">
        <v>3</v>
      </c>
      <c r="G1019" t="s">
        <v>71</v>
      </c>
      <c r="H1019" t="s">
        <v>6</v>
      </c>
      <c r="I1019">
        <v>140000000</v>
      </c>
      <c r="J1019" t="s">
        <v>31</v>
      </c>
      <c r="K1019" t="s">
        <v>5</v>
      </c>
      <c r="L1019" t="s">
        <v>67</v>
      </c>
      <c r="M1019" t="s">
        <v>80</v>
      </c>
      <c r="N1019" t="s">
        <v>14</v>
      </c>
    </row>
    <row r="1020" spans="1:14" x14ac:dyDescent="0.35">
      <c r="A1020" s="75">
        <v>43949</v>
      </c>
      <c r="B1020" t="s">
        <v>167</v>
      </c>
      <c r="C1020" t="s">
        <v>95</v>
      </c>
      <c r="D1020">
        <v>6</v>
      </c>
      <c r="E1020">
        <v>4</v>
      </c>
      <c r="F1020">
        <v>2</v>
      </c>
      <c r="G1020" t="s">
        <v>113</v>
      </c>
      <c r="H1020" t="s">
        <v>77</v>
      </c>
      <c r="I1020">
        <v>140000000</v>
      </c>
      <c r="J1020" t="s">
        <v>18</v>
      </c>
      <c r="K1020" t="s">
        <v>2</v>
      </c>
      <c r="L1020" t="s">
        <v>67</v>
      </c>
      <c r="M1020" t="s">
        <v>82</v>
      </c>
      <c r="N1020" t="s">
        <v>14</v>
      </c>
    </row>
    <row r="1021" spans="1:14" x14ac:dyDescent="0.35">
      <c r="A1021" s="75">
        <v>43949</v>
      </c>
      <c r="B1021" t="s">
        <v>167</v>
      </c>
      <c r="C1021" t="s">
        <v>95</v>
      </c>
      <c r="D1021">
        <v>6</v>
      </c>
      <c r="E1021">
        <v>4</v>
      </c>
      <c r="F1021">
        <v>2</v>
      </c>
      <c r="G1021" t="s">
        <v>74</v>
      </c>
      <c r="H1021" t="s">
        <v>77</v>
      </c>
      <c r="I1021">
        <v>80000000</v>
      </c>
      <c r="J1021" t="s">
        <v>26</v>
      </c>
      <c r="K1021" t="s">
        <v>5</v>
      </c>
      <c r="L1021" t="s">
        <v>67</v>
      </c>
      <c r="M1021" t="s">
        <v>80</v>
      </c>
      <c r="N1021" t="s">
        <v>12</v>
      </c>
    </row>
    <row r="1022" spans="1:14" x14ac:dyDescent="0.35">
      <c r="A1022" s="75">
        <v>43949</v>
      </c>
      <c r="B1022" t="s">
        <v>167</v>
      </c>
      <c r="C1022" t="s">
        <v>95</v>
      </c>
      <c r="D1022">
        <v>6</v>
      </c>
      <c r="E1022">
        <v>3</v>
      </c>
      <c r="F1022">
        <v>3</v>
      </c>
      <c r="G1022" t="s">
        <v>71</v>
      </c>
      <c r="H1022" t="s">
        <v>6</v>
      </c>
      <c r="I1022">
        <v>60000000</v>
      </c>
      <c r="J1022" t="s">
        <v>24</v>
      </c>
      <c r="K1022" t="s">
        <v>5</v>
      </c>
      <c r="L1022" t="s">
        <v>67</v>
      </c>
      <c r="M1022" t="s">
        <v>82</v>
      </c>
      <c r="N1022" t="s">
        <v>13</v>
      </c>
    </row>
    <row r="1023" spans="1:14" x14ac:dyDescent="0.35">
      <c r="A1023" s="75">
        <v>43949</v>
      </c>
      <c r="B1023" t="s">
        <v>167</v>
      </c>
      <c r="C1023" t="s">
        <v>95</v>
      </c>
      <c r="D1023">
        <v>5</v>
      </c>
      <c r="E1023">
        <v>4</v>
      </c>
      <c r="F1023">
        <v>1</v>
      </c>
      <c r="G1023" t="s">
        <v>76</v>
      </c>
      <c r="H1023" t="s">
        <v>79</v>
      </c>
      <c r="I1023">
        <v>120000000</v>
      </c>
      <c r="J1023" t="s">
        <v>59</v>
      </c>
      <c r="K1023" t="s">
        <v>9</v>
      </c>
      <c r="L1023" t="s">
        <v>67</v>
      </c>
      <c r="M1023" t="s">
        <v>80</v>
      </c>
      <c r="N1023" t="s">
        <v>14</v>
      </c>
    </row>
    <row r="1024" spans="1:14" x14ac:dyDescent="0.35">
      <c r="A1024" s="75">
        <v>43949</v>
      </c>
      <c r="B1024" t="s">
        <v>167</v>
      </c>
      <c r="C1024" t="s">
        <v>95</v>
      </c>
      <c r="D1024">
        <v>4</v>
      </c>
      <c r="E1024">
        <v>2</v>
      </c>
      <c r="F1024">
        <v>2</v>
      </c>
      <c r="G1024" t="s">
        <v>72</v>
      </c>
      <c r="H1024" t="s">
        <v>78</v>
      </c>
      <c r="I1024">
        <v>40000000</v>
      </c>
      <c r="J1024" t="s">
        <v>38</v>
      </c>
      <c r="K1024" t="s">
        <v>2</v>
      </c>
      <c r="L1024" t="s">
        <v>67</v>
      </c>
      <c r="M1024" t="s">
        <v>82</v>
      </c>
      <c r="N1024" t="s">
        <v>13</v>
      </c>
    </row>
    <row r="1025" spans="1:14" x14ac:dyDescent="0.35">
      <c r="A1025" s="75">
        <v>43949</v>
      </c>
      <c r="B1025" t="s">
        <v>167</v>
      </c>
      <c r="C1025" t="s">
        <v>95</v>
      </c>
      <c r="D1025">
        <v>3</v>
      </c>
      <c r="E1025">
        <v>2</v>
      </c>
      <c r="F1025">
        <v>1</v>
      </c>
      <c r="G1025" t="s">
        <v>71</v>
      </c>
      <c r="H1025" t="s">
        <v>6</v>
      </c>
      <c r="I1025">
        <v>80000000</v>
      </c>
      <c r="J1025" t="s">
        <v>30</v>
      </c>
      <c r="K1025" t="s">
        <v>5</v>
      </c>
      <c r="L1025" t="s">
        <v>67</v>
      </c>
      <c r="M1025" t="s">
        <v>81</v>
      </c>
      <c r="N1025" t="s">
        <v>12</v>
      </c>
    </row>
    <row r="1026" spans="1:14" x14ac:dyDescent="0.35">
      <c r="A1026" s="75">
        <v>43949</v>
      </c>
      <c r="B1026" t="s">
        <v>167</v>
      </c>
      <c r="C1026" t="s">
        <v>95</v>
      </c>
      <c r="D1026">
        <v>3</v>
      </c>
      <c r="E1026">
        <v>2</v>
      </c>
      <c r="F1026">
        <v>1</v>
      </c>
      <c r="G1026" t="s">
        <v>73</v>
      </c>
      <c r="H1026" t="s">
        <v>78</v>
      </c>
      <c r="I1026">
        <v>120000000</v>
      </c>
      <c r="J1026" t="s">
        <v>29</v>
      </c>
      <c r="K1026" t="s">
        <v>2</v>
      </c>
      <c r="L1026" t="s">
        <v>67</v>
      </c>
      <c r="M1026" t="s">
        <v>80</v>
      </c>
      <c r="N1026" t="s">
        <v>11</v>
      </c>
    </row>
    <row r="1027" spans="1:14" x14ac:dyDescent="0.35">
      <c r="A1027" s="75">
        <v>43950</v>
      </c>
      <c r="B1027" t="s">
        <v>168</v>
      </c>
      <c r="C1027" t="s">
        <v>95</v>
      </c>
      <c r="D1027">
        <v>10</v>
      </c>
      <c r="E1027">
        <v>8</v>
      </c>
      <c r="F1027">
        <v>2</v>
      </c>
      <c r="G1027" t="s">
        <v>76</v>
      </c>
      <c r="H1027" t="s">
        <v>79</v>
      </c>
      <c r="I1027">
        <v>120000000</v>
      </c>
      <c r="J1027" t="s">
        <v>31</v>
      </c>
      <c r="K1027" t="s">
        <v>2</v>
      </c>
      <c r="L1027" t="s">
        <v>67</v>
      </c>
      <c r="M1027" t="s">
        <v>81</v>
      </c>
      <c r="N1027" t="s">
        <v>13</v>
      </c>
    </row>
    <row r="1028" spans="1:14" x14ac:dyDescent="0.35">
      <c r="A1028" s="75">
        <v>43950</v>
      </c>
      <c r="B1028" t="s">
        <v>168</v>
      </c>
      <c r="C1028" t="s">
        <v>95</v>
      </c>
      <c r="D1028">
        <v>9</v>
      </c>
      <c r="E1028">
        <v>6</v>
      </c>
      <c r="F1028">
        <v>3</v>
      </c>
      <c r="G1028" t="s">
        <v>73</v>
      </c>
      <c r="H1028" t="s">
        <v>78</v>
      </c>
      <c r="I1028">
        <v>80000000</v>
      </c>
      <c r="J1028" t="s">
        <v>20</v>
      </c>
      <c r="K1028" t="s">
        <v>5</v>
      </c>
      <c r="L1028" t="s">
        <v>67</v>
      </c>
      <c r="M1028" t="s">
        <v>80</v>
      </c>
      <c r="N1028" t="s">
        <v>13</v>
      </c>
    </row>
    <row r="1029" spans="1:14" x14ac:dyDescent="0.35">
      <c r="A1029" s="75">
        <v>43950</v>
      </c>
      <c r="B1029" t="s">
        <v>168</v>
      </c>
      <c r="C1029" t="s">
        <v>95</v>
      </c>
      <c r="D1029">
        <v>9</v>
      </c>
      <c r="E1029">
        <v>7</v>
      </c>
      <c r="F1029">
        <v>2</v>
      </c>
      <c r="G1029" t="s">
        <v>113</v>
      </c>
      <c r="H1029" t="s">
        <v>77</v>
      </c>
      <c r="I1029">
        <v>140000000</v>
      </c>
      <c r="J1029" t="s">
        <v>21</v>
      </c>
      <c r="K1029" t="s">
        <v>5</v>
      </c>
      <c r="L1029" t="s">
        <v>67</v>
      </c>
      <c r="M1029" t="s">
        <v>82</v>
      </c>
      <c r="N1029" t="s">
        <v>14</v>
      </c>
    </row>
    <row r="1030" spans="1:14" x14ac:dyDescent="0.35">
      <c r="A1030" s="75">
        <v>43950</v>
      </c>
      <c r="B1030" t="s">
        <v>168</v>
      </c>
      <c r="C1030" t="s">
        <v>95</v>
      </c>
      <c r="D1030">
        <v>8</v>
      </c>
      <c r="E1030">
        <v>5</v>
      </c>
      <c r="F1030">
        <v>3</v>
      </c>
      <c r="G1030" t="s">
        <v>114</v>
      </c>
      <c r="H1030" t="s">
        <v>3</v>
      </c>
      <c r="I1030">
        <v>120000000</v>
      </c>
      <c r="J1030" t="s">
        <v>59</v>
      </c>
      <c r="K1030" t="s">
        <v>5</v>
      </c>
      <c r="L1030" t="s">
        <v>67</v>
      </c>
      <c r="M1030" t="s">
        <v>82</v>
      </c>
      <c r="N1030" t="s">
        <v>14</v>
      </c>
    </row>
    <row r="1031" spans="1:14" x14ac:dyDescent="0.35">
      <c r="A1031" s="75">
        <v>43950</v>
      </c>
      <c r="B1031" t="s">
        <v>168</v>
      </c>
      <c r="C1031" t="s">
        <v>95</v>
      </c>
      <c r="D1031">
        <v>7</v>
      </c>
      <c r="E1031">
        <v>5</v>
      </c>
      <c r="F1031">
        <v>2</v>
      </c>
      <c r="G1031" t="s">
        <v>76</v>
      </c>
      <c r="H1031" t="s">
        <v>79</v>
      </c>
      <c r="I1031">
        <v>120000000</v>
      </c>
      <c r="J1031" t="s">
        <v>46</v>
      </c>
      <c r="K1031" t="s">
        <v>5</v>
      </c>
      <c r="L1031" t="s">
        <v>67</v>
      </c>
      <c r="M1031" t="s">
        <v>81</v>
      </c>
      <c r="N1031" t="s">
        <v>14</v>
      </c>
    </row>
    <row r="1032" spans="1:14" x14ac:dyDescent="0.35">
      <c r="A1032" s="75">
        <v>43950</v>
      </c>
      <c r="B1032" t="s">
        <v>168</v>
      </c>
      <c r="C1032" t="s">
        <v>95</v>
      </c>
      <c r="D1032">
        <v>7</v>
      </c>
      <c r="E1032">
        <v>4</v>
      </c>
      <c r="F1032">
        <v>3</v>
      </c>
      <c r="G1032" t="s">
        <v>114</v>
      </c>
      <c r="H1032" t="s">
        <v>3</v>
      </c>
      <c r="I1032">
        <v>40000000</v>
      </c>
      <c r="J1032" t="s">
        <v>58</v>
      </c>
      <c r="K1032" t="s">
        <v>5</v>
      </c>
      <c r="L1032" t="s">
        <v>67</v>
      </c>
      <c r="M1032" t="s">
        <v>80</v>
      </c>
      <c r="N1032" t="s">
        <v>14</v>
      </c>
    </row>
    <row r="1033" spans="1:14" x14ac:dyDescent="0.35">
      <c r="A1033" s="75">
        <v>43950</v>
      </c>
      <c r="B1033" t="s">
        <v>168</v>
      </c>
      <c r="C1033" t="s">
        <v>95</v>
      </c>
      <c r="D1033">
        <v>6</v>
      </c>
      <c r="E1033">
        <v>3</v>
      </c>
      <c r="F1033">
        <v>3</v>
      </c>
      <c r="G1033" t="s">
        <v>73</v>
      </c>
      <c r="H1033" t="s">
        <v>78</v>
      </c>
      <c r="I1033">
        <v>140000000</v>
      </c>
      <c r="J1033" t="s">
        <v>36</v>
      </c>
      <c r="K1033" t="s">
        <v>2</v>
      </c>
      <c r="L1033" t="s">
        <v>67</v>
      </c>
      <c r="M1033" t="s">
        <v>81</v>
      </c>
      <c r="N1033" t="s">
        <v>14</v>
      </c>
    </row>
    <row r="1034" spans="1:14" x14ac:dyDescent="0.35">
      <c r="A1034" s="75">
        <v>43950</v>
      </c>
      <c r="B1034" t="s">
        <v>168</v>
      </c>
      <c r="C1034" t="s">
        <v>95</v>
      </c>
      <c r="D1034">
        <v>6</v>
      </c>
      <c r="E1034">
        <v>3</v>
      </c>
      <c r="F1034">
        <v>3</v>
      </c>
      <c r="G1034" t="s">
        <v>75</v>
      </c>
      <c r="H1034" t="s">
        <v>6</v>
      </c>
      <c r="I1034">
        <v>120000000</v>
      </c>
      <c r="J1034" t="s">
        <v>37</v>
      </c>
      <c r="K1034" t="s">
        <v>8</v>
      </c>
      <c r="L1034" t="s">
        <v>67</v>
      </c>
      <c r="M1034" t="s">
        <v>81</v>
      </c>
      <c r="N1034" t="s">
        <v>11</v>
      </c>
    </row>
    <row r="1035" spans="1:14" x14ac:dyDescent="0.35">
      <c r="A1035" s="75">
        <v>43950</v>
      </c>
      <c r="B1035" t="s">
        <v>168</v>
      </c>
      <c r="C1035" t="s">
        <v>95</v>
      </c>
      <c r="D1035">
        <v>4</v>
      </c>
      <c r="E1035">
        <v>3</v>
      </c>
      <c r="F1035">
        <v>1</v>
      </c>
      <c r="G1035" t="s">
        <v>73</v>
      </c>
      <c r="H1035" t="s">
        <v>78</v>
      </c>
      <c r="I1035">
        <v>120000000</v>
      </c>
      <c r="J1035" t="s">
        <v>53</v>
      </c>
      <c r="K1035" t="s">
        <v>2</v>
      </c>
      <c r="L1035" t="s">
        <v>67</v>
      </c>
      <c r="M1035" t="s">
        <v>81</v>
      </c>
      <c r="N1035" t="s">
        <v>14</v>
      </c>
    </row>
    <row r="1036" spans="1:14" x14ac:dyDescent="0.35">
      <c r="A1036" s="75">
        <v>43950</v>
      </c>
      <c r="B1036" t="s">
        <v>168</v>
      </c>
      <c r="C1036" t="s">
        <v>95</v>
      </c>
      <c r="D1036">
        <v>3</v>
      </c>
      <c r="E1036">
        <v>1</v>
      </c>
      <c r="F1036">
        <v>2</v>
      </c>
      <c r="G1036" t="s">
        <v>73</v>
      </c>
      <c r="H1036" t="s">
        <v>78</v>
      </c>
      <c r="I1036">
        <v>80000000</v>
      </c>
      <c r="J1036" t="s">
        <v>63</v>
      </c>
      <c r="K1036" t="s">
        <v>7</v>
      </c>
      <c r="L1036" t="s">
        <v>67</v>
      </c>
      <c r="M1036" t="s">
        <v>80</v>
      </c>
      <c r="N1036" t="s">
        <v>14</v>
      </c>
    </row>
    <row r="1037" spans="1:14" x14ac:dyDescent="0.35">
      <c r="A1037" s="75">
        <v>43951</v>
      </c>
      <c r="B1037" t="s">
        <v>169</v>
      </c>
      <c r="C1037" t="s">
        <v>95</v>
      </c>
      <c r="D1037">
        <v>10</v>
      </c>
      <c r="E1037">
        <v>9</v>
      </c>
      <c r="F1037">
        <v>1</v>
      </c>
      <c r="G1037" t="s">
        <v>76</v>
      </c>
      <c r="H1037" t="s">
        <v>79</v>
      </c>
      <c r="I1037">
        <v>80000000</v>
      </c>
      <c r="J1037" t="s">
        <v>18</v>
      </c>
      <c r="K1037" t="s">
        <v>5</v>
      </c>
      <c r="L1037" t="s">
        <v>67</v>
      </c>
      <c r="M1037" t="s">
        <v>82</v>
      </c>
      <c r="N1037" t="s">
        <v>11</v>
      </c>
    </row>
    <row r="1038" spans="1:14" x14ac:dyDescent="0.35">
      <c r="A1038" s="75">
        <v>43951</v>
      </c>
      <c r="B1038" t="s">
        <v>169</v>
      </c>
      <c r="C1038" t="s">
        <v>95</v>
      </c>
      <c r="D1038">
        <v>10</v>
      </c>
      <c r="E1038">
        <v>6</v>
      </c>
      <c r="F1038">
        <v>4</v>
      </c>
      <c r="G1038" t="s">
        <v>113</v>
      </c>
      <c r="H1038" t="s">
        <v>77</v>
      </c>
      <c r="I1038">
        <v>100000000</v>
      </c>
      <c r="J1038" t="s">
        <v>55</v>
      </c>
      <c r="K1038" t="s">
        <v>5</v>
      </c>
      <c r="L1038" t="s">
        <v>67</v>
      </c>
      <c r="M1038" t="s">
        <v>82</v>
      </c>
      <c r="N1038" t="s">
        <v>11</v>
      </c>
    </row>
    <row r="1039" spans="1:14" x14ac:dyDescent="0.35">
      <c r="A1039" s="75">
        <v>43951</v>
      </c>
      <c r="B1039" t="s">
        <v>169</v>
      </c>
      <c r="C1039" t="s">
        <v>95</v>
      </c>
      <c r="D1039">
        <v>10</v>
      </c>
      <c r="E1039">
        <v>7</v>
      </c>
      <c r="F1039">
        <v>3</v>
      </c>
      <c r="G1039" t="s">
        <v>75</v>
      </c>
      <c r="H1039" t="s">
        <v>6</v>
      </c>
      <c r="I1039">
        <v>40000000</v>
      </c>
      <c r="J1039" t="s">
        <v>31</v>
      </c>
      <c r="K1039" t="s">
        <v>2</v>
      </c>
      <c r="L1039" t="s">
        <v>67</v>
      </c>
      <c r="M1039" t="s">
        <v>81</v>
      </c>
      <c r="N1039" t="s">
        <v>11</v>
      </c>
    </row>
    <row r="1040" spans="1:14" x14ac:dyDescent="0.35">
      <c r="A1040" s="75">
        <v>43951</v>
      </c>
      <c r="B1040" t="s">
        <v>169</v>
      </c>
      <c r="C1040" t="s">
        <v>95</v>
      </c>
      <c r="D1040">
        <v>6</v>
      </c>
      <c r="E1040">
        <v>5</v>
      </c>
      <c r="F1040">
        <v>1</v>
      </c>
      <c r="G1040" t="s">
        <v>74</v>
      </c>
      <c r="H1040" t="s">
        <v>77</v>
      </c>
      <c r="I1040">
        <v>140000000</v>
      </c>
      <c r="J1040" t="s">
        <v>22</v>
      </c>
      <c r="K1040" t="s">
        <v>2</v>
      </c>
      <c r="L1040" t="s">
        <v>67</v>
      </c>
      <c r="M1040" t="s">
        <v>80</v>
      </c>
      <c r="N1040" t="s">
        <v>13</v>
      </c>
    </row>
    <row r="1041" spans="1:14" x14ac:dyDescent="0.35">
      <c r="A1041" s="75">
        <v>43951</v>
      </c>
      <c r="B1041" t="s">
        <v>169</v>
      </c>
      <c r="C1041" t="s">
        <v>95</v>
      </c>
      <c r="D1041">
        <v>6</v>
      </c>
      <c r="E1041">
        <v>3</v>
      </c>
      <c r="F1041">
        <v>3</v>
      </c>
      <c r="G1041" t="s">
        <v>71</v>
      </c>
      <c r="H1041" t="s">
        <v>6</v>
      </c>
      <c r="I1041">
        <v>100000000</v>
      </c>
      <c r="J1041" t="s">
        <v>39</v>
      </c>
      <c r="K1041" t="s">
        <v>2</v>
      </c>
      <c r="L1041" t="s">
        <v>67</v>
      </c>
      <c r="M1041" t="s">
        <v>82</v>
      </c>
      <c r="N1041" t="s">
        <v>12</v>
      </c>
    </row>
    <row r="1042" spans="1:14" x14ac:dyDescent="0.35">
      <c r="A1042" s="75">
        <v>43951</v>
      </c>
      <c r="B1042" t="s">
        <v>169</v>
      </c>
      <c r="C1042" t="s">
        <v>95</v>
      </c>
      <c r="D1042">
        <v>5</v>
      </c>
      <c r="E1042">
        <v>3</v>
      </c>
      <c r="F1042">
        <v>2</v>
      </c>
      <c r="G1042" t="s">
        <v>113</v>
      </c>
      <c r="H1042" t="s">
        <v>77</v>
      </c>
      <c r="I1042">
        <v>40000000</v>
      </c>
      <c r="J1042" t="s">
        <v>58</v>
      </c>
      <c r="K1042" t="s">
        <v>5</v>
      </c>
      <c r="L1042" t="s">
        <v>67</v>
      </c>
      <c r="M1042" t="s">
        <v>81</v>
      </c>
      <c r="N1042" t="s">
        <v>13</v>
      </c>
    </row>
    <row r="1043" spans="1:14" x14ac:dyDescent="0.35">
      <c r="A1043" s="75">
        <v>43951</v>
      </c>
      <c r="B1043" t="s">
        <v>169</v>
      </c>
      <c r="C1043" t="s">
        <v>95</v>
      </c>
      <c r="D1043">
        <v>4</v>
      </c>
      <c r="E1043">
        <v>2</v>
      </c>
      <c r="F1043">
        <v>2</v>
      </c>
      <c r="G1043" t="s">
        <v>73</v>
      </c>
      <c r="H1043" t="s">
        <v>78</v>
      </c>
      <c r="I1043">
        <v>40000000</v>
      </c>
      <c r="J1043" t="s">
        <v>31</v>
      </c>
      <c r="K1043" t="s">
        <v>2</v>
      </c>
      <c r="L1043" t="s">
        <v>67</v>
      </c>
      <c r="M1043" t="s">
        <v>80</v>
      </c>
      <c r="N1043" t="s">
        <v>14</v>
      </c>
    </row>
    <row r="1044" spans="1:14" x14ac:dyDescent="0.35">
      <c r="A1044" s="75">
        <v>43951</v>
      </c>
      <c r="B1044" t="s">
        <v>169</v>
      </c>
      <c r="C1044" t="s">
        <v>95</v>
      </c>
      <c r="D1044">
        <v>3</v>
      </c>
      <c r="E1044">
        <v>1</v>
      </c>
      <c r="F1044">
        <v>2</v>
      </c>
      <c r="G1044" t="s">
        <v>70</v>
      </c>
      <c r="H1044" t="s">
        <v>1</v>
      </c>
      <c r="I1044">
        <v>140000000</v>
      </c>
      <c r="J1044" t="s">
        <v>26</v>
      </c>
      <c r="K1044" t="s">
        <v>2</v>
      </c>
      <c r="L1044" t="s">
        <v>67</v>
      </c>
      <c r="M1044" t="s">
        <v>80</v>
      </c>
      <c r="N1044" t="s">
        <v>12</v>
      </c>
    </row>
    <row r="1045" spans="1:14" x14ac:dyDescent="0.35">
      <c r="A1045" s="75">
        <v>43951</v>
      </c>
      <c r="B1045" t="s">
        <v>169</v>
      </c>
      <c r="C1045" t="s">
        <v>95</v>
      </c>
      <c r="D1045">
        <v>3</v>
      </c>
      <c r="E1045">
        <v>2</v>
      </c>
      <c r="F1045">
        <v>1</v>
      </c>
      <c r="G1045" t="s">
        <v>74</v>
      </c>
      <c r="H1045" t="s">
        <v>77</v>
      </c>
      <c r="I1045">
        <v>100000000</v>
      </c>
      <c r="J1045" t="s">
        <v>40</v>
      </c>
      <c r="K1045" t="s">
        <v>5</v>
      </c>
      <c r="L1045" t="s">
        <v>67</v>
      </c>
      <c r="M1045" t="s">
        <v>82</v>
      </c>
      <c r="N1045" t="s">
        <v>11</v>
      </c>
    </row>
    <row r="1046" spans="1:14" x14ac:dyDescent="0.35">
      <c r="A1046" s="75">
        <v>43952</v>
      </c>
      <c r="B1046" t="s">
        <v>140</v>
      </c>
      <c r="C1046" t="s">
        <v>96</v>
      </c>
      <c r="D1046">
        <v>10</v>
      </c>
      <c r="E1046">
        <v>6</v>
      </c>
      <c r="F1046">
        <v>4</v>
      </c>
      <c r="G1046" t="s">
        <v>72</v>
      </c>
      <c r="H1046" t="s">
        <v>78</v>
      </c>
      <c r="I1046">
        <v>60000000</v>
      </c>
      <c r="J1046" t="s">
        <v>52</v>
      </c>
      <c r="K1046" t="s">
        <v>2</v>
      </c>
      <c r="L1046" t="s">
        <v>67</v>
      </c>
      <c r="M1046" t="s">
        <v>82</v>
      </c>
      <c r="N1046" t="s">
        <v>14</v>
      </c>
    </row>
    <row r="1047" spans="1:14" x14ac:dyDescent="0.35">
      <c r="A1047" s="75">
        <v>43952</v>
      </c>
      <c r="B1047" t="s">
        <v>140</v>
      </c>
      <c r="C1047" t="s">
        <v>96</v>
      </c>
      <c r="D1047">
        <v>8</v>
      </c>
      <c r="E1047">
        <v>6</v>
      </c>
      <c r="F1047">
        <v>2</v>
      </c>
      <c r="G1047" t="s">
        <v>74</v>
      </c>
      <c r="H1047" t="s">
        <v>77</v>
      </c>
      <c r="I1047">
        <v>80000000</v>
      </c>
      <c r="J1047" t="s">
        <v>18</v>
      </c>
      <c r="K1047" t="s">
        <v>8</v>
      </c>
      <c r="L1047" t="s">
        <v>67</v>
      </c>
      <c r="M1047" t="s">
        <v>80</v>
      </c>
      <c r="N1047" t="s">
        <v>13</v>
      </c>
    </row>
    <row r="1048" spans="1:14" x14ac:dyDescent="0.35">
      <c r="A1048" s="75">
        <v>43952</v>
      </c>
      <c r="B1048" t="s">
        <v>140</v>
      </c>
      <c r="C1048" t="s">
        <v>96</v>
      </c>
      <c r="D1048">
        <v>7</v>
      </c>
      <c r="E1048">
        <v>5</v>
      </c>
      <c r="F1048">
        <v>2</v>
      </c>
      <c r="G1048" t="s">
        <v>71</v>
      </c>
      <c r="H1048" t="s">
        <v>6</v>
      </c>
      <c r="I1048">
        <v>40000000</v>
      </c>
      <c r="J1048" t="s">
        <v>20</v>
      </c>
      <c r="K1048" t="s">
        <v>5</v>
      </c>
      <c r="L1048" t="s">
        <v>67</v>
      </c>
      <c r="M1048" t="s">
        <v>80</v>
      </c>
      <c r="N1048" t="s">
        <v>13</v>
      </c>
    </row>
    <row r="1049" spans="1:14" x14ac:dyDescent="0.35">
      <c r="A1049" s="75">
        <v>43952</v>
      </c>
      <c r="B1049" t="s">
        <v>140</v>
      </c>
      <c r="C1049" t="s">
        <v>96</v>
      </c>
      <c r="D1049">
        <v>7</v>
      </c>
      <c r="E1049">
        <v>6</v>
      </c>
      <c r="F1049">
        <v>1</v>
      </c>
      <c r="G1049" t="s">
        <v>70</v>
      </c>
      <c r="H1049" t="s">
        <v>1</v>
      </c>
      <c r="I1049">
        <v>140000000</v>
      </c>
      <c r="J1049" t="s">
        <v>50</v>
      </c>
      <c r="K1049" t="s">
        <v>5</v>
      </c>
      <c r="L1049" t="s">
        <v>67</v>
      </c>
      <c r="M1049" t="s">
        <v>82</v>
      </c>
      <c r="N1049" t="s">
        <v>11</v>
      </c>
    </row>
    <row r="1050" spans="1:14" x14ac:dyDescent="0.35">
      <c r="A1050" s="75">
        <v>43952</v>
      </c>
      <c r="B1050" t="s">
        <v>140</v>
      </c>
      <c r="C1050" t="s">
        <v>96</v>
      </c>
      <c r="D1050">
        <v>6</v>
      </c>
      <c r="E1050">
        <v>3</v>
      </c>
      <c r="F1050">
        <v>3</v>
      </c>
      <c r="G1050" t="s">
        <v>71</v>
      </c>
      <c r="H1050" t="s">
        <v>6</v>
      </c>
      <c r="I1050">
        <v>60000000</v>
      </c>
      <c r="J1050" t="s">
        <v>42</v>
      </c>
      <c r="K1050" t="s">
        <v>2</v>
      </c>
      <c r="L1050" t="s">
        <v>67</v>
      </c>
      <c r="M1050" t="s">
        <v>82</v>
      </c>
      <c r="N1050" t="s">
        <v>14</v>
      </c>
    </row>
    <row r="1051" spans="1:14" x14ac:dyDescent="0.35">
      <c r="A1051" s="75">
        <v>43952</v>
      </c>
      <c r="B1051" t="s">
        <v>140</v>
      </c>
      <c r="C1051" t="s">
        <v>96</v>
      </c>
      <c r="D1051">
        <v>4</v>
      </c>
      <c r="E1051">
        <v>2</v>
      </c>
      <c r="F1051">
        <v>2</v>
      </c>
      <c r="G1051" t="s">
        <v>114</v>
      </c>
      <c r="H1051" t="s">
        <v>3</v>
      </c>
      <c r="I1051">
        <v>80000000</v>
      </c>
      <c r="J1051" t="s">
        <v>53</v>
      </c>
      <c r="K1051" t="s">
        <v>5</v>
      </c>
      <c r="L1051" t="s">
        <v>67</v>
      </c>
      <c r="M1051" t="s">
        <v>82</v>
      </c>
      <c r="N1051" t="s">
        <v>13</v>
      </c>
    </row>
    <row r="1052" spans="1:14" x14ac:dyDescent="0.35">
      <c r="A1052" s="75">
        <v>43952</v>
      </c>
      <c r="B1052" t="s">
        <v>140</v>
      </c>
      <c r="C1052" t="s">
        <v>96</v>
      </c>
      <c r="D1052">
        <v>4</v>
      </c>
      <c r="E1052">
        <v>3</v>
      </c>
      <c r="F1052">
        <v>1</v>
      </c>
      <c r="G1052" t="s">
        <v>73</v>
      </c>
      <c r="H1052" t="s">
        <v>78</v>
      </c>
      <c r="I1052">
        <v>80000000</v>
      </c>
      <c r="J1052" t="s">
        <v>17</v>
      </c>
      <c r="K1052" t="s">
        <v>2</v>
      </c>
      <c r="L1052" t="s">
        <v>67</v>
      </c>
      <c r="M1052" t="s">
        <v>80</v>
      </c>
      <c r="N1052" t="s">
        <v>12</v>
      </c>
    </row>
    <row r="1053" spans="1:14" x14ac:dyDescent="0.35">
      <c r="A1053" s="75">
        <v>43952</v>
      </c>
      <c r="B1053" t="s">
        <v>140</v>
      </c>
      <c r="C1053" t="s">
        <v>96</v>
      </c>
      <c r="D1053">
        <v>3</v>
      </c>
      <c r="E1053">
        <v>2</v>
      </c>
      <c r="F1053">
        <v>1</v>
      </c>
      <c r="G1053" t="s">
        <v>71</v>
      </c>
      <c r="H1053" t="s">
        <v>6</v>
      </c>
      <c r="I1053">
        <v>100000000</v>
      </c>
      <c r="J1053" t="s">
        <v>41</v>
      </c>
      <c r="K1053" t="s">
        <v>5</v>
      </c>
      <c r="L1053" t="s">
        <v>67</v>
      </c>
      <c r="M1053" t="s">
        <v>81</v>
      </c>
      <c r="N1053" t="s">
        <v>12</v>
      </c>
    </row>
    <row r="1054" spans="1:14" x14ac:dyDescent="0.35">
      <c r="A1054" s="75">
        <v>43952</v>
      </c>
      <c r="B1054" t="s">
        <v>140</v>
      </c>
      <c r="C1054" t="s">
        <v>96</v>
      </c>
      <c r="D1054">
        <v>3</v>
      </c>
      <c r="E1054">
        <v>1</v>
      </c>
      <c r="F1054">
        <v>2</v>
      </c>
      <c r="G1054" t="s">
        <v>72</v>
      </c>
      <c r="H1054" t="s">
        <v>78</v>
      </c>
      <c r="I1054">
        <v>140000000</v>
      </c>
      <c r="J1054" t="s">
        <v>59</v>
      </c>
      <c r="K1054" t="s">
        <v>4</v>
      </c>
      <c r="L1054" t="s">
        <v>67</v>
      </c>
      <c r="M1054" t="s">
        <v>82</v>
      </c>
      <c r="N1054" t="s">
        <v>14</v>
      </c>
    </row>
    <row r="1055" spans="1:14" x14ac:dyDescent="0.35">
      <c r="A1055" s="75">
        <v>43953</v>
      </c>
      <c r="B1055" t="s">
        <v>141</v>
      </c>
      <c r="C1055" t="s">
        <v>96</v>
      </c>
      <c r="D1055">
        <v>10</v>
      </c>
      <c r="E1055">
        <v>9</v>
      </c>
      <c r="F1055">
        <v>1</v>
      </c>
      <c r="G1055" t="s">
        <v>114</v>
      </c>
      <c r="H1055" t="s">
        <v>3</v>
      </c>
      <c r="I1055">
        <v>60000000</v>
      </c>
      <c r="J1055" t="s">
        <v>48</v>
      </c>
      <c r="K1055" t="s">
        <v>5</v>
      </c>
      <c r="L1055" t="s">
        <v>67</v>
      </c>
      <c r="M1055" t="s">
        <v>82</v>
      </c>
      <c r="N1055" t="s">
        <v>11</v>
      </c>
    </row>
    <row r="1056" spans="1:14" x14ac:dyDescent="0.35">
      <c r="A1056" s="75">
        <v>43953</v>
      </c>
      <c r="B1056" t="s">
        <v>141</v>
      </c>
      <c r="C1056" t="s">
        <v>96</v>
      </c>
      <c r="D1056">
        <v>4</v>
      </c>
      <c r="E1056">
        <v>3</v>
      </c>
      <c r="F1056">
        <v>1</v>
      </c>
      <c r="G1056" t="s">
        <v>114</v>
      </c>
      <c r="H1056" t="s">
        <v>3</v>
      </c>
      <c r="I1056">
        <v>80000000</v>
      </c>
      <c r="J1056" t="s">
        <v>47</v>
      </c>
      <c r="K1056" t="s">
        <v>5</v>
      </c>
      <c r="L1056" t="s">
        <v>67</v>
      </c>
      <c r="M1056" t="s">
        <v>82</v>
      </c>
      <c r="N1056" t="s">
        <v>14</v>
      </c>
    </row>
    <row r="1057" spans="1:14" x14ac:dyDescent="0.35">
      <c r="A1057" s="75">
        <v>43954</v>
      </c>
      <c r="B1057" t="s">
        <v>142</v>
      </c>
      <c r="C1057" t="s">
        <v>96</v>
      </c>
      <c r="D1057">
        <v>10</v>
      </c>
      <c r="E1057">
        <v>9</v>
      </c>
      <c r="F1057">
        <v>1</v>
      </c>
      <c r="G1057" t="s">
        <v>113</v>
      </c>
      <c r="H1057" t="s">
        <v>77</v>
      </c>
      <c r="I1057">
        <v>80000000</v>
      </c>
      <c r="J1057" t="s">
        <v>35</v>
      </c>
      <c r="K1057" t="s">
        <v>5</v>
      </c>
      <c r="L1057" t="s">
        <v>67</v>
      </c>
      <c r="M1057" t="s">
        <v>82</v>
      </c>
      <c r="N1057" t="s">
        <v>12</v>
      </c>
    </row>
    <row r="1058" spans="1:14" x14ac:dyDescent="0.35">
      <c r="A1058" s="75">
        <v>43954</v>
      </c>
      <c r="B1058" t="s">
        <v>142</v>
      </c>
      <c r="C1058" t="s">
        <v>96</v>
      </c>
      <c r="D1058">
        <v>9</v>
      </c>
      <c r="E1058">
        <v>5</v>
      </c>
      <c r="F1058">
        <v>4</v>
      </c>
      <c r="G1058" t="s">
        <v>72</v>
      </c>
      <c r="H1058" t="s">
        <v>78</v>
      </c>
      <c r="I1058">
        <v>40000000</v>
      </c>
      <c r="J1058" t="s">
        <v>56</v>
      </c>
      <c r="K1058" t="s">
        <v>9</v>
      </c>
      <c r="L1058" t="s">
        <v>67</v>
      </c>
      <c r="M1058" t="s">
        <v>82</v>
      </c>
      <c r="N1058" t="s">
        <v>13</v>
      </c>
    </row>
    <row r="1059" spans="1:14" x14ac:dyDescent="0.35">
      <c r="A1059" s="75">
        <v>43954</v>
      </c>
      <c r="B1059" t="s">
        <v>142</v>
      </c>
      <c r="C1059" t="s">
        <v>96</v>
      </c>
      <c r="D1059">
        <v>7</v>
      </c>
      <c r="E1059">
        <v>4</v>
      </c>
      <c r="F1059">
        <v>3</v>
      </c>
      <c r="G1059" t="s">
        <v>75</v>
      </c>
      <c r="H1059" t="s">
        <v>6</v>
      </c>
      <c r="I1059">
        <v>140000000</v>
      </c>
      <c r="J1059" t="s">
        <v>51</v>
      </c>
      <c r="K1059" t="s">
        <v>5</v>
      </c>
      <c r="L1059" t="s">
        <v>67</v>
      </c>
      <c r="M1059" t="s">
        <v>81</v>
      </c>
      <c r="N1059" t="s">
        <v>13</v>
      </c>
    </row>
    <row r="1060" spans="1:14" x14ac:dyDescent="0.35">
      <c r="A1060" s="75">
        <v>43954</v>
      </c>
      <c r="B1060" t="s">
        <v>142</v>
      </c>
      <c r="C1060" t="s">
        <v>96</v>
      </c>
      <c r="D1060">
        <v>7</v>
      </c>
      <c r="E1060">
        <v>6</v>
      </c>
      <c r="F1060">
        <v>1</v>
      </c>
      <c r="G1060" t="s">
        <v>75</v>
      </c>
      <c r="H1060" t="s">
        <v>6</v>
      </c>
      <c r="I1060">
        <v>80000000</v>
      </c>
      <c r="J1060" t="s">
        <v>24</v>
      </c>
      <c r="K1060" t="s">
        <v>4</v>
      </c>
      <c r="L1060" t="s">
        <v>67</v>
      </c>
      <c r="M1060" t="s">
        <v>82</v>
      </c>
      <c r="N1060" t="s">
        <v>14</v>
      </c>
    </row>
    <row r="1061" spans="1:14" x14ac:dyDescent="0.35">
      <c r="A1061" s="75">
        <v>43954</v>
      </c>
      <c r="B1061" t="s">
        <v>142</v>
      </c>
      <c r="C1061" t="s">
        <v>96</v>
      </c>
      <c r="D1061">
        <v>7</v>
      </c>
      <c r="E1061">
        <v>5</v>
      </c>
      <c r="F1061">
        <v>2</v>
      </c>
      <c r="G1061" t="s">
        <v>113</v>
      </c>
      <c r="H1061" t="s">
        <v>77</v>
      </c>
      <c r="I1061">
        <v>40000000</v>
      </c>
      <c r="J1061" t="s">
        <v>38</v>
      </c>
      <c r="K1061" t="s">
        <v>8</v>
      </c>
      <c r="L1061" t="s">
        <v>67</v>
      </c>
      <c r="M1061" t="s">
        <v>81</v>
      </c>
      <c r="N1061" t="s">
        <v>11</v>
      </c>
    </row>
    <row r="1062" spans="1:14" x14ac:dyDescent="0.35">
      <c r="A1062" s="75">
        <v>43954</v>
      </c>
      <c r="B1062" t="s">
        <v>142</v>
      </c>
      <c r="C1062" t="s">
        <v>96</v>
      </c>
      <c r="D1062">
        <v>6</v>
      </c>
      <c r="E1062">
        <v>3</v>
      </c>
      <c r="F1062">
        <v>3</v>
      </c>
      <c r="G1062" t="s">
        <v>76</v>
      </c>
      <c r="H1062" t="s">
        <v>79</v>
      </c>
      <c r="I1062">
        <v>120000000</v>
      </c>
      <c r="J1062" t="s">
        <v>40</v>
      </c>
      <c r="K1062" t="s">
        <v>5</v>
      </c>
      <c r="L1062" t="s">
        <v>67</v>
      </c>
      <c r="M1062" t="s">
        <v>82</v>
      </c>
      <c r="N1062" t="s">
        <v>13</v>
      </c>
    </row>
    <row r="1063" spans="1:14" x14ac:dyDescent="0.35">
      <c r="A1063" s="75">
        <v>43954</v>
      </c>
      <c r="B1063" t="s">
        <v>142</v>
      </c>
      <c r="C1063" t="s">
        <v>96</v>
      </c>
      <c r="D1063">
        <v>5</v>
      </c>
      <c r="E1063">
        <v>4</v>
      </c>
      <c r="F1063">
        <v>1</v>
      </c>
      <c r="G1063" t="s">
        <v>71</v>
      </c>
      <c r="H1063" t="s">
        <v>6</v>
      </c>
      <c r="I1063">
        <v>60000000</v>
      </c>
      <c r="J1063" t="s">
        <v>63</v>
      </c>
      <c r="K1063" t="s">
        <v>9</v>
      </c>
      <c r="L1063" t="s">
        <v>67</v>
      </c>
      <c r="M1063" t="s">
        <v>80</v>
      </c>
      <c r="N1063" t="s">
        <v>14</v>
      </c>
    </row>
    <row r="1064" spans="1:14" x14ac:dyDescent="0.35">
      <c r="A1064" s="75">
        <v>43954</v>
      </c>
      <c r="B1064" t="s">
        <v>142</v>
      </c>
      <c r="C1064" t="s">
        <v>96</v>
      </c>
      <c r="D1064">
        <v>3</v>
      </c>
      <c r="E1064">
        <v>2</v>
      </c>
      <c r="F1064">
        <v>1</v>
      </c>
      <c r="G1064" t="s">
        <v>76</v>
      </c>
      <c r="H1064" t="s">
        <v>79</v>
      </c>
      <c r="I1064">
        <v>140000000</v>
      </c>
      <c r="J1064" t="s">
        <v>37</v>
      </c>
      <c r="K1064" t="s">
        <v>2</v>
      </c>
      <c r="L1064" t="s">
        <v>67</v>
      </c>
      <c r="M1064" t="s">
        <v>80</v>
      </c>
      <c r="N1064" t="s">
        <v>12</v>
      </c>
    </row>
    <row r="1065" spans="1:14" x14ac:dyDescent="0.35">
      <c r="A1065" s="75">
        <v>43955</v>
      </c>
      <c r="B1065" t="s">
        <v>143</v>
      </c>
      <c r="C1065" t="s">
        <v>96</v>
      </c>
      <c r="D1065">
        <v>10</v>
      </c>
      <c r="E1065">
        <v>8</v>
      </c>
      <c r="F1065">
        <v>2</v>
      </c>
      <c r="G1065" t="s">
        <v>114</v>
      </c>
      <c r="H1065" t="s">
        <v>3</v>
      </c>
      <c r="I1065">
        <v>120000000</v>
      </c>
      <c r="J1065" t="s">
        <v>56</v>
      </c>
      <c r="K1065" t="s">
        <v>5</v>
      </c>
      <c r="L1065" t="s">
        <v>67</v>
      </c>
      <c r="M1065" t="s">
        <v>81</v>
      </c>
      <c r="N1065" t="s">
        <v>12</v>
      </c>
    </row>
    <row r="1066" spans="1:14" x14ac:dyDescent="0.35">
      <c r="A1066" s="75">
        <v>43955</v>
      </c>
      <c r="B1066" t="s">
        <v>143</v>
      </c>
      <c r="C1066" t="s">
        <v>96</v>
      </c>
      <c r="D1066">
        <v>9</v>
      </c>
      <c r="E1066">
        <v>5</v>
      </c>
      <c r="F1066">
        <v>4</v>
      </c>
      <c r="G1066" t="s">
        <v>75</v>
      </c>
      <c r="H1066" t="s">
        <v>6</v>
      </c>
      <c r="I1066">
        <v>80000000</v>
      </c>
      <c r="J1066" t="s">
        <v>44</v>
      </c>
      <c r="K1066" t="s">
        <v>2</v>
      </c>
      <c r="L1066" t="s">
        <v>67</v>
      </c>
      <c r="M1066" t="s">
        <v>80</v>
      </c>
      <c r="N1066" t="s">
        <v>14</v>
      </c>
    </row>
    <row r="1067" spans="1:14" x14ac:dyDescent="0.35">
      <c r="A1067" s="75">
        <v>43955</v>
      </c>
      <c r="B1067" t="s">
        <v>143</v>
      </c>
      <c r="C1067" t="s">
        <v>96</v>
      </c>
      <c r="D1067">
        <v>8</v>
      </c>
      <c r="E1067">
        <v>6</v>
      </c>
      <c r="F1067">
        <v>2</v>
      </c>
      <c r="G1067" t="s">
        <v>113</v>
      </c>
      <c r="H1067" t="s">
        <v>77</v>
      </c>
      <c r="I1067">
        <v>40000000</v>
      </c>
      <c r="J1067" t="s">
        <v>62</v>
      </c>
      <c r="K1067" t="s">
        <v>2</v>
      </c>
      <c r="L1067" t="s">
        <v>67</v>
      </c>
      <c r="M1067" t="s">
        <v>81</v>
      </c>
      <c r="N1067" t="s">
        <v>12</v>
      </c>
    </row>
    <row r="1068" spans="1:14" x14ac:dyDescent="0.35">
      <c r="A1068" s="75">
        <v>43955</v>
      </c>
      <c r="B1068" t="s">
        <v>143</v>
      </c>
      <c r="C1068" t="s">
        <v>96</v>
      </c>
      <c r="D1068">
        <v>6</v>
      </c>
      <c r="E1068">
        <v>3</v>
      </c>
      <c r="F1068">
        <v>3</v>
      </c>
      <c r="G1068" t="s">
        <v>70</v>
      </c>
      <c r="H1068" t="s">
        <v>1</v>
      </c>
      <c r="I1068">
        <v>80000000</v>
      </c>
      <c r="J1068" t="s">
        <v>23</v>
      </c>
      <c r="K1068" t="s">
        <v>5</v>
      </c>
      <c r="L1068" t="s">
        <v>67</v>
      </c>
      <c r="M1068" t="s">
        <v>81</v>
      </c>
      <c r="N1068" t="s">
        <v>11</v>
      </c>
    </row>
    <row r="1069" spans="1:14" x14ac:dyDescent="0.35">
      <c r="A1069" s="75">
        <v>43955</v>
      </c>
      <c r="B1069" t="s">
        <v>143</v>
      </c>
      <c r="C1069" t="s">
        <v>96</v>
      </c>
      <c r="D1069">
        <v>6</v>
      </c>
      <c r="E1069">
        <v>3</v>
      </c>
      <c r="F1069">
        <v>3</v>
      </c>
      <c r="G1069" t="s">
        <v>75</v>
      </c>
      <c r="H1069" t="s">
        <v>6</v>
      </c>
      <c r="I1069">
        <v>60000000</v>
      </c>
      <c r="J1069" t="s">
        <v>41</v>
      </c>
      <c r="K1069" t="s">
        <v>5</v>
      </c>
      <c r="L1069" t="s">
        <v>67</v>
      </c>
      <c r="M1069" t="s">
        <v>82</v>
      </c>
      <c r="N1069" t="s">
        <v>12</v>
      </c>
    </row>
    <row r="1070" spans="1:14" x14ac:dyDescent="0.35">
      <c r="A1070" s="75">
        <v>43955</v>
      </c>
      <c r="B1070" t="s">
        <v>143</v>
      </c>
      <c r="C1070" t="s">
        <v>96</v>
      </c>
      <c r="D1070">
        <v>5</v>
      </c>
      <c r="E1070">
        <v>3</v>
      </c>
      <c r="F1070">
        <v>2</v>
      </c>
      <c r="G1070" t="s">
        <v>73</v>
      </c>
      <c r="H1070" t="s">
        <v>78</v>
      </c>
      <c r="I1070">
        <v>120000000</v>
      </c>
      <c r="J1070" t="s">
        <v>19</v>
      </c>
      <c r="K1070" t="s">
        <v>5</v>
      </c>
      <c r="L1070" t="s">
        <v>67</v>
      </c>
      <c r="M1070" t="s">
        <v>81</v>
      </c>
      <c r="N1070" t="s">
        <v>11</v>
      </c>
    </row>
    <row r="1071" spans="1:14" x14ac:dyDescent="0.35">
      <c r="A1071" s="75">
        <v>43956</v>
      </c>
      <c r="B1071" t="s">
        <v>144</v>
      </c>
      <c r="C1071" t="s">
        <v>96</v>
      </c>
      <c r="D1071">
        <v>10</v>
      </c>
      <c r="E1071">
        <v>10</v>
      </c>
      <c r="F1071" t="s">
        <v>10</v>
      </c>
      <c r="G1071" t="s">
        <v>70</v>
      </c>
      <c r="H1071" t="s">
        <v>1</v>
      </c>
      <c r="I1071">
        <v>40000000</v>
      </c>
      <c r="J1071" t="s">
        <v>59</v>
      </c>
      <c r="K1071" t="s">
        <v>2</v>
      </c>
      <c r="L1071" t="s">
        <v>67</v>
      </c>
      <c r="M1071" t="s">
        <v>81</v>
      </c>
      <c r="N1071" t="s">
        <v>13</v>
      </c>
    </row>
    <row r="1072" spans="1:14" x14ac:dyDescent="0.35">
      <c r="A1072" s="75">
        <v>43956</v>
      </c>
      <c r="B1072" t="s">
        <v>144</v>
      </c>
      <c r="C1072" t="s">
        <v>96</v>
      </c>
      <c r="D1072">
        <v>10</v>
      </c>
      <c r="E1072">
        <v>10</v>
      </c>
      <c r="F1072" t="s">
        <v>10</v>
      </c>
      <c r="G1072" t="s">
        <v>74</v>
      </c>
      <c r="H1072" t="s">
        <v>77</v>
      </c>
      <c r="I1072">
        <v>60000000</v>
      </c>
      <c r="J1072" t="s">
        <v>25</v>
      </c>
      <c r="K1072" t="s">
        <v>2</v>
      </c>
      <c r="L1072" t="s">
        <v>67</v>
      </c>
      <c r="M1072" t="s">
        <v>82</v>
      </c>
      <c r="N1072" t="s">
        <v>14</v>
      </c>
    </row>
    <row r="1073" spans="1:14" x14ac:dyDescent="0.35">
      <c r="A1073" s="75">
        <v>43956</v>
      </c>
      <c r="B1073" t="s">
        <v>144</v>
      </c>
      <c r="C1073" t="s">
        <v>96</v>
      </c>
      <c r="D1073">
        <v>9</v>
      </c>
      <c r="E1073">
        <v>9</v>
      </c>
      <c r="F1073" t="s">
        <v>10</v>
      </c>
      <c r="G1073" t="s">
        <v>114</v>
      </c>
      <c r="H1073" t="s">
        <v>3</v>
      </c>
      <c r="I1073">
        <v>40000000</v>
      </c>
      <c r="J1073" t="s">
        <v>51</v>
      </c>
      <c r="K1073" t="s">
        <v>5</v>
      </c>
      <c r="L1073" t="s">
        <v>67</v>
      </c>
      <c r="M1073" t="s">
        <v>81</v>
      </c>
      <c r="N1073" t="s">
        <v>12</v>
      </c>
    </row>
    <row r="1074" spans="1:14" x14ac:dyDescent="0.35">
      <c r="A1074" s="75">
        <v>43956</v>
      </c>
      <c r="B1074" t="s">
        <v>144</v>
      </c>
      <c r="C1074" t="s">
        <v>96</v>
      </c>
      <c r="D1074">
        <v>9</v>
      </c>
      <c r="E1074">
        <v>9</v>
      </c>
      <c r="F1074" t="s">
        <v>10</v>
      </c>
      <c r="G1074" t="s">
        <v>71</v>
      </c>
      <c r="H1074" t="s">
        <v>6</v>
      </c>
      <c r="I1074">
        <v>40000000</v>
      </c>
      <c r="J1074" t="s">
        <v>34</v>
      </c>
      <c r="K1074" t="s">
        <v>5</v>
      </c>
      <c r="L1074" t="s">
        <v>67</v>
      </c>
      <c r="M1074" t="s">
        <v>81</v>
      </c>
      <c r="N1074" t="s">
        <v>11</v>
      </c>
    </row>
    <row r="1075" spans="1:14" x14ac:dyDescent="0.35">
      <c r="A1075" s="75">
        <v>43956</v>
      </c>
      <c r="B1075" t="s">
        <v>144</v>
      </c>
      <c r="C1075" t="s">
        <v>96</v>
      </c>
      <c r="D1075">
        <v>8</v>
      </c>
      <c r="E1075">
        <v>8</v>
      </c>
      <c r="F1075" t="s">
        <v>10</v>
      </c>
      <c r="G1075" t="s">
        <v>73</v>
      </c>
      <c r="H1075" t="s">
        <v>78</v>
      </c>
      <c r="I1075">
        <v>140000000</v>
      </c>
      <c r="J1075" t="s">
        <v>43</v>
      </c>
      <c r="K1075" t="s">
        <v>8</v>
      </c>
      <c r="L1075" t="s">
        <v>67</v>
      </c>
      <c r="M1075" t="s">
        <v>82</v>
      </c>
      <c r="N1075" t="s">
        <v>13</v>
      </c>
    </row>
    <row r="1076" spans="1:14" x14ac:dyDescent="0.35">
      <c r="A1076" s="75">
        <v>43956</v>
      </c>
      <c r="B1076" t="s">
        <v>144</v>
      </c>
      <c r="C1076" t="s">
        <v>96</v>
      </c>
      <c r="D1076">
        <v>6</v>
      </c>
      <c r="E1076">
        <v>6</v>
      </c>
      <c r="F1076" t="s">
        <v>10</v>
      </c>
      <c r="G1076" t="s">
        <v>74</v>
      </c>
      <c r="H1076" t="s">
        <v>77</v>
      </c>
      <c r="I1076">
        <v>40000000</v>
      </c>
      <c r="J1076" t="s">
        <v>33</v>
      </c>
      <c r="K1076" t="s">
        <v>2</v>
      </c>
      <c r="L1076" t="s">
        <v>67</v>
      </c>
      <c r="M1076" t="s">
        <v>82</v>
      </c>
      <c r="N1076" t="s">
        <v>12</v>
      </c>
    </row>
    <row r="1077" spans="1:14" x14ac:dyDescent="0.35">
      <c r="A1077" s="75">
        <v>43956</v>
      </c>
      <c r="B1077" t="s">
        <v>144</v>
      </c>
      <c r="C1077" t="s">
        <v>96</v>
      </c>
      <c r="D1077">
        <v>3</v>
      </c>
      <c r="E1077">
        <v>3</v>
      </c>
      <c r="F1077" t="s">
        <v>10</v>
      </c>
      <c r="G1077" t="s">
        <v>114</v>
      </c>
      <c r="H1077" t="s">
        <v>3</v>
      </c>
      <c r="I1077">
        <v>60000000</v>
      </c>
      <c r="J1077" t="s">
        <v>38</v>
      </c>
      <c r="K1077" t="s">
        <v>5</v>
      </c>
      <c r="L1077" t="s">
        <v>67</v>
      </c>
      <c r="M1077" t="s">
        <v>80</v>
      </c>
      <c r="N1077" t="s">
        <v>14</v>
      </c>
    </row>
    <row r="1078" spans="1:14" x14ac:dyDescent="0.35">
      <c r="A1078" s="75">
        <v>43957</v>
      </c>
      <c r="B1078" t="s">
        <v>145</v>
      </c>
      <c r="C1078" t="s">
        <v>96</v>
      </c>
      <c r="D1078">
        <v>10</v>
      </c>
      <c r="E1078">
        <v>10</v>
      </c>
      <c r="F1078" t="s">
        <v>10</v>
      </c>
      <c r="G1078" t="s">
        <v>76</v>
      </c>
      <c r="H1078" t="s">
        <v>79</v>
      </c>
      <c r="I1078">
        <v>60000000</v>
      </c>
      <c r="J1078" t="s">
        <v>21</v>
      </c>
      <c r="K1078" t="s">
        <v>8</v>
      </c>
      <c r="L1078" t="s">
        <v>67</v>
      </c>
      <c r="M1078" t="s">
        <v>81</v>
      </c>
      <c r="N1078" t="s">
        <v>14</v>
      </c>
    </row>
    <row r="1079" spans="1:14" x14ac:dyDescent="0.35">
      <c r="A1079" s="75">
        <v>43957</v>
      </c>
      <c r="B1079" t="s">
        <v>145</v>
      </c>
      <c r="C1079" t="s">
        <v>96</v>
      </c>
      <c r="D1079">
        <v>9</v>
      </c>
      <c r="E1079">
        <v>9</v>
      </c>
      <c r="F1079" t="s">
        <v>10</v>
      </c>
      <c r="G1079" t="s">
        <v>70</v>
      </c>
      <c r="H1079" t="s">
        <v>1</v>
      </c>
      <c r="I1079">
        <v>40000000</v>
      </c>
      <c r="J1079" t="s">
        <v>59</v>
      </c>
      <c r="K1079" t="s">
        <v>7</v>
      </c>
      <c r="L1079" t="s">
        <v>67</v>
      </c>
      <c r="M1079" t="s">
        <v>81</v>
      </c>
      <c r="N1079" t="s">
        <v>12</v>
      </c>
    </row>
    <row r="1080" spans="1:14" x14ac:dyDescent="0.35">
      <c r="A1080" s="75">
        <v>43957</v>
      </c>
      <c r="B1080" t="s">
        <v>145</v>
      </c>
      <c r="C1080" t="s">
        <v>96</v>
      </c>
      <c r="D1080">
        <v>7</v>
      </c>
      <c r="E1080">
        <v>7</v>
      </c>
      <c r="F1080" t="s">
        <v>10</v>
      </c>
      <c r="G1080" t="s">
        <v>72</v>
      </c>
      <c r="H1080" t="s">
        <v>78</v>
      </c>
      <c r="I1080">
        <v>80000000</v>
      </c>
      <c r="J1080" t="s">
        <v>56</v>
      </c>
      <c r="K1080" t="s">
        <v>5</v>
      </c>
      <c r="L1080" t="s">
        <v>67</v>
      </c>
      <c r="M1080" t="s">
        <v>80</v>
      </c>
      <c r="N1080" t="s">
        <v>12</v>
      </c>
    </row>
    <row r="1081" spans="1:14" x14ac:dyDescent="0.35">
      <c r="A1081" s="75">
        <v>43957</v>
      </c>
      <c r="B1081" t="s">
        <v>145</v>
      </c>
      <c r="C1081" t="s">
        <v>96</v>
      </c>
      <c r="D1081">
        <v>4</v>
      </c>
      <c r="E1081">
        <v>4</v>
      </c>
      <c r="F1081" t="s">
        <v>10</v>
      </c>
      <c r="G1081" t="s">
        <v>73</v>
      </c>
      <c r="H1081" t="s">
        <v>78</v>
      </c>
      <c r="I1081">
        <v>140000000</v>
      </c>
      <c r="J1081" t="s">
        <v>54</v>
      </c>
      <c r="K1081" t="s">
        <v>5</v>
      </c>
      <c r="L1081" t="s">
        <v>67</v>
      </c>
      <c r="M1081" t="s">
        <v>80</v>
      </c>
      <c r="N1081" t="s">
        <v>14</v>
      </c>
    </row>
    <row r="1082" spans="1:14" x14ac:dyDescent="0.35">
      <c r="A1082" s="75">
        <v>43957</v>
      </c>
      <c r="B1082" t="s">
        <v>145</v>
      </c>
      <c r="C1082" t="s">
        <v>96</v>
      </c>
      <c r="D1082">
        <v>3</v>
      </c>
      <c r="E1082">
        <v>3</v>
      </c>
      <c r="F1082" t="s">
        <v>10</v>
      </c>
      <c r="G1082" t="s">
        <v>71</v>
      </c>
      <c r="H1082" t="s">
        <v>6</v>
      </c>
      <c r="I1082">
        <v>80000000</v>
      </c>
      <c r="J1082" t="s">
        <v>38</v>
      </c>
      <c r="K1082" t="s">
        <v>2</v>
      </c>
      <c r="L1082" t="s">
        <v>67</v>
      </c>
      <c r="M1082" t="s">
        <v>80</v>
      </c>
      <c r="N1082" t="s">
        <v>13</v>
      </c>
    </row>
    <row r="1083" spans="1:14" x14ac:dyDescent="0.35">
      <c r="A1083" s="75">
        <v>43958</v>
      </c>
      <c r="B1083" t="s">
        <v>146</v>
      </c>
      <c r="C1083" t="s">
        <v>96</v>
      </c>
      <c r="D1083">
        <v>9</v>
      </c>
      <c r="E1083">
        <v>9</v>
      </c>
      <c r="F1083" t="s">
        <v>10</v>
      </c>
      <c r="G1083" t="s">
        <v>113</v>
      </c>
      <c r="H1083" t="s">
        <v>77</v>
      </c>
      <c r="I1083">
        <v>120000000</v>
      </c>
      <c r="J1083" t="s">
        <v>61</v>
      </c>
      <c r="K1083" t="s">
        <v>5</v>
      </c>
      <c r="L1083" t="s">
        <v>67</v>
      </c>
      <c r="M1083" t="s">
        <v>82</v>
      </c>
      <c r="N1083" t="s">
        <v>13</v>
      </c>
    </row>
    <row r="1084" spans="1:14" x14ac:dyDescent="0.35">
      <c r="A1084" s="75">
        <v>43958</v>
      </c>
      <c r="B1084" t="s">
        <v>146</v>
      </c>
      <c r="C1084" t="s">
        <v>96</v>
      </c>
      <c r="D1084">
        <v>9</v>
      </c>
      <c r="E1084">
        <v>9</v>
      </c>
      <c r="F1084" t="s">
        <v>10</v>
      </c>
      <c r="G1084" t="s">
        <v>71</v>
      </c>
      <c r="H1084" t="s">
        <v>6</v>
      </c>
      <c r="I1084">
        <v>140000000</v>
      </c>
      <c r="J1084" t="s">
        <v>51</v>
      </c>
      <c r="K1084" t="s">
        <v>7</v>
      </c>
      <c r="L1084" t="s">
        <v>67</v>
      </c>
      <c r="M1084" t="s">
        <v>81</v>
      </c>
      <c r="N1084" t="s">
        <v>13</v>
      </c>
    </row>
    <row r="1085" spans="1:14" x14ac:dyDescent="0.35">
      <c r="A1085" s="75">
        <v>43958</v>
      </c>
      <c r="B1085" t="s">
        <v>146</v>
      </c>
      <c r="C1085" t="s">
        <v>96</v>
      </c>
      <c r="D1085">
        <v>9</v>
      </c>
      <c r="E1085">
        <v>9</v>
      </c>
      <c r="F1085" t="s">
        <v>10</v>
      </c>
      <c r="G1085" t="s">
        <v>76</v>
      </c>
      <c r="H1085" t="s">
        <v>79</v>
      </c>
      <c r="I1085">
        <v>40000000</v>
      </c>
      <c r="J1085" t="s">
        <v>41</v>
      </c>
      <c r="K1085" t="s">
        <v>2</v>
      </c>
      <c r="L1085" t="s">
        <v>67</v>
      </c>
      <c r="M1085" t="s">
        <v>82</v>
      </c>
      <c r="N1085" t="s">
        <v>13</v>
      </c>
    </row>
    <row r="1086" spans="1:14" x14ac:dyDescent="0.35">
      <c r="A1086" s="75">
        <v>43958</v>
      </c>
      <c r="B1086" t="s">
        <v>146</v>
      </c>
      <c r="C1086" t="s">
        <v>96</v>
      </c>
      <c r="D1086">
        <v>9</v>
      </c>
      <c r="E1086">
        <v>9</v>
      </c>
      <c r="F1086" t="s">
        <v>10</v>
      </c>
      <c r="G1086" t="s">
        <v>72</v>
      </c>
      <c r="H1086" t="s">
        <v>78</v>
      </c>
      <c r="I1086">
        <v>140000000</v>
      </c>
      <c r="J1086" t="s">
        <v>63</v>
      </c>
      <c r="K1086" t="s">
        <v>9</v>
      </c>
      <c r="L1086" t="s">
        <v>67</v>
      </c>
      <c r="M1086" t="s">
        <v>80</v>
      </c>
      <c r="N1086" t="s">
        <v>14</v>
      </c>
    </row>
    <row r="1087" spans="1:14" x14ac:dyDescent="0.35">
      <c r="A1087" s="75">
        <v>43958</v>
      </c>
      <c r="B1087" t="s">
        <v>146</v>
      </c>
      <c r="C1087" t="s">
        <v>96</v>
      </c>
      <c r="D1087">
        <v>8</v>
      </c>
      <c r="E1087">
        <v>8</v>
      </c>
      <c r="F1087" t="s">
        <v>10</v>
      </c>
      <c r="G1087" t="s">
        <v>114</v>
      </c>
      <c r="H1087" t="s">
        <v>3</v>
      </c>
      <c r="I1087">
        <v>60000000</v>
      </c>
      <c r="J1087" t="s">
        <v>29</v>
      </c>
      <c r="K1087" t="s">
        <v>5</v>
      </c>
      <c r="L1087" t="s">
        <v>67</v>
      </c>
      <c r="M1087" t="s">
        <v>80</v>
      </c>
      <c r="N1087" t="s">
        <v>14</v>
      </c>
    </row>
    <row r="1088" spans="1:14" x14ac:dyDescent="0.35">
      <c r="A1088" s="75">
        <v>43958</v>
      </c>
      <c r="B1088" t="s">
        <v>146</v>
      </c>
      <c r="C1088" t="s">
        <v>96</v>
      </c>
      <c r="D1088">
        <v>7</v>
      </c>
      <c r="E1088">
        <v>7</v>
      </c>
      <c r="F1088" t="s">
        <v>10</v>
      </c>
      <c r="G1088" t="s">
        <v>74</v>
      </c>
      <c r="H1088" t="s">
        <v>77</v>
      </c>
      <c r="I1088">
        <v>80000000</v>
      </c>
      <c r="J1088" t="s">
        <v>33</v>
      </c>
      <c r="K1088" t="s">
        <v>5</v>
      </c>
      <c r="L1088" t="s">
        <v>67</v>
      </c>
      <c r="M1088" t="s">
        <v>81</v>
      </c>
      <c r="N1088" t="s">
        <v>13</v>
      </c>
    </row>
    <row r="1089" spans="1:14" x14ac:dyDescent="0.35">
      <c r="A1089" s="75">
        <v>43958</v>
      </c>
      <c r="B1089" t="s">
        <v>146</v>
      </c>
      <c r="C1089" t="s">
        <v>96</v>
      </c>
      <c r="D1089">
        <v>5</v>
      </c>
      <c r="E1089">
        <v>5</v>
      </c>
      <c r="F1089" t="s">
        <v>10</v>
      </c>
      <c r="G1089" t="s">
        <v>70</v>
      </c>
      <c r="H1089" t="s">
        <v>1</v>
      </c>
      <c r="I1089">
        <v>120000000</v>
      </c>
      <c r="J1089" t="s">
        <v>26</v>
      </c>
      <c r="K1089" t="s">
        <v>5</v>
      </c>
      <c r="L1089" t="s">
        <v>67</v>
      </c>
      <c r="M1089" t="s">
        <v>82</v>
      </c>
      <c r="N1089" t="s">
        <v>11</v>
      </c>
    </row>
    <row r="1090" spans="1:14" x14ac:dyDescent="0.35">
      <c r="A1090" s="75">
        <v>43958</v>
      </c>
      <c r="B1090" t="s">
        <v>146</v>
      </c>
      <c r="C1090" t="s">
        <v>96</v>
      </c>
      <c r="D1090">
        <v>5</v>
      </c>
      <c r="E1090">
        <v>5</v>
      </c>
      <c r="F1090" t="s">
        <v>10</v>
      </c>
      <c r="G1090" t="s">
        <v>114</v>
      </c>
      <c r="H1090" t="s">
        <v>3</v>
      </c>
      <c r="I1090">
        <v>100000000</v>
      </c>
      <c r="J1090" t="s">
        <v>24</v>
      </c>
      <c r="K1090" t="s">
        <v>5</v>
      </c>
      <c r="L1090" t="s">
        <v>67</v>
      </c>
      <c r="M1090" t="s">
        <v>80</v>
      </c>
      <c r="N1090" t="s">
        <v>14</v>
      </c>
    </row>
    <row r="1091" spans="1:14" x14ac:dyDescent="0.35">
      <c r="A1091" s="75">
        <v>43959</v>
      </c>
      <c r="B1091" t="s">
        <v>147</v>
      </c>
      <c r="C1091" t="s">
        <v>96</v>
      </c>
      <c r="D1091">
        <v>9</v>
      </c>
      <c r="E1091">
        <v>9</v>
      </c>
      <c r="F1091" t="s">
        <v>10</v>
      </c>
      <c r="G1091" t="s">
        <v>74</v>
      </c>
      <c r="H1091" t="s">
        <v>77</v>
      </c>
      <c r="I1091">
        <v>60000000</v>
      </c>
      <c r="J1091" t="s">
        <v>59</v>
      </c>
      <c r="K1091" t="s">
        <v>5</v>
      </c>
      <c r="L1091" t="s">
        <v>67</v>
      </c>
      <c r="M1091" t="s">
        <v>82</v>
      </c>
      <c r="N1091" t="s">
        <v>12</v>
      </c>
    </row>
    <row r="1092" spans="1:14" x14ac:dyDescent="0.35">
      <c r="A1092" s="75">
        <v>43959</v>
      </c>
      <c r="B1092" t="s">
        <v>147</v>
      </c>
      <c r="C1092" t="s">
        <v>96</v>
      </c>
      <c r="D1092">
        <v>7</v>
      </c>
      <c r="E1092">
        <v>7</v>
      </c>
      <c r="F1092" t="s">
        <v>10</v>
      </c>
      <c r="G1092" t="s">
        <v>113</v>
      </c>
      <c r="H1092" t="s">
        <v>77</v>
      </c>
      <c r="I1092">
        <v>140000000</v>
      </c>
      <c r="J1092" t="s">
        <v>50</v>
      </c>
      <c r="K1092" t="s">
        <v>5</v>
      </c>
      <c r="L1092" t="s">
        <v>67</v>
      </c>
      <c r="M1092" t="s">
        <v>81</v>
      </c>
      <c r="N1092" t="s">
        <v>13</v>
      </c>
    </row>
    <row r="1093" spans="1:14" x14ac:dyDescent="0.35">
      <c r="A1093" s="75">
        <v>43959</v>
      </c>
      <c r="B1093" t="s">
        <v>147</v>
      </c>
      <c r="C1093" t="s">
        <v>96</v>
      </c>
      <c r="D1093">
        <v>7</v>
      </c>
      <c r="E1093">
        <v>7</v>
      </c>
      <c r="F1093" t="s">
        <v>10</v>
      </c>
      <c r="G1093" t="s">
        <v>73</v>
      </c>
      <c r="H1093" t="s">
        <v>78</v>
      </c>
      <c r="I1093">
        <v>140000000</v>
      </c>
      <c r="J1093" t="s">
        <v>46</v>
      </c>
      <c r="K1093" t="s">
        <v>8</v>
      </c>
      <c r="L1093" t="s">
        <v>67</v>
      </c>
      <c r="M1093" t="s">
        <v>81</v>
      </c>
      <c r="N1093" t="s">
        <v>14</v>
      </c>
    </row>
    <row r="1094" spans="1:14" x14ac:dyDescent="0.35">
      <c r="A1094" s="75">
        <v>43959</v>
      </c>
      <c r="B1094" t="s">
        <v>147</v>
      </c>
      <c r="C1094" t="s">
        <v>96</v>
      </c>
      <c r="D1094">
        <v>7</v>
      </c>
      <c r="E1094">
        <v>7</v>
      </c>
      <c r="F1094" t="s">
        <v>10</v>
      </c>
      <c r="G1094" t="s">
        <v>71</v>
      </c>
      <c r="H1094" t="s">
        <v>6</v>
      </c>
      <c r="I1094">
        <v>100000000</v>
      </c>
      <c r="J1094" t="s">
        <v>54</v>
      </c>
      <c r="K1094" t="s">
        <v>9</v>
      </c>
      <c r="L1094" t="s">
        <v>67</v>
      </c>
      <c r="M1094" t="s">
        <v>80</v>
      </c>
      <c r="N1094" t="s">
        <v>14</v>
      </c>
    </row>
    <row r="1095" spans="1:14" x14ac:dyDescent="0.35">
      <c r="A1095" s="75">
        <v>43959</v>
      </c>
      <c r="B1095" t="s">
        <v>147</v>
      </c>
      <c r="C1095" t="s">
        <v>96</v>
      </c>
      <c r="D1095">
        <v>5</v>
      </c>
      <c r="E1095">
        <v>5</v>
      </c>
      <c r="F1095" t="s">
        <v>10</v>
      </c>
      <c r="G1095" t="s">
        <v>114</v>
      </c>
      <c r="H1095" t="s">
        <v>3</v>
      </c>
      <c r="I1095">
        <v>140000000</v>
      </c>
      <c r="J1095" t="s">
        <v>44</v>
      </c>
      <c r="K1095" t="s">
        <v>8</v>
      </c>
      <c r="L1095" t="s">
        <v>67</v>
      </c>
      <c r="M1095" t="s">
        <v>81</v>
      </c>
      <c r="N1095" t="s">
        <v>14</v>
      </c>
    </row>
    <row r="1096" spans="1:14" x14ac:dyDescent="0.35">
      <c r="A1096" s="75">
        <v>43959</v>
      </c>
      <c r="B1096" t="s">
        <v>147</v>
      </c>
      <c r="C1096" t="s">
        <v>96</v>
      </c>
      <c r="D1096">
        <v>5</v>
      </c>
      <c r="E1096">
        <v>5</v>
      </c>
      <c r="F1096" t="s">
        <v>10</v>
      </c>
      <c r="G1096" t="s">
        <v>76</v>
      </c>
      <c r="H1096" t="s">
        <v>79</v>
      </c>
      <c r="I1096">
        <v>60000000</v>
      </c>
      <c r="J1096" t="s">
        <v>35</v>
      </c>
      <c r="K1096" t="s">
        <v>2</v>
      </c>
      <c r="L1096" t="s">
        <v>67</v>
      </c>
      <c r="M1096" t="s">
        <v>80</v>
      </c>
      <c r="N1096" t="s">
        <v>12</v>
      </c>
    </row>
    <row r="1097" spans="1:14" x14ac:dyDescent="0.35">
      <c r="A1097" s="75">
        <v>43959</v>
      </c>
      <c r="B1097" t="s">
        <v>147</v>
      </c>
      <c r="C1097" t="s">
        <v>96</v>
      </c>
      <c r="D1097">
        <v>5</v>
      </c>
      <c r="E1097">
        <v>5</v>
      </c>
      <c r="F1097" t="s">
        <v>10</v>
      </c>
      <c r="G1097" t="s">
        <v>114</v>
      </c>
      <c r="H1097" t="s">
        <v>3</v>
      </c>
      <c r="I1097">
        <v>140000000</v>
      </c>
      <c r="J1097" t="s">
        <v>52</v>
      </c>
      <c r="K1097" t="s">
        <v>2</v>
      </c>
      <c r="L1097" t="s">
        <v>67</v>
      </c>
      <c r="M1097" t="s">
        <v>80</v>
      </c>
      <c r="N1097" t="s">
        <v>14</v>
      </c>
    </row>
    <row r="1098" spans="1:14" x14ac:dyDescent="0.35">
      <c r="A1098" s="75">
        <v>43959</v>
      </c>
      <c r="B1098" t="s">
        <v>147</v>
      </c>
      <c r="C1098" t="s">
        <v>96</v>
      </c>
      <c r="D1098">
        <v>4</v>
      </c>
      <c r="E1098">
        <v>4</v>
      </c>
      <c r="F1098" t="s">
        <v>10</v>
      </c>
      <c r="G1098" t="s">
        <v>71</v>
      </c>
      <c r="H1098" t="s">
        <v>6</v>
      </c>
      <c r="I1098">
        <v>40000000</v>
      </c>
      <c r="J1098" t="s">
        <v>51</v>
      </c>
      <c r="K1098" t="s">
        <v>5</v>
      </c>
      <c r="L1098" t="s">
        <v>67</v>
      </c>
      <c r="M1098" t="s">
        <v>80</v>
      </c>
      <c r="N1098" t="s">
        <v>14</v>
      </c>
    </row>
    <row r="1099" spans="1:14" x14ac:dyDescent="0.35">
      <c r="A1099" s="75">
        <v>43960</v>
      </c>
      <c r="B1099" t="s">
        <v>148</v>
      </c>
      <c r="C1099" t="s">
        <v>96</v>
      </c>
      <c r="D1099">
        <v>10</v>
      </c>
      <c r="E1099">
        <v>10</v>
      </c>
      <c r="F1099" t="s">
        <v>10</v>
      </c>
      <c r="G1099" t="s">
        <v>70</v>
      </c>
      <c r="H1099" t="s">
        <v>1</v>
      </c>
      <c r="I1099">
        <v>120000000</v>
      </c>
      <c r="J1099" t="s">
        <v>32</v>
      </c>
      <c r="K1099" t="s">
        <v>5</v>
      </c>
      <c r="L1099" t="s">
        <v>67</v>
      </c>
      <c r="M1099" t="s">
        <v>81</v>
      </c>
      <c r="N1099" t="s">
        <v>14</v>
      </c>
    </row>
    <row r="1100" spans="1:14" x14ac:dyDescent="0.35">
      <c r="A1100" s="75">
        <v>43960</v>
      </c>
      <c r="B1100" t="s">
        <v>148</v>
      </c>
      <c r="C1100" t="s">
        <v>96</v>
      </c>
      <c r="D1100">
        <v>9</v>
      </c>
      <c r="E1100">
        <v>9</v>
      </c>
      <c r="F1100" t="s">
        <v>10</v>
      </c>
      <c r="G1100" t="s">
        <v>71</v>
      </c>
      <c r="H1100" t="s">
        <v>6</v>
      </c>
      <c r="I1100">
        <v>140000000</v>
      </c>
      <c r="J1100" t="s">
        <v>41</v>
      </c>
      <c r="K1100" t="s">
        <v>8</v>
      </c>
      <c r="L1100" t="s">
        <v>67</v>
      </c>
      <c r="M1100" t="s">
        <v>80</v>
      </c>
      <c r="N1100" t="s">
        <v>14</v>
      </c>
    </row>
    <row r="1101" spans="1:14" x14ac:dyDescent="0.35">
      <c r="A1101" s="75">
        <v>43960</v>
      </c>
      <c r="B1101" t="s">
        <v>148</v>
      </c>
      <c r="C1101" t="s">
        <v>96</v>
      </c>
      <c r="D1101">
        <v>8</v>
      </c>
      <c r="E1101">
        <v>8</v>
      </c>
      <c r="F1101" t="s">
        <v>10</v>
      </c>
      <c r="G1101" t="s">
        <v>72</v>
      </c>
      <c r="H1101" t="s">
        <v>78</v>
      </c>
      <c r="I1101">
        <v>80000000</v>
      </c>
      <c r="J1101" t="s">
        <v>21</v>
      </c>
      <c r="K1101" t="s">
        <v>2</v>
      </c>
      <c r="L1101" t="s">
        <v>67</v>
      </c>
      <c r="M1101" t="s">
        <v>80</v>
      </c>
      <c r="N1101" t="s">
        <v>13</v>
      </c>
    </row>
    <row r="1102" spans="1:14" x14ac:dyDescent="0.35">
      <c r="A1102" s="75">
        <v>43960</v>
      </c>
      <c r="B1102" t="s">
        <v>148</v>
      </c>
      <c r="C1102" t="s">
        <v>96</v>
      </c>
      <c r="D1102">
        <v>8</v>
      </c>
      <c r="E1102">
        <v>8</v>
      </c>
      <c r="F1102" t="s">
        <v>10</v>
      </c>
      <c r="G1102" t="s">
        <v>113</v>
      </c>
      <c r="H1102" t="s">
        <v>77</v>
      </c>
      <c r="I1102">
        <v>100000000</v>
      </c>
      <c r="J1102" t="s">
        <v>59</v>
      </c>
      <c r="K1102" t="s">
        <v>2</v>
      </c>
      <c r="L1102" t="s">
        <v>67</v>
      </c>
      <c r="M1102" t="s">
        <v>82</v>
      </c>
      <c r="N1102" t="s">
        <v>13</v>
      </c>
    </row>
    <row r="1103" spans="1:14" x14ac:dyDescent="0.35">
      <c r="A1103" s="75">
        <v>43960</v>
      </c>
      <c r="B1103" t="s">
        <v>148</v>
      </c>
      <c r="C1103" t="s">
        <v>96</v>
      </c>
      <c r="D1103">
        <v>7</v>
      </c>
      <c r="E1103">
        <v>7</v>
      </c>
      <c r="F1103" t="s">
        <v>10</v>
      </c>
      <c r="G1103" t="s">
        <v>75</v>
      </c>
      <c r="H1103" t="s">
        <v>6</v>
      </c>
      <c r="I1103">
        <v>140000000</v>
      </c>
      <c r="J1103" t="s">
        <v>63</v>
      </c>
      <c r="K1103" t="s">
        <v>8</v>
      </c>
      <c r="L1103" t="s">
        <v>67</v>
      </c>
      <c r="M1103" t="s">
        <v>82</v>
      </c>
      <c r="N1103" t="s">
        <v>11</v>
      </c>
    </row>
    <row r="1104" spans="1:14" x14ac:dyDescent="0.35">
      <c r="A1104" s="75">
        <v>43960</v>
      </c>
      <c r="B1104" t="s">
        <v>148</v>
      </c>
      <c r="C1104" t="s">
        <v>96</v>
      </c>
      <c r="D1104">
        <v>6</v>
      </c>
      <c r="E1104">
        <v>6</v>
      </c>
      <c r="F1104" t="s">
        <v>10</v>
      </c>
      <c r="G1104" t="s">
        <v>71</v>
      </c>
      <c r="H1104" t="s">
        <v>6</v>
      </c>
      <c r="I1104">
        <v>60000000</v>
      </c>
      <c r="J1104" t="s">
        <v>29</v>
      </c>
      <c r="K1104" t="s">
        <v>7</v>
      </c>
      <c r="L1104" t="s">
        <v>67</v>
      </c>
      <c r="M1104" t="s">
        <v>82</v>
      </c>
      <c r="N1104" t="s">
        <v>11</v>
      </c>
    </row>
    <row r="1105" spans="1:14" x14ac:dyDescent="0.35">
      <c r="A1105" s="75">
        <v>43960</v>
      </c>
      <c r="B1105" t="s">
        <v>148</v>
      </c>
      <c r="C1105" t="s">
        <v>96</v>
      </c>
      <c r="D1105">
        <v>6</v>
      </c>
      <c r="E1105">
        <v>6</v>
      </c>
      <c r="F1105" t="s">
        <v>10</v>
      </c>
      <c r="G1105" t="s">
        <v>70</v>
      </c>
      <c r="H1105" t="s">
        <v>1</v>
      </c>
      <c r="I1105">
        <v>80000000</v>
      </c>
      <c r="J1105" t="s">
        <v>19</v>
      </c>
      <c r="K1105" t="s">
        <v>5</v>
      </c>
      <c r="L1105" t="s">
        <v>67</v>
      </c>
      <c r="M1105" t="s">
        <v>80</v>
      </c>
      <c r="N1105" t="s">
        <v>13</v>
      </c>
    </row>
    <row r="1106" spans="1:14" x14ac:dyDescent="0.35">
      <c r="A1106" s="75">
        <v>43960</v>
      </c>
      <c r="B1106" t="s">
        <v>148</v>
      </c>
      <c r="C1106" t="s">
        <v>96</v>
      </c>
      <c r="D1106">
        <v>5</v>
      </c>
      <c r="E1106">
        <v>5</v>
      </c>
      <c r="F1106" t="s">
        <v>10</v>
      </c>
      <c r="G1106" t="s">
        <v>71</v>
      </c>
      <c r="H1106" t="s">
        <v>6</v>
      </c>
      <c r="I1106">
        <v>60000000</v>
      </c>
      <c r="J1106" t="s">
        <v>56</v>
      </c>
      <c r="K1106" t="s">
        <v>2</v>
      </c>
      <c r="L1106" t="s">
        <v>67</v>
      </c>
      <c r="M1106" t="s">
        <v>81</v>
      </c>
      <c r="N1106" t="s">
        <v>11</v>
      </c>
    </row>
    <row r="1107" spans="1:14" x14ac:dyDescent="0.35">
      <c r="A1107" s="75">
        <v>43960</v>
      </c>
      <c r="B1107" t="s">
        <v>148</v>
      </c>
      <c r="C1107" t="s">
        <v>96</v>
      </c>
      <c r="D1107">
        <v>4</v>
      </c>
      <c r="E1107">
        <v>4</v>
      </c>
      <c r="F1107" t="s">
        <v>10</v>
      </c>
      <c r="G1107" t="s">
        <v>75</v>
      </c>
      <c r="H1107" t="s">
        <v>6</v>
      </c>
      <c r="I1107">
        <v>120000000</v>
      </c>
      <c r="J1107" t="s">
        <v>17</v>
      </c>
      <c r="K1107" t="s">
        <v>2</v>
      </c>
      <c r="L1107" t="s">
        <v>67</v>
      </c>
      <c r="M1107" t="s">
        <v>81</v>
      </c>
      <c r="N1107" t="s">
        <v>12</v>
      </c>
    </row>
    <row r="1108" spans="1:14" x14ac:dyDescent="0.35">
      <c r="A1108" s="75">
        <v>43960</v>
      </c>
      <c r="B1108" t="s">
        <v>148</v>
      </c>
      <c r="C1108" t="s">
        <v>96</v>
      </c>
      <c r="D1108">
        <v>4</v>
      </c>
      <c r="E1108">
        <v>4</v>
      </c>
      <c r="F1108" t="s">
        <v>10</v>
      </c>
      <c r="G1108" t="s">
        <v>72</v>
      </c>
      <c r="H1108" t="s">
        <v>78</v>
      </c>
      <c r="I1108">
        <v>140000000</v>
      </c>
      <c r="J1108" t="s">
        <v>50</v>
      </c>
      <c r="K1108" t="s">
        <v>2</v>
      </c>
      <c r="L1108" t="s">
        <v>67</v>
      </c>
      <c r="M1108" t="s">
        <v>80</v>
      </c>
      <c r="N1108" t="s">
        <v>12</v>
      </c>
    </row>
    <row r="1109" spans="1:14" x14ac:dyDescent="0.35">
      <c r="A1109" s="75">
        <v>43960</v>
      </c>
      <c r="B1109" t="s">
        <v>148</v>
      </c>
      <c r="C1109" t="s">
        <v>96</v>
      </c>
      <c r="D1109">
        <v>4</v>
      </c>
      <c r="E1109">
        <v>4</v>
      </c>
      <c r="F1109" t="s">
        <v>10</v>
      </c>
      <c r="G1109" t="s">
        <v>72</v>
      </c>
      <c r="H1109" t="s">
        <v>78</v>
      </c>
      <c r="I1109">
        <v>60000000</v>
      </c>
      <c r="J1109" t="s">
        <v>38</v>
      </c>
      <c r="K1109" t="s">
        <v>5</v>
      </c>
      <c r="L1109" t="s">
        <v>67</v>
      </c>
      <c r="M1109" t="s">
        <v>80</v>
      </c>
      <c r="N1109" t="s">
        <v>11</v>
      </c>
    </row>
    <row r="1110" spans="1:14" x14ac:dyDescent="0.35">
      <c r="A1110" s="75">
        <v>43960</v>
      </c>
      <c r="B1110" t="s">
        <v>148</v>
      </c>
      <c r="C1110" t="s">
        <v>96</v>
      </c>
      <c r="D1110">
        <v>3</v>
      </c>
      <c r="E1110">
        <v>3</v>
      </c>
      <c r="F1110" t="s">
        <v>10</v>
      </c>
      <c r="G1110" t="s">
        <v>72</v>
      </c>
      <c r="H1110" t="s">
        <v>78</v>
      </c>
      <c r="I1110">
        <v>120000000</v>
      </c>
      <c r="J1110" t="s">
        <v>57</v>
      </c>
      <c r="K1110" t="s">
        <v>7</v>
      </c>
      <c r="L1110" t="s">
        <v>67</v>
      </c>
      <c r="M1110" t="s">
        <v>82</v>
      </c>
      <c r="N1110" t="s">
        <v>14</v>
      </c>
    </row>
    <row r="1111" spans="1:14" x14ac:dyDescent="0.35">
      <c r="A1111" s="75">
        <v>43960</v>
      </c>
      <c r="B1111" t="s">
        <v>148</v>
      </c>
      <c r="C1111" t="s">
        <v>96</v>
      </c>
      <c r="D1111">
        <v>3</v>
      </c>
      <c r="E1111">
        <v>3</v>
      </c>
      <c r="F1111" t="s">
        <v>10</v>
      </c>
      <c r="G1111" t="s">
        <v>75</v>
      </c>
      <c r="H1111" t="s">
        <v>6</v>
      </c>
      <c r="I1111">
        <v>40000000</v>
      </c>
      <c r="J1111" t="s">
        <v>55</v>
      </c>
      <c r="K1111" t="s">
        <v>2</v>
      </c>
      <c r="L1111" t="s">
        <v>67</v>
      </c>
      <c r="M1111" t="s">
        <v>82</v>
      </c>
      <c r="N1111" t="s">
        <v>13</v>
      </c>
    </row>
    <row r="1112" spans="1:14" x14ac:dyDescent="0.35">
      <c r="A1112" s="75">
        <v>43961</v>
      </c>
      <c r="B1112" t="s">
        <v>149</v>
      </c>
      <c r="C1112" t="s">
        <v>96</v>
      </c>
      <c r="D1112">
        <v>9</v>
      </c>
      <c r="E1112">
        <v>9</v>
      </c>
      <c r="F1112" t="s">
        <v>10</v>
      </c>
      <c r="G1112" t="s">
        <v>76</v>
      </c>
      <c r="H1112" t="s">
        <v>79</v>
      </c>
      <c r="I1112">
        <v>80000000</v>
      </c>
      <c r="J1112" t="s">
        <v>56</v>
      </c>
      <c r="K1112" t="s">
        <v>5</v>
      </c>
      <c r="L1112" t="s">
        <v>67</v>
      </c>
      <c r="M1112" t="s">
        <v>80</v>
      </c>
      <c r="N1112" t="s">
        <v>13</v>
      </c>
    </row>
    <row r="1113" spans="1:14" x14ac:dyDescent="0.35">
      <c r="A1113" s="75">
        <v>43961</v>
      </c>
      <c r="B1113" t="s">
        <v>149</v>
      </c>
      <c r="C1113" t="s">
        <v>96</v>
      </c>
      <c r="D1113">
        <v>7</v>
      </c>
      <c r="E1113">
        <v>7</v>
      </c>
      <c r="F1113" t="s">
        <v>10</v>
      </c>
      <c r="G1113" t="s">
        <v>114</v>
      </c>
      <c r="H1113" t="s">
        <v>3</v>
      </c>
      <c r="I1113">
        <v>80000000</v>
      </c>
      <c r="J1113" t="s">
        <v>46</v>
      </c>
      <c r="K1113" t="s">
        <v>7</v>
      </c>
      <c r="L1113" t="s">
        <v>67</v>
      </c>
      <c r="M1113" t="s">
        <v>80</v>
      </c>
      <c r="N1113" t="s">
        <v>14</v>
      </c>
    </row>
    <row r="1114" spans="1:14" x14ac:dyDescent="0.35">
      <c r="A1114" s="75">
        <v>43961</v>
      </c>
      <c r="B1114" t="s">
        <v>149</v>
      </c>
      <c r="C1114" t="s">
        <v>96</v>
      </c>
      <c r="D1114">
        <v>7</v>
      </c>
      <c r="E1114">
        <v>7</v>
      </c>
      <c r="F1114" t="s">
        <v>10</v>
      </c>
      <c r="G1114" t="s">
        <v>71</v>
      </c>
      <c r="H1114" t="s">
        <v>6</v>
      </c>
      <c r="I1114">
        <v>60000000</v>
      </c>
      <c r="J1114" t="s">
        <v>37</v>
      </c>
      <c r="K1114" t="s">
        <v>2</v>
      </c>
      <c r="L1114" t="s">
        <v>67</v>
      </c>
      <c r="M1114" t="s">
        <v>82</v>
      </c>
      <c r="N1114" t="s">
        <v>11</v>
      </c>
    </row>
    <row r="1115" spans="1:14" x14ac:dyDescent="0.35">
      <c r="A1115" s="75">
        <v>43961</v>
      </c>
      <c r="B1115" t="s">
        <v>149</v>
      </c>
      <c r="C1115" t="s">
        <v>96</v>
      </c>
      <c r="D1115">
        <v>7</v>
      </c>
      <c r="E1115">
        <v>7</v>
      </c>
      <c r="F1115" t="s">
        <v>10</v>
      </c>
      <c r="G1115" t="s">
        <v>74</v>
      </c>
      <c r="H1115" t="s">
        <v>77</v>
      </c>
      <c r="I1115">
        <v>60000000</v>
      </c>
      <c r="J1115" t="s">
        <v>33</v>
      </c>
      <c r="K1115" t="s">
        <v>8</v>
      </c>
      <c r="L1115" t="s">
        <v>67</v>
      </c>
      <c r="M1115" t="s">
        <v>80</v>
      </c>
      <c r="N1115" t="s">
        <v>11</v>
      </c>
    </row>
    <row r="1116" spans="1:14" x14ac:dyDescent="0.35">
      <c r="A1116" s="75">
        <v>43961</v>
      </c>
      <c r="B1116" t="s">
        <v>149</v>
      </c>
      <c r="C1116" t="s">
        <v>96</v>
      </c>
      <c r="D1116">
        <v>5</v>
      </c>
      <c r="E1116">
        <v>5</v>
      </c>
      <c r="F1116" t="s">
        <v>10</v>
      </c>
      <c r="G1116" t="s">
        <v>73</v>
      </c>
      <c r="H1116" t="s">
        <v>78</v>
      </c>
      <c r="I1116">
        <v>120000000</v>
      </c>
      <c r="J1116" t="s">
        <v>63</v>
      </c>
      <c r="K1116" t="s">
        <v>8</v>
      </c>
      <c r="L1116" t="s">
        <v>67</v>
      </c>
      <c r="M1116" t="s">
        <v>81</v>
      </c>
      <c r="N1116" t="s">
        <v>12</v>
      </c>
    </row>
    <row r="1117" spans="1:14" x14ac:dyDescent="0.35">
      <c r="A1117" s="75">
        <v>43961</v>
      </c>
      <c r="B1117" t="s">
        <v>149</v>
      </c>
      <c r="C1117" t="s">
        <v>96</v>
      </c>
      <c r="D1117">
        <v>5</v>
      </c>
      <c r="E1117">
        <v>5</v>
      </c>
      <c r="F1117" t="s">
        <v>10</v>
      </c>
      <c r="G1117" t="s">
        <v>70</v>
      </c>
      <c r="H1117" t="s">
        <v>1</v>
      </c>
      <c r="I1117">
        <v>60000000</v>
      </c>
      <c r="J1117" t="s">
        <v>34</v>
      </c>
      <c r="K1117" t="s">
        <v>5</v>
      </c>
      <c r="L1117" t="s">
        <v>67</v>
      </c>
      <c r="M1117" t="s">
        <v>81</v>
      </c>
      <c r="N1117" t="s">
        <v>13</v>
      </c>
    </row>
    <row r="1118" spans="1:14" x14ac:dyDescent="0.35">
      <c r="A1118" s="75">
        <v>43961</v>
      </c>
      <c r="B1118" t="s">
        <v>149</v>
      </c>
      <c r="C1118" t="s">
        <v>96</v>
      </c>
      <c r="D1118">
        <v>4</v>
      </c>
      <c r="E1118">
        <v>4</v>
      </c>
      <c r="F1118" t="s">
        <v>10</v>
      </c>
      <c r="G1118" t="s">
        <v>73</v>
      </c>
      <c r="H1118" t="s">
        <v>78</v>
      </c>
      <c r="I1118">
        <v>60000000</v>
      </c>
      <c r="J1118" t="s">
        <v>33</v>
      </c>
      <c r="K1118" t="s">
        <v>5</v>
      </c>
      <c r="L1118" t="s">
        <v>67</v>
      </c>
      <c r="M1118" t="s">
        <v>81</v>
      </c>
      <c r="N1118" t="s">
        <v>12</v>
      </c>
    </row>
    <row r="1119" spans="1:14" x14ac:dyDescent="0.35">
      <c r="A1119" s="75">
        <v>43962</v>
      </c>
      <c r="B1119" t="s">
        <v>150</v>
      </c>
      <c r="C1119" t="s">
        <v>96</v>
      </c>
      <c r="D1119">
        <v>9</v>
      </c>
      <c r="E1119">
        <v>9</v>
      </c>
      <c r="F1119" t="s">
        <v>10</v>
      </c>
      <c r="G1119" t="s">
        <v>72</v>
      </c>
      <c r="H1119" t="s">
        <v>78</v>
      </c>
      <c r="I1119">
        <v>120000000</v>
      </c>
      <c r="J1119" t="s">
        <v>55</v>
      </c>
      <c r="K1119" t="s">
        <v>5</v>
      </c>
      <c r="L1119" t="s">
        <v>67</v>
      </c>
      <c r="M1119" t="s">
        <v>80</v>
      </c>
      <c r="N1119" t="s">
        <v>13</v>
      </c>
    </row>
    <row r="1120" spans="1:14" x14ac:dyDescent="0.35">
      <c r="A1120" s="75">
        <v>43962</v>
      </c>
      <c r="B1120" t="s">
        <v>150</v>
      </c>
      <c r="C1120" t="s">
        <v>96</v>
      </c>
      <c r="D1120">
        <v>9</v>
      </c>
      <c r="E1120">
        <v>9</v>
      </c>
      <c r="F1120" t="s">
        <v>10</v>
      </c>
      <c r="G1120" t="s">
        <v>72</v>
      </c>
      <c r="H1120" t="s">
        <v>78</v>
      </c>
      <c r="I1120">
        <v>80000000</v>
      </c>
      <c r="J1120" t="s">
        <v>53</v>
      </c>
      <c r="K1120" t="s">
        <v>5</v>
      </c>
      <c r="L1120" t="s">
        <v>67</v>
      </c>
      <c r="M1120" t="s">
        <v>80</v>
      </c>
      <c r="N1120" t="s">
        <v>14</v>
      </c>
    </row>
    <row r="1121" spans="1:14" x14ac:dyDescent="0.35">
      <c r="A1121" s="75">
        <v>43962</v>
      </c>
      <c r="B1121" t="s">
        <v>150</v>
      </c>
      <c r="C1121" t="s">
        <v>96</v>
      </c>
      <c r="D1121">
        <v>9</v>
      </c>
      <c r="E1121">
        <v>9</v>
      </c>
      <c r="F1121" t="s">
        <v>10</v>
      </c>
      <c r="G1121" t="s">
        <v>113</v>
      </c>
      <c r="H1121" t="s">
        <v>77</v>
      </c>
      <c r="I1121">
        <v>80000000</v>
      </c>
      <c r="J1121" t="s">
        <v>44</v>
      </c>
      <c r="K1121" t="s">
        <v>2</v>
      </c>
      <c r="L1121" t="s">
        <v>67</v>
      </c>
      <c r="M1121" t="s">
        <v>80</v>
      </c>
      <c r="N1121" t="s">
        <v>13</v>
      </c>
    </row>
    <row r="1122" spans="1:14" x14ac:dyDescent="0.35">
      <c r="A1122" s="75">
        <v>43962</v>
      </c>
      <c r="B1122" t="s">
        <v>150</v>
      </c>
      <c r="C1122" t="s">
        <v>96</v>
      </c>
      <c r="D1122">
        <v>5</v>
      </c>
      <c r="E1122">
        <v>5</v>
      </c>
      <c r="F1122" t="s">
        <v>10</v>
      </c>
      <c r="G1122" t="s">
        <v>113</v>
      </c>
      <c r="H1122" t="s">
        <v>77</v>
      </c>
      <c r="I1122">
        <v>100000000</v>
      </c>
      <c r="J1122" t="s">
        <v>38</v>
      </c>
      <c r="K1122" t="s">
        <v>5</v>
      </c>
      <c r="L1122" t="s">
        <v>67</v>
      </c>
      <c r="M1122" t="s">
        <v>80</v>
      </c>
      <c r="N1122" t="s">
        <v>14</v>
      </c>
    </row>
    <row r="1123" spans="1:14" x14ac:dyDescent="0.35">
      <c r="A1123" s="75">
        <v>43962</v>
      </c>
      <c r="B1123" t="s">
        <v>150</v>
      </c>
      <c r="C1123" t="s">
        <v>96</v>
      </c>
      <c r="D1123">
        <v>4</v>
      </c>
      <c r="E1123">
        <v>4</v>
      </c>
      <c r="F1123" t="s">
        <v>10</v>
      </c>
      <c r="G1123" t="s">
        <v>113</v>
      </c>
      <c r="H1123" t="s">
        <v>77</v>
      </c>
      <c r="I1123">
        <v>60000000</v>
      </c>
      <c r="J1123" t="s">
        <v>29</v>
      </c>
      <c r="K1123" t="s">
        <v>7</v>
      </c>
      <c r="L1123" t="s">
        <v>67</v>
      </c>
      <c r="M1123" t="s">
        <v>81</v>
      </c>
      <c r="N1123" t="s">
        <v>12</v>
      </c>
    </row>
    <row r="1124" spans="1:14" x14ac:dyDescent="0.35">
      <c r="A1124" s="75">
        <v>43962</v>
      </c>
      <c r="B1124" t="s">
        <v>150</v>
      </c>
      <c r="C1124" t="s">
        <v>96</v>
      </c>
      <c r="D1124">
        <v>4</v>
      </c>
      <c r="E1124">
        <v>4</v>
      </c>
      <c r="F1124" t="s">
        <v>10</v>
      </c>
      <c r="G1124" t="s">
        <v>74</v>
      </c>
      <c r="H1124" t="s">
        <v>77</v>
      </c>
      <c r="I1124">
        <v>140000000</v>
      </c>
      <c r="J1124" t="s">
        <v>51</v>
      </c>
      <c r="K1124" t="s">
        <v>5</v>
      </c>
      <c r="L1124" t="s">
        <v>67</v>
      </c>
      <c r="M1124" t="s">
        <v>80</v>
      </c>
      <c r="N1124" t="s">
        <v>12</v>
      </c>
    </row>
    <row r="1125" spans="1:14" x14ac:dyDescent="0.35">
      <c r="A1125" s="75">
        <v>43963</v>
      </c>
      <c r="B1125" t="s">
        <v>151</v>
      </c>
      <c r="C1125" t="s">
        <v>96</v>
      </c>
      <c r="D1125">
        <v>7</v>
      </c>
      <c r="E1125">
        <v>7</v>
      </c>
      <c r="F1125" t="s">
        <v>10</v>
      </c>
      <c r="G1125" t="s">
        <v>113</v>
      </c>
      <c r="H1125" t="s">
        <v>77</v>
      </c>
      <c r="I1125">
        <v>100000000</v>
      </c>
      <c r="J1125" t="s">
        <v>24</v>
      </c>
      <c r="K1125" t="s">
        <v>5</v>
      </c>
      <c r="L1125" t="s">
        <v>67</v>
      </c>
      <c r="M1125" t="s">
        <v>82</v>
      </c>
      <c r="N1125" t="s">
        <v>12</v>
      </c>
    </row>
    <row r="1126" spans="1:14" x14ac:dyDescent="0.35">
      <c r="A1126" s="75">
        <v>43963</v>
      </c>
      <c r="B1126" t="s">
        <v>151</v>
      </c>
      <c r="C1126" t="s">
        <v>96</v>
      </c>
      <c r="D1126">
        <v>6</v>
      </c>
      <c r="E1126">
        <v>6</v>
      </c>
      <c r="F1126" t="s">
        <v>10</v>
      </c>
      <c r="G1126" t="s">
        <v>114</v>
      </c>
      <c r="H1126" t="s">
        <v>3</v>
      </c>
      <c r="I1126">
        <v>40000000</v>
      </c>
      <c r="J1126" t="s">
        <v>59</v>
      </c>
      <c r="K1126" t="s">
        <v>5</v>
      </c>
      <c r="L1126" t="s">
        <v>67</v>
      </c>
      <c r="M1126" t="s">
        <v>81</v>
      </c>
      <c r="N1126" t="s">
        <v>11</v>
      </c>
    </row>
    <row r="1127" spans="1:14" x14ac:dyDescent="0.35">
      <c r="A1127" s="75">
        <v>43963</v>
      </c>
      <c r="B1127" t="s">
        <v>151</v>
      </c>
      <c r="C1127" t="s">
        <v>96</v>
      </c>
      <c r="D1127">
        <v>6</v>
      </c>
      <c r="E1127">
        <v>6</v>
      </c>
      <c r="F1127" t="s">
        <v>10</v>
      </c>
      <c r="G1127" t="s">
        <v>73</v>
      </c>
      <c r="H1127" t="s">
        <v>78</v>
      </c>
      <c r="I1127">
        <v>40000000</v>
      </c>
      <c r="J1127" t="s">
        <v>55</v>
      </c>
      <c r="K1127" t="s">
        <v>4</v>
      </c>
      <c r="L1127" t="s">
        <v>67</v>
      </c>
      <c r="M1127" t="s">
        <v>80</v>
      </c>
      <c r="N1127" t="s">
        <v>12</v>
      </c>
    </row>
    <row r="1128" spans="1:14" x14ac:dyDescent="0.35">
      <c r="A1128" s="75">
        <v>43963</v>
      </c>
      <c r="B1128" t="s">
        <v>151</v>
      </c>
      <c r="C1128" t="s">
        <v>96</v>
      </c>
      <c r="D1128">
        <v>5</v>
      </c>
      <c r="E1128">
        <v>5</v>
      </c>
      <c r="F1128" t="s">
        <v>10</v>
      </c>
      <c r="G1128" t="s">
        <v>70</v>
      </c>
      <c r="H1128" t="s">
        <v>1</v>
      </c>
      <c r="I1128">
        <v>40000000</v>
      </c>
      <c r="J1128" t="s">
        <v>52</v>
      </c>
      <c r="K1128" t="s">
        <v>8</v>
      </c>
      <c r="L1128" t="s">
        <v>67</v>
      </c>
      <c r="M1128" t="s">
        <v>81</v>
      </c>
      <c r="N1128" t="s">
        <v>14</v>
      </c>
    </row>
    <row r="1129" spans="1:14" x14ac:dyDescent="0.35">
      <c r="A1129" s="75">
        <v>43963</v>
      </c>
      <c r="B1129" t="s">
        <v>151</v>
      </c>
      <c r="C1129" t="s">
        <v>96</v>
      </c>
      <c r="D1129">
        <v>4</v>
      </c>
      <c r="E1129">
        <v>4</v>
      </c>
      <c r="F1129" t="s">
        <v>10</v>
      </c>
      <c r="G1129" t="s">
        <v>71</v>
      </c>
      <c r="H1129" t="s">
        <v>6</v>
      </c>
      <c r="I1129">
        <v>100000000</v>
      </c>
      <c r="J1129" t="s">
        <v>47</v>
      </c>
      <c r="K1129" t="s">
        <v>4</v>
      </c>
      <c r="L1129" t="s">
        <v>67</v>
      </c>
      <c r="M1129" t="s">
        <v>82</v>
      </c>
      <c r="N1129" t="s">
        <v>13</v>
      </c>
    </row>
    <row r="1130" spans="1:14" x14ac:dyDescent="0.35">
      <c r="A1130" s="75">
        <v>43964</v>
      </c>
      <c r="B1130" t="s">
        <v>152</v>
      </c>
      <c r="C1130" t="s">
        <v>96</v>
      </c>
      <c r="D1130">
        <v>8</v>
      </c>
      <c r="E1130">
        <v>8</v>
      </c>
      <c r="F1130" t="s">
        <v>10</v>
      </c>
      <c r="G1130" t="s">
        <v>71</v>
      </c>
      <c r="H1130" t="s">
        <v>6</v>
      </c>
      <c r="I1130">
        <v>40000000</v>
      </c>
      <c r="J1130" t="s">
        <v>64</v>
      </c>
      <c r="K1130" t="s">
        <v>7</v>
      </c>
      <c r="L1130" t="s">
        <v>67</v>
      </c>
      <c r="M1130" t="s">
        <v>81</v>
      </c>
      <c r="N1130" t="s">
        <v>11</v>
      </c>
    </row>
    <row r="1131" spans="1:14" x14ac:dyDescent="0.35">
      <c r="A1131" s="75">
        <v>43964</v>
      </c>
      <c r="B1131" t="s">
        <v>152</v>
      </c>
      <c r="C1131" t="s">
        <v>96</v>
      </c>
      <c r="D1131">
        <v>5</v>
      </c>
      <c r="E1131">
        <v>5</v>
      </c>
      <c r="F1131" t="s">
        <v>10</v>
      </c>
      <c r="G1131" t="s">
        <v>73</v>
      </c>
      <c r="H1131" t="s">
        <v>78</v>
      </c>
      <c r="I1131">
        <v>60000000</v>
      </c>
      <c r="J1131" t="s">
        <v>41</v>
      </c>
      <c r="K1131" t="s">
        <v>2</v>
      </c>
      <c r="L1131" t="s">
        <v>67</v>
      </c>
      <c r="M1131" t="s">
        <v>81</v>
      </c>
      <c r="N1131" t="s">
        <v>13</v>
      </c>
    </row>
    <row r="1132" spans="1:14" x14ac:dyDescent="0.35">
      <c r="A1132" s="75">
        <v>43964</v>
      </c>
      <c r="B1132" t="s">
        <v>152</v>
      </c>
      <c r="C1132" t="s">
        <v>96</v>
      </c>
      <c r="D1132">
        <v>4</v>
      </c>
      <c r="E1132">
        <v>4</v>
      </c>
      <c r="F1132" t="s">
        <v>10</v>
      </c>
      <c r="G1132" t="s">
        <v>73</v>
      </c>
      <c r="H1132" t="s">
        <v>78</v>
      </c>
      <c r="I1132">
        <v>120000000</v>
      </c>
      <c r="J1132" t="s">
        <v>56</v>
      </c>
      <c r="K1132" t="s">
        <v>2</v>
      </c>
      <c r="L1132" t="s">
        <v>67</v>
      </c>
      <c r="M1132" t="s">
        <v>80</v>
      </c>
      <c r="N1132" t="s">
        <v>14</v>
      </c>
    </row>
    <row r="1133" spans="1:14" x14ac:dyDescent="0.35">
      <c r="A1133" s="75">
        <v>43964</v>
      </c>
      <c r="B1133" t="s">
        <v>152</v>
      </c>
      <c r="C1133" t="s">
        <v>96</v>
      </c>
      <c r="D1133">
        <v>3</v>
      </c>
      <c r="E1133">
        <v>3</v>
      </c>
      <c r="F1133" t="s">
        <v>10</v>
      </c>
      <c r="G1133" t="s">
        <v>70</v>
      </c>
      <c r="H1133" t="s">
        <v>1</v>
      </c>
      <c r="I1133">
        <v>100000000</v>
      </c>
      <c r="J1133" t="s">
        <v>26</v>
      </c>
      <c r="K1133" t="s">
        <v>8</v>
      </c>
      <c r="L1133" t="s">
        <v>67</v>
      </c>
      <c r="M1133" t="s">
        <v>82</v>
      </c>
      <c r="N1133" t="s">
        <v>14</v>
      </c>
    </row>
    <row r="1134" spans="1:14" x14ac:dyDescent="0.35">
      <c r="A1134" s="75">
        <v>43965</v>
      </c>
      <c r="B1134" t="s">
        <v>153</v>
      </c>
      <c r="C1134" t="s">
        <v>96</v>
      </c>
      <c r="D1134">
        <v>10</v>
      </c>
      <c r="E1134">
        <v>10</v>
      </c>
      <c r="F1134" t="s">
        <v>10</v>
      </c>
      <c r="G1134" t="s">
        <v>72</v>
      </c>
      <c r="H1134" t="s">
        <v>78</v>
      </c>
      <c r="I1134">
        <v>80000000</v>
      </c>
      <c r="J1134" t="s">
        <v>25</v>
      </c>
      <c r="K1134" t="s">
        <v>8</v>
      </c>
      <c r="L1134" t="s">
        <v>67</v>
      </c>
      <c r="M1134" t="s">
        <v>81</v>
      </c>
      <c r="N1134" t="s">
        <v>13</v>
      </c>
    </row>
    <row r="1135" spans="1:14" x14ac:dyDescent="0.35">
      <c r="A1135" s="75">
        <v>43965</v>
      </c>
      <c r="B1135" t="s">
        <v>153</v>
      </c>
      <c r="C1135" t="s">
        <v>96</v>
      </c>
      <c r="D1135">
        <v>10</v>
      </c>
      <c r="E1135">
        <v>10</v>
      </c>
      <c r="F1135" t="s">
        <v>10</v>
      </c>
      <c r="G1135" t="s">
        <v>74</v>
      </c>
      <c r="H1135" t="s">
        <v>77</v>
      </c>
      <c r="I1135">
        <v>140000000</v>
      </c>
      <c r="J1135" t="s">
        <v>34</v>
      </c>
      <c r="K1135" t="s">
        <v>2</v>
      </c>
      <c r="L1135" t="s">
        <v>67</v>
      </c>
      <c r="M1135" t="s">
        <v>80</v>
      </c>
      <c r="N1135" t="s">
        <v>13</v>
      </c>
    </row>
    <row r="1136" spans="1:14" x14ac:dyDescent="0.35">
      <c r="A1136" s="75">
        <v>43965</v>
      </c>
      <c r="B1136" t="s">
        <v>153</v>
      </c>
      <c r="C1136" t="s">
        <v>96</v>
      </c>
      <c r="D1136">
        <v>10</v>
      </c>
      <c r="E1136">
        <v>10</v>
      </c>
      <c r="F1136" t="s">
        <v>10</v>
      </c>
      <c r="G1136" t="s">
        <v>75</v>
      </c>
      <c r="H1136" t="s">
        <v>6</v>
      </c>
      <c r="I1136">
        <v>140000000</v>
      </c>
      <c r="J1136" t="s">
        <v>26</v>
      </c>
      <c r="K1136" t="s">
        <v>7</v>
      </c>
      <c r="L1136" t="s">
        <v>67</v>
      </c>
      <c r="M1136" t="s">
        <v>82</v>
      </c>
      <c r="N1136" t="s">
        <v>11</v>
      </c>
    </row>
    <row r="1137" spans="1:14" x14ac:dyDescent="0.35">
      <c r="A1137" s="75">
        <v>43965</v>
      </c>
      <c r="B1137" t="s">
        <v>153</v>
      </c>
      <c r="C1137" t="s">
        <v>96</v>
      </c>
      <c r="D1137">
        <v>8</v>
      </c>
      <c r="E1137">
        <v>8</v>
      </c>
      <c r="F1137" t="s">
        <v>10</v>
      </c>
      <c r="G1137" t="s">
        <v>76</v>
      </c>
      <c r="H1137" t="s">
        <v>79</v>
      </c>
      <c r="I1137">
        <v>80000000</v>
      </c>
      <c r="J1137" t="s">
        <v>58</v>
      </c>
      <c r="K1137" t="s">
        <v>5</v>
      </c>
      <c r="L1137" t="s">
        <v>67</v>
      </c>
      <c r="M1137" t="s">
        <v>80</v>
      </c>
      <c r="N1137" t="s">
        <v>11</v>
      </c>
    </row>
    <row r="1138" spans="1:14" x14ac:dyDescent="0.35">
      <c r="A1138" s="75">
        <v>43965</v>
      </c>
      <c r="B1138" t="s">
        <v>153</v>
      </c>
      <c r="C1138" t="s">
        <v>96</v>
      </c>
      <c r="D1138">
        <v>7</v>
      </c>
      <c r="E1138">
        <v>7</v>
      </c>
      <c r="F1138" t="s">
        <v>10</v>
      </c>
      <c r="G1138" t="s">
        <v>72</v>
      </c>
      <c r="H1138" t="s">
        <v>78</v>
      </c>
      <c r="I1138">
        <v>60000000</v>
      </c>
      <c r="J1138" t="s">
        <v>47</v>
      </c>
      <c r="K1138" t="s">
        <v>2</v>
      </c>
      <c r="L1138" t="s">
        <v>67</v>
      </c>
      <c r="M1138" t="s">
        <v>81</v>
      </c>
      <c r="N1138" t="s">
        <v>13</v>
      </c>
    </row>
    <row r="1139" spans="1:14" x14ac:dyDescent="0.35">
      <c r="A1139" s="75">
        <v>43965</v>
      </c>
      <c r="B1139" t="s">
        <v>153</v>
      </c>
      <c r="C1139" t="s">
        <v>96</v>
      </c>
      <c r="D1139">
        <v>7</v>
      </c>
      <c r="E1139">
        <v>7</v>
      </c>
      <c r="F1139" t="s">
        <v>10</v>
      </c>
      <c r="G1139" t="s">
        <v>72</v>
      </c>
      <c r="H1139" t="s">
        <v>78</v>
      </c>
      <c r="I1139">
        <v>60000000</v>
      </c>
      <c r="J1139" t="s">
        <v>53</v>
      </c>
      <c r="K1139" t="s">
        <v>5</v>
      </c>
      <c r="L1139" t="s">
        <v>67</v>
      </c>
      <c r="M1139" t="s">
        <v>80</v>
      </c>
      <c r="N1139" t="s">
        <v>12</v>
      </c>
    </row>
    <row r="1140" spans="1:14" x14ac:dyDescent="0.35">
      <c r="A1140" s="75">
        <v>43965</v>
      </c>
      <c r="B1140" t="s">
        <v>153</v>
      </c>
      <c r="C1140" t="s">
        <v>96</v>
      </c>
      <c r="D1140">
        <v>6</v>
      </c>
      <c r="E1140">
        <v>6</v>
      </c>
      <c r="F1140" t="s">
        <v>10</v>
      </c>
      <c r="G1140" t="s">
        <v>71</v>
      </c>
      <c r="H1140" t="s">
        <v>6</v>
      </c>
      <c r="I1140">
        <v>120000000</v>
      </c>
      <c r="J1140" t="s">
        <v>45</v>
      </c>
      <c r="K1140" t="s">
        <v>9</v>
      </c>
      <c r="L1140" t="s">
        <v>67</v>
      </c>
      <c r="M1140" t="s">
        <v>81</v>
      </c>
      <c r="N1140" t="s">
        <v>13</v>
      </c>
    </row>
    <row r="1141" spans="1:14" x14ac:dyDescent="0.35">
      <c r="A1141" s="75">
        <v>43965</v>
      </c>
      <c r="B1141" t="s">
        <v>153</v>
      </c>
      <c r="C1141" t="s">
        <v>96</v>
      </c>
      <c r="D1141">
        <v>5</v>
      </c>
      <c r="E1141">
        <v>5</v>
      </c>
      <c r="F1141" t="s">
        <v>10</v>
      </c>
      <c r="G1141" t="s">
        <v>71</v>
      </c>
      <c r="H1141" t="s">
        <v>6</v>
      </c>
      <c r="I1141">
        <v>120000000</v>
      </c>
      <c r="J1141" t="s">
        <v>51</v>
      </c>
      <c r="K1141" t="s">
        <v>2</v>
      </c>
      <c r="L1141" t="s">
        <v>67</v>
      </c>
      <c r="M1141" t="s">
        <v>81</v>
      </c>
      <c r="N1141" t="s">
        <v>14</v>
      </c>
    </row>
    <row r="1142" spans="1:14" x14ac:dyDescent="0.35">
      <c r="A1142" s="75">
        <v>43965</v>
      </c>
      <c r="B1142" t="s">
        <v>153</v>
      </c>
      <c r="C1142" t="s">
        <v>96</v>
      </c>
      <c r="D1142">
        <v>5</v>
      </c>
      <c r="E1142">
        <v>5</v>
      </c>
      <c r="F1142" t="s">
        <v>10</v>
      </c>
      <c r="G1142" t="s">
        <v>74</v>
      </c>
      <c r="H1142" t="s">
        <v>77</v>
      </c>
      <c r="I1142">
        <v>80000000</v>
      </c>
      <c r="J1142" t="s">
        <v>48</v>
      </c>
      <c r="K1142" t="s">
        <v>8</v>
      </c>
      <c r="L1142" t="s">
        <v>67</v>
      </c>
      <c r="M1142" t="s">
        <v>81</v>
      </c>
      <c r="N1142" t="s">
        <v>12</v>
      </c>
    </row>
    <row r="1143" spans="1:14" x14ac:dyDescent="0.35">
      <c r="A1143" s="75">
        <v>43965</v>
      </c>
      <c r="B1143" t="s">
        <v>153</v>
      </c>
      <c r="C1143" t="s">
        <v>96</v>
      </c>
      <c r="D1143">
        <v>5</v>
      </c>
      <c r="E1143">
        <v>5</v>
      </c>
      <c r="F1143" t="s">
        <v>10</v>
      </c>
      <c r="G1143" t="s">
        <v>76</v>
      </c>
      <c r="H1143" t="s">
        <v>79</v>
      </c>
      <c r="I1143">
        <v>80000000</v>
      </c>
      <c r="J1143" t="s">
        <v>36</v>
      </c>
      <c r="K1143" t="s">
        <v>5</v>
      </c>
      <c r="L1143" t="s">
        <v>67</v>
      </c>
      <c r="M1143" t="s">
        <v>82</v>
      </c>
      <c r="N1143" t="s">
        <v>12</v>
      </c>
    </row>
    <row r="1144" spans="1:14" x14ac:dyDescent="0.35">
      <c r="A1144" s="75">
        <v>43965</v>
      </c>
      <c r="B1144" t="s">
        <v>153</v>
      </c>
      <c r="C1144" t="s">
        <v>96</v>
      </c>
      <c r="D1144">
        <v>5</v>
      </c>
      <c r="E1144">
        <v>5</v>
      </c>
      <c r="F1144" t="s">
        <v>10</v>
      </c>
      <c r="G1144" t="s">
        <v>73</v>
      </c>
      <c r="H1144" t="s">
        <v>78</v>
      </c>
      <c r="I1144">
        <v>40000000</v>
      </c>
      <c r="J1144" t="s">
        <v>36</v>
      </c>
      <c r="K1144" t="s">
        <v>5</v>
      </c>
      <c r="L1144" t="s">
        <v>67</v>
      </c>
      <c r="M1144" t="s">
        <v>81</v>
      </c>
      <c r="N1144" t="s">
        <v>12</v>
      </c>
    </row>
    <row r="1145" spans="1:14" x14ac:dyDescent="0.35">
      <c r="A1145" s="75">
        <v>43965</v>
      </c>
      <c r="B1145" t="s">
        <v>153</v>
      </c>
      <c r="C1145" t="s">
        <v>96</v>
      </c>
      <c r="D1145">
        <v>3</v>
      </c>
      <c r="E1145">
        <v>3</v>
      </c>
      <c r="F1145" t="s">
        <v>10</v>
      </c>
      <c r="G1145" t="s">
        <v>75</v>
      </c>
      <c r="H1145" t="s">
        <v>6</v>
      </c>
      <c r="I1145">
        <v>40000000</v>
      </c>
      <c r="J1145" t="s">
        <v>60</v>
      </c>
      <c r="K1145" t="s">
        <v>5</v>
      </c>
      <c r="L1145" t="s">
        <v>67</v>
      </c>
      <c r="M1145" t="s">
        <v>81</v>
      </c>
      <c r="N1145" t="s">
        <v>12</v>
      </c>
    </row>
    <row r="1146" spans="1:14" x14ac:dyDescent="0.35">
      <c r="A1146" s="75">
        <v>43966</v>
      </c>
      <c r="B1146" t="s">
        <v>154</v>
      </c>
      <c r="C1146" t="s">
        <v>96</v>
      </c>
      <c r="D1146">
        <v>10</v>
      </c>
      <c r="E1146">
        <v>10</v>
      </c>
      <c r="F1146" t="s">
        <v>10</v>
      </c>
      <c r="G1146" t="s">
        <v>74</v>
      </c>
      <c r="H1146" t="s">
        <v>77</v>
      </c>
      <c r="I1146">
        <v>100000000</v>
      </c>
      <c r="J1146" t="s">
        <v>28</v>
      </c>
      <c r="K1146" t="s">
        <v>5</v>
      </c>
      <c r="L1146" t="s">
        <v>67</v>
      </c>
      <c r="M1146" t="s">
        <v>80</v>
      </c>
      <c r="N1146" t="s">
        <v>12</v>
      </c>
    </row>
    <row r="1147" spans="1:14" x14ac:dyDescent="0.35">
      <c r="A1147" s="75">
        <v>43966</v>
      </c>
      <c r="B1147" t="s">
        <v>154</v>
      </c>
      <c r="C1147" t="s">
        <v>96</v>
      </c>
      <c r="D1147">
        <v>10</v>
      </c>
      <c r="E1147">
        <v>10</v>
      </c>
      <c r="F1147" t="s">
        <v>10</v>
      </c>
      <c r="G1147" t="s">
        <v>113</v>
      </c>
      <c r="H1147" t="s">
        <v>77</v>
      </c>
      <c r="I1147">
        <v>120000000</v>
      </c>
      <c r="J1147" t="s">
        <v>42</v>
      </c>
      <c r="K1147" t="s">
        <v>5</v>
      </c>
      <c r="L1147" t="s">
        <v>67</v>
      </c>
      <c r="M1147" t="s">
        <v>82</v>
      </c>
      <c r="N1147" t="s">
        <v>12</v>
      </c>
    </row>
    <row r="1148" spans="1:14" x14ac:dyDescent="0.35">
      <c r="A1148" s="75">
        <v>43966</v>
      </c>
      <c r="B1148" t="s">
        <v>154</v>
      </c>
      <c r="C1148" t="s">
        <v>96</v>
      </c>
      <c r="D1148">
        <v>8</v>
      </c>
      <c r="E1148">
        <v>8</v>
      </c>
      <c r="F1148" t="s">
        <v>10</v>
      </c>
      <c r="G1148" t="s">
        <v>75</v>
      </c>
      <c r="H1148" t="s">
        <v>6</v>
      </c>
      <c r="I1148">
        <v>80000000</v>
      </c>
      <c r="J1148" t="s">
        <v>16</v>
      </c>
      <c r="K1148" t="s">
        <v>7</v>
      </c>
      <c r="L1148" t="s">
        <v>67</v>
      </c>
      <c r="M1148" t="s">
        <v>82</v>
      </c>
      <c r="N1148" t="s">
        <v>13</v>
      </c>
    </row>
    <row r="1149" spans="1:14" x14ac:dyDescent="0.35">
      <c r="A1149" s="75">
        <v>43966</v>
      </c>
      <c r="B1149" t="s">
        <v>154</v>
      </c>
      <c r="C1149" t="s">
        <v>96</v>
      </c>
      <c r="D1149">
        <v>7</v>
      </c>
      <c r="E1149">
        <v>7</v>
      </c>
      <c r="F1149" t="s">
        <v>10</v>
      </c>
      <c r="G1149" t="s">
        <v>74</v>
      </c>
      <c r="H1149" t="s">
        <v>77</v>
      </c>
      <c r="I1149">
        <v>120000000</v>
      </c>
      <c r="J1149" t="s">
        <v>22</v>
      </c>
      <c r="K1149" t="s">
        <v>9</v>
      </c>
      <c r="L1149" t="s">
        <v>67</v>
      </c>
      <c r="M1149" t="s">
        <v>81</v>
      </c>
      <c r="N1149" t="s">
        <v>12</v>
      </c>
    </row>
    <row r="1150" spans="1:14" x14ac:dyDescent="0.35">
      <c r="A1150" s="75">
        <v>43966</v>
      </c>
      <c r="B1150" t="s">
        <v>154</v>
      </c>
      <c r="C1150" t="s">
        <v>96</v>
      </c>
      <c r="D1150">
        <v>6</v>
      </c>
      <c r="E1150">
        <v>6</v>
      </c>
      <c r="F1150" t="s">
        <v>10</v>
      </c>
      <c r="G1150" t="s">
        <v>114</v>
      </c>
      <c r="H1150" t="s">
        <v>3</v>
      </c>
      <c r="I1150">
        <v>60000000</v>
      </c>
      <c r="J1150" t="s">
        <v>38</v>
      </c>
      <c r="K1150" t="s">
        <v>7</v>
      </c>
      <c r="L1150" t="s">
        <v>67</v>
      </c>
      <c r="M1150" t="s">
        <v>82</v>
      </c>
      <c r="N1150" t="s">
        <v>14</v>
      </c>
    </row>
    <row r="1151" spans="1:14" x14ac:dyDescent="0.35">
      <c r="A1151" s="75">
        <v>43966</v>
      </c>
      <c r="B1151" t="s">
        <v>154</v>
      </c>
      <c r="C1151" t="s">
        <v>96</v>
      </c>
      <c r="D1151">
        <v>5</v>
      </c>
      <c r="E1151">
        <v>5</v>
      </c>
      <c r="F1151" t="s">
        <v>10</v>
      </c>
      <c r="G1151" t="s">
        <v>73</v>
      </c>
      <c r="H1151" t="s">
        <v>78</v>
      </c>
      <c r="I1151">
        <v>100000000</v>
      </c>
      <c r="J1151" t="s">
        <v>44</v>
      </c>
      <c r="K1151" t="s">
        <v>7</v>
      </c>
      <c r="L1151" t="s">
        <v>67</v>
      </c>
      <c r="M1151" t="s">
        <v>81</v>
      </c>
      <c r="N1151" t="s">
        <v>13</v>
      </c>
    </row>
    <row r="1152" spans="1:14" x14ac:dyDescent="0.35">
      <c r="A1152" s="75">
        <v>43966</v>
      </c>
      <c r="B1152" t="s">
        <v>154</v>
      </c>
      <c r="C1152" t="s">
        <v>96</v>
      </c>
      <c r="D1152">
        <v>5</v>
      </c>
      <c r="E1152">
        <v>5</v>
      </c>
      <c r="F1152" t="s">
        <v>10</v>
      </c>
      <c r="G1152" t="s">
        <v>73</v>
      </c>
      <c r="H1152" t="s">
        <v>78</v>
      </c>
      <c r="I1152">
        <v>120000000</v>
      </c>
      <c r="J1152" t="s">
        <v>29</v>
      </c>
      <c r="K1152" t="s">
        <v>5</v>
      </c>
      <c r="L1152" t="s">
        <v>67</v>
      </c>
      <c r="M1152" t="s">
        <v>81</v>
      </c>
      <c r="N1152" t="s">
        <v>14</v>
      </c>
    </row>
    <row r="1153" spans="1:14" x14ac:dyDescent="0.35">
      <c r="A1153" s="75">
        <v>43966</v>
      </c>
      <c r="B1153" t="s">
        <v>154</v>
      </c>
      <c r="C1153" t="s">
        <v>96</v>
      </c>
      <c r="D1153">
        <v>3</v>
      </c>
      <c r="E1153">
        <v>3</v>
      </c>
      <c r="F1153" t="s">
        <v>10</v>
      </c>
      <c r="G1153" t="s">
        <v>114</v>
      </c>
      <c r="H1153" t="s">
        <v>3</v>
      </c>
      <c r="I1153">
        <v>80000000</v>
      </c>
      <c r="J1153" t="s">
        <v>26</v>
      </c>
      <c r="K1153" t="s">
        <v>2</v>
      </c>
      <c r="L1153" t="s">
        <v>67</v>
      </c>
      <c r="M1153" t="s">
        <v>80</v>
      </c>
      <c r="N1153" t="s">
        <v>12</v>
      </c>
    </row>
    <row r="1154" spans="1:14" x14ac:dyDescent="0.35">
      <c r="A1154" s="75">
        <v>43966</v>
      </c>
      <c r="B1154" t="s">
        <v>154</v>
      </c>
      <c r="C1154" t="s">
        <v>96</v>
      </c>
      <c r="D1154">
        <v>3</v>
      </c>
      <c r="E1154">
        <v>3</v>
      </c>
      <c r="F1154" t="s">
        <v>10</v>
      </c>
      <c r="G1154" t="s">
        <v>76</v>
      </c>
      <c r="H1154" t="s">
        <v>79</v>
      </c>
      <c r="I1154">
        <v>60000000</v>
      </c>
      <c r="J1154" t="s">
        <v>61</v>
      </c>
      <c r="K1154" t="s">
        <v>5</v>
      </c>
      <c r="L1154" t="s">
        <v>67</v>
      </c>
      <c r="M1154" t="s">
        <v>81</v>
      </c>
      <c r="N1154" t="s">
        <v>11</v>
      </c>
    </row>
    <row r="1155" spans="1:14" x14ac:dyDescent="0.35">
      <c r="A1155" s="75">
        <v>43966</v>
      </c>
      <c r="B1155" t="s">
        <v>154</v>
      </c>
      <c r="C1155" t="s">
        <v>96</v>
      </c>
      <c r="D1155">
        <v>3</v>
      </c>
      <c r="E1155">
        <v>3</v>
      </c>
      <c r="F1155" t="s">
        <v>10</v>
      </c>
      <c r="G1155" t="s">
        <v>71</v>
      </c>
      <c r="H1155" t="s">
        <v>6</v>
      </c>
      <c r="I1155">
        <v>40000000</v>
      </c>
      <c r="J1155" t="s">
        <v>64</v>
      </c>
      <c r="K1155" t="s">
        <v>2</v>
      </c>
      <c r="L1155" t="s">
        <v>67</v>
      </c>
      <c r="M1155" t="s">
        <v>80</v>
      </c>
      <c r="N1155" t="s">
        <v>14</v>
      </c>
    </row>
    <row r="1156" spans="1:14" x14ac:dyDescent="0.35">
      <c r="A1156" s="75">
        <v>43967</v>
      </c>
      <c r="B1156" t="s">
        <v>155</v>
      </c>
      <c r="C1156" t="s">
        <v>96</v>
      </c>
      <c r="D1156">
        <v>10</v>
      </c>
      <c r="E1156">
        <v>10</v>
      </c>
      <c r="F1156" t="s">
        <v>10</v>
      </c>
      <c r="G1156" t="s">
        <v>70</v>
      </c>
      <c r="H1156" t="s">
        <v>1</v>
      </c>
      <c r="I1156">
        <v>100000000</v>
      </c>
      <c r="J1156" t="s">
        <v>23</v>
      </c>
      <c r="K1156" t="s">
        <v>5</v>
      </c>
      <c r="L1156" t="s">
        <v>67</v>
      </c>
      <c r="M1156" t="s">
        <v>81</v>
      </c>
      <c r="N1156" t="s">
        <v>14</v>
      </c>
    </row>
    <row r="1157" spans="1:14" x14ac:dyDescent="0.35">
      <c r="A1157" s="75">
        <v>43967</v>
      </c>
      <c r="B1157" t="s">
        <v>155</v>
      </c>
      <c r="C1157" t="s">
        <v>96</v>
      </c>
      <c r="D1157">
        <v>9</v>
      </c>
      <c r="E1157">
        <v>9</v>
      </c>
      <c r="F1157" t="s">
        <v>10</v>
      </c>
      <c r="G1157" t="s">
        <v>76</v>
      </c>
      <c r="H1157" t="s">
        <v>79</v>
      </c>
      <c r="I1157">
        <v>40000000</v>
      </c>
      <c r="J1157" t="s">
        <v>41</v>
      </c>
      <c r="K1157" t="s">
        <v>2</v>
      </c>
      <c r="L1157" t="s">
        <v>67</v>
      </c>
      <c r="M1157" t="s">
        <v>81</v>
      </c>
      <c r="N1157" t="s">
        <v>12</v>
      </c>
    </row>
    <row r="1158" spans="1:14" x14ac:dyDescent="0.35">
      <c r="A1158" s="75">
        <v>43967</v>
      </c>
      <c r="B1158" t="s">
        <v>155</v>
      </c>
      <c r="C1158" t="s">
        <v>96</v>
      </c>
      <c r="D1158">
        <v>9</v>
      </c>
      <c r="E1158">
        <v>9</v>
      </c>
      <c r="F1158" t="s">
        <v>10</v>
      </c>
      <c r="G1158" t="s">
        <v>75</v>
      </c>
      <c r="H1158" t="s">
        <v>6</v>
      </c>
      <c r="I1158">
        <v>140000000</v>
      </c>
      <c r="J1158" t="s">
        <v>50</v>
      </c>
      <c r="K1158" t="s">
        <v>5</v>
      </c>
      <c r="L1158" t="s">
        <v>67</v>
      </c>
      <c r="M1158" t="s">
        <v>80</v>
      </c>
      <c r="N1158" t="s">
        <v>12</v>
      </c>
    </row>
    <row r="1159" spans="1:14" x14ac:dyDescent="0.35">
      <c r="A1159" s="75">
        <v>43967</v>
      </c>
      <c r="B1159" t="s">
        <v>155</v>
      </c>
      <c r="C1159" t="s">
        <v>96</v>
      </c>
      <c r="D1159">
        <v>9</v>
      </c>
      <c r="E1159">
        <v>9</v>
      </c>
      <c r="F1159" t="s">
        <v>10</v>
      </c>
      <c r="G1159" t="s">
        <v>74</v>
      </c>
      <c r="H1159" t="s">
        <v>77</v>
      </c>
      <c r="I1159">
        <v>120000000</v>
      </c>
      <c r="J1159" t="s">
        <v>56</v>
      </c>
      <c r="K1159" t="s">
        <v>7</v>
      </c>
      <c r="L1159" t="s">
        <v>67</v>
      </c>
      <c r="M1159" t="s">
        <v>80</v>
      </c>
      <c r="N1159" t="s">
        <v>11</v>
      </c>
    </row>
    <row r="1160" spans="1:14" x14ac:dyDescent="0.35">
      <c r="A1160" s="75">
        <v>43967</v>
      </c>
      <c r="B1160" t="s">
        <v>155</v>
      </c>
      <c r="C1160" t="s">
        <v>96</v>
      </c>
      <c r="D1160">
        <v>9</v>
      </c>
      <c r="E1160">
        <v>9</v>
      </c>
      <c r="F1160" t="s">
        <v>10</v>
      </c>
      <c r="G1160" t="s">
        <v>71</v>
      </c>
      <c r="H1160" t="s">
        <v>6</v>
      </c>
      <c r="I1160">
        <v>100000000</v>
      </c>
      <c r="J1160" t="s">
        <v>39</v>
      </c>
      <c r="K1160" t="s">
        <v>5</v>
      </c>
      <c r="L1160" t="s">
        <v>67</v>
      </c>
      <c r="M1160" t="s">
        <v>80</v>
      </c>
      <c r="N1160" t="s">
        <v>14</v>
      </c>
    </row>
    <row r="1161" spans="1:14" x14ac:dyDescent="0.35">
      <c r="A1161" s="75">
        <v>43967</v>
      </c>
      <c r="B1161" t="s">
        <v>155</v>
      </c>
      <c r="C1161" t="s">
        <v>96</v>
      </c>
      <c r="D1161">
        <v>8</v>
      </c>
      <c r="E1161">
        <v>8</v>
      </c>
      <c r="F1161" t="s">
        <v>10</v>
      </c>
      <c r="G1161" t="s">
        <v>75</v>
      </c>
      <c r="H1161" t="s">
        <v>6</v>
      </c>
      <c r="I1161">
        <v>140000000</v>
      </c>
      <c r="J1161" t="s">
        <v>31</v>
      </c>
      <c r="K1161" t="s">
        <v>5</v>
      </c>
      <c r="L1161" t="s">
        <v>67</v>
      </c>
      <c r="M1161" t="s">
        <v>82</v>
      </c>
      <c r="N1161" t="s">
        <v>13</v>
      </c>
    </row>
    <row r="1162" spans="1:14" x14ac:dyDescent="0.35">
      <c r="A1162" s="75">
        <v>43967</v>
      </c>
      <c r="B1162" t="s">
        <v>155</v>
      </c>
      <c r="C1162" t="s">
        <v>96</v>
      </c>
      <c r="D1162">
        <v>7</v>
      </c>
      <c r="E1162">
        <v>7</v>
      </c>
      <c r="F1162" t="s">
        <v>10</v>
      </c>
      <c r="G1162" t="s">
        <v>72</v>
      </c>
      <c r="H1162" t="s">
        <v>78</v>
      </c>
      <c r="I1162">
        <v>120000000</v>
      </c>
      <c r="J1162" t="s">
        <v>60</v>
      </c>
      <c r="K1162" t="s">
        <v>7</v>
      </c>
      <c r="L1162" t="s">
        <v>67</v>
      </c>
      <c r="M1162" t="s">
        <v>80</v>
      </c>
      <c r="N1162" t="s">
        <v>11</v>
      </c>
    </row>
    <row r="1163" spans="1:14" x14ac:dyDescent="0.35">
      <c r="A1163" s="75">
        <v>43967</v>
      </c>
      <c r="B1163" t="s">
        <v>155</v>
      </c>
      <c r="C1163" t="s">
        <v>96</v>
      </c>
      <c r="D1163">
        <v>6</v>
      </c>
      <c r="E1163">
        <v>6</v>
      </c>
      <c r="F1163" t="s">
        <v>10</v>
      </c>
      <c r="G1163" t="s">
        <v>75</v>
      </c>
      <c r="H1163" t="s">
        <v>6</v>
      </c>
      <c r="I1163">
        <v>100000000</v>
      </c>
      <c r="J1163" t="s">
        <v>26</v>
      </c>
      <c r="K1163" t="s">
        <v>2</v>
      </c>
      <c r="L1163" t="s">
        <v>67</v>
      </c>
      <c r="M1163" t="s">
        <v>80</v>
      </c>
      <c r="N1163" t="s">
        <v>14</v>
      </c>
    </row>
    <row r="1164" spans="1:14" x14ac:dyDescent="0.35">
      <c r="A1164" s="75">
        <v>43967</v>
      </c>
      <c r="B1164" t="s">
        <v>155</v>
      </c>
      <c r="C1164" t="s">
        <v>96</v>
      </c>
      <c r="D1164">
        <v>5</v>
      </c>
      <c r="E1164">
        <v>5</v>
      </c>
      <c r="F1164" t="s">
        <v>10</v>
      </c>
      <c r="G1164" t="s">
        <v>113</v>
      </c>
      <c r="H1164" t="s">
        <v>77</v>
      </c>
      <c r="I1164">
        <v>40000000</v>
      </c>
      <c r="J1164" t="s">
        <v>24</v>
      </c>
      <c r="K1164" t="s">
        <v>8</v>
      </c>
      <c r="L1164" t="s">
        <v>67</v>
      </c>
      <c r="M1164" t="s">
        <v>81</v>
      </c>
      <c r="N1164" t="s">
        <v>12</v>
      </c>
    </row>
    <row r="1165" spans="1:14" x14ac:dyDescent="0.35">
      <c r="A1165" s="75">
        <v>43967</v>
      </c>
      <c r="B1165" t="s">
        <v>155</v>
      </c>
      <c r="C1165" t="s">
        <v>96</v>
      </c>
      <c r="D1165">
        <v>4</v>
      </c>
      <c r="E1165">
        <v>4</v>
      </c>
      <c r="F1165" t="s">
        <v>10</v>
      </c>
      <c r="G1165" t="s">
        <v>113</v>
      </c>
      <c r="H1165" t="s">
        <v>77</v>
      </c>
      <c r="I1165">
        <v>120000000</v>
      </c>
      <c r="J1165" t="s">
        <v>42</v>
      </c>
      <c r="K1165" t="s">
        <v>4</v>
      </c>
      <c r="L1165" t="s">
        <v>67</v>
      </c>
      <c r="M1165" t="s">
        <v>81</v>
      </c>
      <c r="N1165" t="s">
        <v>13</v>
      </c>
    </row>
    <row r="1166" spans="1:14" x14ac:dyDescent="0.35">
      <c r="A1166" s="75">
        <v>43967</v>
      </c>
      <c r="B1166" t="s">
        <v>155</v>
      </c>
      <c r="C1166" t="s">
        <v>96</v>
      </c>
      <c r="D1166">
        <v>3</v>
      </c>
      <c r="E1166">
        <v>3</v>
      </c>
      <c r="F1166" t="s">
        <v>10</v>
      </c>
      <c r="G1166" t="s">
        <v>70</v>
      </c>
      <c r="H1166" t="s">
        <v>1</v>
      </c>
      <c r="I1166">
        <v>140000000</v>
      </c>
      <c r="J1166" t="s">
        <v>34</v>
      </c>
      <c r="K1166" t="s">
        <v>2</v>
      </c>
      <c r="L1166" t="s">
        <v>67</v>
      </c>
      <c r="M1166" t="s">
        <v>82</v>
      </c>
      <c r="N1166" t="s">
        <v>12</v>
      </c>
    </row>
    <row r="1167" spans="1:14" x14ac:dyDescent="0.35">
      <c r="A1167" s="75">
        <v>43967</v>
      </c>
      <c r="B1167" t="s">
        <v>155</v>
      </c>
      <c r="C1167" t="s">
        <v>96</v>
      </c>
      <c r="D1167">
        <v>3</v>
      </c>
      <c r="E1167">
        <v>3</v>
      </c>
      <c r="F1167" t="s">
        <v>10</v>
      </c>
      <c r="G1167" t="s">
        <v>72</v>
      </c>
      <c r="H1167" t="s">
        <v>78</v>
      </c>
      <c r="I1167">
        <v>120000000</v>
      </c>
      <c r="J1167" t="s">
        <v>49</v>
      </c>
      <c r="K1167" t="s">
        <v>5</v>
      </c>
      <c r="L1167" t="s">
        <v>67</v>
      </c>
      <c r="M1167" t="s">
        <v>82</v>
      </c>
      <c r="N1167" t="s">
        <v>11</v>
      </c>
    </row>
    <row r="1168" spans="1:14" x14ac:dyDescent="0.35">
      <c r="A1168" s="75">
        <v>43968</v>
      </c>
      <c r="B1168" t="s">
        <v>156</v>
      </c>
      <c r="C1168" t="s">
        <v>96</v>
      </c>
      <c r="D1168">
        <v>10</v>
      </c>
      <c r="E1168">
        <v>10</v>
      </c>
      <c r="F1168" t="s">
        <v>10</v>
      </c>
      <c r="G1168" t="s">
        <v>114</v>
      </c>
      <c r="H1168" t="s">
        <v>3</v>
      </c>
      <c r="I1168">
        <v>120000000</v>
      </c>
      <c r="J1168" t="s">
        <v>17</v>
      </c>
      <c r="K1168" t="s">
        <v>5</v>
      </c>
      <c r="L1168" t="s">
        <v>67</v>
      </c>
      <c r="M1168" t="s">
        <v>82</v>
      </c>
      <c r="N1168" t="s">
        <v>13</v>
      </c>
    </row>
    <row r="1169" spans="1:14" x14ac:dyDescent="0.35">
      <c r="A1169" s="75">
        <v>43968</v>
      </c>
      <c r="B1169" t="s">
        <v>156</v>
      </c>
      <c r="C1169" t="s">
        <v>96</v>
      </c>
      <c r="D1169">
        <v>9</v>
      </c>
      <c r="E1169">
        <v>9</v>
      </c>
      <c r="F1169" t="s">
        <v>10</v>
      </c>
      <c r="G1169" t="s">
        <v>70</v>
      </c>
      <c r="H1169" t="s">
        <v>1</v>
      </c>
      <c r="I1169">
        <v>100000000</v>
      </c>
      <c r="J1169" t="s">
        <v>33</v>
      </c>
      <c r="K1169" t="s">
        <v>2</v>
      </c>
      <c r="L1169" t="s">
        <v>67</v>
      </c>
      <c r="M1169" t="s">
        <v>82</v>
      </c>
      <c r="N1169" t="s">
        <v>12</v>
      </c>
    </row>
    <row r="1170" spans="1:14" x14ac:dyDescent="0.35">
      <c r="A1170" s="75">
        <v>43968</v>
      </c>
      <c r="B1170" t="s">
        <v>156</v>
      </c>
      <c r="C1170" t="s">
        <v>96</v>
      </c>
      <c r="D1170">
        <v>9</v>
      </c>
      <c r="E1170">
        <v>9</v>
      </c>
      <c r="F1170" t="s">
        <v>10</v>
      </c>
      <c r="G1170" t="s">
        <v>72</v>
      </c>
      <c r="H1170" t="s">
        <v>78</v>
      </c>
      <c r="I1170">
        <v>60000000</v>
      </c>
      <c r="J1170" t="s">
        <v>16</v>
      </c>
      <c r="K1170" t="s">
        <v>5</v>
      </c>
      <c r="L1170" t="s">
        <v>67</v>
      </c>
      <c r="M1170" t="s">
        <v>80</v>
      </c>
      <c r="N1170" t="s">
        <v>12</v>
      </c>
    </row>
    <row r="1171" spans="1:14" x14ac:dyDescent="0.35">
      <c r="A1171" s="75">
        <v>43968</v>
      </c>
      <c r="B1171" t="s">
        <v>156</v>
      </c>
      <c r="C1171" t="s">
        <v>96</v>
      </c>
      <c r="D1171">
        <v>8</v>
      </c>
      <c r="E1171">
        <v>8</v>
      </c>
      <c r="F1171" t="s">
        <v>10</v>
      </c>
      <c r="G1171" t="s">
        <v>75</v>
      </c>
      <c r="H1171" t="s">
        <v>6</v>
      </c>
      <c r="I1171">
        <v>60000000</v>
      </c>
      <c r="J1171" t="s">
        <v>38</v>
      </c>
      <c r="K1171" t="s">
        <v>5</v>
      </c>
      <c r="L1171" t="s">
        <v>67</v>
      </c>
      <c r="M1171" t="s">
        <v>82</v>
      </c>
      <c r="N1171" t="s">
        <v>12</v>
      </c>
    </row>
    <row r="1172" spans="1:14" x14ac:dyDescent="0.35">
      <c r="A1172" s="75">
        <v>43968</v>
      </c>
      <c r="B1172" t="s">
        <v>156</v>
      </c>
      <c r="C1172" t="s">
        <v>96</v>
      </c>
      <c r="D1172">
        <v>6</v>
      </c>
      <c r="E1172">
        <v>6</v>
      </c>
      <c r="F1172" t="s">
        <v>10</v>
      </c>
      <c r="G1172" t="s">
        <v>70</v>
      </c>
      <c r="H1172" t="s">
        <v>1</v>
      </c>
      <c r="I1172">
        <v>60000000</v>
      </c>
      <c r="J1172" t="s">
        <v>50</v>
      </c>
      <c r="K1172" t="s">
        <v>5</v>
      </c>
      <c r="L1172" t="s">
        <v>67</v>
      </c>
      <c r="M1172" t="s">
        <v>82</v>
      </c>
      <c r="N1172" t="s">
        <v>14</v>
      </c>
    </row>
    <row r="1173" spans="1:14" x14ac:dyDescent="0.35">
      <c r="A1173" s="75">
        <v>43968</v>
      </c>
      <c r="B1173" t="s">
        <v>156</v>
      </c>
      <c r="C1173" t="s">
        <v>96</v>
      </c>
      <c r="D1173">
        <v>6</v>
      </c>
      <c r="E1173">
        <v>6</v>
      </c>
      <c r="F1173" t="s">
        <v>10</v>
      </c>
      <c r="G1173" t="s">
        <v>70</v>
      </c>
      <c r="H1173" t="s">
        <v>1</v>
      </c>
      <c r="I1173">
        <v>120000000</v>
      </c>
      <c r="J1173" t="s">
        <v>39</v>
      </c>
      <c r="K1173" t="s">
        <v>2</v>
      </c>
      <c r="L1173" t="s">
        <v>67</v>
      </c>
      <c r="M1173" t="s">
        <v>80</v>
      </c>
      <c r="N1173" t="s">
        <v>14</v>
      </c>
    </row>
    <row r="1174" spans="1:14" x14ac:dyDescent="0.35">
      <c r="A1174" s="75">
        <v>43968</v>
      </c>
      <c r="B1174" t="s">
        <v>156</v>
      </c>
      <c r="C1174" t="s">
        <v>96</v>
      </c>
      <c r="D1174">
        <v>5</v>
      </c>
      <c r="E1174">
        <v>5</v>
      </c>
      <c r="F1174" t="s">
        <v>10</v>
      </c>
      <c r="G1174" t="s">
        <v>74</v>
      </c>
      <c r="H1174" t="s">
        <v>77</v>
      </c>
      <c r="I1174">
        <v>40000000</v>
      </c>
      <c r="J1174" t="s">
        <v>16</v>
      </c>
      <c r="K1174" t="s">
        <v>8</v>
      </c>
      <c r="L1174" t="s">
        <v>67</v>
      </c>
      <c r="M1174" t="s">
        <v>82</v>
      </c>
      <c r="N1174" t="s">
        <v>11</v>
      </c>
    </row>
    <row r="1175" spans="1:14" x14ac:dyDescent="0.35">
      <c r="A1175" s="75">
        <v>43968</v>
      </c>
      <c r="B1175" t="s">
        <v>156</v>
      </c>
      <c r="C1175" t="s">
        <v>96</v>
      </c>
      <c r="D1175">
        <v>5</v>
      </c>
      <c r="E1175">
        <v>5</v>
      </c>
      <c r="F1175" t="s">
        <v>10</v>
      </c>
      <c r="G1175" t="s">
        <v>76</v>
      </c>
      <c r="H1175" t="s">
        <v>79</v>
      </c>
      <c r="I1175">
        <v>140000000</v>
      </c>
      <c r="J1175" t="s">
        <v>37</v>
      </c>
      <c r="K1175" t="s">
        <v>5</v>
      </c>
      <c r="L1175" t="s">
        <v>67</v>
      </c>
      <c r="M1175" t="s">
        <v>82</v>
      </c>
      <c r="N1175" t="s">
        <v>14</v>
      </c>
    </row>
    <row r="1176" spans="1:14" x14ac:dyDescent="0.35">
      <c r="A1176" s="75">
        <v>43968</v>
      </c>
      <c r="B1176" t="s">
        <v>156</v>
      </c>
      <c r="C1176" t="s">
        <v>96</v>
      </c>
      <c r="D1176">
        <v>5</v>
      </c>
      <c r="E1176">
        <v>5</v>
      </c>
      <c r="F1176" t="s">
        <v>10</v>
      </c>
      <c r="G1176" t="s">
        <v>74</v>
      </c>
      <c r="H1176" t="s">
        <v>77</v>
      </c>
      <c r="I1176">
        <v>60000000</v>
      </c>
      <c r="J1176" t="s">
        <v>17</v>
      </c>
      <c r="K1176" t="s">
        <v>5</v>
      </c>
      <c r="L1176" t="s">
        <v>67</v>
      </c>
      <c r="M1176" t="s">
        <v>81</v>
      </c>
      <c r="N1176" t="s">
        <v>12</v>
      </c>
    </row>
    <row r="1177" spans="1:14" x14ac:dyDescent="0.35">
      <c r="A1177" s="75">
        <v>43968</v>
      </c>
      <c r="B1177" t="s">
        <v>156</v>
      </c>
      <c r="C1177" t="s">
        <v>96</v>
      </c>
      <c r="D1177">
        <v>4</v>
      </c>
      <c r="E1177">
        <v>4</v>
      </c>
      <c r="F1177" t="s">
        <v>10</v>
      </c>
      <c r="G1177" t="s">
        <v>75</v>
      </c>
      <c r="H1177" t="s">
        <v>6</v>
      </c>
      <c r="I1177">
        <v>100000000</v>
      </c>
      <c r="J1177" t="s">
        <v>36</v>
      </c>
      <c r="K1177" t="s">
        <v>5</v>
      </c>
      <c r="L1177" t="s">
        <v>67</v>
      </c>
      <c r="M1177" t="s">
        <v>81</v>
      </c>
      <c r="N1177" t="s">
        <v>11</v>
      </c>
    </row>
    <row r="1178" spans="1:14" x14ac:dyDescent="0.35">
      <c r="A1178" s="75">
        <v>43968</v>
      </c>
      <c r="B1178" t="s">
        <v>156</v>
      </c>
      <c r="C1178" t="s">
        <v>96</v>
      </c>
      <c r="D1178">
        <v>3</v>
      </c>
      <c r="E1178">
        <v>3</v>
      </c>
      <c r="F1178" t="s">
        <v>10</v>
      </c>
      <c r="G1178" t="s">
        <v>75</v>
      </c>
      <c r="H1178" t="s">
        <v>6</v>
      </c>
      <c r="I1178">
        <v>100000000</v>
      </c>
      <c r="J1178" t="s">
        <v>55</v>
      </c>
      <c r="K1178" t="s">
        <v>8</v>
      </c>
      <c r="L1178" t="s">
        <v>67</v>
      </c>
      <c r="M1178" t="s">
        <v>82</v>
      </c>
      <c r="N1178" t="s">
        <v>12</v>
      </c>
    </row>
    <row r="1179" spans="1:14" x14ac:dyDescent="0.35">
      <c r="A1179" s="75">
        <v>43969</v>
      </c>
      <c r="B1179" t="s">
        <v>157</v>
      </c>
      <c r="C1179" t="s">
        <v>96</v>
      </c>
      <c r="D1179">
        <v>10</v>
      </c>
      <c r="E1179">
        <v>10</v>
      </c>
      <c r="F1179" t="s">
        <v>10</v>
      </c>
      <c r="G1179" t="s">
        <v>74</v>
      </c>
      <c r="H1179" t="s">
        <v>77</v>
      </c>
      <c r="I1179">
        <v>60000000</v>
      </c>
      <c r="J1179" t="s">
        <v>27</v>
      </c>
      <c r="K1179" t="s">
        <v>5</v>
      </c>
      <c r="L1179" t="s">
        <v>67</v>
      </c>
      <c r="M1179" t="s">
        <v>81</v>
      </c>
      <c r="N1179" t="s">
        <v>13</v>
      </c>
    </row>
    <row r="1180" spans="1:14" x14ac:dyDescent="0.35">
      <c r="A1180" s="75">
        <v>43969</v>
      </c>
      <c r="B1180" t="s">
        <v>157</v>
      </c>
      <c r="C1180" t="s">
        <v>96</v>
      </c>
      <c r="D1180">
        <v>10</v>
      </c>
      <c r="E1180">
        <v>10</v>
      </c>
      <c r="F1180" t="s">
        <v>10</v>
      </c>
      <c r="G1180" t="s">
        <v>75</v>
      </c>
      <c r="H1180" t="s">
        <v>6</v>
      </c>
      <c r="I1180">
        <v>140000000</v>
      </c>
      <c r="J1180" t="s">
        <v>59</v>
      </c>
      <c r="K1180" t="s">
        <v>5</v>
      </c>
      <c r="L1180" t="s">
        <v>67</v>
      </c>
      <c r="M1180" t="s">
        <v>81</v>
      </c>
      <c r="N1180" t="s">
        <v>11</v>
      </c>
    </row>
    <row r="1181" spans="1:14" x14ac:dyDescent="0.35">
      <c r="A1181" s="75">
        <v>43969</v>
      </c>
      <c r="B1181" t="s">
        <v>157</v>
      </c>
      <c r="C1181" t="s">
        <v>96</v>
      </c>
      <c r="D1181">
        <v>10</v>
      </c>
      <c r="E1181">
        <v>10</v>
      </c>
      <c r="F1181" t="s">
        <v>10</v>
      </c>
      <c r="G1181" t="s">
        <v>75</v>
      </c>
      <c r="H1181" t="s">
        <v>6</v>
      </c>
      <c r="I1181">
        <v>120000000</v>
      </c>
      <c r="J1181" t="s">
        <v>22</v>
      </c>
      <c r="K1181" t="s">
        <v>2</v>
      </c>
      <c r="L1181" t="s">
        <v>67</v>
      </c>
      <c r="M1181" t="s">
        <v>81</v>
      </c>
      <c r="N1181" t="s">
        <v>12</v>
      </c>
    </row>
    <row r="1182" spans="1:14" x14ac:dyDescent="0.35">
      <c r="A1182" s="75">
        <v>43969</v>
      </c>
      <c r="B1182" t="s">
        <v>157</v>
      </c>
      <c r="C1182" t="s">
        <v>96</v>
      </c>
      <c r="D1182">
        <v>9</v>
      </c>
      <c r="E1182">
        <v>9</v>
      </c>
      <c r="F1182" t="s">
        <v>10</v>
      </c>
      <c r="G1182" t="s">
        <v>72</v>
      </c>
      <c r="H1182" t="s">
        <v>78</v>
      </c>
      <c r="I1182">
        <v>60000000</v>
      </c>
      <c r="J1182" t="s">
        <v>62</v>
      </c>
      <c r="K1182" t="s">
        <v>2</v>
      </c>
      <c r="L1182" t="s">
        <v>67</v>
      </c>
      <c r="M1182" t="s">
        <v>82</v>
      </c>
      <c r="N1182" t="s">
        <v>13</v>
      </c>
    </row>
    <row r="1183" spans="1:14" x14ac:dyDescent="0.35">
      <c r="A1183" s="75">
        <v>43969</v>
      </c>
      <c r="B1183" t="s">
        <v>157</v>
      </c>
      <c r="C1183" t="s">
        <v>96</v>
      </c>
      <c r="D1183">
        <v>9</v>
      </c>
      <c r="E1183">
        <v>9</v>
      </c>
      <c r="F1183" t="s">
        <v>10</v>
      </c>
      <c r="G1183" t="s">
        <v>71</v>
      </c>
      <c r="H1183" t="s">
        <v>6</v>
      </c>
      <c r="I1183">
        <v>120000000</v>
      </c>
      <c r="J1183" t="s">
        <v>26</v>
      </c>
      <c r="K1183" t="s">
        <v>5</v>
      </c>
      <c r="L1183" t="s">
        <v>67</v>
      </c>
      <c r="M1183" t="s">
        <v>80</v>
      </c>
      <c r="N1183" t="s">
        <v>11</v>
      </c>
    </row>
    <row r="1184" spans="1:14" x14ac:dyDescent="0.35">
      <c r="A1184" s="75">
        <v>43969</v>
      </c>
      <c r="B1184" t="s">
        <v>157</v>
      </c>
      <c r="C1184" t="s">
        <v>96</v>
      </c>
      <c r="D1184">
        <v>7</v>
      </c>
      <c r="E1184">
        <v>7</v>
      </c>
      <c r="F1184" t="s">
        <v>10</v>
      </c>
      <c r="G1184" t="s">
        <v>114</v>
      </c>
      <c r="H1184" t="s">
        <v>3</v>
      </c>
      <c r="I1184">
        <v>100000000</v>
      </c>
      <c r="J1184" t="s">
        <v>48</v>
      </c>
      <c r="K1184" t="s">
        <v>2</v>
      </c>
      <c r="L1184" t="s">
        <v>67</v>
      </c>
      <c r="M1184" t="s">
        <v>81</v>
      </c>
      <c r="N1184" t="s">
        <v>12</v>
      </c>
    </row>
    <row r="1185" spans="1:14" x14ac:dyDescent="0.35">
      <c r="A1185" s="75">
        <v>43969</v>
      </c>
      <c r="B1185" t="s">
        <v>157</v>
      </c>
      <c r="C1185" t="s">
        <v>96</v>
      </c>
      <c r="D1185">
        <v>6</v>
      </c>
      <c r="E1185">
        <v>6</v>
      </c>
      <c r="F1185" t="s">
        <v>10</v>
      </c>
      <c r="G1185" t="s">
        <v>71</v>
      </c>
      <c r="H1185" t="s">
        <v>6</v>
      </c>
      <c r="I1185">
        <v>40000000</v>
      </c>
      <c r="J1185" t="s">
        <v>39</v>
      </c>
      <c r="K1185" t="s">
        <v>4</v>
      </c>
      <c r="L1185" t="s">
        <v>67</v>
      </c>
      <c r="M1185" t="s">
        <v>81</v>
      </c>
      <c r="N1185" t="s">
        <v>13</v>
      </c>
    </row>
    <row r="1186" spans="1:14" x14ac:dyDescent="0.35">
      <c r="A1186" s="75">
        <v>43969</v>
      </c>
      <c r="B1186" t="s">
        <v>157</v>
      </c>
      <c r="C1186" t="s">
        <v>96</v>
      </c>
      <c r="D1186">
        <v>5</v>
      </c>
      <c r="E1186">
        <v>5</v>
      </c>
      <c r="F1186" t="s">
        <v>10</v>
      </c>
      <c r="G1186" t="s">
        <v>73</v>
      </c>
      <c r="H1186" t="s">
        <v>78</v>
      </c>
      <c r="I1186">
        <v>120000000</v>
      </c>
      <c r="J1186" t="s">
        <v>40</v>
      </c>
      <c r="K1186" t="s">
        <v>5</v>
      </c>
      <c r="L1186" t="s">
        <v>67</v>
      </c>
      <c r="M1186" t="s">
        <v>82</v>
      </c>
      <c r="N1186" t="s">
        <v>14</v>
      </c>
    </row>
    <row r="1187" spans="1:14" x14ac:dyDescent="0.35">
      <c r="A1187" s="75">
        <v>43969</v>
      </c>
      <c r="B1187" t="s">
        <v>157</v>
      </c>
      <c r="C1187" t="s">
        <v>96</v>
      </c>
      <c r="D1187">
        <v>4</v>
      </c>
      <c r="E1187">
        <v>4</v>
      </c>
      <c r="F1187" t="s">
        <v>10</v>
      </c>
      <c r="G1187" t="s">
        <v>76</v>
      </c>
      <c r="H1187" t="s">
        <v>79</v>
      </c>
      <c r="I1187">
        <v>100000000</v>
      </c>
      <c r="J1187" t="s">
        <v>42</v>
      </c>
      <c r="K1187" t="s">
        <v>2</v>
      </c>
      <c r="L1187" t="s">
        <v>67</v>
      </c>
      <c r="M1187" t="s">
        <v>82</v>
      </c>
      <c r="N1187" t="s">
        <v>13</v>
      </c>
    </row>
    <row r="1188" spans="1:14" x14ac:dyDescent="0.35">
      <c r="A1188" s="75">
        <v>43969</v>
      </c>
      <c r="B1188" t="s">
        <v>157</v>
      </c>
      <c r="C1188" t="s">
        <v>96</v>
      </c>
      <c r="D1188">
        <v>4</v>
      </c>
      <c r="E1188">
        <v>4</v>
      </c>
      <c r="F1188" t="s">
        <v>10</v>
      </c>
      <c r="G1188" t="s">
        <v>70</v>
      </c>
      <c r="H1188" t="s">
        <v>1</v>
      </c>
      <c r="I1188">
        <v>100000000</v>
      </c>
      <c r="J1188" t="s">
        <v>40</v>
      </c>
      <c r="K1188" t="s">
        <v>8</v>
      </c>
      <c r="L1188" t="s">
        <v>67</v>
      </c>
      <c r="M1188" t="s">
        <v>81</v>
      </c>
      <c r="N1188" t="s">
        <v>11</v>
      </c>
    </row>
    <row r="1189" spans="1:14" x14ac:dyDescent="0.35">
      <c r="A1189" s="75">
        <v>43969</v>
      </c>
      <c r="B1189" t="s">
        <v>157</v>
      </c>
      <c r="C1189" t="s">
        <v>96</v>
      </c>
      <c r="D1189">
        <v>4</v>
      </c>
      <c r="E1189">
        <v>4</v>
      </c>
      <c r="F1189" t="s">
        <v>10</v>
      </c>
      <c r="G1189" t="s">
        <v>71</v>
      </c>
      <c r="H1189" t="s">
        <v>6</v>
      </c>
      <c r="I1189">
        <v>60000000</v>
      </c>
      <c r="J1189" t="s">
        <v>36</v>
      </c>
      <c r="K1189" t="s">
        <v>2</v>
      </c>
      <c r="L1189" t="s">
        <v>67</v>
      </c>
      <c r="M1189" t="s">
        <v>81</v>
      </c>
      <c r="N1189" t="s">
        <v>14</v>
      </c>
    </row>
    <row r="1190" spans="1:14" x14ac:dyDescent="0.35">
      <c r="A1190" s="75">
        <v>43969</v>
      </c>
      <c r="B1190" t="s">
        <v>157</v>
      </c>
      <c r="C1190" t="s">
        <v>96</v>
      </c>
      <c r="D1190">
        <v>3</v>
      </c>
      <c r="E1190">
        <v>3</v>
      </c>
      <c r="F1190" t="s">
        <v>10</v>
      </c>
      <c r="G1190" t="s">
        <v>114</v>
      </c>
      <c r="H1190" t="s">
        <v>3</v>
      </c>
      <c r="I1190">
        <v>40000000</v>
      </c>
      <c r="J1190" t="s">
        <v>47</v>
      </c>
      <c r="K1190" t="s">
        <v>8</v>
      </c>
      <c r="L1190" t="s">
        <v>67</v>
      </c>
      <c r="M1190" t="s">
        <v>82</v>
      </c>
      <c r="N1190" t="s">
        <v>14</v>
      </c>
    </row>
    <row r="1191" spans="1:14" x14ac:dyDescent="0.35">
      <c r="A1191" s="75">
        <v>43970</v>
      </c>
      <c r="B1191" t="s">
        <v>158</v>
      </c>
      <c r="C1191" t="s">
        <v>96</v>
      </c>
      <c r="D1191">
        <v>8</v>
      </c>
      <c r="E1191">
        <v>8</v>
      </c>
      <c r="F1191" t="s">
        <v>10</v>
      </c>
      <c r="G1191" t="s">
        <v>114</v>
      </c>
      <c r="H1191" t="s">
        <v>3</v>
      </c>
      <c r="I1191">
        <v>80000000</v>
      </c>
      <c r="J1191" t="s">
        <v>28</v>
      </c>
      <c r="K1191" t="s">
        <v>2</v>
      </c>
      <c r="L1191" t="s">
        <v>67</v>
      </c>
      <c r="M1191" t="s">
        <v>82</v>
      </c>
      <c r="N1191" t="s">
        <v>11</v>
      </c>
    </row>
    <row r="1192" spans="1:14" x14ac:dyDescent="0.35">
      <c r="A1192" s="75">
        <v>43970</v>
      </c>
      <c r="B1192" t="s">
        <v>158</v>
      </c>
      <c r="C1192" t="s">
        <v>96</v>
      </c>
      <c r="D1192">
        <v>4</v>
      </c>
      <c r="E1192">
        <v>4</v>
      </c>
      <c r="F1192" t="s">
        <v>10</v>
      </c>
      <c r="G1192" t="s">
        <v>113</v>
      </c>
      <c r="H1192" t="s">
        <v>77</v>
      </c>
      <c r="I1192">
        <v>60000000</v>
      </c>
      <c r="J1192" t="s">
        <v>23</v>
      </c>
      <c r="K1192" t="s">
        <v>5</v>
      </c>
      <c r="L1192" t="s">
        <v>67</v>
      </c>
      <c r="M1192" t="s">
        <v>80</v>
      </c>
      <c r="N1192" t="s">
        <v>11</v>
      </c>
    </row>
    <row r="1193" spans="1:14" x14ac:dyDescent="0.35">
      <c r="A1193" s="75">
        <v>43970</v>
      </c>
      <c r="B1193" t="s">
        <v>158</v>
      </c>
      <c r="C1193" t="s">
        <v>96</v>
      </c>
      <c r="D1193">
        <v>4</v>
      </c>
      <c r="E1193">
        <v>4</v>
      </c>
      <c r="F1193" t="s">
        <v>10</v>
      </c>
      <c r="G1193" t="s">
        <v>72</v>
      </c>
      <c r="H1193" t="s">
        <v>78</v>
      </c>
      <c r="I1193">
        <v>60000000</v>
      </c>
      <c r="J1193" t="s">
        <v>46</v>
      </c>
      <c r="K1193" t="s">
        <v>7</v>
      </c>
      <c r="L1193" t="s">
        <v>67</v>
      </c>
      <c r="M1193" t="s">
        <v>80</v>
      </c>
      <c r="N1193" t="s">
        <v>14</v>
      </c>
    </row>
    <row r="1194" spans="1:14" x14ac:dyDescent="0.35">
      <c r="A1194" s="75">
        <v>43970</v>
      </c>
      <c r="B1194" t="s">
        <v>158</v>
      </c>
      <c r="C1194" t="s">
        <v>96</v>
      </c>
      <c r="D1194">
        <v>3</v>
      </c>
      <c r="E1194">
        <v>3</v>
      </c>
      <c r="F1194" t="s">
        <v>10</v>
      </c>
      <c r="G1194" t="s">
        <v>75</v>
      </c>
      <c r="H1194" t="s">
        <v>6</v>
      </c>
      <c r="I1194">
        <v>120000000</v>
      </c>
      <c r="J1194" t="s">
        <v>38</v>
      </c>
      <c r="K1194" t="s">
        <v>5</v>
      </c>
      <c r="L1194" t="s">
        <v>67</v>
      </c>
      <c r="M1194" t="s">
        <v>81</v>
      </c>
      <c r="N1194" t="s">
        <v>14</v>
      </c>
    </row>
    <row r="1195" spans="1:14" x14ac:dyDescent="0.35">
      <c r="A1195" s="75">
        <v>43971</v>
      </c>
      <c r="B1195" t="s">
        <v>159</v>
      </c>
      <c r="C1195" t="s">
        <v>96</v>
      </c>
      <c r="D1195">
        <v>8</v>
      </c>
      <c r="E1195">
        <v>8</v>
      </c>
      <c r="F1195" t="s">
        <v>10</v>
      </c>
      <c r="G1195" t="s">
        <v>75</v>
      </c>
      <c r="H1195" t="s">
        <v>6</v>
      </c>
      <c r="I1195">
        <v>60000000</v>
      </c>
      <c r="J1195" t="s">
        <v>42</v>
      </c>
      <c r="K1195" t="s">
        <v>5</v>
      </c>
      <c r="L1195" t="s">
        <v>67</v>
      </c>
      <c r="M1195" t="s">
        <v>80</v>
      </c>
      <c r="N1195" t="s">
        <v>14</v>
      </c>
    </row>
    <row r="1196" spans="1:14" x14ac:dyDescent="0.35">
      <c r="A1196" s="75">
        <v>43971</v>
      </c>
      <c r="B1196" t="s">
        <v>159</v>
      </c>
      <c r="C1196" t="s">
        <v>96</v>
      </c>
      <c r="D1196">
        <v>7</v>
      </c>
      <c r="E1196">
        <v>7</v>
      </c>
      <c r="F1196" t="s">
        <v>10</v>
      </c>
      <c r="G1196" t="s">
        <v>113</v>
      </c>
      <c r="H1196" t="s">
        <v>77</v>
      </c>
      <c r="I1196">
        <v>40000000</v>
      </c>
      <c r="J1196" t="s">
        <v>63</v>
      </c>
      <c r="K1196" t="s">
        <v>2</v>
      </c>
      <c r="L1196" t="s">
        <v>67</v>
      </c>
      <c r="M1196" t="s">
        <v>82</v>
      </c>
      <c r="N1196" t="s">
        <v>12</v>
      </c>
    </row>
    <row r="1197" spans="1:14" x14ac:dyDescent="0.35">
      <c r="A1197" s="75">
        <v>43971</v>
      </c>
      <c r="B1197" t="s">
        <v>159</v>
      </c>
      <c r="C1197" t="s">
        <v>96</v>
      </c>
      <c r="D1197">
        <v>5</v>
      </c>
      <c r="E1197">
        <v>5</v>
      </c>
      <c r="F1197" t="s">
        <v>10</v>
      </c>
      <c r="G1197" t="s">
        <v>113</v>
      </c>
      <c r="H1197" t="s">
        <v>77</v>
      </c>
      <c r="I1197">
        <v>100000000</v>
      </c>
      <c r="J1197" t="s">
        <v>64</v>
      </c>
      <c r="K1197" t="s">
        <v>7</v>
      </c>
      <c r="L1197" t="s">
        <v>67</v>
      </c>
      <c r="M1197" t="s">
        <v>82</v>
      </c>
      <c r="N1197" t="s">
        <v>14</v>
      </c>
    </row>
    <row r="1198" spans="1:14" x14ac:dyDescent="0.35">
      <c r="A1198" s="75">
        <v>43971</v>
      </c>
      <c r="B1198" t="s">
        <v>159</v>
      </c>
      <c r="C1198" t="s">
        <v>96</v>
      </c>
      <c r="D1198">
        <v>5</v>
      </c>
      <c r="E1198">
        <v>5</v>
      </c>
      <c r="F1198" t="s">
        <v>10</v>
      </c>
      <c r="G1198" t="s">
        <v>70</v>
      </c>
      <c r="H1198" t="s">
        <v>1</v>
      </c>
      <c r="I1198">
        <v>100000000</v>
      </c>
      <c r="J1198" t="s">
        <v>50</v>
      </c>
      <c r="K1198" t="s">
        <v>2</v>
      </c>
      <c r="L1198" t="s">
        <v>67</v>
      </c>
      <c r="M1198" t="s">
        <v>80</v>
      </c>
      <c r="N1198" t="s">
        <v>13</v>
      </c>
    </row>
    <row r="1199" spans="1:14" x14ac:dyDescent="0.35">
      <c r="A1199" s="75">
        <v>43971</v>
      </c>
      <c r="B1199" t="s">
        <v>159</v>
      </c>
      <c r="C1199" t="s">
        <v>96</v>
      </c>
      <c r="D1199">
        <v>4</v>
      </c>
      <c r="E1199">
        <v>4</v>
      </c>
      <c r="F1199" t="s">
        <v>10</v>
      </c>
      <c r="G1199" t="s">
        <v>75</v>
      </c>
      <c r="H1199" t="s">
        <v>6</v>
      </c>
      <c r="I1199">
        <v>80000000</v>
      </c>
      <c r="J1199" t="s">
        <v>54</v>
      </c>
      <c r="K1199" t="s">
        <v>7</v>
      </c>
      <c r="L1199" t="s">
        <v>67</v>
      </c>
      <c r="M1199" t="s">
        <v>82</v>
      </c>
      <c r="N1199" t="s">
        <v>12</v>
      </c>
    </row>
    <row r="1200" spans="1:14" x14ac:dyDescent="0.35">
      <c r="A1200" s="75">
        <v>43971</v>
      </c>
      <c r="B1200" t="s">
        <v>159</v>
      </c>
      <c r="C1200" t="s">
        <v>96</v>
      </c>
      <c r="D1200">
        <v>4</v>
      </c>
      <c r="E1200">
        <v>4</v>
      </c>
      <c r="F1200" t="s">
        <v>10</v>
      </c>
      <c r="G1200" t="s">
        <v>75</v>
      </c>
      <c r="H1200" t="s">
        <v>6</v>
      </c>
      <c r="I1200">
        <v>100000000</v>
      </c>
      <c r="J1200" t="s">
        <v>25</v>
      </c>
      <c r="K1200" t="s">
        <v>8</v>
      </c>
      <c r="L1200" t="s">
        <v>67</v>
      </c>
      <c r="M1200" t="s">
        <v>81</v>
      </c>
      <c r="N1200" t="s">
        <v>14</v>
      </c>
    </row>
    <row r="1201" spans="1:14" x14ac:dyDescent="0.35">
      <c r="A1201" s="75">
        <v>43972</v>
      </c>
      <c r="B1201" t="s">
        <v>160</v>
      </c>
      <c r="C1201" t="s">
        <v>96</v>
      </c>
      <c r="D1201">
        <v>10</v>
      </c>
      <c r="E1201">
        <v>10</v>
      </c>
      <c r="F1201" t="s">
        <v>10</v>
      </c>
      <c r="G1201" t="s">
        <v>72</v>
      </c>
      <c r="H1201" t="s">
        <v>78</v>
      </c>
      <c r="I1201">
        <v>80000000</v>
      </c>
      <c r="J1201" t="s">
        <v>39</v>
      </c>
      <c r="K1201" t="s">
        <v>4</v>
      </c>
      <c r="L1201" t="s">
        <v>67</v>
      </c>
      <c r="M1201" t="s">
        <v>81</v>
      </c>
      <c r="N1201" t="s">
        <v>12</v>
      </c>
    </row>
    <row r="1202" spans="1:14" x14ac:dyDescent="0.35">
      <c r="A1202" s="75">
        <v>43972</v>
      </c>
      <c r="B1202" t="s">
        <v>160</v>
      </c>
      <c r="C1202" t="s">
        <v>96</v>
      </c>
      <c r="D1202">
        <v>10</v>
      </c>
      <c r="E1202">
        <v>10</v>
      </c>
      <c r="F1202" t="s">
        <v>10</v>
      </c>
      <c r="G1202" t="s">
        <v>71</v>
      </c>
      <c r="H1202" t="s">
        <v>6</v>
      </c>
      <c r="I1202">
        <v>100000000</v>
      </c>
      <c r="J1202" t="s">
        <v>31</v>
      </c>
      <c r="K1202" t="s">
        <v>2</v>
      </c>
      <c r="L1202" t="s">
        <v>67</v>
      </c>
      <c r="M1202" t="s">
        <v>80</v>
      </c>
      <c r="N1202" t="s">
        <v>14</v>
      </c>
    </row>
    <row r="1203" spans="1:14" x14ac:dyDescent="0.35">
      <c r="A1203" s="75">
        <v>43972</v>
      </c>
      <c r="B1203" t="s">
        <v>160</v>
      </c>
      <c r="C1203" t="s">
        <v>96</v>
      </c>
      <c r="D1203">
        <v>10</v>
      </c>
      <c r="E1203">
        <v>10</v>
      </c>
      <c r="F1203" t="s">
        <v>10</v>
      </c>
      <c r="G1203" t="s">
        <v>73</v>
      </c>
      <c r="H1203" t="s">
        <v>78</v>
      </c>
      <c r="I1203">
        <v>140000000</v>
      </c>
      <c r="J1203" t="s">
        <v>25</v>
      </c>
      <c r="K1203" t="s">
        <v>5</v>
      </c>
      <c r="L1203" t="s">
        <v>67</v>
      </c>
      <c r="M1203" t="s">
        <v>81</v>
      </c>
      <c r="N1203" t="s">
        <v>11</v>
      </c>
    </row>
    <row r="1204" spans="1:14" x14ac:dyDescent="0.35">
      <c r="A1204" s="75">
        <v>43972</v>
      </c>
      <c r="B1204" t="s">
        <v>160</v>
      </c>
      <c r="C1204" t="s">
        <v>96</v>
      </c>
      <c r="D1204">
        <v>10</v>
      </c>
      <c r="E1204">
        <v>10</v>
      </c>
      <c r="F1204" t="s">
        <v>10</v>
      </c>
      <c r="G1204" t="s">
        <v>75</v>
      </c>
      <c r="H1204" t="s">
        <v>6</v>
      </c>
      <c r="I1204">
        <v>100000000</v>
      </c>
      <c r="J1204" t="s">
        <v>53</v>
      </c>
      <c r="K1204" t="s">
        <v>5</v>
      </c>
      <c r="L1204" t="s">
        <v>67</v>
      </c>
      <c r="M1204" t="s">
        <v>81</v>
      </c>
      <c r="N1204" t="s">
        <v>12</v>
      </c>
    </row>
    <row r="1205" spans="1:14" x14ac:dyDescent="0.35">
      <c r="A1205" s="75">
        <v>43972</v>
      </c>
      <c r="B1205" t="s">
        <v>160</v>
      </c>
      <c r="C1205" t="s">
        <v>96</v>
      </c>
      <c r="D1205">
        <v>9</v>
      </c>
      <c r="E1205">
        <v>9</v>
      </c>
      <c r="F1205" t="s">
        <v>10</v>
      </c>
      <c r="G1205" t="s">
        <v>75</v>
      </c>
      <c r="H1205" t="s">
        <v>6</v>
      </c>
      <c r="I1205">
        <v>140000000</v>
      </c>
      <c r="J1205" t="s">
        <v>20</v>
      </c>
      <c r="K1205" t="s">
        <v>2</v>
      </c>
      <c r="L1205" t="s">
        <v>67</v>
      </c>
      <c r="M1205" t="s">
        <v>80</v>
      </c>
      <c r="N1205" t="s">
        <v>11</v>
      </c>
    </row>
    <row r="1206" spans="1:14" x14ac:dyDescent="0.35">
      <c r="A1206" s="75">
        <v>43972</v>
      </c>
      <c r="B1206" t="s">
        <v>160</v>
      </c>
      <c r="C1206" t="s">
        <v>96</v>
      </c>
      <c r="D1206">
        <v>8</v>
      </c>
      <c r="E1206">
        <v>8</v>
      </c>
      <c r="F1206" t="s">
        <v>10</v>
      </c>
      <c r="G1206" t="s">
        <v>71</v>
      </c>
      <c r="H1206" t="s">
        <v>6</v>
      </c>
      <c r="I1206">
        <v>140000000</v>
      </c>
      <c r="J1206" t="s">
        <v>59</v>
      </c>
      <c r="K1206" t="s">
        <v>9</v>
      </c>
      <c r="L1206" t="s">
        <v>67</v>
      </c>
      <c r="M1206" t="s">
        <v>81</v>
      </c>
      <c r="N1206" t="s">
        <v>12</v>
      </c>
    </row>
    <row r="1207" spans="1:14" x14ac:dyDescent="0.35">
      <c r="A1207" s="75">
        <v>43972</v>
      </c>
      <c r="B1207" t="s">
        <v>160</v>
      </c>
      <c r="C1207" t="s">
        <v>96</v>
      </c>
      <c r="D1207">
        <v>5</v>
      </c>
      <c r="E1207">
        <v>5</v>
      </c>
      <c r="F1207" t="s">
        <v>10</v>
      </c>
      <c r="G1207" t="s">
        <v>113</v>
      </c>
      <c r="H1207" t="s">
        <v>77</v>
      </c>
      <c r="I1207">
        <v>40000000</v>
      </c>
      <c r="J1207" t="s">
        <v>29</v>
      </c>
      <c r="K1207" t="s">
        <v>5</v>
      </c>
      <c r="L1207" t="s">
        <v>67</v>
      </c>
      <c r="M1207" t="s">
        <v>80</v>
      </c>
      <c r="N1207" t="s">
        <v>14</v>
      </c>
    </row>
    <row r="1208" spans="1:14" x14ac:dyDescent="0.35">
      <c r="A1208" s="75">
        <v>43972</v>
      </c>
      <c r="B1208" t="s">
        <v>160</v>
      </c>
      <c r="C1208" t="s">
        <v>96</v>
      </c>
      <c r="D1208">
        <v>3</v>
      </c>
      <c r="E1208">
        <v>3</v>
      </c>
      <c r="F1208" t="s">
        <v>10</v>
      </c>
      <c r="G1208" t="s">
        <v>73</v>
      </c>
      <c r="H1208" t="s">
        <v>78</v>
      </c>
      <c r="I1208">
        <v>60000000</v>
      </c>
      <c r="J1208" t="s">
        <v>26</v>
      </c>
      <c r="K1208" t="s">
        <v>7</v>
      </c>
      <c r="L1208" t="s">
        <v>67</v>
      </c>
      <c r="M1208" t="s">
        <v>82</v>
      </c>
      <c r="N1208" t="s">
        <v>14</v>
      </c>
    </row>
    <row r="1209" spans="1:14" x14ac:dyDescent="0.35">
      <c r="A1209" s="75">
        <v>43973</v>
      </c>
      <c r="B1209" t="s">
        <v>161</v>
      </c>
      <c r="C1209" t="s">
        <v>96</v>
      </c>
      <c r="D1209">
        <v>10</v>
      </c>
      <c r="E1209">
        <v>10</v>
      </c>
      <c r="F1209" t="s">
        <v>10</v>
      </c>
      <c r="G1209" t="s">
        <v>113</v>
      </c>
      <c r="H1209" t="s">
        <v>77</v>
      </c>
      <c r="I1209">
        <v>80000000</v>
      </c>
      <c r="J1209" t="s">
        <v>57</v>
      </c>
      <c r="K1209" t="s">
        <v>5</v>
      </c>
      <c r="L1209" t="s">
        <v>67</v>
      </c>
      <c r="M1209" t="s">
        <v>81</v>
      </c>
      <c r="N1209" t="s">
        <v>14</v>
      </c>
    </row>
    <row r="1210" spans="1:14" x14ac:dyDescent="0.35">
      <c r="A1210" s="75">
        <v>43973</v>
      </c>
      <c r="B1210" t="s">
        <v>161</v>
      </c>
      <c r="C1210" t="s">
        <v>96</v>
      </c>
      <c r="D1210">
        <v>10</v>
      </c>
      <c r="E1210">
        <v>10</v>
      </c>
      <c r="F1210" t="s">
        <v>10</v>
      </c>
      <c r="G1210" t="s">
        <v>76</v>
      </c>
      <c r="H1210" t="s">
        <v>79</v>
      </c>
      <c r="I1210">
        <v>60000000</v>
      </c>
      <c r="J1210" t="s">
        <v>26</v>
      </c>
      <c r="K1210" t="s">
        <v>4</v>
      </c>
      <c r="L1210" t="s">
        <v>67</v>
      </c>
      <c r="M1210" t="s">
        <v>82</v>
      </c>
      <c r="N1210" t="s">
        <v>11</v>
      </c>
    </row>
    <row r="1211" spans="1:14" x14ac:dyDescent="0.35">
      <c r="A1211" s="75">
        <v>43973</v>
      </c>
      <c r="B1211" t="s">
        <v>161</v>
      </c>
      <c r="C1211" t="s">
        <v>96</v>
      </c>
      <c r="D1211">
        <v>9</v>
      </c>
      <c r="E1211">
        <v>9</v>
      </c>
      <c r="F1211" t="s">
        <v>10</v>
      </c>
      <c r="G1211" t="s">
        <v>73</v>
      </c>
      <c r="H1211" t="s">
        <v>78</v>
      </c>
      <c r="I1211">
        <v>140000000</v>
      </c>
      <c r="J1211" t="s">
        <v>27</v>
      </c>
      <c r="K1211" t="s">
        <v>8</v>
      </c>
      <c r="L1211" t="s">
        <v>67</v>
      </c>
      <c r="M1211" t="s">
        <v>81</v>
      </c>
      <c r="N1211" t="s">
        <v>12</v>
      </c>
    </row>
    <row r="1212" spans="1:14" x14ac:dyDescent="0.35">
      <c r="A1212" s="75">
        <v>43973</v>
      </c>
      <c r="B1212" t="s">
        <v>161</v>
      </c>
      <c r="C1212" t="s">
        <v>96</v>
      </c>
      <c r="D1212">
        <v>9</v>
      </c>
      <c r="E1212">
        <v>9</v>
      </c>
      <c r="F1212" t="s">
        <v>10</v>
      </c>
      <c r="G1212" t="s">
        <v>72</v>
      </c>
      <c r="H1212" t="s">
        <v>78</v>
      </c>
      <c r="I1212">
        <v>80000000</v>
      </c>
      <c r="J1212" t="s">
        <v>43</v>
      </c>
      <c r="K1212" t="s">
        <v>8</v>
      </c>
      <c r="L1212" t="s">
        <v>67</v>
      </c>
      <c r="M1212" t="s">
        <v>80</v>
      </c>
      <c r="N1212" t="s">
        <v>13</v>
      </c>
    </row>
    <row r="1213" spans="1:14" x14ac:dyDescent="0.35">
      <c r="A1213" s="75">
        <v>43973</v>
      </c>
      <c r="B1213" t="s">
        <v>161</v>
      </c>
      <c r="C1213" t="s">
        <v>96</v>
      </c>
      <c r="D1213">
        <v>9</v>
      </c>
      <c r="E1213">
        <v>9</v>
      </c>
      <c r="F1213" t="s">
        <v>10</v>
      </c>
      <c r="G1213" t="s">
        <v>113</v>
      </c>
      <c r="H1213" t="s">
        <v>77</v>
      </c>
      <c r="I1213">
        <v>60000000</v>
      </c>
      <c r="J1213" t="s">
        <v>25</v>
      </c>
      <c r="K1213" t="s">
        <v>8</v>
      </c>
      <c r="L1213" t="s">
        <v>67</v>
      </c>
      <c r="M1213" t="s">
        <v>82</v>
      </c>
      <c r="N1213" t="s">
        <v>14</v>
      </c>
    </row>
    <row r="1214" spans="1:14" x14ac:dyDescent="0.35">
      <c r="A1214" s="75">
        <v>43973</v>
      </c>
      <c r="B1214" t="s">
        <v>161</v>
      </c>
      <c r="C1214" t="s">
        <v>96</v>
      </c>
      <c r="D1214">
        <v>9</v>
      </c>
      <c r="E1214">
        <v>9</v>
      </c>
      <c r="F1214" t="s">
        <v>10</v>
      </c>
      <c r="G1214" t="s">
        <v>75</v>
      </c>
      <c r="H1214" t="s">
        <v>6</v>
      </c>
      <c r="I1214">
        <v>100000000</v>
      </c>
      <c r="J1214" t="s">
        <v>43</v>
      </c>
      <c r="K1214" t="s">
        <v>7</v>
      </c>
      <c r="L1214" t="s">
        <v>67</v>
      </c>
      <c r="M1214" t="s">
        <v>82</v>
      </c>
      <c r="N1214" t="s">
        <v>12</v>
      </c>
    </row>
    <row r="1215" spans="1:14" x14ac:dyDescent="0.35">
      <c r="A1215" s="75">
        <v>43973</v>
      </c>
      <c r="B1215" t="s">
        <v>161</v>
      </c>
      <c r="C1215" t="s">
        <v>96</v>
      </c>
      <c r="D1215">
        <v>9</v>
      </c>
      <c r="E1215">
        <v>9</v>
      </c>
      <c r="F1215" t="s">
        <v>10</v>
      </c>
      <c r="G1215" t="s">
        <v>76</v>
      </c>
      <c r="H1215" t="s">
        <v>79</v>
      </c>
      <c r="I1215">
        <v>40000000</v>
      </c>
      <c r="J1215" t="s">
        <v>55</v>
      </c>
      <c r="K1215" t="s">
        <v>5</v>
      </c>
      <c r="L1215" t="s">
        <v>67</v>
      </c>
      <c r="M1215" t="s">
        <v>80</v>
      </c>
      <c r="N1215" t="s">
        <v>13</v>
      </c>
    </row>
    <row r="1216" spans="1:14" x14ac:dyDescent="0.35">
      <c r="A1216" s="75">
        <v>43973</v>
      </c>
      <c r="B1216" t="s">
        <v>161</v>
      </c>
      <c r="C1216" t="s">
        <v>96</v>
      </c>
      <c r="D1216">
        <v>6</v>
      </c>
      <c r="E1216">
        <v>6</v>
      </c>
      <c r="F1216" t="s">
        <v>10</v>
      </c>
      <c r="G1216" t="s">
        <v>75</v>
      </c>
      <c r="H1216" t="s">
        <v>6</v>
      </c>
      <c r="I1216">
        <v>40000000</v>
      </c>
      <c r="J1216" t="s">
        <v>52</v>
      </c>
      <c r="K1216" t="s">
        <v>2</v>
      </c>
      <c r="L1216" t="s">
        <v>67</v>
      </c>
      <c r="M1216" t="s">
        <v>80</v>
      </c>
      <c r="N1216" t="s">
        <v>13</v>
      </c>
    </row>
    <row r="1217" spans="1:14" x14ac:dyDescent="0.35">
      <c r="A1217" s="75">
        <v>43973</v>
      </c>
      <c r="B1217" t="s">
        <v>161</v>
      </c>
      <c r="C1217" t="s">
        <v>96</v>
      </c>
      <c r="D1217">
        <v>5</v>
      </c>
      <c r="E1217">
        <v>5</v>
      </c>
      <c r="F1217" t="s">
        <v>10</v>
      </c>
      <c r="G1217" t="s">
        <v>114</v>
      </c>
      <c r="H1217" t="s">
        <v>3</v>
      </c>
      <c r="I1217">
        <v>60000000</v>
      </c>
      <c r="J1217" t="s">
        <v>62</v>
      </c>
      <c r="K1217" t="s">
        <v>4</v>
      </c>
      <c r="L1217" t="s">
        <v>67</v>
      </c>
      <c r="M1217" t="s">
        <v>82</v>
      </c>
      <c r="N1217" t="s">
        <v>11</v>
      </c>
    </row>
    <row r="1218" spans="1:14" x14ac:dyDescent="0.35">
      <c r="A1218" s="75">
        <v>43973</v>
      </c>
      <c r="B1218" t="s">
        <v>161</v>
      </c>
      <c r="C1218" t="s">
        <v>96</v>
      </c>
      <c r="D1218">
        <v>4</v>
      </c>
      <c r="E1218">
        <v>4</v>
      </c>
      <c r="F1218" t="s">
        <v>10</v>
      </c>
      <c r="G1218" t="s">
        <v>76</v>
      </c>
      <c r="H1218" t="s">
        <v>79</v>
      </c>
      <c r="I1218">
        <v>100000000</v>
      </c>
      <c r="J1218" t="s">
        <v>16</v>
      </c>
      <c r="K1218" t="s">
        <v>8</v>
      </c>
      <c r="L1218" t="s">
        <v>67</v>
      </c>
      <c r="M1218" t="s">
        <v>80</v>
      </c>
      <c r="N1218" t="s">
        <v>14</v>
      </c>
    </row>
    <row r="1219" spans="1:14" x14ac:dyDescent="0.35">
      <c r="A1219" s="75">
        <v>43973</v>
      </c>
      <c r="B1219" t="s">
        <v>161</v>
      </c>
      <c r="C1219" t="s">
        <v>96</v>
      </c>
      <c r="D1219">
        <v>3</v>
      </c>
      <c r="E1219">
        <v>3</v>
      </c>
      <c r="F1219" t="s">
        <v>10</v>
      </c>
      <c r="G1219" t="s">
        <v>114</v>
      </c>
      <c r="H1219" t="s">
        <v>3</v>
      </c>
      <c r="I1219">
        <v>80000000</v>
      </c>
      <c r="J1219" t="s">
        <v>33</v>
      </c>
      <c r="K1219" t="s">
        <v>2</v>
      </c>
      <c r="L1219" t="s">
        <v>67</v>
      </c>
      <c r="M1219" t="s">
        <v>81</v>
      </c>
      <c r="N1219" t="s">
        <v>14</v>
      </c>
    </row>
    <row r="1220" spans="1:14" x14ac:dyDescent="0.35">
      <c r="A1220" s="75">
        <v>43974</v>
      </c>
      <c r="B1220" t="s">
        <v>162</v>
      </c>
      <c r="C1220" t="s">
        <v>96</v>
      </c>
      <c r="D1220">
        <v>10</v>
      </c>
      <c r="E1220">
        <v>10</v>
      </c>
      <c r="F1220" t="s">
        <v>10</v>
      </c>
      <c r="G1220" t="s">
        <v>72</v>
      </c>
      <c r="H1220" t="s">
        <v>78</v>
      </c>
      <c r="I1220">
        <v>60000000</v>
      </c>
      <c r="J1220" t="s">
        <v>55</v>
      </c>
      <c r="K1220" t="s">
        <v>5</v>
      </c>
      <c r="L1220" t="s">
        <v>67</v>
      </c>
      <c r="M1220" t="s">
        <v>82</v>
      </c>
      <c r="N1220" t="s">
        <v>12</v>
      </c>
    </row>
    <row r="1221" spans="1:14" x14ac:dyDescent="0.35">
      <c r="A1221" s="75">
        <v>43974</v>
      </c>
      <c r="B1221" t="s">
        <v>162</v>
      </c>
      <c r="C1221" t="s">
        <v>96</v>
      </c>
      <c r="D1221">
        <v>9</v>
      </c>
      <c r="E1221">
        <v>9</v>
      </c>
      <c r="F1221" t="s">
        <v>10</v>
      </c>
      <c r="G1221" t="s">
        <v>73</v>
      </c>
      <c r="H1221" t="s">
        <v>78</v>
      </c>
      <c r="I1221">
        <v>60000000</v>
      </c>
      <c r="J1221" t="s">
        <v>27</v>
      </c>
      <c r="K1221" t="s">
        <v>2</v>
      </c>
      <c r="L1221" t="s">
        <v>67</v>
      </c>
      <c r="M1221" t="s">
        <v>82</v>
      </c>
      <c r="N1221" t="s">
        <v>11</v>
      </c>
    </row>
    <row r="1222" spans="1:14" x14ac:dyDescent="0.35">
      <c r="A1222" s="75">
        <v>43974</v>
      </c>
      <c r="B1222" t="s">
        <v>162</v>
      </c>
      <c r="C1222" t="s">
        <v>96</v>
      </c>
      <c r="D1222">
        <v>9</v>
      </c>
      <c r="E1222">
        <v>9</v>
      </c>
      <c r="F1222" t="s">
        <v>10</v>
      </c>
      <c r="G1222" t="s">
        <v>71</v>
      </c>
      <c r="H1222" t="s">
        <v>6</v>
      </c>
      <c r="I1222">
        <v>120000000</v>
      </c>
      <c r="J1222" t="s">
        <v>55</v>
      </c>
      <c r="K1222" t="s">
        <v>5</v>
      </c>
      <c r="L1222" t="s">
        <v>67</v>
      </c>
      <c r="M1222" t="s">
        <v>80</v>
      </c>
      <c r="N1222" t="s">
        <v>14</v>
      </c>
    </row>
    <row r="1223" spans="1:14" x14ac:dyDescent="0.35">
      <c r="A1223" s="75">
        <v>43974</v>
      </c>
      <c r="B1223" t="s">
        <v>162</v>
      </c>
      <c r="C1223" t="s">
        <v>96</v>
      </c>
      <c r="D1223">
        <v>9</v>
      </c>
      <c r="E1223">
        <v>9</v>
      </c>
      <c r="F1223" t="s">
        <v>10</v>
      </c>
      <c r="G1223" t="s">
        <v>71</v>
      </c>
      <c r="H1223" t="s">
        <v>6</v>
      </c>
      <c r="I1223">
        <v>100000000</v>
      </c>
      <c r="J1223" t="s">
        <v>15</v>
      </c>
      <c r="K1223" t="s">
        <v>2</v>
      </c>
      <c r="L1223" t="s">
        <v>67</v>
      </c>
      <c r="M1223" t="s">
        <v>81</v>
      </c>
      <c r="N1223" t="s">
        <v>14</v>
      </c>
    </row>
    <row r="1224" spans="1:14" x14ac:dyDescent="0.35">
      <c r="A1224" s="75">
        <v>43974</v>
      </c>
      <c r="B1224" t="s">
        <v>162</v>
      </c>
      <c r="C1224" t="s">
        <v>96</v>
      </c>
      <c r="D1224">
        <v>7</v>
      </c>
      <c r="E1224">
        <v>7</v>
      </c>
      <c r="F1224" t="s">
        <v>10</v>
      </c>
      <c r="G1224" t="s">
        <v>70</v>
      </c>
      <c r="H1224" t="s">
        <v>1</v>
      </c>
      <c r="I1224">
        <v>100000000</v>
      </c>
      <c r="J1224" t="s">
        <v>25</v>
      </c>
      <c r="K1224" t="s">
        <v>4</v>
      </c>
      <c r="L1224" t="s">
        <v>67</v>
      </c>
      <c r="M1224" t="s">
        <v>81</v>
      </c>
      <c r="N1224" t="s">
        <v>13</v>
      </c>
    </row>
    <row r="1225" spans="1:14" x14ac:dyDescent="0.35">
      <c r="A1225" s="75">
        <v>43974</v>
      </c>
      <c r="B1225" t="s">
        <v>162</v>
      </c>
      <c r="C1225" t="s">
        <v>96</v>
      </c>
      <c r="D1225">
        <v>6</v>
      </c>
      <c r="E1225">
        <v>6</v>
      </c>
      <c r="F1225" t="s">
        <v>10</v>
      </c>
      <c r="G1225" t="s">
        <v>74</v>
      </c>
      <c r="H1225" t="s">
        <v>77</v>
      </c>
      <c r="I1225">
        <v>80000000</v>
      </c>
      <c r="J1225" t="s">
        <v>30</v>
      </c>
      <c r="K1225" t="s">
        <v>7</v>
      </c>
      <c r="L1225" t="s">
        <v>67</v>
      </c>
      <c r="M1225" t="s">
        <v>80</v>
      </c>
      <c r="N1225" t="s">
        <v>12</v>
      </c>
    </row>
    <row r="1226" spans="1:14" x14ac:dyDescent="0.35">
      <c r="A1226" s="75">
        <v>43974</v>
      </c>
      <c r="B1226" t="s">
        <v>162</v>
      </c>
      <c r="C1226" t="s">
        <v>96</v>
      </c>
      <c r="D1226">
        <v>4</v>
      </c>
      <c r="E1226">
        <v>4</v>
      </c>
      <c r="F1226" t="s">
        <v>10</v>
      </c>
      <c r="G1226" t="s">
        <v>113</v>
      </c>
      <c r="H1226" t="s">
        <v>77</v>
      </c>
      <c r="I1226">
        <v>140000000</v>
      </c>
      <c r="J1226" t="s">
        <v>34</v>
      </c>
      <c r="K1226" t="s">
        <v>5</v>
      </c>
      <c r="L1226" t="s">
        <v>67</v>
      </c>
      <c r="M1226" t="s">
        <v>80</v>
      </c>
      <c r="N1226" t="s">
        <v>11</v>
      </c>
    </row>
    <row r="1227" spans="1:14" x14ac:dyDescent="0.35">
      <c r="A1227" s="75">
        <v>43974</v>
      </c>
      <c r="B1227" t="s">
        <v>162</v>
      </c>
      <c r="C1227" t="s">
        <v>96</v>
      </c>
      <c r="D1227">
        <v>4</v>
      </c>
      <c r="E1227">
        <v>4</v>
      </c>
      <c r="F1227" t="s">
        <v>10</v>
      </c>
      <c r="G1227" t="s">
        <v>71</v>
      </c>
      <c r="H1227" t="s">
        <v>6</v>
      </c>
      <c r="I1227">
        <v>100000000</v>
      </c>
      <c r="J1227" t="s">
        <v>29</v>
      </c>
      <c r="K1227" t="s">
        <v>2</v>
      </c>
      <c r="L1227" t="s">
        <v>67</v>
      </c>
      <c r="M1227" t="s">
        <v>81</v>
      </c>
      <c r="N1227" t="s">
        <v>14</v>
      </c>
    </row>
    <row r="1228" spans="1:14" x14ac:dyDescent="0.35">
      <c r="A1228" s="75">
        <v>43974</v>
      </c>
      <c r="B1228" t="s">
        <v>162</v>
      </c>
      <c r="C1228" t="s">
        <v>96</v>
      </c>
      <c r="D1228">
        <v>3</v>
      </c>
      <c r="E1228">
        <v>3</v>
      </c>
      <c r="F1228" t="s">
        <v>10</v>
      </c>
      <c r="G1228" t="s">
        <v>74</v>
      </c>
      <c r="H1228" t="s">
        <v>77</v>
      </c>
      <c r="I1228">
        <v>80000000</v>
      </c>
      <c r="J1228" t="s">
        <v>25</v>
      </c>
      <c r="K1228" t="s">
        <v>2</v>
      </c>
      <c r="L1228" t="s">
        <v>67</v>
      </c>
      <c r="M1228" t="s">
        <v>80</v>
      </c>
      <c r="N1228" t="s">
        <v>12</v>
      </c>
    </row>
    <row r="1229" spans="1:14" x14ac:dyDescent="0.35">
      <c r="A1229" s="75">
        <v>43975</v>
      </c>
      <c r="B1229" t="s">
        <v>163</v>
      </c>
      <c r="C1229" t="s">
        <v>96</v>
      </c>
      <c r="D1229">
        <v>9</v>
      </c>
      <c r="E1229">
        <v>9</v>
      </c>
      <c r="F1229" t="s">
        <v>10</v>
      </c>
      <c r="G1229" t="s">
        <v>113</v>
      </c>
      <c r="H1229" t="s">
        <v>77</v>
      </c>
      <c r="I1229">
        <v>80000000</v>
      </c>
      <c r="J1229" t="s">
        <v>26</v>
      </c>
      <c r="K1229" t="s">
        <v>5</v>
      </c>
      <c r="L1229" t="s">
        <v>67</v>
      </c>
      <c r="M1229" t="s">
        <v>81</v>
      </c>
      <c r="N1229" t="s">
        <v>11</v>
      </c>
    </row>
    <row r="1230" spans="1:14" x14ac:dyDescent="0.35">
      <c r="A1230" s="75">
        <v>43975</v>
      </c>
      <c r="B1230" t="s">
        <v>163</v>
      </c>
      <c r="C1230" t="s">
        <v>96</v>
      </c>
      <c r="D1230">
        <v>7</v>
      </c>
      <c r="E1230">
        <v>7</v>
      </c>
      <c r="F1230" t="s">
        <v>10</v>
      </c>
      <c r="G1230" t="s">
        <v>71</v>
      </c>
      <c r="H1230" t="s">
        <v>6</v>
      </c>
      <c r="I1230">
        <v>140000000</v>
      </c>
      <c r="J1230" t="s">
        <v>20</v>
      </c>
      <c r="K1230" t="s">
        <v>5</v>
      </c>
      <c r="L1230" t="s">
        <v>67</v>
      </c>
      <c r="M1230" t="s">
        <v>82</v>
      </c>
      <c r="N1230" t="s">
        <v>12</v>
      </c>
    </row>
    <row r="1231" spans="1:14" x14ac:dyDescent="0.35">
      <c r="A1231" s="75">
        <v>43975</v>
      </c>
      <c r="B1231" t="s">
        <v>163</v>
      </c>
      <c r="C1231" t="s">
        <v>96</v>
      </c>
      <c r="D1231">
        <v>7</v>
      </c>
      <c r="E1231">
        <v>7</v>
      </c>
      <c r="F1231" t="s">
        <v>10</v>
      </c>
      <c r="G1231" t="s">
        <v>76</v>
      </c>
      <c r="H1231" t="s">
        <v>79</v>
      </c>
      <c r="I1231">
        <v>60000000</v>
      </c>
      <c r="J1231" t="s">
        <v>20</v>
      </c>
      <c r="K1231" t="s">
        <v>2</v>
      </c>
      <c r="L1231" t="s">
        <v>67</v>
      </c>
      <c r="M1231" t="s">
        <v>80</v>
      </c>
      <c r="N1231" t="s">
        <v>12</v>
      </c>
    </row>
    <row r="1232" spans="1:14" x14ac:dyDescent="0.35">
      <c r="A1232" s="75">
        <v>43975</v>
      </c>
      <c r="B1232" t="s">
        <v>163</v>
      </c>
      <c r="C1232" t="s">
        <v>96</v>
      </c>
      <c r="D1232">
        <v>7</v>
      </c>
      <c r="E1232">
        <v>7</v>
      </c>
      <c r="F1232" t="s">
        <v>10</v>
      </c>
      <c r="G1232" t="s">
        <v>73</v>
      </c>
      <c r="H1232" t="s">
        <v>78</v>
      </c>
      <c r="I1232">
        <v>120000000</v>
      </c>
      <c r="J1232" t="s">
        <v>30</v>
      </c>
      <c r="K1232" t="s">
        <v>9</v>
      </c>
      <c r="L1232" t="s">
        <v>67</v>
      </c>
      <c r="M1232" t="s">
        <v>81</v>
      </c>
      <c r="N1232" t="s">
        <v>13</v>
      </c>
    </row>
    <row r="1233" spans="1:14" x14ac:dyDescent="0.35">
      <c r="A1233" s="75">
        <v>43975</v>
      </c>
      <c r="B1233" t="s">
        <v>163</v>
      </c>
      <c r="C1233" t="s">
        <v>96</v>
      </c>
      <c r="D1233">
        <v>6</v>
      </c>
      <c r="E1233">
        <v>6</v>
      </c>
      <c r="F1233" t="s">
        <v>10</v>
      </c>
      <c r="G1233" t="s">
        <v>76</v>
      </c>
      <c r="H1233" t="s">
        <v>79</v>
      </c>
      <c r="I1233">
        <v>140000000</v>
      </c>
      <c r="J1233" t="s">
        <v>58</v>
      </c>
      <c r="K1233" t="s">
        <v>5</v>
      </c>
      <c r="L1233" t="s">
        <v>67</v>
      </c>
      <c r="M1233" t="s">
        <v>80</v>
      </c>
      <c r="N1233" t="s">
        <v>13</v>
      </c>
    </row>
    <row r="1234" spans="1:14" x14ac:dyDescent="0.35">
      <c r="A1234" s="75">
        <v>43975</v>
      </c>
      <c r="B1234" t="s">
        <v>163</v>
      </c>
      <c r="C1234" t="s">
        <v>96</v>
      </c>
      <c r="D1234">
        <v>5</v>
      </c>
      <c r="E1234">
        <v>5</v>
      </c>
      <c r="F1234" t="s">
        <v>10</v>
      </c>
      <c r="G1234" t="s">
        <v>72</v>
      </c>
      <c r="H1234" t="s">
        <v>78</v>
      </c>
      <c r="I1234">
        <v>120000000</v>
      </c>
      <c r="J1234" t="s">
        <v>62</v>
      </c>
      <c r="K1234" t="s">
        <v>7</v>
      </c>
      <c r="L1234" t="s">
        <v>67</v>
      </c>
      <c r="M1234" t="s">
        <v>80</v>
      </c>
      <c r="N1234" t="s">
        <v>14</v>
      </c>
    </row>
    <row r="1235" spans="1:14" x14ac:dyDescent="0.35">
      <c r="A1235" s="75">
        <v>43975</v>
      </c>
      <c r="B1235" t="s">
        <v>163</v>
      </c>
      <c r="C1235" t="s">
        <v>96</v>
      </c>
      <c r="D1235">
        <v>5</v>
      </c>
      <c r="E1235">
        <v>5</v>
      </c>
      <c r="F1235" t="s">
        <v>10</v>
      </c>
      <c r="G1235" t="s">
        <v>71</v>
      </c>
      <c r="H1235" t="s">
        <v>6</v>
      </c>
      <c r="I1235">
        <v>80000000</v>
      </c>
      <c r="J1235" t="s">
        <v>32</v>
      </c>
      <c r="K1235" t="s">
        <v>8</v>
      </c>
      <c r="L1235" t="s">
        <v>67</v>
      </c>
      <c r="M1235" t="s">
        <v>81</v>
      </c>
      <c r="N1235" t="s">
        <v>12</v>
      </c>
    </row>
    <row r="1236" spans="1:14" x14ac:dyDescent="0.35">
      <c r="A1236" s="75">
        <v>43975</v>
      </c>
      <c r="B1236" t="s">
        <v>163</v>
      </c>
      <c r="C1236" t="s">
        <v>96</v>
      </c>
      <c r="D1236">
        <v>4</v>
      </c>
      <c r="E1236">
        <v>4</v>
      </c>
      <c r="F1236" t="s">
        <v>10</v>
      </c>
      <c r="G1236" t="s">
        <v>73</v>
      </c>
      <c r="H1236" t="s">
        <v>78</v>
      </c>
      <c r="I1236">
        <v>80000000</v>
      </c>
      <c r="J1236" t="s">
        <v>60</v>
      </c>
      <c r="K1236" t="s">
        <v>7</v>
      </c>
      <c r="L1236" t="s">
        <v>67</v>
      </c>
      <c r="M1236" t="s">
        <v>82</v>
      </c>
      <c r="N1236" t="s">
        <v>12</v>
      </c>
    </row>
    <row r="1237" spans="1:14" x14ac:dyDescent="0.35">
      <c r="A1237" s="75">
        <v>43975</v>
      </c>
      <c r="B1237" t="s">
        <v>163</v>
      </c>
      <c r="C1237" t="s">
        <v>96</v>
      </c>
      <c r="D1237">
        <v>3</v>
      </c>
      <c r="E1237">
        <v>3</v>
      </c>
      <c r="F1237" t="s">
        <v>10</v>
      </c>
      <c r="G1237" t="s">
        <v>114</v>
      </c>
      <c r="H1237" t="s">
        <v>3</v>
      </c>
      <c r="I1237">
        <v>80000000</v>
      </c>
      <c r="J1237" t="s">
        <v>43</v>
      </c>
      <c r="K1237" t="s">
        <v>2</v>
      </c>
      <c r="L1237" t="s">
        <v>67</v>
      </c>
      <c r="M1237" t="s">
        <v>80</v>
      </c>
      <c r="N1237" t="s">
        <v>11</v>
      </c>
    </row>
    <row r="1238" spans="1:14" x14ac:dyDescent="0.35">
      <c r="A1238" s="75">
        <v>43975</v>
      </c>
      <c r="B1238" t="s">
        <v>163</v>
      </c>
      <c r="C1238" t="s">
        <v>96</v>
      </c>
      <c r="D1238">
        <v>3</v>
      </c>
      <c r="E1238">
        <v>3</v>
      </c>
      <c r="F1238" t="s">
        <v>10</v>
      </c>
      <c r="G1238" t="s">
        <v>74</v>
      </c>
      <c r="H1238" t="s">
        <v>77</v>
      </c>
      <c r="I1238">
        <v>40000000</v>
      </c>
      <c r="J1238" t="s">
        <v>52</v>
      </c>
      <c r="K1238" t="s">
        <v>2</v>
      </c>
      <c r="L1238" t="s">
        <v>67</v>
      </c>
      <c r="M1238" t="s">
        <v>81</v>
      </c>
      <c r="N1238" t="s">
        <v>14</v>
      </c>
    </row>
    <row r="1239" spans="1:14" x14ac:dyDescent="0.35">
      <c r="A1239" s="75">
        <v>43976</v>
      </c>
      <c r="B1239" t="s">
        <v>164</v>
      </c>
      <c r="C1239" t="s">
        <v>96</v>
      </c>
      <c r="D1239">
        <v>9</v>
      </c>
      <c r="E1239">
        <v>9</v>
      </c>
      <c r="F1239" t="s">
        <v>10</v>
      </c>
      <c r="G1239" t="s">
        <v>75</v>
      </c>
      <c r="H1239" t="s">
        <v>6</v>
      </c>
      <c r="I1239">
        <v>120000000</v>
      </c>
      <c r="J1239" t="s">
        <v>34</v>
      </c>
      <c r="K1239" t="s">
        <v>4</v>
      </c>
      <c r="L1239" t="s">
        <v>67</v>
      </c>
      <c r="M1239" t="s">
        <v>82</v>
      </c>
      <c r="N1239" t="s">
        <v>13</v>
      </c>
    </row>
    <row r="1240" spans="1:14" x14ac:dyDescent="0.35">
      <c r="A1240" s="75">
        <v>43976</v>
      </c>
      <c r="B1240" t="s">
        <v>164</v>
      </c>
      <c r="C1240" t="s">
        <v>96</v>
      </c>
      <c r="D1240">
        <v>8</v>
      </c>
      <c r="E1240">
        <v>8</v>
      </c>
      <c r="F1240" t="s">
        <v>10</v>
      </c>
      <c r="G1240" t="s">
        <v>74</v>
      </c>
      <c r="H1240" t="s">
        <v>77</v>
      </c>
      <c r="I1240">
        <v>80000000</v>
      </c>
      <c r="J1240" t="s">
        <v>48</v>
      </c>
      <c r="K1240" t="s">
        <v>2</v>
      </c>
      <c r="L1240" t="s">
        <v>67</v>
      </c>
      <c r="M1240" t="s">
        <v>82</v>
      </c>
      <c r="N1240" t="s">
        <v>14</v>
      </c>
    </row>
    <row r="1241" spans="1:14" x14ac:dyDescent="0.35">
      <c r="A1241" s="75">
        <v>43976</v>
      </c>
      <c r="B1241" t="s">
        <v>164</v>
      </c>
      <c r="C1241" t="s">
        <v>96</v>
      </c>
      <c r="D1241">
        <v>6</v>
      </c>
      <c r="E1241">
        <v>6</v>
      </c>
      <c r="F1241" t="s">
        <v>10</v>
      </c>
      <c r="G1241" t="s">
        <v>71</v>
      </c>
      <c r="H1241" t="s">
        <v>6</v>
      </c>
      <c r="I1241">
        <v>80000000</v>
      </c>
      <c r="J1241" t="s">
        <v>39</v>
      </c>
      <c r="K1241" t="s">
        <v>7</v>
      </c>
      <c r="L1241" t="s">
        <v>67</v>
      </c>
      <c r="M1241" t="s">
        <v>80</v>
      </c>
      <c r="N1241" t="s">
        <v>13</v>
      </c>
    </row>
    <row r="1242" spans="1:14" x14ac:dyDescent="0.35">
      <c r="A1242" s="75">
        <v>43976</v>
      </c>
      <c r="B1242" t="s">
        <v>164</v>
      </c>
      <c r="C1242" t="s">
        <v>96</v>
      </c>
      <c r="D1242">
        <v>5</v>
      </c>
      <c r="E1242">
        <v>5</v>
      </c>
      <c r="F1242" t="s">
        <v>10</v>
      </c>
      <c r="G1242" t="s">
        <v>74</v>
      </c>
      <c r="H1242" t="s">
        <v>77</v>
      </c>
      <c r="I1242">
        <v>80000000</v>
      </c>
      <c r="J1242" t="s">
        <v>38</v>
      </c>
      <c r="K1242" t="s">
        <v>5</v>
      </c>
      <c r="L1242" t="s">
        <v>67</v>
      </c>
      <c r="M1242" t="s">
        <v>81</v>
      </c>
      <c r="N1242" t="s">
        <v>13</v>
      </c>
    </row>
    <row r="1243" spans="1:14" x14ac:dyDescent="0.35">
      <c r="A1243" s="75">
        <v>43976</v>
      </c>
      <c r="B1243" t="s">
        <v>164</v>
      </c>
      <c r="C1243" t="s">
        <v>96</v>
      </c>
      <c r="D1243">
        <v>4</v>
      </c>
      <c r="E1243">
        <v>4</v>
      </c>
      <c r="F1243" t="s">
        <v>10</v>
      </c>
      <c r="G1243" t="s">
        <v>113</v>
      </c>
      <c r="H1243" t="s">
        <v>77</v>
      </c>
      <c r="I1243">
        <v>100000000</v>
      </c>
      <c r="J1243" t="s">
        <v>21</v>
      </c>
      <c r="K1243" t="s">
        <v>7</v>
      </c>
      <c r="L1243" t="s">
        <v>67</v>
      </c>
      <c r="M1243" t="s">
        <v>81</v>
      </c>
      <c r="N1243" t="s">
        <v>11</v>
      </c>
    </row>
    <row r="1244" spans="1:14" x14ac:dyDescent="0.35">
      <c r="A1244" s="75">
        <v>43976</v>
      </c>
      <c r="B1244" t="s">
        <v>164</v>
      </c>
      <c r="C1244" t="s">
        <v>96</v>
      </c>
      <c r="D1244">
        <v>3</v>
      </c>
      <c r="E1244">
        <v>3</v>
      </c>
      <c r="F1244" t="s">
        <v>10</v>
      </c>
      <c r="G1244" t="s">
        <v>74</v>
      </c>
      <c r="H1244" t="s">
        <v>77</v>
      </c>
      <c r="I1244">
        <v>100000000</v>
      </c>
      <c r="J1244" t="s">
        <v>62</v>
      </c>
      <c r="K1244" t="s">
        <v>5</v>
      </c>
      <c r="L1244" t="s">
        <v>67</v>
      </c>
      <c r="M1244" t="s">
        <v>81</v>
      </c>
      <c r="N1244" t="s">
        <v>12</v>
      </c>
    </row>
    <row r="1245" spans="1:14" x14ac:dyDescent="0.35">
      <c r="A1245" s="75">
        <v>43976</v>
      </c>
      <c r="B1245" t="s">
        <v>164</v>
      </c>
      <c r="C1245" t="s">
        <v>96</v>
      </c>
      <c r="D1245">
        <v>3</v>
      </c>
      <c r="E1245">
        <v>3</v>
      </c>
      <c r="F1245" t="s">
        <v>10</v>
      </c>
      <c r="G1245" t="s">
        <v>73</v>
      </c>
      <c r="H1245" t="s">
        <v>78</v>
      </c>
      <c r="I1245">
        <v>60000000</v>
      </c>
      <c r="J1245" t="s">
        <v>38</v>
      </c>
      <c r="K1245" t="s">
        <v>4</v>
      </c>
      <c r="L1245" t="s">
        <v>67</v>
      </c>
      <c r="M1245" t="s">
        <v>82</v>
      </c>
      <c r="N1245" t="s">
        <v>11</v>
      </c>
    </row>
    <row r="1246" spans="1:14" x14ac:dyDescent="0.35">
      <c r="A1246" s="75">
        <v>43977</v>
      </c>
      <c r="B1246" t="s">
        <v>165</v>
      </c>
      <c r="C1246" t="s">
        <v>96</v>
      </c>
      <c r="D1246">
        <v>10</v>
      </c>
      <c r="E1246">
        <v>10</v>
      </c>
      <c r="F1246" t="s">
        <v>10</v>
      </c>
      <c r="G1246" t="s">
        <v>70</v>
      </c>
      <c r="H1246" t="s">
        <v>1</v>
      </c>
      <c r="I1246">
        <v>100000000</v>
      </c>
      <c r="J1246" t="s">
        <v>27</v>
      </c>
      <c r="K1246" t="s">
        <v>9</v>
      </c>
      <c r="L1246" t="s">
        <v>67</v>
      </c>
      <c r="M1246" t="s">
        <v>81</v>
      </c>
      <c r="N1246" t="s">
        <v>12</v>
      </c>
    </row>
    <row r="1247" spans="1:14" x14ac:dyDescent="0.35">
      <c r="A1247" s="75">
        <v>43977</v>
      </c>
      <c r="B1247" t="s">
        <v>165</v>
      </c>
      <c r="C1247" t="s">
        <v>96</v>
      </c>
      <c r="D1247">
        <v>7</v>
      </c>
      <c r="E1247">
        <v>7</v>
      </c>
      <c r="F1247" t="s">
        <v>10</v>
      </c>
      <c r="G1247" t="s">
        <v>76</v>
      </c>
      <c r="H1247" t="s">
        <v>79</v>
      </c>
      <c r="I1247">
        <v>40000000</v>
      </c>
      <c r="J1247" t="s">
        <v>63</v>
      </c>
      <c r="K1247" t="s">
        <v>9</v>
      </c>
      <c r="L1247" t="s">
        <v>67</v>
      </c>
      <c r="M1247" t="s">
        <v>80</v>
      </c>
      <c r="N1247" t="s">
        <v>12</v>
      </c>
    </row>
    <row r="1248" spans="1:14" x14ac:dyDescent="0.35">
      <c r="A1248" s="75">
        <v>43977</v>
      </c>
      <c r="B1248" t="s">
        <v>165</v>
      </c>
      <c r="C1248" t="s">
        <v>96</v>
      </c>
      <c r="D1248">
        <v>6</v>
      </c>
      <c r="E1248">
        <v>6</v>
      </c>
      <c r="F1248" t="s">
        <v>10</v>
      </c>
      <c r="G1248" t="s">
        <v>114</v>
      </c>
      <c r="H1248" t="s">
        <v>3</v>
      </c>
      <c r="I1248">
        <v>140000000</v>
      </c>
      <c r="J1248" t="s">
        <v>34</v>
      </c>
      <c r="K1248" t="s">
        <v>2</v>
      </c>
      <c r="L1248" t="s">
        <v>67</v>
      </c>
      <c r="M1248" t="s">
        <v>81</v>
      </c>
      <c r="N1248" t="s">
        <v>13</v>
      </c>
    </row>
    <row r="1249" spans="1:14" x14ac:dyDescent="0.35">
      <c r="A1249" s="75">
        <v>43977</v>
      </c>
      <c r="B1249" t="s">
        <v>165</v>
      </c>
      <c r="C1249" t="s">
        <v>96</v>
      </c>
      <c r="D1249">
        <v>5</v>
      </c>
      <c r="E1249">
        <v>5</v>
      </c>
      <c r="F1249" t="s">
        <v>10</v>
      </c>
      <c r="G1249" t="s">
        <v>73</v>
      </c>
      <c r="H1249" t="s">
        <v>78</v>
      </c>
      <c r="I1249">
        <v>60000000</v>
      </c>
      <c r="J1249" t="s">
        <v>16</v>
      </c>
      <c r="K1249" t="s">
        <v>2</v>
      </c>
      <c r="L1249" t="s">
        <v>67</v>
      </c>
      <c r="M1249" t="s">
        <v>82</v>
      </c>
      <c r="N1249" t="s">
        <v>14</v>
      </c>
    </row>
    <row r="1250" spans="1:14" x14ac:dyDescent="0.35">
      <c r="A1250" s="75">
        <v>43977</v>
      </c>
      <c r="B1250" t="s">
        <v>165</v>
      </c>
      <c r="C1250" t="s">
        <v>96</v>
      </c>
      <c r="D1250">
        <v>3</v>
      </c>
      <c r="E1250">
        <v>3</v>
      </c>
      <c r="F1250" t="s">
        <v>10</v>
      </c>
      <c r="G1250" t="s">
        <v>70</v>
      </c>
      <c r="H1250" t="s">
        <v>1</v>
      </c>
      <c r="I1250">
        <v>140000000</v>
      </c>
      <c r="J1250" t="s">
        <v>61</v>
      </c>
      <c r="K1250" t="s">
        <v>7</v>
      </c>
      <c r="L1250" t="s">
        <v>67</v>
      </c>
      <c r="M1250" t="s">
        <v>81</v>
      </c>
      <c r="N1250" t="s">
        <v>14</v>
      </c>
    </row>
    <row r="1251" spans="1:14" x14ac:dyDescent="0.35">
      <c r="A1251" s="75">
        <v>43977</v>
      </c>
      <c r="B1251" t="s">
        <v>165</v>
      </c>
      <c r="C1251" t="s">
        <v>96</v>
      </c>
      <c r="D1251">
        <v>3</v>
      </c>
      <c r="E1251">
        <v>3</v>
      </c>
      <c r="F1251" t="s">
        <v>10</v>
      </c>
      <c r="G1251" t="s">
        <v>70</v>
      </c>
      <c r="H1251" t="s">
        <v>1</v>
      </c>
      <c r="I1251">
        <v>120000000</v>
      </c>
      <c r="J1251" t="s">
        <v>32</v>
      </c>
      <c r="K1251" t="s">
        <v>2</v>
      </c>
      <c r="L1251" t="s">
        <v>67</v>
      </c>
      <c r="M1251" t="s">
        <v>81</v>
      </c>
      <c r="N1251" t="s">
        <v>14</v>
      </c>
    </row>
    <row r="1252" spans="1:14" x14ac:dyDescent="0.35">
      <c r="A1252" s="75">
        <v>43977</v>
      </c>
      <c r="B1252" t="s">
        <v>165</v>
      </c>
      <c r="C1252" t="s">
        <v>96</v>
      </c>
      <c r="D1252">
        <v>3</v>
      </c>
      <c r="E1252">
        <v>3</v>
      </c>
      <c r="F1252" t="s">
        <v>10</v>
      </c>
      <c r="G1252" t="s">
        <v>76</v>
      </c>
      <c r="H1252" t="s">
        <v>79</v>
      </c>
      <c r="I1252">
        <v>80000000</v>
      </c>
      <c r="J1252" t="s">
        <v>51</v>
      </c>
      <c r="K1252" t="s">
        <v>8</v>
      </c>
      <c r="L1252" t="s">
        <v>67</v>
      </c>
      <c r="M1252" t="s">
        <v>80</v>
      </c>
      <c r="N1252" t="s">
        <v>14</v>
      </c>
    </row>
    <row r="1253" spans="1:14" x14ac:dyDescent="0.35">
      <c r="A1253" s="75">
        <v>43978</v>
      </c>
      <c r="B1253" t="s">
        <v>166</v>
      </c>
      <c r="C1253" t="s">
        <v>96</v>
      </c>
      <c r="D1253">
        <v>10</v>
      </c>
      <c r="E1253">
        <v>10</v>
      </c>
      <c r="F1253" t="s">
        <v>10</v>
      </c>
      <c r="G1253" t="s">
        <v>114</v>
      </c>
      <c r="H1253" t="s">
        <v>3</v>
      </c>
      <c r="I1253">
        <v>60000000</v>
      </c>
      <c r="J1253" t="s">
        <v>53</v>
      </c>
      <c r="K1253" t="s">
        <v>5</v>
      </c>
      <c r="L1253" t="s">
        <v>67</v>
      </c>
      <c r="M1253" t="s">
        <v>80</v>
      </c>
      <c r="N1253" t="s">
        <v>11</v>
      </c>
    </row>
    <row r="1254" spans="1:14" x14ac:dyDescent="0.35">
      <c r="A1254" s="75">
        <v>43978</v>
      </c>
      <c r="B1254" t="s">
        <v>166</v>
      </c>
      <c r="C1254" t="s">
        <v>96</v>
      </c>
      <c r="D1254">
        <v>9</v>
      </c>
      <c r="E1254">
        <v>9</v>
      </c>
      <c r="F1254" t="s">
        <v>10</v>
      </c>
      <c r="G1254" t="s">
        <v>70</v>
      </c>
      <c r="H1254" t="s">
        <v>1</v>
      </c>
      <c r="I1254">
        <v>80000000</v>
      </c>
      <c r="J1254" t="s">
        <v>32</v>
      </c>
      <c r="K1254" t="s">
        <v>9</v>
      </c>
      <c r="L1254" t="s">
        <v>67</v>
      </c>
      <c r="M1254" t="s">
        <v>82</v>
      </c>
      <c r="N1254" t="s">
        <v>12</v>
      </c>
    </row>
    <row r="1255" spans="1:14" x14ac:dyDescent="0.35">
      <c r="A1255" s="75">
        <v>43978</v>
      </c>
      <c r="B1255" t="s">
        <v>166</v>
      </c>
      <c r="C1255" t="s">
        <v>96</v>
      </c>
      <c r="D1255">
        <v>9</v>
      </c>
      <c r="E1255">
        <v>9</v>
      </c>
      <c r="F1255" t="s">
        <v>10</v>
      </c>
      <c r="G1255" t="s">
        <v>75</v>
      </c>
      <c r="H1255" t="s">
        <v>6</v>
      </c>
      <c r="I1255">
        <v>120000000</v>
      </c>
      <c r="J1255" t="s">
        <v>62</v>
      </c>
      <c r="K1255" t="s">
        <v>9</v>
      </c>
      <c r="L1255" t="s">
        <v>67</v>
      </c>
      <c r="M1255" t="s">
        <v>82</v>
      </c>
      <c r="N1255" t="s">
        <v>14</v>
      </c>
    </row>
    <row r="1256" spans="1:14" x14ac:dyDescent="0.35">
      <c r="A1256" s="75">
        <v>43978</v>
      </c>
      <c r="B1256" t="s">
        <v>166</v>
      </c>
      <c r="C1256" t="s">
        <v>96</v>
      </c>
      <c r="D1256">
        <v>9</v>
      </c>
      <c r="E1256">
        <v>9</v>
      </c>
      <c r="F1256" t="s">
        <v>10</v>
      </c>
      <c r="G1256" t="s">
        <v>74</v>
      </c>
      <c r="H1256" t="s">
        <v>77</v>
      </c>
      <c r="I1256">
        <v>100000000</v>
      </c>
      <c r="J1256" t="s">
        <v>39</v>
      </c>
      <c r="K1256" t="s">
        <v>9</v>
      </c>
      <c r="L1256" t="s">
        <v>67</v>
      </c>
      <c r="M1256" t="s">
        <v>81</v>
      </c>
      <c r="N1256" t="s">
        <v>11</v>
      </c>
    </row>
    <row r="1257" spans="1:14" x14ac:dyDescent="0.35">
      <c r="A1257" s="75">
        <v>43978</v>
      </c>
      <c r="B1257" t="s">
        <v>166</v>
      </c>
      <c r="C1257" t="s">
        <v>96</v>
      </c>
      <c r="D1257">
        <v>6</v>
      </c>
      <c r="E1257">
        <v>6</v>
      </c>
      <c r="F1257" t="s">
        <v>10</v>
      </c>
      <c r="G1257" t="s">
        <v>71</v>
      </c>
      <c r="H1257" t="s">
        <v>6</v>
      </c>
      <c r="I1257">
        <v>60000000</v>
      </c>
      <c r="J1257" t="s">
        <v>44</v>
      </c>
      <c r="K1257" t="s">
        <v>2</v>
      </c>
      <c r="L1257" t="s">
        <v>67</v>
      </c>
      <c r="M1257" t="s">
        <v>82</v>
      </c>
      <c r="N1257" t="s">
        <v>12</v>
      </c>
    </row>
    <row r="1258" spans="1:14" x14ac:dyDescent="0.35">
      <c r="A1258" s="75">
        <v>43978</v>
      </c>
      <c r="B1258" t="s">
        <v>166</v>
      </c>
      <c r="C1258" t="s">
        <v>96</v>
      </c>
      <c r="D1258">
        <v>4</v>
      </c>
      <c r="E1258">
        <v>4</v>
      </c>
      <c r="F1258" t="s">
        <v>10</v>
      </c>
      <c r="G1258" t="s">
        <v>113</v>
      </c>
      <c r="H1258" t="s">
        <v>77</v>
      </c>
      <c r="I1258">
        <v>40000000</v>
      </c>
      <c r="J1258" t="s">
        <v>36</v>
      </c>
      <c r="K1258" t="s">
        <v>5</v>
      </c>
      <c r="L1258" t="s">
        <v>67</v>
      </c>
      <c r="M1258" t="s">
        <v>82</v>
      </c>
      <c r="N1258" t="s">
        <v>11</v>
      </c>
    </row>
    <row r="1259" spans="1:14" x14ac:dyDescent="0.35">
      <c r="A1259" s="75">
        <v>43978</v>
      </c>
      <c r="B1259" t="s">
        <v>166</v>
      </c>
      <c r="C1259" t="s">
        <v>96</v>
      </c>
      <c r="D1259">
        <v>4</v>
      </c>
      <c r="E1259">
        <v>4</v>
      </c>
      <c r="F1259" t="s">
        <v>10</v>
      </c>
      <c r="G1259" t="s">
        <v>114</v>
      </c>
      <c r="H1259" t="s">
        <v>3</v>
      </c>
      <c r="I1259">
        <v>100000000</v>
      </c>
      <c r="J1259" t="s">
        <v>51</v>
      </c>
      <c r="K1259" t="s">
        <v>2</v>
      </c>
      <c r="L1259" t="s">
        <v>67</v>
      </c>
      <c r="M1259" t="s">
        <v>80</v>
      </c>
      <c r="N1259" t="s">
        <v>14</v>
      </c>
    </row>
    <row r="1260" spans="1:14" x14ac:dyDescent="0.35">
      <c r="A1260" s="75">
        <v>43978</v>
      </c>
      <c r="B1260" t="s">
        <v>166</v>
      </c>
      <c r="C1260" t="s">
        <v>96</v>
      </c>
      <c r="D1260">
        <v>4</v>
      </c>
      <c r="E1260">
        <v>4</v>
      </c>
      <c r="F1260" t="s">
        <v>10</v>
      </c>
      <c r="G1260" t="s">
        <v>74</v>
      </c>
      <c r="H1260" t="s">
        <v>77</v>
      </c>
      <c r="I1260">
        <v>80000000</v>
      </c>
      <c r="J1260" t="s">
        <v>21</v>
      </c>
      <c r="K1260" t="s">
        <v>5</v>
      </c>
      <c r="L1260" t="s">
        <v>67</v>
      </c>
      <c r="M1260" t="s">
        <v>82</v>
      </c>
      <c r="N1260" t="s">
        <v>13</v>
      </c>
    </row>
    <row r="1261" spans="1:14" x14ac:dyDescent="0.35">
      <c r="A1261" s="75">
        <v>43978</v>
      </c>
      <c r="B1261" t="s">
        <v>166</v>
      </c>
      <c r="C1261" t="s">
        <v>96</v>
      </c>
      <c r="D1261">
        <v>3</v>
      </c>
      <c r="E1261">
        <v>3</v>
      </c>
      <c r="F1261" t="s">
        <v>10</v>
      </c>
      <c r="G1261" t="s">
        <v>73</v>
      </c>
      <c r="H1261" t="s">
        <v>78</v>
      </c>
      <c r="I1261">
        <v>120000000</v>
      </c>
      <c r="J1261" t="s">
        <v>57</v>
      </c>
      <c r="K1261" t="s">
        <v>9</v>
      </c>
      <c r="L1261" t="s">
        <v>67</v>
      </c>
      <c r="M1261" t="s">
        <v>82</v>
      </c>
      <c r="N1261" t="s">
        <v>11</v>
      </c>
    </row>
    <row r="1262" spans="1:14" x14ac:dyDescent="0.35">
      <c r="A1262" s="75">
        <v>43978</v>
      </c>
      <c r="B1262" t="s">
        <v>166</v>
      </c>
      <c r="C1262" t="s">
        <v>96</v>
      </c>
      <c r="D1262">
        <v>3</v>
      </c>
      <c r="E1262">
        <v>3</v>
      </c>
      <c r="F1262" t="s">
        <v>10</v>
      </c>
      <c r="G1262" t="s">
        <v>75</v>
      </c>
      <c r="H1262" t="s">
        <v>6</v>
      </c>
      <c r="I1262">
        <v>100000000</v>
      </c>
      <c r="J1262" t="s">
        <v>62</v>
      </c>
      <c r="K1262" t="s">
        <v>2</v>
      </c>
      <c r="L1262" t="s">
        <v>67</v>
      </c>
      <c r="M1262" t="s">
        <v>81</v>
      </c>
      <c r="N1262" t="s">
        <v>13</v>
      </c>
    </row>
    <row r="1263" spans="1:14" x14ac:dyDescent="0.35">
      <c r="A1263" s="75">
        <v>43978</v>
      </c>
      <c r="B1263" t="s">
        <v>166</v>
      </c>
      <c r="C1263" t="s">
        <v>96</v>
      </c>
      <c r="D1263">
        <v>3</v>
      </c>
      <c r="E1263">
        <v>3</v>
      </c>
      <c r="F1263" t="s">
        <v>10</v>
      </c>
      <c r="G1263" t="s">
        <v>114</v>
      </c>
      <c r="H1263" t="s">
        <v>3</v>
      </c>
      <c r="I1263">
        <v>80000000</v>
      </c>
      <c r="J1263" t="s">
        <v>40</v>
      </c>
      <c r="K1263" t="s">
        <v>2</v>
      </c>
      <c r="L1263" t="s">
        <v>67</v>
      </c>
      <c r="M1263" t="s">
        <v>82</v>
      </c>
      <c r="N1263" t="s">
        <v>11</v>
      </c>
    </row>
    <row r="1264" spans="1:14" x14ac:dyDescent="0.35">
      <c r="A1264" s="75">
        <v>43979</v>
      </c>
      <c r="B1264" t="s">
        <v>167</v>
      </c>
      <c r="C1264" t="s">
        <v>96</v>
      </c>
      <c r="D1264">
        <v>10</v>
      </c>
      <c r="E1264">
        <v>10</v>
      </c>
      <c r="F1264" t="s">
        <v>10</v>
      </c>
      <c r="G1264" t="s">
        <v>70</v>
      </c>
      <c r="H1264" t="s">
        <v>1</v>
      </c>
      <c r="I1264">
        <v>140000000</v>
      </c>
      <c r="J1264" t="s">
        <v>45</v>
      </c>
      <c r="K1264" t="s">
        <v>7</v>
      </c>
      <c r="L1264" t="s">
        <v>67</v>
      </c>
      <c r="M1264" t="s">
        <v>82</v>
      </c>
      <c r="N1264" t="s">
        <v>11</v>
      </c>
    </row>
    <row r="1265" spans="1:14" x14ac:dyDescent="0.35">
      <c r="A1265" s="75">
        <v>43979</v>
      </c>
      <c r="B1265" t="s">
        <v>167</v>
      </c>
      <c r="C1265" t="s">
        <v>96</v>
      </c>
      <c r="D1265">
        <v>9</v>
      </c>
      <c r="E1265">
        <v>9</v>
      </c>
      <c r="F1265" t="s">
        <v>10</v>
      </c>
      <c r="G1265" t="s">
        <v>70</v>
      </c>
      <c r="H1265" t="s">
        <v>1</v>
      </c>
      <c r="I1265">
        <v>100000000</v>
      </c>
      <c r="J1265" t="s">
        <v>38</v>
      </c>
      <c r="K1265" t="s">
        <v>5</v>
      </c>
      <c r="L1265" t="s">
        <v>67</v>
      </c>
      <c r="M1265" t="s">
        <v>80</v>
      </c>
      <c r="N1265" t="s">
        <v>13</v>
      </c>
    </row>
    <row r="1266" spans="1:14" x14ac:dyDescent="0.35">
      <c r="A1266" s="75">
        <v>43979</v>
      </c>
      <c r="B1266" t="s">
        <v>167</v>
      </c>
      <c r="C1266" t="s">
        <v>96</v>
      </c>
      <c r="D1266">
        <v>9</v>
      </c>
      <c r="E1266">
        <v>9</v>
      </c>
      <c r="F1266" t="s">
        <v>10</v>
      </c>
      <c r="G1266" t="s">
        <v>113</v>
      </c>
      <c r="H1266" t="s">
        <v>77</v>
      </c>
      <c r="I1266">
        <v>80000000</v>
      </c>
      <c r="J1266" t="s">
        <v>58</v>
      </c>
      <c r="K1266" t="s">
        <v>5</v>
      </c>
      <c r="L1266" t="s">
        <v>67</v>
      </c>
      <c r="M1266" t="s">
        <v>82</v>
      </c>
      <c r="N1266" t="s">
        <v>13</v>
      </c>
    </row>
    <row r="1267" spans="1:14" x14ac:dyDescent="0.35">
      <c r="A1267" s="75">
        <v>43979</v>
      </c>
      <c r="B1267" t="s">
        <v>167</v>
      </c>
      <c r="C1267" t="s">
        <v>96</v>
      </c>
      <c r="D1267">
        <v>9</v>
      </c>
      <c r="E1267">
        <v>9</v>
      </c>
      <c r="F1267" t="s">
        <v>10</v>
      </c>
      <c r="G1267" t="s">
        <v>74</v>
      </c>
      <c r="H1267" t="s">
        <v>77</v>
      </c>
      <c r="I1267">
        <v>140000000</v>
      </c>
      <c r="J1267" t="s">
        <v>29</v>
      </c>
      <c r="K1267" t="s">
        <v>5</v>
      </c>
      <c r="L1267" t="s">
        <v>67</v>
      </c>
      <c r="M1267" t="s">
        <v>82</v>
      </c>
      <c r="N1267" t="s">
        <v>13</v>
      </c>
    </row>
    <row r="1268" spans="1:14" x14ac:dyDescent="0.35">
      <c r="A1268" s="75">
        <v>43979</v>
      </c>
      <c r="B1268" t="s">
        <v>167</v>
      </c>
      <c r="C1268" t="s">
        <v>96</v>
      </c>
      <c r="D1268">
        <v>8</v>
      </c>
      <c r="E1268">
        <v>8</v>
      </c>
      <c r="F1268" t="s">
        <v>10</v>
      </c>
      <c r="G1268" t="s">
        <v>73</v>
      </c>
      <c r="H1268" t="s">
        <v>78</v>
      </c>
      <c r="I1268">
        <v>100000000</v>
      </c>
      <c r="J1268" t="s">
        <v>50</v>
      </c>
      <c r="K1268" t="s">
        <v>2</v>
      </c>
      <c r="L1268" t="s">
        <v>67</v>
      </c>
      <c r="M1268" t="s">
        <v>80</v>
      </c>
      <c r="N1268" t="s">
        <v>12</v>
      </c>
    </row>
    <row r="1269" spans="1:14" x14ac:dyDescent="0.35">
      <c r="A1269" s="75">
        <v>43979</v>
      </c>
      <c r="B1269" t="s">
        <v>167</v>
      </c>
      <c r="C1269" t="s">
        <v>96</v>
      </c>
      <c r="D1269">
        <v>6</v>
      </c>
      <c r="E1269">
        <v>6</v>
      </c>
      <c r="F1269" t="s">
        <v>10</v>
      </c>
      <c r="G1269" t="s">
        <v>70</v>
      </c>
      <c r="H1269" t="s">
        <v>1</v>
      </c>
      <c r="I1269">
        <v>80000000</v>
      </c>
      <c r="J1269" t="s">
        <v>56</v>
      </c>
      <c r="K1269" t="s">
        <v>2</v>
      </c>
      <c r="L1269" t="s">
        <v>67</v>
      </c>
      <c r="M1269" t="s">
        <v>82</v>
      </c>
      <c r="N1269" t="s">
        <v>12</v>
      </c>
    </row>
    <row r="1270" spans="1:14" x14ac:dyDescent="0.35">
      <c r="A1270" s="75">
        <v>43979</v>
      </c>
      <c r="B1270" t="s">
        <v>167</v>
      </c>
      <c r="C1270" t="s">
        <v>96</v>
      </c>
      <c r="D1270">
        <v>6</v>
      </c>
      <c r="E1270">
        <v>6</v>
      </c>
      <c r="F1270" t="s">
        <v>10</v>
      </c>
      <c r="G1270" t="s">
        <v>74</v>
      </c>
      <c r="H1270" t="s">
        <v>77</v>
      </c>
      <c r="I1270">
        <v>120000000</v>
      </c>
      <c r="J1270" t="s">
        <v>25</v>
      </c>
      <c r="K1270" t="s">
        <v>2</v>
      </c>
      <c r="L1270" t="s">
        <v>67</v>
      </c>
      <c r="M1270" t="s">
        <v>80</v>
      </c>
      <c r="N1270" t="s">
        <v>12</v>
      </c>
    </row>
    <row r="1271" spans="1:14" x14ac:dyDescent="0.35">
      <c r="A1271" s="75">
        <v>43979</v>
      </c>
      <c r="B1271" t="s">
        <v>167</v>
      </c>
      <c r="C1271" t="s">
        <v>96</v>
      </c>
      <c r="D1271">
        <v>5</v>
      </c>
      <c r="E1271">
        <v>5</v>
      </c>
      <c r="F1271" t="s">
        <v>10</v>
      </c>
      <c r="G1271" t="s">
        <v>71</v>
      </c>
      <c r="H1271" t="s">
        <v>6</v>
      </c>
      <c r="I1271">
        <v>120000000</v>
      </c>
      <c r="J1271" t="s">
        <v>45</v>
      </c>
      <c r="K1271" t="s">
        <v>5</v>
      </c>
      <c r="L1271" t="s">
        <v>67</v>
      </c>
      <c r="M1271" t="s">
        <v>80</v>
      </c>
      <c r="N1271" t="s">
        <v>12</v>
      </c>
    </row>
    <row r="1272" spans="1:14" x14ac:dyDescent="0.35">
      <c r="A1272" s="75">
        <v>43979</v>
      </c>
      <c r="B1272" t="s">
        <v>167</v>
      </c>
      <c r="C1272" t="s">
        <v>96</v>
      </c>
      <c r="D1272">
        <v>3</v>
      </c>
      <c r="E1272">
        <v>3</v>
      </c>
      <c r="F1272" t="s">
        <v>10</v>
      </c>
      <c r="G1272" t="s">
        <v>114</v>
      </c>
      <c r="H1272" t="s">
        <v>3</v>
      </c>
      <c r="I1272">
        <v>120000000</v>
      </c>
      <c r="J1272" t="s">
        <v>37</v>
      </c>
      <c r="K1272" t="s">
        <v>5</v>
      </c>
      <c r="L1272" t="s">
        <v>67</v>
      </c>
      <c r="M1272" t="s">
        <v>80</v>
      </c>
      <c r="N1272" t="s">
        <v>13</v>
      </c>
    </row>
    <row r="1273" spans="1:14" x14ac:dyDescent="0.35">
      <c r="A1273" s="75">
        <v>43980</v>
      </c>
      <c r="B1273" t="s">
        <v>168</v>
      </c>
      <c r="C1273" t="s">
        <v>96</v>
      </c>
      <c r="D1273">
        <v>10</v>
      </c>
      <c r="E1273">
        <v>10</v>
      </c>
      <c r="F1273" t="s">
        <v>10</v>
      </c>
      <c r="G1273" t="s">
        <v>76</v>
      </c>
      <c r="H1273" t="s">
        <v>79</v>
      </c>
      <c r="I1273">
        <v>60000000</v>
      </c>
      <c r="J1273" t="s">
        <v>42</v>
      </c>
      <c r="K1273" t="s">
        <v>5</v>
      </c>
      <c r="L1273" t="s">
        <v>67</v>
      </c>
      <c r="M1273" t="s">
        <v>82</v>
      </c>
      <c r="N1273" t="s">
        <v>14</v>
      </c>
    </row>
    <row r="1274" spans="1:14" x14ac:dyDescent="0.35">
      <c r="A1274" s="75">
        <v>43980</v>
      </c>
      <c r="B1274" t="s">
        <v>168</v>
      </c>
      <c r="C1274" t="s">
        <v>96</v>
      </c>
      <c r="D1274">
        <v>10</v>
      </c>
      <c r="E1274">
        <v>10</v>
      </c>
      <c r="F1274" t="s">
        <v>10</v>
      </c>
      <c r="G1274" t="s">
        <v>74</v>
      </c>
      <c r="H1274" t="s">
        <v>77</v>
      </c>
      <c r="I1274">
        <v>80000000</v>
      </c>
      <c r="J1274" t="s">
        <v>29</v>
      </c>
      <c r="K1274" t="s">
        <v>5</v>
      </c>
      <c r="L1274" t="s">
        <v>67</v>
      </c>
      <c r="M1274" t="s">
        <v>80</v>
      </c>
      <c r="N1274" t="s">
        <v>12</v>
      </c>
    </row>
    <row r="1275" spans="1:14" x14ac:dyDescent="0.35">
      <c r="A1275" s="75">
        <v>43980</v>
      </c>
      <c r="B1275" t="s">
        <v>168</v>
      </c>
      <c r="C1275" t="s">
        <v>96</v>
      </c>
      <c r="D1275">
        <v>9</v>
      </c>
      <c r="E1275">
        <v>9</v>
      </c>
      <c r="F1275" t="s">
        <v>10</v>
      </c>
      <c r="G1275" t="s">
        <v>114</v>
      </c>
      <c r="H1275" t="s">
        <v>3</v>
      </c>
      <c r="I1275">
        <v>40000000</v>
      </c>
      <c r="J1275" t="s">
        <v>55</v>
      </c>
      <c r="K1275" t="s">
        <v>5</v>
      </c>
      <c r="L1275" t="s">
        <v>67</v>
      </c>
      <c r="M1275" t="s">
        <v>82</v>
      </c>
      <c r="N1275" t="s">
        <v>13</v>
      </c>
    </row>
    <row r="1276" spans="1:14" x14ac:dyDescent="0.35">
      <c r="A1276" s="75">
        <v>43980</v>
      </c>
      <c r="B1276" t="s">
        <v>168</v>
      </c>
      <c r="C1276" t="s">
        <v>96</v>
      </c>
      <c r="D1276">
        <v>8</v>
      </c>
      <c r="E1276">
        <v>8</v>
      </c>
      <c r="F1276" t="s">
        <v>10</v>
      </c>
      <c r="G1276" t="s">
        <v>113</v>
      </c>
      <c r="H1276" t="s">
        <v>77</v>
      </c>
      <c r="I1276">
        <v>40000000</v>
      </c>
      <c r="J1276" t="s">
        <v>50</v>
      </c>
      <c r="K1276" t="s">
        <v>2</v>
      </c>
      <c r="L1276" t="s">
        <v>67</v>
      </c>
      <c r="M1276" t="s">
        <v>82</v>
      </c>
      <c r="N1276" t="s">
        <v>13</v>
      </c>
    </row>
    <row r="1277" spans="1:14" x14ac:dyDescent="0.35">
      <c r="A1277" s="75">
        <v>43980</v>
      </c>
      <c r="B1277" t="s">
        <v>168</v>
      </c>
      <c r="C1277" t="s">
        <v>96</v>
      </c>
      <c r="D1277">
        <v>8</v>
      </c>
      <c r="E1277">
        <v>8</v>
      </c>
      <c r="F1277" t="s">
        <v>10</v>
      </c>
      <c r="G1277" t="s">
        <v>114</v>
      </c>
      <c r="H1277" t="s">
        <v>3</v>
      </c>
      <c r="I1277">
        <v>40000000</v>
      </c>
      <c r="J1277" t="s">
        <v>40</v>
      </c>
      <c r="K1277" t="s">
        <v>8</v>
      </c>
      <c r="L1277" t="s">
        <v>67</v>
      </c>
      <c r="M1277" t="s">
        <v>81</v>
      </c>
      <c r="N1277" t="s">
        <v>11</v>
      </c>
    </row>
    <row r="1278" spans="1:14" x14ac:dyDescent="0.35">
      <c r="A1278" s="75">
        <v>43980</v>
      </c>
      <c r="B1278" t="s">
        <v>168</v>
      </c>
      <c r="C1278" t="s">
        <v>96</v>
      </c>
      <c r="D1278">
        <v>7</v>
      </c>
      <c r="E1278">
        <v>7</v>
      </c>
      <c r="F1278" t="s">
        <v>10</v>
      </c>
      <c r="G1278" t="s">
        <v>70</v>
      </c>
      <c r="H1278" t="s">
        <v>1</v>
      </c>
      <c r="I1278">
        <v>140000000</v>
      </c>
      <c r="J1278" t="s">
        <v>22</v>
      </c>
      <c r="K1278" t="s">
        <v>2</v>
      </c>
      <c r="L1278" t="s">
        <v>67</v>
      </c>
      <c r="M1278" t="s">
        <v>82</v>
      </c>
      <c r="N1278" t="s">
        <v>12</v>
      </c>
    </row>
    <row r="1279" spans="1:14" x14ac:dyDescent="0.35">
      <c r="A1279" s="75">
        <v>43980</v>
      </c>
      <c r="B1279" t="s">
        <v>168</v>
      </c>
      <c r="C1279" t="s">
        <v>96</v>
      </c>
      <c r="D1279">
        <v>6</v>
      </c>
      <c r="E1279">
        <v>6</v>
      </c>
      <c r="F1279" t="s">
        <v>10</v>
      </c>
      <c r="G1279" t="s">
        <v>75</v>
      </c>
      <c r="H1279" t="s">
        <v>6</v>
      </c>
      <c r="I1279">
        <v>40000000</v>
      </c>
      <c r="J1279" t="s">
        <v>59</v>
      </c>
      <c r="K1279" t="s">
        <v>2</v>
      </c>
      <c r="L1279" t="s">
        <v>67</v>
      </c>
      <c r="M1279" t="s">
        <v>80</v>
      </c>
      <c r="N1279" t="s">
        <v>11</v>
      </c>
    </row>
    <row r="1280" spans="1:14" x14ac:dyDescent="0.35">
      <c r="A1280" s="75">
        <v>43980</v>
      </c>
      <c r="B1280" t="s">
        <v>168</v>
      </c>
      <c r="C1280" t="s">
        <v>96</v>
      </c>
      <c r="D1280">
        <v>6</v>
      </c>
      <c r="E1280">
        <v>6</v>
      </c>
      <c r="F1280" t="s">
        <v>10</v>
      </c>
      <c r="G1280" t="s">
        <v>73</v>
      </c>
      <c r="H1280" t="s">
        <v>78</v>
      </c>
      <c r="I1280">
        <v>40000000</v>
      </c>
      <c r="J1280" t="s">
        <v>29</v>
      </c>
      <c r="K1280" t="s">
        <v>2</v>
      </c>
      <c r="L1280" t="s">
        <v>67</v>
      </c>
      <c r="M1280" t="s">
        <v>81</v>
      </c>
      <c r="N1280" t="s">
        <v>14</v>
      </c>
    </row>
    <row r="1281" spans="1:14" x14ac:dyDescent="0.35">
      <c r="A1281" s="75">
        <v>43980</v>
      </c>
      <c r="B1281" t="s">
        <v>168</v>
      </c>
      <c r="C1281" t="s">
        <v>96</v>
      </c>
      <c r="D1281">
        <v>4</v>
      </c>
      <c r="E1281">
        <v>4</v>
      </c>
      <c r="F1281" t="s">
        <v>10</v>
      </c>
      <c r="G1281" t="s">
        <v>70</v>
      </c>
      <c r="H1281" t="s">
        <v>1</v>
      </c>
      <c r="I1281">
        <v>60000000</v>
      </c>
      <c r="J1281" t="s">
        <v>57</v>
      </c>
      <c r="K1281" t="s">
        <v>2</v>
      </c>
      <c r="L1281" t="s">
        <v>67</v>
      </c>
      <c r="M1281" t="s">
        <v>81</v>
      </c>
      <c r="N1281" t="s">
        <v>13</v>
      </c>
    </row>
    <row r="1282" spans="1:14" x14ac:dyDescent="0.35">
      <c r="A1282" s="75">
        <v>43980</v>
      </c>
      <c r="B1282" t="s">
        <v>168</v>
      </c>
      <c r="C1282" t="s">
        <v>96</v>
      </c>
      <c r="D1282">
        <v>3</v>
      </c>
      <c r="E1282">
        <v>3</v>
      </c>
      <c r="F1282" t="s">
        <v>10</v>
      </c>
      <c r="G1282" t="s">
        <v>75</v>
      </c>
      <c r="H1282" t="s">
        <v>6</v>
      </c>
      <c r="I1282">
        <v>40000000</v>
      </c>
      <c r="J1282" t="s">
        <v>37</v>
      </c>
      <c r="K1282" t="s">
        <v>4</v>
      </c>
      <c r="L1282" t="s">
        <v>67</v>
      </c>
      <c r="M1282" t="s">
        <v>80</v>
      </c>
      <c r="N1282" t="s">
        <v>13</v>
      </c>
    </row>
    <row r="1283" spans="1:14" x14ac:dyDescent="0.35">
      <c r="A1283" s="75">
        <v>43981</v>
      </c>
      <c r="B1283" t="s">
        <v>169</v>
      </c>
      <c r="C1283" t="s">
        <v>96</v>
      </c>
      <c r="D1283">
        <v>10</v>
      </c>
      <c r="E1283">
        <v>10</v>
      </c>
      <c r="F1283" t="s">
        <v>10</v>
      </c>
      <c r="G1283" t="s">
        <v>70</v>
      </c>
      <c r="H1283" t="s">
        <v>1</v>
      </c>
      <c r="I1283">
        <v>100000000</v>
      </c>
      <c r="J1283" t="s">
        <v>39</v>
      </c>
      <c r="K1283" t="s">
        <v>7</v>
      </c>
      <c r="L1283" t="s">
        <v>67</v>
      </c>
      <c r="M1283" t="s">
        <v>82</v>
      </c>
      <c r="N1283" t="s">
        <v>12</v>
      </c>
    </row>
    <row r="1284" spans="1:14" x14ac:dyDescent="0.35">
      <c r="A1284" s="75">
        <v>43981</v>
      </c>
      <c r="B1284" t="s">
        <v>169</v>
      </c>
      <c r="C1284" t="s">
        <v>96</v>
      </c>
      <c r="D1284">
        <v>10</v>
      </c>
      <c r="E1284">
        <v>10</v>
      </c>
      <c r="F1284" t="s">
        <v>10</v>
      </c>
      <c r="G1284" t="s">
        <v>71</v>
      </c>
      <c r="H1284" t="s">
        <v>6</v>
      </c>
      <c r="I1284">
        <v>60000000</v>
      </c>
      <c r="J1284" t="s">
        <v>57</v>
      </c>
      <c r="K1284" t="s">
        <v>7</v>
      </c>
      <c r="L1284" t="s">
        <v>67</v>
      </c>
      <c r="M1284" t="s">
        <v>80</v>
      </c>
      <c r="N1284" t="s">
        <v>14</v>
      </c>
    </row>
    <row r="1285" spans="1:14" x14ac:dyDescent="0.35">
      <c r="A1285" s="75">
        <v>43981</v>
      </c>
      <c r="B1285" t="s">
        <v>169</v>
      </c>
      <c r="C1285" t="s">
        <v>96</v>
      </c>
      <c r="D1285">
        <v>9</v>
      </c>
      <c r="E1285">
        <v>9</v>
      </c>
      <c r="F1285" t="s">
        <v>10</v>
      </c>
      <c r="G1285" t="s">
        <v>113</v>
      </c>
      <c r="H1285" t="s">
        <v>77</v>
      </c>
      <c r="I1285">
        <v>140000000</v>
      </c>
      <c r="J1285" t="s">
        <v>20</v>
      </c>
      <c r="K1285" t="s">
        <v>2</v>
      </c>
      <c r="L1285" t="s">
        <v>67</v>
      </c>
      <c r="M1285" t="s">
        <v>81</v>
      </c>
      <c r="N1285" t="s">
        <v>13</v>
      </c>
    </row>
    <row r="1286" spans="1:14" x14ac:dyDescent="0.35">
      <c r="A1286" s="75">
        <v>43981</v>
      </c>
      <c r="B1286" t="s">
        <v>169</v>
      </c>
      <c r="C1286" t="s">
        <v>96</v>
      </c>
      <c r="D1286">
        <v>8</v>
      </c>
      <c r="E1286">
        <v>8</v>
      </c>
      <c r="F1286" t="s">
        <v>10</v>
      </c>
      <c r="G1286" t="s">
        <v>71</v>
      </c>
      <c r="H1286" t="s">
        <v>6</v>
      </c>
      <c r="I1286">
        <v>60000000</v>
      </c>
      <c r="J1286" t="s">
        <v>61</v>
      </c>
      <c r="K1286" t="s">
        <v>5</v>
      </c>
      <c r="L1286" t="s">
        <v>67</v>
      </c>
      <c r="M1286" t="s">
        <v>81</v>
      </c>
      <c r="N1286" t="s">
        <v>12</v>
      </c>
    </row>
    <row r="1287" spans="1:14" x14ac:dyDescent="0.35">
      <c r="A1287" s="75">
        <v>43981</v>
      </c>
      <c r="B1287" t="s">
        <v>169</v>
      </c>
      <c r="C1287" t="s">
        <v>96</v>
      </c>
      <c r="D1287">
        <v>8</v>
      </c>
      <c r="E1287">
        <v>8</v>
      </c>
      <c r="F1287" t="s">
        <v>10</v>
      </c>
      <c r="G1287" t="s">
        <v>73</v>
      </c>
      <c r="H1287" t="s">
        <v>78</v>
      </c>
      <c r="I1287">
        <v>140000000</v>
      </c>
      <c r="J1287" t="s">
        <v>21</v>
      </c>
      <c r="K1287" t="s">
        <v>2</v>
      </c>
      <c r="L1287" t="s">
        <v>67</v>
      </c>
      <c r="M1287" t="s">
        <v>80</v>
      </c>
      <c r="N1287" t="s">
        <v>13</v>
      </c>
    </row>
    <row r="1288" spans="1:14" x14ac:dyDescent="0.35">
      <c r="A1288" s="75">
        <v>43981</v>
      </c>
      <c r="B1288" t="s">
        <v>169</v>
      </c>
      <c r="C1288" t="s">
        <v>96</v>
      </c>
      <c r="D1288">
        <v>8</v>
      </c>
      <c r="E1288">
        <v>8</v>
      </c>
      <c r="F1288" t="s">
        <v>10</v>
      </c>
      <c r="G1288" t="s">
        <v>73</v>
      </c>
      <c r="H1288" t="s">
        <v>78</v>
      </c>
      <c r="I1288">
        <v>100000000</v>
      </c>
      <c r="J1288" t="s">
        <v>57</v>
      </c>
      <c r="K1288" t="s">
        <v>2</v>
      </c>
      <c r="L1288" t="s">
        <v>67</v>
      </c>
      <c r="M1288" t="s">
        <v>81</v>
      </c>
      <c r="N1288" t="s">
        <v>14</v>
      </c>
    </row>
    <row r="1289" spans="1:14" x14ac:dyDescent="0.35">
      <c r="A1289" s="75">
        <v>43981</v>
      </c>
      <c r="B1289" t="s">
        <v>169</v>
      </c>
      <c r="C1289" t="s">
        <v>96</v>
      </c>
      <c r="D1289">
        <v>8</v>
      </c>
      <c r="E1289">
        <v>8</v>
      </c>
      <c r="F1289" t="s">
        <v>10</v>
      </c>
      <c r="G1289" t="s">
        <v>75</v>
      </c>
      <c r="H1289" t="s">
        <v>6</v>
      </c>
      <c r="I1289">
        <v>100000000</v>
      </c>
      <c r="J1289" t="s">
        <v>44</v>
      </c>
      <c r="K1289" t="s">
        <v>2</v>
      </c>
      <c r="L1289" t="s">
        <v>67</v>
      </c>
      <c r="M1289" t="s">
        <v>82</v>
      </c>
      <c r="N1289" t="s">
        <v>12</v>
      </c>
    </row>
    <row r="1290" spans="1:14" x14ac:dyDescent="0.35">
      <c r="A1290" s="75">
        <v>43981</v>
      </c>
      <c r="B1290" t="s">
        <v>169</v>
      </c>
      <c r="C1290" t="s">
        <v>96</v>
      </c>
      <c r="D1290">
        <v>8</v>
      </c>
      <c r="E1290">
        <v>8</v>
      </c>
      <c r="F1290" t="s">
        <v>10</v>
      </c>
      <c r="G1290" t="s">
        <v>114</v>
      </c>
      <c r="H1290" t="s">
        <v>3</v>
      </c>
      <c r="I1290">
        <v>100000000</v>
      </c>
      <c r="J1290" t="s">
        <v>22</v>
      </c>
      <c r="K1290" t="s">
        <v>2</v>
      </c>
      <c r="L1290" t="s">
        <v>67</v>
      </c>
      <c r="M1290" t="s">
        <v>82</v>
      </c>
      <c r="N1290" t="s">
        <v>13</v>
      </c>
    </row>
    <row r="1291" spans="1:14" x14ac:dyDescent="0.35">
      <c r="A1291" s="75">
        <v>43981</v>
      </c>
      <c r="B1291" t="s">
        <v>169</v>
      </c>
      <c r="C1291" t="s">
        <v>96</v>
      </c>
      <c r="D1291">
        <v>8</v>
      </c>
      <c r="E1291">
        <v>8</v>
      </c>
      <c r="F1291" t="s">
        <v>10</v>
      </c>
      <c r="G1291" t="s">
        <v>114</v>
      </c>
      <c r="H1291" t="s">
        <v>3</v>
      </c>
      <c r="I1291">
        <v>140000000</v>
      </c>
      <c r="J1291" t="s">
        <v>43</v>
      </c>
      <c r="K1291" t="s">
        <v>5</v>
      </c>
      <c r="L1291" t="s">
        <v>67</v>
      </c>
      <c r="M1291" t="s">
        <v>81</v>
      </c>
      <c r="N1291" t="s">
        <v>13</v>
      </c>
    </row>
    <row r="1292" spans="1:14" x14ac:dyDescent="0.35">
      <c r="A1292" s="75">
        <v>43981</v>
      </c>
      <c r="B1292" t="s">
        <v>169</v>
      </c>
      <c r="C1292" t="s">
        <v>96</v>
      </c>
      <c r="D1292">
        <v>7</v>
      </c>
      <c r="E1292">
        <v>7</v>
      </c>
      <c r="F1292" t="s">
        <v>10</v>
      </c>
      <c r="G1292" t="s">
        <v>75</v>
      </c>
      <c r="H1292" t="s">
        <v>6</v>
      </c>
      <c r="I1292">
        <v>140000000</v>
      </c>
      <c r="J1292" t="s">
        <v>32</v>
      </c>
      <c r="K1292" t="s">
        <v>5</v>
      </c>
      <c r="L1292" t="s">
        <v>67</v>
      </c>
      <c r="M1292" t="s">
        <v>80</v>
      </c>
      <c r="N1292" t="s">
        <v>11</v>
      </c>
    </row>
    <row r="1293" spans="1:14" x14ac:dyDescent="0.35">
      <c r="A1293" s="75">
        <v>43981</v>
      </c>
      <c r="B1293" t="s">
        <v>169</v>
      </c>
      <c r="C1293" t="s">
        <v>96</v>
      </c>
      <c r="D1293">
        <v>6</v>
      </c>
      <c r="E1293">
        <v>6</v>
      </c>
      <c r="F1293" t="s">
        <v>10</v>
      </c>
      <c r="G1293" t="s">
        <v>74</v>
      </c>
      <c r="H1293" t="s">
        <v>77</v>
      </c>
      <c r="I1293">
        <v>120000000</v>
      </c>
      <c r="J1293" t="s">
        <v>34</v>
      </c>
      <c r="K1293" t="s">
        <v>7</v>
      </c>
      <c r="L1293" t="s">
        <v>67</v>
      </c>
      <c r="M1293" t="s">
        <v>82</v>
      </c>
      <c r="N1293" t="s">
        <v>11</v>
      </c>
    </row>
    <row r="1294" spans="1:14" x14ac:dyDescent="0.35">
      <c r="A1294" s="75">
        <v>43982</v>
      </c>
      <c r="B1294" t="s">
        <v>170</v>
      </c>
      <c r="C1294" t="s">
        <v>96</v>
      </c>
      <c r="D1294">
        <v>10</v>
      </c>
      <c r="E1294">
        <v>9</v>
      </c>
      <c r="F1294">
        <v>1</v>
      </c>
      <c r="G1294" t="s">
        <v>72</v>
      </c>
      <c r="H1294" t="s">
        <v>78</v>
      </c>
      <c r="I1294">
        <v>60000000</v>
      </c>
      <c r="J1294" t="s">
        <v>51</v>
      </c>
      <c r="K1294" t="s">
        <v>7</v>
      </c>
      <c r="L1294" t="s">
        <v>67</v>
      </c>
      <c r="M1294" t="s">
        <v>80</v>
      </c>
      <c r="N1294" t="s">
        <v>14</v>
      </c>
    </row>
    <row r="1295" spans="1:14" x14ac:dyDescent="0.35">
      <c r="A1295" s="75">
        <v>43982</v>
      </c>
      <c r="B1295" t="s">
        <v>170</v>
      </c>
      <c r="C1295" t="s">
        <v>96</v>
      </c>
      <c r="D1295">
        <v>10</v>
      </c>
      <c r="E1295">
        <v>8</v>
      </c>
      <c r="F1295">
        <v>2</v>
      </c>
      <c r="G1295" t="s">
        <v>113</v>
      </c>
      <c r="H1295" t="s">
        <v>77</v>
      </c>
      <c r="I1295">
        <v>140000000</v>
      </c>
      <c r="J1295" t="s">
        <v>42</v>
      </c>
      <c r="K1295" t="s">
        <v>2</v>
      </c>
      <c r="L1295" t="s">
        <v>67</v>
      </c>
      <c r="M1295" t="s">
        <v>80</v>
      </c>
      <c r="N1295" t="s">
        <v>12</v>
      </c>
    </row>
    <row r="1296" spans="1:14" x14ac:dyDescent="0.35">
      <c r="A1296" s="75">
        <v>43982</v>
      </c>
      <c r="B1296" t="s">
        <v>170</v>
      </c>
      <c r="C1296" t="s">
        <v>96</v>
      </c>
      <c r="D1296">
        <v>9</v>
      </c>
      <c r="E1296">
        <v>7</v>
      </c>
      <c r="F1296">
        <v>2</v>
      </c>
      <c r="G1296" t="s">
        <v>70</v>
      </c>
      <c r="H1296" t="s">
        <v>1</v>
      </c>
      <c r="I1296">
        <v>100000000</v>
      </c>
      <c r="J1296" t="s">
        <v>55</v>
      </c>
      <c r="K1296" t="s">
        <v>2</v>
      </c>
      <c r="L1296" t="s">
        <v>67</v>
      </c>
      <c r="M1296" t="s">
        <v>82</v>
      </c>
      <c r="N1296" t="s">
        <v>12</v>
      </c>
    </row>
    <row r="1297" spans="1:14" x14ac:dyDescent="0.35">
      <c r="A1297" s="75">
        <v>43982</v>
      </c>
      <c r="B1297" t="s">
        <v>170</v>
      </c>
      <c r="C1297" t="s">
        <v>96</v>
      </c>
      <c r="D1297">
        <v>9</v>
      </c>
      <c r="E1297">
        <v>5</v>
      </c>
      <c r="F1297">
        <v>4</v>
      </c>
      <c r="G1297" t="s">
        <v>113</v>
      </c>
      <c r="H1297" t="s">
        <v>77</v>
      </c>
      <c r="I1297">
        <v>60000000</v>
      </c>
      <c r="J1297" t="s">
        <v>51</v>
      </c>
      <c r="K1297" t="s">
        <v>5</v>
      </c>
      <c r="L1297" t="s">
        <v>67</v>
      </c>
      <c r="M1297" t="s">
        <v>81</v>
      </c>
      <c r="N1297" t="s">
        <v>11</v>
      </c>
    </row>
    <row r="1298" spans="1:14" x14ac:dyDescent="0.35">
      <c r="A1298" s="75">
        <v>43982</v>
      </c>
      <c r="B1298" t="s">
        <v>170</v>
      </c>
      <c r="C1298" t="s">
        <v>96</v>
      </c>
      <c r="D1298">
        <v>8</v>
      </c>
      <c r="E1298">
        <v>5</v>
      </c>
      <c r="F1298">
        <v>3</v>
      </c>
      <c r="G1298" t="s">
        <v>75</v>
      </c>
      <c r="H1298" t="s">
        <v>6</v>
      </c>
      <c r="I1298">
        <v>100000000</v>
      </c>
      <c r="J1298" t="s">
        <v>17</v>
      </c>
      <c r="K1298" t="s">
        <v>9</v>
      </c>
      <c r="L1298" t="s">
        <v>67</v>
      </c>
      <c r="M1298" t="s">
        <v>81</v>
      </c>
      <c r="N1298" t="s">
        <v>11</v>
      </c>
    </row>
    <row r="1299" spans="1:14" x14ac:dyDescent="0.35">
      <c r="A1299" s="75">
        <v>43982</v>
      </c>
      <c r="B1299" t="s">
        <v>170</v>
      </c>
      <c r="C1299" t="s">
        <v>96</v>
      </c>
      <c r="D1299">
        <v>8</v>
      </c>
      <c r="E1299">
        <v>5</v>
      </c>
      <c r="F1299">
        <v>3</v>
      </c>
      <c r="G1299" t="s">
        <v>71</v>
      </c>
      <c r="H1299" t="s">
        <v>6</v>
      </c>
      <c r="I1299">
        <v>140000000</v>
      </c>
      <c r="J1299" t="s">
        <v>43</v>
      </c>
      <c r="K1299" t="s">
        <v>8</v>
      </c>
      <c r="L1299" t="s">
        <v>67</v>
      </c>
      <c r="M1299" t="s">
        <v>82</v>
      </c>
      <c r="N1299" t="s">
        <v>12</v>
      </c>
    </row>
    <row r="1300" spans="1:14" x14ac:dyDescent="0.35">
      <c r="A1300" s="75">
        <v>43982</v>
      </c>
      <c r="B1300" t="s">
        <v>170</v>
      </c>
      <c r="C1300" t="s">
        <v>96</v>
      </c>
      <c r="D1300">
        <v>7</v>
      </c>
      <c r="E1300">
        <v>5</v>
      </c>
      <c r="F1300">
        <v>2</v>
      </c>
      <c r="G1300" t="s">
        <v>73</v>
      </c>
      <c r="H1300" t="s">
        <v>78</v>
      </c>
      <c r="I1300">
        <v>60000000</v>
      </c>
      <c r="J1300" t="s">
        <v>42</v>
      </c>
      <c r="K1300" t="s">
        <v>2</v>
      </c>
      <c r="L1300" t="s">
        <v>67</v>
      </c>
      <c r="M1300" t="s">
        <v>80</v>
      </c>
      <c r="N1300" t="s">
        <v>12</v>
      </c>
    </row>
    <row r="1301" spans="1:14" x14ac:dyDescent="0.35">
      <c r="A1301" s="75">
        <v>43982</v>
      </c>
      <c r="B1301" t="s">
        <v>170</v>
      </c>
      <c r="C1301" t="s">
        <v>96</v>
      </c>
      <c r="D1301">
        <v>6</v>
      </c>
      <c r="E1301">
        <v>3</v>
      </c>
      <c r="F1301">
        <v>3</v>
      </c>
      <c r="G1301" t="s">
        <v>74</v>
      </c>
      <c r="H1301" t="s">
        <v>77</v>
      </c>
      <c r="I1301">
        <v>140000000</v>
      </c>
      <c r="J1301" t="s">
        <v>25</v>
      </c>
      <c r="K1301" t="s">
        <v>5</v>
      </c>
      <c r="L1301" t="s">
        <v>67</v>
      </c>
      <c r="M1301" t="s">
        <v>80</v>
      </c>
      <c r="N1301" t="s">
        <v>11</v>
      </c>
    </row>
    <row r="1302" spans="1:14" x14ac:dyDescent="0.35">
      <c r="A1302" s="75">
        <v>43982</v>
      </c>
      <c r="B1302" t="s">
        <v>170</v>
      </c>
      <c r="C1302" t="s">
        <v>96</v>
      </c>
      <c r="D1302">
        <v>6</v>
      </c>
      <c r="E1302">
        <v>5</v>
      </c>
      <c r="F1302">
        <v>1</v>
      </c>
      <c r="G1302" t="s">
        <v>114</v>
      </c>
      <c r="H1302" t="s">
        <v>3</v>
      </c>
      <c r="I1302">
        <v>100000000</v>
      </c>
      <c r="J1302" t="s">
        <v>44</v>
      </c>
      <c r="K1302" t="s">
        <v>8</v>
      </c>
      <c r="L1302" t="s">
        <v>67</v>
      </c>
      <c r="M1302" t="s">
        <v>82</v>
      </c>
      <c r="N1302" t="s">
        <v>12</v>
      </c>
    </row>
    <row r="1303" spans="1:14" x14ac:dyDescent="0.35">
      <c r="A1303" s="75">
        <v>43982</v>
      </c>
      <c r="B1303" t="s">
        <v>170</v>
      </c>
      <c r="C1303" t="s">
        <v>96</v>
      </c>
      <c r="D1303">
        <v>6</v>
      </c>
      <c r="E1303">
        <v>3</v>
      </c>
      <c r="F1303">
        <v>3</v>
      </c>
      <c r="G1303" t="s">
        <v>71</v>
      </c>
      <c r="H1303" t="s">
        <v>6</v>
      </c>
      <c r="I1303">
        <v>40000000</v>
      </c>
      <c r="J1303" t="s">
        <v>58</v>
      </c>
      <c r="K1303" t="s">
        <v>7</v>
      </c>
      <c r="L1303" t="s">
        <v>67</v>
      </c>
      <c r="M1303" t="s">
        <v>81</v>
      </c>
      <c r="N1303" t="s">
        <v>12</v>
      </c>
    </row>
    <row r="1304" spans="1:14" x14ac:dyDescent="0.35">
      <c r="A1304" s="75">
        <v>43982</v>
      </c>
      <c r="B1304" t="s">
        <v>170</v>
      </c>
      <c r="C1304" t="s">
        <v>96</v>
      </c>
      <c r="D1304">
        <v>4</v>
      </c>
      <c r="E1304">
        <v>3</v>
      </c>
      <c r="F1304">
        <v>1</v>
      </c>
      <c r="G1304" t="s">
        <v>75</v>
      </c>
      <c r="H1304" t="s">
        <v>6</v>
      </c>
      <c r="I1304">
        <v>120000000</v>
      </c>
      <c r="J1304" t="s">
        <v>35</v>
      </c>
      <c r="K1304" t="s">
        <v>4</v>
      </c>
      <c r="L1304" t="s">
        <v>67</v>
      </c>
      <c r="M1304" t="s">
        <v>82</v>
      </c>
      <c r="N1304" t="s">
        <v>11</v>
      </c>
    </row>
    <row r="1305" spans="1:14" x14ac:dyDescent="0.35">
      <c r="A1305" s="75">
        <v>43982</v>
      </c>
      <c r="B1305" t="s">
        <v>170</v>
      </c>
      <c r="C1305" t="s">
        <v>96</v>
      </c>
      <c r="D1305">
        <v>4</v>
      </c>
      <c r="E1305">
        <v>3</v>
      </c>
      <c r="F1305">
        <v>1</v>
      </c>
      <c r="G1305" t="s">
        <v>76</v>
      </c>
      <c r="H1305" t="s">
        <v>79</v>
      </c>
      <c r="I1305">
        <v>120000000</v>
      </c>
      <c r="J1305" t="s">
        <v>45</v>
      </c>
      <c r="K1305" t="s">
        <v>4</v>
      </c>
      <c r="L1305" t="s">
        <v>67</v>
      </c>
      <c r="M1305" t="s">
        <v>81</v>
      </c>
      <c r="N1305" t="s">
        <v>11</v>
      </c>
    </row>
    <row r="1306" spans="1:14" x14ac:dyDescent="0.35">
      <c r="A1306" s="75">
        <v>43982</v>
      </c>
      <c r="B1306" t="s">
        <v>170</v>
      </c>
      <c r="C1306" t="s">
        <v>96</v>
      </c>
      <c r="D1306">
        <v>4</v>
      </c>
      <c r="E1306">
        <v>3</v>
      </c>
      <c r="F1306">
        <v>1</v>
      </c>
      <c r="G1306" t="s">
        <v>73</v>
      </c>
      <c r="H1306" t="s">
        <v>78</v>
      </c>
      <c r="I1306">
        <v>100000000</v>
      </c>
      <c r="J1306" t="s">
        <v>29</v>
      </c>
      <c r="K1306" t="s">
        <v>7</v>
      </c>
      <c r="L1306" t="s">
        <v>67</v>
      </c>
      <c r="M1306" t="s">
        <v>80</v>
      </c>
      <c r="N1306" t="s">
        <v>12</v>
      </c>
    </row>
    <row r="1307" spans="1:14" x14ac:dyDescent="0.35">
      <c r="A1307" s="75">
        <v>43982</v>
      </c>
      <c r="B1307" t="s">
        <v>170</v>
      </c>
      <c r="C1307" t="s">
        <v>96</v>
      </c>
      <c r="D1307">
        <v>4</v>
      </c>
      <c r="E1307">
        <v>3</v>
      </c>
      <c r="F1307">
        <v>1</v>
      </c>
      <c r="G1307" t="s">
        <v>71</v>
      </c>
      <c r="H1307" t="s">
        <v>6</v>
      </c>
      <c r="I1307">
        <v>60000000</v>
      </c>
      <c r="J1307" t="s">
        <v>40</v>
      </c>
      <c r="K1307" t="s">
        <v>7</v>
      </c>
      <c r="L1307" t="s">
        <v>67</v>
      </c>
      <c r="M1307" t="s">
        <v>82</v>
      </c>
      <c r="N1307" t="s">
        <v>14</v>
      </c>
    </row>
    <row r="1308" spans="1:14" x14ac:dyDescent="0.35">
      <c r="A1308" s="75">
        <v>43982</v>
      </c>
      <c r="B1308" t="s">
        <v>170</v>
      </c>
      <c r="C1308" t="s">
        <v>96</v>
      </c>
      <c r="D1308">
        <v>3</v>
      </c>
      <c r="E1308">
        <v>2</v>
      </c>
      <c r="F1308">
        <v>1</v>
      </c>
      <c r="G1308" t="s">
        <v>74</v>
      </c>
      <c r="H1308" t="s">
        <v>77</v>
      </c>
      <c r="I1308">
        <v>40000000</v>
      </c>
      <c r="J1308" t="s">
        <v>42</v>
      </c>
      <c r="K1308" t="s">
        <v>2</v>
      </c>
      <c r="L1308" t="s">
        <v>67</v>
      </c>
      <c r="M1308" t="s">
        <v>80</v>
      </c>
      <c r="N1308" t="s">
        <v>12</v>
      </c>
    </row>
    <row r="1309" spans="1:14" x14ac:dyDescent="0.35">
      <c r="A1309" s="75">
        <v>43983</v>
      </c>
      <c r="B1309" t="s">
        <v>140</v>
      </c>
      <c r="C1309" t="s">
        <v>97</v>
      </c>
      <c r="D1309">
        <v>10</v>
      </c>
      <c r="E1309">
        <v>10</v>
      </c>
      <c r="F1309" t="s">
        <v>10</v>
      </c>
      <c r="G1309" t="s">
        <v>72</v>
      </c>
      <c r="H1309" t="s">
        <v>78</v>
      </c>
      <c r="I1309">
        <v>100000000</v>
      </c>
      <c r="J1309" t="s">
        <v>59</v>
      </c>
      <c r="K1309" t="s">
        <v>2</v>
      </c>
      <c r="L1309" t="s">
        <v>67</v>
      </c>
      <c r="M1309" t="s">
        <v>81</v>
      </c>
      <c r="N1309" t="s">
        <v>11</v>
      </c>
    </row>
    <row r="1310" spans="1:14" x14ac:dyDescent="0.35">
      <c r="A1310" s="75">
        <v>43983</v>
      </c>
      <c r="B1310" t="s">
        <v>140</v>
      </c>
      <c r="C1310" t="s">
        <v>97</v>
      </c>
      <c r="D1310">
        <v>9</v>
      </c>
      <c r="E1310">
        <v>9</v>
      </c>
      <c r="F1310" t="s">
        <v>10</v>
      </c>
      <c r="G1310" t="s">
        <v>114</v>
      </c>
      <c r="H1310" t="s">
        <v>3</v>
      </c>
      <c r="I1310">
        <v>80000000</v>
      </c>
      <c r="J1310" t="s">
        <v>25</v>
      </c>
      <c r="K1310" t="s">
        <v>5</v>
      </c>
      <c r="L1310" t="s">
        <v>67</v>
      </c>
      <c r="M1310" t="s">
        <v>82</v>
      </c>
      <c r="N1310" t="s">
        <v>13</v>
      </c>
    </row>
    <row r="1311" spans="1:14" x14ac:dyDescent="0.35">
      <c r="A1311" s="75">
        <v>43983</v>
      </c>
      <c r="B1311" t="s">
        <v>140</v>
      </c>
      <c r="C1311" t="s">
        <v>97</v>
      </c>
      <c r="D1311">
        <v>9</v>
      </c>
      <c r="E1311">
        <v>9</v>
      </c>
      <c r="F1311" t="s">
        <v>10</v>
      </c>
      <c r="G1311" t="s">
        <v>114</v>
      </c>
      <c r="H1311" t="s">
        <v>3</v>
      </c>
      <c r="I1311">
        <v>40000000</v>
      </c>
      <c r="J1311" t="s">
        <v>41</v>
      </c>
      <c r="K1311" t="s">
        <v>2</v>
      </c>
      <c r="L1311" t="s">
        <v>67</v>
      </c>
      <c r="M1311" t="s">
        <v>80</v>
      </c>
      <c r="N1311" t="s">
        <v>13</v>
      </c>
    </row>
    <row r="1312" spans="1:14" x14ac:dyDescent="0.35">
      <c r="A1312" s="75">
        <v>43983</v>
      </c>
      <c r="B1312" t="s">
        <v>140</v>
      </c>
      <c r="C1312" t="s">
        <v>97</v>
      </c>
      <c r="D1312">
        <v>8</v>
      </c>
      <c r="E1312">
        <v>8</v>
      </c>
      <c r="F1312" t="s">
        <v>10</v>
      </c>
      <c r="G1312" t="s">
        <v>74</v>
      </c>
      <c r="H1312" t="s">
        <v>77</v>
      </c>
      <c r="I1312">
        <v>80000000</v>
      </c>
      <c r="J1312" t="s">
        <v>62</v>
      </c>
      <c r="K1312" t="s">
        <v>4</v>
      </c>
      <c r="L1312" t="s">
        <v>67</v>
      </c>
      <c r="M1312" t="s">
        <v>80</v>
      </c>
      <c r="N1312" t="s">
        <v>11</v>
      </c>
    </row>
    <row r="1313" spans="1:14" x14ac:dyDescent="0.35">
      <c r="A1313" s="75">
        <v>43983</v>
      </c>
      <c r="B1313" t="s">
        <v>140</v>
      </c>
      <c r="C1313" t="s">
        <v>97</v>
      </c>
      <c r="D1313">
        <v>6</v>
      </c>
      <c r="E1313">
        <v>6</v>
      </c>
      <c r="F1313" t="s">
        <v>10</v>
      </c>
      <c r="G1313" t="s">
        <v>113</v>
      </c>
      <c r="H1313" t="s">
        <v>77</v>
      </c>
      <c r="I1313">
        <v>140000000</v>
      </c>
      <c r="J1313" t="s">
        <v>30</v>
      </c>
      <c r="K1313" t="s">
        <v>7</v>
      </c>
      <c r="L1313" t="s">
        <v>67</v>
      </c>
      <c r="M1313" t="s">
        <v>82</v>
      </c>
      <c r="N1313" t="s">
        <v>13</v>
      </c>
    </row>
    <row r="1314" spans="1:14" x14ac:dyDescent="0.35">
      <c r="A1314" s="75">
        <v>43983</v>
      </c>
      <c r="B1314" t="s">
        <v>140</v>
      </c>
      <c r="C1314" t="s">
        <v>97</v>
      </c>
      <c r="D1314">
        <v>6</v>
      </c>
      <c r="E1314">
        <v>6</v>
      </c>
      <c r="F1314" t="s">
        <v>10</v>
      </c>
      <c r="G1314" t="s">
        <v>114</v>
      </c>
      <c r="H1314" t="s">
        <v>3</v>
      </c>
      <c r="I1314">
        <v>120000000</v>
      </c>
      <c r="J1314" t="s">
        <v>17</v>
      </c>
      <c r="K1314" t="s">
        <v>5</v>
      </c>
      <c r="L1314" t="s">
        <v>67</v>
      </c>
      <c r="M1314" t="s">
        <v>81</v>
      </c>
      <c r="N1314" t="s">
        <v>13</v>
      </c>
    </row>
    <row r="1315" spans="1:14" x14ac:dyDescent="0.35">
      <c r="A1315" s="75">
        <v>43983</v>
      </c>
      <c r="B1315" t="s">
        <v>140</v>
      </c>
      <c r="C1315" t="s">
        <v>97</v>
      </c>
      <c r="D1315">
        <v>5</v>
      </c>
      <c r="E1315">
        <v>5</v>
      </c>
      <c r="F1315" t="s">
        <v>10</v>
      </c>
      <c r="G1315" t="s">
        <v>73</v>
      </c>
      <c r="H1315" t="s">
        <v>78</v>
      </c>
      <c r="I1315">
        <v>40000000</v>
      </c>
      <c r="J1315" t="s">
        <v>43</v>
      </c>
      <c r="K1315" t="s">
        <v>5</v>
      </c>
      <c r="L1315" t="s">
        <v>67</v>
      </c>
      <c r="M1315" t="s">
        <v>81</v>
      </c>
      <c r="N1315" t="s">
        <v>13</v>
      </c>
    </row>
    <row r="1316" spans="1:14" x14ac:dyDescent="0.35">
      <c r="A1316" s="75">
        <v>43983</v>
      </c>
      <c r="B1316" t="s">
        <v>140</v>
      </c>
      <c r="C1316" t="s">
        <v>97</v>
      </c>
      <c r="D1316">
        <v>5</v>
      </c>
      <c r="E1316">
        <v>5</v>
      </c>
      <c r="F1316" t="s">
        <v>10</v>
      </c>
      <c r="G1316" t="s">
        <v>72</v>
      </c>
      <c r="H1316" t="s">
        <v>78</v>
      </c>
      <c r="I1316">
        <v>140000000</v>
      </c>
      <c r="J1316" t="s">
        <v>54</v>
      </c>
      <c r="K1316" t="s">
        <v>2</v>
      </c>
      <c r="L1316" t="s">
        <v>67</v>
      </c>
      <c r="M1316" t="s">
        <v>82</v>
      </c>
      <c r="N1316" t="s">
        <v>14</v>
      </c>
    </row>
    <row r="1317" spans="1:14" x14ac:dyDescent="0.35">
      <c r="A1317" s="75">
        <v>43983</v>
      </c>
      <c r="B1317" t="s">
        <v>140</v>
      </c>
      <c r="C1317" t="s">
        <v>97</v>
      </c>
      <c r="D1317">
        <v>4</v>
      </c>
      <c r="E1317">
        <v>4</v>
      </c>
      <c r="F1317" t="s">
        <v>10</v>
      </c>
      <c r="G1317" t="s">
        <v>75</v>
      </c>
      <c r="H1317" t="s">
        <v>6</v>
      </c>
      <c r="I1317">
        <v>120000000</v>
      </c>
      <c r="J1317" t="s">
        <v>20</v>
      </c>
      <c r="K1317" t="s">
        <v>9</v>
      </c>
      <c r="L1317" t="s">
        <v>67</v>
      </c>
      <c r="M1317" t="s">
        <v>82</v>
      </c>
      <c r="N1317" t="s">
        <v>11</v>
      </c>
    </row>
    <row r="1318" spans="1:14" x14ac:dyDescent="0.35">
      <c r="A1318" s="75">
        <v>43983</v>
      </c>
      <c r="B1318" t="s">
        <v>140</v>
      </c>
      <c r="C1318" t="s">
        <v>97</v>
      </c>
      <c r="D1318">
        <v>4</v>
      </c>
      <c r="E1318">
        <v>4</v>
      </c>
      <c r="F1318" t="s">
        <v>10</v>
      </c>
      <c r="G1318" t="s">
        <v>75</v>
      </c>
      <c r="H1318" t="s">
        <v>6</v>
      </c>
      <c r="I1318">
        <v>120000000</v>
      </c>
      <c r="J1318" t="s">
        <v>16</v>
      </c>
      <c r="K1318" t="s">
        <v>2</v>
      </c>
      <c r="L1318" t="s">
        <v>67</v>
      </c>
      <c r="M1318" t="s">
        <v>81</v>
      </c>
      <c r="N1318" t="s">
        <v>12</v>
      </c>
    </row>
    <row r="1319" spans="1:14" x14ac:dyDescent="0.35">
      <c r="A1319" s="75">
        <v>43983</v>
      </c>
      <c r="B1319" t="s">
        <v>140</v>
      </c>
      <c r="C1319" t="s">
        <v>97</v>
      </c>
      <c r="D1319">
        <v>4</v>
      </c>
      <c r="E1319">
        <v>4</v>
      </c>
      <c r="F1319" t="s">
        <v>10</v>
      </c>
      <c r="G1319" t="s">
        <v>75</v>
      </c>
      <c r="H1319" t="s">
        <v>6</v>
      </c>
      <c r="I1319">
        <v>120000000</v>
      </c>
      <c r="J1319" t="s">
        <v>62</v>
      </c>
      <c r="K1319" t="s">
        <v>5</v>
      </c>
      <c r="L1319" t="s">
        <v>67</v>
      </c>
      <c r="M1319" t="s">
        <v>80</v>
      </c>
      <c r="N1319" t="s">
        <v>11</v>
      </c>
    </row>
    <row r="1320" spans="1:14" x14ac:dyDescent="0.35">
      <c r="A1320" s="75">
        <v>43983</v>
      </c>
      <c r="B1320" t="s">
        <v>140</v>
      </c>
      <c r="C1320" t="s">
        <v>97</v>
      </c>
      <c r="D1320">
        <v>3</v>
      </c>
      <c r="E1320">
        <v>3</v>
      </c>
      <c r="F1320" t="s">
        <v>10</v>
      </c>
      <c r="G1320" t="s">
        <v>113</v>
      </c>
      <c r="H1320" t="s">
        <v>77</v>
      </c>
      <c r="I1320">
        <v>60000000</v>
      </c>
      <c r="J1320" t="s">
        <v>32</v>
      </c>
      <c r="K1320" t="s">
        <v>5</v>
      </c>
      <c r="L1320" t="s">
        <v>67</v>
      </c>
      <c r="M1320" t="s">
        <v>81</v>
      </c>
      <c r="N1320" t="s">
        <v>14</v>
      </c>
    </row>
    <row r="1321" spans="1:14" x14ac:dyDescent="0.35">
      <c r="A1321" s="75">
        <v>43983</v>
      </c>
      <c r="B1321" t="s">
        <v>140</v>
      </c>
      <c r="C1321" t="s">
        <v>97</v>
      </c>
      <c r="D1321">
        <v>3</v>
      </c>
      <c r="E1321">
        <v>3</v>
      </c>
      <c r="F1321" t="s">
        <v>10</v>
      </c>
      <c r="G1321" t="s">
        <v>74</v>
      </c>
      <c r="H1321" t="s">
        <v>77</v>
      </c>
      <c r="I1321">
        <v>140000000</v>
      </c>
      <c r="J1321" t="s">
        <v>50</v>
      </c>
      <c r="K1321" t="s">
        <v>7</v>
      </c>
      <c r="L1321" t="s">
        <v>67</v>
      </c>
      <c r="M1321" t="s">
        <v>82</v>
      </c>
      <c r="N1321" t="s">
        <v>13</v>
      </c>
    </row>
    <row r="1322" spans="1:14" x14ac:dyDescent="0.35">
      <c r="A1322" s="75">
        <v>43983</v>
      </c>
      <c r="B1322" t="s">
        <v>140</v>
      </c>
      <c r="C1322" t="s">
        <v>97</v>
      </c>
      <c r="D1322">
        <v>3</v>
      </c>
      <c r="E1322">
        <v>3</v>
      </c>
      <c r="F1322" t="s">
        <v>10</v>
      </c>
      <c r="G1322" t="s">
        <v>114</v>
      </c>
      <c r="H1322" t="s">
        <v>3</v>
      </c>
      <c r="I1322">
        <v>80000000</v>
      </c>
      <c r="J1322" t="s">
        <v>48</v>
      </c>
      <c r="K1322" t="s">
        <v>2</v>
      </c>
      <c r="L1322" t="s">
        <v>67</v>
      </c>
      <c r="M1322" t="s">
        <v>81</v>
      </c>
      <c r="N1322" t="s">
        <v>11</v>
      </c>
    </row>
    <row r="1323" spans="1:14" x14ac:dyDescent="0.35">
      <c r="A1323" s="75">
        <v>43984</v>
      </c>
      <c r="B1323" t="s">
        <v>141</v>
      </c>
      <c r="C1323" t="s">
        <v>97</v>
      </c>
      <c r="D1323">
        <v>8</v>
      </c>
      <c r="E1323">
        <v>8</v>
      </c>
      <c r="F1323" t="s">
        <v>10</v>
      </c>
      <c r="G1323" t="s">
        <v>113</v>
      </c>
      <c r="H1323" t="s">
        <v>77</v>
      </c>
      <c r="I1323">
        <v>100000000</v>
      </c>
      <c r="J1323" t="s">
        <v>63</v>
      </c>
      <c r="K1323" t="s">
        <v>5</v>
      </c>
      <c r="L1323" t="s">
        <v>67</v>
      </c>
      <c r="M1323" t="s">
        <v>81</v>
      </c>
      <c r="N1323" t="s">
        <v>13</v>
      </c>
    </row>
    <row r="1324" spans="1:14" x14ac:dyDescent="0.35">
      <c r="A1324" s="75">
        <v>43984</v>
      </c>
      <c r="B1324" t="s">
        <v>141</v>
      </c>
      <c r="C1324" t="s">
        <v>97</v>
      </c>
      <c r="D1324">
        <v>6</v>
      </c>
      <c r="E1324">
        <v>6</v>
      </c>
      <c r="F1324" t="s">
        <v>10</v>
      </c>
      <c r="G1324" t="s">
        <v>71</v>
      </c>
      <c r="H1324" t="s">
        <v>6</v>
      </c>
      <c r="I1324">
        <v>80000000</v>
      </c>
      <c r="J1324" t="s">
        <v>41</v>
      </c>
      <c r="K1324" t="s">
        <v>9</v>
      </c>
      <c r="L1324" t="s">
        <v>67</v>
      </c>
      <c r="M1324" t="s">
        <v>81</v>
      </c>
      <c r="N1324" t="s">
        <v>14</v>
      </c>
    </row>
    <row r="1325" spans="1:14" x14ac:dyDescent="0.35">
      <c r="A1325" s="75">
        <v>43984</v>
      </c>
      <c r="B1325" t="s">
        <v>141</v>
      </c>
      <c r="C1325" t="s">
        <v>97</v>
      </c>
      <c r="D1325">
        <v>6</v>
      </c>
      <c r="E1325">
        <v>6</v>
      </c>
      <c r="F1325" t="s">
        <v>10</v>
      </c>
      <c r="G1325" t="s">
        <v>113</v>
      </c>
      <c r="H1325" t="s">
        <v>77</v>
      </c>
      <c r="I1325">
        <v>60000000</v>
      </c>
      <c r="J1325" t="s">
        <v>52</v>
      </c>
      <c r="K1325" t="s">
        <v>8</v>
      </c>
      <c r="L1325" t="s">
        <v>67</v>
      </c>
      <c r="M1325" t="s">
        <v>81</v>
      </c>
      <c r="N1325" t="s">
        <v>13</v>
      </c>
    </row>
    <row r="1326" spans="1:14" x14ac:dyDescent="0.35">
      <c r="A1326" s="75">
        <v>43984</v>
      </c>
      <c r="B1326" t="s">
        <v>141</v>
      </c>
      <c r="C1326" t="s">
        <v>97</v>
      </c>
      <c r="D1326">
        <v>4</v>
      </c>
      <c r="E1326">
        <v>4</v>
      </c>
      <c r="F1326" t="s">
        <v>10</v>
      </c>
      <c r="G1326" t="s">
        <v>114</v>
      </c>
      <c r="H1326" t="s">
        <v>3</v>
      </c>
      <c r="I1326">
        <v>40000000</v>
      </c>
      <c r="J1326" t="s">
        <v>21</v>
      </c>
      <c r="K1326" t="s">
        <v>5</v>
      </c>
      <c r="L1326" t="s">
        <v>67</v>
      </c>
      <c r="M1326" t="s">
        <v>81</v>
      </c>
      <c r="N1326" t="s">
        <v>11</v>
      </c>
    </row>
    <row r="1327" spans="1:14" x14ac:dyDescent="0.35">
      <c r="A1327" s="75">
        <v>43984</v>
      </c>
      <c r="B1327" t="s">
        <v>141</v>
      </c>
      <c r="C1327" t="s">
        <v>97</v>
      </c>
      <c r="D1327">
        <v>3</v>
      </c>
      <c r="E1327">
        <v>3</v>
      </c>
      <c r="F1327" t="s">
        <v>10</v>
      </c>
      <c r="G1327" t="s">
        <v>113</v>
      </c>
      <c r="H1327" t="s">
        <v>77</v>
      </c>
      <c r="I1327">
        <v>60000000</v>
      </c>
      <c r="J1327" t="s">
        <v>26</v>
      </c>
      <c r="K1327" t="s">
        <v>2</v>
      </c>
      <c r="L1327" t="s">
        <v>67</v>
      </c>
      <c r="M1327" t="s">
        <v>80</v>
      </c>
      <c r="N1327" t="s">
        <v>12</v>
      </c>
    </row>
    <row r="1328" spans="1:14" x14ac:dyDescent="0.35">
      <c r="A1328" s="75">
        <v>43984</v>
      </c>
      <c r="B1328" t="s">
        <v>141</v>
      </c>
      <c r="C1328" t="s">
        <v>97</v>
      </c>
      <c r="D1328">
        <v>3</v>
      </c>
      <c r="E1328">
        <v>3</v>
      </c>
      <c r="F1328" t="s">
        <v>10</v>
      </c>
      <c r="G1328" t="s">
        <v>75</v>
      </c>
      <c r="H1328" t="s">
        <v>6</v>
      </c>
      <c r="I1328">
        <v>40000000</v>
      </c>
      <c r="J1328" t="s">
        <v>37</v>
      </c>
      <c r="K1328" t="s">
        <v>7</v>
      </c>
      <c r="L1328" t="s">
        <v>67</v>
      </c>
      <c r="M1328" t="s">
        <v>82</v>
      </c>
      <c r="N1328" t="s">
        <v>14</v>
      </c>
    </row>
    <row r="1329" spans="1:14" x14ac:dyDescent="0.35">
      <c r="A1329" s="75">
        <v>43985</v>
      </c>
      <c r="B1329" t="s">
        <v>142</v>
      </c>
      <c r="C1329" t="s">
        <v>97</v>
      </c>
      <c r="D1329">
        <v>10</v>
      </c>
      <c r="E1329">
        <v>10</v>
      </c>
      <c r="F1329" t="s">
        <v>10</v>
      </c>
      <c r="G1329" t="s">
        <v>72</v>
      </c>
      <c r="H1329" t="s">
        <v>78</v>
      </c>
      <c r="I1329">
        <v>80000000</v>
      </c>
      <c r="J1329" t="s">
        <v>20</v>
      </c>
      <c r="K1329" t="s">
        <v>5</v>
      </c>
      <c r="L1329" t="s">
        <v>67</v>
      </c>
      <c r="M1329" t="s">
        <v>81</v>
      </c>
      <c r="N1329" t="s">
        <v>14</v>
      </c>
    </row>
    <row r="1330" spans="1:14" x14ac:dyDescent="0.35">
      <c r="A1330" s="75">
        <v>43985</v>
      </c>
      <c r="B1330" t="s">
        <v>142</v>
      </c>
      <c r="C1330" t="s">
        <v>97</v>
      </c>
      <c r="D1330">
        <v>9</v>
      </c>
      <c r="E1330">
        <v>9</v>
      </c>
      <c r="F1330" t="s">
        <v>10</v>
      </c>
      <c r="G1330" t="s">
        <v>74</v>
      </c>
      <c r="H1330" t="s">
        <v>77</v>
      </c>
      <c r="I1330">
        <v>40000000</v>
      </c>
      <c r="J1330" t="s">
        <v>44</v>
      </c>
      <c r="K1330" t="s">
        <v>2</v>
      </c>
      <c r="L1330" t="s">
        <v>67</v>
      </c>
      <c r="M1330" t="s">
        <v>82</v>
      </c>
      <c r="N1330" t="s">
        <v>11</v>
      </c>
    </row>
    <row r="1331" spans="1:14" x14ac:dyDescent="0.35">
      <c r="A1331" s="75">
        <v>43985</v>
      </c>
      <c r="B1331" t="s">
        <v>142</v>
      </c>
      <c r="C1331" t="s">
        <v>97</v>
      </c>
      <c r="D1331">
        <v>7</v>
      </c>
      <c r="E1331">
        <v>7</v>
      </c>
      <c r="F1331" t="s">
        <v>10</v>
      </c>
      <c r="G1331" t="s">
        <v>72</v>
      </c>
      <c r="H1331" t="s">
        <v>78</v>
      </c>
      <c r="I1331">
        <v>120000000</v>
      </c>
      <c r="J1331" t="s">
        <v>49</v>
      </c>
      <c r="K1331" t="s">
        <v>5</v>
      </c>
      <c r="L1331" t="s">
        <v>67</v>
      </c>
      <c r="M1331" t="s">
        <v>80</v>
      </c>
      <c r="N1331" t="s">
        <v>11</v>
      </c>
    </row>
    <row r="1332" spans="1:14" x14ac:dyDescent="0.35">
      <c r="A1332" s="75">
        <v>43985</v>
      </c>
      <c r="B1332" t="s">
        <v>142</v>
      </c>
      <c r="C1332" t="s">
        <v>97</v>
      </c>
      <c r="D1332">
        <v>7</v>
      </c>
      <c r="E1332">
        <v>7</v>
      </c>
      <c r="F1332" t="s">
        <v>10</v>
      </c>
      <c r="G1332" t="s">
        <v>75</v>
      </c>
      <c r="H1332" t="s">
        <v>6</v>
      </c>
      <c r="I1332">
        <v>120000000</v>
      </c>
      <c r="J1332" t="s">
        <v>27</v>
      </c>
      <c r="K1332" t="s">
        <v>5</v>
      </c>
      <c r="L1332" t="s">
        <v>67</v>
      </c>
      <c r="M1332" t="s">
        <v>81</v>
      </c>
      <c r="N1332" t="s">
        <v>12</v>
      </c>
    </row>
    <row r="1333" spans="1:14" x14ac:dyDescent="0.35">
      <c r="A1333" s="75">
        <v>43985</v>
      </c>
      <c r="B1333" t="s">
        <v>142</v>
      </c>
      <c r="C1333" t="s">
        <v>97</v>
      </c>
      <c r="D1333">
        <v>6</v>
      </c>
      <c r="E1333">
        <v>6</v>
      </c>
      <c r="F1333" t="s">
        <v>10</v>
      </c>
      <c r="G1333" t="s">
        <v>71</v>
      </c>
      <c r="H1333" t="s">
        <v>6</v>
      </c>
      <c r="I1333">
        <v>80000000</v>
      </c>
      <c r="J1333" t="s">
        <v>48</v>
      </c>
      <c r="K1333" t="s">
        <v>2</v>
      </c>
      <c r="L1333" t="s">
        <v>67</v>
      </c>
      <c r="M1333" t="s">
        <v>81</v>
      </c>
      <c r="N1333" t="s">
        <v>14</v>
      </c>
    </row>
    <row r="1334" spans="1:14" x14ac:dyDescent="0.35">
      <c r="A1334" s="75">
        <v>43985</v>
      </c>
      <c r="B1334" t="s">
        <v>142</v>
      </c>
      <c r="C1334" t="s">
        <v>97</v>
      </c>
      <c r="D1334">
        <v>6</v>
      </c>
      <c r="E1334">
        <v>6</v>
      </c>
      <c r="F1334" t="s">
        <v>10</v>
      </c>
      <c r="G1334" t="s">
        <v>76</v>
      </c>
      <c r="H1334" t="s">
        <v>79</v>
      </c>
      <c r="I1334">
        <v>80000000</v>
      </c>
      <c r="J1334" t="s">
        <v>52</v>
      </c>
      <c r="K1334" t="s">
        <v>2</v>
      </c>
      <c r="L1334" t="s">
        <v>67</v>
      </c>
      <c r="M1334" t="s">
        <v>82</v>
      </c>
      <c r="N1334" t="s">
        <v>13</v>
      </c>
    </row>
    <row r="1335" spans="1:14" x14ac:dyDescent="0.35">
      <c r="A1335" s="75">
        <v>43985</v>
      </c>
      <c r="B1335" t="s">
        <v>142</v>
      </c>
      <c r="C1335" t="s">
        <v>97</v>
      </c>
      <c r="D1335">
        <v>5</v>
      </c>
      <c r="E1335">
        <v>5</v>
      </c>
      <c r="F1335" t="s">
        <v>10</v>
      </c>
      <c r="G1335" t="s">
        <v>75</v>
      </c>
      <c r="H1335" t="s">
        <v>6</v>
      </c>
      <c r="I1335">
        <v>60000000</v>
      </c>
      <c r="J1335" t="s">
        <v>50</v>
      </c>
      <c r="K1335" t="s">
        <v>7</v>
      </c>
      <c r="L1335" t="s">
        <v>67</v>
      </c>
      <c r="M1335" t="s">
        <v>81</v>
      </c>
      <c r="N1335" t="s">
        <v>12</v>
      </c>
    </row>
    <row r="1336" spans="1:14" x14ac:dyDescent="0.35">
      <c r="A1336" s="75">
        <v>43985</v>
      </c>
      <c r="B1336" t="s">
        <v>142</v>
      </c>
      <c r="C1336" t="s">
        <v>97</v>
      </c>
      <c r="D1336">
        <v>5</v>
      </c>
      <c r="E1336">
        <v>5</v>
      </c>
      <c r="F1336" t="s">
        <v>10</v>
      </c>
      <c r="G1336" t="s">
        <v>71</v>
      </c>
      <c r="H1336" t="s">
        <v>6</v>
      </c>
      <c r="I1336">
        <v>140000000</v>
      </c>
      <c r="J1336" t="s">
        <v>24</v>
      </c>
      <c r="K1336" t="s">
        <v>8</v>
      </c>
      <c r="L1336" t="s">
        <v>67</v>
      </c>
      <c r="M1336" t="s">
        <v>81</v>
      </c>
      <c r="N1336" t="s">
        <v>13</v>
      </c>
    </row>
    <row r="1337" spans="1:14" x14ac:dyDescent="0.35">
      <c r="A1337" s="75">
        <v>43985</v>
      </c>
      <c r="B1337" t="s">
        <v>142</v>
      </c>
      <c r="C1337" t="s">
        <v>97</v>
      </c>
      <c r="D1337">
        <v>3</v>
      </c>
      <c r="E1337">
        <v>3</v>
      </c>
      <c r="F1337" t="s">
        <v>10</v>
      </c>
      <c r="G1337" t="s">
        <v>74</v>
      </c>
      <c r="H1337" t="s">
        <v>77</v>
      </c>
      <c r="I1337">
        <v>60000000</v>
      </c>
      <c r="J1337" t="s">
        <v>15</v>
      </c>
      <c r="K1337" t="s">
        <v>5</v>
      </c>
      <c r="L1337" t="s">
        <v>67</v>
      </c>
      <c r="M1337" t="s">
        <v>81</v>
      </c>
      <c r="N1337" t="s">
        <v>12</v>
      </c>
    </row>
    <row r="1338" spans="1:14" x14ac:dyDescent="0.35">
      <c r="A1338" s="75">
        <v>43986</v>
      </c>
      <c r="B1338" t="s">
        <v>143</v>
      </c>
      <c r="C1338" t="s">
        <v>97</v>
      </c>
      <c r="D1338">
        <v>10</v>
      </c>
      <c r="E1338">
        <v>10</v>
      </c>
      <c r="F1338" t="s">
        <v>10</v>
      </c>
      <c r="G1338" t="s">
        <v>72</v>
      </c>
      <c r="H1338" t="s">
        <v>78</v>
      </c>
      <c r="I1338">
        <v>120000000</v>
      </c>
      <c r="J1338" t="s">
        <v>51</v>
      </c>
      <c r="K1338" t="s">
        <v>2</v>
      </c>
      <c r="L1338" t="s">
        <v>67</v>
      </c>
      <c r="M1338" t="s">
        <v>82</v>
      </c>
      <c r="N1338" t="s">
        <v>11</v>
      </c>
    </row>
    <row r="1339" spans="1:14" x14ac:dyDescent="0.35">
      <c r="A1339" s="75">
        <v>43986</v>
      </c>
      <c r="B1339" t="s">
        <v>143</v>
      </c>
      <c r="C1339" t="s">
        <v>97</v>
      </c>
      <c r="D1339">
        <v>10</v>
      </c>
      <c r="E1339">
        <v>10</v>
      </c>
      <c r="F1339" t="s">
        <v>10</v>
      </c>
      <c r="G1339" t="s">
        <v>73</v>
      </c>
      <c r="H1339" t="s">
        <v>78</v>
      </c>
      <c r="I1339">
        <v>140000000</v>
      </c>
      <c r="J1339" t="s">
        <v>21</v>
      </c>
      <c r="K1339" t="s">
        <v>7</v>
      </c>
      <c r="L1339" t="s">
        <v>67</v>
      </c>
      <c r="M1339" t="s">
        <v>81</v>
      </c>
      <c r="N1339" t="s">
        <v>11</v>
      </c>
    </row>
    <row r="1340" spans="1:14" x14ac:dyDescent="0.35">
      <c r="A1340" s="75">
        <v>43986</v>
      </c>
      <c r="B1340" t="s">
        <v>143</v>
      </c>
      <c r="C1340" t="s">
        <v>97</v>
      </c>
      <c r="D1340">
        <v>9</v>
      </c>
      <c r="E1340">
        <v>9</v>
      </c>
      <c r="F1340" t="s">
        <v>10</v>
      </c>
      <c r="G1340" t="s">
        <v>75</v>
      </c>
      <c r="H1340" t="s">
        <v>6</v>
      </c>
      <c r="I1340">
        <v>60000000</v>
      </c>
      <c r="J1340" t="s">
        <v>52</v>
      </c>
      <c r="K1340" t="s">
        <v>5</v>
      </c>
      <c r="L1340" t="s">
        <v>67</v>
      </c>
      <c r="M1340" t="s">
        <v>81</v>
      </c>
      <c r="N1340" t="s">
        <v>14</v>
      </c>
    </row>
    <row r="1341" spans="1:14" x14ac:dyDescent="0.35">
      <c r="A1341" s="75">
        <v>43986</v>
      </c>
      <c r="B1341" t="s">
        <v>143</v>
      </c>
      <c r="C1341" t="s">
        <v>97</v>
      </c>
      <c r="D1341">
        <v>9</v>
      </c>
      <c r="E1341">
        <v>9</v>
      </c>
      <c r="F1341" t="s">
        <v>10</v>
      </c>
      <c r="G1341" t="s">
        <v>71</v>
      </c>
      <c r="H1341" t="s">
        <v>6</v>
      </c>
      <c r="I1341">
        <v>60000000</v>
      </c>
      <c r="J1341" t="s">
        <v>21</v>
      </c>
      <c r="K1341" t="s">
        <v>4</v>
      </c>
      <c r="L1341" t="s">
        <v>67</v>
      </c>
      <c r="M1341" t="s">
        <v>82</v>
      </c>
      <c r="N1341" t="s">
        <v>12</v>
      </c>
    </row>
    <row r="1342" spans="1:14" x14ac:dyDescent="0.35">
      <c r="A1342" s="75">
        <v>43986</v>
      </c>
      <c r="B1342" t="s">
        <v>143</v>
      </c>
      <c r="C1342" t="s">
        <v>97</v>
      </c>
      <c r="D1342">
        <v>9</v>
      </c>
      <c r="E1342">
        <v>9</v>
      </c>
      <c r="F1342" t="s">
        <v>10</v>
      </c>
      <c r="G1342" t="s">
        <v>74</v>
      </c>
      <c r="H1342" t="s">
        <v>77</v>
      </c>
      <c r="I1342">
        <v>140000000</v>
      </c>
      <c r="J1342" t="s">
        <v>57</v>
      </c>
      <c r="K1342" t="s">
        <v>2</v>
      </c>
      <c r="L1342" t="s">
        <v>67</v>
      </c>
      <c r="M1342" t="s">
        <v>82</v>
      </c>
      <c r="N1342" t="s">
        <v>12</v>
      </c>
    </row>
    <row r="1343" spans="1:14" x14ac:dyDescent="0.35">
      <c r="A1343" s="75">
        <v>43986</v>
      </c>
      <c r="B1343" t="s">
        <v>143</v>
      </c>
      <c r="C1343" t="s">
        <v>97</v>
      </c>
      <c r="D1343">
        <v>8</v>
      </c>
      <c r="E1343">
        <v>8</v>
      </c>
      <c r="F1343" t="s">
        <v>10</v>
      </c>
      <c r="G1343" t="s">
        <v>73</v>
      </c>
      <c r="H1343" t="s">
        <v>78</v>
      </c>
      <c r="I1343">
        <v>120000000</v>
      </c>
      <c r="J1343" t="s">
        <v>19</v>
      </c>
      <c r="K1343" t="s">
        <v>2</v>
      </c>
      <c r="L1343" t="s">
        <v>67</v>
      </c>
      <c r="M1343" t="s">
        <v>81</v>
      </c>
      <c r="N1343" t="s">
        <v>12</v>
      </c>
    </row>
    <row r="1344" spans="1:14" x14ac:dyDescent="0.35">
      <c r="A1344" s="75">
        <v>43986</v>
      </c>
      <c r="B1344" t="s">
        <v>143</v>
      </c>
      <c r="C1344" t="s">
        <v>97</v>
      </c>
      <c r="D1344">
        <v>6</v>
      </c>
      <c r="E1344">
        <v>6</v>
      </c>
      <c r="F1344" t="s">
        <v>10</v>
      </c>
      <c r="G1344" t="s">
        <v>114</v>
      </c>
      <c r="H1344" t="s">
        <v>3</v>
      </c>
      <c r="I1344">
        <v>120000000</v>
      </c>
      <c r="J1344" t="s">
        <v>21</v>
      </c>
      <c r="K1344" t="s">
        <v>5</v>
      </c>
      <c r="L1344" t="s">
        <v>67</v>
      </c>
      <c r="M1344" t="s">
        <v>82</v>
      </c>
      <c r="N1344" t="s">
        <v>14</v>
      </c>
    </row>
    <row r="1345" spans="1:14" x14ac:dyDescent="0.35">
      <c r="A1345" s="75">
        <v>43986</v>
      </c>
      <c r="B1345" t="s">
        <v>143</v>
      </c>
      <c r="C1345" t="s">
        <v>97</v>
      </c>
      <c r="D1345">
        <v>5</v>
      </c>
      <c r="E1345">
        <v>5</v>
      </c>
      <c r="F1345" t="s">
        <v>10</v>
      </c>
      <c r="G1345" t="s">
        <v>73</v>
      </c>
      <c r="H1345" t="s">
        <v>78</v>
      </c>
      <c r="I1345">
        <v>40000000</v>
      </c>
      <c r="J1345" t="s">
        <v>28</v>
      </c>
      <c r="K1345" t="s">
        <v>5</v>
      </c>
      <c r="L1345" t="s">
        <v>67</v>
      </c>
      <c r="M1345" t="s">
        <v>80</v>
      </c>
      <c r="N1345" t="s">
        <v>13</v>
      </c>
    </row>
    <row r="1346" spans="1:14" x14ac:dyDescent="0.35">
      <c r="A1346" s="75">
        <v>43986</v>
      </c>
      <c r="B1346" t="s">
        <v>143</v>
      </c>
      <c r="C1346" t="s">
        <v>97</v>
      </c>
      <c r="D1346">
        <v>4</v>
      </c>
      <c r="E1346">
        <v>4</v>
      </c>
      <c r="F1346" t="s">
        <v>10</v>
      </c>
      <c r="G1346" t="s">
        <v>75</v>
      </c>
      <c r="H1346" t="s">
        <v>6</v>
      </c>
      <c r="I1346">
        <v>40000000</v>
      </c>
      <c r="J1346" t="s">
        <v>22</v>
      </c>
      <c r="K1346" t="s">
        <v>5</v>
      </c>
      <c r="L1346" t="s">
        <v>67</v>
      </c>
      <c r="M1346" t="s">
        <v>82</v>
      </c>
      <c r="N1346" t="s">
        <v>13</v>
      </c>
    </row>
    <row r="1347" spans="1:14" x14ac:dyDescent="0.35">
      <c r="A1347" s="75">
        <v>43986</v>
      </c>
      <c r="B1347" t="s">
        <v>143</v>
      </c>
      <c r="C1347" t="s">
        <v>97</v>
      </c>
      <c r="D1347">
        <v>4</v>
      </c>
      <c r="E1347">
        <v>4</v>
      </c>
      <c r="F1347" t="s">
        <v>10</v>
      </c>
      <c r="G1347" t="s">
        <v>76</v>
      </c>
      <c r="H1347" t="s">
        <v>79</v>
      </c>
      <c r="I1347">
        <v>100000000</v>
      </c>
      <c r="J1347" t="s">
        <v>16</v>
      </c>
      <c r="K1347" t="s">
        <v>9</v>
      </c>
      <c r="L1347" t="s">
        <v>67</v>
      </c>
      <c r="M1347" t="s">
        <v>82</v>
      </c>
      <c r="N1347" t="s">
        <v>12</v>
      </c>
    </row>
    <row r="1348" spans="1:14" x14ac:dyDescent="0.35">
      <c r="A1348" s="75">
        <v>43987</v>
      </c>
      <c r="B1348" t="s">
        <v>144</v>
      </c>
      <c r="C1348" t="s">
        <v>97</v>
      </c>
      <c r="D1348">
        <v>10</v>
      </c>
      <c r="E1348">
        <v>10</v>
      </c>
      <c r="F1348" t="s">
        <v>10</v>
      </c>
      <c r="G1348" t="s">
        <v>73</v>
      </c>
      <c r="H1348" t="s">
        <v>78</v>
      </c>
      <c r="I1348">
        <v>40000000</v>
      </c>
      <c r="J1348" t="s">
        <v>47</v>
      </c>
      <c r="K1348" t="s">
        <v>2</v>
      </c>
      <c r="L1348" t="s">
        <v>67</v>
      </c>
      <c r="M1348" t="s">
        <v>80</v>
      </c>
      <c r="N1348" t="s">
        <v>11</v>
      </c>
    </row>
    <row r="1349" spans="1:14" x14ac:dyDescent="0.35">
      <c r="A1349" s="75">
        <v>43987</v>
      </c>
      <c r="B1349" t="s">
        <v>144</v>
      </c>
      <c r="C1349" t="s">
        <v>97</v>
      </c>
      <c r="D1349">
        <v>9</v>
      </c>
      <c r="E1349">
        <v>9</v>
      </c>
      <c r="F1349" t="s">
        <v>10</v>
      </c>
      <c r="G1349" t="s">
        <v>71</v>
      </c>
      <c r="H1349" t="s">
        <v>6</v>
      </c>
      <c r="I1349">
        <v>80000000</v>
      </c>
      <c r="J1349" t="s">
        <v>37</v>
      </c>
      <c r="K1349" t="s">
        <v>8</v>
      </c>
      <c r="L1349" t="s">
        <v>67</v>
      </c>
      <c r="M1349" t="s">
        <v>80</v>
      </c>
      <c r="N1349" t="s">
        <v>12</v>
      </c>
    </row>
    <row r="1350" spans="1:14" x14ac:dyDescent="0.35">
      <c r="A1350" s="75">
        <v>43987</v>
      </c>
      <c r="B1350" t="s">
        <v>144</v>
      </c>
      <c r="C1350" t="s">
        <v>97</v>
      </c>
      <c r="D1350">
        <v>8</v>
      </c>
      <c r="E1350">
        <v>8</v>
      </c>
      <c r="F1350" t="s">
        <v>10</v>
      </c>
      <c r="G1350" t="s">
        <v>72</v>
      </c>
      <c r="H1350" t="s">
        <v>78</v>
      </c>
      <c r="I1350">
        <v>120000000</v>
      </c>
      <c r="J1350" t="s">
        <v>31</v>
      </c>
      <c r="K1350" t="s">
        <v>2</v>
      </c>
      <c r="L1350" t="s">
        <v>67</v>
      </c>
      <c r="M1350" t="s">
        <v>82</v>
      </c>
      <c r="N1350" t="s">
        <v>13</v>
      </c>
    </row>
    <row r="1351" spans="1:14" x14ac:dyDescent="0.35">
      <c r="A1351" s="75">
        <v>43987</v>
      </c>
      <c r="B1351" t="s">
        <v>144</v>
      </c>
      <c r="C1351" t="s">
        <v>97</v>
      </c>
      <c r="D1351">
        <v>8</v>
      </c>
      <c r="E1351">
        <v>8</v>
      </c>
      <c r="F1351" t="s">
        <v>10</v>
      </c>
      <c r="G1351" t="s">
        <v>74</v>
      </c>
      <c r="H1351" t="s">
        <v>77</v>
      </c>
      <c r="I1351">
        <v>140000000</v>
      </c>
      <c r="J1351" t="s">
        <v>54</v>
      </c>
      <c r="K1351" t="s">
        <v>5</v>
      </c>
      <c r="L1351" t="s">
        <v>67</v>
      </c>
      <c r="M1351" t="s">
        <v>82</v>
      </c>
      <c r="N1351" t="s">
        <v>14</v>
      </c>
    </row>
    <row r="1352" spans="1:14" x14ac:dyDescent="0.35">
      <c r="A1352" s="75">
        <v>43987</v>
      </c>
      <c r="B1352" t="s">
        <v>144</v>
      </c>
      <c r="C1352" t="s">
        <v>97</v>
      </c>
      <c r="D1352">
        <v>8</v>
      </c>
      <c r="E1352">
        <v>8</v>
      </c>
      <c r="F1352" t="s">
        <v>10</v>
      </c>
      <c r="G1352" t="s">
        <v>72</v>
      </c>
      <c r="H1352" t="s">
        <v>78</v>
      </c>
      <c r="I1352">
        <v>80000000</v>
      </c>
      <c r="J1352" t="s">
        <v>23</v>
      </c>
      <c r="K1352" t="s">
        <v>2</v>
      </c>
      <c r="L1352" t="s">
        <v>67</v>
      </c>
      <c r="M1352" t="s">
        <v>80</v>
      </c>
      <c r="N1352" t="s">
        <v>11</v>
      </c>
    </row>
    <row r="1353" spans="1:14" x14ac:dyDescent="0.35">
      <c r="A1353" s="75">
        <v>43987</v>
      </c>
      <c r="B1353" t="s">
        <v>144</v>
      </c>
      <c r="C1353" t="s">
        <v>97</v>
      </c>
      <c r="D1353">
        <v>5</v>
      </c>
      <c r="E1353">
        <v>5</v>
      </c>
      <c r="F1353" t="s">
        <v>10</v>
      </c>
      <c r="G1353" t="s">
        <v>71</v>
      </c>
      <c r="H1353" t="s">
        <v>6</v>
      </c>
      <c r="I1353">
        <v>100000000</v>
      </c>
      <c r="J1353" t="s">
        <v>51</v>
      </c>
      <c r="K1353" t="s">
        <v>5</v>
      </c>
      <c r="L1353" t="s">
        <v>67</v>
      </c>
      <c r="M1353" t="s">
        <v>80</v>
      </c>
      <c r="N1353" t="s">
        <v>12</v>
      </c>
    </row>
    <row r="1354" spans="1:14" x14ac:dyDescent="0.35">
      <c r="A1354" s="75">
        <v>43987</v>
      </c>
      <c r="B1354" t="s">
        <v>144</v>
      </c>
      <c r="C1354" t="s">
        <v>97</v>
      </c>
      <c r="D1354">
        <v>4</v>
      </c>
      <c r="E1354">
        <v>4</v>
      </c>
      <c r="F1354" t="s">
        <v>10</v>
      </c>
      <c r="G1354" t="s">
        <v>75</v>
      </c>
      <c r="H1354" t="s">
        <v>6</v>
      </c>
      <c r="I1354">
        <v>120000000</v>
      </c>
      <c r="J1354" t="s">
        <v>18</v>
      </c>
      <c r="K1354" t="s">
        <v>8</v>
      </c>
      <c r="L1354" t="s">
        <v>67</v>
      </c>
      <c r="M1354" t="s">
        <v>80</v>
      </c>
      <c r="N1354" t="s">
        <v>13</v>
      </c>
    </row>
    <row r="1355" spans="1:14" x14ac:dyDescent="0.35">
      <c r="A1355" s="75">
        <v>43987</v>
      </c>
      <c r="B1355" t="s">
        <v>144</v>
      </c>
      <c r="C1355" t="s">
        <v>97</v>
      </c>
      <c r="D1355">
        <v>4</v>
      </c>
      <c r="E1355">
        <v>4</v>
      </c>
      <c r="F1355" t="s">
        <v>10</v>
      </c>
      <c r="G1355" t="s">
        <v>75</v>
      </c>
      <c r="H1355" t="s">
        <v>6</v>
      </c>
      <c r="I1355">
        <v>120000000</v>
      </c>
      <c r="J1355" t="s">
        <v>19</v>
      </c>
      <c r="K1355" t="s">
        <v>2</v>
      </c>
      <c r="L1355" t="s">
        <v>67</v>
      </c>
      <c r="M1355" t="s">
        <v>81</v>
      </c>
      <c r="N1355" t="s">
        <v>12</v>
      </c>
    </row>
    <row r="1356" spans="1:14" x14ac:dyDescent="0.35">
      <c r="A1356" s="75">
        <v>43987</v>
      </c>
      <c r="B1356" t="s">
        <v>144</v>
      </c>
      <c r="C1356" t="s">
        <v>97</v>
      </c>
      <c r="D1356">
        <v>3</v>
      </c>
      <c r="E1356">
        <v>3</v>
      </c>
      <c r="F1356" t="s">
        <v>10</v>
      </c>
      <c r="G1356" t="s">
        <v>114</v>
      </c>
      <c r="H1356" t="s">
        <v>3</v>
      </c>
      <c r="I1356">
        <v>60000000</v>
      </c>
      <c r="J1356" t="s">
        <v>30</v>
      </c>
      <c r="K1356" t="s">
        <v>7</v>
      </c>
      <c r="L1356" t="s">
        <v>67</v>
      </c>
      <c r="M1356" t="s">
        <v>80</v>
      </c>
      <c r="N1356" t="s">
        <v>11</v>
      </c>
    </row>
    <row r="1357" spans="1:14" x14ac:dyDescent="0.35">
      <c r="A1357" s="75">
        <v>43987</v>
      </c>
      <c r="B1357" t="s">
        <v>144</v>
      </c>
      <c r="C1357" t="s">
        <v>97</v>
      </c>
      <c r="D1357">
        <v>3</v>
      </c>
      <c r="E1357">
        <v>3</v>
      </c>
      <c r="F1357" t="s">
        <v>10</v>
      </c>
      <c r="G1357" t="s">
        <v>114</v>
      </c>
      <c r="H1357" t="s">
        <v>3</v>
      </c>
      <c r="I1357">
        <v>80000000</v>
      </c>
      <c r="J1357" t="s">
        <v>63</v>
      </c>
      <c r="K1357" t="s">
        <v>5</v>
      </c>
      <c r="L1357" t="s">
        <v>67</v>
      </c>
      <c r="M1357" t="s">
        <v>81</v>
      </c>
      <c r="N1357" t="s">
        <v>11</v>
      </c>
    </row>
    <row r="1358" spans="1:14" x14ac:dyDescent="0.35">
      <c r="A1358" s="75">
        <v>43987</v>
      </c>
      <c r="B1358" t="s">
        <v>144</v>
      </c>
      <c r="C1358" t="s">
        <v>97</v>
      </c>
      <c r="D1358">
        <v>3</v>
      </c>
      <c r="E1358">
        <v>3</v>
      </c>
      <c r="F1358" t="s">
        <v>10</v>
      </c>
      <c r="G1358" t="s">
        <v>113</v>
      </c>
      <c r="H1358" t="s">
        <v>77</v>
      </c>
      <c r="I1358">
        <v>80000000</v>
      </c>
      <c r="J1358" t="s">
        <v>32</v>
      </c>
      <c r="K1358" t="s">
        <v>5</v>
      </c>
      <c r="L1358" t="s">
        <v>67</v>
      </c>
      <c r="M1358" t="s">
        <v>80</v>
      </c>
      <c r="N1358" t="s">
        <v>11</v>
      </c>
    </row>
    <row r="1359" spans="1:14" x14ac:dyDescent="0.35">
      <c r="A1359" s="75">
        <v>43988</v>
      </c>
      <c r="B1359" t="s">
        <v>145</v>
      </c>
      <c r="C1359" t="s">
        <v>97</v>
      </c>
      <c r="D1359">
        <v>10</v>
      </c>
      <c r="E1359">
        <v>10</v>
      </c>
      <c r="F1359" t="s">
        <v>10</v>
      </c>
      <c r="G1359" t="s">
        <v>76</v>
      </c>
      <c r="H1359" t="s">
        <v>79</v>
      </c>
      <c r="I1359">
        <v>120000000</v>
      </c>
      <c r="J1359" t="s">
        <v>64</v>
      </c>
      <c r="K1359" t="s">
        <v>9</v>
      </c>
      <c r="L1359" t="s">
        <v>67</v>
      </c>
      <c r="M1359" t="s">
        <v>81</v>
      </c>
      <c r="N1359" t="s">
        <v>14</v>
      </c>
    </row>
    <row r="1360" spans="1:14" x14ac:dyDescent="0.35">
      <c r="A1360" s="75">
        <v>43988</v>
      </c>
      <c r="B1360" t="s">
        <v>145</v>
      </c>
      <c r="C1360" t="s">
        <v>97</v>
      </c>
      <c r="D1360">
        <v>10</v>
      </c>
      <c r="E1360">
        <v>10</v>
      </c>
      <c r="F1360" t="s">
        <v>10</v>
      </c>
      <c r="G1360" t="s">
        <v>113</v>
      </c>
      <c r="H1360" t="s">
        <v>77</v>
      </c>
      <c r="I1360">
        <v>80000000</v>
      </c>
      <c r="J1360" t="s">
        <v>43</v>
      </c>
      <c r="K1360" t="s">
        <v>8</v>
      </c>
      <c r="L1360" t="s">
        <v>67</v>
      </c>
      <c r="M1360" t="s">
        <v>80</v>
      </c>
      <c r="N1360" t="s">
        <v>14</v>
      </c>
    </row>
    <row r="1361" spans="1:14" x14ac:dyDescent="0.35">
      <c r="A1361" s="75">
        <v>43988</v>
      </c>
      <c r="B1361" t="s">
        <v>145</v>
      </c>
      <c r="C1361" t="s">
        <v>97</v>
      </c>
      <c r="D1361">
        <v>9</v>
      </c>
      <c r="E1361">
        <v>9</v>
      </c>
      <c r="F1361" t="s">
        <v>10</v>
      </c>
      <c r="G1361" t="s">
        <v>72</v>
      </c>
      <c r="H1361" t="s">
        <v>78</v>
      </c>
      <c r="I1361">
        <v>80000000</v>
      </c>
      <c r="J1361" t="s">
        <v>27</v>
      </c>
      <c r="K1361" t="s">
        <v>2</v>
      </c>
      <c r="L1361" t="s">
        <v>67</v>
      </c>
      <c r="M1361" t="s">
        <v>80</v>
      </c>
      <c r="N1361" t="s">
        <v>12</v>
      </c>
    </row>
    <row r="1362" spans="1:14" x14ac:dyDescent="0.35">
      <c r="A1362" s="75">
        <v>43988</v>
      </c>
      <c r="B1362" t="s">
        <v>145</v>
      </c>
      <c r="C1362" t="s">
        <v>97</v>
      </c>
      <c r="D1362">
        <v>6</v>
      </c>
      <c r="E1362">
        <v>6</v>
      </c>
      <c r="F1362" t="s">
        <v>10</v>
      </c>
      <c r="G1362" t="s">
        <v>74</v>
      </c>
      <c r="H1362" t="s">
        <v>77</v>
      </c>
      <c r="I1362">
        <v>100000000</v>
      </c>
      <c r="J1362" t="s">
        <v>29</v>
      </c>
      <c r="K1362" t="s">
        <v>5</v>
      </c>
      <c r="L1362" t="s">
        <v>67</v>
      </c>
      <c r="M1362" t="s">
        <v>81</v>
      </c>
      <c r="N1362" t="s">
        <v>13</v>
      </c>
    </row>
    <row r="1363" spans="1:14" x14ac:dyDescent="0.35">
      <c r="A1363" s="75">
        <v>43988</v>
      </c>
      <c r="B1363" t="s">
        <v>145</v>
      </c>
      <c r="C1363" t="s">
        <v>97</v>
      </c>
      <c r="D1363">
        <v>5</v>
      </c>
      <c r="E1363">
        <v>5</v>
      </c>
      <c r="F1363" t="s">
        <v>10</v>
      </c>
      <c r="G1363" t="s">
        <v>70</v>
      </c>
      <c r="H1363" t="s">
        <v>1</v>
      </c>
      <c r="I1363">
        <v>60000000</v>
      </c>
      <c r="J1363" t="s">
        <v>57</v>
      </c>
      <c r="K1363" t="s">
        <v>4</v>
      </c>
      <c r="L1363" t="s">
        <v>67</v>
      </c>
      <c r="M1363" t="s">
        <v>82</v>
      </c>
      <c r="N1363" t="s">
        <v>12</v>
      </c>
    </row>
    <row r="1364" spans="1:14" x14ac:dyDescent="0.35">
      <c r="A1364" s="75">
        <v>43988</v>
      </c>
      <c r="B1364" t="s">
        <v>145</v>
      </c>
      <c r="C1364" t="s">
        <v>97</v>
      </c>
      <c r="D1364">
        <v>4</v>
      </c>
      <c r="E1364">
        <v>4</v>
      </c>
      <c r="F1364" t="s">
        <v>10</v>
      </c>
      <c r="G1364" t="s">
        <v>74</v>
      </c>
      <c r="H1364" t="s">
        <v>77</v>
      </c>
      <c r="I1364">
        <v>40000000</v>
      </c>
      <c r="J1364" t="s">
        <v>52</v>
      </c>
      <c r="K1364" t="s">
        <v>2</v>
      </c>
      <c r="L1364" t="s">
        <v>67</v>
      </c>
      <c r="M1364" t="s">
        <v>80</v>
      </c>
      <c r="N1364" t="s">
        <v>13</v>
      </c>
    </row>
    <row r="1365" spans="1:14" x14ac:dyDescent="0.35">
      <c r="A1365" s="75">
        <v>43988</v>
      </c>
      <c r="B1365" t="s">
        <v>145</v>
      </c>
      <c r="C1365" t="s">
        <v>97</v>
      </c>
      <c r="D1365">
        <v>3</v>
      </c>
      <c r="E1365">
        <v>3</v>
      </c>
      <c r="F1365" t="s">
        <v>10</v>
      </c>
      <c r="G1365" t="s">
        <v>70</v>
      </c>
      <c r="H1365" t="s">
        <v>1</v>
      </c>
      <c r="I1365">
        <v>80000000</v>
      </c>
      <c r="J1365" t="s">
        <v>63</v>
      </c>
      <c r="K1365" t="s">
        <v>2</v>
      </c>
      <c r="L1365" t="s">
        <v>67</v>
      </c>
      <c r="M1365" t="s">
        <v>81</v>
      </c>
      <c r="N1365" t="s">
        <v>11</v>
      </c>
    </row>
    <row r="1366" spans="1:14" x14ac:dyDescent="0.35">
      <c r="A1366" s="75">
        <v>43989</v>
      </c>
      <c r="B1366" t="s">
        <v>146</v>
      </c>
      <c r="C1366" t="s">
        <v>97</v>
      </c>
      <c r="D1366">
        <v>10</v>
      </c>
      <c r="E1366">
        <v>10</v>
      </c>
      <c r="F1366" t="s">
        <v>10</v>
      </c>
      <c r="G1366" t="s">
        <v>70</v>
      </c>
      <c r="H1366" t="s">
        <v>1</v>
      </c>
      <c r="I1366">
        <v>80000000</v>
      </c>
      <c r="J1366" t="s">
        <v>64</v>
      </c>
      <c r="K1366" t="s">
        <v>5</v>
      </c>
      <c r="L1366" t="s">
        <v>67</v>
      </c>
      <c r="M1366" t="s">
        <v>81</v>
      </c>
      <c r="N1366" t="s">
        <v>13</v>
      </c>
    </row>
    <row r="1367" spans="1:14" x14ac:dyDescent="0.35">
      <c r="A1367" s="75">
        <v>43989</v>
      </c>
      <c r="B1367" t="s">
        <v>146</v>
      </c>
      <c r="C1367" t="s">
        <v>97</v>
      </c>
      <c r="D1367">
        <v>10</v>
      </c>
      <c r="E1367">
        <v>10</v>
      </c>
      <c r="F1367" t="s">
        <v>10</v>
      </c>
      <c r="G1367" t="s">
        <v>76</v>
      </c>
      <c r="H1367" t="s">
        <v>79</v>
      </c>
      <c r="I1367">
        <v>60000000</v>
      </c>
      <c r="J1367" t="s">
        <v>47</v>
      </c>
      <c r="K1367" t="s">
        <v>8</v>
      </c>
      <c r="L1367" t="s">
        <v>67</v>
      </c>
      <c r="M1367" t="s">
        <v>81</v>
      </c>
      <c r="N1367" t="s">
        <v>14</v>
      </c>
    </row>
    <row r="1368" spans="1:14" x14ac:dyDescent="0.35">
      <c r="A1368" s="75">
        <v>43989</v>
      </c>
      <c r="B1368" t="s">
        <v>146</v>
      </c>
      <c r="C1368" t="s">
        <v>97</v>
      </c>
      <c r="D1368">
        <v>8</v>
      </c>
      <c r="E1368">
        <v>8</v>
      </c>
      <c r="F1368" t="s">
        <v>10</v>
      </c>
      <c r="G1368" t="s">
        <v>75</v>
      </c>
      <c r="H1368" t="s">
        <v>6</v>
      </c>
      <c r="I1368">
        <v>100000000</v>
      </c>
      <c r="J1368" t="s">
        <v>48</v>
      </c>
      <c r="K1368" t="s">
        <v>9</v>
      </c>
      <c r="L1368" t="s">
        <v>67</v>
      </c>
      <c r="M1368" t="s">
        <v>82</v>
      </c>
      <c r="N1368" t="s">
        <v>11</v>
      </c>
    </row>
    <row r="1369" spans="1:14" x14ac:dyDescent="0.35">
      <c r="A1369" s="75">
        <v>43989</v>
      </c>
      <c r="B1369" t="s">
        <v>146</v>
      </c>
      <c r="C1369" t="s">
        <v>97</v>
      </c>
      <c r="D1369">
        <v>8</v>
      </c>
      <c r="E1369">
        <v>8</v>
      </c>
      <c r="F1369" t="s">
        <v>10</v>
      </c>
      <c r="G1369" t="s">
        <v>75</v>
      </c>
      <c r="H1369" t="s">
        <v>6</v>
      </c>
      <c r="I1369">
        <v>120000000</v>
      </c>
      <c r="J1369" t="s">
        <v>63</v>
      </c>
      <c r="K1369" t="s">
        <v>5</v>
      </c>
      <c r="L1369" t="s">
        <v>67</v>
      </c>
      <c r="M1369" t="s">
        <v>80</v>
      </c>
      <c r="N1369" t="s">
        <v>14</v>
      </c>
    </row>
    <row r="1370" spans="1:14" x14ac:dyDescent="0.35">
      <c r="A1370" s="75">
        <v>43989</v>
      </c>
      <c r="B1370" t="s">
        <v>146</v>
      </c>
      <c r="C1370" t="s">
        <v>97</v>
      </c>
      <c r="D1370">
        <v>5</v>
      </c>
      <c r="E1370">
        <v>5</v>
      </c>
      <c r="F1370" t="s">
        <v>10</v>
      </c>
      <c r="G1370" t="s">
        <v>73</v>
      </c>
      <c r="H1370" t="s">
        <v>78</v>
      </c>
      <c r="I1370">
        <v>100000000</v>
      </c>
      <c r="J1370" t="s">
        <v>17</v>
      </c>
      <c r="K1370" t="s">
        <v>5</v>
      </c>
      <c r="L1370" t="s">
        <v>67</v>
      </c>
      <c r="M1370" t="s">
        <v>82</v>
      </c>
      <c r="N1370" t="s">
        <v>13</v>
      </c>
    </row>
    <row r="1371" spans="1:14" x14ac:dyDescent="0.35">
      <c r="A1371" s="75">
        <v>43989</v>
      </c>
      <c r="B1371" t="s">
        <v>146</v>
      </c>
      <c r="C1371" t="s">
        <v>97</v>
      </c>
      <c r="D1371">
        <v>4</v>
      </c>
      <c r="E1371">
        <v>4</v>
      </c>
      <c r="F1371" t="s">
        <v>10</v>
      </c>
      <c r="G1371" t="s">
        <v>73</v>
      </c>
      <c r="H1371" t="s">
        <v>78</v>
      </c>
      <c r="I1371">
        <v>120000000</v>
      </c>
      <c r="J1371" t="s">
        <v>46</v>
      </c>
      <c r="K1371" t="s">
        <v>9</v>
      </c>
      <c r="L1371" t="s">
        <v>67</v>
      </c>
      <c r="M1371" t="s">
        <v>80</v>
      </c>
      <c r="N1371" t="s">
        <v>12</v>
      </c>
    </row>
    <row r="1372" spans="1:14" x14ac:dyDescent="0.35">
      <c r="A1372" s="75">
        <v>43989</v>
      </c>
      <c r="B1372" t="s">
        <v>146</v>
      </c>
      <c r="C1372" t="s">
        <v>97</v>
      </c>
      <c r="D1372">
        <v>4</v>
      </c>
      <c r="E1372">
        <v>4</v>
      </c>
      <c r="F1372" t="s">
        <v>10</v>
      </c>
      <c r="G1372" t="s">
        <v>72</v>
      </c>
      <c r="H1372" t="s">
        <v>78</v>
      </c>
      <c r="I1372">
        <v>100000000</v>
      </c>
      <c r="J1372" t="s">
        <v>20</v>
      </c>
      <c r="K1372" t="s">
        <v>7</v>
      </c>
      <c r="L1372" t="s">
        <v>67</v>
      </c>
      <c r="M1372" t="s">
        <v>82</v>
      </c>
      <c r="N1372" t="s">
        <v>13</v>
      </c>
    </row>
    <row r="1373" spans="1:14" x14ac:dyDescent="0.35">
      <c r="A1373" s="75">
        <v>43989</v>
      </c>
      <c r="B1373" t="s">
        <v>146</v>
      </c>
      <c r="C1373" t="s">
        <v>97</v>
      </c>
      <c r="D1373">
        <v>3</v>
      </c>
      <c r="E1373">
        <v>3</v>
      </c>
      <c r="F1373" t="s">
        <v>10</v>
      </c>
      <c r="G1373" t="s">
        <v>70</v>
      </c>
      <c r="H1373" t="s">
        <v>1</v>
      </c>
      <c r="I1373">
        <v>60000000</v>
      </c>
      <c r="J1373" t="s">
        <v>42</v>
      </c>
      <c r="K1373" t="s">
        <v>5</v>
      </c>
      <c r="L1373" t="s">
        <v>67</v>
      </c>
      <c r="M1373" t="s">
        <v>80</v>
      </c>
      <c r="N1373" t="s">
        <v>11</v>
      </c>
    </row>
    <row r="1374" spans="1:14" x14ac:dyDescent="0.35">
      <c r="A1374" s="75">
        <v>43989</v>
      </c>
      <c r="B1374" t="s">
        <v>146</v>
      </c>
      <c r="C1374" t="s">
        <v>97</v>
      </c>
      <c r="D1374">
        <v>3</v>
      </c>
      <c r="E1374">
        <v>3</v>
      </c>
      <c r="F1374" t="s">
        <v>10</v>
      </c>
      <c r="G1374" t="s">
        <v>73</v>
      </c>
      <c r="H1374" t="s">
        <v>78</v>
      </c>
      <c r="I1374">
        <v>40000000</v>
      </c>
      <c r="J1374" t="s">
        <v>22</v>
      </c>
      <c r="K1374" t="s">
        <v>7</v>
      </c>
      <c r="L1374" t="s">
        <v>67</v>
      </c>
      <c r="M1374" t="s">
        <v>81</v>
      </c>
      <c r="N1374" t="s">
        <v>11</v>
      </c>
    </row>
    <row r="1375" spans="1:14" x14ac:dyDescent="0.35">
      <c r="A1375" s="75">
        <v>43989</v>
      </c>
      <c r="B1375" t="s">
        <v>146</v>
      </c>
      <c r="C1375" t="s">
        <v>97</v>
      </c>
      <c r="D1375">
        <v>3</v>
      </c>
      <c r="E1375">
        <v>3</v>
      </c>
      <c r="F1375" t="s">
        <v>10</v>
      </c>
      <c r="G1375" t="s">
        <v>74</v>
      </c>
      <c r="H1375" t="s">
        <v>77</v>
      </c>
      <c r="I1375">
        <v>60000000</v>
      </c>
      <c r="J1375" t="s">
        <v>57</v>
      </c>
      <c r="K1375" t="s">
        <v>2</v>
      </c>
      <c r="L1375" t="s">
        <v>67</v>
      </c>
      <c r="M1375" t="s">
        <v>82</v>
      </c>
      <c r="N1375" t="s">
        <v>13</v>
      </c>
    </row>
    <row r="1376" spans="1:14" x14ac:dyDescent="0.35">
      <c r="A1376" s="75">
        <v>43990</v>
      </c>
      <c r="B1376" t="s">
        <v>147</v>
      </c>
      <c r="C1376" t="s">
        <v>97</v>
      </c>
      <c r="D1376">
        <v>7</v>
      </c>
      <c r="E1376">
        <v>7</v>
      </c>
      <c r="F1376" t="s">
        <v>10</v>
      </c>
      <c r="G1376" t="s">
        <v>76</v>
      </c>
      <c r="H1376" t="s">
        <v>79</v>
      </c>
      <c r="I1376">
        <v>60000000</v>
      </c>
      <c r="J1376" t="s">
        <v>60</v>
      </c>
      <c r="K1376" t="s">
        <v>5</v>
      </c>
      <c r="L1376" t="s">
        <v>67</v>
      </c>
      <c r="M1376" t="s">
        <v>80</v>
      </c>
      <c r="N1376" t="s">
        <v>12</v>
      </c>
    </row>
    <row r="1377" spans="1:14" x14ac:dyDescent="0.35">
      <c r="A1377" s="75">
        <v>43990</v>
      </c>
      <c r="B1377" t="s">
        <v>147</v>
      </c>
      <c r="C1377" t="s">
        <v>97</v>
      </c>
      <c r="D1377">
        <v>6</v>
      </c>
      <c r="E1377">
        <v>6</v>
      </c>
      <c r="F1377" t="s">
        <v>10</v>
      </c>
      <c r="G1377" t="s">
        <v>70</v>
      </c>
      <c r="H1377" t="s">
        <v>1</v>
      </c>
      <c r="I1377">
        <v>140000000</v>
      </c>
      <c r="J1377" t="s">
        <v>53</v>
      </c>
      <c r="K1377" t="s">
        <v>5</v>
      </c>
      <c r="L1377" t="s">
        <v>67</v>
      </c>
      <c r="M1377" t="s">
        <v>81</v>
      </c>
      <c r="N1377" t="s">
        <v>13</v>
      </c>
    </row>
    <row r="1378" spans="1:14" x14ac:dyDescent="0.35">
      <c r="A1378" s="75">
        <v>43990</v>
      </c>
      <c r="B1378" t="s">
        <v>147</v>
      </c>
      <c r="C1378" t="s">
        <v>97</v>
      </c>
      <c r="D1378">
        <v>6</v>
      </c>
      <c r="E1378">
        <v>6</v>
      </c>
      <c r="F1378" t="s">
        <v>10</v>
      </c>
      <c r="G1378" t="s">
        <v>73</v>
      </c>
      <c r="H1378" t="s">
        <v>78</v>
      </c>
      <c r="I1378">
        <v>120000000</v>
      </c>
      <c r="J1378" t="s">
        <v>31</v>
      </c>
      <c r="K1378" t="s">
        <v>8</v>
      </c>
      <c r="L1378" t="s">
        <v>67</v>
      </c>
      <c r="M1378" t="s">
        <v>81</v>
      </c>
      <c r="N1378" t="s">
        <v>12</v>
      </c>
    </row>
    <row r="1379" spans="1:14" x14ac:dyDescent="0.35">
      <c r="A1379" s="75">
        <v>43990</v>
      </c>
      <c r="B1379" t="s">
        <v>147</v>
      </c>
      <c r="C1379" t="s">
        <v>97</v>
      </c>
      <c r="D1379">
        <v>6</v>
      </c>
      <c r="E1379">
        <v>6</v>
      </c>
      <c r="F1379" t="s">
        <v>10</v>
      </c>
      <c r="G1379" t="s">
        <v>71</v>
      </c>
      <c r="H1379" t="s">
        <v>6</v>
      </c>
      <c r="I1379">
        <v>80000000</v>
      </c>
      <c r="J1379" t="s">
        <v>42</v>
      </c>
      <c r="K1379" t="s">
        <v>5</v>
      </c>
      <c r="L1379" t="s">
        <v>67</v>
      </c>
      <c r="M1379" t="s">
        <v>82</v>
      </c>
      <c r="N1379" t="s">
        <v>12</v>
      </c>
    </row>
    <row r="1380" spans="1:14" x14ac:dyDescent="0.35">
      <c r="A1380" s="75">
        <v>43990</v>
      </c>
      <c r="B1380" t="s">
        <v>147</v>
      </c>
      <c r="C1380" t="s">
        <v>97</v>
      </c>
      <c r="D1380">
        <v>3</v>
      </c>
      <c r="E1380">
        <v>3</v>
      </c>
      <c r="F1380" t="s">
        <v>10</v>
      </c>
      <c r="G1380" t="s">
        <v>72</v>
      </c>
      <c r="H1380" t="s">
        <v>78</v>
      </c>
      <c r="I1380">
        <v>80000000</v>
      </c>
      <c r="J1380" t="s">
        <v>54</v>
      </c>
      <c r="K1380" t="s">
        <v>2</v>
      </c>
      <c r="L1380" t="s">
        <v>67</v>
      </c>
      <c r="M1380" t="s">
        <v>81</v>
      </c>
      <c r="N1380" t="s">
        <v>12</v>
      </c>
    </row>
    <row r="1381" spans="1:14" x14ac:dyDescent="0.35">
      <c r="A1381" s="75">
        <v>43990</v>
      </c>
      <c r="B1381" t="s">
        <v>147</v>
      </c>
      <c r="C1381" t="s">
        <v>97</v>
      </c>
      <c r="D1381">
        <v>3</v>
      </c>
      <c r="E1381">
        <v>3</v>
      </c>
      <c r="F1381" t="s">
        <v>10</v>
      </c>
      <c r="G1381" t="s">
        <v>71</v>
      </c>
      <c r="H1381" t="s">
        <v>6</v>
      </c>
      <c r="I1381">
        <v>40000000</v>
      </c>
      <c r="J1381" t="s">
        <v>64</v>
      </c>
      <c r="K1381" t="s">
        <v>2</v>
      </c>
      <c r="L1381" t="s">
        <v>67</v>
      </c>
      <c r="M1381" t="s">
        <v>81</v>
      </c>
      <c r="N1381" t="s">
        <v>12</v>
      </c>
    </row>
    <row r="1382" spans="1:14" x14ac:dyDescent="0.35">
      <c r="A1382" s="75">
        <v>43991</v>
      </c>
      <c r="B1382" t="s">
        <v>148</v>
      </c>
      <c r="C1382" t="s">
        <v>97</v>
      </c>
      <c r="D1382">
        <v>10</v>
      </c>
      <c r="E1382">
        <v>10</v>
      </c>
      <c r="F1382" t="s">
        <v>10</v>
      </c>
      <c r="G1382" t="s">
        <v>74</v>
      </c>
      <c r="H1382" t="s">
        <v>77</v>
      </c>
      <c r="I1382">
        <v>40000000</v>
      </c>
      <c r="J1382" t="s">
        <v>41</v>
      </c>
      <c r="K1382" t="s">
        <v>9</v>
      </c>
      <c r="L1382" t="s">
        <v>67</v>
      </c>
      <c r="M1382" t="s">
        <v>80</v>
      </c>
      <c r="N1382" t="s">
        <v>12</v>
      </c>
    </row>
    <row r="1383" spans="1:14" x14ac:dyDescent="0.35">
      <c r="A1383" s="75">
        <v>43991</v>
      </c>
      <c r="B1383" t="s">
        <v>148</v>
      </c>
      <c r="C1383" t="s">
        <v>97</v>
      </c>
      <c r="D1383">
        <v>8</v>
      </c>
      <c r="E1383">
        <v>8</v>
      </c>
      <c r="F1383" t="s">
        <v>10</v>
      </c>
      <c r="G1383" t="s">
        <v>70</v>
      </c>
      <c r="H1383" t="s">
        <v>1</v>
      </c>
      <c r="I1383">
        <v>100000000</v>
      </c>
      <c r="J1383" t="s">
        <v>60</v>
      </c>
      <c r="K1383" t="s">
        <v>2</v>
      </c>
      <c r="L1383" t="s">
        <v>67</v>
      </c>
      <c r="M1383" t="s">
        <v>81</v>
      </c>
      <c r="N1383" t="s">
        <v>14</v>
      </c>
    </row>
    <row r="1384" spans="1:14" x14ac:dyDescent="0.35">
      <c r="A1384" s="75">
        <v>43991</v>
      </c>
      <c r="B1384" t="s">
        <v>148</v>
      </c>
      <c r="C1384" t="s">
        <v>97</v>
      </c>
      <c r="D1384">
        <v>8</v>
      </c>
      <c r="E1384">
        <v>8</v>
      </c>
      <c r="F1384" t="s">
        <v>10</v>
      </c>
      <c r="G1384" t="s">
        <v>70</v>
      </c>
      <c r="H1384" t="s">
        <v>1</v>
      </c>
      <c r="I1384">
        <v>140000000</v>
      </c>
      <c r="J1384" t="s">
        <v>20</v>
      </c>
      <c r="K1384" t="s">
        <v>5</v>
      </c>
      <c r="L1384" t="s">
        <v>67</v>
      </c>
      <c r="M1384" t="s">
        <v>82</v>
      </c>
      <c r="N1384" t="s">
        <v>12</v>
      </c>
    </row>
    <row r="1385" spans="1:14" x14ac:dyDescent="0.35">
      <c r="A1385" s="75">
        <v>43991</v>
      </c>
      <c r="B1385" t="s">
        <v>148</v>
      </c>
      <c r="C1385" t="s">
        <v>97</v>
      </c>
      <c r="D1385">
        <v>5</v>
      </c>
      <c r="E1385">
        <v>5</v>
      </c>
      <c r="F1385" t="s">
        <v>10</v>
      </c>
      <c r="G1385" t="s">
        <v>73</v>
      </c>
      <c r="H1385" t="s">
        <v>78</v>
      </c>
      <c r="I1385">
        <v>120000000</v>
      </c>
      <c r="J1385" t="s">
        <v>29</v>
      </c>
      <c r="K1385" t="s">
        <v>2</v>
      </c>
      <c r="L1385" t="s">
        <v>67</v>
      </c>
      <c r="M1385" t="s">
        <v>80</v>
      </c>
      <c r="N1385" t="s">
        <v>11</v>
      </c>
    </row>
    <row r="1386" spans="1:14" x14ac:dyDescent="0.35">
      <c r="A1386" s="75">
        <v>43991</v>
      </c>
      <c r="B1386" t="s">
        <v>148</v>
      </c>
      <c r="C1386" t="s">
        <v>97</v>
      </c>
      <c r="D1386">
        <v>4</v>
      </c>
      <c r="E1386">
        <v>4</v>
      </c>
      <c r="F1386" t="s">
        <v>10</v>
      </c>
      <c r="G1386" t="s">
        <v>74</v>
      </c>
      <c r="H1386" t="s">
        <v>77</v>
      </c>
      <c r="I1386">
        <v>100000000</v>
      </c>
      <c r="J1386" t="s">
        <v>39</v>
      </c>
      <c r="K1386" t="s">
        <v>2</v>
      </c>
      <c r="L1386" t="s">
        <v>67</v>
      </c>
      <c r="M1386" t="s">
        <v>82</v>
      </c>
      <c r="N1386" t="s">
        <v>11</v>
      </c>
    </row>
    <row r="1387" spans="1:14" x14ac:dyDescent="0.35">
      <c r="A1387" s="75">
        <v>43992</v>
      </c>
      <c r="B1387" t="s">
        <v>149</v>
      </c>
      <c r="C1387" t="s">
        <v>97</v>
      </c>
      <c r="D1387">
        <v>9</v>
      </c>
      <c r="E1387">
        <v>5</v>
      </c>
      <c r="F1387">
        <v>4</v>
      </c>
      <c r="G1387" t="s">
        <v>113</v>
      </c>
      <c r="H1387" t="s">
        <v>77</v>
      </c>
      <c r="I1387">
        <v>80000000</v>
      </c>
      <c r="J1387" t="s">
        <v>52</v>
      </c>
      <c r="K1387" t="s">
        <v>5</v>
      </c>
      <c r="L1387" t="s">
        <v>67</v>
      </c>
      <c r="M1387" t="s">
        <v>81</v>
      </c>
      <c r="N1387" t="s">
        <v>13</v>
      </c>
    </row>
    <row r="1388" spans="1:14" x14ac:dyDescent="0.35">
      <c r="A1388" s="75">
        <v>43992</v>
      </c>
      <c r="B1388" t="s">
        <v>149</v>
      </c>
      <c r="C1388" t="s">
        <v>97</v>
      </c>
      <c r="D1388">
        <v>8</v>
      </c>
      <c r="E1388">
        <v>4</v>
      </c>
      <c r="F1388">
        <v>4</v>
      </c>
      <c r="G1388" t="s">
        <v>72</v>
      </c>
      <c r="H1388" t="s">
        <v>78</v>
      </c>
      <c r="I1388">
        <v>100000000</v>
      </c>
      <c r="J1388" t="s">
        <v>56</v>
      </c>
      <c r="K1388" t="s">
        <v>2</v>
      </c>
      <c r="L1388" t="s">
        <v>67</v>
      </c>
      <c r="M1388" t="s">
        <v>81</v>
      </c>
      <c r="N1388" t="s">
        <v>12</v>
      </c>
    </row>
    <row r="1389" spans="1:14" x14ac:dyDescent="0.35">
      <c r="A1389" s="75">
        <v>43992</v>
      </c>
      <c r="B1389" t="s">
        <v>149</v>
      </c>
      <c r="C1389" t="s">
        <v>97</v>
      </c>
      <c r="D1389">
        <v>8</v>
      </c>
      <c r="E1389">
        <v>4</v>
      </c>
      <c r="F1389">
        <v>4</v>
      </c>
      <c r="G1389" t="s">
        <v>76</v>
      </c>
      <c r="H1389" t="s">
        <v>79</v>
      </c>
      <c r="I1389">
        <v>60000000</v>
      </c>
      <c r="J1389" t="s">
        <v>32</v>
      </c>
      <c r="K1389" t="s">
        <v>5</v>
      </c>
      <c r="L1389" t="s">
        <v>67</v>
      </c>
      <c r="M1389" t="s">
        <v>81</v>
      </c>
      <c r="N1389" t="s">
        <v>11</v>
      </c>
    </row>
    <row r="1390" spans="1:14" x14ac:dyDescent="0.35">
      <c r="A1390" s="75">
        <v>43992</v>
      </c>
      <c r="B1390" t="s">
        <v>149</v>
      </c>
      <c r="C1390" t="s">
        <v>97</v>
      </c>
      <c r="D1390">
        <v>5</v>
      </c>
      <c r="E1390">
        <v>3</v>
      </c>
      <c r="F1390">
        <v>2</v>
      </c>
      <c r="G1390" t="s">
        <v>113</v>
      </c>
      <c r="H1390" t="s">
        <v>77</v>
      </c>
      <c r="I1390">
        <v>40000000</v>
      </c>
      <c r="J1390" t="s">
        <v>23</v>
      </c>
      <c r="K1390" t="s">
        <v>7</v>
      </c>
      <c r="L1390" t="s">
        <v>67</v>
      </c>
      <c r="M1390" t="s">
        <v>80</v>
      </c>
      <c r="N1390" t="s">
        <v>11</v>
      </c>
    </row>
    <row r="1391" spans="1:14" x14ac:dyDescent="0.35">
      <c r="A1391" s="75">
        <v>43992</v>
      </c>
      <c r="B1391" t="s">
        <v>149</v>
      </c>
      <c r="C1391" t="s">
        <v>97</v>
      </c>
      <c r="D1391">
        <v>5</v>
      </c>
      <c r="E1391">
        <v>4</v>
      </c>
      <c r="F1391">
        <v>1</v>
      </c>
      <c r="G1391" t="s">
        <v>113</v>
      </c>
      <c r="H1391" t="s">
        <v>77</v>
      </c>
      <c r="I1391">
        <v>60000000</v>
      </c>
      <c r="J1391" t="s">
        <v>64</v>
      </c>
      <c r="K1391" t="s">
        <v>5</v>
      </c>
      <c r="L1391" t="s">
        <v>67</v>
      </c>
      <c r="M1391" t="s">
        <v>80</v>
      </c>
      <c r="N1391" t="s">
        <v>14</v>
      </c>
    </row>
    <row r="1392" spans="1:14" x14ac:dyDescent="0.35">
      <c r="A1392" s="75">
        <v>43992</v>
      </c>
      <c r="B1392" t="s">
        <v>149</v>
      </c>
      <c r="C1392" t="s">
        <v>97</v>
      </c>
      <c r="D1392">
        <v>5</v>
      </c>
      <c r="E1392">
        <v>3</v>
      </c>
      <c r="F1392">
        <v>2</v>
      </c>
      <c r="G1392" t="s">
        <v>71</v>
      </c>
      <c r="H1392" t="s">
        <v>6</v>
      </c>
      <c r="I1392">
        <v>140000000</v>
      </c>
      <c r="J1392" t="s">
        <v>49</v>
      </c>
      <c r="K1392" t="s">
        <v>5</v>
      </c>
      <c r="L1392" t="s">
        <v>67</v>
      </c>
      <c r="M1392" t="s">
        <v>81</v>
      </c>
      <c r="N1392" t="s">
        <v>13</v>
      </c>
    </row>
    <row r="1393" spans="1:14" x14ac:dyDescent="0.35">
      <c r="A1393" s="75">
        <v>43992</v>
      </c>
      <c r="B1393" t="s">
        <v>149</v>
      </c>
      <c r="C1393" t="s">
        <v>97</v>
      </c>
      <c r="D1393">
        <v>4</v>
      </c>
      <c r="E1393">
        <v>2</v>
      </c>
      <c r="F1393">
        <v>2</v>
      </c>
      <c r="G1393" t="s">
        <v>74</v>
      </c>
      <c r="H1393" t="s">
        <v>77</v>
      </c>
      <c r="I1393">
        <v>140000000</v>
      </c>
      <c r="J1393" t="s">
        <v>32</v>
      </c>
      <c r="K1393" t="s">
        <v>2</v>
      </c>
      <c r="L1393" t="s">
        <v>67</v>
      </c>
      <c r="M1393" t="s">
        <v>82</v>
      </c>
      <c r="N1393" t="s">
        <v>14</v>
      </c>
    </row>
    <row r="1394" spans="1:14" x14ac:dyDescent="0.35">
      <c r="A1394" s="75">
        <v>43992</v>
      </c>
      <c r="B1394" t="s">
        <v>149</v>
      </c>
      <c r="C1394" t="s">
        <v>97</v>
      </c>
      <c r="D1394">
        <v>4</v>
      </c>
      <c r="E1394">
        <v>3</v>
      </c>
      <c r="F1394">
        <v>1</v>
      </c>
      <c r="G1394" t="s">
        <v>70</v>
      </c>
      <c r="H1394" t="s">
        <v>1</v>
      </c>
      <c r="I1394">
        <v>40000000</v>
      </c>
      <c r="J1394" t="s">
        <v>55</v>
      </c>
      <c r="K1394" t="s">
        <v>5</v>
      </c>
      <c r="L1394" t="s">
        <v>67</v>
      </c>
      <c r="M1394" t="s">
        <v>81</v>
      </c>
      <c r="N1394" t="s">
        <v>12</v>
      </c>
    </row>
    <row r="1395" spans="1:14" x14ac:dyDescent="0.35">
      <c r="A1395" s="75">
        <v>43993</v>
      </c>
      <c r="B1395" t="s">
        <v>150</v>
      </c>
      <c r="C1395" t="s">
        <v>97</v>
      </c>
      <c r="D1395">
        <v>10</v>
      </c>
      <c r="E1395">
        <v>6</v>
      </c>
      <c r="F1395">
        <v>4</v>
      </c>
      <c r="G1395" t="s">
        <v>71</v>
      </c>
      <c r="H1395" t="s">
        <v>6</v>
      </c>
      <c r="I1395">
        <v>60000000</v>
      </c>
      <c r="J1395" t="s">
        <v>16</v>
      </c>
      <c r="K1395" t="s">
        <v>5</v>
      </c>
      <c r="L1395" t="s">
        <v>67</v>
      </c>
      <c r="M1395" t="s">
        <v>80</v>
      </c>
      <c r="N1395" t="s">
        <v>12</v>
      </c>
    </row>
    <row r="1396" spans="1:14" x14ac:dyDescent="0.35">
      <c r="A1396" s="75">
        <v>43993</v>
      </c>
      <c r="B1396" t="s">
        <v>150</v>
      </c>
      <c r="C1396" t="s">
        <v>97</v>
      </c>
      <c r="D1396">
        <v>10</v>
      </c>
      <c r="E1396">
        <v>6</v>
      </c>
      <c r="F1396">
        <v>4</v>
      </c>
      <c r="G1396" t="s">
        <v>74</v>
      </c>
      <c r="H1396" t="s">
        <v>77</v>
      </c>
      <c r="I1396">
        <v>100000000</v>
      </c>
      <c r="J1396" t="s">
        <v>45</v>
      </c>
      <c r="K1396" t="s">
        <v>2</v>
      </c>
      <c r="L1396" t="s">
        <v>67</v>
      </c>
      <c r="M1396" t="s">
        <v>80</v>
      </c>
      <c r="N1396" t="s">
        <v>14</v>
      </c>
    </row>
    <row r="1397" spans="1:14" x14ac:dyDescent="0.35">
      <c r="A1397" s="75">
        <v>43993</v>
      </c>
      <c r="B1397" t="s">
        <v>150</v>
      </c>
      <c r="C1397" t="s">
        <v>97</v>
      </c>
      <c r="D1397">
        <v>9</v>
      </c>
      <c r="E1397">
        <v>7</v>
      </c>
      <c r="F1397">
        <v>2</v>
      </c>
      <c r="G1397" t="s">
        <v>72</v>
      </c>
      <c r="H1397" t="s">
        <v>78</v>
      </c>
      <c r="I1397">
        <v>60000000</v>
      </c>
      <c r="J1397" t="s">
        <v>43</v>
      </c>
      <c r="K1397" t="s">
        <v>7</v>
      </c>
      <c r="L1397" t="s">
        <v>67</v>
      </c>
      <c r="M1397" t="s">
        <v>82</v>
      </c>
      <c r="N1397" t="s">
        <v>12</v>
      </c>
    </row>
    <row r="1398" spans="1:14" x14ac:dyDescent="0.35">
      <c r="A1398" s="75">
        <v>43993</v>
      </c>
      <c r="B1398" t="s">
        <v>150</v>
      </c>
      <c r="C1398" t="s">
        <v>97</v>
      </c>
      <c r="D1398">
        <v>9</v>
      </c>
      <c r="E1398">
        <v>5</v>
      </c>
      <c r="F1398">
        <v>4</v>
      </c>
      <c r="G1398" t="s">
        <v>72</v>
      </c>
      <c r="H1398" t="s">
        <v>78</v>
      </c>
      <c r="I1398">
        <v>100000000</v>
      </c>
      <c r="J1398" t="s">
        <v>58</v>
      </c>
      <c r="K1398" t="s">
        <v>2</v>
      </c>
      <c r="L1398" t="s">
        <v>67</v>
      </c>
      <c r="M1398" t="s">
        <v>80</v>
      </c>
      <c r="N1398" t="s">
        <v>13</v>
      </c>
    </row>
    <row r="1399" spans="1:14" x14ac:dyDescent="0.35">
      <c r="A1399" s="75">
        <v>43993</v>
      </c>
      <c r="B1399" t="s">
        <v>150</v>
      </c>
      <c r="C1399" t="s">
        <v>97</v>
      </c>
      <c r="D1399">
        <v>9</v>
      </c>
      <c r="E1399">
        <v>6</v>
      </c>
      <c r="F1399">
        <v>3</v>
      </c>
      <c r="G1399" t="s">
        <v>74</v>
      </c>
      <c r="H1399" t="s">
        <v>77</v>
      </c>
      <c r="I1399">
        <v>100000000</v>
      </c>
      <c r="J1399" t="s">
        <v>22</v>
      </c>
      <c r="K1399" t="s">
        <v>2</v>
      </c>
      <c r="L1399" t="s">
        <v>67</v>
      </c>
      <c r="M1399" t="s">
        <v>81</v>
      </c>
      <c r="N1399" t="s">
        <v>13</v>
      </c>
    </row>
    <row r="1400" spans="1:14" x14ac:dyDescent="0.35">
      <c r="A1400" s="75">
        <v>43993</v>
      </c>
      <c r="B1400" t="s">
        <v>150</v>
      </c>
      <c r="C1400" t="s">
        <v>97</v>
      </c>
      <c r="D1400">
        <v>8</v>
      </c>
      <c r="E1400">
        <v>5</v>
      </c>
      <c r="F1400">
        <v>3</v>
      </c>
      <c r="G1400" t="s">
        <v>71</v>
      </c>
      <c r="H1400" t="s">
        <v>6</v>
      </c>
      <c r="I1400">
        <v>100000000</v>
      </c>
      <c r="J1400" t="s">
        <v>40</v>
      </c>
      <c r="K1400" t="s">
        <v>2</v>
      </c>
      <c r="L1400" t="s">
        <v>67</v>
      </c>
      <c r="M1400" t="s">
        <v>81</v>
      </c>
      <c r="N1400" t="s">
        <v>11</v>
      </c>
    </row>
    <row r="1401" spans="1:14" x14ac:dyDescent="0.35">
      <c r="A1401" s="75">
        <v>43993</v>
      </c>
      <c r="B1401" t="s">
        <v>150</v>
      </c>
      <c r="C1401" t="s">
        <v>97</v>
      </c>
      <c r="D1401">
        <v>8</v>
      </c>
      <c r="E1401">
        <v>5</v>
      </c>
      <c r="F1401">
        <v>3</v>
      </c>
      <c r="G1401" t="s">
        <v>73</v>
      </c>
      <c r="H1401" t="s">
        <v>78</v>
      </c>
      <c r="I1401">
        <v>80000000</v>
      </c>
      <c r="J1401" t="s">
        <v>27</v>
      </c>
      <c r="K1401" t="s">
        <v>5</v>
      </c>
      <c r="L1401" t="s">
        <v>67</v>
      </c>
      <c r="M1401" t="s">
        <v>82</v>
      </c>
      <c r="N1401" t="s">
        <v>14</v>
      </c>
    </row>
    <row r="1402" spans="1:14" x14ac:dyDescent="0.35">
      <c r="A1402" s="75">
        <v>43993</v>
      </c>
      <c r="B1402" t="s">
        <v>150</v>
      </c>
      <c r="C1402" t="s">
        <v>97</v>
      </c>
      <c r="D1402">
        <v>7</v>
      </c>
      <c r="E1402">
        <v>4</v>
      </c>
      <c r="F1402">
        <v>3</v>
      </c>
      <c r="G1402" t="s">
        <v>76</v>
      </c>
      <c r="H1402" t="s">
        <v>79</v>
      </c>
      <c r="I1402">
        <v>40000000</v>
      </c>
      <c r="J1402" t="s">
        <v>24</v>
      </c>
      <c r="K1402" t="s">
        <v>2</v>
      </c>
      <c r="L1402" t="s">
        <v>67</v>
      </c>
      <c r="M1402" t="s">
        <v>80</v>
      </c>
      <c r="N1402" t="s">
        <v>14</v>
      </c>
    </row>
    <row r="1403" spans="1:14" x14ac:dyDescent="0.35">
      <c r="A1403" s="75">
        <v>43993</v>
      </c>
      <c r="B1403" t="s">
        <v>150</v>
      </c>
      <c r="C1403" t="s">
        <v>97</v>
      </c>
      <c r="D1403">
        <v>7</v>
      </c>
      <c r="E1403">
        <v>5</v>
      </c>
      <c r="F1403">
        <v>2</v>
      </c>
      <c r="G1403" t="s">
        <v>76</v>
      </c>
      <c r="H1403" t="s">
        <v>79</v>
      </c>
      <c r="I1403">
        <v>100000000</v>
      </c>
      <c r="J1403" t="s">
        <v>23</v>
      </c>
      <c r="K1403" t="s">
        <v>8</v>
      </c>
      <c r="L1403" t="s">
        <v>67</v>
      </c>
      <c r="M1403" t="s">
        <v>81</v>
      </c>
      <c r="N1403" t="s">
        <v>14</v>
      </c>
    </row>
    <row r="1404" spans="1:14" x14ac:dyDescent="0.35">
      <c r="A1404" s="75">
        <v>43993</v>
      </c>
      <c r="B1404" t="s">
        <v>150</v>
      </c>
      <c r="C1404" t="s">
        <v>97</v>
      </c>
      <c r="D1404">
        <v>4</v>
      </c>
      <c r="E1404">
        <v>3</v>
      </c>
      <c r="F1404">
        <v>1</v>
      </c>
      <c r="G1404" t="s">
        <v>71</v>
      </c>
      <c r="H1404" t="s">
        <v>6</v>
      </c>
      <c r="I1404">
        <v>60000000</v>
      </c>
      <c r="J1404" t="s">
        <v>30</v>
      </c>
      <c r="K1404" t="s">
        <v>2</v>
      </c>
      <c r="L1404" t="s">
        <v>67</v>
      </c>
      <c r="M1404" t="s">
        <v>82</v>
      </c>
      <c r="N1404" t="s">
        <v>13</v>
      </c>
    </row>
    <row r="1405" spans="1:14" x14ac:dyDescent="0.35">
      <c r="A1405" s="75">
        <v>43993</v>
      </c>
      <c r="B1405" t="s">
        <v>150</v>
      </c>
      <c r="C1405" t="s">
        <v>97</v>
      </c>
      <c r="D1405">
        <v>3</v>
      </c>
      <c r="E1405">
        <v>1</v>
      </c>
      <c r="F1405">
        <v>2</v>
      </c>
      <c r="G1405" t="s">
        <v>75</v>
      </c>
      <c r="H1405" t="s">
        <v>6</v>
      </c>
      <c r="I1405">
        <v>80000000</v>
      </c>
      <c r="J1405" t="s">
        <v>34</v>
      </c>
      <c r="K1405" t="s">
        <v>2</v>
      </c>
      <c r="L1405" t="s">
        <v>67</v>
      </c>
      <c r="M1405" t="s">
        <v>80</v>
      </c>
      <c r="N1405" t="s">
        <v>11</v>
      </c>
    </row>
    <row r="1406" spans="1:14" x14ac:dyDescent="0.35">
      <c r="A1406" s="75">
        <v>43994</v>
      </c>
      <c r="B1406" t="s">
        <v>151</v>
      </c>
      <c r="C1406" t="s">
        <v>97</v>
      </c>
      <c r="D1406">
        <v>8</v>
      </c>
      <c r="E1406">
        <v>7</v>
      </c>
      <c r="F1406">
        <v>1</v>
      </c>
      <c r="G1406" t="s">
        <v>76</v>
      </c>
      <c r="H1406" t="s">
        <v>79</v>
      </c>
      <c r="I1406">
        <v>140000000</v>
      </c>
      <c r="J1406" t="s">
        <v>64</v>
      </c>
      <c r="K1406" t="s">
        <v>5</v>
      </c>
      <c r="L1406" t="s">
        <v>67</v>
      </c>
      <c r="M1406" t="s">
        <v>81</v>
      </c>
      <c r="N1406" t="s">
        <v>13</v>
      </c>
    </row>
    <row r="1407" spans="1:14" x14ac:dyDescent="0.35">
      <c r="A1407" s="75">
        <v>43994</v>
      </c>
      <c r="B1407" t="s">
        <v>151</v>
      </c>
      <c r="C1407" t="s">
        <v>97</v>
      </c>
      <c r="D1407">
        <v>8</v>
      </c>
      <c r="E1407">
        <v>6</v>
      </c>
      <c r="F1407">
        <v>2</v>
      </c>
      <c r="G1407" t="s">
        <v>75</v>
      </c>
      <c r="H1407" t="s">
        <v>6</v>
      </c>
      <c r="I1407">
        <v>80000000</v>
      </c>
      <c r="J1407" t="s">
        <v>23</v>
      </c>
      <c r="K1407" t="s">
        <v>8</v>
      </c>
      <c r="L1407" t="s">
        <v>67</v>
      </c>
      <c r="M1407" t="s">
        <v>81</v>
      </c>
      <c r="N1407" t="s">
        <v>12</v>
      </c>
    </row>
    <row r="1408" spans="1:14" x14ac:dyDescent="0.35">
      <c r="A1408" s="75">
        <v>43994</v>
      </c>
      <c r="B1408" t="s">
        <v>151</v>
      </c>
      <c r="C1408" t="s">
        <v>97</v>
      </c>
      <c r="D1408">
        <v>7</v>
      </c>
      <c r="E1408">
        <v>4</v>
      </c>
      <c r="F1408">
        <v>3</v>
      </c>
      <c r="G1408" t="s">
        <v>70</v>
      </c>
      <c r="H1408" t="s">
        <v>1</v>
      </c>
      <c r="I1408">
        <v>40000000</v>
      </c>
      <c r="J1408" t="s">
        <v>36</v>
      </c>
      <c r="K1408" t="s">
        <v>5</v>
      </c>
      <c r="L1408" t="s">
        <v>67</v>
      </c>
      <c r="M1408" t="s">
        <v>82</v>
      </c>
      <c r="N1408" t="s">
        <v>11</v>
      </c>
    </row>
    <row r="1409" spans="1:14" x14ac:dyDescent="0.35">
      <c r="A1409" s="75">
        <v>43994</v>
      </c>
      <c r="B1409" t="s">
        <v>151</v>
      </c>
      <c r="C1409" t="s">
        <v>97</v>
      </c>
      <c r="D1409">
        <v>6</v>
      </c>
      <c r="E1409">
        <v>5</v>
      </c>
      <c r="F1409">
        <v>1</v>
      </c>
      <c r="G1409" t="s">
        <v>74</v>
      </c>
      <c r="H1409" t="s">
        <v>77</v>
      </c>
      <c r="I1409">
        <v>80000000</v>
      </c>
      <c r="J1409" t="s">
        <v>50</v>
      </c>
      <c r="K1409" t="s">
        <v>2</v>
      </c>
      <c r="L1409" t="s">
        <v>67</v>
      </c>
      <c r="M1409" t="s">
        <v>82</v>
      </c>
      <c r="N1409" t="s">
        <v>11</v>
      </c>
    </row>
    <row r="1410" spans="1:14" x14ac:dyDescent="0.35">
      <c r="A1410" s="75">
        <v>43994</v>
      </c>
      <c r="B1410" t="s">
        <v>151</v>
      </c>
      <c r="C1410" t="s">
        <v>97</v>
      </c>
      <c r="D1410">
        <v>4</v>
      </c>
      <c r="E1410">
        <v>2</v>
      </c>
      <c r="F1410">
        <v>2</v>
      </c>
      <c r="G1410" t="s">
        <v>114</v>
      </c>
      <c r="H1410" t="s">
        <v>3</v>
      </c>
      <c r="I1410">
        <v>140000000</v>
      </c>
      <c r="J1410" t="s">
        <v>41</v>
      </c>
      <c r="K1410" t="s">
        <v>2</v>
      </c>
      <c r="L1410" t="s">
        <v>67</v>
      </c>
      <c r="M1410" t="s">
        <v>81</v>
      </c>
      <c r="N1410" t="s">
        <v>13</v>
      </c>
    </row>
    <row r="1411" spans="1:14" x14ac:dyDescent="0.35">
      <c r="A1411" s="75">
        <v>43994</v>
      </c>
      <c r="B1411" t="s">
        <v>151</v>
      </c>
      <c r="C1411" t="s">
        <v>97</v>
      </c>
      <c r="D1411">
        <v>3</v>
      </c>
      <c r="E1411">
        <v>2</v>
      </c>
      <c r="F1411">
        <v>1</v>
      </c>
      <c r="G1411" t="s">
        <v>73</v>
      </c>
      <c r="H1411" t="s">
        <v>78</v>
      </c>
      <c r="I1411">
        <v>140000000</v>
      </c>
      <c r="J1411" t="s">
        <v>18</v>
      </c>
      <c r="K1411" t="s">
        <v>2</v>
      </c>
      <c r="L1411" t="s">
        <v>67</v>
      </c>
      <c r="M1411" t="s">
        <v>80</v>
      </c>
      <c r="N1411" t="s">
        <v>12</v>
      </c>
    </row>
    <row r="1412" spans="1:14" x14ac:dyDescent="0.35">
      <c r="A1412" s="75">
        <v>43995</v>
      </c>
      <c r="B1412" t="s">
        <v>152</v>
      </c>
      <c r="C1412" t="s">
        <v>97</v>
      </c>
      <c r="D1412">
        <v>9</v>
      </c>
      <c r="E1412">
        <v>8</v>
      </c>
      <c r="F1412">
        <v>1</v>
      </c>
      <c r="G1412" t="s">
        <v>114</v>
      </c>
      <c r="H1412" t="s">
        <v>3</v>
      </c>
      <c r="I1412">
        <v>80000000</v>
      </c>
      <c r="J1412" t="s">
        <v>48</v>
      </c>
      <c r="K1412" t="s">
        <v>2</v>
      </c>
      <c r="L1412" t="s">
        <v>67</v>
      </c>
      <c r="M1412" t="s">
        <v>82</v>
      </c>
      <c r="N1412" t="s">
        <v>11</v>
      </c>
    </row>
    <row r="1413" spans="1:14" x14ac:dyDescent="0.35">
      <c r="A1413" s="75">
        <v>43995</v>
      </c>
      <c r="B1413" t="s">
        <v>152</v>
      </c>
      <c r="C1413" t="s">
        <v>97</v>
      </c>
      <c r="D1413">
        <v>9</v>
      </c>
      <c r="E1413">
        <v>8</v>
      </c>
      <c r="F1413">
        <v>1</v>
      </c>
      <c r="G1413" t="s">
        <v>72</v>
      </c>
      <c r="H1413" t="s">
        <v>78</v>
      </c>
      <c r="I1413">
        <v>80000000</v>
      </c>
      <c r="J1413" t="s">
        <v>27</v>
      </c>
      <c r="K1413" t="s">
        <v>5</v>
      </c>
      <c r="L1413" t="s">
        <v>67</v>
      </c>
      <c r="M1413" t="s">
        <v>82</v>
      </c>
      <c r="N1413" t="s">
        <v>14</v>
      </c>
    </row>
    <row r="1414" spans="1:14" x14ac:dyDescent="0.35">
      <c r="A1414" s="75">
        <v>43995</v>
      </c>
      <c r="B1414" t="s">
        <v>152</v>
      </c>
      <c r="C1414" t="s">
        <v>97</v>
      </c>
      <c r="D1414">
        <v>6</v>
      </c>
      <c r="E1414">
        <v>4</v>
      </c>
      <c r="F1414">
        <v>2</v>
      </c>
      <c r="G1414" t="s">
        <v>76</v>
      </c>
      <c r="H1414" t="s">
        <v>79</v>
      </c>
      <c r="I1414">
        <v>80000000</v>
      </c>
      <c r="J1414" t="s">
        <v>43</v>
      </c>
      <c r="K1414" t="s">
        <v>5</v>
      </c>
      <c r="L1414" t="s">
        <v>67</v>
      </c>
      <c r="M1414" t="s">
        <v>80</v>
      </c>
      <c r="N1414" t="s">
        <v>13</v>
      </c>
    </row>
    <row r="1415" spans="1:14" x14ac:dyDescent="0.35">
      <c r="A1415" s="75">
        <v>43995</v>
      </c>
      <c r="B1415" t="s">
        <v>152</v>
      </c>
      <c r="C1415" t="s">
        <v>97</v>
      </c>
      <c r="D1415">
        <v>5</v>
      </c>
      <c r="E1415">
        <v>4</v>
      </c>
      <c r="F1415">
        <v>1</v>
      </c>
      <c r="G1415" t="s">
        <v>70</v>
      </c>
      <c r="H1415" t="s">
        <v>1</v>
      </c>
      <c r="I1415">
        <v>60000000</v>
      </c>
      <c r="J1415" t="s">
        <v>19</v>
      </c>
      <c r="K1415" t="s">
        <v>2</v>
      </c>
      <c r="L1415" t="s">
        <v>67</v>
      </c>
      <c r="M1415" t="s">
        <v>81</v>
      </c>
      <c r="N1415" t="s">
        <v>13</v>
      </c>
    </row>
    <row r="1416" spans="1:14" x14ac:dyDescent="0.35">
      <c r="A1416" s="75">
        <v>43995</v>
      </c>
      <c r="B1416" t="s">
        <v>152</v>
      </c>
      <c r="C1416" t="s">
        <v>97</v>
      </c>
      <c r="D1416">
        <v>4</v>
      </c>
      <c r="E1416">
        <v>3</v>
      </c>
      <c r="F1416">
        <v>1</v>
      </c>
      <c r="G1416" t="s">
        <v>73</v>
      </c>
      <c r="H1416" t="s">
        <v>78</v>
      </c>
      <c r="I1416">
        <v>60000000</v>
      </c>
      <c r="J1416" t="s">
        <v>29</v>
      </c>
      <c r="K1416" t="s">
        <v>2</v>
      </c>
      <c r="L1416" t="s">
        <v>67</v>
      </c>
      <c r="M1416" t="s">
        <v>80</v>
      </c>
      <c r="N1416" t="s">
        <v>12</v>
      </c>
    </row>
    <row r="1417" spans="1:14" x14ac:dyDescent="0.35">
      <c r="A1417" s="75">
        <v>43995</v>
      </c>
      <c r="B1417" t="s">
        <v>152</v>
      </c>
      <c r="C1417" t="s">
        <v>97</v>
      </c>
      <c r="D1417">
        <v>3</v>
      </c>
      <c r="E1417">
        <v>2</v>
      </c>
      <c r="F1417">
        <v>1</v>
      </c>
      <c r="G1417" t="s">
        <v>70</v>
      </c>
      <c r="H1417" t="s">
        <v>1</v>
      </c>
      <c r="I1417">
        <v>60000000</v>
      </c>
      <c r="J1417" t="s">
        <v>39</v>
      </c>
      <c r="K1417" t="s">
        <v>2</v>
      </c>
      <c r="L1417" t="s">
        <v>67</v>
      </c>
      <c r="M1417" t="s">
        <v>80</v>
      </c>
      <c r="N1417" t="s">
        <v>14</v>
      </c>
    </row>
    <row r="1418" spans="1:14" x14ac:dyDescent="0.35">
      <c r="A1418" s="75">
        <v>43995</v>
      </c>
      <c r="B1418" t="s">
        <v>152</v>
      </c>
      <c r="C1418" t="s">
        <v>97</v>
      </c>
      <c r="D1418">
        <v>3</v>
      </c>
      <c r="E1418">
        <v>2</v>
      </c>
      <c r="F1418">
        <v>1</v>
      </c>
      <c r="G1418" t="s">
        <v>76</v>
      </c>
      <c r="H1418" t="s">
        <v>79</v>
      </c>
      <c r="I1418">
        <v>120000000</v>
      </c>
      <c r="J1418" t="s">
        <v>51</v>
      </c>
      <c r="K1418" t="s">
        <v>7</v>
      </c>
      <c r="L1418" t="s">
        <v>67</v>
      </c>
      <c r="M1418" t="s">
        <v>81</v>
      </c>
      <c r="N1418" t="s">
        <v>13</v>
      </c>
    </row>
    <row r="1419" spans="1:14" x14ac:dyDescent="0.35">
      <c r="A1419" s="75">
        <v>43996</v>
      </c>
      <c r="B1419" t="s">
        <v>153</v>
      </c>
      <c r="C1419" t="s">
        <v>97</v>
      </c>
      <c r="D1419">
        <v>10</v>
      </c>
      <c r="E1419">
        <v>7</v>
      </c>
      <c r="F1419">
        <v>3</v>
      </c>
      <c r="G1419" t="s">
        <v>71</v>
      </c>
      <c r="H1419" t="s">
        <v>6</v>
      </c>
      <c r="I1419">
        <v>100000000</v>
      </c>
      <c r="J1419" t="s">
        <v>63</v>
      </c>
      <c r="K1419" t="s">
        <v>2</v>
      </c>
      <c r="L1419" t="s">
        <v>67</v>
      </c>
      <c r="M1419" t="s">
        <v>81</v>
      </c>
      <c r="N1419" t="s">
        <v>11</v>
      </c>
    </row>
    <row r="1420" spans="1:14" x14ac:dyDescent="0.35">
      <c r="A1420" s="75">
        <v>43996</v>
      </c>
      <c r="B1420" t="s">
        <v>153</v>
      </c>
      <c r="C1420" t="s">
        <v>97</v>
      </c>
      <c r="D1420">
        <v>9</v>
      </c>
      <c r="E1420">
        <v>5</v>
      </c>
      <c r="F1420">
        <v>4</v>
      </c>
      <c r="G1420" t="s">
        <v>70</v>
      </c>
      <c r="H1420" t="s">
        <v>1</v>
      </c>
      <c r="I1420">
        <v>120000000</v>
      </c>
      <c r="J1420" t="s">
        <v>46</v>
      </c>
      <c r="K1420" t="s">
        <v>2</v>
      </c>
      <c r="L1420" t="s">
        <v>67</v>
      </c>
      <c r="M1420" t="s">
        <v>80</v>
      </c>
      <c r="N1420" t="s">
        <v>11</v>
      </c>
    </row>
    <row r="1421" spans="1:14" x14ac:dyDescent="0.35">
      <c r="A1421" s="75">
        <v>43996</v>
      </c>
      <c r="B1421" t="s">
        <v>153</v>
      </c>
      <c r="C1421" t="s">
        <v>97</v>
      </c>
      <c r="D1421">
        <v>6</v>
      </c>
      <c r="E1421">
        <v>5</v>
      </c>
      <c r="F1421">
        <v>1</v>
      </c>
      <c r="G1421" t="s">
        <v>114</v>
      </c>
      <c r="H1421" t="s">
        <v>3</v>
      </c>
      <c r="I1421">
        <v>60000000</v>
      </c>
      <c r="J1421" t="s">
        <v>64</v>
      </c>
      <c r="K1421" t="s">
        <v>8</v>
      </c>
      <c r="L1421" t="s">
        <v>67</v>
      </c>
      <c r="M1421" t="s">
        <v>80</v>
      </c>
      <c r="N1421" t="s">
        <v>13</v>
      </c>
    </row>
    <row r="1422" spans="1:14" x14ac:dyDescent="0.35">
      <c r="A1422" s="75">
        <v>43996</v>
      </c>
      <c r="B1422" t="s">
        <v>153</v>
      </c>
      <c r="C1422" t="s">
        <v>97</v>
      </c>
      <c r="D1422">
        <v>5</v>
      </c>
      <c r="E1422">
        <v>4</v>
      </c>
      <c r="F1422">
        <v>1</v>
      </c>
      <c r="G1422" t="s">
        <v>75</v>
      </c>
      <c r="H1422" t="s">
        <v>6</v>
      </c>
      <c r="I1422">
        <v>120000000</v>
      </c>
      <c r="J1422" t="s">
        <v>39</v>
      </c>
      <c r="K1422" t="s">
        <v>2</v>
      </c>
      <c r="L1422" t="s">
        <v>67</v>
      </c>
      <c r="M1422" t="s">
        <v>82</v>
      </c>
      <c r="N1422" t="s">
        <v>14</v>
      </c>
    </row>
    <row r="1423" spans="1:14" x14ac:dyDescent="0.35">
      <c r="A1423" s="75">
        <v>43996</v>
      </c>
      <c r="B1423" t="s">
        <v>153</v>
      </c>
      <c r="C1423" t="s">
        <v>97</v>
      </c>
      <c r="D1423">
        <v>5</v>
      </c>
      <c r="E1423">
        <v>3</v>
      </c>
      <c r="F1423">
        <v>2</v>
      </c>
      <c r="G1423" t="s">
        <v>114</v>
      </c>
      <c r="H1423" t="s">
        <v>3</v>
      </c>
      <c r="I1423">
        <v>40000000</v>
      </c>
      <c r="J1423" t="s">
        <v>57</v>
      </c>
      <c r="K1423" t="s">
        <v>9</v>
      </c>
      <c r="L1423" t="s">
        <v>67</v>
      </c>
      <c r="M1423" t="s">
        <v>81</v>
      </c>
      <c r="N1423" t="s">
        <v>11</v>
      </c>
    </row>
    <row r="1424" spans="1:14" x14ac:dyDescent="0.35">
      <c r="A1424" s="75">
        <v>43996</v>
      </c>
      <c r="B1424" t="s">
        <v>153</v>
      </c>
      <c r="C1424" t="s">
        <v>97</v>
      </c>
      <c r="D1424">
        <v>5</v>
      </c>
      <c r="E1424">
        <v>4</v>
      </c>
      <c r="F1424">
        <v>1</v>
      </c>
      <c r="G1424" t="s">
        <v>72</v>
      </c>
      <c r="H1424" t="s">
        <v>78</v>
      </c>
      <c r="I1424">
        <v>100000000</v>
      </c>
      <c r="J1424" t="s">
        <v>50</v>
      </c>
      <c r="K1424" t="s">
        <v>2</v>
      </c>
      <c r="L1424" t="s">
        <v>67</v>
      </c>
      <c r="M1424" t="s">
        <v>81</v>
      </c>
      <c r="N1424" t="s">
        <v>11</v>
      </c>
    </row>
    <row r="1425" spans="1:14" x14ac:dyDescent="0.35">
      <c r="A1425" s="75">
        <v>43997</v>
      </c>
      <c r="B1425" t="s">
        <v>154</v>
      </c>
      <c r="C1425" t="s">
        <v>97</v>
      </c>
      <c r="D1425">
        <v>10</v>
      </c>
      <c r="E1425">
        <v>6</v>
      </c>
      <c r="F1425">
        <v>4</v>
      </c>
      <c r="G1425" t="s">
        <v>71</v>
      </c>
      <c r="H1425" t="s">
        <v>6</v>
      </c>
      <c r="I1425">
        <v>40000000</v>
      </c>
      <c r="J1425" t="s">
        <v>23</v>
      </c>
      <c r="K1425" t="s">
        <v>2</v>
      </c>
      <c r="L1425" t="s">
        <v>67</v>
      </c>
      <c r="M1425" t="s">
        <v>80</v>
      </c>
      <c r="N1425" t="s">
        <v>12</v>
      </c>
    </row>
    <row r="1426" spans="1:14" x14ac:dyDescent="0.35">
      <c r="A1426" s="75">
        <v>43997</v>
      </c>
      <c r="B1426" t="s">
        <v>154</v>
      </c>
      <c r="C1426" t="s">
        <v>97</v>
      </c>
      <c r="D1426">
        <v>9</v>
      </c>
      <c r="E1426">
        <v>7</v>
      </c>
      <c r="F1426">
        <v>2</v>
      </c>
      <c r="G1426" t="s">
        <v>113</v>
      </c>
      <c r="H1426" t="s">
        <v>77</v>
      </c>
      <c r="I1426">
        <v>40000000</v>
      </c>
      <c r="J1426" t="s">
        <v>18</v>
      </c>
      <c r="K1426" t="s">
        <v>5</v>
      </c>
      <c r="L1426" t="s">
        <v>67</v>
      </c>
      <c r="M1426" t="s">
        <v>81</v>
      </c>
      <c r="N1426" t="s">
        <v>14</v>
      </c>
    </row>
    <row r="1427" spans="1:14" x14ac:dyDescent="0.35">
      <c r="A1427" s="75">
        <v>43997</v>
      </c>
      <c r="B1427" t="s">
        <v>154</v>
      </c>
      <c r="C1427" t="s">
        <v>97</v>
      </c>
      <c r="D1427">
        <v>8</v>
      </c>
      <c r="E1427">
        <v>6</v>
      </c>
      <c r="F1427">
        <v>2</v>
      </c>
      <c r="G1427" t="s">
        <v>73</v>
      </c>
      <c r="H1427" t="s">
        <v>78</v>
      </c>
      <c r="I1427">
        <v>60000000</v>
      </c>
      <c r="J1427" t="s">
        <v>51</v>
      </c>
      <c r="K1427" t="s">
        <v>2</v>
      </c>
      <c r="L1427" t="s">
        <v>67</v>
      </c>
      <c r="M1427" t="s">
        <v>80</v>
      </c>
      <c r="N1427" t="s">
        <v>14</v>
      </c>
    </row>
    <row r="1428" spans="1:14" x14ac:dyDescent="0.35">
      <c r="A1428" s="75">
        <v>43997</v>
      </c>
      <c r="B1428" t="s">
        <v>154</v>
      </c>
      <c r="C1428" t="s">
        <v>97</v>
      </c>
      <c r="D1428">
        <v>8</v>
      </c>
      <c r="E1428">
        <v>7</v>
      </c>
      <c r="F1428">
        <v>1</v>
      </c>
      <c r="G1428" t="s">
        <v>75</v>
      </c>
      <c r="H1428" t="s">
        <v>6</v>
      </c>
      <c r="I1428">
        <v>40000000</v>
      </c>
      <c r="J1428" t="s">
        <v>56</v>
      </c>
      <c r="K1428" t="s">
        <v>9</v>
      </c>
      <c r="L1428" t="s">
        <v>67</v>
      </c>
      <c r="M1428" t="s">
        <v>80</v>
      </c>
      <c r="N1428" t="s">
        <v>14</v>
      </c>
    </row>
    <row r="1429" spans="1:14" x14ac:dyDescent="0.35">
      <c r="A1429" s="75">
        <v>43997</v>
      </c>
      <c r="B1429" t="s">
        <v>154</v>
      </c>
      <c r="C1429" t="s">
        <v>97</v>
      </c>
      <c r="D1429">
        <v>8</v>
      </c>
      <c r="E1429">
        <v>7</v>
      </c>
      <c r="F1429">
        <v>1</v>
      </c>
      <c r="G1429" t="s">
        <v>71</v>
      </c>
      <c r="H1429" t="s">
        <v>6</v>
      </c>
      <c r="I1429">
        <v>100000000</v>
      </c>
      <c r="J1429" t="s">
        <v>50</v>
      </c>
      <c r="K1429" t="s">
        <v>7</v>
      </c>
      <c r="L1429" t="s">
        <v>67</v>
      </c>
      <c r="M1429" t="s">
        <v>82</v>
      </c>
      <c r="N1429" t="s">
        <v>13</v>
      </c>
    </row>
    <row r="1430" spans="1:14" x14ac:dyDescent="0.35">
      <c r="A1430" s="75">
        <v>43997</v>
      </c>
      <c r="B1430" t="s">
        <v>154</v>
      </c>
      <c r="C1430" t="s">
        <v>97</v>
      </c>
      <c r="D1430">
        <v>8</v>
      </c>
      <c r="E1430">
        <v>6</v>
      </c>
      <c r="F1430">
        <v>2</v>
      </c>
      <c r="G1430" t="s">
        <v>70</v>
      </c>
      <c r="H1430" t="s">
        <v>1</v>
      </c>
      <c r="I1430">
        <v>60000000</v>
      </c>
      <c r="J1430" t="s">
        <v>46</v>
      </c>
      <c r="K1430" t="s">
        <v>9</v>
      </c>
      <c r="L1430" t="s">
        <v>67</v>
      </c>
      <c r="M1430" t="s">
        <v>82</v>
      </c>
      <c r="N1430" t="s">
        <v>13</v>
      </c>
    </row>
    <row r="1431" spans="1:14" x14ac:dyDescent="0.35">
      <c r="A1431" s="75">
        <v>43997</v>
      </c>
      <c r="B1431" t="s">
        <v>154</v>
      </c>
      <c r="C1431" t="s">
        <v>97</v>
      </c>
      <c r="D1431">
        <v>6</v>
      </c>
      <c r="E1431">
        <v>5</v>
      </c>
      <c r="F1431">
        <v>1</v>
      </c>
      <c r="G1431" t="s">
        <v>74</v>
      </c>
      <c r="H1431" t="s">
        <v>77</v>
      </c>
      <c r="I1431">
        <v>120000000</v>
      </c>
      <c r="J1431" t="s">
        <v>24</v>
      </c>
      <c r="K1431" t="s">
        <v>5</v>
      </c>
      <c r="L1431" t="s">
        <v>67</v>
      </c>
      <c r="M1431" t="s">
        <v>81</v>
      </c>
      <c r="N1431" t="s">
        <v>11</v>
      </c>
    </row>
    <row r="1432" spans="1:14" x14ac:dyDescent="0.35">
      <c r="A1432" s="75">
        <v>43997</v>
      </c>
      <c r="B1432" t="s">
        <v>154</v>
      </c>
      <c r="C1432" t="s">
        <v>97</v>
      </c>
      <c r="D1432">
        <v>5</v>
      </c>
      <c r="E1432">
        <v>4</v>
      </c>
      <c r="F1432">
        <v>1</v>
      </c>
      <c r="G1432" t="s">
        <v>113</v>
      </c>
      <c r="H1432" t="s">
        <v>77</v>
      </c>
      <c r="I1432">
        <v>80000000</v>
      </c>
      <c r="J1432" t="s">
        <v>43</v>
      </c>
      <c r="K1432" t="s">
        <v>5</v>
      </c>
      <c r="L1432" t="s">
        <v>67</v>
      </c>
      <c r="M1432" t="s">
        <v>82</v>
      </c>
      <c r="N1432" t="s">
        <v>12</v>
      </c>
    </row>
    <row r="1433" spans="1:14" x14ac:dyDescent="0.35">
      <c r="A1433" s="75">
        <v>43997</v>
      </c>
      <c r="B1433" t="s">
        <v>154</v>
      </c>
      <c r="C1433" t="s">
        <v>97</v>
      </c>
      <c r="D1433">
        <v>3</v>
      </c>
      <c r="E1433">
        <v>1</v>
      </c>
      <c r="F1433">
        <v>2</v>
      </c>
      <c r="G1433" t="s">
        <v>73</v>
      </c>
      <c r="H1433" t="s">
        <v>78</v>
      </c>
      <c r="I1433">
        <v>40000000</v>
      </c>
      <c r="J1433" t="s">
        <v>46</v>
      </c>
      <c r="K1433" t="s">
        <v>5</v>
      </c>
      <c r="L1433" t="s">
        <v>67</v>
      </c>
      <c r="M1433" t="s">
        <v>81</v>
      </c>
      <c r="N1433" t="s">
        <v>14</v>
      </c>
    </row>
    <row r="1434" spans="1:14" x14ac:dyDescent="0.35">
      <c r="A1434" s="75">
        <v>43998</v>
      </c>
      <c r="B1434" t="s">
        <v>155</v>
      </c>
      <c r="C1434" t="s">
        <v>97</v>
      </c>
      <c r="D1434">
        <v>9</v>
      </c>
      <c r="E1434">
        <v>6</v>
      </c>
      <c r="F1434">
        <v>3</v>
      </c>
      <c r="G1434" t="s">
        <v>76</v>
      </c>
      <c r="H1434" t="s">
        <v>79</v>
      </c>
      <c r="I1434">
        <v>140000000</v>
      </c>
      <c r="J1434" t="s">
        <v>23</v>
      </c>
      <c r="K1434" t="s">
        <v>8</v>
      </c>
      <c r="L1434" t="s">
        <v>67</v>
      </c>
      <c r="M1434" t="s">
        <v>80</v>
      </c>
      <c r="N1434" t="s">
        <v>12</v>
      </c>
    </row>
    <row r="1435" spans="1:14" x14ac:dyDescent="0.35">
      <c r="A1435" s="75">
        <v>43998</v>
      </c>
      <c r="B1435" t="s">
        <v>155</v>
      </c>
      <c r="C1435" t="s">
        <v>97</v>
      </c>
      <c r="D1435">
        <v>6</v>
      </c>
      <c r="E1435">
        <v>4</v>
      </c>
      <c r="F1435">
        <v>2</v>
      </c>
      <c r="G1435" t="s">
        <v>75</v>
      </c>
      <c r="H1435" t="s">
        <v>6</v>
      </c>
      <c r="I1435">
        <v>80000000</v>
      </c>
      <c r="J1435" t="s">
        <v>40</v>
      </c>
      <c r="K1435" t="s">
        <v>2</v>
      </c>
      <c r="L1435" t="s">
        <v>67</v>
      </c>
      <c r="M1435" t="s">
        <v>80</v>
      </c>
      <c r="N1435" t="s">
        <v>13</v>
      </c>
    </row>
    <row r="1436" spans="1:14" x14ac:dyDescent="0.35">
      <c r="A1436" s="75">
        <v>43998</v>
      </c>
      <c r="B1436" t="s">
        <v>155</v>
      </c>
      <c r="C1436" t="s">
        <v>97</v>
      </c>
      <c r="D1436">
        <v>5</v>
      </c>
      <c r="E1436">
        <v>4</v>
      </c>
      <c r="F1436">
        <v>1</v>
      </c>
      <c r="G1436" t="s">
        <v>71</v>
      </c>
      <c r="H1436" t="s">
        <v>6</v>
      </c>
      <c r="I1436">
        <v>40000000</v>
      </c>
      <c r="J1436" t="s">
        <v>24</v>
      </c>
      <c r="K1436" t="s">
        <v>7</v>
      </c>
      <c r="L1436" t="s">
        <v>67</v>
      </c>
      <c r="M1436" t="s">
        <v>82</v>
      </c>
      <c r="N1436" t="s">
        <v>12</v>
      </c>
    </row>
    <row r="1437" spans="1:14" x14ac:dyDescent="0.35">
      <c r="A1437" s="75">
        <v>43998</v>
      </c>
      <c r="B1437" t="s">
        <v>155</v>
      </c>
      <c r="C1437" t="s">
        <v>97</v>
      </c>
      <c r="D1437">
        <v>4</v>
      </c>
      <c r="E1437">
        <v>2</v>
      </c>
      <c r="F1437">
        <v>2</v>
      </c>
      <c r="G1437" t="s">
        <v>74</v>
      </c>
      <c r="H1437" t="s">
        <v>77</v>
      </c>
      <c r="I1437">
        <v>80000000</v>
      </c>
      <c r="J1437" t="s">
        <v>39</v>
      </c>
      <c r="K1437" t="s">
        <v>2</v>
      </c>
      <c r="L1437" t="s">
        <v>67</v>
      </c>
      <c r="M1437" t="s">
        <v>82</v>
      </c>
      <c r="N1437" t="s">
        <v>14</v>
      </c>
    </row>
    <row r="1438" spans="1:14" x14ac:dyDescent="0.35">
      <c r="A1438" s="75">
        <v>43998</v>
      </c>
      <c r="B1438" t="s">
        <v>155</v>
      </c>
      <c r="C1438" t="s">
        <v>97</v>
      </c>
      <c r="D1438">
        <v>4</v>
      </c>
      <c r="E1438">
        <v>2</v>
      </c>
      <c r="F1438">
        <v>2</v>
      </c>
      <c r="G1438" t="s">
        <v>72</v>
      </c>
      <c r="H1438" t="s">
        <v>78</v>
      </c>
      <c r="I1438">
        <v>100000000</v>
      </c>
      <c r="J1438" t="s">
        <v>51</v>
      </c>
      <c r="K1438" t="s">
        <v>4</v>
      </c>
      <c r="L1438" t="s">
        <v>67</v>
      </c>
      <c r="M1438" t="s">
        <v>81</v>
      </c>
      <c r="N1438" t="s">
        <v>13</v>
      </c>
    </row>
    <row r="1439" spans="1:14" x14ac:dyDescent="0.35">
      <c r="A1439" s="75">
        <v>43998</v>
      </c>
      <c r="B1439" t="s">
        <v>155</v>
      </c>
      <c r="C1439" t="s">
        <v>97</v>
      </c>
      <c r="D1439">
        <v>3</v>
      </c>
      <c r="E1439">
        <v>1</v>
      </c>
      <c r="F1439">
        <v>2</v>
      </c>
      <c r="G1439" t="s">
        <v>75</v>
      </c>
      <c r="H1439" t="s">
        <v>6</v>
      </c>
      <c r="I1439">
        <v>100000000</v>
      </c>
      <c r="J1439" t="s">
        <v>47</v>
      </c>
      <c r="K1439" t="s">
        <v>2</v>
      </c>
      <c r="L1439" t="s">
        <v>67</v>
      </c>
      <c r="M1439" t="s">
        <v>80</v>
      </c>
      <c r="N1439" t="s">
        <v>11</v>
      </c>
    </row>
    <row r="1440" spans="1:14" x14ac:dyDescent="0.35">
      <c r="A1440" s="75">
        <v>43999</v>
      </c>
      <c r="B1440" t="s">
        <v>156</v>
      </c>
      <c r="C1440" t="s">
        <v>97</v>
      </c>
      <c r="D1440">
        <v>10</v>
      </c>
      <c r="E1440">
        <v>7</v>
      </c>
      <c r="F1440">
        <v>3</v>
      </c>
      <c r="G1440" t="s">
        <v>75</v>
      </c>
      <c r="H1440" t="s">
        <v>6</v>
      </c>
      <c r="I1440">
        <v>140000000</v>
      </c>
      <c r="J1440" t="s">
        <v>32</v>
      </c>
      <c r="K1440" t="s">
        <v>2</v>
      </c>
      <c r="L1440" t="s">
        <v>67</v>
      </c>
      <c r="M1440" t="s">
        <v>81</v>
      </c>
      <c r="N1440" t="s">
        <v>12</v>
      </c>
    </row>
    <row r="1441" spans="1:14" x14ac:dyDescent="0.35">
      <c r="A1441" s="75">
        <v>43999</v>
      </c>
      <c r="B1441" t="s">
        <v>156</v>
      </c>
      <c r="C1441" t="s">
        <v>97</v>
      </c>
      <c r="D1441">
        <v>9</v>
      </c>
      <c r="E1441">
        <v>8</v>
      </c>
      <c r="F1441">
        <v>1</v>
      </c>
      <c r="G1441" t="s">
        <v>73</v>
      </c>
      <c r="H1441" t="s">
        <v>78</v>
      </c>
      <c r="I1441">
        <v>100000000</v>
      </c>
      <c r="J1441" t="s">
        <v>28</v>
      </c>
      <c r="K1441" t="s">
        <v>5</v>
      </c>
      <c r="L1441" t="s">
        <v>67</v>
      </c>
      <c r="M1441" t="s">
        <v>81</v>
      </c>
      <c r="N1441" t="s">
        <v>14</v>
      </c>
    </row>
    <row r="1442" spans="1:14" x14ac:dyDescent="0.35">
      <c r="A1442" s="75">
        <v>43999</v>
      </c>
      <c r="B1442" t="s">
        <v>156</v>
      </c>
      <c r="C1442" t="s">
        <v>97</v>
      </c>
      <c r="D1442">
        <v>9</v>
      </c>
      <c r="E1442">
        <v>6</v>
      </c>
      <c r="F1442">
        <v>3</v>
      </c>
      <c r="G1442" t="s">
        <v>75</v>
      </c>
      <c r="H1442" t="s">
        <v>6</v>
      </c>
      <c r="I1442">
        <v>60000000</v>
      </c>
      <c r="J1442" t="s">
        <v>62</v>
      </c>
      <c r="K1442" t="s">
        <v>5</v>
      </c>
      <c r="L1442" t="s">
        <v>67</v>
      </c>
      <c r="M1442" t="s">
        <v>82</v>
      </c>
      <c r="N1442" t="s">
        <v>14</v>
      </c>
    </row>
    <row r="1443" spans="1:14" x14ac:dyDescent="0.35">
      <c r="A1443" s="75">
        <v>43999</v>
      </c>
      <c r="B1443" t="s">
        <v>156</v>
      </c>
      <c r="C1443" t="s">
        <v>97</v>
      </c>
      <c r="D1443">
        <v>7</v>
      </c>
      <c r="E1443">
        <v>4</v>
      </c>
      <c r="F1443">
        <v>3</v>
      </c>
      <c r="G1443" t="s">
        <v>70</v>
      </c>
      <c r="H1443" t="s">
        <v>1</v>
      </c>
      <c r="I1443">
        <v>40000000</v>
      </c>
      <c r="J1443" t="s">
        <v>37</v>
      </c>
      <c r="K1443" t="s">
        <v>2</v>
      </c>
      <c r="L1443" t="s">
        <v>67</v>
      </c>
      <c r="M1443" t="s">
        <v>82</v>
      </c>
      <c r="N1443" t="s">
        <v>11</v>
      </c>
    </row>
    <row r="1444" spans="1:14" x14ac:dyDescent="0.35">
      <c r="A1444" s="75">
        <v>43999</v>
      </c>
      <c r="B1444" t="s">
        <v>156</v>
      </c>
      <c r="C1444" t="s">
        <v>97</v>
      </c>
      <c r="D1444">
        <v>6</v>
      </c>
      <c r="E1444">
        <v>4</v>
      </c>
      <c r="F1444">
        <v>2</v>
      </c>
      <c r="G1444" t="s">
        <v>74</v>
      </c>
      <c r="H1444" t="s">
        <v>77</v>
      </c>
      <c r="I1444">
        <v>40000000</v>
      </c>
      <c r="J1444" t="s">
        <v>20</v>
      </c>
      <c r="K1444" t="s">
        <v>5</v>
      </c>
      <c r="L1444" t="s">
        <v>67</v>
      </c>
      <c r="M1444" t="s">
        <v>80</v>
      </c>
      <c r="N1444" t="s">
        <v>12</v>
      </c>
    </row>
    <row r="1445" spans="1:14" x14ac:dyDescent="0.35">
      <c r="A1445" s="75">
        <v>43999</v>
      </c>
      <c r="B1445" t="s">
        <v>156</v>
      </c>
      <c r="C1445" t="s">
        <v>97</v>
      </c>
      <c r="D1445">
        <v>6</v>
      </c>
      <c r="E1445">
        <v>3</v>
      </c>
      <c r="F1445">
        <v>3</v>
      </c>
      <c r="G1445" t="s">
        <v>74</v>
      </c>
      <c r="H1445" t="s">
        <v>77</v>
      </c>
      <c r="I1445">
        <v>140000000</v>
      </c>
      <c r="J1445" t="s">
        <v>15</v>
      </c>
      <c r="K1445" t="s">
        <v>5</v>
      </c>
      <c r="L1445" t="s">
        <v>67</v>
      </c>
      <c r="M1445" t="s">
        <v>80</v>
      </c>
      <c r="N1445" t="s">
        <v>11</v>
      </c>
    </row>
    <row r="1446" spans="1:14" x14ac:dyDescent="0.35">
      <c r="A1446" s="75">
        <v>43999</v>
      </c>
      <c r="B1446" t="s">
        <v>156</v>
      </c>
      <c r="C1446" t="s">
        <v>97</v>
      </c>
      <c r="D1446">
        <v>5</v>
      </c>
      <c r="E1446">
        <v>4</v>
      </c>
      <c r="F1446">
        <v>1</v>
      </c>
      <c r="G1446" t="s">
        <v>74</v>
      </c>
      <c r="H1446" t="s">
        <v>77</v>
      </c>
      <c r="I1446">
        <v>100000000</v>
      </c>
      <c r="J1446" t="s">
        <v>33</v>
      </c>
      <c r="K1446" t="s">
        <v>2</v>
      </c>
      <c r="L1446" t="s">
        <v>67</v>
      </c>
      <c r="M1446" t="s">
        <v>82</v>
      </c>
      <c r="N1446" t="s">
        <v>12</v>
      </c>
    </row>
    <row r="1447" spans="1:14" x14ac:dyDescent="0.35">
      <c r="A1447" s="75">
        <v>43999</v>
      </c>
      <c r="B1447" t="s">
        <v>156</v>
      </c>
      <c r="C1447" t="s">
        <v>97</v>
      </c>
      <c r="D1447">
        <v>4</v>
      </c>
      <c r="E1447">
        <v>2</v>
      </c>
      <c r="F1447">
        <v>2</v>
      </c>
      <c r="G1447" t="s">
        <v>76</v>
      </c>
      <c r="H1447" t="s">
        <v>79</v>
      </c>
      <c r="I1447">
        <v>100000000</v>
      </c>
      <c r="J1447" t="s">
        <v>26</v>
      </c>
      <c r="K1447" t="s">
        <v>5</v>
      </c>
      <c r="L1447" t="s">
        <v>67</v>
      </c>
      <c r="M1447" t="s">
        <v>81</v>
      </c>
      <c r="N1447" t="s">
        <v>13</v>
      </c>
    </row>
    <row r="1448" spans="1:14" x14ac:dyDescent="0.35">
      <c r="A1448" s="75">
        <v>43999</v>
      </c>
      <c r="B1448" t="s">
        <v>156</v>
      </c>
      <c r="C1448" t="s">
        <v>97</v>
      </c>
      <c r="D1448">
        <v>4</v>
      </c>
      <c r="E1448">
        <v>3</v>
      </c>
      <c r="F1448">
        <v>1</v>
      </c>
      <c r="G1448" t="s">
        <v>71</v>
      </c>
      <c r="H1448" t="s">
        <v>6</v>
      </c>
      <c r="I1448">
        <v>60000000</v>
      </c>
      <c r="J1448" t="s">
        <v>56</v>
      </c>
      <c r="K1448" t="s">
        <v>5</v>
      </c>
      <c r="L1448" t="s">
        <v>67</v>
      </c>
      <c r="M1448" t="s">
        <v>80</v>
      </c>
      <c r="N1448" t="s">
        <v>12</v>
      </c>
    </row>
    <row r="1449" spans="1:14" x14ac:dyDescent="0.35">
      <c r="A1449" s="75">
        <v>43999</v>
      </c>
      <c r="B1449" t="s">
        <v>156</v>
      </c>
      <c r="C1449" t="s">
        <v>97</v>
      </c>
      <c r="D1449">
        <v>3</v>
      </c>
      <c r="E1449">
        <v>2</v>
      </c>
      <c r="F1449">
        <v>1</v>
      </c>
      <c r="G1449" t="s">
        <v>114</v>
      </c>
      <c r="H1449" t="s">
        <v>3</v>
      </c>
      <c r="I1449">
        <v>120000000</v>
      </c>
      <c r="J1449" t="s">
        <v>48</v>
      </c>
      <c r="K1449" t="s">
        <v>2</v>
      </c>
      <c r="L1449" t="s">
        <v>67</v>
      </c>
      <c r="M1449" t="s">
        <v>81</v>
      </c>
      <c r="N1449" t="s">
        <v>13</v>
      </c>
    </row>
    <row r="1450" spans="1:14" x14ac:dyDescent="0.35">
      <c r="A1450" s="75">
        <v>44000</v>
      </c>
      <c r="B1450" t="s">
        <v>157</v>
      </c>
      <c r="C1450" t="s">
        <v>97</v>
      </c>
      <c r="D1450">
        <v>9</v>
      </c>
      <c r="E1450">
        <v>5</v>
      </c>
      <c r="F1450">
        <v>4</v>
      </c>
      <c r="G1450" t="s">
        <v>75</v>
      </c>
      <c r="H1450" t="s">
        <v>6</v>
      </c>
      <c r="I1450">
        <v>120000000</v>
      </c>
      <c r="J1450" t="s">
        <v>37</v>
      </c>
      <c r="K1450" t="s">
        <v>5</v>
      </c>
      <c r="L1450" t="s">
        <v>67</v>
      </c>
      <c r="M1450" t="s">
        <v>81</v>
      </c>
      <c r="N1450" t="s">
        <v>13</v>
      </c>
    </row>
    <row r="1451" spans="1:14" x14ac:dyDescent="0.35">
      <c r="A1451" s="75">
        <v>44000</v>
      </c>
      <c r="B1451" t="s">
        <v>157</v>
      </c>
      <c r="C1451" t="s">
        <v>97</v>
      </c>
      <c r="D1451">
        <v>9</v>
      </c>
      <c r="E1451">
        <v>5</v>
      </c>
      <c r="F1451">
        <v>4</v>
      </c>
      <c r="G1451" t="s">
        <v>75</v>
      </c>
      <c r="H1451" t="s">
        <v>6</v>
      </c>
      <c r="I1451">
        <v>100000000</v>
      </c>
      <c r="J1451" t="s">
        <v>32</v>
      </c>
      <c r="K1451" t="s">
        <v>5</v>
      </c>
      <c r="L1451" t="s">
        <v>67</v>
      </c>
      <c r="M1451" t="s">
        <v>80</v>
      </c>
      <c r="N1451" t="s">
        <v>11</v>
      </c>
    </row>
    <row r="1452" spans="1:14" x14ac:dyDescent="0.35">
      <c r="A1452" s="75">
        <v>44000</v>
      </c>
      <c r="B1452" t="s">
        <v>157</v>
      </c>
      <c r="C1452" t="s">
        <v>97</v>
      </c>
      <c r="D1452">
        <v>8</v>
      </c>
      <c r="E1452">
        <v>7</v>
      </c>
      <c r="F1452">
        <v>1</v>
      </c>
      <c r="G1452" t="s">
        <v>72</v>
      </c>
      <c r="H1452" t="s">
        <v>78</v>
      </c>
      <c r="I1452">
        <v>140000000</v>
      </c>
      <c r="J1452" t="s">
        <v>30</v>
      </c>
      <c r="K1452" t="s">
        <v>7</v>
      </c>
      <c r="L1452" t="s">
        <v>67</v>
      </c>
      <c r="M1452" t="s">
        <v>80</v>
      </c>
      <c r="N1452" t="s">
        <v>12</v>
      </c>
    </row>
    <row r="1453" spans="1:14" x14ac:dyDescent="0.35">
      <c r="A1453" s="75">
        <v>44000</v>
      </c>
      <c r="B1453" t="s">
        <v>157</v>
      </c>
      <c r="C1453" t="s">
        <v>97</v>
      </c>
      <c r="D1453">
        <v>7</v>
      </c>
      <c r="E1453">
        <v>4</v>
      </c>
      <c r="F1453">
        <v>3</v>
      </c>
      <c r="G1453" t="s">
        <v>71</v>
      </c>
      <c r="H1453" t="s">
        <v>6</v>
      </c>
      <c r="I1453">
        <v>120000000</v>
      </c>
      <c r="J1453" t="s">
        <v>16</v>
      </c>
      <c r="K1453" t="s">
        <v>5</v>
      </c>
      <c r="L1453" t="s">
        <v>67</v>
      </c>
      <c r="M1453" t="s">
        <v>81</v>
      </c>
      <c r="N1453" t="s">
        <v>12</v>
      </c>
    </row>
    <row r="1454" spans="1:14" x14ac:dyDescent="0.35">
      <c r="A1454" s="75">
        <v>44000</v>
      </c>
      <c r="B1454" t="s">
        <v>157</v>
      </c>
      <c r="C1454" t="s">
        <v>97</v>
      </c>
      <c r="D1454">
        <v>7</v>
      </c>
      <c r="E1454">
        <v>5</v>
      </c>
      <c r="F1454">
        <v>2</v>
      </c>
      <c r="G1454" t="s">
        <v>114</v>
      </c>
      <c r="H1454" t="s">
        <v>3</v>
      </c>
      <c r="I1454">
        <v>40000000</v>
      </c>
      <c r="J1454" t="s">
        <v>50</v>
      </c>
      <c r="K1454" t="s">
        <v>5</v>
      </c>
      <c r="L1454" t="s">
        <v>67</v>
      </c>
      <c r="M1454" t="s">
        <v>82</v>
      </c>
      <c r="N1454" t="s">
        <v>13</v>
      </c>
    </row>
    <row r="1455" spans="1:14" x14ac:dyDescent="0.35">
      <c r="A1455" s="75">
        <v>44000</v>
      </c>
      <c r="B1455" t="s">
        <v>157</v>
      </c>
      <c r="C1455" t="s">
        <v>97</v>
      </c>
      <c r="D1455">
        <v>6</v>
      </c>
      <c r="E1455">
        <v>5</v>
      </c>
      <c r="F1455">
        <v>1</v>
      </c>
      <c r="G1455" t="s">
        <v>71</v>
      </c>
      <c r="H1455" t="s">
        <v>6</v>
      </c>
      <c r="I1455">
        <v>120000000</v>
      </c>
      <c r="J1455" t="s">
        <v>29</v>
      </c>
      <c r="K1455" t="s">
        <v>2</v>
      </c>
      <c r="L1455" t="s">
        <v>67</v>
      </c>
      <c r="M1455" t="s">
        <v>80</v>
      </c>
      <c r="N1455" t="s">
        <v>12</v>
      </c>
    </row>
    <row r="1456" spans="1:14" x14ac:dyDescent="0.35">
      <c r="A1456" s="75">
        <v>44000</v>
      </c>
      <c r="B1456" t="s">
        <v>157</v>
      </c>
      <c r="C1456" t="s">
        <v>97</v>
      </c>
      <c r="D1456">
        <v>5</v>
      </c>
      <c r="E1456">
        <v>4</v>
      </c>
      <c r="F1456">
        <v>1</v>
      </c>
      <c r="G1456" t="s">
        <v>114</v>
      </c>
      <c r="H1456" t="s">
        <v>3</v>
      </c>
      <c r="I1456">
        <v>120000000</v>
      </c>
      <c r="J1456" t="s">
        <v>63</v>
      </c>
      <c r="K1456" t="s">
        <v>5</v>
      </c>
      <c r="L1456" t="s">
        <v>67</v>
      </c>
      <c r="M1456" t="s">
        <v>81</v>
      </c>
      <c r="N1456" t="s">
        <v>11</v>
      </c>
    </row>
    <row r="1457" spans="1:14" x14ac:dyDescent="0.35">
      <c r="A1457" s="75">
        <v>44000</v>
      </c>
      <c r="B1457" t="s">
        <v>157</v>
      </c>
      <c r="C1457" t="s">
        <v>97</v>
      </c>
      <c r="D1457">
        <v>3</v>
      </c>
      <c r="E1457">
        <v>2</v>
      </c>
      <c r="F1457">
        <v>1</v>
      </c>
      <c r="G1457" t="s">
        <v>70</v>
      </c>
      <c r="H1457" t="s">
        <v>1</v>
      </c>
      <c r="I1457">
        <v>60000000</v>
      </c>
      <c r="J1457" t="s">
        <v>62</v>
      </c>
      <c r="K1457" t="s">
        <v>5</v>
      </c>
      <c r="L1457" t="s">
        <v>67</v>
      </c>
      <c r="M1457" t="s">
        <v>81</v>
      </c>
      <c r="N1457" t="s">
        <v>11</v>
      </c>
    </row>
    <row r="1458" spans="1:14" x14ac:dyDescent="0.35">
      <c r="A1458" s="75">
        <v>44000</v>
      </c>
      <c r="B1458" t="s">
        <v>157</v>
      </c>
      <c r="C1458" t="s">
        <v>97</v>
      </c>
      <c r="D1458">
        <v>3</v>
      </c>
      <c r="E1458">
        <v>1</v>
      </c>
      <c r="F1458">
        <v>2</v>
      </c>
      <c r="G1458" t="s">
        <v>75</v>
      </c>
      <c r="H1458" t="s">
        <v>6</v>
      </c>
      <c r="I1458">
        <v>100000000</v>
      </c>
      <c r="J1458" t="s">
        <v>63</v>
      </c>
      <c r="K1458" t="s">
        <v>7</v>
      </c>
      <c r="L1458" t="s">
        <v>67</v>
      </c>
      <c r="M1458" t="s">
        <v>82</v>
      </c>
      <c r="N1458" t="s">
        <v>11</v>
      </c>
    </row>
    <row r="1459" spans="1:14" x14ac:dyDescent="0.35">
      <c r="A1459" s="75">
        <v>44001</v>
      </c>
      <c r="B1459" t="s">
        <v>158</v>
      </c>
      <c r="C1459" t="s">
        <v>97</v>
      </c>
      <c r="D1459">
        <v>8</v>
      </c>
      <c r="E1459">
        <v>4</v>
      </c>
      <c r="F1459">
        <v>4</v>
      </c>
      <c r="G1459" t="s">
        <v>74</v>
      </c>
      <c r="H1459" t="s">
        <v>77</v>
      </c>
      <c r="I1459">
        <v>80000000</v>
      </c>
      <c r="J1459" t="s">
        <v>55</v>
      </c>
      <c r="K1459" t="s">
        <v>8</v>
      </c>
      <c r="L1459" t="s">
        <v>67</v>
      </c>
      <c r="M1459" t="s">
        <v>80</v>
      </c>
      <c r="N1459" t="s">
        <v>11</v>
      </c>
    </row>
    <row r="1460" spans="1:14" x14ac:dyDescent="0.35">
      <c r="A1460" s="75">
        <v>44001</v>
      </c>
      <c r="B1460" t="s">
        <v>158</v>
      </c>
      <c r="C1460" t="s">
        <v>97</v>
      </c>
      <c r="D1460">
        <v>7</v>
      </c>
      <c r="E1460">
        <v>6</v>
      </c>
      <c r="F1460">
        <v>1</v>
      </c>
      <c r="G1460" t="s">
        <v>74</v>
      </c>
      <c r="H1460" t="s">
        <v>77</v>
      </c>
      <c r="I1460">
        <v>140000000</v>
      </c>
      <c r="J1460" t="s">
        <v>63</v>
      </c>
      <c r="K1460" t="s">
        <v>2</v>
      </c>
      <c r="L1460" t="s">
        <v>67</v>
      </c>
      <c r="M1460" t="s">
        <v>82</v>
      </c>
      <c r="N1460" t="s">
        <v>14</v>
      </c>
    </row>
    <row r="1461" spans="1:14" x14ac:dyDescent="0.35">
      <c r="A1461" s="75">
        <v>44001</v>
      </c>
      <c r="B1461" t="s">
        <v>158</v>
      </c>
      <c r="C1461" t="s">
        <v>97</v>
      </c>
      <c r="D1461">
        <v>6</v>
      </c>
      <c r="E1461">
        <v>3</v>
      </c>
      <c r="F1461">
        <v>3</v>
      </c>
      <c r="G1461" t="s">
        <v>72</v>
      </c>
      <c r="H1461" t="s">
        <v>78</v>
      </c>
      <c r="I1461">
        <v>40000000</v>
      </c>
      <c r="J1461" t="s">
        <v>40</v>
      </c>
      <c r="K1461" t="s">
        <v>4</v>
      </c>
      <c r="L1461" t="s">
        <v>67</v>
      </c>
      <c r="M1461" t="s">
        <v>81</v>
      </c>
      <c r="N1461" t="s">
        <v>12</v>
      </c>
    </row>
    <row r="1462" spans="1:14" x14ac:dyDescent="0.35">
      <c r="A1462" s="75">
        <v>44001</v>
      </c>
      <c r="B1462" t="s">
        <v>158</v>
      </c>
      <c r="C1462" t="s">
        <v>97</v>
      </c>
      <c r="D1462">
        <v>5</v>
      </c>
      <c r="E1462">
        <v>3</v>
      </c>
      <c r="F1462">
        <v>2</v>
      </c>
      <c r="G1462" t="s">
        <v>113</v>
      </c>
      <c r="H1462" t="s">
        <v>77</v>
      </c>
      <c r="I1462">
        <v>140000000</v>
      </c>
      <c r="J1462" t="s">
        <v>46</v>
      </c>
      <c r="K1462" t="s">
        <v>5</v>
      </c>
      <c r="L1462" t="s">
        <v>67</v>
      </c>
      <c r="M1462" t="s">
        <v>80</v>
      </c>
      <c r="N1462" t="s">
        <v>11</v>
      </c>
    </row>
    <row r="1463" spans="1:14" x14ac:dyDescent="0.35">
      <c r="A1463" s="75">
        <v>44001</v>
      </c>
      <c r="B1463" t="s">
        <v>158</v>
      </c>
      <c r="C1463" t="s">
        <v>97</v>
      </c>
      <c r="D1463">
        <v>5</v>
      </c>
      <c r="E1463">
        <v>4</v>
      </c>
      <c r="F1463">
        <v>1</v>
      </c>
      <c r="G1463" t="s">
        <v>76</v>
      </c>
      <c r="H1463" t="s">
        <v>79</v>
      </c>
      <c r="I1463">
        <v>80000000</v>
      </c>
      <c r="J1463" t="s">
        <v>17</v>
      </c>
      <c r="K1463" t="s">
        <v>4</v>
      </c>
      <c r="L1463" t="s">
        <v>67</v>
      </c>
      <c r="M1463" t="s">
        <v>82</v>
      </c>
      <c r="N1463" t="s">
        <v>11</v>
      </c>
    </row>
    <row r="1464" spans="1:14" x14ac:dyDescent="0.35">
      <c r="A1464" s="75">
        <v>44001</v>
      </c>
      <c r="B1464" t="s">
        <v>158</v>
      </c>
      <c r="C1464" t="s">
        <v>97</v>
      </c>
      <c r="D1464">
        <v>4</v>
      </c>
      <c r="E1464">
        <v>3</v>
      </c>
      <c r="F1464">
        <v>1</v>
      </c>
      <c r="G1464" t="s">
        <v>70</v>
      </c>
      <c r="H1464" t="s">
        <v>1</v>
      </c>
      <c r="I1464">
        <v>60000000</v>
      </c>
      <c r="J1464" t="s">
        <v>51</v>
      </c>
      <c r="K1464" t="s">
        <v>7</v>
      </c>
      <c r="L1464" t="s">
        <v>67</v>
      </c>
      <c r="M1464" t="s">
        <v>81</v>
      </c>
      <c r="N1464" t="s">
        <v>12</v>
      </c>
    </row>
    <row r="1465" spans="1:14" x14ac:dyDescent="0.35">
      <c r="A1465" s="75">
        <v>44001</v>
      </c>
      <c r="B1465" t="s">
        <v>158</v>
      </c>
      <c r="C1465" t="s">
        <v>97</v>
      </c>
      <c r="D1465">
        <v>3</v>
      </c>
      <c r="E1465">
        <v>1</v>
      </c>
      <c r="F1465">
        <v>2</v>
      </c>
      <c r="G1465" t="s">
        <v>75</v>
      </c>
      <c r="H1465" t="s">
        <v>6</v>
      </c>
      <c r="I1465">
        <v>80000000</v>
      </c>
      <c r="J1465" t="s">
        <v>38</v>
      </c>
      <c r="K1465" t="s">
        <v>2</v>
      </c>
      <c r="L1465" t="s">
        <v>67</v>
      </c>
      <c r="M1465" t="s">
        <v>80</v>
      </c>
      <c r="N1465" t="s">
        <v>11</v>
      </c>
    </row>
    <row r="1466" spans="1:14" x14ac:dyDescent="0.35">
      <c r="A1466" s="75">
        <v>44002</v>
      </c>
      <c r="B1466" t="s">
        <v>159</v>
      </c>
      <c r="C1466" t="s">
        <v>97</v>
      </c>
      <c r="D1466">
        <v>10</v>
      </c>
      <c r="E1466">
        <v>10</v>
      </c>
      <c r="F1466" t="s">
        <v>10</v>
      </c>
      <c r="G1466" t="s">
        <v>74</v>
      </c>
      <c r="H1466" t="s">
        <v>77</v>
      </c>
      <c r="I1466">
        <v>60000000</v>
      </c>
      <c r="J1466" t="s">
        <v>52</v>
      </c>
      <c r="K1466" t="s">
        <v>9</v>
      </c>
      <c r="L1466" t="s">
        <v>67</v>
      </c>
      <c r="M1466" t="s">
        <v>82</v>
      </c>
      <c r="N1466" t="s">
        <v>12</v>
      </c>
    </row>
    <row r="1467" spans="1:14" x14ac:dyDescent="0.35">
      <c r="A1467" s="75">
        <v>44002</v>
      </c>
      <c r="B1467" t="s">
        <v>159</v>
      </c>
      <c r="C1467" t="s">
        <v>97</v>
      </c>
      <c r="D1467">
        <v>9</v>
      </c>
      <c r="E1467">
        <v>9</v>
      </c>
      <c r="F1467" t="s">
        <v>10</v>
      </c>
      <c r="G1467" t="s">
        <v>71</v>
      </c>
      <c r="H1467" t="s">
        <v>6</v>
      </c>
      <c r="I1467">
        <v>140000000</v>
      </c>
      <c r="J1467" t="s">
        <v>58</v>
      </c>
      <c r="K1467" t="s">
        <v>7</v>
      </c>
      <c r="L1467" t="s">
        <v>67</v>
      </c>
      <c r="M1467" t="s">
        <v>81</v>
      </c>
      <c r="N1467" t="s">
        <v>12</v>
      </c>
    </row>
    <row r="1468" spans="1:14" x14ac:dyDescent="0.35">
      <c r="A1468" s="75">
        <v>44002</v>
      </c>
      <c r="B1468" t="s">
        <v>159</v>
      </c>
      <c r="C1468" t="s">
        <v>97</v>
      </c>
      <c r="D1468">
        <v>9</v>
      </c>
      <c r="E1468">
        <v>9</v>
      </c>
      <c r="F1468" t="s">
        <v>10</v>
      </c>
      <c r="G1468" t="s">
        <v>74</v>
      </c>
      <c r="H1468" t="s">
        <v>77</v>
      </c>
      <c r="I1468">
        <v>100000000</v>
      </c>
      <c r="J1468" t="s">
        <v>51</v>
      </c>
      <c r="K1468" t="s">
        <v>2</v>
      </c>
      <c r="L1468" t="s">
        <v>67</v>
      </c>
      <c r="M1468" t="s">
        <v>81</v>
      </c>
      <c r="N1468" t="s">
        <v>13</v>
      </c>
    </row>
    <row r="1469" spans="1:14" x14ac:dyDescent="0.35">
      <c r="A1469" s="75">
        <v>44002</v>
      </c>
      <c r="B1469" t="s">
        <v>159</v>
      </c>
      <c r="C1469" t="s">
        <v>97</v>
      </c>
      <c r="D1469">
        <v>6</v>
      </c>
      <c r="E1469">
        <v>6</v>
      </c>
      <c r="F1469" t="s">
        <v>10</v>
      </c>
      <c r="G1469" t="s">
        <v>74</v>
      </c>
      <c r="H1469" t="s">
        <v>77</v>
      </c>
      <c r="I1469">
        <v>60000000</v>
      </c>
      <c r="J1469" t="s">
        <v>18</v>
      </c>
      <c r="K1469" t="s">
        <v>5</v>
      </c>
      <c r="L1469" t="s">
        <v>67</v>
      </c>
      <c r="M1469" t="s">
        <v>81</v>
      </c>
      <c r="N1469" t="s">
        <v>12</v>
      </c>
    </row>
    <row r="1470" spans="1:14" x14ac:dyDescent="0.35">
      <c r="A1470" s="75">
        <v>44002</v>
      </c>
      <c r="B1470" t="s">
        <v>159</v>
      </c>
      <c r="C1470" t="s">
        <v>97</v>
      </c>
      <c r="D1470">
        <v>6</v>
      </c>
      <c r="E1470">
        <v>6</v>
      </c>
      <c r="F1470" t="s">
        <v>10</v>
      </c>
      <c r="G1470" t="s">
        <v>74</v>
      </c>
      <c r="H1470" t="s">
        <v>77</v>
      </c>
      <c r="I1470">
        <v>120000000</v>
      </c>
      <c r="J1470" t="s">
        <v>21</v>
      </c>
      <c r="K1470" t="s">
        <v>7</v>
      </c>
      <c r="L1470" t="s">
        <v>67</v>
      </c>
      <c r="M1470" t="s">
        <v>81</v>
      </c>
      <c r="N1470" t="s">
        <v>12</v>
      </c>
    </row>
    <row r="1471" spans="1:14" x14ac:dyDescent="0.35">
      <c r="A1471" s="75">
        <v>44002</v>
      </c>
      <c r="B1471" t="s">
        <v>159</v>
      </c>
      <c r="C1471" t="s">
        <v>97</v>
      </c>
      <c r="D1471">
        <v>5</v>
      </c>
      <c r="E1471">
        <v>5</v>
      </c>
      <c r="F1471" t="s">
        <v>10</v>
      </c>
      <c r="G1471" t="s">
        <v>74</v>
      </c>
      <c r="H1471" t="s">
        <v>77</v>
      </c>
      <c r="I1471">
        <v>100000000</v>
      </c>
      <c r="J1471" t="s">
        <v>59</v>
      </c>
      <c r="K1471" t="s">
        <v>9</v>
      </c>
      <c r="L1471" t="s">
        <v>67</v>
      </c>
      <c r="M1471" t="s">
        <v>81</v>
      </c>
      <c r="N1471" t="s">
        <v>13</v>
      </c>
    </row>
    <row r="1472" spans="1:14" x14ac:dyDescent="0.35">
      <c r="A1472" s="75">
        <v>44002</v>
      </c>
      <c r="B1472" t="s">
        <v>159</v>
      </c>
      <c r="C1472" t="s">
        <v>97</v>
      </c>
      <c r="D1472">
        <v>5</v>
      </c>
      <c r="E1472">
        <v>5</v>
      </c>
      <c r="F1472" t="s">
        <v>10</v>
      </c>
      <c r="G1472" t="s">
        <v>70</v>
      </c>
      <c r="H1472" t="s">
        <v>1</v>
      </c>
      <c r="I1472">
        <v>140000000</v>
      </c>
      <c r="J1472" t="s">
        <v>53</v>
      </c>
      <c r="K1472" t="s">
        <v>5</v>
      </c>
      <c r="L1472" t="s">
        <v>67</v>
      </c>
      <c r="M1472" t="s">
        <v>80</v>
      </c>
      <c r="N1472" t="s">
        <v>11</v>
      </c>
    </row>
    <row r="1473" spans="1:14" x14ac:dyDescent="0.35">
      <c r="A1473" s="75">
        <v>44002</v>
      </c>
      <c r="B1473" t="s">
        <v>159</v>
      </c>
      <c r="C1473" t="s">
        <v>97</v>
      </c>
      <c r="D1473">
        <v>4</v>
      </c>
      <c r="E1473">
        <v>4</v>
      </c>
      <c r="F1473" t="s">
        <v>10</v>
      </c>
      <c r="G1473" t="s">
        <v>75</v>
      </c>
      <c r="H1473" t="s">
        <v>6</v>
      </c>
      <c r="I1473">
        <v>140000000</v>
      </c>
      <c r="J1473" t="s">
        <v>21</v>
      </c>
      <c r="K1473" t="s">
        <v>5</v>
      </c>
      <c r="L1473" t="s">
        <v>67</v>
      </c>
      <c r="M1473" t="s">
        <v>82</v>
      </c>
      <c r="N1473" t="s">
        <v>12</v>
      </c>
    </row>
    <row r="1474" spans="1:14" x14ac:dyDescent="0.35">
      <c r="A1474" s="75">
        <v>44003</v>
      </c>
      <c r="B1474" t="s">
        <v>160</v>
      </c>
      <c r="C1474" t="s">
        <v>97</v>
      </c>
      <c r="D1474">
        <v>10</v>
      </c>
      <c r="E1474">
        <v>10</v>
      </c>
      <c r="F1474" t="s">
        <v>10</v>
      </c>
      <c r="G1474" t="s">
        <v>71</v>
      </c>
      <c r="H1474" t="s">
        <v>6</v>
      </c>
      <c r="I1474">
        <v>60000000</v>
      </c>
      <c r="J1474" t="s">
        <v>58</v>
      </c>
      <c r="K1474" t="s">
        <v>7</v>
      </c>
      <c r="L1474" t="s">
        <v>67</v>
      </c>
      <c r="M1474" t="s">
        <v>82</v>
      </c>
      <c r="N1474" t="s">
        <v>12</v>
      </c>
    </row>
    <row r="1475" spans="1:14" x14ac:dyDescent="0.35">
      <c r="A1475" s="75">
        <v>44003</v>
      </c>
      <c r="B1475" t="s">
        <v>160</v>
      </c>
      <c r="C1475" t="s">
        <v>97</v>
      </c>
      <c r="D1475">
        <v>9</v>
      </c>
      <c r="E1475">
        <v>9</v>
      </c>
      <c r="F1475" t="s">
        <v>10</v>
      </c>
      <c r="G1475" t="s">
        <v>73</v>
      </c>
      <c r="H1475" t="s">
        <v>78</v>
      </c>
      <c r="I1475">
        <v>60000000</v>
      </c>
      <c r="J1475" t="s">
        <v>48</v>
      </c>
      <c r="K1475" t="s">
        <v>5</v>
      </c>
      <c r="L1475" t="s">
        <v>67</v>
      </c>
      <c r="M1475" t="s">
        <v>81</v>
      </c>
      <c r="N1475" t="s">
        <v>14</v>
      </c>
    </row>
    <row r="1476" spans="1:14" x14ac:dyDescent="0.35">
      <c r="A1476" s="75">
        <v>44003</v>
      </c>
      <c r="B1476" t="s">
        <v>160</v>
      </c>
      <c r="C1476" t="s">
        <v>97</v>
      </c>
      <c r="D1476">
        <v>8</v>
      </c>
      <c r="E1476">
        <v>8</v>
      </c>
      <c r="F1476" t="s">
        <v>10</v>
      </c>
      <c r="G1476" t="s">
        <v>114</v>
      </c>
      <c r="H1476" t="s">
        <v>3</v>
      </c>
      <c r="I1476">
        <v>40000000</v>
      </c>
      <c r="J1476" t="s">
        <v>50</v>
      </c>
      <c r="K1476" t="s">
        <v>8</v>
      </c>
      <c r="L1476" t="s">
        <v>67</v>
      </c>
      <c r="M1476" t="s">
        <v>80</v>
      </c>
      <c r="N1476" t="s">
        <v>11</v>
      </c>
    </row>
    <row r="1477" spans="1:14" x14ac:dyDescent="0.35">
      <c r="A1477" s="75">
        <v>44003</v>
      </c>
      <c r="B1477" t="s">
        <v>160</v>
      </c>
      <c r="C1477" t="s">
        <v>97</v>
      </c>
      <c r="D1477">
        <v>7</v>
      </c>
      <c r="E1477">
        <v>7</v>
      </c>
      <c r="F1477" t="s">
        <v>10</v>
      </c>
      <c r="G1477" t="s">
        <v>76</v>
      </c>
      <c r="H1477" t="s">
        <v>79</v>
      </c>
      <c r="I1477">
        <v>40000000</v>
      </c>
      <c r="J1477" t="s">
        <v>24</v>
      </c>
      <c r="K1477" t="s">
        <v>2</v>
      </c>
      <c r="L1477" t="s">
        <v>67</v>
      </c>
      <c r="M1477" t="s">
        <v>82</v>
      </c>
      <c r="N1477" t="s">
        <v>13</v>
      </c>
    </row>
    <row r="1478" spans="1:14" x14ac:dyDescent="0.35">
      <c r="A1478" s="75">
        <v>44003</v>
      </c>
      <c r="B1478" t="s">
        <v>160</v>
      </c>
      <c r="C1478" t="s">
        <v>97</v>
      </c>
      <c r="D1478">
        <v>5</v>
      </c>
      <c r="E1478">
        <v>5</v>
      </c>
      <c r="F1478" t="s">
        <v>10</v>
      </c>
      <c r="G1478" t="s">
        <v>74</v>
      </c>
      <c r="H1478" t="s">
        <v>77</v>
      </c>
      <c r="I1478">
        <v>140000000</v>
      </c>
      <c r="J1478" t="s">
        <v>16</v>
      </c>
      <c r="K1478" t="s">
        <v>5</v>
      </c>
      <c r="L1478" t="s">
        <v>67</v>
      </c>
      <c r="M1478" t="s">
        <v>80</v>
      </c>
      <c r="N1478" t="s">
        <v>13</v>
      </c>
    </row>
    <row r="1479" spans="1:14" x14ac:dyDescent="0.35">
      <c r="A1479" s="75">
        <v>44003</v>
      </c>
      <c r="B1479" t="s">
        <v>160</v>
      </c>
      <c r="C1479" t="s">
        <v>97</v>
      </c>
      <c r="D1479">
        <v>4</v>
      </c>
      <c r="E1479">
        <v>4</v>
      </c>
      <c r="F1479" t="s">
        <v>10</v>
      </c>
      <c r="G1479" t="s">
        <v>113</v>
      </c>
      <c r="H1479" t="s">
        <v>77</v>
      </c>
      <c r="I1479">
        <v>100000000</v>
      </c>
      <c r="J1479" t="s">
        <v>26</v>
      </c>
      <c r="K1479" t="s">
        <v>5</v>
      </c>
      <c r="L1479" t="s">
        <v>67</v>
      </c>
      <c r="M1479" t="s">
        <v>81</v>
      </c>
      <c r="N1479" t="s">
        <v>12</v>
      </c>
    </row>
    <row r="1480" spans="1:14" x14ac:dyDescent="0.35">
      <c r="A1480" s="75">
        <v>44003</v>
      </c>
      <c r="B1480" t="s">
        <v>160</v>
      </c>
      <c r="C1480" t="s">
        <v>97</v>
      </c>
      <c r="D1480">
        <v>4</v>
      </c>
      <c r="E1480">
        <v>4</v>
      </c>
      <c r="F1480" t="s">
        <v>10</v>
      </c>
      <c r="G1480" t="s">
        <v>72</v>
      </c>
      <c r="H1480" t="s">
        <v>78</v>
      </c>
      <c r="I1480">
        <v>40000000</v>
      </c>
      <c r="J1480" t="s">
        <v>37</v>
      </c>
      <c r="K1480" t="s">
        <v>5</v>
      </c>
      <c r="L1480" t="s">
        <v>67</v>
      </c>
      <c r="M1480" t="s">
        <v>82</v>
      </c>
      <c r="N1480" t="s">
        <v>12</v>
      </c>
    </row>
    <row r="1481" spans="1:14" x14ac:dyDescent="0.35">
      <c r="A1481" s="75">
        <v>44003</v>
      </c>
      <c r="B1481" t="s">
        <v>160</v>
      </c>
      <c r="C1481" t="s">
        <v>97</v>
      </c>
      <c r="D1481">
        <v>3</v>
      </c>
      <c r="E1481">
        <v>3</v>
      </c>
      <c r="F1481" t="s">
        <v>10</v>
      </c>
      <c r="G1481" t="s">
        <v>76</v>
      </c>
      <c r="H1481" t="s">
        <v>79</v>
      </c>
      <c r="I1481">
        <v>120000000</v>
      </c>
      <c r="J1481" t="s">
        <v>64</v>
      </c>
      <c r="K1481" t="s">
        <v>7</v>
      </c>
      <c r="L1481" t="s">
        <v>67</v>
      </c>
      <c r="M1481" t="s">
        <v>82</v>
      </c>
      <c r="N1481" t="s">
        <v>12</v>
      </c>
    </row>
    <row r="1482" spans="1:14" x14ac:dyDescent="0.35">
      <c r="A1482" s="75">
        <v>44003</v>
      </c>
      <c r="B1482" t="s">
        <v>160</v>
      </c>
      <c r="C1482" t="s">
        <v>97</v>
      </c>
      <c r="D1482">
        <v>3</v>
      </c>
      <c r="E1482">
        <v>3</v>
      </c>
      <c r="F1482" t="s">
        <v>10</v>
      </c>
      <c r="G1482" t="s">
        <v>75</v>
      </c>
      <c r="H1482" t="s">
        <v>6</v>
      </c>
      <c r="I1482">
        <v>80000000</v>
      </c>
      <c r="J1482" t="s">
        <v>52</v>
      </c>
      <c r="K1482" t="s">
        <v>7</v>
      </c>
      <c r="L1482" t="s">
        <v>67</v>
      </c>
      <c r="M1482" t="s">
        <v>82</v>
      </c>
      <c r="N1482" t="s">
        <v>14</v>
      </c>
    </row>
    <row r="1483" spans="1:14" x14ac:dyDescent="0.35">
      <c r="A1483" s="75">
        <v>44003</v>
      </c>
      <c r="B1483" t="s">
        <v>160</v>
      </c>
      <c r="C1483" t="s">
        <v>97</v>
      </c>
      <c r="D1483">
        <v>3</v>
      </c>
      <c r="E1483">
        <v>3</v>
      </c>
      <c r="F1483" t="s">
        <v>10</v>
      </c>
      <c r="G1483" t="s">
        <v>113</v>
      </c>
      <c r="H1483" t="s">
        <v>77</v>
      </c>
      <c r="I1483">
        <v>80000000</v>
      </c>
      <c r="J1483" t="s">
        <v>38</v>
      </c>
      <c r="K1483" t="s">
        <v>2</v>
      </c>
      <c r="L1483" t="s">
        <v>67</v>
      </c>
      <c r="M1483" t="s">
        <v>82</v>
      </c>
      <c r="N1483" t="s">
        <v>11</v>
      </c>
    </row>
    <row r="1484" spans="1:14" x14ac:dyDescent="0.35">
      <c r="A1484" s="75">
        <v>44004</v>
      </c>
      <c r="B1484" t="s">
        <v>161</v>
      </c>
      <c r="C1484" t="s">
        <v>97</v>
      </c>
      <c r="D1484">
        <v>9</v>
      </c>
      <c r="E1484">
        <v>9</v>
      </c>
      <c r="F1484" t="s">
        <v>10</v>
      </c>
      <c r="G1484" t="s">
        <v>75</v>
      </c>
      <c r="H1484" t="s">
        <v>6</v>
      </c>
      <c r="I1484">
        <v>140000000</v>
      </c>
      <c r="J1484" t="s">
        <v>42</v>
      </c>
      <c r="K1484" t="s">
        <v>2</v>
      </c>
      <c r="L1484" t="s">
        <v>67</v>
      </c>
      <c r="M1484" t="s">
        <v>82</v>
      </c>
      <c r="N1484" t="s">
        <v>13</v>
      </c>
    </row>
    <row r="1485" spans="1:14" x14ac:dyDescent="0.35">
      <c r="A1485" s="75">
        <v>44004</v>
      </c>
      <c r="B1485" t="s">
        <v>161</v>
      </c>
      <c r="C1485" t="s">
        <v>97</v>
      </c>
      <c r="D1485">
        <v>8</v>
      </c>
      <c r="E1485">
        <v>8</v>
      </c>
      <c r="F1485" t="s">
        <v>10</v>
      </c>
      <c r="G1485" t="s">
        <v>114</v>
      </c>
      <c r="H1485" t="s">
        <v>3</v>
      </c>
      <c r="I1485">
        <v>60000000</v>
      </c>
      <c r="J1485" t="s">
        <v>38</v>
      </c>
      <c r="K1485" t="s">
        <v>7</v>
      </c>
      <c r="L1485" t="s">
        <v>67</v>
      </c>
      <c r="M1485" t="s">
        <v>80</v>
      </c>
      <c r="N1485" t="s">
        <v>14</v>
      </c>
    </row>
    <row r="1486" spans="1:14" x14ac:dyDescent="0.35">
      <c r="A1486" s="75">
        <v>44004</v>
      </c>
      <c r="B1486" t="s">
        <v>161</v>
      </c>
      <c r="C1486" t="s">
        <v>97</v>
      </c>
      <c r="D1486">
        <v>7</v>
      </c>
      <c r="E1486">
        <v>7</v>
      </c>
      <c r="F1486" t="s">
        <v>10</v>
      </c>
      <c r="G1486" t="s">
        <v>114</v>
      </c>
      <c r="H1486" t="s">
        <v>3</v>
      </c>
      <c r="I1486">
        <v>100000000</v>
      </c>
      <c r="J1486" t="s">
        <v>39</v>
      </c>
      <c r="K1486" t="s">
        <v>4</v>
      </c>
      <c r="L1486" t="s">
        <v>67</v>
      </c>
      <c r="M1486" t="s">
        <v>82</v>
      </c>
      <c r="N1486" t="s">
        <v>14</v>
      </c>
    </row>
    <row r="1487" spans="1:14" x14ac:dyDescent="0.35">
      <c r="A1487" s="75">
        <v>44004</v>
      </c>
      <c r="B1487" t="s">
        <v>161</v>
      </c>
      <c r="C1487" t="s">
        <v>97</v>
      </c>
      <c r="D1487">
        <v>7</v>
      </c>
      <c r="E1487">
        <v>7</v>
      </c>
      <c r="F1487" t="s">
        <v>10</v>
      </c>
      <c r="G1487" t="s">
        <v>76</v>
      </c>
      <c r="H1487" t="s">
        <v>79</v>
      </c>
      <c r="I1487">
        <v>60000000</v>
      </c>
      <c r="J1487" t="s">
        <v>28</v>
      </c>
      <c r="K1487" t="s">
        <v>2</v>
      </c>
      <c r="L1487" t="s">
        <v>67</v>
      </c>
      <c r="M1487" t="s">
        <v>81</v>
      </c>
      <c r="N1487" t="s">
        <v>11</v>
      </c>
    </row>
    <row r="1488" spans="1:14" x14ac:dyDescent="0.35">
      <c r="A1488" s="75">
        <v>44004</v>
      </c>
      <c r="B1488" t="s">
        <v>161</v>
      </c>
      <c r="C1488" t="s">
        <v>97</v>
      </c>
      <c r="D1488">
        <v>7</v>
      </c>
      <c r="E1488">
        <v>7</v>
      </c>
      <c r="F1488" t="s">
        <v>10</v>
      </c>
      <c r="G1488" t="s">
        <v>71</v>
      </c>
      <c r="H1488" t="s">
        <v>6</v>
      </c>
      <c r="I1488">
        <v>80000000</v>
      </c>
      <c r="J1488" t="s">
        <v>62</v>
      </c>
      <c r="K1488" t="s">
        <v>5</v>
      </c>
      <c r="L1488" t="s">
        <v>67</v>
      </c>
      <c r="M1488" t="s">
        <v>82</v>
      </c>
      <c r="N1488" t="s">
        <v>12</v>
      </c>
    </row>
    <row r="1489" spans="1:14" x14ac:dyDescent="0.35">
      <c r="A1489" s="75">
        <v>44004</v>
      </c>
      <c r="B1489" t="s">
        <v>161</v>
      </c>
      <c r="C1489" t="s">
        <v>97</v>
      </c>
      <c r="D1489">
        <v>6</v>
      </c>
      <c r="E1489">
        <v>6</v>
      </c>
      <c r="F1489" t="s">
        <v>10</v>
      </c>
      <c r="G1489" t="s">
        <v>74</v>
      </c>
      <c r="H1489" t="s">
        <v>77</v>
      </c>
      <c r="I1489">
        <v>40000000</v>
      </c>
      <c r="J1489" t="s">
        <v>50</v>
      </c>
      <c r="K1489" t="s">
        <v>2</v>
      </c>
      <c r="L1489" t="s">
        <v>67</v>
      </c>
      <c r="M1489" t="s">
        <v>80</v>
      </c>
      <c r="N1489" t="s">
        <v>13</v>
      </c>
    </row>
    <row r="1490" spans="1:14" x14ac:dyDescent="0.35">
      <c r="A1490" s="75">
        <v>44004</v>
      </c>
      <c r="B1490" t="s">
        <v>161</v>
      </c>
      <c r="C1490" t="s">
        <v>97</v>
      </c>
      <c r="D1490">
        <v>4</v>
      </c>
      <c r="E1490">
        <v>4</v>
      </c>
      <c r="F1490" t="s">
        <v>10</v>
      </c>
      <c r="G1490" t="s">
        <v>73</v>
      </c>
      <c r="H1490" t="s">
        <v>78</v>
      </c>
      <c r="I1490">
        <v>60000000</v>
      </c>
      <c r="J1490" t="s">
        <v>35</v>
      </c>
      <c r="K1490" t="s">
        <v>7</v>
      </c>
      <c r="L1490" t="s">
        <v>67</v>
      </c>
      <c r="M1490" t="s">
        <v>82</v>
      </c>
      <c r="N1490" t="s">
        <v>12</v>
      </c>
    </row>
    <row r="1491" spans="1:14" x14ac:dyDescent="0.35">
      <c r="A1491" s="75">
        <v>44005</v>
      </c>
      <c r="B1491" t="s">
        <v>162</v>
      </c>
      <c r="C1491" t="s">
        <v>97</v>
      </c>
      <c r="D1491">
        <v>9</v>
      </c>
      <c r="E1491">
        <v>9</v>
      </c>
      <c r="F1491" t="s">
        <v>10</v>
      </c>
      <c r="G1491" t="s">
        <v>113</v>
      </c>
      <c r="H1491" t="s">
        <v>77</v>
      </c>
      <c r="I1491">
        <v>100000000</v>
      </c>
      <c r="J1491" t="s">
        <v>45</v>
      </c>
      <c r="K1491" t="s">
        <v>2</v>
      </c>
      <c r="L1491" t="s">
        <v>67</v>
      </c>
      <c r="M1491" t="s">
        <v>82</v>
      </c>
      <c r="N1491" t="s">
        <v>12</v>
      </c>
    </row>
    <row r="1492" spans="1:14" x14ac:dyDescent="0.35">
      <c r="A1492" s="75">
        <v>44005</v>
      </c>
      <c r="B1492" t="s">
        <v>162</v>
      </c>
      <c r="C1492" t="s">
        <v>97</v>
      </c>
      <c r="D1492">
        <v>9</v>
      </c>
      <c r="E1492">
        <v>9</v>
      </c>
      <c r="F1492" t="s">
        <v>10</v>
      </c>
      <c r="G1492" t="s">
        <v>71</v>
      </c>
      <c r="H1492" t="s">
        <v>6</v>
      </c>
      <c r="I1492">
        <v>100000000</v>
      </c>
      <c r="J1492" t="s">
        <v>21</v>
      </c>
      <c r="K1492" t="s">
        <v>7</v>
      </c>
      <c r="L1492" t="s">
        <v>67</v>
      </c>
      <c r="M1492" t="s">
        <v>80</v>
      </c>
      <c r="N1492" t="s">
        <v>14</v>
      </c>
    </row>
    <row r="1493" spans="1:14" x14ac:dyDescent="0.35">
      <c r="A1493" s="75">
        <v>44005</v>
      </c>
      <c r="B1493" t="s">
        <v>162</v>
      </c>
      <c r="C1493" t="s">
        <v>97</v>
      </c>
      <c r="D1493">
        <v>8</v>
      </c>
      <c r="E1493">
        <v>8</v>
      </c>
      <c r="F1493" t="s">
        <v>10</v>
      </c>
      <c r="G1493" t="s">
        <v>76</v>
      </c>
      <c r="H1493" t="s">
        <v>79</v>
      </c>
      <c r="I1493">
        <v>120000000</v>
      </c>
      <c r="J1493" t="s">
        <v>43</v>
      </c>
      <c r="K1493" t="s">
        <v>2</v>
      </c>
      <c r="L1493" t="s">
        <v>67</v>
      </c>
      <c r="M1493" t="s">
        <v>82</v>
      </c>
      <c r="N1493" t="s">
        <v>13</v>
      </c>
    </row>
    <row r="1494" spans="1:14" x14ac:dyDescent="0.35">
      <c r="A1494" s="75">
        <v>44005</v>
      </c>
      <c r="B1494" t="s">
        <v>162</v>
      </c>
      <c r="C1494" t="s">
        <v>97</v>
      </c>
      <c r="D1494">
        <v>7</v>
      </c>
      <c r="E1494">
        <v>7</v>
      </c>
      <c r="F1494" t="s">
        <v>10</v>
      </c>
      <c r="G1494" t="s">
        <v>73</v>
      </c>
      <c r="H1494" t="s">
        <v>78</v>
      </c>
      <c r="I1494">
        <v>40000000</v>
      </c>
      <c r="J1494" t="s">
        <v>19</v>
      </c>
      <c r="K1494" t="s">
        <v>5</v>
      </c>
      <c r="L1494" t="s">
        <v>67</v>
      </c>
      <c r="M1494" t="s">
        <v>82</v>
      </c>
      <c r="N1494" t="s">
        <v>12</v>
      </c>
    </row>
    <row r="1495" spans="1:14" x14ac:dyDescent="0.35">
      <c r="A1495" s="75">
        <v>44005</v>
      </c>
      <c r="B1495" t="s">
        <v>162</v>
      </c>
      <c r="C1495" t="s">
        <v>97</v>
      </c>
      <c r="D1495">
        <v>6</v>
      </c>
      <c r="E1495">
        <v>6</v>
      </c>
      <c r="F1495" t="s">
        <v>10</v>
      </c>
      <c r="G1495" t="s">
        <v>73</v>
      </c>
      <c r="H1495" t="s">
        <v>78</v>
      </c>
      <c r="I1495">
        <v>120000000</v>
      </c>
      <c r="J1495" t="s">
        <v>20</v>
      </c>
      <c r="K1495" t="s">
        <v>2</v>
      </c>
      <c r="L1495" t="s">
        <v>67</v>
      </c>
      <c r="M1495" t="s">
        <v>80</v>
      </c>
      <c r="N1495" t="s">
        <v>12</v>
      </c>
    </row>
    <row r="1496" spans="1:14" x14ac:dyDescent="0.35">
      <c r="A1496" s="75">
        <v>44005</v>
      </c>
      <c r="B1496" t="s">
        <v>162</v>
      </c>
      <c r="C1496" t="s">
        <v>97</v>
      </c>
      <c r="D1496">
        <v>5</v>
      </c>
      <c r="E1496">
        <v>5</v>
      </c>
      <c r="F1496" t="s">
        <v>10</v>
      </c>
      <c r="G1496" t="s">
        <v>73</v>
      </c>
      <c r="H1496" t="s">
        <v>78</v>
      </c>
      <c r="I1496">
        <v>100000000</v>
      </c>
      <c r="J1496" t="s">
        <v>43</v>
      </c>
      <c r="K1496" t="s">
        <v>5</v>
      </c>
      <c r="L1496" t="s">
        <v>67</v>
      </c>
      <c r="M1496" t="s">
        <v>80</v>
      </c>
      <c r="N1496" t="s">
        <v>14</v>
      </c>
    </row>
    <row r="1497" spans="1:14" x14ac:dyDescent="0.35">
      <c r="A1497" s="75">
        <v>44005</v>
      </c>
      <c r="B1497" t="s">
        <v>162</v>
      </c>
      <c r="C1497" t="s">
        <v>97</v>
      </c>
      <c r="D1497">
        <v>4</v>
      </c>
      <c r="E1497">
        <v>4</v>
      </c>
      <c r="F1497" t="s">
        <v>10</v>
      </c>
      <c r="G1497" t="s">
        <v>76</v>
      </c>
      <c r="H1497" t="s">
        <v>79</v>
      </c>
      <c r="I1497">
        <v>100000000</v>
      </c>
      <c r="J1497" t="s">
        <v>54</v>
      </c>
      <c r="K1497" t="s">
        <v>2</v>
      </c>
      <c r="L1497" t="s">
        <v>67</v>
      </c>
      <c r="M1497" t="s">
        <v>81</v>
      </c>
      <c r="N1497" t="s">
        <v>11</v>
      </c>
    </row>
    <row r="1498" spans="1:14" x14ac:dyDescent="0.35">
      <c r="A1498" s="75">
        <v>44005</v>
      </c>
      <c r="B1498" t="s">
        <v>162</v>
      </c>
      <c r="C1498" t="s">
        <v>97</v>
      </c>
      <c r="D1498">
        <v>3</v>
      </c>
      <c r="E1498">
        <v>3</v>
      </c>
      <c r="F1498" t="s">
        <v>10</v>
      </c>
      <c r="G1498" t="s">
        <v>76</v>
      </c>
      <c r="H1498" t="s">
        <v>79</v>
      </c>
      <c r="I1498">
        <v>60000000</v>
      </c>
      <c r="J1498" t="s">
        <v>39</v>
      </c>
      <c r="K1498" t="s">
        <v>2</v>
      </c>
      <c r="L1498" t="s">
        <v>67</v>
      </c>
      <c r="M1498" t="s">
        <v>81</v>
      </c>
      <c r="N1498" t="s">
        <v>13</v>
      </c>
    </row>
    <row r="1499" spans="1:14" x14ac:dyDescent="0.35">
      <c r="A1499" s="75">
        <v>44005</v>
      </c>
      <c r="B1499" t="s">
        <v>162</v>
      </c>
      <c r="C1499" t="s">
        <v>97</v>
      </c>
      <c r="D1499">
        <v>3</v>
      </c>
      <c r="E1499">
        <v>3</v>
      </c>
      <c r="F1499" t="s">
        <v>10</v>
      </c>
      <c r="G1499" t="s">
        <v>76</v>
      </c>
      <c r="H1499" t="s">
        <v>79</v>
      </c>
      <c r="I1499">
        <v>60000000</v>
      </c>
      <c r="J1499" t="s">
        <v>18</v>
      </c>
      <c r="K1499" t="s">
        <v>2</v>
      </c>
      <c r="L1499" t="s">
        <v>67</v>
      </c>
      <c r="M1499" t="s">
        <v>81</v>
      </c>
      <c r="N1499" t="s">
        <v>11</v>
      </c>
    </row>
    <row r="1500" spans="1:14" x14ac:dyDescent="0.35">
      <c r="A1500" s="75">
        <v>44006</v>
      </c>
      <c r="B1500" t="s">
        <v>163</v>
      </c>
      <c r="C1500" t="s">
        <v>97</v>
      </c>
      <c r="D1500">
        <v>10</v>
      </c>
      <c r="E1500">
        <v>10</v>
      </c>
      <c r="F1500" t="s">
        <v>10</v>
      </c>
      <c r="G1500" t="s">
        <v>75</v>
      </c>
      <c r="H1500" t="s">
        <v>6</v>
      </c>
      <c r="I1500">
        <v>120000000</v>
      </c>
      <c r="J1500" t="s">
        <v>30</v>
      </c>
      <c r="K1500" t="s">
        <v>5</v>
      </c>
      <c r="L1500" t="s">
        <v>67</v>
      </c>
      <c r="M1500" t="s">
        <v>82</v>
      </c>
      <c r="N1500" t="s">
        <v>13</v>
      </c>
    </row>
    <row r="1501" spans="1:14" x14ac:dyDescent="0.35">
      <c r="A1501" s="75">
        <v>44006</v>
      </c>
      <c r="B1501" t="s">
        <v>163</v>
      </c>
      <c r="C1501" t="s">
        <v>97</v>
      </c>
      <c r="D1501">
        <v>8</v>
      </c>
      <c r="E1501">
        <v>8</v>
      </c>
      <c r="F1501" t="s">
        <v>10</v>
      </c>
      <c r="G1501" t="s">
        <v>71</v>
      </c>
      <c r="H1501" t="s">
        <v>6</v>
      </c>
      <c r="I1501">
        <v>80000000</v>
      </c>
      <c r="J1501" t="s">
        <v>29</v>
      </c>
      <c r="K1501" t="s">
        <v>5</v>
      </c>
      <c r="L1501" t="s">
        <v>67</v>
      </c>
      <c r="M1501" t="s">
        <v>81</v>
      </c>
      <c r="N1501" t="s">
        <v>11</v>
      </c>
    </row>
    <row r="1502" spans="1:14" x14ac:dyDescent="0.35">
      <c r="A1502" s="75">
        <v>44006</v>
      </c>
      <c r="B1502" t="s">
        <v>163</v>
      </c>
      <c r="C1502" t="s">
        <v>97</v>
      </c>
      <c r="D1502">
        <v>8</v>
      </c>
      <c r="E1502">
        <v>8</v>
      </c>
      <c r="F1502" t="s">
        <v>10</v>
      </c>
      <c r="G1502" t="s">
        <v>113</v>
      </c>
      <c r="H1502" t="s">
        <v>77</v>
      </c>
      <c r="I1502">
        <v>40000000</v>
      </c>
      <c r="J1502" t="s">
        <v>28</v>
      </c>
      <c r="K1502" t="s">
        <v>4</v>
      </c>
      <c r="L1502" t="s">
        <v>67</v>
      </c>
      <c r="M1502" t="s">
        <v>81</v>
      </c>
      <c r="N1502" t="s">
        <v>14</v>
      </c>
    </row>
    <row r="1503" spans="1:14" x14ac:dyDescent="0.35">
      <c r="A1503" s="75">
        <v>44006</v>
      </c>
      <c r="B1503" t="s">
        <v>163</v>
      </c>
      <c r="C1503" t="s">
        <v>97</v>
      </c>
      <c r="D1503">
        <v>7</v>
      </c>
      <c r="E1503">
        <v>7</v>
      </c>
      <c r="F1503" t="s">
        <v>10</v>
      </c>
      <c r="G1503" t="s">
        <v>75</v>
      </c>
      <c r="H1503" t="s">
        <v>6</v>
      </c>
      <c r="I1503">
        <v>120000000</v>
      </c>
      <c r="J1503" t="s">
        <v>17</v>
      </c>
      <c r="K1503" t="s">
        <v>2</v>
      </c>
      <c r="L1503" t="s">
        <v>67</v>
      </c>
      <c r="M1503" t="s">
        <v>80</v>
      </c>
      <c r="N1503" t="s">
        <v>14</v>
      </c>
    </row>
    <row r="1504" spans="1:14" x14ac:dyDescent="0.35">
      <c r="A1504" s="75">
        <v>44006</v>
      </c>
      <c r="B1504" t="s">
        <v>163</v>
      </c>
      <c r="C1504" t="s">
        <v>97</v>
      </c>
      <c r="D1504">
        <v>6</v>
      </c>
      <c r="E1504">
        <v>6</v>
      </c>
      <c r="F1504" t="s">
        <v>10</v>
      </c>
      <c r="G1504" t="s">
        <v>76</v>
      </c>
      <c r="H1504" t="s">
        <v>79</v>
      </c>
      <c r="I1504">
        <v>140000000</v>
      </c>
      <c r="J1504" t="s">
        <v>41</v>
      </c>
      <c r="K1504" t="s">
        <v>5</v>
      </c>
      <c r="L1504" t="s">
        <v>67</v>
      </c>
      <c r="M1504" t="s">
        <v>82</v>
      </c>
      <c r="N1504" t="s">
        <v>13</v>
      </c>
    </row>
    <row r="1505" spans="1:14" x14ac:dyDescent="0.35">
      <c r="A1505" s="75">
        <v>44007</v>
      </c>
      <c r="B1505" t="s">
        <v>164</v>
      </c>
      <c r="C1505" t="s">
        <v>97</v>
      </c>
      <c r="D1505">
        <v>9</v>
      </c>
      <c r="E1505">
        <v>9</v>
      </c>
      <c r="F1505" t="s">
        <v>10</v>
      </c>
      <c r="G1505" t="s">
        <v>76</v>
      </c>
      <c r="H1505" t="s">
        <v>79</v>
      </c>
      <c r="I1505">
        <v>100000000</v>
      </c>
      <c r="J1505" t="s">
        <v>50</v>
      </c>
      <c r="K1505" t="s">
        <v>5</v>
      </c>
      <c r="L1505" t="s">
        <v>67</v>
      </c>
      <c r="M1505" t="s">
        <v>80</v>
      </c>
      <c r="N1505" t="s">
        <v>14</v>
      </c>
    </row>
    <row r="1506" spans="1:14" x14ac:dyDescent="0.35">
      <c r="A1506" s="75">
        <v>44007</v>
      </c>
      <c r="B1506" t="s">
        <v>164</v>
      </c>
      <c r="C1506" t="s">
        <v>97</v>
      </c>
      <c r="D1506">
        <v>8</v>
      </c>
      <c r="E1506">
        <v>8</v>
      </c>
      <c r="F1506" t="s">
        <v>10</v>
      </c>
      <c r="G1506" t="s">
        <v>71</v>
      </c>
      <c r="H1506" t="s">
        <v>6</v>
      </c>
      <c r="I1506">
        <v>140000000</v>
      </c>
      <c r="J1506" t="s">
        <v>52</v>
      </c>
      <c r="K1506" t="s">
        <v>7</v>
      </c>
      <c r="L1506" t="s">
        <v>67</v>
      </c>
      <c r="M1506" t="s">
        <v>82</v>
      </c>
      <c r="N1506" t="s">
        <v>11</v>
      </c>
    </row>
    <row r="1507" spans="1:14" x14ac:dyDescent="0.35">
      <c r="A1507" s="75">
        <v>44007</v>
      </c>
      <c r="B1507" t="s">
        <v>164</v>
      </c>
      <c r="C1507" t="s">
        <v>97</v>
      </c>
      <c r="D1507">
        <v>8</v>
      </c>
      <c r="E1507">
        <v>8</v>
      </c>
      <c r="F1507" t="s">
        <v>10</v>
      </c>
      <c r="G1507" t="s">
        <v>72</v>
      </c>
      <c r="H1507" t="s">
        <v>78</v>
      </c>
      <c r="I1507">
        <v>140000000</v>
      </c>
      <c r="J1507" t="s">
        <v>61</v>
      </c>
      <c r="K1507" t="s">
        <v>2</v>
      </c>
      <c r="L1507" t="s">
        <v>67</v>
      </c>
      <c r="M1507" t="s">
        <v>80</v>
      </c>
      <c r="N1507" t="s">
        <v>11</v>
      </c>
    </row>
    <row r="1508" spans="1:14" x14ac:dyDescent="0.35">
      <c r="A1508" s="75">
        <v>44007</v>
      </c>
      <c r="B1508" t="s">
        <v>164</v>
      </c>
      <c r="C1508" t="s">
        <v>97</v>
      </c>
      <c r="D1508">
        <v>8</v>
      </c>
      <c r="E1508">
        <v>8</v>
      </c>
      <c r="F1508" t="s">
        <v>10</v>
      </c>
      <c r="G1508" t="s">
        <v>70</v>
      </c>
      <c r="H1508" t="s">
        <v>1</v>
      </c>
      <c r="I1508">
        <v>120000000</v>
      </c>
      <c r="J1508" t="s">
        <v>19</v>
      </c>
      <c r="K1508" t="s">
        <v>5</v>
      </c>
      <c r="L1508" t="s">
        <v>67</v>
      </c>
      <c r="M1508" t="s">
        <v>80</v>
      </c>
      <c r="N1508" t="s">
        <v>14</v>
      </c>
    </row>
    <row r="1509" spans="1:14" x14ac:dyDescent="0.35">
      <c r="A1509" s="75">
        <v>44007</v>
      </c>
      <c r="B1509" t="s">
        <v>164</v>
      </c>
      <c r="C1509" t="s">
        <v>97</v>
      </c>
      <c r="D1509">
        <v>6</v>
      </c>
      <c r="E1509">
        <v>6</v>
      </c>
      <c r="F1509" t="s">
        <v>10</v>
      </c>
      <c r="G1509" t="s">
        <v>74</v>
      </c>
      <c r="H1509" t="s">
        <v>77</v>
      </c>
      <c r="I1509">
        <v>120000000</v>
      </c>
      <c r="J1509" t="s">
        <v>64</v>
      </c>
      <c r="K1509" t="s">
        <v>2</v>
      </c>
      <c r="L1509" t="s">
        <v>67</v>
      </c>
      <c r="M1509" t="s">
        <v>80</v>
      </c>
      <c r="N1509" t="s">
        <v>11</v>
      </c>
    </row>
    <row r="1510" spans="1:14" x14ac:dyDescent="0.35">
      <c r="A1510" s="75">
        <v>44007</v>
      </c>
      <c r="B1510" t="s">
        <v>164</v>
      </c>
      <c r="C1510" t="s">
        <v>97</v>
      </c>
      <c r="D1510">
        <v>5</v>
      </c>
      <c r="E1510">
        <v>5</v>
      </c>
      <c r="F1510" t="s">
        <v>10</v>
      </c>
      <c r="G1510" t="s">
        <v>74</v>
      </c>
      <c r="H1510" t="s">
        <v>77</v>
      </c>
      <c r="I1510">
        <v>40000000</v>
      </c>
      <c r="J1510" t="s">
        <v>15</v>
      </c>
      <c r="K1510" t="s">
        <v>2</v>
      </c>
      <c r="L1510" t="s">
        <v>67</v>
      </c>
      <c r="M1510" t="s">
        <v>81</v>
      </c>
      <c r="N1510" t="s">
        <v>12</v>
      </c>
    </row>
    <row r="1511" spans="1:14" x14ac:dyDescent="0.35">
      <c r="A1511" s="75">
        <v>44007</v>
      </c>
      <c r="B1511" t="s">
        <v>164</v>
      </c>
      <c r="C1511" t="s">
        <v>97</v>
      </c>
      <c r="D1511">
        <v>5</v>
      </c>
      <c r="E1511">
        <v>5</v>
      </c>
      <c r="F1511" t="s">
        <v>10</v>
      </c>
      <c r="G1511" t="s">
        <v>73</v>
      </c>
      <c r="H1511" t="s">
        <v>78</v>
      </c>
      <c r="I1511">
        <v>100000000</v>
      </c>
      <c r="J1511" t="s">
        <v>50</v>
      </c>
      <c r="K1511" t="s">
        <v>5</v>
      </c>
      <c r="L1511" t="s">
        <v>67</v>
      </c>
      <c r="M1511" t="s">
        <v>82</v>
      </c>
      <c r="N1511" t="s">
        <v>11</v>
      </c>
    </row>
    <row r="1512" spans="1:14" x14ac:dyDescent="0.35">
      <c r="A1512" s="75">
        <v>44007</v>
      </c>
      <c r="B1512" t="s">
        <v>164</v>
      </c>
      <c r="C1512" t="s">
        <v>97</v>
      </c>
      <c r="D1512">
        <v>3</v>
      </c>
      <c r="E1512">
        <v>3</v>
      </c>
      <c r="F1512" t="s">
        <v>10</v>
      </c>
      <c r="G1512" t="s">
        <v>72</v>
      </c>
      <c r="H1512" t="s">
        <v>78</v>
      </c>
      <c r="I1512">
        <v>120000000</v>
      </c>
      <c r="J1512" t="s">
        <v>35</v>
      </c>
      <c r="K1512" t="s">
        <v>2</v>
      </c>
      <c r="L1512" t="s">
        <v>67</v>
      </c>
      <c r="M1512" t="s">
        <v>81</v>
      </c>
      <c r="N1512" t="s">
        <v>12</v>
      </c>
    </row>
    <row r="1513" spans="1:14" x14ac:dyDescent="0.35">
      <c r="A1513" s="75">
        <v>44008</v>
      </c>
      <c r="B1513" t="s">
        <v>165</v>
      </c>
      <c r="C1513" t="s">
        <v>97</v>
      </c>
      <c r="D1513">
        <v>10</v>
      </c>
      <c r="E1513">
        <v>10</v>
      </c>
      <c r="F1513" t="s">
        <v>10</v>
      </c>
      <c r="G1513" t="s">
        <v>74</v>
      </c>
      <c r="H1513" t="s">
        <v>77</v>
      </c>
      <c r="I1513">
        <v>60000000</v>
      </c>
      <c r="J1513" t="s">
        <v>43</v>
      </c>
      <c r="K1513" t="s">
        <v>5</v>
      </c>
      <c r="L1513" t="s">
        <v>67</v>
      </c>
      <c r="M1513" t="s">
        <v>82</v>
      </c>
      <c r="N1513" t="s">
        <v>11</v>
      </c>
    </row>
    <row r="1514" spans="1:14" x14ac:dyDescent="0.35">
      <c r="A1514" s="75">
        <v>44008</v>
      </c>
      <c r="B1514" t="s">
        <v>165</v>
      </c>
      <c r="C1514" t="s">
        <v>97</v>
      </c>
      <c r="D1514">
        <v>10</v>
      </c>
      <c r="E1514">
        <v>10</v>
      </c>
      <c r="F1514" t="s">
        <v>10</v>
      </c>
      <c r="G1514" t="s">
        <v>74</v>
      </c>
      <c r="H1514" t="s">
        <v>77</v>
      </c>
      <c r="I1514">
        <v>40000000</v>
      </c>
      <c r="J1514" t="s">
        <v>32</v>
      </c>
      <c r="K1514" t="s">
        <v>5</v>
      </c>
      <c r="L1514" t="s">
        <v>67</v>
      </c>
      <c r="M1514" t="s">
        <v>81</v>
      </c>
      <c r="N1514" t="s">
        <v>12</v>
      </c>
    </row>
    <row r="1515" spans="1:14" x14ac:dyDescent="0.35">
      <c r="A1515" s="75">
        <v>44008</v>
      </c>
      <c r="B1515" t="s">
        <v>165</v>
      </c>
      <c r="C1515" t="s">
        <v>97</v>
      </c>
      <c r="D1515">
        <v>10</v>
      </c>
      <c r="E1515">
        <v>10</v>
      </c>
      <c r="F1515" t="s">
        <v>10</v>
      </c>
      <c r="G1515" t="s">
        <v>73</v>
      </c>
      <c r="H1515" t="s">
        <v>78</v>
      </c>
      <c r="I1515">
        <v>120000000</v>
      </c>
      <c r="J1515" t="s">
        <v>56</v>
      </c>
      <c r="K1515" t="s">
        <v>4</v>
      </c>
      <c r="L1515" t="s">
        <v>67</v>
      </c>
      <c r="M1515" t="s">
        <v>81</v>
      </c>
      <c r="N1515" t="s">
        <v>11</v>
      </c>
    </row>
    <row r="1516" spans="1:14" x14ac:dyDescent="0.35">
      <c r="A1516" s="75">
        <v>44008</v>
      </c>
      <c r="B1516" t="s">
        <v>165</v>
      </c>
      <c r="C1516" t="s">
        <v>97</v>
      </c>
      <c r="D1516">
        <v>6</v>
      </c>
      <c r="E1516">
        <v>6</v>
      </c>
      <c r="F1516" t="s">
        <v>10</v>
      </c>
      <c r="G1516" t="s">
        <v>71</v>
      </c>
      <c r="H1516" t="s">
        <v>6</v>
      </c>
      <c r="I1516">
        <v>60000000</v>
      </c>
      <c r="J1516" t="s">
        <v>25</v>
      </c>
      <c r="K1516" t="s">
        <v>5</v>
      </c>
      <c r="L1516" t="s">
        <v>67</v>
      </c>
      <c r="M1516" t="s">
        <v>80</v>
      </c>
      <c r="N1516" t="s">
        <v>14</v>
      </c>
    </row>
    <row r="1517" spans="1:14" x14ac:dyDescent="0.35">
      <c r="A1517" s="75">
        <v>44008</v>
      </c>
      <c r="B1517" t="s">
        <v>165</v>
      </c>
      <c r="C1517" t="s">
        <v>97</v>
      </c>
      <c r="D1517">
        <v>5</v>
      </c>
      <c r="E1517">
        <v>5</v>
      </c>
      <c r="F1517" t="s">
        <v>10</v>
      </c>
      <c r="G1517" t="s">
        <v>114</v>
      </c>
      <c r="H1517" t="s">
        <v>3</v>
      </c>
      <c r="I1517">
        <v>100000000</v>
      </c>
      <c r="J1517" t="s">
        <v>55</v>
      </c>
      <c r="K1517" t="s">
        <v>8</v>
      </c>
      <c r="L1517" t="s">
        <v>67</v>
      </c>
      <c r="M1517" t="s">
        <v>82</v>
      </c>
      <c r="N1517" t="s">
        <v>14</v>
      </c>
    </row>
    <row r="1518" spans="1:14" x14ac:dyDescent="0.35">
      <c r="A1518" s="75">
        <v>44008</v>
      </c>
      <c r="B1518" t="s">
        <v>165</v>
      </c>
      <c r="C1518" t="s">
        <v>97</v>
      </c>
      <c r="D1518">
        <v>4</v>
      </c>
      <c r="E1518">
        <v>4</v>
      </c>
      <c r="F1518" t="s">
        <v>10</v>
      </c>
      <c r="G1518" t="s">
        <v>70</v>
      </c>
      <c r="H1518" t="s">
        <v>1</v>
      </c>
      <c r="I1518">
        <v>100000000</v>
      </c>
      <c r="J1518" t="s">
        <v>33</v>
      </c>
      <c r="K1518" t="s">
        <v>9</v>
      </c>
      <c r="L1518" t="s">
        <v>67</v>
      </c>
      <c r="M1518" t="s">
        <v>82</v>
      </c>
      <c r="N1518" t="s">
        <v>14</v>
      </c>
    </row>
    <row r="1519" spans="1:14" x14ac:dyDescent="0.35">
      <c r="A1519" s="75">
        <v>44008</v>
      </c>
      <c r="B1519" t="s">
        <v>165</v>
      </c>
      <c r="C1519" t="s">
        <v>97</v>
      </c>
      <c r="D1519">
        <v>4</v>
      </c>
      <c r="E1519">
        <v>4</v>
      </c>
      <c r="F1519" t="s">
        <v>10</v>
      </c>
      <c r="G1519" t="s">
        <v>76</v>
      </c>
      <c r="H1519" t="s">
        <v>79</v>
      </c>
      <c r="I1519">
        <v>80000000</v>
      </c>
      <c r="J1519" t="s">
        <v>36</v>
      </c>
      <c r="K1519" t="s">
        <v>5</v>
      </c>
      <c r="L1519" t="s">
        <v>67</v>
      </c>
      <c r="M1519" t="s">
        <v>82</v>
      </c>
      <c r="N1519" t="s">
        <v>12</v>
      </c>
    </row>
    <row r="1520" spans="1:14" x14ac:dyDescent="0.35">
      <c r="A1520" s="75">
        <v>44008</v>
      </c>
      <c r="B1520" t="s">
        <v>165</v>
      </c>
      <c r="C1520" t="s">
        <v>97</v>
      </c>
      <c r="D1520">
        <v>3</v>
      </c>
      <c r="E1520">
        <v>3</v>
      </c>
      <c r="F1520" t="s">
        <v>10</v>
      </c>
      <c r="G1520" t="s">
        <v>76</v>
      </c>
      <c r="H1520" t="s">
        <v>79</v>
      </c>
      <c r="I1520">
        <v>80000000</v>
      </c>
      <c r="J1520" t="s">
        <v>23</v>
      </c>
      <c r="K1520" t="s">
        <v>2</v>
      </c>
      <c r="L1520" t="s">
        <v>67</v>
      </c>
      <c r="M1520" t="s">
        <v>82</v>
      </c>
      <c r="N1520" t="s">
        <v>14</v>
      </c>
    </row>
    <row r="1521" spans="1:14" x14ac:dyDescent="0.35">
      <c r="A1521" s="75">
        <v>44008</v>
      </c>
      <c r="B1521" t="s">
        <v>165</v>
      </c>
      <c r="C1521" t="s">
        <v>97</v>
      </c>
      <c r="D1521">
        <v>3</v>
      </c>
      <c r="E1521">
        <v>3</v>
      </c>
      <c r="F1521" t="s">
        <v>10</v>
      </c>
      <c r="G1521" t="s">
        <v>72</v>
      </c>
      <c r="H1521" t="s">
        <v>78</v>
      </c>
      <c r="I1521">
        <v>80000000</v>
      </c>
      <c r="J1521" t="s">
        <v>38</v>
      </c>
      <c r="K1521" t="s">
        <v>5</v>
      </c>
      <c r="L1521" t="s">
        <v>67</v>
      </c>
      <c r="M1521" t="s">
        <v>81</v>
      </c>
      <c r="N1521" t="s">
        <v>14</v>
      </c>
    </row>
    <row r="1522" spans="1:14" x14ac:dyDescent="0.35">
      <c r="A1522" s="75">
        <v>44009</v>
      </c>
      <c r="B1522" t="s">
        <v>166</v>
      </c>
      <c r="C1522" t="s">
        <v>97</v>
      </c>
      <c r="D1522">
        <v>9</v>
      </c>
      <c r="E1522">
        <v>9</v>
      </c>
      <c r="F1522" t="s">
        <v>10</v>
      </c>
      <c r="G1522" t="s">
        <v>73</v>
      </c>
      <c r="H1522" t="s">
        <v>78</v>
      </c>
      <c r="I1522">
        <v>120000000</v>
      </c>
      <c r="J1522" t="s">
        <v>16</v>
      </c>
      <c r="K1522" t="s">
        <v>8</v>
      </c>
      <c r="L1522" t="s">
        <v>67</v>
      </c>
      <c r="M1522" t="s">
        <v>81</v>
      </c>
      <c r="N1522" t="s">
        <v>13</v>
      </c>
    </row>
    <row r="1523" spans="1:14" x14ac:dyDescent="0.35">
      <c r="A1523" s="75">
        <v>44009</v>
      </c>
      <c r="B1523" t="s">
        <v>166</v>
      </c>
      <c r="C1523" t="s">
        <v>97</v>
      </c>
      <c r="D1523">
        <v>9</v>
      </c>
      <c r="E1523">
        <v>9</v>
      </c>
      <c r="F1523" t="s">
        <v>10</v>
      </c>
      <c r="G1523" t="s">
        <v>72</v>
      </c>
      <c r="H1523" t="s">
        <v>78</v>
      </c>
      <c r="I1523">
        <v>40000000</v>
      </c>
      <c r="J1523" t="s">
        <v>55</v>
      </c>
      <c r="K1523" t="s">
        <v>4</v>
      </c>
      <c r="L1523" t="s">
        <v>67</v>
      </c>
      <c r="M1523" t="s">
        <v>81</v>
      </c>
      <c r="N1523" t="s">
        <v>14</v>
      </c>
    </row>
    <row r="1524" spans="1:14" x14ac:dyDescent="0.35">
      <c r="A1524" s="75">
        <v>44009</v>
      </c>
      <c r="B1524" t="s">
        <v>166</v>
      </c>
      <c r="C1524" t="s">
        <v>97</v>
      </c>
      <c r="D1524">
        <v>9</v>
      </c>
      <c r="E1524">
        <v>9</v>
      </c>
      <c r="F1524" t="s">
        <v>10</v>
      </c>
      <c r="G1524" t="s">
        <v>71</v>
      </c>
      <c r="H1524" t="s">
        <v>6</v>
      </c>
      <c r="I1524">
        <v>80000000</v>
      </c>
      <c r="J1524" t="s">
        <v>30</v>
      </c>
      <c r="K1524" t="s">
        <v>5</v>
      </c>
      <c r="L1524" t="s">
        <v>67</v>
      </c>
      <c r="M1524" t="s">
        <v>82</v>
      </c>
      <c r="N1524" t="s">
        <v>13</v>
      </c>
    </row>
    <row r="1525" spans="1:14" x14ac:dyDescent="0.35">
      <c r="A1525" s="75">
        <v>44009</v>
      </c>
      <c r="B1525" t="s">
        <v>166</v>
      </c>
      <c r="C1525" t="s">
        <v>97</v>
      </c>
      <c r="D1525">
        <v>8</v>
      </c>
      <c r="E1525">
        <v>8</v>
      </c>
      <c r="F1525" t="s">
        <v>10</v>
      </c>
      <c r="G1525" t="s">
        <v>74</v>
      </c>
      <c r="H1525" t="s">
        <v>77</v>
      </c>
      <c r="I1525">
        <v>80000000</v>
      </c>
      <c r="J1525" t="s">
        <v>33</v>
      </c>
      <c r="K1525" t="s">
        <v>2</v>
      </c>
      <c r="L1525" t="s">
        <v>67</v>
      </c>
      <c r="M1525" t="s">
        <v>82</v>
      </c>
      <c r="N1525" t="s">
        <v>14</v>
      </c>
    </row>
    <row r="1526" spans="1:14" x14ac:dyDescent="0.35">
      <c r="A1526" s="75">
        <v>44009</v>
      </c>
      <c r="B1526" t="s">
        <v>166</v>
      </c>
      <c r="C1526" t="s">
        <v>97</v>
      </c>
      <c r="D1526">
        <v>8</v>
      </c>
      <c r="E1526">
        <v>8</v>
      </c>
      <c r="F1526" t="s">
        <v>10</v>
      </c>
      <c r="G1526" t="s">
        <v>76</v>
      </c>
      <c r="H1526" t="s">
        <v>79</v>
      </c>
      <c r="I1526">
        <v>120000000</v>
      </c>
      <c r="J1526" t="s">
        <v>38</v>
      </c>
      <c r="K1526" t="s">
        <v>5</v>
      </c>
      <c r="L1526" t="s">
        <v>67</v>
      </c>
      <c r="M1526" t="s">
        <v>81</v>
      </c>
      <c r="N1526" t="s">
        <v>13</v>
      </c>
    </row>
    <row r="1527" spans="1:14" x14ac:dyDescent="0.35">
      <c r="A1527" s="75">
        <v>44009</v>
      </c>
      <c r="B1527" t="s">
        <v>166</v>
      </c>
      <c r="C1527" t="s">
        <v>97</v>
      </c>
      <c r="D1527">
        <v>7</v>
      </c>
      <c r="E1527">
        <v>7</v>
      </c>
      <c r="F1527" t="s">
        <v>10</v>
      </c>
      <c r="G1527" t="s">
        <v>74</v>
      </c>
      <c r="H1527" t="s">
        <v>77</v>
      </c>
      <c r="I1527">
        <v>40000000</v>
      </c>
      <c r="J1527" t="s">
        <v>52</v>
      </c>
      <c r="K1527" t="s">
        <v>5</v>
      </c>
      <c r="L1527" t="s">
        <v>67</v>
      </c>
      <c r="M1527" t="s">
        <v>82</v>
      </c>
      <c r="N1527" t="s">
        <v>12</v>
      </c>
    </row>
    <row r="1528" spans="1:14" x14ac:dyDescent="0.35">
      <c r="A1528" s="75">
        <v>44009</v>
      </c>
      <c r="B1528" t="s">
        <v>166</v>
      </c>
      <c r="C1528" t="s">
        <v>97</v>
      </c>
      <c r="D1528">
        <v>7</v>
      </c>
      <c r="E1528">
        <v>7</v>
      </c>
      <c r="F1528" t="s">
        <v>10</v>
      </c>
      <c r="G1528" t="s">
        <v>72</v>
      </c>
      <c r="H1528" t="s">
        <v>78</v>
      </c>
      <c r="I1528">
        <v>40000000</v>
      </c>
      <c r="J1528" t="s">
        <v>27</v>
      </c>
      <c r="K1528" t="s">
        <v>5</v>
      </c>
      <c r="L1528" t="s">
        <v>67</v>
      </c>
      <c r="M1528" t="s">
        <v>81</v>
      </c>
      <c r="N1528" t="s">
        <v>14</v>
      </c>
    </row>
    <row r="1529" spans="1:14" x14ac:dyDescent="0.35">
      <c r="A1529" s="75">
        <v>44009</v>
      </c>
      <c r="B1529" t="s">
        <v>166</v>
      </c>
      <c r="C1529" t="s">
        <v>97</v>
      </c>
      <c r="D1529">
        <v>6</v>
      </c>
      <c r="E1529">
        <v>6</v>
      </c>
      <c r="F1529" t="s">
        <v>10</v>
      </c>
      <c r="G1529" t="s">
        <v>72</v>
      </c>
      <c r="H1529" t="s">
        <v>78</v>
      </c>
      <c r="I1529">
        <v>120000000</v>
      </c>
      <c r="J1529" t="s">
        <v>32</v>
      </c>
      <c r="K1529" t="s">
        <v>2</v>
      </c>
      <c r="L1529" t="s">
        <v>67</v>
      </c>
      <c r="M1529" t="s">
        <v>81</v>
      </c>
      <c r="N1529" t="s">
        <v>14</v>
      </c>
    </row>
    <row r="1530" spans="1:14" x14ac:dyDescent="0.35">
      <c r="A1530" s="75">
        <v>44009</v>
      </c>
      <c r="B1530" t="s">
        <v>166</v>
      </c>
      <c r="C1530" t="s">
        <v>97</v>
      </c>
      <c r="D1530">
        <v>4</v>
      </c>
      <c r="E1530">
        <v>4</v>
      </c>
      <c r="F1530" t="s">
        <v>10</v>
      </c>
      <c r="G1530" t="s">
        <v>114</v>
      </c>
      <c r="H1530" t="s">
        <v>3</v>
      </c>
      <c r="I1530">
        <v>120000000</v>
      </c>
      <c r="J1530" t="s">
        <v>39</v>
      </c>
      <c r="K1530" t="s">
        <v>2</v>
      </c>
      <c r="L1530" t="s">
        <v>67</v>
      </c>
      <c r="M1530" t="s">
        <v>81</v>
      </c>
      <c r="N1530" t="s">
        <v>12</v>
      </c>
    </row>
    <row r="1531" spans="1:14" x14ac:dyDescent="0.35">
      <c r="A1531" s="75">
        <v>44009</v>
      </c>
      <c r="B1531" t="s">
        <v>166</v>
      </c>
      <c r="C1531" t="s">
        <v>97</v>
      </c>
      <c r="D1531">
        <v>3</v>
      </c>
      <c r="E1531">
        <v>3</v>
      </c>
      <c r="F1531" t="s">
        <v>10</v>
      </c>
      <c r="G1531" t="s">
        <v>70</v>
      </c>
      <c r="H1531" t="s">
        <v>1</v>
      </c>
      <c r="I1531">
        <v>140000000</v>
      </c>
      <c r="J1531" t="s">
        <v>15</v>
      </c>
      <c r="K1531" t="s">
        <v>2</v>
      </c>
      <c r="L1531" t="s">
        <v>67</v>
      </c>
      <c r="M1531" t="s">
        <v>81</v>
      </c>
      <c r="N1531" t="s">
        <v>13</v>
      </c>
    </row>
    <row r="1532" spans="1:14" x14ac:dyDescent="0.35">
      <c r="A1532" s="75">
        <v>44010</v>
      </c>
      <c r="B1532" t="s">
        <v>167</v>
      </c>
      <c r="C1532" t="s">
        <v>97</v>
      </c>
      <c r="D1532">
        <v>9</v>
      </c>
      <c r="E1532">
        <v>9</v>
      </c>
      <c r="F1532" t="s">
        <v>10</v>
      </c>
      <c r="G1532" t="s">
        <v>73</v>
      </c>
      <c r="H1532" t="s">
        <v>78</v>
      </c>
      <c r="I1532">
        <v>120000000</v>
      </c>
      <c r="J1532" t="s">
        <v>28</v>
      </c>
      <c r="K1532" t="s">
        <v>4</v>
      </c>
      <c r="L1532" t="s">
        <v>67</v>
      </c>
      <c r="M1532" t="s">
        <v>81</v>
      </c>
      <c r="N1532" t="s">
        <v>12</v>
      </c>
    </row>
    <row r="1533" spans="1:14" x14ac:dyDescent="0.35">
      <c r="A1533" s="75">
        <v>44010</v>
      </c>
      <c r="B1533" t="s">
        <v>167</v>
      </c>
      <c r="C1533" t="s">
        <v>97</v>
      </c>
      <c r="D1533">
        <v>7</v>
      </c>
      <c r="E1533">
        <v>7</v>
      </c>
      <c r="F1533" t="s">
        <v>10</v>
      </c>
      <c r="G1533" t="s">
        <v>75</v>
      </c>
      <c r="H1533" t="s">
        <v>6</v>
      </c>
      <c r="I1533">
        <v>120000000</v>
      </c>
      <c r="J1533" t="s">
        <v>57</v>
      </c>
      <c r="K1533" t="s">
        <v>5</v>
      </c>
      <c r="L1533" t="s">
        <v>67</v>
      </c>
      <c r="M1533" t="s">
        <v>80</v>
      </c>
      <c r="N1533" t="s">
        <v>12</v>
      </c>
    </row>
    <row r="1534" spans="1:14" x14ac:dyDescent="0.35">
      <c r="A1534" s="75">
        <v>44010</v>
      </c>
      <c r="B1534" t="s">
        <v>167</v>
      </c>
      <c r="C1534" t="s">
        <v>97</v>
      </c>
      <c r="D1534">
        <v>5</v>
      </c>
      <c r="E1534">
        <v>5</v>
      </c>
      <c r="F1534" t="s">
        <v>10</v>
      </c>
      <c r="G1534" t="s">
        <v>76</v>
      </c>
      <c r="H1534" t="s">
        <v>79</v>
      </c>
      <c r="I1534">
        <v>100000000</v>
      </c>
      <c r="J1534" t="s">
        <v>39</v>
      </c>
      <c r="K1534" t="s">
        <v>9</v>
      </c>
      <c r="L1534" t="s">
        <v>67</v>
      </c>
      <c r="M1534" t="s">
        <v>82</v>
      </c>
      <c r="N1534" t="s">
        <v>11</v>
      </c>
    </row>
    <row r="1535" spans="1:14" x14ac:dyDescent="0.35">
      <c r="A1535" s="75">
        <v>44010</v>
      </c>
      <c r="B1535" t="s">
        <v>167</v>
      </c>
      <c r="C1535" t="s">
        <v>97</v>
      </c>
      <c r="D1535">
        <v>5</v>
      </c>
      <c r="E1535">
        <v>5</v>
      </c>
      <c r="F1535" t="s">
        <v>10</v>
      </c>
      <c r="G1535" t="s">
        <v>74</v>
      </c>
      <c r="H1535" t="s">
        <v>77</v>
      </c>
      <c r="I1535">
        <v>120000000</v>
      </c>
      <c r="J1535" t="s">
        <v>37</v>
      </c>
      <c r="K1535" t="s">
        <v>5</v>
      </c>
      <c r="L1535" t="s">
        <v>67</v>
      </c>
      <c r="M1535" t="s">
        <v>80</v>
      </c>
      <c r="N1535" t="s">
        <v>14</v>
      </c>
    </row>
    <row r="1536" spans="1:14" x14ac:dyDescent="0.35">
      <c r="A1536" s="75">
        <v>44010</v>
      </c>
      <c r="B1536" t="s">
        <v>167</v>
      </c>
      <c r="C1536" t="s">
        <v>97</v>
      </c>
      <c r="D1536">
        <v>4</v>
      </c>
      <c r="E1536">
        <v>4</v>
      </c>
      <c r="F1536" t="s">
        <v>10</v>
      </c>
      <c r="G1536" t="s">
        <v>74</v>
      </c>
      <c r="H1536" t="s">
        <v>77</v>
      </c>
      <c r="I1536">
        <v>140000000</v>
      </c>
      <c r="J1536" t="s">
        <v>22</v>
      </c>
      <c r="K1536" t="s">
        <v>9</v>
      </c>
      <c r="L1536" t="s">
        <v>67</v>
      </c>
      <c r="M1536" t="s">
        <v>81</v>
      </c>
      <c r="N1536" t="s">
        <v>13</v>
      </c>
    </row>
    <row r="1537" spans="1:14" x14ac:dyDescent="0.35">
      <c r="A1537" s="75">
        <v>44010</v>
      </c>
      <c r="B1537" t="s">
        <v>167</v>
      </c>
      <c r="C1537" t="s">
        <v>97</v>
      </c>
      <c r="D1537">
        <v>4</v>
      </c>
      <c r="E1537">
        <v>4</v>
      </c>
      <c r="F1537" t="s">
        <v>10</v>
      </c>
      <c r="G1537" t="s">
        <v>70</v>
      </c>
      <c r="H1537" t="s">
        <v>1</v>
      </c>
      <c r="I1537">
        <v>140000000</v>
      </c>
      <c r="J1537" t="s">
        <v>21</v>
      </c>
      <c r="K1537" t="s">
        <v>7</v>
      </c>
      <c r="L1537" t="s">
        <v>67</v>
      </c>
      <c r="M1537" t="s">
        <v>80</v>
      </c>
      <c r="N1537" t="s">
        <v>12</v>
      </c>
    </row>
    <row r="1538" spans="1:14" x14ac:dyDescent="0.35">
      <c r="A1538" s="75">
        <v>44010</v>
      </c>
      <c r="B1538" t="s">
        <v>167</v>
      </c>
      <c r="C1538" t="s">
        <v>97</v>
      </c>
      <c r="D1538">
        <v>3</v>
      </c>
      <c r="E1538">
        <v>3</v>
      </c>
      <c r="F1538" t="s">
        <v>10</v>
      </c>
      <c r="G1538" t="s">
        <v>73</v>
      </c>
      <c r="H1538" t="s">
        <v>78</v>
      </c>
      <c r="I1538">
        <v>100000000</v>
      </c>
      <c r="J1538" t="s">
        <v>60</v>
      </c>
      <c r="K1538" t="s">
        <v>5</v>
      </c>
      <c r="L1538" t="s">
        <v>67</v>
      </c>
      <c r="M1538" t="s">
        <v>82</v>
      </c>
      <c r="N1538" t="s">
        <v>13</v>
      </c>
    </row>
    <row r="1539" spans="1:14" x14ac:dyDescent="0.35">
      <c r="A1539" s="75">
        <v>44010</v>
      </c>
      <c r="B1539" t="s">
        <v>167</v>
      </c>
      <c r="C1539" t="s">
        <v>97</v>
      </c>
      <c r="D1539">
        <v>3</v>
      </c>
      <c r="E1539">
        <v>3</v>
      </c>
      <c r="F1539" t="s">
        <v>10</v>
      </c>
      <c r="G1539" t="s">
        <v>70</v>
      </c>
      <c r="H1539" t="s">
        <v>1</v>
      </c>
      <c r="I1539">
        <v>140000000</v>
      </c>
      <c r="J1539" t="s">
        <v>46</v>
      </c>
      <c r="K1539" t="s">
        <v>2</v>
      </c>
      <c r="L1539" t="s">
        <v>67</v>
      </c>
      <c r="M1539" t="s">
        <v>82</v>
      </c>
      <c r="N1539" t="s">
        <v>13</v>
      </c>
    </row>
    <row r="1540" spans="1:14" x14ac:dyDescent="0.35">
      <c r="A1540" s="75">
        <v>44011</v>
      </c>
      <c r="B1540" t="s">
        <v>168</v>
      </c>
      <c r="C1540" t="s">
        <v>97</v>
      </c>
      <c r="D1540">
        <v>10</v>
      </c>
      <c r="E1540">
        <v>7</v>
      </c>
      <c r="F1540">
        <v>3</v>
      </c>
      <c r="G1540" t="s">
        <v>113</v>
      </c>
      <c r="H1540" t="s">
        <v>77</v>
      </c>
      <c r="I1540">
        <v>80000000</v>
      </c>
      <c r="J1540" t="s">
        <v>32</v>
      </c>
      <c r="K1540" t="s">
        <v>5</v>
      </c>
      <c r="L1540" t="s">
        <v>67</v>
      </c>
      <c r="M1540" t="s">
        <v>80</v>
      </c>
      <c r="N1540" t="s">
        <v>12</v>
      </c>
    </row>
    <row r="1541" spans="1:14" x14ac:dyDescent="0.35">
      <c r="A1541" s="75">
        <v>44011</v>
      </c>
      <c r="B1541" t="s">
        <v>168</v>
      </c>
      <c r="C1541" t="s">
        <v>97</v>
      </c>
      <c r="D1541">
        <v>5</v>
      </c>
      <c r="E1541">
        <v>3</v>
      </c>
      <c r="F1541">
        <v>2</v>
      </c>
      <c r="G1541" t="s">
        <v>74</v>
      </c>
      <c r="H1541" t="s">
        <v>77</v>
      </c>
      <c r="I1541">
        <v>120000000</v>
      </c>
      <c r="J1541" t="s">
        <v>30</v>
      </c>
      <c r="K1541" t="s">
        <v>7</v>
      </c>
      <c r="L1541" t="s">
        <v>67</v>
      </c>
      <c r="M1541" t="s">
        <v>80</v>
      </c>
      <c r="N1541" t="s">
        <v>13</v>
      </c>
    </row>
    <row r="1542" spans="1:14" x14ac:dyDescent="0.35">
      <c r="A1542" s="75">
        <v>44011</v>
      </c>
      <c r="B1542" t="s">
        <v>168</v>
      </c>
      <c r="C1542" t="s">
        <v>97</v>
      </c>
      <c r="D1542">
        <v>4</v>
      </c>
      <c r="E1542">
        <v>3</v>
      </c>
      <c r="F1542">
        <v>1</v>
      </c>
      <c r="G1542" t="s">
        <v>70</v>
      </c>
      <c r="H1542" t="s">
        <v>1</v>
      </c>
      <c r="I1542">
        <v>120000000</v>
      </c>
      <c r="J1542" t="s">
        <v>16</v>
      </c>
      <c r="K1542" t="s">
        <v>8</v>
      </c>
      <c r="L1542" t="s">
        <v>67</v>
      </c>
      <c r="M1542" t="s">
        <v>80</v>
      </c>
      <c r="N1542" t="s">
        <v>12</v>
      </c>
    </row>
    <row r="1543" spans="1:14" x14ac:dyDescent="0.35">
      <c r="A1543" s="75">
        <v>44011</v>
      </c>
      <c r="B1543" t="s">
        <v>168</v>
      </c>
      <c r="C1543" t="s">
        <v>97</v>
      </c>
      <c r="D1543">
        <v>3</v>
      </c>
      <c r="E1543">
        <v>2</v>
      </c>
      <c r="F1543">
        <v>1</v>
      </c>
      <c r="G1543" t="s">
        <v>113</v>
      </c>
      <c r="H1543" t="s">
        <v>77</v>
      </c>
      <c r="I1543">
        <v>60000000</v>
      </c>
      <c r="J1543" t="s">
        <v>58</v>
      </c>
      <c r="K1543" t="s">
        <v>4</v>
      </c>
      <c r="L1543" t="s">
        <v>67</v>
      </c>
      <c r="M1543" t="s">
        <v>82</v>
      </c>
      <c r="N1543" t="s">
        <v>11</v>
      </c>
    </row>
    <row r="1544" spans="1:14" x14ac:dyDescent="0.35">
      <c r="A1544" s="75">
        <v>44011</v>
      </c>
      <c r="B1544" t="s">
        <v>168</v>
      </c>
      <c r="C1544" t="s">
        <v>97</v>
      </c>
      <c r="D1544">
        <v>3</v>
      </c>
      <c r="E1544">
        <v>2</v>
      </c>
      <c r="F1544">
        <v>1</v>
      </c>
      <c r="G1544" t="s">
        <v>74</v>
      </c>
      <c r="H1544" t="s">
        <v>77</v>
      </c>
      <c r="I1544">
        <v>120000000</v>
      </c>
      <c r="J1544" t="s">
        <v>56</v>
      </c>
      <c r="K1544" t="s">
        <v>5</v>
      </c>
      <c r="L1544" t="s">
        <v>67</v>
      </c>
      <c r="M1544" t="s">
        <v>80</v>
      </c>
      <c r="N1544" t="s">
        <v>13</v>
      </c>
    </row>
    <row r="1545" spans="1:14" x14ac:dyDescent="0.35">
      <c r="A1545" s="75">
        <v>44012</v>
      </c>
      <c r="B1545" t="s">
        <v>169</v>
      </c>
      <c r="C1545" t="s">
        <v>97</v>
      </c>
      <c r="D1545">
        <v>10</v>
      </c>
      <c r="E1545">
        <v>8</v>
      </c>
      <c r="F1545">
        <v>2</v>
      </c>
      <c r="G1545" t="s">
        <v>113</v>
      </c>
      <c r="H1545" t="s">
        <v>77</v>
      </c>
      <c r="I1545">
        <v>140000000</v>
      </c>
      <c r="J1545" t="s">
        <v>39</v>
      </c>
      <c r="K1545" t="s">
        <v>2</v>
      </c>
      <c r="L1545" t="s">
        <v>67</v>
      </c>
      <c r="M1545" t="s">
        <v>81</v>
      </c>
      <c r="N1545" t="s">
        <v>11</v>
      </c>
    </row>
    <row r="1546" spans="1:14" x14ac:dyDescent="0.35">
      <c r="A1546" s="75">
        <v>44012</v>
      </c>
      <c r="B1546" t="s">
        <v>169</v>
      </c>
      <c r="C1546" t="s">
        <v>97</v>
      </c>
      <c r="D1546">
        <v>8</v>
      </c>
      <c r="E1546">
        <v>6</v>
      </c>
      <c r="F1546">
        <v>2</v>
      </c>
      <c r="G1546" t="s">
        <v>74</v>
      </c>
      <c r="H1546" t="s">
        <v>77</v>
      </c>
      <c r="I1546">
        <v>120000000</v>
      </c>
      <c r="J1546" t="s">
        <v>24</v>
      </c>
      <c r="K1546" t="s">
        <v>2</v>
      </c>
      <c r="L1546" t="s">
        <v>67</v>
      </c>
      <c r="M1546" t="s">
        <v>82</v>
      </c>
      <c r="N1546" t="s">
        <v>14</v>
      </c>
    </row>
    <row r="1547" spans="1:14" x14ac:dyDescent="0.35">
      <c r="A1547" s="75">
        <v>44012</v>
      </c>
      <c r="B1547" t="s">
        <v>169</v>
      </c>
      <c r="C1547" t="s">
        <v>97</v>
      </c>
      <c r="D1547">
        <v>8</v>
      </c>
      <c r="E1547">
        <v>5</v>
      </c>
      <c r="F1547">
        <v>3</v>
      </c>
      <c r="G1547" t="s">
        <v>70</v>
      </c>
      <c r="H1547" t="s">
        <v>1</v>
      </c>
      <c r="I1547">
        <v>120000000</v>
      </c>
      <c r="J1547" t="s">
        <v>23</v>
      </c>
      <c r="K1547" t="s">
        <v>2</v>
      </c>
      <c r="L1547" t="s">
        <v>67</v>
      </c>
      <c r="M1547" t="s">
        <v>81</v>
      </c>
      <c r="N1547" t="s">
        <v>14</v>
      </c>
    </row>
    <row r="1548" spans="1:14" x14ac:dyDescent="0.35">
      <c r="A1548" s="75">
        <v>44012</v>
      </c>
      <c r="B1548" t="s">
        <v>169</v>
      </c>
      <c r="C1548" t="s">
        <v>97</v>
      </c>
      <c r="D1548">
        <v>6</v>
      </c>
      <c r="E1548">
        <v>4</v>
      </c>
      <c r="F1548">
        <v>2</v>
      </c>
      <c r="G1548" t="s">
        <v>75</v>
      </c>
      <c r="H1548" t="s">
        <v>6</v>
      </c>
      <c r="I1548">
        <v>40000000</v>
      </c>
      <c r="J1548" t="s">
        <v>39</v>
      </c>
      <c r="K1548" t="s">
        <v>2</v>
      </c>
      <c r="L1548" t="s">
        <v>67</v>
      </c>
      <c r="M1548" t="s">
        <v>82</v>
      </c>
      <c r="N1548" t="s">
        <v>13</v>
      </c>
    </row>
    <row r="1549" spans="1:14" x14ac:dyDescent="0.35">
      <c r="A1549" s="75">
        <v>44012</v>
      </c>
      <c r="B1549" t="s">
        <v>169</v>
      </c>
      <c r="C1549" t="s">
        <v>97</v>
      </c>
      <c r="D1549">
        <v>5</v>
      </c>
      <c r="E1549">
        <v>3</v>
      </c>
      <c r="F1549">
        <v>2</v>
      </c>
      <c r="G1549" t="s">
        <v>73</v>
      </c>
      <c r="H1549" t="s">
        <v>78</v>
      </c>
      <c r="I1549">
        <v>140000000</v>
      </c>
      <c r="J1549" t="s">
        <v>35</v>
      </c>
      <c r="K1549" t="s">
        <v>8</v>
      </c>
      <c r="L1549" t="s">
        <v>67</v>
      </c>
      <c r="M1549" t="s">
        <v>81</v>
      </c>
      <c r="N1549" t="s">
        <v>13</v>
      </c>
    </row>
    <row r="1550" spans="1:14" x14ac:dyDescent="0.35">
      <c r="A1550" s="75">
        <v>44012</v>
      </c>
      <c r="B1550" t="s">
        <v>169</v>
      </c>
      <c r="C1550" t="s">
        <v>97</v>
      </c>
      <c r="D1550">
        <v>5</v>
      </c>
      <c r="E1550">
        <v>3</v>
      </c>
      <c r="F1550">
        <v>2</v>
      </c>
      <c r="G1550" t="s">
        <v>114</v>
      </c>
      <c r="H1550" t="s">
        <v>3</v>
      </c>
      <c r="I1550">
        <v>80000000</v>
      </c>
      <c r="J1550" t="s">
        <v>61</v>
      </c>
      <c r="K1550" t="s">
        <v>8</v>
      </c>
      <c r="L1550" t="s">
        <v>67</v>
      </c>
      <c r="M1550" t="s">
        <v>81</v>
      </c>
      <c r="N1550" t="s">
        <v>13</v>
      </c>
    </row>
    <row r="1551" spans="1:14" x14ac:dyDescent="0.35">
      <c r="A1551" s="75">
        <v>44012</v>
      </c>
      <c r="B1551" t="s">
        <v>169</v>
      </c>
      <c r="C1551" t="s">
        <v>97</v>
      </c>
      <c r="D1551">
        <v>4</v>
      </c>
      <c r="E1551">
        <v>3</v>
      </c>
      <c r="F1551">
        <v>1</v>
      </c>
      <c r="G1551" t="s">
        <v>73</v>
      </c>
      <c r="H1551" t="s">
        <v>78</v>
      </c>
      <c r="I1551">
        <v>40000000</v>
      </c>
      <c r="J1551" t="s">
        <v>30</v>
      </c>
      <c r="K1551" t="s">
        <v>2</v>
      </c>
      <c r="L1551" t="s">
        <v>67</v>
      </c>
      <c r="M1551" t="s">
        <v>82</v>
      </c>
      <c r="N1551" t="s">
        <v>12</v>
      </c>
    </row>
    <row r="1552" spans="1:14" x14ac:dyDescent="0.35">
      <c r="A1552" s="75">
        <v>44012</v>
      </c>
      <c r="B1552" t="s">
        <v>169</v>
      </c>
      <c r="C1552" t="s">
        <v>97</v>
      </c>
      <c r="D1552">
        <v>3</v>
      </c>
      <c r="E1552">
        <v>1</v>
      </c>
      <c r="F1552">
        <v>2</v>
      </c>
      <c r="G1552" t="s">
        <v>71</v>
      </c>
      <c r="H1552" t="s">
        <v>6</v>
      </c>
      <c r="I1552">
        <v>40000000</v>
      </c>
      <c r="J1552" t="s">
        <v>28</v>
      </c>
      <c r="K1552" t="s">
        <v>5</v>
      </c>
      <c r="L1552" t="s">
        <v>67</v>
      </c>
      <c r="M1552" t="s">
        <v>80</v>
      </c>
      <c r="N1552" t="s">
        <v>11</v>
      </c>
    </row>
    <row r="1553" spans="1:14" x14ac:dyDescent="0.35">
      <c r="A1553" s="75">
        <v>44012</v>
      </c>
      <c r="B1553" t="s">
        <v>169</v>
      </c>
      <c r="C1553" t="s">
        <v>97</v>
      </c>
      <c r="D1553">
        <v>3</v>
      </c>
      <c r="E1553">
        <v>1</v>
      </c>
      <c r="F1553">
        <v>2</v>
      </c>
      <c r="G1553" t="s">
        <v>75</v>
      </c>
      <c r="H1553" t="s">
        <v>6</v>
      </c>
      <c r="I1553">
        <v>140000000</v>
      </c>
      <c r="J1553" t="s">
        <v>63</v>
      </c>
      <c r="K1553" t="s">
        <v>5</v>
      </c>
      <c r="L1553" t="s">
        <v>67</v>
      </c>
      <c r="M1553" t="s">
        <v>80</v>
      </c>
      <c r="N1553" t="s">
        <v>14</v>
      </c>
    </row>
    <row r="1554" spans="1:14" x14ac:dyDescent="0.35">
      <c r="A1554" s="75">
        <v>44013</v>
      </c>
      <c r="B1554" t="s">
        <v>140</v>
      </c>
      <c r="C1554" t="s">
        <v>98</v>
      </c>
      <c r="D1554">
        <v>9</v>
      </c>
      <c r="E1554">
        <v>7</v>
      </c>
      <c r="F1554">
        <v>2</v>
      </c>
      <c r="G1554" t="s">
        <v>75</v>
      </c>
      <c r="H1554" t="s">
        <v>6</v>
      </c>
      <c r="I1554">
        <v>140000000</v>
      </c>
      <c r="J1554" t="s">
        <v>31</v>
      </c>
      <c r="K1554" t="s">
        <v>7</v>
      </c>
      <c r="L1554" t="s">
        <v>67</v>
      </c>
      <c r="M1554" t="s">
        <v>80</v>
      </c>
      <c r="N1554" t="s">
        <v>12</v>
      </c>
    </row>
    <row r="1555" spans="1:14" x14ac:dyDescent="0.35">
      <c r="A1555" s="75">
        <v>44013</v>
      </c>
      <c r="B1555" t="s">
        <v>140</v>
      </c>
      <c r="C1555" t="s">
        <v>98</v>
      </c>
      <c r="D1555">
        <v>9</v>
      </c>
      <c r="E1555">
        <v>8</v>
      </c>
      <c r="F1555">
        <v>1</v>
      </c>
      <c r="G1555" t="s">
        <v>73</v>
      </c>
      <c r="H1555" t="s">
        <v>78</v>
      </c>
      <c r="I1555">
        <v>80000000</v>
      </c>
      <c r="J1555" t="s">
        <v>19</v>
      </c>
      <c r="K1555" t="s">
        <v>2</v>
      </c>
      <c r="L1555" t="s">
        <v>67</v>
      </c>
      <c r="M1555" t="s">
        <v>81</v>
      </c>
      <c r="N1555" t="s">
        <v>13</v>
      </c>
    </row>
    <row r="1556" spans="1:14" x14ac:dyDescent="0.35">
      <c r="A1556" s="75">
        <v>44013</v>
      </c>
      <c r="B1556" t="s">
        <v>140</v>
      </c>
      <c r="C1556" t="s">
        <v>98</v>
      </c>
      <c r="D1556">
        <v>7</v>
      </c>
      <c r="E1556">
        <v>4</v>
      </c>
      <c r="F1556">
        <v>3</v>
      </c>
      <c r="G1556" t="s">
        <v>76</v>
      </c>
      <c r="H1556" t="s">
        <v>79</v>
      </c>
      <c r="I1556">
        <v>40000000</v>
      </c>
      <c r="J1556" t="s">
        <v>27</v>
      </c>
      <c r="K1556" t="s">
        <v>5</v>
      </c>
      <c r="L1556" t="s">
        <v>67</v>
      </c>
      <c r="M1556" t="s">
        <v>82</v>
      </c>
      <c r="N1556" t="s">
        <v>14</v>
      </c>
    </row>
    <row r="1557" spans="1:14" x14ac:dyDescent="0.35">
      <c r="A1557" s="75">
        <v>44013</v>
      </c>
      <c r="B1557" t="s">
        <v>140</v>
      </c>
      <c r="C1557" t="s">
        <v>98</v>
      </c>
      <c r="D1557">
        <v>4</v>
      </c>
      <c r="E1557">
        <v>2</v>
      </c>
      <c r="F1557">
        <v>2</v>
      </c>
      <c r="G1557" t="s">
        <v>70</v>
      </c>
      <c r="H1557" t="s">
        <v>1</v>
      </c>
      <c r="I1557">
        <v>60000000</v>
      </c>
      <c r="J1557" t="s">
        <v>54</v>
      </c>
      <c r="K1557" t="s">
        <v>8</v>
      </c>
      <c r="L1557" t="s">
        <v>67</v>
      </c>
      <c r="M1557" t="s">
        <v>80</v>
      </c>
      <c r="N1557" t="s">
        <v>14</v>
      </c>
    </row>
    <row r="1558" spans="1:14" x14ac:dyDescent="0.35">
      <c r="A1558" s="75">
        <v>44013</v>
      </c>
      <c r="B1558" t="s">
        <v>140</v>
      </c>
      <c r="C1558" t="s">
        <v>98</v>
      </c>
      <c r="D1558">
        <v>4</v>
      </c>
      <c r="E1558">
        <v>3</v>
      </c>
      <c r="F1558">
        <v>1</v>
      </c>
      <c r="G1558" t="s">
        <v>114</v>
      </c>
      <c r="H1558" t="s">
        <v>3</v>
      </c>
      <c r="I1558">
        <v>80000000</v>
      </c>
      <c r="J1558" t="s">
        <v>35</v>
      </c>
      <c r="K1558" t="s">
        <v>5</v>
      </c>
      <c r="L1558" t="s">
        <v>67</v>
      </c>
      <c r="M1558" t="s">
        <v>80</v>
      </c>
      <c r="N1558" t="s">
        <v>14</v>
      </c>
    </row>
    <row r="1559" spans="1:14" x14ac:dyDescent="0.35">
      <c r="A1559" s="75">
        <v>44013</v>
      </c>
      <c r="B1559" t="s">
        <v>140</v>
      </c>
      <c r="C1559" t="s">
        <v>98</v>
      </c>
      <c r="D1559">
        <v>4</v>
      </c>
      <c r="E1559">
        <v>2</v>
      </c>
      <c r="F1559">
        <v>2</v>
      </c>
      <c r="G1559" t="s">
        <v>72</v>
      </c>
      <c r="H1559" t="s">
        <v>78</v>
      </c>
      <c r="I1559">
        <v>60000000</v>
      </c>
      <c r="J1559" t="s">
        <v>31</v>
      </c>
      <c r="K1559" t="s">
        <v>2</v>
      </c>
      <c r="L1559" t="s">
        <v>67</v>
      </c>
      <c r="M1559" t="s">
        <v>81</v>
      </c>
      <c r="N1559" t="s">
        <v>12</v>
      </c>
    </row>
    <row r="1560" spans="1:14" x14ac:dyDescent="0.35">
      <c r="A1560" s="75">
        <v>44014</v>
      </c>
      <c r="B1560" t="s">
        <v>141</v>
      </c>
      <c r="C1560" t="s">
        <v>98</v>
      </c>
      <c r="D1560">
        <v>10</v>
      </c>
      <c r="E1560">
        <v>10</v>
      </c>
      <c r="F1560" t="s">
        <v>10</v>
      </c>
      <c r="G1560" t="s">
        <v>72</v>
      </c>
      <c r="H1560" t="s">
        <v>78</v>
      </c>
      <c r="I1560">
        <v>60000000</v>
      </c>
      <c r="J1560" t="s">
        <v>49</v>
      </c>
      <c r="K1560" t="s">
        <v>2</v>
      </c>
      <c r="L1560" t="s">
        <v>67</v>
      </c>
      <c r="M1560" t="s">
        <v>80</v>
      </c>
      <c r="N1560" t="s">
        <v>12</v>
      </c>
    </row>
    <row r="1561" spans="1:14" x14ac:dyDescent="0.35">
      <c r="A1561" s="75">
        <v>44014</v>
      </c>
      <c r="B1561" t="s">
        <v>141</v>
      </c>
      <c r="C1561" t="s">
        <v>98</v>
      </c>
      <c r="D1561">
        <v>10</v>
      </c>
      <c r="E1561">
        <v>10</v>
      </c>
      <c r="F1561" t="s">
        <v>10</v>
      </c>
      <c r="G1561" t="s">
        <v>114</v>
      </c>
      <c r="H1561" t="s">
        <v>3</v>
      </c>
      <c r="I1561">
        <v>80000000</v>
      </c>
      <c r="J1561" t="s">
        <v>17</v>
      </c>
      <c r="K1561" t="s">
        <v>2</v>
      </c>
      <c r="L1561" t="s">
        <v>67</v>
      </c>
      <c r="M1561" t="s">
        <v>80</v>
      </c>
      <c r="N1561" t="s">
        <v>13</v>
      </c>
    </row>
    <row r="1562" spans="1:14" x14ac:dyDescent="0.35">
      <c r="A1562" s="75">
        <v>44014</v>
      </c>
      <c r="B1562" t="s">
        <v>141</v>
      </c>
      <c r="C1562" t="s">
        <v>98</v>
      </c>
      <c r="D1562">
        <v>8</v>
      </c>
      <c r="E1562">
        <v>8</v>
      </c>
      <c r="F1562" t="s">
        <v>10</v>
      </c>
      <c r="G1562" t="s">
        <v>75</v>
      </c>
      <c r="H1562" t="s">
        <v>6</v>
      </c>
      <c r="I1562">
        <v>40000000</v>
      </c>
      <c r="J1562" t="s">
        <v>42</v>
      </c>
      <c r="K1562" t="s">
        <v>2</v>
      </c>
      <c r="L1562" t="s">
        <v>67</v>
      </c>
      <c r="M1562" t="s">
        <v>82</v>
      </c>
      <c r="N1562" t="s">
        <v>11</v>
      </c>
    </row>
    <row r="1563" spans="1:14" x14ac:dyDescent="0.35">
      <c r="A1563" s="75">
        <v>44014</v>
      </c>
      <c r="B1563" t="s">
        <v>141</v>
      </c>
      <c r="C1563" t="s">
        <v>98</v>
      </c>
      <c r="D1563">
        <v>8</v>
      </c>
      <c r="E1563">
        <v>8</v>
      </c>
      <c r="F1563" t="s">
        <v>10</v>
      </c>
      <c r="G1563" t="s">
        <v>73</v>
      </c>
      <c r="H1563" t="s">
        <v>78</v>
      </c>
      <c r="I1563">
        <v>120000000</v>
      </c>
      <c r="J1563" t="s">
        <v>39</v>
      </c>
      <c r="K1563" t="s">
        <v>4</v>
      </c>
      <c r="L1563" t="s">
        <v>67</v>
      </c>
      <c r="M1563" t="s">
        <v>80</v>
      </c>
      <c r="N1563" t="s">
        <v>13</v>
      </c>
    </row>
    <row r="1564" spans="1:14" x14ac:dyDescent="0.35">
      <c r="A1564" s="75">
        <v>44014</v>
      </c>
      <c r="B1564" t="s">
        <v>141</v>
      </c>
      <c r="C1564" t="s">
        <v>98</v>
      </c>
      <c r="D1564">
        <v>6</v>
      </c>
      <c r="E1564">
        <v>6</v>
      </c>
      <c r="F1564" t="s">
        <v>10</v>
      </c>
      <c r="G1564" t="s">
        <v>70</v>
      </c>
      <c r="H1564" t="s">
        <v>1</v>
      </c>
      <c r="I1564">
        <v>40000000</v>
      </c>
      <c r="J1564" t="s">
        <v>45</v>
      </c>
      <c r="K1564" t="s">
        <v>5</v>
      </c>
      <c r="L1564" t="s">
        <v>67</v>
      </c>
      <c r="M1564" t="s">
        <v>81</v>
      </c>
      <c r="N1564" t="s">
        <v>13</v>
      </c>
    </row>
    <row r="1565" spans="1:14" x14ac:dyDescent="0.35">
      <c r="A1565" s="75">
        <v>44014</v>
      </c>
      <c r="B1565" t="s">
        <v>141</v>
      </c>
      <c r="C1565" t="s">
        <v>98</v>
      </c>
      <c r="D1565">
        <v>6</v>
      </c>
      <c r="E1565">
        <v>6</v>
      </c>
      <c r="F1565" t="s">
        <v>10</v>
      </c>
      <c r="G1565" t="s">
        <v>72</v>
      </c>
      <c r="H1565" t="s">
        <v>78</v>
      </c>
      <c r="I1565">
        <v>140000000</v>
      </c>
      <c r="J1565" t="s">
        <v>38</v>
      </c>
      <c r="K1565" t="s">
        <v>2</v>
      </c>
      <c r="L1565" t="s">
        <v>67</v>
      </c>
      <c r="M1565" t="s">
        <v>81</v>
      </c>
      <c r="N1565" t="s">
        <v>13</v>
      </c>
    </row>
    <row r="1566" spans="1:14" x14ac:dyDescent="0.35">
      <c r="A1566" s="75">
        <v>44014</v>
      </c>
      <c r="B1566" t="s">
        <v>141</v>
      </c>
      <c r="C1566" t="s">
        <v>98</v>
      </c>
      <c r="D1566">
        <v>5</v>
      </c>
      <c r="E1566">
        <v>5</v>
      </c>
      <c r="F1566" t="s">
        <v>10</v>
      </c>
      <c r="G1566" t="s">
        <v>70</v>
      </c>
      <c r="H1566" t="s">
        <v>1</v>
      </c>
      <c r="I1566">
        <v>60000000</v>
      </c>
      <c r="J1566" t="s">
        <v>57</v>
      </c>
      <c r="K1566" t="s">
        <v>7</v>
      </c>
      <c r="L1566" t="s">
        <v>67</v>
      </c>
      <c r="M1566" t="s">
        <v>82</v>
      </c>
      <c r="N1566" t="s">
        <v>13</v>
      </c>
    </row>
    <row r="1567" spans="1:14" x14ac:dyDescent="0.35">
      <c r="A1567" s="75">
        <v>44014</v>
      </c>
      <c r="B1567" t="s">
        <v>141</v>
      </c>
      <c r="C1567" t="s">
        <v>98</v>
      </c>
      <c r="D1567">
        <v>5</v>
      </c>
      <c r="E1567">
        <v>5</v>
      </c>
      <c r="F1567" t="s">
        <v>10</v>
      </c>
      <c r="G1567" t="s">
        <v>113</v>
      </c>
      <c r="H1567" t="s">
        <v>77</v>
      </c>
      <c r="I1567">
        <v>100000000</v>
      </c>
      <c r="J1567" t="s">
        <v>40</v>
      </c>
      <c r="K1567" t="s">
        <v>2</v>
      </c>
      <c r="L1567" t="s">
        <v>67</v>
      </c>
      <c r="M1567" t="s">
        <v>82</v>
      </c>
      <c r="N1567" t="s">
        <v>12</v>
      </c>
    </row>
    <row r="1568" spans="1:14" x14ac:dyDescent="0.35">
      <c r="A1568" s="75">
        <v>44014</v>
      </c>
      <c r="B1568" t="s">
        <v>141</v>
      </c>
      <c r="C1568" t="s">
        <v>98</v>
      </c>
      <c r="D1568">
        <v>4</v>
      </c>
      <c r="E1568">
        <v>4</v>
      </c>
      <c r="F1568" t="s">
        <v>10</v>
      </c>
      <c r="G1568" t="s">
        <v>73</v>
      </c>
      <c r="H1568" t="s">
        <v>78</v>
      </c>
      <c r="I1568">
        <v>140000000</v>
      </c>
      <c r="J1568" t="s">
        <v>33</v>
      </c>
      <c r="K1568" t="s">
        <v>5</v>
      </c>
      <c r="L1568" t="s">
        <v>67</v>
      </c>
      <c r="M1568" t="s">
        <v>82</v>
      </c>
      <c r="N1568" t="s">
        <v>11</v>
      </c>
    </row>
    <row r="1569" spans="1:14" x14ac:dyDescent="0.35">
      <c r="A1569" s="75">
        <v>44014</v>
      </c>
      <c r="B1569" t="s">
        <v>141</v>
      </c>
      <c r="C1569" t="s">
        <v>98</v>
      </c>
      <c r="D1569">
        <v>4</v>
      </c>
      <c r="E1569">
        <v>4</v>
      </c>
      <c r="F1569" t="s">
        <v>10</v>
      </c>
      <c r="G1569" t="s">
        <v>73</v>
      </c>
      <c r="H1569" t="s">
        <v>78</v>
      </c>
      <c r="I1569">
        <v>100000000</v>
      </c>
      <c r="J1569" t="s">
        <v>17</v>
      </c>
      <c r="K1569" t="s">
        <v>2</v>
      </c>
      <c r="L1569" t="s">
        <v>67</v>
      </c>
      <c r="M1569" t="s">
        <v>82</v>
      </c>
      <c r="N1569" t="s">
        <v>14</v>
      </c>
    </row>
    <row r="1570" spans="1:14" x14ac:dyDescent="0.35">
      <c r="A1570" s="75">
        <v>44014</v>
      </c>
      <c r="B1570" t="s">
        <v>141</v>
      </c>
      <c r="C1570" t="s">
        <v>98</v>
      </c>
      <c r="D1570">
        <v>4</v>
      </c>
      <c r="E1570">
        <v>4</v>
      </c>
      <c r="F1570" t="s">
        <v>10</v>
      </c>
      <c r="G1570" t="s">
        <v>73</v>
      </c>
      <c r="H1570" t="s">
        <v>78</v>
      </c>
      <c r="I1570">
        <v>60000000</v>
      </c>
      <c r="J1570" t="s">
        <v>37</v>
      </c>
      <c r="K1570" t="s">
        <v>5</v>
      </c>
      <c r="L1570" t="s">
        <v>67</v>
      </c>
      <c r="M1570" t="s">
        <v>80</v>
      </c>
      <c r="N1570" t="s">
        <v>13</v>
      </c>
    </row>
    <row r="1571" spans="1:14" x14ac:dyDescent="0.35">
      <c r="A1571" s="75">
        <v>44015</v>
      </c>
      <c r="B1571" t="s">
        <v>142</v>
      </c>
      <c r="C1571" t="s">
        <v>98</v>
      </c>
      <c r="D1571">
        <v>10</v>
      </c>
      <c r="E1571">
        <v>10</v>
      </c>
      <c r="F1571" t="s">
        <v>10</v>
      </c>
      <c r="G1571" t="s">
        <v>70</v>
      </c>
      <c r="H1571" t="s">
        <v>1</v>
      </c>
      <c r="I1571">
        <v>40000000</v>
      </c>
      <c r="J1571" t="s">
        <v>29</v>
      </c>
      <c r="K1571" t="s">
        <v>5</v>
      </c>
      <c r="L1571" t="s">
        <v>67</v>
      </c>
      <c r="M1571" t="s">
        <v>82</v>
      </c>
      <c r="N1571" t="s">
        <v>13</v>
      </c>
    </row>
    <row r="1572" spans="1:14" x14ac:dyDescent="0.35">
      <c r="A1572" s="75">
        <v>44015</v>
      </c>
      <c r="B1572" t="s">
        <v>142</v>
      </c>
      <c r="C1572" t="s">
        <v>98</v>
      </c>
      <c r="D1572">
        <v>7</v>
      </c>
      <c r="E1572">
        <v>7</v>
      </c>
      <c r="F1572" t="s">
        <v>10</v>
      </c>
      <c r="G1572" t="s">
        <v>71</v>
      </c>
      <c r="H1572" t="s">
        <v>6</v>
      </c>
      <c r="I1572">
        <v>100000000</v>
      </c>
      <c r="J1572" t="s">
        <v>38</v>
      </c>
      <c r="K1572" t="s">
        <v>7</v>
      </c>
      <c r="L1572" t="s">
        <v>67</v>
      </c>
      <c r="M1572" t="s">
        <v>82</v>
      </c>
      <c r="N1572" t="s">
        <v>14</v>
      </c>
    </row>
    <row r="1573" spans="1:14" x14ac:dyDescent="0.35">
      <c r="A1573" s="75">
        <v>44015</v>
      </c>
      <c r="B1573" t="s">
        <v>142</v>
      </c>
      <c r="C1573" t="s">
        <v>98</v>
      </c>
      <c r="D1573">
        <v>7</v>
      </c>
      <c r="E1573">
        <v>7</v>
      </c>
      <c r="F1573" t="s">
        <v>10</v>
      </c>
      <c r="G1573" t="s">
        <v>71</v>
      </c>
      <c r="H1573" t="s">
        <v>6</v>
      </c>
      <c r="I1573">
        <v>80000000</v>
      </c>
      <c r="J1573" t="s">
        <v>52</v>
      </c>
      <c r="K1573" t="s">
        <v>9</v>
      </c>
      <c r="L1573" t="s">
        <v>67</v>
      </c>
      <c r="M1573" t="s">
        <v>81</v>
      </c>
      <c r="N1573" t="s">
        <v>14</v>
      </c>
    </row>
    <row r="1574" spans="1:14" x14ac:dyDescent="0.35">
      <c r="A1574" s="75">
        <v>44015</v>
      </c>
      <c r="B1574" t="s">
        <v>142</v>
      </c>
      <c r="C1574" t="s">
        <v>98</v>
      </c>
      <c r="D1574">
        <v>7</v>
      </c>
      <c r="E1574">
        <v>7</v>
      </c>
      <c r="F1574" t="s">
        <v>10</v>
      </c>
      <c r="G1574" t="s">
        <v>114</v>
      </c>
      <c r="H1574" t="s">
        <v>3</v>
      </c>
      <c r="I1574">
        <v>100000000</v>
      </c>
      <c r="J1574" t="s">
        <v>60</v>
      </c>
      <c r="K1574" t="s">
        <v>5</v>
      </c>
      <c r="L1574" t="s">
        <v>67</v>
      </c>
      <c r="M1574" t="s">
        <v>82</v>
      </c>
      <c r="N1574" t="s">
        <v>14</v>
      </c>
    </row>
    <row r="1575" spans="1:14" x14ac:dyDescent="0.35">
      <c r="A1575" s="75">
        <v>44015</v>
      </c>
      <c r="B1575" t="s">
        <v>142</v>
      </c>
      <c r="C1575" t="s">
        <v>98</v>
      </c>
      <c r="D1575">
        <v>6</v>
      </c>
      <c r="E1575">
        <v>6</v>
      </c>
      <c r="F1575" t="s">
        <v>10</v>
      </c>
      <c r="G1575" t="s">
        <v>114</v>
      </c>
      <c r="H1575" t="s">
        <v>3</v>
      </c>
      <c r="I1575">
        <v>40000000</v>
      </c>
      <c r="J1575" t="s">
        <v>29</v>
      </c>
      <c r="K1575" t="s">
        <v>2</v>
      </c>
      <c r="L1575" t="s">
        <v>67</v>
      </c>
      <c r="M1575" t="s">
        <v>81</v>
      </c>
      <c r="N1575" t="s">
        <v>13</v>
      </c>
    </row>
    <row r="1576" spans="1:14" x14ac:dyDescent="0.35">
      <c r="A1576" s="75">
        <v>44015</v>
      </c>
      <c r="B1576" t="s">
        <v>142</v>
      </c>
      <c r="C1576" t="s">
        <v>98</v>
      </c>
      <c r="D1576">
        <v>4</v>
      </c>
      <c r="E1576">
        <v>4</v>
      </c>
      <c r="F1576" t="s">
        <v>10</v>
      </c>
      <c r="G1576" t="s">
        <v>74</v>
      </c>
      <c r="H1576" t="s">
        <v>77</v>
      </c>
      <c r="I1576">
        <v>140000000</v>
      </c>
      <c r="J1576" t="s">
        <v>52</v>
      </c>
      <c r="K1576" t="s">
        <v>9</v>
      </c>
      <c r="L1576" t="s">
        <v>67</v>
      </c>
      <c r="M1576" t="s">
        <v>80</v>
      </c>
      <c r="N1576" t="s">
        <v>13</v>
      </c>
    </row>
    <row r="1577" spans="1:14" x14ac:dyDescent="0.35">
      <c r="A1577" s="75">
        <v>44015</v>
      </c>
      <c r="B1577" t="s">
        <v>142</v>
      </c>
      <c r="C1577" t="s">
        <v>98</v>
      </c>
      <c r="D1577">
        <v>3</v>
      </c>
      <c r="E1577">
        <v>3</v>
      </c>
      <c r="F1577" t="s">
        <v>10</v>
      </c>
      <c r="G1577" t="s">
        <v>72</v>
      </c>
      <c r="H1577" t="s">
        <v>78</v>
      </c>
      <c r="I1577">
        <v>60000000</v>
      </c>
      <c r="J1577" t="s">
        <v>28</v>
      </c>
      <c r="K1577" t="s">
        <v>8</v>
      </c>
      <c r="L1577" t="s">
        <v>67</v>
      </c>
      <c r="M1577" t="s">
        <v>81</v>
      </c>
      <c r="N1577" t="s">
        <v>14</v>
      </c>
    </row>
    <row r="1578" spans="1:14" x14ac:dyDescent="0.35">
      <c r="A1578" s="75">
        <v>44016</v>
      </c>
      <c r="B1578" t="s">
        <v>143</v>
      </c>
      <c r="C1578" t="s">
        <v>98</v>
      </c>
      <c r="D1578">
        <v>9</v>
      </c>
      <c r="E1578">
        <v>9</v>
      </c>
      <c r="F1578" t="s">
        <v>10</v>
      </c>
      <c r="G1578" t="s">
        <v>113</v>
      </c>
      <c r="H1578" t="s">
        <v>77</v>
      </c>
      <c r="I1578">
        <v>100000000</v>
      </c>
      <c r="J1578" t="s">
        <v>54</v>
      </c>
      <c r="K1578" t="s">
        <v>7</v>
      </c>
      <c r="L1578" t="s">
        <v>67</v>
      </c>
      <c r="M1578" t="s">
        <v>81</v>
      </c>
      <c r="N1578" t="s">
        <v>11</v>
      </c>
    </row>
    <row r="1579" spans="1:14" x14ac:dyDescent="0.35">
      <c r="A1579" s="75">
        <v>44016</v>
      </c>
      <c r="B1579" t="s">
        <v>143</v>
      </c>
      <c r="C1579" t="s">
        <v>98</v>
      </c>
      <c r="D1579">
        <v>8</v>
      </c>
      <c r="E1579">
        <v>8</v>
      </c>
      <c r="F1579" t="s">
        <v>10</v>
      </c>
      <c r="G1579" t="s">
        <v>113</v>
      </c>
      <c r="H1579" t="s">
        <v>77</v>
      </c>
      <c r="I1579">
        <v>40000000</v>
      </c>
      <c r="J1579" t="s">
        <v>26</v>
      </c>
      <c r="K1579" t="s">
        <v>2</v>
      </c>
      <c r="L1579" t="s">
        <v>67</v>
      </c>
      <c r="M1579" t="s">
        <v>81</v>
      </c>
      <c r="N1579" t="s">
        <v>11</v>
      </c>
    </row>
    <row r="1580" spans="1:14" x14ac:dyDescent="0.35">
      <c r="A1580" s="75">
        <v>44016</v>
      </c>
      <c r="B1580" t="s">
        <v>143</v>
      </c>
      <c r="C1580" t="s">
        <v>98</v>
      </c>
      <c r="D1580">
        <v>8</v>
      </c>
      <c r="E1580">
        <v>8</v>
      </c>
      <c r="F1580" t="s">
        <v>10</v>
      </c>
      <c r="G1580" t="s">
        <v>72</v>
      </c>
      <c r="H1580" t="s">
        <v>78</v>
      </c>
      <c r="I1580">
        <v>100000000</v>
      </c>
      <c r="J1580" t="s">
        <v>61</v>
      </c>
      <c r="K1580" t="s">
        <v>9</v>
      </c>
      <c r="L1580" t="s">
        <v>67</v>
      </c>
      <c r="M1580" t="s">
        <v>80</v>
      </c>
      <c r="N1580" t="s">
        <v>13</v>
      </c>
    </row>
    <row r="1581" spans="1:14" x14ac:dyDescent="0.35">
      <c r="A1581" s="75">
        <v>44016</v>
      </c>
      <c r="B1581" t="s">
        <v>143</v>
      </c>
      <c r="C1581" t="s">
        <v>98</v>
      </c>
      <c r="D1581">
        <v>7</v>
      </c>
      <c r="E1581">
        <v>7</v>
      </c>
      <c r="F1581" t="s">
        <v>10</v>
      </c>
      <c r="G1581" t="s">
        <v>74</v>
      </c>
      <c r="H1581" t="s">
        <v>77</v>
      </c>
      <c r="I1581">
        <v>120000000</v>
      </c>
      <c r="J1581" t="s">
        <v>29</v>
      </c>
      <c r="K1581" t="s">
        <v>7</v>
      </c>
      <c r="L1581" t="s">
        <v>67</v>
      </c>
      <c r="M1581" t="s">
        <v>81</v>
      </c>
      <c r="N1581" t="s">
        <v>14</v>
      </c>
    </row>
    <row r="1582" spans="1:14" x14ac:dyDescent="0.35">
      <c r="A1582" s="75">
        <v>44016</v>
      </c>
      <c r="B1582" t="s">
        <v>143</v>
      </c>
      <c r="C1582" t="s">
        <v>98</v>
      </c>
      <c r="D1582">
        <v>6</v>
      </c>
      <c r="E1582">
        <v>6</v>
      </c>
      <c r="F1582" t="s">
        <v>10</v>
      </c>
      <c r="G1582" t="s">
        <v>75</v>
      </c>
      <c r="H1582" t="s">
        <v>6</v>
      </c>
      <c r="I1582">
        <v>60000000</v>
      </c>
      <c r="J1582" t="s">
        <v>52</v>
      </c>
      <c r="K1582" t="s">
        <v>2</v>
      </c>
      <c r="L1582" t="s">
        <v>67</v>
      </c>
      <c r="M1582" t="s">
        <v>82</v>
      </c>
      <c r="N1582" t="s">
        <v>12</v>
      </c>
    </row>
    <row r="1583" spans="1:14" x14ac:dyDescent="0.35">
      <c r="A1583" s="75">
        <v>44016</v>
      </c>
      <c r="B1583" t="s">
        <v>143</v>
      </c>
      <c r="C1583" t="s">
        <v>98</v>
      </c>
      <c r="D1583">
        <v>6</v>
      </c>
      <c r="E1583">
        <v>6</v>
      </c>
      <c r="F1583" t="s">
        <v>10</v>
      </c>
      <c r="G1583" t="s">
        <v>72</v>
      </c>
      <c r="H1583" t="s">
        <v>78</v>
      </c>
      <c r="I1583">
        <v>120000000</v>
      </c>
      <c r="J1583" t="s">
        <v>38</v>
      </c>
      <c r="K1583" t="s">
        <v>5</v>
      </c>
      <c r="L1583" t="s">
        <v>67</v>
      </c>
      <c r="M1583" t="s">
        <v>82</v>
      </c>
      <c r="N1583" t="s">
        <v>12</v>
      </c>
    </row>
    <row r="1584" spans="1:14" x14ac:dyDescent="0.35">
      <c r="A1584" s="75">
        <v>44016</v>
      </c>
      <c r="B1584" t="s">
        <v>143</v>
      </c>
      <c r="C1584" t="s">
        <v>98</v>
      </c>
      <c r="D1584">
        <v>6</v>
      </c>
      <c r="E1584">
        <v>6</v>
      </c>
      <c r="F1584" t="s">
        <v>10</v>
      </c>
      <c r="G1584" t="s">
        <v>113</v>
      </c>
      <c r="H1584" t="s">
        <v>77</v>
      </c>
      <c r="I1584">
        <v>100000000</v>
      </c>
      <c r="J1584" t="s">
        <v>40</v>
      </c>
      <c r="K1584" t="s">
        <v>7</v>
      </c>
      <c r="L1584" t="s">
        <v>67</v>
      </c>
      <c r="M1584" t="s">
        <v>82</v>
      </c>
      <c r="N1584" t="s">
        <v>11</v>
      </c>
    </row>
    <row r="1585" spans="1:14" x14ac:dyDescent="0.35">
      <c r="A1585" s="75">
        <v>44016</v>
      </c>
      <c r="B1585" t="s">
        <v>143</v>
      </c>
      <c r="C1585" t="s">
        <v>98</v>
      </c>
      <c r="D1585">
        <v>5</v>
      </c>
      <c r="E1585">
        <v>5</v>
      </c>
      <c r="F1585" t="s">
        <v>10</v>
      </c>
      <c r="G1585" t="s">
        <v>74</v>
      </c>
      <c r="H1585" t="s">
        <v>77</v>
      </c>
      <c r="I1585">
        <v>60000000</v>
      </c>
      <c r="J1585" t="s">
        <v>44</v>
      </c>
      <c r="K1585" t="s">
        <v>5</v>
      </c>
      <c r="L1585" t="s">
        <v>67</v>
      </c>
      <c r="M1585" t="s">
        <v>82</v>
      </c>
      <c r="N1585" t="s">
        <v>14</v>
      </c>
    </row>
    <row r="1586" spans="1:14" x14ac:dyDescent="0.35">
      <c r="A1586" s="75">
        <v>44016</v>
      </c>
      <c r="B1586" t="s">
        <v>143</v>
      </c>
      <c r="C1586" t="s">
        <v>98</v>
      </c>
      <c r="D1586">
        <v>5</v>
      </c>
      <c r="E1586">
        <v>5</v>
      </c>
      <c r="F1586" t="s">
        <v>10</v>
      </c>
      <c r="G1586" t="s">
        <v>74</v>
      </c>
      <c r="H1586" t="s">
        <v>77</v>
      </c>
      <c r="I1586">
        <v>140000000</v>
      </c>
      <c r="J1586" t="s">
        <v>52</v>
      </c>
      <c r="K1586" t="s">
        <v>5</v>
      </c>
      <c r="L1586" t="s">
        <v>67</v>
      </c>
      <c r="M1586" t="s">
        <v>82</v>
      </c>
      <c r="N1586" t="s">
        <v>14</v>
      </c>
    </row>
    <row r="1587" spans="1:14" x14ac:dyDescent="0.35">
      <c r="A1587" s="75">
        <v>44016</v>
      </c>
      <c r="B1587" t="s">
        <v>143</v>
      </c>
      <c r="C1587" t="s">
        <v>98</v>
      </c>
      <c r="D1587">
        <v>5</v>
      </c>
      <c r="E1587">
        <v>5</v>
      </c>
      <c r="F1587" t="s">
        <v>10</v>
      </c>
      <c r="G1587" t="s">
        <v>73</v>
      </c>
      <c r="H1587" t="s">
        <v>78</v>
      </c>
      <c r="I1587">
        <v>40000000</v>
      </c>
      <c r="J1587" t="s">
        <v>53</v>
      </c>
      <c r="K1587" t="s">
        <v>2</v>
      </c>
      <c r="L1587" t="s">
        <v>67</v>
      </c>
      <c r="M1587" t="s">
        <v>80</v>
      </c>
      <c r="N1587" t="s">
        <v>11</v>
      </c>
    </row>
    <row r="1588" spans="1:14" x14ac:dyDescent="0.35">
      <c r="A1588" s="75">
        <v>44016</v>
      </c>
      <c r="B1588" t="s">
        <v>143</v>
      </c>
      <c r="C1588" t="s">
        <v>98</v>
      </c>
      <c r="D1588">
        <v>5</v>
      </c>
      <c r="E1588">
        <v>5</v>
      </c>
      <c r="F1588" t="s">
        <v>10</v>
      </c>
      <c r="G1588" t="s">
        <v>72</v>
      </c>
      <c r="H1588" t="s">
        <v>78</v>
      </c>
      <c r="I1588">
        <v>140000000</v>
      </c>
      <c r="J1588" t="s">
        <v>22</v>
      </c>
      <c r="K1588" t="s">
        <v>2</v>
      </c>
      <c r="L1588" t="s">
        <v>67</v>
      </c>
      <c r="M1588" t="s">
        <v>82</v>
      </c>
      <c r="N1588" t="s">
        <v>13</v>
      </c>
    </row>
    <row r="1589" spans="1:14" x14ac:dyDescent="0.35">
      <c r="A1589" s="75">
        <v>44016</v>
      </c>
      <c r="B1589" t="s">
        <v>143</v>
      </c>
      <c r="C1589" t="s">
        <v>98</v>
      </c>
      <c r="D1589">
        <v>4</v>
      </c>
      <c r="E1589">
        <v>4</v>
      </c>
      <c r="F1589" t="s">
        <v>10</v>
      </c>
      <c r="G1589" t="s">
        <v>71</v>
      </c>
      <c r="H1589" t="s">
        <v>6</v>
      </c>
      <c r="I1589">
        <v>100000000</v>
      </c>
      <c r="J1589" t="s">
        <v>21</v>
      </c>
      <c r="K1589" t="s">
        <v>2</v>
      </c>
      <c r="L1589" t="s">
        <v>67</v>
      </c>
      <c r="M1589" t="s">
        <v>80</v>
      </c>
      <c r="N1589" t="s">
        <v>11</v>
      </c>
    </row>
    <row r="1590" spans="1:14" x14ac:dyDescent="0.35">
      <c r="A1590" s="75">
        <v>44016</v>
      </c>
      <c r="B1590" t="s">
        <v>143</v>
      </c>
      <c r="C1590" t="s">
        <v>98</v>
      </c>
      <c r="D1590">
        <v>3</v>
      </c>
      <c r="E1590">
        <v>3</v>
      </c>
      <c r="F1590" t="s">
        <v>10</v>
      </c>
      <c r="G1590" t="s">
        <v>114</v>
      </c>
      <c r="H1590" t="s">
        <v>3</v>
      </c>
      <c r="I1590">
        <v>60000000</v>
      </c>
      <c r="J1590" t="s">
        <v>43</v>
      </c>
      <c r="K1590" t="s">
        <v>5</v>
      </c>
      <c r="L1590" t="s">
        <v>67</v>
      </c>
      <c r="M1590" t="s">
        <v>82</v>
      </c>
      <c r="N1590" t="s">
        <v>12</v>
      </c>
    </row>
    <row r="1591" spans="1:14" x14ac:dyDescent="0.35">
      <c r="A1591" s="75">
        <v>44017</v>
      </c>
      <c r="B1591" t="s">
        <v>144</v>
      </c>
      <c r="C1591" t="s">
        <v>98</v>
      </c>
      <c r="D1591">
        <v>10</v>
      </c>
      <c r="E1591">
        <v>10</v>
      </c>
      <c r="F1591" t="s">
        <v>10</v>
      </c>
      <c r="G1591" t="s">
        <v>113</v>
      </c>
      <c r="H1591" t="s">
        <v>77</v>
      </c>
      <c r="I1591">
        <v>40000000</v>
      </c>
      <c r="J1591" t="s">
        <v>18</v>
      </c>
      <c r="K1591" t="s">
        <v>5</v>
      </c>
      <c r="L1591" t="s">
        <v>67</v>
      </c>
      <c r="M1591" t="s">
        <v>82</v>
      </c>
      <c r="N1591" t="s">
        <v>14</v>
      </c>
    </row>
    <row r="1592" spans="1:14" x14ac:dyDescent="0.35">
      <c r="A1592" s="75">
        <v>44017</v>
      </c>
      <c r="B1592" t="s">
        <v>144</v>
      </c>
      <c r="C1592" t="s">
        <v>98</v>
      </c>
      <c r="D1592">
        <v>9</v>
      </c>
      <c r="E1592">
        <v>9</v>
      </c>
      <c r="F1592" t="s">
        <v>10</v>
      </c>
      <c r="G1592" t="s">
        <v>73</v>
      </c>
      <c r="H1592" t="s">
        <v>78</v>
      </c>
      <c r="I1592">
        <v>100000000</v>
      </c>
      <c r="J1592" t="s">
        <v>62</v>
      </c>
      <c r="K1592" t="s">
        <v>5</v>
      </c>
      <c r="L1592" t="s">
        <v>67</v>
      </c>
      <c r="M1592" t="s">
        <v>81</v>
      </c>
      <c r="N1592" t="s">
        <v>12</v>
      </c>
    </row>
    <row r="1593" spans="1:14" x14ac:dyDescent="0.35">
      <c r="A1593" s="75">
        <v>44017</v>
      </c>
      <c r="B1593" t="s">
        <v>144</v>
      </c>
      <c r="C1593" t="s">
        <v>98</v>
      </c>
      <c r="D1593">
        <v>9</v>
      </c>
      <c r="E1593">
        <v>9</v>
      </c>
      <c r="F1593" t="s">
        <v>10</v>
      </c>
      <c r="G1593" t="s">
        <v>113</v>
      </c>
      <c r="H1593" t="s">
        <v>77</v>
      </c>
      <c r="I1593">
        <v>120000000</v>
      </c>
      <c r="J1593" t="s">
        <v>40</v>
      </c>
      <c r="K1593" t="s">
        <v>4</v>
      </c>
      <c r="L1593" t="s">
        <v>67</v>
      </c>
      <c r="M1593" t="s">
        <v>81</v>
      </c>
      <c r="N1593" t="s">
        <v>11</v>
      </c>
    </row>
    <row r="1594" spans="1:14" x14ac:dyDescent="0.35">
      <c r="A1594" s="75">
        <v>44017</v>
      </c>
      <c r="B1594" t="s">
        <v>144</v>
      </c>
      <c r="C1594" t="s">
        <v>98</v>
      </c>
      <c r="D1594">
        <v>8</v>
      </c>
      <c r="E1594">
        <v>8</v>
      </c>
      <c r="F1594" t="s">
        <v>10</v>
      </c>
      <c r="G1594" t="s">
        <v>74</v>
      </c>
      <c r="H1594" t="s">
        <v>77</v>
      </c>
      <c r="I1594">
        <v>140000000</v>
      </c>
      <c r="J1594" t="s">
        <v>56</v>
      </c>
      <c r="K1594" t="s">
        <v>2</v>
      </c>
      <c r="L1594" t="s">
        <v>67</v>
      </c>
      <c r="M1594" t="s">
        <v>80</v>
      </c>
      <c r="N1594" t="s">
        <v>13</v>
      </c>
    </row>
    <row r="1595" spans="1:14" x14ac:dyDescent="0.35">
      <c r="A1595" s="75">
        <v>44017</v>
      </c>
      <c r="B1595" t="s">
        <v>144</v>
      </c>
      <c r="C1595" t="s">
        <v>98</v>
      </c>
      <c r="D1595">
        <v>8</v>
      </c>
      <c r="E1595">
        <v>8</v>
      </c>
      <c r="F1595" t="s">
        <v>10</v>
      </c>
      <c r="G1595" t="s">
        <v>73</v>
      </c>
      <c r="H1595" t="s">
        <v>78</v>
      </c>
      <c r="I1595">
        <v>40000000</v>
      </c>
      <c r="J1595" t="s">
        <v>17</v>
      </c>
      <c r="K1595" t="s">
        <v>2</v>
      </c>
      <c r="L1595" t="s">
        <v>67</v>
      </c>
      <c r="M1595" t="s">
        <v>81</v>
      </c>
      <c r="N1595" t="s">
        <v>11</v>
      </c>
    </row>
    <row r="1596" spans="1:14" x14ac:dyDescent="0.35">
      <c r="A1596" s="75">
        <v>44017</v>
      </c>
      <c r="B1596" t="s">
        <v>144</v>
      </c>
      <c r="C1596" t="s">
        <v>98</v>
      </c>
      <c r="D1596">
        <v>8</v>
      </c>
      <c r="E1596">
        <v>8</v>
      </c>
      <c r="F1596" t="s">
        <v>10</v>
      </c>
      <c r="G1596" t="s">
        <v>71</v>
      </c>
      <c r="H1596" t="s">
        <v>6</v>
      </c>
      <c r="I1596">
        <v>80000000</v>
      </c>
      <c r="J1596" t="s">
        <v>49</v>
      </c>
      <c r="K1596" t="s">
        <v>2</v>
      </c>
      <c r="L1596" t="s">
        <v>67</v>
      </c>
      <c r="M1596" t="s">
        <v>81</v>
      </c>
      <c r="N1596" t="s">
        <v>12</v>
      </c>
    </row>
    <row r="1597" spans="1:14" x14ac:dyDescent="0.35">
      <c r="A1597" s="75">
        <v>44017</v>
      </c>
      <c r="B1597" t="s">
        <v>144</v>
      </c>
      <c r="C1597" t="s">
        <v>98</v>
      </c>
      <c r="D1597">
        <v>4</v>
      </c>
      <c r="E1597">
        <v>4</v>
      </c>
      <c r="F1597" t="s">
        <v>10</v>
      </c>
      <c r="G1597" t="s">
        <v>113</v>
      </c>
      <c r="H1597" t="s">
        <v>77</v>
      </c>
      <c r="I1597">
        <v>80000000</v>
      </c>
      <c r="J1597" t="s">
        <v>56</v>
      </c>
      <c r="K1597" t="s">
        <v>2</v>
      </c>
      <c r="L1597" t="s">
        <v>67</v>
      </c>
      <c r="M1597" t="s">
        <v>80</v>
      </c>
      <c r="N1597" t="s">
        <v>11</v>
      </c>
    </row>
    <row r="1598" spans="1:14" x14ac:dyDescent="0.35">
      <c r="A1598" s="75">
        <v>44018</v>
      </c>
      <c r="B1598" t="s">
        <v>145</v>
      </c>
      <c r="C1598" t="s">
        <v>98</v>
      </c>
      <c r="D1598">
        <v>9</v>
      </c>
      <c r="E1598">
        <v>9</v>
      </c>
      <c r="F1598" t="s">
        <v>10</v>
      </c>
      <c r="G1598" t="s">
        <v>70</v>
      </c>
      <c r="H1598" t="s">
        <v>1</v>
      </c>
      <c r="I1598">
        <v>80000000</v>
      </c>
      <c r="J1598" t="s">
        <v>51</v>
      </c>
      <c r="K1598" t="s">
        <v>5</v>
      </c>
      <c r="L1598" t="s">
        <v>67</v>
      </c>
      <c r="M1598" t="s">
        <v>80</v>
      </c>
      <c r="N1598" t="s">
        <v>11</v>
      </c>
    </row>
    <row r="1599" spans="1:14" x14ac:dyDescent="0.35">
      <c r="A1599" s="75">
        <v>44018</v>
      </c>
      <c r="B1599" t="s">
        <v>145</v>
      </c>
      <c r="C1599" t="s">
        <v>98</v>
      </c>
      <c r="D1599">
        <v>8</v>
      </c>
      <c r="E1599">
        <v>8</v>
      </c>
      <c r="F1599" t="s">
        <v>10</v>
      </c>
      <c r="G1599" t="s">
        <v>70</v>
      </c>
      <c r="H1599" t="s">
        <v>1</v>
      </c>
      <c r="I1599">
        <v>80000000</v>
      </c>
      <c r="J1599" t="s">
        <v>44</v>
      </c>
      <c r="K1599" t="s">
        <v>5</v>
      </c>
      <c r="L1599" t="s">
        <v>67</v>
      </c>
      <c r="M1599" t="s">
        <v>82</v>
      </c>
      <c r="N1599" t="s">
        <v>12</v>
      </c>
    </row>
    <row r="1600" spans="1:14" x14ac:dyDescent="0.35">
      <c r="A1600" s="75">
        <v>44018</v>
      </c>
      <c r="B1600" t="s">
        <v>145</v>
      </c>
      <c r="C1600" t="s">
        <v>98</v>
      </c>
      <c r="D1600">
        <v>6</v>
      </c>
      <c r="E1600">
        <v>6</v>
      </c>
      <c r="F1600" t="s">
        <v>10</v>
      </c>
      <c r="G1600" t="s">
        <v>76</v>
      </c>
      <c r="H1600" t="s">
        <v>79</v>
      </c>
      <c r="I1600">
        <v>40000000</v>
      </c>
      <c r="J1600" t="s">
        <v>57</v>
      </c>
      <c r="K1600" t="s">
        <v>5</v>
      </c>
      <c r="L1600" t="s">
        <v>67</v>
      </c>
      <c r="M1600" t="s">
        <v>82</v>
      </c>
      <c r="N1600" t="s">
        <v>12</v>
      </c>
    </row>
    <row r="1601" spans="1:14" x14ac:dyDescent="0.35">
      <c r="A1601" s="75">
        <v>44018</v>
      </c>
      <c r="B1601" t="s">
        <v>145</v>
      </c>
      <c r="C1601" t="s">
        <v>98</v>
      </c>
      <c r="D1601">
        <v>6</v>
      </c>
      <c r="E1601">
        <v>6</v>
      </c>
      <c r="F1601" t="s">
        <v>10</v>
      </c>
      <c r="G1601" t="s">
        <v>113</v>
      </c>
      <c r="H1601" t="s">
        <v>77</v>
      </c>
      <c r="I1601">
        <v>120000000</v>
      </c>
      <c r="J1601" t="s">
        <v>60</v>
      </c>
      <c r="K1601" t="s">
        <v>5</v>
      </c>
      <c r="L1601" t="s">
        <v>67</v>
      </c>
      <c r="M1601" t="s">
        <v>82</v>
      </c>
      <c r="N1601" t="s">
        <v>14</v>
      </c>
    </row>
    <row r="1602" spans="1:14" x14ac:dyDescent="0.35">
      <c r="A1602" s="75">
        <v>44018</v>
      </c>
      <c r="B1602" t="s">
        <v>145</v>
      </c>
      <c r="C1602" t="s">
        <v>98</v>
      </c>
      <c r="D1602">
        <v>6</v>
      </c>
      <c r="E1602">
        <v>6</v>
      </c>
      <c r="F1602" t="s">
        <v>10</v>
      </c>
      <c r="G1602" t="s">
        <v>72</v>
      </c>
      <c r="H1602" t="s">
        <v>78</v>
      </c>
      <c r="I1602">
        <v>120000000</v>
      </c>
      <c r="J1602" t="s">
        <v>29</v>
      </c>
      <c r="K1602" t="s">
        <v>2</v>
      </c>
      <c r="L1602" t="s">
        <v>67</v>
      </c>
      <c r="M1602" t="s">
        <v>82</v>
      </c>
      <c r="N1602" t="s">
        <v>11</v>
      </c>
    </row>
    <row r="1603" spans="1:14" x14ac:dyDescent="0.35">
      <c r="A1603" s="75">
        <v>44018</v>
      </c>
      <c r="B1603" t="s">
        <v>145</v>
      </c>
      <c r="C1603" t="s">
        <v>98</v>
      </c>
      <c r="D1603">
        <v>6</v>
      </c>
      <c r="E1603">
        <v>6</v>
      </c>
      <c r="F1603" t="s">
        <v>10</v>
      </c>
      <c r="G1603" t="s">
        <v>71</v>
      </c>
      <c r="H1603" t="s">
        <v>6</v>
      </c>
      <c r="I1603">
        <v>100000000</v>
      </c>
      <c r="J1603" t="s">
        <v>20</v>
      </c>
      <c r="K1603" t="s">
        <v>7</v>
      </c>
      <c r="L1603" t="s">
        <v>67</v>
      </c>
      <c r="M1603" t="s">
        <v>82</v>
      </c>
      <c r="N1603" t="s">
        <v>14</v>
      </c>
    </row>
    <row r="1604" spans="1:14" x14ac:dyDescent="0.35">
      <c r="A1604" s="75">
        <v>44018</v>
      </c>
      <c r="B1604" t="s">
        <v>145</v>
      </c>
      <c r="C1604" t="s">
        <v>98</v>
      </c>
      <c r="D1604">
        <v>5</v>
      </c>
      <c r="E1604">
        <v>5</v>
      </c>
      <c r="F1604" t="s">
        <v>10</v>
      </c>
      <c r="G1604" t="s">
        <v>70</v>
      </c>
      <c r="H1604" t="s">
        <v>1</v>
      </c>
      <c r="I1604">
        <v>40000000</v>
      </c>
      <c r="J1604" t="s">
        <v>31</v>
      </c>
      <c r="K1604" t="s">
        <v>5</v>
      </c>
      <c r="L1604" t="s">
        <v>67</v>
      </c>
      <c r="M1604" t="s">
        <v>81</v>
      </c>
      <c r="N1604" t="s">
        <v>12</v>
      </c>
    </row>
    <row r="1605" spans="1:14" x14ac:dyDescent="0.35">
      <c r="A1605" s="75">
        <v>44018</v>
      </c>
      <c r="B1605" t="s">
        <v>145</v>
      </c>
      <c r="C1605" t="s">
        <v>98</v>
      </c>
      <c r="D1605">
        <v>5</v>
      </c>
      <c r="E1605">
        <v>5</v>
      </c>
      <c r="F1605" t="s">
        <v>10</v>
      </c>
      <c r="G1605" t="s">
        <v>114</v>
      </c>
      <c r="H1605" t="s">
        <v>3</v>
      </c>
      <c r="I1605">
        <v>80000000</v>
      </c>
      <c r="J1605" t="s">
        <v>18</v>
      </c>
      <c r="K1605" t="s">
        <v>5</v>
      </c>
      <c r="L1605" t="s">
        <v>67</v>
      </c>
      <c r="M1605" t="s">
        <v>80</v>
      </c>
      <c r="N1605" t="s">
        <v>12</v>
      </c>
    </row>
    <row r="1606" spans="1:14" x14ac:dyDescent="0.35">
      <c r="A1606" s="75">
        <v>44018</v>
      </c>
      <c r="B1606" t="s">
        <v>145</v>
      </c>
      <c r="C1606" t="s">
        <v>98</v>
      </c>
      <c r="D1606">
        <v>5</v>
      </c>
      <c r="E1606">
        <v>5</v>
      </c>
      <c r="F1606" t="s">
        <v>10</v>
      </c>
      <c r="G1606" t="s">
        <v>114</v>
      </c>
      <c r="H1606" t="s">
        <v>3</v>
      </c>
      <c r="I1606">
        <v>120000000</v>
      </c>
      <c r="J1606" t="s">
        <v>20</v>
      </c>
      <c r="K1606" t="s">
        <v>5</v>
      </c>
      <c r="L1606" t="s">
        <v>67</v>
      </c>
      <c r="M1606" t="s">
        <v>81</v>
      </c>
      <c r="N1606" t="s">
        <v>12</v>
      </c>
    </row>
    <row r="1607" spans="1:14" x14ac:dyDescent="0.35">
      <c r="A1607" s="75">
        <v>44018</v>
      </c>
      <c r="B1607" t="s">
        <v>145</v>
      </c>
      <c r="C1607" t="s">
        <v>98</v>
      </c>
      <c r="D1607">
        <v>4</v>
      </c>
      <c r="E1607">
        <v>4</v>
      </c>
      <c r="F1607" t="s">
        <v>10</v>
      </c>
      <c r="G1607" t="s">
        <v>76</v>
      </c>
      <c r="H1607" t="s">
        <v>79</v>
      </c>
      <c r="I1607">
        <v>80000000</v>
      </c>
      <c r="J1607" t="s">
        <v>24</v>
      </c>
      <c r="K1607" t="s">
        <v>5</v>
      </c>
      <c r="L1607" t="s">
        <v>67</v>
      </c>
      <c r="M1607" t="s">
        <v>81</v>
      </c>
      <c r="N1607" t="s">
        <v>12</v>
      </c>
    </row>
    <row r="1608" spans="1:14" x14ac:dyDescent="0.35">
      <c r="A1608" s="75">
        <v>44018</v>
      </c>
      <c r="B1608" t="s">
        <v>145</v>
      </c>
      <c r="C1608" t="s">
        <v>98</v>
      </c>
      <c r="D1608">
        <v>3</v>
      </c>
      <c r="E1608">
        <v>3</v>
      </c>
      <c r="F1608" t="s">
        <v>10</v>
      </c>
      <c r="G1608" t="s">
        <v>76</v>
      </c>
      <c r="H1608" t="s">
        <v>79</v>
      </c>
      <c r="I1608">
        <v>140000000</v>
      </c>
      <c r="J1608" t="s">
        <v>21</v>
      </c>
      <c r="K1608" t="s">
        <v>5</v>
      </c>
      <c r="L1608" t="s">
        <v>67</v>
      </c>
      <c r="M1608" t="s">
        <v>80</v>
      </c>
      <c r="N1608" t="s">
        <v>11</v>
      </c>
    </row>
    <row r="1609" spans="1:14" x14ac:dyDescent="0.35">
      <c r="A1609" s="75">
        <v>44019</v>
      </c>
      <c r="B1609" t="s">
        <v>146</v>
      </c>
      <c r="C1609" t="s">
        <v>98</v>
      </c>
      <c r="D1609">
        <v>9</v>
      </c>
      <c r="E1609">
        <v>9</v>
      </c>
      <c r="F1609" t="s">
        <v>10</v>
      </c>
      <c r="G1609" t="s">
        <v>74</v>
      </c>
      <c r="H1609" t="s">
        <v>77</v>
      </c>
      <c r="I1609">
        <v>140000000</v>
      </c>
      <c r="J1609" t="s">
        <v>15</v>
      </c>
      <c r="K1609" t="s">
        <v>9</v>
      </c>
      <c r="L1609" t="s">
        <v>67</v>
      </c>
      <c r="M1609" t="s">
        <v>80</v>
      </c>
      <c r="N1609" t="s">
        <v>12</v>
      </c>
    </row>
    <row r="1610" spans="1:14" x14ac:dyDescent="0.35">
      <c r="A1610" s="75">
        <v>44019</v>
      </c>
      <c r="B1610" t="s">
        <v>146</v>
      </c>
      <c r="C1610" t="s">
        <v>98</v>
      </c>
      <c r="D1610">
        <v>9</v>
      </c>
      <c r="E1610">
        <v>9</v>
      </c>
      <c r="F1610" t="s">
        <v>10</v>
      </c>
      <c r="G1610" t="s">
        <v>72</v>
      </c>
      <c r="H1610" t="s">
        <v>78</v>
      </c>
      <c r="I1610">
        <v>40000000</v>
      </c>
      <c r="J1610" t="s">
        <v>24</v>
      </c>
      <c r="K1610" t="s">
        <v>5</v>
      </c>
      <c r="L1610" t="s">
        <v>67</v>
      </c>
      <c r="M1610" t="s">
        <v>82</v>
      </c>
      <c r="N1610" t="s">
        <v>11</v>
      </c>
    </row>
    <row r="1611" spans="1:14" x14ac:dyDescent="0.35">
      <c r="A1611" s="75">
        <v>44019</v>
      </c>
      <c r="B1611" t="s">
        <v>146</v>
      </c>
      <c r="C1611" t="s">
        <v>98</v>
      </c>
      <c r="D1611">
        <v>7</v>
      </c>
      <c r="E1611">
        <v>7</v>
      </c>
      <c r="F1611" t="s">
        <v>10</v>
      </c>
      <c r="G1611" t="s">
        <v>113</v>
      </c>
      <c r="H1611" t="s">
        <v>77</v>
      </c>
      <c r="I1611">
        <v>80000000</v>
      </c>
      <c r="J1611" t="s">
        <v>20</v>
      </c>
      <c r="K1611" t="s">
        <v>2</v>
      </c>
      <c r="L1611" t="s">
        <v>67</v>
      </c>
      <c r="M1611" t="s">
        <v>82</v>
      </c>
      <c r="N1611" t="s">
        <v>12</v>
      </c>
    </row>
    <row r="1612" spans="1:14" x14ac:dyDescent="0.35">
      <c r="A1612" s="75">
        <v>44019</v>
      </c>
      <c r="B1612" t="s">
        <v>146</v>
      </c>
      <c r="C1612" t="s">
        <v>98</v>
      </c>
      <c r="D1612">
        <v>7</v>
      </c>
      <c r="E1612">
        <v>7</v>
      </c>
      <c r="F1612" t="s">
        <v>10</v>
      </c>
      <c r="G1612" t="s">
        <v>72</v>
      </c>
      <c r="H1612" t="s">
        <v>78</v>
      </c>
      <c r="I1612">
        <v>140000000</v>
      </c>
      <c r="J1612" t="s">
        <v>27</v>
      </c>
      <c r="K1612" t="s">
        <v>2</v>
      </c>
      <c r="L1612" t="s">
        <v>67</v>
      </c>
      <c r="M1612" t="s">
        <v>81</v>
      </c>
      <c r="N1612" t="s">
        <v>13</v>
      </c>
    </row>
    <row r="1613" spans="1:14" x14ac:dyDescent="0.35">
      <c r="A1613" s="75">
        <v>44019</v>
      </c>
      <c r="B1613" t="s">
        <v>146</v>
      </c>
      <c r="C1613" t="s">
        <v>98</v>
      </c>
      <c r="D1613">
        <v>7</v>
      </c>
      <c r="E1613">
        <v>7</v>
      </c>
      <c r="F1613" t="s">
        <v>10</v>
      </c>
      <c r="G1613" t="s">
        <v>114</v>
      </c>
      <c r="H1613" t="s">
        <v>3</v>
      </c>
      <c r="I1613">
        <v>60000000</v>
      </c>
      <c r="J1613" t="s">
        <v>59</v>
      </c>
      <c r="K1613" t="s">
        <v>2</v>
      </c>
      <c r="L1613" t="s">
        <v>67</v>
      </c>
      <c r="M1613" t="s">
        <v>80</v>
      </c>
      <c r="N1613" t="s">
        <v>11</v>
      </c>
    </row>
    <row r="1614" spans="1:14" x14ac:dyDescent="0.35">
      <c r="A1614" s="75">
        <v>44019</v>
      </c>
      <c r="B1614" t="s">
        <v>146</v>
      </c>
      <c r="C1614" t="s">
        <v>98</v>
      </c>
      <c r="D1614">
        <v>7</v>
      </c>
      <c r="E1614">
        <v>7</v>
      </c>
      <c r="F1614" t="s">
        <v>10</v>
      </c>
      <c r="G1614" t="s">
        <v>113</v>
      </c>
      <c r="H1614" t="s">
        <v>77</v>
      </c>
      <c r="I1614">
        <v>60000000</v>
      </c>
      <c r="J1614" t="s">
        <v>29</v>
      </c>
      <c r="K1614" t="s">
        <v>2</v>
      </c>
      <c r="L1614" t="s">
        <v>67</v>
      </c>
      <c r="M1614" t="s">
        <v>82</v>
      </c>
      <c r="N1614" t="s">
        <v>12</v>
      </c>
    </row>
    <row r="1615" spans="1:14" x14ac:dyDescent="0.35">
      <c r="A1615" s="75">
        <v>44019</v>
      </c>
      <c r="B1615" t="s">
        <v>146</v>
      </c>
      <c r="C1615" t="s">
        <v>98</v>
      </c>
      <c r="D1615">
        <v>6</v>
      </c>
      <c r="E1615">
        <v>6</v>
      </c>
      <c r="F1615" t="s">
        <v>10</v>
      </c>
      <c r="G1615" t="s">
        <v>113</v>
      </c>
      <c r="H1615" t="s">
        <v>77</v>
      </c>
      <c r="I1615">
        <v>140000000</v>
      </c>
      <c r="J1615" t="s">
        <v>20</v>
      </c>
      <c r="K1615" t="s">
        <v>8</v>
      </c>
      <c r="L1615" t="s">
        <v>67</v>
      </c>
      <c r="M1615" t="s">
        <v>81</v>
      </c>
      <c r="N1615" t="s">
        <v>14</v>
      </c>
    </row>
    <row r="1616" spans="1:14" x14ac:dyDescent="0.35">
      <c r="A1616" s="75">
        <v>44019</v>
      </c>
      <c r="B1616" t="s">
        <v>146</v>
      </c>
      <c r="C1616" t="s">
        <v>98</v>
      </c>
      <c r="D1616">
        <v>5</v>
      </c>
      <c r="E1616">
        <v>5</v>
      </c>
      <c r="F1616" t="s">
        <v>10</v>
      </c>
      <c r="G1616" t="s">
        <v>71</v>
      </c>
      <c r="H1616" t="s">
        <v>6</v>
      </c>
      <c r="I1616">
        <v>80000000</v>
      </c>
      <c r="J1616" t="s">
        <v>29</v>
      </c>
      <c r="K1616" t="s">
        <v>5</v>
      </c>
      <c r="L1616" t="s">
        <v>67</v>
      </c>
      <c r="M1616" t="s">
        <v>80</v>
      </c>
      <c r="N1616" t="s">
        <v>13</v>
      </c>
    </row>
    <row r="1617" spans="1:14" x14ac:dyDescent="0.35">
      <c r="A1617" s="75">
        <v>44019</v>
      </c>
      <c r="B1617" t="s">
        <v>146</v>
      </c>
      <c r="C1617" t="s">
        <v>98</v>
      </c>
      <c r="D1617">
        <v>3</v>
      </c>
      <c r="E1617">
        <v>3</v>
      </c>
      <c r="F1617" t="s">
        <v>10</v>
      </c>
      <c r="G1617" t="s">
        <v>73</v>
      </c>
      <c r="H1617" t="s">
        <v>78</v>
      </c>
      <c r="I1617">
        <v>120000000</v>
      </c>
      <c r="J1617" t="s">
        <v>27</v>
      </c>
      <c r="K1617" t="s">
        <v>7</v>
      </c>
      <c r="L1617" t="s">
        <v>67</v>
      </c>
      <c r="M1617" t="s">
        <v>80</v>
      </c>
      <c r="N1617" t="s">
        <v>14</v>
      </c>
    </row>
    <row r="1618" spans="1:14" x14ac:dyDescent="0.35">
      <c r="A1618" s="75">
        <v>44020</v>
      </c>
      <c r="B1618" t="s">
        <v>147</v>
      </c>
      <c r="C1618" t="s">
        <v>98</v>
      </c>
      <c r="D1618">
        <v>10</v>
      </c>
      <c r="E1618">
        <v>10</v>
      </c>
      <c r="F1618" t="s">
        <v>10</v>
      </c>
      <c r="G1618" t="s">
        <v>73</v>
      </c>
      <c r="H1618" t="s">
        <v>78</v>
      </c>
      <c r="I1618">
        <v>140000000</v>
      </c>
      <c r="J1618" t="s">
        <v>17</v>
      </c>
      <c r="K1618" t="s">
        <v>7</v>
      </c>
      <c r="L1618" t="s">
        <v>67</v>
      </c>
      <c r="M1618" t="s">
        <v>81</v>
      </c>
      <c r="N1618" t="s">
        <v>14</v>
      </c>
    </row>
    <row r="1619" spans="1:14" x14ac:dyDescent="0.35">
      <c r="A1619" s="75">
        <v>44020</v>
      </c>
      <c r="B1619" t="s">
        <v>147</v>
      </c>
      <c r="C1619" t="s">
        <v>98</v>
      </c>
      <c r="D1619">
        <v>9</v>
      </c>
      <c r="E1619">
        <v>9</v>
      </c>
      <c r="F1619" t="s">
        <v>10</v>
      </c>
      <c r="G1619" t="s">
        <v>74</v>
      </c>
      <c r="H1619" t="s">
        <v>77</v>
      </c>
      <c r="I1619">
        <v>120000000</v>
      </c>
      <c r="J1619" t="s">
        <v>31</v>
      </c>
      <c r="K1619" t="s">
        <v>2</v>
      </c>
      <c r="L1619" t="s">
        <v>67</v>
      </c>
      <c r="M1619" t="s">
        <v>80</v>
      </c>
      <c r="N1619" t="s">
        <v>14</v>
      </c>
    </row>
    <row r="1620" spans="1:14" x14ac:dyDescent="0.35">
      <c r="A1620" s="75">
        <v>44020</v>
      </c>
      <c r="B1620" t="s">
        <v>147</v>
      </c>
      <c r="C1620" t="s">
        <v>98</v>
      </c>
      <c r="D1620">
        <v>8</v>
      </c>
      <c r="E1620">
        <v>8</v>
      </c>
      <c r="F1620" t="s">
        <v>10</v>
      </c>
      <c r="G1620" t="s">
        <v>71</v>
      </c>
      <c r="H1620" t="s">
        <v>6</v>
      </c>
      <c r="I1620">
        <v>120000000</v>
      </c>
      <c r="J1620" t="s">
        <v>58</v>
      </c>
      <c r="K1620" t="s">
        <v>5</v>
      </c>
      <c r="L1620" t="s">
        <v>67</v>
      </c>
      <c r="M1620" t="s">
        <v>82</v>
      </c>
      <c r="N1620" t="s">
        <v>14</v>
      </c>
    </row>
    <row r="1621" spans="1:14" x14ac:dyDescent="0.35">
      <c r="A1621" s="75">
        <v>44020</v>
      </c>
      <c r="B1621" t="s">
        <v>147</v>
      </c>
      <c r="C1621" t="s">
        <v>98</v>
      </c>
      <c r="D1621">
        <v>6</v>
      </c>
      <c r="E1621">
        <v>6</v>
      </c>
      <c r="F1621" t="s">
        <v>10</v>
      </c>
      <c r="G1621" t="s">
        <v>75</v>
      </c>
      <c r="H1621" t="s">
        <v>6</v>
      </c>
      <c r="I1621">
        <v>120000000</v>
      </c>
      <c r="J1621" t="s">
        <v>60</v>
      </c>
      <c r="K1621" t="s">
        <v>8</v>
      </c>
      <c r="L1621" t="s">
        <v>67</v>
      </c>
      <c r="M1621" t="s">
        <v>82</v>
      </c>
      <c r="N1621" t="s">
        <v>13</v>
      </c>
    </row>
    <row r="1622" spans="1:14" x14ac:dyDescent="0.35">
      <c r="A1622" s="75">
        <v>44020</v>
      </c>
      <c r="B1622" t="s">
        <v>147</v>
      </c>
      <c r="C1622" t="s">
        <v>98</v>
      </c>
      <c r="D1622">
        <v>5</v>
      </c>
      <c r="E1622">
        <v>5</v>
      </c>
      <c r="F1622" t="s">
        <v>10</v>
      </c>
      <c r="G1622" t="s">
        <v>113</v>
      </c>
      <c r="H1622" t="s">
        <v>77</v>
      </c>
      <c r="I1622">
        <v>120000000</v>
      </c>
      <c r="J1622" t="s">
        <v>29</v>
      </c>
      <c r="K1622" t="s">
        <v>2</v>
      </c>
      <c r="L1622" t="s">
        <v>67</v>
      </c>
      <c r="M1622" t="s">
        <v>82</v>
      </c>
      <c r="N1622" t="s">
        <v>14</v>
      </c>
    </row>
    <row r="1623" spans="1:14" x14ac:dyDescent="0.35">
      <c r="A1623" s="75">
        <v>44020</v>
      </c>
      <c r="B1623" t="s">
        <v>147</v>
      </c>
      <c r="C1623" t="s">
        <v>98</v>
      </c>
      <c r="D1623">
        <v>3</v>
      </c>
      <c r="E1623">
        <v>3</v>
      </c>
      <c r="F1623" t="s">
        <v>10</v>
      </c>
      <c r="G1623" t="s">
        <v>73</v>
      </c>
      <c r="H1623" t="s">
        <v>78</v>
      </c>
      <c r="I1623">
        <v>140000000</v>
      </c>
      <c r="J1623" t="s">
        <v>62</v>
      </c>
      <c r="K1623" t="s">
        <v>5</v>
      </c>
      <c r="L1623" t="s">
        <v>67</v>
      </c>
      <c r="M1623" t="s">
        <v>82</v>
      </c>
      <c r="N1623" t="s">
        <v>11</v>
      </c>
    </row>
    <row r="1624" spans="1:14" x14ac:dyDescent="0.35">
      <c r="A1624" s="75">
        <v>44020</v>
      </c>
      <c r="B1624" t="s">
        <v>147</v>
      </c>
      <c r="C1624" t="s">
        <v>98</v>
      </c>
      <c r="D1624">
        <v>3</v>
      </c>
      <c r="E1624">
        <v>3</v>
      </c>
      <c r="F1624" t="s">
        <v>10</v>
      </c>
      <c r="G1624" t="s">
        <v>72</v>
      </c>
      <c r="H1624" t="s">
        <v>78</v>
      </c>
      <c r="I1624">
        <v>60000000</v>
      </c>
      <c r="J1624" t="s">
        <v>44</v>
      </c>
      <c r="K1624" t="s">
        <v>2</v>
      </c>
      <c r="L1624" t="s">
        <v>67</v>
      </c>
      <c r="M1624" t="s">
        <v>80</v>
      </c>
      <c r="N1624" t="s">
        <v>14</v>
      </c>
    </row>
    <row r="1625" spans="1:14" x14ac:dyDescent="0.35">
      <c r="A1625" s="75">
        <v>44020</v>
      </c>
      <c r="B1625" t="s">
        <v>147</v>
      </c>
      <c r="C1625" t="s">
        <v>98</v>
      </c>
      <c r="D1625">
        <v>3</v>
      </c>
      <c r="E1625">
        <v>3</v>
      </c>
      <c r="F1625" t="s">
        <v>10</v>
      </c>
      <c r="G1625" t="s">
        <v>114</v>
      </c>
      <c r="H1625" t="s">
        <v>3</v>
      </c>
      <c r="I1625">
        <v>60000000</v>
      </c>
      <c r="J1625" t="s">
        <v>35</v>
      </c>
      <c r="K1625" t="s">
        <v>2</v>
      </c>
      <c r="L1625" t="s">
        <v>67</v>
      </c>
      <c r="M1625" t="s">
        <v>80</v>
      </c>
      <c r="N1625" t="s">
        <v>13</v>
      </c>
    </row>
    <row r="1626" spans="1:14" x14ac:dyDescent="0.35">
      <c r="A1626" s="75">
        <v>44020</v>
      </c>
      <c r="B1626" t="s">
        <v>147</v>
      </c>
      <c r="C1626" t="s">
        <v>98</v>
      </c>
      <c r="D1626">
        <v>3</v>
      </c>
      <c r="E1626">
        <v>3</v>
      </c>
      <c r="F1626" t="s">
        <v>10</v>
      </c>
      <c r="G1626" t="s">
        <v>74</v>
      </c>
      <c r="H1626" t="s">
        <v>77</v>
      </c>
      <c r="I1626">
        <v>40000000</v>
      </c>
      <c r="J1626" t="s">
        <v>60</v>
      </c>
      <c r="K1626" t="s">
        <v>8</v>
      </c>
      <c r="L1626" t="s">
        <v>67</v>
      </c>
      <c r="M1626" t="s">
        <v>82</v>
      </c>
      <c r="N1626" t="s">
        <v>14</v>
      </c>
    </row>
    <row r="1627" spans="1:14" x14ac:dyDescent="0.35">
      <c r="A1627" s="75">
        <v>44020</v>
      </c>
      <c r="B1627" t="s">
        <v>147</v>
      </c>
      <c r="C1627" t="s">
        <v>98</v>
      </c>
      <c r="D1627">
        <v>3</v>
      </c>
      <c r="E1627">
        <v>3</v>
      </c>
      <c r="F1627" t="s">
        <v>10</v>
      </c>
      <c r="G1627" t="s">
        <v>76</v>
      </c>
      <c r="H1627" t="s">
        <v>79</v>
      </c>
      <c r="I1627">
        <v>80000000</v>
      </c>
      <c r="J1627" t="s">
        <v>57</v>
      </c>
      <c r="K1627" t="s">
        <v>2</v>
      </c>
      <c r="L1627" t="s">
        <v>67</v>
      </c>
      <c r="M1627" t="s">
        <v>82</v>
      </c>
      <c r="N1627" t="s">
        <v>12</v>
      </c>
    </row>
    <row r="1628" spans="1:14" x14ac:dyDescent="0.35">
      <c r="A1628" s="75">
        <v>44021</v>
      </c>
      <c r="B1628" t="s">
        <v>148</v>
      </c>
      <c r="C1628" t="s">
        <v>98</v>
      </c>
      <c r="D1628">
        <v>10</v>
      </c>
      <c r="E1628">
        <v>10</v>
      </c>
      <c r="F1628" t="s">
        <v>10</v>
      </c>
      <c r="G1628" t="s">
        <v>114</v>
      </c>
      <c r="H1628" t="s">
        <v>3</v>
      </c>
      <c r="I1628">
        <v>140000000</v>
      </c>
      <c r="J1628" t="s">
        <v>60</v>
      </c>
      <c r="K1628" t="s">
        <v>2</v>
      </c>
      <c r="L1628" t="s">
        <v>67</v>
      </c>
      <c r="M1628" t="s">
        <v>81</v>
      </c>
      <c r="N1628" t="s">
        <v>12</v>
      </c>
    </row>
    <row r="1629" spans="1:14" x14ac:dyDescent="0.35">
      <c r="A1629" s="75">
        <v>44021</v>
      </c>
      <c r="B1629" t="s">
        <v>148</v>
      </c>
      <c r="C1629" t="s">
        <v>98</v>
      </c>
      <c r="D1629">
        <v>10</v>
      </c>
      <c r="E1629">
        <v>10</v>
      </c>
      <c r="F1629" t="s">
        <v>10</v>
      </c>
      <c r="G1629" t="s">
        <v>74</v>
      </c>
      <c r="H1629" t="s">
        <v>77</v>
      </c>
      <c r="I1629">
        <v>100000000</v>
      </c>
      <c r="J1629" t="s">
        <v>37</v>
      </c>
      <c r="K1629" t="s">
        <v>4</v>
      </c>
      <c r="L1629" t="s">
        <v>67</v>
      </c>
      <c r="M1629" t="s">
        <v>80</v>
      </c>
      <c r="N1629" t="s">
        <v>14</v>
      </c>
    </row>
    <row r="1630" spans="1:14" x14ac:dyDescent="0.35">
      <c r="A1630" s="75">
        <v>44021</v>
      </c>
      <c r="B1630" t="s">
        <v>148</v>
      </c>
      <c r="C1630" t="s">
        <v>98</v>
      </c>
      <c r="D1630">
        <v>9</v>
      </c>
      <c r="E1630">
        <v>9</v>
      </c>
      <c r="F1630" t="s">
        <v>10</v>
      </c>
      <c r="G1630" t="s">
        <v>70</v>
      </c>
      <c r="H1630" t="s">
        <v>1</v>
      </c>
      <c r="I1630">
        <v>140000000</v>
      </c>
      <c r="J1630" t="s">
        <v>19</v>
      </c>
      <c r="K1630" t="s">
        <v>2</v>
      </c>
      <c r="L1630" t="s">
        <v>67</v>
      </c>
      <c r="M1630" t="s">
        <v>82</v>
      </c>
      <c r="N1630" t="s">
        <v>14</v>
      </c>
    </row>
    <row r="1631" spans="1:14" x14ac:dyDescent="0.35">
      <c r="A1631" s="75">
        <v>44021</v>
      </c>
      <c r="B1631" t="s">
        <v>148</v>
      </c>
      <c r="C1631" t="s">
        <v>98</v>
      </c>
      <c r="D1631">
        <v>8</v>
      </c>
      <c r="E1631">
        <v>8</v>
      </c>
      <c r="F1631" t="s">
        <v>10</v>
      </c>
      <c r="G1631" t="s">
        <v>74</v>
      </c>
      <c r="H1631" t="s">
        <v>77</v>
      </c>
      <c r="I1631">
        <v>100000000</v>
      </c>
      <c r="J1631" t="s">
        <v>28</v>
      </c>
      <c r="K1631" t="s">
        <v>5</v>
      </c>
      <c r="L1631" t="s">
        <v>67</v>
      </c>
      <c r="M1631" t="s">
        <v>82</v>
      </c>
      <c r="N1631" t="s">
        <v>11</v>
      </c>
    </row>
    <row r="1632" spans="1:14" x14ac:dyDescent="0.35">
      <c r="A1632" s="75">
        <v>44021</v>
      </c>
      <c r="B1632" t="s">
        <v>148</v>
      </c>
      <c r="C1632" t="s">
        <v>98</v>
      </c>
      <c r="D1632">
        <v>8</v>
      </c>
      <c r="E1632">
        <v>8</v>
      </c>
      <c r="F1632" t="s">
        <v>10</v>
      </c>
      <c r="G1632" t="s">
        <v>71</v>
      </c>
      <c r="H1632" t="s">
        <v>6</v>
      </c>
      <c r="I1632">
        <v>40000000</v>
      </c>
      <c r="J1632" t="s">
        <v>43</v>
      </c>
      <c r="K1632" t="s">
        <v>2</v>
      </c>
      <c r="L1632" t="s">
        <v>67</v>
      </c>
      <c r="M1632" t="s">
        <v>81</v>
      </c>
      <c r="N1632" t="s">
        <v>13</v>
      </c>
    </row>
    <row r="1633" spans="1:14" x14ac:dyDescent="0.35">
      <c r="A1633" s="75">
        <v>44021</v>
      </c>
      <c r="B1633" t="s">
        <v>148</v>
      </c>
      <c r="C1633" t="s">
        <v>98</v>
      </c>
      <c r="D1633">
        <v>7</v>
      </c>
      <c r="E1633">
        <v>7</v>
      </c>
      <c r="F1633" t="s">
        <v>10</v>
      </c>
      <c r="G1633" t="s">
        <v>70</v>
      </c>
      <c r="H1633" t="s">
        <v>1</v>
      </c>
      <c r="I1633">
        <v>60000000</v>
      </c>
      <c r="J1633" t="s">
        <v>50</v>
      </c>
      <c r="K1633" t="s">
        <v>2</v>
      </c>
      <c r="L1633" t="s">
        <v>67</v>
      </c>
      <c r="M1633" t="s">
        <v>81</v>
      </c>
      <c r="N1633" t="s">
        <v>14</v>
      </c>
    </row>
    <row r="1634" spans="1:14" x14ac:dyDescent="0.35">
      <c r="A1634" s="75">
        <v>44021</v>
      </c>
      <c r="B1634" t="s">
        <v>148</v>
      </c>
      <c r="C1634" t="s">
        <v>98</v>
      </c>
      <c r="D1634">
        <v>6</v>
      </c>
      <c r="E1634">
        <v>6</v>
      </c>
      <c r="F1634" t="s">
        <v>10</v>
      </c>
      <c r="G1634" t="s">
        <v>71</v>
      </c>
      <c r="H1634" t="s">
        <v>6</v>
      </c>
      <c r="I1634">
        <v>120000000</v>
      </c>
      <c r="J1634" t="s">
        <v>46</v>
      </c>
      <c r="K1634" t="s">
        <v>2</v>
      </c>
      <c r="L1634" t="s">
        <v>67</v>
      </c>
      <c r="M1634" t="s">
        <v>82</v>
      </c>
      <c r="N1634" t="s">
        <v>12</v>
      </c>
    </row>
    <row r="1635" spans="1:14" x14ac:dyDescent="0.35">
      <c r="A1635" s="75">
        <v>44021</v>
      </c>
      <c r="B1635" t="s">
        <v>148</v>
      </c>
      <c r="C1635" t="s">
        <v>98</v>
      </c>
      <c r="D1635">
        <v>6</v>
      </c>
      <c r="E1635">
        <v>6</v>
      </c>
      <c r="F1635" t="s">
        <v>10</v>
      </c>
      <c r="G1635" t="s">
        <v>76</v>
      </c>
      <c r="H1635" t="s">
        <v>79</v>
      </c>
      <c r="I1635">
        <v>40000000</v>
      </c>
      <c r="J1635" t="s">
        <v>25</v>
      </c>
      <c r="K1635" t="s">
        <v>2</v>
      </c>
      <c r="L1635" t="s">
        <v>67</v>
      </c>
      <c r="M1635" t="s">
        <v>81</v>
      </c>
      <c r="N1635" t="s">
        <v>13</v>
      </c>
    </row>
    <row r="1636" spans="1:14" x14ac:dyDescent="0.35">
      <c r="A1636" s="75">
        <v>44021</v>
      </c>
      <c r="B1636" t="s">
        <v>148</v>
      </c>
      <c r="C1636" t="s">
        <v>98</v>
      </c>
      <c r="D1636">
        <v>3</v>
      </c>
      <c r="E1636">
        <v>3</v>
      </c>
      <c r="F1636" t="s">
        <v>10</v>
      </c>
      <c r="G1636" t="s">
        <v>74</v>
      </c>
      <c r="H1636" t="s">
        <v>77</v>
      </c>
      <c r="I1636">
        <v>140000000</v>
      </c>
      <c r="J1636" t="s">
        <v>46</v>
      </c>
      <c r="K1636" t="s">
        <v>9</v>
      </c>
      <c r="L1636" t="s">
        <v>67</v>
      </c>
      <c r="M1636" t="s">
        <v>82</v>
      </c>
      <c r="N1636" t="s">
        <v>13</v>
      </c>
    </row>
    <row r="1637" spans="1:14" x14ac:dyDescent="0.35">
      <c r="A1637" s="75">
        <v>44021</v>
      </c>
      <c r="B1637" t="s">
        <v>148</v>
      </c>
      <c r="C1637" t="s">
        <v>98</v>
      </c>
      <c r="D1637">
        <v>3</v>
      </c>
      <c r="E1637">
        <v>3</v>
      </c>
      <c r="F1637" t="s">
        <v>10</v>
      </c>
      <c r="G1637" t="s">
        <v>113</v>
      </c>
      <c r="H1637" t="s">
        <v>77</v>
      </c>
      <c r="I1637">
        <v>120000000</v>
      </c>
      <c r="J1637" t="s">
        <v>31</v>
      </c>
      <c r="K1637" t="s">
        <v>2</v>
      </c>
      <c r="L1637" t="s">
        <v>67</v>
      </c>
      <c r="M1637" t="s">
        <v>80</v>
      </c>
      <c r="N1637" t="s">
        <v>13</v>
      </c>
    </row>
    <row r="1638" spans="1:14" x14ac:dyDescent="0.35">
      <c r="A1638" s="75">
        <v>44022</v>
      </c>
      <c r="B1638" t="s">
        <v>149</v>
      </c>
      <c r="C1638" t="s">
        <v>98</v>
      </c>
      <c r="D1638">
        <v>9</v>
      </c>
      <c r="E1638">
        <v>9</v>
      </c>
      <c r="F1638" t="s">
        <v>10</v>
      </c>
      <c r="G1638" t="s">
        <v>70</v>
      </c>
      <c r="H1638" t="s">
        <v>1</v>
      </c>
      <c r="I1638">
        <v>80000000</v>
      </c>
      <c r="J1638" t="s">
        <v>17</v>
      </c>
      <c r="K1638" t="s">
        <v>5</v>
      </c>
      <c r="L1638" t="s">
        <v>67</v>
      </c>
      <c r="M1638" t="s">
        <v>82</v>
      </c>
      <c r="N1638" t="s">
        <v>14</v>
      </c>
    </row>
    <row r="1639" spans="1:14" x14ac:dyDescent="0.35">
      <c r="A1639" s="75">
        <v>44022</v>
      </c>
      <c r="B1639" t="s">
        <v>149</v>
      </c>
      <c r="C1639" t="s">
        <v>98</v>
      </c>
      <c r="D1639">
        <v>9</v>
      </c>
      <c r="E1639">
        <v>9</v>
      </c>
      <c r="F1639" t="s">
        <v>10</v>
      </c>
      <c r="G1639" t="s">
        <v>74</v>
      </c>
      <c r="H1639" t="s">
        <v>77</v>
      </c>
      <c r="I1639">
        <v>60000000</v>
      </c>
      <c r="J1639" t="s">
        <v>33</v>
      </c>
      <c r="K1639" t="s">
        <v>4</v>
      </c>
      <c r="L1639" t="s">
        <v>67</v>
      </c>
      <c r="M1639" t="s">
        <v>80</v>
      </c>
      <c r="N1639" t="s">
        <v>11</v>
      </c>
    </row>
    <row r="1640" spans="1:14" x14ac:dyDescent="0.35">
      <c r="A1640" s="75">
        <v>44022</v>
      </c>
      <c r="B1640" t="s">
        <v>149</v>
      </c>
      <c r="C1640" t="s">
        <v>98</v>
      </c>
      <c r="D1640">
        <v>8</v>
      </c>
      <c r="E1640">
        <v>8</v>
      </c>
      <c r="F1640" t="s">
        <v>10</v>
      </c>
      <c r="G1640" t="s">
        <v>71</v>
      </c>
      <c r="H1640" t="s">
        <v>6</v>
      </c>
      <c r="I1640">
        <v>80000000</v>
      </c>
      <c r="J1640" t="s">
        <v>45</v>
      </c>
      <c r="K1640" t="s">
        <v>5</v>
      </c>
      <c r="L1640" t="s">
        <v>67</v>
      </c>
      <c r="M1640" t="s">
        <v>81</v>
      </c>
      <c r="N1640" t="s">
        <v>11</v>
      </c>
    </row>
    <row r="1641" spans="1:14" x14ac:dyDescent="0.35">
      <c r="A1641" s="75">
        <v>44022</v>
      </c>
      <c r="B1641" t="s">
        <v>149</v>
      </c>
      <c r="C1641" t="s">
        <v>98</v>
      </c>
      <c r="D1641">
        <v>7</v>
      </c>
      <c r="E1641">
        <v>7</v>
      </c>
      <c r="F1641" t="s">
        <v>10</v>
      </c>
      <c r="G1641" t="s">
        <v>114</v>
      </c>
      <c r="H1641" t="s">
        <v>3</v>
      </c>
      <c r="I1641">
        <v>40000000</v>
      </c>
      <c r="J1641" t="s">
        <v>63</v>
      </c>
      <c r="K1641" t="s">
        <v>5</v>
      </c>
      <c r="L1641" t="s">
        <v>67</v>
      </c>
      <c r="M1641" t="s">
        <v>81</v>
      </c>
      <c r="N1641" t="s">
        <v>13</v>
      </c>
    </row>
    <row r="1642" spans="1:14" x14ac:dyDescent="0.35">
      <c r="A1642" s="75">
        <v>44022</v>
      </c>
      <c r="B1642" t="s">
        <v>149</v>
      </c>
      <c r="C1642" t="s">
        <v>98</v>
      </c>
      <c r="D1642">
        <v>6</v>
      </c>
      <c r="E1642">
        <v>6</v>
      </c>
      <c r="F1642" t="s">
        <v>10</v>
      </c>
      <c r="G1642" t="s">
        <v>71</v>
      </c>
      <c r="H1642" t="s">
        <v>6</v>
      </c>
      <c r="I1642">
        <v>40000000</v>
      </c>
      <c r="J1642" t="s">
        <v>29</v>
      </c>
      <c r="K1642" t="s">
        <v>5</v>
      </c>
      <c r="L1642" t="s">
        <v>67</v>
      </c>
      <c r="M1642" t="s">
        <v>81</v>
      </c>
      <c r="N1642" t="s">
        <v>12</v>
      </c>
    </row>
    <row r="1643" spans="1:14" x14ac:dyDescent="0.35">
      <c r="A1643" s="75">
        <v>44022</v>
      </c>
      <c r="B1643" t="s">
        <v>149</v>
      </c>
      <c r="C1643" t="s">
        <v>98</v>
      </c>
      <c r="D1643">
        <v>5</v>
      </c>
      <c r="E1643">
        <v>5</v>
      </c>
      <c r="F1643" t="s">
        <v>10</v>
      </c>
      <c r="G1643" t="s">
        <v>114</v>
      </c>
      <c r="H1643" t="s">
        <v>3</v>
      </c>
      <c r="I1643">
        <v>120000000</v>
      </c>
      <c r="J1643" t="s">
        <v>46</v>
      </c>
      <c r="K1643" t="s">
        <v>9</v>
      </c>
      <c r="L1643" t="s">
        <v>67</v>
      </c>
      <c r="M1643" t="s">
        <v>81</v>
      </c>
      <c r="N1643" t="s">
        <v>13</v>
      </c>
    </row>
    <row r="1644" spans="1:14" x14ac:dyDescent="0.35">
      <c r="A1644" s="75">
        <v>44022</v>
      </c>
      <c r="B1644" t="s">
        <v>149</v>
      </c>
      <c r="C1644" t="s">
        <v>98</v>
      </c>
      <c r="D1644">
        <v>5</v>
      </c>
      <c r="E1644">
        <v>5</v>
      </c>
      <c r="F1644" t="s">
        <v>10</v>
      </c>
      <c r="G1644" t="s">
        <v>114</v>
      </c>
      <c r="H1644" t="s">
        <v>3</v>
      </c>
      <c r="I1644">
        <v>140000000</v>
      </c>
      <c r="J1644" t="s">
        <v>63</v>
      </c>
      <c r="K1644" t="s">
        <v>9</v>
      </c>
      <c r="L1644" t="s">
        <v>67</v>
      </c>
      <c r="M1644" t="s">
        <v>82</v>
      </c>
      <c r="N1644" t="s">
        <v>14</v>
      </c>
    </row>
    <row r="1645" spans="1:14" x14ac:dyDescent="0.35">
      <c r="A1645" s="75">
        <v>44023</v>
      </c>
      <c r="B1645" t="s">
        <v>150</v>
      </c>
      <c r="C1645" t="s">
        <v>98</v>
      </c>
      <c r="D1645">
        <v>10</v>
      </c>
      <c r="E1645">
        <v>10</v>
      </c>
      <c r="F1645" t="s">
        <v>10</v>
      </c>
      <c r="G1645" t="s">
        <v>72</v>
      </c>
      <c r="H1645" t="s">
        <v>78</v>
      </c>
      <c r="I1645">
        <v>140000000</v>
      </c>
      <c r="J1645" t="s">
        <v>40</v>
      </c>
      <c r="K1645" t="s">
        <v>2</v>
      </c>
      <c r="L1645" t="s">
        <v>67</v>
      </c>
      <c r="M1645" t="s">
        <v>82</v>
      </c>
      <c r="N1645" t="s">
        <v>14</v>
      </c>
    </row>
    <row r="1646" spans="1:14" x14ac:dyDescent="0.35">
      <c r="A1646" s="75">
        <v>44023</v>
      </c>
      <c r="B1646" t="s">
        <v>150</v>
      </c>
      <c r="C1646" t="s">
        <v>98</v>
      </c>
      <c r="D1646">
        <v>10</v>
      </c>
      <c r="E1646">
        <v>10</v>
      </c>
      <c r="F1646" t="s">
        <v>10</v>
      </c>
      <c r="G1646" t="s">
        <v>72</v>
      </c>
      <c r="H1646" t="s">
        <v>78</v>
      </c>
      <c r="I1646">
        <v>120000000</v>
      </c>
      <c r="J1646" t="s">
        <v>20</v>
      </c>
      <c r="K1646" t="s">
        <v>7</v>
      </c>
      <c r="L1646" t="s">
        <v>67</v>
      </c>
      <c r="M1646" t="s">
        <v>80</v>
      </c>
      <c r="N1646" t="s">
        <v>14</v>
      </c>
    </row>
    <row r="1647" spans="1:14" x14ac:dyDescent="0.35">
      <c r="A1647" s="75">
        <v>44023</v>
      </c>
      <c r="B1647" t="s">
        <v>150</v>
      </c>
      <c r="C1647" t="s">
        <v>98</v>
      </c>
      <c r="D1647">
        <v>8</v>
      </c>
      <c r="E1647">
        <v>8</v>
      </c>
      <c r="F1647" t="s">
        <v>10</v>
      </c>
      <c r="G1647" t="s">
        <v>72</v>
      </c>
      <c r="H1647" t="s">
        <v>78</v>
      </c>
      <c r="I1647">
        <v>100000000</v>
      </c>
      <c r="J1647" t="s">
        <v>59</v>
      </c>
      <c r="K1647" t="s">
        <v>2</v>
      </c>
      <c r="L1647" t="s">
        <v>67</v>
      </c>
      <c r="M1647" t="s">
        <v>81</v>
      </c>
      <c r="N1647" t="s">
        <v>12</v>
      </c>
    </row>
    <row r="1648" spans="1:14" x14ac:dyDescent="0.35">
      <c r="A1648" s="75">
        <v>44023</v>
      </c>
      <c r="B1648" t="s">
        <v>150</v>
      </c>
      <c r="C1648" t="s">
        <v>98</v>
      </c>
      <c r="D1648">
        <v>8</v>
      </c>
      <c r="E1648">
        <v>8</v>
      </c>
      <c r="F1648" t="s">
        <v>10</v>
      </c>
      <c r="G1648" t="s">
        <v>75</v>
      </c>
      <c r="H1648" t="s">
        <v>6</v>
      </c>
      <c r="I1648">
        <v>100000000</v>
      </c>
      <c r="J1648" t="s">
        <v>15</v>
      </c>
      <c r="K1648" t="s">
        <v>2</v>
      </c>
      <c r="L1648" t="s">
        <v>67</v>
      </c>
      <c r="M1648" t="s">
        <v>82</v>
      </c>
      <c r="N1648" t="s">
        <v>13</v>
      </c>
    </row>
    <row r="1649" spans="1:14" x14ac:dyDescent="0.35">
      <c r="A1649" s="75">
        <v>44023</v>
      </c>
      <c r="B1649" t="s">
        <v>150</v>
      </c>
      <c r="C1649" t="s">
        <v>98</v>
      </c>
      <c r="D1649">
        <v>8</v>
      </c>
      <c r="E1649">
        <v>8</v>
      </c>
      <c r="F1649" t="s">
        <v>10</v>
      </c>
      <c r="G1649" t="s">
        <v>73</v>
      </c>
      <c r="H1649" t="s">
        <v>78</v>
      </c>
      <c r="I1649">
        <v>100000000</v>
      </c>
      <c r="J1649" t="s">
        <v>45</v>
      </c>
      <c r="K1649" t="s">
        <v>5</v>
      </c>
      <c r="L1649" t="s">
        <v>67</v>
      </c>
      <c r="M1649" t="s">
        <v>82</v>
      </c>
      <c r="N1649" t="s">
        <v>13</v>
      </c>
    </row>
    <row r="1650" spans="1:14" x14ac:dyDescent="0.35">
      <c r="A1650" s="75">
        <v>44023</v>
      </c>
      <c r="B1650" t="s">
        <v>150</v>
      </c>
      <c r="C1650" t="s">
        <v>98</v>
      </c>
      <c r="D1650">
        <v>7</v>
      </c>
      <c r="E1650">
        <v>7</v>
      </c>
      <c r="F1650" t="s">
        <v>10</v>
      </c>
      <c r="G1650" t="s">
        <v>72</v>
      </c>
      <c r="H1650" t="s">
        <v>78</v>
      </c>
      <c r="I1650">
        <v>100000000</v>
      </c>
      <c r="J1650" t="s">
        <v>16</v>
      </c>
      <c r="K1650" t="s">
        <v>5</v>
      </c>
      <c r="L1650" t="s">
        <v>67</v>
      </c>
      <c r="M1650" t="s">
        <v>82</v>
      </c>
      <c r="N1650" t="s">
        <v>12</v>
      </c>
    </row>
    <row r="1651" spans="1:14" x14ac:dyDescent="0.35">
      <c r="A1651" s="75">
        <v>44023</v>
      </c>
      <c r="B1651" t="s">
        <v>150</v>
      </c>
      <c r="C1651" t="s">
        <v>98</v>
      </c>
      <c r="D1651">
        <v>7</v>
      </c>
      <c r="E1651">
        <v>7</v>
      </c>
      <c r="F1651" t="s">
        <v>10</v>
      </c>
      <c r="G1651" t="s">
        <v>114</v>
      </c>
      <c r="H1651" t="s">
        <v>3</v>
      </c>
      <c r="I1651">
        <v>60000000</v>
      </c>
      <c r="J1651" t="s">
        <v>30</v>
      </c>
      <c r="K1651" t="s">
        <v>2</v>
      </c>
      <c r="L1651" t="s">
        <v>67</v>
      </c>
      <c r="M1651" t="s">
        <v>81</v>
      </c>
      <c r="N1651" t="s">
        <v>14</v>
      </c>
    </row>
    <row r="1652" spans="1:14" x14ac:dyDescent="0.35">
      <c r="A1652" s="75">
        <v>44023</v>
      </c>
      <c r="B1652" t="s">
        <v>150</v>
      </c>
      <c r="C1652" t="s">
        <v>98</v>
      </c>
      <c r="D1652">
        <v>6</v>
      </c>
      <c r="E1652">
        <v>6</v>
      </c>
      <c r="F1652" t="s">
        <v>10</v>
      </c>
      <c r="G1652" t="s">
        <v>75</v>
      </c>
      <c r="H1652" t="s">
        <v>6</v>
      </c>
      <c r="I1652">
        <v>100000000</v>
      </c>
      <c r="J1652" t="s">
        <v>29</v>
      </c>
      <c r="K1652" t="s">
        <v>5</v>
      </c>
      <c r="L1652" t="s">
        <v>67</v>
      </c>
      <c r="M1652" t="s">
        <v>81</v>
      </c>
      <c r="N1652" t="s">
        <v>12</v>
      </c>
    </row>
    <row r="1653" spans="1:14" x14ac:dyDescent="0.35">
      <c r="A1653" s="75">
        <v>44023</v>
      </c>
      <c r="B1653" t="s">
        <v>150</v>
      </c>
      <c r="C1653" t="s">
        <v>98</v>
      </c>
      <c r="D1653">
        <v>5</v>
      </c>
      <c r="E1653">
        <v>5</v>
      </c>
      <c r="F1653" t="s">
        <v>10</v>
      </c>
      <c r="G1653" t="s">
        <v>113</v>
      </c>
      <c r="H1653" t="s">
        <v>77</v>
      </c>
      <c r="I1653">
        <v>60000000</v>
      </c>
      <c r="J1653" t="s">
        <v>15</v>
      </c>
      <c r="K1653" t="s">
        <v>2</v>
      </c>
      <c r="L1653" t="s">
        <v>67</v>
      </c>
      <c r="M1653" t="s">
        <v>80</v>
      </c>
      <c r="N1653" t="s">
        <v>14</v>
      </c>
    </row>
    <row r="1654" spans="1:14" x14ac:dyDescent="0.35">
      <c r="A1654" s="75">
        <v>44023</v>
      </c>
      <c r="B1654" t="s">
        <v>150</v>
      </c>
      <c r="C1654" t="s">
        <v>98</v>
      </c>
      <c r="D1654">
        <v>4</v>
      </c>
      <c r="E1654">
        <v>4</v>
      </c>
      <c r="F1654" t="s">
        <v>10</v>
      </c>
      <c r="G1654" t="s">
        <v>74</v>
      </c>
      <c r="H1654" t="s">
        <v>77</v>
      </c>
      <c r="I1654">
        <v>80000000</v>
      </c>
      <c r="J1654" t="s">
        <v>57</v>
      </c>
      <c r="K1654" t="s">
        <v>2</v>
      </c>
      <c r="L1654" t="s">
        <v>67</v>
      </c>
      <c r="M1654" t="s">
        <v>80</v>
      </c>
      <c r="N1654" t="s">
        <v>13</v>
      </c>
    </row>
    <row r="1655" spans="1:14" x14ac:dyDescent="0.35">
      <c r="A1655" s="75">
        <v>44023</v>
      </c>
      <c r="B1655" t="s">
        <v>150</v>
      </c>
      <c r="C1655" t="s">
        <v>98</v>
      </c>
      <c r="D1655">
        <v>3</v>
      </c>
      <c r="E1655">
        <v>3</v>
      </c>
      <c r="F1655" t="s">
        <v>10</v>
      </c>
      <c r="G1655" t="s">
        <v>72</v>
      </c>
      <c r="H1655" t="s">
        <v>78</v>
      </c>
      <c r="I1655">
        <v>40000000</v>
      </c>
      <c r="J1655" t="s">
        <v>27</v>
      </c>
      <c r="K1655" t="s">
        <v>5</v>
      </c>
      <c r="L1655" t="s">
        <v>67</v>
      </c>
      <c r="M1655" t="s">
        <v>81</v>
      </c>
      <c r="N1655" t="s">
        <v>11</v>
      </c>
    </row>
    <row r="1656" spans="1:14" x14ac:dyDescent="0.35">
      <c r="A1656" s="75">
        <v>44023</v>
      </c>
      <c r="B1656" t="s">
        <v>150</v>
      </c>
      <c r="C1656" t="s">
        <v>98</v>
      </c>
      <c r="D1656">
        <v>3</v>
      </c>
      <c r="E1656">
        <v>3</v>
      </c>
      <c r="F1656" t="s">
        <v>10</v>
      </c>
      <c r="G1656" t="s">
        <v>70</v>
      </c>
      <c r="H1656" t="s">
        <v>1</v>
      </c>
      <c r="I1656">
        <v>60000000</v>
      </c>
      <c r="J1656" t="s">
        <v>43</v>
      </c>
      <c r="K1656" t="s">
        <v>2</v>
      </c>
      <c r="L1656" t="s">
        <v>67</v>
      </c>
      <c r="M1656" t="s">
        <v>81</v>
      </c>
      <c r="N1656" t="s">
        <v>13</v>
      </c>
    </row>
    <row r="1657" spans="1:14" x14ac:dyDescent="0.35">
      <c r="A1657" s="75">
        <v>44024</v>
      </c>
      <c r="B1657" t="s">
        <v>151</v>
      </c>
      <c r="C1657" t="s">
        <v>98</v>
      </c>
      <c r="D1657">
        <v>10</v>
      </c>
      <c r="E1657">
        <v>10</v>
      </c>
      <c r="F1657" t="s">
        <v>10</v>
      </c>
      <c r="G1657" t="s">
        <v>70</v>
      </c>
      <c r="H1657" t="s">
        <v>1</v>
      </c>
      <c r="I1657">
        <v>40000000</v>
      </c>
      <c r="J1657" t="s">
        <v>34</v>
      </c>
      <c r="K1657" t="s">
        <v>5</v>
      </c>
      <c r="L1657" t="s">
        <v>67</v>
      </c>
      <c r="M1657" t="s">
        <v>80</v>
      </c>
      <c r="N1657" t="s">
        <v>14</v>
      </c>
    </row>
    <row r="1658" spans="1:14" x14ac:dyDescent="0.35">
      <c r="A1658" s="75">
        <v>44024</v>
      </c>
      <c r="B1658" t="s">
        <v>151</v>
      </c>
      <c r="C1658" t="s">
        <v>98</v>
      </c>
      <c r="D1658">
        <v>7</v>
      </c>
      <c r="E1658">
        <v>7</v>
      </c>
      <c r="F1658" t="s">
        <v>10</v>
      </c>
      <c r="G1658" t="s">
        <v>113</v>
      </c>
      <c r="H1658" t="s">
        <v>77</v>
      </c>
      <c r="I1658">
        <v>140000000</v>
      </c>
      <c r="J1658" t="s">
        <v>22</v>
      </c>
      <c r="K1658" t="s">
        <v>2</v>
      </c>
      <c r="L1658" t="s">
        <v>67</v>
      </c>
      <c r="M1658" t="s">
        <v>82</v>
      </c>
      <c r="N1658" t="s">
        <v>11</v>
      </c>
    </row>
    <row r="1659" spans="1:14" x14ac:dyDescent="0.35">
      <c r="A1659" s="75">
        <v>44024</v>
      </c>
      <c r="B1659" t="s">
        <v>151</v>
      </c>
      <c r="C1659" t="s">
        <v>98</v>
      </c>
      <c r="D1659">
        <v>6</v>
      </c>
      <c r="E1659">
        <v>6</v>
      </c>
      <c r="F1659" t="s">
        <v>10</v>
      </c>
      <c r="G1659" t="s">
        <v>76</v>
      </c>
      <c r="H1659" t="s">
        <v>79</v>
      </c>
      <c r="I1659">
        <v>120000000</v>
      </c>
      <c r="J1659" t="s">
        <v>15</v>
      </c>
      <c r="K1659" t="s">
        <v>5</v>
      </c>
      <c r="L1659" t="s">
        <v>67</v>
      </c>
      <c r="M1659" t="s">
        <v>81</v>
      </c>
      <c r="N1659" t="s">
        <v>14</v>
      </c>
    </row>
    <row r="1660" spans="1:14" x14ac:dyDescent="0.35">
      <c r="A1660" s="75">
        <v>44024</v>
      </c>
      <c r="B1660" t="s">
        <v>151</v>
      </c>
      <c r="C1660" t="s">
        <v>98</v>
      </c>
      <c r="D1660">
        <v>6</v>
      </c>
      <c r="E1660">
        <v>6</v>
      </c>
      <c r="F1660" t="s">
        <v>10</v>
      </c>
      <c r="G1660" t="s">
        <v>113</v>
      </c>
      <c r="H1660" t="s">
        <v>77</v>
      </c>
      <c r="I1660">
        <v>100000000</v>
      </c>
      <c r="J1660" t="s">
        <v>60</v>
      </c>
      <c r="K1660" t="s">
        <v>5</v>
      </c>
      <c r="L1660" t="s">
        <v>67</v>
      </c>
      <c r="M1660" t="s">
        <v>80</v>
      </c>
      <c r="N1660" t="s">
        <v>12</v>
      </c>
    </row>
    <row r="1661" spans="1:14" x14ac:dyDescent="0.35">
      <c r="A1661" s="75">
        <v>44024</v>
      </c>
      <c r="B1661" t="s">
        <v>151</v>
      </c>
      <c r="C1661" t="s">
        <v>98</v>
      </c>
      <c r="D1661">
        <v>6</v>
      </c>
      <c r="E1661">
        <v>6</v>
      </c>
      <c r="F1661" t="s">
        <v>10</v>
      </c>
      <c r="G1661" t="s">
        <v>70</v>
      </c>
      <c r="H1661" t="s">
        <v>1</v>
      </c>
      <c r="I1661">
        <v>40000000</v>
      </c>
      <c r="J1661" t="s">
        <v>63</v>
      </c>
      <c r="K1661" t="s">
        <v>7</v>
      </c>
      <c r="L1661" t="s">
        <v>67</v>
      </c>
      <c r="M1661" t="s">
        <v>80</v>
      </c>
      <c r="N1661" t="s">
        <v>12</v>
      </c>
    </row>
    <row r="1662" spans="1:14" x14ac:dyDescent="0.35">
      <c r="A1662" s="75">
        <v>44024</v>
      </c>
      <c r="B1662" t="s">
        <v>151</v>
      </c>
      <c r="C1662" t="s">
        <v>98</v>
      </c>
      <c r="D1662">
        <v>4</v>
      </c>
      <c r="E1662">
        <v>4</v>
      </c>
      <c r="F1662" t="s">
        <v>10</v>
      </c>
      <c r="G1662" t="s">
        <v>75</v>
      </c>
      <c r="H1662" t="s">
        <v>6</v>
      </c>
      <c r="I1662">
        <v>120000000</v>
      </c>
      <c r="J1662" t="s">
        <v>57</v>
      </c>
      <c r="K1662" t="s">
        <v>7</v>
      </c>
      <c r="L1662" t="s">
        <v>67</v>
      </c>
      <c r="M1662" t="s">
        <v>80</v>
      </c>
      <c r="N1662" t="s">
        <v>13</v>
      </c>
    </row>
    <row r="1663" spans="1:14" x14ac:dyDescent="0.35">
      <c r="A1663" s="75">
        <v>44024</v>
      </c>
      <c r="B1663" t="s">
        <v>151</v>
      </c>
      <c r="C1663" t="s">
        <v>98</v>
      </c>
      <c r="D1663">
        <v>3</v>
      </c>
      <c r="E1663">
        <v>3</v>
      </c>
      <c r="F1663" t="s">
        <v>10</v>
      </c>
      <c r="G1663" t="s">
        <v>72</v>
      </c>
      <c r="H1663" t="s">
        <v>78</v>
      </c>
      <c r="I1663">
        <v>140000000</v>
      </c>
      <c r="J1663" t="s">
        <v>22</v>
      </c>
      <c r="K1663" t="s">
        <v>5</v>
      </c>
      <c r="L1663" t="s">
        <v>67</v>
      </c>
      <c r="M1663" t="s">
        <v>82</v>
      </c>
      <c r="N1663" t="s">
        <v>14</v>
      </c>
    </row>
    <row r="1664" spans="1:14" x14ac:dyDescent="0.35">
      <c r="A1664" s="75">
        <v>44024</v>
      </c>
      <c r="B1664" t="s">
        <v>151</v>
      </c>
      <c r="C1664" t="s">
        <v>98</v>
      </c>
      <c r="D1664">
        <v>3</v>
      </c>
      <c r="E1664">
        <v>3</v>
      </c>
      <c r="F1664" t="s">
        <v>10</v>
      </c>
      <c r="G1664" t="s">
        <v>76</v>
      </c>
      <c r="H1664" t="s">
        <v>79</v>
      </c>
      <c r="I1664">
        <v>120000000</v>
      </c>
      <c r="J1664" t="s">
        <v>17</v>
      </c>
      <c r="K1664" t="s">
        <v>8</v>
      </c>
      <c r="L1664" t="s">
        <v>67</v>
      </c>
      <c r="M1664" t="s">
        <v>80</v>
      </c>
      <c r="N1664" t="s">
        <v>13</v>
      </c>
    </row>
    <row r="1665" spans="1:14" x14ac:dyDescent="0.35">
      <c r="A1665" s="75">
        <v>44024</v>
      </c>
      <c r="B1665" t="s">
        <v>151</v>
      </c>
      <c r="C1665" t="s">
        <v>98</v>
      </c>
      <c r="D1665">
        <v>3</v>
      </c>
      <c r="E1665">
        <v>3</v>
      </c>
      <c r="F1665" t="s">
        <v>10</v>
      </c>
      <c r="G1665" t="s">
        <v>75</v>
      </c>
      <c r="H1665" t="s">
        <v>6</v>
      </c>
      <c r="I1665">
        <v>140000000</v>
      </c>
      <c r="J1665" t="s">
        <v>17</v>
      </c>
      <c r="K1665" t="s">
        <v>2</v>
      </c>
      <c r="L1665" t="s">
        <v>67</v>
      </c>
      <c r="M1665" t="s">
        <v>82</v>
      </c>
      <c r="N1665" t="s">
        <v>12</v>
      </c>
    </row>
    <row r="1666" spans="1:14" x14ac:dyDescent="0.35">
      <c r="A1666" s="75">
        <v>44025</v>
      </c>
      <c r="B1666" t="s">
        <v>152</v>
      </c>
      <c r="C1666" t="s">
        <v>98</v>
      </c>
      <c r="D1666">
        <v>10</v>
      </c>
      <c r="E1666">
        <v>10</v>
      </c>
      <c r="F1666" t="s">
        <v>10</v>
      </c>
      <c r="G1666" t="s">
        <v>72</v>
      </c>
      <c r="H1666" t="s">
        <v>78</v>
      </c>
      <c r="I1666">
        <v>120000000</v>
      </c>
      <c r="J1666" t="s">
        <v>38</v>
      </c>
      <c r="K1666" t="s">
        <v>5</v>
      </c>
      <c r="L1666" t="s">
        <v>67</v>
      </c>
      <c r="M1666" t="s">
        <v>80</v>
      </c>
      <c r="N1666" t="s">
        <v>14</v>
      </c>
    </row>
    <row r="1667" spans="1:14" x14ac:dyDescent="0.35">
      <c r="A1667" s="75">
        <v>44025</v>
      </c>
      <c r="B1667" t="s">
        <v>152</v>
      </c>
      <c r="C1667" t="s">
        <v>98</v>
      </c>
      <c r="D1667">
        <v>10</v>
      </c>
      <c r="E1667">
        <v>10</v>
      </c>
      <c r="F1667" t="s">
        <v>10</v>
      </c>
      <c r="G1667" t="s">
        <v>74</v>
      </c>
      <c r="H1667" t="s">
        <v>77</v>
      </c>
      <c r="I1667">
        <v>100000000</v>
      </c>
      <c r="J1667" t="s">
        <v>29</v>
      </c>
      <c r="K1667" t="s">
        <v>4</v>
      </c>
      <c r="L1667" t="s">
        <v>67</v>
      </c>
      <c r="M1667" t="s">
        <v>82</v>
      </c>
      <c r="N1667" t="s">
        <v>12</v>
      </c>
    </row>
    <row r="1668" spans="1:14" x14ac:dyDescent="0.35">
      <c r="A1668" s="75">
        <v>44025</v>
      </c>
      <c r="B1668" t="s">
        <v>152</v>
      </c>
      <c r="C1668" t="s">
        <v>98</v>
      </c>
      <c r="D1668">
        <v>10</v>
      </c>
      <c r="E1668">
        <v>10</v>
      </c>
      <c r="F1668" t="s">
        <v>10</v>
      </c>
      <c r="G1668" t="s">
        <v>70</v>
      </c>
      <c r="H1668" t="s">
        <v>1</v>
      </c>
      <c r="I1668">
        <v>120000000</v>
      </c>
      <c r="J1668" t="s">
        <v>46</v>
      </c>
      <c r="K1668" t="s">
        <v>2</v>
      </c>
      <c r="L1668" t="s">
        <v>67</v>
      </c>
      <c r="M1668" t="s">
        <v>81</v>
      </c>
      <c r="N1668" t="s">
        <v>13</v>
      </c>
    </row>
    <row r="1669" spans="1:14" x14ac:dyDescent="0.35">
      <c r="A1669" s="75">
        <v>44025</v>
      </c>
      <c r="B1669" t="s">
        <v>152</v>
      </c>
      <c r="C1669" t="s">
        <v>98</v>
      </c>
      <c r="D1669">
        <v>9</v>
      </c>
      <c r="E1669">
        <v>9</v>
      </c>
      <c r="F1669" t="s">
        <v>10</v>
      </c>
      <c r="G1669" t="s">
        <v>76</v>
      </c>
      <c r="H1669" t="s">
        <v>79</v>
      </c>
      <c r="I1669">
        <v>80000000</v>
      </c>
      <c r="J1669" t="s">
        <v>56</v>
      </c>
      <c r="K1669" t="s">
        <v>7</v>
      </c>
      <c r="L1669" t="s">
        <v>67</v>
      </c>
      <c r="M1669" t="s">
        <v>81</v>
      </c>
      <c r="N1669" t="s">
        <v>11</v>
      </c>
    </row>
    <row r="1670" spans="1:14" x14ac:dyDescent="0.35">
      <c r="A1670" s="75">
        <v>44025</v>
      </c>
      <c r="B1670" t="s">
        <v>152</v>
      </c>
      <c r="C1670" t="s">
        <v>98</v>
      </c>
      <c r="D1670">
        <v>8</v>
      </c>
      <c r="E1670">
        <v>8</v>
      </c>
      <c r="F1670" t="s">
        <v>10</v>
      </c>
      <c r="G1670" t="s">
        <v>113</v>
      </c>
      <c r="H1670" t="s">
        <v>77</v>
      </c>
      <c r="I1670">
        <v>80000000</v>
      </c>
      <c r="J1670" t="s">
        <v>21</v>
      </c>
      <c r="K1670" t="s">
        <v>2</v>
      </c>
      <c r="L1670" t="s">
        <v>67</v>
      </c>
      <c r="M1670" t="s">
        <v>80</v>
      </c>
      <c r="N1670" t="s">
        <v>12</v>
      </c>
    </row>
    <row r="1671" spans="1:14" x14ac:dyDescent="0.35">
      <c r="A1671" s="75">
        <v>44025</v>
      </c>
      <c r="B1671" t="s">
        <v>152</v>
      </c>
      <c r="C1671" t="s">
        <v>98</v>
      </c>
      <c r="D1671">
        <v>6</v>
      </c>
      <c r="E1671">
        <v>6</v>
      </c>
      <c r="F1671" t="s">
        <v>10</v>
      </c>
      <c r="G1671" t="s">
        <v>76</v>
      </c>
      <c r="H1671" t="s">
        <v>79</v>
      </c>
      <c r="I1671">
        <v>40000000</v>
      </c>
      <c r="J1671" t="s">
        <v>56</v>
      </c>
      <c r="K1671" t="s">
        <v>5</v>
      </c>
      <c r="L1671" t="s">
        <v>67</v>
      </c>
      <c r="M1671" t="s">
        <v>81</v>
      </c>
      <c r="N1671" t="s">
        <v>14</v>
      </c>
    </row>
    <row r="1672" spans="1:14" x14ac:dyDescent="0.35">
      <c r="A1672" s="75">
        <v>44025</v>
      </c>
      <c r="B1672" t="s">
        <v>152</v>
      </c>
      <c r="C1672" t="s">
        <v>98</v>
      </c>
      <c r="D1672">
        <v>6</v>
      </c>
      <c r="E1672">
        <v>6</v>
      </c>
      <c r="F1672" t="s">
        <v>10</v>
      </c>
      <c r="G1672" t="s">
        <v>72</v>
      </c>
      <c r="H1672" t="s">
        <v>78</v>
      </c>
      <c r="I1672">
        <v>120000000</v>
      </c>
      <c r="J1672" t="s">
        <v>52</v>
      </c>
      <c r="K1672" t="s">
        <v>5</v>
      </c>
      <c r="L1672" t="s">
        <v>67</v>
      </c>
      <c r="M1672" t="s">
        <v>82</v>
      </c>
      <c r="N1672" t="s">
        <v>11</v>
      </c>
    </row>
    <row r="1673" spans="1:14" x14ac:dyDescent="0.35">
      <c r="A1673" s="75">
        <v>44025</v>
      </c>
      <c r="B1673" t="s">
        <v>152</v>
      </c>
      <c r="C1673" t="s">
        <v>98</v>
      </c>
      <c r="D1673">
        <v>6</v>
      </c>
      <c r="E1673">
        <v>6</v>
      </c>
      <c r="F1673" t="s">
        <v>10</v>
      </c>
      <c r="G1673" t="s">
        <v>74</v>
      </c>
      <c r="H1673" t="s">
        <v>77</v>
      </c>
      <c r="I1673">
        <v>80000000</v>
      </c>
      <c r="J1673" t="s">
        <v>60</v>
      </c>
      <c r="K1673" t="s">
        <v>2</v>
      </c>
      <c r="L1673" t="s">
        <v>67</v>
      </c>
      <c r="M1673" t="s">
        <v>82</v>
      </c>
      <c r="N1673" t="s">
        <v>11</v>
      </c>
    </row>
    <row r="1674" spans="1:14" x14ac:dyDescent="0.35">
      <c r="A1674" s="75">
        <v>44025</v>
      </c>
      <c r="B1674" t="s">
        <v>152</v>
      </c>
      <c r="C1674" t="s">
        <v>98</v>
      </c>
      <c r="D1674">
        <v>5</v>
      </c>
      <c r="E1674">
        <v>5</v>
      </c>
      <c r="F1674" t="s">
        <v>10</v>
      </c>
      <c r="G1674" t="s">
        <v>72</v>
      </c>
      <c r="H1674" t="s">
        <v>78</v>
      </c>
      <c r="I1674">
        <v>40000000</v>
      </c>
      <c r="J1674" t="s">
        <v>42</v>
      </c>
      <c r="K1674" t="s">
        <v>5</v>
      </c>
      <c r="L1674" t="s">
        <v>67</v>
      </c>
      <c r="M1674" t="s">
        <v>81</v>
      </c>
      <c r="N1674" t="s">
        <v>13</v>
      </c>
    </row>
    <row r="1675" spans="1:14" x14ac:dyDescent="0.35">
      <c r="A1675" s="75">
        <v>44026</v>
      </c>
      <c r="B1675" t="s">
        <v>153</v>
      </c>
      <c r="C1675" t="s">
        <v>98</v>
      </c>
      <c r="D1675">
        <v>10</v>
      </c>
      <c r="E1675">
        <v>10</v>
      </c>
      <c r="F1675" t="s">
        <v>10</v>
      </c>
      <c r="G1675" t="s">
        <v>73</v>
      </c>
      <c r="H1675" t="s">
        <v>78</v>
      </c>
      <c r="I1675">
        <v>60000000</v>
      </c>
      <c r="J1675" t="s">
        <v>44</v>
      </c>
      <c r="K1675" t="s">
        <v>2</v>
      </c>
      <c r="L1675" t="s">
        <v>67</v>
      </c>
      <c r="M1675" t="s">
        <v>80</v>
      </c>
      <c r="N1675" t="s">
        <v>14</v>
      </c>
    </row>
    <row r="1676" spans="1:14" x14ac:dyDescent="0.35">
      <c r="A1676" s="75">
        <v>44026</v>
      </c>
      <c r="B1676" t="s">
        <v>153</v>
      </c>
      <c r="C1676" t="s">
        <v>98</v>
      </c>
      <c r="D1676">
        <v>9</v>
      </c>
      <c r="E1676">
        <v>9</v>
      </c>
      <c r="F1676" t="s">
        <v>10</v>
      </c>
      <c r="G1676" t="s">
        <v>113</v>
      </c>
      <c r="H1676" t="s">
        <v>77</v>
      </c>
      <c r="I1676">
        <v>40000000</v>
      </c>
      <c r="J1676" t="s">
        <v>34</v>
      </c>
      <c r="K1676" t="s">
        <v>7</v>
      </c>
      <c r="L1676" t="s">
        <v>67</v>
      </c>
      <c r="M1676" t="s">
        <v>80</v>
      </c>
      <c r="N1676" t="s">
        <v>13</v>
      </c>
    </row>
    <row r="1677" spans="1:14" x14ac:dyDescent="0.35">
      <c r="A1677" s="75">
        <v>44026</v>
      </c>
      <c r="B1677" t="s">
        <v>153</v>
      </c>
      <c r="C1677" t="s">
        <v>98</v>
      </c>
      <c r="D1677">
        <v>7</v>
      </c>
      <c r="E1677">
        <v>7</v>
      </c>
      <c r="F1677" t="s">
        <v>10</v>
      </c>
      <c r="G1677" t="s">
        <v>114</v>
      </c>
      <c r="H1677" t="s">
        <v>3</v>
      </c>
      <c r="I1677">
        <v>140000000</v>
      </c>
      <c r="J1677" t="s">
        <v>25</v>
      </c>
      <c r="K1677" t="s">
        <v>5</v>
      </c>
      <c r="L1677" t="s">
        <v>67</v>
      </c>
      <c r="M1677" t="s">
        <v>82</v>
      </c>
      <c r="N1677" t="s">
        <v>12</v>
      </c>
    </row>
    <row r="1678" spans="1:14" x14ac:dyDescent="0.35">
      <c r="A1678" s="75">
        <v>44026</v>
      </c>
      <c r="B1678" t="s">
        <v>153</v>
      </c>
      <c r="C1678" t="s">
        <v>98</v>
      </c>
      <c r="D1678">
        <v>6</v>
      </c>
      <c r="E1678">
        <v>6</v>
      </c>
      <c r="F1678" t="s">
        <v>10</v>
      </c>
      <c r="G1678" t="s">
        <v>76</v>
      </c>
      <c r="H1678" t="s">
        <v>79</v>
      </c>
      <c r="I1678">
        <v>60000000</v>
      </c>
      <c r="J1678" t="s">
        <v>28</v>
      </c>
      <c r="K1678" t="s">
        <v>2</v>
      </c>
      <c r="L1678" t="s">
        <v>67</v>
      </c>
      <c r="M1678" t="s">
        <v>82</v>
      </c>
      <c r="N1678" t="s">
        <v>13</v>
      </c>
    </row>
    <row r="1679" spans="1:14" x14ac:dyDescent="0.35">
      <c r="A1679" s="75">
        <v>44026</v>
      </c>
      <c r="B1679" t="s">
        <v>153</v>
      </c>
      <c r="C1679" t="s">
        <v>98</v>
      </c>
      <c r="D1679">
        <v>5</v>
      </c>
      <c r="E1679">
        <v>5</v>
      </c>
      <c r="F1679" t="s">
        <v>10</v>
      </c>
      <c r="G1679" t="s">
        <v>70</v>
      </c>
      <c r="H1679" t="s">
        <v>1</v>
      </c>
      <c r="I1679">
        <v>100000000</v>
      </c>
      <c r="J1679" t="s">
        <v>29</v>
      </c>
      <c r="K1679" t="s">
        <v>5</v>
      </c>
      <c r="L1679" t="s">
        <v>67</v>
      </c>
      <c r="M1679" t="s">
        <v>82</v>
      </c>
      <c r="N1679" t="s">
        <v>12</v>
      </c>
    </row>
    <row r="1680" spans="1:14" x14ac:dyDescent="0.35">
      <c r="A1680" s="75">
        <v>44026</v>
      </c>
      <c r="B1680" t="s">
        <v>153</v>
      </c>
      <c r="C1680" t="s">
        <v>98</v>
      </c>
      <c r="D1680">
        <v>5</v>
      </c>
      <c r="E1680">
        <v>5</v>
      </c>
      <c r="F1680" t="s">
        <v>10</v>
      </c>
      <c r="G1680" t="s">
        <v>75</v>
      </c>
      <c r="H1680" t="s">
        <v>6</v>
      </c>
      <c r="I1680">
        <v>80000000</v>
      </c>
      <c r="J1680" t="s">
        <v>64</v>
      </c>
      <c r="K1680" t="s">
        <v>5</v>
      </c>
      <c r="L1680" t="s">
        <v>67</v>
      </c>
      <c r="M1680" t="s">
        <v>81</v>
      </c>
      <c r="N1680" t="s">
        <v>12</v>
      </c>
    </row>
    <row r="1681" spans="1:14" x14ac:dyDescent="0.35">
      <c r="A1681" s="75">
        <v>44027</v>
      </c>
      <c r="B1681" t="s">
        <v>154</v>
      </c>
      <c r="C1681" t="s">
        <v>98</v>
      </c>
      <c r="D1681">
        <v>10</v>
      </c>
      <c r="E1681">
        <v>10</v>
      </c>
      <c r="F1681" t="s">
        <v>10</v>
      </c>
      <c r="G1681" t="s">
        <v>74</v>
      </c>
      <c r="H1681" t="s">
        <v>77</v>
      </c>
      <c r="I1681">
        <v>40000000</v>
      </c>
      <c r="J1681" t="s">
        <v>20</v>
      </c>
      <c r="K1681" t="s">
        <v>7</v>
      </c>
      <c r="L1681" t="s">
        <v>67</v>
      </c>
      <c r="M1681" t="s">
        <v>81</v>
      </c>
      <c r="N1681" t="s">
        <v>13</v>
      </c>
    </row>
    <row r="1682" spans="1:14" x14ac:dyDescent="0.35">
      <c r="A1682" s="75">
        <v>44027</v>
      </c>
      <c r="B1682" t="s">
        <v>154</v>
      </c>
      <c r="C1682" t="s">
        <v>98</v>
      </c>
      <c r="D1682">
        <v>10</v>
      </c>
      <c r="E1682">
        <v>10</v>
      </c>
      <c r="F1682" t="s">
        <v>10</v>
      </c>
      <c r="G1682" t="s">
        <v>72</v>
      </c>
      <c r="H1682" t="s">
        <v>78</v>
      </c>
      <c r="I1682">
        <v>40000000</v>
      </c>
      <c r="J1682" t="s">
        <v>33</v>
      </c>
      <c r="K1682" t="s">
        <v>2</v>
      </c>
      <c r="L1682" t="s">
        <v>67</v>
      </c>
      <c r="M1682" t="s">
        <v>82</v>
      </c>
      <c r="N1682" t="s">
        <v>12</v>
      </c>
    </row>
    <row r="1683" spans="1:14" x14ac:dyDescent="0.35">
      <c r="A1683" s="75">
        <v>44027</v>
      </c>
      <c r="B1683" t="s">
        <v>154</v>
      </c>
      <c r="C1683" t="s">
        <v>98</v>
      </c>
      <c r="D1683">
        <v>9</v>
      </c>
      <c r="E1683">
        <v>9</v>
      </c>
      <c r="F1683" t="s">
        <v>10</v>
      </c>
      <c r="G1683" t="s">
        <v>71</v>
      </c>
      <c r="H1683" t="s">
        <v>6</v>
      </c>
      <c r="I1683">
        <v>80000000</v>
      </c>
      <c r="J1683" t="s">
        <v>18</v>
      </c>
      <c r="K1683" t="s">
        <v>8</v>
      </c>
      <c r="L1683" t="s">
        <v>67</v>
      </c>
      <c r="M1683" t="s">
        <v>80</v>
      </c>
      <c r="N1683" t="s">
        <v>11</v>
      </c>
    </row>
    <row r="1684" spans="1:14" x14ac:dyDescent="0.35">
      <c r="A1684" s="75">
        <v>44027</v>
      </c>
      <c r="B1684" t="s">
        <v>154</v>
      </c>
      <c r="C1684" t="s">
        <v>98</v>
      </c>
      <c r="D1684">
        <v>7</v>
      </c>
      <c r="E1684">
        <v>7</v>
      </c>
      <c r="F1684" t="s">
        <v>10</v>
      </c>
      <c r="G1684" t="s">
        <v>114</v>
      </c>
      <c r="H1684" t="s">
        <v>3</v>
      </c>
      <c r="I1684">
        <v>80000000</v>
      </c>
      <c r="J1684" t="s">
        <v>28</v>
      </c>
      <c r="K1684" t="s">
        <v>2</v>
      </c>
      <c r="L1684" t="s">
        <v>67</v>
      </c>
      <c r="M1684" t="s">
        <v>81</v>
      </c>
      <c r="N1684" t="s">
        <v>13</v>
      </c>
    </row>
    <row r="1685" spans="1:14" x14ac:dyDescent="0.35">
      <c r="A1685" s="75">
        <v>44027</v>
      </c>
      <c r="B1685" t="s">
        <v>154</v>
      </c>
      <c r="C1685" t="s">
        <v>98</v>
      </c>
      <c r="D1685">
        <v>7</v>
      </c>
      <c r="E1685">
        <v>7</v>
      </c>
      <c r="F1685" t="s">
        <v>10</v>
      </c>
      <c r="G1685" t="s">
        <v>74</v>
      </c>
      <c r="H1685" t="s">
        <v>77</v>
      </c>
      <c r="I1685">
        <v>80000000</v>
      </c>
      <c r="J1685" t="s">
        <v>25</v>
      </c>
      <c r="K1685" t="s">
        <v>2</v>
      </c>
      <c r="L1685" t="s">
        <v>67</v>
      </c>
      <c r="M1685" t="s">
        <v>82</v>
      </c>
      <c r="N1685" t="s">
        <v>12</v>
      </c>
    </row>
    <row r="1686" spans="1:14" x14ac:dyDescent="0.35">
      <c r="A1686" s="75">
        <v>44027</v>
      </c>
      <c r="B1686" t="s">
        <v>154</v>
      </c>
      <c r="C1686" t="s">
        <v>98</v>
      </c>
      <c r="D1686">
        <v>6</v>
      </c>
      <c r="E1686">
        <v>6</v>
      </c>
      <c r="F1686" t="s">
        <v>10</v>
      </c>
      <c r="G1686" t="s">
        <v>76</v>
      </c>
      <c r="H1686" t="s">
        <v>79</v>
      </c>
      <c r="I1686">
        <v>40000000</v>
      </c>
      <c r="J1686" t="s">
        <v>64</v>
      </c>
      <c r="K1686" t="s">
        <v>2</v>
      </c>
      <c r="L1686" t="s">
        <v>67</v>
      </c>
      <c r="M1686" t="s">
        <v>80</v>
      </c>
      <c r="N1686" t="s">
        <v>14</v>
      </c>
    </row>
    <row r="1687" spans="1:14" x14ac:dyDescent="0.35">
      <c r="A1687" s="75">
        <v>44027</v>
      </c>
      <c r="B1687" t="s">
        <v>154</v>
      </c>
      <c r="C1687" t="s">
        <v>98</v>
      </c>
      <c r="D1687">
        <v>5</v>
      </c>
      <c r="E1687">
        <v>5</v>
      </c>
      <c r="F1687" t="s">
        <v>10</v>
      </c>
      <c r="G1687" t="s">
        <v>72</v>
      </c>
      <c r="H1687" t="s">
        <v>78</v>
      </c>
      <c r="I1687">
        <v>140000000</v>
      </c>
      <c r="J1687" t="s">
        <v>21</v>
      </c>
      <c r="K1687" t="s">
        <v>9</v>
      </c>
      <c r="L1687" t="s">
        <v>67</v>
      </c>
      <c r="M1687" t="s">
        <v>82</v>
      </c>
      <c r="N1687" t="s">
        <v>13</v>
      </c>
    </row>
    <row r="1688" spans="1:14" x14ac:dyDescent="0.35">
      <c r="A1688" s="75">
        <v>44027</v>
      </c>
      <c r="B1688" t="s">
        <v>154</v>
      </c>
      <c r="C1688" t="s">
        <v>98</v>
      </c>
      <c r="D1688">
        <v>5</v>
      </c>
      <c r="E1688">
        <v>5</v>
      </c>
      <c r="F1688" t="s">
        <v>10</v>
      </c>
      <c r="G1688" t="s">
        <v>76</v>
      </c>
      <c r="H1688" t="s">
        <v>79</v>
      </c>
      <c r="I1688">
        <v>120000000</v>
      </c>
      <c r="J1688" t="s">
        <v>33</v>
      </c>
      <c r="K1688" t="s">
        <v>5</v>
      </c>
      <c r="L1688" t="s">
        <v>67</v>
      </c>
      <c r="M1688" t="s">
        <v>80</v>
      </c>
      <c r="N1688" t="s">
        <v>12</v>
      </c>
    </row>
    <row r="1689" spans="1:14" x14ac:dyDescent="0.35">
      <c r="A1689" s="75">
        <v>44027</v>
      </c>
      <c r="B1689" t="s">
        <v>154</v>
      </c>
      <c r="C1689" t="s">
        <v>98</v>
      </c>
      <c r="D1689">
        <v>3</v>
      </c>
      <c r="E1689">
        <v>3</v>
      </c>
      <c r="F1689" t="s">
        <v>10</v>
      </c>
      <c r="G1689" t="s">
        <v>113</v>
      </c>
      <c r="H1689" t="s">
        <v>77</v>
      </c>
      <c r="I1689">
        <v>100000000</v>
      </c>
      <c r="J1689" t="s">
        <v>22</v>
      </c>
      <c r="K1689" t="s">
        <v>2</v>
      </c>
      <c r="L1689" t="s">
        <v>67</v>
      </c>
      <c r="M1689" t="s">
        <v>82</v>
      </c>
      <c r="N1689" t="s">
        <v>12</v>
      </c>
    </row>
    <row r="1690" spans="1:14" x14ac:dyDescent="0.35">
      <c r="A1690" s="75">
        <v>44028</v>
      </c>
      <c r="B1690" t="s">
        <v>155</v>
      </c>
      <c r="C1690" t="s">
        <v>98</v>
      </c>
      <c r="D1690">
        <v>10</v>
      </c>
      <c r="E1690">
        <v>10</v>
      </c>
      <c r="F1690" t="s">
        <v>10</v>
      </c>
      <c r="G1690" t="s">
        <v>72</v>
      </c>
      <c r="H1690" t="s">
        <v>78</v>
      </c>
      <c r="I1690">
        <v>40000000</v>
      </c>
      <c r="J1690" t="s">
        <v>32</v>
      </c>
      <c r="K1690" t="s">
        <v>5</v>
      </c>
      <c r="L1690" t="s">
        <v>67</v>
      </c>
      <c r="M1690" t="s">
        <v>80</v>
      </c>
      <c r="N1690" t="s">
        <v>14</v>
      </c>
    </row>
    <row r="1691" spans="1:14" x14ac:dyDescent="0.35">
      <c r="A1691" s="75">
        <v>44028</v>
      </c>
      <c r="B1691" t="s">
        <v>155</v>
      </c>
      <c r="C1691" t="s">
        <v>98</v>
      </c>
      <c r="D1691">
        <v>9</v>
      </c>
      <c r="E1691">
        <v>9</v>
      </c>
      <c r="F1691" t="s">
        <v>10</v>
      </c>
      <c r="G1691" t="s">
        <v>114</v>
      </c>
      <c r="H1691" t="s">
        <v>3</v>
      </c>
      <c r="I1691">
        <v>140000000</v>
      </c>
      <c r="J1691" t="s">
        <v>56</v>
      </c>
      <c r="K1691" t="s">
        <v>5</v>
      </c>
      <c r="L1691" t="s">
        <v>67</v>
      </c>
      <c r="M1691" t="s">
        <v>80</v>
      </c>
      <c r="N1691" t="s">
        <v>12</v>
      </c>
    </row>
    <row r="1692" spans="1:14" x14ac:dyDescent="0.35">
      <c r="A1692" s="75">
        <v>44028</v>
      </c>
      <c r="B1692" t="s">
        <v>155</v>
      </c>
      <c r="C1692" t="s">
        <v>98</v>
      </c>
      <c r="D1692">
        <v>8</v>
      </c>
      <c r="E1692">
        <v>8</v>
      </c>
      <c r="F1692" t="s">
        <v>10</v>
      </c>
      <c r="G1692" t="s">
        <v>75</v>
      </c>
      <c r="H1692" t="s">
        <v>6</v>
      </c>
      <c r="I1692">
        <v>80000000</v>
      </c>
      <c r="J1692" t="s">
        <v>40</v>
      </c>
      <c r="K1692" t="s">
        <v>5</v>
      </c>
      <c r="L1692" t="s">
        <v>67</v>
      </c>
      <c r="M1692" t="s">
        <v>82</v>
      </c>
      <c r="N1692" t="s">
        <v>14</v>
      </c>
    </row>
    <row r="1693" spans="1:14" x14ac:dyDescent="0.35">
      <c r="A1693" s="75">
        <v>44028</v>
      </c>
      <c r="B1693" t="s">
        <v>155</v>
      </c>
      <c r="C1693" t="s">
        <v>98</v>
      </c>
      <c r="D1693">
        <v>6</v>
      </c>
      <c r="E1693">
        <v>6</v>
      </c>
      <c r="F1693" t="s">
        <v>10</v>
      </c>
      <c r="G1693" t="s">
        <v>113</v>
      </c>
      <c r="H1693" t="s">
        <v>77</v>
      </c>
      <c r="I1693">
        <v>80000000</v>
      </c>
      <c r="J1693" t="s">
        <v>57</v>
      </c>
      <c r="K1693" t="s">
        <v>9</v>
      </c>
      <c r="L1693" t="s">
        <v>67</v>
      </c>
      <c r="M1693" t="s">
        <v>80</v>
      </c>
      <c r="N1693" t="s">
        <v>11</v>
      </c>
    </row>
    <row r="1694" spans="1:14" x14ac:dyDescent="0.35">
      <c r="A1694" s="75">
        <v>44028</v>
      </c>
      <c r="B1694" t="s">
        <v>155</v>
      </c>
      <c r="C1694" t="s">
        <v>98</v>
      </c>
      <c r="D1694">
        <v>6</v>
      </c>
      <c r="E1694">
        <v>6</v>
      </c>
      <c r="F1694" t="s">
        <v>10</v>
      </c>
      <c r="G1694" t="s">
        <v>114</v>
      </c>
      <c r="H1694" t="s">
        <v>3</v>
      </c>
      <c r="I1694">
        <v>140000000</v>
      </c>
      <c r="J1694" t="s">
        <v>28</v>
      </c>
      <c r="K1694" t="s">
        <v>7</v>
      </c>
      <c r="L1694" t="s">
        <v>67</v>
      </c>
      <c r="M1694" t="s">
        <v>82</v>
      </c>
      <c r="N1694" t="s">
        <v>12</v>
      </c>
    </row>
    <row r="1695" spans="1:14" x14ac:dyDescent="0.35">
      <c r="A1695" s="75">
        <v>44028</v>
      </c>
      <c r="B1695" t="s">
        <v>155</v>
      </c>
      <c r="C1695" t="s">
        <v>98</v>
      </c>
      <c r="D1695">
        <v>6</v>
      </c>
      <c r="E1695">
        <v>6</v>
      </c>
      <c r="F1695" t="s">
        <v>10</v>
      </c>
      <c r="G1695" t="s">
        <v>114</v>
      </c>
      <c r="H1695" t="s">
        <v>3</v>
      </c>
      <c r="I1695">
        <v>40000000</v>
      </c>
      <c r="J1695" t="s">
        <v>47</v>
      </c>
      <c r="K1695" t="s">
        <v>4</v>
      </c>
      <c r="L1695" t="s">
        <v>67</v>
      </c>
      <c r="M1695" t="s">
        <v>80</v>
      </c>
      <c r="N1695" t="s">
        <v>14</v>
      </c>
    </row>
    <row r="1696" spans="1:14" x14ac:dyDescent="0.35">
      <c r="A1696" s="75">
        <v>44028</v>
      </c>
      <c r="B1696" t="s">
        <v>155</v>
      </c>
      <c r="C1696" t="s">
        <v>98</v>
      </c>
      <c r="D1696">
        <v>4</v>
      </c>
      <c r="E1696">
        <v>4</v>
      </c>
      <c r="F1696" t="s">
        <v>10</v>
      </c>
      <c r="G1696" t="s">
        <v>76</v>
      </c>
      <c r="H1696" t="s">
        <v>79</v>
      </c>
      <c r="I1696">
        <v>60000000</v>
      </c>
      <c r="J1696" t="s">
        <v>31</v>
      </c>
      <c r="K1696" t="s">
        <v>5</v>
      </c>
      <c r="L1696" t="s">
        <v>67</v>
      </c>
      <c r="M1696" t="s">
        <v>80</v>
      </c>
      <c r="N1696" t="s">
        <v>14</v>
      </c>
    </row>
    <row r="1697" spans="1:14" x14ac:dyDescent="0.35">
      <c r="A1697" s="75">
        <v>44029</v>
      </c>
      <c r="B1697" t="s">
        <v>156</v>
      </c>
      <c r="C1697" t="s">
        <v>98</v>
      </c>
      <c r="D1697">
        <v>10</v>
      </c>
      <c r="E1697">
        <v>10</v>
      </c>
      <c r="F1697" t="s">
        <v>10</v>
      </c>
      <c r="G1697" t="s">
        <v>114</v>
      </c>
      <c r="H1697" t="s">
        <v>3</v>
      </c>
      <c r="I1697">
        <v>40000000</v>
      </c>
      <c r="J1697" t="s">
        <v>25</v>
      </c>
      <c r="K1697" t="s">
        <v>2</v>
      </c>
      <c r="L1697" t="s">
        <v>67</v>
      </c>
      <c r="M1697" t="s">
        <v>82</v>
      </c>
      <c r="N1697" t="s">
        <v>13</v>
      </c>
    </row>
    <row r="1698" spans="1:14" x14ac:dyDescent="0.35">
      <c r="A1698" s="75">
        <v>44029</v>
      </c>
      <c r="B1698" t="s">
        <v>156</v>
      </c>
      <c r="C1698" t="s">
        <v>98</v>
      </c>
      <c r="D1698">
        <v>10</v>
      </c>
      <c r="E1698">
        <v>10</v>
      </c>
      <c r="F1698" t="s">
        <v>10</v>
      </c>
      <c r="G1698" t="s">
        <v>75</v>
      </c>
      <c r="H1698" t="s">
        <v>6</v>
      </c>
      <c r="I1698">
        <v>60000000</v>
      </c>
      <c r="J1698" t="s">
        <v>15</v>
      </c>
      <c r="K1698" t="s">
        <v>5</v>
      </c>
      <c r="L1698" t="s">
        <v>67</v>
      </c>
      <c r="M1698" t="s">
        <v>81</v>
      </c>
      <c r="N1698" t="s">
        <v>11</v>
      </c>
    </row>
    <row r="1699" spans="1:14" x14ac:dyDescent="0.35">
      <c r="A1699" s="75">
        <v>44029</v>
      </c>
      <c r="B1699" t="s">
        <v>156</v>
      </c>
      <c r="C1699" t="s">
        <v>98</v>
      </c>
      <c r="D1699">
        <v>10</v>
      </c>
      <c r="E1699">
        <v>10</v>
      </c>
      <c r="F1699" t="s">
        <v>10</v>
      </c>
      <c r="G1699" t="s">
        <v>74</v>
      </c>
      <c r="H1699" t="s">
        <v>77</v>
      </c>
      <c r="I1699">
        <v>40000000</v>
      </c>
      <c r="J1699" t="s">
        <v>31</v>
      </c>
      <c r="K1699" t="s">
        <v>2</v>
      </c>
      <c r="L1699" t="s">
        <v>67</v>
      </c>
      <c r="M1699" t="s">
        <v>80</v>
      </c>
      <c r="N1699" t="s">
        <v>11</v>
      </c>
    </row>
    <row r="1700" spans="1:14" x14ac:dyDescent="0.35">
      <c r="A1700" s="75">
        <v>44029</v>
      </c>
      <c r="B1700" t="s">
        <v>156</v>
      </c>
      <c r="C1700" t="s">
        <v>98</v>
      </c>
      <c r="D1700">
        <v>10</v>
      </c>
      <c r="E1700">
        <v>10</v>
      </c>
      <c r="F1700" t="s">
        <v>10</v>
      </c>
      <c r="G1700" t="s">
        <v>75</v>
      </c>
      <c r="H1700" t="s">
        <v>6</v>
      </c>
      <c r="I1700">
        <v>40000000</v>
      </c>
      <c r="J1700" t="s">
        <v>44</v>
      </c>
      <c r="K1700" t="s">
        <v>5</v>
      </c>
      <c r="L1700" t="s">
        <v>67</v>
      </c>
      <c r="M1700" t="s">
        <v>80</v>
      </c>
      <c r="N1700" t="s">
        <v>12</v>
      </c>
    </row>
    <row r="1701" spans="1:14" x14ac:dyDescent="0.35">
      <c r="A1701" s="75">
        <v>44029</v>
      </c>
      <c r="B1701" t="s">
        <v>156</v>
      </c>
      <c r="C1701" t="s">
        <v>98</v>
      </c>
      <c r="D1701">
        <v>8</v>
      </c>
      <c r="E1701">
        <v>8</v>
      </c>
      <c r="F1701" t="s">
        <v>10</v>
      </c>
      <c r="G1701" t="s">
        <v>72</v>
      </c>
      <c r="H1701" t="s">
        <v>78</v>
      </c>
      <c r="I1701">
        <v>120000000</v>
      </c>
      <c r="J1701" t="s">
        <v>18</v>
      </c>
      <c r="K1701" t="s">
        <v>5</v>
      </c>
      <c r="L1701" t="s">
        <v>67</v>
      </c>
      <c r="M1701" t="s">
        <v>80</v>
      </c>
      <c r="N1701" t="s">
        <v>13</v>
      </c>
    </row>
    <row r="1702" spans="1:14" x14ac:dyDescent="0.35">
      <c r="A1702" s="75">
        <v>44029</v>
      </c>
      <c r="B1702" t="s">
        <v>156</v>
      </c>
      <c r="C1702" t="s">
        <v>98</v>
      </c>
      <c r="D1702">
        <v>8</v>
      </c>
      <c r="E1702">
        <v>8</v>
      </c>
      <c r="F1702" t="s">
        <v>10</v>
      </c>
      <c r="G1702" t="s">
        <v>75</v>
      </c>
      <c r="H1702" t="s">
        <v>6</v>
      </c>
      <c r="I1702">
        <v>80000000</v>
      </c>
      <c r="J1702" t="s">
        <v>24</v>
      </c>
      <c r="K1702" t="s">
        <v>4</v>
      </c>
      <c r="L1702" t="s">
        <v>67</v>
      </c>
      <c r="M1702" t="s">
        <v>82</v>
      </c>
      <c r="N1702" t="s">
        <v>13</v>
      </c>
    </row>
    <row r="1703" spans="1:14" x14ac:dyDescent="0.35">
      <c r="A1703" s="75">
        <v>44029</v>
      </c>
      <c r="B1703" t="s">
        <v>156</v>
      </c>
      <c r="C1703" t="s">
        <v>98</v>
      </c>
      <c r="D1703">
        <v>6</v>
      </c>
      <c r="E1703">
        <v>6</v>
      </c>
      <c r="F1703" t="s">
        <v>10</v>
      </c>
      <c r="G1703" t="s">
        <v>76</v>
      </c>
      <c r="H1703" t="s">
        <v>79</v>
      </c>
      <c r="I1703">
        <v>80000000</v>
      </c>
      <c r="J1703" t="s">
        <v>34</v>
      </c>
      <c r="K1703" t="s">
        <v>8</v>
      </c>
      <c r="L1703" t="s">
        <v>67</v>
      </c>
      <c r="M1703" t="s">
        <v>81</v>
      </c>
      <c r="N1703" t="s">
        <v>12</v>
      </c>
    </row>
    <row r="1704" spans="1:14" x14ac:dyDescent="0.35">
      <c r="A1704" s="75">
        <v>44029</v>
      </c>
      <c r="B1704" t="s">
        <v>156</v>
      </c>
      <c r="C1704" t="s">
        <v>98</v>
      </c>
      <c r="D1704">
        <v>6</v>
      </c>
      <c r="E1704">
        <v>6</v>
      </c>
      <c r="F1704" t="s">
        <v>10</v>
      </c>
      <c r="G1704" t="s">
        <v>73</v>
      </c>
      <c r="H1704" t="s">
        <v>78</v>
      </c>
      <c r="I1704">
        <v>60000000</v>
      </c>
      <c r="J1704" t="s">
        <v>40</v>
      </c>
      <c r="K1704" t="s">
        <v>5</v>
      </c>
      <c r="L1704" t="s">
        <v>67</v>
      </c>
      <c r="M1704" t="s">
        <v>81</v>
      </c>
      <c r="N1704" t="s">
        <v>11</v>
      </c>
    </row>
    <row r="1705" spans="1:14" x14ac:dyDescent="0.35">
      <c r="A1705" s="75">
        <v>44029</v>
      </c>
      <c r="B1705" t="s">
        <v>156</v>
      </c>
      <c r="C1705" t="s">
        <v>98</v>
      </c>
      <c r="D1705">
        <v>4</v>
      </c>
      <c r="E1705">
        <v>4</v>
      </c>
      <c r="F1705" t="s">
        <v>10</v>
      </c>
      <c r="G1705" t="s">
        <v>72</v>
      </c>
      <c r="H1705" t="s">
        <v>78</v>
      </c>
      <c r="I1705">
        <v>100000000</v>
      </c>
      <c r="J1705" t="s">
        <v>28</v>
      </c>
      <c r="K1705" t="s">
        <v>5</v>
      </c>
      <c r="L1705" t="s">
        <v>67</v>
      </c>
      <c r="M1705" t="s">
        <v>80</v>
      </c>
      <c r="N1705" t="s">
        <v>11</v>
      </c>
    </row>
    <row r="1706" spans="1:14" x14ac:dyDescent="0.35">
      <c r="A1706" s="75">
        <v>44029</v>
      </c>
      <c r="B1706" t="s">
        <v>156</v>
      </c>
      <c r="C1706" t="s">
        <v>98</v>
      </c>
      <c r="D1706">
        <v>4</v>
      </c>
      <c r="E1706">
        <v>4</v>
      </c>
      <c r="F1706" t="s">
        <v>10</v>
      </c>
      <c r="G1706" t="s">
        <v>71</v>
      </c>
      <c r="H1706" t="s">
        <v>6</v>
      </c>
      <c r="I1706">
        <v>100000000</v>
      </c>
      <c r="J1706" t="s">
        <v>57</v>
      </c>
      <c r="K1706" t="s">
        <v>2</v>
      </c>
      <c r="L1706" t="s">
        <v>67</v>
      </c>
      <c r="M1706" t="s">
        <v>82</v>
      </c>
      <c r="N1706" t="s">
        <v>14</v>
      </c>
    </row>
    <row r="1707" spans="1:14" x14ac:dyDescent="0.35">
      <c r="A1707" s="75">
        <v>44029</v>
      </c>
      <c r="B1707" t="s">
        <v>156</v>
      </c>
      <c r="C1707" t="s">
        <v>98</v>
      </c>
      <c r="D1707">
        <v>4</v>
      </c>
      <c r="E1707">
        <v>4</v>
      </c>
      <c r="F1707" t="s">
        <v>10</v>
      </c>
      <c r="G1707" t="s">
        <v>76</v>
      </c>
      <c r="H1707" t="s">
        <v>79</v>
      </c>
      <c r="I1707">
        <v>120000000</v>
      </c>
      <c r="J1707" t="s">
        <v>45</v>
      </c>
      <c r="K1707" t="s">
        <v>2</v>
      </c>
      <c r="L1707" t="s">
        <v>67</v>
      </c>
      <c r="M1707" t="s">
        <v>81</v>
      </c>
      <c r="N1707" t="s">
        <v>14</v>
      </c>
    </row>
    <row r="1708" spans="1:14" x14ac:dyDescent="0.35">
      <c r="A1708" s="75">
        <v>44029</v>
      </c>
      <c r="B1708" t="s">
        <v>156</v>
      </c>
      <c r="C1708" t="s">
        <v>98</v>
      </c>
      <c r="D1708">
        <v>4</v>
      </c>
      <c r="E1708">
        <v>4</v>
      </c>
      <c r="F1708" t="s">
        <v>10</v>
      </c>
      <c r="G1708" t="s">
        <v>71</v>
      </c>
      <c r="H1708" t="s">
        <v>6</v>
      </c>
      <c r="I1708">
        <v>40000000</v>
      </c>
      <c r="J1708" t="s">
        <v>23</v>
      </c>
      <c r="K1708" t="s">
        <v>2</v>
      </c>
      <c r="L1708" t="s">
        <v>67</v>
      </c>
      <c r="M1708" t="s">
        <v>81</v>
      </c>
      <c r="N1708" t="s">
        <v>12</v>
      </c>
    </row>
    <row r="1709" spans="1:14" x14ac:dyDescent="0.35">
      <c r="A1709" s="75">
        <v>44029</v>
      </c>
      <c r="B1709" t="s">
        <v>156</v>
      </c>
      <c r="C1709" t="s">
        <v>98</v>
      </c>
      <c r="D1709">
        <v>3</v>
      </c>
      <c r="E1709">
        <v>3</v>
      </c>
      <c r="F1709" t="s">
        <v>10</v>
      </c>
      <c r="G1709" t="s">
        <v>75</v>
      </c>
      <c r="H1709" t="s">
        <v>6</v>
      </c>
      <c r="I1709">
        <v>40000000</v>
      </c>
      <c r="J1709" t="s">
        <v>27</v>
      </c>
      <c r="K1709" t="s">
        <v>5</v>
      </c>
      <c r="L1709" t="s">
        <v>67</v>
      </c>
      <c r="M1709" t="s">
        <v>82</v>
      </c>
      <c r="N1709" t="s">
        <v>12</v>
      </c>
    </row>
    <row r="1710" spans="1:14" x14ac:dyDescent="0.35">
      <c r="A1710" s="75">
        <v>44030</v>
      </c>
      <c r="B1710" t="s">
        <v>157</v>
      </c>
      <c r="C1710" t="s">
        <v>98</v>
      </c>
      <c r="D1710">
        <v>10</v>
      </c>
      <c r="E1710">
        <v>10</v>
      </c>
      <c r="F1710" t="s">
        <v>10</v>
      </c>
      <c r="G1710" t="s">
        <v>72</v>
      </c>
      <c r="H1710" t="s">
        <v>78</v>
      </c>
      <c r="I1710">
        <v>120000000</v>
      </c>
      <c r="J1710" t="s">
        <v>31</v>
      </c>
      <c r="K1710" t="s">
        <v>9</v>
      </c>
      <c r="L1710" t="s">
        <v>67</v>
      </c>
      <c r="M1710" t="s">
        <v>80</v>
      </c>
      <c r="N1710" t="s">
        <v>12</v>
      </c>
    </row>
    <row r="1711" spans="1:14" x14ac:dyDescent="0.35">
      <c r="A1711" s="75">
        <v>44030</v>
      </c>
      <c r="B1711" t="s">
        <v>157</v>
      </c>
      <c r="C1711" t="s">
        <v>98</v>
      </c>
      <c r="D1711">
        <v>10</v>
      </c>
      <c r="E1711">
        <v>10</v>
      </c>
      <c r="F1711" t="s">
        <v>10</v>
      </c>
      <c r="G1711" t="s">
        <v>75</v>
      </c>
      <c r="H1711" t="s">
        <v>6</v>
      </c>
      <c r="I1711">
        <v>120000000</v>
      </c>
      <c r="J1711" t="s">
        <v>16</v>
      </c>
      <c r="K1711" t="s">
        <v>5</v>
      </c>
      <c r="L1711" t="s">
        <v>67</v>
      </c>
      <c r="M1711" t="s">
        <v>82</v>
      </c>
      <c r="N1711" t="s">
        <v>13</v>
      </c>
    </row>
    <row r="1712" spans="1:14" x14ac:dyDescent="0.35">
      <c r="A1712" s="75">
        <v>44030</v>
      </c>
      <c r="B1712" t="s">
        <v>157</v>
      </c>
      <c r="C1712" t="s">
        <v>98</v>
      </c>
      <c r="D1712">
        <v>10</v>
      </c>
      <c r="E1712">
        <v>10</v>
      </c>
      <c r="F1712" t="s">
        <v>10</v>
      </c>
      <c r="G1712" t="s">
        <v>114</v>
      </c>
      <c r="H1712" t="s">
        <v>3</v>
      </c>
      <c r="I1712">
        <v>60000000</v>
      </c>
      <c r="J1712" t="s">
        <v>30</v>
      </c>
      <c r="K1712" t="s">
        <v>2</v>
      </c>
      <c r="L1712" t="s">
        <v>67</v>
      </c>
      <c r="M1712" t="s">
        <v>82</v>
      </c>
      <c r="N1712" t="s">
        <v>12</v>
      </c>
    </row>
    <row r="1713" spans="1:14" x14ac:dyDescent="0.35">
      <c r="A1713" s="75">
        <v>44030</v>
      </c>
      <c r="B1713" t="s">
        <v>157</v>
      </c>
      <c r="C1713" t="s">
        <v>98</v>
      </c>
      <c r="D1713">
        <v>9</v>
      </c>
      <c r="E1713">
        <v>9</v>
      </c>
      <c r="F1713" t="s">
        <v>10</v>
      </c>
      <c r="G1713" t="s">
        <v>70</v>
      </c>
      <c r="H1713" t="s">
        <v>1</v>
      </c>
      <c r="I1713">
        <v>60000000</v>
      </c>
      <c r="J1713" t="s">
        <v>50</v>
      </c>
      <c r="K1713" t="s">
        <v>9</v>
      </c>
      <c r="L1713" t="s">
        <v>67</v>
      </c>
      <c r="M1713" t="s">
        <v>81</v>
      </c>
      <c r="N1713" t="s">
        <v>13</v>
      </c>
    </row>
    <row r="1714" spans="1:14" x14ac:dyDescent="0.35">
      <c r="A1714" s="75">
        <v>44030</v>
      </c>
      <c r="B1714" t="s">
        <v>157</v>
      </c>
      <c r="C1714" t="s">
        <v>98</v>
      </c>
      <c r="D1714">
        <v>9</v>
      </c>
      <c r="E1714">
        <v>9</v>
      </c>
      <c r="F1714" t="s">
        <v>10</v>
      </c>
      <c r="G1714" t="s">
        <v>114</v>
      </c>
      <c r="H1714" t="s">
        <v>3</v>
      </c>
      <c r="I1714">
        <v>80000000</v>
      </c>
      <c r="J1714" t="s">
        <v>49</v>
      </c>
      <c r="K1714" t="s">
        <v>2</v>
      </c>
      <c r="L1714" t="s">
        <v>67</v>
      </c>
      <c r="M1714" t="s">
        <v>82</v>
      </c>
      <c r="N1714" t="s">
        <v>12</v>
      </c>
    </row>
    <row r="1715" spans="1:14" x14ac:dyDescent="0.35">
      <c r="A1715" s="75">
        <v>44030</v>
      </c>
      <c r="B1715" t="s">
        <v>157</v>
      </c>
      <c r="C1715" t="s">
        <v>98</v>
      </c>
      <c r="D1715">
        <v>8</v>
      </c>
      <c r="E1715">
        <v>8</v>
      </c>
      <c r="F1715" t="s">
        <v>10</v>
      </c>
      <c r="G1715" t="s">
        <v>76</v>
      </c>
      <c r="H1715" t="s">
        <v>79</v>
      </c>
      <c r="I1715">
        <v>40000000</v>
      </c>
      <c r="J1715" t="s">
        <v>52</v>
      </c>
      <c r="K1715" t="s">
        <v>2</v>
      </c>
      <c r="L1715" t="s">
        <v>67</v>
      </c>
      <c r="M1715" t="s">
        <v>82</v>
      </c>
      <c r="N1715" t="s">
        <v>12</v>
      </c>
    </row>
    <row r="1716" spans="1:14" x14ac:dyDescent="0.35">
      <c r="A1716" s="75">
        <v>44030</v>
      </c>
      <c r="B1716" t="s">
        <v>157</v>
      </c>
      <c r="C1716" t="s">
        <v>98</v>
      </c>
      <c r="D1716">
        <v>7</v>
      </c>
      <c r="E1716">
        <v>7</v>
      </c>
      <c r="F1716" t="s">
        <v>10</v>
      </c>
      <c r="G1716" t="s">
        <v>74</v>
      </c>
      <c r="H1716" t="s">
        <v>77</v>
      </c>
      <c r="I1716">
        <v>140000000</v>
      </c>
      <c r="J1716" t="s">
        <v>29</v>
      </c>
      <c r="K1716" t="s">
        <v>4</v>
      </c>
      <c r="L1716" t="s">
        <v>67</v>
      </c>
      <c r="M1716" t="s">
        <v>82</v>
      </c>
      <c r="N1716" t="s">
        <v>12</v>
      </c>
    </row>
    <row r="1717" spans="1:14" x14ac:dyDescent="0.35">
      <c r="A1717" s="75">
        <v>44030</v>
      </c>
      <c r="B1717" t="s">
        <v>157</v>
      </c>
      <c r="C1717" t="s">
        <v>98</v>
      </c>
      <c r="D1717">
        <v>7</v>
      </c>
      <c r="E1717">
        <v>7</v>
      </c>
      <c r="F1717" t="s">
        <v>10</v>
      </c>
      <c r="G1717" t="s">
        <v>113</v>
      </c>
      <c r="H1717" t="s">
        <v>77</v>
      </c>
      <c r="I1717">
        <v>100000000</v>
      </c>
      <c r="J1717" t="s">
        <v>42</v>
      </c>
      <c r="K1717" t="s">
        <v>2</v>
      </c>
      <c r="L1717" t="s">
        <v>67</v>
      </c>
      <c r="M1717" t="s">
        <v>80</v>
      </c>
      <c r="N1717" t="s">
        <v>12</v>
      </c>
    </row>
    <row r="1718" spans="1:14" x14ac:dyDescent="0.35">
      <c r="A1718" s="75">
        <v>44030</v>
      </c>
      <c r="B1718" t="s">
        <v>157</v>
      </c>
      <c r="C1718" t="s">
        <v>98</v>
      </c>
      <c r="D1718">
        <v>6</v>
      </c>
      <c r="E1718">
        <v>6</v>
      </c>
      <c r="F1718" t="s">
        <v>10</v>
      </c>
      <c r="G1718" t="s">
        <v>72</v>
      </c>
      <c r="H1718" t="s">
        <v>78</v>
      </c>
      <c r="I1718">
        <v>120000000</v>
      </c>
      <c r="J1718" t="s">
        <v>46</v>
      </c>
      <c r="K1718" t="s">
        <v>9</v>
      </c>
      <c r="L1718" t="s">
        <v>67</v>
      </c>
      <c r="M1718" t="s">
        <v>82</v>
      </c>
      <c r="N1718" t="s">
        <v>14</v>
      </c>
    </row>
    <row r="1719" spans="1:14" x14ac:dyDescent="0.35">
      <c r="A1719" s="75">
        <v>44030</v>
      </c>
      <c r="B1719" t="s">
        <v>157</v>
      </c>
      <c r="C1719" t="s">
        <v>98</v>
      </c>
      <c r="D1719">
        <v>5</v>
      </c>
      <c r="E1719">
        <v>5</v>
      </c>
      <c r="F1719" t="s">
        <v>10</v>
      </c>
      <c r="G1719" t="s">
        <v>113</v>
      </c>
      <c r="H1719" t="s">
        <v>77</v>
      </c>
      <c r="I1719">
        <v>80000000</v>
      </c>
      <c r="J1719" t="s">
        <v>20</v>
      </c>
      <c r="K1719" t="s">
        <v>2</v>
      </c>
      <c r="L1719" t="s">
        <v>67</v>
      </c>
      <c r="M1719" t="s">
        <v>82</v>
      </c>
      <c r="N1719" t="s">
        <v>11</v>
      </c>
    </row>
    <row r="1720" spans="1:14" x14ac:dyDescent="0.35">
      <c r="A1720" s="75">
        <v>44030</v>
      </c>
      <c r="B1720" t="s">
        <v>157</v>
      </c>
      <c r="C1720" t="s">
        <v>98</v>
      </c>
      <c r="D1720">
        <v>5</v>
      </c>
      <c r="E1720">
        <v>5</v>
      </c>
      <c r="F1720" t="s">
        <v>10</v>
      </c>
      <c r="G1720" t="s">
        <v>73</v>
      </c>
      <c r="H1720" t="s">
        <v>78</v>
      </c>
      <c r="I1720">
        <v>100000000</v>
      </c>
      <c r="J1720" t="s">
        <v>29</v>
      </c>
      <c r="K1720" t="s">
        <v>5</v>
      </c>
      <c r="L1720" t="s">
        <v>67</v>
      </c>
      <c r="M1720" t="s">
        <v>82</v>
      </c>
      <c r="N1720" t="s">
        <v>12</v>
      </c>
    </row>
    <row r="1721" spans="1:14" x14ac:dyDescent="0.35">
      <c r="A1721" s="75">
        <v>44030</v>
      </c>
      <c r="B1721" t="s">
        <v>157</v>
      </c>
      <c r="C1721" t="s">
        <v>98</v>
      </c>
      <c r="D1721">
        <v>3</v>
      </c>
      <c r="E1721">
        <v>3</v>
      </c>
      <c r="F1721" t="s">
        <v>10</v>
      </c>
      <c r="G1721" t="s">
        <v>76</v>
      </c>
      <c r="H1721" t="s">
        <v>79</v>
      </c>
      <c r="I1721">
        <v>40000000</v>
      </c>
      <c r="J1721" t="s">
        <v>61</v>
      </c>
      <c r="K1721" t="s">
        <v>8</v>
      </c>
      <c r="L1721" t="s">
        <v>67</v>
      </c>
      <c r="M1721" t="s">
        <v>82</v>
      </c>
      <c r="N1721" t="s">
        <v>13</v>
      </c>
    </row>
    <row r="1722" spans="1:14" x14ac:dyDescent="0.35">
      <c r="A1722" s="75">
        <v>44031</v>
      </c>
      <c r="B1722" t="s">
        <v>158</v>
      </c>
      <c r="C1722" t="s">
        <v>98</v>
      </c>
      <c r="D1722">
        <v>10</v>
      </c>
      <c r="E1722">
        <v>10</v>
      </c>
      <c r="F1722" t="s">
        <v>10</v>
      </c>
      <c r="G1722" t="s">
        <v>113</v>
      </c>
      <c r="H1722" t="s">
        <v>77</v>
      </c>
      <c r="I1722">
        <v>140000000</v>
      </c>
      <c r="J1722" t="s">
        <v>48</v>
      </c>
      <c r="K1722" t="s">
        <v>5</v>
      </c>
      <c r="L1722" t="s">
        <v>67</v>
      </c>
      <c r="M1722" t="s">
        <v>80</v>
      </c>
      <c r="N1722" t="s">
        <v>14</v>
      </c>
    </row>
    <row r="1723" spans="1:14" x14ac:dyDescent="0.35">
      <c r="A1723" s="75">
        <v>44031</v>
      </c>
      <c r="B1723" t="s">
        <v>158</v>
      </c>
      <c r="C1723" t="s">
        <v>98</v>
      </c>
      <c r="D1723">
        <v>10</v>
      </c>
      <c r="E1723">
        <v>10</v>
      </c>
      <c r="F1723" t="s">
        <v>10</v>
      </c>
      <c r="G1723" t="s">
        <v>114</v>
      </c>
      <c r="H1723" t="s">
        <v>3</v>
      </c>
      <c r="I1723">
        <v>120000000</v>
      </c>
      <c r="J1723" t="s">
        <v>36</v>
      </c>
      <c r="K1723" t="s">
        <v>2</v>
      </c>
      <c r="L1723" t="s">
        <v>67</v>
      </c>
      <c r="M1723" t="s">
        <v>81</v>
      </c>
      <c r="N1723" t="s">
        <v>13</v>
      </c>
    </row>
    <row r="1724" spans="1:14" x14ac:dyDescent="0.35">
      <c r="A1724" s="75">
        <v>44031</v>
      </c>
      <c r="B1724" t="s">
        <v>158</v>
      </c>
      <c r="C1724" t="s">
        <v>98</v>
      </c>
      <c r="D1724">
        <v>9</v>
      </c>
      <c r="E1724">
        <v>9</v>
      </c>
      <c r="F1724" t="s">
        <v>10</v>
      </c>
      <c r="G1724" t="s">
        <v>113</v>
      </c>
      <c r="H1724" t="s">
        <v>77</v>
      </c>
      <c r="I1724">
        <v>60000000</v>
      </c>
      <c r="J1724" t="s">
        <v>63</v>
      </c>
      <c r="K1724" t="s">
        <v>5</v>
      </c>
      <c r="L1724" t="s">
        <v>67</v>
      </c>
      <c r="M1724" t="s">
        <v>80</v>
      </c>
      <c r="N1724" t="s">
        <v>13</v>
      </c>
    </row>
    <row r="1725" spans="1:14" x14ac:dyDescent="0.35">
      <c r="A1725" s="75">
        <v>44031</v>
      </c>
      <c r="B1725" t="s">
        <v>158</v>
      </c>
      <c r="C1725" t="s">
        <v>98</v>
      </c>
      <c r="D1725">
        <v>8</v>
      </c>
      <c r="E1725">
        <v>8</v>
      </c>
      <c r="F1725" t="s">
        <v>10</v>
      </c>
      <c r="G1725" t="s">
        <v>70</v>
      </c>
      <c r="H1725" t="s">
        <v>1</v>
      </c>
      <c r="I1725">
        <v>120000000</v>
      </c>
      <c r="J1725" t="s">
        <v>62</v>
      </c>
      <c r="K1725" t="s">
        <v>7</v>
      </c>
      <c r="L1725" t="s">
        <v>67</v>
      </c>
      <c r="M1725" t="s">
        <v>80</v>
      </c>
      <c r="N1725" t="s">
        <v>12</v>
      </c>
    </row>
    <row r="1726" spans="1:14" x14ac:dyDescent="0.35">
      <c r="A1726" s="75">
        <v>44031</v>
      </c>
      <c r="B1726" t="s">
        <v>158</v>
      </c>
      <c r="C1726" t="s">
        <v>98</v>
      </c>
      <c r="D1726">
        <v>8</v>
      </c>
      <c r="E1726">
        <v>8</v>
      </c>
      <c r="F1726" t="s">
        <v>10</v>
      </c>
      <c r="G1726" t="s">
        <v>73</v>
      </c>
      <c r="H1726" t="s">
        <v>78</v>
      </c>
      <c r="I1726">
        <v>100000000</v>
      </c>
      <c r="J1726" t="s">
        <v>40</v>
      </c>
      <c r="K1726" t="s">
        <v>2</v>
      </c>
      <c r="L1726" t="s">
        <v>67</v>
      </c>
      <c r="M1726" t="s">
        <v>80</v>
      </c>
      <c r="N1726" t="s">
        <v>14</v>
      </c>
    </row>
    <row r="1727" spans="1:14" x14ac:dyDescent="0.35">
      <c r="A1727" s="75">
        <v>44031</v>
      </c>
      <c r="B1727" t="s">
        <v>158</v>
      </c>
      <c r="C1727" t="s">
        <v>98</v>
      </c>
      <c r="D1727">
        <v>7</v>
      </c>
      <c r="E1727">
        <v>7</v>
      </c>
      <c r="F1727" t="s">
        <v>10</v>
      </c>
      <c r="G1727" t="s">
        <v>71</v>
      </c>
      <c r="H1727" t="s">
        <v>6</v>
      </c>
      <c r="I1727">
        <v>140000000</v>
      </c>
      <c r="J1727" t="s">
        <v>46</v>
      </c>
      <c r="K1727" t="s">
        <v>2</v>
      </c>
      <c r="L1727" t="s">
        <v>67</v>
      </c>
      <c r="M1727" t="s">
        <v>81</v>
      </c>
      <c r="N1727" t="s">
        <v>11</v>
      </c>
    </row>
    <row r="1728" spans="1:14" x14ac:dyDescent="0.35">
      <c r="A1728" s="75">
        <v>44031</v>
      </c>
      <c r="B1728" t="s">
        <v>158</v>
      </c>
      <c r="C1728" t="s">
        <v>98</v>
      </c>
      <c r="D1728">
        <v>7</v>
      </c>
      <c r="E1728">
        <v>7</v>
      </c>
      <c r="F1728" t="s">
        <v>10</v>
      </c>
      <c r="G1728" t="s">
        <v>75</v>
      </c>
      <c r="H1728" t="s">
        <v>6</v>
      </c>
      <c r="I1728">
        <v>120000000</v>
      </c>
      <c r="J1728" t="s">
        <v>43</v>
      </c>
      <c r="K1728" t="s">
        <v>2</v>
      </c>
      <c r="L1728" t="s">
        <v>67</v>
      </c>
      <c r="M1728" t="s">
        <v>81</v>
      </c>
      <c r="N1728" t="s">
        <v>12</v>
      </c>
    </row>
    <row r="1729" spans="1:14" x14ac:dyDescent="0.35">
      <c r="A1729" s="75">
        <v>44031</v>
      </c>
      <c r="B1729" t="s">
        <v>158</v>
      </c>
      <c r="C1729" t="s">
        <v>98</v>
      </c>
      <c r="D1729">
        <v>5</v>
      </c>
      <c r="E1729">
        <v>5</v>
      </c>
      <c r="F1729" t="s">
        <v>10</v>
      </c>
      <c r="G1729" t="s">
        <v>73</v>
      </c>
      <c r="H1729" t="s">
        <v>78</v>
      </c>
      <c r="I1729">
        <v>80000000</v>
      </c>
      <c r="J1729" t="s">
        <v>42</v>
      </c>
      <c r="K1729" t="s">
        <v>5</v>
      </c>
      <c r="L1729" t="s">
        <v>67</v>
      </c>
      <c r="M1729" t="s">
        <v>81</v>
      </c>
      <c r="N1729" t="s">
        <v>14</v>
      </c>
    </row>
    <row r="1730" spans="1:14" x14ac:dyDescent="0.35">
      <c r="A1730" s="75">
        <v>44031</v>
      </c>
      <c r="B1730" t="s">
        <v>158</v>
      </c>
      <c r="C1730" t="s">
        <v>98</v>
      </c>
      <c r="D1730">
        <v>5</v>
      </c>
      <c r="E1730">
        <v>5</v>
      </c>
      <c r="F1730" t="s">
        <v>10</v>
      </c>
      <c r="G1730" t="s">
        <v>73</v>
      </c>
      <c r="H1730" t="s">
        <v>78</v>
      </c>
      <c r="I1730">
        <v>40000000</v>
      </c>
      <c r="J1730" t="s">
        <v>60</v>
      </c>
      <c r="K1730" t="s">
        <v>5</v>
      </c>
      <c r="L1730" t="s">
        <v>67</v>
      </c>
      <c r="M1730" t="s">
        <v>80</v>
      </c>
      <c r="N1730" t="s">
        <v>14</v>
      </c>
    </row>
    <row r="1731" spans="1:14" x14ac:dyDescent="0.35">
      <c r="A1731" s="75">
        <v>44031</v>
      </c>
      <c r="B1731" t="s">
        <v>158</v>
      </c>
      <c r="C1731" t="s">
        <v>98</v>
      </c>
      <c r="D1731">
        <v>5</v>
      </c>
      <c r="E1731">
        <v>5</v>
      </c>
      <c r="F1731" t="s">
        <v>10</v>
      </c>
      <c r="G1731" t="s">
        <v>113</v>
      </c>
      <c r="H1731" t="s">
        <v>77</v>
      </c>
      <c r="I1731">
        <v>40000000</v>
      </c>
      <c r="J1731" t="s">
        <v>53</v>
      </c>
      <c r="K1731" t="s">
        <v>5</v>
      </c>
      <c r="L1731" t="s">
        <v>67</v>
      </c>
      <c r="M1731" t="s">
        <v>80</v>
      </c>
      <c r="N1731" t="s">
        <v>13</v>
      </c>
    </row>
    <row r="1732" spans="1:14" x14ac:dyDescent="0.35">
      <c r="A1732" s="75">
        <v>44031</v>
      </c>
      <c r="B1732" t="s">
        <v>158</v>
      </c>
      <c r="C1732" t="s">
        <v>98</v>
      </c>
      <c r="D1732">
        <v>4</v>
      </c>
      <c r="E1732">
        <v>4</v>
      </c>
      <c r="F1732" t="s">
        <v>10</v>
      </c>
      <c r="G1732" t="s">
        <v>70</v>
      </c>
      <c r="H1732" t="s">
        <v>1</v>
      </c>
      <c r="I1732">
        <v>80000000</v>
      </c>
      <c r="J1732" t="s">
        <v>48</v>
      </c>
      <c r="K1732" t="s">
        <v>7</v>
      </c>
      <c r="L1732" t="s">
        <v>67</v>
      </c>
      <c r="M1732" t="s">
        <v>80</v>
      </c>
      <c r="N1732" t="s">
        <v>12</v>
      </c>
    </row>
    <row r="1733" spans="1:14" x14ac:dyDescent="0.35">
      <c r="A1733" s="75">
        <v>44031</v>
      </c>
      <c r="B1733" t="s">
        <v>158</v>
      </c>
      <c r="C1733" t="s">
        <v>98</v>
      </c>
      <c r="D1733">
        <v>4</v>
      </c>
      <c r="E1733">
        <v>4</v>
      </c>
      <c r="F1733" t="s">
        <v>10</v>
      </c>
      <c r="G1733" t="s">
        <v>114</v>
      </c>
      <c r="H1733" t="s">
        <v>3</v>
      </c>
      <c r="I1733">
        <v>140000000</v>
      </c>
      <c r="J1733" t="s">
        <v>42</v>
      </c>
      <c r="K1733" t="s">
        <v>2</v>
      </c>
      <c r="L1733" t="s">
        <v>67</v>
      </c>
      <c r="M1733" t="s">
        <v>82</v>
      </c>
      <c r="N1733" t="s">
        <v>14</v>
      </c>
    </row>
    <row r="1734" spans="1:14" x14ac:dyDescent="0.35">
      <c r="A1734" s="75">
        <v>44031</v>
      </c>
      <c r="B1734" t="s">
        <v>158</v>
      </c>
      <c r="C1734" t="s">
        <v>98</v>
      </c>
      <c r="D1734">
        <v>3</v>
      </c>
      <c r="E1734">
        <v>3</v>
      </c>
      <c r="F1734" t="s">
        <v>10</v>
      </c>
      <c r="G1734" t="s">
        <v>75</v>
      </c>
      <c r="H1734" t="s">
        <v>6</v>
      </c>
      <c r="I1734">
        <v>100000000</v>
      </c>
      <c r="J1734" t="s">
        <v>23</v>
      </c>
      <c r="K1734" t="s">
        <v>2</v>
      </c>
      <c r="L1734" t="s">
        <v>67</v>
      </c>
      <c r="M1734" t="s">
        <v>82</v>
      </c>
      <c r="N1734" t="s">
        <v>13</v>
      </c>
    </row>
    <row r="1735" spans="1:14" x14ac:dyDescent="0.35">
      <c r="A1735" s="75">
        <v>44031</v>
      </c>
      <c r="B1735" t="s">
        <v>158</v>
      </c>
      <c r="C1735" t="s">
        <v>98</v>
      </c>
      <c r="D1735">
        <v>3</v>
      </c>
      <c r="E1735">
        <v>3</v>
      </c>
      <c r="F1735" t="s">
        <v>10</v>
      </c>
      <c r="G1735" t="s">
        <v>70</v>
      </c>
      <c r="H1735" t="s">
        <v>1</v>
      </c>
      <c r="I1735">
        <v>120000000</v>
      </c>
      <c r="J1735" t="s">
        <v>18</v>
      </c>
      <c r="K1735" t="s">
        <v>2</v>
      </c>
      <c r="L1735" t="s">
        <v>67</v>
      </c>
      <c r="M1735" t="s">
        <v>80</v>
      </c>
      <c r="N1735" t="s">
        <v>11</v>
      </c>
    </row>
    <row r="1736" spans="1:14" x14ac:dyDescent="0.35">
      <c r="A1736" s="75">
        <v>44032</v>
      </c>
      <c r="B1736" t="s">
        <v>159</v>
      </c>
      <c r="C1736" t="s">
        <v>98</v>
      </c>
      <c r="D1736">
        <v>10</v>
      </c>
      <c r="E1736">
        <v>10</v>
      </c>
      <c r="F1736" t="s">
        <v>10</v>
      </c>
      <c r="G1736" t="s">
        <v>114</v>
      </c>
      <c r="H1736" t="s">
        <v>3</v>
      </c>
      <c r="I1736">
        <v>40000000</v>
      </c>
      <c r="J1736" t="s">
        <v>61</v>
      </c>
      <c r="K1736" t="s">
        <v>2</v>
      </c>
      <c r="L1736" t="s">
        <v>67</v>
      </c>
      <c r="M1736" t="s">
        <v>80</v>
      </c>
      <c r="N1736" t="s">
        <v>14</v>
      </c>
    </row>
    <row r="1737" spans="1:14" x14ac:dyDescent="0.35">
      <c r="A1737" s="75">
        <v>44032</v>
      </c>
      <c r="B1737" t="s">
        <v>159</v>
      </c>
      <c r="C1737" t="s">
        <v>98</v>
      </c>
      <c r="D1737">
        <v>8</v>
      </c>
      <c r="E1737">
        <v>8</v>
      </c>
      <c r="F1737" t="s">
        <v>10</v>
      </c>
      <c r="G1737" t="s">
        <v>74</v>
      </c>
      <c r="H1737" t="s">
        <v>77</v>
      </c>
      <c r="I1737">
        <v>140000000</v>
      </c>
      <c r="J1737" t="s">
        <v>35</v>
      </c>
      <c r="K1737" t="s">
        <v>5</v>
      </c>
      <c r="L1737" t="s">
        <v>67</v>
      </c>
      <c r="M1737" t="s">
        <v>82</v>
      </c>
      <c r="N1737" t="s">
        <v>12</v>
      </c>
    </row>
    <row r="1738" spans="1:14" x14ac:dyDescent="0.35">
      <c r="A1738" s="75">
        <v>44032</v>
      </c>
      <c r="B1738" t="s">
        <v>159</v>
      </c>
      <c r="C1738" t="s">
        <v>98</v>
      </c>
      <c r="D1738">
        <v>8</v>
      </c>
      <c r="E1738">
        <v>8</v>
      </c>
      <c r="F1738" t="s">
        <v>10</v>
      </c>
      <c r="G1738" t="s">
        <v>71</v>
      </c>
      <c r="H1738" t="s">
        <v>6</v>
      </c>
      <c r="I1738">
        <v>80000000</v>
      </c>
      <c r="J1738" t="s">
        <v>30</v>
      </c>
      <c r="K1738" t="s">
        <v>7</v>
      </c>
      <c r="L1738" t="s">
        <v>67</v>
      </c>
      <c r="M1738" t="s">
        <v>82</v>
      </c>
      <c r="N1738" t="s">
        <v>13</v>
      </c>
    </row>
    <row r="1739" spans="1:14" x14ac:dyDescent="0.35">
      <c r="A1739" s="75">
        <v>44032</v>
      </c>
      <c r="B1739" t="s">
        <v>159</v>
      </c>
      <c r="C1739" t="s">
        <v>98</v>
      </c>
      <c r="D1739">
        <v>8</v>
      </c>
      <c r="E1739">
        <v>8</v>
      </c>
      <c r="F1739" t="s">
        <v>10</v>
      </c>
      <c r="G1739" t="s">
        <v>74</v>
      </c>
      <c r="H1739" t="s">
        <v>77</v>
      </c>
      <c r="I1739">
        <v>40000000</v>
      </c>
      <c r="J1739" t="s">
        <v>35</v>
      </c>
      <c r="K1739" t="s">
        <v>2</v>
      </c>
      <c r="L1739" t="s">
        <v>67</v>
      </c>
      <c r="M1739" t="s">
        <v>81</v>
      </c>
      <c r="N1739" t="s">
        <v>13</v>
      </c>
    </row>
    <row r="1740" spans="1:14" x14ac:dyDescent="0.35">
      <c r="A1740" s="75">
        <v>44032</v>
      </c>
      <c r="B1740" t="s">
        <v>159</v>
      </c>
      <c r="C1740" t="s">
        <v>98</v>
      </c>
      <c r="D1740">
        <v>6</v>
      </c>
      <c r="E1740">
        <v>6</v>
      </c>
      <c r="F1740" t="s">
        <v>10</v>
      </c>
      <c r="G1740" t="s">
        <v>71</v>
      </c>
      <c r="H1740" t="s">
        <v>6</v>
      </c>
      <c r="I1740">
        <v>100000000</v>
      </c>
      <c r="J1740" t="s">
        <v>40</v>
      </c>
      <c r="K1740" t="s">
        <v>2</v>
      </c>
      <c r="L1740" t="s">
        <v>67</v>
      </c>
      <c r="M1740" t="s">
        <v>82</v>
      </c>
      <c r="N1740" t="s">
        <v>14</v>
      </c>
    </row>
    <row r="1741" spans="1:14" x14ac:dyDescent="0.35">
      <c r="A1741" s="75">
        <v>44032</v>
      </c>
      <c r="B1741" t="s">
        <v>159</v>
      </c>
      <c r="C1741" t="s">
        <v>98</v>
      </c>
      <c r="D1741">
        <v>6</v>
      </c>
      <c r="E1741">
        <v>6</v>
      </c>
      <c r="F1741" t="s">
        <v>10</v>
      </c>
      <c r="G1741" t="s">
        <v>73</v>
      </c>
      <c r="H1741" t="s">
        <v>78</v>
      </c>
      <c r="I1741">
        <v>140000000</v>
      </c>
      <c r="J1741" t="s">
        <v>56</v>
      </c>
      <c r="K1741" t="s">
        <v>5</v>
      </c>
      <c r="L1741" t="s">
        <v>67</v>
      </c>
      <c r="M1741" t="s">
        <v>80</v>
      </c>
      <c r="N1741" t="s">
        <v>11</v>
      </c>
    </row>
    <row r="1742" spans="1:14" x14ac:dyDescent="0.35">
      <c r="A1742" s="75">
        <v>44032</v>
      </c>
      <c r="B1742" t="s">
        <v>159</v>
      </c>
      <c r="C1742" t="s">
        <v>98</v>
      </c>
      <c r="D1742">
        <v>5</v>
      </c>
      <c r="E1742">
        <v>5</v>
      </c>
      <c r="F1742" t="s">
        <v>10</v>
      </c>
      <c r="G1742" t="s">
        <v>74</v>
      </c>
      <c r="H1742" t="s">
        <v>77</v>
      </c>
      <c r="I1742">
        <v>100000000</v>
      </c>
      <c r="J1742" t="s">
        <v>58</v>
      </c>
      <c r="K1742" t="s">
        <v>2</v>
      </c>
      <c r="L1742" t="s">
        <v>67</v>
      </c>
      <c r="M1742" t="s">
        <v>82</v>
      </c>
      <c r="N1742" t="s">
        <v>12</v>
      </c>
    </row>
    <row r="1743" spans="1:14" x14ac:dyDescent="0.35">
      <c r="A1743" s="75">
        <v>44032</v>
      </c>
      <c r="B1743" t="s">
        <v>159</v>
      </c>
      <c r="C1743" t="s">
        <v>98</v>
      </c>
      <c r="D1743">
        <v>3</v>
      </c>
      <c r="E1743">
        <v>3</v>
      </c>
      <c r="F1743" t="s">
        <v>10</v>
      </c>
      <c r="G1743" t="s">
        <v>73</v>
      </c>
      <c r="H1743" t="s">
        <v>78</v>
      </c>
      <c r="I1743">
        <v>60000000</v>
      </c>
      <c r="J1743" t="s">
        <v>59</v>
      </c>
      <c r="K1743" t="s">
        <v>4</v>
      </c>
      <c r="L1743" t="s">
        <v>67</v>
      </c>
      <c r="M1743" t="s">
        <v>81</v>
      </c>
      <c r="N1743" t="s">
        <v>12</v>
      </c>
    </row>
    <row r="1744" spans="1:14" x14ac:dyDescent="0.35">
      <c r="A1744" s="75">
        <v>44033</v>
      </c>
      <c r="B1744" t="s">
        <v>160</v>
      </c>
      <c r="C1744" t="s">
        <v>98</v>
      </c>
      <c r="D1744">
        <v>9</v>
      </c>
      <c r="E1744">
        <v>9</v>
      </c>
      <c r="F1744" t="s">
        <v>10</v>
      </c>
      <c r="G1744" t="s">
        <v>73</v>
      </c>
      <c r="H1744" t="s">
        <v>78</v>
      </c>
      <c r="I1744">
        <v>100000000</v>
      </c>
      <c r="J1744" t="s">
        <v>40</v>
      </c>
      <c r="K1744" t="s">
        <v>7</v>
      </c>
      <c r="L1744" t="s">
        <v>67</v>
      </c>
      <c r="M1744" t="s">
        <v>82</v>
      </c>
      <c r="N1744" t="s">
        <v>13</v>
      </c>
    </row>
    <row r="1745" spans="1:14" x14ac:dyDescent="0.35">
      <c r="A1745" s="75">
        <v>44033</v>
      </c>
      <c r="B1745" t="s">
        <v>160</v>
      </c>
      <c r="C1745" t="s">
        <v>98</v>
      </c>
      <c r="D1745">
        <v>9</v>
      </c>
      <c r="E1745">
        <v>9</v>
      </c>
      <c r="F1745" t="s">
        <v>10</v>
      </c>
      <c r="G1745" t="s">
        <v>76</v>
      </c>
      <c r="H1745" t="s">
        <v>79</v>
      </c>
      <c r="I1745">
        <v>60000000</v>
      </c>
      <c r="J1745" t="s">
        <v>59</v>
      </c>
      <c r="K1745" t="s">
        <v>2</v>
      </c>
      <c r="L1745" t="s">
        <v>67</v>
      </c>
      <c r="M1745" t="s">
        <v>80</v>
      </c>
      <c r="N1745" t="s">
        <v>12</v>
      </c>
    </row>
    <row r="1746" spans="1:14" x14ac:dyDescent="0.35">
      <c r="A1746" s="75">
        <v>44033</v>
      </c>
      <c r="B1746" t="s">
        <v>160</v>
      </c>
      <c r="C1746" t="s">
        <v>98</v>
      </c>
      <c r="D1746">
        <v>9</v>
      </c>
      <c r="E1746">
        <v>9</v>
      </c>
      <c r="F1746" t="s">
        <v>10</v>
      </c>
      <c r="G1746" t="s">
        <v>114</v>
      </c>
      <c r="H1746" t="s">
        <v>3</v>
      </c>
      <c r="I1746">
        <v>120000000</v>
      </c>
      <c r="J1746" t="s">
        <v>49</v>
      </c>
      <c r="K1746" t="s">
        <v>2</v>
      </c>
      <c r="L1746" t="s">
        <v>67</v>
      </c>
      <c r="M1746" t="s">
        <v>80</v>
      </c>
      <c r="N1746" t="s">
        <v>14</v>
      </c>
    </row>
    <row r="1747" spans="1:14" x14ac:dyDescent="0.35">
      <c r="A1747" s="75">
        <v>44033</v>
      </c>
      <c r="B1747" t="s">
        <v>160</v>
      </c>
      <c r="C1747" t="s">
        <v>98</v>
      </c>
      <c r="D1747">
        <v>8</v>
      </c>
      <c r="E1747">
        <v>8</v>
      </c>
      <c r="F1747" t="s">
        <v>10</v>
      </c>
      <c r="G1747" t="s">
        <v>113</v>
      </c>
      <c r="H1747" t="s">
        <v>77</v>
      </c>
      <c r="I1747">
        <v>40000000</v>
      </c>
      <c r="J1747" t="s">
        <v>51</v>
      </c>
      <c r="K1747" t="s">
        <v>5</v>
      </c>
      <c r="L1747" t="s">
        <v>67</v>
      </c>
      <c r="M1747" t="s">
        <v>80</v>
      </c>
      <c r="N1747" t="s">
        <v>12</v>
      </c>
    </row>
    <row r="1748" spans="1:14" x14ac:dyDescent="0.35">
      <c r="A1748" s="75">
        <v>44033</v>
      </c>
      <c r="B1748" t="s">
        <v>160</v>
      </c>
      <c r="C1748" t="s">
        <v>98</v>
      </c>
      <c r="D1748">
        <v>7</v>
      </c>
      <c r="E1748">
        <v>7</v>
      </c>
      <c r="F1748" t="s">
        <v>10</v>
      </c>
      <c r="G1748" t="s">
        <v>76</v>
      </c>
      <c r="H1748" t="s">
        <v>79</v>
      </c>
      <c r="I1748">
        <v>40000000</v>
      </c>
      <c r="J1748" t="s">
        <v>17</v>
      </c>
      <c r="K1748" t="s">
        <v>8</v>
      </c>
      <c r="L1748" t="s">
        <v>67</v>
      </c>
      <c r="M1748" t="s">
        <v>80</v>
      </c>
      <c r="N1748" t="s">
        <v>11</v>
      </c>
    </row>
    <row r="1749" spans="1:14" x14ac:dyDescent="0.35">
      <c r="A1749" s="75">
        <v>44033</v>
      </c>
      <c r="B1749" t="s">
        <v>160</v>
      </c>
      <c r="C1749" t="s">
        <v>98</v>
      </c>
      <c r="D1749">
        <v>6</v>
      </c>
      <c r="E1749">
        <v>6</v>
      </c>
      <c r="F1749" t="s">
        <v>10</v>
      </c>
      <c r="G1749" t="s">
        <v>70</v>
      </c>
      <c r="H1749" t="s">
        <v>1</v>
      </c>
      <c r="I1749">
        <v>120000000</v>
      </c>
      <c r="J1749" t="s">
        <v>30</v>
      </c>
      <c r="K1749" t="s">
        <v>7</v>
      </c>
      <c r="L1749" t="s">
        <v>67</v>
      </c>
      <c r="M1749" t="s">
        <v>80</v>
      </c>
      <c r="N1749" t="s">
        <v>11</v>
      </c>
    </row>
    <row r="1750" spans="1:14" x14ac:dyDescent="0.35">
      <c r="A1750" s="75">
        <v>44033</v>
      </c>
      <c r="B1750" t="s">
        <v>160</v>
      </c>
      <c r="C1750" t="s">
        <v>98</v>
      </c>
      <c r="D1750">
        <v>5</v>
      </c>
      <c r="E1750">
        <v>5</v>
      </c>
      <c r="F1750" t="s">
        <v>10</v>
      </c>
      <c r="G1750" t="s">
        <v>73</v>
      </c>
      <c r="H1750" t="s">
        <v>78</v>
      </c>
      <c r="I1750">
        <v>120000000</v>
      </c>
      <c r="J1750" t="s">
        <v>56</v>
      </c>
      <c r="K1750" t="s">
        <v>7</v>
      </c>
      <c r="L1750" t="s">
        <v>67</v>
      </c>
      <c r="M1750" t="s">
        <v>81</v>
      </c>
      <c r="N1750" t="s">
        <v>11</v>
      </c>
    </row>
    <row r="1751" spans="1:14" x14ac:dyDescent="0.35">
      <c r="A1751" s="75">
        <v>44033</v>
      </c>
      <c r="B1751" t="s">
        <v>160</v>
      </c>
      <c r="C1751" t="s">
        <v>98</v>
      </c>
      <c r="D1751">
        <v>3</v>
      </c>
      <c r="E1751">
        <v>3</v>
      </c>
      <c r="F1751" t="s">
        <v>10</v>
      </c>
      <c r="G1751" t="s">
        <v>73</v>
      </c>
      <c r="H1751" t="s">
        <v>78</v>
      </c>
      <c r="I1751">
        <v>120000000</v>
      </c>
      <c r="J1751" t="s">
        <v>42</v>
      </c>
      <c r="K1751" t="s">
        <v>7</v>
      </c>
      <c r="L1751" t="s">
        <v>67</v>
      </c>
      <c r="M1751" t="s">
        <v>82</v>
      </c>
      <c r="N1751" t="s">
        <v>14</v>
      </c>
    </row>
    <row r="1752" spans="1:14" x14ac:dyDescent="0.35">
      <c r="A1752" s="75">
        <v>44033</v>
      </c>
      <c r="B1752" t="s">
        <v>160</v>
      </c>
      <c r="C1752" t="s">
        <v>98</v>
      </c>
      <c r="D1752">
        <v>3</v>
      </c>
      <c r="E1752">
        <v>3</v>
      </c>
      <c r="F1752" t="s">
        <v>10</v>
      </c>
      <c r="G1752" t="s">
        <v>71</v>
      </c>
      <c r="H1752" t="s">
        <v>6</v>
      </c>
      <c r="I1752">
        <v>80000000</v>
      </c>
      <c r="J1752" t="s">
        <v>16</v>
      </c>
      <c r="K1752" t="s">
        <v>5</v>
      </c>
      <c r="L1752" t="s">
        <v>67</v>
      </c>
      <c r="M1752" t="s">
        <v>81</v>
      </c>
      <c r="N1752" t="s">
        <v>14</v>
      </c>
    </row>
    <row r="1753" spans="1:14" x14ac:dyDescent="0.35">
      <c r="A1753" s="75">
        <v>44034</v>
      </c>
      <c r="B1753" t="s">
        <v>161</v>
      </c>
      <c r="C1753" t="s">
        <v>98</v>
      </c>
      <c r="D1753">
        <v>9</v>
      </c>
      <c r="E1753">
        <v>9</v>
      </c>
      <c r="F1753" t="s">
        <v>10</v>
      </c>
      <c r="G1753" t="s">
        <v>114</v>
      </c>
      <c r="H1753" t="s">
        <v>3</v>
      </c>
      <c r="I1753">
        <v>100000000</v>
      </c>
      <c r="J1753" t="s">
        <v>15</v>
      </c>
      <c r="K1753" t="s">
        <v>4</v>
      </c>
      <c r="L1753" t="s">
        <v>67</v>
      </c>
      <c r="M1753" t="s">
        <v>82</v>
      </c>
      <c r="N1753" t="s">
        <v>11</v>
      </c>
    </row>
    <row r="1754" spans="1:14" x14ac:dyDescent="0.35">
      <c r="A1754" s="75">
        <v>44034</v>
      </c>
      <c r="B1754" t="s">
        <v>161</v>
      </c>
      <c r="C1754" t="s">
        <v>98</v>
      </c>
      <c r="D1754">
        <v>9</v>
      </c>
      <c r="E1754">
        <v>9</v>
      </c>
      <c r="F1754" t="s">
        <v>10</v>
      </c>
      <c r="G1754" t="s">
        <v>71</v>
      </c>
      <c r="H1754" t="s">
        <v>6</v>
      </c>
      <c r="I1754">
        <v>40000000</v>
      </c>
      <c r="J1754" t="s">
        <v>58</v>
      </c>
      <c r="K1754" t="s">
        <v>2</v>
      </c>
      <c r="L1754" t="s">
        <v>67</v>
      </c>
      <c r="M1754" t="s">
        <v>81</v>
      </c>
      <c r="N1754" t="s">
        <v>13</v>
      </c>
    </row>
    <row r="1755" spans="1:14" x14ac:dyDescent="0.35">
      <c r="A1755" s="75">
        <v>44034</v>
      </c>
      <c r="B1755" t="s">
        <v>161</v>
      </c>
      <c r="C1755" t="s">
        <v>98</v>
      </c>
      <c r="D1755">
        <v>8</v>
      </c>
      <c r="E1755">
        <v>8</v>
      </c>
      <c r="F1755" t="s">
        <v>10</v>
      </c>
      <c r="G1755" t="s">
        <v>76</v>
      </c>
      <c r="H1755" t="s">
        <v>79</v>
      </c>
      <c r="I1755">
        <v>60000000</v>
      </c>
      <c r="J1755" t="s">
        <v>19</v>
      </c>
      <c r="K1755" t="s">
        <v>4</v>
      </c>
      <c r="L1755" t="s">
        <v>67</v>
      </c>
      <c r="M1755" t="s">
        <v>80</v>
      </c>
      <c r="N1755" t="s">
        <v>13</v>
      </c>
    </row>
    <row r="1756" spans="1:14" x14ac:dyDescent="0.35">
      <c r="A1756" s="75">
        <v>44034</v>
      </c>
      <c r="B1756" t="s">
        <v>161</v>
      </c>
      <c r="C1756" t="s">
        <v>98</v>
      </c>
      <c r="D1756">
        <v>6</v>
      </c>
      <c r="E1756">
        <v>6</v>
      </c>
      <c r="F1756" t="s">
        <v>10</v>
      </c>
      <c r="G1756" t="s">
        <v>71</v>
      </c>
      <c r="H1756" t="s">
        <v>6</v>
      </c>
      <c r="I1756">
        <v>40000000</v>
      </c>
      <c r="J1756" t="s">
        <v>35</v>
      </c>
      <c r="K1756" t="s">
        <v>2</v>
      </c>
      <c r="L1756" t="s">
        <v>67</v>
      </c>
      <c r="M1756" t="s">
        <v>82</v>
      </c>
      <c r="N1756" t="s">
        <v>12</v>
      </c>
    </row>
    <row r="1757" spans="1:14" x14ac:dyDescent="0.35">
      <c r="A1757" s="75">
        <v>44034</v>
      </c>
      <c r="B1757" t="s">
        <v>161</v>
      </c>
      <c r="C1757" t="s">
        <v>98</v>
      </c>
      <c r="D1757">
        <v>6</v>
      </c>
      <c r="E1757">
        <v>6</v>
      </c>
      <c r="F1757" t="s">
        <v>10</v>
      </c>
      <c r="G1757" t="s">
        <v>72</v>
      </c>
      <c r="H1757" t="s">
        <v>78</v>
      </c>
      <c r="I1757">
        <v>120000000</v>
      </c>
      <c r="J1757" t="s">
        <v>62</v>
      </c>
      <c r="K1757" t="s">
        <v>5</v>
      </c>
      <c r="L1757" t="s">
        <v>67</v>
      </c>
      <c r="M1757" t="s">
        <v>82</v>
      </c>
      <c r="N1757" t="s">
        <v>13</v>
      </c>
    </row>
    <row r="1758" spans="1:14" x14ac:dyDescent="0.35">
      <c r="A1758" s="75">
        <v>44034</v>
      </c>
      <c r="B1758" t="s">
        <v>161</v>
      </c>
      <c r="C1758" t="s">
        <v>98</v>
      </c>
      <c r="D1758">
        <v>5</v>
      </c>
      <c r="E1758">
        <v>5</v>
      </c>
      <c r="F1758" t="s">
        <v>10</v>
      </c>
      <c r="G1758" t="s">
        <v>70</v>
      </c>
      <c r="H1758" t="s">
        <v>1</v>
      </c>
      <c r="I1758">
        <v>60000000</v>
      </c>
      <c r="J1758" t="s">
        <v>31</v>
      </c>
      <c r="K1758" t="s">
        <v>5</v>
      </c>
      <c r="L1758" t="s">
        <v>67</v>
      </c>
      <c r="M1758" t="s">
        <v>82</v>
      </c>
      <c r="N1758" t="s">
        <v>13</v>
      </c>
    </row>
    <row r="1759" spans="1:14" x14ac:dyDescent="0.35">
      <c r="A1759" s="75">
        <v>44035</v>
      </c>
      <c r="B1759" t="s">
        <v>162</v>
      </c>
      <c r="C1759" t="s">
        <v>98</v>
      </c>
      <c r="D1759">
        <v>10</v>
      </c>
      <c r="E1759">
        <v>10</v>
      </c>
      <c r="F1759" t="s">
        <v>10</v>
      </c>
      <c r="G1759" t="s">
        <v>73</v>
      </c>
      <c r="H1759" t="s">
        <v>78</v>
      </c>
      <c r="I1759">
        <v>100000000</v>
      </c>
      <c r="J1759" t="s">
        <v>63</v>
      </c>
      <c r="K1759" t="s">
        <v>5</v>
      </c>
      <c r="L1759" t="s">
        <v>67</v>
      </c>
      <c r="M1759" t="s">
        <v>82</v>
      </c>
      <c r="N1759" t="s">
        <v>14</v>
      </c>
    </row>
    <row r="1760" spans="1:14" x14ac:dyDescent="0.35">
      <c r="A1760" s="75">
        <v>44035</v>
      </c>
      <c r="B1760" t="s">
        <v>162</v>
      </c>
      <c r="C1760" t="s">
        <v>98</v>
      </c>
      <c r="D1760">
        <v>7</v>
      </c>
      <c r="E1760">
        <v>7</v>
      </c>
      <c r="F1760" t="s">
        <v>10</v>
      </c>
      <c r="G1760" t="s">
        <v>74</v>
      </c>
      <c r="H1760" t="s">
        <v>77</v>
      </c>
      <c r="I1760">
        <v>100000000</v>
      </c>
      <c r="J1760" t="s">
        <v>30</v>
      </c>
      <c r="K1760" t="s">
        <v>5</v>
      </c>
      <c r="L1760" t="s">
        <v>67</v>
      </c>
      <c r="M1760" t="s">
        <v>82</v>
      </c>
      <c r="N1760" t="s">
        <v>13</v>
      </c>
    </row>
    <row r="1761" spans="1:14" x14ac:dyDescent="0.35">
      <c r="A1761" s="75">
        <v>44036</v>
      </c>
      <c r="B1761" t="s">
        <v>163</v>
      </c>
      <c r="C1761" t="s">
        <v>98</v>
      </c>
      <c r="D1761">
        <v>9</v>
      </c>
      <c r="E1761">
        <v>9</v>
      </c>
      <c r="F1761" t="s">
        <v>10</v>
      </c>
      <c r="G1761" t="s">
        <v>72</v>
      </c>
      <c r="H1761" t="s">
        <v>78</v>
      </c>
      <c r="I1761">
        <v>80000000</v>
      </c>
      <c r="J1761" t="s">
        <v>41</v>
      </c>
      <c r="K1761" t="s">
        <v>2</v>
      </c>
      <c r="L1761" t="s">
        <v>67</v>
      </c>
      <c r="M1761" t="s">
        <v>81</v>
      </c>
      <c r="N1761" t="s">
        <v>11</v>
      </c>
    </row>
    <row r="1762" spans="1:14" x14ac:dyDescent="0.35">
      <c r="A1762" s="75">
        <v>44036</v>
      </c>
      <c r="B1762" t="s">
        <v>163</v>
      </c>
      <c r="C1762" t="s">
        <v>98</v>
      </c>
      <c r="D1762">
        <v>9</v>
      </c>
      <c r="E1762">
        <v>9</v>
      </c>
      <c r="F1762" t="s">
        <v>10</v>
      </c>
      <c r="G1762" t="s">
        <v>114</v>
      </c>
      <c r="H1762" t="s">
        <v>3</v>
      </c>
      <c r="I1762">
        <v>40000000</v>
      </c>
      <c r="J1762" t="s">
        <v>31</v>
      </c>
      <c r="K1762" t="s">
        <v>5</v>
      </c>
      <c r="L1762" t="s">
        <v>67</v>
      </c>
      <c r="M1762" t="s">
        <v>81</v>
      </c>
      <c r="N1762" t="s">
        <v>14</v>
      </c>
    </row>
    <row r="1763" spans="1:14" x14ac:dyDescent="0.35">
      <c r="A1763" s="75">
        <v>44036</v>
      </c>
      <c r="B1763" t="s">
        <v>163</v>
      </c>
      <c r="C1763" t="s">
        <v>98</v>
      </c>
      <c r="D1763">
        <v>9</v>
      </c>
      <c r="E1763">
        <v>9</v>
      </c>
      <c r="F1763" t="s">
        <v>10</v>
      </c>
      <c r="G1763" t="s">
        <v>73</v>
      </c>
      <c r="H1763" t="s">
        <v>78</v>
      </c>
      <c r="I1763">
        <v>120000000</v>
      </c>
      <c r="J1763" t="s">
        <v>16</v>
      </c>
      <c r="K1763" t="s">
        <v>7</v>
      </c>
      <c r="L1763" t="s">
        <v>67</v>
      </c>
      <c r="M1763" t="s">
        <v>81</v>
      </c>
      <c r="N1763" t="s">
        <v>12</v>
      </c>
    </row>
    <row r="1764" spans="1:14" x14ac:dyDescent="0.35">
      <c r="A1764" s="75">
        <v>44036</v>
      </c>
      <c r="B1764" t="s">
        <v>163</v>
      </c>
      <c r="C1764" t="s">
        <v>98</v>
      </c>
      <c r="D1764">
        <v>8</v>
      </c>
      <c r="E1764">
        <v>8</v>
      </c>
      <c r="F1764" t="s">
        <v>10</v>
      </c>
      <c r="G1764" t="s">
        <v>72</v>
      </c>
      <c r="H1764" t="s">
        <v>78</v>
      </c>
      <c r="I1764">
        <v>120000000</v>
      </c>
      <c r="J1764" t="s">
        <v>28</v>
      </c>
      <c r="K1764" t="s">
        <v>2</v>
      </c>
      <c r="L1764" t="s">
        <v>67</v>
      </c>
      <c r="M1764" t="s">
        <v>82</v>
      </c>
      <c r="N1764" t="s">
        <v>14</v>
      </c>
    </row>
    <row r="1765" spans="1:14" x14ac:dyDescent="0.35">
      <c r="A1765" s="75">
        <v>44036</v>
      </c>
      <c r="B1765" t="s">
        <v>163</v>
      </c>
      <c r="C1765" t="s">
        <v>98</v>
      </c>
      <c r="D1765">
        <v>7</v>
      </c>
      <c r="E1765">
        <v>7</v>
      </c>
      <c r="F1765" t="s">
        <v>10</v>
      </c>
      <c r="G1765" t="s">
        <v>70</v>
      </c>
      <c r="H1765" t="s">
        <v>1</v>
      </c>
      <c r="I1765">
        <v>140000000</v>
      </c>
      <c r="J1765" t="s">
        <v>60</v>
      </c>
      <c r="K1765" t="s">
        <v>2</v>
      </c>
      <c r="L1765" t="s">
        <v>67</v>
      </c>
      <c r="M1765" t="s">
        <v>81</v>
      </c>
      <c r="N1765" t="s">
        <v>13</v>
      </c>
    </row>
    <row r="1766" spans="1:14" x14ac:dyDescent="0.35">
      <c r="A1766" s="75">
        <v>44036</v>
      </c>
      <c r="B1766" t="s">
        <v>163</v>
      </c>
      <c r="C1766" t="s">
        <v>98</v>
      </c>
      <c r="D1766">
        <v>7</v>
      </c>
      <c r="E1766">
        <v>7</v>
      </c>
      <c r="F1766" t="s">
        <v>10</v>
      </c>
      <c r="G1766" t="s">
        <v>114</v>
      </c>
      <c r="H1766" t="s">
        <v>3</v>
      </c>
      <c r="I1766">
        <v>60000000</v>
      </c>
      <c r="J1766" t="s">
        <v>44</v>
      </c>
      <c r="K1766" t="s">
        <v>5</v>
      </c>
      <c r="L1766" t="s">
        <v>67</v>
      </c>
      <c r="M1766" t="s">
        <v>82</v>
      </c>
      <c r="N1766" t="s">
        <v>11</v>
      </c>
    </row>
    <row r="1767" spans="1:14" x14ac:dyDescent="0.35">
      <c r="A1767" s="75">
        <v>44036</v>
      </c>
      <c r="B1767" t="s">
        <v>163</v>
      </c>
      <c r="C1767" t="s">
        <v>98</v>
      </c>
      <c r="D1767">
        <v>6</v>
      </c>
      <c r="E1767">
        <v>6</v>
      </c>
      <c r="F1767" t="s">
        <v>10</v>
      </c>
      <c r="G1767" t="s">
        <v>113</v>
      </c>
      <c r="H1767" t="s">
        <v>77</v>
      </c>
      <c r="I1767">
        <v>40000000</v>
      </c>
      <c r="J1767" t="s">
        <v>51</v>
      </c>
      <c r="K1767" t="s">
        <v>5</v>
      </c>
      <c r="L1767" t="s">
        <v>67</v>
      </c>
      <c r="M1767" t="s">
        <v>82</v>
      </c>
      <c r="N1767" t="s">
        <v>11</v>
      </c>
    </row>
    <row r="1768" spans="1:14" x14ac:dyDescent="0.35">
      <c r="A1768" s="75">
        <v>44036</v>
      </c>
      <c r="B1768" t="s">
        <v>163</v>
      </c>
      <c r="C1768" t="s">
        <v>98</v>
      </c>
      <c r="D1768">
        <v>6</v>
      </c>
      <c r="E1768">
        <v>6</v>
      </c>
      <c r="F1768" t="s">
        <v>10</v>
      </c>
      <c r="G1768" t="s">
        <v>74</v>
      </c>
      <c r="H1768" t="s">
        <v>77</v>
      </c>
      <c r="I1768">
        <v>40000000</v>
      </c>
      <c r="J1768" t="s">
        <v>21</v>
      </c>
      <c r="K1768" t="s">
        <v>4</v>
      </c>
      <c r="L1768" t="s">
        <v>67</v>
      </c>
      <c r="M1768" t="s">
        <v>80</v>
      </c>
      <c r="N1768" t="s">
        <v>13</v>
      </c>
    </row>
    <row r="1769" spans="1:14" x14ac:dyDescent="0.35">
      <c r="A1769" s="75">
        <v>44036</v>
      </c>
      <c r="B1769" t="s">
        <v>163</v>
      </c>
      <c r="C1769" t="s">
        <v>98</v>
      </c>
      <c r="D1769">
        <v>5</v>
      </c>
      <c r="E1769">
        <v>5</v>
      </c>
      <c r="F1769" t="s">
        <v>10</v>
      </c>
      <c r="G1769" t="s">
        <v>70</v>
      </c>
      <c r="H1769" t="s">
        <v>1</v>
      </c>
      <c r="I1769">
        <v>40000000</v>
      </c>
      <c r="J1769" t="s">
        <v>58</v>
      </c>
      <c r="K1769" t="s">
        <v>5</v>
      </c>
      <c r="L1769" t="s">
        <v>67</v>
      </c>
      <c r="M1769" t="s">
        <v>80</v>
      </c>
      <c r="N1769" t="s">
        <v>13</v>
      </c>
    </row>
    <row r="1770" spans="1:14" x14ac:dyDescent="0.35">
      <c r="A1770" s="75">
        <v>44036</v>
      </c>
      <c r="B1770" t="s">
        <v>163</v>
      </c>
      <c r="C1770" t="s">
        <v>98</v>
      </c>
      <c r="D1770">
        <v>5</v>
      </c>
      <c r="E1770">
        <v>5</v>
      </c>
      <c r="F1770" t="s">
        <v>10</v>
      </c>
      <c r="G1770" t="s">
        <v>70</v>
      </c>
      <c r="H1770" t="s">
        <v>1</v>
      </c>
      <c r="I1770">
        <v>60000000</v>
      </c>
      <c r="J1770" t="s">
        <v>22</v>
      </c>
      <c r="K1770" t="s">
        <v>5</v>
      </c>
      <c r="L1770" t="s">
        <v>67</v>
      </c>
      <c r="M1770" t="s">
        <v>80</v>
      </c>
      <c r="N1770" t="s">
        <v>14</v>
      </c>
    </row>
    <row r="1771" spans="1:14" x14ac:dyDescent="0.35">
      <c r="A1771" s="75">
        <v>44036</v>
      </c>
      <c r="B1771" t="s">
        <v>163</v>
      </c>
      <c r="C1771" t="s">
        <v>98</v>
      </c>
      <c r="D1771">
        <v>5</v>
      </c>
      <c r="E1771">
        <v>5</v>
      </c>
      <c r="F1771" t="s">
        <v>10</v>
      </c>
      <c r="G1771" t="s">
        <v>71</v>
      </c>
      <c r="H1771" t="s">
        <v>6</v>
      </c>
      <c r="I1771">
        <v>140000000</v>
      </c>
      <c r="J1771" t="s">
        <v>43</v>
      </c>
      <c r="K1771" t="s">
        <v>5</v>
      </c>
      <c r="L1771" t="s">
        <v>67</v>
      </c>
      <c r="M1771" t="s">
        <v>82</v>
      </c>
      <c r="N1771" t="s">
        <v>14</v>
      </c>
    </row>
    <row r="1772" spans="1:14" x14ac:dyDescent="0.35">
      <c r="A1772" s="75">
        <v>44036</v>
      </c>
      <c r="B1772" t="s">
        <v>163</v>
      </c>
      <c r="C1772" t="s">
        <v>98</v>
      </c>
      <c r="D1772">
        <v>5</v>
      </c>
      <c r="E1772">
        <v>5</v>
      </c>
      <c r="F1772" t="s">
        <v>10</v>
      </c>
      <c r="G1772" t="s">
        <v>73</v>
      </c>
      <c r="H1772" t="s">
        <v>78</v>
      </c>
      <c r="I1772">
        <v>40000000</v>
      </c>
      <c r="J1772" t="s">
        <v>23</v>
      </c>
      <c r="K1772" t="s">
        <v>2</v>
      </c>
      <c r="L1772" t="s">
        <v>67</v>
      </c>
      <c r="M1772" t="s">
        <v>82</v>
      </c>
      <c r="N1772" t="s">
        <v>11</v>
      </c>
    </row>
    <row r="1773" spans="1:14" x14ac:dyDescent="0.35">
      <c r="A1773" s="75">
        <v>44036</v>
      </c>
      <c r="B1773" t="s">
        <v>163</v>
      </c>
      <c r="C1773" t="s">
        <v>98</v>
      </c>
      <c r="D1773">
        <v>4</v>
      </c>
      <c r="E1773">
        <v>4</v>
      </c>
      <c r="F1773" t="s">
        <v>10</v>
      </c>
      <c r="G1773" t="s">
        <v>114</v>
      </c>
      <c r="H1773" t="s">
        <v>3</v>
      </c>
      <c r="I1773">
        <v>140000000</v>
      </c>
      <c r="J1773" t="s">
        <v>41</v>
      </c>
      <c r="K1773" t="s">
        <v>7</v>
      </c>
      <c r="L1773" t="s">
        <v>67</v>
      </c>
      <c r="M1773" t="s">
        <v>80</v>
      </c>
      <c r="N1773" t="s">
        <v>14</v>
      </c>
    </row>
    <row r="1774" spans="1:14" x14ac:dyDescent="0.35">
      <c r="A1774" s="75">
        <v>44036</v>
      </c>
      <c r="B1774" t="s">
        <v>163</v>
      </c>
      <c r="C1774" t="s">
        <v>98</v>
      </c>
      <c r="D1774">
        <v>4</v>
      </c>
      <c r="E1774">
        <v>4</v>
      </c>
      <c r="F1774" t="s">
        <v>10</v>
      </c>
      <c r="G1774" t="s">
        <v>74</v>
      </c>
      <c r="H1774" t="s">
        <v>77</v>
      </c>
      <c r="I1774">
        <v>100000000</v>
      </c>
      <c r="J1774" t="s">
        <v>42</v>
      </c>
      <c r="K1774" t="s">
        <v>9</v>
      </c>
      <c r="L1774" t="s">
        <v>67</v>
      </c>
      <c r="M1774" t="s">
        <v>82</v>
      </c>
      <c r="N1774" t="s">
        <v>11</v>
      </c>
    </row>
    <row r="1775" spans="1:14" x14ac:dyDescent="0.35">
      <c r="A1775" s="75">
        <v>44036</v>
      </c>
      <c r="B1775" t="s">
        <v>163</v>
      </c>
      <c r="C1775" t="s">
        <v>98</v>
      </c>
      <c r="D1775">
        <v>3</v>
      </c>
      <c r="E1775">
        <v>3</v>
      </c>
      <c r="F1775" t="s">
        <v>10</v>
      </c>
      <c r="G1775" t="s">
        <v>114</v>
      </c>
      <c r="H1775" t="s">
        <v>3</v>
      </c>
      <c r="I1775">
        <v>100000000</v>
      </c>
      <c r="J1775" t="s">
        <v>51</v>
      </c>
      <c r="K1775" t="s">
        <v>2</v>
      </c>
      <c r="L1775" t="s">
        <v>67</v>
      </c>
      <c r="M1775" t="s">
        <v>82</v>
      </c>
      <c r="N1775" t="s">
        <v>12</v>
      </c>
    </row>
    <row r="1776" spans="1:14" x14ac:dyDescent="0.35">
      <c r="A1776" s="75">
        <v>44037</v>
      </c>
      <c r="B1776" t="s">
        <v>164</v>
      </c>
      <c r="C1776" t="s">
        <v>98</v>
      </c>
      <c r="D1776">
        <v>10</v>
      </c>
      <c r="E1776">
        <v>10</v>
      </c>
      <c r="F1776" t="s">
        <v>10</v>
      </c>
      <c r="G1776" t="s">
        <v>74</v>
      </c>
      <c r="H1776" t="s">
        <v>77</v>
      </c>
      <c r="I1776">
        <v>140000000</v>
      </c>
      <c r="J1776" t="s">
        <v>16</v>
      </c>
      <c r="K1776" t="s">
        <v>2</v>
      </c>
      <c r="L1776" t="s">
        <v>67</v>
      </c>
      <c r="M1776" t="s">
        <v>82</v>
      </c>
      <c r="N1776" t="s">
        <v>11</v>
      </c>
    </row>
    <row r="1777" spans="1:14" x14ac:dyDescent="0.35">
      <c r="A1777" s="75">
        <v>44037</v>
      </c>
      <c r="B1777" t="s">
        <v>164</v>
      </c>
      <c r="C1777" t="s">
        <v>98</v>
      </c>
      <c r="D1777">
        <v>10</v>
      </c>
      <c r="E1777">
        <v>10</v>
      </c>
      <c r="F1777" t="s">
        <v>10</v>
      </c>
      <c r="G1777" t="s">
        <v>71</v>
      </c>
      <c r="H1777" t="s">
        <v>6</v>
      </c>
      <c r="I1777">
        <v>140000000</v>
      </c>
      <c r="J1777" t="s">
        <v>32</v>
      </c>
      <c r="K1777" t="s">
        <v>7</v>
      </c>
      <c r="L1777" t="s">
        <v>67</v>
      </c>
      <c r="M1777" t="s">
        <v>81</v>
      </c>
      <c r="N1777" t="s">
        <v>11</v>
      </c>
    </row>
    <row r="1778" spans="1:14" x14ac:dyDescent="0.35">
      <c r="A1778" s="75">
        <v>44037</v>
      </c>
      <c r="B1778" t="s">
        <v>164</v>
      </c>
      <c r="C1778" t="s">
        <v>98</v>
      </c>
      <c r="D1778">
        <v>9</v>
      </c>
      <c r="E1778">
        <v>9</v>
      </c>
      <c r="F1778" t="s">
        <v>10</v>
      </c>
      <c r="G1778" t="s">
        <v>71</v>
      </c>
      <c r="H1778" t="s">
        <v>6</v>
      </c>
      <c r="I1778">
        <v>100000000</v>
      </c>
      <c r="J1778" t="s">
        <v>28</v>
      </c>
      <c r="K1778" t="s">
        <v>2</v>
      </c>
      <c r="L1778" t="s">
        <v>67</v>
      </c>
      <c r="M1778" t="s">
        <v>82</v>
      </c>
      <c r="N1778" t="s">
        <v>11</v>
      </c>
    </row>
    <row r="1779" spans="1:14" x14ac:dyDescent="0.35">
      <c r="A1779" s="75">
        <v>44037</v>
      </c>
      <c r="B1779" t="s">
        <v>164</v>
      </c>
      <c r="C1779" t="s">
        <v>98</v>
      </c>
      <c r="D1779">
        <v>8</v>
      </c>
      <c r="E1779">
        <v>8</v>
      </c>
      <c r="F1779" t="s">
        <v>10</v>
      </c>
      <c r="G1779" t="s">
        <v>75</v>
      </c>
      <c r="H1779" t="s">
        <v>6</v>
      </c>
      <c r="I1779">
        <v>100000000</v>
      </c>
      <c r="J1779" t="s">
        <v>19</v>
      </c>
      <c r="K1779" t="s">
        <v>2</v>
      </c>
      <c r="L1779" t="s">
        <v>67</v>
      </c>
      <c r="M1779" t="s">
        <v>82</v>
      </c>
      <c r="N1779" t="s">
        <v>11</v>
      </c>
    </row>
    <row r="1780" spans="1:14" x14ac:dyDescent="0.35">
      <c r="A1780" s="75">
        <v>44037</v>
      </c>
      <c r="B1780" t="s">
        <v>164</v>
      </c>
      <c r="C1780" t="s">
        <v>98</v>
      </c>
      <c r="D1780">
        <v>7</v>
      </c>
      <c r="E1780">
        <v>7</v>
      </c>
      <c r="F1780" t="s">
        <v>10</v>
      </c>
      <c r="G1780" t="s">
        <v>75</v>
      </c>
      <c r="H1780" t="s">
        <v>6</v>
      </c>
      <c r="I1780">
        <v>80000000</v>
      </c>
      <c r="J1780" t="s">
        <v>48</v>
      </c>
      <c r="K1780" t="s">
        <v>2</v>
      </c>
      <c r="L1780" t="s">
        <v>67</v>
      </c>
      <c r="M1780" t="s">
        <v>82</v>
      </c>
      <c r="N1780" t="s">
        <v>12</v>
      </c>
    </row>
    <row r="1781" spans="1:14" x14ac:dyDescent="0.35">
      <c r="A1781" s="75">
        <v>44037</v>
      </c>
      <c r="B1781" t="s">
        <v>164</v>
      </c>
      <c r="C1781" t="s">
        <v>98</v>
      </c>
      <c r="D1781">
        <v>7</v>
      </c>
      <c r="E1781">
        <v>7</v>
      </c>
      <c r="F1781" t="s">
        <v>10</v>
      </c>
      <c r="G1781" t="s">
        <v>114</v>
      </c>
      <c r="H1781" t="s">
        <v>3</v>
      </c>
      <c r="I1781">
        <v>120000000</v>
      </c>
      <c r="J1781" t="s">
        <v>34</v>
      </c>
      <c r="K1781" t="s">
        <v>5</v>
      </c>
      <c r="L1781" t="s">
        <v>67</v>
      </c>
      <c r="M1781" t="s">
        <v>82</v>
      </c>
      <c r="N1781" t="s">
        <v>13</v>
      </c>
    </row>
    <row r="1782" spans="1:14" x14ac:dyDescent="0.35">
      <c r="A1782" s="75">
        <v>44037</v>
      </c>
      <c r="B1782" t="s">
        <v>164</v>
      </c>
      <c r="C1782" t="s">
        <v>98</v>
      </c>
      <c r="D1782">
        <v>4</v>
      </c>
      <c r="E1782">
        <v>4</v>
      </c>
      <c r="F1782" t="s">
        <v>10</v>
      </c>
      <c r="G1782" t="s">
        <v>114</v>
      </c>
      <c r="H1782" t="s">
        <v>3</v>
      </c>
      <c r="I1782">
        <v>60000000</v>
      </c>
      <c r="J1782" t="s">
        <v>58</v>
      </c>
      <c r="K1782" t="s">
        <v>2</v>
      </c>
      <c r="L1782" t="s">
        <v>67</v>
      </c>
      <c r="M1782" t="s">
        <v>81</v>
      </c>
      <c r="N1782" t="s">
        <v>11</v>
      </c>
    </row>
    <row r="1783" spans="1:14" x14ac:dyDescent="0.35">
      <c r="A1783" s="75">
        <v>44037</v>
      </c>
      <c r="B1783" t="s">
        <v>164</v>
      </c>
      <c r="C1783" t="s">
        <v>98</v>
      </c>
      <c r="D1783">
        <v>4</v>
      </c>
      <c r="E1783">
        <v>4</v>
      </c>
      <c r="F1783" t="s">
        <v>10</v>
      </c>
      <c r="G1783" t="s">
        <v>71</v>
      </c>
      <c r="H1783" t="s">
        <v>6</v>
      </c>
      <c r="I1783">
        <v>120000000</v>
      </c>
      <c r="J1783" t="s">
        <v>61</v>
      </c>
      <c r="K1783" t="s">
        <v>2</v>
      </c>
      <c r="L1783" t="s">
        <v>67</v>
      </c>
      <c r="M1783" t="s">
        <v>81</v>
      </c>
      <c r="N1783" t="s">
        <v>12</v>
      </c>
    </row>
    <row r="1784" spans="1:14" x14ac:dyDescent="0.35">
      <c r="A1784" s="75">
        <v>44037</v>
      </c>
      <c r="B1784" t="s">
        <v>164</v>
      </c>
      <c r="C1784" t="s">
        <v>98</v>
      </c>
      <c r="D1784">
        <v>3</v>
      </c>
      <c r="E1784">
        <v>3</v>
      </c>
      <c r="F1784" t="s">
        <v>10</v>
      </c>
      <c r="G1784" t="s">
        <v>70</v>
      </c>
      <c r="H1784" t="s">
        <v>1</v>
      </c>
      <c r="I1784">
        <v>40000000</v>
      </c>
      <c r="J1784" t="s">
        <v>51</v>
      </c>
      <c r="K1784" t="s">
        <v>2</v>
      </c>
      <c r="L1784" t="s">
        <v>67</v>
      </c>
      <c r="M1784" t="s">
        <v>82</v>
      </c>
      <c r="N1784" t="s">
        <v>11</v>
      </c>
    </row>
    <row r="1785" spans="1:14" x14ac:dyDescent="0.35">
      <c r="A1785" s="75">
        <v>44037</v>
      </c>
      <c r="B1785" t="s">
        <v>164</v>
      </c>
      <c r="C1785" t="s">
        <v>98</v>
      </c>
      <c r="D1785">
        <v>3</v>
      </c>
      <c r="E1785">
        <v>3</v>
      </c>
      <c r="F1785" t="s">
        <v>10</v>
      </c>
      <c r="G1785" t="s">
        <v>70</v>
      </c>
      <c r="H1785" t="s">
        <v>1</v>
      </c>
      <c r="I1785">
        <v>140000000</v>
      </c>
      <c r="J1785" t="s">
        <v>25</v>
      </c>
      <c r="K1785" t="s">
        <v>5</v>
      </c>
      <c r="L1785" t="s">
        <v>67</v>
      </c>
      <c r="M1785" t="s">
        <v>82</v>
      </c>
      <c r="N1785" t="s">
        <v>13</v>
      </c>
    </row>
    <row r="1786" spans="1:14" x14ac:dyDescent="0.35">
      <c r="A1786" s="75">
        <v>44038</v>
      </c>
      <c r="B1786" t="s">
        <v>165</v>
      </c>
      <c r="C1786" t="s">
        <v>98</v>
      </c>
      <c r="D1786">
        <v>10</v>
      </c>
      <c r="E1786">
        <v>6</v>
      </c>
      <c r="F1786">
        <v>4</v>
      </c>
      <c r="G1786" t="s">
        <v>75</v>
      </c>
      <c r="H1786" t="s">
        <v>6</v>
      </c>
      <c r="I1786">
        <v>100000000</v>
      </c>
      <c r="J1786" t="s">
        <v>20</v>
      </c>
      <c r="K1786" t="s">
        <v>4</v>
      </c>
      <c r="L1786" t="s">
        <v>67</v>
      </c>
      <c r="M1786" t="s">
        <v>81</v>
      </c>
      <c r="N1786" t="s">
        <v>12</v>
      </c>
    </row>
    <row r="1787" spans="1:14" x14ac:dyDescent="0.35">
      <c r="A1787" s="75">
        <v>44038</v>
      </c>
      <c r="B1787" t="s">
        <v>165</v>
      </c>
      <c r="C1787" t="s">
        <v>98</v>
      </c>
      <c r="D1787">
        <v>10</v>
      </c>
      <c r="E1787">
        <v>7</v>
      </c>
      <c r="F1787">
        <v>3</v>
      </c>
      <c r="G1787" t="s">
        <v>114</v>
      </c>
      <c r="H1787" t="s">
        <v>3</v>
      </c>
      <c r="I1787">
        <v>140000000</v>
      </c>
      <c r="J1787" t="s">
        <v>18</v>
      </c>
      <c r="K1787" t="s">
        <v>5</v>
      </c>
      <c r="L1787" t="s">
        <v>67</v>
      </c>
      <c r="M1787" t="s">
        <v>82</v>
      </c>
      <c r="N1787" t="s">
        <v>12</v>
      </c>
    </row>
    <row r="1788" spans="1:14" x14ac:dyDescent="0.35">
      <c r="A1788" s="75">
        <v>44038</v>
      </c>
      <c r="B1788" t="s">
        <v>165</v>
      </c>
      <c r="C1788" t="s">
        <v>98</v>
      </c>
      <c r="D1788">
        <v>7</v>
      </c>
      <c r="E1788">
        <v>4</v>
      </c>
      <c r="F1788">
        <v>3</v>
      </c>
      <c r="G1788" t="s">
        <v>113</v>
      </c>
      <c r="H1788" t="s">
        <v>77</v>
      </c>
      <c r="I1788">
        <v>40000000</v>
      </c>
      <c r="J1788" t="s">
        <v>55</v>
      </c>
      <c r="K1788" t="s">
        <v>2</v>
      </c>
      <c r="L1788" t="s">
        <v>67</v>
      </c>
      <c r="M1788" t="s">
        <v>81</v>
      </c>
      <c r="N1788" t="s">
        <v>12</v>
      </c>
    </row>
    <row r="1789" spans="1:14" x14ac:dyDescent="0.35">
      <c r="A1789" s="75">
        <v>44038</v>
      </c>
      <c r="B1789" t="s">
        <v>165</v>
      </c>
      <c r="C1789" t="s">
        <v>98</v>
      </c>
      <c r="D1789">
        <v>5</v>
      </c>
      <c r="E1789">
        <v>3</v>
      </c>
      <c r="F1789">
        <v>2</v>
      </c>
      <c r="G1789" t="s">
        <v>74</v>
      </c>
      <c r="H1789" t="s">
        <v>77</v>
      </c>
      <c r="I1789">
        <v>100000000</v>
      </c>
      <c r="J1789" t="s">
        <v>59</v>
      </c>
      <c r="K1789" t="s">
        <v>5</v>
      </c>
      <c r="L1789" t="s">
        <v>67</v>
      </c>
      <c r="M1789" t="s">
        <v>82</v>
      </c>
      <c r="N1789" t="s">
        <v>13</v>
      </c>
    </row>
    <row r="1790" spans="1:14" x14ac:dyDescent="0.35">
      <c r="A1790" s="75">
        <v>44038</v>
      </c>
      <c r="B1790" t="s">
        <v>165</v>
      </c>
      <c r="C1790" t="s">
        <v>98</v>
      </c>
      <c r="D1790">
        <v>5</v>
      </c>
      <c r="E1790">
        <v>3</v>
      </c>
      <c r="F1790">
        <v>2</v>
      </c>
      <c r="G1790" t="s">
        <v>72</v>
      </c>
      <c r="H1790" t="s">
        <v>78</v>
      </c>
      <c r="I1790">
        <v>40000000</v>
      </c>
      <c r="J1790" t="s">
        <v>39</v>
      </c>
      <c r="K1790" t="s">
        <v>5</v>
      </c>
      <c r="L1790" t="s">
        <v>67</v>
      </c>
      <c r="M1790" t="s">
        <v>80</v>
      </c>
      <c r="N1790" t="s">
        <v>11</v>
      </c>
    </row>
    <row r="1791" spans="1:14" x14ac:dyDescent="0.35">
      <c r="A1791" s="75">
        <v>44038</v>
      </c>
      <c r="B1791" t="s">
        <v>165</v>
      </c>
      <c r="C1791" t="s">
        <v>98</v>
      </c>
      <c r="D1791">
        <v>5</v>
      </c>
      <c r="E1791">
        <v>4</v>
      </c>
      <c r="F1791">
        <v>1</v>
      </c>
      <c r="G1791" t="s">
        <v>72</v>
      </c>
      <c r="H1791" t="s">
        <v>78</v>
      </c>
      <c r="I1791">
        <v>100000000</v>
      </c>
      <c r="J1791" t="s">
        <v>16</v>
      </c>
      <c r="K1791" t="s">
        <v>7</v>
      </c>
      <c r="L1791" t="s">
        <v>67</v>
      </c>
      <c r="M1791" t="s">
        <v>80</v>
      </c>
      <c r="N1791" t="s">
        <v>13</v>
      </c>
    </row>
    <row r="1792" spans="1:14" x14ac:dyDescent="0.35">
      <c r="A1792" s="75">
        <v>44038</v>
      </c>
      <c r="B1792" t="s">
        <v>165</v>
      </c>
      <c r="C1792" t="s">
        <v>98</v>
      </c>
      <c r="D1792">
        <v>4</v>
      </c>
      <c r="E1792">
        <v>2</v>
      </c>
      <c r="F1792">
        <v>2</v>
      </c>
      <c r="G1792" t="s">
        <v>73</v>
      </c>
      <c r="H1792" t="s">
        <v>78</v>
      </c>
      <c r="I1792">
        <v>60000000</v>
      </c>
      <c r="J1792" t="s">
        <v>59</v>
      </c>
      <c r="K1792" t="s">
        <v>8</v>
      </c>
      <c r="L1792" t="s">
        <v>67</v>
      </c>
      <c r="M1792" t="s">
        <v>82</v>
      </c>
      <c r="N1792" t="s">
        <v>13</v>
      </c>
    </row>
    <row r="1793" spans="1:14" x14ac:dyDescent="0.35">
      <c r="A1793" s="75">
        <v>44038</v>
      </c>
      <c r="B1793" t="s">
        <v>165</v>
      </c>
      <c r="C1793" t="s">
        <v>98</v>
      </c>
      <c r="D1793">
        <v>3</v>
      </c>
      <c r="E1793">
        <v>1</v>
      </c>
      <c r="F1793">
        <v>2</v>
      </c>
      <c r="G1793" t="s">
        <v>71</v>
      </c>
      <c r="H1793" t="s">
        <v>6</v>
      </c>
      <c r="I1793">
        <v>40000000</v>
      </c>
      <c r="J1793" t="s">
        <v>58</v>
      </c>
      <c r="K1793" t="s">
        <v>2</v>
      </c>
      <c r="L1793" t="s">
        <v>67</v>
      </c>
      <c r="M1793" t="s">
        <v>81</v>
      </c>
      <c r="N1793" t="s">
        <v>12</v>
      </c>
    </row>
    <row r="1794" spans="1:14" x14ac:dyDescent="0.35">
      <c r="A1794" s="75">
        <v>44038</v>
      </c>
      <c r="B1794" t="s">
        <v>165</v>
      </c>
      <c r="C1794" t="s">
        <v>98</v>
      </c>
      <c r="D1794">
        <v>3</v>
      </c>
      <c r="E1794">
        <v>1</v>
      </c>
      <c r="F1794">
        <v>2</v>
      </c>
      <c r="G1794" t="s">
        <v>114</v>
      </c>
      <c r="H1794" t="s">
        <v>3</v>
      </c>
      <c r="I1794">
        <v>60000000</v>
      </c>
      <c r="J1794" t="s">
        <v>54</v>
      </c>
      <c r="K1794" t="s">
        <v>5</v>
      </c>
      <c r="L1794" t="s">
        <v>67</v>
      </c>
      <c r="M1794" t="s">
        <v>81</v>
      </c>
      <c r="N1794" t="s">
        <v>11</v>
      </c>
    </row>
    <row r="1795" spans="1:14" x14ac:dyDescent="0.35">
      <c r="A1795" s="75">
        <v>44039</v>
      </c>
      <c r="B1795" t="s">
        <v>166</v>
      </c>
      <c r="C1795" t="s">
        <v>98</v>
      </c>
      <c r="D1795">
        <v>10</v>
      </c>
      <c r="E1795">
        <v>6</v>
      </c>
      <c r="F1795">
        <v>4</v>
      </c>
      <c r="G1795" t="s">
        <v>72</v>
      </c>
      <c r="H1795" t="s">
        <v>78</v>
      </c>
      <c r="I1795">
        <v>140000000</v>
      </c>
      <c r="J1795" t="s">
        <v>26</v>
      </c>
      <c r="K1795" t="s">
        <v>5</v>
      </c>
      <c r="L1795" t="s">
        <v>67</v>
      </c>
      <c r="M1795" t="s">
        <v>81</v>
      </c>
      <c r="N1795" t="s">
        <v>12</v>
      </c>
    </row>
    <row r="1796" spans="1:14" x14ac:dyDescent="0.35">
      <c r="A1796" s="75">
        <v>44039</v>
      </c>
      <c r="B1796" t="s">
        <v>166</v>
      </c>
      <c r="C1796" t="s">
        <v>98</v>
      </c>
      <c r="D1796">
        <v>10</v>
      </c>
      <c r="E1796">
        <v>8</v>
      </c>
      <c r="F1796">
        <v>2</v>
      </c>
      <c r="G1796" t="s">
        <v>113</v>
      </c>
      <c r="H1796" t="s">
        <v>77</v>
      </c>
      <c r="I1796">
        <v>100000000</v>
      </c>
      <c r="J1796" t="s">
        <v>24</v>
      </c>
      <c r="K1796" t="s">
        <v>2</v>
      </c>
      <c r="L1796" t="s">
        <v>67</v>
      </c>
      <c r="M1796" t="s">
        <v>82</v>
      </c>
      <c r="N1796" t="s">
        <v>13</v>
      </c>
    </row>
    <row r="1797" spans="1:14" x14ac:dyDescent="0.35">
      <c r="A1797" s="75">
        <v>44039</v>
      </c>
      <c r="B1797" t="s">
        <v>166</v>
      </c>
      <c r="C1797" t="s">
        <v>98</v>
      </c>
      <c r="D1797">
        <v>10</v>
      </c>
      <c r="E1797">
        <v>7</v>
      </c>
      <c r="F1797">
        <v>3</v>
      </c>
      <c r="G1797" t="s">
        <v>70</v>
      </c>
      <c r="H1797" t="s">
        <v>1</v>
      </c>
      <c r="I1797">
        <v>60000000</v>
      </c>
      <c r="J1797" t="s">
        <v>60</v>
      </c>
      <c r="K1797" t="s">
        <v>2</v>
      </c>
      <c r="L1797" t="s">
        <v>67</v>
      </c>
      <c r="M1797" t="s">
        <v>82</v>
      </c>
      <c r="N1797" t="s">
        <v>14</v>
      </c>
    </row>
    <row r="1798" spans="1:14" x14ac:dyDescent="0.35">
      <c r="A1798" s="75">
        <v>44039</v>
      </c>
      <c r="B1798" t="s">
        <v>166</v>
      </c>
      <c r="C1798" t="s">
        <v>98</v>
      </c>
      <c r="D1798">
        <v>9</v>
      </c>
      <c r="E1798">
        <v>6</v>
      </c>
      <c r="F1798">
        <v>3</v>
      </c>
      <c r="G1798" t="s">
        <v>72</v>
      </c>
      <c r="H1798" t="s">
        <v>78</v>
      </c>
      <c r="I1798">
        <v>100000000</v>
      </c>
      <c r="J1798" t="s">
        <v>50</v>
      </c>
      <c r="K1798" t="s">
        <v>8</v>
      </c>
      <c r="L1798" t="s">
        <v>67</v>
      </c>
      <c r="M1798" t="s">
        <v>80</v>
      </c>
      <c r="N1798" t="s">
        <v>11</v>
      </c>
    </row>
    <row r="1799" spans="1:14" x14ac:dyDescent="0.35">
      <c r="A1799" s="75">
        <v>44039</v>
      </c>
      <c r="B1799" t="s">
        <v>166</v>
      </c>
      <c r="C1799" t="s">
        <v>98</v>
      </c>
      <c r="D1799">
        <v>7</v>
      </c>
      <c r="E1799">
        <v>5</v>
      </c>
      <c r="F1799">
        <v>2</v>
      </c>
      <c r="G1799" t="s">
        <v>71</v>
      </c>
      <c r="H1799" t="s">
        <v>6</v>
      </c>
      <c r="I1799">
        <v>140000000</v>
      </c>
      <c r="J1799" t="s">
        <v>16</v>
      </c>
      <c r="K1799" t="s">
        <v>2</v>
      </c>
      <c r="L1799" t="s">
        <v>67</v>
      </c>
      <c r="M1799" t="s">
        <v>80</v>
      </c>
      <c r="N1799" t="s">
        <v>14</v>
      </c>
    </row>
    <row r="1800" spans="1:14" x14ac:dyDescent="0.35">
      <c r="A1800" s="75">
        <v>44039</v>
      </c>
      <c r="B1800" t="s">
        <v>166</v>
      </c>
      <c r="C1800" t="s">
        <v>98</v>
      </c>
      <c r="D1800">
        <v>7</v>
      </c>
      <c r="E1800">
        <v>6</v>
      </c>
      <c r="F1800">
        <v>1</v>
      </c>
      <c r="G1800" t="s">
        <v>72</v>
      </c>
      <c r="H1800" t="s">
        <v>78</v>
      </c>
      <c r="I1800">
        <v>100000000</v>
      </c>
      <c r="J1800" t="s">
        <v>58</v>
      </c>
      <c r="K1800" t="s">
        <v>4</v>
      </c>
      <c r="L1800" t="s">
        <v>67</v>
      </c>
      <c r="M1800" t="s">
        <v>81</v>
      </c>
      <c r="N1800" t="s">
        <v>13</v>
      </c>
    </row>
    <row r="1801" spans="1:14" x14ac:dyDescent="0.35">
      <c r="A1801" s="75">
        <v>44039</v>
      </c>
      <c r="B1801" t="s">
        <v>166</v>
      </c>
      <c r="C1801" t="s">
        <v>98</v>
      </c>
      <c r="D1801">
        <v>7</v>
      </c>
      <c r="E1801">
        <v>4</v>
      </c>
      <c r="F1801">
        <v>3</v>
      </c>
      <c r="G1801" t="s">
        <v>70</v>
      </c>
      <c r="H1801" t="s">
        <v>1</v>
      </c>
      <c r="I1801">
        <v>80000000</v>
      </c>
      <c r="J1801" t="s">
        <v>61</v>
      </c>
      <c r="K1801" t="s">
        <v>8</v>
      </c>
      <c r="L1801" t="s">
        <v>67</v>
      </c>
      <c r="M1801" t="s">
        <v>81</v>
      </c>
      <c r="N1801" t="s">
        <v>13</v>
      </c>
    </row>
    <row r="1802" spans="1:14" x14ac:dyDescent="0.35">
      <c r="A1802" s="75">
        <v>44039</v>
      </c>
      <c r="B1802" t="s">
        <v>166</v>
      </c>
      <c r="C1802" t="s">
        <v>98</v>
      </c>
      <c r="D1802">
        <v>5</v>
      </c>
      <c r="E1802">
        <v>4</v>
      </c>
      <c r="F1802">
        <v>1</v>
      </c>
      <c r="G1802" t="s">
        <v>70</v>
      </c>
      <c r="H1802" t="s">
        <v>1</v>
      </c>
      <c r="I1802">
        <v>40000000</v>
      </c>
      <c r="J1802" t="s">
        <v>53</v>
      </c>
      <c r="K1802" t="s">
        <v>7</v>
      </c>
      <c r="L1802" t="s">
        <v>67</v>
      </c>
      <c r="M1802" t="s">
        <v>80</v>
      </c>
      <c r="N1802" t="s">
        <v>11</v>
      </c>
    </row>
    <row r="1803" spans="1:14" x14ac:dyDescent="0.35">
      <c r="A1803" s="75">
        <v>44039</v>
      </c>
      <c r="B1803" t="s">
        <v>166</v>
      </c>
      <c r="C1803" t="s">
        <v>98</v>
      </c>
      <c r="D1803">
        <v>4</v>
      </c>
      <c r="E1803">
        <v>2</v>
      </c>
      <c r="F1803">
        <v>2</v>
      </c>
      <c r="G1803" t="s">
        <v>113</v>
      </c>
      <c r="H1803" t="s">
        <v>77</v>
      </c>
      <c r="I1803">
        <v>60000000</v>
      </c>
      <c r="J1803" t="s">
        <v>22</v>
      </c>
      <c r="K1803" t="s">
        <v>2</v>
      </c>
      <c r="L1803" t="s">
        <v>67</v>
      </c>
      <c r="M1803" t="s">
        <v>82</v>
      </c>
      <c r="N1803" t="s">
        <v>14</v>
      </c>
    </row>
    <row r="1804" spans="1:14" x14ac:dyDescent="0.35">
      <c r="A1804" s="75">
        <v>44040</v>
      </c>
      <c r="B1804" t="s">
        <v>167</v>
      </c>
      <c r="C1804" t="s">
        <v>98</v>
      </c>
      <c r="D1804">
        <v>9</v>
      </c>
      <c r="E1804">
        <v>7</v>
      </c>
      <c r="F1804">
        <v>2</v>
      </c>
      <c r="G1804" t="s">
        <v>70</v>
      </c>
      <c r="H1804" t="s">
        <v>1</v>
      </c>
      <c r="I1804">
        <v>140000000</v>
      </c>
      <c r="J1804" t="s">
        <v>19</v>
      </c>
      <c r="K1804" t="s">
        <v>7</v>
      </c>
      <c r="L1804" t="s">
        <v>67</v>
      </c>
      <c r="M1804" t="s">
        <v>82</v>
      </c>
      <c r="N1804" t="s">
        <v>13</v>
      </c>
    </row>
    <row r="1805" spans="1:14" x14ac:dyDescent="0.35">
      <c r="A1805" s="75">
        <v>44040</v>
      </c>
      <c r="B1805" t="s">
        <v>167</v>
      </c>
      <c r="C1805" t="s">
        <v>98</v>
      </c>
      <c r="D1805">
        <v>9</v>
      </c>
      <c r="E1805">
        <v>7</v>
      </c>
      <c r="F1805">
        <v>2</v>
      </c>
      <c r="G1805" t="s">
        <v>71</v>
      </c>
      <c r="H1805" t="s">
        <v>6</v>
      </c>
      <c r="I1805">
        <v>60000000</v>
      </c>
      <c r="J1805" t="s">
        <v>41</v>
      </c>
      <c r="K1805" t="s">
        <v>5</v>
      </c>
      <c r="L1805" t="s">
        <v>67</v>
      </c>
      <c r="M1805" t="s">
        <v>81</v>
      </c>
      <c r="N1805" t="s">
        <v>11</v>
      </c>
    </row>
    <row r="1806" spans="1:14" x14ac:dyDescent="0.35">
      <c r="A1806" s="75">
        <v>44040</v>
      </c>
      <c r="B1806" t="s">
        <v>167</v>
      </c>
      <c r="C1806" t="s">
        <v>98</v>
      </c>
      <c r="D1806">
        <v>7</v>
      </c>
      <c r="E1806">
        <v>4</v>
      </c>
      <c r="F1806">
        <v>3</v>
      </c>
      <c r="G1806" t="s">
        <v>114</v>
      </c>
      <c r="H1806" t="s">
        <v>3</v>
      </c>
      <c r="I1806">
        <v>100000000</v>
      </c>
      <c r="J1806" t="s">
        <v>50</v>
      </c>
      <c r="K1806" t="s">
        <v>5</v>
      </c>
      <c r="L1806" t="s">
        <v>67</v>
      </c>
      <c r="M1806" t="s">
        <v>80</v>
      </c>
      <c r="N1806" t="s">
        <v>13</v>
      </c>
    </row>
    <row r="1807" spans="1:14" x14ac:dyDescent="0.35">
      <c r="A1807" s="75">
        <v>44040</v>
      </c>
      <c r="B1807" t="s">
        <v>167</v>
      </c>
      <c r="C1807" t="s">
        <v>98</v>
      </c>
      <c r="D1807">
        <v>6</v>
      </c>
      <c r="E1807">
        <v>3</v>
      </c>
      <c r="F1807">
        <v>3</v>
      </c>
      <c r="G1807" t="s">
        <v>73</v>
      </c>
      <c r="H1807" t="s">
        <v>78</v>
      </c>
      <c r="I1807">
        <v>40000000</v>
      </c>
      <c r="J1807" t="s">
        <v>43</v>
      </c>
      <c r="K1807" t="s">
        <v>5</v>
      </c>
      <c r="L1807" t="s">
        <v>67</v>
      </c>
      <c r="M1807" t="s">
        <v>82</v>
      </c>
      <c r="N1807" t="s">
        <v>14</v>
      </c>
    </row>
    <row r="1808" spans="1:14" x14ac:dyDescent="0.35">
      <c r="A1808" s="75">
        <v>44040</v>
      </c>
      <c r="B1808" t="s">
        <v>167</v>
      </c>
      <c r="C1808" t="s">
        <v>98</v>
      </c>
      <c r="D1808">
        <v>4</v>
      </c>
      <c r="E1808">
        <v>2</v>
      </c>
      <c r="F1808">
        <v>2</v>
      </c>
      <c r="G1808" t="s">
        <v>70</v>
      </c>
      <c r="H1808" t="s">
        <v>1</v>
      </c>
      <c r="I1808">
        <v>120000000</v>
      </c>
      <c r="J1808" t="s">
        <v>36</v>
      </c>
      <c r="K1808" t="s">
        <v>7</v>
      </c>
      <c r="L1808" t="s">
        <v>67</v>
      </c>
      <c r="M1808" t="s">
        <v>80</v>
      </c>
      <c r="N1808" t="s">
        <v>11</v>
      </c>
    </row>
    <row r="1809" spans="1:14" x14ac:dyDescent="0.35">
      <c r="A1809" s="75">
        <v>44041</v>
      </c>
      <c r="B1809" t="s">
        <v>168</v>
      </c>
      <c r="C1809" t="s">
        <v>98</v>
      </c>
      <c r="D1809">
        <v>10</v>
      </c>
      <c r="E1809">
        <v>6</v>
      </c>
      <c r="F1809">
        <v>4</v>
      </c>
      <c r="G1809" t="s">
        <v>76</v>
      </c>
      <c r="H1809" t="s">
        <v>79</v>
      </c>
      <c r="I1809">
        <v>60000000</v>
      </c>
      <c r="J1809" t="s">
        <v>35</v>
      </c>
      <c r="K1809" t="s">
        <v>5</v>
      </c>
      <c r="L1809" t="s">
        <v>67</v>
      </c>
      <c r="M1809" t="s">
        <v>82</v>
      </c>
      <c r="N1809" t="s">
        <v>12</v>
      </c>
    </row>
    <row r="1810" spans="1:14" x14ac:dyDescent="0.35">
      <c r="A1810" s="75">
        <v>44041</v>
      </c>
      <c r="B1810" t="s">
        <v>168</v>
      </c>
      <c r="C1810" t="s">
        <v>98</v>
      </c>
      <c r="D1810">
        <v>10</v>
      </c>
      <c r="E1810">
        <v>6</v>
      </c>
      <c r="F1810">
        <v>4</v>
      </c>
      <c r="G1810" t="s">
        <v>70</v>
      </c>
      <c r="H1810" t="s">
        <v>1</v>
      </c>
      <c r="I1810">
        <v>100000000</v>
      </c>
      <c r="J1810" t="s">
        <v>48</v>
      </c>
      <c r="K1810" t="s">
        <v>5</v>
      </c>
      <c r="L1810" t="s">
        <v>67</v>
      </c>
      <c r="M1810" t="s">
        <v>80</v>
      </c>
      <c r="N1810" t="s">
        <v>13</v>
      </c>
    </row>
    <row r="1811" spans="1:14" x14ac:dyDescent="0.35">
      <c r="A1811" s="75">
        <v>44041</v>
      </c>
      <c r="B1811" t="s">
        <v>168</v>
      </c>
      <c r="C1811" t="s">
        <v>98</v>
      </c>
      <c r="D1811">
        <v>9</v>
      </c>
      <c r="E1811">
        <v>7</v>
      </c>
      <c r="F1811">
        <v>2</v>
      </c>
      <c r="G1811" t="s">
        <v>113</v>
      </c>
      <c r="H1811" t="s">
        <v>77</v>
      </c>
      <c r="I1811">
        <v>120000000</v>
      </c>
      <c r="J1811" t="s">
        <v>48</v>
      </c>
      <c r="K1811" t="s">
        <v>7</v>
      </c>
      <c r="L1811" t="s">
        <v>67</v>
      </c>
      <c r="M1811" t="s">
        <v>81</v>
      </c>
      <c r="N1811" t="s">
        <v>11</v>
      </c>
    </row>
    <row r="1812" spans="1:14" x14ac:dyDescent="0.35">
      <c r="A1812" s="75">
        <v>44041</v>
      </c>
      <c r="B1812" t="s">
        <v>168</v>
      </c>
      <c r="C1812" t="s">
        <v>98</v>
      </c>
      <c r="D1812">
        <v>8</v>
      </c>
      <c r="E1812">
        <v>4</v>
      </c>
      <c r="F1812">
        <v>4</v>
      </c>
      <c r="G1812" t="s">
        <v>113</v>
      </c>
      <c r="H1812" t="s">
        <v>77</v>
      </c>
      <c r="I1812">
        <v>100000000</v>
      </c>
      <c r="J1812" t="s">
        <v>47</v>
      </c>
      <c r="K1812" t="s">
        <v>5</v>
      </c>
      <c r="L1812" t="s">
        <v>67</v>
      </c>
      <c r="M1812" t="s">
        <v>81</v>
      </c>
      <c r="N1812" t="s">
        <v>13</v>
      </c>
    </row>
    <row r="1813" spans="1:14" x14ac:dyDescent="0.35">
      <c r="A1813" s="75">
        <v>44041</v>
      </c>
      <c r="B1813" t="s">
        <v>168</v>
      </c>
      <c r="C1813" t="s">
        <v>98</v>
      </c>
      <c r="D1813">
        <v>8</v>
      </c>
      <c r="E1813">
        <v>7</v>
      </c>
      <c r="F1813">
        <v>1</v>
      </c>
      <c r="G1813" t="s">
        <v>72</v>
      </c>
      <c r="H1813" t="s">
        <v>78</v>
      </c>
      <c r="I1813">
        <v>80000000</v>
      </c>
      <c r="J1813" t="s">
        <v>45</v>
      </c>
      <c r="K1813" t="s">
        <v>2</v>
      </c>
      <c r="L1813" t="s">
        <v>67</v>
      </c>
      <c r="M1813" t="s">
        <v>80</v>
      </c>
      <c r="N1813" t="s">
        <v>14</v>
      </c>
    </row>
    <row r="1814" spans="1:14" x14ac:dyDescent="0.35">
      <c r="A1814" s="75">
        <v>44041</v>
      </c>
      <c r="B1814" t="s">
        <v>168</v>
      </c>
      <c r="C1814" t="s">
        <v>98</v>
      </c>
      <c r="D1814">
        <v>5</v>
      </c>
      <c r="E1814">
        <v>4</v>
      </c>
      <c r="F1814">
        <v>1</v>
      </c>
      <c r="G1814" t="s">
        <v>73</v>
      </c>
      <c r="H1814" t="s">
        <v>78</v>
      </c>
      <c r="I1814">
        <v>100000000</v>
      </c>
      <c r="J1814" t="s">
        <v>20</v>
      </c>
      <c r="K1814" t="s">
        <v>2</v>
      </c>
      <c r="L1814" t="s">
        <v>67</v>
      </c>
      <c r="M1814" t="s">
        <v>81</v>
      </c>
      <c r="N1814" t="s">
        <v>13</v>
      </c>
    </row>
    <row r="1815" spans="1:14" x14ac:dyDescent="0.35">
      <c r="A1815" s="75">
        <v>44041</v>
      </c>
      <c r="B1815" t="s">
        <v>168</v>
      </c>
      <c r="C1815" t="s">
        <v>98</v>
      </c>
      <c r="D1815">
        <v>5</v>
      </c>
      <c r="E1815">
        <v>4</v>
      </c>
      <c r="F1815">
        <v>1</v>
      </c>
      <c r="G1815" t="s">
        <v>75</v>
      </c>
      <c r="H1815" t="s">
        <v>6</v>
      </c>
      <c r="I1815">
        <v>60000000</v>
      </c>
      <c r="J1815" t="s">
        <v>20</v>
      </c>
      <c r="K1815" t="s">
        <v>7</v>
      </c>
      <c r="L1815" t="s">
        <v>67</v>
      </c>
      <c r="M1815" t="s">
        <v>81</v>
      </c>
      <c r="N1815" t="s">
        <v>14</v>
      </c>
    </row>
    <row r="1816" spans="1:14" x14ac:dyDescent="0.35">
      <c r="A1816" s="75">
        <v>44041</v>
      </c>
      <c r="B1816" t="s">
        <v>168</v>
      </c>
      <c r="C1816" t="s">
        <v>98</v>
      </c>
      <c r="D1816">
        <v>3</v>
      </c>
      <c r="E1816">
        <v>1</v>
      </c>
      <c r="F1816">
        <v>2</v>
      </c>
      <c r="G1816" t="s">
        <v>73</v>
      </c>
      <c r="H1816" t="s">
        <v>78</v>
      </c>
      <c r="I1816">
        <v>100000000</v>
      </c>
      <c r="J1816" t="s">
        <v>48</v>
      </c>
      <c r="K1816" t="s">
        <v>7</v>
      </c>
      <c r="L1816" t="s">
        <v>67</v>
      </c>
      <c r="M1816" t="s">
        <v>81</v>
      </c>
      <c r="N1816" t="s">
        <v>14</v>
      </c>
    </row>
    <row r="1817" spans="1:14" x14ac:dyDescent="0.35">
      <c r="A1817" s="75">
        <v>44041</v>
      </c>
      <c r="B1817" t="s">
        <v>168</v>
      </c>
      <c r="C1817" t="s">
        <v>98</v>
      </c>
      <c r="D1817">
        <v>3</v>
      </c>
      <c r="E1817">
        <v>1</v>
      </c>
      <c r="F1817">
        <v>2</v>
      </c>
      <c r="G1817" t="s">
        <v>71</v>
      </c>
      <c r="H1817" t="s">
        <v>6</v>
      </c>
      <c r="I1817">
        <v>60000000</v>
      </c>
      <c r="J1817" t="s">
        <v>61</v>
      </c>
      <c r="K1817" t="s">
        <v>2</v>
      </c>
      <c r="L1817" t="s">
        <v>67</v>
      </c>
      <c r="M1817" t="s">
        <v>82</v>
      </c>
      <c r="N1817" t="s">
        <v>12</v>
      </c>
    </row>
    <row r="1818" spans="1:14" x14ac:dyDescent="0.35">
      <c r="A1818" s="75">
        <v>44042</v>
      </c>
      <c r="B1818" t="s">
        <v>169</v>
      </c>
      <c r="C1818" t="s">
        <v>98</v>
      </c>
      <c r="D1818">
        <v>10</v>
      </c>
      <c r="E1818">
        <v>8</v>
      </c>
      <c r="F1818">
        <v>2</v>
      </c>
      <c r="G1818" t="s">
        <v>72</v>
      </c>
      <c r="H1818" t="s">
        <v>78</v>
      </c>
      <c r="I1818">
        <v>40000000</v>
      </c>
      <c r="J1818" t="s">
        <v>31</v>
      </c>
      <c r="K1818" t="s">
        <v>2</v>
      </c>
      <c r="L1818" t="s">
        <v>67</v>
      </c>
      <c r="M1818" t="s">
        <v>80</v>
      </c>
      <c r="N1818" t="s">
        <v>14</v>
      </c>
    </row>
    <row r="1819" spans="1:14" x14ac:dyDescent="0.35">
      <c r="A1819" s="75">
        <v>44042</v>
      </c>
      <c r="B1819" t="s">
        <v>169</v>
      </c>
      <c r="C1819" t="s">
        <v>98</v>
      </c>
      <c r="D1819">
        <v>10</v>
      </c>
      <c r="E1819">
        <v>6</v>
      </c>
      <c r="F1819">
        <v>4</v>
      </c>
      <c r="G1819" t="s">
        <v>72</v>
      </c>
      <c r="H1819" t="s">
        <v>78</v>
      </c>
      <c r="I1819">
        <v>80000000</v>
      </c>
      <c r="J1819" t="s">
        <v>52</v>
      </c>
      <c r="K1819" t="s">
        <v>2</v>
      </c>
      <c r="L1819" t="s">
        <v>67</v>
      </c>
      <c r="M1819" t="s">
        <v>82</v>
      </c>
      <c r="N1819" t="s">
        <v>13</v>
      </c>
    </row>
    <row r="1820" spans="1:14" x14ac:dyDescent="0.35">
      <c r="A1820" s="75">
        <v>44042</v>
      </c>
      <c r="B1820" t="s">
        <v>169</v>
      </c>
      <c r="C1820" t="s">
        <v>98</v>
      </c>
      <c r="D1820">
        <v>8</v>
      </c>
      <c r="E1820">
        <v>7</v>
      </c>
      <c r="F1820">
        <v>1</v>
      </c>
      <c r="G1820" t="s">
        <v>75</v>
      </c>
      <c r="H1820" t="s">
        <v>6</v>
      </c>
      <c r="I1820">
        <v>140000000</v>
      </c>
      <c r="J1820" t="s">
        <v>19</v>
      </c>
      <c r="K1820" t="s">
        <v>5</v>
      </c>
      <c r="L1820" t="s">
        <v>67</v>
      </c>
      <c r="M1820" t="s">
        <v>80</v>
      </c>
      <c r="N1820" t="s">
        <v>12</v>
      </c>
    </row>
    <row r="1821" spans="1:14" x14ac:dyDescent="0.35">
      <c r="A1821" s="75">
        <v>44042</v>
      </c>
      <c r="B1821" t="s">
        <v>169</v>
      </c>
      <c r="C1821" t="s">
        <v>98</v>
      </c>
      <c r="D1821">
        <v>8</v>
      </c>
      <c r="E1821">
        <v>4</v>
      </c>
      <c r="F1821">
        <v>4</v>
      </c>
      <c r="G1821" t="s">
        <v>114</v>
      </c>
      <c r="H1821" t="s">
        <v>3</v>
      </c>
      <c r="I1821">
        <v>120000000</v>
      </c>
      <c r="J1821" t="s">
        <v>36</v>
      </c>
      <c r="K1821" t="s">
        <v>2</v>
      </c>
      <c r="L1821" t="s">
        <v>67</v>
      </c>
      <c r="M1821" t="s">
        <v>80</v>
      </c>
      <c r="N1821" t="s">
        <v>11</v>
      </c>
    </row>
    <row r="1822" spans="1:14" x14ac:dyDescent="0.35">
      <c r="A1822" s="75">
        <v>44042</v>
      </c>
      <c r="B1822" t="s">
        <v>169</v>
      </c>
      <c r="C1822" t="s">
        <v>98</v>
      </c>
      <c r="D1822">
        <v>8</v>
      </c>
      <c r="E1822">
        <v>6</v>
      </c>
      <c r="F1822">
        <v>2</v>
      </c>
      <c r="G1822" t="s">
        <v>114</v>
      </c>
      <c r="H1822" t="s">
        <v>3</v>
      </c>
      <c r="I1822">
        <v>60000000</v>
      </c>
      <c r="J1822" t="s">
        <v>56</v>
      </c>
      <c r="K1822" t="s">
        <v>5</v>
      </c>
      <c r="L1822" t="s">
        <v>67</v>
      </c>
      <c r="M1822" t="s">
        <v>82</v>
      </c>
      <c r="N1822" t="s">
        <v>14</v>
      </c>
    </row>
    <row r="1823" spans="1:14" x14ac:dyDescent="0.35">
      <c r="A1823" s="75">
        <v>44042</v>
      </c>
      <c r="B1823" t="s">
        <v>169</v>
      </c>
      <c r="C1823" t="s">
        <v>98</v>
      </c>
      <c r="D1823">
        <v>7</v>
      </c>
      <c r="E1823">
        <v>4</v>
      </c>
      <c r="F1823">
        <v>3</v>
      </c>
      <c r="G1823" t="s">
        <v>73</v>
      </c>
      <c r="H1823" t="s">
        <v>78</v>
      </c>
      <c r="I1823">
        <v>120000000</v>
      </c>
      <c r="J1823" t="s">
        <v>47</v>
      </c>
      <c r="K1823" t="s">
        <v>2</v>
      </c>
      <c r="L1823" t="s">
        <v>67</v>
      </c>
      <c r="M1823" t="s">
        <v>80</v>
      </c>
      <c r="N1823" t="s">
        <v>11</v>
      </c>
    </row>
    <row r="1824" spans="1:14" x14ac:dyDescent="0.35">
      <c r="A1824" s="75">
        <v>44042</v>
      </c>
      <c r="B1824" t="s">
        <v>169</v>
      </c>
      <c r="C1824" t="s">
        <v>98</v>
      </c>
      <c r="D1824">
        <v>6</v>
      </c>
      <c r="E1824">
        <v>4</v>
      </c>
      <c r="F1824">
        <v>2</v>
      </c>
      <c r="G1824" t="s">
        <v>113</v>
      </c>
      <c r="H1824" t="s">
        <v>77</v>
      </c>
      <c r="I1824">
        <v>100000000</v>
      </c>
      <c r="J1824" t="s">
        <v>30</v>
      </c>
      <c r="K1824" t="s">
        <v>2</v>
      </c>
      <c r="L1824" t="s">
        <v>67</v>
      </c>
      <c r="M1824" t="s">
        <v>80</v>
      </c>
      <c r="N1824" t="s">
        <v>14</v>
      </c>
    </row>
    <row r="1825" spans="1:14" x14ac:dyDescent="0.35">
      <c r="A1825" s="75">
        <v>44042</v>
      </c>
      <c r="B1825" t="s">
        <v>169</v>
      </c>
      <c r="C1825" t="s">
        <v>98</v>
      </c>
      <c r="D1825">
        <v>5</v>
      </c>
      <c r="E1825">
        <v>4</v>
      </c>
      <c r="F1825">
        <v>1</v>
      </c>
      <c r="G1825" t="s">
        <v>74</v>
      </c>
      <c r="H1825" t="s">
        <v>77</v>
      </c>
      <c r="I1825">
        <v>120000000</v>
      </c>
      <c r="J1825" t="s">
        <v>61</v>
      </c>
      <c r="K1825" t="s">
        <v>2</v>
      </c>
      <c r="L1825" t="s">
        <v>67</v>
      </c>
      <c r="M1825" t="s">
        <v>82</v>
      </c>
      <c r="N1825" t="s">
        <v>14</v>
      </c>
    </row>
    <row r="1826" spans="1:14" x14ac:dyDescent="0.35">
      <c r="A1826" s="75">
        <v>44042</v>
      </c>
      <c r="B1826" t="s">
        <v>169</v>
      </c>
      <c r="C1826" t="s">
        <v>98</v>
      </c>
      <c r="D1826">
        <v>5</v>
      </c>
      <c r="E1826">
        <v>4</v>
      </c>
      <c r="F1826">
        <v>1</v>
      </c>
      <c r="G1826" t="s">
        <v>75</v>
      </c>
      <c r="H1826" t="s">
        <v>6</v>
      </c>
      <c r="I1826">
        <v>80000000</v>
      </c>
      <c r="J1826" t="s">
        <v>30</v>
      </c>
      <c r="K1826" t="s">
        <v>2</v>
      </c>
      <c r="L1826" t="s">
        <v>67</v>
      </c>
      <c r="M1826" t="s">
        <v>80</v>
      </c>
      <c r="N1826" t="s">
        <v>11</v>
      </c>
    </row>
    <row r="1827" spans="1:14" x14ac:dyDescent="0.35">
      <c r="A1827" s="75">
        <v>44042</v>
      </c>
      <c r="B1827" t="s">
        <v>169</v>
      </c>
      <c r="C1827" t="s">
        <v>98</v>
      </c>
      <c r="D1827">
        <v>3</v>
      </c>
      <c r="E1827">
        <v>2</v>
      </c>
      <c r="F1827">
        <v>1</v>
      </c>
      <c r="G1827" t="s">
        <v>73</v>
      </c>
      <c r="H1827" t="s">
        <v>78</v>
      </c>
      <c r="I1827">
        <v>140000000</v>
      </c>
      <c r="J1827" t="s">
        <v>42</v>
      </c>
      <c r="K1827" t="s">
        <v>2</v>
      </c>
      <c r="L1827" t="s">
        <v>67</v>
      </c>
      <c r="M1827" t="s">
        <v>81</v>
      </c>
      <c r="N1827" t="s">
        <v>11</v>
      </c>
    </row>
    <row r="1828" spans="1:14" x14ac:dyDescent="0.35">
      <c r="A1828" s="75">
        <v>44042</v>
      </c>
      <c r="B1828" t="s">
        <v>169</v>
      </c>
      <c r="C1828" t="s">
        <v>98</v>
      </c>
      <c r="D1828">
        <v>3</v>
      </c>
      <c r="E1828">
        <v>2</v>
      </c>
      <c r="F1828">
        <v>1</v>
      </c>
      <c r="G1828" t="s">
        <v>74</v>
      </c>
      <c r="H1828" t="s">
        <v>77</v>
      </c>
      <c r="I1828">
        <v>60000000</v>
      </c>
      <c r="J1828" t="s">
        <v>41</v>
      </c>
      <c r="K1828" t="s">
        <v>9</v>
      </c>
      <c r="L1828" t="s">
        <v>67</v>
      </c>
      <c r="M1828" t="s">
        <v>81</v>
      </c>
      <c r="N1828" t="s">
        <v>14</v>
      </c>
    </row>
    <row r="1829" spans="1:14" x14ac:dyDescent="0.35">
      <c r="A1829" s="75">
        <v>44042</v>
      </c>
      <c r="B1829" t="s">
        <v>169</v>
      </c>
      <c r="C1829" t="s">
        <v>98</v>
      </c>
      <c r="D1829">
        <v>3</v>
      </c>
      <c r="E1829">
        <v>1</v>
      </c>
      <c r="F1829">
        <v>2</v>
      </c>
      <c r="G1829" t="s">
        <v>72</v>
      </c>
      <c r="H1829" t="s">
        <v>78</v>
      </c>
      <c r="I1829">
        <v>140000000</v>
      </c>
      <c r="J1829" t="s">
        <v>49</v>
      </c>
      <c r="K1829" t="s">
        <v>8</v>
      </c>
      <c r="L1829" t="s">
        <v>67</v>
      </c>
      <c r="M1829" t="s">
        <v>81</v>
      </c>
      <c r="N1829" t="s">
        <v>11</v>
      </c>
    </row>
    <row r="1830" spans="1:14" x14ac:dyDescent="0.35">
      <c r="A1830" s="75">
        <v>44043</v>
      </c>
      <c r="B1830" t="s">
        <v>170</v>
      </c>
      <c r="C1830" t="s">
        <v>98</v>
      </c>
      <c r="D1830">
        <v>10</v>
      </c>
      <c r="E1830">
        <v>8</v>
      </c>
      <c r="F1830">
        <v>2</v>
      </c>
      <c r="G1830" t="s">
        <v>74</v>
      </c>
      <c r="H1830" t="s">
        <v>77</v>
      </c>
      <c r="I1830">
        <v>40000000</v>
      </c>
      <c r="J1830" t="s">
        <v>29</v>
      </c>
      <c r="K1830" t="s">
        <v>2</v>
      </c>
      <c r="L1830" t="s">
        <v>67</v>
      </c>
      <c r="M1830" t="s">
        <v>80</v>
      </c>
      <c r="N1830" t="s">
        <v>14</v>
      </c>
    </row>
    <row r="1831" spans="1:14" x14ac:dyDescent="0.35">
      <c r="A1831" s="75">
        <v>44043</v>
      </c>
      <c r="B1831" t="s">
        <v>170</v>
      </c>
      <c r="C1831" t="s">
        <v>98</v>
      </c>
      <c r="D1831">
        <v>8</v>
      </c>
      <c r="E1831">
        <v>4</v>
      </c>
      <c r="F1831">
        <v>4</v>
      </c>
      <c r="G1831" t="s">
        <v>76</v>
      </c>
      <c r="H1831" t="s">
        <v>79</v>
      </c>
      <c r="I1831">
        <v>60000000</v>
      </c>
      <c r="J1831" t="s">
        <v>47</v>
      </c>
      <c r="K1831" t="s">
        <v>2</v>
      </c>
      <c r="L1831" t="s">
        <v>67</v>
      </c>
      <c r="M1831" t="s">
        <v>82</v>
      </c>
      <c r="N1831" t="s">
        <v>12</v>
      </c>
    </row>
    <row r="1832" spans="1:14" x14ac:dyDescent="0.35">
      <c r="A1832" s="75">
        <v>44043</v>
      </c>
      <c r="B1832" t="s">
        <v>170</v>
      </c>
      <c r="C1832" t="s">
        <v>98</v>
      </c>
      <c r="D1832">
        <v>7</v>
      </c>
      <c r="E1832">
        <v>5</v>
      </c>
      <c r="F1832">
        <v>2</v>
      </c>
      <c r="G1832" t="s">
        <v>72</v>
      </c>
      <c r="H1832" t="s">
        <v>78</v>
      </c>
      <c r="I1832">
        <v>100000000</v>
      </c>
      <c r="J1832" t="s">
        <v>23</v>
      </c>
      <c r="K1832" t="s">
        <v>5</v>
      </c>
      <c r="L1832" t="s">
        <v>67</v>
      </c>
      <c r="M1832" t="s">
        <v>81</v>
      </c>
      <c r="N1832" t="s">
        <v>12</v>
      </c>
    </row>
    <row r="1833" spans="1:14" x14ac:dyDescent="0.35">
      <c r="A1833" s="75">
        <v>44043</v>
      </c>
      <c r="B1833" t="s">
        <v>170</v>
      </c>
      <c r="C1833" t="s">
        <v>98</v>
      </c>
      <c r="D1833">
        <v>7</v>
      </c>
      <c r="E1833">
        <v>4</v>
      </c>
      <c r="F1833">
        <v>3</v>
      </c>
      <c r="G1833" t="s">
        <v>72</v>
      </c>
      <c r="H1833" t="s">
        <v>78</v>
      </c>
      <c r="I1833">
        <v>100000000</v>
      </c>
      <c r="J1833" t="s">
        <v>34</v>
      </c>
      <c r="K1833" t="s">
        <v>2</v>
      </c>
      <c r="L1833" t="s">
        <v>67</v>
      </c>
      <c r="M1833" t="s">
        <v>80</v>
      </c>
      <c r="N1833" t="s">
        <v>12</v>
      </c>
    </row>
    <row r="1834" spans="1:14" x14ac:dyDescent="0.35">
      <c r="A1834" s="75">
        <v>44043</v>
      </c>
      <c r="B1834" t="s">
        <v>170</v>
      </c>
      <c r="C1834" t="s">
        <v>98</v>
      </c>
      <c r="D1834">
        <v>3</v>
      </c>
      <c r="E1834">
        <v>1</v>
      </c>
      <c r="F1834">
        <v>2</v>
      </c>
      <c r="G1834" t="s">
        <v>74</v>
      </c>
      <c r="H1834" t="s">
        <v>77</v>
      </c>
      <c r="I1834">
        <v>100000000</v>
      </c>
      <c r="J1834" t="s">
        <v>61</v>
      </c>
      <c r="K1834" t="s">
        <v>2</v>
      </c>
      <c r="L1834" t="s">
        <v>67</v>
      </c>
      <c r="M1834" t="s">
        <v>82</v>
      </c>
      <c r="N1834" t="s">
        <v>11</v>
      </c>
    </row>
    <row r="1835" spans="1:14" x14ac:dyDescent="0.35">
      <c r="A1835" s="75">
        <v>44044</v>
      </c>
      <c r="B1835" t="s">
        <v>140</v>
      </c>
      <c r="C1835" t="s">
        <v>99</v>
      </c>
      <c r="D1835">
        <v>8</v>
      </c>
      <c r="E1835">
        <v>8</v>
      </c>
      <c r="F1835" t="s">
        <v>10</v>
      </c>
      <c r="G1835" t="s">
        <v>75</v>
      </c>
      <c r="H1835" t="s">
        <v>6</v>
      </c>
      <c r="I1835">
        <v>140000000</v>
      </c>
      <c r="J1835" t="s">
        <v>23</v>
      </c>
      <c r="K1835" t="s">
        <v>2</v>
      </c>
      <c r="L1835" t="s">
        <v>67</v>
      </c>
      <c r="M1835" t="s">
        <v>80</v>
      </c>
      <c r="N1835" t="s">
        <v>11</v>
      </c>
    </row>
    <row r="1836" spans="1:14" x14ac:dyDescent="0.35">
      <c r="A1836" s="75">
        <v>44044</v>
      </c>
      <c r="B1836" t="s">
        <v>140</v>
      </c>
      <c r="C1836" t="s">
        <v>99</v>
      </c>
      <c r="D1836">
        <v>6</v>
      </c>
      <c r="E1836">
        <v>6</v>
      </c>
      <c r="F1836" t="s">
        <v>10</v>
      </c>
      <c r="G1836" t="s">
        <v>76</v>
      </c>
      <c r="H1836" t="s">
        <v>79</v>
      </c>
      <c r="I1836">
        <v>40000000</v>
      </c>
      <c r="J1836" t="s">
        <v>61</v>
      </c>
      <c r="K1836" t="s">
        <v>8</v>
      </c>
      <c r="L1836" t="s">
        <v>67</v>
      </c>
      <c r="M1836" t="s">
        <v>80</v>
      </c>
      <c r="N1836" t="s">
        <v>11</v>
      </c>
    </row>
    <row r="1837" spans="1:14" x14ac:dyDescent="0.35">
      <c r="A1837" s="75">
        <v>44044</v>
      </c>
      <c r="B1837" t="s">
        <v>140</v>
      </c>
      <c r="C1837" t="s">
        <v>99</v>
      </c>
      <c r="D1837">
        <v>6</v>
      </c>
      <c r="E1837">
        <v>6</v>
      </c>
      <c r="F1837" t="s">
        <v>10</v>
      </c>
      <c r="G1837" t="s">
        <v>74</v>
      </c>
      <c r="H1837" t="s">
        <v>77</v>
      </c>
      <c r="I1837">
        <v>140000000</v>
      </c>
      <c r="J1837" t="s">
        <v>28</v>
      </c>
      <c r="K1837" t="s">
        <v>9</v>
      </c>
      <c r="L1837" t="s">
        <v>67</v>
      </c>
      <c r="M1837" t="s">
        <v>82</v>
      </c>
      <c r="N1837" t="s">
        <v>13</v>
      </c>
    </row>
    <row r="1838" spans="1:14" x14ac:dyDescent="0.35">
      <c r="A1838" s="75">
        <v>44044</v>
      </c>
      <c r="B1838" t="s">
        <v>140</v>
      </c>
      <c r="C1838" t="s">
        <v>99</v>
      </c>
      <c r="D1838">
        <v>5</v>
      </c>
      <c r="E1838">
        <v>5</v>
      </c>
      <c r="F1838" t="s">
        <v>10</v>
      </c>
      <c r="G1838" t="s">
        <v>70</v>
      </c>
      <c r="H1838" t="s">
        <v>1</v>
      </c>
      <c r="I1838">
        <v>80000000</v>
      </c>
      <c r="J1838" t="s">
        <v>26</v>
      </c>
      <c r="K1838" t="s">
        <v>5</v>
      </c>
      <c r="L1838" t="s">
        <v>67</v>
      </c>
      <c r="M1838" t="s">
        <v>80</v>
      </c>
      <c r="N1838" t="s">
        <v>13</v>
      </c>
    </row>
    <row r="1839" spans="1:14" x14ac:dyDescent="0.35">
      <c r="A1839" s="75">
        <v>44045</v>
      </c>
      <c r="B1839" t="s">
        <v>141</v>
      </c>
      <c r="C1839" t="s">
        <v>99</v>
      </c>
      <c r="D1839">
        <v>10</v>
      </c>
      <c r="E1839">
        <v>10</v>
      </c>
      <c r="F1839" t="s">
        <v>10</v>
      </c>
      <c r="G1839" t="s">
        <v>70</v>
      </c>
      <c r="H1839" t="s">
        <v>1</v>
      </c>
      <c r="I1839">
        <v>40000000</v>
      </c>
      <c r="J1839" t="s">
        <v>33</v>
      </c>
      <c r="K1839" t="s">
        <v>5</v>
      </c>
      <c r="L1839" t="s">
        <v>67</v>
      </c>
      <c r="M1839" t="s">
        <v>82</v>
      </c>
      <c r="N1839" t="s">
        <v>14</v>
      </c>
    </row>
    <row r="1840" spans="1:14" x14ac:dyDescent="0.35">
      <c r="A1840" s="75">
        <v>44045</v>
      </c>
      <c r="B1840" t="s">
        <v>141</v>
      </c>
      <c r="C1840" t="s">
        <v>99</v>
      </c>
      <c r="D1840">
        <v>10</v>
      </c>
      <c r="E1840">
        <v>10</v>
      </c>
      <c r="F1840" t="s">
        <v>10</v>
      </c>
      <c r="G1840" t="s">
        <v>76</v>
      </c>
      <c r="H1840" t="s">
        <v>79</v>
      </c>
      <c r="I1840">
        <v>40000000</v>
      </c>
      <c r="J1840" t="s">
        <v>32</v>
      </c>
      <c r="K1840" t="s">
        <v>2</v>
      </c>
      <c r="L1840" t="s">
        <v>67</v>
      </c>
      <c r="M1840" t="s">
        <v>80</v>
      </c>
      <c r="N1840" t="s">
        <v>11</v>
      </c>
    </row>
    <row r="1841" spans="1:14" x14ac:dyDescent="0.35">
      <c r="A1841" s="75">
        <v>44045</v>
      </c>
      <c r="B1841" t="s">
        <v>141</v>
      </c>
      <c r="C1841" t="s">
        <v>99</v>
      </c>
      <c r="D1841">
        <v>6</v>
      </c>
      <c r="E1841">
        <v>6</v>
      </c>
      <c r="F1841" t="s">
        <v>10</v>
      </c>
      <c r="G1841" t="s">
        <v>71</v>
      </c>
      <c r="H1841" t="s">
        <v>6</v>
      </c>
      <c r="I1841">
        <v>100000000</v>
      </c>
      <c r="J1841" t="s">
        <v>41</v>
      </c>
      <c r="K1841" t="s">
        <v>5</v>
      </c>
      <c r="L1841" t="s">
        <v>67</v>
      </c>
      <c r="M1841" t="s">
        <v>81</v>
      </c>
      <c r="N1841" t="s">
        <v>14</v>
      </c>
    </row>
    <row r="1842" spans="1:14" x14ac:dyDescent="0.35">
      <c r="A1842" s="75">
        <v>44045</v>
      </c>
      <c r="B1842" t="s">
        <v>141</v>
      </c>
      <c r="C1842" t="s">
        <v>99</v>
      </c>
      <c r="D1842">
        <v>5</v>
      </c>
      <c r="E1842">
        <v>5</v>
      </c>
      <c r="F1842" t="s">
        <v>10</v>
      </c>
      <c r="G1842" t="s">
        <v>71</v>
      </c>
      <c r="H1842" t="s">
        <v>6</v>
      </c>
      <c r="I1842">
        <v>120000000</v>
      </c>
      <c r="J1842" t="s">
        <v>37</v>
      </c>
      <c r="K1842" t="s">
        <v>5</v>
      </c>
      <c r="L1842" t="s">
        <v>67</v>
      </c>
      <c r="M1842" t="s">
        <v>80</v>
      </c>
      <c r="N1842" t="s">
        <v>12</v>
      </c>
    </row>
    <row r="1843" spans="1:14" x14ac:dyDescent="0.35">
      <c r="A1843" s="75">
        <v>44045</v>
      </c>
      <c r="B1843" t="s">
        <v>141</v>
      </c>
      <c r="C1843" t="s">
        <v>99</v>
      </c>
      <c r="D1843">
        <v>5</v>
      </c>
      <c r="E1843">
        <v>5</v>
      </c>
      <c r="F1843" t="s">
        <v>10</v>
      </c>
      <c r="G1843" t="s">
        <v>73</v>
      </c>
      <c r="H1843" t="s">
        <v>78</v>
      </c>
      <c r="I1843">
        <v>100000000</v>
      </c>
      <c r="J1843" t="s">
        <v>56</v>
      </c>
      <c r="K1843" t="s">
        <v>5</v>
      </c>
      <c r="L1843" t="s">
        <v>67</v>
      </c>
      <c r="M1843" t="s">
        <v>81</v>
      </c>
      <c r="N1843" t="s">
        <v>14</v>
      </c>
    </row>
    <row r="1844" spans="1:14" x14ac:dyDescent="0.35">
      <c r="A1844" s="75">
        <v>44045</v>
      </c>
      <c r="B1844" t="s">
        <v>141</v>
      </c>
      <c r="C1844" t="s">
        <v>99</v>
      </c>
      <c r="D1844">
        <v>5</v>
      </c>
      <c r="E1844">
        <v>5</v>
      </c>
      <c r="F1844" t="s">
        <v>10</v>
      </c>
      <c r="G1844" t="s">
        <v>71</v>
      </c>
      <c r="H1844" t="s">
        <v>6</v>
      </c>
      <c r="I1844">
        <v>80000000</v>
      </c>
      <c r="J1844" t="s">
        <v>39</v>
      </c>
      <c r="K1844" t="s">
        <v>4</v>
      </c>
      <c r="L1844" t="s">
        <v>67</v>
      </c>
      <c r="M1844" t="s">
        <v>82</v>
      </c>
      <c r="N1844" t="s">
        <v>11</v>
      </c>
    </row>
    <row r="1845" spans="1:14" x14ac:dyDescent="0.35">
      <c r="A1845" s="75">
        <v>44045</v>
      </c>
      <c r="B1845" t="s">
        <v>141</v>
      </c>
      <c r="C1845" t="s">
        <v>99</v>
      </c>
      <c r="D1845">
        <v>3</v>
      </c>
      <c r="E1845">
        <v>3</v>
      </c>
      <c r="F1845" t="s">
        <v>10</v>
      </c>
      <c r="G1845" t="s">
        <v>113</v>
      </c>
      <c r="H1845" t="s">
        <v>77</v>
      </c>
      <c r="I1845">
        <v>140000000</v>
      </c>
      <c r="J1845" t="s">
        <v>48</v>
      </c>
      <c r="K1845" t="s">
        <v>8</v>
      </c>
      <c r="L1845" t="s">
        <v>67</v>
      </c>
      <c r="M1845" t="s">
        <v>82</v>
      </c>
      <c r="N1845" t="s">
        <v>11</v>
      </c>
    </row>
    <row r="1846" spans="1:14" x14ac:dyDescent="0.35">
      <c r="A1846" s="75">
        <v>44046</v>
      </c>
      <c r="B1846" t="s">
        <v>142</v>
      </c>
      <c r="C1846" t="s">
        <v>99</v>
      </c>
      <c r="D1846">
        <v>9</v>
      </c>
      <c r="E1846">
        <v>9</v>
      </c>
      <c r="F1846" t="s">
        <v>10</v>
      </c>
      <c r="G1846" t="s">
        <v>73</v>
      </c>
      <c r="H1846" t="s">
        <v>78</v>
      </c>
      <c r="I1846">
        <v>120000000</v>
      </c>
      <c r="J1846" t="s">
        <v>27</v>
      </c>
      <c r="K1846" t="s">
        <v>2</v>
      </c>
      <c r="L1846" t="s">
        <v>67</v>
      </c>
      <c r="M1846" t="s">
        <v>82</v>
      </c>
      <c r="N1846" t="s">
        <v>12</v>
      </c>
    </row>
    <row r="1847" spans="1:14" x14ac:dyDescent="0.35">
      <c r="A1847" s="75">
        <v>44046</v>
      </c>
      <c r="B1847" t="s">
        <v>142</v>
      </c>
      <c r="C1847" t="s">
        <v>99</v>
      </c>
      <c r="D1847">
        <v>8</v>
      </c>
      <c r="E1847">
        <v>8</v>
      </c>
      <c r="F1847" t="s">
        <v>10</v>
      </c>
      <c r="G1847" t="s">
        <v>113</v>
      </c>
      <c r="H1847" t="s">
        <v>77</v>
      </c>
      <c r="I1847">
        <v>140000000</v>
      </c>
      <c r="J1847" t="s">
        <v>58</v>
      </c>
      <c r="K1847" t="s">
        <v>5</v>
      </c>
      <c r="L1847" t="s">
        <v>67</v>
      </c>
      <c r="M1847" t="s">
        <v>82</v>
      </c>
      <c r="N1847" t="s">
        <v>11</v>
      </c>
    </row>
    <row r="1848" spans="1:14" x14ac:dyDescent="0.35">
      <c r="A1848" s="75">
        <v>44046</v>
      </c>
      <c r="B1848" t="s">
        <v>142</v>
      </c>
      <c r="C1848" t="s">
        <v>99</v>
      </c>
      <c r="D1848">
        <v>8</v>
      </c>
      <c r="E1848">
        <v>8</v>
      </c>
      <c r="F1848" t="s">
        <v>10</v>
      </c>
      <c r="G1848" t="s">
        <v>71</v>
      </c>
      <c r="H1848" t="s">
        <v>6</v>
      </c>
      <c r="I1848">
        <v>60000000</v>
      </c>
      <c r="J1848" t="s">
        <v>16</v>
      </c>
      <c r="K1848" t="s">
        <v>8</v>
      </c>
      <c r="L1848" t="s">
        <v>67</v>
      </c>
      <c r="M1848" t="s">
        <v>82</v>
      </c>
      <c r="N1848" t="s">
        <v>12</v>
      </c>
    </row>
    <row r="1849" spans="1:14" x14ac:dyDescent="0.35">
      <c r="A1849" s="75">
        <v>44046</v>
      </c>
      <c r="B1849" t="s">
        <v>142</v>
      </c>
      <c r="C1849" t="s">
        <v>99</v>
      </c>
      <c r="D1849">
        <v>7</v>
      </c>
      <c r="E1849">
        <v>7</v>
      </c>
      <c r="F1849" t="s">
        <v>10</v>
      </c>
      <c r="G1849" t="s">
        <v>70</v>
      </c>
      <c r="H1849" t="s">
        <v>1</v>
      </c>
      <c r="I1849">
        <v>60000000</v>
      </c>
      <c r="J1849" t="s">
        <v>55</v>
      </c>
      <c r="K1849" t="s">
        <v>5</v>
      </c>
      <c r="L1849" t="s">
        <v>67</v>
      </c>
      <c r="M1849" t="s">
        <v>80</v>
      </c>
      <c r="N1849" t="s">
        <v>13</v>
      </c>
    </row>
    <row r="1850" spans="1:14" x14ac:dyDescent="0.35">
      <c r="A1850" s="75">
        <v>44046</v>
      </c>
      <c r="B1850" t="s">
        <v>142</v>
      </c>
      <c r="C1850" t="s">
        <v>99</v>
      </c>
      <c r="D1850">
        <v>6</v>
      </c>
      <c r="E1850">
        <v>6</v>
      </c>
      <c r="F1850" t="s">
        <v>10</v>
      </c>
      <c r="G1850" t="s">
        <v>74</v>
      </c>
      <c r="H1850" t="s">
        <v>77</v>
      </c>
      <c r="I1850">
        <v>40000000</v>
      </c>
      <c r="J1850" t="s">
        <v>20</v>
      </c>
      <c r="K1850" t="s">
        <v>8</v>
      </c>
      <c r="L1850" t="s">
        <v>67</v>
      </c>
      <c r="M1850" t="s">
        <v>81</v>
      </c>
      <c r="N1850" t="s">
        <v>14</v>
      </c>
    </row>
    <row r="1851" spans="1:14" x14ac:dyDescent="0.35">
      <c r="A1851" s="75">
        <v>44046</v>
      </c>
      <c r="B1851" t="s">
        <v>142</v>
      </c>
      <c r="C1851" t="s">
        <v>99</v>
      </c>
      <c r="D1851">
        <v>6</v>
      </c>
      <c r="E1851">
        <v>6</v>
      </c>
      <c r="F1851" t="s">
        <v>10</v>
      </c>
      <c r="G1851" t="s">
        <v>73</v>
      </c>
      <c r="H1851" t="s">
        <v>78</v>
      </c>
      <c r="I1851">
        <v>140000000</v>
      </c>
      <c r="J1851" t="s">
        <v>34</v>
      </c>
      <c r="K1851" t="s">
        <v>5</v>
      </c>
      <c r="L1851" t="s">
        <v>67</v>
      </c>
      <c r="M1851" t="s">
        <v>81</v>
      </c>
      <c r="N1851" t="s">
        <v>13</v>
      </c>
    </row>
    <row r="1852" spans="1:14" x14ac:dyDescent="0.35">
      <c r="A1852" s="75">
        <v>44046</v>
      </c>
      <c r="B1852" t="s">
        <v>142</v>
      </c>
      <c r="C1852" t="s">
        <v>99</v>
      </c>
      <c r="D1852">
        <v>5</v>
      </c>
      <c r="E1852">
        <v>5</v>
      </c>
      <c r="F1852" t="s">
        <v>10</v>
      </c>
      <c r="G1852" t="s">
        <v>74</v>
      </c>
      <c r="H1852" t="s">
        <v>77</v>
      </c>
      <c r="I1852">
        <v>140000000</v>
      </c>
      <c r="J1852" t="s">
        <v>61</v>
      </c>
      <c r="K1852" t="s">
        <v>5</v>
      </c>
      <c r="L1852" t="s">
        <v>67</v>
      </c>
      <c r="M1852" t="s">
        <v>80</v>
      </c>
      <c r="N1852" t="s">
        <v>13</v>
      </c>
    </row>
    <row r="1853" spans="1:14" x14ac:dyDescent="0.35">
      <c r="A1853" s="75">
        <v>44046</v>
      </c>
      <c r="B1853" t="s">
        <v>142</v>
      </c>
      <c r="C1853" t="s">
        <v>99</v>
      </c>
      <c r="D1853">
        <v>5</v>
      </c>
      <c r="E1853">
        <v>5</v>
      </c>
      <c r="F1853" t="s">
        <v>10</v>
      </c>
      <c r="G1853" t="s">
        <v>76</v>
      </c>
      <c r="H1853" t="s">
        <v>79</v>
      </c>
      <c r="I1853">
        <v>120000000</v>
      </c>
      <c r="J1853" t="s">
        <v>42</v>
      </c>
      <c r="K1853" t="s">
        <v>8</v>
      </c>
      <c r="L1853" t="s">
        <v>67</v>
      </c>
      <c r="M1853" t="s">
        <v>81</v>
      </c>
      <c r="N1853" t="s">
        <v>12</v>
      </c>
    </row>
    <row r="1854" spans="1:14" x14ac:dyDescent="0.35">
      <c r="A1854" s="75">
        <v>44046</v>
      </c>
      <c r="B1854" t="s">
        <v>142</v>
      </c>
      <c r="C1854" t="s">
        <v>99</v>
      </c>
      <c r="D1854">
        <v>4</v>
      </c>
      <c r="E1854">
        <v>4</v>
      </c>
      <c r="F1854" t="s">
        <v>10</v>
      </c>
      <c r="G1854" t="s">
        <v>72</v>
      </c>
      <c r="H1854" t="s">
        <v>78</v>
      </c>
      <c r="I1854">
        <v>120000000</v>
      </c>
      <c r="J1854" t="s">
        <v>30</v>
      </c>
      <c r="K1854" t="s">
        <v>5</v>
      </c>
      <c r="L1854" t="s">
        <v>67</v>
      </c>
      <c r="M1854" t="s">
        <v>82</v>
      </c>
      <c r="N1854" t="s">
        <v>13</v>
      </c>
    </row>
    <row r="1855" spans="1:14" x14ac:dyDescent="0.35">
      <c r="A1855" s="75">
        <v>44047</v>
      </c>
      <c r="B1855" t="s">
        <v>143</v>
      </c>
      <c r="C1855" t="s">
        <v>99</v>
      </c>
      <c r="D1855">
        <v>9</v>
      </c>
      <c r="E1855">
        <v>9</v>
      </c>
      <c r="F1855" t="s">
        <v>10</v>
      </c>
      <c r="G1855" t="s">
        <v>76</v>
      </c>
      <c r="H1855" t="s">
        <v>79</v>
      </c>
      <c r="I1855">
        <v>100000000</v>
      </c>
      <c r="J1855" t="s">
        <v>20</v>
      </c>
      <c r="K1855" t="s">
        <v>8</v>
      </c>
      <c r="L1855" t="s">
        <v>67</v>
      </c>
      <c r="M1855" t="s">
        <v>81</v>
      </c>
      <c r="N1855" t="s">
        <v>14</v>
      </c>
    </row>
    <row r="1856" spans="1:14" x14ac:dyDescent="0.35">
      <c r="A1856" s="75">
        <v>44047</v>
      </c>
      <c r="B1856" t="s">
        <v>143</v>
      </c>
      <c r="C1856" t="s">
        <v>99</v>
      </c>
      <c r="D1856">
        <v>9</v>
      </c>
      <c r="E1856">
        <v>9</v>
      </c>
      <c r="F1856" t="s">
        <v>10</v>
      </c>
      <c r="G1856" t="s">
        <v>71</v>
      </c>
      <c r="H1856" t="s">
        <v>6</v>
      </c>
      <c r="I1856">
        <v>40000000</v>
      </c>
      <c r="J1856" t="s">
        <v>16</v>
      </c>
      <c r="K1856" t="s">
        <v>2</v>
      </c>
      <c r="L1856" t="s">
        <v>67</v>
      </c>
      <c r="M1856" t="s">
        <v>82</v>
      </c>
      <c r="N1856" t="s">
        <v>12</v>
      </c>
    </row>
    <row r="1857" spans="1:14" x14ac:dyDescent="0.35">
      <c r="A1857" s="75">
        <v>44047</v>
      </c>
      <c r="B1857" t="s">
        <v>143</v>
      </c>
      <c r="C1857" t="s">
        <v>99</v>
      </c>
      <c r="D1857">
        <v>6</v>
      </c>
      <c r="E1857">
        <v>6</v>
      </c>
      <c r="F1857" t="s">
        <v>10</v>
      </c>
      <c r="G1857" t="s">
        <v>75</v>
      </c>
      <c r="H1857" t="s">
        <v>6</v>
      </c>
      <c r="I1857">
        <v>140000000</v>
      </c>
      <c r="J1857" t="s">
        <v>29</v>
      </c>
      <c r="K1857" t="s">
        <v>2</v>
      </c>
      <c r="L1857" t="s">
        <v>67</v>
      </c>
      <c r="M1857" t="s">
        <v>81</v>
      </c>
      <c r="N1857" t="s">
        <v>13</v>
      </c>
    </row>
    <row r="1858" spans="1:14" x14ac:dyDescent="0.35">
      <c r="A1858" s="75">
        <v>44047</v>
      </c>
      <c r="B1858" t="s">
        <v>143</v>
      </c>
      <c r="C1858" t="s">
        <v>99</v>
      </c>
      <c r="D1858">
        <v>6</v>
      </c>
      <c r="E1858">
        <v>6</v>
      </c>
      <c r="F1858" t="s">
        <v>10</v>
      </c>
      <c r="G1858" t="s">
        <v>72</v>
      </c>
      <c r="H1858" t="s">
        <v>78</v>
      </c>
      <c r="I1858">
        <v>140000000</v>
      </c>
      <c r="J1858" t="s">
        <v>17</v>
      </c>
      <c r="K1858" t="s">
        <v>2</v>
      </c>
      <c r="L1858" t="s">
        <v>67</v>
      </c>
      <c r="M1858" t="s">
        <v>81</v>
      </c>
      <c r="N1858" t="s">
        <v>14</v>
      </c>
    </row>
    <row r="1859" spans="1:14" x14ac:dyDescent="0.35">
      <c r="A1859" s="75">
        <v>44047</v>
      </c>
      <c r="B1859" t="s">
        <v>143</v>
      </c>
      <c r="C1859" t="s">
        <v>99</v>
      </c>
      <c r="D1859">
        <v>6</v>
      </c>
      <c r="E1859">
        <v>6</v>
      </c>
      <c r="F1859" t="s">
        <v>10</v>
      </c>
      <c r="G1859" t="s">
        <v>71</v>
      </c>
      <c r="H1859" t="s">
        <v>6</v>
      </c>
      <c r="I1859">
        <v>80000000</v>
      </c>
      <c r="J1859" t="s">
        <v>60</v>
      </c>
      <c r="K1859" t="s">
        <v>5</v>
      </c>
      <c r="L1859" t="s">
        <v>67</v>
      </c>
      <c r="M1859" t="s">
        <v>82</v>
      </c>
      <c r="N1859" t="s">
        <v>11</v>
      </c>
    </row>
    <row r="1860" spans="1:14" x14ac:dyDescent="0.35">
      <c r="A1860" s="75">
        <v>44047</v>
      </c>
      <c r="B1860" t="s">
        <v>143</v>
      </c>
      <c r="C1860" t="s">
        <v>99</v>
      </c>
      <c r="D1860">
        <v>5</v>
      </c>
      <c r="E1860">
        <v>5</v>
      </c>
      <c r="F1860" t="s">
        <v>10</v>
      </c>
      <c r="G1860" t="s">
        <v>74</v>
      </c>
      <c r="H1860" t="s">
        <v>77</v>
      </c>
      <c r="I1860">
        <v>40000000</v>
      </c>
      <c r="J1860" t="s">
        <v>42</v>
      </c>
      <c r="K1860" t="s">
        <v>2</v>
      </c>
      <c r="L1860" t="s">
        <v>67</v>
      </c>
      <c r="M1860" t="s">
        <v>81</v>
      </c>
      <c r="N1860" t="s">
        <v>14</v>
      </c>
    </row>
    <row r="1861" spans="1:14" x14ac:dyDescent="0.35">
      <c r="A1861" s="75">
        <v>44047</v>
      </c>
      <c r="B1861" t="s">
        <v>143</v>
      </c>
      <c r="C1861" t="s">
        <v>99</v>
      </c>
      <c r="D1861">
        <v>5</v>
      </c>
      <c r="E1861">
        <v>5</v>
      </c>
      <c r="F1861" t="s">
        <v>10</v>
      </c>
      <c r="G1861" t="s">
        <v>76</v>
      </c>
      <c r="H1861" t="s">
        <v>79</v>
      </c>
      <c r="I1861">
        <v>100000000</v>
      </c>
      <c r="J1861" t="s">
        <v>41</v>
      </c>
      <c r="K1861" t="s">
        <v>7</v>
      </c>
      <c r="L1861" t="s">
        <v>67</v>
      </c>
      <c r="M1861" t="s">
        <v>80</v>
      </c>
      <c r="N1861" t="s">
        <v>12</v>
      </c>
    </row>
    <row r="1862" spans="1:14" x14ac:dyDescent="0.35">
      <c r="A1862" s="75">
        <v>44047</v>
      </c>
      <c r="B1862" t="s">
        <v>143</v>
      </c>
      <c r="C1862" t="s">
        <v>99</v>
      </c>
      <c r="D1862">
        <v>4</v>
      </c>
      <c r="E1862">
        <v>4</v>
      </c>
      <c r="F1862" t="s">
        <v>10</v>
      </c>
      <c r="G1862" t="s">
        <v>74</v>
      </c>
      <c r="H1862" t="s">
        <v>77</v>
      </c>
      <c r="I1862">
        <v>40000000</v>
      </c>
      <c r="J1862" t="s">
        <v>19</v>
      </c>
      <c r="K1862" t="s">
        <v>2</v>
      </c>
      <c r="L1862" t="s">
        <v>67</v>
      </c>
      <c r="M1862" t="s">
        <v>81</v>
      </c>
      <c r="N1862" t="s">
        <v>12</v>
      </c>
    </row>
    <row r="1863" spans="1:14" x14ac:dyDescent="0.35">
      <c r="A1863" s="75">
        <v>44047</v>
      </c>
      <c r="B1863" t="s">
        <v>143</v>
      </c>
      <c r="C1863" t="s">
        <v>99</v>
      </c>
      <c r="D1863">
        <v>4</v>
      </c>
      <c r="E1863">
        <v>4</v>
      </c>
      <c r="F1863" t="s">
        <v>10</v>
      </c>
      <c r="G1863" t="s">
        <v>71</v>
      </c>
      <c r="H1863" t="s">
        <v>6</v>
      </c>
      <c r="I1863">
        <v>100000000</v>
      </c>
      <c r="J1863" t="s">
        <v>36</v>
      </c>
      <c r="K1863" t="s">
        <v>8</v>
      </c>
      <c r="L1863" t="s">
        <v>67</v>
      </c>
      <c r="M1863" t="s">
        <v>80</v>
      </c>
      <c r="N1863" t="s">
        <v>14</v>
      </c>
    </row>
    <row r="1864" spans="1:14" x14ac:dyDescent="0.35">
      <c r="A1864" s="75">
        <v>44047</v>
      </c>
      <c r="B1864" t="s">
        <v>143</v>
      </c>
      <c r="C1864" t="s">
        <v>99</v>
      </c>
      <c r="D1864">
        <v>3</v>
      </c>
      <c r="E1864">
        <v>3</v>
      </c>
      <c r="F1864" t="s">
        <v>10</v>
      </c>
      <c r="G1864" t="s">
        <v>75</v>
      </c>
      <c r="H1864" t="s">
        <v>6</v>
      </c>
      <c r="I1864">
        <v>140000000</v>
      </c>
      <c r="J1864" t="s">
        <v>27</v>
      </c>
      <c r="K1864" t="s">
        <v>2</v>
      </c>
      <c r="L1864" t="s">
        <v>67</v>
      </c>
      <c r="M1864" t="s">
        <v>81</v>
      </c>
      <c r="N1864" t="s">
        <v>14</v>
      </c>
    </row>
    <row r="1865" spans="1:14" x14ac:dyDescent="0.35">
      <c r="A1865" s="75">
        <v>44047</v>
      </c>
      <c r="B1865" t="s">
        <v>143</v>
      </c>
      <c r="C1865" t="s">
        <v>99</v>
      </c>
      <c r="D1865">
        <v>3</v>
      </c>
      <c r="E1865">
        <v>3</v>
      </c>
      <c r="F1865" t="s">
        <v>10</v>
      </c>
      <c r="G1865" t="s">
        <v>73</v>
      </c>
      <c r="H1865" t="s">
        <v>78</v>
      </c>
      <c r="I1865">
        <v>100000000</v>
      </c>
      <c r="J1865" t="s">
        <v>47</v>
      </c>
      <c r="K1865" t="s">
        <v>7</v>
      </c>
      <c r="L1865" t="s">
        <v>67</v>
      </c>
      <c r="M1865" t="s">
        <v>82</v>
      </c>
      <c r="N1865" t="s">
        <v>14</v>
      </c>
    </row>
    <row r="1866" spans="1:14" x14ac:dyDescent="0.35">
      <c r="A1866" s="75">
        <v>44048</v>
      </c>
      <c r="B1866" t="s">
        <v>144</v>
      </c>
      <c r="C1866" t="s">
        <v>99</v>
      </c>
      <c r="D1866">
        <v>9</v>
      </c>
      <c r="E1866">
        <v>9</v>
      </c>
      <c r="F1866" t="s">
        <v>10</v>
      </c>
      <c r="G1866" t="s">
        <v>73</v>
      </c>
      <c r="H1866" t="s">
        <v>78</v>
      </c>
      <c r="I1866">
        <v>120000000</v>
      </c>
      <c r="J1866" t="s">
        <v>18</v>
      </c>
      <c r="K1866" t="s">
        <v>5</v>
      </c>
      <c r="L1866" t="s">
        <v>67</v>
      </c>
      <c r="M1866" t="s">
        <v>80</v>
      </c>
      <c r="N1866" t="s">
        <v>12</v>
      </c>
    </row>
    <row r="1867" spans="1:14" x14ac:dyDescent="0.35">
      <c r="A1867" s="75">
        <v>44048</v>
      </c>
      <c r="B1867" t="s">
        <v>144</v>
      </c>
      <c r="C1867" t="s">
        <v>99</v>
      </c>
      <c r="D1867">
        <v>8</v>
      </c>
      <c r="E1867">
        <v>8</v>
      </c>
      <c r="F1867" t="s">
        <v>10</v>
      </c>
      <c r="G1867" t="s">
        <v>70</v>
      </c>
      <c r="H1867" t="s">
        <v>1</v>
      </c>
      <c r="I1867">
        <v>60000000</v>
      </c>
      <c r="J1867" t="s">
        <v>46</v>
      </c>
      <c r="K1867" t="s">
        <v>2</v>
      </c>
      <c r="L1867" t="s">
        <v>67</v>
      </c>
      <c r="M1867" t="s">
        <v>82</v>
      </c>
      <c r="N1867" t="s">
        <v>12</v>
      </c>
    </row>
    <row r="1868" spans="1:14" x14ac:dyDescent="0.35">
      <c r="A1868" s="75">
        <v>44048</v>
      </c>
      <c r="B1868" t="s">
        <v>144</v>
      </c>
      <c r="C1868" t="s">
        <v>99</v>
      </c>
      <c r="D1868">
        <v>8</v>
      </c>
      <c r="E1868">
        <v>8</v>
      </c>
      <c r="F1868" t="s">
        <v>10</v>
      </c>
      <c r="G1868" t="s">
        <v>70</v>
      </c>
      <c r="H1868" t="s">
        <v>1</v>
      </c>
      <c r="I1868">
        <v>80000000</v>
      </c>
      <c r="J1868" t="s">
        <v>34</v>
      </c>
      <c r="K1868" t="s">
        <v>2</v>
      </c>
      <c r="L1868" t="s">
        <v>67</v>
      </c>
      <c r="M1868" t="s">
        <v>81</v>
      </c>
      <c r="N1868" t="s">
        <v>12</v>
      </c>
    </row>
    <row r="1869" spans="1:14" x14ac:dyDescent="0.35">
      <c r="A1869" s="75">
        <v>44048</v>
      </c>
      <c r="B1869" t="s">
        <v>144</v>
      </c>
      <c r="C1869" t="s">
        <v>99</v>
      </c>
      <c r="D1869">
        <v>6</v>
      </c>
      <c r="E1869">
        <v>6</v>
      </c>
      <c r="F1869" t="s">
        <v>10</v>
      </c>
      <c r="G1869" t="s">
        <v>70</v>
      </c>
      <c r="H1869" t="s">
        <v>1</v>
      </c>
      <c r="I1869">
        <v>60000000</v>
      </c>
      <c r="J1869" t="s">
        <v>60</v>
      </c>
      <c r="K1869" t="s">
        <v>5</v>
      </c>
      <c r="L1869" t="s">
        <v>67</v>
      </c>
      <c r="M1869" t="s">
        <v>81</v>
      </c>
      <c r="N1869" t="s">
        <v>14</v>
      </c>
    </row>
    <row r="1870" spans="1:14" x14ac:dyDescent="0.35">
      <c r="A1870" s="75">
        <v>44048</v>
      </c>
      <c r="B1870" t="s">
        <v>144</v>
      </c>
      <c r="C1870" t="s">
        <v>99</v>
      </c>
      <c r="D1870">
        <v>6</v>
      </c>
      <c r="E1870">
        <v>6</v>
      </c>
      <c r="F1870" t="s">
        <v>10</v>
      </c>
      <c r="G1870" t="s">
        <v>114</v>
      </c>
      <c r="H1870" t="s">
        <v>3</v>
      </c>
      <c r="I1870">
        <v>80000000</v>
      </c>
      <c r="J1870" t="s">
        <v>40</v>
      </c>
      <c r="K1870" t="s">
        <v>2</v>
      </c>
      <c r="L1870" t="s">
        <v>67</v>
      </c>
      <c r="M1870" t="s">
        <v>80</v>
      </c>
      <c r="N1870" t="s">
        <v>12</v>
      </c>
    </row>
    <row r="1871" spans="1:14" x14ac:dyDescent="0.35">
      <c r="A1871" s="75">
        <v>44049</v>
      </c>
      <c r="B1871" t="s">
        <v>145</v>
      </c>
      <c r="C1871" t="s">
        <v>99</v>
      </c>
      <c r="D1871">
        <v>10</v>
      </c>
      <c r="E1871">
        <v>10</v>
      </c>
      <c r="F1871" t="s">
        <v>10</v>
      </c>
      <c r="G1871" t="s">
        <v>72</v>
      </c>
      <c r="H1871" t="s">
        <v>78</v>
      </c>
      <c r="I1871">
        <v>120000000</v>
      </c>
      <c r="J1871" t="s">
        <v>50</v>
      </c>
      <c r="K1871" t="s">
        <v>5</v>
      </c>
      <c r="L1871" t="s">
        <v>67</v>
      </c>
      <c r="M1871" t="s">
        <v>81</v>
      </c>
      <c r="N1871" t="s">
        <v>12</v>
      </c>
    </row>
    <row r="1872" spans="1:14" x14ac:dyDescent="0.35">
      <c r="A1872" s="75">
        <v>44049</v>
      </c>
      <c r="B1872" t="s">
        <v>145</v>
      </c>
      <c r="C1872" t="s">
        <v>99</v>
      </c>
      <c r="D1872">
        <v>8</v>
      </c>
      <c r="E1872">
        <v>8</v>
      </c>
      <c r="F1872" t="s">
        <v>10</v>
      </c>
      <c r="G1872" t="s">
        <v>113</v>
      </c>
      <c r="H1872" t="s">
        <v>77</v>
      </c>
      <c r="I1872">
        <v>60000000</v>
      </c>
      <c r="J1872" t="s">
        <v>30</v>
      </c>
      <c r="K1872" t="s">
        <v>9</v>
      </c>
      <c r="L1872" t="s">
        <v>67</v>
      </c>
      <c r="M1872" t="s">
        <v>80</v>
      </c>
      <c r="N1872" t="s">
        <v>12</v>
      </c>
    </row>
    <row r="1873" spans="1:14" x14ac:dyDescent="0.35">
      <c r="A1873" s="75">
        <v>44049</v>
      </c>
      <c r="B1873" t="s">
        <v>145</v>
      </c>
      <c r="C1873" t="s">
        <v>99</v>
      </c>
      <c r="D1873">
        <v>8</v>
      </c>
      <c r="E1873">
        <v>8</v>
      </c>
      <c r="F1873" t="s">
        <v>10</v>
      </c>
      <c r="G1873" t="s">
        <v>70</v>
      </c>
      <c r="H1873" t="s">
        <v>1</v>
      </c>
      <c r="I1873">
        <v>120000000</v>
      </c>
      <c r="J1873" t="s">
        <v>60</v>
      </c>
      <c r="K1873" t="s">
        <v>5</v>
      </c>
      <c r="L1873" t="s">
        <v>67</v>
      </c>
      <c r="M1873" t="s">
        <v>82</v>
      </c>
      <c r="N1873" t="s">
        <v>11</v>
      </c>
    </row>
    <row r="1874" spans="1:14" x14ac:dyDescent="0.35">
      <c r="A1874" s="75">
        <v>44049</v>
      </c>
      <c r="B1874" t="s">
        <v>145</v>
      </c>
      <c r="C1874" t="s">
        <v>99</v>
      </c>
      <c r="D1874">
        <v>8</v>
      </c>
      <c r="E1874">
        <v>8</v>
      </c>
      <c r="F1874" t="s">
        <v>10</v>
      </c>
      <c r="G1874" t="s">
        <v>73</v>
      </c>
      <c r="H1874" t="s">
        <v>78</v>
      </c>
      <c r="I1874">
        <v>120000000</v>
      </c>
      <c r="J1874" t="s">
        <v>32</v>
      </c>
      <c r="K1874" t="s">
        <v>2</v>
      </c>
      <c r="L1874" t="s">
        <v>67</v>
      </c>
      <c r="M1874" t="s">
        <v>82</v>
      </c>
      <c r="N1874" t="s">
        <v>13</v>
      </c>
    </row>
    <row r="1875" spans="1:14" x14ac:dyDescent="0.35">
      <c r="A1875" s="75">
        <v>44049</v>
      </c>
      <c r="B1875" t="s">
        <v>145</v>
      </c>
      <c r="C1875" t="s">
        <v>99</v>
      </c>
      <c r="D1875">
        <v>6</v>
      </c>
      <c r="E1875">
        <v>6</v>
      </c>
      <c r="F1875" t="s">
        <v>10</v>
      </c>
      <c r="G1875" t="s">
        <v>70</v>
      </c>
      <c r="H1875" t="s">
        <v>1</v>
      </c>
      <c r="I1875">
        <v>60000000</v>
      </c>
      <c r="J1875" t="s">
        <v>21</v>
      </c>
      <c r="K1875" t="s">
        <v>2</v>
      </c>
      <c r="L1875" t="s">
        <v>67</v>
      </c>
      <c r="M1875" t="s">
        <v>81</v>
      </c>
      <c r="N1875" t="s">
        <v>11</v>
      </c>
    </row>
    <row r="1876" spans="1:14" x14ac:dyDescent="0.35">
      <c r="A1876" s="75">
        <v>44049</v>
      </c>
      <c r="B1876" t="s">
        <v>145</v>
      </c>
      <c r="C1876" t="s">
        <v>99</v>
      </c>
      <c r="D1876">
        <v>5</v>
      </c>
      <c r="E1876">
        <v>5</v>
      </c>
      <c r="F1876" t="s">
        <v>10</v>
      </c>
      <c r="G1876" t="s">
        <v>72</v>
      </c>
      <c r="H1876" t="s">
        <v>78</v>
      </c>
      <c r="I1876">
        <v>120000000</v>
      </c>
      <c r="J1876" t="s">
        <v>45</v>
      </c>
      <c r="K1876" t="s">
        <v>5</v>
      </c>
      <c r="L1876" t="s">
        <v>67</v>
      </c>
      <c r="M1876" t="s">
        <v>81</v>
      </c>
      <c r="N1876" t="s">
        <v>11</v>
      </c>
    </row>
    <row r="1877" spans="1:14" x14ac:dyDescent="0.35">
      <c r="A1877" s="75">
        <v>44049</v>
      </c>
      <c r="B1877" t="s">
        <v>145</v>
      </c>
      <c r="C1877" t="s">
        <v>99</v>
      </c>
      <c r="D1877">
        <v>5</v>
      </c>
      <c r="E1877">
        <v>5</v>
      </c>
      <c r="F1877" t="s">
        <v>10</v>
      </c>
      <c r="G1877" t="s">
        <v>72</v>
      </c>
      <c r="H1877" t="s">
        <v>78</v>
      </c>
      <c r="I1877">
        <v>120000000</v>
      </c>
      <c r="J1877" t="s">
        <v>20</v>
      </c>
      <c r="K1877" t="s">
        <v>2</v>
      </c>
      <c r="L1877" t="s">
        <v>67</v>
      </c>
      <c r="M1877" t="s">
        <v>81</v>
      </c>
      <c r="N1877" t="s">
        <v>14</v>
      </c>
    </row>
    <row r="1878" spans="1:14" x14ac:dyDescent="0.35">
      <c r="A1878" s="75">
        <v>44049</v>
      </c>
      <c r="B1878" t="s">
        <v>145</v>
      </c>
      <c r="C1878" t="s">
        <v>99</v>
      </c>
      <c r="D1878">
        <v>4</v>
      </c>
      <c r="E1878">
        <v>4</v>
      </c>
      <c r="F1878" t="s">
        <v>10</v>
      </c>
      <c r="G1878" t="s">
        <v>75</v>
      </c>
      <c r="H1878" t="s">
        <v>6</v>
      </c>
      <c r="I1878">
        <v>40000000</v>
      </c>
      <c r="J1878" t="s">
        <v>18</v>
      </c>
      <c r="K1878" t="s">
        <v>8</v>
      </c>
      <c r="L1878" t="s">
        <v>67</v>
      </c>
      <c r="M1878" t="s">
        <v>82</v>
      </c>
      <c r="N1878" t="s">
        <v>12</v>
      </c>
    </row>
    <row r="1879" spans="1:14" x14ac:dyDescent="0.35">
      <c r="A1879" s="75">
        <v>44050</v>
      </c>
      <c r="B1879" t="s">
        <v>146</v>
      </c>
      <c r="C1879" t="s">
        <v>99</v>
      </c>
      <c r="D1879">
        <v>10</v>
      </c>
      <c r="E1879">
        <v>10</v>
      </c>
      <c r="F1879" t="s">
        <v>10</v>
      </c>
      <c r="G1879" t="s">
        <v>73</v>
      </c>
      <c r="H1879" t="s">
        <v>78</v>
      </c>
      <c r="I1879">
        <v>40000000</v>
      </c>
      <c r="J1879" t="s">
        <v>49</v>
      </c>
      <c r="K1879" t="s">
        <v>5</v>
      </c>
      <c r="L1879" t="s">
        <v>67</v>
      </c>
      <c r="M1879" t="s">
        <v>81</v>
      </c>
      <c r="N1879" t="s">
        <v>13</v>
      </c>
    </row>
    <row r="1880" spans="1:14" x14ac:dyDescent="0.35">
      <c r="A1880" s="75">
        <v>44050</v>
      </c>
      <c r="B1880" t="s">
        <v>146</v>
      </c>
      <c r="C1880" t="s">
        <v>99</v>
      </c>
      <c r="D1880">
        <v>8</v>
      </c>
      <c r="E1880">
        <v>8</v>
      </c>
      <c r="F1880" t="s">
        <v>10</v>
      </c>
      <c r="G1880" t="s">
        <v>113</v>
      </c>
      <c r="H1880" t="s">
        <v>77</v>
      </c>
      <c r="I1880">
        <v>60000000</v>
      </c>
      <c r="J1880" t="s">
        <v>56</v>
      </c>
      <c r="K1880" t="s">
        <v>9</v>
      </c>
      <c r="L1880" t="s">
        <v>67</v>
      </c>
      <c r="M1880" t="s">
        <v>81</v>
      </c>
      <c r="N1880" t="s">
        <v>11</v>
      </c>
    </row>
    <row r="1881" spans="1:14" x14ac:dyDescent="0.35">
      <c r="A1881" s="75">
        <v>44050</v>
      </c>
      <c r="B1881" t="s">
        <v>146</v>
      </c>
      <c r="C1881" t="s">
        <v>99</v>
      </c>
      <c r="D1881">
        <v>7</v>
      </c>
      <c r="E1881">
        <v>7</v>
      </c>
      <c r="F1881" t="s">
        <v>10</v>
      </c>
      <c r="G1881" t="s">
        <v>114</v>
      </c>
      <c r="H1881" t="s">
        <v>3</v>
      </c>
      <c r="I1881">
        <v>140000000</v>
      </c>
      <c r="J1881" t="s">
        <v>24</v>
      </c>
      <c r="K1881" t="s">
        <v>9</v>
      </c>
      <c r="L1881" t="s">
        <v>67</v>
      </c>
      <c r="M1881" t="s">
        <v>82</v>
      </c>
      <c r="N1881" t="s">
        <v>14</v>
      </c>
    </row>
    <row r="1882" spans="1:14" x14ac:dyDescent="0.35">
      <c r="A1882" s="75">
        <v>44050</v>
      </c>
      <c r="B1882" t="s">
        <v>146</v>
      </c>
      <c r="C1882" t="s">
        <v>99</v>
      </c>
      <c r="D1882">
        <v>6</v>
      </c>
      <c r="E1882">
        <v>6</v>
      </c>
      <c r="F1882" t="s">
        <v>10</v>
      </c>
      <c r="G1882" t="s">
        <v>75</v>
      </c>
      <c r="H1882" t="s">
        <v>6</v>
      </c>
      <c r="I1882">
        <v>120000000</v>
      </c>
      <c r="J1882" t="s">
        <v>30</v>
      </c>
      <c r="K1882" t="s">
        <v>2</v>
      </c>
      <c r="L1882" t="s">
        <v>67</v>
      </c>
      <c r="M1882" t="s">
        <v>82</v>
      </c>
      <c r="N1882" t="s">
        <v>11</v>
      </c>
    </row>
    <row r="1883" spans="1:14" x14ac:dyDescent="0.35">
      <c r="A1883" s="75">
        <v>44050</v>
      </c>
      <c r="B1883" t="s">
        <v>146</v>
      </c>
      <c r="C1883" t="s">
        <v>99</v>
      </c>
      <c r="D1883">
        <v>5</v>
      </c>
      <c r="E1883">
        <v>5</v>
      </c>
      <c r="F1883" t="s">
        <v>10</v>
      </c>
      <c r="G1883" t="s">
        <v>70</v>
      </c>
      <c r="H1883" t="s">
        <v>1</v>
      </c>
      <c r="I1883">
        <v>60000000</v>
      </c>
      <c r="J1883" t="s">
        <v>31</v>
      </c>
      <c r="K1883" t="s">
        <v>5</v>
      </c>
      <c r="L1883" t="s">
        <v>67</v>
      </c>
      <c r="M1883" t="s">
        <v>82</v>
      </c>
      <c r="N1883" t="s">
        <v>12</v>
      </c>
    </row>
    <row r="1884" spans="1:14" x14ac:dyDescent="0.35">
      <c r="A1884" s="75">
        <v>44050</v>
      </c>
      <c r="B1884" t="s">
        <v>146</v>
      </c>
      <c r="C1884" t="s">
        <v>99</v>
      </c>
      <c r="D1884">
        <v>5</v>
      </c>
      <c r="E1884">
        <v>5</v>
      </c>
      <c r="F1884" t="s">
        <v>10</v>
      </c>
      <c r="G1884" t="s">
        <v>74</v>
      </c>
      <c r="H1884" t="s">
        <v>77</v>
      </c>
      <c r="I1884">
        <v>60000000</v>
      </c>
      <c r="J1884" t="s">
        <v>27</v>
      </c>
      <c r="K1884" t="s">
        <v>2</v>
      </c>
      <c r="L1884" t="s">
        <v>67</v>
      </c>
      <c r="M1884" t="s">
        <v>80</v>
      </c>
      <c r="N1884" t="s">
        <v>11</v>
      </c>
    </row>
    <row r="1885" spans="1:14" x14ac:dyDescent="0.35">
      <c r="A1885" s="75">
        <v>44050</v>
      </c>
      <c r="B1885" t="s">
        <v>146</v>
      </c>
      <c r="C1885" t="s">
        <v>99</v>
      </c>
      <c r="D1885">
        <v>4</v>
      </c>
      <c r="E1885">
        <v>4</v>
      </c>
      <c r="F1885" t="s">
        <v>10</v>
      </c>
      <c r="G1885" t="s">
        <v>73</v>
      </c>
      <c r="H1885" t="s">
        <v>78</v>
      </c>
      <c r="I1885">
        <v>140000000</v>
      </c>
      <c r="J1885" t="s">
        <v>32</v>
      </c>
      <c r="K1885" t="s">
        <v>2</v>
      </c>
      <c r="L1885" t="s">
        <v>67</v>
      </c>
      <c r="M1885" t="s">
        <v>81</v>
      </c>
      <c r="N1885" t="s">
        <v>14</v>
      </c>
    </row>
    <row r="1886" spans="1:14" x14ac:dyDescent="0.35">
      <c r="A1886" s="75">
        <v>44050</v>
      </c>
      <c r="B1886" t="s">
        <v>146</v>
      </c>
      <c r="C1886" t="s">
        <v>99</v>
      </c>
      <c r="D1886">
        <v>4</v>
      </c>
      <c r="E1886">
        <v>4</v>
      </c>
      <c r="F1886" t="s">
        <v>10</v>
      </c>
      <c r="G1886" t="s">
        <v>73</v>
      </c>
      <c r="H1886" t="s">
        <v>78</v>
      </c>
      <c r="I1886">
        <v>80000000</v>
      </c>
      <c r="J1886" t="s">
        <v>24</v>
      </c>
      <c r="K1886" t="s">
        <v>2</v>
      </c>
      <c r="L1886" t="s">
        <v>67</v>
      </c>
      <c r="M1886" t="s">
        <v>82</v>
      </c>
      <c r="N1886" t="s">
        <v>14</v>
      </c>
    </row>
    <row r="1887" spans="1:14" x14ac:dyDescent="0.35">
      <c r="A1887" s="75">
        <v>44050</v>
      </c>
      <c r="B1887" t="s">
        <v>146</v>
      </c>
      <c r="C1887" t="s">
        <v>99</v>
      </c>
      <c r="D1887">
        <v>3</v>
      </c>
      <c r="E1887">
        <v>3</v>
      </c>
      <c r="F1887" t="s">
        <v>10</v>
      </c>
      <c r="G1887" t="s">
        <v>73</v>
      </c>
      <c r="H1887" t="s">
        <v>78</v>
      </c>
      <c r="I1887">
        <v>80000000</v>
      </c>
      <c r="J1887" t="s">
        <v>31</v>
      </c>
      <c r="K1887" t="s">
        <v>5</v>
      </c>
      <c r="L1887" t="s">
        <v>67</v>
      </c>
      <c r="M1887" t="s">
        <v>82</v>
      </c>
      <c r="N1887" t="s">
        <v>14</v>
      </c>
    </row>
    <row r="1888" spans="1:14" x14ac:dyDescent="0.35">
      <c r="A1888" s="75">
        <v>44051</v>
      </c>
      <c r="B1888" t="s">
        <v>147</v>
      </c>
      <c r="C1888" t="s">
        <v>99</v>
      </c>
      <c r="D1888">
        <v>10</v>
      </c>
      <c r="E1888">
        <v>10</v>
      </c>
      <c r="F1888" t="s">
        <v>10</v>
      </c>
      <c r="G1888" t="s">
        <v>114</v>
      </c>
      <c r="H1888" t="s">
        <v>3</v>
      </c>
      <c r="I1888">
        <v>120000000</v>
      </c>
      <c r="J1888" t="s">
        <v>52</v>
      </c>
      <c r="K1888" t="s">
        <v>7</v>
      </c>
      <c r="L1888" t="s">
        <v>67</v>
      </c>
      <c r="M1888" t="s">
        <v>81</v>
      </c>
      <c r="N1888" t="s">
        <v>11</v>
      </c>
    </row>
    <row r="1889" spans="1:14" x14ac:dyDescent="0.35">
      <c r="A1889" s="75">
        <v>44051</v>
      </c>
      <c r="B1889" t="s">
        <v>147</v>
      </c>
      <c r="C1889" t="s">
        <v>99</v>
      </c>
      <c r="D1889">
        <v>8</v>
      </c>
      <c r="E1889">
        <v>8</v>
      </c>
      <c r="F1889" t="s">
        <v>10</v>
      </c>
      <c r="G1889" t="s">
        <v>72</v>
      </c>
      <c r="H1889" t="s">
        <v>78</v>
      </c>
      <c r="I1889">
        <v>100000000</v>
      </c>
      <c r="J1889" t="s">
        <v>22</v>
      </c>
      <c r="K1889" t="s">
        <v>2</v>
      </c>
      <c r="L1889" t="s">
        <v>67</v>
      </c>
      <c r="M1889" t="s">
        <v>82</v>
      </c>
      <c r="N1889" t="s">
        <v>14</v>
      </c>
    </row>
    <row r="1890" spans="1:14" x14ac:dyDescent="0.35">
      <c r="A1890" s="75">
        <v>44051</v>
      </c>
      <c r="B1890" t="s">
        <v>147</v>
      </c>
      <c r="C1890" t="s">
        <v>99</v>
      </c>
      <c r="D1890">
        <v>7</v>
      </c>
      <c r="E1890">
        <v>7</v>
      </c>
      <c r="F1890" t="s">
        <v>10</v>
      </c>
      <c r="G1890" t="s">
        <v>73</v>
      </c>
      <c r="H1890" t="s">
        <v>78</v>
      </c>
      <c r="I1890">
        <v>80000000</v>
      </c>
      <c r="J1890" t="s">
        <v>16</v>
      </c>
      <c r="K1890" t="s">
        <v>5</v>
      </c>
      <c r="L1890" t="s">
        <v>67</v>
      </c>
      <c r="M1890" t="s">
        <v>80</v>
      </c>
      <c r="N1890" t="s">
        <v>12</v>
      </c>
    </row>
    <row r="1891" spans="1:14" x14ac:dyDescent="0.35">
      <c r="A1891" s="75">
        <v>44051</v>
      </c>
      <c r="B1891" t="s">
        <v>147</v>
      </c>
      <c r="C1891" t="s">
        <v>99</v>
      </c>
      <c r="D1891">
        <v>4</v>
      </c>
      <c r="E1891">
        <v>4</v>
      </c>
      <c r="F1891" t="s">
        <v>10</v>
      </c>
      <c r="G1891" t="s">
        <v>70</v>
      </c>
      <c r="H1891" t="s">
        <v>1</v>
      </c>
      <c r="I1891">
        <v>80000000</v>
      </c>
      <c r="J1891" t="s">
        <v>21</v>
      </c>
      <c r="K1891" t="s">
        <v>7</v>
      </c>
      <c r="L1891" t="s">
        <v>67</v>
      </c>
      <c r="M1891" t="s">
        <v>81</v>
      </c>
      <c r="N1891" t="s">
        <v>12</v>
      </c>
    </row>
    <row r="1892" spans="1:14" x14ac:dyDescent="0.35">
      <c r="A1892" s="75">
        <v>44051</v>
      </c>
      <c r="B1892" t="s">
        <v>147</v>
      </c>
      <c r="C1892" t="s">
        <v>99</v>
      </c>
      <c r="D1892">
        <v>4</v>
      </c>
      <c r="E1892">
        <v>4</v>
      </c>
      <c r="F1892" t="s">
        <v>10</v>
      </c>
      <c r="G1892" t="s">
        <v>73</v>
      </c>
      <c r="H1892" t="s">
        <v>78</v>
      </c>
      <c r="I1892">
        <v>80000000</v>
      </c>
      <c r="J1892" t="s">
        <v>63</v>
      </c>
      <c r="K1892" t="s">
        <v>8</v>
      </c>
      <c r="L1892" t="s">
        <v>67</v>
      </c>
      <c r="M1892" t="s">
        <v>80</v>
      </c>
      <c r="N1892" t="s">
        <v>14</v>
      </c>
    </row>
    <row r="1893" spans="1:14" x14ac:dyDescent="0.35">
      <c r="A1893" s="75">
        <v>44051</v>
      </c>
      <c r="B1893" t="s">
        <v>147</v>
      </c>
      <c r="C1893" t="s">
        <v>99</v>
      </c>
      <c r="D1893">
        <v>3</v>
      </c>
      <c r="E1893">
        <v>3</v>
      </c>
      <c r="F1893" t="s">
        <v>10</v>
      </c>
      <c r="G1893" t="s">
        <v>71</v>
      </c>
      <c r="H1893" t="s">
        <v>6</v>
      </c>
      <c r="I1893">
        <v>100000000</v>
      </c>
      <c r="J1893" t="s">
        <v>56</v>
      </c>
      <c r="K1893" t="s">
        <v>2</v>
      </c>
      <c r="L1893" t="s">
        <v>67</v>
      </c>
      <c r="M1893" t="s">
        <v>82</v>
      </c>
      <c r="N1893" t="s">
        <v>14</v>
      </c>
    </row>
    <row r="1894" spans="1:14" x14ac:dyDescent="0.35">
      <c r="A1894" s="75">
        <v>44051</v>
      </c>
      <c r="B1894" t="s">
        <v>147</v>
      </c>
      <c r="C1894" t="s">
        <v>99</v>
      </c>
      <c r="D1894">
        <v>3</v>
      </c>
      <c r="E1894">
        <v>3</v>
      </c>
      <c r="F1894" t="s">
        <v>10</v>
      </c>
      <c r="G1894" t="s">
        <v>74</v>
      </c>
      <c r="H1894" t="s">
        <v>77</v>
      </c>
      <c r="I1894">
        <v>140000000</v>
      </c>
      <c r="J1894" t="s">
        <v>20</v>
      </c>
      <c r="K1894" t="s">
        <v>7</v>
      </c>
      <c r="L1894" t="s">
        <v>67</v>
      </c>
      <c r="M1894" t="s">
        <v>81</v>
      </c>
      <c r="N1894" t="s">
        <v>13</v>
      </c>
    </row>
    <row r="1895" spans="1:14" x14ac:dyDescent="0.35">
      <c r="A1895" s="75">
        <v>44052</v>
      </c>
      <c r="B1895" t="s">
        <v>148</v>
      </c>
      <c r="C1895" t="s">
        <v>99</v>
      </c>
      <c r="D1895">
        <v>10</v>
      </c>
      <c r="E1895">
        <v>10</v>
      </c>
      <c r="F1895" t="s">
        <v>10</v>
      </c>
      <c r="G1895" t="s">
        <v>114</v>
      </c>
      <c r="H1895" t="s">
        <v>3</v>
      </c>
      <c r="I1895">
        <v>80000000</v>
      </c>
      <c r="J1895" t="s">
        <v>59</v>
      </c>
      <c r="K1895" t="s">
        <v>2</v>
      </c>
      <c r="L1895" t="s">
        <v>67</v>
      </c>
      <c r="M1895" t="s">
        <v>81</v>
      </c>
      <c r="N1895" t="s">
        <v>13</v>
      </c>
    </row>
    <row r="1896" spans="1:14" x14ac:dyDescent="0.35">
      <c r="A1896" s="75">
        <v>44052</v>
      </c>
      <c r="B1896" t="s">
        <v>148</v>
      </c>
      <c r="C1896" t="s">
        <v>99</v>
      </c>
      <c r="D1896">
        <v>8</v>
      </c>
      <c r="E1896">
        <v>8</v>
      </c>
      <c r="F1896" t="s">
        <v>10</v>
      </c>
      <c r="G1896" t="s">
        <v>73</v>
      </c>
      <c r="H1896" t="s">
        <v>78</v>
      </c>
      <c r="I1896">
        <v>100000000</v>
      </c>
      <c r="J1896" t="s">
        <v>20</v>
      </c>
      <c r="K1896" t="s">
        <v>5</v>
      </c>
      <c r="L1896" t="s">
        <v>67</v>
      </c>
      <c r="M1896" t="s">
        <v>82</v>
      </c>
      <c r="N1896" t="s">
        <v>12</v>
      </c>
    </row>
    <row r="1897" spans="1:14" x14ac:dyDescent="0.35">
      <c r="A1897" s="75">
        <v>44052</v>
      </c>
      <c r="B1897" t="s">
        <v>148</v>
      </c>
      <c r="C1897" t="s">
        <v>99</v>
      </c>
      <c r="D1897">
        <v>6</v>
      </c>
      <c r="E1897">
        <v>6</v>
      </c>
      <c r="F1897" t="s">
        <v>10</v>
      </c>
      <c r="G1897" t="s">
        <v>74</v>
      </c>
      <c r="H1897" t="s">
        <v>77</v>
      </c>
      <c r="I1897">
        <v>40000000</v>
      </c>
      <c r="J1897" t="s">
        <v>21</v>
      </c>
      <c r="K1897" t="s">
        <v>5</v>
      </c>
      <c r="L1897" t="s">
        <v>67</v>
      </c>
      <c r="M1897" t="s">
        <v>82</v>
      </c>
      <c r="N1897" t="s">
        <v>14</v>
      </c>
    </row>
    <row r="1898" spans="1:14" x14ac:dyDescent="0.35">
      <c r="A1898" s="75">
        <v>44052</v>
      </c>
      <c r="B1898" t="s">
        <v>148</v>
      </c>
      <c r="C1898" t="s">
        <v>99</v>
      </c>
      <c r="D1898">
        <v>6</v>
      </c>
      <c r="E1898">
        <v>6</v>
      </c>
      <c r="F1898" t="s">
        <v>10</v>
      </c>
      <c r="G1898" t="s">
        <v>73</v>
      </c>
      <c r="H1898" t="s">
        <v>78</v>
      </c>
      <c r="I1898">
        <v>40000000</v>
      </c>
      <c r="J1898" t="s">
        <v>51</v>
      </c>
      <c r="K1898" t="s">
        <v>2</v>
      </c>
      <c r="L1898" t="s">
        <v>67</v>
      </c>
      <c r="M1898" t="s">
        <v>80</v>
      </c>
      <c r="N1898" t="s">
        <v>12</v>
      </c>
    </row>
    <row r="1899" spans="1:14" x14ac:dyDescent="0.35">
      <c r="A1899" s="75">
        <v>44052</v>
      </c>
      <c r="B1899" t="s">
        <v>148</v>
      </c>
      <c r="C1899" t="s">
        <v>99</v>
      </c>
      <c r="D1899">
        <v>5</v>
      </c>
      <c r="E1899">
        <v>5</v>
      </c>
      <c r="F1899" t="s">
        <v>10</v>
      </c>
      <c r="G1899" t="s">
        <v>114</v>
      </c>
      <c r="H1899" t="s">
        <v>3</v>
      </c>
      <c r="I1899">
        <v>80000000</v>
      </c>
      <c r="J1899" t="s">
        <v>41</v>
      </c>
      <c r="K1899" t="s">
        <v>7</v>
      </c>
      <c r="L1899" t="s">
        <v>67</v>
      </c>
      <c r="M1899" t="s">
        <v>81</v>
      </c>
      <c r="N1899" t="s">
        <v>14</v>
      </c>
    </row>
    <row r="1900" spans="1:14" x14ac:dyDescent="0.35">
      <c r="A1900" s="75">
        <v>44052</v>
      </c>
      <c r="B1900" t="s">
        <v>148</v>
      </c>
      <c r="C1900" t="s">
        <v>99</v>
      </c>
      <c r="D1900">
        <v>5</v>
      </c>
      <c r="E1900">
        <v>5</v>
      </c>
      <c r="F1900" t="s">
        <v>10</v>
      </c>
      <c r="G1900" t="s">
        <v>74</v>
      </c>
      <c r="H1900" t="s">
        <v>77</v>
      </c>
      <c r="I1900">
        <v>120000000</v>
      </c>
      <c r="J1900" t="s">
        <v>63</v>
      </c>
      <c r="K1900" t="s">
        <v>2</v>
      </c>
      <c r="L1900" t="s">
        <v>67</v>
      </c>
      <c r="M1900" t="s">
        <v>81</v>
      </c>
      <c r="N1900" t="s">
        <v>13</v>
      </c>
    </row>
    <row r="1901" spans="1:14" x14ac:dyDescent="0.35">
      <c r="A1901" s="75">
        <v>44052</v>
      </c>
      <c r="B1901" t="s">
        <v>148</v>
      </c>
      <c r="C1901" t="s">
        <v>99</v>
      </c>
      <c r="D1901">
        <v>4</v>
      </c>
      <c r="E1901">
        <v>4</v>
      </c>
      <c r="F1901" t="s">
        <v>10</v>
      </c>
      <c r="G1901" t="s">
        <v>70</v>
      </c>
      <c r="H1901" t="s">
        <v>1</v>
      </c>
      <c r="I1901">
        <v>140000000</v>
      </c>
      <c r="J1901" t="s">
        <v>17</v>
      </c>
      <c r="K1901" t="s">
        <v>2</v>
      </c>
      <c r="L1901" t="s">
        <v>67</v>
      </c>
      <c r="M1901" t="s">
        <v>81</v>
      </c>
      <c r="N1901" t="s">
        <v>11</v>
      </c>
    </row>
    <row r="1902" spans="1:14" x14ac:dyDescent="0.35">
      <c r="A1902" s="75">
        <v>44053</v>
      </c>
      <c r="B1902" t="s">
        <v>149</v>
      </c>
      <c r="C1902" t="s">
        <v>99</v>
      </c>
      <c r="D1902">
        <v>8</v>
      </c>
      <c r="E1902">
        <v>8</v>
      </c>
      <c r="F1902" t="s">
        <v>10</v>
      </c>
      <c r="G1902" t="s">
        <v>113</v>
      </c>
      <c r="H1902" t="s">
        <v>77</v>
      </c>
      <c r="I1902">
        <v>140000000</v>
      </c>
      <c r="J1902" t="s">
        <v>36</v>
      </c>
      <c r="K1902" t="s">
        <v>8</v>
      </c>
      <c r="L1902" t="s">
        <v>67</v>
      </c>
      <c r="M1902" t="s">
        <v>81</v>
      </c>
      <c r="N1902" t="s">
        <v>13</v>
      </c>
    </row>
    <row r="1903" spans="1:14" x14ac:dyDescent="0.35">
      <c r="A1903" s="75">
        <v>44053</v>
      </c>
      <c r="B1903" t="s">
        <v>149</v>
      </c>
      <c r="C1903" t="s">
        <v>99</v>
      </c>
      <c r="D1903">
        <v>7</v>
      </c>
      <c r="E1903">
        <v>7</v>
      </c>
      <c r="F1903" t="s">
        <v>10</v>
      </c>
      <c r="G1903" t="s">
        <v>70</v>
      </c>
      <c r="H1903" t="s">
        <v>1</v>
      </c>
      <c r="I1903">
        <v>60000000</v>
      </c>
      <c r="J1903" t="s">
        <v>56</v>
      </c>
      <c r="K1903" t="s">
        <v>2</v>
      </c>
      <c r="L1903" t="s">
        <v>67</v>
      </c>
      <c r="M1903" t="s">
        <v>82</v>
      </c>
      <c r="N1903" t="s">
        <v>11</v>
      </c>
    </row>
    <row r="1904" spans="1:14" x14ac:dyDescent="0.35">
      <c r="A1904" s="75">
        <v>44053</v>
      </c>
      <c r="B1904" t="s">
        <v>149</v>
      </c>
      <c r="C1904" t="s">
        <v>99</v>
      </c>
      <c r="D1904">
        <v>3</v>
      </c>
      <c r="E1904">
        <v>3</v>
      </c>
      <c r="F1904" t="s">
        <v>10</v>
      </c>
      <c r="G1904" t="s">
        <v>76</v>
      </c>
      <c r="H1904" t="s">
        <v>79</v>
      </c>
      <c r="I1904">
        <v>120000000</v>
      </c>
      <c r="J1904" t="s">
        <v>46</v>
      </c>
      <c r="K1904" t="s">
        <v>7</v>
      </c>
      <c r="L1904" t="s">
        <v>67</v>
      </c>
      <c r="M1904" t="s">
        <v>81</v>
      </c>
      <c r="N1904" t="s">
        <v>11</v>
      </c>
    </row>
    <row r="1905" spans="1:14" x14ac:dyDescent="0.35">
      <c r="A1905" s="75">
        <v>44054</v>
      </c>
      <c r="B1905" t="s">
        <v>150</v>
      </c>
      <c r="C1905" t="s">
        <v>99</v>
      </c>
      <c r="D1905">
        <v>10</v>
      </c>
      <c r="E1905">
        <v>10</v>
      </c>
      <c r="F1905" t="s">
        <v>10</v>
      </c>
      <c r="G1905" t="s">
        <v>113</v>
      </c>
      <c r="H1905" t="s">
        <v>77</v>
      </c>
      <c r="I1905">
        <v>100000000</v>
      </c>
      <c r="J1905" t="s">
        <v>33</v>
      </c>
      <c r="K1905" t="s">
        <v>5</v>
      </c>
      <c r="L1905" t="s">
        <v>67</v>
      </c>
      <c r="M1905" t="s">
        <v>81</v>
      </c>
      <c r="N1905" t="s">
        <v>11</v>
      </c>
    </row>
    <row r="1906" spans="1:14" x14ac:dyDescent="0.35">
      <c r="A1906" s="75">
        <v>44054</v>
      </c>
      <c r="B1906" t="s">
        <v>150</v>
      </c>
      <c r="C1906" t="s">
        <v>99</v>
      </c>
      <c r="D1906">
        <v>9</v>
      </c>
      <c r="E1906">
        <v>9</v>
      </c>
      <c r="F1906" t="s">
        <v>10</v>
      </c>
      <c r="G1906" t="s">
        <v>76</v>
      </c>
      <c r="H1906" t="s">
        <v>79</v>
      </c>
      <c r="I1906">
        <v>100000000</v>
      </c>
      <c r="J1906" t="s">
        <v>30</v>
      </c>
      <c r="K1906" t="s">
        <v>5</v>
      </c>
      <c r="L1906" t="s">
        <v>67</v>
      </c>
      <c r="M1906" t="s">
        <v>81</v>
      </c>
      <c r="N1906" t="s">
        <v>12</v>
      </c>
    </row>
    <row r="1907" spans="1:14" x14ac:dyDescent="0.35">
      <c r="A1907" s="75">
        <v>44054</v>
      </c>
      <c r="B1907" t="s">
        <v>150</v>
      </c>
      <c r="C1907" t="s">
        <v>99</v>
      </c>
      <c r="D1907">
        <v>9</v>
      </c>
      <c r="E1907">
        <v>9</v>
      </c>
      <c r="F1907" t="s">
        <v>10</v>
      </c>
      <c r="G1907" t="s">
        <v>73</v>
      </c>
      <c r="H1907" t="s">
        <v>78</v>
      </c>
      <c r="I1907">
        <v>40000000</v>
      </c>
      <c r="J1907" t="s">
        <v>48</v>
      </c>
      <c r="K1907" t="s">
        <v>5</v>
      </c>
      <c r="L1907" t="s">
        <v>67</v>
      </c>
      <c r="M1907" t="s">
        <v>82</v>
      </c>
      <c r="N1907" t="s">
        <v>14</v>
      </c>
    </row>
    <row r="1908" spans="1:14" x14ac:dyDescent="0.35">
      <c r="A1908" s="75">
        <v>44054</v>
      </c>
      <c r="B1908" t="s">
        <v>150</v>
      </c>
      <c r="C1908" t="s">
        <v>99</v>
      </c>
      <c r="D1908">
        <v>8</v>
      </c>
      <c r="E1908">
        <v>8</v>
      </c>
      <c r="F1908" t="s">
        <v>10</v>
      </c>
      <c r="G1908" t="s">
        <v>75</v>
      </c>
      <c r="H1908" t="s">
        <v>6</v>
      </c>
      <c r="I1908">
        <v>40000000</v>
      </c>
      <c r="J1908" t="s">
        <v>49</v>
      </c>
      <c r="K1908" t="s">
        <v>5</v>
      </c>
      <c r="L1908" t="s">
        <v>67</v>
      </c>
      <c r="M1908" t="s">
        <v>80</v>
      </c>
      <c r="N1908" t="s">
        <v>13</v>
      </c>
    </row>
    <row r="1909" spans="1:14" x14ac:dyDescent="0.35">
      <c r="A1909" s="75">
        <v>44054</v>
      </c>
      <c r="B1909" t="s">
        <v>150</v>
      </c>
      <c r="C1909" t="s">
        <v>99</v>
      </c>
      <c r="D1909">
        <v>7</v>
      </c>
      <c r="E1909">
        <v>7</v>
      </c>
      <c r="F1909" t="s">
        <v>10</v>
      </c>
      <c r="G1909" t="s">
        <v>113</v>
      </c>
      <c r="H1909" t="s">
        <v>77</v>
      </c>
      <c r="I1909">
        <v>80000000</v>
      </c>
      <c r="J1909" t="s">
        <v>54</v>
      </c>
      <c r="K1909" t="s">
        <v>7</v>
      </c>
      <c r="L1909" t="s">
        <v>67</v>
      </c>
      <c r="M1909" t="s">
        <v>82</v>
      </c>
      <c r="N1909" t="s">
        <v>12</v>
      </c>
    </row>
    <row r="1910" spans="1:14" x14ac:dyDescent="0.35">
      <c r="A1910" s="75">
        <v>44054</v>
      </c>
      <c r="B1910" t="s">
        <v>150</v>
      </c>
      <c r="C1910" t="s">
        <v>99</v>
      </c>
      <c r="D1910">
        <v>7</v>
      </c>
      <c r="E1910">
        <v>7</v>
      </c>
      <c r="F1910" t="s">
        <v>10</v>
      </c>
      <c r="G1910" t="s">
        <v>70</v>
      </c>
      <c r="H1910" t="s">
        <v>1</v>
      </c>
      <c r="I1910">
        <v>100000000</v>
      </c>
      <c r="J1910" t="s">
        <v>62</v>
      </c>
      <c r="K1910" t="s">
        <v>8</v>
      </c>
      <c r="L1910" t="s">
        <v>67</v>
      </c>
      <c r="M1910" t="s">
        <v>81</v>
      </c>
      <c r="N1910" t="s">
        <v>13</v>
      </c>
    </row>
    <row r="1911" spans="1:14" x14ac:dyDescent="0.35">
      <c r="A1911" s="75">
        <v>44054</v>
      </c>
      <c r="B1911" t="s">
        <v>150</v>
      </c>
      <c r="C1911" t="s">
        <v>99</v>
      </c>
      <c r="D1911">
        <v>6</v>
      </c>
      <c r="E1911">
        <v>6</v>
      </c>
      <c r="F1911" t="s">
        <v>10</v>
      </c>
      <c r="G1911" t="s">
        <v>73</v>
      </c>
      <c r="H1911" t="s">
        <v>78</v>
      </c>
      <c r="I1911">
        <v>120000000</v>
      </c>
      <c r="J1911" t="s">
        <v>56</v>
      </c>
      <c r="K1911" t="s">
        <v>2</v>
      </c>
      <c r="L1911" t="s">
        <v>67</v>
      </c>
      <c r="M1911" t="s">
        <v>82</v>
      </c>
      <c r="N1911" t="s">
        <v>12</v>
      </c>
    </row>
    <row r="1912" spans="1:14" x14ac:dyDescent="0.35">
      <c r="A1912" s="75">
        <v>44054</v>
      </c>
      <c r="B1912" t="s">
        <v>150</v>
      </c>
      <c r="C1912" t="s">
        <v>99</v>
      </c>
      <c r="D1912">
        <v>4</v>
      </c>
      <c r="E1912">
        <v>4</v>
      </c>
      <c r="F1912" t="s">
        <v>10</v>
      </c>
      <c r="G1912" t="s">
        <v>114</v>
      </c>
      <c r="H1912" t="s">
        <v>3</v>
      </c>
      <c r="I1912">
        <v>120000000</v>
      </c>
      <c r="J1912" t="s">
        <v>35</v>
      </c>
      <c r="K1912" t="s">
        <v>2</v>
      </c>
      <c r="L1912" t="s">
        <v>67</v>
      </c>
      <c r="M1912" t="s">
        <v>80</v>
      </c>
      <c r="N1912" t="s">
        <v>13</v>
      </c>
    </row>
    <row r="1913" spans="1:14" x14ac:dyDescent="0.35">
      <c r="A1913" s="75">
        <v>44054</v>
      </c>
      <c r="B1913" t="s">
        <v>150</v>
      </c>
      <c r="C1913" t="s">
        <v>99</v>
      </c>
      <c r="D1913">
        <v>4</v>
      </c>
      <c r="E1913">
        <v>4</v>
      </c>
      <c r="F1913" t="s">
        <v>10</v>
      </c>
      <c r="G1913" t="s">
        <v>75</v>
      </c>
      <c r="H1913" t="s">
        <v>6</v>
      </c>
      <c r="I1913">
        <v>140000000</v>
      </c>
      <c r="J1913" t="s">
        <v>16</v>
      </c>
      <c r="K1913" t="s">
        <v>2</v>
      </c>
      <c r="L1913" t="s">
        <v>67</v>
      </c>
      <c r="M1913" t="s">
        <v>82</v>
      </c>
      <c r="N1913" t="s">
        <v>12</v>
      </c>
    </row>
    <row r="1914" spans="1:14" x14ac:dyDescent="0.35">
      <c r="A1914" s="75">
        <v>44054</v>
      </c>
      <c r="B1914" t="s">
        <v>150</v>
      </c>
      <c r="C1914" t="s">
        <v>99</v>
      </c>
      <c r="D1914">
        <v>4</v>
      </c>
      <c r="E1914">
        <v>4</v>
      </c>
      <c r="F1914" t="s">
        <v>10</v>
      </c>
      <c r="G1914" t="s">
        <v>72</v>
      </c>
      <c r="H1914" t="s">
        <v>78</v>
      </c>
      <c r="I1914">
        <v>100000000</v>
      </c>
      <c r="J1914" t="s">
        <v>47</v>
      </c>
      <c r="K1914" t="s">
        <v>5</v>
      </c>
      <c r="L1914" t="s">
        <v>67</v>
      </c>
      <c r="M1914" t="s">
        <v>81</v>
      </c>
      <c r="N1914" t="s">
        <v>14</v>
      </c>
    </row>
    <row r="1915" spans="1:14" x14ac:dyDescent="0.35">
      <c r="A1915" s="75">
        <v>44054</v>
      </c>
      <c r="B1915" t="s">
        <v>150</v>
      </c>
      <c r="C1915" t="s">
        <v>99</v>
      </c>
      <c r="D1915">
        <v>3</v>
      </c>
      <c r="E1915">
        <v>3</v>
      </c>
      <c r="F1915" t="s">
        <v>10</v>
      </c>
      <c r="G1915" t="s">
        <v>114</v>
      </c>
      <c r="H1915" t="s">
        <v>3</v>
      </c>
      <c r="I1915">
        <v>120000000</v>
      </c>
      <c r="J1915" t="s">
        <v>60</v>
      </c>
      <c r="K1915" t="s">
        <v>9</v>
      </c>
      <c r="L1915" t="s">
        <v>67</v>
      </c>
      <c r="M1915" t="s">
        <v>82</v>
      </c>
      <c r="N1915" t="s">
        <v>14</v>
      </c>
    </row>
    <row r="1916" spans="1:14" x14ac:dyDescent="0.35">
      <c r="A1916" s="75">
        <v>44055</v>
      </c>
      <c r="B1916" t="s">
        <v>151</v>
      </c>
      <c r="C1916" t="s">
        <v>99</v>
      </c>
      <c r="D1916">
        <v>10</v>
      </c>
      <c r="E1916">
        <v>10</v>
      </c>
      <c r="F1916" t="s">
        <v>10</v>
      </c>
      <c r="G1916" t="s">
        <v>76</v>
      </c>
      <c r="H1916" t="s">
        <v>79</v>
      </c>
      <c r="I1916">
        <v>40000000</v>
      </c>
      <c r="J1916" t="s">
        <v>49</v>
      </c>
      <c r="K1916" t="s">
        <v>8</v>
      </c>
      <c r="L1916" t="s">
        <v>67</v>
      </c>
      <c r="M1916" t="s">
        <v>80</v>
      </c>
      <c r="N1916" t="s">
        <v>11</v>
      </c>
    </row>
    <row r="1917" spans="1:14" x14ac:dyDescent="0.35">
      <c r="A1917" s="75">
        <v>44055</v>
      </c>
      <c r="B1917" t="s">
        <v>151</v>
      </c>
      <c r="C1917" t="s">
        <v>99</v>
      </c>
      <c r="D1917">
        <v>9</v>
      </c>
      <c r="E1917">
        <v>9</v>
      </c>
      <c r="F1917" t="s">
        <v>10</v>
      </c>
      <c r="G1917" t="s">
        <v>113</v>
      </c>
      <c r="H1917" t="s">
        <v>77</v>
      </c>
      <c r="I1917">
        <v>60000000</v>
      </c>
      <c r="J1917" t="s">
        <v>40</v>
      </c>
      <c r="K1917" t="s">
        <v>9</v>
      </c>
      <c r="L1917" t="s">
        <v>67</v>
      </c>
      <c r="M1917" t="s">
        <v>81</v>
      </c>
      <c r="N1917" t="s">
        <v>14</v>
      </c>
    </row>
    <row r="1918" spans="1:14" x14ac:dyDescent="0.35">
      <c r="A1918" s="75">
        <v>44055</v>
      </c>
      <c r="B1918" t="s">
        <v>151</v>
      </c>
      <c r="C1918" t="s">
        <v>99</v>
      </c>
      <c r="D1918">
        <v>9</v>
      </c>
      <c r="E1918">
        <v>9</v>
      </c>
      <c r="F1918" t="s">
        <v>10</v>
      </c>
      <c r="G1918" t="s">
        <v>71</v>
      </c>
      <c r="H1918" t="s">
        <v>6</v>
      </c>
      <c r="I1918">
        <v>80000000</v>
      </c>
      <c r="J1918" t="s">
        <v>30</v>
      </c>
      <c r="K1918" t="s">
        <v>2</v>
      </c>
      <c r="L1918" t="s">
        <v>67</v>
      </c>
      <c r="M1918" t="s">
        <v>80</v>
      </c>
      <c r="N1918" t="s">
        <v>11</v>
      </c>
    </row>
    <row r="1919" spans="1:14" x14ac:dyDescent="0.35">
      <c r="A1919" s="75">
        <v>44055</v>
      </c>
      <c r="B1919" t="s">
        <v>151</v>
      </c>
      <c r="C1919" t="s">
        <v>99</v>
      </c>
      <c r="D1919">
        <v>8</v>
      </c>
      <c r="E1919">
        <v>8</v>
      </c>
      <c r="F1919" t="s">
        <v>10</v>
      </c>
      <c r="G1919" t="s">
        <v>75</v>
      </c>
      <c r="H1919" t="s">
        <v>6</v>
      </c>
      <c r="I1919">
        <v>60000000</v>
      </c>
      <c r="J1919" t="s">
        <v>56</v>
      </c>
      <c r="K1919" t="s">
        <v>2</v>
      </c>
      <c r="L1919" t="s">
        <v>67</v>
      </c>
      <c r="M1919" t="s">
        <v>82</v>
      </c>
      <c r="N1919" t="s">
        <v>11</v>
      </c>
    </row>
    <row r="1920" spans="1:14" x14ac:dyDescent="0.35">
      <c r="A1920" s="75">
        <v>44055</v>
      </c>
      <c r="B1920" t="s">
        <v>151</v>
      </c>
      <c r="C1920" t="s">
        <v>99</v>
      </c>
      <c r="D1920">
        <v>8</v>
      </c>
      <c r="E1920">
        <v>8</v>
      </c>
      <c r="F1920" t="s">
        <v>10</v>
      </c>
      <c r="G1920" t="s">
        <v>114</v>
      </c>
      <c r="H1920" t="s">
        <v>3</v>
      </c>
      <c r="I1920">
        <v>80000000</v>
      </c>
      <c r="J1920" t="s">
        <v>41</v>
      </c>
      <c r="K1920" t="s">
        <v>5</v>
      </c>
      <c r="L1920" t="s">
        <v>67</v>
      </c>
      <c r="M1920" t="s">
        <v>82</v>
      </c>
      <c r="N1920" t="s">
        <v>14</v>
      </c>
    </row>
    <row r="1921" spans="1:14" x14ac:dyDescent="0.35">
      <c r="A1921" s="75">
        <v>44055</v>
      </c>
      <c r="B1921" t="s">
        <v>151</v>
      </c>
      <c r="C1921" t="s">
        <v>99</v>
      </c>
      <c r="D1921">
        <v>8</v>
      </c>
      <c r="E1921">
        <v>8</v>
      </c>
      <c r="F1921" t="s">
        <v>10</v>
      </c>
      <c r="G1921" t="s">
        <v>76</v>
      </c>
      <c r="H1921" t="s">
        <v>79</v>
      </c>
      <c r="I1921">
        <v>120000000</v>
      </c>
      <c r="J1921" t="s">
        <v>31</v>
      </c>
      <c r="K1921" t="s">
        <v>2</v>
      </c>
      <c r="L1921" t="s">
        <v>67</v>
      </c>
      <c r="M1921" t="s">
        <v>80</v>
      </c>
      <c r="N1921" t="s">
        <v>11</v>
      </c>
    </row>
    <row r="1922" spans="1:14" x14ac:dyDescent="0.35">
      <c r="A1922" s="75">
        <v>44055</v>
      </c>
      <c r="B1922" t="s">
        <v>151</v>
      </c>
      <c r="C1922" t="s">
        <v>99</v>
      </c>
      <c r="D1922">
        <v>7</v>
      </c>
      <c r="E1922">
        <v>7</v>
      </c>
      <c r="F1922" t="s">
        <v>10</v>
      </c>
      <c r="G1922" t="s">
        <v>114</v>
      </c>
      <c r="H1922" t="s">
        <v>3</v>
      </c>
      <c r="I1922">
        <v>80000000</v>
      </c>
      <c r="J1922" t="s">
        <v>20</v>
      </c>
      <c r="K1922" t="s">
        <v>5</v>
      </c>
      <c r="L1922" t="s">
        <v>67</v>
      </c>
      <c r="M1922" t="s">
        <v>80</v>
      </c>
      <c r="N1922" t="s">
        <v>11</v>
      </c>
    </row>
    <row r="1923" spans="1:14" x14ac:dyDescent="0.35">
      <c r="A1923" s="75">
        <v>44055</v>
      </c>
      <c r="B1923" t="s">
        <v>151</v>
      </c>
      <c r="C1923" t="s">
        <v>99</v>
      </c>
      <c r="D1923">
        <v>7</v>
      </c>
      <c r="E1923">
        <v>7</v>
      </c>
      <c r="F1923" t="s">
        <v>10</v>
      </c>
      <c r="G1923" t="s">
        <v>75</v>
      </c>
      <c r="H1923" t="s">
        <v>6</v>
      </c>
      <c r="I1923">
        <v>60000000</v>
      </c>
      <c r="J1923" t="s">
        <v>39</v>
      </c>
      <c r="K1923" t="s">
        <v>5</v>
      </c>
      <c r="L1923" t="s">
        <v>67</v>
      </c>
      <c r="M1923" t="s">
        <v>80</v>
      </c>
      <c r="N1923" t="s">
        <v>13</v>
      </c>
    </row>
    <row r="1924" spans="1:14" x14ac:dyDescent="0.35">
      <c r="A1924" s="75">
        <v>44055</v>
      </c>
      <c r="B1924" t="s">
        <v>151</v>
      </c>
      <c r="C1924" t="s">
        <v>99</v>
      </c>
      <c r="D1924">
        <v>6</v>
      </c>
      <c r="E1924">
        <v>6</v>
      </c>
      <c r="F1924" t="s">
        <v>10</v>
      </c>
      <c r="G1924" t="s">
        <v>76</v>
      </c>
      <c r="H1924" t="s">
        <v>79</v>
      </c>
      <c r="I1924">
        <v>140000000</v>
      </c>
      <c r="J1924" t="s">
        <v>27</v>
      </c>
      <c r="K1924" t="s">
        <v>2</v>
      </c>
      <c r="L1924" t="s">
        <v>67</v>
      </c>
      <c r="M1924" t="s">
        <v>80</v>
      </c>
      <c r="N1924" t="s">
        <v>12</v>
      </c>
    </row>
    <row r="1925" spans="1:14" x14ac:dyDescent="0.35">
      <c r="A1925" s="75">
        <v>44055</v>
      </c>
      <c r="B1925" t="s">
        <v>151</v>
      </c>
      <c r="C1925" t="s">
        <v>99</v>
      </c>
      <c r="D1925">
        <v>5</v>
      </c>
      <c r="E1925">
        <v>5</v>
      </c>
      <c r="F1925" t="s">
        <v>10</v>
      </c>
      <c r="G1925" t="s">
        <v>71</v>
      </c>
      <c r="H1925" t="s">
        <v>6</v>
      </c>
      <c r="I1925">
        <v>60000000</v>
      </c>
      <c r="J1925" t="s">
        <v>59</v>
      </c>
      <c r="K1925" t="s">
        <v>5</v>
      </c>
      <c r="L1925" t="s">
        <v>67</v>
      </c>
      <c r="M1925" t="s">
        <v>80</v>
      </c>
      <c r="N1925" t="s">
        <v>11</v>
      </c>
    </row>
    <row r="1926" spans="1:14" x14ac:dyDescent="0.35">
      <c r="A1926" s="75">
        <v>44055</v>
      </c>
      <c r="B1926" t="s">
        <v>151</v>
      </c>
      <c r="C1926" t="s">
        <v>99</v>
      </c>
      <c r="D1926">
        <v>4</v>
      </c>
      <c r="E1926">
        <v>4</v>
      </c>
      <c r="F1926" t="s">
        <v>10</v>
      </c>
      <c r="G1926" t="s">
        <v>73</v>
      </c>
      <c r="H1926" t="s">
        <v>78</v>
      </c>
      <c r="I1926">
        <v>100000000</v>
      </c>
      <c r="J1926" t="s">
        <v>25</v>
      </c>
      <c r="K1926" t="s">
        <v>4</v>
      </c>
      <c r="L1926" t="s">
        <v>67</v>
      </c>
      <c r="M1926" t="s">
        <v>82</v>
      </c>
      <c r="N1926" t="s">
        <v>13</v>
      </c>
    </row>
    <row r="1927" spans="1:14" x14ac:dyDescent="0.35">
      <c r="A1927" s="75">
        <v>44055</v>
      </c>
      <c r="B1927" t="s">
        <v>151</v>
      </c>
      <c r="C1927" t="s">
        <v>99</v>
      </c>
      <c r="D1927">
        <v>4</v>
      </c>
      <c r="E1927">
        <v>4</v>
      </c>
      <c r="F1927" t="s">
        <v>10</v>
      </c>
      <c r="G1927" t="s">
        <v>70</v>
      </c>
      <c r="H1927" t="s">
        <v>1</v>
      </c>
      <c r="I1927">
        <v>100000000</v>
      </c>
      <c r="J1927" t="s">
        <v>22</v>
      </c>
      <c r="K1927" t="s">
        <v>9</v>
      </c>
      <c r="L1927" t="s">
        <v>67</v>
      </c>
      <c r="M1927" t="s">
        <v>80</v>
      </c>
      <c r="N1927" t="s">
        <v>13</v>
      </c>
    </row>
    <row r="1928" spans="1:14" x14ac:dyDescent="0.35">
      <c r="A1928" s="75">
        <v>44056</v>
      </c>
      <c r="B1928" t="s">
        <v>152</v>
      </c>
      <c r="C1928" t="s">
        <v>99</v>
      </c>
      <c r="D1928">
        <v>9</v>
      </c>
      <c r="E1928">
        <v>9</v>
      </c>
      <c r="F1928" t="s">
        <v>10</v>
      </c>
      <c r="G1928" t="s">
        <v>75</v>
      </c>
      <c r="H1928" t="s">
        <v>6</v>
      </c>
      <c r="I1928">
        <v>140000000</v>
      </c>
      <c r="J1928" t="s">
        <v>24</v>
      </c>
      <c r="K1928" t="s">
        <v>5</v>
      </c>
      <c r="L1928" t="s">
        <v>67</v>
      </c>
      <c r="M1928" t="s">
        <v>81</v>
      </c>
      <c r="N1928" t="s">
        <v>14</v>
      </c>
    </row>
    <row r="1929" spans="1:14" x14ac:dyDescent="0.35">
      <c r="A1929" s="75">
        <v>44056</v>
      </c>
      <c r="B1929" t="s">
        <v>152</v>
      </c>
      <c r="C1929" t="s">
        <v>99</v>
      </c>
      <c r="D1929">
        <v>8</v>
      </c>
      <c r="E1929">
        <v>8</v>
      </c>
      <c r="F1929" t="s">
        <v>10</v>
      </c>
      <c r="G1929" t="s">
        <v>75</v>
      </c>
      <c r="H1929" t="s">
        <v>6</v>
      </c>
      <c r="I1929">
        <v>100000000</v>
      </c>
      <c r="J1929" t="s">
        <v>64</v>
      </c>
      <c r="K1929" t="s">
        <v>7</v>
      </c>
      <c r="L1929" t="s">
        <v>67</v>
      </c>
      <c r="M1929" t="s">
        <v>80</v>
      </c>
      <c r="N1929" t="s">
        <v>14</v>
      </c>
    </row>
    <row r="1930" spans="1:14" x14ac:dyDescent="0.35">
      <c r="A1930" s="75">
        <v>44056</v>
      </c>
      <c r="B1930" t="s">
        <v>152</v>
      </c>
      <c r="C1930" t="s">
        <v>99</v>
      </c>
      <c r="D1930">
        <v>7</v>
      </c>
      <c r="E1930">
        <v>7</v>
      </c>
      <c r="F1930" t="s">
        <v>10</v>
      </c>
      <c r="G1930" t="s">
        <v>75</v>
      </c>
      <c r="H1930" t="s">
        <v>6</v>
      </c>
      <c r="I1930">
        <v>60000000</v>
      </c>
      <c r="J1930" t="s">
        <v>60</v>
      </c>
      <c r="K1930" t="s">
        <v>7</v>
      </c>
      <c r="L1930" t="s">
        <v>67</v>
      </c>
      <c r="M1930" t="s">
        <v>80</v>
      </c>
      <c r="N1930" t="s">
        <v>14</v>
      </c>
    </row>
    <row r="1931" spans="1:14" x14ac:dyDescent="0.35">
      <c r="A1931" s="75">
        <v>44056</v>
      </c>
      <c r="B1931" t="s">
        <v>152</v>
      </c>
      <c r="C1931" t="s">
        <v>99</v>
      </c>
      <c r="D1931">
        <v>7</v>
      </c>
      <c r="E1931">
        <v>7</v>
      </c>
      <c r="F1931" t="s">
        <v>10</v>
      </c>
      <c r="G1931" t="s">
        <v>113</v>
      </c>
      <c r="H1931" t="s">
        <v>77</v>
      </c>
      <c r="I1931">
        <v>140000000</v>
      </c>
      <c r="J1931" t="s">
        <v>58</v>
      </c>
      <c r="K1931" t="s">
        <v>5</v>
      </c>
      <c r="L1931" t="s">
        <v>67</v>
      </c>
      <c r="M1931" t="s">
        <v>82</v>
      </c>
      <c r="N1931" t="s">
        <v>11</v>
      </c>
    </row>
    <row r="1932" spans="1:14" x14ac:dyDescent="0.35">
      <c r="A1932" s="75">
        <v>44056</v>
      </c>
      <c r="B1932" t="s">
        <v>152</v>
      </c>
      <c r="C1932" t="s">
        <v>99</v>
      </c>
      <c r="D1932">
        <v>5</v>
      </c>
      <c r="E1932">
        <v>5</v>
      </c>
      <c r="F1932" t="s">
        <v>10</v>
      </c>
      <c r="G1932" t="s">
        <v>70</v>
      </c>
      <c r="H1932" t="s">
        <v>1</v>
      </c>
      <c r="I1932">
        <v>60000000</v>
      </c>
      <c r="J1932" t="s">
        <v>42</v>
      </c>
      <c r="K1932" t="s">
        <v>2</v>
      </c>
      <c r="L1932" t="s">
        <v>67</v>
      </c>
      <c r="M1932" t="s">
        <v>80</v>
      </c>
      <c r="N1932" t="s">
        <v>13</v>
      </c>
    </row>
    <row r="1933" spans="1:14" x14ac:dyDescent="0.35">
      <c r="A1933" s="75">
        <v>44056</v>
      </c>
      <c r="B1933" t="s">
        <v>152</v>
      </c>
      <c r="C1933" t="s">
        <v>99</v>
      </c>
      <c r="D1933">
        <v>4</v>
      </c>
      <c r="E1933">
        <v>4</v>
      </c>
      <c r="F1933" t="s">
        <v>10</v>
      </c>
      <c r="G1933" t="s">
        <v>76</v>
      </c>
      <c r="H1933" t="s">
        <v>79</v>
      </c>
      <c r="I1933">
        <v>80000000</v>
      </c>
      <c r="J1933" t="s">
        <v>30</v>
      </c>
      <c r="K1933" t="s">
        <v>2</v>
      </c>
      <c r="L1933" t="s">
        <v>67</v>
      </c>
      <c r="M1933" t="s">
        <v>80</v>
      </c>
      <c r="N1933" t="s">
        <v>11</v>
      </c>
    </row>
    <row r="1934" spans="1:14" x14ac:dyDescent="0.35">
      <c r="A1934" s="75">
        <v>44056</v>
      </c>
      <c r="B1934" t="s">
        <v>152</v>
      </c>
      <c r="C1934" t="s">
        <v>99</v>
      </c>
      <c r="D1934">
        <v>4</v>
      </c>
      <c r="E1934">
        <v>4</v>
      </c>
      <c r="F1934" t="s">
        <v>10</v>
      </c>
      <c r="G1934" t="s">
        <v>75</v>
      </c>
      <c r="H1934" t="s">
        <v>6</v>
      </c>
      <c r="I1934">
        <v>80000000</v>
      </c>
      <c r="J1934" t="s">
        <v>39</v>
      </c>
      <c r="K1934" t="s">
        <v>5</v>
      </c>
      <c r="L1934" t="s">
        <v>67</v>
      </c>
      <c r="M1934" t="s">
        <v>80</v>
      </c>
      <c r="N1934" t="s">
        <v>11</v>
      </c>
    </row>
    <row r="1935" spans="1:14" x14ac:dyDescent="0.35">
      <c r="A1935" s="75">
        <v>44056</v>
      </c>
      <c r="B1935" t="s">
        <v>152</v>
      </c>
      <c r="C1935" t="s">
        <v>99</v>
      </c>
      <c r="D1935">
        <v>4</v>
      </c>
      <c r="E1935">
        <v>4</v>
      </c>
      <c r="F1935" t="s">
        <v>10</v>
      </c>
      <c r="G1935" t="s">
        <v>75</v>
      </c>
      <c r="H1935" t="s">
        <v>6</v>
      </c>
      <c r="I1935">
        <v>140000000</v>
      </c>
      <c r="J1935" t="s">
        <v>24</v>
      </c>
      <c r="K1935" t="s">
        <v>2</v>
      </c>
      <c r="L1935" t="s">
        <v>67</v>
      </c>
      <c r="M1935" t="s">
        <v>81</v>
      </c>
      <c r="N1935" t="s">
        <v>14</v>
      </c>
    </row>
    <row r="1936" spans="1:14" x14ac:dyDescent="0.35">
      <c r="A1936" s="75">
        <v>44057</v>
      </c>
      <c r="B1936" t="s">
        <v>153</v>
      </c>
      <c r="C1936" t="s">
        <v>99</v>
      </c>
      <c r="D1936">
        <v>7</v>
      </c>
      <c r="E1936">
        <v>7</v>
      </c>
      <c r="F1936" t="s">
        <v>10</v>
      </c>
      <c r="G1936" t="s">
        <v>76</v>
      </c>
      <c r="H1936" t="s">
        <v>79</v>
      </c>
      <c r="I1936">
        <v>60000000</v>
      </c>
      <c r="J1936" t="s">
        <v>31</v>
      </c>
      <c r="K1936" t="s">
        <v>5</v>
      </c>
      <c r="L1936" t="s">
        <v>67</v>
      </c>
      <c r="M1936" t="s">
        <v>80</v>
      </c>
      <c r="N1936" t="s">
        <v>11</v>
      </c>
    </row>
    <row r="1937" spans="1:14" x14ac:dyDescent="0.35">
      <c r="A1937" s="75">
        <v>44057</v>
      </c>
      <c r="B1937" t="s">
        <v>153</v>
      </c>
      <c r="C1937" t="s">
        <v>99</v>
      </c>
      <c r="D1937">
        <v>7</v>
      </c>
      <c r="E1937">
        <v>7</v>
      </c>
      <c r="F1937" t="s">
        <v>10</v>
      </c>
      <c r="G1937" t="s">
        <v>113</v>
      </c>
      <c r="H1937" t="s">
        <v>77</v>
      </c>
      <c r="I1937">
        <v>100000000</v>
      </c>
      <c r="J1937" t="s">
        <v>36</v>
      </c>
      <c r="K1937" t="s">
        <v>5</v>
      </c>
      <c r="L1937" t="s">
        <v>67</v>
      </c>
      <c r="M1937" t="s">
        <v>80</v>
      </c>
      <c r="N1937" t="s">
        <v>13</v>
      </c>
    </row>
    <row r="1938" spans="1:14" x14ac:dyDescent="0.35">
      <c r="A1938" s="75">
        <v>44057</v>
      </c>
      <c r="B1938" t="s">
        <v>153</v>
      </c>
      <c r="C1938" t="s">
        <v>99</v>
      </c>
      <c r="D1938">
        <v>6</v>
      </c>
      <c r="E1938">
        <v>6</v>
      </c>
      <c r="F1938" t="s">
        <v>10</v>
      </c>
      <c r="G1938" t="s">
        <v>76</v>
      </c>
      <c r="H1938" t="s">
        <v>79</v>
      </c>
      <c r="I1938">
        <v>60000000</v>
      </c>
      <c r="J1938" t="s">
        <v>17</v>
      </c>
      <c r="K1938" t="s">
        <v>2</v>
      </c>
      <c r="L1938" t="s">
        <v>67</v>
      </c>
      <c r="M1938" t="s">
        <v>81</v>
      </c>
      <c r="N1938" t="s">
        <v>11</v>
      </c>
    </row>
    <row r="1939" spans="1:14" x14ac:dyDescent="0.35">
      <c r="A1939" s="75">
        <v>44057</v>
      </c>
      <c r="B1939" t="s">
        <v>153</v>
      </c>
      <c r="C1939" t="s">
        <v>99</v>
      </c>
      <c r="D1939">
        <v>6</v>
      </c>
      <c r="E1939">
        <v>6</v>
      </c>
      <c r="F1939" t="s">
        <v>10</v>
      </c>
      <c r="G1939" t="s">
        <v>73</v>
      </c>
      <c r="H1939" t="s">
        <v>78</v>
      </c>
      <c r="I1939">
        <v>40000000</v>
      </c>
      <c r="J1939" t="s">
        <v>18</v>
      </c>
      <c r="K1939" t="s">
        <v>5</v>
      </c>
      <c r="L1939" t="s">
        <v>67</v>
      </c>
      <c r="M1939" t="s">
        <v>82</v>
      </c>
      <c r="N1939" t="s">
        <v>13</v>
      </c>
    </row>
    <row r="1940" spans="1:14" x14ac:dyDescent="0.35">
      <c r="A1940" s="75">
        <v>44057</v>
      </c>
      <c r="B1940" t="s">
        <v>153</v>
      </c>
      <c r="C1940" t="s">
        <v>99</v>
      </c>
      <c r="D1940">
        <v>3</v>
      </c>
      <c r="E1940">
        <v>3</v>
      </c>
      <c r="F1940" t="s">
        <v>10</v>
      </c>
      <c r="G1940" t="s">
        <v>74</v>
      </c>
      <c r="H1940" t="s">
        <v>77</v>
      </c>
      <c r="I1940">
        <v>120000000</v>
      </c>
      <c r="J1940" t="s">
        <v>16</v>
      </c>
      <c r="K1940" t="s">
        <v>2</v>
      </c>
      <c r="L1940" t="s">
        <v>67</v>
      </c>
      <c r="M1940" t="s">
        <v>80</v>
      </c>
      <c r="N1940" t="s">
        <v>12</v>
      </c>
    </row>
    <row r="1941" spans="1:14" x14ac:dyDescent="0.35">
      <c r="A1941" s="75">
        <v>44057</v>
      </c>
      <c r="B1941" t="s">
        <v>153</v>
      </c>
      <c r="C1941" t="s">
        <v>99</v>
      </c>
      <c r="D1941">
        <v>3</v>
      </c>
      <c r="E1941">
        <v>3</v>
      </c>
      <c r="F1941" t="s">
        <v>10</v>
      </c>
      <c r="G1941" t="s">
        <v>75</v>
      </c>
      <c r="H1941" t="s">
        <v>6</v>
      </c>
      <c r="I1941">
        <v>120000000</v>
      </c>
      <c r="J1941" t="s">
        <v>25</v>
      </c>
      <c r="K1941" t="s">
        <v>5</v>
      </c>
      <c r="L1941" t="s">
        <v>67</v>
      </c>
      <c r="M1941" t="s">
        <v>80</v>
      </c>
      <c r="N1941" t="s">
        <v>14</v>
      </c>
    </row>
    <row r="1942" spans="1:14" x14ac:dyDescent="0.35">
      <c r="A1942" s="75">
        <v>44057</v>
      </c>
      <c r="B1942" t="s">
        <v>153</v>
      </c>
      <c r="C1942" t="s">
        <v>99</v>
      </c>
      <c r="D1942">
        <v>3</v>
      </c>
      <c r="E1942">
        <v>3</v>
      </c>
      <c r="F1942" t="s">
        <v>10</v>
      </c>
      <c r="G1942" t="s">
        <v>113</v>
      </c>
      <c r="H1942" t="s">
        <v>77</v>
      </c>
      <c r="I1942">
        <v>100000000</v>
      </c>
      <c r="J1942" t="s">
        <v>27</v>
      </c>
      <c r="K1942" t="s">
        <v>2</v>
      </c>
      <c r="L1942" t="s">
        <v>67</v>
      </c>
      <c r="M1942" t="s">
        <v>81</v>
      </c>
      <c r="N1942" t="s">
        <v>12</v>
      </c>
    </row>
    <row r="1943" spans="1:14" x14ac:dyDescent="0.35">
      <c r="A1943" s="75">
        <v>44057</v>
      </c>
      <c r="B1943" t="s">
        <v>153</v>
      </c>
      <c r="C1943" t="s">
        <v>99</v>
      </c>
      <c r="D1943">
        <v>3</v>
      </c>
      <c r="E1943">
        <v>3</v>
      </c>
      <c r="F1943" t="s">
        <v>10</v>
      </c>
      <c r="G1943" t="s">
        <v>71</v>
      </c>
      <c r="H1943" t="s">
        <v>6</v>
      </c>
      <c r="I1943">
        <v>40000000</v>
      </c>
      <c r="J1943" t="s">
        <v>42</v>
      </c>
      <c r="K1943" t="s">
        <v>2</v>
      </c>
      <c r="L1943" t="s">
        <v>67</v>
      </c>
      <c r="M1943" t="s">
        <v>80</v>
      </c>
      <c r="N1943" t="s">
        <v>13</v>
      </c>
    </row>
    <row r="1944" spans="1:14" x14ac:dyDescent="0.35">
      <c r="A1944" s="75">
        <v>44057</v>
      </c>
      <c r="B1944" t="s">
        <v>153</v>
      </c>
      <c r="C1944" t="s">
        <v>99</v>
      </c>
      <c r="D1944">
        <v>3</v>
      </c>
      <c r="E1944">
        <v>3</v>
      </c>
      <c r="F1944" t="s">
        <v>10</v>
      </c>
      <c r="G1944" t="s">
        <v>114</v>
      </c>
      <c r="H1944" t="s">
        <v>3</v>
      </c>
      <c r="I1944">
        <v>40000000</v>
      </c>
      <c r="J1944" t="s">
        <v>30</v>
      </c>
      <c r="K1944" t="s">
        <v>5</v>
      </c>
      <c r="L1944" t="s">
        <v>67</v>
      </c>
      <c r="M1944" t="s">
        <v>80</v>
      </c>
      <c r="N1944" t="s">
        <v>14</v>
      </c>
    </row>
    <row r="1945" spans="1:14" x14ac:dyDescent="0.35">
      <c r="A1945" s="75">
        <v>44057</v>
      </c>
      <c r="B1945" t="s">
        <v>153</v>
      </c>
      <c r="C1945" t="s">
        <v>99</v>
      </c>
      <c r="D1945">
        <v>3</v>
      </c>
      <c r="E1945">
        <v>3</v>
      </c>
      <c r="F1945" t="s">
        <v>10</v>
      </c>
      <c r="G1945" t="s">
        <v>70</v>
      </c>
      <c r="H1945" t="s">
        <v>1</v>
      </c>
      <c r="I1945">
        <v>100000000</v>
      </c>
      <c r="J1945" t="s">
        <v>37</v>
      </c>
      <c r="K1945" t="s">
        <v>2</v>
      </c>
      <c r="L1945" t="s">
        <v>67</v>
      </c>
      <c r="M1945" t="s">
        <v>82</v>
      </c>
      <c r="N1945" t="s">
        <v>12</v>
      </c>
    </row>
    <row r="1946" spans="1:14" x14ac:dyDescent="0.35">
      <c r="A1946" s="75">
        <v>44058</v>
      </c>
      <c r="B1946" t="s">
        <v>154</v>
      </c>
      <c r="C1946" t="s">
        <v>99</v>
      </c>
      <c r="D1946">
        <v>9</v>
      </c>
      <c r="E1946">
        <v>9</v>
      </c>
      <c r="F1946" t="s">
        <v>10</v>
      </c>
      <c r="G1946" t="s">
        <v>72</v>
      </c>
      <c r="H1946" t="s">
        <v>78</v>
      </c>
      <c r="I1946">
        <v>120000000</v>
      </c>
      <c r="J1946" t="s">
        <v>60</v>
      </c>
      <c r="K1946" t="s">
        <v>2</v>
      </c>
      <c r="L1946" t="s">
        <v>67</v>
      </c>
      <c r="M1946" t="s">
        <v>80</v>
      </c>
      <c r="N1946" t="s">
        <v>11</v>
      </c>
    </row>
    <row r="1947" spans="1:14" x14ac:dyDescent="0.35">
      <c r="A1947" s="75">
        <v>44058</v>
      </c>
      <c r="B1947" t="s">
        <v>154</v>
      </c>
      <c r="C1947" t="s">
        <v>99</v>
      </c>
      <c r="D1947">
        <v>9</v>
      </c>
      <c r="E1947">
        <v>9</v>
      </c>
      <c r="F1947" t="s">
        <v>10</v>
      </c>
      <c r="G1947" t="s">
        <v>113</v>
      </c>
      <c r="H1947" t="s">
        <v>77</v>
      </c>
      <c r="I1947">
        <v>120000000</v>
      </c>
      <c r="J1947" t="s">
        <v>33</v>
      </c>
      <c r="K1947" t="s">
        <v>2</v>
      </c>
      <c r="L1947" t="s">
        <v>67</v>
      </c>
      <c r="M1947" t="s">
        <v>82</v>
      </c>
      <c r="N1947" t="s">
        <v>14</v>
      </c>
    </row>
    <row r="1948" spans="1:14" x14ac:dyDescent="0.35">
      <c r="A1948" s="75">
        <v>44058</v>
      </c>
      <c r="B1948" t="s">
        <v>154</v>
      </c>
      <c r="C1948" t="s">
        <v>99</v>
      </c>
      <c r="D1948">
        <v>7</v>
      </c>
      <c r="E1948">
        <v>7</v>
      </c>
      <c r="F1948" t="s">
        <v>10</v>
      </c>
      <c r="G1948" t="s">
        <v>70</v>
      </c>
      <c r="H1948" t="s">
        <v>1</v>
      </c>
      <c r="I1948">
        <v>80000000</v>
      </c>
      <c r="J1948" t="s">
        <v>54</v>
      </c>
      <c r="K1948" t="s">
        <v>7</v>
      </c>
      <c r="L1948" t="s">
        <v>67</v>
      </c>
      <c r="M1948" t="s">
        <v>80</v>
      </c>
      <c r="N1948" t="s">
        <v>14</v>
      </c>
    </row>
    <row r="1949" spans="1:14" x14ac:dyDescent="0.35">
      <c r="A1949" s="75">
        <v>44058</v>
      </c>
      <c r="B1949" t="s">
        <v>154</v>
      </c>
      <c r="C1949" t="s">
        <v>99</v>
      </c>
      <c r="D1949">
        <v>6</v>
      </c>
      <c r="E1949">
        <v>6</v>
      </c>
      <c r="F1949" t="s">
        <v>10</v>
      </c>
      <c r="G1949" t="s">
        <v>113</v>
      </c>
      <c r="H1949" t="s">
        <v>77</v>
      </c>
      <c r="I1949">
        <v>60000000</v>
      </c>
      <c r="J1949" t="s">
        <v>30</v>
      </c>
      <c r="K1949" t="s">
        <v>5</v>
      </c>
      <c r="L1949" t="s">
        <v>67</v>
      </c>
      <c r="M1949" t="s">
        <v>81</v>
      </c>
      <c r="N1949" t="s">
        <v>12</v>
      </c>
    </row>
    <row r="1950" spans="1:14" x14ac:dyDescent="0.35">
      <c r="A1950" s="75">
        <v>44058</v>
      </c>
      <c r="B1950" t="s">
        <v>154</v>
      </c>
      <c r="C1950" t="s">
        <v>99</v>
      </c>
      <c r="D1950">
        <v>6</v>
      </c>
      <c r="E1950">
        <v>6</v>
      </c>
      <c r="F1950" t="s">
        <v>10</v>
      </c>
      <c r="G1950" t="s">
        <v>114</v>
      </c>
      <c r="H1950" t="s">
        <v>3</v>
      </c>
      <c r="I1950">
        <v>60000000</v>
      </c>
      <c r="J1950" t="s">
        <v>29</v>
      </c>
      <c r="K1950" t="s">
        <v>5</v>
      </c>
      <c r="L1950" t="s">
        <v>67</v>
      </c>
      <c r="M1950" t="s">
        <v>81</v>
      </c>
      <c r="N1950" t="s">
        <v>14</v>
      </c>
    </row>
    <row r="1951" spans="1:14" x14ac:dyDescent="0.35">
      <c r="A1951" s="75">
        <v>44058</v>
      </c>
      <c r="B1951" t="s">
        <v>154</v>
      </c>
      <c r="C1951" t="s">
        <v>99</v>
      </c>
      <c r="D1951">
        <v>4</v>
      </c>
      <c r="E1951">
        <v>4</v>
      </c>
      <c r="F1951" t="s">
        <v>10</v>
      </c>
      <c r="G1951" t="s">
        <v>76</v>
      </c>
      <c r="H1951" t="s">
        <v>79</v>
      </c>
      <c r="I1951">
        <v>60000000</v>
      </c>
      <c r="J1951" t="s">
        <v>43</v>
      </c>
      <c r="K1951" t="s">
        <v>2</v>
      </c>
      <c r="L1951" t="s">
        <v>67</v>
      </c>
      <c r="M1951" t="s">
        <v>82</v>
      </c>
      <c r="N1951" t="s">
        <v>11</v>
      </c>
    </row>
    <row r="1952" spans="1:14" x14ac:dyDescent="0.35">
      <c r="A1952" s="75">
        <v>44058</v>
      </c>
      <c r="B1952" t="s">
        <v>154</v>
      </c>
      <c r="C1952" t="s">
        <v>99</v>
      </c>
      <c r="D1952">
        <v>3</v>
      </c>
      <c r="E1952">
        <v>3</v>
      </c>
      <c r="F1952" t="s">
        <v>10</v>
      </c>
      <c r="G1952" t="s">
        <v>114</v>
      </c>
      <c r="H1952" t="s">
        <v>3</v>
      </c>
      <c r="I1952">
        <v>100000000</v>
      </c>
      <c r="J1952" t="s">
        <v>56</v>
      </c>
      <c r="K1952" t="s">
        <v>4</v>
      </c>
      <c r="L1952" t="s">
        <v>67</v>
      </c>
      <c r="M1952" t="s">
        <v>80</v>
      </c>
      <c r="N1952" t="s">
        <v>12</v>
      </c>
    </row>
    <row r="1953" spans="1:14" x14ac:dyDescent="0.35">
      <c r="A1953" s="75">
        <v>44058</v>
      </c>
      <c r="B1953" t="s">
        <v>154</v>
      </c>
      <c r="C1953" t="s">
        <v>99</v>
      </c>
      <c r="D1953">
        <v>3</v>
      </c>
      <c r="E1953">
        <v>3</v>
      </c>
      <c r="F1953" t="s">
        <v>10</v>
      </c>
      <c r="G1953" t="s">
        <v>74</v>
      </c>
      <c r="H1953" t="s">
        <v>77</v>
      </c>
      <c r="I1953">
        <v>60000000</v>
      </c>
      <c r="J1953" t="s">
        <v>21</v>
      </c>
      <c r="K1953" t="s">
        <v>7</v>
      </c>
      <c r="L1953" t="s">
        <v>67</v>
      </c>
      <c r="M1953" t="s">
        <v>81</v>
      </c>
      <c r="N1953" t="s">
        <v>12</v>
      </c>
    </row>
    <row r="1954" spans="1:14" x14ac:dyDescent="0.35">
      <c r="A1954" s="75">
        <v>44058</v>
      </c>
      <c r="B1954" t="s">
        <v>154</v>
      </c>
      <c r="C1954" t="s">
        <v>99</v>
      </c>
      <c r="D1954">
        <v>3</v>
      </c>
      <c r="E1954">
        <v>3</v>
      </c>
      <c r="F1954" t="s">
        <v>10</v>
      </c>
      <c r="G1954" t="s">
        <v>76</v>
      </c>
      <c r="H1954" t="s">
        <v>79</v>
      </c>
      <c r="I1954">
        <v>140000000</v>
      </c>
      <c r="J1954" t="s">
        <v>45</v>
      </c>
      <c r="K1954" t="s">
        <v>4</v>
      </c>
      <c r="L1954" t="s">
        <v>67</v>
      </c>
      <c r="M1954" t="s">
        <v>81</v>
      </c>
      <c r="N1954" t="s">
        <v>13</v>
      </c>
    </row>
    <row r="1955" spans="1:14" x14ac:dyDescent="0.35">
      <c r="A1955" s="75">
        <v>44059</v>
      </c>
      <c r="B1955" t="s">
        <v>155</v>
      </c>
      <c r="C1955" t="s">
        <v>99</v>
      </c>
      <c r="D1955">
        <v>10</v>
      </c>
      <c r="E1955">
        <v>10</v>
      </c>
      <c r="F1955" t="s">
        <v>10</v>
      </c>
      <c r="G1955" t="s">
        <v>75</v>
      </c>
      <c r="H1955" t="s">
        <v>6</v>
      </c>
      <c r="I1955">
        <v>120000000</v>
      </c>
      <c r="J1955" t="s">
        <v>17</v>
      </c>
      <c r="K1955" t="s">
        <v>2</v>
      </c>
      <c r="L1955" t="s">
        <v>67</v>
      </c>
      <c r="M1955" t="s">
        <v>81</v>
      </c>
      <c r="N1955" t="s">
        <v>12</v>
      </c>
    </row>
    <row r="1956" spans="1:14" x14ac:dyDescent="0.35">
      <c r="A1956" s="75">
        <v>44059</v>
      </c>
      <c r="B1956" t="s">
        <v>155</v>
      </c>
      <c r="C1956" t="s">
        <v>99</v>
      </c>
      <c r="D1956">
        <v>9</v>
      </c>
      <c r="E1956">
        <v>9</v>
      </c>
      <c r="F1956" t="s">
        <v>10</v>
      </c>
      <c r="G1956" t="s">
        <v>76</v>
      </c>
      <c r="H1956" t="s">
        <v>79</v>
      </c>
      <c r="I1956">
        <v>100000000</v>
      </c>
      <c r="J1956" t="s">
        <v>31</v>
      </c>
      <c r="K1956" t="s">
        <v>2</v>
      </c>
      <c r="L1956" t="s">
        <v>67</v>
      </c>
      <c r="M1956" t="s">
        <v>81</v>
      </c>
      <c r="N1956" t="s">
        <v>12</v>
      </c>
    </row>
    <row r="1957" spans="1:14" x14ac:dyDescent="0.35">
      <c r="A1957" s="75">
        <v>44059</v>
      </c>
      <c r="B1957" t="s">
        <v>155</v>
      </c>
      <c r="C1957" t="s">
        <v>99</v>
      </c>
      <c r="D1957">
        <v>8</v>
      </c>
      <c r="E1957">
        <v>8</v>
      </c>
      <c r="F1957" t="s">
        <v>10</v>
      </c>
      <c r="G1957" t="s">
        <v>114</v>
      </c>
      <c r="H1957" t="s">
        <v>3</v>
      </c>
      <c r="I1957">
        <v>100000000</v>
      </c>
      <c r="J1957" t="s">
        <v>55</v>
      </c>
      <c r="K1957" t="s">
        <v>5</v>
      </c>
      <c r="L1957" t="s">
        <v>67</v>
      </c>
      <c r="M1957" t="s">
        <v>82</v>
      </c>
      <c r="N1957" t="s">
        <v>11</v>
      </c>
    </row>
    <row r="1958" spans="1:14" x14ac:dyDescent="0.35">
      <c r="A1958" s="75">
        <v>44059</v>
      </c>
      <c r="B1958" t="s">
        <v>155</v>
      </c>
      <c r="C1958" t="s">
        <v>99</v>
      </c>
      <c r="D1958">
        <v>4</v>
      </c>
      <c r="E1958">
        <v>4</v>
      </c>
      <c r="F1958" t="s">
        <v>10</v>
      </c>
      <c r="G1958" t="s">
        <v>73</v>
      </c>
      <c r="H1958" t="s">
        <v>78</v>
      </c>
      <c r="I1958">
        <v>40000000</v>
      </c>
      <c r="J1958" t="s">
        <v>25</v>
      </c>
      <c r="K1958" t="s">
        <v>2</v>
      </c>
      <c r="L1958" t="s">
        <v>67</v>
      </c>
      <c r="M1958" t="s">
        <v>80</v>
      </c>
      <c r="N1958" t="s">
        <v>13</v>
      </c>
    </row>
    <row r="1959" spans="1:14" x14ac:dyDescent="0.35">
      <c r="A1959" s="75">
        <v>44060</v>
      </c>
      <c r="B1959" t="s">
        <v>156</v>
      </c>
      <c r="C1959" t="s">
        <v>99</v>
      </c>
      <c r="D1959">
        <v>10</v>
      </c>
      <c r="E1959">
        <v>10</v>
      </c>
      <c r="F1959" t="s">
        <v>10</v>
      </c>
      <c r="G1959" t="s">
        <v>76</v>
      </c>
      <c r="H1959" t="s">
        <v>79</v>
      </c>
      <c r="I1959">
        <v>100000000</v>
      </c>
      <c r="J1959" t="s">
        <v>17</v>
      </c>
      <c r="K1959" t="s">
        <v>9</v>
      </c>
      <c r="L1959" t="s">
        <v>67</v>
      </c>
      <c r="M1959" t="s">
        <v>81</v>
      </c>
      <c r="N1959" t="s">
        <v>13</v>
      </c>
    </row>
    <row r="1960" spans="1:14" x14ac:dyDescent="0.35">
      <c r="A1960" s="75">
        <v>44060</v>
      </c>
      <c r="B1960" t="s">
        <v>156</v>
      </c>
      <c r="C1960" t="s">
        <v>99</v>
      </c>
      <c r="D1960">
        <v>9</v>
      </c>
      <c r="E1960">
        <v>9</v>
      </c>
      <c r="F1960" t="s">
        <v>10</v>
      </c>
      <c r="G1960" t="s">
        <v>113</v>
      </c>
      <c r="H1960" t="s">
        <v>77</v>
      </c>
      <c r="I1960">
        <v>120000000</v>
      </c>
      <c r="J1960" t="s">
        <v>47</v>
      </c>
      <c r="K1960" t="s">
        <v>2</v>
      </c>
      <c r="L1960" t="s">
        <v>67</v>
      </c>
      <c r="M1960" t="s">
        <v>82</v>
      </c>
      <c r="N1960" t="s">
        <v>12</v>
      </c>
    </row>
    <row r="1961" spans="1:14" x14ac:dyDescent="0.35">
      <c r="A1961" s="75">
        <v>44060</v>
      </c>
      <c r="B1961" t="s">
        <v>156</v>
      </c>
      <c r="C1961" t="s">
        <v>99</v>
      </c>
      <c r="D1961">
        <v>8</v>
      </c>
      <c r="E1961">
        <v>8</v>
      </c>
      <c r="F1961" t="s">
        <v>10</v>
      </c>
      <c r="G1961" t="s">
        <v>70</v>
      </c>
      <c r="H1961" t="s">
        <v>1</v>
      </c>
      <c r="I1961">
        <v>40000000</v>
      </c>
      <c r="J1961" t="s">
        <v>31</v>
      </c>
      <c r="K1961" t="s">
        <v>4</v>
      </c>
      <c r="L1961" t="s">
        <v>67</v>
      </c>
      <c r="M1961" t="s">
        <v>82</v>
      </c>
      <c r="N1961" t="s">
        <v>11</v>
      </c>
    </row>
    <row r="1962" spans="1:14" x14ac:dyDescent="0.35">
      <c r="A1962" s="75">
        <v>44060</v>
      </c>
      <c r="B1962" t="s">
        <v>156</v>
      </c>
      <c r="C1962" t="s">
        <v>99</v>
      </c>
      <c r="D1962">
        <v>7</v>
      </c>
      <c r="E1962">
        <v>7</v>
      </c>
      <c r="F1962" t="s">
        <v>10</v>
      </c>
      <c r="G1962" t="s">
        <v>75</v>
      </c>
      <c r="H1962" t="s">
        <v>6</v>
      </c>
      <c r="I1962">
        <v>40000000</v>
      </c>
      <c r="J1962" t="s">
        <v>45</v>
      </c>
      <c r="K1962" t="s">
        <v>2</v>
      </c>
      <c r="L1962" t="s">
        <v>67</v>
      </c>
      <c r="M1962" t="s">
        <v>81</v>
      </c>
      <c r="N1962" t="s">
        <v>12</v>
      </c>
    </row>
    <row r="1963" spans="1:14" x14ac:dyDescent="0.35">
      <c r="A1963" s="75">
        <v>44060</v>
      </c>
      <c r="B1963" t="s">
        <v>156</v>
      </c>
      <c r="C1963" t="s">
        <v>99</v>
      </c>
      <c r="D1963">
        <v>7</v>
      </c>
      <c r="E1963">
        <v>7</v>
      </c>
      <c r="F1963" t="s">
        <v>10</v>
      </c>
      <c r="G1963" t="s">
        <v>73</v>
      </c>
      <c r="H1963" t="s">
        <v>78</v>
      </c>
      <c r="I1963">
        <v>100000000</v>
      </c>
      <c r="J1963" t="s">
        <v>16</v>
      </c>
      <c r="K1963" t="s">
        <v>7</v>
      </c>
      <c r="L1963" t="s">
        <v>67</v>
      </c>
      <c r="M1963" t="s">
        <v>82</v>
      </c>
      <c r="N1963" t="s">
        <v>12</v>
      </c>
    </row>
    <row r="1964" spans="1:14" x14ac:dyDescent="0.35">
      <c r="A1964" s="75">
        <v>44060</v>
      </c>
      <c r="B1964" t="s">
        <v>156</v>
      </c>
      <c r="C1964" t="s">
        <v>99</v>
      </c>
      <c r="D1964">
        <v>5</v>
      </c>
      <c r="E1964">
        <v>5</v>
      </c>
      <c r="F1964" t="s">
        <v>10</v>
      </c>
      <c r="G1964" t="s">
        <v>70</v>
      </c>
      <c r="H1964" t="s">
        <v>1</v>
      </c>
      <c r="I1964">
        <v>120000000</v>
      </c>
      <c r="J1964" t="s">
        <v>60</v>
      </c>
      <c r="K1964" t="s">
        <v>5</v>
      </c>
      <c r="L1964" t="s">
        <v>67</v>
      </c>
      <c r="M1964" t="s">
        <v>82</v>
      </c>
      <c r="N1964" t="s">
        <v>14</v>
      </c>
    </row>
    <row r="1965" spans="1:14" x14ac:dyDescent="0.35">
      <c r="A1965" s="75">
        <v>44060</v>
      </c>
      <c r="B1965" t="s">
        <v>156</v>
      </c>
      <c r="C1965" t="s">
        <v>99</v>
      </c>
      <c r="D1965">
        <v>3</v>
      </c>
      <c r="E1965">
        <v>3</v>
      </c>
      <c r="F1965" t="s">
        <v>10</v>
      </c>
      <c r="G1965" t="s">
        <v>113</v>
      </c>
      <c r="H1965" t="s">
        <v>77</v>
      </c>
      <c r="I1965">
        <v>40000000</v>
      </c>
      <c r="J1965" t="s">
        <v>44</v>
      </c>
      <c r="K1965" t="s">
        <v>2</v>
      </c>
      <c r="L1965" t="s">
        <v>67</v>
      </c>
      <c r="M1965" t="s">
        <v>82</v>
      </c>
      <c r="N1965" t="s">
        <v>14</v>
      </c>
    </row>
    <row r="1966" spans="1:14" x14ac:dyDescent="0.35">
      <c r="A1966" s="75">
        <v>44060</v>
      </c>
      <c r="B1966" t="s">
        <v>156</v>
      </c>
      <c r="C1966" t="s">
        <v>99</v>
      </c>
      <c r="D1966">
        <v>3</v>
      </c>
      <c r="E1966">
        <v>3</v>
      </c>
      <c r="F1966" t="s">
        <v>10</v>
      </c>
      <c r="G1966" t="s">
        <v>76</v>
      </c>
      <c r="H1966" t="s">
        <v>79</v>
      </c>
      <c r="I1966">
        <v>100000000</v>
      </c>
      <c r="J1966" t="s">
        <v>39</v>
      </c>
      <c r="K1966" t="s">
        <v>2</v>
      </c>
      <c r="L1966" t="s">
        <v>67</v>
      </c>
      <c r="M1966" t="s">
        <v>80</v>
      </c>
      <c r="N1966" t="s">
        <v>11</v>
      </c>
    </row>
    <row r="1967" spans="1:14" x14ac:dyDescent="0.35">
      <c r="A1967" s="75">
        <v>44061</v>
      </c>
      <c r="B1967" t="s">
        <v>157</v>
      </c>
      <c r="C1967" t="s">
        <v>99</v>
      </c>
      <c r="D1967">
        <v>10</v>
      </c>
      <c r="E1967">
        <v>10</v>
      </c>
      <c r="F1967" t="s">
        <v>10</v>
      </c>
      <c r="G1967" t="s">
        <v>75</v>
      </c>
      <c r="H1967" t="s">
        <v>6</v>
      </c>
      <c r="I1967">
        <v>120000000</v>
      </c>
      <c r="J1967" t="s">
        <v>59</v>
      </c>
      <c r="K1967" t="s">
        <v>5</v>
      </c>
      <c r="L1967" t="s">
        <v>67</v>
      </c>
      <c r="M1967" t="s">
        <v>82</v>
      </c>
      <c r="N1967" t="s">
        <v>12</v>
      </c>
    </row>
    <row r="1968" spans="1:14" x14ac:dyDescent="0.35">
      <c r="A1968" s="75">
        <v>44061</v>
      </c>
      <c r="B1968" t="s">
        <v>157</v>
      </c>
      <c r="C1968" t="s">
        <v>99</v>
      </c>
      <c r="D1968">
        <v>10</v>
      </c>
      <c r="E1968">
        <v>10</v>
      </c>
      <c r="F1968" t="s">
        <v>10</v>
      </c>
      <c r="G1968" t="s">
        <v>72</v>
      </c>
      <c r="H1968" t="s">
        <v>78</v>
      </c>
      <c r="I1968">
        <v>120000000</v>
      </c>
      <c r="J1968" t="s">
        <v>49</v>
      </c>
      <c r="K1968" t="s">
        <v>2</v>
      </c>
      <c r="L1968" t="s">
        <v>67</v>
      </c>
      <c r="M1968" t="s">
        <v>81</v>
      </c>
      <c r="N1968" t="s">
        <v>13</v>
      </c>
    </row>
    <row r="1969" spans="1:14" x14ac:dyDescent="0.35">
      <c r="A1969" s="75">
        <v>44061</v>
      </c>
      <c r="B1969" t="s">
        <v>157</v>
      </c>
      <c r="C1969" t="s">
        <v>99</v>
      </c>
      <c r="D1969">
        <v>10</v>
      </c>
      <c r="E1969">
        <v>10</v>
      </c>
      <c r="F1969" t="s">
        <v>10</v>
      </c>
      <c r="G1969" t="s">
        <v>70</v>
      </c>
      <c r="H1969" t="s">
        <v>1</v>
      </c>
      <c r="I1969">
        <v>80000000</v>
      </c>
      <c r="J1969" t="s">
        <v>46</v>
      </c>
      <c r="K1969" t="s">
        <v>2</v>
      </c>
      <c r="L1969" t="s">
        <v>67</v>
      </c>
      <c r="M1969" t="s">
        <v>80</v>
      </c>
      <c r="N1969" t="s">
        <v>11</v>
      </c>
    </row>
    <row r="1970" spans="1:14" x14ac:dyDescent="0.35">
      <c r="A1970" s="75">
        <v>44061</v>
      </c>
      <c r="B1970" t="s">
        <v>157</v>
      </c>
      <c r="C1970" t="s">
        <v>99</v>
      </c>
      <c r="D1970">
        <v>9</v>
      </c>
      <c r="E1970">
        <v>9</v>
      </c>
      <c r="F1970" t="s">
        <v>10</v>
      </c>
      <c r="G1970" t="s">
        <v>74</v>
      </c>
      <c r="H1970" t="s">
        <v>77</v>
      </c>
      <c r="I1970">
        <v>140000000</v>
      </c>
      <c r="J1970" t="s">
        <v>47</v>
      </c>
      <c r="K1970" t="s">
        <v>2</v>
      </c>
      <c r="L1970" t="s">
        <v>67</v>
      </c>
      <c r="M1970" t="s">
        <v>82</v>
      </c>
      <c r="N1970" t="s">
        <v>13</v>
      </c>
    </row>
    <row r="1971" spans="1:14" x14ac:dyDescent="0.35">
      <c r="A1971" s="75">
        <v>44061</v>
      </c>
      <c r="B1971" t="s">
        <v>157</v>
      </c>
      <c r="C1971" t="s">
        <v>99</v>
      </c>
      <c r="D1971">
        <v>9</v>
      </c>
      <c r="E1971">
        <v>9</v>
      </c>
      <c r="F1971" t="s">
        <v>10</v>
      </c>
      <c r="G1971" t="s">
        <v>113</v>
      </c>
      <c r="H1971" t="s">
        <v>77</v>
      </c>
      <c r="I1971">
        <v>120000000</v>
      </c>
      <c r="J1971" t="s">
        <v>24</v>
      </c>
      <c r="K1971" t="s">
        <v>5</v>
      </c>
      <c r="L1971" t="s">
        <v>67</v>
      </c>
      <c r="M1971" t="s">
        <v>81</v>
      </c>
      <c r="N1971" t="s">
        <v>12</v>
      </c>
    </row>
    <row r="1972" spans="1:14" x14ac:dyDescent="0.35">
      <c r="A1972" s="75">
        <v>44061</v>
      </c>
      <c r="B1972" t="s">
        <v>157</v>
      </c>
      <c r="C1972" t="s">
        <v>99</v>
      </c>
      <c r="D1972">
        <v>5</v>
      </c>
      <c r="E1972">
        <v>5</v>
      </c>
      <c r="F1972" t="s">
        <v>10</v>
      </c>
      <c r="G1972" t="s">
        <v>70</v>
      </c>
      <c r="H1972" t="s">
        <v>1</v>
      </c>
      <c r="I1972">
        <v>100000000</v>
      </c>
      <c r="J1972" t="s">
        <v>15</v>
      </c>
      <c r="K1972" t="s">
        <v>4</v>
      </c>
      <c r="L1972" t="s">
        <v>67</v>
      </c>
      <c r="M1972" t="s">
        <v>81</v>
      </c>
      <c r="N1972" t="s">
        <v>13</v>
      </c>
    </row>
    <row r="1973" spans="1:14" x14ac:dyDescent="0.35">
      <c r="A1973" s="75">
        <v>44061</v>
      </c>
      <c r="B1973" t="s">
        <v>157</v>
      </c>
      <c r="C1973" t="s">
        <v>99</v>
      </c>
      <c r="D1973">
        <v>5</v>
      </c>
      <c r="E1973">
        <v>5</v>
      </c>
      <c r="F1973" t="s">
        <v>10</v>
      </c>
      <c r="G1973" t="s">
        <v>114</v>
      </c>
      <c r="H1973" t="s">
        <v>3</v>
      </c>
      <c r="I1973">
        <v>120000000</v>
      </c>
      <c r="J1973" t="s">
        <v>46</v>
      </c>
      <c r="K1973" t="s">
        <v>8</v>
      </c>
      <c r="L1973" t="s">
        <v>67</v>
      </c>
      <c r="M1973" t="s">
        <v>82</v>
      </c>
      <c r="N1973" t="s">
        <v>12</v>
      </c>
    </row>
    <row r="1974" spans="1:14" x14ac:dyDescent="0.35">
      <c r="A1974" s="75">
        <v>44061</v>
      </c>
      <c r="B1974" t="s">
        <v>157</v>
      </c>
      <c r="C1974" t="s">
        <v>99</v>
      </c>
      <c r="D1974">
        <v>3</v>
      </c>
      <c r="E1974">
        <v>3</v>
      </c>
      <c r="F1974" t="s">
        <v>10</v>
      </c>
      <c r="G1974" t="s">
        <v>75</v>
      </c>
      <c r="H1974" t="s">
        <v>6</v>
      </c>
      <c r="I1974">
        <v>140000000</v>
      </c>
      <c r="J1974" t="s">
        <v>18</v>
      </c>
      <c r="K1974" t="s">
        <v>5</v>
      </c>
      <c r="L1974" t="s">
        <v>67</v>
      </c>
      <c r="M1974" t="s">
        <v>82</v>
      </c>
      <c r="N1974" t="s">
        <v>14</v>
      </c>
    </row>
    <row r="1975" spans="1:14" x14ac:dyDescent="0.35">
      <c r="A1975" s="75">
        <v>44061</v>
      </c>
      <c r="B1975" t="s">
        <v>157</v>
      </c>
      <c r="C1975" t="s">
        <v>99</v>
      </c>
      <c r="D1975">
        <v>3</v>
      </c>
      <c r="E1975">
        <v>3</v>
      </c>
      <c r="F1975" t="s">
        <v>10</v>
      </c>
      <c r="G1975" t="s">
        <v>73</v>
      </c>
      <c r="H1975" t="s">
        <v>78</v>
      </c>
      <c r="I1975">
        <v>80000000</v>
      </c>
      <c r="J1975" t="s">
        <v>48</v>
      </c>
      <c r="K1975" t="s">
        <v>5</v>
      </c>
      <c r="L1975" t="s">
        <v>67</v>
      </c>
      <c r="M1975" t="s">
        <v>80</v>
      </c>
      <c r="N1975" t="s">
        <v>12</v>
      </c>
    </row>
    <row r="1976" spans="1:14" x14ac:dyDescent="0.35">
      <c r="A1976" s="75">
        <v>44062</v>
      </c>
      <c r="B1976" t="s">
        <v>158</v>
      </c>
      <c r="C1976" t="s">
        <v>99</v>
      </c>
      <c r="D1976">
        <v>10</v>
      </c>
      <c r="E1976">
        <v>9</v>
      </c>
      <c r="F1976">
        <v>1</v>
      </c>
      <c r="G1976" t="s">
        <v>74</v>
      </c>
      <c r="H1976" t="s">
        <v>77</v>
      </c>
      <c r="I1976">
        <v>60000000</v>
      </c>
      <c r="J1976" t="s">
        <v>52</v>
      </c>
      <c r="K1976" t="s">
        <v>5</v>
      </c>
      <c r="L1976" t="s">
        <v>67</v>
      </c>
      <c r="M1976" t="s">
        <v>81</v>
      </c>
      <c r="N1976" t="s">
        <v>12</v>
      </c>
    </row>
    <row r="1977" spans="1:14" x14ac:dyDescent="0.35">
      <c r="A1977" s="75">
        <v>44062</v>
      </c>
      <c r="B1977" t="s">
        <v>158</v>
      </c>
      <c r="C1977" t="s">
        <v>99</v>
      </c>
      <c r="D1977">
        <v>10</v>
      </c>
      <c r="E1977">
        <v>7</v>
      </c>
      <c r="F1977">
        <v>3</v>
      </c>
      <c r="G1977" t="s">
        <v>114</v>
      </c>
      <c r="H1977" t="s">
        <v>3</v>
      </c>
      <c r="I1977">
        <v>80000000</v>
      </c>
      <c r="J1977" t="s">
        <v>47</v>
      </c>
      <c r="K1977" t="s">
        <v>2</v>
      </c>
      <c r="L1977" t="s">
        <v>67</v>
      </c>
      <c r="M1977" t="s">
        <v>82</v>
      </c>
      <c r="N1977" t="s">
        <v>14</v>
      </c>
    </row>
    <row r="1978" spans="1:14" x14ac:dyDescent="0.35">
      <c r="A1978" s="75">
        <v>44062</v>
      </c>
      <c r="B1978" t="s">
        <v>158</v>
      </c>
      <c r="C1978" t="s">
        <v>99</v>
      </c>
      <c r="D1978">
        <v>10</v>
      </c>
      <c r="E1978">
        <v>7</v>
      </c>
      <c r="F1978">
        <v>3</v>
      </c>
      <c r="G1978" t="s">
        <v>114</v>
      </c>
      <c r="H1978" t="s">
        <v>3</v>
      </c>
      <c r="I1978">
        <v>60000000</v>
      </c>
      <c r="J1978" t="s">
        <v>46</v>
      </c>
      <c r="K1978" t="s">
        <v>7</v>
      </c>
      <c r="L1978" t="s">
        <v>67</v>
      </c>
      <c r="M1978" t="s">
        <v>80</v>
      </c>
      <c r="N1978" t="s">
        <v>13</v>
      </c>
    </row>
    <row r="1979" spans="1:14" x14ac:dyDescent="0.35">
      <c r="A1979" s="75">
        <v>44062</v>
      </c>
      <c r="B1979" t="s">
        <v>158</v>
      </c>
      <c r="C1979" t="s">
        <v>99</v>
      </c>
      <c r="D1979">
        <v>6</v>
      </c>
      <c r="E1979">
        <v>4</v>
      </c>
      <c r="F1979">
        <v>2</v>
      </c>
      <c r="G1979" t="s">
        <v>75</v>
      </c>
      <c r="H1979" t="s">
        <v>6</v>
      </c>
      <c r="I1979">
        <v>60000000</v>
      </c>
      <c r="J1979" t="s">
        <v>25</v>
      </c>
      <c r="K1979" t="s">
        <v>2</v>
      </c>
      <c r="L1979" t="s">
        <v>67</v>
      </c>
      <c r="M1979" t="s">
        <v>82</v>
      </c>
      <c r="N1979" t="s">
        <v>11</v>
      </c>
    </row>
    <row r="1980" spans="1:14" x14ac:dyDescent="0.35">
      <c r="A1980" s="75">
        <v>44062</v>
      </c>
      <c r="B1980" t="s">
        <v>158</v>
      </c>
      <c r="C1980" t="s">
        <v>99</v>
      </c>
      <c r="D1980">
        <v>6</v>
      </c>
      <c r="E1980">
        <v>5</v>
      </c>
      <c r="F1980">
        <v>1</v>
      </c>
      <c r="G1980" t="s">
        <v>70</v>
      </c>
      <c r="H1980" t="s">
        <v>1</v>
      </c>
      <c r="I1980">
        <v>140000000</v>
      </c>
      <c r="J1980" t="s">
        <v>18</v>
      </c>
      <c r="K1980" t="s">
        <v>2</v>
      </c>
      <c r="L1980" t="s">
        <v>67</v>
      </c>
      <c r="M1980" t="s">
        <v>82</v>
      </c>
      <c r="N1980" t="s">
        <v>13</v>
      </c>
    </row>
    <row r="1981" spans="1:14" x14ac:dyDescent="0.35">
      <c r="A1981" s="75">
        <v>44063</v>
      </c>
      <c r="B1981" t="s">
        <v>159</v>
      </c>
      <c r="C1981" t="s">
        <v>99</v>
      </c>
      <c r="D1981">
        <v>10</v>
      </c>
      <c r="E1981">
        <v>6</v>
      </c>
      <c r="F1981">
        <v>4</v>
      </c>
      <c r="G1981" t="s">
        <v>75</v>
      </c>
      <c r="H1981" t="s">
        <v>6</v>
      </c>
      <c r="I1981">
        <v>140000000</v>
      </c>
      <c r="J1981" t="s">
        <v>33</v>
      </c>
      <c r="K1981" t="s">
        <v>2</v>
      </c>
      <c r="L1981" t="s">
        <v>67</v>
      </c>
      <c r="M1981" t="s">
        <v>80</v>
      </c>
      <c r="N1981" t="s">
        <v>12</v>
      </c>
    </row>
    <row r="1982" spans="1:14" x14ac:dyDescent="0.35">
      <c r="A1982" s="75">
        <v>44063</v>
      </c>
      <c r="B1982" t="s">
        <v>159</v>
      </c>
      <c r="C1982" t="s">
        <v>99</v>
      </c>
      <c r="D1982">
        <v>10</v>
      </c>
      <c r="E1982">
        <v>9</v>
      </c>
      <c r="F1982">
        <v>1</v>
      </c>
      <c r="G1982" t="s">
        <v>70</v>
      </c>
      <c r="H1982" t="s">
        <v>1</v>
      </c>
      <c r="I1982">
        <v>140000000</v>
      </c>
      <c r="J1982" t="s">
        <v>51</v>
      </c>
      <c r="K1982" t="s">
        <v>7</v>
      </c>
      <c r="L1982" t="s">
        <v>67</v>
      </c>
      <c r="M1982" t="s">
        <v>81</v>
      </c>
      <c r="N1982" t="s">
        <v>14</v>
      </c>
    </row>
    <row r="1983" spans="1:14" x14ac:dyDescent="0.35">
      <c r="A1983" s="75">
        <v>44063</v>
      </c>
      <c r="B1983" t="s">
        <v>159</v>
      </c>
      <c r="C1983" t="s">
        <v>99</v>
      </c>
      <c r="D1983">
        <v>10</v>
      </c>
      <c r="E1983">
        <v>6</v>
      </c>
      <c r="F1983">
        <v>4</v>
      </c>
      <c r="G1983" t="s">
        <v>74</v>
      </c>
      <c r="H1983" t="s">
        <v>77</v>
      </c>
      <c r="I1983">
        <v>100000000</v>
      </c>
      <c r="J1983" t="s">
        <v>47</v>
      </c>
      <c r="K1983" t="s">
        <v>9</v>
      </c>
      <c r="L1983" t="s">
        <v>67</v>
      </c>
      <c r="M1983" t="s">
        <v>81</v>
      </c>
      <c r="N1983" t="s">
        <v>13</v>
      </c>
    </row>
    <row r="1984" spans="1:14" x14ac:dyDescent="0.35">
      <c r="A1984" s="75">
        <v>44063</v>
      </c>
      <c r="B1984" t="s">
        <v>159</v>
      </c>
      <c r="C1984" t="s">
        <v>99</v>
      </c>
      <c r="D1984">
        <v>7</v>
      </c>
      <c r="E1984">
        <v>4</v>
      </c>
      <c r="F1984">
        <v>3</v>
      </c>
      <c r="G1984" t="s">
        <v>75</v>
      </c>
      <c r="H1984" t="s">
        <v>6</v>
      </c>
      <c r="I1984">
        <v>60000000</v>
      </c>
      <c r="J1984" t="s">
        <v>35</v>
      </c>
      <c r="K1984" t="s">
        <v>5</v>
      </c>
      <c r="L1984" t="s">
        <v>67</v>
      </c>
      <c r="M1984" t="s">
        <v>82</v>
      </c>
      <c r="N1984" t="s">
        <v>12</v>
      </c>
    </row>
    <row r="1985" spans="1:14" x14ac:dyDescent="0.35">
      <c r="A1985" s="75">
        <v>44063</v>
      </c>
      <c r="B1985" t="s">
        <v>159</v>
      </c>
      <c r="C1985" t="s">
        <v>99</v>
      </c>
      <c r="D1985">
        <v>6</v>
      </c>
      <c r="E1985">
        <v>5</v>
      </c>
      <c r="F1985">
        <v>1</v>
      </c>
      <c r="G1985" t="s">
        <v>113</v>
      </c>
      <c r="H1985" t="s">
        <v>77</v>
      </c>
      <c r="I1985">
        <v>40000000</v>
      </c>
      <c r="J1985" t="s">
        <v>64</v>
      </c>
      <c r="K1985" t="s">
        <v>2</v>
      </c>
      <c r="L1985" t="s">
        <v>67</v>
      </c>
      <c r="M1985" t="s">
        <v>81</v>
      </c>
      <c r="N1985" t="s">
        <v>14</v>
      </c>
    </row>
    <row r="1986" spans="1:14" x14ac:dyDescent="0.35">
      <c r="A1986" s="75">
        <v>44063</v>
      </c>
      <c r="B1986" t="s">
        <v>159</v>
      </c>
      <c r="C1986" t="s">
        <v>99</v>
      </c>
      <c r="D1986">
        <v>5</v>
      </c>
      <c r="E1986">
        <v>3</v>
      </c>
      <c r="F1986">
        <v>2</v>
      </c>
      <c r="G1986" t="s">
        <v>73</v>
      </c>
      <c r="H1986" t="s">
        <v>78</v>
      </c>
      <c r="I1986">
        <v>140000000</v>
      </c>
      <c r="J1986" t="s">
        <v>32</v>
      </c>
      <c r="K1986" t="s">
        <v>8</v>
      </c>
      <c r="L1986" t="s">
        <v>67</v>
      </c>
      <c r="M1986" t="s">
        <v>81</v>
      </c>
      <c r="N1986" t="s">
        <v>11</v>
      </c>
    </row>
    <row r="1987" spans="1:14" x14ac:dyDescent="0.35">
      <c r="A1987" s="75">
        <v>44063</v>
      </c>
      <c r="B1987" t="s">
        <v>159</v>
      </c>
      <c r="C1987" t="s">
        <v>99</v>
      </c>
      <c r="D1987">
        <v>4</v>
      </c>
      <c r="E1987">
        <v>2</v>
      </c>
      <c r="F1987">
        <v>2</v>
      </c>
      <c r="G1987" t="s">
        <v>71</v>
      </c>
      <c r="H1987" t="s">
        <v>6</v>
      </c>
      <c r="I1987">
        <v>100000000</v>
      </c>
      <c r="J1987" t="s">
        <v>21</v>
      </c>
      <c r="K1987" t="s">
        <v>2</v>
      </c>
      <c r="L1987" t="s">
        <v>67</v>
      </c>
      <c r="M1987" t="s">
        <v>82</v>
      </c>
      <c r="N1987" t="s">
        <v>14</v>
      </c>
    </row>
    <row r="1988" spans="1:14" x14ac:dyDescent="0.35">
      <c r="A1988" s="75">
        <v>44063</v>
      </c>
      <c r="B1988" t="s">
        <v>159</v>
      </c>
      <c r="C1988" t="s">
        <v>99</v>
      </c>
      <c r="D1988">
        <v>4</v>
      </c>
      <c r="E1988">
        <v>3</v>
      </c>
      <c r="F1988">
        <v>1</v>
      </c>
      <c r="G1988" t="s">
        <v>75</v>
      </c>
      <c r="H1988" t="s">
        <v>6</v>
      </c>
      <c r="I1988">
        <v>40000000</v>
      </c>
      <c r="J1988" t="s">
        <v>57</v>
      </c>
      <c r="K1988" t="s">
        <v>2</v>
      </c>
      <c r="L1988" t="s">
        <v>67</v>
      </c>
      <c r="M1988" t="s">
        <v>82</v>
      </c>
      <c r="N1988" t="s">
        <v>11</v>
      </c>
    </row>
    <row r="1989" spans="1:14" x14ac:dyDescent="0.35">
      <c r="A1989" s="75">
        <v>44063</v>
      </c>
      <c r="B1989" t="s">
        <v>159</v>
      </c>
      <c r="C1989" t="s">
        <v>99</v>
      </c>
      <c r="D1989">
        <v>3</v>
      </c>
      <c r="E1989">
        <v>2</v>
      </c>
      <c r="F1989">
        <v>1</v>
      </c>
      <c r="G1989" t="s">
        <v>113</v>
      </c>
      <c r="H1989" t="s">
        <v>77</v>
      </c>
      <c r="I1989">
        <v>120000000</v>
      </c>
      <c r="J1989" t="s">
        <v>23</v>
      </c>
      <c r="K1989" t="s">
        <v>4</v>
      </c>
      <c r="L1989" t="s">
        <v>67</v>
      </c>
      <c r="M1989" t="s">
        <v>81</v>
      </c>
      <c r="N1989" t="s">
        <v>12</v>
      </c>
    </row>
    <row r="1990" spans="1:14" x14ac:dyDescent="0.35">
      <c r="A1990" s="75">
        <v>44063</v>
      </c>
      <c r="B1990" t="s">
        <v>159</v>
      </c>
      <c r="C1990" t="s">
        <v>99</v>
      </c>
      <c r="D1990">
        <v>3</v>
      </c>
      <c r="E1990">
        <v>1</v>
      </c>
      <c r="F1990">
        <v>2</v>
      </c>
      <c r="G1990" t="s">
        <v>75</v>
      </c>
      <c r="H1990" t="s">
        <v>6</v>
      </c>
      <c r="I1990">
        <v>120000000</v>
      </c>
      <c r="J1990" t="s">
        <v>15</v>
      </c>
      <c r="K1990" t="s">
        <v>9</v>
      </c>
      <c r="L1990" t="s">
        <v>67</v>
      </c>
      <c r="M1990" t="s">
        <v>80</v>
      </c>
      <c r="N1990" t="s">
        <v>12</v>
      </c>
    </row>
    <row r="1991" spans="1:14" x14ac:dyDescent="0.35">
      <c r="A1991" s="75">
        <v>44064</v>
      </c>
      <c r="B1991" t="s">
        <v>160</v>
      </c>
      <c r="C1991" t="s">
        <v>99</v>
      </c>
      <c r="D1991">
        <v>10</v>
      </c>
      <c r="E1991">
        <v>9</v>
      </c>
      <c r="F1991">
        <v>1</v>
      </c>
      <c r="G1991" t="s">
        <v>113</v>
      </c>
      <c r="H1991" t="s">
        <v>77</v>
      </c>
      <c r="I1991">
        <v>140000000</v>
      </c>
      <c r="J1991" t="s">
        <v>46</v>
      </c>
      <c r="K1991" t="s">
        <v>9</v>
      </c>
      <c r="L1991" t="s">
        <v>67</v>
      </c>
      <c r="M1991" t="s">
        <v>80</v>
      </c>
      <c r="N1991" t="s">
        <v>14</v>
      </c>
    </row>
    <row r="1992" spans="1:14" x14ac:dyDescent="0.35">
      <c r="A1992" s="75">
        <v>44064</v>
      </c>
      <c r="B1992" t="s">
        <v>160</v>
      </c>
      <c r="C1992" t="s">
        <v>99</v>
      </c>
      <c r="D1992">
        <v>10</v>
      </c>
      <c r="E1992">
        <v>7</v>
      </c>
      <c r="F1992">
        <v>3</v>
      </c>
      <c r="G1992" t="s">
        <v>70</v>
      </c>
      <c r="H1992" t="s">
        <v>1</v>
      </c>
      <c r="I1992">
        <v>120000000</v>
      </c>
      <c r="J1992" t="s">
        <v>50</v>
      </c>
      <c r="K1992" t="s">
        <v>7</v>
      </c>
      <c r="L1992" t="s">
        <v>67</v>
      </c>
      <c r="M1992" t="s">
        <v>81</v>
      </c>
      <c r="N1992" t="s">
        <v>14</v>
      </c>
    </row>
    <row r="1993" spans="1:14" x14ac:dyDescent="0.35">
      <c r="A1993" s="75">
        <v>44064</v>
      </c>
      <c r="B1993" t="s">
        <v>160</v>
      </c>
      <c r="C1993" t="s">
        <v>99</v>
      </c>
      <c r="D1993">
        <v>9</v>
      </c>
      <c r="E1993">
        <v>8</v>
      </c>
      <c r="F1993">
        <v>1</v>
      </c>
      <c r="G1993" t="s">
        <v>76</v>
      </c>
      <c r="H1993" t="s">
        <v>79</v>
      </c>
      <c r="I1993">
        <v>80000000</v>
      </c>
      <c r="J1993" t="s">
        <v>18</v>
      </c>
      <c r="K1993" t="s">
        <v>4</v>
      </c>
      <c r="L1993" t="s">
        <v>67</v>
      </c>
      <c r="M1993" t="s">
        <v>81</v>
      </c>
      <c r="N1993" t="s">
        <v>13</v>
      </c>
    </row>
    <row r="1994" spans="1:14" x14ac:dyDescent="0.35">
      <c r="A1994" s="75">
        <v>44064</v>
      </c>
      <c r="B1994" t="s">
        <v>160</v>
      </c>
      <c r="C1994" t="s">
        <v>99</v>
      </c>
      <c r="D1994">
        <v>9</v>
      </c>
      <c r="E1994">
        <v>5</v>
      </c>
      <c r="F1994">
        <v>4</v>
      </c>
      <c r="G1994" t="s">
        <v>73</v>
      </c>
      <c r="H1994" t="s">
        <v>78</v>
      </c>
      <c r="I1994">
        <v>60000000</v>
      </c>
      <c r="J1994" t="s">
        <v>52</v>
      </c>
      <c r="K1994" t="s">
        <v>4</v>
      </c>
      <c r="L1994" t="s">
        <v>67</v>
      </c>
      <c r="M1994" t="s">
        <v>80</v>
      </c>
      <c r="N1994" t="s">
        <v>13</v>
      </c>
    </row>
    <row r="1995" spans="1:14" x14ac:dyDescent="0.35">
      <c r="A1995" s="75">
        <v>44064</v>
      </c>
      <c r="B1995" t="s">
        <v>160</v>
      </c>
      <c r="C1995" t="s">
        <v>99</v>
      </c>
      <c r="D1995">
        <v>9</v>
      </c>
      <c r="E1995">
        <v>6</v>
      </c>
      <c r="F1995">
        <v>3</v>
      </c>
      <c r="G1995" t="s">
        <v>76</v>
      </c>
      <c r="H1995" t="s">
        <v>79</v>
      </c>
      <c r="I1995">
        <v>120000000</v>
      </c>
      <c r="J1995" t="s">
        <v>53</v>
      </c>
      <c r="K1995" t="s">
        <v>9</v>
      </c>
      <c r="L1995" t="s">
        <v>67</v>
      </c>
      <c r="M1995" t="s">
        <v>80</v>
      </c>
      <c r="N1995" t="s">
        <v>11</v>
      </c>
    </row>
    <row r="1996" spans="1:14" x14ac:dyDescent="0.35">
      <c r="A1996" s="75">
        <v>44064</v>
      </c>
      <c r="B1996" t="s">
        <v>160</v>
      </c>
      <c r="C1996" t="s">
        <v>99</v>
      </c>
      <c r="D1996">
        <v>9</v>
      </c>
      <c r="E1996">
        <v>8</v>
      </c>
      <c r="F1996">
        <v>1</v>
      </c>
      <c r="G1996" t="s">
        <v>70</v>
      </c>
      <c r="H1996" t="s">
        <v>1</v>
      </c>
      <c r="I1996">
        <v>60000000</v>
      </c>
      <c r="J1996" t="s">
        <v>32</v>
      </c>
      <c r="K1996" t="s">
        <v>2</v>
      </c>
      <c r="L1996" t="s">
        <v>67</v>
      </c>
      <c r="M1996" t="s">
        <v>81</v>
      </c>
      <c r="N1996" t="s">
        <v>14</v>
      </c>
    </row>
    <row r="1997" spans="1:14" x14ac:dyDescent="0.35">
      <c r="A1997" s="75">
        <v>44064</v>
      </c>
      <c r="B1997" t="s">
        <v>160</v>
      </c>
      <c r="C1997" t="s">
        <v>99</v>
      </c>
      <c r="D1997">
        <v>8</v>
      </c>
      <c r="E1997">
        <v>6</v>
      </c>
      <c r="F1997">
        <v>2</v>
      </c>
      <c r="G1997" t="s">
        <v>114</v>
      </c>
      <c r="H1997" t="s">
        <v>3</v>
      </c>
      <c r="I1997">
        <v>120000000</v>
      </c>
      <c r="J1997" t="s">
        <v>35</v>
      </c>
      <c r="K1997" t="s">
        <v>9</v>
      </c>
      <c r="L1997" t="s">
        <v>67</v>
      </c>
      <c r="M1997" t="s">
        <v>80</v>
      </c>
      <c r="N1997" t="s">
        <v>11</v>
      </c>
    </row>
    <row r="1998" spans="1:14" x14ac:dyDescent="0.35">
      <c r="A1998" s="75">
        <v>44064</v>
      </c>
      <c r="B1998" t="s">
        <v>160</v>
      </c>
      <c r="C1998" t="s">
        <v>99</v>
      </c>
      <c r="D1998">
        <v>8</v>
      </c>
      <c r="E1998">
        <v>4</v>
      </c>
      <c r="F1998">
        <v>4</v>
      </c>
      <c r="G1998" t="s">
        <v>76</v>
      </c>
      <c r="H1998" t="s">
        <v>79</v>
      </c>
      <c r="I1998">
        <v>80000000</v>
      </c>
      <c r="J1998" t="s">
        <v>21</v>
      </c>
      <c r="K1998" t="s">
        <v>5</v>
      </c>
      <c r="L1998" t="s">
        <v>67</v>
      </c>
      <c r="M1998" t="s">
        <v>81</v>
      </c>
      <c r="N1998" t="s">
        <v>13</v>
      </c>
    </row>
    <row r="1999" spans="1:14" x14ac:dyDescent="0.35">
      <c r="A1999" s="75">
        <v>44064</v>
      </c>
      <c r="B1999" t="s">
        <v>160</v>
      </c>
      <c r="C1999" t="s">
        <v>99</v>
      </c>
      <c r="D1999">
        <v>6</v>
      </c>
      <c r="E1999">
        <v>4</v>
      </c>
      <c r="F1999">
        <v>2</v>
      </c>
      <c r="G1999" t="s">
        <v>74</v>
      </c>
      <c r="H1999" t="s">
        <v>77</v>
      </c>
      <c r="I1999">
        <v>100000000</v>
      </c>
      <c r="J1999" t="s">
        <v>16</v>
      </c>
      <c r="K1999" t="s">
        <v>2</v>
      </c>
      <c r="L1999" t="s">
        <v>67</v>
      </c>
      <c r="M1999" t="s">
        <v>80</v>
      </c>
      <c r="N1999" t="s">
        <v>13</v>
      </c>
    </row>
    <row r="2000" spans="1:14" x14ac:dyDescent="0.35">
      <c r="A2000" s="75">
        <v>44064</v>
      </c>
      <c r="B2000" t="s">
        <v>160</v>
      </c>
      <c r="C2000" t="s">
        <v>99</v>
      </c>
      <c r="D2000">
        <v>6</v>
      </c>
      <c r="E2000">
        <v>4</v>
      </c>
      <c r="F2000">
        <v>2</v>
      </c>
      <c r="G2000" t="s">
        <v>70</v>
      </c>
      <c r="H2000" t="s">
        <v>1</v>
      </c>
      <c r="I2000">
        <v>120000000</v>
      </c>
      <c r="J2000" t="s">
        <v>30</v>
      </c>
      <c r="K2000" t="s">
        <v>5</v>
      </c>
      <c r="L2000" t="s">
        <v>67</v>
      </c>
      <c r="M2000" t="s">
        <v>80</v>
      </c>
      <c r="N2000" t="s">
        <v>13</v>
      </c>
    </row>
    <row r="2001" spans="1:14" x14ac:dyDescent="0.35">
      <c r="A2001" s="75">
        <v>44064</v>
      </c>
      <c r="B2001" t="s">
        <v>160</v>
      </c>
      <c r="C2001" t="s">
        <v>99</v>
      </c>
      <c r="D2001">
        <v>5</v>
      </c>
      <c r="E2001">
        <v>3</v>
      </c>
      <c r="F2001">
        <v>2</v>
      </c>
      <c r="G2001" t="s">
        <v>70</v>
      </c>
      <c r="H2001" t="s">
        <v>1</v>
      </c>
      <c r="I2001">
        <v>100000000</v>
      </c>
      <c r="J2001" t="s">
        <v>21</v>
      </c>
      <c r="K2001" t="s">
        <v>5</v>
      </c>
      <c r="L2001" t="s">
        <v>67</v>
      </c>
      <c r="M2001" t="s">
        <v>82</v>
      </c>
      <c r="N2001" t="s">
        <v>12</v>
      </c>
    </row>
    <row r="2002" spans="1:14" x14ac:dyDescent="0.35">
      <c r="A2002" s="75">
        <v>44065</v>
      </c>
      <c r="B2002" t="s">
        <v>161</v>
      </c>
      <c r="C2002" t="s">
        <v>99</v>
      </c>
      <c r="D2002">
        <v>6</v>
      </c>
      <c r="E2002">
        <v>5</v>
      </c>
      <c r="F2002">
        <v>1</v>
      </c>
      <c r="G2002" t="s">
        <v>76</v>
      </c>
      <c r="H2002" t="s">
        <v>79</v>
      </c>
      <c r="I2002">
        <v>120000000</v>
      </c>
      <c r="J2002" t="s">
        <v>54</v>
      </c>
      <c r="K2002" t="s">
        <v>2</v>
      </c>
      <c r="L2002" t="s">
        <v>67</v>
      </c>
      <c r="M2002" t="s">
        <v>80</v>
      </c>
      <c r="N2002" t="s">
        <v>14</v>
      </c>
    </row>
    <row r="2003" spans="1:14" x14ac:dyDescent="0.35">
      <c r="A2003" s="75">
        <v>44065</v>
      </c>
      <c r="B2003" t="s">
        <v>161</v>
      </c>
      <c r="C2003" t="s">
        <v>99</v>
      </c>
      <c r="D2003">
        <v>6</v>
      </c>
      <c r="E2003">
        <v>4</v>
      </c>
      <c r="F2003">
        <v>2</v>
      </c>
      <c r="G2003" t="s">
        <v>73</v>
      </c>
      <c r="H2003" t="s">
        <v>78</v>
      </c>
      <c r="I2003">
        <v>140000000</v>
      </c>
      <c r="J2003" t="s">
        <v>48</v>
      </c>
      <c r="K2003" t="s">
        <v>2</v>
      </c>
      <c r="L2003" t="s">
        <v>67</v>
      </c>
      <c r="M2003" t="s">
        <v>82</v>
      </c>
      <c r="N2003" t="s">
        <v>14</v>
      </c>
    </row>
    <row r="2004" spans="1:14" x14ac:dyDescent="0.35">
      <c r="A2004" s="75">
        <v>44065</v>
      </c>
      <c r="B2004" t="s">
        <v>161</v>
      </c>
      <c r="C2004" t="s">
        <v>99</v>
      </c>
      <c r="D2004">
        <v>5</v>
      </c>
      <c r="E2004">
        <v>4</v>
      </c>
      <c r="F2004">
        <v>1</v>
      </c>
      <c r="G2004" t="s">
        <v>74</v>
      </c>
      <c r="H2004" t="s">
        <v>77</v>
      </c>
      <c r="I2004">
        <v>120000000</v>
      </c>
      <c r="J2004" t="s">
        <v>42</v>
      </c>
      <c r="K2004" t="s">
        <v>2</v>
      </c>
      <c r="L2004" t="s">
        <v>67</v>
      </c>
      <c r="M2004" t="s">
        <v>82</v>
      </c>
      <c r="N2004" t="s">
        <v>11</v>
      </c>
    </row>
    <row r="2005" spans="1:14" x14ac:dyDescent="0.35">
      <c r="A2005" s="75">
        <v>44065</v>
      </c>
      <c r="B2005" t="s">
        <v>161</v>
      </c>
      <c r="C2005" t="s">
        <v>99</v>
      </c>
      <c r="D2005">
        <v>5</v>
      </c>
      <c r="E2005">
        <v>3</v>
      </c>
      <c r="F2005">
        <v>2</v>
      </c>
      <c r="G2005" t="s">
        <v>73</v>
      </c>
      <c r="H2005" t="s">
        <v>78</v>
      </c>
      <c r="I2005">
        <v>120000000</v>
      </c>
      <c r="J2005" t="s">
        <v>44</v>
      </c>
      <c r="K2005" t="s">
        <v>5</v>
      </c>
      <c r="L2005" t="s">
        <v>67</v>
      </c>
      <c r="M2005" t="s">
        <v>81</v>
      </c>
      <c r="N2005" t="s">
        <v>11</v>
      </c>
    </row>
    <row r="2006" spans="1:14" x14ac:dyDescent="0.35">
      <c r="A2006" s="75">
        <v>44065</v>
      </c>
      <c r="B2006" t="s">
        <v>161</v>
      </c>
      <c r="C2006" t="s">
        <v>99</v>
      </c>
      <c r="D2006">
        <v>4</v>
      </c>
      <c r="E2006">
        <v>3</v>
      </c>
      <c r="F2006">
        <v>1</v>
      </c>
      <c r="G2006" t="s">
        <v>72</v>
      </c>
      <c r="H2006" t="s">
        <v>78</v>
      </c>
      <c r="I2006">
        <v>140000000</v>
      </c>
      <c r="J2006" t="s">
        <v>16</v>
      </c>
      <c r="K2006" t="s">
        <v>5</v>
      </c>
      <c r="L2006" t="s">
        <v>67</v>
      </c>
      <c r="M2006" t="s">
        <v>82</v>
      </c>
      <c r="N2006" t="s">
        <v>13</v>
      </c>
    </row>
    <row r="2007" spans="1:14" x14ac:dyDescent="0.35">
      <c r="A2007" s="75">
        <v>44065</v>
      </c>
      <c r="B2007" t="s">
        <v>161</v>
      </c>
      <c r="C2007" t="s">
        <v>99</v>
      </c>
      <c r="D2007">
        <v>3</v>
      </c>
      <c r="E2007">
        <v>2</v>
      </c>
      <c r="F2007">
        <v>1</v>
      </c>
      <c r="G2007" t="s">
        <v>75</v>
      </c>
      <c r="H2007" t="s">
        <v>6</v>
      </c>
      <c r="I2007">
        <v>100000000</v>
      </c>
      <c r="J2007" t="s">
        <v>41</v>
      </c>
      <c r="K2007" t="s">
        <v>2</v>
      </c>
      <c r="L2007" t="s">
        <v>67</v>
      </c>
      <c r="M2007" t="s">
        <v>80</v>
      </c>
      <c r="N2007" t="s">
        <v>14</v>
      </c>
    </row>
    <row r="2008" spans="1:14" x14ac:dyDescent="0.35">
      <c r="A2008" s="75">
        <v>44066</v>
      </c>
      <c r="B2008" t="s">
        <v>162</v>
      </c>
      <c r="C2008" t="s">
        <v>99</v>
      </c>
      <c r="D2008">
        <v>10</v>
      </c>
      <c r="E2008">
        <v>8</v>
      </c>
      <c r="F2008">
        <v>2</v>
      </c>
      <c r="G2008" t="s">
        <v>76</v>
      </c>
      <c r="H2008" t="s">
        <v>79</v>
      </c>
      <c r="I2008">
        <v>100000000</v>
      </c>
      <c r="J2008" t="s">
        <v>24</v>
      </c>
      <c r="K2008" t="s">
        <v>7</v>
      </c>
      <c r="L2008" t="s">
        <v>67</v>
      </c>
      <c r="M2008" t="s">
        <v>80</v>
      </c>
      <c r="N2008" t="s">
        <v>11</v>
      </c>
    </row>
    <row r="2009" spans="1:14" x14ac:dyDescent="0.35">
      <c r="A2009" s="75">
        <v>44066</v>
      </c>
      <c r="B2009" t="s">
        <v>162</v>
      </c>
      <c r="C2009" t="s">
        <v>99</v>
      </c>
      <c r="D2009">
        <v>9</v>
      </c>
      <c r="E2009">
        <v>6</v>
      </c>
      <c r="F2009">
        <v>3</v>
      </c>
      <c r="G2009" t="s">
        <v>114</v>
      </c>
      <c r="H2009" t="s">
        <v>3</v>
      </c>
      <c r="I2009">
        <v>60000000</v>
      </c>
      <c r="J2009" t="s">
        <v>17</v>
      </c>
      <c r="K2009" t="s">
        <v>2</v>
      </c>
      <c r="L2009" t="s">
        <v>67</v>
      </c>
      <c r="M2009" t="s">
        <v>82</v>
      </c>
      <c r="N2009" t="s">
        <v>13</v>
      </c>
    </row>
    <row r="2010" spans="1:14" x14ac:dyDescent="0.35">
      <c r="A2010" s="75">
        <v>44066</v>
      </c>
      <c r="B2010" t="s">
        <v>162</v>
      </c>
      <c r="C2010" t="s">
        <v>99</v>
      </c>
      <c r="D2010">
        <v>9</v>
      </c>
      <c r="E2010">
        <v>5</v>
      </c>
      <c r="F2010">
        <v>4</v>
      </c>
      <c r="G2010" t="s">
        <v>75</v>
      </c>
      <c r="H2010" t="s">
        <v>6</v>
      </c>
      <c r="I2010">
        <v>40000000</v>
      </c>
      <c r="J2010" t="s">
        <v>41</v>
      </c>
      <c r="K2010" t="s">
        <v>2</v>
      </c>
      <c r="L2010" t="s">
        <v>67</v>
      </c>
      <c r="M2010" t="s">
        <v>81</v>
      </c>
      <c r="N2010" t="s">
        <v>12</v>
      </c>
    </row>
    <row r="2011" spans="1:14" x14ac:dyDescent="0.35">
      <c r="A2011" s="75">
        <v>44066</v>
      </c>
      <c r="B2011" t="s">
        <v>162</v>
      </c>
      <c r="C2011" t="s">
        <v>99</v>
      </c>
      <c r="D2011">
        <v>6</v>
      </c>
      <c r="E2011">
        <v>4</v>
      </c>
      <c r="F2011">
        <v>2</v>
      </c>
      <c r="G2011" t="s">
        <v>113</v>
      </c>
      <c r="H2011" t="s">
        <v>77</v>
      </c>
      <c r="I2011">
        <v>140000000</v>
      </c>
      <c r="J2011" t="s">
        <v>54</v>
      </c>
      <c r="K2011" t="s">
        <v>5</v>
      </c>
      <c r="L2011" t="s">
        <v>67</v>
      </c>
      <c r="M2011" t="s">
        <v>81</v>
      </c>
      <c r="N2011" t="s">
        <v>13</v>
      </c>
    </row>
    <row r="2012" spans="1:14" x14ac:dyDescent="0.35">
      <c r="A2012" s="75">
        <v>44066</v>
      </c>
      <c r="B2012" t="s">
        <v>162</v>
      </c>
      <c r="C2012" t="s">
        <v>99</v>
      </c>
      <c r="D2012">
        <v>3</v>
      </c>
      <c r="E2012">
        <v>2</v>
      </c>
      <c r="F2012">
        <v>1</v>
      </c>
      <c r="G2012" t="s">
        <v>76</v>
      </c>
      <c r="H2012" t="s">
        <v>79</v>
      </c>
      <c r="I2012">
        <v>120000000</v>
      </c>
      <c r="J2012" t="s">
        <v>58</v>
      </c>
      <c r="K2012" t="s">
        <v>7</v>
      </c>
      <c r="L2012" t="s">
        <v>67</v>
      </c>
      <c r="M2012" t="s">
        <v>82</v>
      </c>
      <c r="N2012" t="s">
        <v>12</v>
      </c>
    </row>
    <row r="2013" spans="1:14" x14ac:dyDescent="0.35">
      <c r="A2013" s="75">
        <v>44066</v>
      </c>
      <c r="B2013" t="s">
        <v>162</v>
      </c>
      <c r="C2013" t="s">
        <v>99</v>
      </c>
      <c r="D2013">
        <v>3</v>
      </c>
      <c r="E2013">
        <v>2</v>
      </c>
      <c r="F2013">
        <v>1</v>
      </c>
      <c r="G2013" t="s">
        <v>113</v>
      </c>
      <c r="H2013" t="s">
        <v>77</v>
      </c>
      <c r="I2013">
        <v>80000000</v>
      </c>
      <c r="J2013" t="s">
        <v>16</v>
      </c>
      <c r="K2013" t="s">
        <v>5</v>
      </c>
      <c r="L2013" t="s">
        <v>67</v>
      </c>
      <c r="M2013" t="s">
        <v>82</v>
      </c>
      <c r="N2013" t="s">
        <v>13</v>
      </c>
    </row>
    <row r="2014" spans="1:14" x14ac:dyDescent="0.35">
      <c r="A2014" s="75">
        <v>44066</v>
      </c>
      <c r="B2014" t="s">
        <v>162</v>
      </c>
      <c r="C2014" t="s">
        <v>99</v>
      </c>
      <c r="D2014">
        <v>3</v>
      </c>
      <c r="E2014">
        <v>1</v>
      </c>
      <c r="F2014">
        <v>2</v>
      </c>
      <c r="G2014" t="s">
        <v>70</v>
      </c>
      <c r="H2014" t="s">
        <v>1</v>
      </c>
      <c r="I2014">
        <v>100000000</v>
      </c>
      <c r="J2014" t="s">
        <v>61</v>
      </c>
      <c r="K2014" t="s">
        <v>4</v>
      </c>
      <c r="L2014" t="s">
        <v>67</v>
      </c>
      <c r="M2014" t="s">
        <v>82</v>
      </c>
      <c r="N2014" t="s">
        <v>11</v>
      </c>
    </row>
    <row r="2015" spans="1:14" x14ac:dyDescent="0.35">
      <c r="A2015" s="75">
        <v>44066</v>
      </c>
      <c r="B2015" t="s">
        <v>162</v>
      </c>
      <c r="C2015" t="s">
        <v>99</v>
      </c>
      <c r="D2015">
        <v>3</v>
      </c>
      <c r="E2015">
        <v>1</v>
      </c>
      <c r="F2015">
        <v>2</v>
      </c>
      <c r="G2015" t="s">
        <v>70</v>
      </c>
      <c r="H2015" t="s">
        <v>1</v>
      </c>
      <c r="I2015">
        <v>80000000</v>
      </c>
      <c r="J2015" t="s">
        <v>53</v>
      </c>
      <c r="K2015" t="s">
        <v>5</v>
      </c>
      <c r="L2015" t="s">
        <v>67</v>
      </c>
      <c r="M2015" t="s">
        <v>82</v>
      </c>
      <c r="N2015" t="s">
        <v>14</v>
      </c>
    </row>
    <row r="2016" spans="1:14" x14ac:dyDescent="0.35">
      <c r="A2016" s="75">
        <v>44067</v>
      </c>
      <c r="B2016" t="s">
        <v>163</v>
      </c>
      <c r="C2016" t="s">
        <v>99</v>
      </c>
      <c r="D2016">
        <v>10</v>
      </c>
      <c r="E2016">
        <v>8</v>
      </c>
      <c r="F2016">
        <v>2</v>
      </c>
      <c r="G2016" t="s">
        <v>72</v>
      </c>
      <c r="H2016" t="s">
        <v>78</v>
      </c>
      <c r="I2016">
        <v>80000000</v>
      </c>
      <c r="J2016" t="s">
        <v>30</v>
      </c>
      <c r="K2016" t="s">
        <v>2</v>
      </c>
      <c r="L2016" t="s">
        <v>67</v>
      </c>
      <c r="M2016" t="s">
        <v>81</v>
      </c>
      <c r="N2016" t="s">
        <v>14</v>
      </c>
    </row>
    <row r="2017" spans="1:14" x14ac:dyDescent="0.35">
      <c r="A2017" s="75">
        <v>44067</v>
      </c>
      <c r="B2017" t="s">
        <v>163</v>
      </c>
      <c r="C2017" t="s">
        <v>99</v>
      </c>
      <c r="D2017">
        <v>7</v>
      </c>
      <c r="E2017">
        <v>4</v>
      </c>
      <c r="F2017">
        <v>3</v>
      </c>
      <c r="G2017" t="s">
        <v>74</v>
      </c>
      <c r="H2017" t="s">
        <v>77</v>
      </c>
      <c r="I2017">
        <v>80000000</v>
      </c>
      <c r="J2017" t="s">
        <v>44</v>
      </c>
      <c r="K2017" t="s">
        <v>4</v>
      </c>
      <c r="L2017" t="s">
        <v>67</v>
      </c>
      <c r="M2017" t="s">
        <v>82</v>
      </c>
      <c r="N2017" t="s">
        <v>13</v>
      </c>
    </row>
    <row r="2018" spans="1:14" x14ac:dyDescent="0.35">
      <c r="A2018" s="75">
        <v>44067</v>
      </c>
      <c r="B2018" t="s">
        <v>163</v>
      </c>
      <c r="C2018" t="s">
        <v>99</v>
      </c>
      <c r="D2018">
        <v>7</v>
      </c>
      <c r="E2018">
        <v>6</v>
      </c>
      <c r="F2018">
        <v>1</v>
      </c>
      <c r="G2018" t="s">
        <v>72</v>
      </c>
      <c r="H2018" t="s">
        <v>78</v>
      </c>
      <c r="I2018">
        <v>100000000</v>
      </c>
      <c r="J2018" t="s">
        <v>35</v>
      </c>
      <c r="K2018" t="s">
        <v>5</v>
      </c>
      <c r="L2018" t="s">
        <v>67</v>
      </c>
      <c r="M2018" t="s">
        <v>80</v>
      </c>
      <c r="N2018" t="s">
        <v>11</v>
      </c>
    </row>
    <row r="2019" spans="1:14" x14ac:dyDescent="0.35">
      <c r="A2019" s="75">
        <v>44067</v>
      </c>
      <c r="B2019" t="s">
        <v>163</v>
      </c>
      <c r="C2019" t="s">
        <v>99</v>
      </c>
      <c r="D2019">
        <v>6</v>
      </c>
      <c r="E2019">
        <v>4</v>
      </c>
      <c r="F2019">
        <v>2</v>
      </c>
      <c r="G2019" t="s">
        <v>73</v>
      </c>
      <c r="H2019" t="s">
        <v>78</v>
      </c>
      <c r="I2019">
        <v>100000000</v>
      </c>
      <c r="J2019" t="s">
        <v>48</v>
      </c>
      <c r="K2019" t="s">
        <v>7</v>
      </c>
      <c r="L2019" t="s">
        <v>67</v>
      </c>
      <c r="M2019" t="s">
        <v>82</v>
      </c>
      <c r="N2019" t="s">
        <v>12</v>
      </c>
    </row>
    <row r="2020" spans="1:14" x14ac:dyDescent="0.35">
      <c r="A2020" s="75">
        <v>44067</v>
      </c>
      <c r="B2020" t="s">
        <v>163</v>
      </c>
      <c r="C2020" t="s">
        <v>99</v>
      </c>
      <c r="D2020">
        <v>6</v>
      </c>
      <c r="E2020">
        <v>4</v>
      </c>
      <c r="F2020">
        <v>2</v>
      </c>
      <c r="G2020" t="s">
        <v>76</v>
      </c>
      <c r="H2020" t="s">
        <v>79</v>
      </c>
      <c r="I2020">
        <v>140000000</v>
      </c>
      <c r="J2020" t="s">
        <v>24</v>
      </c>
      <c r="K2020" t="s">
        <v>7</v>
      </c>
      <c r="L2020" t="s">
        <v>67</v>
      </c>
      <c r="M2020" t="s">
        <v>81</v>
      </c>
      <c r="N2020" t="s">
        <v>14</v>
      </c>
    </row>
    <row r="2021" spans="1:14" x14ac:dyDescent="0.35">
      <c r="A2021" s="75">
        <v>44067</v>
      </c>
      <c r="B2021" t="s">
        <v>163</v>
      </c>
      <c r="C2021" t="s">
        <v>99</v>
      </c>
      <c r="D2021">
        <v>6</v>
      </c>
      <c r="E2021">
        <v>4</v>
      </c>
      <c r="F2021">
        <v>2</v>
      </c>
      <c r="G2021" t="s">
        <v>113</v>
      </c>
      <c r="H2021" t="s">
        <v>77</v>
      </c>
      <c r="I2021">
        <v>80000000</v>
      </c>
      <c r="J2021" t="s">
        <v>61</v>
      </c>
      <c r="K2021" t="s">
        <v>5</v>
      </c>
      <c r="L2021" t="s">
        <v>67</v>
      </c>
      <c r="M2021" t="s">
        <v>82</v>
      </c>
      <c r="N2021" t="s">
        <v>12</v>
      </c>
    </row>
    <row r="2022" spans="1:14" x14ac:dyDescent="0.35">
      <c r="A2022" s="75">
        <v>44067</v>
      </c>
      <c r="B2022" t="s">
        <v>163</v>
      </c>
      <c r="C2022" t="s">
        <v>99</v>
      </c>
      <c r="D2022">
        <v>6</v>
      </c>
      <c r="E2022">
        <v>5</v>
      </c>
      <c r="F2022">
        <v>1</v>
      </c>
      <c r="G2022" t="s">
        <v>76</v>
      </c>
      <c r="H2022" t="s">
        <v>79</v>
      </c>
      <c r="I2022">
        <v>100000000</v>
      </c>
      <c r="J2022" t="s">
        <v>20</v>
      </c>
      <c r="K2022" t="s">
        <v>7</v>
      </c>
      <c r="L2022" t="s">
        <v>67</v>
      </c>
      <c r="M2022" t="s">
        <v>81</v>
      </c>
      <c r="N2022" t="s">
        <v>12</v>
      </c>
    </row>
    <row r="2023" spans="1:14" x14ac:dyDescent="0.35">
      <c r="A2023" s="75">
        <v>44067</v>
      </c>
      <c r="B2023" t="s">
        <v>163</v>
      </c>
      <c r="C2023" t="s">
        <v>99</v>
      </c>
      <c r="D2023">
        <v>4</v>
      </c>
      <c r="E2023">
        <v>2</v>
      </c>
      <c r="F2023">
        <v>2</v>
      </c>
      <c r="G2023" t="s">
        <v>75</v>
      </c>
      <c r="H2023" t="s">
        <v>6</v>
      </c>
      <c r="I2023">
        <v>60000000</v>
      </c>
      <c r="J2023" t="s">
        <v>37</v>
      </c>
      <c r="K2023" t="s">
        <v>2</v>
      </c>
      <c r="L2023" t="s">
        <v>67</v>
      </c>
      <c r="M2023" t="s">
        <v>80</v>
      </c>
      <c r="N2023" t="s">
        <v>12</v>
      </c>
    </row>
    <row r="2024" spans="1:14" x14ac:dyDescent="0.35">
      <c r="A2024" s="75">
        <v>44067</v>
      </c>
      <c r="B2024" t="s">
        <v>163</v>
      </c>
      <c r="C2024" t="s">
        <v>99</v>
      </c>
      <c r="D2024">
        <v>3</v>
      </c>
      <c r="E2024">
        <v>1</v>
      </c>
      <c r="F2024">
        <v>2</v>
      </c>
      <c r="G2024" t="s">
        <v>71</v>
      </c>
      <c r="H2024" t="s">
        <v>6</v>
      </c>
      <c r="I2024">
        <v>140000000</v>
      </c>
      <c r="J2024" t="s">
        <v>63</v>
      </c>
      <c r="K2024" t="s">
        <v>7</v>
      </c>
      <c r="L2024" t="s">
        <v>67</v>
      </c>
      <c r="M2024" t="s">
        <v>82</v>
      </c>
      <c r="N2024" t="s">
        <v>14</v>
      </c>
    </row>
    <row r="2025" spans="1:14" x14ac:dyDescent="0.35">
      <c r="A2025" s="75">
        <v>44068</v>
      </c>
      <c r="B2025" t="s">
        <v>164</v>
      </c>
      <c r="C2025" t="s">
        <v>99</v>
      </c>
      <c r="D2025">
        <v>10</v>
      </c>
      <c r="E2025">
        <v>8</v>
      </c>
      <c r="F2025">
        <v>2</v>
      </c>
      <c r="G2025" t="s">
        <v>73</v>
      </c>
      <c r="H2025" t="s">
        <v>78</v>
      </c>
      <c r="I2025">
        <v>80000000</v>
      </c>
      <c r="J2025" t="s">
        <v>45</v>
      </c>
      <c r="K2025" t="s">
        <v>8</v>
      </c>
      <c r="L2025" t="s">
        <v>67</v>
      </c>
      <c r="M2025" t="s">
        <v>82</v>
      </c>
      <c r="N2025" t="s">
        <v>13</v>
      </c>
    </row>
    <row r="2026" spans="1:14" x14ac:dyDescent="0.35">
      <c r="A2026" s="75">
        <v>44068</v>
      </c>
      <c r="B2026" t="s">
        <v>164</v>
      </c>
      <c r="C2026" t="s">
        <v>99</v>
      </c>
      <c r="D2026">
        <v>10</v>
      </c>
      <c r="E2026">
        <v>6</v>
      </c>
      <c r="F2026">
        <v>4</v>
      </c>
      <c r="G2026" t="s">
        <v>74</v>
      </c>
      <c r="H2026" t="s">
        <v>77</v>
      </c>
      <c r="I2026">
        <v>60000000</v>
      </c>
      <c r="J2026" t="s">
        <v>15</v>
      </c>
      <c r="K2026" t="s">
        <v>5</v>
      </c>
      <c r="L2026" t="s">
        <v>67</v>
      </c>
      <c r="M2026" t="s">
        <v>80</v>
      </c>
      <c r="N2026" t="s">
        <v>14</v>
      </c>
    </row>
    <row r="2027" spans="1:14" x14ac:dyDescent="0.35">
      <c r="A2027" s="75">
        <v>44068</v>
      </c>
      <c r="B2027" t="s">
        <v>164</v>
      </c>
      <c r="C2027" t="s">
        <v>99</v>
      </c>
      <c r="D2027">
        <v>9</v>
      </c>
      <c r="E2027">
        <v>8</v>
      </c>
      <c r="F2027">
        <v>1</v>
      </c>
      <c r="G2027" t="s">
        <v>114</v>
      </c>
      <c r="H2027" t="s">
        <v>3</v>
      </c>
      <c r="I2027">
        <v>100000000</v>
      </c>
      <c r="J2027" t="s">
        <v>53</v>
      </c>
      <c r="K2027" t="s">
        <v>5</v>
      </c>
      <c r="L2027" t="s">
        <v>67</v>
      </c>
      <c r="M2027" t="s">
        <v>82</v>
      </c>
      <c r="N2027" t="s">
        <v>14</v>
      </c>
    </row>
    <row r="2028" spans="1:14" x14ac:dyDescent="0.35">
      <c r="A2028" s="75">
        <v>44068</v>
      </c>
      <c r="B2028" t="s">
        <v>164</v>
      </c>
      <c r="C2028" t="s">
        <v>99</v>
      </c>
      <c r="D2028">
        <v>9</v>
      </c>
      <c r="E2028">
        <v>7</v>
      </c>
      <c r="F2028">
        <v>2</v>
      </c>
      <c r="G2028" t="s">
        <v>114</v>
      </c>
      <c r="H2028" t="s">
        <v>3</v>
      </c>
      <c r="I2028">
        <v>40000000</v>
      </c>
      <c r="J2028" t="s">
        <v>47</v>
      </c>
      <c r="K2028" t="s">
        <v>7</v>
      </c>
      <c r="L2028" t="s">
        <v>67</v>
      </c>
      <c r="M2028" t="s">
        <v>80</v>
      </c>
      <c r="N2028" t="s">
        <v>13</v>
      </c>
    </row>
    <row r="2029" spans="1:14" x14ac:dyDescent="0.35">
      <c r="A2029" s="75">
        <v>44068</v>
      </c>
      <c r="B2029" t="s">
        <v>164</v>
      </c>
      <c r="C2029" t="s">
        <v>99</v>
      </c>
      <c r="D2029">
        <v>9</v>
      </c>
      <c r="E2029">
        <v>8</v>
      </c>
      <c r="F2029">
        <v>1</v>
      </c>
      <c r="G2029" t="s">
        <v>72</v>
      </c>
      <c r="H2029" t="s">
        <v>78</v>
      </c>
      <c r="I2029">
        <v>40000000</v>
      </c>
      <c r="J2029" t="s">
        <v>36</v>
      </c>
      <c r="K2029" t="s">
        <v>5</v>
      </c>
      <c r="L2029" t="s">
        <v>67</v>
      </c>
      <c r="M2029" t="s">
        <v>81</v>
      </c>
      <c r="N2029" t="s">
        <v>12</v>
      </c>
    </row>
    <row r="2030" spans="1:14" x14ac:dyDescent="0.35">
      <c r="A2030" s="75">
        <v>44068</v>
      </c>
      <c r="B2030" t="s">
        <v>164</v>
      </c>
      <c r="C2030" t="s">
        <v>99</v>
      </c>
      <c r="D2030">
        <v>6</v>
      </c>
      <c r="E2030">
        <v>3</v>
      </c>
      <c r="F2030">
        <v>3</v>
      </c>
      <c r="G2030" t="s">
        <v>114</v>
      </c>
      <c r="H2030" t="s">
        <v>3</v>
      </c>
      <c r="I2030">
        <v>100000000</v>
      </c>
      <c r="J2030" t="s">
        <v>55</v>
      </c>
      <c r="K2030" t="s">
        <v>2</v>
      </c>
      <c r="L2030" t="s">
        <v>67</v>
      </c>
      <c r="M2030" t="s">
        <v>82</v>
      </c>
      <c r="N2030" t="s">
        <v>14</v>
      </c>
    </row>
    <row r="2031" spans="1:14" x14ac:dyDescent="0.35">
      <c r="A2031" s="75">
        <v>44068</v>
      </c>
      <c r="B2031" t="s">
        <v>164</v>
      </c>
      <c r="C2031" t="s">
        <v>99</v>
      </c>
      <c r="D2031">
        <v>6</v>
      </c>
      <c r="E2031">
        <v>4</v>
      </c>
      <c r="F2031">
        <v>2</v>
      </c>
      <c r="G2031" t="s">
        <v>73</v>
      </c>
      <c r="H2031" t="s">
        <v>78</v>
      </c>
      <c r="I2031">
        <v>140000000</v>
      </c>
      <c r="J2031" t="s">
        <v>57</v>
      </c>
      <c r="K2031" t="s">
        <v>2</v>
      </c>
      <c r="L2031" t="s">
        <v>67</v>
      </c>
      <c r="M2031" t="s">
        <v>82</v>
      </c>
      <c r="N2031" t="s">
        <v>14</v>
      </c>
    </row>
    <row r="2032" spans="1:14" x14ac:dyDescent="0.35">
      <c r="A2032" s="75">
        <v>44068</v>
      </c>
      <c r="B2032" t="s">
        <v>164</v>
      </c>
      <c r="C2032" t="s">
        <v>99</v>
      </c>
      <c r="D2032">
        <v>5</v>
      </c>
      <c r="E2032">
        <v>4</v>
      </c>
      <c r="F2032">
        <v>1</v>
      </c>
      <c r="G2032" t="s">
        <v>71</v>
      </c>
      <c r="H2032" t="s">
        <v>6</v>
      </c>
      <c r="I2032">
        <v>120000000</v>
      </c>
      <c r="J2032" t="s">
        <v>32</v>
      </c>
      <c r="K2032" t="s">
        <v>5</v>
      </c>
      <c r="L2032" t="s">
        <v>67</v>
      </c>
      <c r="M2032" t="s">
        <v>80</v>
      </c>
      <c r="N2032" t="s">
        <v>13</v>
      </c>
    </row>
    <row r="2033" spans="1:14" x14ac:dyDescent="0.35">
      <c r="A2033" s="75">
        <v>44068</v>
      </c>
      <c r="B2033" t="s">
        <v>164</v>
      </c>
      <c r="C2033" t="s">
        <v>99</v>
      </c>
      <c r="D2033">
        <v>4</v>
      </c>
      <c r="E2033">
        <v>3</v>
      </c>
      <c r="F2033">
        <v>1</v>
      </c>
      <c r="G2033" t="s">
        <v>76</v>
      </c>
      <c r="H2033" t="s">
        <v>79</v>
      </c>
      <c r="I2033">
        <v>120000000</v>
      </c>
      <c r="J2033" t="s">
        <v>25</v>
      </c>
      <c r="K2033" t="s">
        <v>2</v>
      </c>
      <c r="L2033" t="s">
        <v>67</v>
      </c>
      <c r="M2033" t="s">
        <v>81</v>
      </c>
      <c r="N2033" t="s">
        <v>14</v>
      </c>
    </row>
    <row r="2034" spans="1:14" x14ac:dyDescent="0.35">
      <c r="A2034" s="75">
        <v>44068</v>
      </c>
      <c r="B2034" t="s">
        <v>164</v>
      </c>
      <c r="C2034" t="s">
        <v>99</v>
      </c>
      <c r="D2034">
        <v>3</v>
      </c>
      <c r="E2034">
        <v>1</v>
      </c>
      <c r="F2034">
        <v>2</v>
      </c>
      <c r="G2034" t="s">
        <v>71</v>
      </c>
      <c r="H2034" t="s">
        <v>6</v>
      </c>
      <c r="I2034">
        <v>60000000</v>
      </c>
      <c r="J2034" t="s">
        <v>32</v>
      </c>
      <c r="K2034" t="s">
        <v>2</v>
      </c>
      <c r="L2034" t="s">
        <v>67</v>
      </c>
      <c r="M2034" t="s">
        <v>82</v>
      </c>
      <c r="N2034" t="s">
        <v>14</v>
      </c>
    </row>
    <row r="2035" spans="1:14" x14ac:dyDescent="0.35">
      <c r="A2035" s="75">
        <v>44068</v>
      </c>
      <c r="B2035" t="s">
        <v>164</v>
      </c>
      <c r="C2035" t="s">
        <v>99</v>
      </c>
      <c r="D2035">
        <v>3</v>
      </c>
      <c r="E2035">
        <v>1</v>
      </c>
      <c r="F2035">
        <v>2</v>
      </c>
      <c r="G2035" t="s">
        <v>70</v>
      </c>
      <c r="H2035" t="s">
        <v>1</v>
      </c>
      <c r="I2035">
        <v>120000000</v>
      </c>
      <c r="J2035" t="s">
        <v>31</v>
      </c>
      <c r="K2035" t="s">
        <v>9</v>
      </c>
      <c r="L2035" t="s">
        <v>67</v>
      </c>
      <c r="M2035" t="s">
        <v>80</v>
      </c>
      <c r="N2035" t="s">
        <v>13</v>
      </c>
    </row>
    <row r="2036" spans="1:14" x14ac:dyDescent="0.35">
      <c r="A2036" s="75">
        <v>44069</v>
      </c>
      <c r="B2036" t="s">
        <v>165</v>
      </c>
      <c r="C2036" t="s">
        <v>99</v>
      </c>
      <c r="D2036">
        <v>10</v>
      </c>
      <c r="E2036">
        <v>8</v>
      </c>
      <c r="F2036">
        <v>2</v>
      </c>
      <c r="G2036" t="s">
        <v>70</v>
      </c>
      <c r="H2036" t="s">
        <v>1</v>
      </c>
      <c r="I2036">
        <v>100000000</v>
      </c>
      <c r="J2036" t="s">
        <v>34</v>
      </c>
      <c r="K2036" t="s">
        <v>2</v>
      </c>
      <c r="L2036" t="s">
        <v>67</v>
      </c>
      <c r="M2036" t="s">
        <v>81</v>
      </c>
      <c r="N2036" t="s">
        <v>12</v>
      </c>
    </row>
    <row r="2037" spans="1:14" x14ac:dyDescent="0.35">
      <c r="A2037" s="75">
        <v>44069</v>
      </c>
      <c r="B2037" t="s">
        <v>165</v>
      </c>
      <c r="C2037" t="s">
        <v>99</v>
      </c>
      <c r="D2037">
        <v>10</v>
      </c>
      <c r="E2037">
        <v>7</v>
      </c>
      <c r="F2037">
        <v>3</v>
      </c>
      <c r="G2037" t="s">
        <v>75</v>
      </c>
      <c r="H2037" t="s">
        <v>6</v>
      </c>
      <c r="I2037">
        <v>60000000</v>
      </c>
      <c r="J2037" t="s">
        <v>41</v>
      </c>
      <c r="K2037" t="s">
        <v>7</v>
      </c>
      <c r="L2037" t="s">
        <v>67</v>
      </c>
      <c r="M2037" t="s">
        <v>80</v>
      </c>
      <c r="N2037" t="s">
        <v>12</v>
      </c>
    </row>
    <row r="2038" spans="1:14" x14ac:dyDescent="0.35">
      <c r="A2038" s="75">
        <v>44069</v>
      </c>
      <c r="B2038" t="s">
        <v>165</v>
      </c>
      <c r="C2038" t="s">
        <v>99</v>
      </c>
      <c r="D2038">
        <v>8</v>
      </c>
      <c r="E2038">
        <v>6</v>
      </c>
      <c r="F2038">
        <v>2</v>
      </c>
      <c r="G2038" t="s">
        <v>74</v>
      </c>
      <c r="H2038" t="s">
        <v>77</v>
      </c>
      <c r="I2038">
        <v>140000000</v>
      </c>
      <c r="J2038" t="s">
        <v>25</v>
      </c>
      <c r="K2038" t="s">
        <v>5</v>
      </c>
      <c r="L2038" t="s">
        <v>67</v>
      </c>
      <c r="M2038" t="s">
        <v>81</v>
      </c>
      <c r="N2038" t="s">
        <v>11</v>
      </c>
    </row>
    <row r="2039" spans="1:14" x14ac:dyDescent="0.35">
      <c r="A2039" s="75">
        <v>44069</v>
      </c>
      <c r="B2039" t="s">
        <v>165</v>
      </c>
      <c r="C2039" t="s">
        <v>99</v>
      </c>
      <c r="D2039">
        <v>3</v>
      </c>
      <c r="E2039">
        <v>1</v>
      </c>
      <c r="F2039">
        <v>2</v>
      </c>
      <c r="G2039" t="s">
        <v>72</v>
      </c>
      <c r="H2039" t="s">
        <v>78</v>
      </c>
      <c r="I2039">
        <v>60000000</v>
      </c>
      <c r="J2039" t="s">
        <v>43</v>
      </c>
      <c r="K2039" t="s">
        <v>7</v>
      </c>
      <c r="L2039" t="s">
        <v>67</v>
      </c>
      <c r="M2039" t="s">
        <v>80</v>
      </c>
      <c r="N2039" t="s">
        <v>14</v>
      </c>
    </row>
    <row r="2040" spans="1:14" x14ac:dyDescent="0.35">
      <c r="A2040" s="75">
        <v>44070</v>
      </c>
      <c r="B2040" t="s">
        <v>166</v>
      </c>
      <c r="C2040" t="s">
        <v>99</v>
      </c>
      <c r="D2040">
        <v>10</v>
      </c>
      <c r="E2040">
        <v>7</v>
      </c>
      <c r="F2040">
        <v>3</v>
      </c>
      <c r="G2040" t="s">
        <v>74</v>
      </c>
      <c r="H2040" t="s">
        <v>77</v>
      </c>
      <c r="I2040">
        <v>80000000</v>
      </c>
      <c r="J2040" t="s">
        <v>55</v>
      </c>
      <c r="K2040" t="s">
        <v>8</v>
      </c>
      <c r="L2040" t="s">
        <v>67</v>
      </c>
      <c r="M2040" t="s">
        <v>80</v>
      </c>
      <c r="N2040" t="s">
        <v>14</v>
      </c>
    </row>
    <row r="2041" spans="1:14" x14ac:dyDescent="0.35">
      <c r="A2041" s="75">
        <v>44070</v>
      </c>
      <c r="B2041" t="s">
        <v>166</v>
      </c>
      <c r="C2041" t="s">
        <v>99</v>
      </c>
      <c r="D2041">
        <v>10</v>
      </c>
      <c r="E2041">
        <v>9</v>
      </c>
      <c r="F2041">
        <v>1</v>
      </c>
      <c r="G2041" t="s">
        <v>113</v>
      </c>
      <c r="H2041" t="s">
        <v>77</v>
      </c>
      <c r="I2041">
        <v>140000000</v>
      </c>
      <c r="J2041" t="s">
        <v>50</v>
      </c>
      <c r="K2041" t="s">
        <v>5</v>
      </c>
      <c r="L2041" t="s">
        <v>67</v>
      </c>
      <c r="M2041" t="s">
        <v>81</v>
      </c>
      <c r="N2041" t="s">
        <v>11</v>
      </c>
    </row>
    <row r="2042" spans="1:14" x14ac:dyDescent="0.35">
      <c r="A2042" s="75">
        <v>44070</v>
      </c>
      <c r="B2042" t="s">
        <v>166</v>
      </c>
      <c r="C2042" t="s">
        <v>99</v>
      </c>
      <c r="D2042">
        <v>10</v>
      </c>
      <c r="E2042">
        <v>8</v>
      </c>
      <c r="F2042">
        <v>2</v>
      </c>
      <c r="G2042" t="s">
        <v>114</v>
      </c>
      <c r="H2042" t="s">
        <v>3</v>
      </c>
      <c r="I2042">
        <v>80000000</v>
      </c>
      <c r="J2042" t="s">
        <v>53</v>
      </c>
      <c r="K2042" t="s">
        <v>5</v>
      </c>
      <c r="L2042" t="s">
        <v>67</v>
      </c>
      <c r="M2042" t="s">
        <v>81</v>
      </c>
      <c r="N2042" t="s">
        <v>14</v>
      </c>
    </row>
    <row r="2043" spans="1:14" x14ac:dyDescent="0.35">
      <c r="A2043" s="75">
        <v>44070</v>
      </c>
      <c r="B2043" t="s">
        <v>166</v>
      </c>
      <c r="C2043" t="s">
        <v>99</v>
      </c>
      <c r="D2043">
        <v>10</v>
      </c>
      <c r="E2043">
        <v>7</v>
      </c>
      <c r="F2043">
        <v>3</v>
      </c>
      <c r="G2043" t="s">
        <v>72</v>
      </c>
      <c r="H2043" t="s">
        <v>78</v>
      </c>
      <c r="I2043">
        <v>140000000</v>
      </c>
      <c r="J2043" t="s">
        <v>34</v>
      </c>
      <c r="K2043" t="s">
        <v>7</v>
      </c>
      <c r="L2043" t="s">
        <v>67</v>
      </c>
      <c r="M2043" t="s">
        <v>82</v>
      </c>
      <c r="N2043" t="s">
        <v>14</v>
      </c>
    </row>
    <row r="2044" spans="1:14" x14ac:dyDescent="0.35">
      <c r="A2044" s="75">
        <v>44070</v>
      </c>
      <c r="B2044" t="s">
        <v>166</v>
      </c>
      <c r="C2044" t="s">
        <v>99</v>
      </c>
      <c r="D2044">
        <v>9</v>
      </c>
      <c r="E2044">
        <v>8</v>
      </c>
      <c r="F2044">
        <v>1</v>
      </c>
      <c r="G2044" t="s">
        <v>76</v>
      </c>
      <c r="H2044" t="s">
        <v>79</v>
      </c>
      <c r="I2044">
        <v>40000000</v>
      </c>
      <c r="J2044" t="s">
        <v>34</v>
      </c>
      <c r="K2044" t="s">
        <v>2</v>
      </c>
      <c r="L2044" t="s">
        <v>67</v>
      </c>
      <c r="M2044" t="s">
        <v>82</v>
      </c>
      <c r="N2044" t="s">
        <v>11</v>
      </c>
    </row>
    <row r="2045" spans="1:14" x14ac:dyDescent="0.35">
      <c r="A2045" s="75">
        <v>44070</v>
      </c>
      <c r="B2045" t="s">
        <v>166</v>
      </c>
      <c r="C2045" t="s">
        <v>99</v>
      </c>
      <c r="D2045">
        <v>9</v>
      </c>
      <c r="E2045">
        <v>8</v>
      </c>
      <c r="F2045">
        <v>1</v>
      </c>
      <c r="G2045" t="s">
        <v>73</v>
      </c>
      <c r="H2045" t="s">
        <v>78</v>
      </c>
      <c r="I2045">
        <v>40000000</v>
      </c>
      <c r="J2045" t="s">
        <v>47</v>
      </c>
      <c r="K2045" t="s">
        <v>9</v>
      </c>
      <c r="L2045" t="s">
        <v>67</v>
      </c>
      <c r="M2045" t="s">
        <v>82</v>
      </c>
      <c r="N2045" t="s">
        <v>11</v>
      </c>
    </row>
    <row r="2046" spans="1:14" x14ac:dyDescent="0.35">
      <c r="A2046" s="75">
        <v>44070</v>
      </c>
      <c r="B2046" t="s">
        <v>166</v>
      </c>
      <c r="C2046" t="s">
        <v>99</v>
      </c>
      <c r="D2046">
        <v>7</v>
      </c>
      <c r="E2046">
        <v>6</v>
      </c>
      <c r="F2046">
        <v>1</v>
      </c>
      <c r="G2046" t="s">
        <v>114</v>
      </c>
      <c r="H2046" t="s">
        <v>3</v>
      </c>
      <c r="I2046">
        <v>40000000</v>
      </c>
      <c r="J2046" t="s">
        <v>59</v>
      </c>
      <c r="K2046" t="s">
        <v>2</v>
      </c>
      <c r="L2046" t="s">
        <v>67</v>
      </c>
      <c r="M2046" t="s">
        <v>81</v>
      </c>
      <c r="N2046" t="s">
        <v>13</v>
      </c>
    </row>
    <row r="2047" spans="1:14" x14ac:dyDescent="0.35">
      <c r="A2047" s="75">
        <v>44070</v>
      </c>
      <c r="B2047" t="s">
        <v>166</v>
      </c>
      <c r="C2047" t="s">
        <v>99</v>
      </c>
      <c r="D2047">
        <v>6</v>
      </c>
      <c r="E2047">
        <v>5</v>
      </c>
      <c r="F2047">
        <v>1</v>
      </c>
      <c r="G2047" t="s">
        <v>75</v>
      </c>
      <c r="H2047" t="s">
        <v>6</v>
      </c>
      <c r="I2047">
        <v>40000000</v>
      </c>
      <c r="J2047" t="s">
        <v>35</v>
      </c>
      <c r="K2047" t="s">
        <v>5</v>
      </c>
      <c r="L2047" t="s">
        <v>67</v>
      </c>
      <c r="M2047" t="s">
        <v>80</v>
      </c>
      <c r="N2047" t="s">
        <v>14</v>
      </c>
    </row>
    <row r="2048" spans="1:14" x14ac:dyDescent="0.35">
      <c r="A2048" s="75">
        <v>44070</v>
      </c>
      <c r="B2048" t="s">
        <v>166</v>
      </c>
      <c r="C2048" t="s">
        <v>99</v>
      </c>
      <c r="D2048">
        <v>6</v>
      </c>
      <c r="E2048">
        <v>4</v>
      </c>
      <c r="F2048">
        <v>2</v>
      </c>
      <c r="G2048" t="s">
        <v>74</v>
      </c>
      <c r="H2048" t="s">
        <v>77</v>
      </c>
      <c r="I2048">
        <v>100000000</v>
      </c>
      <c r="J2048" t="s">
        <v>28</v>
      </c>
      <c r="K2048" t="s">
        <v>5</v>
      </c>
      <c r="L2048" t="s">
        <v>67</v>
      </c>
      <c r="M2048" t="s">
        <v>82</v>
      </c>
      <c r="N2048" t="s">
        <v>11</v>
      </c>
    </row>
    <row r="2049" spans="1:14" x14ac:dyDescent="0.35">
      <c r="A2049" s="75">
        <v>44070</v>
      </c>
      <c r="B2049" t="s">
        <v>166</v>
      </c>
      <c r="C2049" t="s">
        <v>99</v>
      </c>
      <c r="D2049">
        <v>5</v>
      </c>
      <c r="E2049">
        <v>4</v>
      </c>
      <c r="F2049">
        <v>1</v>
      </c>
      <c r="G2049" t="s">
        <v>74</v>
      </c>
      <c r="H2049" t="s">
        <v>77</v>
      </c>
      <c r="I2049">
        <v>120000000</v>
      </c>
      <c r="J2049" t="s">
        <v>27</v>
      </c>
      <c r="K2049" t="s">
        <v>8</v>
      </c>
      <c r="L2049" t="s">
        <v>67</v>
      </c>
      <c r="M2049" t="s">
        <v>81</v>
      </c>
      <c r="N2049" t="s">
        <v>12</v>
      </c>
    </row>
    <row r="2050" spans="1:14" x14ac:dyDescent="0.35">
      <c r="A2050" s="75">
        <v>44070</v>
      </c>
      <c r="B2050" t="s">
        <v>166</v>
      </c>
      <c r="C2050" t="s">
        <v>99</v>
      </c>
      <c r="D2050">
        <v>4</v>
      </c>
      <c r="E2050">
        <v>2</v>
      </c>
      <c r="F2050">
        <v>2</v>
      </c>
      <c r="G2050" t="s">
        <v>72</v>
      </c>
      <c r="H2050" t="s">
        <v>78</v>
      </c>
      <c r="I2050">
        <v>140000000</v>
      </c>
      <c r="J2050" t="s">
        <v>16</v>
      </c>
      <c r="K2050" t="s">
        <v>5</v>
      </c>
      <c r="L2050" t="s">
        <v>67</v>
      </c>
      <c r="M2050" t="s">
        <v>81</v>
      </c>
      <c r="N2050" t="s">
        <v>13</v>
      </c>
    </row>
    <row r="2051" spans="1:14" x14ac:dyDescent="0.35">
      <c r="A2051" s="75">
        <v>44070</v>
      </c>
      <c r="B2051" t="s">
        <v>166</v>
      </c>
      <c r="C2051" t="s">
        <v>99</v>
      </c>
      <c r="D2051">
        <v>3</v>
      </c>
      <c r="E2051">
        <v>2</v>
      </c>
      <c r="F2051">
        <v>1</v>
      </c>
      <c r="G2051" t="s">
        <v>76</v>
      </c>
      <c r="H2051" t="s">
        <v>79</v>
      </c>
      <c r="I2051">
        <v>80000000</v>
      </c>
      <c r="J2051" t="s">
        <v>46</v>
      </c>
      <c r="K2051" t="s">
        <v>5</v>
      </c>
      <c r="L2051" t="s">
        <v>67</v>
      </c>
      <c r="M2051" t="s">
        <v>80</v>
      </c>
      <c r="N2051" t="s">
        <v>13</v>
      </c>
    </row>
    <row r="2052" spans="1:14" x14ac:dyDescent="0.35">
      <c r="A2052" s="75">
        <v>44070</v>
      </c>
      <c r="B2052" t="s">
        <v>166</v>
      </c>
      <c r="C2052" t="s">
        <v>99</v>
      </c>
      <c r="D2052">
        <v>3</v>
      </c>
      <c r="E2052">
        <v>2</v>
      </c>
      <c r="F2052">
        <v>1</v>
      </c>
      <c r="G2052" t="s">
        <v>71</v>
      </c>
      <c r="H2052" t="s">
        <v>6</v>
      </c>
      <c r="I2052">
        <v>100000000</v>
      </c>
      <c r="J2052" t="s">
        <v>23</v>
      </c>
      <c r="K2052" t="s">
        <v>2</v>
      </c>
      <c r="L2052" t="s">
        <v>67</v>
      </c>
      <c r="M2052" t="s">
        <v>80</v>
      </c>
      <c r="N2052" t="s">
        <v>11</v>
      </c>
    </row>
    <row r="2053" spans="1:14" x14ac:dyDescent="0.35">
      <c r="A2053" s="75">
        <v>44071</v>
      </c>
      <c r="B2053" t="s">
        <v>167</v>
      </c>
      <c r="C2053" t="s">
        <v>99</v>
      </c>
      <c r="D2053">
        <v>10</v>
      </c>
      <c r="E2053">
        <v>8</v>
      </c>
      <c r="F2053">
        <v>2</v>
      </c>
      <c r="G2053" t="s">
        <v>113</v>
      </c>
      <c r="H2053" t="s">
        <v>77</v>
      </c>
      <c r="I2053">
        <v>40000000</v>
      </c>
      <c r="J2053" t="s">
        <v>27</v>
      </c>
      <c r="K2053" t="s">
        <v>7</v>
      </c>
      <c r="L2053" t="s">
        <v>67</v>
      </c>
      <c r="M2053" t="s">
        <v>82</v>
      </c>
      <c r="N2053" t="s">
        <v>11</v>
      </c>
    </row>
    <row r="2054" spans="1:14" x14ac:dyDescent="0.35">
      <c r="A2054" s="75">
        <v>44071</v>
      </c>
      <c r="B2054" t="s">
        <v>167</v>
      </c>
      <c r="C2054" t="s">
        <v>99</v>
      </c>
      <c r="D2054">
        <v>8</v>
      </c>
      <c r="E2054">
        <v>7</v>
      </c>
      <c r="F2054">
        <v>1</v>
      </c>
      <c r="G2054" t="s">
        <v>114</v>
      </c>
      <c r="H2054" t="s">
        <v>3</v>
      </c>
      <c r="I2054">
        <v>100000000</v>
      </c>
      <c r="J2054" t="s">
        <v>30</v>
      </c>
      <c r="K2054" t="s">
        <v>2</v>
      </c>
      <c r="L2054" t="s">
        <v>67</v>
      </c>
      <c r="M2054" t="s">
        <v>80</v>
      </c>
      <c r="N2054" t="s">
        <v>12</v>
      </c>
    </row>
    <row r="2055" spans="1:14" x14ac:dyDescent="0.35">
      <c r="A2055" s="75">
        <v>44071</v>
      </c>
      <c r="B2055" t="s">
        <v>167</v>
      </c>
      <c r="C2055" t="s">
        <v>99</v>
      </c>
      <c r="D2055">
        <v>6</v>
      </c>
      <c r="E2055">
        <v>4</v>
      </c>
      <c r="F2055">
        <v>2</v>
      </c>
      <c r="G2055" t="s">
        <v>70</v>
      </c>
      <c r="H2055" t="s">
        <v>1</v>
      </c>
      <c r="I2055">
        <v>60000000</v>
      </c>
      <c r="J2055" t="s">
        <v>41</v>
      </c>
      <c r="K2055" t="s">
        <v>2</v>
      </c>
      <c r="L2055" t="s">
        <v>67</v>
      </c>
      <c r="M2055" t="s">
        <v>82</v>
      </c>
      <c r="N2055" t="s">
        <v>12</v>
      </c>
    </row>
    <row r="2056" spans="1:14" x14ac:dyDescent="0.35">
      <c r="A2056" s="75">
        <v>44072</v>
      </c>
      <c r="B2056" t="s">
        <v>168</v>
      </c>
      <c r="C2056" t="s">
        <v>99</v>
      </c>
      <c r="D2056">
        <v>10</v>
      </c>
      <c r="E2056">
        <v>9</v>
      </c>
      <c r="F2056">
        <v>1</v>
      </c>
      <c r="G2056" t="s">
        <v>72</v>
      </c>
      <c r="H2056" t="s">
        <v>78</v>
      </c>
      <c r="I2056">
        <v>100000000</v>
      </c>
      <c r="J2056" t="s">
        <v>64</v>
      </c>
      <c r="K2056" t="s">
        <v>8</v>
      </c>
      <c r="L2056" t="s">
        <v>67</v>
      </c>
      <c r="M2056" t="s">
        <v>81</v>
      </c>
      <c r="N2056" t="s">
        <v>12</v>
      </c>
    </row>
    <row r="2057" spans="1:14" x14ac:dyDescent="0.35">
      <c r="A2057" s="75">
        <v>44072</v>
      </c>
      <c r="B2057" t="s">
        <v>168</v>
      </c>
      <c r="C2057" t="s">
        <v>99</v>
      </c>
      <c r="D2057">
        <v>9</v>
      </c>
      <c r="E2057">
        <v>6</v>
      </c>
      <c r="F2057">
        <v>3</v>
      </c>
      <c r="G2057" t="s">
        <v>70</v>
      </c>
      <c r="H2057" t="s">
        <v>1</v>
      </c>
      <c r="I2057">
        <v>100000000</v>
      </c>
      <c r="J2057" t="s">
        <v>22</v>
      </c>
      <c r="K2057" t="s">
        <v>5</v>
      </c>
      <c r="L2057" t="s">
        <v>67</v>
      </c>
      <c r="M2057" t="s">
        <v>81</v>
      </c>
      <c r="N2057" t="s">
        <v>11</v>
      </c>
    </row>
    <row r="2058" spans="1:14" x14ac:dyDescent="0.35">
      <c r="A2058" s="75">
        <v>44072</v>
      </c>
      <c r="B2058" t="s">
        <v>168</v>
      </c>
      <c r="C2058" t="s">
        <v>99</v>
      </c>
      <c r="D2058">
        <v>8</v>
      </c>
      <c r="E2058">
        <v>6</v>
      </c>
      <c r="F2058">
        <v>2</v>
      </c>
      <c r="G2058" t="s">
        <v>72</v>
      </c>
      <c r="H2058" t="s">
        <v>78</v>
      </c>
      <c r="I2058">
        <v>80000000</v>
      </c>
      <c r="J2058" t="s">
        <v>19</v>
      </c>
      <c r="K2058" t="s">
        <v>9</v>
      </c>
      <c r="L2058" t="s">
        <v>67</v>
      </c>
      <c r="M2058" t="s">
        <v>81</v>
      </c>
      <c r="N2058" t="s">
        <v>13</v>
      </c>
    </row>
    <row r="2059" spans="1:14" x14ac:dyDescent="0.35">
      <c r="A2059" s="75">
        <v>44072</v>
      </c>
      <c r="B2059" t="s">
        <v>168</v>
      </c>
      <c r="C2059" t="s">
        <v>99</v>
      </c>
      <c r="D2059">
        <v>8</v>
      </c>
      <c r="E2059">
        <v>6</v>
      </c>
      <c r="F2059">
        <v>2</v>
      </c>
      <c r="G2059" t="s">
        <v>70</v>
      </c>
      <c r="H2059" t="s">
        <v>1</v>
      </c>
      <c r="I2059">
        <v>80000000</v>
      </c>
      <c r="J2059" t="s">
        <v>56</v>
      </c>
      <c r="K2059" t="s">
        <v>2</v>
      </c>
      <c r="L2059" t="s">
        <v>67</v>
      </c>
      <c r="M2059" t="s">
        <v>80</v>
      </c>
      <c r="N2059" t="s">
        <v>14</v>
      </c>
    </row>
    <row r="2060" spans="1:14" x14ac:dyDescent="0.35">
      <c r="A2060" s="75">
        <v>44072</v>
      </c>
      <c r="B2060" t="s">
        <v>168</v>
      </c>
      <c r="C2060" t="s">
        <v>99</v>
      </c>
      <c r="D2060">
        <v>6</v>
      </c>
      <c r="E2060">
        <v>5</v>
      </c>
      <c r="F2060">
        <v>1</v>
      </c>
      <c r="G2060" t="s">
        <v>113</v>
      </c>
      <c r="H2060" t="s">
        <v>77</v>
      </c>
      <c r="I2060">
        <v>140000000</v>
      </c>
      <c r="J2060" t="s">
        <v>46</v>
      </c>
      <c r="K2060" t="s">
        <v>5</v>
      </c>
      <c r="L2060" t="s">
        <v>67</v>
      </c>
      <c r="M2060" t="s">
        <v>81</v>
      </c>
      <c r="N2060" t="s">
        <v>11</v>
      </c>
    </row>
    <row r="2061" spans="1:14" x14ac:dyDescent="0.35">
      <c r="A2061" s="75">
        <v>44072</v>
      </c>
      <c r="B2061" t="s">
        <v>168</v>
      </c>
      <c r="C2061" t="s">
        <v>99</v>
      </c>
      <c r="D2061">
        <v>6</v>
      </c>
      <c r="E2061">
        <v>4</v>
      </c>
      <c r="F2061">
        <v>2</v>
      </c>
      <c r="G2061" t="s">
        <v>75</v>
      </c>
      <c r="H2061" t="s">
        <v>6</v>
      </c>
      <c r="I2061">
        <v>100000000</v>
      </c>
      <c r="J2061" t="s">
        <v>42</v>
      </c>
      <c r="K2061" t="s">
        <v>2</v>
      </c>
      <c r="L2061" t="s">
        <v>67</v>
      </c>
      <c r="M2061" t="s">
        <v>80</v>
      </c>
      <c r="N2061" t="s">
        <v>13</v>
      </c>
    </row>
    <row r="2062" spans="1:14" x14ac:dyDescent="0.35">
      <c r="A2062" s="75">
        <v>44072</v>
      </c>
      <c r="B2062" t="s">
        <v>168</v>
      </c>
      <c r="C2062" t="s">
        <v>99</v>
      </c>
      <c r="D2062">
        <v>5</v>
      </c>
      <c r="E2062">
        <v>3</v>
      </c>
      <c r="F2062">
        <v>2</v>
      </c>
      <c r="G2062" t="s">
        <v>113</v>
      </c>
      <c r="H2062" t="s">
        <v>77</v>
      </c>
      <c r="I2062">
        <v>80000000</v>
      </c>
      <c r="J2062" t="s">
        <v>19</v>
      </c>
      <c r="K2062" t="s">
        <v>5</v>
      </c>
      <c r="L2062" t="s">
        <v>67</v>
      </c>
      <c r="M2062" t="s">
        <v>81</v>
      </c>
      <c r="N2062" t="s">
        <v>14</v>
      </c>
    </row>
    <row r="2063" spans="1:14" x14ac:dyDescent="0.35">
      <c r="A2063" s="75">
        <v>44072</v>
      </c>
      <c r="B2063" t="s">
        <v>168</v>
      </c>
      <c r="C2063" t="s">
        <v>99</v>
      </c>
      <c r="D2063">
        <v>5</v>
      </c>
      <c r="E2063">
        <v>3</v>
      </c>
      <c r="F2063">
        <v>2</v>
      </c>
      <c r="G2063" t="s">
        <v>75</v>
      </c>
      <c r="H2063" t="s">
        <v>6</v>
      </c>
      <c r="I2063">
        <v>120000000</v>
      </c>
      <c r="J2063" t="s">
        <v>22</v>
      </c>
      <c r="K2063" t="s">
        <v>2</v>
      </c>
      <c r="L2063" t="s">
        <v>67</v>
      </c>
      <c r="M2063" t="s">
        <v>82</v>
      </c>
      <c r="N2063" t="s">
        <v>11</v>
      </c>
    </row>
    <row r="2064" spans="1:14" x14ac:dyDescent="0.35">
      <c r="A2064" s="75">
        <v>44072</v>
      </c>
      <c r="B2064" t="s">
        <v>168</v>
      </c>
      <c r="C2064" t="s">
        <v>99</v>
      </c>
      <c r="D2064">
        <v>4</v>
      </c>
      <c r="E2064">
        <v>2</v>
      </c>
      <c r="F2064">
        <v>2</v>
      </c>
      <c r="G2064" t="s">
        <v>74</v>
      </c>
      <c r="H2064" t="s">
        <v>77</v>
      </c>
      <c r="I2064">
        <v>140000000</v>
      </c>
      <c r="J2064" t="s">
        <v>31</v>
      </c>
      <c r="K2064" t="s">
        <v>9</v>
      </c>
      <c r="L2064" t="s">
        <v>67</v>
      </c>
      <c r="M2064" t="s">
        <v>82</v>
      </c>
      <c r="N2064" t="s">
        <v>12</v>
      </c>
    </row>
    <row r="2065" spans="1:14" x14ac:dyDescent="0.35">
      <c r="A2065" s="75">
        <v>44072</v>
      </c>
      <c r="B2065" t="s">
        <v>168</v>
      </c>
      <c r="C2065" t="s">
        <v>99</v>
      </c>
      <c r="D2065">
        <v>3</v>
      </c>
      <c r="E2065">
        <v>1</v>
      </c>
      <c r="F2065">
        <v>2</v>
      </c>
      <c r="G2065" t="s">
        <v>73</v>
      </c>
      <c r="H2065" t="s">
        <v>78</v>
      </c>
      <c r="I2065">
        <v>140000000</v>
      </c>
      <c r="J2065" t="s">
        <v>29</v>
      </c>
      <c r="K2065" t="s">
        <v>7</v>
      </c>
      <c r="L2065" t="s">
        <v>67</v>
      </c>
      <c r="M2065" t="s">
        <v>82</v>
      </c>
      <c r="N2065" t="s">
        <v>12</v>
      </c>
    </row>
    <row r="2066" spans="1:14" x14ac:dyDescent="0.35">
      <c r="A2066" s="75">
        <v>44072</v>
      </c>
      <c r="B2066" t="s">
        <v>168</v>
      </c>
      <c r="C2066" t="s">
        <v>99</v>
      </c>
      <c r="D2066">
        <v>3</v>
      </c>
      <c r="E2066">
        <v>1</v>
      </c>
      <c r="F2066">
        <v>2</v>
      </c>
      <c r="G2066" t="s">
        <v>71</v>
      </c>
      <c r="H2066" t="s">
        <v>6</v>
      </c>
      <c r="I2066">
        <v>120000000</v>
      </c>
      <c r="J2066" t="s">
        <v>52</v>
      </c>
      <c r="K2066" t="s">
        <v>2</v>
      </c>
      <c r="L2066" t="s">
        <v>67</v>
      </c>
      <c r="M2066" t="s">
        <v>80</v>
      </c>
      <c r="N2066" t="s">
        <v>13</v>
      </c>
    </row>
    <row r="2067" spans="1:14" x14ac:dyDescent="0.35">
      <c r="A2067" s="75">
        <v>44073</v>
      </c>
      <c r="B2067" t="s">
        <v>169</v>
      </c>
      <c r="C2067" t="s">
        <v>99</v>
      </c>
      <c r="D2067">
        <v>10</v>
      </c>
      <c r="E2067">
        <v>9</v>
      </c>
      <c r="F2067">
        <v>1</v>
      </c>
      <c r="G2067" t="s">
        <v>73</v>
      </c>
      <c r="H2067" t="s">
        <v>78</v>
      </c>
      <c r="I2067">
        <v>100000000</v>
      </c>
      <c r="J2067" t="s">
        <v>58</v>
      </c>
      <c r="K2067" t="s">
        <v>2</v>
      </c>
      <c r="L2067" t="s">
        <v>67</v>
      </c>
      <c r="M2067" t="s">
        <v>82</v>
      </c>
      <c r="N2067" t="s">
        <v>14</v>
      </c>
    </row>
    <row r="2068" spans="1:14" x14ac:dyDescent="0.35">
      <c r="A2068" s="75">
        <v>44073</v>
      </c>
      <c r="B2068" t="s">
        <v>169</v>
      </c>
      <c r="C2068" t="s">
        <v>99</v>
      </c>
      <c r="D2068">
        <v>9</v>
      </c>
      <c r="E2068">
        <v>5</v>
      </c>
      <c r="F2068">
        <v>4</v>
      </c>
      <c r="G2068" t="s">
        <v>70</v>
      </c>
      <c r="H2068" t="s">
        <v>1</v>
      </c>
      <c r="I2068">
        <v>80000000</v>
      </c>
      <c r="J2068" t="s">
        <v>47</v>
      </c>
      <c r="K2068" t="s">
        <v>7</v>
      </c>
      <c r="L2068" t="s">
        <v>67</v>
      </c>
      <c r="M2068" t="s">
        <v>80</v>
      </c>
      <c r="N2068" t="s">
        <v>11</v>
      </c>
    </row>
    <row r="2069" spans="1:14" x14ac:dyDescent="0.35">
      <c r="A2069" s="75">
        <v>44073</v>
      </c>
      <c r="B2069" t="s">
        <v>169</v>
      </c>
      <c r="C2069" t="s">
        <v>99</v>
      </c>
      <c r="D2069">
        <v>7</v>
      </c>
      <c r="E2069">
        <v>5</v>
      </c>
      <c r="F2069">
        <v>2</v>
      </c>
      <c r="G2069" t="s">
        <v>71</v>
      </c>
      <c r="H2069" t="s">
        <v>6</v>
      </c>
      <c r="I2069">
        <v>60000000</v>
      </c>
      <c r="J2069" t="s">
        <v>36</v>
      </c>
      <c r="K2069" t="s">
        <v>2</v>
      </c>
      <c r="L2069" t="s">
        <v>67</v>
      </c>
      <c r="M2069" t="s">
        <v>81</v>
      </c>
      <c r="N2069" t="s">
        <v>13</v>
      </c>
    </row>
    <row r="2070" spans="1:14" x14ac:dyDescent="0.35">
      <c r="A2070" s="75">
        <v>44073</v>
      </c>
      <c r="B2070" t="s">
        <v>169</v>
      </c>
      <c r="C2070" t="s">
        <v>99</v>
      </c>
      <c r="D2070">
        <v>5</v>
      </c>
      <c r="E2070">
        <v>4</v>
      </c>
      <c r="F2070">
        <v>1</v>
      </c>
      <c r="G2070" t="s">
        <v>71</v>
      </c>
      <c r="H2070" t="s">
        <v>6</v>
      </c>
      <c r="I2070">
        <v>100000000</v>
      </c>
      <c r="J2070" t="s">
        <v>50</v>
      </c>
      <c r="K2070" t="s">
        <v>2</v>
      </c>
      <c r="L2070" t="s">
        <v>67</v>
      </c>
      <c r="M2070" t="s">
        <v>82</v>
      </c>
      <c r="N2070" t="s">
        <v>11</v>
      </c>
    </row>
    <row r="2071" spans="1:14" x14ac:dyDescent="0.35">
      <c r="A2071" s="75">
        <v>44073</v>
      </c>
      <c r="B2071" t="s">
        <v>169</v>
      </c>
      <c r="C2071" t="s">
        <v>99</v>
      </c>
      <c r="D2071">
        <v>5</v>
      </c>
      <c r="E2071">
        <v>3</v>
      </c>
      <c r="F2071">
        <v>2</v>
      </c>
      <c r="G2071" t="s">
        <v>74</v>
      </c>
      <c r="H2071" t="s">
        <v>77</v>
      </c>
      <c r="I2071">
        <v>40000000</v>
      </c>
      <c r="J2071" t="s">
        <v>37</v>
      </c>
      <c r="K2071" t="s">
        <v>2</v>
      </c>
      <c r="L2071" t="s">
        <v>67</v>
      </c>
      <c r="M2071" t="s">
        <v>81</v>
      </c>
      <c r="N2071" t="s">
        <v>11</v>
      </c>
    </row>
    <row r="2072" spans="1:14" x14ac:dyDescent="0.35">
      <c r="A2072" s="75">
        <v>44073</v>
      </c>
      <c r="B2072" t="s">
        <v>169</v>
      </c>
      <c r="C2072" t="s">
        <v>99</v>
      </c>
      <c r="D2072">
        <v>3</v>
      </c>
      <c r="E2072">
        <v>2</v>
      </c>
      <c r="F2072">
        <v>1</v>
      </c>
      <c r="G2072" t="s">
        <v>74</v>
      </c>
      <c r="H2072" t="s">
        <v>77</v>
      </c>
      <c r="I2072">
        <v>80000000</v>
      </c>
      <c r="J2072" t="s">
        <v>43</v>
      </c>
      <c r="K2072" t="s">
        <v>2</v>
      </c>
      <c r="L2072" t="s">
        <v>67</v>
      </c>
      <c r="M2072" t="s">
        <v>82</v>
      </c>
      <c r="N2072" t="s">
        <v>12</v>
      </c>
    </row>
    <row r="2073" spans="1:14" x14ac:dyDescent="0.35">
      <c r="A2073" s="75">
        <v>44073</v>
      </c>
      <c r="B2073" t="s">
        <v>169</v>
      </c>
      <c r="C2073" t="s">
        <v>99</v>
      </c>
      <c r="D2073">
        <v>3</v>
      </c>
      <c r="E2073">
        <v>1</v>
      </c>
      <c r="F2073">
        <v>2</v>
      </c>
      <c r="G2073" t="s">
        <v>71</v>
      </c>
      <c r="H2073" t="s">
        <v>6</v>
      </c>
      <c r="I2073">
        <v>80000000</v>
      </c>
      <c r="J2073" t="s">
        <v>64</v>
      </c>
      <c r="K2073" t="s">
        <v>2</v>
      </c>
      <c r="L2073" t="s">
        <v>67</v>
      </c>
      <c r="M2073" t="s">
        <v>82</v>
      </c>
      <c r="N2073" t="s">
        <v>12</v>
      </c>
    </row>
    <row r="2074" spans="1:14" x14ac:dyDescent="0.35">
      <c r="A2074" s="75">
        <v>44074</v>
      </c>
      <c r="B2074" t="s">
        <v>170</v>
      </c>
      <c r="C2074" t="s">
        <v>99</v>
      </c>
      <c r="D2074">
        <v>10</v>
      </c>
      <c r="E2074">
        <v>8</v>
      </c>
      <c r="F2074">
        <v>2</v>
      </c>
      <c r="G2074" t="s">
        <v>114</v>
      </c>
      <c r="H2074" t="s">
        <v>3</v>
      </c>
      <c r="I2074">
        <v>60000000</v>
      </c>
      <c r="J2074" t="s">
        <v>50</v>
      </c>
      <c r="K2074" t="s">
        <v>5</v>
      </c>
      <c r="L2074" t="s">
        <v>67</v>
      </c>
      <c r="M2074" t="s">
        <v>80</v>
      </c>
      <c r="N2074" t="s">
        <v>13</v>
      </c>
    </row>
    <row r="2075" spans="1:14" x14ac:dyDescent="0.35">
      <c r="A2075" s="75">
        <v>44074</v>
      </c>
      <c r="B2075" t="s">
        <v>170</v>
      </c>
      <c r="C2075" t="s">
        <v>99</v>
      </c>
      <c r="D2075">
        <v>8</v>
      </c>
      <c r="E2075">
        <v>5</v>
      </c>
      <c r="F2075">
        <v>3</v>
      </c>
      <c r="G2075" t="s">
        <v>72</v>
      </c>
      <c r="H2075" t="s">
        <v>78</v>
      </c>
      <c r="I2075">
        <v>140000000</v>
      </c>
      <c r="J2075" t="s">
        <v>52</v>
      </c>
      <c r="K2075" t="s">
        <v>2</v>
      </c>
      <c r="L2075" t="s">
        <v>67</v>
      </c>
      <c r="M2075" t="s">
        <v>81</v>
      </c>
      <c r="N2075" t="s">
        <v>11</v>
      </c>
    </row>
    <row r="2076" spans="1:14" x14ac:dyDescent="0.35">
      <c r="A2076" s="75">
        <v>44074</v>
      </c>
      <c r="B2076" t="s">
        <v>170</v>
      </c>
      <c r="C2076" t="s">
        <v>99</v>
      </c>
      <c r="D2076">
        <v>8</v>
      </c>
      <c r="E2076">
        <v>4</v>
      </c>
      <c r="F2076">
        <v>4</v>
      </c>
      <c r="G2076" t="s">
        <v>71</v>
      </c>
      <c r="H2076" t="s">
        <v>6</v>
      </c>
      <c r="I2076">
        <v>40000000</v>
      </c>
      <c r="J2076" t="s">
        <v>56</v>
      </c>
      <c r="K2076" t="s">
        <v>8</v>
      </c>
      <c r="L2076" t="s">
        <v>67</v>
      </c>
      <c r="M2076" t="s">
        <v>81</v>
      </c>
      <c r="N2076" t="s">
        <v>14</v>
      </c>
    </row>
    <row r="2077" spans="1:14" x14ac:dyDescent="0.35">
      <c r="A2077" s="75">
        <v>44074</v>
      </c>
      <c r="B2077" t="s">
        <v>170</v>
      </c>
      <c r="C2077" t="s">
        <v>99</v>
      </c>
      <c r="D2077">
        <v>6</v>
      </c>
      <c r="E2077">
        <v>4</v>
      </c>
      <c r="F2077">
        <v>2</v>
      </c>
      <c r="G2077" t="s">
        <v>76</v>
      </c>
      <c r="H2077" t="s">
        <v>79</v>
      </c>
      <c r="I2077">
        <v>40000000</v>
      </c>
      <c r="J2077" t="s">
        <v>22</v>
      </c>
      <c r="K2077" t="s">
        <v>2</v>
      </c>
      <c r="L2077" t="s">
        <v>67</v>
      </c>
      <c r="M2077" t="s">
        <v>82</v>
      </c>
      <c r="N2077" t="s">
        <v>13</v>
      </c>
    </row>
    <row r="2078" spans="1:14" x14ac:dyDescent="0.35">
      <c r="A2078" s="75">
        <v>44074</v>
      </c>
      <c r="B2078" t="s">
        <v>170</v>
      </c>
      <c r="C2078" t="s">
        <v>99</v>
      </c>
      <c r="D2078">
        <v>6</v>
      </c>
      <c r="E2078">
        <v>4</v>
      </c>
      <c r="F2078">
        <v>2</v>
      </c>
      <c r="G2078" t="s">
        <v>74</v>
      </c>
      <c r="H2078" t="s">
        <v>77</v>
      </c>
      <c r="I2078">
        <v>40000000</v>
      </c>
      <c r="J2078" t="s">
        <v>44</v>
      </c>
      <c r="K2078" t="s">
        <v>2</v>
      </c>
      <c r="L2078" t="s">
        <v>67</v>
      </c>
      <c r="M2078" t="s">
        <v>80</v>
      </c>
      <c r="N2078" t="s">
        <v>11</v>
      </c>
    </row>
    <row r="2079" spans="1:14" x14ac:dyDescent="0.35">
      <c r="A2079" s="75">
        <v>44074</v>
      </c>
      <c r="B2079" t="s">
        <v>170</v>
      </c>
      <c r="C2079" t="s">
        <v>99</v>
      </c>
      <c r="D2079">
        <v>6</v>
      </c>
      <c r="E2079">
        <v>5</v>
      </c>
      <c r="F2079">
        <v>1</v>
      </c>
      <c r="G2079" t="s">
        <v>74</v>
      </c>
      <c r="H2079" t="s">
        <v>77</v>
      </c>
      <c r="I2079">
        <v>120000000</v>
      </c>
      <c r="J2079" t="s">
        <v>59</v>
      </c>
      <c r="K2079" t="s">
        <v>2</v>
      </c>
      <c r="L2079" t="s">
        <v>67</v>
      </c>
      <c r="M2079" t="s">
        <v>80</v>
      </c>
      <c r="N2079" t="s">
        <v>12</v>
      </c>
    </row>
    <row r="2080" spans="1:14" x14ac:dyDescent="0.35">
      <c r="A2080" s="75">
        <v>44074</v>
      </c>
      <c r="B2080" t="s">
        <v>170</v>
      </c>
      <c r="C2080" t="s">
        <v>99</v>
      </c>
      <c r="D2080">
        <v>5</v>
      </c>
      <c r="E2080">
        <v>4</v>
      </c>
      <c r="F2080">
        <v>1</v>
      </c>
      <c r="G2080" t="s">
        <v>114</v>
      </c>
      <c r="H2080" t="s">
        <v>3</v>
      </c>
      <c r="I2080">
        <v>100000000</v>
      </c>
      <c r="J2080" t="s">
        <v>32</v>
      </c>
      <c r="K2080" t="s">
        <v>7</v>
      </c>
      <c r="L2080" t="s">
        <v>67</v>
      </c>
      <c r="M2080" t="s">
        <v>81</v>
      </c>
      <c r="N2080" t="s">
        <v>13</v>
      </c>
    </row>
    <row r="2081" spans="1:14" x14ac:dyDescent="0.35">
      <c r="A2081" s="75">
        <v>44074</v>
      </c>
      <c r="B2081" t="s">
        <v>170</v>
      </c>
      <c r="C2081" t="s">
        <v>99</v>
      </c>
      <c r="D2081">
        <v>4</v>
      </c>
      <c r="E2081">
        <v>3</v>
      </c>
      <c r="F2081">
        <v>1</v>
      </c>
      <c r="G2081" t="s">
        <v>75</v>
      </c>
      <c r="H2081" t="s">
        <v>6</v>
      </c>
      <c r="I2081">
        <v>140000000</v>
      </c>
      <c r="J2081" t="s">
        <v>43</v>
      </c>
      <c r="K2081" t="s">
        <v>2</v>
      </c>
      <c r="L2081" t="s">
        <v>67</v>
      </c>
      <c r="M2081" t="s">
        <v>80</v>
      </c>
      <c r="N2081" t="s">
        <v>12</v>
      </c>
    </row>
    <row r="2082" spans="1:14" x14ac:dyDescent="0.35">
      <c r="A2082" s="75">
        <v>44074</v>
      </c>
      <c r="B2082" t="s">
        <v>170</v>
      </c>
      <c r="C2082" t="s">
        <v>99</v>
      </c>
      <c r="D2082">
        <v>3</v>
      </c>
      <c r="E2082">
        <v>2</v>
      </c>
      <c r="F2082">
        <v>1</v>
      </c>
      <c r="G2082" t="s">
        <v>114</v>
      </c>
      <c r="H2082" t="s">
        <v>3</v>
      </c>
      <c r="I2082">
        <v>80000000</v>
      </c>
      <c r="J2082" t="s">
        <v>58</v>
      </c>
      <c r="K2082" t="s">
        <v>5</v>
      </c>
      <c r="L2082" t="s">
        <v>67</v>
      </c>
      <c r="M2082" t="s">
        <v>81</v>
      </c>
      <c r="N2082" t="s">
        <v>11</v>
      </c>
    </row>
    <row r="2083" spans="1:14" x14ac:dyDescent="0.35">
      <c r="A2083" s="75">
        <v>44074</v>
      </c>
      <c r="B2083" t="s">
        <v>170</v>
      </c>
      <c r="C2083" t="s">
        <v>99</v>
      </c>
      <c r="D2083">
        <v>3</v>
      </c>
      <c r="E2083">
        <v>2</v>
      </c>
      <c r="F2083">
        <v>1</v>
      </c>
      <c r="G2083" t="s">
        <v>73</v>
      </c>
      <c r="H2083" t="s">
        <v>78</v>
      </c>
      <c r="I2083">
        <v>60000000</v>
      </c>
      <c r="J2083" t="s">
        <v>32</v>
      </c>
      <c r="K2083" t="s">
        <v>2</v>
      </c>
      <c r="L2083" t="s">
        <v>67</v>
      </c>
      <c r="M2083" t="s">
        <v>82</v>
      </c>
      <c r="N2083" t="s">
        <v>12</v>
      </c>
    </row>
    <row r="2084" spans="1:14" x14ac:dyDescent="0.35">
      <c r="A2084" s="75">
        <v>44074</v>
      </c>
      <c r="B2084" t="s">
        <v>170</v>
      </c>
      <c r="C2084" t="s">
        <v>99</v>
      </c>
      <c r="D2084">
        <v>3</v>
      </c>
      <c r="E2084">
        <v>1</v>
      </c>
      <c r="F2084">
        <v>2</v>
      </c>
      <c r="G2084" t="s">
        <v>75</v>
      </c>
      <c r="H2084" t="s">
        <v>6</v>
      </c>
      <c r="I2084">
        <v>100000000</v>
      </c>
      <c r="J2084" t="s">
        <v>62</v>
      </c>
      <c r="K2084" t="s">
        <v>9</v>
      </c>
      <c r="L2084" t="s">
        <v>67</v>
      </c>
      <c r="M2084" t="s">
        <v>80</v>
      </c>
      <c r="N2084" t="s">
        <v>12</v>
      </c>
    </row>
    <row r="2085" spans="1:14" x14ac:dyDescent="0.35">
      <c r="A2085" s="75">
        <v>44074</v>
      </c>
      <c r="B2085" t="s">
        <v>170</v>
      </c>
      <c r="C2085" t="s">
        <v>99</v>
      </c>
      <c r="D2085">
        <v>3</v>
      </c>
      <c r="E2085">
        <v>2</v>
      </c>
      <c r="F2085">
        <v>1</v>
      </c>
      <c r="G2085" t="s">
        <v>113</v>
      </c>
      <c r="H2085" t="s">
        <v>77</v>
      </c>
      <c r="I2085">
        <v>120000000</v>
      </c>
      <c r="J2085" t="s">
        <v>29</v>
      </c>
      <c r="K2085" t="s">
        <v>7</v>
      </c>
      <c r="L2085" t="s">
        <v>67</v>
      </c>
      <c r="M2085" t="s">
        <v>81</v>
      </c>
      <c r="N2085" t="s">
        <v>12</v>
      </c>
    </row>
    <row r="2086" spans="1:14" x14ac:dyDescent="0.35">
      <c r="A2086" s="75">
        <v>44075</v>
      </c>
      <c r="B2086" t="s">
        <v>140</v>
      </c>
      <c r="C2086" t="s">
        <v>100</v>
      </c>
      <c r="D2086">
        <v>8</v>
      </c>
      <c r="E2086">
        <v>7</v>
      </c>
      <c r="F2086">
        <v>1</v>
      </c>
      <c r="G2086" t="s">
        <v>74</v>
      </c>
      <c r="H2086" t="s">
        <v>77</v>
      </c>
      <c r="I2086">
        <v>140000000</v>
      </c>
      <c r="J2086" t="s">
        <v>48</v>
      </c>
      <c r="K2086" t="s">
        <v>4</v>
      </c>
      <c r="L2086" t="s">
        <v>67</v>
      </c>
      <c r="M2086" t="s">
        <v>82</v>
      </c>
      <c r="N2086" t="s">
        <v>13</v>
      </c>
    </row>
    <row r="2087" spans="1:14" x14ac:dyDescent="0.35">
      <c r="A2087" s="75">
        <v>44075</v>
      </c>
      <c r="B2087" t="s">
        <v>140</v>
      </c>
      <c r="C2087" t="s">
        <v>100</v>
      </c>
      <c r="D2087">
        <v>7</v>
      </c>
      <c r="E2087">
        <v>4</v>
      </c>
      <c r="F2087">
        <v>3</v>
      </c>
      <c r="G2087" t="s">
        <v>114</v>
      </c>
      <c r="H2087" t="s">
        <v>3</v>
      </c>
      <c r="I2087">
        <v>60000000</v>
      </c>
      <c r="J2087" t="s">
        <v>46</v>
      </c>
      <c r="K2087" t="s">
        <v>9</v>
      </c>
      <c r="L2087" t="s">
        <v>67</v>
      </c>
      <c r="M2087" t="s">
        <v>81</v>
      </c>
      <c r="N2087" t="s">
        <v>12</v>
      </c>
    </row>
    <row r="2088" spans="1:14" x14ac:dyDescent="0.35">
      <c r="A2088" s="75">
        <v>44075</v>
      </c>
      <c r="B2088" t="s">
        <v>140</v>
      </c>
      <c r="C2088" t="s">
        <v>100</v>
      </c>
      <c r="D2088">
        <v>6</v>
      </c>
      <c r="E2088">
        <v>4</v>
      </c>
      <c r="F2088">
        <v>2</v>
      </c>
      <c r="G2088" t="s">
        <v>76</v>
      </c>
      <c r="H2088" t="s">
        <v>79</v>
      </c>
      <c r="I2088">
        <v>140000000</v>
      </c>
      <c r="J2088" t="s">
        <v>19</v>
      </c>
      <c r="K2088" t="s">
        <v>2</v>
      </c>
      <c r="L2088" t="s">
        <v>67</v>
      </c>
      <c r="M2088" t="s">
        <v>80</v>
      </c>
      <c r="N2088" t="s">
        <v>12</v>
      </c>
    </row>
    <row r="2089" spans="1:14" x14ac:dyDescent="0.35">
      <c r="A2089" s="75">
        <v>44075</v>
      </c>
      <c r="B2089" t="s">
        <v>140</v>
      </c>
      <c r="C2089" t="s">
        <v>100</v>
      </c>
      <c r="D2089">
        <v>6</v>
      </c>
      <c r="E2089">
        <v>4</v>
      </c>
      <c r="F2089">
        <v>2</v>
      </c>
      <c r="G2089" t="s">
        <v>73</v>
      </c>
      <c r="H2089" t="s">
        <v>78</v>
      </c>
      <c r="I2089">
        <v>60000000</v>
      </c>
      <c r="J2089" t="s">
        <v>15</v>
      </c>
      <c r="K2089" t="s">
        <v>5</v>
      </c>
      <c r="L2089" t="s">
        <v>67</v>
      </c>
      <c r="M2089" t="s">
        <v>82</v>
      </c>
      <c r="N2089" t="s">
        <v>13</v>
      </c>
    </row>
    <row r="2090" spans="1:14" x14ac:dyDescent="0.35">
      <c r="A2090" s="75">
        <v>44075</v>
      </c>
      <c r="B2090" t="s">
        <v>140</v>
      </c>
      <c r="C2090" t="s">
        <v>100</v>
      </c>
      <c r="D2090">
        <v>4</v>
      </c>
      <c r="E2090">
        <v>3</v>
      </c>
      <c r="F2090">
        <v>1</v>
      </c>
      <c r="G2090" t="s">
        <v>73</v>
      </c>
      <c r="H2090" t="s">
        <v>78</v>
      </c>
      <c r="I2090">
        <v>140000000</v>
      </c>
      <c r="J2090" t="s">
        <v>58</v>
      </c>
      <c r="K2090" t="s">
        <v>2</v>
      </c>
      <c r="L2090" t="s">
        <v>67</v>
      </c>
      <c r="M2090" t="s">
        <v>82</v>
      </c>
      <c r="N2090" t="s">
        <v>13</v>
      </c>
    </row>
    <row r="2091" spans="1:14" x14ac:dyDescent="0.35">
      <c r="A2091" s="75">
        <v>44075</v>
      </c>
      <c r="B2091" t="s">
        <v>140</v>
      </c>
      <c r="C2091" t="s">
        <v>100</v>
      </c>
      <c r="D2091">
        <v>3</v>
      </c>
      <c r="E2091">
        <v>1</v>
      </c>
      <c r="F2091">
        <v>2</v>
      </c>
      <c r="G2091" t="s">
        <v>75</v>
      </c>
      <c r="H2091" t="s">
        <v>6</v>
      </c>
      <c r="I2091">
        <v>100000000</v>
      </c>
      <c r="J2091" t="s">
        <v>56</v>
      </c>
      <c r="K2091" t="s">
        <v>7</v>
      </c>
      <c r="L2091" t="s">
        <v>67</v>
      </c>
      <c r="M2091" t="s">
        <v>82</v>
      </c>
      <c r="N2091" t="s">
        <v>13</v>
      </c>
    </row>
    <row r="2092" spans="1:14" x14ac:dyDescent="0.35">
      <c r="A2092" s="75">
        <v>44076</v>
      </c>
      <c r="B2092" t="s">
        <v>141</v>
      </c>
      <c r="C2092" t="s">
        <v>100</v>
      </c>
      <c r="D2092">
        <v>10</v>
      </c>
      <c r="E2092">
        <v>9</v>
      </c>
      <c r="F2092">
        <v>1</v>
      </c>
      <c r="G2092" t="s">
        <v>74</v>
      </c>
      <c r="H2092" t="s">
        <v>77</v>
      </c>
      <c r="I2092">
        <v>60000000</v>
      </c>
      <c r="J2092" t="s">
        <v>41</v>
      </c>
      <c r="K2092" t="s">
        <v>2</v>
      </c>
      <c r="L2092" t="s">
        <v>67</v>
      </c>
      <c r="M2092" t="s">
        <v>80</v>
      </c>
      <c r="N2092" t="s">
        <v>12</v>
      </c>
    </row>
    <row r="2093" spans="1:14" x14ac:dyDescent="0.35">
      <c r="A2093" s="75">
        <v>44076</v>
      </c>
      <c r="B2093" t="s">
        <v>141</v>
      </c>
      <c r="C2093" t="s">
        <v>100</v>
      </c>
      <c r="D2093">
        <v>10</v>
      </c>
      <c r="E2093">
        <v>6</v>
      </c>
      <c r="F2093">
        <v>4</v>
      </c>
      <c r="G2093" t="s">
        <v>74</v>
      </c>
      <c r="H2093" t="s">
        <v>77</v>
      </c>
      <c r="I2093">
        <v>80000000</v>
      </c>
      <c r="J2093" t="s">
        <v>27</v>
      </c>
      <c r="K2093" t="s">
        <v>2</v>
      </c>
      <c r="L2093" t="s">
        <v>67</v>
      </c>
      <c r="M2093" t="s">
        <v>82</v>
      </c>
      <c r="N2093" t="s">
        <v>13</v>
      </c>
    </row>
    <row r="2094" spans="1:14" x14ac:dyDescent="0.35">
      <c r="A2094" s="75">
        <v>44076</v>
      </c>
      <c r="B2094" t="s">
        <v>141</v>
      </c>
      <c r="C2094" t="s">
        <v>100</v>
      </c>
      <c r="D2094">
        <v>8</v>
      </c>
      <c r="E2094">
        <v>4</v>
      </c>
      <c r="F2094">
        <v>4</v>
      </c>
      <c r="G2094" t="s">
        <v>73</v>
      </c>
      <c r="H2094" t="s">
        <v>78</v>
      </c>
      <c r="I2094">
        <v>140000000</v>
      </c>
      <c r="J2094" t="s">
        <v>34</v>
      </c>
      <c r="K2094" t="s">
        <v>8</v>
      </c>
      <c r="L2094" t="s">
        <v>67</v>
      </c>
      <c r="M2094" t="s">
        <v>82</v>
      </c>
      <c r="N2094" t="s">
        <v>14</v>
      </c>
    </row>
    <row r="2095" spans="1:14" x14ac:dyDescent="0.35">
      <c r="A2095" s="75">
        <v>44076</v>
      </c>
      <c r="B2095" t="s">
        <v>141</v>
      </c>
      <c r="C2095" t="s">
        <v>100</v>
      </c>
      <c r="D2095">
        <v>4</v>
      </c>
      <c r="E2095">
        <v>3</v>
      </c>
      <c r="F2095">
        <v>1</v>
      </c>
      <c r="G2095" t="s">
        <v>75</v>
      </c>
      <c r="H2095" t="s">
        <v>6</v>
      </c>
      <c r="I2095">
        <v>80000000</v>
      </c>
      <c r="J2095" t="s">
        <v>63</v>
      </c>
      <c r="K2095" t="s">
        <v>5</v>
      </c>
      <c r="L2095" t="s">
        <v>67</v>
      </c>
      <c r="M2095" t="s">
        <v>82</v>
      </c>
      <c r="N2095" t="s">
        <v>13</v>
      </c>
    </row>
    <row r="2096" spans="1:14" x14ac:dyDescent="0.35">
      <c r="A2096" s="75">
        <v>44076</v>
      </c>
      <c r="B2096" t="s">
        <v>141</v>
      </c>
      <c r="C2096" t="s">
        <v>100</v>
      </c>
      <c r="D2096">
        <v>4</v>
      </c>
      <c r="E2096">
        <v>2</v>
      </c>
      <c r="F2096">
        <v>2</v>
      </c>
      <c r="G2096" t="s">
        <v>73</v>
      </c>
      <c r="H2096" t="s">
        <v>78</v>
      </c>
      <c r="I2096">
        <v>100000000</v>
      </c>
      <c r="J2096" t="s">
        <v>60</v>
      </c>
      <c r="K2096" t="s">
        <v>5</v>
      </c>
      <c r="L2096" t="s">
        <v>67</v>
      </c>
      <c r="M2096" t="s">
        <v>80</v>
      </c>
      <c r="N2096" t="s">
        <v>12</v>
      </c>
    </row>
    <row r="2097" spans="1:14" x14ac:dyDescent="0.35">
      <c r="A2097" s="75">
        <v>44076</v>
      </c>
      <c r="B2097" t="s">
        <v>141</v>
      </c>
      <c r="C2097" t="s">
        <v>100</v>
      </c>
      <c r="D2097">
        <v>4</v>
      </c>
      <c r="E2097">
        <v>3</v>
      </c>
      <c r="F2097">
        <v>1</v>
      </c>
      <c r="G2097" t="s">
        <v>71</v>
      </c>
      <c r="H2097" t="s">
        <v>6</v>
      </c>
      <c r="I2097">
        <v>100000000</v>
      </c>
      <c r="J2097" t="s">
        <v>21</v>
      </c>
      <c r="K2097" t="s">
        <v>9</v>
      </c>
      <c r="L2097" t="s">
        <v>67</v>
      </c>
      <c r="M2097" t="s">
        <v>81</v>
      </c>
      <c r="N2097" t="s">
        <v>11</v>
      </c>
    </row>
    <row r="2098" spans="1:14" x14ac:dyDescent="0.35">
      <c r="A2098" s="75">
        <v>44077</v>
      </c>
      <c r="B2098" t="s">
        <v>142</v>
      </c>
      <c r="C2098" t="s">
        <v>100</v>
      </c>
      <c r="D2098">
        <v>10</v>
      </c>
      <c r="E2098">
        <v>9</v>
      </c>
      <c r="F2098">
        <v>1</v>
      </c>
      <c r="G2098" t="s">
        <v>72</v>
      </c>
      <c r="H2098" t="s">
        <v>78</v>
      </c>
      <c r="I2098">
        <v>60000000</v>
      </c>
      <c r="J2098" t="s">
        <v>31</v>
      </c>
      <c r="K2098" t="s">
        <v>2</v>
      </c>
      <c r="L2098" t="s">
        <v>67</v>
      </c>
      <c r="M2098" t="s">
        <v>81</v>
      </c>
      <c r="N2098" t="s">
        <v>13</v>
      </c>
    </row>
    <row r="2099" spans="1:14" x14ac:dyDescent="0.35">
      <c r="A2099" s="75">
        <v>44077</v>
      </c>
      <c r="B2099" t="s">
        <v>142</v>
      </c>
      <c r="C2099" t="s">
        <v>100</v>
      </c>
      <c r="D2099">
        <v>9</v>
      </c>
      <c r="E2099">
        <v>8</v>
      </c>
      <c r="F2099">
        <v>1</v>
      </c>
      <c r="G2099" t="s">
        <v>76</v>
      </c>
      <c r="H2099" t="s">
        <v>79</v>
      </c>
      <c r="I2099">
        <v>60000000</v>
      </c>
      <c r="J2099" t="s">
        <v>31</v>
      </c>
      <c r="K2099" t="s">
        <v>5</v>
      </c>
      <c r="L2099" t="s">
        <v>67</v>
      </c>
      <c r="M2099" t="s">
        <v>82</v>
      </c>
      <c r="N2099" t="s">
        <v>13</v>
      </c>
    </row>
    <row r="2100" spans="1:14" x14ac:dyDescent="0.35">
      <c r="A2100" s="75">
        <v>44077</v>
      </c>
      <c r="B2100" t="s">
        <v>142</v>
      </c>
      <c r="C2100" t="s">
        <v>100</v>
      </c>
      <c r="D2100">
        <v>9</v>
      </c>
      <c r="E2100">
        <v>5</v>
      </c>
      <c r="F2100">
        <v>4</v>
      </c>
      <c r="G2100" t="s">
        <v>76</v>
      </c>
      <c r="H2100" t="s">
        <v>79</v>
      </c>
      <c r="I2100">
        <v>40000000</v>
      </c>
      <c r="J2100" t="s">
        <v>56</v>
      </c>
      <c r="K2100" t="s">
        <v>2</v>
      </c>
      <c r="L2100" t="s">
        <v>67</v>
      </c>
      <c r="M2100" t="s">
        <v>81</v>
      </c>
      <c r="N2100" t="s">
        <v>11</v>
      </c>
    </row>
    <row r="2101" spans="1:14" x14ac:dyDescent="0.35">
      <c r="A2101" s="75">
        <v>44077</v>
      </c>
      <c r="B2101" t="s">
        <v>142</v>
      </c>
      <c r="C2101" t="s">
        <v>100</v>
      </c>
      <c r="D2101">
        <v>7</v>
      </c>
      <c r="E2101">
        <v>5</v>
      </c>
      <c r="F2101">
        <v>2</v>
      </c>
      <c r="G2101" t="s">
        <v>74</v>
      </c>
      <c r="H2101" t="s">
        <v>77</v>
      </c>
      <c r="I2101">
        <v>40000000</v>
      </c>
      <c r="J2101" t="s">
        <v>42</v>
      </c>
      <c r="K2101" t="s">
        <v>2</v>
      </c>
      <c r="L2101" t="s">
        <v>67</v>
      </c>
      <c r="M2101" t="s">
        <v>81</v>
      </c>
      <c r="N2101" t="s">
        <v>12</v>
      </c>
    </row>
    <row r="2102" spans="1:14" x14ac:dyDescent="0.35">
      <c r="A2102" s="75">
        <v>44077</v>
      </c>
      <c r="B2102" t="s">
        <v>142</v>
      </c>
      <c r="C2102" t="s">
        <v>100</v>
      </c>
      <c r="D2102">
        <v>7</v>
      </c>
      <c r="E2102">
        <v>4</v>
      </c>
      <c r="F2102">
        <v>3</v>
      </c>
      <c r="G2102" t="s">
        <v>72</v>
      </c>
      <c r="H2102" t="s">
        <v>78</v>
      </c>
      <c r="I2102">
        <v>140000000</v>
      </c>
      <c r="J2102" t="s">
        <v>64</v>
      </c>
      <c r="K2102" t="s">
        <v>5</v>
      </c>
      <c r="L2102" t="s">
        <v>67</v>
      </c>
      <c r="M2102" t="s">
        <v>81</v>
      </c>
      <c r="N2102" t="s">
        <v>14</v>
      </c>
    </row>
    <row r="2103" spans="1:14" x14ac:dyDescent="0.35">
      <c r="A2103" s="75">
        <v>44077</v>
      </c>
      <c r="B2103" t="s">
        <v>142</v>
      </c>
      <c r="C2103" t="s">
        <v>100</v>
      </c>
      <c r="D2103">
        <v>7</v>
      </c>
      <c r="E2103">
        <v>5</v>
      </c>
      <c r="F2103">
        <v>2</v>
      </c>
      <c r="G2103" t="s">
        <v>72</v>
      </c>
      <c r="H2103" t="s">
        <v>78</v>
      </c>
      <c r="I2103">
        <v>140000000</v>
      </c>
      <c r="J2103" t="s">
        <v>46</v>
      </c>
      <c r="K2103" t="s">
        <v>8</v>
      </c>
      <c r="L2103" t="s">
        <v>67</v>
      </c>
      <c r="M2103" t="s">
        <v>81</v>
      </c>
      <c r="N2103" t="s">
        <v>11</v>
      </c>
    </row>
    <row r="2104" spans="1:14" x14ac:dyDescent="0.35">
      <c r="A2104" s="75">
        <v>44077</v>
      </c>
      <c r="B2104" t="s">
        <v>142</v>
      </c>
      <c r="C2104" t="s">
        <v>100</v>
      </c>
      <c r="D2104">
        <v>6</v>
      </c>
      <c r="E2104">
        <v>5</v>
      </c>
      <c r="F2104">
        <v>1</v>
      </c>
      <c r="G2104" t="s">
        <v>114</v>
      </c>
      <c r="H2104" t="s">
        <v>3</v>
      </c>
      <c r="I2104">
        <v>40000000</v>
      </c>
      <c r="J2104" t="s">
        <v>45</v>
      </c>
      <c r="K2104" t="s">
        <v>5</v>
      </c>
      <c r="L2104" t="s">
        <v>67</v>
      </c>
      <c r="M2104" t="s">
        <v>81</v>
      </c>
      <c r="N2104" t="s">
        <v>14</v>
      </c>
    </row>
    <row r="2105" spans="1:14" x14ac:dyDescent="0.35">
      <c r="A2105" s="75">
        <v>44077</v>
      </c>
      <c r="B2105" t="s">
        <v>142</v>
      </c>
      <c r="C2105" t="s">
        <v>100</v>
      </c>
      <c r="D2105">
        <v>4</v>
      </c>
      <c r="E2105">
        <v>2</v>
      </c>
      <c r="F2105">
        <v>2</v>
      </c>
      <c r="G2105" t="s">
        <v>73</v>
      </c>
      <c r="H2105" t="s">
        <v>78</v>
      </c>
      <c r="I2105">
        <v>100000000</v>
      </c>
      <c r="J2105" t="s">
        <v>52</v>
      </c>
      <c r="K2105" t="s">
        <v>2</v>
      </c>
      <c r="L2105" t="s">
        <v>67</v>
      </c>
      <c r="M2105" t="s">
        <v>81</v>
      </c>
      <c r="N2105" t="s">
        <v>11</v>
      </c>
    </row>
    <row r="2106" spans="1:14" x14ac:dyDescent="0.35">
      <c r="A2106" s="75">
        <v>44077</v>
      </c>
      <c r="B2106" t="s">
        <v>142</v>
      </c>
      <c r="C2106" t="s">
        <v>100</v>
      </c>
      <c r="D2106">
        <v>4</v>
      </c>
      <c r="E2106">
        <v>3</v>
      </c>
      <c r="F2106">
        <v>1</v>
      </c>
      <c r="G2106" t="s">
        <v>113</v>
      </c>
      <c r="H2106" t="s">
        <v>77</v>
      </c>
      <c r="I2106">
        <v>60000000</v>
      </c>
      <c r="J2106" t="s">
        <v>32</v>
      </c>
      <c r="K2106" t="s">
        <v>4</v>
      </c>
      <c r="L2106" t="s">
        <v>67</v>
      </c>
      <c r="M2106" t="s">
        <v>81</v>
      </c>
      <c r="N2106" t="s">
        <v>13</v>
      </c>
    </row>
    <row r="2107" spans="1:14" x14ac:dyDescent="0.35">
      <c r="A2107" s="75">
        <v>44078</v>
      </c>
      <c r="B2107" t="s">
        <v>143</v>
      </c>
      <c r="C2107" t="s">
        <v>100</v>
      </c>
      <c r="D2107">
        <v>10</v>
      </c>
      <c r="E2107">
        <v>8</v>
      </c>
      <c r="F2107">
        <v>2</v>
      </c>
      <c r="G2107" t="s">
        <v>71</v>
      </c>
      <c r="H2107" t="s">
        <v>6</v>
      </c>
      <c r="I2107">
        <v>60000000</v>
      </c>
      <c r="J2107" t="s">
        <v>15</v>
      </c>
      <c r="K2107" t="s">
        <v>5</v>
      </c>
      <c r="L2107" t="s">
        <v>67</v>
      </c>
      <c r="M2107" t="s">
        <v>82</v>
      </c>
      <c r="N2107" t="s">
        <v>13</v>
      </c>
    </row>
    <row r="2108" spans="1:14" x14ac:dyDescent="0.35">
      <c r="A2108" s="75">
        <v>44078</v>
      </c>
      <c r="B2108" t="s">
        <v>143</v>
      </c>
      <c r="C2108" t="s">
        <v>100</v>
      </c>
      <c r="D2108">
        <v>10</v>
      </c>
      <c r="E2108">
        <v>6</v>
      </c>
      <c r="F2108">
        <v>4</v>
      </c>
      <c r="G2108" t="s">
        <v>76</v>
      </c>
      <c r="H2108" t="s">
        <v>79</v>
      </c>
      <c r="I2108">
        <v>120000000</v>
      </c>
      <c r="J2108" t="s">
        <v>27</v>
      </c>
      <c r="K2108" t="s">
        <v>2</v>
      </c>
      <c r="L2108" t="s">
        <v>67</v>
      </c>
      <c r="M2108" t="s">
        <v>81</v>
      </c>
      <c r="N2108" t="s">
        <v>14</v>
      </c>
    </row>
    <row r="2109" spans="1:14" x14ac:dyDescent="0.35">
      <c r="A2109" s="75">
        <v>44078</v>
      </c>
      <c r="B2109" t="s">
        <v>143</v>
      </c>
      <c r="C2109" t="s">
        <v>100</v>
      </c>
      <c r="D2109">
        <v>10</v>
      </c>
      <c r="E2109">
        <v>7</v>
      </c>
      <c r="F2109">
        <v>3</v>
      </c>
      <c r="G2109" t="s">
        <v>113</v>
      </c>
      <c r="H2109" t="s">
        <v>77</v>
      </c>
      <c r="I2109">
        <v>80000000</v>
      </c>
      <c r="J2109" t="s">
        <v>48</v>
      </c>
      <c r="K2109" t="s">
        <v>5</v>
      </c>
      <c r="L2109" t="s">
        <v>67</v>
      </c>
      <c r="M2109" t="s">
        <v>80</v>
      </c>
      <c r="N2109" t="s">
        <v>12</v>
      </c>
    </row>
    <row r="2110" spans="1:14" x14ac:dyDescent="0.35">
      <c r="A2110" s="75">
        <v>44078</v>
      </c>
      <c r="B2110" t="s">
        <v>143</v>
      </c>
      <c r="C2110" t="s">
        <v>100</v>
      </c>
      <c r="D2110">
        <v>10</v>
      </c>
      <c r="E2110">
        <v>6</v>
      </c>
      <c r="F2110">
        <v>4</v>
      </c>
      <c r="G2110" t="s">
        <v>114</v>
      </c>
      <c r="H2110" t="s">
        <v>3</v>
      </c>
      <c r="I2110">
        <v>40000000</v>
      </c>
      <c r="J2110" t="s">
        <v>31</v>
      </c>
      <c r="K2110" t="s">
        <v>7</v>
      </c>
      <c r="L2110" t="s">
        <v>67</v>
      </c>
      <c r="M2110" t="s">
        <v>81</v>
      </c>
      <c r="N2110" t="s">
        <v>14</v>
      </c>
    </row>
    <row r="2111" spans="1:14" x14ac:dyDescent="0.35">
      <c r="A2111" s="75">
        <v>44078</v>
      </c>
      <c r="B2111" t="s">
        <v>143</v>
      </c>
      <c r="C2111" t="s">
        <v>100</v>
      </c>
      <c r="D2111">
        <v>9</v>
      </c>
      <c r="E2111">
        <v>8</v>
      </c>
      <c r="F2111">
        <v>1</v>
      </c>
      <c r="G2111" t="s">
        <v>76</v>
      </c>
      <c r="H2111" t="s">
        <v>79</v>
      </c>
      <c r="I2111">
        <v>80000000</v>
      </c>
      <c r="J2111" t="s">
        <v>51</v>
      </c>
      <c r="K2111" t="s">
        <v>2</v>
      </c>
      <c r="L2111" t="s">
        <v>67</v>
      </c>
      <c r="M2111" t="s">
        <v>80</v>
      </c>
      <c r="N2111" t="s">
        <v>12</v>
      </c>
    </row>
    <row r="2112" spans="1:14" x14ac:dyDescent="0.35">
      <c r="A2112" s="75">
        <v>44078</v>
      </c>
      <c r="B2112" t="s">
        <v>143</v>
      </c>
      <c r="C2112" t="s">
        <v>100</v>
      </c>
      <c r="D2112">
        <v>8</v>
      </c>
      <c r="E2112">
        <v>7</v>
      </c>
      <c r="F2112">
        <v>1</v>
      </c>
      <c r="G2112" t="s">
        <v>72</v>
      </c>
      <c r="H2112" t="s">
        <v>78</v>
      </c>
      <c r="I2112">
        <v>120000000</v>
      </c>
      <c r="J2112" t="s">
        <v>43</v>
      </c>
      <c r="K2112" t="s">
        <v>2</v>
      </c>
      <c r="L2112" t="s">
        <v>67</v>
      </c>
      <c r="M2112" t="s">
        <v>80</v>
      </c>
      <c r="N2112" t="s">
        <v>12</v>
      </c>
    </row>
    <row r="2113" spans="1:14" x14ac:dyDescent="0.35">
      <c r="A2113" s="75">
        <v>44078</v>
      </c>
      <c r="B2113" t="s">
        <v>143</v>
      </c>
      <c r="C2113" t="s">
        <v>100</v>
      </c>
      <c r="D2113">
        <v>8</v>
      </c>
      <c r="E2113">
        <v>5</v>
      </c>
      <c r="F2113">
        <v>3</v>
      </c>
      <c r="G2113" t="s">
        <v>70</v>
      </c>
      <c r="H2113" t="s">
        <v>1</v>
      </c>
      <c r="I2113">
        <v>60000000</v>
      </c>
      <c r="J2113" t="s">
        <v>39</v>
      </c>
      <c r="K2113" t="s">
        <v>5</v>
      </c>
      <c r="L2113" t="s">
        <v>67</v>
      </c>
      <c r="M2113" t="s">
        <v>80</v>
      </c>
      <c r="N2113" t="s">
        <v>11</v>
      </c>
    </row>
    <row r="2114" spans="1:14" x14ac:dyDescent="0.35">
      <c r="A2114" s="75">
        <v>44078</v>
      </c>
      <c r="B2114" t="s">
        <v>143</v>
      </c>
      <c r="C2114" t="s">
        <v>100</v>
      </c>
      <c r="D2114">
        <v>7</v>
      </c>
      <c r="E2114">
        <v>6</v>
      </c>
      <c r="F2114">
        <v>1</v>
      </c>
      <c r="G2114" t="s">
        <v>71</v>
      </c>
      <c r="H2114" t="s">
        <v>6</v>
      </c>
      <c r="I2114">
        <v>100000000</v>
      </c>
      <c r="J2114" t="s">
        <v>40</v>
      </c>
      <c r="K2114" t="s">
        <v>5</v>
      </c>
      <c r="L2114" t="s">
        <v>67</v>
      </c>
      <c r="M2114" t="s">
        <v>82</v>
      </c>
      <c r="N2114" t="s">
        <v>12</v>
      </c>
    </row>
    <row r="2115" spans="1:14" x14ac:dyDescent="0.35">
      <c r="A2115" s="75">
        <v>44078</v>
      </c>
      <c r="B2115" t="s">
        <v>143</v>
      </c>
      <c r="C2115" t="s">
        <v>100</v>
      </c>
      <c r="D2115">
        <v>5</v>
      </c>
      <c r="E2115">
        <v>4</v>
      </c>
      <c r="F2115">
        <v>1</v>
      </c>
      <c r="G2115" t="s">
        <v>70</v>
      </c>
      <c r="H2115" t="s">
        <v>1</v>
      </c>
      <c r="I2115">
        <v>100000000</v>
      </c>
      <c r="J2115" t="s">
        <v>16</v>
      </c>
      <c r="K2115" t="s">
        <v>2</v>
      </c>
      <c r="L2115" t="s">
        <v>67</v>
      </c>
      <c r="M2115" t="s">
        <v>81</v>
      </c>
      <c r="N2115" t="s">
        <v>14</v>
      </c>
    </row>
    <row r="2116" spans="1:14" x14ac:dyDescent="0.35">
      <c r="A2116" s="75">
        <v>44078</v>
      </c>
      <c r="B2116" t="s">
        <v>143</v>
      </c>
      <c r="C2116" t="s">
        <v>100</v>
      </c>
      <c r="D2116">
        <v>4</v>
      </c>
      <c r="E2116">
        <v>3</v>
      </c>
      <c r="F2116">
        <v>1</v>
      </c>
      <c r="G2116" t="s">
        <v>76</v>
      </c>
      <c r="H2116" t="s">
        <v>79</v>
      </c>
      <c r="I2116">
        <v>60000000</v>
      </c>
      <c r="J2116" t="s">
        <v>49</v>
      </c>
      <c r="K2116" t="s">
        <v>5</v>
      </c>
      <c r="L2116" t="s">
        <v>67</v>
      </c>
      <c r="M2116" t="s">
        <v>80</v>
      </c>
      <c r="N2116" t="s">
        <v>13</v>
      </c>
    </row>
    <row r="2117" spans="1:14" x14ac:dyDescent="0.35">
      <c r="A2117" s="75">
        <v>44078</v>
      </c>
      <c r="B2117" t="s">
        <v>143</v>
      </c>
      <c r="C2117" t="s">
        <v>100</v>
      </c>
      <c r="D2117">
        <v>3</v>
      </c>
      <c r="E2117">
        <v>2</v>
      </c>
      <c r="F2117">
        <v>1</v>
      </c>
      <c r="G2117" t="s">
        <v>70</v>
      </c>
      <c r="H2117" t="s">
        <v>1</v>
      </c>
      <c r="I2117">
        <v>100000000</v>
      </c>
      <c r="J2117" t="s">
        <v>35</v>
      </c>
      <c r="K2117" t="s">
        <v>9</v>
      </c>
      <c r="L2117" t="s">
        <v>67</v>
      </c>
      <c r="M2117" t="s">
        <v>80</v>
      </c>
      <c r="N2117" t="s">
        <v>12</v>
      </c>
    </row>
    <row r="2118" spans="1:14" x14ac:dyDescent="0.35">
      <c r="A2118" s="75">
        <v>44079</v>
      </c>
      <c r="B2118" t="s">
        <v>144</v>
      </c>
      <c r="C2118" t="s">
        <v>100</v>
      </c>
      <c r="D2118">
        <v>10</v>
      </c>
      <c r="E2118">
        <v>9</v>
      </c>
      <c r="F2118">
        <v>1</v>
      </c>
      <c r="G2118" t="s">
        <v>114</v>
      </c>
      <c r="H2118" t="s">
        <v>3</v>
      </c>
      <c r="I2118">
        <v>120000000</v>
      </c>
      <c r="J2118" t="s">
        <v>29</v>
      </c>
      <c r="K2118" t="s">
        <v>5</v>
      </c>
      <c r="L2118" t="s">
        <v>67</v>
      </c>
      <c r="M2118" t="s">
        <v>82</v>
      </c>
      <c r="N2118" t="s">
        <v>13</v>
      </c>
    </row>
    <row r="2119" spans="1:14" x14ac:dyDescent="0.35">
      <c r="A2119" s="75">
        <v>44079</v>
      </c>
      <c r="B2119" t="s">
        <v>144</v>
      </c>
      <c r="C2119" t="s">
        <v>100</v>
      </c>
      <c r="D2119">
        <v>10</v>
      </c>
      <c r="E2119">
        <v>7</v>
      </c>
      <c r="F2119">
        <v>3</v>
      </c>
      <c r="G2119" t="s">
        <v>113</v>
      </c>
      <c r="H2119" t="s">
        <v>77</v>
      </c>
      <c r="I2119">
        <v>40000000</v>
      </c>
      <c r="J2119" t="s">
        <v>24</v>
      </c>
      <c r="K2119" t="s">
        <v>5</v>
      </c>
      <c r="L2119" t="s">
        <v>67</v>
      </c>
      <c r="M2119" t="s">
        <v>80</v>
      </c>
      <c r="N2119" t="s">
        <v>12</v>
      </c>
    </row>
    <row r="2120" spans="1:14" x14ac:dyDescent="0.35">
      <c r="A2120" s="75">
        <v>44079</v>
      </c>
      <c r="B2120" t="s">
        <v>144</v>
      </c>
      <c r="C2120" t="s">
        <v>100</v>
      </c>
      <c r="D2120">
        <v>9</v>
      </c>
      <c r="E2120">
        <v>8</v>
      </c>
      <c r="F2120">
        <v>1</v>
      </c>
      <c r="G2120" t="s">
        <v>114</v>
      </c>
      <c r="H2120" t="s">
        <v>3</v>
      </c>
      <c r="I2120">
        <v>140000000</v>
      </c>
      <c r="J2120" t="s">
        <v>43</v>
      </c>
      <c r="K2120" t="s">
        <v>5</v>
      </c>
      <c r="L2120" t="s">
        <v>67</v>
      </c>
      <c r="M2120" t="s">
        <v>82</v>
      </c>
      <c r="N2120" t="s">
        <v>13</v>
      </c>
    </row>
    <row r="2121" spans="1:14" x14ac:dyDescent="0.35">
      <c r="A2121" s="75">
        <v>44079</v>
      </c>
      <c r="B2121" t="s">
        <v>144</v>
      </c>
      <c r="C2121" t="s">
        <v>100</v>
      </c>
      <c r="D2121">
        <v>9</v>
      </c>
      <c r="E2121">
        <v>8</v>
      </c>
      <c r="F2121">
        <v>1</v>
      </c>
      <c r="G2121" t="s">
        <v>113</v>
      </c>
      <c r="H2121" t="s">
        <v>77</v>
      </c>
      <c r="I2121">
        <v>60000000</v>
      </c>
      <c r="J2121" t="s">
        <v>54</v>
      </c>
      <c r="K2121" t="s">
        <v>5</v>
      </c>
      <c r="L2121" t="s">
        <v>67</v>
      </c>
      <c r="M2121" t="s">
        <v>82</v>
      </c>
      <c r="N2121" t="s">
        <v>12</v>
      </c>
    </row>
    <row r="2122" spans="1:14" x14ac:dyDescent="0.35">
      <c r="A2122" s="75">
        <v>44079</v>
      </c>
      <c r="B2122" t="s">
        <v>144</v>
      </c>
      <c r="C2122" t="s">
        <v>100</v>
      </c>
      <c r="D2122">
        <v>9</v>
      </c>
      <c r="E2122">
        <v>5</v>
      </c>
      <c r="F2122">
        <v>4</v>
      </c>
      <c r="G2122" t="s">
        <v>70</v>
      </c>
      <c r="H2122" t="s">
        <v>1</v>
      </c>
      <c r="I2122">
        <v>120000000</v>
      </c>
      <c r="J2122" t="s">
        <v>40</v>
      </c>
      <c r="K2122" t="s">
        <v>2</v>
      </c>
      <c r="L2122" t="s">
        <v>67</v>
      </c>
      <c r="M2122" t="s">
        <v>82</v>
      </c>
      <c r="N2122" t="s">
        <v>12</v>
      </c>
    </row>
    <row r="2123" spans="1:14" x14ac:dyDescent="0.35">
      <c r="A2123" s="75">
        <v>44079</v>
      </c>
      <c r="B2123" t="s">
        <v>144</v>
      </c>
      <c r="C2123" t="s">
        <v>100</v>
      </c>
      <c r="D2123">
        <v>8</v>
      </c>
      <c r="E2123">
        <v>7</v>
      </c>
      <c r="F2123">
        <v>1</v>
      </c>
      <c r="G2123" t="s">
        <v>74</v>
      </c>
      <c r="H2123" t="s">
        <v>77</v>
      </c>
      <c r="I2123">
        <v>80000000</v>
      </c>
      <c r="J2123" t="s">
        <v>27</v>
      </c>
      <c r="K2123" t="s">
        <v>5</v>
      </c>
      <c r="L2123" t="s">
        <v>67</v>
      </c>
      <c r="M2123" t="s">
        <v>82</v>
      </c>
      <c r="N2123" t="s">
        <v>12</v>
      </c>
    </row>
    <row r="2124" spans="1:14" x14ac:dyDescent="0.35">
      <c r="A2124" s="75">
        <v>44079</v>
      </c>
      <c r="B2124" t="s">
        <v>144</v>
      </c>
      <c r="C2124" t="s">
        <v>100</v>
      </c>
      <c r="D2124">
        <v>8</v>
      </c>
      <c r="E2124">
        <v>4</v>
      </c>
      <c r="F2124">
        <v>4</v>
      </c>
      <c r="G2124" t="s">
        <v>74</v>
      </c>
      <c r="H2124" t="s">
        <v>77</v>
      </c>
      <c r="I2124">
        <v>80000000</v>
      </c>
      <c r="J2124" t="s">
        <v>55</v>
      </c>
      <c r="K2124" t="s">
        <v>5</v>
      </c>
      <c r="L2124" t="s">
        <v>67</v>
      </c>
      <c r="M2124" t="s">
        <v>81</v>
      </c>
      <c r="N2124" t="s">
        <v>13</v>
      </c>
    </row>
    <row r="2125" spans="1:14" x14ac:dyDescent="0.35">
      <c r="A2125" s="75">
        <v>44079</v>
      </c>
      <c r="B2125" t="s">
        <v>144</v>
      </c>
      <c r="C2125" t="s">
        <v>100</v>
      </c>
      <c r="D2125">
        <v>6</v>
      </c>
      <c r="E2125">
        <v>5</v>
      </c>
      <c r="F2125">
        <v>1</v>
      </c>
      <c r="G2125" t="s">
        <v>71</v>
      </c>
      <c r="H2125" t="s">
        <v>6</v>
      </c>
      <c r="I2125">
        <v>40000000</v>
      </c>
      <c r="J2125" t="s">
        <v>37</v>
      </c>
      <c r="K2125" t="s">
        <v>5</v>
      </c>
      <c r="L2125" t="s">
        <v>67</v>
      </c>
      <c r="M2125" t="s">
        <v>81</v>
      </c>
      <c r="N2125" t="s">
        <v>14</v>
      </c>
    </row>
    <row r="2126" spans="1:14" x14ac:dyDescent="0.35">
      <c r="A2126" s="75">
        <v>44079</v>
      </c>
      <c r="B2126" t="s">
        <v>144</v>
      </c>
      <c r="C2126" t="s">
        <v>100</v>
      </c>
      <c r="D2126">
        <v>5</v>
      </c>
      <c r="E2126">
        <v>4</v>
      </c>
      <c r="F2126">
        <v>1</v>
      </c>
      <c r="G2126" t="s">
        <v>70</v>
      </c>
      <c r="H2126" t="s">
        <v>1</v>
      </c>
      <c r="I2126">
        <v>40000000</v>
      </c>
      <c r="J2126" t="s">
        <v>50</v>
      </c>
      <c r="K2126" t="s">
        <v>2</v>
      </c>
      <c r="L2126" t="s">
        <v>67</v>
      </c>
      <c r="M2126" t="s">
        <v>80</v>
      </c>
      <c r="N2126" t="s">
        <v>14</v>
      </c>
    </row>
    <row r="2127" spans="1:14" x14ac:dyDescent="0.35">
      <c r="A2127" s="75">
        <v>44079</v>
      </c>
      <c r="B2127" t="s">
        <v>144</v>
      </c>
      <c r="C2127" t="s">
        <v>100</v>
      </c>
      <c r="D2127">
        <v>4</v>
      </c>
      <c r="E2127">
        <v>3</v>
      </c>
      <c r="F2127">
        <v>1</v>
      </c>
      <c r="G2127" t="s">
        <v>113</v>
      </c>
      <c r="H2127" t="s">
        <v>77</v>
      </c>
      <c r="I2127">
        <v>100000000</v>
      </c>
      <c r="J2127" t="s">
        <v>55</v>
      </c>
      <c r="K2127" t="s">
        <v>5</v>
      </c>
      <c r="L2127" t="s">
        <v>67</v>
      </c>
      <c r="M2127" t="s">
        <v>80</v>
      </c>
      <c r="N2127" t="s">
        <v>14</v>
      </c>
    </row>
    <row r="2128" spans="1:14" x14ac:dyDescent="0.35">
      <c r="A2128" s="75">
        <v>44080</v>
      </c>
      <c r="B2128" t="s">
        <v>145</v>
      </c>
      <c r="C2128" t="s">
        <v>100</v>
      </c>
      <c r="D2128">
        <v>10</v>
      </c>
      <c r="E2128">
        <v>9</v>
      </c>
      <c r="F2128">
        <v>1</v>
      </c>
      <c r="G2128" t="s">
        <v>74</v>
      </c>
      <c r="H2128" t="s">
        <v>77</v>
      </c>
      <c r="I2128">
        <v>40000000</v>
      </c>
      <c r="J2128" t="s">
        <v>29</v>
      </c>
      <c r="K2128" t="s">
        <v>8</v>
      </c>
      <c r="L2128" t="s">
        <v>67</v>
      </c>
      <c r="M2128" t="s">
        <v>82</v>
      </c>
      <c r="N2128" t="s">
        <v>13</v>
      </c>
    </row>
    <row r="2129" spans="1:14" x14ac:dyDescent="0.35">
      <c r="A2129" s="75">
        <v>44080</v>
      </c>
      <c r="B2129" t="s">
        <v>145</v>
      </c>
      <c r="C2129" t="s">
        <v>100</v>
      </c>
      <c r="D2129">
        <v>10</v>
      </c>
      <c r="E2129">
        <v>8</v>
      </c>
      <c r="F2129">
        <v>2</v>
      </c>
      <c r="G2129" t="s">
        <v>114</v>
      </c>
      <c r="H2129" t="s">
        <v>3</v>
      </c>
      <c r="I2129">
        <v>100000000</v>
      </c>
      <c r="J2129" t="s">
        <v>51</v>
      </c>
      <c r="K2129" t="s">
        <v>2</v>
      </c>
      <c r="L2129" t="s">
        <v>67</v>
      </c>
      <c r="M2129" t="s">
        <v>81</v>
      </c>
      <c r="N2129" t="s">
        <v>12</v>
      </c>
    </row>
    <row r="2130" spans="1:14" x14ac:dyDescent="0.35">
      <c r="A2130" s="75">
        <v>44080</v>
      </c>
      <c r="B2130" t="s">
        <v>145</v>
      </c>
      <c r="C2130" t="s">
        <v>100</v>
      </c>
      <c r="D2130">
        <v>8</v>
      </c>
      <c r="E2130">
        <v>5</v>
      </c>
      <c r="F2130">
        <v>3</v>
      </c>
      <c r="G2130" t="s">
        <v>73</v>
      </c>
      <c r="H2130" t="s">
        <v>78</v>
      </c>
      <c r="I2130">
        <v>100000000</v>
      </c>
      <c r="J2130" t="s">
        <v>38</v>
      </c>
      <c r="K2130" t="s">
        <v>2</v>
      </c>
      <c r="L2130" t="s">
        <v>67</v>
      </c>
      <c r="M2130" t="s">
        <v>82</v>
      </c>
      <c r="N2130" t="s">
        <v>11</v>
      </c>
    </row>
    <row r="2131" spans="1:14" x14ac:dyDescent="0.35">
      <c r="A2131" s="75">
        <v>44080</v>
      </c>
      <c r="B2131" t="s">
        <v>145</v>
      </c>
      <c r="C2131" t="s">
        <v>100</v>
      </c>
      <c r="D2131">
        <v>7</v>
      </c>
      <c r="E2131">
        <v>5</v>
      </c>
      <c r="F2131">
        <v>2</v>
      </c>
      <c r="G2131" t="s">
        <v>70</v>
      </c>
      <c r="H2131" t="s">
        <v>1</v>
      </c>
      <c r="I2131">
        <v>140000000</v>
      </c>
      <c r="J2131" t="s">
        <v>21</v>
      </c>
      <c r="K2131" t="s">
        <v>2</v>
      </c>
      <c r="L2131" t="s">
        <v>67</v>
      </c>
      <c r="M2131" t="s">
        <v>80</v>
      </c>
      <c r="N2131" t="s">
        <v>11</v>
      </c>
    </row>
    <row r="2132" spans="1:14" x14ac:dyDescent="0.35">
      <c r="A2132" s="75">
        <v>44080</v>
      </c>
      <c r="B2132" t="s">
        <v>145</v>
      </c>
      <c r="C2132" t="s">
        <v>100</v>
      </c>
      <c r="D2132">
        <v>7</v>
      </c>
      <c r="E2132">
        <v>4</v>
      </c>
      <c r="F2132">
        <v>3</v>
      </c>
      <c r="G2132" t="s">
        <v>76</v>
      </c>
      <c r="H2132" t="s">
        <v>79</v>
      </c>
      <c r="I2132">
        <v>80000000</v>
      </c>
      <c r="J2132" t="s">
        <v>62</v>
      </c>
      <c r="K2132" t="s">
        <v>5</v>
      </c>
      <c r="L2132" t="s">
        <v>67</v>
      </c>
      <c r="M2132" t="s">
        <v>82</v>
      </c>
      <c r="N2132" t="s">
        <v>14</v>
      </c>
    </row>
    <row r="2133" spans="1:14" x14ac:dyDescent="0.35">
      <c r="A2133" s="75">
        <v>44080</v>
      </c>
      <c r="B2133" t="s">
        <v>145</v>
      </c>
      <c r="C2133" t="s">
        <v>100</v>
      </c>
      <c r="D2133">
        <v>4</v>
      </c>
      <c r="E2133">
        <v>2</v>
      </c>
      <c r="F2133">
        <v>2</v>
      </c>
      <c r="G2133" t="s">
        <v>70</v>
      </c>
      <c r="H2133" t="s">
        <v>1</v>
      </c>
      <c r="I2133">
        <v>100000000</v>
      </c>
      <c r="J2133" t="s">
        <v>49</v>
      </c>
      <c r="K2133" t="s">
        <v>2</v>
      </c>
      <c r="L2133" t="s">
        <v>67</v>
      </c>
      <c r="M2133" t="s">
        <v>82</v>
      </c>
      <c r="N2133" t="s">
        <v>14</v>
      </c>
    </row>
    <row r="2134" spans="1:14" x14ac:dyDescent="0.35">
      <c r="A2134" s="75">
        <v>44080</v>
      </c>
      <c r="B2134" t="s">
        <v>145</v>
      </c>
      <c r="C2134" t="s">
        <v>100</v>
      </c>
      <c r="D2134">
        <v>3</v>
      </c>
      <c r="E2134">
        <v>1</v>
      </c>
      <c r="F2134">
        <v>2</v>
      </c>
      <c r="G2134" t="s">
        <v>73</v>
      </c>
      <c r="H2134" t="s">
        <v>78</v>
      </c>
      <c r="I2134">
        <v>140000000</v>
      </c>
      <c r="J2134" t="s">
        <v>16</v>
      </c>
      <c r="K2134" t="s">
        <v>5</v>
      </c>
      <c r="L2134" t="s">
        <v>67</v>
      </c>
      <c r="M2134" t="s">
        <v>82</v>
      </c>
      <c r="N2134" t="s">
        <v>12</v>
      </c>
    </row>
    <row r="2135" spans="1:14" x14ac:dyDescent="0.35">
      <c r="A2135" s="75">
        <v>44080</v>
      </c>
      <c r="B2135" t="s">
        <v>145</v>
      </c>
      <c r="C2135" t="s">
        <v>100</v>
      </c>
      <c r="D2135">
        <v>3</v>
      </c>
      <c r="E2135">
        <v>1</v>
      </c>
      <c r="F2135">
        <v>2</v>
      </c>
      <c r="G2135" t="s">
        <v>74</v>
      </c>
      <c r="H2135" t="s">
        <v>77</v>
      </c>
      <c r="I2135">
        <v>80000000</v>
      </c>
      <c r="J2135" t="s">
        <v>27</v>
      </c>
      <c r="K2135" t="s">
        <v>2</v>
      </c>
      <c r="L2135" t="s">
        <v>67</v>
      </c>
      <c r="M2135" t="s">
        <v>82</v>
      </c>
      <c r="N2135" t="s">
        <v>12</v>
      </c>
    </row>
    <row r="2136" spans="1:14" x14ac:dyDescent="0.35">
      <c r="A2136" s="75">
        <v>44081</v>
      </c>
      <c r="B2136" t="s">
        <v>146</v>
      </c>
      <c r="C2136" t="s">
        <v>100</v>
      </c>
      <c r="D2136">
        <v>10</v>
      </c>
      <c r="E2136">
        <v>9</v>
      </c>
      <c r="F2136">
        <v>1</v>
      </c>
      <c r="G2136" t="s">
        <v>114</v>
      </c>
      <c r="H2136" t="s">
        <v>3</v>
      </c>
      <c r="I2136">
        <v>80000000</v>
      </c>
      <c r="J2136" t="s">
        <v>39</v>
      </c>
      <c r="K2136" t="s">
        <v>5</v>
      </c>
      <c r="L2136" t="s">
        <v>67</v>
      </c>
      <c r="M2136" t="s">
        <v>82</v>
      </c>
      <c r="N2136" t="s">
        <v>12</v>
      </c>
    </row>
    <row r="2137" spans="1:14" x14ac:dyDescent="0.35">
      <c r="A2137" s="75">
        <v>44081</v>
      </c>
      <c r="B2137" t="s">
        <v>146</v>
      </c>
      <c r="C2137" t="s">
        <v>100</v>
      </c>
      <c r="D2137">
        <v>9</v>
      </c>
      <c r="E2137">
        <v>6</v>
      </c>
      <c r="F2137">
        <v>3</v>
      </c>
      <c r="G2137" t="s">
        <v>114</v>
      </c>
      <c r="H2137" t="s">
        <v>3</v>
      </c>
      <c r="I2137">
        <v>120000000</v>
      </c>
      <c r="J2137" t="s">
        <v>54</v>
      </c>
      <c r="K2137" t="s">
        <v>2</v>
      </c>
      <c r="L2137" t="s">
        <v>67</v>
      </c>
      <c r="M2137" t="s">
        <v>82</v>
      </c>
      <c r="N2137" t="s">
        <v>11</v>
      </c>
    </row>
    <row r="2138" spans="1:14" x14ac:dyDescent="0.35">
      <c r="A2138" s="75">
        <v>44081</v>
      </c>
      <c r="B2138" t="s">
        <v>146</v>
      </c>
      <c r="C2138" t="s">
        <v>100</v>
      </c>
      <c r="D2138">
        <v>9</v>
      </c>
      <c r="E2138">
        <v>8</v>
      </c>
      <c r="F2138">
        <v>1</v>
      </c>
      <c r="G2138" t="s">
        <v>74</v>
      </c>
      <c r="H2138" t="s">
        <v>77</v>
      </c>
      <c r="I2138">
        <v>60000000</v>
      </c>
      <c r="J2138" t="s">
        <v>45</v>
      </c>
      <c r="K2138" t="s">
        <v>4</v>
      </c>
      <c r="L2138" t="s">
        <v>67</v>
      </c>
      <c r="M2138" t="s">
        <v>81</v>
      </c>
      <c r="N2138" t="s">
        <v>12</v>
      </c>
    </row>
    <row r="2139" spans="1:14" x14ac:dyDescent="0.35">
      <c r="A2139" s="75">
        <v>44081</v>
      </c>
      <c r="B2139" t="s">
        <v>146</v>
      </c>
      <c r="C2139" t="s">
        <v>100</v>
      </c>
      <c r="D2139">
        <v>8</v>
      </c>
      <c r="E2139">
        <v>4</v>
      </c>
      <c r="F2139">
        <v>4</v>
      </c>
      <c r="G2139" t="s">
        <v>114</v>
      </c>
      <c r="H2139" t="s">
        <v>3</v>
      </c>
      <c r="I2139">
        <v>80000000</v>
      </c>
      <c r="J2139" t="s">
        <v>18</v>
      </c>
      <c r="K2139" t="s">
        <v>5</v>
      </c>
      <c r="L2139" t="s">
        <v>67</v>
      </c>
      <c r="M2139" t="s">
        <v>81</v>
      </c>
      <c r="N2139" t="s">
        <v>11</v>
      </c>
    </row>
    <row r="2140" spans="1:14" x14ac:dyDescent="0.35">
      <c r="A2140" s="75">
        <v>44081</v>
      </c>
      <c r="B2140" t="s">
        <v>146</v>
      </c>
      <c r="C2140" t="s">
        <v>100</v>
      </c>
      <c r="D2140">
        <v>6</v>
      </c>
      <c r="E2140">
        <v>4</v>
      </c>
      <c r="F2140">
        <v>2</v>
      </c>
      <c r="G2140" t="s">
        <v>113</v>
      </c>
      <c r="H2140" t="s">
        <v>77</v>
      </c>
      <c r="I2140">
        <v>80000000</v>
      </c>
      <c r="J2140" t="s">
        <v>56</v>
      </c>
      <c r="K2140" t="s">
        <v>4</v>
      </c>
      <c r="L2140" t="s">
        <v>67</v>
      </c>
      <c r="M2140" t="s">
        <v>81</v>
      </c>
      <c r="N2140" t="s">
        <v>11</v>
      </c>
    </row>
    <row r="2141" spans="1:14" x14ac:dyDescent="0.35">
      <c r="A2141" s="75">
        <v>44081</v>
      </c>
      <c r="B2141" t="s">
        <v>146</v>
      </c>
      <c r="C2141" t="s">
        <v>100</v>
      </c>
      <c r="D2141">
        <v>6</v>
      </c>
      <c r="E2141">
        <v>3</v>
      </c>
      <c r="F2141">
        <v>3</v>
      </c>
      <c r="G2141" t="s">
        <v>74</v>
      </c>
      <c r="H2141" t="s">
        <v>77</v>
      </c>
      <c r="I2141">
        <v>80000000</v>
      </c>
      <c r="J2141" t="s">
        <v>52</v>
      </c>
      <c r="K2141" t="s">
        <v>5</v>
      </c>
      <c r="L2141" t="s">
        <v>67</v>
      </c>
      <c r="M2141" t="s">
        <v>82</v>
      </c>
      <c r="N2141" t="s">
        <v>13</v>
      </c>
    </row>
    <row r="2142" spans="1:14" x14ac:dyDescent="0.35">
      <c r="A2142" s="75">
        <v>44081</v>
      </c>
      <c r="B2142" t="s">
        <v>146</v>
      </c>
      <c r="C2142" t="s">
        <v>100</v>
      </c>
      <c r="D2142">
        <v>6</v>
      </c>
      <c r="E2142">
        <v>5</v>
      </c>
      <c r="F2142">
        <v>1</v>
      </c>
      <c r="G2142" t="s">
        <v>75</v>
      </c>
      <c r="H2142" t="s">
        <v>6</v>
      </c>
      <c r="I2142">
        <v>40000000</v>
      </c>
      <c r="J2142" t="s">
        <v>25</v>
      </c>
      <c r="K2142" t="s">
        <v>2</v>
      </c>
      <c r="L2142" t="s">
        <v>67</v>
      </c>
      <c r="M2142" t="s">
        <v>82</v>
      </c>
      <c r="N2142" t="s">
        <v>12</v>
      </c>
    </row>
    <row r="2143" spans="1:14" x14ac:dyDescent="0.35">
      <c r="A2143" s="75">
        <v>44081</v>
      </c>
      <c r="B2143" t="s">
        <v>146</v>
      </c>
      <c r="C2143" t="s">
        <v>100</v>
      </c>
      <c r="D2143">
        <v>6</v>
      </c>
      <c r="E2143">
        <v>3</v>
      </c>
      <c r="F2143">
        <v>3</v>
      </c>
      <c r="G2143" t="s">
        <v>113</v>
      </c>
      <c r="H2143" t="s">
        <v>77</v>
      </c>
      <c r="I2143">
        <v>140000000</v>
      </c>
      <c r="J2143" t="s">
        <v>41</v>
      </c>
      <c r="K2143" t="s">
        <v>2</v>
      </c>
      <c r="L2143" t="s">
        <v>67</v>
      </c>
      <c r="M2143" t="s">
        <v>80</v>
      </c>
      <c r="N2143" t="s">
        <v>14</v>
      </c>
    </row>
    <row r="2144" spans="1:14" x14ac:dyDescent="0.35">
      <c r="A2144" s="75">
        <v>44081</v>
      </c>
      <c r="B2144" t="s">
        <v>146</v>
      </c>
      <c r="C2144" t="s">
        <v>100</v>
      </c>
      <c r="D2144">
        <v>5</v>
      </c>
      <c r="E2144">
        <v>3</v>
      </c>
      <c r="F2144">
        <v>2</v>
      </c>
      <c r="G2144" t="s">
        <v>71</v>
      </c>
      <c r="H2144" t="s">
        <v>6</v>
      </c>
      <c r="I2144">
        <v>40000000</v>
      </c>
      <c r="J2144" t="s">
        <v>53</v>
      </c>
      <c r="K2144" t="s">
        <v>5</v>
      </c>
      <c r="L2144" t="s">
        <v>67</v>
      </c>
      <c r="M2144" t="s">
        <v>82</v>
      </c>
      <c r="N2144" t="s">
        <v>14</v>
      </c>
    </row>
    <row r="2145" spans="1:14" x14ac:dyDescent="0.35">
      <c r="A2145" s="75">
        <v>44081</v>
      </c>
      <c r="B2145" t="s">
        <v>146</v>
      </c>
      <c r="C2145" t="s">
        <v>100</v>
      </c>
      <c r="D2145">
        <v>5</v>
      </c>
      <c r="E2145">
        <v>3</v>
      </c>
      <c r="F2145">
        <v>2</v>
      </c>
      <c r="G2145" t="s">
        <v>71</v>
      </c>
      <c r="H2145" t="s">
        <v>6</v>
      </c>
      <c r="I2145">
        <v>140000000</v>
      </c>
      <c r="J2145" t="s">
        <v>60</v>
      </c>
      <c r="K2145" t="s">
        <v>2</v>
      </c>
      <c r="L2145" t="s">
        <v>67</v>
      </c>
      <c r="M2145" t="s">
        <v>82</v>
      </c>
      <c r="N2145" t="s">
        <v>12</v>
      </c>
    </row>
    <row r="2146" spans="1:14" x14ac:dyDescent="0.35">
      <c r="A2146" s="75">
        <v>44081</v>
      </c>
      <c r="B2146" t="s">
        <v>146</v>
      </c>
      <c r="C2146" t="s">
        <v>100</v>
      </c>
      <c r="D2146">
        <v>4</v>
      </c>
      <c r="E2146">
        <v>3</v>
      </c>
      <c r="F2146">
        <v>1</v>
      </c>
      <c r="G2146" t="s">
        <v>72</v>
      </c>
      <c r="H2146" t="s">
        <v>78</v>
      </c>
      <c r="I2146">
        <v>80000000</v>
      </c>
      <c r="J2146" t="s">
        <v>28</v>
      </c>
      <c r="K2146" t="s">
        <v>9</v>
      </c>
      <c r="L2146" t="s">
        <v>67</v>
      </c>
      <c r="M2146" t="s">
        <v>80</v>
      </c>
      <c r="N2146" t="s">
        <v>11</v>
      </c>
    </row>
    <row r="2147" spans="1:14" x14ac:dyDescent="0.35">
      <c r="A2147" s="75">
        <v>44081</v>
      </c>
      <c r="B2147" t="s">
        <v>146</v>
      </c>
      <c r="C2147" t="s">
        <v>100</v>
      </c>
      <c r="D2147">
        <v>3</v>
      </c>
      <c r="E2147">
        <v>1</v>
      </c>
      <c r="F2147">
        <v>2</v>
      </c>
      <c r="G2147" t="s">
        <v>74</v>
      </c>
      <c r="H2147" t="s">
        <v>77</v>
      </c>
      <c r="I2147">
        <v>60000000</v>
      </c>
      <c r="J2147" t="s">
        <v>24</v>
      </c>
      <c r="K2147" t="s">
        <v>2</v>
      </c>
      <c r="L2147" t="s">
        <v>67</v>
      </c>
      <c r="M2147" t="s">
        <v>82</v>
      </c>
      <c r="N2147" t="s">
        <v>14</v>
      </c>
    </row>
    <row r="2148" spans="1:14" x14ac:dyDescent="0.35">
      <c r="A2148" s="75">
        <v>44082</v>
      </c>
      <c r="B2148" t="s">
        <v>147</v>
      </c>
      <c r="C2148" t="s">
        <v>100</v>
      </c>
      <c r="D2148">
        <v>10</v>
      </c>
      <c r="E2148">
        <v>10</v>
      </c>
      <c r="F2148" t="s">
        <v>10</v>
      </c>
      <c r="G2148" t="s">
        <v>76</v>
      </c>
      <c r="H2148" t="s">
        <v>79</v>
      </c>
      <c r="I2148">
        <v>40000000</v>
      </c>
      <c r="J2148" t="s">
        <v>41</v>
      </c>
      <c r="K2148" t="s">
        <v>5</v>
      </c>
      <c r="L2148" t="s">
        <v>67</v>
      </c>
      <c r="M2148" t="s">
        <v>80</v>
      </c>
      <c r="N2148" t="s">
        <v>12</v>
      </c>
    </row>
    <row r="2149" spans="1:14" x14ac:dyDescent="0.35">
      <c r="A2149" s="75">
        <v>44082</v>
      </c>
      <c r="B2149" t="s">
        <v>147</v>
      </c>
      <c r="C2149" t="s">
        <v>100</v>
      </c>
      <c r="D2149">
        <v>9</v>
      </c>
      <c r="E2149">
        <v>9</v>
      </c>
      <c r="F2149" t="s">
        <v>10</v>
      </c>
      <c r="G2149" t="s">
        <v>73</v>
      </c>
      <c r="H2149" t="s">
        <v>78</v>
      </c>
      <c r="I2149">
        <v>140000000</v>
      </c>
      <c r="J2149" t="s">
        <v>46</v>
      </c>
      <c r="K2149" t="s">
        <v>8</v>
      </c>
      <c r="L2149" t="s">
        <v>67</v>
      </c>
      <c r="M2149" t="s">
        <v>81</v>
      </c>
      <c r="N2149" t="s">
        <v>11</v>
      </c>
    </row>
    <row r="2150" spans="1:14" x14ac:dyDescent="0.35">
      <c r="A2150" s="75">
        <v>44082</v>
      </c>
      <c r="B2150" t="s">
        <v>147</v>
      </c>
      <c r="C2150" t="s">
        <v>100</v>
      </c>
      <c r="D2150">
        <v>9</v>
      </c>
      <c r="E2150">
        <v>9</v>
      </c>
      <c r="F2150" t="s">
        <v>10</v>
      </c>
      <c r="G2150" t="s">
        <v>72</v>
      </c>
      <c r="H2150" t="s">
        <v>78</v>
      </c>
      <c r="I2150">
        <v>100000000</v>
      </c>
      <c r="J2150" t="s">
        <v>44</v>
      </c>
      <c r="K2150" t="s">
        <v>5</v>
      </c>
      <c r="L2150" t="s">
        <v>67</v>
      </c>
      <c r="M2150" t="s">
        <v>81</v>
      </c>
      <c r="N2150" t="s">
        <v>14</v>
      </c>
    </row>
    <row r="2151" spans="1:14" x14ac:dyDescent="0.35">
      <c r="A2151" s="75">
        <v>44082</v>
      </c>
      <c r="B2151" t="s">
        <v>147</v>
      </c>
      <c r="C2151" t="s">
        <v>100</v>
      </c>
      <c r="D2151">
        <v>8</v>
      </c>
      <c r="E2151">
        <v>8</v>
      </c>
      <c r="F2151" t="s">
        <v>10</v>
      </c>
      <c r="G2151" t="s">
        <v>74</v>
      </c>
      <c r="H2151" t="s">
        <v>77</v>
      </c>
      <c r="I2151">
        <v>40000000</v>
      </c>
      <c r="J2151" t="s">
        <v>25</v>
      </c>
      <c r="K2151" t="s">
        <v>5</v>
      </c>
      <c r="L2151" t="s">
        <v>67</v>
      </c>
      <c r="M2151" t="s">
        <v>81</v>
      </c>
      <c r="N2151" t="s">
        <v>11</v>
      </c>
    </row>
    <row r="2152" spans="1:14" x14ac:dyDescent="0.35">
      <c r="A2152" s="75">
        <v>44082</v>
      </c>
      <c r="B2152" t="s">
        <v>147</v>
      </c>
      <c r="C2152" t="s">
        <v>100</v>
      </c>
      <c r="D2152">
        <v>6</v>
      </c>
      <c r="E2152">
        <v>6</v>
      </c>
      <c r="F2152" t="s">
        <v>10</v>
      </c>
      <c r="G2152" t="s">
        <v>70</v>
      </c>
      <c r="H2152" t="s">
        <v>1</v>
      </c>
      <c r="I2152">
        <v>120000000</v>
      </c>
      <c r="J2152" t="s">
        <v>55</v>
      </c>
      <c r="K2152" t="s">
        <v>5</v>
      </c>
      <c r="L2152" t="s">
        <v>67</v>
      </c>
      <c r="M2152" t="s">
        <v>80</v>
      </c>
      <c r="N2152" t="s">
        <v>11</v>
      </c>
    </row>
    <row r="2153" spans="1:14" x14ac:dyDescent="0.35">
      <c r="A2153" s="75">
        <v>44082</v>
      </c>
      <c r="B2153" t="s">
        <v>147</v>
      </c>
      <c r="C2153" t="s">
        <v>100</v>
      </c>
      <c r="D2153">
        <v>6</v>
      </c>
      <c r="E2153">
        <v>6</v>
      </c>
      <c r="F2153" t="s">
        <v>10</v>
      </c>
      <c r="G2153" t="s">
        <v>75</v>
      </c>
      <c r="H2153" t="s">
        <v>6</v>
      </c>
      <c r="I2153">
        <v>140000000</v>
      </c>
      <c r="J2153" t="s">
        <v>30</v>
      </c>
      <c r="K2153" t="s">
        <v>2</v>
      </c>
      <c r="L2153" t="s">
        <v>67</v>
      </c>
      <c r="M2153" t="s">
        <v>80</v>
      </c>
      <c r="N2153" t="s">
        <v>11</v>
      </c>
    </row>
    <row r="2154" spans="1:14" x14ac:dyDescent="0.35">
      <c r="A2154" s="75">
        <v>44082</v>
      </c>
      <c r="B2154" t="s">
        <v>147</v>
      </c>
      <c r="C2154" t="s">
        <v>100</v>
      </c>
      <c r="D2154">
        <v>4</v>
      </c>
      <c r="E2154">
        <v>4</v>
      </c>
      <c r="F2154" t="s">
        <v>10</v>
      </c>
      <c r="G2154" t="s">
        <v>72</v>
      </c>
      <c r="H2154" t="s">
        <v>78</v>
      </c>
      <c r="I2154">
        <v>140000000</v>
      </c>
      <c r="J2154" t="s">
        <v>54</v>
      </c>
      <c r="K2154" t="s">
        <v>5</v>
      </c>
      <c r="L2154" t="s">
        <v>67</v>
      </c>
      <c r="M2154" t="s">
        <v>80</v>
      </c>
      <c r="N2154" t="s">
        <v>13</v>
      </c>
    </row>
    <row r="2155" spans="1:14" x14ac:dyDescent="0.35">
      <c r="A2155" s="75">
        <v>44083</v>
      </c>
      <c r="B2155" t="s">
        <v>148</v>
      </c>
      <c r="C2155" t="s">
        <v>100</v>
      </c>
      <c r="D2155">
        <v>8</v>
      </c>
      <c r="E2155">
        <v>8</v>
      </c>
      <c r="F2155" t="s">
        <v>10</v>
      </c>
      <c r="G2155" t="s">
        <v>113</v>
      </c>
      <c r="H2155" t="s">
        <v>77</v>
      </c>
      <c r="I2155">
        <v>40000000</v>
      </c>
      <c r="J2155" t="s">
        <v>23</v>
      </c>
      <c r="K2155" t="s">
        <v>2</v>
      </c>
      <c r="L2155" t="s">
        <v>67</v>
      </c>
      <c r="M2155" t="s">
        <v>82</v>
      </c>
      <c r="N2155" t="s">
        <v>12</v>
      </c>
    </row>
    <row r="2156" spans="1:14" x14ac:dyDescent="0.35">
      <c r="A2156" s="75">
        <v>44083</v>
      </c>
      <c r="B2156" t="s">
        <v>148</v>
      </c>
      <c r="C2156" t="s">
        <v>100</v>
      </c>
      <c r="D2156">
        <v>7</v>
      </c>
      <c r="E2156">
        <v>7</v>
      </c>
      <c r="F2156" t="s">
        <v>10</v>
      </c>
      <c r="G2156" t="s">
        <v>76</v>
      </c>
      <c r="H2156" t="s">
        <v>79</v>
      </c>
      <c r="I2156">
        <v>60000000</v>
      </c>
      <c r="J2156" t="s">
        <v>54</v>
      </c>
      <c r="K2156" t="s">
        <v>2</v>
      </c>
      <c r="L2156" t="s">
        <v>67</v>
      </c>
      <c r="M2156" t="s">
        <v>82</v>
      </c>
      <c r="N2156" t="s">
        <v>11</v>
      </c>
    </row>
    <row r="2157" spans="1:14" x14ac:dyDescent="0.35">
      <c r="A2157" s="75">
        <v>44083</v>
      </c>
      <c r="B2157" t="s">
        <v>148</v>
      </c>
      <c r="C2157" t="s">
        <v>100</v>
      </c>
      <c r="D2157">
        <v>5</v>
      </c>
      <c r="E2157">
        <v>5</v>
      </c>
      <c r="F2157" t="s">
        <v>10</v>
      </c>
      <c r="G2157" t="s">
        <v>76</v>
      </c>
      <c r="H2157" t="s">
        <v>79</v>
      </c>
      <c r="I2157">
        <v>80000000</v>
      </c>
      <c r="J2157" t="s">
        <v>36</v>
      </c>
      <c r="K2157" t="s">
        <v>5</v>
      </c>
      <c r="L2157" t="s">
        <v>67</v>
      </c>
      <c r="M2157" t="s">
        <v>80</v>
      </c>
      <c r="N2157" t="s">
        <v>11</v>
      </c>
    </row>
    <row r="2158" spans="1:14" x14ac:dyDescent="0.35">
      <c r="A2158" s="75">
        <v>44083</v>
      </c>
      <c r="B2158" t="s">
        <v>148</v>
      </c>
      <c r="C2158" t="s">
        <v>100</v>
      </c>
      <c r="D2158">
        <v>3</v>
      </c>
      <c r="E2158">
        <v>3</v>
      </c>
      <c r="F2158" t="s">
        <v>10</v>
      </c>
      <c r="G2158" t="s">
        <v>72</v>
      </c>
      <c r="H2158" t="s">
        <v>78</v>
      </c>
      <c r="I2158">
        <v>100000000</v>
      </c>
      <c r="J2158" t="s">
        <v>29</v>
      </c>
      <c r="K2158" t="s">
        <v>2</v>
      </c>
      <c r="L2158" t="s">
        <v>67</v>
      </c>
      <c r="M2158" t="s">
        <v>81</v>
      </c>
      <c r="N2158" t="s">
        <v>12</v>
      </c>
    </row>
    <row r="2159" spans="1:14" x14ac:dyDescent="0.35">
      <c r="A2159" s="75">
        <v>44084</v>
      </c>
      <c r="B2159" t="s">
        <v>149</v>
      </c>
      <c r="C2159" t="s">
        <v>100</v>
      </c>
      <c r="D2159">
        <v>10</v>
      </c>
      <c r="E2159">
        <v>10</v>
      </c>
      <c r="F2159" t="s">
        <v>10</v>
      </c>
      <c r="G2159" t="s">
        <v>70</v>
      </c>
      <c r="H2159" t="s">
        <v>1</v>
      </c>
      <c r="I2159">
        <v>140000000</v>
      </c>
      <c r="J2159" t="s">
        <v>51</v>
      </c>
      <c r="K2159" t="s">
        <v>5</v>
      </c>
      <c r="L2159" t="s">
        <v>67</v>
      </c>
      <c r="M2159" t="s">
        <v>82</v>
      </c>
      <c r="N2159" t="s">
        <v>14</v>
      </c>
    </row>
    <row r="2160" spans="1:14" x14ac:dyDescent="0.35">
      <c r="A2160" s="75">
        <v>44084</v>
      </c>
      <c r="B2160" t="s">
        <v>149</v>
      </c>
      <c r="C2160" t="s">
        <v>100</v>
      </c>
      <c r="D2160">
        <v>4</v>
      </c>
      <c r="E2160">
        <v>4</v>
      </c>
      <c r="F2160" t="s">
        <v>10</v>
      </c>
      <c r="G2160" t="s">
        <v>70</v>
      </c>
      <c r="H2160" t="s">
        <v>1</v>
      </c>
      <c r="I2160">
        <v>100000000</v>
      </c>
      <c r="J2160" t="s">
        <v>24</v>
      </c>
      <c r="K2160" t="s">
        <v>2</v>
      </c>
      <c r="L2160" t="s">
        <v>67</v>
      </c>
      <c r="M2160" t="s">
        <v>81</v>
      </c>
      <c r="N2160" t="s">
        <v>12</v>
      </c>
    </row>
    <row r="2161" spans="1:14" x14ac:dyDescent="0.35">
      <c r="A2161" s="75">
        <v>44084</v>
      </c>
      <c r="B2161" t="s">
        <v>149</v>
      </c>
      <c r="C2161" t="s">
        <v>100</v>
      </c>
      <c r="D2161">
        <v>3</v>
      </c>
      <c r="E2161">
        <v>3</v>
      </c>
      <c r="F2161" t="s">
        <v>10</v>
      </c>
      <c r="G2161" t="s">
        <v>72</v>
      </c>
      <c r="H2161" t="s">
        <v>78</v>
      </c>
      <c r="I2161">
        <v>140000000</v>
      </c>
      <c r="J2161" t="s">
        <v>51</v>
      </c>
      <c r="K2161" t="s">
        <v>2</v>
      </c>
      <c r="L2161" t="s">
        <v>67</v>
      </c>
      <c r="M2161" t="s">
        <v>80</v>
      </c>
      <c r="N2161" t="s">
        <v>12</v>
      </c>
    </row>
    <row r="2162" spans="1:14" x14ac:dyDescent="0.35">
      <c r="A2162" s="75">
        <v>44085</v>
      </c>
      <c r="B2162" t="s">
        <v>150</v>
      </c>
      <c r="C2162" t="s">
        <v>100</v>
      </c>
      <c r="D2162">
        <v>10</v>
      </c>
      <c r="E2162">
        <v>10</v>
      </c>
      <c r="F2162" t="s">
        <v>10</v>
      </c>
      <c r="G2162" t="s">
        <v>113</v>
      </c>
      <c r="H2162" t="s">
        <v>77</v>
      </c>
      <c r="I2162">
        <v>120000000</v>
      </c>
      <c r="J2162" t="s">
        <v>49</v>
      </c>
      <c r="K2162" t="s">
        <v>5</v>
      </c>
      <c r="L2162" t="s">
        <v>67</v>
      </c>
      <c r="M2162" t="s">
        <v>82</v>
      </c>
      <c r="N2162" t="s">
        <v>12</v>
      </c>
    </row>
    <row r="2163" spans="1:14" x14ac:dyDescent="0.35">
      <c r="A2163" s="75">
        <v>44085</v>
      </c>
      <c r="B2163" t="s">
        <v>150</v>
      </c>
      <c r="C2163" t="s">
        <v>100</v>
      </c>
      <c r="D2163">
        <v>10</v>
      </c>
      <c r="E2163">
        <v>10</v>
      </c>
      <c r="F2163" t="s">
        <v>10</v>
      </c>
      <c r="G2163" t="s">
        <v>114</v>
      </c>
      <c r="H2163" t="s">
        <v>3</v>
      </c>
      <c r="I2163">
        <v>100000000</v>
      </c>
      <c r="J2163" t="s">
        <v>43</v>
      </c>
      <c r="K2163" t="s">
        <v>5</v>
      </c>
      <c r="L2163" t="s">
        <v>67</v>
      </c>
      <c r="M2163" t="s">
        <v>81</v>
      </c>
      <c r="N2163" t="s">
        <v>14</v>
      </c>
    </row>
    <row r="2164" spans="1:14" x14ac:dyDescent="0.35">
      <c r="A2164" s="75">
        <v>44085</v>
      </c>
      <c r="B2164" t="s">
        <v>150</v>
      </c>
      <c r="C2164" t="s">
        <v>100</v>
      </c>
      <c r="D2164">
        <v>6</v>
      </c>
      <c r="E2164">
        <v>6</v>
      </c>
      <c r="F2164" t="s">
        <v>10</v>
      </c>
      <c r="G2164" t="s">
        <v>76</v>
      </c>
      <c r="H2164" t="s">
        <v>79</v>
      </c>
      <c r="I2164">
        <v>120000000</v>
      </c>
      <c r="J2164" t="s">
        <v>35</v>
      </c>
      <c r="K2164" t="s">
        <v>7</v>
      </c>
      <c r="L2164" t="s">
        <v>67</v>
      </c>
      <c r="M2164" t="s">
        <v>81</v>
      </c>
      <c r="N2164" t="s">
        <v>12</v>
      </c>
    </row>
    <row r="2165" spans="1:14" x14ac:dyDescent="0.35">
      <c r="A2165" s="75">
        <v>44085</v>
      </c>
      <c r="B2165" t="s">
        <v>150</v>
      </c>
      <c r="C2165" t="s">
        <v>100</v>
      </c>
      <c r="D2165">
        <v>5</v>
      </c>
      <c r="E2165">
        <v>5</v>
      </c>
      <c r="F2165" t="s">
        <v>10</v>
      </c>
      <c r="G2165" t="s">
        <v>71</v>
      </c>
      <c r="H2165" t="s">
        <v>6</v>
      </c>
      <c r="I2165">
        <v>40000000</v>
      </c>
      <c r="J2165" t="s">
        <v>44</v>
      </c>
      <c r="K2165" t="s">
        <v>7</v>
      </c>
      <c r="L2165" t="s">
        <v>67</v>
      </c>
      <c r="M2165" t="s">
        <v>82</v>
      </c>
      <c r="N2165" t="s">
        <v>12</v>
      </c>
    </row>
    <row r="2166" spans="1:14" x14ac:dyDescent="0.35">
      <c r="A2166" s="75">
        <v>44085</v>
      </c>
      <c r="B2166" t="s">
        <v>150</v>
      </c>
      <c r="C2166" t="s">
        <v>100</v>
      </c>
      <c r="D2166">
        <v>5</v>
      </c>
      <c r="E2166">
        <v>5</v>
      </c>
      <c r="F2166" t="s">
        <v>10</v>
      </c>
      <c r="G2166" t="s">
        <v>70</v>
      </c>
      <c r="H2166" t="s">
        <v>1</v>
      </c>
      <c r="I2166">
        <v>120000000</v>
      </c>
      <c r="J2166" t="s">
        <v>22</v>
      </c>
      <c r="K2166" t="s">
        <v>4</v>
      </c>
      <c r="L2166" t="s">
        <v>67</v>
      </c>
      <c r="M2166" t="s">
        <v>82</v>
      </c>
      <c r="N2166" t="s">
        <v>12</v>
      </c>
    </row>
    <row r="2167" spans="1:14" x14ac:dyDescent="0.35">
      <c r="A2167" s="75">
        <v>44085</v>
      </c>
      <c r="B2167" t="s">
        <v>150</v>
      </c>
      <c r="C2167" t="s">
        <v>100</v>
      </c>
      <c r="D2167">
        <v>3</v>
      </c>
      <c r="E2167">
        <v>3</v>
      </c>
      <c r="F2167" t="s">
        <v>10</v>
      </c>
      <c r="G2167" t="s">
        <v>74</v>
      </c>
      <c r="H2167" t="s">
        <v>77</v>
      </c>
      <c r="I2167">
        <v>140000000</v>
      </c>
      <c r="J2167" t="s">
        <v>56</v>
      </c>
      <c r="K2167" t="s">
        <v>8</v>
      </c>
      <c r="L2167" t="s">
        <v>67</v>
      </c>
      <c r="M2167" t="s">
        <v>81</v>
      </c>
      <c r="N2167" t="s">
        <v>13</v>
      </c>
    </row>
    <row r="2168" spans="1:14" x14ac:dyDescent="0.35">
      <c r="A2168" s="75">
        <v>44085</v>
      </c>
      <c r="B2168" t="s">
        <v>150</v>
      </c>
      <c r="C2168" t="s">
        <v>100</v>
      </c>
      <c r="D2168">
        <v>3</v>
      </c>
      <c r="E2168">
        <v>3</v>
      </c>
      <c r="F2168" t="s">
        <v>10</v>
      </c>
      <c r="G2168" t="s">
        <v>72</v>
      </c>
      <c r="H2168" t="s">
        <v>78</v>
      </c>
      <c r="I2168">
        <v>120000000</v>
      </c>
      <c r="J2168" t="s">
        <v>27</v>
      </c>
      <c r="K2168" t="s">
        <v>2</v>
      </c>
      <c r="L2168" t="s">
        <v>67</v>
      </c>
      <c r="M2168" t="s">
        <v>81</v>
      </c>
      <c r="N2168" t="s">
        <v>13</v>
      </c>
    </row>
    <row r="2169" spans="1:14" x14ac:dyDescent="0.35">
      <c r="A2169" s="75">
        <v>44086</v>
      </c>
      <c r="B2169" t="s">
        <v>151</v>
      </c>
      <c r="C2169" t="s">
        <v>100</v>
      </c>
      <c r="D2169">
        <v>10</v>
      </c>
      <c r="E2169">
        <v>10</v>
      </c>
      <c r="F2169" t="s">
        <v>10</v>
      </c>
      <c r="G2169" t="s">
        <v>76</v>
      </c>
      <c r="H2169" t="s">
        <v>79</v>
      </c>
      <c r="I2169">
        <v>120000000</v>
      </c>
      <c r="J2169" t="s">
        <v>43</v>
      </c>
      <c r="K2169" t="s">
        <v>8</v>
      </c>
      <c r="L2169" t="s">
        <v>67</v>
      </c>
      <c r="M2169" t="s">
        <v>80</v>
      </c>
      <c r="N2169" t="s">
        <v>14</v>
      </c>
    </row>
    <row r="2170" spans="1:14" x14ac:dyDescent="0.35">
      <c r="A2170" s="75">
        <v>44086</v>
      </c>
      <c r="B2170" t="s">
        <v>151</v>
      </c>
      <c r="C2170" t="s">
        <v>100</v>
      </c>
      <c r="D2170">
        <v>9</v>
      </c>
      <c r="E2170">
        <v>9</v>
      </c>
      <c r="F2170" t="s">
        <v>10</v>
      </c>
      <c r="G2170" t="s">
        <v>113</v>
      </c>
      <c r="H2170" t="s">
        <v>77</v>
      </c>
      <c r="I2170">
        <v>120000000</v>
      </c>
      <c r="J2170" t="s">
        <v>42</v>
      </c>
      <c r="K2170" t="s">
        <v>5</v>
      </c>
      <c r="L2170" t="s">
        <v>67</v>
      </c>
      <c r="M2170" t="s">
        <v>81</v>
      </c>
      <c r="N2170" t="s">
        <v>14</v>
      </c>
    </row>
    <row r="2171" spans="1:14" x14ac:dyDescent="0.35">
      <c r="A2171" s="75">
        <v>44086</v>
      </c>
      <c r="B2171" t="s">
        <v>151</v>
      </c>
      <c r="C2171" t="s">
        <v>100</v>
      </c>
      <c r="D2171">
        <v>7</v>
      </c>
      <c r="E2171">
        <v>7</v>
      </c>
      <c r="F2171" t="s">
        <v>10</v>
      </c>
      <c r="G2171" t="s">
        <v>73</v>
      </c>
      <c r="H2171" t="s">
        <v>78</v>
      </c>
      <c r="I2171">
        <v>40000000</v>
      </c>
      <c r="J2171" t="s">
        <v>30</v>
      </c>
      <c r="K2171" t="s">
        <v>2</v>
      </c>
      <c r="L2171" t="s">
        <v>67</v>
      </c>
      <c r="M2171" t="s">
        <v>82</v>
      </c>
      <c r="N2171" t="s">
        <v>13</v>
      </c>
    </row>
    <row r="2172" spans="1:14" x14ac:dyDescent="0.35">
      <c r="A2172" s="75">
        <v>44086</v>
      </c>
      <c r="B2172" t="s">
        <v>151</v>
      </c>
      <c r="C2172" t="s">
        <v>100</v>
      </c>
      <c r="D2172">
        <v>7</v>
      </c>
      <c r="E2172">
        <v>7</v>
      </c>
      <c r="F2172" t="s">
        <v>10</v>
      </c>
      <c r="G2172" t="s">
        <v>76</v>
      </c>
      <c r="H2172" t="s">
        <v>79</v>
      </c>
      <c r="I2172">
        <v>60000000</v>
      </c>
      <c r="J2172" t="s">
        <v>31</v>
      </c>
      <c r="K2172" t="s">
        <v>5</v>
      </c>
      <c r="L2172" t="s">
        <v>67</v>
      </c>
      <c r="M2172" t="s">
        <v>81</v>
      </c>
      <c r="N2172" t="s">
        <v>14</v>
      </c>
    </row>
    <row r="2173" spans="1:14" x14ac:dyDescent="0.35">
      <c r="A2173" s="75">
        <v>44086</v>
      </c>
      <c r="B2173" t="s">
        <v>151</v>
      </c>
      <c r="C2173" t="s">
        <v>100</v>
      </c>
      <c r="D2173">
        <v>3</v>
      </c>
      <c r="E2173">
        <v>3</v>
      </c>
      <c r="F2173" t="s">
        <v>10</v>
      </c>
      <c r="G2173" t="s">
        <v>73</v>
      </c>
      <c r="H2173" t="s">
        <v>78</v>
      </c>
      <c r="I2173">
        <v>100000000</v>
      </c>
      <c r="J2173" t="s">
        <v>61</v>
      </c>
      <c r="K2173" t="s">
        <v>8</v>
      </c>
      <c r="L2173" t="s">
        <v>67</v>
      </c>
      <c r="M2173" t="s">
        <v>80</v>
      </c>
      <c r="N2173" t="s">
        <v>14</v>
      </c>
    </row>
    <row r="2174" spans="1:14" x14ac:dyDescent="0.35">
      <c r="A2174" s="75">
        <v>44087</v>
      </c>
      <c r="B2174" t="s">
        <v>152</v>
      </c>
      <c r="C2174" t="s">
        <v>100</v>
      </c>
      <c r="D2174">
        <v>10</v>
      </c>
      <c r="E2174">
        <v>10</v>
      </c>
      <c r="F2174" t="s">
        <v>10</v>
      </c>
      <c r="G2174" t="s">
        <v>74</v>
      </c>
      <c r="H2174" t="s">
        <v>77</v>
      </c>
      <c r="I2174">
        <v>140000000</v>
      </c>
      <c r="J2174" t="s">
        <v>19</v>
      </c>
      <c r="K2174" t="s">
        <v>2</v>
      </c>
      <c r="L2174" t="s">
        <v>67</v>
      </c>
      <c r="M2174" t="s">
        <v>80</v>
      </c>
      <c r="N2174" t="s">
        <v>11</v>
      </c>
    </row>
    <row r="2175" spans="1:14" x14ac:dyDescent="0.35">
      <c r="A2175" s="75">
        <v>44087</v>
      </c>
      <c r="B2175" t="s">
        <v>152</v>
      </c>
      <c r="C2175" t="s">
        <v>100</v>
      </c>
      <c r="D2175">
        <v>10</v>
      </c>
      <c r="E2175">
        <v>10</v>
      </c>
      <c r="F2175" t="s">
        <v>10</v>
      </c>
      <c r="G2175" t="s">
        <v>114</v>
      </c>
      <c r="H2175" t="s">
        <v>3</v>
      </c>
      <c r="I2175">
        <v>60000000</v>
      </c>
      <c r="J2175" t="s">
        <v>25</v>
      </c>
      <c r="K2175" t="s">
        <v>2</v>
      </c>
      <c r="L2175" t="s">
        <v>67</v>
      </c>
      <c r="M2175" t="s">
        <v>81</v>
      </c>
      <c r="N2175" t="s">
        <v>11</v>
      </c>
    </row>
    <row r="2176" spans="1:14" x14ac:dyDescent="0.35">
      <c r="A2176" s="75">
        <v>44087</v>
      </c>
      <c r="B2176" t="s">
        <v>152</v>
      </c>
      <c r="C2176" t="s">
        <v>100</v>
      </c>
      <c r="D2176">
        <v>10</v>
      </c>
      <c r="E2176">
        <v>10</v>
      </c>
      <c r="F2176" t="s">
        <v>10</v>
      </c>
      <c r="G2176" t="s">
        <v>72</v>
      </c>
      <c r="H2176" t="s">
        <v>78</v>
      </c>
      <c r="I2176">
        <v>140000000</v>
      </c>
      <c r="J2176" t="s">
        <v>57</v>
      </c>
      <c r="K2176" t="s">
        <v>2</v>
      </c>
      <c r="L2176" t="s">
        <v>67</v>
      </c>
      <c r="M2176" t="s">
        <v>80</v>
      </c>
      <c r="N2176" t="s">
        <v>14</v>
      </c>
    </row>
    <row r="2177" spans="1:14" x14ac:dyDescent="0.35">
      <c r="A2177" s="75">
        <v>44087</v>
      </c>
      <c r="B2177" t="s">
        <v>152</v>
      </c>
      <c r="C2177" t="s">
        <v>100</v>
      </c>
      <c r="D2177">
        <v>10</v>
      </c>
      <c r="E2177">
        <v>10</v>
      </c>
      <c r="F2177" t="s">
        <v>10</v>
      </c>
      <c r="G2177" t="s">
        <v>74</v>
      </c>
      <c r="H2177" t="s">
        <v>77</v>
      </c>
      <c r="I2177">
        <v>120000000</v>
      </c>
      <c r="J2177" t="s">
        <v>18</v>
      </c>
      <c r="K2177" t="s">
        <v>2</v>
      </c>
      <c r="L2177" t="s">
        <v>67</v>
      </c>
      <c r="M2177" t="s">
        <v>81</v>
      </c>
      <c r="N2177" t="s">
        <v>14</v>
      </c>
    </row>
    <row r="2178" spans="1:14" x14ac:dyDescent="0.35">
      <c r="A2178" s="75">
        <v>44087</v>
      </c>
      <c r="B2178" t="s">
        <v>152</v>
      </c>
      <c r="C2178" t="s">
        <v>100</v>
      </c>
      <c r="D2178">
        <v>9</v>
      </c>
      <c r="E2178">
        <v>9</v>
      </c>
      <c r="F2178" t="s">
        <v>10</v>
      </c>
      <c r="G2178" t="s">
        <v>114</v>
      </c>
      <c r="H2178" t="s">
        <v>3</v>
      </c>
      <c r="I2178">
        <v>60000000</v>
      </c>
      <c r="J2178" t="s">
        <v>17</v>
      </c>
      <c r="K2178" t="s">
        <v>5</v>
      </c>
      <c r="L2178" t="s">
        <v>67</v>
      </c>
      <c r="M2178" t="s">
        <v>82</v>
      </c>
      <c r="N2178" t="s">
        <v>14</v>
      </c>
    </row>
    <row r="2179" spans="1:14" x14ac:dyDescent="0.35">
      <c r="A2179" s="75">
        <v>44087</v>
      </c>
      <c r="B2179" t="s">
        <v>152</v>
      </c>
      <c r="C2179" t="s">
        <v>100</v>
      </c>
      <c r="D2179">
        <v>9</v>
      </c>
      <c r="E2179">
        <v>9</v>
      </c>
      <c r="F2179" t="s">
        <v>10</v>
      </c>
      <c r="G2179" t="s">
        <v>74</v>
      </c>
      <c r="H2179" t="s">
        <v>77</v>
      </c>
      <c r="I2179">
        <v>140000000</v>
      </c>
      <c r="J2179" t="s">
        <v>40</v>
      </c>
      <c r="K2179" t="s">
        <v>5</v>
      </c>
      <c r="L2179" t="s">
        <v>67</v>
      </c>
      <c r="M2179" t="s">
        <v>82</v>
      </c>
      <c r="N2179" t="s">
        <v>14</v>
      </c>
    </row>
    <row r="2180" spans="1:14" x14ac:dyDescent="0.35">
      <c r="A2180" s="75">
        <v>44087</v>
      </c>
      <c r="B2180" t="s">
        <v>152</v>
      </c>
      <c r="C2180" t="s">
        <v>100</v>
      </c>
      <c r="D2180">
        <v>8</v>
      </c>
      <c r="E2180">
        <v>8</v>
      </c>
      <c r="F2180" t="s">
        <v>10</v>
      </c>
      <c r="G2180" t="s">
        <v>76</v>
      </c>
      <c r="H2180" t="s">
        <v>79</v>
      </c>
      <c r="I2180">
        <v>100000000</v>
      </c>
      <c r="J2180" t="s">
        <v>35</v>
      </c>
      <c r="K2180" t="s">
        <v>2</v>
      </c>
      <c r="L2180" t="s">
        <v>67</v>
      </c>
      <c r="M2180" t="s">
        <v>81</v>
      </c>
      <c r="N2180" t="s">
        <v>14</v>
      </c>
    </row>
    <row r="2181" spans="1:14" x14ac:dyDescent="0.35">
      <c r="A2181" s="75">
        <v>44087</v>
      </c>
      <c r="B2181" t="s">
        <v>152</v>
      </c>
      <c r="C2181" t="s">
        <v>100</v>
      </c>
      <c r="D2181">
        <v>8</v>
      </c>
      <c r="E2181">
        <v>8</v>
      </c>
      <c r="F2181" t="s">
        <v>10</v>
      </c>
      <c r="G2181" t="s">
        <v>76</v>
      </c>
      <c r="H2181" t="s">
        <v>79</v>
      </c>
      <c r="I2181">
        <v>80000000</v>
      </c>
      <c r="J2181" t="s">
        <v>52</v>
      </c>
      <c r="K2181" t="s">
        <v>7</v>
      </c>
      <c r="L2181" t="s">
        <v>67</v>
      </c>
      <c r="M2181" t="s">
        <v>81</v>
      </c>
      <c r="N2181" t="s">
        <v>11</v>
      </c>
    </row>
    <row r="2182" spans="1:14" x14ac:dyDescent="0.35">
      <c r="A2182" s="75">
        <v>44087</v>
      </c>
      <c r="B2182" t="s">
        <v>152</v>
      </c>
      <c r="C2182" t="s">
        <v>100</v>
      </c>
      <c r="D2182">
        <v>7</v>
      </c>
      <c r="E2182">
        <v>7</v>
      </c>
      <c r="F2182" t="s">
        <v>10</v>
      </c>
      <c r="G2182" t="s">
        <v>70</v>
      </c>
      <c r="H2182" t="s">
        <v>1</v>
      </c>
      <c r="I2182">
        <v>40000000</v>
      </c>
      <c r="J2182" t="s">
        <v>50</v>
      </c>
      <c r="K2182" t="s">
        <v>2</v>
      </c>
      <c r="L2182" t="s">
        <v>67</v>
      </c>
      <c r="M2182" t="s">
        <v>81</v>
      </c>
      <c r="N2182" t="s">
        <v>12</v>
      </c>
    </row>
    <row r="2183" spans="1:14" x14ac:dyDescent="0.35">
      <c r="A2183" s="75">
        <v>44087</v>
      </c>
      <c r="B2183" t="s">
        <v>152</v>
      </c>
      <c r="C2183" t="s">
        <v>100</v>
      </c>
      <c r="D2183">
        <v>5</v>
      </c>
      <c r="E2183">
        <v>5</v>
      </c>
      <c r="F2183" t="s">
        <v>10</v>
      </c>
      <c r="G2183" t="s">
        <v>72</v>
      </c>
      <c r="H2183" t="s">
        <v>78</v>
      </c>
      <c r="I2183">
        <v>80000000</v>
      </c>
      <c r="J2183" t="s">
        <v>22</v>
      </c>
      <c r="K2183" t="s">
        <v>4</v>
      </c>
      <c r="L2183" t="s">
        <v>67</v>
      </c>
      <c r="M2183" t="s">
        <v>81</v>
      </c>
      <c r="N2183" t="s">
        <v>14</v>
      </c>
    </row>
    <row r="2184" spans="1:14" x14ac:dyDescent="0.35">
      <c r="A2184" s="75">
        <v>44087</v>
      </c>
      <c r="B2184" t="s">
        <v>152</v>
      </c>
      <c r="C2184" t="s">
        <v>100</v>
      </c>
      <c r="D2184">
        <v>4</v>
      </c>
      <c r="E2184">
        <v>4</v>
      </c>
      <c r="F2184" t="s">
        <v>10</v>
      </c>
      <c r="G2184" t="s">
        <v>75</v>
      </c>
      <c r="H2184" t="s">
        <v>6</v>
      </c>
      <c r="I2184">
        <v>140000000</v>
      </c>
      <c r="J2184" t="s">
        <v>54</v>
      </c>
      <c r="K2184" t="s">
        <v>5</v>
      </c>
      <c r="L2184" t="s">
        <v>67</v>
      </c>
      <c r="M2184" t="s">
        <v>82</v>
      </c>
      <c r="N2184" t="s">
        <v>14</v>
      </c>
    </row>
    <row r="2185" spans="1:14" x14ac:dyDescent="0.35">
      <c r="A2185" s="75">
        <v>44087</v>
      </c>
      <c r="B2185" t="s">
        <v>152</v>
      </c>
      <c r="C2185" t="s">
        <v>100</v>
      </c>
      <c r="D2185">
        <v>3</v>
      </c>
      <c r="E2185">
        <v>3</v>
      </c>
      <c r="F2185" t="s">
        <v>10</v>
      </c>
      <c r="G2185" t="s">
        <v>113</v>
      </c>
      <c r="H2185" t="s">
        <v>77</v>
      </c>
      <c r="I2185">
        <v>100000000</v>
      </c>
      <c r="J2185" t="s">
        <v>55</v>
      </c>
      <c r="K2185" t="s">
        <v>2</v>
      </c>
      <c r="L2185" t="s">
        <v>67</v>
      </c>
      <c r="M2185" t="s">
        <v>80</v>
      </c>
      <c r="N2185" t="s">
        <v>12</v>
      </c>
    </row>
    <row r="2186" spans="1:14" x14ac:dyDescent="0.35">
      <c r="A2186" s="75">
        <v>44088</v>
      </c>
      <c r="B2186" t="s">
        <v>153</v>
      </c>
      <c r="C2186" t="s">
        <v>100</v>
      </c>
      <c r="D2186">
        <v>8</v>
      </c>
      <c r="E2186">
        <v>8</v>
      </c>
      <c r="F2186" t="s">
        <v>10</v>
      </c>
      <c r="G2186" t="s">
        <v>74</v>
      </c>
      <c r="H2186" t="s">
        <v>77</v>
      </c>
      <c r="I2186">
        <v>100000000</v>
      </c>
      <c r="J2186" t="s">
        <v>53</v>
      </c>
      <c r="K2186" t="s">
        <v>5</v>
      </c>
      <c r="L2186" t="s">
        <v>67</v>
      </c>
      <c r="M2186" t="s">
        <v>81</v>
      </c>
      <c r="N2186" t="s">
        <v>12</v>
      </c>
    </row>
    <row r="2187" spans="1:14" x14ac:dyDescent="0.35">
      <c r="A2187" s="75">
        <v>44088</v>
      </c>
      <c r="B2187" t="s">
        <v>153</v>
      </c>
      <c r="C2187" t="s">
        <v>100</v>
      </c>
      <c r="D2187">
        <v>8</v>
      </c>
      <c r="E2187">
        <v>8</v>
      </c>
      <c r="F2187" t="s">
        <v>10</v>
      </c>
      <c r="G2187" t="s">
        <v>74</v>
      </c>
      <c r="H2187" t="s">
        <v>77</v>
      </c>
      <c r="I2187">
        <v>80000000</v>
      </c>
      <c r="J2187" t="s">
        <v>50</v>
      </c>
      <c r="K2187" t="s">
        <v>5</v>
      </c>
      <c r="L2187" t="s">
        <v>67</v>
      </c>
      <c r="M2187" t="s">
        <v>82</v>
      </c>
      <c r="N2187" t="s">
        <v>11</v>
      </c>
    </row>
    <row r="2188" spans="1:14" x14ac:dyDescent="0.35">
      <c r="A2188" s="75">
        <v>44088</v>
      </c>
      <c r="B2188" t="s">
        <v>153</v>
      </c>
      <c r="C2188" t="s">
        <v>100</v>
      </c>
      <c r="D2188">
        <v>6</v>
      </c>
      <c r="E2188">
        <v>6</v>
      </c>
      <c r="F2188" t="s">
        <v>10</v>
      </c>
      <c r="G2188" t="s">
        <v>75</v>
      </c>
      <c r="H2188" t="s">
        <v>6</v>
      </c>
      <c r="I2188">
        <v>140000000</v>
      </c>
      <c r="J2188" t="s">
        <v>55</v>
      </c>
      <c r="K2188" t="s">
        <v>5</v>
      </c>
      <c r="L2188" t="s">
        <v>67</v>
      </c>
      <c r="M2188" t="s">
        <v>82</v>
      </c>
      <c r="N2188" t="s">
        <v>12</v>
      </c>
    </row>
    <row r="2189" spans="1:14" x14ac:dyDescent="0.35">
      <c r="A2189" s="75">
        <v>44088</v>
      </c>
      <c r="B2189" t="s">
        <v>153</v>
      </c>
      <c r="C2189" t="s">
        <v>100</v>
      </c>
      <c r="D2189">
        <v>5</v>
      </c>
      <c r="E2189">
        <v>5</v>
      </c>
      <c r="F2189" t="s">
        <v>10</v>
      </c>
      <c r="G2189" t="s">
        <v>113</v>
      </c>
      <c r="H2189" t="s">
        <v>77</v>
      </c>
      <c r="I2189">
        <v>40000000</v>
      </c>
      <c r="J2189" t="s">
        <v>41</v>
      </c>
      <c r="K2189" t="s">
        <v>8</v>
      </c>
      <c r="L2189" t="s">
        <v>67</v>
      </c>
      <c r="M2189" t="s">
        <v>80</v>
      </c>
      <c r="N2189" t="s">
        <v>12</v>
      </c>
    </row>
    <row r="2190" spans="1:14" x14ac:dyDescent="0.35">
      <c r="A2190" s="75">
        <v>44088</v>
      </c>
      <c r="B2190" t="s">
        <v>153</v>
      </c>
      <c r="C2190" t="s">
        <v>100</v>
      </c>
      <c r="D2190">
        <v>5</v>
      </c>
      <c r="E2190">
        <v>5</v>
      </c>
      <c r="F2190" t="s">
        <v>10</v>
      </c>
      <c r="G2190" t="s">
        <v>76</v>
      </c>
      <c r="H2190" t="s">
        <v>79</v>
      </c>
      <c r="I2190">
        <v>120000000</v>
      </c>
      <c r="J2190" t="s">
        <v>17</v>
      </c>
      <c r="K2190" t="s">
        <v>5</v>
      </c>
      <c r="L2190" t="s">
        <v>67</v>
      </c>
      <c r="M2190" t="s">
        <v>80</v>
      </c>
      <c r="N2190" t="s">
        <v>12</v>
      </c>
    </row>
    <row r="2191" spans="1:14" x14ac:dyDescent="0.35">
      <c r="A2191" s="75">
        <v>44088</v>
      </c>
      <c r="B2191" t="s">
        <v>153</v>
      </c>
      <c r="C2191" t="s">
        <v>100</v>
      </c>
      <c r="D2191">
        <v>5</v>
      </c>
      <c r="E2191">
        <v>5</v>
      </c>
      <c r="F2191" t="s">
        <v>10</v>
      </c>
      <c r="G2191" t="s">
        <v>113</v>
      </c>
      <c r="H2191" t="s">
        <v>77</v>
      </c>
      <c r="I2191">
        <v>140000000</v>
      </c>
      <c r="J2191" t="s">
        <v>53</v>
      </c>
      <c r="K2191" t="s">
        <v>2</v>
      </c>
      <c r="L2191" t="s">
        <v>67</v>
      </c>
      <c r="M2191" t="s">
        <v>82</v>
      </c>
      <c r="N2191" t="s">
        <v>14</v>
      </c>
    </row>
    <row r="2192" spans="1:14" x14ac:dyDescent="0.35">
      <c r="A2192" s="75">
        <v>44088</v>
      </c>
      <c r="B2192" t="s">
        <v>153</v>
      </c>
      <c r="C2192" t="s">
        <v>100</v>
      </c>
      <c r="D2192">
        <v>4</v>
      </c>
      <c r="E2192">
        <v>4</v>
      </c>
      <c r="F2192" t="s">
        <v>10</v>
      </c>
      <c r="G2192" t="s">
        <v>76</v>
      </c>
      <c r="H2192" t="s">
        <v>79</v>
      </c>
      <c r="I2192">
        <v>140000000</v>
      </c>
      <c r="J2192" t="s">
        <v>40</v>
      </c>
      <c r="K2192" t="s">
        <v>2</v>
      </c>
      <c r="L2192" t="s">
        <v>67</v>
      </c>
      <c r="M2192" t="s">
        <v>81</v>
      </c>
      <c r="N2192" t="s">
        <v>13</v>
      </c>
    </row>
    <row r="2193" spans="1:14" x14ac:dyDescent="0.35">
      <c r="A2193" s="75">
        <v>44088</v>
      </c>
      <c r="B2193" t="s">
        <v>153</v>
      </c>
      <c r="C2193" t="s">
        <v>100</v>
      </c>
      <c r="D2193">
        <v>4</v>
      </c>
      <c r="E2193">
        <v>4</v>
      </c>
      <c r="F2193" t="s">
        <v>10</v>
      </c>
      <c r="G2193" t="s">
        <v>71</v>
      </c>
      <c r="H2193" t="s">
        <v>6</v>
      </c>
      <c r="I2193">
        <v>80000000</v>
      </c>
      <c r="J2193" t="s">
        <v>61</v>
      </c>
      <c r="K2193" t="s">
        <v>7</v>
      </c>
      <c r="L2193" t="s">
        <v>67</v>
      </c>
      <c r="M2193" t="s">
        <v>82</v>
      </c>
      <c r="N2193" t="s">
        <v>12</v>
      </c>
    </row>
    <row r="2194" spans="1:14" x14ac:dyDescent="0.35">
      <c r="A2194" s="75">
        <v>44088</v>
      </c>
      <c r="B2194" t="s">
        <v>153</v>
      </c>
      <c r="C2194" t="s">
        <v>100</v>
      </c>
      <c r="D2194">
        <v>3</v>
      </c>
      <c r="E2194">
        <v>3</v>
      </c>
      <c r="F2194" t="s">
        <v>10</v>
      </c>
      <c r="G2194" t="s">
        <v>75</v>
      </c>
      <c r="H2194" t="s">
        <v>6</v>
      </c>
      <c r="I2194">
        <v>120000000</v>
      </c>
      <c r="J2194" t="s">
        <v>59</v>
      </c>
      <c r="K2194" t="s">
        <v>5</v>
      </c>
      <c r="L2194" t="s">
        <v>67</v>
      </c>
      <c r="M2194" t="s">
        <v>80</v>
      </c>
      <c r="N2194" t="s">
        <v>14</v>
      </c>
    </row>
    <row r="2195" spans="1:14" x14ac:dyDescent="0.35">
      <c r="A2195" s="75">
        <v>44089</v>
      </c>
      <c r="B2195" t="s">
        <v>154</v>
      </c>
      <c r="C2195" t="s">
        <v>100</v>
      </c>
      <c r="D2195">
        <v>10</v>
      </c>
      <c r="E2195">
        <v>10</v>
      </c>
      <c r="F2195" t="s">
        <v>10</v>
      </c>
      <c r="G2195" t="s">
        <v>114</v>
      </c>
      <c r="H2195" t="s">
        <v>3</v>
      </c>
      <c r="I2195">
        <v>80000000</v>
      </c>
      <c r="J2195" t="s">
        <v>40</v>
      </c>
      <c r="K2195" t="s">
        <v>5</v>
      </c>
      <c r="L2195" t="s">
        <v>67</v>
      </c>
      <c r="M2195" t="s">
        <v>82</v>
      </c>
      <c r="N2195" t="s">
        <v>11</v>
      </c>
    </row>
    <row r="2196" spans="1:14" x14ac:dyDescent="0.35">
      <c r="A2196" s="75">
        <v>44089</v>
      </c>
      <c r="B2196" t="s">
        <v>154</v>
      </c>
      <c r="C2196" t="s">
        <v>100</v>
      </c>
      <c r="D2196">
        <v>10</v>
      </c>
      <c r="E2196">
        <v>10</v>
      </c>
      <c r="F2196" t="s">
        <v>10</v>
      </c>
      <c r="G2196" t="s">
        <v>74</v>
      </c>
      <c r="H2196" t="s">
        <v>77</v>
      </c>
      <c r="I2196">
        <v>80000000</v>
      </c>
      <c r="J2196" t="s">
        <v>22</v>
      </c>
      <c r="K2196" t="s">
        <v>9</v>
      </c>
      <c r="L2196" t="s">
        <v>67</v>
      </c>
      <c r="M2196" t="s">
        <v>82</v>
      </c>
      <c r="N2196" t="s">
        <v>11</v>
      </c>
    </row>
    <row r="2197" spans="1:14" x14ac:dyDescent="0.35">
      <c r="A2197" s="75">
        <v>44089</v>
      </c>
      <c r="B2197" t="s">
        <v>154</v>
      </c>
      <c r="C2197" t="s">
        <v>100</v>
      </c>
      <c r="D2197">
        <v>10</v>
      </c>
      <c r="E2197">
        <v>10</v>
      </c>
      <c r="F2197" t="s">
        <v>10</v>
      </c>
      <c r="G2197" t="s">
        <v>71</v>
      </c>
      <c r="H2197" t="s">
        <v>6</v>
      </c>
      <c r="I2197">
        <v>100000000</v>
      </c>
      <c r="J2197" t="s">
        <v>55</v>
      </c>
      <c r="K2197" t="s">
        <v>5</v>
      </c>
      <c r="L2197" t="s">
        <v>67</v>
      </c>
      <c r="M2197" t="s">
        <v>80</v>
      </c>
      <c r="N2197" t="s">
        <v>11</v>
      </c>
    </row>
    <row r="2198" spans="1:14" x14ac:dyDescent="0.35">
      <c r="A2198" s="75">
        <v>44089</v>
      </c>
      <c r="B2198" t="s">
        <v>154</v>
      </c>
      <c r="C2198" t="s">
        <v>100</v>
      </c>
      <c r="D2198">
        <v>7</v>
      </c>
      <c r="E2198">
        <v>7</v>
      </c>
      <c r="F2198" t="s">
        <v>10</v>
      </c>
      <c r="G2198" t="s">
        <v>73</v>
      </c>
      <c r="H2198" t="s">
        <v>78</v>
      </c>
      <c r="I2198">
        <v>100000000</v>
      </c>
      <c r="J2198" t="s">
        <v>61</v>
      </c>
      <c r="K2198" t="s">
        <v>2</v>
      </c>
      <c r="L2198" t="s">
        <v>67</v>
      </c>
      <c r="M2198" t="s">
        <v>81</v>
      </c>
      <c r="N2198" t="s">
        <v>11</v>
      </c>
    </row>
    <row r="2199" spans="1:14" x14ac:dyDescent="0.35">
      <c r="A2199" s="75">
        <v>44089</v>
      </c>
      <c r="B2199" t="s">
        <v>154</v>
      </c>
      <c r="C2199" t="s">
        <v>100</v>
      </c>
      <c r="D2199">
        <v>7</v>
      </c>
      <c r="E2199">
        <v>7</v>
      </c>
      <c r="F2199" t="s">
        <v>10</v>
      </c>
      <c r="G2199" t="s">
        <v>70</v>
      </c>
      <c r="H2199" t="s">
        <v>1</v>
      </c>
      <c r="I2199">
        <v>100000000</v>
      </c>
      <c r="J2199" t="s">
        <v>56</v>
      </c>
      <c r="K2199" t="s">
        <v>5</v>
      </c>
      <c r="L2199" t="s">
        <v>67</v>
      </c>
      <c r="M2199" t="s">
        <v>82</v>
      </c>
      <c r="N2199" t="s">
        <v>13</v>
      </c>
    </row>
    <row r="2200" spans="1:14" x14ac:dyDescent="0.35">
      <c r="A2200" s="75">
        <v>44089</v>
      </c>
      <c r="B2200" t="s">
        <v>154</v>
      </c>
      <c r="C2200" t="s">
        <v>100</v>
      </c>
      <c r="D2200">
        <v>5</v>
      </c>
      <c r="E2200">
        <v>5</v>
      </c>
      <c r="F2200" t="s">
        <v>10</v>
      </c>
      <c r="G2200" t="s">
        <v>71</v>
      </c>
      <c r="H2200" t="s">
        <v>6</v>
      </c>
      <c r="I2200">
        <v>140000000</v>
      </c>
      <c r="J2200" t="s">
        <v>56</v>
      </c>
      <c r="K2200" t="s">
        <v>2</v>
      </c>
      <c r="L2200" t="s">
        <v>67</v>
      </c>
      <c r="M2200" t="s">
        <v>81</v>
      </c>
      <c r="N2200" t="s">
        <v>13</v>
      </c>
    </row>
    <row r="2201" spans="1:14" x14ac:dyDescent="0.35">
      <c r="A2201" s="75">
        <v>44089</v>
      </c>
      <c r="B2201" t="s">
        <v>154</v>
      </c>
      <c r="C2201" t="s">
        <v>100</v>
      </c>
      <c r="D2201">
        <v>5</v>
      </c>
      <c r="E2201">
        <v>5</v>
      </c>
      <c r="F2201" t="s">
        <v>10</v>
      </c>
      <c r="G2201" t="s">
        <v>76</v>
      </c>
      <c r="H2201" t="s">
        <v>79</v>
      </c>
      <c r="I2201">
        <v>80000000</v>
      </c>
      <c r="J2201" t="s">
        <v>19</v>
      </c>
      <c r="K2201" t="s">
        <v>2</v>
      </c>
      <c r="L2201" t="s">
        <v>67</v>
      </c>
      <c r="M2201" t="s">
        <v>81</v>
      </c>
      <c r="N2201" t="s">
        <v>11</v>
      </c>
    </row>
    <row r="2202" spans="1:14" x14ac:dyDescent="0.35">
      <c r="A2202" s="75">
        <v>44089</v>
      </c>
      <c r="B2202" t="s">
        <v>154</v>
      </c>
      <c r="C2202" t="s">
        <v>100</v>
      </c>
      <c r="D2202">
        <v>3</v>
      </c>
      <c r="E2202">
        <v>3</v>
      </c>
      <c r="F2202" t="s">
        <v>10</v>
      </c>
      <c r="G2202" t="s">
        <v>76</v>
      </c>
      <c r="H2202" t="s">
        <v>79</v>
      </c>
      <c r="I2202">
        <v>100000000</v>
      </c>
      <c r="J2202" t="s">
        <v>16</v>
      </c>
      <c r="K2202" t="s">
        <v>4</v>
      </c>
      <c r="L2202" t="s">
        <v>67</v>
      </c>
      <c r="M2202" t="s">
        <v>80</v>
      </c>
      <c r="N2202" t="s">
        <v>12</v>
      </c>
    </row>
    <row r="2203" spans="1:14" x14ac:dyDescent="0.35">
      <c r="A2203" s="75">
        <v>44089</v>
      </c>
      <c r="B2203" t="s">
        <v>154</v>
      </c>
      <c r="C2203" t="s">
        <v>100</v>
      </c>
      <c r="D2203">
        <v>3</v>
      </c>
      <c r="E2203">
        <v>3</v>
      </c>
      <c r="F2203" t="s">
        <v>10</v>
      </c>
      <c r="G2203" t="s">
        <v>72</v>
      </c>
      <c r="H2203" t="s">
        <v>78</v>
      </c>
      <c r="I2203">
        <v>120000000</v>
      </c>
      <c r="J2203" t="s">
        <v>39</v>
      </c>
      <c r="K2203" t="s">
        <v>5</v>
      </c>
      <c r="L2203" t="s">
        <v>67</v>
      </c>
      <c r="M2203" t="s">
        <v>80</v>
      </c>
      <c r="N2203" t="s">
        <v>13</v>
      </c>
    </row>
    <row r="2204" spans="1:14" x14ac:dyDescent="0.35">
      <c r="A2204" s="75">
        <v>44089</v>
      </c>
      <c r="B2204" t="s">
        <v>154</v>
      </c>
      <c r="C2204" t="s">
        <v>100</v>
      </c>
      <c r="D2204">
        <v>3</v>
      </c>
      <c r="E2204">
        <v>3</v>
      </c>
      <c r="F2204" t="s">
        <v>10</v>
      </c>
      <c r="G2204" t="s">
        <v>71</v>
      </c>
      <c r="H2204" t="s">
        <v>6</v>
      </c>
      <c r="I2204">
        <v>40000000</v>
      </c>
      <c r="J2204" t="s">
        <v>16</v>
      </c>
      <c r="K2204" t="s">
        <v>7</v>
      </c>
      <c r="L2204" t="s">
        <v>67</v>
      </c>
      <c r="M2204" t="s">
        <v>82</v>
      </c>
      <c r="N2204" t="s">
        <v>14</v>
      </c>
    </row>
    <row r="2205" spans="1:14" x14ac:dyDescent="0.35">
      <c r="A2205" s="75">
        <v>44090</v>
      </c>
      <c r="B2205" t="s">
        <v>155</v>
      </c>
      <c r="C2205" t="s">
        <v>100</v>
      </c>
      <c r="D2205">
        <v>10</v>
      </c>
      <c r="E2205">
        <v>10</v>
      </c>
      <c r="F2205" t="s">
        <v>10</v>
      </c>
      <c r="G2205" t="s">
        <v>71</v>
      </c>
      <c r="H2205" t="s">
        <v>6</v>
      </c>
      <c r="I2205">
        <v>40000000</v>
      </c>
      <c r="J2205" t="s">
        <v>49</v>
      </c>
      <c r="K2205" t="s">
        <v>5</v>
      </c>
      <c r="L2205" t="s">
        <v>67</v>
      </c>
      <c r="M2205" t="s">
        <v>82</v>
      </c>
      <c r="N2205" t="s">
        <v>14</v>
      </c>
    </row>
    <row r="2206" spans="1:14" x14ac:dyDescent="0.35">
      <c r="A2206" s="75">
        <v>44090</v>
      </c>
      <c r="B2206" t="s">
        <v>155</v>
      </c>
      <c r="C2206" t="s">
        <v>100</v>
      </c>
      <c r="D2206">
        <v>8</v>
      </c>
      <c r="E2206">
        <v>8</v>
      </c>
      <c r="F2206" t="s">
        <v>10</v>
      </c>
      <c r="G2206" t="s">
        <v>70</v>
      </c>
      <c r="H2206" t="s">
        <v>1</v>
      </c>
      <c r="I2206">
        <v>40000000</v>
      </c>
      <c r="J2206" t="s">
        <v>42</v>
      </c>
      <c r="K2206" t="s">
        <v>2</v>
      </c>
      <c r="L2206" t="s">
        <v>67</v>
      </c>
      <c r="M2206" t="s">
        <v>81</v>
      </c>
      <c r="N2206" t="s">
        <v>14</v>
      </c>
    </row>
    <row r="2207" spans="1:14" x14ac:dyDescent="0.35">
      <c r="A2207" s="75">
        <v>44090</v>
      </c>
      <c r="B2207" t="s">
        <v>155</v>
      </c>
      <c r="C2207" t="s">
        <v>100</v>
      </c>
      <c r="D2207">
        <v>8</v>
      </c>
      <c r="E2207">
        <v>8</v>
      </c>
      <c r="F2207" t="s">
        <v>10</v>
      </c>
      <c r="G2207" t="s">
        <v>76</v>
      </c>
      <c r="H2207" t="s">
        <v>79</v>
      </c>
      <c r="I2207">
        <v>60000000</v>
      </c>
      <c r="J2207" t="s">
        <v>43</v>
      </c>
      <c r="K2207" t="s">
        <v>2</v>
      </c>
      <c r="L2207" t="s">
        <v>67</v>
      </c>
      <c r="M2207" t="s">
        <v>81</v>
      </c>
      <c r="N2207" t="s">
        <v>11</v>
      </c>
    </row>
    <row r="2208" spans="1:14" x14ac:dyDescent="0.35">
      <c r="A2208" s="75">
        <v>44090</v>
      </c>
      <c r="B2208" t="s">
        <v>155</v>
      </c>
      <c r="C2208" t="s">
        <v>100</v>
      </c>
      <c r="D2208">
        <v>7</v>
      </c>
      <c r="E2208">
        <v>7</v>
      </c>
      <c r="F2208" t="s">
        <v>10</v>
      </c>
      <c r="G2208" t="s">
        <v>113</v>
      </c>
      <c r="H2208" t="s">
        <v>77</v>
      </c>
      <c r="I2208">
        <v>100000000</v>
      </c>
      <c r="J2208" t="s">
        <v>46</v>
      </c>
      <c r="K2208" t="s">
        <v>4</v>
      </c>
      <c r="L2208" t="s">
        <v>67</v>
      </c>
      <c r="M2208" t="s">
        <v>80</v>
      </c>
      <c r="N2208" t="s">
        <v>13</v>
      </c>
    </row>
    <row r="2209" spans="1:14" x14ac:dyDescent="0.35">
      <c r="A2209" s="75">
        <v>44090</v>
      </c>
      <c r="B2209" t="s">
        <v>155</v>
      </c>
      <c r="C2209" t="s">
        <v>100</v>
      </c>
      <c r="D2209">
        <v>7</v>
      </c>
      <c r="E2209">
        <v>7</v>
      </c>
      <c r="F2209" t="s">
        <v>10</v>
      </c>
      <c r="G2209" t="s">
        <v>72</v>
      </c>
      <c r="H2209" t="s">
        <v>78</v>
      </c>
      <c r="I2209">
        <v>140000000</v>
      </c>
      <c r="J2209" t="s">
        <v>27</v>
      </c>
      <c r="K2209" t="s">
        <v>5</v>
      </c>
      <c r="L2209" t="s">
        <v>67</v>
      </c>
      <c r="M2209" t="s">
        <v>82</v>
      </c>
      <c r="N2209" t="s">
        <v>11</v>
      </c>
    </row>
    <row r="2210" spans="1:14" x14ac:dyDescent="0.35">
      <c r="A2210" s="75">
        <v>44090</v>
      </c>
      <c r="B2210" t="s">
        <v>155</v>
      </c>
      <c r="C2210" t="s">
        <v>100</v>
      </c>
      <c r="D2210">
        <v>7</v>
      </c>
      <c r="E2210">
        <v>7</v>
      </c>
      <c r="F2210" t="s">
        <v>10</v>
      </c>
      <c r="G2210" t="s">
        <v>74</v>
      </c>
      <c r="H2210" t="s">
        <v>77</v>
      </c>
      <c r="I2210">
        <v>60000000</v>
      </c>
      <c r="J2210" t="s">
        <v>56</v>
      </c>
      <c r="K2210" t="s">
        <v>8</v>
      </c>
      <c r="L2210" t="s">
        <v>67</v>
      </c>
      <c r="M2210" t="s">
        <v>81</v>
      </c>
      <c r="N2210" t="s">
        <v>13</v>
      </c>
    </row>
    <row r="2211" spans="1:14" x14ac:dyDescent="0.35">
      <c r="A2211" s="75">
        <v>44090</v>
      </c>
      <c r="B2211" t="s">
        <v>155</v>
      </c>
      <c r="C2211" t="s">
        <v>100</v>
      </c>
      <c r="D2211">
        <v>6</v>
      </c>
      <c r="E2211">
        <v>6</v>
      </c>
      <c r="F2211" t="s">
        <v>10</v>
      </c>
      <c r="G2211" t="s">
        <v>75</v>
      </c>
      <c r="H2211" t="s">
        <v>6</v>
      </c>
      <c r="I2211">
        <v>100000000</v>
      </c>
      <c r="J2211" t="s">
        <v>58</v>
      </c>
      <c r="K2211" t="s">
        <v>2</v>
      </c>
      <c r="L2211" t="s">
        <v>67</v>
      </c>
      <c r="M2211" t="s">
        <v>80</v>
      </c>
      <c r="N2211" t="s">
        <v>13</v>
      </c>
    </row>
    <row r="2212" spans="1:14" x14ac:dyDescent="0.35">
      <c r="A2212" s="75">
        <v>44090</v>
      </c>
      <c r="B2212" t="s">
        <v>155</v>
      </c>
      <c r="C2212" t="s">
        <v>100</v>
      </c>
      <c r="D2212">
        <v>6</v>
      </c>
      <c r="E2212">
        <v>6</v>
      </c>
      <c r="F2212" t="s">
        <v>10</v>
      </c>
      <c r="G2212" t="s">
        <v>73</v>
      </c>
      <c r="H2212" t="s">
        <v>78</v>
      </c>
      <c r="I2212">
        <v>100000000</v>
      </c>
      <c r="J2212" t="s">
        <v>45</v>
      </c>
      <c r="K2212" t="s">
        <v>8</v>
      </c>
      <c r="L2212" t="s">
        <v>67</v>
      </c>
      <c r="M2212" t="s">
        <v>80</v>
      </c>
      <c r="N2212" t="s">
        <v>11</v>
      </c>
    </row>
    <row r="2213" spans="1:14" x14ac:dyDescent="0.35">
      <c r="A2213" s="75">
        <v>44090</v>
      </c>
      <c r="B2213" t="s">
        <v>155</v>
      </c>
      <c r="C2213" t="s">
        <v>100</v>
      </c>
      <c r="D2213">
        <v>6</v>
      </c>
      <c r="E2213">
        <v>6</v>
      </c>
      <c r="F2213" t="s">
        <v>10</v>
      </c>
      <c r="G2213" t="s">
        <v>114</v>
      </c>
      <c r="H2213" t="s">
        <v>3</v>
      </c>
      <c r="I2213">
        <v>140000000</v>
      </c>
      <c r="J2213" t="s">
        <v>39</v>
      </c>
      <c r="K2213" t="s">
        <v>5</v>
      </c>
      <c r="L2213" t="s">
        <v>67</v>
      </c>
      <c r="M2213" t="s">
        <v>82</v>
      </c>
      <c r="N2213" t="s">
        <v>11</v>
      </c>
    </row>
    <row r="2214" spans="1:14" x14ac:dyDescent="0.35">
      <c r="A2214" s="75">
        <v>44090</v>
      </c>
      <c r="B2214" t="s">
        <v>155</v>
      </c>
      <c r="C2214" t="s">
        <v>100</v>
      </c>
      <c r="D2214">
        <v>3</v>
      </c>
      <c r="E2214">
        <v>3</v>
      </c>
      <c r="F2214" t="s">
        <v>10</v>
      </c>
      <c r="G2214" t="s">
        <v>73</v>
      </c>
      <c r="H2214" t="s">
        <v>78</v>
      </c>
      <c r="I2214">
        <v>60000000</v>
      </c>
      <c r="J2214" t="s">
        <v>43</v>
      </c>
      <c r="K2214" t="s">
        <v>2</v>
      </c>
      <c r="L2214" t="s">
        <v>67</v>
      </c>
      <c r="M2214" t="s">
        <v>82</v>
      </c>
      <c r="N2214" t="s">
        <v>13</v>
      </c>
    </row>
    <row r="2215" spans="1:14" x14ac:dyDescent="0.35">
      <c r="A2215" s="75">
        <v>44090</v>
      </c>
      <c r="B2215" t="s">
        <v>155</v>
      </c>
      <c r="C2215" t="s">
        <v>100</v>
      </c>
      <c r="D2215">
        <v>3</v>
      </c>
      <c r="E2215">
        <v>3</v>
      </c>
      <c r="F2215" t="s">
        <v>10</v>
      </c>
      <c r="G2215" t="s">
        <v>74</v>
      </c>
      <c r="H2215" t="s">
        <v>77</v>
      </c>
      <c r="I2215">
        <v>120000000</v>
      </c>
      <c r="J2215" t="s">
        <v>62</v>
      </c>
      <c r="K2215" t="s">
        <v>5</v>
      </c>
      <c r="L2215" t="s">
        <v>67</v>
      </c>
      <c r="M2215" t="s">
        <v>81</v>
      </c>
      <c r="N2215" t="s">
        <v>13</v>
      </c>
    </row>
    <row r="2216" spans="1:14" x14ac:dyDescent="0.35">
      <c r="A2216" s="75">
        <v>44091</v>
      </c>
      <c r="B2216" t="s">
        <v>156</v>
      </c>
      <c r="C2216" t="s">
        <v>100</v>
      </c>
      <c r="D2216">
        <v>10</v>
      </c>
      <c r="E2216">
        <v>10</v>
      </c>
      <c r="F2216" t="s">
        <v>10</v>
      </c>
      <c r="G2216" t="s">
        <v>70</v>
      </c>
      <c r="H2216" t="s">
        <v>1</v>
      </c>
      <c r="I2216">
        <v>40000000</v>
      </c>
      <c r="J2216" t="s">
        <v>30</v>
      </c>
      <c r="K2216" t="s">
        <v>2</v>
      </c>
      <c r="L2216" t="s">
        <v>67</v>
      </c>
      <c r="M2216" t="s">
        <v>82</v>
      </c>
      <c r="N2216" t="s">
        <v>14</v>
      </c>
    </row>
    <row r="2217" spans="1:14" x14ac:dyDescent="0.35">
      <c r="A2217" s="75">
        <v>44091</v>
      </c>
      <c r="B2217" t="s">
        <v>156</v>
      </c>
      <c r="C2217" t="s">
        <v>100</v>
      </c>
      <c r="D2217">
        <v>9</v>
      </c>
      <c r="E2217">
        <v>9</v>
      </c>
      <c r="F2217" t="s">
        <v>10</v>
      </c>
      <c r="G2217" t="s">
        <v>71</v>
      </c>
      <c r="H2217" t="s">
        <v>6</v>
      </c>
      <c r="I2217">
        <v>60000000</v>
      </c>
      <c r="J2217" t="s">
        <v>21</v>
      </c>
      <c r="K2217" t="s">
        <v>7</v>
      </c>
      <c r="L2217" t="s">
        <v>67</v>
      </c>
      <c r="M2217" t="s">
        <v>80</v>
      </c>
      <c r="N2217" t="s">
        <v>14</v>
      </c>
    </row>
    <row r="2218" spans="1:14" x14ac:dyDescent="0.35">
      <c r="A2218" s="75">
        <v>44091</v>
      </c>
      <c r="B2218" t="s">
        <v>156</v>
      </c>
      <c r="C2218" t="s">
        <v>100</v>
      </c>
      <c r="D2218">
        <v>6</v>
      </c>
      <c r="E2218">
        <v>6</v>
      </c>
      <c r="F2218" t="s">
        <v>10</v>
      </c>
      <c r="G2218" t="s">
        <v>113</v>
      </c>
      <c r="H2218" t="s">
        <v>77</v>
      </c>
      <c r="I2218">
        <v>120000000</v>
      </c>
      <c r="J2218" t="s">
        <v>29</v>
      </c>
      <c r="K2218" t="s">
        <v>9</v>
      </c>
      <c r="L2218" t="s">
        <v>67</v>
      </c>
      <c r="M2218" t="s">
        <v>81</v>
      </c>
      <c r="N2218" t="s">
        <v>14</v>
      </c>
    </row>
    <row r="2219" spans="1:14" x14ac:dyDescent="0.35">
      <c r="A2219" s="75">
        <v>44091</v>
      </c>
      <c r="B2219" t="s">
        <v>156</v>
      </c>
      <c r="C2219" t="s">
        <v>100</v>
      </c>
      <c r="D2219">
        <v>6</v>
      </c>
      <c r="E2219">
        <v>6</v>
      </c>
      <c r="F2219" t="s">
        <v>10</v>
      </c>
      <c r="G2219" t="s">
        <v>113</v>
      </c>
      <c r="H2219" t="s">
        <v>77</v>
      </c>
      <c r="I2219">
        <v>140000000</v>
      </c>
      <c r="J2219" t="s">
        <v>37</v>
      </c>
      <c r="K2219" t="s">
        <v>5</v>
      </c>
      <c r="L2219" t="s">
        <v>67</v>
      </c>
      <c r="M2219" t="s">
        <v>82</v>
      </c>
      <c r="N2219" t="s">
        <v>12</v>
      </c>
    </row>
    <row r="2220" spans="1:14" x14ac:dyDescent="0.35">
      <c r="A2220" s="75">
        <v>44091</v>
      </c>
      <c r="B2220" t="s">
        <v>156</v>
      </c>
      <c r="C2220" t="s">
        <v>100</v>
      </c>
      <c r="D2220">
        <v>5</v>
      </c>
      <c r="E2220">
        <v>5</v>
      </c>
      <c r="F2220" t="s">
        <v>10</v>
      </c>
      <c r="G2220" t="s">
        <v>114</v>
      </c>
      <c r="H2220" t="s">
        <v>3</v>
      </c>
      <c r="I2220">
        <v>120000000</v>
      </c>
      <c r="J2220" t="s">
        <v>19</v>
      </c>
      <c r="K2220" t="s">
        <v>2</v>
      </c>
      <c r="L2220" t="s">
        <v>67</v>
      </c>
      <c r="M2220" t="s">
        <v>81</v>
      </c>
      <c r="N2220" t="s">
        <v>14</v>
      </c>
    </row>
    <row r="2221" spans="1:14" x14ac:dyDescent="0.35">
      <c r="A2221" s="75">
        <v>44091</v>
      </c>
      <c r="B2221" t="s">
        <v>156</v>
      </c>
      <c r="C2221" t="s">
        <v>100</v>
      </c>
      <c r="D2221">
        <v>5</v>
      </c>
      <c r="E2221">
        <v>5</v>
      </c>
      <c r="F2221" t="s">
        <v>10</v>
      </c>
      <c r="G2221" t="s">
        <v>76</v>
      </c>
      <c r="H2221" t="s">
        <v>79</v>
      </c>
      <c r="I2221">
        <v>100000000</v>
      </c>
      <c r="J2221" t="s">
        <v>35</v>
      </c>
      <c r="K2221" t="s">
        <v>5</v>
      </c>
      <c r="L2221" t="s">
        <v>67</v>
      </c>
      <c r="M2221" t="s">
        <v>82</v>
      </c>
      <c r="N2221" t="s">
        <v>11</v>
      </c>
    </row>
    <row r="2222" spans="1:14" x14ac:dyDescent="0.35">
      <c r="A2222" s="75">
        <v>44091</v>
      </c>
      <c r="B2222" t="s">
        <v>156</v>
      </c>
      <c r="C2222" t="s">
        <v>100</v>
      </c>
      <c r="D2222">
        <v>5</v>
      </c>
      <c r="E2222">
        <v>5</v>
      </c>
      <c r="F2222" t="s">
        <v>10</v>
      </c>
      <c r="G2222" t="s">
        <v>71</v>
      </c>
      <c r="H2222" t="s">
        <v>6</v>
      </c>
      <c r="I2222">
        <v>60000000</v>
      </c>
      <c r="J2222" t="s">
        <v>57</v>
      </c>
      <c r="K2222" t="s">
        <v>2</v>
      </c>
      <c r="L2222" t="s">
        <v>67</v>
      </c>
      <c r="M2222" t="s">
        <v>80</v>
      </c>
      <c r="N2222" t="s">
        <v>12</v>
      </c>
    </row>
    <row r="2223" spans="1:14" x14ac:dyDescent="0.35">
      <c r="A2223" s="75">
        <v>44091</v>
      </c>
      <c r="B2223" t="s">
        <v>156</v>
      </c>
      <c r="C2223" t="s">
        <v>100</v>
      </c>
      <c r="D2223">
        <v>4</v>
      </c>
      <c r="E2223">
        <v>4</v>
      </c>
      <c r="F2223" t="s">
        <v>10</v>
      </c>
      <c r="G2223" t="s">
        <v>70</v>
      </c>
      <c r="H2223" t="s">
        <v>1</v>
      </c>
      <c r="I2223">
        <v>40000000</v>
      </c>
      <c r="J2223" t="s">
        <v>61</v>
      </c>
      <c r="K2223" t="s">
        <v>2</v>
      </c>
      <c r="L2223" t="s">
        <v>67</v>
      </c>
      <c r="M2223" t="s">
        <v>82</v>
      </c>
      <c r="N2223" t="s">
        <v>11</v>
      </c>
    </row>
    <row r="2224" spans="1:14" x14ac:dyDescent="0.35">
      <c r="A2224" s="75">
        <v>44091</v>
      </c>
      <c r="B2224" t="s">
        <v>156</v>
      </c>
      <c r="C2224" t="s">
        <v>100</v>
      </c>
      <c r="D2224">
        <v>3</v>
      </c>
      <c r="E2224">
        <v>3</v>
      </c>
      <c r="F2224" t="s">
        <v>10</v>
      </c>
      <c r="G2224" t="s">
        <v>70</v>
      </c>
      <c r="H2224" t="s">
        <v>1</v>
      </c>
      <c r="I2224">
        <v>40000000</v>
      </c>
      <c r="J2224" t="s">
        <v>52</v>
      </c>
      <c r="K2224" t="s">
        <v>8</v>
      </c>
      <c r="L2224" t="s">
        <v>67</v>
      </c>
      <c r="M2224" t="s">
        <v>81</v>
      </c>
      <c r="N2224" t="s">
        <v>12</v>
      </c>
    </row>
    <row r="2225" spans="1:14" x14ac:dyDescent="0.35">
      <c r="A2225" s="75">
        <v>44091</v>
      </c>
      <c r="B2225" t="s">
        <v>156</v>
      </c>
      <c r="C2225" t="s">
        <v>100</v>
      </c>
      <c r="D2225">
        <v>3</v>
      </c>
      <c r="E2225">
        <v>3</v>
      </c>
      <c r="F2225" t="s">
        <v>10</v>
      </c>
      <c r="G2225" t="s">
        <v>76</v>
      </c>
      <c r="H2225" t="s">
        <v>79</v>
      </c>
      <c r="I2225">
        <v>80000000</v>
      </c>
      <c r="J2225" t="s">
        <v>34</v>
      </c>
      <c r="K2225" t="s">
        <v>5</v>
      </c>
      <c r="L2225" t="s">
        <v>67</v>
      </c>
      <c r="M2225" t="s">
        <v>81</v>
      </c>
      <c r="N2225" t="s">
        <v>14</v>
      </c>
    </row>
    <row r="2226" spans="1:14" x14ac:dyDescent="0.35">
      <c r="A2226" s="75">
        <v>44092</v>
      </c>
      <c r="B2226" t="s">
        <v>157</v>
      </c>
      <c r="C2226" t="s">
        <v>100</v>
      </c>
      <c r="D2226">
        <v>10</v>
      </c>
      <c r="E2226">
        <v>10</v>
      </c>
      <c r="F2226" t="s">
        <v>10</v>
      </c>
      <c r="G2226" t="s">
        <v>72</v>
      </c>
      <c r="H2226" t="s">
        <v>78</v>
      </c>
      <c r="I2226">
        <v>40000000</v>
      </c>
      <c r="J2226" t="s">
        <v>19</v>
      </c>
      <c r="K2226" t="s">
        <v>8</v>
      </c>
      <c r="L2226" t="s">
        <v>67</v>
      </c>
      <c r="M2226" t="s">
        <v>80</v>
      </c>
      <c r="N2226" t="s">
        <v>13</v>
      </c>
    </row>
    <row r="2227" spans="1:14" x14ac:dyDescent="0.35">
      <c r="A2227" s="75">
        <v>44092</v>
      </c>
      <c r="B2227" t="s">
        <v>157</v>
      </c>
      <c r="C2227" t="s">
        <v>100</v>
      </c>
      <c r="D2227">
        <v>7</v>
      </c>
      <c r="E2227">
        <v>7</v>
      </c>
      <c r="F2227" t="s">
        <v>10</v>
      </c>
      <c r="G2227" t="s">
        <v>73</v>
      </c>
      <c r="H2227" t="s">
        <v>78</v>
      </c>
      <c r="I2227">
        <v>60000000</v>
      </c>
      <c r="J2227" t="s">
        <v>45</v>
      </c>
      <c r="K2227" t="s">
        <v>9</v>
      </c>
      <c r="L2227" t="s">
        <v>67</v>
      </c>
      <c r="M2227" t="s">
        <v>82</v>
      </c>
      <c r="N2227" t="s">
        <v>14</v>
      </c>
    </row>
    <row r="2228" spans="1:14" x14ac:dyDescent="0.35">
      <c r="A2228" s="75">
        <v>44092</v>
      </c>
      <c r="B2228" t="s">
        <v>157</v>
      </c>
      <c r="C2228" t="s">
        <v>100</v>
      </c>
      <c r="D2228">
        <v>7</v>
      </c>
      <c r="E2228">
        <v>7</v>
      </c>
      <c r="F2228" t="s">
        <v>10</v>
      </c>
      <c r="G2228" t="s">
        <v>71</v>
      </c>
      <c r="H2228" t="s">
        <v>6</v>
      </c>
      <c r="I2228">
        <v>140000000</v>
      </c>
      <c r="J2228" t="s">
        <v>33</v>
      </c>
      <c r="K2228" t="s">
        <v>5</v>
      </c>
      <c r="L2228" t="s">
        <v>67</v>
      </c>
      <c r="M2228" t="s">
        <v>80</v>
      </c>
      <c r="N2228" t="s">
        <v>13</v>
      </c>
    </row>
    <row r="2229" spans="1:14" x14ac:dyDescent="0.35">
      <c r="A2229" s="75">
        <v>44092</v>
      </c>
      <c r="B2229" t="s">
        <v>157</v>
      </c>
      <c r="C2229" t="s">
        <v>100</v>
      </c>
      <c r="D2229">
        <v>6</v>
      </c>
      <c r="E2229">
        <v>6</v>
      </c>
      <c r="F2229" t="s">
        <v>10</v>
      </c>
      <c r="G2229" t="s">
        <v>76</v>
      </c>
      <c r="H2229" t="s">
        <v>79</v>
      </c>
      <c r="I2229">
        <v>80000000</v>
      </c>
      <c r="J2229" t="s">
        <v>30</v>
      </c>
      <c r="K2229" t="s">
        <v>2</v>
      </c>
      <c r="L2229" t="s">
        <v>67</v>
      </c>
      <c r="M2229" t="s">
        <v>82</v>
      </c>
      <c r="N2229" t="s">
        <v>12</v>
      </c>
    </row>
    <row r="2230" spans="1:14" x14ac:dyDescent="0.35">
      <c r="A2230" s="75">
        <v>44092</v>
      </c>
      <c r="B2230" t="s">
        <v>157</v>
      </c>
      <c r="C2230" t="s">
        <v>100</v>
      </c>
      <c r="D2230">
        <v>6</v>
      </c>
      <c r="E2230">
        <v>6</v>
      </c>
      <c r="F2230" t="s">
        <v>10</v>
      </c>
      <c r="G2230" t="s">
        <v>71</v>
      </c>
      <c r="H2230" t="s">
        <v>6</v>
      </c>
      <c r="I2230">
        <v>120000000</v>
      </c>
      <c r="J2230" t="s">
        <v>20</v>
      </c>
      <c r="K2230" t="s">
        <v>2</v>
      </c>
      <c r="L2230" t="s">
        <v>67</v>
      </c>
      <c r="M2230" t="s">
        <v>80</v>
      </c>
      <c r="N2230" t="s">
        <v>11</v>
      </c>
    </row>
    <row r="2231" spans="1:14" x14ac:dyDescent="0.35">
      <c r="A2231" s="75">
        <v>44092</v>
      </c>
      <c r="B2231" t="s">
        <v>157</v>
      </c>
      <c r="C2231" t="s">
        <v>100</v>
      </c>
      <c r="D2231">
        <v>6</v>
      </c>
      <c r="E2231">
        <v>6</v>
      </c>
      <c r="F2231" t="s">
        <v>10</v>
      </c>
      <c r="G2231" t="s">
        <v>75</v>
      </c>
      <c r="H2231" t="s">
        <v>6</v>
      </c>
      <c r="I2231">
        <v>80000000</v>
      </c>
      <c r="J2231" t="s">
        <v>33</v>
      </c>
      <c r="K2231" t="s">
        <v>4</v>
      </c>
      <c r="L2231" t="s">
        <v>67</v>
      </c>
      <c r="M2231" t="s">
        <v>80</v>
      </c>
      <c r="N2231" t="s">
        <v>13</v>
      </c>
    </row>
    <row r="2232" spans="1:14" x14ac:dyDescent="0.35">
      <c r="A2232" s="75">
        <v>44092</v>
      </c>
      <c r="B2232" t="s">
        <v>157</v>
      </c>
      <c r="C2232" t="s">
        <v>100</v>
      </c>
      <c r="D2232">
        <v>5</v>
      </c>
      <c r="E2232">
        <v>5</v>
      </c>
      <c r="F2232" t="s">
        <v>10</v>
      </c>
      <c r="G2232" t="s">
        <v>76</v>
      </c>
      <c r="H2232" t="s">
        <v>79</v>
      </c>
      <c r="I2232">
        <v>80000000</v>
      </c>
      <c r="J2232" t="s">
        <v>55</v>
      </c>
      <c r="K2232" t="s">
        <v>7</v>
      </c>
      <c r="L2232" t="s">
        <v>67</v>
      </c>
      <c r="M2232" t="s">
        <v>81</v>
      </c>
      <c r="N2232" t="s">
        <v>13</v>
      </c>
    </row>
    <row r="2233" spans="1:14" x14ac:dyDescent="0.35">
      <c r="A2233" s="75">
        <v>44092</v>
      </c>
      <c r="B2233" t="s">
        <v>157</v>
      </c>
      <c r="C2233" t="s">
        <v>100</v>
      </c>
      <c r="D2233">
        <v>4</v>
      </c>
      <c r="E2233">
        <v>4</v>
      </c>
      <c r="F2233" t="s">
        <v>10</v>
      </c>
      <c r="G2233" t="s">
        <v>72</v>
      </c>
      <c r="H2233" t="s">
        <v>78</v>
      </c>
      <c r="I2233">
        <v>100000000</v>
      </c>
      <c r="J2233" t="s">
        <v>50</v>
      </c>
      <c r="K2233" t="s">
        <v>2</v>
      </c>
      <c r="L2233" t="s">
        <v>67</v>
      </c>
      <c r="M2233" t="s">
        <v>82</v>
      </c>
      <c r="N2233" t="s">
        <v>12</v>
      </c>
    </row>
    <row r="2234" spans="1:14" x14ac:dyDescent="0.35">
      <c r="A2234" s="75">
        <v>44092</v>
      </c>
      <c r="B2234" t="s">
        <v>157</v>
      </c>
      <c r="C2234" t="s">
        <v>100</v>
      </c>
      <c r="D2234">
        <v>4</v>
      </c>
      <c r="E2234">
        <v>4</v>
      </c>
      <c r="F2234" t="s">
        <v>10</v>
      </c>
      <c r="G2234" t="s">
        <v>74</v>
      </c>
      <c r="H2234" t="s">
        <v>77</v>
      </c>
      <c r="I2234">
        <v>100000000</v>
      </c>
      <c r="J2234" t="s">
        <v>50</v>
      </c>
      <c r="K2234" t="s">
        <v>5</v>
      </c>
      <c r="L2234" t="s">
        <v>67</v>
      </c>
      <c r="M2234" t="s">
        <v>82</v>
      </c>
      <c r="N2234" t="s">
        <v>11</v>
      </c>
    </row>
    <row r="2235" spans="1:14" x14ac:dyDescent="0.35">
      <c r="A2235" s="75">
        <v>44092</v>
      </c>
      <c r="B2235" t="s">
        <v>157</v>
      </c>
      <c r="C2235" t="s">
        <v>100</v>
      </c>
      <c r="D2235">
        <v>4</v>
      </c>
      <c r="E2235">
        <v>4</v>
      </c>
      <c r="F2235" t="s">
        <v>10</v>
      </c>
      <c r="G2235" t="s">
        <v>75</v>
      </c>
      <c r="H2235" t="s">
        <v>6</v>
      </c>
      <c r="I2235">
        <v>120000000</v>
      </c>
      <c r="J2235" t="s">
        <v>22</v>
      </c>
      <c r="K2235" t="s">
        <v>5</v>
      </c>
      <c r="L2235" t="s">
        <v>67</v>
      </c>
      <c r="M2235" t="s">
        <v>80</v>
      </c>
      <c r="N2235" t="s">
        <v>14</v>
      </c>
    </row>
    <row r="2236" spans="1:14" x14ac:dyDescent="0.35">
      <c r="A2236" s="75">
        <v>44092</v>
      </c>
      <c r="B2236" t="s">
        <v>157</v>
      </c>
      <c r="C2236" t="s">
        <v>100</v>
      </c>
      <c r="D2236">
        <v>3</v>
      </c>
      <c r="E2236">
        <v>3</v>
      </c>
      <c r="F2236" t="s">
        <v>10</v>
      </c>
      <c r="G2236" t="s">
        <v>75</v>
      </c>
      <c r="H2236" t="s">
        <v>6</v>
      </c>
      <c r="I2236">
        <v>80000000</v>
      </c>
      <c r="J2236" t="s">
        <v>56</v>
      </c>
      <c r="K2236" t="s">
        <v>5</v>
      </c>
      <c r="L2236" t="s">
        <v>67</v>
      </c>
      <c r="M2236" t="s">
        <v>81</v>
      </c>
      <c r="N2236" t="s">
        <v>11</v>
      </c>
    </row>
    <row r="2237" spans="1:14" x14ac:dyDescent="0.35">
      <c r="A2237" s="75">
        <v>44093</v>
      </c>
      <c r="B2237" t="s">
        <v>158</v>
      </c>
      <c r="C2237" t="s">
        <v>100</v>
      </c>
      <c r="D2237">
        <v>7</v>
      </c>
      <c r="E2237">
        <v>7</v>
      </c>
      <c r="F2237" t="s">
        <v>10</v>
      </c>
      <c r="G2237" t="s">
        <v>76</v>
      </c>
      <c r="H2237" t="s">
        <v>79</v>
      </c>
      <c r="I2237">
        <v>80000000</v>
      </c>
      <c r="J2237" t="s">
        <v>28</v>
      </c>
      <c r="K2237" t="s">
        <v>2</v>
      </c>
      <c r="L2237" t="s">
        <v>67</v>
      </c>
      <c r="M2237" t="s">
        <v>80</v>
      </c>
      <c r="N2237" t="s">
        <v>13</v>
      </c>
    </row>
    <row r="2238" spans="1:14" x14ac:dyDescent="0.35">
      <c r="A2238" s="75">
        <v>44093</v>
      </c>
      <c r="B2238" t="s">
        <v>158</v>
      </c>
      <c r="C2238" t="s">
        <v>100</v>
      </c>
      <c r="D2238">
        <v>6</v>
      </c>
      <c r="E2238">
        <v>6</v>
      </c>
      <c r="F2238" t="s">
        <v>10</v>
      </c>
      <c r="G2238" t="s">
        <v>76</v>
      </c>
      <c r="H2238" t="s">
        <v>79</v>
      </c>
      <c r="I2238">
        <v>80000000</v>
      </c>
      <c r="J2238" t="s">
        <v>48</v>
      </c>
      <c r="K2238" t="s">
        <v>2</v>
      </c>
      <c r="L2238" t="s">
        <v>67</v>
      </c>
      <c r="M2238" t="s">
        <v>81</v>
      </c>
      <c r="N2238" t="s">
        <v>11</v>
      </c>
    </row>
    <row r="2239" spans="1:14" x14ac:dyDescent="0.35">
      <c r="A2239" s="75">
        <v>44093</v>
      </c>
      <c r="B2239" t="s">
        <v>158</v>
      </c>
      <c r="C2239" t="s">
        <v>100</v>
      </c>
      <c r="D2239">
        <v>6</v>
      </c>
      <c r="E2239">
        <v>6</v>
      </c>
      <c r="F2239" t="s">
        <v>10</v>
      </c>
      <c r="G2239" t="s">
        <v>73</v>
      </c>
      <c r="H2239" t="s">
        <v>78</v>
      </c>
      <c r="I2239">
        <v>100000000</v>
      </c>
      <c r="J2239" t="s">
        <v>52</v>
      </c>
      <c r="K2239" t="s">
        <v>2</v>
      </c>
      <c r="L2239" t="s">
        <v>67</v>
      </c>
      <c r="M2239" t="s">
        <v>80</v>
      </c>
      <c r="N2239" t="s">
        <v>11</v>
      </c>
    </row>
    <row r="2240" spans="1:14" x14ac:dyDescent="0.35">
      <c r="A2240" s="75">
        <v>44093</v>
      </c>
      <c r="B2240" t="s">
        <v>158</v>
      </c>
      <c r="C2240" t="s">
        <v>100</v>
      </c>
      <c r="D2240">
        <v>5</v>
      </c>
      <c r="E2240">
        <v>5</v>
      </c>
      <c r="F2240" t="s">
        <v>10</v>
      </c>
      <c r="G2240" t="s">
        <v>76</v>
      </c>
      <c r="H2240" t="s">
        <v>79</v>
      </c>
      <c r="I2240">
        <v>140000000</v>
      </c>
      <c r="J2240" t="s">
        <v>42</v>
      </c>
      <c r="K2240" t="s">
        <v>9</v>
      </c>
      <c r="L2240" t="s">
        <v>67</v>
      </c>
      <c r="M2240" t="s">
        <v>82</v>
      </c>
      <c r="N2240" t="s">
        <v>13</v>
      </c>
    </row>
    <row r="2241" spans="1:14" x14ac:dyDescent="0.35">
      <c r="A2241" s="75">
        <v>44093</v>
      </c>
      <c r="B2241" t="s">
        <v>158</v>
      </c>
      <c r="C2241" t="s">
        <v>100</v>
      </c>
      <c r="D2241">
        <v>4</v>
      </c>
      <c r="E2241">
        <v>4</v>
      </c>
      <c r="F2241" t="s">
        <v>10</v>
      </c>
      <c r="G2241" t="s">
        <v>76</v>
      </c>
      <c r="H2241" t="s">
        <v>79</v>
      </c>
      <c r="I2241">
        <v>100000000</v>
      </c>
      <c r="J2241" t="s">
        <v>18</v>
      </c>
      <c r="K2241" t="s">
        <v>2</v>
      </c>
      <c r="L2241" t="s">
        <v>67</v>
      </c>
      <c r="M2241" t="s">
        <v>81</v>
      </c>
      <c r="N2241" t="s">
        <v>12</v>
      </c>
    </row>
    <row r="2242" spans="1:14" x14ac:dyDescent="0.35">
      <c r="A2242" s="75">
        <v>44093</v>
      </c>
      <c r="B2242" t="s">
        <v>158</v>
      </c>
      <c r="C2242" t="s">
        <v>100</v>
      </c>
      <c r="D2242">
        <v>4</v>
      </c>
      <c r="E2242">
        <v>4</v>
      </c>
      <c r="F2242" t="s">
        <v>10</v>
      </c>
      <c r="G2242" t="s">
        <v>71</v>
      </c>
      <c r="H2242" t="s">
        <v>6</v>
      </c>
      <c r="I2242">
        <v>140000000</v>
      </c>
      <c r="J2242" t="s">
        <v>58</v>
      </c>
      <c r="K2242" t="s">
        <v>5</v>
      </c>
      <c r="L2242" t="s">
        <v>67</v>
      </c>
      <c r="M2242" t="s">
        <v>82</v>
      </c>
      <c r="N2242" t="s">
        <v>14</v>
      </c>
    </row>
    <row r="2243" spans="1:14" x14ac:dyDescent="0.35">
      <c r="A2243" s="75">
        <v>44093</v>
      </c>
      <c r="B2243" t="s">
        <v>158</v>
      </c>
      <c r="C2243" t="s">
        <v>100</v>
      </c>
      <c r="D2243">
        <v>4</v>
      </c>
      <c r="E2243">
        <v>4</v>
      </c>
      <c r="F2243" t="s">
        <v>10</v>
      </c>
      <c r="G2243" t="s">
        <v>71</v>
      </c>
      <c r="H2243" t="s">
        <v>6</v>
      </c>
      <c r="I2243">
        <v>80000000</v>
      </c>
      <c r="J2243" t="s">
        <v>37</v>
      </c>
      <c r="K2243" t="s">
        <v>9</v>
      </c>
      <c r="L2243" t="s">
        <v>67</v>
      </c>
      <c r="M2243" t="s">
        <v>81</v>
      </c>
      <c r="N2243" t="s">
        <v>13</v>
      </c>
    </row>
    <row r="2244" spans="1:14" x14ac:dyDescent="0.35">
      <c r="A2244" s="75">
        <v>44093</v>
      </c>
      <c r="B2244" t="s">
        <v>158</v>
      </c>
      <c r="C2244" t="s">
        <v>100</v>
      </c>
      <c r="D2244">
        <v>3</v>
      </c>
      <c r="E2244">
        <v>3</v>
      </c>
      <c r="F2244" t="s">
        <v>10</v>
      </c>
      <c r="G2244" t="s">
        <v>72</v>
      </c>
      <c r="H2244" t="s">
        <v>78</v>
      </c>
      <c r="I2244">
        <v>140000000</v>
      </c>
      <c r="J2244" t="s">
        <v>15</v>
      </c>
      <c r="K2244" t="s">
        <v>5</v>
      </c>
      <c r="L2244" t="s">
        <v>67</v>
      </c>
      <c r="M2244" t="s">
        <v>81</v>
      </c>
      <c r="N2244" t="s">
        <v>14</v>
      </c>
    </row>
    <row r="2245" spans="1:14" x14ac:dyDescent="0.35">
      <c r="A2245" s="75">
        <v>44094</v>
      </c>
      <c r="B2245" t="s">
        <v>159</v>
      </c>
      <c r="C2245" t="s">
        <v>100</v>
      </c>
      <c r="D2245">
        <v>8</v>
      </c>
      <c r="E2245">
        <v>8</v>
      </c>
      <c r="F2245" t="s">
        <v>10</v>
      </c>
      <c r="G2245" t="s">
        <v>72</v>
      </c>
      <c r="H2245" t="s">
        <v>78</v>
      </c>
      <c r="I2245">
        <v>120000000</v>
      </c>
      <c r="J2245" t="s">
        <v>16</v>
      </c>
      <c r="K2245" t="s">
        <v>5</v>
      </c>
      <c r="L2245" t="s">
        <v>67</v>
      </c>
      <c r="M2245" t="s">
        <v>82</v>
      </c>
      <c r="N2245" t="s">
        <v>11</v>
      </c>
    </row>
    <row r="2246" spans="1:14" x14ac:dyDescent="0.35">
      <c r="A2246" s="75">
        <v>44094</v>
      </c>
      <c r="B2246" t="s">
        <v>159</v>
      </c>
      <c r="C2246" t="s">
        <v>100</v>
      </c>
      <c r="D2246">
        <v>7</v>
      </c>
      <c r="E2246">
        <v>7</v>
      </c>
      <c r="F2246" t="s">
        <v>10</v>
      </c>
      <c r="G2246" t="s">
        <v>114</v>
      </c>
      <c r="H2246" t="s">
        <v>3</v>
      </c>
      <c r="I2246">
        <v>140000000</v>
      </c>
      <c r="J2246" t="s">
        <v>32</v>
      </c>
      <c r="K2246" t="s">
        <v>2</v>
      </c>
      <c r="L2246" t="s">
        <v>67</v>
      </c>
      <c r="M2246" t="s">
        <v>80</v>
      </c>
      <c r="N2246" t="s">
        <v>11</v>
      </c>
    </row>
    <row r="2247" spans="1:14" x14ac:dyDescent="0.35">
      <c r="A2247" s="75">
        <v>44094</v>
      </c>
      <c r="B2247" t="s">
        <v>159</v>
      </c>
      <c r="C2247" t="s">
        <v>100</v>
      </c>
      <c r="D2247">
        <v>6</v>
      </c>
      <c r="E2247">
        <v>6</v>
      </c>
      <c r="F2247" t="s">
        <v>10</v>
      </c>
      <c r="G2247" t="s">
        <v>113</v>
      </c>
      <c r="H2247" t="s">
        <v>77</v>
      </c>
      <c r="I2247">
        <v>120000000</v>
      </c>
      <c r="J2247" t="s">
        <v>16</v>
      </c>
      <c r="K2247" t="s">
        <v>2</v>
      </c>
      <c r="L2247" t="s">
        <v>67</v>
      </c>
      <c r="M2247" t="s">
        <v>81</v>
      </c>
      <c r="N2247" t="s">
        <v>14</v>
      </c>
    </row>
    <row r="2248" spans="1:14" x14ac:dyDescent="0.35">
      <c r="A2248" s="75">
        <v>44094</v>
      </c>
      <c r="B2248" t="s">
        <v>159</v>
      </c>
      <c r="C2248" t="s">
        <v>100</v>
      </c>
      <c r="D2248">
        <v>6</v>
      </c>
      <c r="E2248">
        <v>6</v>
      </c>
      <c r="F2248" t="s">
        <v>10</v>
      </c>
      <c r="G2248" t="s">
        <v>76</v>
      </c>
      <c r="H2248" t="s">
        <v>79</v>
      </c>
      <c r="I2248">
        <v>140000000</v>
      </c>
      <c r="J2248" t="s">
        <v>63</v>
      </c>
      <c r="K2248" t="s">
        <v>2</v>
      </c>
      <c r="L2248" t="s">
        <v>67</v>
      </c>
      <c r="M2248" t="s">
        <v>80</v>
      </c>
      <c r="N2248" t="s">
        <v>13</v>
      </c>
    </row>
    <row r="2249" spans="1:14" x14ac:dyDescent="0.35">
      <c r="A2249" s="75">
        <v>44094</v>
      </c>
      <c r="B2249" t="s">
        <v>159</v>
      </c>
      <c r="C2249" t="s">
        <v>100</v>
      </c>
      <c r="D2249">
        <v>6</v>
      </c>
      <c r="E2249">
        <v>6</v>
      </c>
      <c r="F2249" t="s">
        <v>10</v>
      </c>
      <c r="G2249" t="s">
        <v>114</v>
      </c>
      <c r="H2249" t="s">
        <v>3</v>
      </c>
      <c r="I2249">
        <v>120000000</v>
      </c>
      <c r="J2249" t="s">
        <v>34</v>
      </c>
      <c r="K2249" t="s">
        <v>5</v>
      </c>
      <c r="L2249" t="s">
        <v>67</v>
      </c>
      <c r="M2249" t="s">
        <v>82</v>
      </c>
      <c r="N2249" t="s">
        <v>12</v>
      </c>
    </row>
    <row r="2250" spans="1:14" x14ac:dyDescent="0.35">
      <c r="A2250" s="75">
        <v>44094</v>
      </c>
      <c r="B2250" t="s">
        <v>159</v>
      </c>
      <c r="C2250" t="s">
        <v>100</v>
      </c>
      <c r="D2250">
        <v>5</v>
      </c>
      <c r="E2250">
        <v>5</v>
      </c>
      <c r="F2250" t="s">
        <v>10</v>
      </c>
      <c r="G2250" t="s">
        <v>73</v>
      </c>
      <c r="H2250" t="s">
        <v>78</v>
      </c>
      <c r="I2250">
        <v>100000000</v>
      </c>
      <c r="J2250" t="s">
        <v>38</v>
      </c>
      <c r="K2250" t="s">
        <v>5</v>
      </c>
      <c r="L2250" t="s">
        <v>67</v>
      </c>
      <c r="M2250" t="s">
        <v>81</v>
      </c>
      <c r="N2250" t="s">
        <v>12</v>
      </c>
    </row>
    <row r="2251" spans="1:14" x14ac:dyDescent="0.35">
      <c r="A2251" s="75">
        <v>44094</v>
      </c>
      <c r="B2251" t="s">
        <v>159</v>
      </c>
      <c r="C2251" t="s">
        <v>100</v>
      </c>
      <c r="D2251">
        <v>5</v>
      </c>
      <c r="E2251">
        <v>5</v>
      </c>
      <c r="F2251" t="s">
        <v>10</v>
      </c>
      <c r="G2251" t="s">
        <v>72</v>
      </c>
      <c r="H2251" t="s">
        <v>78</v>
      </c>
      <c r="I2251">
        <v>60000000</v>
      </c>
      <c r="J2251" t="s">
        <v>30</v>
      </c>
      <c r="K2251" t="s">
        <v>5</v>
      </c>
      <c r="L2251" t="s">
        <v>67</v>
      </c>
      <c r="M2251" t="s">
        <v>80</v>
      </c>
      <c r="N2251" t="s">
        <v>11</v>
      </c>
    </row>
    <row r="2252" spans="1:14" x14ac:dyDescent="0.35">
      <c r="A2252" s="75">
        <v>44094</v>
      </c>
      <c r="B2252" t="s">
        <v>159</v>
      </c>
      <c r="C2252" t="s">
        <v>100</v>
      </c>
      <c r="D2252">
        <v>4</v>
      </c>
      <c r="E2252">
        <v>4</v>
      </c>
      <c r="F2252" t="s">
        <v>10</v>
      </c>
      <c r="G2252" t="s">
        <v>75</v>
      </c>
      <c r="H2252" t="s">
        <v>6</v>
      </c>
      <c r="I2252">
        <v>140000000</v>
      </c>
      <c r="J2252" t="s">
        <v>15</v>
      </c>
      <c r="K2252" t="s">
        <v>5</v>
      </c>
      <c r="L2252" t="s">
        <v>67</v>
      </c>
      <c r="M2252" t="s">
        <v>82</v>
      </c>
      <c r="N2252" t="s">
        <v>14</v>
      </c>
    </row>
    <row r="2253" spans="1:14" x14ac:dyDescent="0.35">
      <c r="A2253" s="75">
        <v>44094</v>
      </c>
      <c r="B2253" t="s">
        <v>159</v>
      </c>
      <c r="C2253" t="s">
        <v>100</v>
      </c>
      <c r="D2253">
        <v>3</v>
      </c>
      <c r="E2253">
        <v>3</v>
      </c>
      <c r="F2253" t="s">
        <v>10</v>
      </c>
      <c r="G2253" t="s">
        <v>71</v>
      </c>
      <c r="H2253" t="s">
        <v>6</v>
      </c>
      <c r="I2253">
        <v>60000000</v>
      </c>
      <c r="J2253" t="s">
        <v>28</v>
      </c>
      <c r="K2253" t="s">
        <v>8</v>
      </c>
      <c r="L2253" t="s">
        <v>67</v>
      </c>
      <c r="M2253" t="s">
        <v>81</v>
      </c>
      <c r="N2253" t="s">
        <v>12</v>
      </c>
    </row>
    <row r="2254" spans="1:14" x14ac:dyDescent="0.35">
      <c r="A2254" s="75">
        <v>44094</v>
      </c>
      <c r="B2254" t="s">
        <v>159</v>
      </c>
      <c r="C2254" t="s">
        <v>100</v>
      </c>
      <c r="D2254">
        <v>3</v>
      </c>
      <c r="E2254">
        <v>3</v>
      </c>
      <c r="F2254" t="s">
        <v>10</v>
      </c>
      <c r="G2254" t="s">
        <v>75</v>
      </c>
      <c r="H2254" t="s">
        <v>6</v>
      </c>
      <c r="I2254">
        <v>40000000</v>
      </c>
      <c r="J2254" t="s">
        <v>35</v>
      </c>
      <c r="K2254" t="s">
        <v>2</v>
      </c>
      <c r="L2254" t="s">
        <v>67</v>
      </c>
      <c r="M2254" t="s">
        <v>80</v>
      </c>
      <c r="N2254" t="s">
        <v>14</v>
      </c>
    </row>
    <row r="2255" spans="1:14" x14ac:dyDescent="0.35">
      <c r="A2255" s="75">
        <v>44094</v>
      </c>
      <c r="B2255" t="s">
        <v>159</v>
      </c>
      <c r="C2255" t="s">
        <v>100</v>
      </c>
      <c r="D2255">
        <v>3</v>
      </c>
      <c r="E2255">
        <v>3</v>
      </c>
      <c r="F2255" t="s">
        <v>10</v>
      </c>
      <c r="G2255" t="s">
        <v>75</v>
      </c>
      <c r="H2255" t="s">
        <v>6</v>
      </c>
      <c r="I2255">
        <v>100000000</v>
      </c>
      <c r="J2255" t="s">
        <v>57</v>
      </c>
      <c r="K2255" t="s">
        <v>2</v>
      </c>
      <c r="L2255" t="s">
        <v>67</v>
      </c>
      <c r="M2255" t="s">
        <v>80</v>
      </c>
      <c r="N2255" t="s">
        <v>14</v>
      </c>
    </row>
    <row r="2256" spans="1:14" x14ac:dyDescent="0.35">
      <c r="A2256" s="75">
        <v>44095</v>
      </c>
      <c r="B2256" t="s">
        <v>160</v>
      </c>
      <c r="C2256" t="s">
        <v>100</v>
      </c>
      <c r="D2256">
        <v>10</v>
      </c>
      <c r="E2256">
        <v>10</v>
      </c>
      <c r="F2256" t="s">
        <v>10</v>
      </c>
      <c r="G2256" t="s">
        <v>113</v>
      </c>
      <c r="H2256" t="s">
        <v>77</v>
      </c>
      <c r="I2256">
        <v>100000000</v>
      </c>
      <c r="J2256" t="s">
        <v>37</v>
      </c>
      <c r="K2256" t="s">
        <v>5</v>
      </c>
      <c r="L2256" t="s">
        <v>67</v>
      </c>
      <c r="M2256" t="s">
        <v>80</v>
      </c>
      <c r="N2256" t="s">
        <v>13</v>
      </c>
    </row>
    <row r="2257" spans="1:14" x14ac:dyDescent="0.35">
      <c r="A2257" s="75">
        <v>44095</v>
      </c>
      <c r="B2257" t="s">
        <v>160</v>
      </c>
      <c r="C2257" t="s">
        <v>100</v>
      </c>
      <c r="D2257">
        <v>10</v>
      </c>
      <c r="E2257">
        <v>10</v>
      </c>
      <c r="F2257" t="s">
        <v>10</v>
      </c>
      <c r="G2257" t="s">
        <v>72</v>
      </c>
      <c r="H2257" t="s">
        <v>78</v>
      </c>
      <c r="I2257">
        <v>120000000</v>
      </c>
      <c r="J2257" t="s">
        <v>29</v>
      </c>
      <c r="K2257" t="s">
        <v>5</v>
      </c>
      <c r="L2257" t="s">
        <v>67</v>
      </c>
      <c r="M2257" t="s">
        <v>82</v>
      </c>
      <c r="N2257" t="s">
        <v>14</v>
      </c>
    </row>
    <row r="2258" spans="1:14" x14ac:dyDescent="0.35">
      <c r="A2258" s="75">
        <v>44095</v>
      </c>
      <c r="B2258" t="s">
        <v>160</v>
      </c>
      <c r="C2258" t="s">
        <v>100</v>
      </c>
      <c r="D2258">
        <v>9</v>
      </c>
      <c r="E2258">
        <v>9</v>
      </c>
      <c r="F2258" t="s">
        <v>10</v>
      </c>
      <c r="G2258" t="s">
        <v>71</v>
      </c>
      <c r="H2258" t="s">
        <v>6</v>
      </c>
      <c r="I2258">
        <v>60000000</v>
      </c>
      <c r="J2258" t="s">
        <v>41</v>
      </c>
      <c r="K2258" t="s">
        <v>7</v>
      </c>
      <c r="L2258" t="s">
        <v>67</v>
      </c>
      <c r="M2258" t="s">
        <v>82</v>
      </c>
      <c r="N2258" t="s">
        <v>14</v>
      </c>
    </row>
    <row r="2259" spans="1:14" x14ac:dyDescent="0.35">
      <c r="A2259" s="75">
        <v>44095</v>
      </c>
      <c r="B2259" t="s">
        <v>160</v>
      </c>
      <c r="C2259" t="s">
        <v>100</v>
      </c>
      <c r="D2259">
        <v>7</v>
      </c>
      <c r="E2259">
        <v>7</v>
      </c>
      <c r="F2259" t="s">
        <v>10</v>
      </c>
      <c r="G2259" t="s">
        <v>70</v>
      </c>
      <c r="H2259" t="s">
        <v>1</v>
      </c>
      <c r="I2259">
        <v>40000000</v>
      </c>
      <c r="J2259" t="s">
        <v>40</v>
      </c>
      <c r="K2259" t="s">
        <v>2</v>
      </c>
      <c r="L2259" t="s">
        <v>67</v>
      </c>
      <c r="M2259" t="s">
        <v>81</v>
      </c>
      <c r="N2259" t="s">
        <v>11</v>
      </c>
    </row>
    <row r="2260" spans="1:14" x14ac:dyDescent="0.35">
      <c r="A2260" s="75">
        <v>44095</v>
      </c>
      <c r="B2260" t="s">
        <v>160</v>
      </c>
      <c r="C2260" t="s">
        <v>100</v>
      </c>
      <c r="D2260">
        <v>7</v>
      </c>
      <c r="E2260">
        <v>7</v>
      </c>
      <c r="F2260" t="s">
        <v>10</v>
      </c>
      <c r="G2260" t="s">
        <v>74</v>
      </c>
      <c r="H2260" t="s">
        <v>77</v>
      </c>
      <c r="I2260">
        <v>140000000</v>
      </c>
      <c r="J2260" t="s">
        <v>61</v>
      </c>
      <c r="K2260" t="s">
        <v>2</v>
      </c>
      <c r="L2260" t="s">
        <v>67</v>
      </c>
      <c r="M2260" t="s">
        <v>82</v>
      </c>
      <c r="N2260" t="s">
        <v>13</v>
      </c>
    </row>
    <row r="2261" spans="1:14" x14ac:dyDescent="0.35">
      <c r="A2261" s="75">
        <v>44095</v>
      </c>
      <c r="B2261" t="s">
        <v>160</v>
      </c>
      <c r="C2261" t="s">
        <v>100</v>
      </c>
      <c r="D2261">
        <v>6</v>
      </c>
      <c r="E2261">
        <v>6</v>
      </c>
      <c r="F2261" t="s">
        <v>10</v>
      </c>
      <c r="G2261" t="s">
        <v>72</v>
      </c>
      <c r="H2261" t="s">
        <v>78</v>
      </c>
      <c r="I2261">
        <v>120000000</v>
      </c>
      <c r="J2261" t="s">
        <v>62</v>
      </c>
      <c r="K2261" t="s">
        <v>2</v>
      </c>
      <c r="L2261" t="s">
        <v>67</v>
      </c>
      <c r="M2261" t="s">
        <v>81</v>
      </c>
      <c r="N2261" t="s">
        <v>13</v>
      </c>
    </row>
    <row r="2262" spans="1:14" x14ac:dyDescent="0.35">
      <c r="A2262" s="75">
        <v>44095</v>
      </c>
      <c r="B2262" t="s">
        <v>160</v>
      </c>
      <c r="C2262" t="s">
        <v>100</v>
      </c>
      <c r="D2262">
        <v>6</v>
      </c>
      <c r="E2262">
        <v>6</v>
      </c>
      <c r="F2262" t="s">
        <v>10</v>
      </c>
      <c r="G2262" t="s">
        <v>76</v>
      </c>
      <c r="H2262" t="s">
        <v>79</v>
      </c>
      <c r="I2262">
        <v>140000000</v>
      </c>
      <c r="J2262" t="s">
        <v>47</v>
      </c>
      <c r="K2262" t="s">
        <v>5</v>
      </c>
      <c r="L2262" t="s">
        <v>67</v>
      </c>
      <c r="M2262" t="s">
        <v>81</v>
      </c>
      <c r="N2262" t="s">
        <v>11</v>
      </c>
    </row>
    <row r="2263" spans="1:14" x14ac:dyDescent="0.35">
      <c r="A2263" s="75">
        <v>44095</v>
      </c>
      <c r="B2263" t="s">
        <v>160</v>
      </c>
      <c r="C2263" t="s">
        <v>100</v>
      </c>
      <c r="D2263">
        <v>5</v>
      </c>
      <c r="E2263">
        <v>5</v>
      </c>
      <c r="F2263" t="s">
        <v>10</v>
      </c>
      <c r="G2263" t="s">
        <v>71</v>
      </c>
      <c r="H2263" t="s">
        <v>6</v>
      </c>
      <c r="I2263">
        <v>140000000</v>
      </c>
      <c r="J2263" t="s">
        <v>25</v>
      </c>
      <c r="K2263" t="s">
        <v>9</v>
      </c>
      <c r="L2263" t="s">
        <v>67</v>
      </c>
      <c r="M2263" t="s">
        <v>80</v>
      </c>
      <c r="N2263" t="s">
        <v>11</v>
      </c>
    </row>
    <row r="2264" spans="1:14" x14ac:dyDescent="0.35">
      <c r="A2264" s="75">
        <v>44095</v>
      </c>
      <c r="B2264" t="s">
        <v>160</v>
      </c>
      <c r="C2264" t="s">
        <v>100</v>
      </c>
      <c r="D2264">
        <v>5</v>
      </c>
      <c r="E2264">
        <v>5</v>
      </c>
      <c r="F2264" t="s">
        <v>10</v>
      </c>
      <c r="G2264" t="s">
        <v>114</v>
      </c>
      <c r="H2264" t="s">
        <v>3</v>
      </c>
      <c r="I2264">
        <v>120000000</v>
      </c>
      <c r="J2264" t="s">
        <v>44</v>
      </c>
      <c r="K2264" t="s">
        <v>2</v>
      </c>
      <c r="L2264" t="s">
        <v>67</v>
      </c>
      <c r="M2264" t="s">
        <v>82</v>
      </c>
      <c r="N2264" t="s">
        <v>12</v>
      </c>
    </row>
    <row r="2265" spans="1:14" x14ac:dyDescent="0.35">
      <c r="A2265" s="75">
        <v>44095</v>
      </c>
      <c r="B2265" t="s">
        <v>160</v>
      </c>
      <c r="C2265" t="s">
        <v>100</v>
      </c>
      <c r="D2265">
        <v>5</v>
      </c>
      <c r="E2265">
        <v>5</v>
      </c>
      <c r="F2265" t="s">
        <v>10</v>
      </c>
      <c r="G2265" t="s">
        <v>74</v>
      </c>
      <c r="H2265" t="s">
        <v>77</v>
      </c>
      <c r="I2265">
        <v>140000000</v>
      </c>
      <c r="J2265" t="s">
        <v>40</v>
      </c>
      <c r="K2265" t="s">
        <v>8</v>
      </c>
      <c r="L2265" t="s">
        <v>67</v>
      </c>
      <c r="M2265" t="s">
        <v>81</v>
      </c>
      <c r="N2265" t="s">
        <v>13</v>
      </c>
    </row>
    <row r="2266" spans="1:14" x14ac:dyDescent="0.35">
      <c r="A2266" s="75">
        <v>44095</v>
      </c>
      <c r="B2266" t="s">
        <v>160</v>
      </c>
      <c r="C2266" t="s">
        <v>100</v>
      </c>
      <c r="D2266">
        <v>4</v>
      </c>
      <c r="E2266">
        <v>4</v>
      </c>
      <c r="F2266" t="s">
        <v>10</v>
      </c>
      <c r="G2266" t="s">
        <v>75</v>
      </c>
      <c r="H2266" t="s">
        <v>6</v>
      </c>
      <c r="I2266">
        <v>120000000</v>
      </c>
      <c r="J2266" t="s">
        <v>27</v>
      </c>
      <c r="K2266" t="s">
        <v>2</v>
      </c>
      <c r="L2266" t="s">
        <v>67</v>
      </c>
      <c r="M2266" t="s">
        <v>80</v>
      </c>
      <c r="N2266" t="s">
        <v>14</v>
      </c>
    </row>
    <row r="2267" spans="1:14" x14ac:dyDescent="0.35">
      <c r="A2267" s="75">
        <v>44095</v>
      </c>
      <c r="B2267" t="s">
        <v>160</v>
      </c>
      <c r="C2267" t="s">
        <v>100</v>
      </c>
      <c r="D2267">
        <v>4</v>
      </c>
      <c r="E2267">
        <v>4</v>
      </c>
      <c r="F2267" t="s">
        <v>10</v>
      </c>
      <c r="G2267" t="s">
        <v>72</v>
      </c>
      <c r="H2267" t="s">
        <v>78</v>
      </c>
      <c r="I2267">
        <v>60000000</v>
      </c>
      <c r="J2267" t="s">
        <v>34</v>
      </c>
      <c r="K2267" t="s">
        <v>2</v>
      </c>
      <c r="L2267" t="s">
        <v>67</v>
      </c>
      <c r="M2267" t="s">
        <v>81</v>
      </c>
      <c r="N2267" t="s">
        <v>12</v>
      </c>
    </row>
    <row r="2268" spans="1:14" x14ac:dyDescent="0.35">
      <c r="A2268" s="75">
        <v>44095</v>
      </c>
      <c r="B2268" t="s">
        <v>160</v>
      </c>
      <c r="C2268" t="s">
        <v>100</v>
      </c>
      <c r="D2268">
        <v>4</v>
      </c>
      <c r="E2268">
        <v>4</v>
      </c>
      <c r="F2268" t="s">
        <v>10</v>
      </c>
      <c r="G2268" t="s">
        <v>114</v>
      </c>
      <c r="H2268" t="s">
        <v>3</v>
      </c>
      <c r="I2268">
        <v>120000000</v>
      </c>
      <c r="J2268" t="s">
        <v>21</v>
      </c>
      <c r="K2268" t="s">
        <v>5</v>
      </c>
      <c r="L2268" t="s">
        <v>67</v>
      </c>
      <c r="M2268" t="s">
        <v>82</v>
      </c>
      <c r="N2268" t="s">
        <v>14</v>
      </c>
    </row>
    <row r="2269" spans="1:14" x14ac:dyDescent="0.35">
      <c r="A2269" s="75">
        <v>44095</v>
      </c>
      <c r="B2269" t="s">
        <v>160</v>
      </c>
      <c r="C2269" t="s">
        <v>100</v>
      </c>
      <c r="D2269">
        <v>4</v>
      </c>
      <c r="E2269">
        <v>4</v>
      </c>
      <c r="F2269" t="s">
        <v>10</v>
      </c>
      <c r="G2269" t="s">
        <v>114</v>
      </c>
      <c r="H2269" t="s">
        <v>3</v>
      </c>
      <c r="I2269">
        <v>140000000</v>
      </c>
      <c r="J2269" t="s">
        <v>61</v>
      </c>
      <c r="K2269" t="s">
        <v>2</v>
      </c>
      <c r="L2269" t="s">
        <v>67</v>
      </c>
      <c r="M2269" t="s">
        <v>82</v>
      </c>
      <c r="N2269" t="s">
        <v>11</v>
      </c>
    </row>
    <row r="2270" spans="1:14" x14ac:dyDescent="0.35">
      <c r="A2270" s="75">
        <v>44095</v>
      </c>
      <c r="B2270" t="s">
        <v>160</v>
      </c>
      <c r="C2270" t="s">
        <v>100</v>
      </c>
      <c r="D2270">
        <v>3</v>
      </c>
      <c r="E2270">
        <v>3</v>
      </c>
      <c r="F2270" t="s">
        <v>10</v>
      </c>
      <c r="G2270" t="s">
        <v>75</v>
      </c>
      <c r="H2270" t="s">
        <v>6</v>
      </c>
      <c r="I2270">
        <v>60000000</v>
      </c>
      <c r="J2270" t="s">
        <v>50</v>
      </c>
      <c r="K2270" t="s">
        <v>5</v>
      </c>
      <c r="L2270" t="s">
        <v>67</v>
      </c>
      <c r="M2270" t="s">
        <v>82</v>
      </c>
      <c r="N2270" t="s">
        <v>12</v>
      </c>
    </row>
    <row r="2271" spans="1:14" x14ac:dyDescent="0.35">
      <c r="A2271" s="75">
        <v>44095</v>
      </c>
      <c r="B2271" t="s">
        <v>160</v>
      </c>
      <c r="C2271" t="s">
        <v>100</v>
      </c>
      <c r="D2271">
        <v>3</v>
      </c>
      <c r="E2271">
        <v>3</v>
      </c>
      <c r="F2271" t="s">
        <v>10</v>
      </c>
      <c r="G2271" t="s">
        <v>74</v>
      </c>
      <c r="H2271" t="s">
        <v>77</v>
      </c>
      <c r="I2271">
        <v>120000000</v>
      </c>
      <c r="J2271" t="s">
        <v>29</v>
      </c>
      <c r="K2271" t="s">
        <v>5</v>
      </c>
      <c r="L2271" t="s">
        <v>67</v>
      </c>
      <c r="M2271" t="s">
        <v>80</v>
      </c>
      <c r="N2271" t="s">
        <v>14</v>
      </c>
    </row>
    <row r="2272" spans="1:14" x14ac:dyDescent="0.35">
      <c r="A2272" s="75">
        <v>44096</v>
      </c>
      <c r="B2272" t="s">
        <v>161</v>
      </c>
      <c r="C2272" t="s">
        <v>100</v>
      </c>
      <c r="D2272">
        <v>9</v>
      </c>
      <c r="E2272">
        <v>8</v>
      </c>
      <c r="F2272">
        <v>1</v>
      </c>
      <c r="G2272" t="s">
        <v>73</v>
      </c>
      <c r="H2272" t="s">
        <v>78</v>
      </c>
      <c r="I2272">
        <v>60000000</v>
      </c>
      <c r="J2272" t="s">
        <v>36</v>
      </c>
      <c r="K2272" t="s">
        <v>2</v>
      </c>
      <c r="L2272" t="s">
        <v>67</v>
      </c>
      <c r="M2272" t="s">
        <v>80</v>
      </c>
      <c r="N2272" t="s">
        <v>11</v>
      </c>
    </row>
    <row r="2273" spans="1:14" x14ac:dyDescent="0.35">
      <c r="A2273" s="75">
        <v>44096</v>
      </c>
      <c r="B2273" t="s">
        <v>161</v>
      </c>
      <c r="C2273" t="s">
        <v>100</v>
      </c>
      <c r="D2273">
        <v>8</v>
      </c>
      <c r="E2273">
        <v>4</v>
      </c>
      <c r="F2273">
        <v>4</v>
      </c>
      <c r="G2273" t="s">
        <v>113</v>
      </c>
      <c r="H2273" t="s">
        <v>77</v>
      </c>
      <c r="I2273">
        <v>80000000</v>
      </c>
      <c r="J2273" t="s">
        <v>25</v>
      </c>
      <c r="K2273" t="s">
        <v>8</v>
      </c>
      <c r="L2273" t="s">
        <v>67</v>
      </c>
      <c r="M2273" t="s">
        <v>80</v>
      </c>
      <c r="N2273" t="s">
        <v>13</v>
      </c>
    </row>
    <row r="2274" spans="1:14" x14ac:dyDescent="0.35">
      <c r="A2274" s="75">
        <v>44096</v>
      </c>
      <c r="B2274" t="s">
        <v>161</v>
      </c>
      <c r="C2274" t="s">
        <v>100</v>
      </c>
      <c r="D2274">
        <v>8</v>
      </c>
      <c r="E2274">
        <v>5</v>
      </c>
      <c r="F2274">
        <v>3</v>
      </c>
      <c r="G2274" t="s">
        <v>74</v>
      </c>
      <c r="H2274" t="s">
        <v>77</v>
      </c>
      <c r="I2274">
        <v>140000000</v>
      </c>
      <c r="J2274" t="s">
        <v>29</v>
      </c>
      <c r="K2274" t="s">
        <v>2</v>
      </c>
      <c r="L2274" t="s">
        <v>67</v>
      </c>
      <c r="M2274" t="s">
        <v>82</v>
      </c>
      <c r="N2274" t="s">
        <v>13</v>
      </c>
    </row>
    <row r="2275" spans="1:14" x14ac:dyDescent="0.35">
      <c r="A2275" s="75">
        <v>44096</v>
      </c>
      <c r="B2275" t="s">
        <v>161</v>
      </c>
      <c r="C2275" t="s">
        <v>100</v>
      </c>
      <c r="D2275">
        <v>8</v>
      </c>
      <c r="E2275">
        <v>6</v>
      </c>
      <c r="F2275">
        <v>2</v>
      </c>
      <c r="G2275" t="s">
        <v>72</v>
      </c>
      <c r="H2275" t="s">
        <v>78</v>
      </c>
      <c r="I2275">
        <v>120000000</v>
      </c>
      <c r="J2275" t="s">
        <v>63</v>
      </c>
      <c r="K2275" t="s">
        <v>2</v>
      </c>
      <c r="L2275" t="s">
        <v>67</v>
      </c>
      <c r="M2275" t="s">
        <v>80</v>
      </c>
      <c r="N2275" t="s">
        <v>11</v>
      </c>
    </row>
    <row r="2276" spans="1:14" x14ac:dyDescent="0.35">
      <c r="A2276" s="75">
        <v>44096</v>
      </c>
      <c r="B2276" t="s">
        <v>161</v>
      </c>
      <c r="C2276" t="s">
        <v>100</v>
      </c>
      <c r="D2276">
        <v>7</v>
      </c>
      <c r="E2276">
        <v>6</v>
      </c>
      <c r="F2276">
        <v>1</v>
      </c>
      <c r="G2276" t="s">
        <v>114</v>
      </c>
      <c r="H2276" t="s">
        <v>3</v>
      </c>
      <c r="I2276">
        <v>140000000</v>
      </c>
      <c r="J2276" t="s">
        <v>39</v>
      </c>
      <c r="K2276" t="s">
        <v>4</v>
      </c>
      <c r="L2276" t="s">
        <v>67</v>
      </c>
      <c r="M2276" t="s">
        <v>81</v>
      </c>
      <c r="N2276" t="s">
        <v>12</v>
      </c>
    </row>
    <row r="2277" spans="1:14" x14ac:dyDescent="0.35">
      <c r="A2277" s="75">
        <v>44096</v>
      </c>
      <c r="B2277" t="s">
        <v>161</v>
      </c>
      <c r="C2277" t="s">
        <v>100</v>
      </c>
      <c r="D2277">
        <v>7</v>
      </c>
      <c r="E2277">
        <v>4</v>
      </c>
      <c r="F2277">
        <v>3</v>
      </c>
      <c r="G2277" t="s">
        <v>76</v>
      </c>
      <c r="H2277" t="s">
        <v>79</v>
      </c>
      <c r="I2277">
        <v>60000000</v>
      </c>
      <c r="J2277" t="s">
        <v>22</v>
      </c>
      <c r="K2277" t="s">
        <v>2</v>
      </c>
      <c r="L2277" t="s">
        <v>67</v>
      </c>
      <c r="M2277" t="s">
        <v>82</v>
      </c>
      <c r="N2277" t="s">
        <v>13</v>
      </c>
    </row>
    <row r="2278" spans="1:14" x14ac:dyDescent="0.35">
      <c r="A2278" s="75">
        <v>44096</v>
      </c>
      <c r="B2278" t="s">
        <v>161</v>
      </c>
      <c r="C2278" t="s">
        <v>100</v>
      </c>
      <c r="D2278">
        <v>5</v>
      </c>
      <c r="E2278">
        <v>3</v>
      </c>
      <c r="F2278">
        <v>2</v>
      </c>
      <c r="G2278" t="s">
        <v>114</v>
      </c>
      <c r="H2278" t="s">
        <v>3</v>
      </c>
      <c r="I2278">
        <v>100000000</v>
      </c>
      <c r="J2278" t="s">
        <v>15</v>
      </c>
      <c r="K2278" t="s">
        <v>5</v>
      </c>
      <c r="L2278" t="s">
        <v>67</v>
      </c>
      <c r="M2278" t="s">
        <v>82</v>
      </c>
      <c r="N2278" t="s">
        <v>11</v>
      </c>
    </row>
    <row r="2279" spans="1:14" x14ac:dyDescent="0.35">
      <c r="A2279" s="75">
        <v>44096</v>
      </c>
      <c r="B2279" t="s">
        <v>161</v>
      </c>
      <c r="C2279" t="s">
        <v>100</v>
      </c>
      <c r="D2279">
        <v>4</v>
      </c>
      <c r="E2279">
        <v>2</v>
      </c>
      <c r="F2279">
        <v>2</v>
      </c>
      <c r="G2279" t="s">
        <v>114</v>
      </c>
      <c r="H2279" t="s">
        <v>3</v>
      </c>
      <c r="I2279">
        <v>100000000</v>
      </c>
      <c r="J2279" t="s">
        <v>54</v>
      </c>
      <c r="K2279" t="s">
        <v>5</v>
      </c>
      <c r="L2279" t="s">
        <v>67</v>
      </c>
      <c r="M2279" t="s">
        <v>80</v>
      </c>
      <c r="N2279" t="s">
        <v>13</v>
      </c>
    </row>
    <row r="2280" spans="1:14" x14ac:dyDescent="0.35">
      <c r="A2280" s="75">
        <v>44096</v>
      </c>
      <c r="B2280" t="s">
        <v>161</v>
      </c>
      <c r="C2280" t="s">
        <v>100</v>
      </c>
      <c r="D2280">
        <v>4</v>
      </c>
      <c r="E2280">
        <v>3</v>
      </c>
      <c r="F2280">
        <v>1</v>
      </c>
      <c r="G2280" t="s">
        <v>114</v>
      </c>
      <c r="H2280" t="s">
        <v>3</v>
      </c>
      <c r="I2280">
        <v>100000000</v>
      </c>
      <c r="J2280" t="s">
        <v>60</v>
      </c>
      <c r="K2280" t="s">
        <v>2</v>
      </c>
      <c r="L2280" t="s">
        <v>67</v>
      </c>
      <c r="M2280" t="s">
        <v>80</v>
      </c>
      <c r="N2280" t="s">
        <v>12</v>
      </c>
    </row>
    <row r="2281" spans="1:14" x14ac:dyDescent="0.35">
      <c r="A2281" s="75">
        <v>44096</v>
      </c>
      <c r="B2281" t="s">
        <v>161</v>
      </c>
      <c r="C2281" t="s">
        <v>100</v>
      </c>
      <c r="D2281">
        <v>4</v>
      </c>
      <c r="E2281">
        <v>2</v>
      </c>
      <c r="F2281">
        <v>2</v>
      </c>
      <c r="G2281" t="s">
        <v>72</v>
      </c>
      <c r="H2281" t="s">
        <v>78</v>
      </c>
      <c r="I2281">
        <v>40000000</v>
      </c>
      <c r="J2281" t="s">
        <v>59</v>
      </c>
      <c r="K2281" t="s">
        <v>5</v>
      </c>
      <c r="L2281" t="s">
        <v>67</v>
      </c>
      <c r="M2281" t="s">
        <v>81</v>
      </c>
      <c r="N2281" t="s">
        <v>13</v>
      </c>
    </row>
    <row r="2282" spans="1:14" x14ac:dyDescent="0.35">
      <c r="A2282" s="75">
        <v>44096</v>
      </c>
      <c r="B2282" t="s">
        <v>161</v>
      </c>
      <c r="C2282" t="s">
        <v>100</v>
      </c>
      <c r="D2282">
        <v>3</v>
      </c>
      <c r="E2282">
        <v>2</v>
      </c>
      <c r="F2282">
        <v>1</v>
      </c>
      <c r="G2282" t="s">
        <v>71</v>
      </c>
      <c r="H2282" t="s">
        <v>6</v>
      </c>
      <c r="I2282">
        <v>40000000</v>
      </c>
      <c r="J2282" t="s">
        <v>51</v>
      </c>
      <c r="K2282" t="s">
        <v>5</v>
      </c>
      <c r="L2282" t="s">
        <v>67</v>
      </c>
      <c r="M2282" t="s">
        <v>81</v>
      </c>
      <c r="N2282" t="s">
        <v>13</v>
      </c>
    </row>
    <row r="2283" spans="1:14" x14ac:dyDescent="0.35">
      <c r="A2283" s="75">
        <v>44097</v>
      </c>
      <c r="B2283" t="s">
        <v>162</v>
      </c>
      <c r="C2283" t="s">
        <v>100</v>
      </c>
      <c r="D2283">
        <v>10</v>
      </c>
      <c r="E2283">
        <v>9</v>
      </c>
      <c r="F2283">
        <v>1</v>
      </c>
      <c r="G2283" t="s">
        <v>74</v>
      </c>
      <c r="H2283" t="s">
        <v>77</v>
      </c>
      <c r="I2283">
        <v>120000000</v>
      </c>
      <c r="J2283" t="s">
        <v>44</v>
      </c>
      <c r="K2283" t="s">
        <v>5</v>
      </c>
      <c r="L2283" t="s">
        <v>67</v>
      </c>
      <c r="M2283" t="s">
        <v>80</v>
      </c>
      <c r="N2283" t="s">
        <v>12</v>
      </c>
    </row>
    <row r="2284" spans="1:14" x14ac:dyDescent="0.35">
      <c r="A2284" s="75">
        <v>44097</v>
      </c>
      <c r="B2284" t="s">
        <v>162</v>
      </c>
      <c r="C2284" t="s">
        <v>100</v>
      </c>
      <c r="D2284">
        <v>10</v>
      </c>
      <c r="E2284">
        <v>6</v>
      </c>
      <c r="F2284">
        <v>4</v>
      </c>
      <c r="G2284" t="s">
        <v>70</v>
      </c>
      <c r="H2284" t="s">
        <v>1</v>
      </c>
      <c r="I2284">
        <v>60000000</v>
      </c>
      <c r="J2284" t="s">
        <v>30</v>
      </c>
      <c r="K2284" t="s">
        <v>9</v>
      </c>
      <c r="L2284" t="s">
        <v>67</v>
      </c>
      <c r="M2284" t="s">
        <v>80</v>
      </c>
      <c r="N2284" t="s">
        <v>12</v>
      </c>
    </row>
    <row r="2285" spans="1:14" x14ac:dyDescent="0.35">
      <c r="A2285" s="75">
        <v>44097</v>
      </c>
      <c r="B2285" t="s">
        <v>162</v>
      </c>
      <c r="C2285" t="s">
        <v>100</v>
      </c>
      <c r="D2285">
        <v>8</v>
      </c>
      <c r="E2285">
        <v>5</v>
      </c>
      <c r="F2285">
        <v>3</v>
      </c>
      <c r="G2285" t="s">
        <v>72</v>
      </c>
      <c r="H2285" t="s">
        <v>78</v>
      </c>
      <c r="I2285">
        <v>80000000</v>
      </c>
      <c r="J2285" t="s">
        <v>45</v>
      </c>
      <c r="K2285" t="s">
        <v>5</v>
      </c>
      <c r="L2285" t="s">
        <v>67</v>
      </c>
      <c r="M2285" t="s">
        <v>82</v>
      </c>
      <c r="N2285" t="s">
        <v>13</v>
      </c>
    </row>
    <row r="2286" spans="1:14" x14ac:dyDescent="0.35">
      <c r="A2286" s="75">
        <v>44097</v>
      </c>
      <c r="B2286" t="s">
        <v>162</v>
      </c>
      <c r="C2286" t="s">
        <v>100</v>
      </c>
      <c r="D2286">
        <v>5</v>
      </c>
      <c r="E2286">
        <v>3</v>
      </c>
      <c r="F2286">
        <v>2</v>
      </c>
      <c r="G2286" t="s">
        <v>71</v>
      </c>
      <c r="H2286" t="s">
        <v>6</v>
      </c>
      <c r="I2286">
        <v>120000000</v>
      </c>
      <c r="J2286" t="s">
        <v>24</v>
      </c>
      <c r="K2286" t="s">
        <v>7</v>
      </c>
      <c r="L2286" t="s">
        <v>67</v>
      </c>
      <c r="M2286" t="s">
        <v>80</v>
      </c>
      <c r="N2286" t="s">
        <v>14</v>
      </c>
    </row>
    <row r="2287" spans="1:14" x14ac:dyDescent="0.35">
      <c r="A2287" s="75">
        <v>44097</v>
      </c>
      <c r="B2287" t="s">
        <v>162</v>
      </c>
      <c r="C2287" t="s">
        <v>100</v>
      </c>
      <c r="D2287">
        <v>3</v>
      </c>
      <c r="E2287">
        <v>1</v>
      </c>
      <c r="F2287">
        <v>2</v>
      </c>
      <c r="G2287" t="s">
        <v>72</v>
      </c>
      <c r="H2287" t="s">
        <v>78</v>
      </c>
      <c r="I2287">
        <v>60000000</v>
      </c>
      <c r="J2287" t="s">
        <v>18</v>
      </c>
      <c r="K2287" t="s">
        <v>5</v>
      </c>
      <c r="L2287" t="s">
        <v>67</v>
      </c>
      <c r="M2287" t="s">
        <v>81</v>
      </c>
      <c r="N2287" t="s">
        <v>12</v>
      </c>
    </row>
    <row r="2288" spans="1:14" x14ac:dyDescent="0.35">
      <c r="A2288" s="75">
        <v>44098</v>
      </c>
      <c r="B2288" t="s">
        <v>163</v>
      </c>
      <c r="C2288" t="s">
        <v>100</v>
      </c>
      <c r="D2288">
        <v>8</v>
      </c>
      <c r="E2288">
        <v>6</v>
      </c>
      <c r="F2288">
        <v>2</v>
      </c>
      <c r="G2288" t="s">
        <v>72</v>
      </c>
      <c r="H2288" t="s">
        <v>78</v>
      </c>
      <c r="I2288">
        <v>140000000</v>
      </c>
      <c r="J2288" t="s">
        <v>45</v>
      </c>
      <c r="K2288" t="s">
        <v>2</v>
      </c>
      <c r="L2288" t="s">
        <v>67</v>
      </c>
      <c r="M2288" t="s">
        <v>82</v>
      </c>
      <c r="N2288" t="s">
        <v>14</v>
      </c>
    </row>
    <row r="2289" spans="1:14" x14ac:dyDescent="0.35">
      <c r="A2289" s="75">
        <v>44098</v>
      </c>
      <c r="B2289" t="s">
        <v>163</v>
      </c>
      <c r="C2289" t="s">
        <v>100</v>
      </c>
      <c r="D2289">
        <v>7</v>
      </c>
      <c r="E2289">
        <v>4</v>
      </c>
      <c r="F2289">
        <v>3</v>
      </c>
      <c r="G2289" t="s">
        <v>71</v>
      </c>
      <c r="H2289" t="s">
        <v>6</v>
      </c>
      <c r="I2289">
        <v>100000000</v>
      </c>
      <c r="J2289" t="s">
        <v>19</v>
      </c>
      <c r="K2289" t="s">
        <v>5</v>
      </c>
      <c r="L2289" t="s">
        <v>67</v>
      </c>
      <c r="M2289" t="s">
        <v>82</v>
      </c>
      <c r="N2289" t="s">
        <v>13</v>
      </c>
    </row>
    <row r="2290" spans="1:14" x14ac:dyDescent="0.35">
      <c r="A2290" s="75">
        <v>44098</v>
      </c>
      <c r="B2290" t="s">
        <v>163</v>
      </c>
      <c r="C2290" t="s">
        <v>100</v>
      </c>
      <c r="D2290">
        <v>7</v>
      </c>
      <c r="E2290">
        <v>6</v>
      </c>
      <c r="F2290">
        <v>1</v>
      </c>
      <c r="G2290" t="s">
        <v>74</v>
      </c>
      <c r="H2290" t="s">
        <v>77</v>
      </c>
      <c r="I2290">
        <v>40000000</v>
      </c>
      <c r="J2290" t="s">
        <v>46</v>
      </c>
      <c r="K2290" t="s">
        <v>2</v>
      </c>
      <c r="L2290" t="s">
        <v>67</v>
      </c>
      <c r="M2290" t="s">
        <v>80</v>
      </c>
      <c r="N2290" t="s">
        <v>14</v>
      </c>
    </row>
    <row r="2291" spans="1:14" x14ac:dyDescent="0.35">
      <c r="A2291" s="75">
        <v>44098</v>
      </c>
      <c r="B2291" t="s">
        <v>163</v>
      </c>
      <c r="C2291" t="s">
        <v>100</v>
      </c>
      <c r="D2291">
        <v>6</v>
      </c>
      <c r="E2291">
        <v>5</v>
      </c>
      <c r="F2291">
        <v>1</v>
      </c>
      <c r="G2291" t="s">
        <v>74</v>
      </c>
      <c r="H2291" t="s">
        <v>77</v>
      </c>
      <c r="I2291">
        <v>140000000</v>
      </c>
      <c r="J2291" t="s">
        <v>36</v>
      </c>
      <c r="K2291" t="s">
        <v>2</v>
      </c>
      <c r="L2291" t="s">
        <v>67</v>
      </c>
      <c r="M2291" t="s">
        <v>81</v>
      </c>
      <c r="N2291" t="s">
        <v>13</v>
      </c>
    </row>
    <row r="2292" spans="1:14" x14ac:dyDescent="0.35">
      <c r="A2292" s="75">
        <v>44098</v>
      </c>
      <c r="B2292" t="s">
        <v>163</v>
      </c>
      <c r="C2292" t="s">
        <v>100</v>
      </c>
      <c r="D2292">
        <v>5</v>
      </c>
      <c r="E2292">
        <v>3</v>
      </c>
      <c r="F2292">
        <v>2</v>
      </c>
      <c r="G2292" t="s">
        <v>72</v>
      </c>
      <c r="H2292" t="s">
        <v>78</v>
      </c>
      <c r="I2292">
        <v>100000000</v>
      </c>
      <c r="J2292" t="s">
        <v>48</v>
      </c>
      <c r="K2292" t="s">
        <v>2</v>
      </c>
      <c r="L2292" t="s">
        <v>67</v>
      </c>
      <c r="M2292" t="s">
        <v>82</v>
      </c>
      <c r="N2292" t="s">
        <v>12</v>
      </c>
    </row>
    <row r="2293" spans="1:14" x14ac:dyDescent="0.35">
      <c r="A2293" s="75">
        <v>44098</v>
      </c>
      <c r="B2293" t="s">
        <v>163</v>
      </c>
      <c r="C2293" t="s">
        <v>100</v>
      </c>
      <c r="D2293">
        <v>4</v>
      </c>
      <c r="E2293">
        <v>3</v>
      </c>
      <c r="F2293">
        <v>1</v>
      </c>
      <c r="G2293" t="s">
        <v>73</v>
      </c>
      <c r="H2293" t="s">
        <v>78</v>
      </c>
      <c r="I2293">
        <v>60000000</v>
      </c>
      <c r="J2293" t="s">
        <v>48</v>
      </c>
      <c r="K2293" t="s">
        <v>2</v>
      </c>
      <c r="L2293" t="s">
        <v>67</v>
      </c>
      <c r="M2293" t="s">
        <v>80</v>
      </c>
      <c r="N2293" t="s">
        <v>12</v>
      </c>
    </row>
    <row r="2294" spans="1:14" x14ac:dyDescent="0.35">
      <c r="A2294" s="75">
        <v>44098</v>
      </c>
      <c r="B2294" t="s">
        <v>163</v>
      </c>
      <c r="C2294" t="s">
        <v>100</v>
      </c>
      <c r="D2294">
        <v>3</v>
      </c>
      <c r="E2294">
        <v>2</v>
      </c>
      <c r="F2294">
        <v>1</v>
      </c>
      <c r="G2294" t="s">
        <v>113</v>
      </c>
      <c r="H2294" t="s">
        <v>77</v>
      </c>
      <c r="I2294">
        <v>140000000</v>
      </c>
      <c r="J2294" t="s">
        <v>62</v>
      </c>
      <c r="K2294" t="s">
        <v>2</v>
      </c>
      <c r="L2294" t="s">
        <v>67</v>
      </c>
      <c r="M2294" t="s">
        <v>81</v>
      </c>
      <c r="N2294" t="s">
        <v>11</v>
      </c>
    </row>
    <row r="2295" spans="1:14" x14ac:dyDescent="0.35">
      <c r="A2295" s="75">
        <v>44098</v>
      </c>
      <c r="B2295" t="s">
        <v>163</v>
      </c>
      <c r="C2295" t="s">
        <v>100</v>
      </c>
      <c r="D2295">
        <v>3</v>
      </c>
      <c r="E2295">
        <v>2</v>
      </c>
      <c r="F2295">
        <v>1</v>
      </c>
      <c r="G2295" t="s">
        <v>113</v>
      </c>
      <c r="H2295" t="s">
        <v>77</v>
      </c>
      <c r="I2295">
        <v>120000000</v>
      </c>
      <c r="J2295" t="s">
        <v>15</v>
      </c>
      <c r="K2295" t="s">
        <v>2</v>
      </c>
      <c r="L2295" t="s">
        <v>67</v>
      </c>
      <c r="M2295" t="s">
        <v>82</v>
      </c>
      <c r="N2295" t="s">
        <v>14</v>
      </c>
    </row>
    <row r="2296" spans="1:14" x14ac:dyDescent="0.35">
      <c r="A2296" s="75">
        <v>44098</v>
      </c>
      <c r="B2296" t="s">
        <v>163</v>
      </c>
      <c r="C2296" t="s">
        <v>100</v>
      </c>
      <c r="D2296">
        <v>3</v>
      </c>
      <c r="E2296">
        <v>1</v>
      </c>
      <c r="F2296">
        <v>2</v>
      </c>
      <c r="G2296" t="s">
        <v>76</v>
      </c>
      <c r="H2296" t="s">
        <v>79</v>
      </c>
      <c r="I2296">
        <v>80000000</v>
      </c>
      <c r="J2296" t="s">
        <v>34</v>
      </c>
      <c r="K2296" t="s">
        <v>5</v>
      </c>
      <c r="L2296" t="s">
        <v>67</v>
      </c>
      <c r="M2296" t="s">
        <v>80</v>
      </c>
      <c r="N2296" t="s">
        <v>11</v>
      </c>
    </row>
    <row r="2297" spans="1:14" x14ac:dyDescent="0.35">
      <c r="A2297" s="75">
        <v>44098</v>
      </c>
      <c r="B2297" t="s">
        <v>163</v>
      </c>
      <c r="C2297" t="s">
        <v>100</v>
      </c>
      <c r="D2297">
        <v>3</v>
      </c>
      <c r="E2297">
        <v>1</v>
      </c>
      <c r="F2297">
        <v>2</v>
      </c>
      <c r="G2297" t="s">
        <v>72</v>
      </c>
      <c r="H2297" t="s">
        <v>78</v>
      </c>
      <c r="I2297">
        <v>140000000</v>
      </c>
      <c r="J2297" t="s">
        <v>26</v>
      </c>
      <c r="K2297" t="s">
        <v>9</v>
      </c>
      <c r="L2297" t="s">
        <v>67</v>
      </c>
      <c r="M2297" t="s">
        <v>81</v>
      </c>
      <c r="N2297" t="s">
        <v>14</v>
      </c>
    </row>
    <row r="2298" spans="1:14" x14ac:dyDescent="0.35">
      <c r="A2298" s="75">
        <v>44099</v>
      </c>
      <c r="B2298" t="s">
        <v>164</v>
      </c>
      <c r="C2298" t="s">
        <v>100</v>
      </c>
      <c r="D2298">
        <v>10</v>
      </c>
      <c r="E2298">
        <v>9</v>
      </c>
      <c r="F2298">
        <v>1</v>
      </c>
      <c r="G2298" t="s">
        <v>71</v>
      </c>
      <c r="H2298" t="s">
        <v>6</v>
      </c>
      <c r="I2298">
        <v>120000000</v>
      </c>
      <c r="J2298" t="s">
        <v>30</v>
      </c>
      <c r="K2298" t="s">
        <v>5</v>
      </c>
      <c r="L2298" t="s">
        <v>67</v>
      </c>
      <c r="M2298" t="s">
        <v>81</v>
      </c>
      <c r="N2298" t="s">
        <v>11</v>
      </c>
    </row>
    <row r="2299" spans="1:14" x14ac:dyDescent="0.35">
      <c r="A2299" s="75">
        <v>44099</v>
      </c>
      <c r="B2299" t="s">
        <v>164</v>
      </c>
      <c r="C2299" t="s">
        <v>100</v>
      </c>
      <c r="D2299">
        <v>9</v>
      </c>
      <c r="E2299">
        <v>8</v>
      </c>
      <c r="F2299">
        <v>1</v>
      </c>
      <c r="G2299" t="s">
        <v>75</v>
      </c>
      <c r="H2299" t="s">
        <v>6</v>
      </c>
      <c r="I2299">
        <v>40000000</v>
      </c>
      <c r="J2299" t="s">
        <v>22</v>
      </c>
      <c r="K2299" t="s">
        <v>7</v>
      </c>
      <c r="L2299" t="s">
        <v>67</v>
      </c>
      <c r="M2299" t="s">
        <v>82</v>
      </c>
      <c r="N2299" t="s">
        <v>12</v>
      </c>
    </row>
    <row r="2300" spans="1:14" x14ac:dyDescent="0.35">
      <c r="A2300" s="75">
        <v>44099</v>
      </c>
      <c r="B2300" t="s">
        <v>164</v>
      </c>
      <c r="C2300" t="s">
        <v>100</v>
      </c>
      <c r="D2300">
        <v>9</v>
      </c>
      <c r="E2300">
        <v>5</v>
      </c>
      <c r="F2300">
        <v>4</v>
      </c>
      <c r="G2300" t="s">
        <v>75</v>
      </c>
      <c r="H2300" t="s">
        <v>6</v>
      </c>
      <c r="I2300">
        <v>140000000</v>
      </c>
      <c r="J2300" t="s">
        <v>49</v>
      </c>
      <c r="K2300" t="s">
        <v>5</v>
      </c>
      <c r="L2300" t="s">
        <v>67</v>
      </c>
      <c r="M2300" t="s">
        <v>82</v>
      </c>
      <c r="N2300" t="s">
        <v>11</v>
      </c>
    </row>
    <row r="2301" spans="1:14" x14ac:dyDescent="0.35">
      <c r="A2301" s="75">
        <v>44099</v>
      </c>
      <c r="B2301" t="s">
        <v>164</v>
      </c>
      <c r="C2301" t="s">
        <v>100</v>
      </c>
      <c r="D2301">
        <v>9</v>
      </c>
      <c r="E2301">
        <v>5</v>
      </c>
      <c r="F2301">
        <v>4</v>
      </c>
      <c r="G2301" t="s">
        <v>75</v>
      </c>
      <c r="H2301" t="s">
        <v>6</v>
      </c>
      <c r="I2301">
        <v>60000000</v>
      </c>
      <c r="J2301" t="s">
        <v>62</v>
      </c>
      <c r="K2301" t="s">
        <v>2</v>
      </c>
      <c r="L2301" t="s">
        <v>67</v>
      </c>
      <c r="M2301" t="s">
        <v>80</v>
      </c>
      <c r="N2301" t="s">
        <v>13</v>
      </c>
    </row>
    <row r="2302" spans="1:14" x14ac:dyDescent="0.35">
      <c r="A2302" s="75">
        <v>44099</v>
      </c>
      <c r="B2302" t="s">
        <v>164</v>
      </c>
      <c r="C2302" t="s">
        <v>100</v>
      </c>
      <c r="D2302">
        <v>8</v>
      </c>
      <c r="E2302">
        <v>7</v>
      </c>
      <c r="F2302">
        <v>1</v>
      </c>
      <c r="G2302" t="s">
        <v>113</v>
      </c>
      <c r="H2302" t="s">
        <v>77</v>
      </c>
      <c r="I2302">
        <v>140000000</v>
      </c>
      <c r="J2302" t="s">
        <v>40</v>
      </c>
      <c r="K2302" t="s">
        <v>7</v>
      </c>
      <c r="L2302" t="s">
        <v>67</v>
      </c>
      <c r="M2302" t="s">
        <v>82</v>
      </c>
      <c r="N2302" t="s">
        <v>13</v>
      </c>
    </row>
    <row r="2303" spans="1:14" x14ac:dyDescent="0.35">
      <c r="A2303" s="75">
        <v>44099</v>
      </c>
      <c r="B2303" t="s">
        <v>164</v>
      </c>
      <c r="C2303" t="s">
        <v>100</v>
      </c>
      <c r="D2303">
        <v>8</v>
      </c>
      <c r="E2303">
        <v>6</v>
      </c>
      <c r="F2303">
        <v>2</v>
      </c>
      <c r="G2303" t="s">
        <v>114</v>
      </c>
      <c r="H2303" t="s">
        <v>3</v>
      </c>
      <c r="I2303">
        <v>140000000</v>
      </c>
      <c r="J2303" t="s">
        <v>46</v>
      </c>
      <c r="K2303" t="s">
        <v>5</v>
      </c>
      <c r="L2303" t="s">
        <v>67</v>
      </c>
      <c r="M2303" t="s">
        <v>81</v>
      </c>
      <c r="N2303" t="s">
        <v>14</v>
      </c>
    </row>
    <row r="2304" spans="1:14" x14ac:dyDescent="0.35">
      <c r="A2304" s="75">
        <v>44099</v>
      </c>
      <c r="B2304" t="s">
        <v>164</v>
      </c>
      <c r="C2304" t="s">
        <v>100</v>
      </c>
      <c r="D2304">
        <v>8</v>
      </c>
      <c r="E2304">
        <v>4</v>
      </c>
      <c r="F2304">
        <v>4</v>
      </c>
      <c r="G2304" t="s">
        <v>70</v>
      </c>
      <c r="H2304" t="s">
        <v>1</v>
      </c>
      <c r="I2304">
        <v>60000000</v>
      </c>
      <c r="J2304" t="s">
        <v>42</v>
      </c>
      <c r="K2304" t="s">
        <v>9</v>
      </c>
      <c r="L2304" t="s">
        <v>67</v>
      </c>
      <c r="M2304" t="s">
        <v>82</v>
      </c>
      <c r="N2304" t="s">
        <v>13</v>
      </c>
    </row>
    <row r="2305" spans="1:14" x14ac:dyDescent="0.35">
      <c r="A2305" s="75">
        <v>44099</v>
      </c>
      <c r="B2305" t="s">
        <v>164</v>
      </c>
      <c r="C2305" t="s">
        <v>100</v>
      </c>
      <c r="D2305">
        <v>8</v>
      </c>
      <c r="E2305">
        <v>7</v>
      </c>
      <c r="F2305">
        <v>1</v>
      </c>
      <c r="G2305" t="s">
        <v>74</v>
      </c>
      <c r="H2305" t="s">
        <v>77</v>
      </c>
      <c r="I2305">
        <v>40000000</v>
      </c>
      <c r="J2305" t="s">
        <v>29</v>
      </c>
      <c r="K2305" t="s">
        <v>2</v>
      </c>
      <c r="L2305" t="s">
        <v>67</v>
      </c>
      <c r="M2305" t="s">
        <v>80</v>
      </c>
      <c r="N2305" t="s">
        <v>11</v>
      </c>
    </row>
    <row r="2306" spans="1:14" x14ac:dyDescent="0.35">
      <c r="A2306" s="75">
        <v>44099</v>
      </c>
      <c r="B2306" t="s">
        <v>164</v>
      </c>
      <c r="C2306" t="s">
        <v>100</v>
      </c>
      <c r="D2306">
        <v>8</v>
      </c>
      <c r="E2306">
        <v>7</v>
      </c>
      <c r="F2306">
        <v>1</v>
      </c>
      <c r="G2306" t="s">
        <v>73</v>
      </c>
      <c r="H2306" t="s">
        <v>78</v>
      </c>
      <c r="I2306">
        <v>60000000</v>
      </c>
      <c r="J2306" t="s">
        <v>43</v>
      </c>
      <c r="K2306" t="s">
        <v>7</v>
      </c>
      <c r="L2306" t="s">
        <v>67</v>
      </c>
      <c r="M2306" t="s">
        <v>82</v>
      </c>
      <c r="N2306" t="s">
        <v>11</v>
      </c>
    </row>
    <row r="2307" spans="1:14" x14ac:dyDescent="0.35">
      <c r="A2307" s="75">
        <v>44099</v>
      </c>
      <c r="B2307" t="s">
        <v>164</v>
      </c>
      <c r="C2307" t="s">
        <v>100</v>
      </c>
      <c r="D2307">
        <v>3</v>
      </c>
      <c r="E2307">
        <v>1</v>
      </c>
      <c r="F2307">
        <v>2</v>
      </c>
      <c r="G2307" t="s">
        <v>71</v>
      </c>
      <c r="H2307" t="s">
        <v>6</v>
      </c>
      <c r="I2307">
        <v>40000000</v>
      </c>
      <c r="J2307" t="s">
        <v>62</v>
      </c>
      <c r="K2307" t="s">
        <v>2</v>
      </c>
      <c r="L2307" t="s">
        <v>67</v>
      </c>
      <c r="M2307" t="s">
        <v>80</v>
      </c>
      <c r="N2307" t="s">
        <v>13</v>
      </c>
    </row>
    <row r="2308" spans="1:14" x14ac:dyDescent="0.35">
      <c r="A2308" s="75">
        <v>44100</v>
      </c>
      <c r="B2308" t="s">
        <v>165</v>
      </c>
      <c r="C2308" t="s">
        <v>100</v>
      </c>
      <c r="D2308">
        <v>8</v>
      </c>
      <c r="E2308">
        <v>6</v>
      </c>
      <c r="F2308">
        <v>2</v>
      </c>
      <c r="G2308" t="s">
        <v>114</v>
      </c>
      <c r="H2308" t="s">
        <v>3</v>
      </c>
      <c r="I2308">
        <v>40000000</v>
      </c>
      <c r="J2308" t="s">
        <v>28</v>
      </c>
      <c r="K2308" t="s">
        <v>2</v>
      </c>
      <c r="L2308" t="s">
        <v>67</v>
      </c>
      <c r="M2308" t="s">
        <v>82</v>
      </c>
      <c r="N2308" t="s">
        <v>12</v>
      </c>
    </row>
    <row r="2309" spans="1:14" x14ac:dyDescent="0.35">
      <c r="A2309" s="75">
        <v>44100</v>
      </c>
      <c r="B2309" t="s">
        <v>165</v>
      </c>
      <c r="C2309" t="s">
        <v>100</v>
      </c>
      <c r="D2309">
        <v>6</v>
      </c>
      <c r="E2309">
        <v>3</v>
      </c>
      <c r="F2309">
        <v>3</v>
      </c>
      <c r="G2309" t="s">
        <v>71</v>
      </c>
      <c r="H2309" t="s">
        <v>6</v>
      </c>
      <c r="I2309">
        <v>100000000</v>
      </c>
      <c r="J2309" t="s">
        <v>39</v>
      </c>
      <c r="K2309" t="s">
        <v>2</v>
      </c>
      <c r="L2309" t="s">
        <v>67</v>
      </c>
      <c r="M2309" t="s">
        <v>81</v>
      </c>
      <c r="N2309" t="s">
        <v>12</v>
      </c>
    </row>
    <row r="2310" spans="1:14" x14ac:dyDescent="0.35">
      <c r="A2310" s="75">
        <v>44100</v>
      </c>
      <c r="B2310" t="s">
        <v>165</v>
      </c>
      <c r="C2310" t="s">
        <v>100</v>
      </c>
      <c r="D2310">
        <v>6</v>
      </c>
      <c r="E2310">
        <v>3</v>
      </c>
      <c r="F2310">
        <v>3</v>
      </c>
      <c r="G2310" t="s">
        <v>72</v>
      </c>
      <c r="H2310" t="s">
        <v>78</v>
      </c>
      <c r="I2310">
        <v>100000000</v>
      </c>
      <c r="J2310" t="s">
        <v>59</v>
      </c>
      <c r="K2310" t="s">
        <v>5</v>
      </c>
      <c r="L2310" t="s">
        <v>67</v>
      </c>
      <c r="M2310" t="s">
        <v>82</v>
      </c>
      <c r="N2310" t="s">
        <v>11</v>
      </c>
    </row>
    <row r="2311" spans="1:14" x14ac:dyDescent="0.35">
      <c r="A2311" s="75">
        <v>44100</v>
      </c>
      <c r="B2311" t="s">
        <v>165</v>
      </c>
      <c r="C2311" t="s">
        <v>100</v>
      </c>
      <c r="D2311">
        <v>5</v>
      </c>
      <c r="E2311">
        <v>3</v>
      </c>
      <c r="F2311">
        <v>2</v>
      </c>
      <c r="G2311" t="s">
        <v>76</v>
      </c>
      <c r="H2311" t="s">
        <v>79</v>
      </c>
      <c r="I2311">
        <v>80000000</v>
      </c>
      <c r="J2311" t="s">
        <v>31</v>
      </c>
      <c r="K2311" t="s">
        <v>7</v>
      </c>
      <c r="L2311" t="s">
        <v>67</v>
      </c>
      <c r="M2311" t="s">
        <v>82</v>
      </c>
      <c r="N2311" t="s">
        <v>12</v>
      </c>
    </row>
    <row r="2312" spans="1:14" x14ac:dyDescent="0.35">
      <c r="A2312" s="75">
        <v>44100</v>
      </c>
      <c r="B2312" t="s">
        <v>165</v>
      </c>
      <c r="C2312" t="s">
        <v>100</v>
      </c>
      <c r="D2312">
        <v>5</v>
      </c>
      <c r="E2312">
        <v>4</v>
      </c>
      <c r="F2312">
        <v>1</v>
      </c>
      <c r="G2312" t="s">
        <v>73</v>
      </c>
      <c r="H2312" t="s">
        <v>78</v>
      </c>
      <c r="I2312">
        <v>40000000</v>
      </c>
      <c r="J2312" t="s">
        <v>30</v>
      </c>
      <c r="K2312" t="s">
        <v>7</v>
      </c>
      <c r="L2312" t="s">
        <v>67</v>
      </c>
      <c r="M2312" t="s">
        <v>80</v>
      </c>
      <c r="N2312" t="s">
        <v>11</v>
      </c>
    </row>
    <row r="2313" spans="1:14" x14ac:dyDescent="0.35">
      <c r="A2313" s="75">
        <v>44101</v>
      </c>
      <c r="B2313" t="s">
        <v>166</v>
      </c>
      <c r="C2313" t="s">
        <v>100</v>
      </c>
      <c r="D2313">
        <v>10</v>
      </c>
      <c r="E2313">
        <v>7</v>
      </c>
      <c r="F2313">
        <v>3</v>
      </c>
      <c r="G2313" t="s">
        <v>75</v>
      </c>
      <c r="H2313" t="s">
        <v>6</v>
      </c>
      <c r="I2313">
        <v>60000000</v>
      </c>
      <c r="J2313" t="s">
        <v>39</v>
      </c>
      <c r="K2313" t="s">
        <v>5</v>
      </c>
      <c r="L2313" t="s">
        <v>67</v>
      </c>
      <c r="M2313" t="s">
        <v>80</v>
      </c>
      <c r="N2313" t="s">
        <v>11</v>
      </c>
    </row>
    <row r="2314" spans="1:14" x14ac:dyDescent="0.35">
      <c r="A2314" s="75">
        <v>44101</v>
      </c>
      <c r="B2314" t="s">
        <v>166</v>
      </c>
      <c r="C2314" t="s">
        <v>100</v>
      </c>
      <c r="D2314">
        <v>9</v>
      </c>
      <c r="E2314">
        <v>7</v>
      </c>
      <c r="F2314">
        <v>2</v>
      </c>
      <c r="G2314" t="s">
        <v>113</v>
      </c>
      <c r="H2314" t="s">
        <v>77</v>
      </c>
      <c r="I2314">
        <v>140000000</v>
      </c>
      <c r="J2314" t="s">
        <v>50</v>
      </c>
      <c r="K2314" t="s">
        <v>7</v>
      </c>
      <c r="L2314" t="s">
        <v>67</v>
      </c>
      <c r="M2314" t="s">
        <v>81</v>
      </c>
      <c r="N2314" t="s">
        <v>11</v>
      </c>
    </row>
    <row r="2315" spans="1:14" x14ac:dyDescent="0.35">
      <c r="A2315" s="75">
        <v>44101</v>
      </c>
      <c r="B2315" t="s">
        <v>166</v>
      </c>
      <c r="C2315" t="s">
        <v>100</v>
      </c>
      <c r="D2315">
        <v>8</v>
      </c>
      <c r="E2315">
        <v>5</v>
      </c>
      <c r="F2315">
        <v>3</v>
      </c>
      <c r="G2315" t="s">
        <v>70</v>
      </c>
      <c r="H2315" t="s">
        <v>1</v>
      </c>
      <c r="I2315">
        <v>100000000</v>
      </c>
      <c r="J2315" t="s">
        <v>18</v>
      </c>
      <c r="K2315" t="s">
        <v>7</v>
      </c>
      <c r="L2315" t="s">
        <v>67</v>
      </c>
      <c r="M2315" t="s">
        <v>81</v>
      </c>
      <c r="N2315" t="s">
        <v>13</v>
      </c>
    </row>
    <row r="2316" spans="1:14" x14ac:dyDescent="0.35">
      <c r="A2316" s="75">
        <v>44101</v>
      </c>
      <c r="B2316" t="s">
        <v>166</v>
      </c>
      <c r="C2316" t="s">
        <v>100</v>
      </c>
      <c r="D2316">
        <v>8</v>
      </c>
      <c r="E2316">
        <v>6</v>
      </c>
      <c r="F2316">
        <v>2</v>
      </c>
      <c r="G2316" t="s">
        <v>114</v>
      </c>
      <c r="H2316" t="s">
        <v>3</v>
      </c>
      <c r="I2316">
        <v>120000000</v>
      </c>
      <c r="J2316" t="s">
        <v>59</v>
      </c>
      <c r="K2316" t="s">
        <v>7</v>
      </c>
      <c r="L2316" t="s">
        <v>67</v>
      </c>
      <c r="M2316" t="s">
        <v>82</v>
      </c>
      <c r="N2316" t="s">
        <v>14</v>
      </c>
    </row>
    <row r="2317" spans="1:14" x14ac:dyDescent="0.35">
      <c r="A2317" s="75">
        <v>44101</v>
      </c>
      <c r="B2317" t="s">
        <v>166</v>
      </c>
      <c r="C2317" t="s">
        <v>100</v>
      </c>
      <c r="D2317">
        <v>7</v>
      </c>
      <c r="E2317">
        <v>4</v>
      </c>
      <c r="F2317">
        <v>3</v>
      </c>
      <c r="G2317" t="s">
        <v>72</v>
      </c>
      <c r="H2317" t="s">
        <v>78</v>
      </c>
      <c r="I2317">
        <v>80000000</v>
      </c>
      <c r="J2317" t="s">
        <v>59</v>
      </c>
      <c r="K2317" t="s">
        <v>5</v>
      </c>
      <c r="L2317" t="s">
        <v>67</v>
      </c>
      <c r="M2317" t="s">
        <v>80</v>
      </c>
      <c r="N2317" t="s">
        <v>14</v>
      </c>
    </row>
    <row r="2318" spans="1:14" x14ac:dyDescent="0.35">
      <c r="A2318" s="75">
        <v>44101</v>
      </c>
      <c r="B2318" t="s">
        <v>166</v>
      </c>
      <c r="C2318" t="s">
        <v>100</v>
      </c>
      <c r="D2318">
        <v>7</v>
      </c>
      <c r="E2318">
        <v>5</v>
      </c>
      <c r="F2318">
        <v>2</v>
      </c>
      <c r="G2318" t="s">
        <v>70</v>
      </c>
      <c r="H2318" t="s">
        <v>1</v>
      </c>
      <c r="I2318">
        <v>120000000</v>
      </c>
      <c r="J2318" t="s">
        <v>43</v>
      </c>
      <c r="K2318" t="s">
        <v>2</v>
      </c>
      <c r="L2318" t="s">
        <v>67</v>
      </c>
      <c r="M2318" t="s">
        <v>82</v>
      </c>
      <c r="N2318" t="s">
        <v>13</v>
      </c>
    </row>
    <row r="2319" spans="1:14" x14ac:dyDescent="0.35">
      <c r="A2319" s="75">
        <v>44101</v>
      </c>
      <c r="B2319" t="s">
        <v>166</v>
      </c>
      <c r="C2319" t="s">
        <v>100</v>
      </c>
      <c r="D2319">
        <v>6</v>
      </c>
      <c r="E2319">
        <v>5</v>
      </c>
      <c r="F2319">
        <v>1</v>
      </c>
      <c r="G2319" t="s">
        <v>71</v>
      </c>
      <c r="H2319" t="s">
        <v>6</v>
      </c>
      <c r="I2319">
        <v>60000000</v>
      </c>
      <c r="J2319" t="s">
        <v>48</v>
      </c>
      <c r="K2319" t="s">
        <v>5</v>
      </c>
      <c r="L2319" t="s">
        <v>67</v>
      </c>
      <c r="M2319" t="s">
        <v>80</v>
      </c>
      <c r="N2319" t="s">
        <v>14</v>
      </c>
    </row>
    <row r="2320" spans="1:14" x14ac:dyDescent="0.35">
      <c r="A2320" s="75">
        <v>44101</v>
      </c>
      <c r="B2320" t="s">
        <v>166</v>
      </c>
      <c r="C2320" t="s">
        <v>100</v>
      </c>
      <c r="D2320">
        <v>5</v>
      </c>
      <c r="E2320">
        <v>3</v>
      </c>
      <c r="F2320">
        <v>2</v>
      </c>
      <c r="G2320" t="s">
        <v>73</v>
      </c>
      <c r="H2320" t="s">
        <v>78</v>
      </c>
      <c r="I2320">
        <v>80000000</v>
      </c>
      <c r="J2320" t="s">
        <v>50</v>
      </c>
      <c r="K2320" t="s">
        <v>5</v>
      </c>
      <c r="L2320" t="s">
        <v>67</v>
      </c>
      <c r="M2320" t="s">
        <v>81</v>
      </c>
      <c r="N2320" t="s">
        <v>14</v>
      </c>
    </row>
    <row r="2321" spans="1:14" x14ac:dyDescent="0.35">
      <c r="A2321" s="75">
        <v>44101</v>
      </c>
      <c r="B2321" t="s">
        <v>166</v>
      </c>
      <c r="C2321" t="s">
        <v>100</v>
      </c>
      <c r="D2321">
        <v>4</v>
      </c>
      <c r="E2321">
        <v>2</v>
      </c>
      <c r="F2321">
        <v>2</v>
      </c>
      <c r="G2321" t="s">
        <v>114</v>
      </c>
      <c r="H2321" t="s">
        <v>3</v>
      </c>
      <c r="I2321">
        <v>40000000</v>
      </c>
      <c r="J2321" t="s">
        <v>18</v>
      </c>
      <c r="K2321" t="s">
        <v>2</v>
      </c>
      <c r="L2321" t="s">
        <v>67</v>
      </c>
      <c r="M2321" t="s">
        <v>80</v>
      </c>
      <c r="N2321" t="s">
        <v>12</v>
      </c>
    </row>
    <row r="2322" spans="1:14" x14ac:dyDescent="0.35">
      <c r="A2322" s="75">
        <v>44101</v>
      </c>
      <c r="B2322" t="s">
        <v>166</v>
      </c>
      <c r="C2322" t="s">
        <v>100</v>
      </c>
      <c r="D2322">
        <v>4</v>
      </c>
      <c r="E2322">
        <v>2</v>
      </c>
      <c r="F2322">
        <v>2</v>
      </c>
      <c r="G2322" t="s">
        <v>71</v>
      </c>
      <c r="H2322" t="s">
        <v>6</v>
      </c>
      <c r="I2322">
        <v>100000000</v>
      </c>
      <c r="J2322" t="s">
        <v>15</v>
      </c>
      <c r="K2322" t="s">
        <v>2</v>
      </c>
      <c r="L2322" t="s">
        <v>67</v>
      </c>
      <c r="M2322" t="s">
        <v>80</v>
      </c>
      <c r="N2322" t="s">
        <v>11</v>
      </c>
    </row>
    <row r="2323" spans="1:14" x14ac:dyDescent="0.35">
      <c r="A2323" s="75">
        <v>44102</v>
      </c>
      <c r="B2323" t="s">
        <v>167</v>
      </c>
      <c r="C2323" t="s">
        <v>100</v>
      </c>
      <c r="D2323">
        <v>10</v>
      </c>
      <c r="E2323">
        <v>8</v>
      </c>
      <c r="F2323">
        <v>2</v>
      </c>
      <c r="G2323" t="s">
        <v>75</v>
      </c>
      <c r="H2323" t="s">
        <v>6</v>
      </c>
      <c r="I2323">
        <v>100000000</v>
      </c>
      <c r="J2323" t="s">
        <v>48</v>
      </c>
      <c r="K2323" t="s">
        <v>2</v>
      </c>
      <c r="L2323" t="s">
        <v>67</v>
      </c>
      <c r="M2323" t="s">
        <v>81</v>
      </c>
      <c r="N2323" t="s">
        <v>11</v>
      </c>
    </row>
    <row r="2324" spans="1:14" x14ac:dyDescent="0.35">
      <c r="A2324" s="75">
        <v>44102</v>
      </c>
      <c r="B2324" t="s">
        <v>167</v>
      </c>
      <c r="C2324" t="s">
        <v>100</v>
      </c>
      <c r="D2324">
        <v>9</v>
      </c>
      <c r="E2324">
        <v>8</v>
      </c>
      <c r="F2324">
        <v>1</v>
      </c>
      <c r="G2324" t="s">
        <v>113</v>
      </c>
      <c r="H2324" t="s">
        <v>77</v>
      </c>
      <c r="I2324">
        <v>120000000</v>
      </c>
      <c r="J2324" t="s">
        <v>40</v>
      </c>
      <c r="K2324" t="s">
        <v>2</v>
      </c>
      <c r="L2324" t="s">
        <v>67</v>
      </c>
      <c r="M2324" t="s">
        <v>81</v>
      </c>
      <c r="N2324" t="s">
        <v>13</v>
      </c>
    </row>
    <row r="2325" spans="1:14" x14ac:dyDescent="0.35">
      <c r="A2325" s="75">
        <v>44102</v>
      </c>
      <c r="B2325" t="s">
        <v>167</v>
      </c>
      <c r="C2325" t="s">
        <v>100</v>
      </c>
      <c r="D2325">
        <v>8</v>
      </c>
      <c r="E2325">
        <v>5</v>
      </c>
      <c r="F2325">
        <v>3</v>
      </c>
      <c r="G2325" t="s">
        <v>75</v>
      </c>
      <c r="H2325" t="s">
        <v>6</v>
      </c>
      <c r="I2325">
        <v>80000000</v>
      </c>
      <c r="J2325" t="s">
        <v>38</v>
      </c>
      <c r="K2325" t="s">
        <v>2</v>
      </c>
      <c r="L2325" t="s">
        <v>67</v>
      </c>
      <c r="M2325" t="s">
        <v>82</v>
      </c>
      <c r="N2325" t="s">
        <v>11</v>
      </c>
    </row>
    <row r="2326" spans="1:14" x14ac:dyDescent="0.35">
      <c r="A2326" s="75">
        <v>44102</v>
      </c>
      <c r="B2326" t="s">
        <v>167</v>
      </c>
      <c r="C2326" t="s">
        <v>100</v>
      </c>
      <c r="D2326">
        <v>6</v>
      </c>
      <c r="E2326">
        <v>3</v>
      </c>
      <c r="F2326">
        <v>3</v>
      </c>
      <c r="G2326" t="s">
        <v>73</v>
      </c>
      <c r="H2326" t="s">
        <v>78</v>
      </c>
      <c r="I2326">
        <v>40000000</v>
      </c>
      <c r="J2326" t="s">
        <v>35</v>
      </c>
      <c r="K2326" t="s">
        <v>2</v>
      </c>
      <c r="L2326" t="s">
        <v>67</v>
      </c>
      <c r="M2326" t="s">
        <v>82</v>
      </c>
      <c r="N2326" t="s">
        <v>13</v>
      </c>
    </row>
    <row r="2327" spans="1:14" x14ac:dyDescent="0.35">
      <c r="A2327" s="75">
        <v>44102</v>
      </c>
      <c r="B2327" t="s">
        <v>167</v>
      </c>
      <c r="C2327" t="s">
        <v>100</v>
      </c>
      <c r="D2327">
        <v>5</v>
      </c>
      <c r="E2327">
        <v>4</v>
      </c>
      <c r="F2327">
        <v>1</v>
      </c>
      <c r="G2327" t="s">
        <v>113</v>
      </c>
      <c r="H2327" t="s">
        <v>77</v>
      </c>
      <c r="I2327">
        <v>60000000</v>
      </c>
      <c r="J2327" t="s">
        <v>53</v>
      </c>
      <c r="K2327" t="s">
        <v>2</v>
      </c>
      <c r="L2327" t="s">
        <v>67</v>
      </c>
      <c r="M2327" t="s">
        <v>82</v>
      </c>
      <c r="N2327" t="s">
        <v>13</v>
      </c>
    </row>
    <row r="2328" spans="1:14" x14ac:dyDescent="0.35">
      <c r="A2328" s="75">
        <v>44102</v>
      </c>
      <c r="B2328" t="s">
        <v>167</v>
      </c>
      <c r="C2328" t="s">
        <v>100</v>
      </c>
      <c r="D2328">
        <v>4</v>
      </c>
      <c r="E2328">
        <v>2</v>
      </c>
      <c r="F2328">
        <v>2</v>
      </c>
      <c r="G2328" t="s">
        <v>76</v>
      </c>
      <c r="H2328" t="s">
        <v>79</v>
      </c>
      <c r="I2328">
        <v>140000000</v>
      </c>
      <c r="J2328" t="s">
        <v>47</v>
      </c>
      <c r="K2328" t="s">
        <v>2</v>
      </c>
      <c r="L2328" t="s">
        <v>67</v>
      </c>
      <c r="M2328" t="s">
        <v>82</v>
      </c>
      <c r="N2328" t="s">
        <v>12</v>
      </c>
    </row>
    <row r="2329" spans="1:14" x14ac:dyDescent="0.35">
      <c r="A2329" s="75">
        <v>44102</v>
      </c>
      <c r="B2329" t="s">
        <v>167</v>
      </c>
      <c r="C2329" t="s">
        <v>100</v>
      </c>
      <c r="D2329">
        <v>4</v>
      </c>
      <c r="E2329">
        <v>2</v>
      </c>
      <c r="F2329">
        <v>2</v>
      </c>
      <c r="G2329" t="s">
        <v>114</v>
      </c>
      <c r="H2329" t="s">
        <v>3</v>
      </c>
      <c r="I2329">
        <v>100000000</v>
      </c>
      <c r="J2329" t="s">
        <v>49</v>
      </c>
      <c r="K2329" t="s">
        <v>9</v>
      </c>
      <c r="L2329" t="s">
        <v>67</v>
      </c>
      <c r="M2329" t="s">
        <v>82</v>
      </c>
      <c r="N2329" t="s">
        <v>13</v>
      </c>
    </row>
    <row r="2330" spans="1:14" x14ac:dyDescent="0.35">
      <c r="A2330" s="75">
        <v>44103</v>
      </c>
      <c r="B2330" t="s">
        <v>168</v>
      </c>
      <c r="C2330" t="s">
        <v>100</v>
      </c>
      <c r="D2330">
        <v>9</v>
      </c>
      <c r="E2330">
        <v>8</v>
      </c>
      <c r="F2330">
        <v>1</v>
      </c>
      <c r="G2330" t="s">
        <v>114</v>
      </c>
      <c r="H2330" t="s">
        <v>3</v>
      </c>
      <c r="I2330">
        <v>120000000</v>
      </c>
      <c r="J2330" t="s">
        <v>60</v>
      </c>
      <c r="K2330" t="s">
        <v>7</v>
      </c>
      <c r="L2330" t="s">
        <v>67</v>
      </c>
      <c r="M2330" t="s">
        <v>81</v>
      </c>
      <c r="N2330" t="s">
        <v>14</v>
      </c>
    </row>
    <row r="2331" spans="1:14" x14ac:dyDescent="0.35">
      <c r="A2331" s="75">
        <v>44103</v>
      </c>
      <c r="B2331" t="s">
        <v>168</v>
      </c>
      <c r="C2331" t="s">
        <v>100</v>
      </c>
      <c r="D2331">
        <v>7</v>
      </c>
      <c r="E2331">
        <v>6</v>
      </c>
      <c r="F2331">
        <v>1</v>
      </c>
      <c r="G2331" t="s">
        <v>73</v>
      </c>
      <c r="H2331" t="s">
        <v>78</v>
      </c>
      <c r="I2331">
        <v>40000000</v>
      </c>
      <c r="J2331" t="s">
        <v>33</v>
      </c>
      <c r="K2331" t="s">
        <v>2</v>
      </c>
      <c r="L2331" t="s">
        <v>67</v>
      </c>
      <c r="M2331" t="s">
        <v>82</v>
      </c>
      <c r="N2331" t="s">
        <v>11</v>
      </c>
    </row>
    <row r="2332" spans="1:14" x14ac:dyDescent="0.35">
      <c r="A2332" s="75">
        <v>44103</v>
      </c>
      <c r="B2332" t="s">
        <v>168</v>
      </c>
      <c r="C2332" t="s">
        <v>100</v>
      </c>
      <c r="D2332">
        <v>5</v>
      </c>
      <c r="E2332">
        <v>4</v>
      </c>
      <c r="F2332">
        <v>1</v>
      </c>
      <c r="G2332" t="s">
        <v>73</v>
      </c>
      <c r="H2332" t="s">
        <v>78</v>
      </c>
      <c r="I2332">
        <v>100000000</v>
      </c>
      <c r="J2332" t="s">
        <v>54</v>
      </c>
      <c r="K2332" t="s">
        <v>4</v>
      </c>
      <c r="L2332" t="s">
        <v>67</v>
      </c>
      <c r="M2332" t="s">
        <v>80</v>
      </c>
      <c r="N2332" t="s">
        <v>13</v>
      </c>
    </row>
    <row r="2333" spans="1:14" x14ac:dyDescent="0.35">
      <c r="A2333" s="75">
        <v>44103</v>
      </c>
      <c r="B2333" t="s">
        <v>168</v>
      </c>
      <c r="C2333" t="s">
        <v>100</v>
      </c>
      <c r="D2333">
        <v>4</v>
      </c>
      <c r="E2333">
        <v>3</v>
      </c>
      <c r="F2333">
        <v>1</v>
      </c>
      <c r="G2333" t="s">
        <v>73</v>
      </c>
      <c r="H2333" t="s">
        <v>78</v>
      </c>
      <c r="I2333">
        <v>140000000</v>
      </c>
      <c r="J2333" t="s">
        <v>56</v>
      </c>
      <c r="K2333" t="s">
        <v>5</v>
      </c>
      <c r="L2333" t="s">
        <v>67</v>
      </c>
      <c r="M2333" t="s">
        <v>81</v>
      </c>
      <c r="N2333" t="s">
        <v>12</v>
      </c>
    </row>
    <row r="2334" spans="1:14" x14ac:dyDescent="0.35">
      <c r="A2334" s="75">
        <v>44103</v>
      </c>
      <c r="B2334" t="s">
        <v>168</v>
      </c>
      <c r="C2334" t="s">
        <v>100</v>
      </c>
      <c r="D2334">
        <v>4</v>
      </c>
      <c r="E2334">
        <v>3</v>
      </c>
      <c r="F2334">
        <v>1</v>
      </c>
      <c r="G2334" t="s">
        <v>71</v>
      </c>
      <c r="H2334" t="s">
        <v>6</v>
      </c>
      <c r="I2334">
        <v>40000000</v>
      </c>
      <c r="J2334" t="s">
        <v>29</v>
      </c>
      <c r="K2334" t="s">
        <v>2</v>
      </c>
      <c r="L2334" t="s">
        <v>67</v>
      </c>
      <c r="M2334" t="s">
        <v>80</v>
      </c>
      <c r="N2334" t="s">
        <v>12</v>
      </c>
    </row>
    <row r="2335" spans="1:14" x14ac:dyDescent="0.35">
      <c r="A2335" s="75">
        <v>44104</v>
      </c>
      <c r="B2335" t="s">
        <v>169</v>
      </c>
      <c r="C2335" t="s">
        <v>100</v>
      </c>
      <c r="D2335">
        <v>8</v>
      </c>
      <c r="E2335">
        <v>7</v>
      </c>
      <c r="F2335">
        <v>1</v>
      </c>
      <c r="G2335" t="s">
        <v>75</v>
      </c>
      <c r="H2335" t="s">
        <v>6</v>
      </c>
      <c r="I2335">
        <v>100000000</v>
      </c>
      <c r="J2335" t="s">
        <v>23</v>
      </c>
      <c r="K2335" t="s">
        <v>7</v>
      </c>
      <c r="L2335" t="s">
        <v>67</v>
      </c>
      <c r="M2335" t="s">
        <v>81</v>
      </c>
      <c r="N2335" t="s">
        <v>11</v>
      </c>
    </row>
    <row r="2336" spans="1:14" x14ac:dyDescent="0.35">
      <c r="A2336" s="75">
        <v>44104</v>
      </c>
      <c r="B2336" t="s">
        <v>169</v>
      </c>
      <c r="C2336" t="s">
        <v>100</v>
      </c>
      <c r="D2336">
        <v>7</v>
      </c>
      <c r="E2336">
        <v>4</v>
      </c>
      <c r="F2336">
        <v>3</v>
      </c>
      <c r="G2336" t="s">
        <v>76</v>
      </c>
      <c r="H2336" t="s">
        <v>79</v>
      </c>
      <c r="I2336">
        <v>80000000</v>
      </c>
      <c r="J2336" t="s">
        <v>59</v>
      </c>
      <c r="K2336" t="s">
        <v>7</v>
      </c>
      <c r="L2336" t="s">
        <v>67</v>
      </c>
      <c r="M2336" t="s">
        <v>80</v>
      </c>
      <c r="N2336" t="s">
        <v>14</v>
      </c>
    </row>
    <row r="2337" spans="1:14" x14ac:dyDescent="0.35">
      <c r="A2337" s="75">
        <v>44104</v>
      </c>
      <c r="B2337" t="s">
        <v>169</v>
      </c>
      <c r="C2337" t="s">
        <v>100</v>
      </c>
      <c r="D2337">
        <v>7</v>
      </c>
      <c r="E2337">
        <v>5</v>
      </c>
      <c r="F2337">
        <v>2</v>
      </c>
      <c r="G2337" t="s">
        <v>73</v>
      </c>
      <c r="H2337" t="s">
        <v>78</v>
      </c>
      <c r="I2337">
        <v>100000000</v>
      </c>
      <c r="J2337" t="s">
        <v>47</v>
      </c>
      <c r="K2337" t="s">
        <v>5</v>
      </c>
      <c r="L2337" t="s">
        <v>67</v>
      </c>
      <c r="M2337" t="s">
        <v>81</v>
      </c>
      <c r="N2337" t="s">
        <v>12</v>
      </c>
    </row>
    <row r="2338" spans="1:14" x14ac:dyDescent="0.35">
      <c r="A2338" s="75">
        <v>44104</v>
      </c>
      <c r="B2338" t="s">
        <v>169</v>
      </c>
      <c r="C2338" t="s">
        <v>100</v>
      </c>
      <c r="D2338">
        <v>7</v>
      </c>
      <c r="E2338">
        <v>6</v>
      </c>
      <c r="F2338">
        <v>1</v>
      </c>
      <c r="G2338" t="s">
        <v>113</v>
      </c>
      <c r="H2338" t="s">
        <v>77</v>
      </c>
      <c r="I2338">
        <v>40000000</v>
      </c>
      <c r="J2338" t="s">
        <v>35</v>
      </c>
      <c r="K2338" t="s">
        <v>2</v>
      </c>
      <c r="L2338" t="s">
        <v>67</v>
      </c>
      <c r="M2338" t="s">
        <v>82</v>
      </c>
      <c r="N2338" t="s">
        <v>11</v>
      </c>
    </row>
    <row r="2339" spans="1:14" x14ac:dyDescent="0.35">
      <c r="A2339" s="75">
        <v>44104</v>
      </c>
      <c r="B2339" t="s">
        <v>169</v>
      </c>
      <c r="C2339" t="s">
        <v>100</v>
      </c>
      <c r="D2339">
        <v>6</v>
      </c>
      <c r="E2339">
        <v>4</v>
      </c>
      <c r="F2339">
        <v>2</v>
      </c>
      <c r="G2339" t="s">
        <v>70</v>
      </c>
      <c r="H2339" t="s">
        <v>1</v>
      </c>
      <c r="I2339">
        <v>140000000</v>
      </c>
      <c r="J2339" t="s">
        <v>20</v>
      </c>
      <c r="K2339" t="s">
        <v>5</v>
      </c>
      <c r="L2339" t="s">
        <v>67</v>
      </c>
      <c r="M2339" t="s">
        <v>82</v>
      </c>
      <c r="N2339" t="s">
        <v>11</v>
      </c>
    </row>
    <row r="2340" spans="1:14" x14ac:dyDescent="0.35">
      <c r="A2340" s="75">
        <v>44105</v>
      </c>
      <c r="B2340" t="s">
        <v>140</v>
      </c>
      <c r="C2340" t="s">
        <v>101</v>
      </c>
      <c r="D2340">
        <v>10</v>
      </c>
      <c r="E2340">
        <v>9</v>
      </c>
      <c r="F2340">
        <v>1</v>
      </c>
      <c r="G2340" t="s">
        <v>113</v>
      </c>
      <c r="H2340" t="s">
        <v>77</v>
      </c>
      <c r="I2340">
        <v>80000000</v>
      </c>
      <c r="J2340" t="s">
        <v>64</v>
      </c>
      <c r="K2340" t="s">
        <v>5</v>
      </c>
      <c r="L2340" t="s">
        <v>67</v>
      </c>
      <c r="M2340" t="s">
        <v>81</v>
      </c>
      <c r="N2340" t="s">
        <v>13</v>
      </c>
    </row>
    <row r="2341" spans="1:14" x14ac:dyDescent="0.35">
      <c r="A2341" s="75">
        <v>44105</v>
      </c>
      <c r="B2341" t="s">
        <v>140</v>
      </c>
      <c r="C2341" t="s">
        <v>101</v>
      </c>
      <c r="D2341">
        <v>9</v>
      </c>
      <c r="E2341">
        <v>6</v>
      </c>
      <c r="F2341">
        <v>3</v>
      </c>
      <c r="G2341" t="s">
        <v>70</v>
      </c>
      <c r="H2341" t="s">
        <v>1</v>
      </c>
      <c r="I2341">
        <v>40000000</v>
      </c>
      <c r="J2341" t="s">
        <v>42</v>
      </c>
      <c r="K2341" t="s">
        <v>7</v>
      </c>
      <c r="L2341" t="s">
        <v>67</v>
      </c>
      <c r="M2341" t="s">
        <v>82</v>
      </c>
      <c r="N2341" t="s">
        <v>13</v>
      </c>
    </row>
    <row r="2342" spans="1:14" x14ac:dyDescent="0.35">
      <c r="A2342" s="75">
        <v>44105</v>
      </c>
      <c r="B2342" t="s">
        <v>140</v>
      </c>
      <c r="C2342" t="s">
        <v>101</v>
      </c>
      <c r="D2342">
        <v>9</v>
      </c>
      <c r="E2342">
        <v>8</v>
      </c>
      <c r="F2342">
        <v>1</v>
      </c>
      <c r="G2342" t="s">
        <v>76</v>
      </c>
      <c r="H2342" t="s">
        <v>79</v>
      </c>
      <c r="I2342">
        <v>120000000</v>
      </c>
      <c r="J2342" t="s">
        <v>31</v>
      </c>
      <c r="K2342" t="s">
        <v>8</v>
      </c>
      <c r="L2342" t="s">
        <v>67</v>
      </c>
      <c r="M2342" t="s">
        <v>81</v>
      </c>
      <c r="N2342" t="s">
        <v>13</v>
      </c>
    </row>
    <row r="2343" spans="1:14" x14ac:dyDescent="0.35">
      <c r="A2343" s="75">
        <v>44105</v>
      </c>
      <c r="B2343" t="s">
        <v>140</v>
      </c>
      <c r="C2343" t="s">
        <v>101</v>
      </c>
      <c r="D2343">
        <v>8</v>
      </c>
      <c r="E2343">
        <v>4</v>
      </c>
      <c r="F2343">
        <v>4</v>
      </c>
      <c r="G2343" t="s">
        <v>75</v>
      </c>
      <c r="H2343" t="s">
        <v>6</v>
      </c>
      <c r="I2343">
        <v>140000000</v>
      </c>
      <c r="J2343" t="s">
        <v>63</v>
      </c>
      <c r="K2343" t="s">
        <v>2</v>
      </c>
      <c r="L2343" t="s">
        <v>67</v>
      </c>
      <c r="M2343" t="s">
        <v>82</v>
      </c>
      <c r="N2343" t="s">
        <v>13</v>
      </c>
    </row>
    <row r="2344" spans="1:14" x14ac:dyDescent="0.35">
      <c r="A2344" s="75">
        <v>44105</v>
      </c>
      <c r="B2344" t="s">
        <v>140</v>
      </c>
      <c r="C2344" t="s">
        <v>101</v>
      </c>
      <c r="D2344">
        <v>7</v>
      </c>
      <c r="E2344">
        <v>4</v>
      </c>
      <c r="F2344">
        <v>3</v>
      </c>
      <c r="G2344" t="s">
        <v>114</v>
      </c>
      <c r="H2344" t="s">
        <v>3</v>
      </c>
      <c r="I2344">
        <v>80000000</v>
      </c>
      <c r="J2344" t="s">
        <v>26</v>
      </c>
      <c r="K2344" t="s">
        <v>9</v>
      </c>
      <c r="L2344" t="s">
        <v>67</v>
      </c>
      <c r="M2344" t="s">
        <v>80</v>
      </c>
      <c r="N2344" t="s">
        <v>13</v>
      </c>
    </row>
    <row r="2345" spans="1:14" x14ac:dyDescent="0.35">
      <c r="A2345" s="75">
        <v>44105</v>
      </c>
      <c r="B2345" t="s">
        <v>140</v>
      </c>
      <c r="C2345" t="s">
        <v>101</v>
      </c>
      <c r="D2345">
        <v>7</v>
      </c>
      <c r="E2345">
        <v>5</v>
      </c>
      <c r="F2345">
        <v>2</v>
      </c>
      <c r="G2345" t="s">
        <v>72</v>
      </c>
      <c r="H2345" t="s">
        <v>78</v>
      </c>
      <c r="I2345">
        <v>120000000</v>
      </c>
      <c r="J2345" t="s">
        <v>50</v>
      </c>
      <c r="K2345" t="s">
        <v>5</v>
      </c>
      <c r="L2345" t="s">
        <v>67</v>
      </c>
      <c r="M2345" t="s">
        <v>81</v>
      </c>
      <c r="N2345" t="s">
        <v>12</v>
      </c>
    </row>
    <row r="2346" spans="1:14" x14ac:dyDescent="0.35">
      <c r="A2346" s="75">
        <v>44105</v>
      </c>
      <c r="B2346" t="s">
        <v>140</v>
      </c>
      <c r="C2346" t="s">
        <v>101</v>
      </c>
      <c r="D2346">
        <v>7</v>
      </c>
      <c r="E2346">
        <v>5</v>
      </c>
      <c r="F2346">
        <v>2</v>
      </c>
      <c r="G2346" t="s">
        <v>71</v>
      </c>
      <c r="H2346" t="s">
        <v>6</v>
      </c>
      <c r="I2346">
        <v>100000000</v>
      </c>
      <c r="J2346" t="s">
        <v>16</v>
      </c>
      <c r="K2346" t="s">
        <v>2</v>
      </c>
      <c r="L2346" t="s">
        <v>67</v>
      </c>
      <c r="M2346" t="s">
        <v>81</v>
      </c>
      <c r="N2346" t="s">
        <v>14</v>
      </c>
    </row>
    <row r="2347" spans="1:14" x14ac:dyDescent="0.35">
      <c r="A2347" s="75">
        <v>44105</v>
      </c>
      <c r="B2347" t="s">
        <v>140</v>
      </c>
      <c r="C2347" t="s">
        <v>101</v>
      </c>
      <c r="D2347">
        <v>7</v>
      </c>
      <c r="E2347">
        <v>6</v>
      </c>
      <c r="F2347">
        <v>1</v>
      </c>
      <c r="G2347" t="s">
        <v>113</v>
      </c>
      <c r="H2347" t="s">
        <v>77</v>
      </c>
      <c r="I2347">
        <v>40000000</v>
      </c>
      <c r="J2347" t="s">
        <v>17</v>
      </c>
      <c r="K2347" t="s">
        <v>5</v>
      </c>
      <c r="L2347" t="s">
        <v>67</v>
      </c>
      <c r="M2347" t="s">
        <v>81</v>
      </c>
      <c r="N2347" t="s">
        <v>12</v>
      </c>
    </row>
    <row r="2348" spans="1:14" x14ac:dyDescent="0.35">
      <c r="A2348" s="75">
        <v>44105</v>
      </c>
      <c r="B2348" t="s">
        <v>140</v>
      </c>
      <c r="C2348" t="s">
        <v>101</v>
      </c>
      <c r="D2348">
        <v>7</v>
      </c>
      <c r="E2348">
        <v>4</v>
      </c>
      <c r="F2348">
        <v>3</v>
      </c>
      <c r="G2348" t="s">
        <v>71</v>
      </c>
      <c r="H2348" t="s">
        <v>6</v>
      </c>
      <c r="I2348">
        <v>120000000</v>
      </c>
      <c r="J2348" t="s">
        <v>21</v>
      </c>
      <c r="K2348" t="s">
        <v>7</v>
      </c>
      <c r="L2348" t="s">
        <v>67</v>
      </c>
      <c r="M2348" t="s">
        <v>81</v>
      </c>
      <c r="N2348" t="s">
        <v>11</v>
      </c>
    </row>
    <row r="2349" spans="1:14" x14ac:dyDescent="0.35">
      <c r="A2349" s="75">
        <v>44105</v>
      </c>
      <c r="B2349" t="s">
        <v>140</v>
      </c>
      <c r="C2349" t="s">
        <v>101</v>
      </c>
      <c r="D2349">
        <v>5</v>
      </c>
      <c r="E2349">
        <v>3</v>
      </c>
      <c r="F2349">
        <v>2</v>
      </c>
      <c r="G2349" t="s">
        <v>71</v>
      </c>
      <c r="H2349" t="s">
        <v>6</v>
      </c>
      <c r="I2349">
        <v>100000000</v>
      </c>
      <c r="J2349" t="s">
        <v>49</v>
      </c>
      <c r="K2349" t="s">
        <v>7</v>
      </c>
      <c r="L2349" t="s">
        <v>67</v>
      </c>
      <c r="M2349" t="s">
        <v>81</v>
      </c>
      <c r="N2349" t="s">
        <v>12</v>
      </c>
    </row>
    <row r="2350" spans="1:14" x14ac:dyDescent="0.35">
      <c r="A2350" s="75">
        <v>44106</v>
      </c>
      <c r="B2350" t="s">
        <v>141</v>
      </c>
      <c r="C2350" t="s">
        <v>101</v>
      </c>
      <c r="D2350">
        <v>9</v>
      </c>
      <c r="E2350">
        <v>7</v>
      </c>
      <c r="F2350">
        <v>2</v>
      </c>
      <c r="G2350" t="s">
        <v>72</v>
      </c>
      <c r="H2350" t="s">
        <v>78</v>
      </c>
      <c r="I2350">
        <v>40000000</v>
      </c>
      <c r="J2350" t="s">
        <v>45</v>
      </c>
      <c r="K2350" t="s">
        <v>4</v>
      </c>
      <c r="L2350" t="s">
        <v>67</v>
      </c>
      <c r="M2350" t="s">
        <v>81</v>
      </c>
      <c r="N2350" t="s">
        <v>13</v>
      </c>
    </row>
    <row r="2351" spans="1:14" x14ac:dyDescent="0.35">
      <c r="A2351" s="75">
        <v>44106</v>
      </c>
      <c r="B2351" t="s">
        <v>141</v>
      </c>
      <c r="C2351" t="s">
        <v>101</v>
      </c>
      <c r="D2351">
        <v>9</v>
      </c>
      <c r="E2351">
        <v>5</v>
      </c>
      <c r="F2351">
        <v>4</v>
      </c>
      <c r="G2351" t="s">
        <v>74</v>
      </c>
      <c r="H2351" t="s">
        <v>77</v>
      </c>
      <c r="I2351">
        <v>140000000</v>
      </c>
      <c r="J2351" t="s">
        <v>32</v>
      </c>
      <c r="K2351" t="s">
        <v>5</v>
      </c>
      <c r="L2351" t="s">
        <v>67</v>
      </c>
      <c r="M2351" t="s">
        <v>81</v>
      </c>
      <c r="N2351" t="s">
        <v>14</v>
      </c>
    </row>
    <row r="2352" spans="1:14" x14ac:dyDescent="0.35">
      <c r="A2352" s="75">
        <v>44106</v>
      </c>
      <c r="B2352" t="s">
        <v>141</v>
      </c>
      <c r="C2352" t="s">
        <v>101</v>
      </c>
      <c r="D2352">
        <v>9</v>
      </c>
      <c r="E2352">
        <v>8</v>
      </c>
      <c r="F2352">
        <v>1</v>
      </c>
      <c r="G2352" t="s">
        <v>72</v>
      </c>
      <c r="H2352" t="s">
        <v>78</v>
      </c>
      <c r="I2352">
        <v>100000000</v>
      </c>
      <c r="J2352" t="s">
        <v>55</v>
      </c>
      <c r="K2352" t="s">
        <v>8</v>
      </c>
      <c r="L2352" t="s">
        <v>67</v>
      </c>
      <c r="M2352" t="s">
        <v>82</v>
      </c>
      <c r="N2352" t="s">
        <v>13</v>
      </c>
    </row>
    <row r="2353" spans="1:14" x14ac:dyDescent="0.35">
      <c r="A2353" s="75">
        <v>44106</v>
      </c>
      <c r="B2353" t="s">
        <v>141</v>
      </c>
      <c r="C2353" t="s">
        <v>101</v>
      </c>
      <c r="D2353">
        <v>8</v>
      </c>
      <c r="E2353">
        <v>5</v>
      </c>
      <c r="F2353">
        <v>3</v>
      </c>
      <c r="G2353" t="s">
        <v>71</v>
      </c>
      <c r="H2353" t="s">
        <v>6</v>
      </c>
      <c r="I2353">
        <v>40000000</v>
      </c>
      <c r="J2353" t="s">
        <v>57</v>
      </c>
      <c r="K2353" t="s">
        <v>2</v>
      </c>
      <c r="L2353" t="s">
        <v>67</v>
      </c>
      <c r="M2353" t="s">
        <v>80</v>
      </c>
      <c r="N2353" t="s">
        <v>14</v>
      </c>
    </row>
    <row r="2354" spans="1:14" x14ac:dyDescent="0.35">
      <c r="A2354" s="75">
        <v>44106</v>
      </c>
      <c r="B2354" t="s">
        <v>141</v>
      </c>
      <c r="C2354" t="s">
        <v>101</v>
      </c>
      <c r="D2354">
        <v>6</v>
      </c>
      <c r="E2354">
        <v>3</v>
      </c>
      <c r="F2354">
        <v>3</v>
      </c>
      <c r="G2354" t="s">
        <v>75</v>
      </c>
      <c r="H2354" t="s">
        <v>6</v>
      </c>
      <c r="I2354">
        <v>60000000</v>
      </c>
      <c r="J2354" t="s">
        <v>32</v>
      </c>
      <c r="K2354" t="s">
        <v>2</v>
      </c>
      <c r="L2354" t="s">
        <v>67</v>
      </c>
      <c r="M2354" t="s">
        <v>81</v>
      </c>
      <c r="N2354" t="s">
        <v>11</v>
      </c>
    </row>
    <row r="2355" spans="1:14" x14ac:dyDescent="0.35">
      <c r="A2355" s="75">
        <v>44106</v>
      </c>
      <c r="B2355" t="s">
        <v>141</v>
      </c>
      <c r="C2355" t="s">
        <v>101</v>
      </c>
      <c r="D2355">
        <v>6</v>
      </c>
      <c r="E2355">
        <v>4</v>
      </c>
      <c r="F2355">
        <v>2</v>
      </c>
      <c r="G2355" t="s">
        <v>73</v>
      </c>
      <c r="H2355" t="s">
        <v>78</v>
      </c>
      <c r="I2355">
        <v>40000000</v>
      </c>
      <c r="J2355" t="s">
        <v>53</v>
      </c>
      <c r="K2355" t="s">
        <v>5</v>
      </c>
      <c r="L2355" t="s">
        <v>67</v>
      </c>
      <c r="M2355" t="s">
        <v>80</v>
      </c>
      <c r="N2355" t="s">
        <v>14</v>
      </c>
    </row>
    <row r="2356" spans="1:14" x14ac:dyDescent="0.35">
      <c r="A2356" s="75">
        <v>44106</v>
      </c>
      <c r="B2356" t="s">
        <v>141</v>
      </c>
      <c r="C2356" t="s">
        <v>101</v>
      </c>
      <c r="D2356">
        <v>5</v>
      </c>
      <c r="E2356">
        <v>3</v>
      </c>
      <c r="F2356">
        <v>2</v>
      </c>
      <c r="G2356" t="s">
        <v>113</v>
      </c>
      <c r="H2356" t="s">
        <v>77</v>
      </c>
      <c r="I2356">
        <v>80000000</v>
      </c>
      <c r="J2356" t="s">
        <v>23</v>
      </c>
      <c r="K2356" t="s">
        <v>9</v>
      </c>
      <c r="L2356" t="s">
        <v>67</v>
      </c>
      <c r="M2356" t="s">
        <v>82</v>
      </c>
      <c r="N2356" t="s">
        <v>12</v>
      </c>
    </row>
    <row r="2357" spans="1:14" x14ac:dyDescent="0.35">
      <c r="A2357" s="75">
        <v>44106</v>
      </c>
      <c r="B2357" t="s">
        <v>141</v>
      </c>
      <c r="C2357" t="s">
        <v>101</v>
      </c>
      <c r="D2357">
        <v>4</v>
      </c>
      <c r="E2357">
        <v>3</v>
      </c>
      <c r="F2357">
        <v>1</v>
      </c>
      <c r="G2357" t="s">
        <v>114</v>
      </c>
      <c r="H2357" t="s">
        <v>3</v>
      </c>
      <c r="I2357">
        <v>100000000</v>
      </c>
      <c r="J2357" t="s">
        <v>52</v>
      </c>
      <c r="K2357" t="s">
        <v>9</v>
      </c>
      <c r="L2357" t="s">
        <v>67</v>
      </c>
      <c r="M2357" t="s">
        <v>82</v>
      </c>
      <c r="N2357" t="s">
        <v>11</v>
      </c>
    </row>
    <row r="2358" spans="1:14" x14ac:dyDescent="0.35">
      <c r="A2358" s="75">
        <v>44106</v>
      </c>
      <c r="B2358" t="s">
        <v>141</v>
      </c>
      <c r="C2358" t="s">
        <v>101</v>
      </c>
      <c r="D2358">
        <v>4</v>
      </c>
      <c r="E2358">
        <v>3</v>
      </c>
      <c r="F2358">
        <v>1</v>
      </c>
      <c r="G2358" t="s">
        <v>76</v>
      </c>
      <c r="H2358" t="s">
        <v>79</v>
      </c>
      <c r="I2358">
        <v>60000000</v>
      </c>
      <c r="J2358" t="s">
        <v>29</v>
      </c>
      <c r="K2358" t="s">
        <v>5</v>
      </c>
      <c r="L2358" t="s">
        <v>67</v>
      </c>
      <c r="M2358" t="s">
        <v>80</v>
      </c>
      <c r="N2358" t="s">
        <v>12</v>
      </c>
    </row>
    <row r="2359" spans="1:14" x14ac:dyDescent="0.35">
      <c r="A2359" s="75">
        <v>44106</v>
      </c>
      <c r="B2359" t="s">
        <v>141</v>
      </c>
      <c r="C2359" t="s">
        <v>101</v>
      </c>
      <c r="D2359">
        <v>4</v>
      </c>
      <c r="E2359">
        <v>3</v>
      </c>
      <c r="F2359">
        <v>1</v>
      </c>
      <c r="G2359" t="s">
        <v>113</v>
      </c>
      <c r="H2359" t="s">
        <v>77</v>
      </c>
      <c r="I2359">
        <v>60000000</v>
      </c>
      <c r="J2359" t="s">
        <v>27</v>
      </c>
      <c r="K2359" t="s">
        <v>5</v>
      </c>
      <c r="L2359" t="s">
        <v>67</v>
      </c>
      <c r="M2359" t="s">
        <v>81</v>
      </c>
      <c r="N2359" t="s">
        <v>14</v>
      </c>
    </row>
    <row r="2360" spans="1:14" x14ac:dyDescent="0.35">
      <c r="A2360" s="75">
        <v>44107</v>
      </c>
      <c r="B2360" t="s">
        <v>142</v>
      </c>
      <c r="C2360" t="s">
        <v>101</v>
      </c>
      <c r="D2360">
        <v>9</v>
      </c>
      <c r="E2360">
        <v>6</v>
      </c>
      <c r="F2360">
        <v>3</v>
      </c>
      <c r="G2360" t="s">
        <v>71</v>
      </c>
      <c r="H2360" t="s">
        <v>6</v>
      </c>
      <c r="I2360">
        <v>80000000</v>
      </c>
      <c r="J2360" t="s">
        <v>61</v>
      </c>
      <c r="K2360" t="s">
        <v>5</v>
      </c>
      <c r="L2360" t="s">
        <v>67</v>
      </c>
      <c r="M2360" t="s">
        <v>81</v>
      </c>
      <c r="N2360" t="s">
        <v>12</v>
      </c>
    </row>
    <row r="2361" spans="1:14" x14ac:dyDescent="0.35">
      <c r="A2361" s="75">
        <v>44107</v>
      </c>
      <c r="B2361" t="s">
        <v>142</v>
      </c>
      <c r="C2361" t="s">
        <v>101</v>
      </c>
      <c r="D2361">
        <v>8</v>
      </c>
      <c r="E2361">
        <v>6</v>
      </c>
      <c r="F2361">
        <v>2</v>
      </c>
      <c r="G2361" t="s">
        <v>113</v>
      </c>
      <c r="H2361" t="s">
        <v>77</v>
      </c>
      <c r="I2361">
        <v>80000000</v>
      </c>
      <c r="J2361" t="s">
        <v>21</v>
      </c>
      <c r="K2361" t="s">
        <v>8</v>
      </c>
      <c r="L2361" t="s">
        <v>67</v>
      </c>
      <c r="M2361" t="s">
        <v>82</v>
      </c>
      <c r="N2361" t="s">
        <v>11</v>
      </c>
    </row>
    <row r="2362" spans="1:14" x14ac:dyDescent="0.35">
      <c r="A2362" s="75">
        <v>44107</v>
      </c>
      <c r="B2362" t="s">
        <v>142</v>
      </c>
      <c r="C2362" t="s">
        <v>101</v>
      </c>
      <c r="D2362">
        <v>8</v>
      </c>
      <c r="E2362">
        <v>6</v>
      </c>
      <c r="F2362">
        <v>2</v>
      </c>
      <c r="G2362" t="s">
        <v>70</v>
      </c>
      <c r="H2362" t="s">
        <v>1</v>
      </c>
      <c r="I2362">
        <v>80000000</v>
      </c>
      <c r="J2362" t="s">
        <v>37</v>
      </c>
      <c r="K2362" t="s">
        <v>9</v>
      </c>
      <c r="L2362" t="s">
        <v>67</v>
      </c>
      <c r="M2362" t="s">
        <v>82</v>
      </c>
      <c r="N2362" t="s">
        <v>12</v>
      </c>
    </row>
    <row r="2363" spans="1:14" x14ac:dyDescent="0.35">
      <c r="A2363" s="75">
        <v>44107</v>
      </c>
      <c r="B2363" t="s">
        <v>142</v>
      </c>
      <c r="C2363" t="s">
        <v>101</v>
      </c>
      <c r="D2363">
        <v>8</v>
      </c>
      <c r="E2363">
        <v>6</v>
      </c>
      <c r="F2363">
        <v>2</v>
      </c>
      <c r="G2363" t="s">
        <v>71</v>
      </c>
      <c r="H2363" t="s">
        <v>6</v>
      </c>
      <c r="I2363">
        <v>100000000</v>
      </c>
      <c r="J2363" t="s">
        <v>51</v>
      </c>
      <c r="K2363" t="s">
        <v>5</v>
      </c>
      <c r="L2363" t="s">
        <v>67</v>
      </c>
      <c r="M2363" t="s">
        <v>80</v>
      </c>
      <c r="N2363" t="s">
        <v>14</v>
      </c>
    </row>
    <row r="2364" spans="1:14" x14ac:dyDescent="0.35">
      <c r="A2364" s="75">
        <v>44107</v>
      </c>
      <c r="B2364" t="s">
        <v>142</v>
      </c>
      <c r="C2364" t="s">
        <v>101</v>
      </c>
      <c r="D2364">
        <v>7</v>
      </c>
      <c r="E2364">
        <v>4</v>
      </c>
      <c r="F2364">
        <v>3</v>
      </c>
      <c r="G2364" t="s">
        <v>73</v>
      </c>
      <c r="H2364" t="s">
        <v>78</v>
      </c>
      <c r="I2364">
        <v>100000000</v>
      </c>
      <c r="J2364" t="s">
        <v>37</v>
      </c>
      <c r="K2364" t="s">
        <v>7</v>
      </c>
      <c r="L2364" t="s">
        <v>67</v>
      </c>
      <c r="M2364" t="s">
        <v>80</v>
      </c>
      <c r="N2364" t="s">
        <v>11</v>
      </c>
    </row>
    <row r="2365" spans="1:14" x14ac:dyDescent="0.35">
      <c r="A2365" s="75">
        <v>44107</v>
      </c>
      <c r="B2365" t="s">
        <v>142</v>
      </c>
      <c r="C2365" t="s">
        <v>101</v>
      </c>
      <c r="D2365">
        <v>7</v>
      </c>
      <c r="E2365">
        <v>4</v>
      </c>
      <c r="F2365">
        <v>3</v>
      </c>
      <c r="G2365" t="s">
        <v>114</v>
      </c>
      <c r="H2365" t="s">
        <v>3</v>
      </c>
      <c r="I2365">
        <v>40000000</v>
      </c>
      <c r="J2365" t="s">
        <v>38</v>
      </c>
      <c r="K2365" t="s">
        <v>5</v>
      </c>
      <c r="L2365" t="s">
        <v>67</v>
      </c>
      <c r="M2365" t="s">
        <v>82</v>
      </c>
      <c r="N2365" t="s">
        <v>13</v>
      </c>
    </row>
    <row r="2366" spans="1:14" x14ac:dyDescent="0.35">
      <c r="A2366" s="75">
        <v>44107</v>
      </c>
      <c r="B2366" t="s">
        <v>142</v>
      </c>
      <c r="C2366" t="s">
        <v>101</v>
      </c>
      <c r="D2366">
        <v>5</v>
      </c>
      <c r="E2366">
        <v>4</v>
      </c>
      <c r="F2366">
        <v>1</v>
      </c>
      <c r="G2366" t="s">
        <v>73</v>
      </c>
      <c r="H2366" t="s">
        <v>78</v>
      </c>
      <c r="I2366">
        <v>40000000</v>
      </c>
      <c r="J2366" t="s">
        <v>31</v>
      </c>
      <c r="K2366" t="s">
        <v>5</v>
      </c>
      <c r="L2366" t="s">
        <v>67</v>
      </c>
      <c r="M2366" t="s">
        <v>82</v>
      </c>
      <c r="N2366" t="s">
        <v>12</v>
      </c>
    </row>
    <row r="2367" spans="1:14" x14ac:dyDescent="0.35">
      <c r="A2367" s="75">
        <v>44107</v>
      </c>
      <c r="B2367" t="s">
        <v>142</v>
      </c>
      <c r="C2367" t="s">
        <v>101</v>
      </c>
      <c r="D2367">
        <v>4</v>
      </c>
      <c r="E2367">
        <v>2</v>
      </c>
      <c r="F2367">
        <v>2</v>
      </c>
      <c r="G2367" t="s">
        <v>75</v>
      </c>
      <c r="H2367" t="s">
        <v>6</v>
      </c>
      <c r="I2367">
        <v>100000000</v>
      </c>
      <c r="J2367" t="s">
        <v>16</v>
      </c>
      <c r="K2367" t="s">
        <v>5</v>
      </c>
      <c r="L2367" t="s">
        <v>67</v>
      </c>
      <c r="M2367" t="s">
        <v>82</v>
      </c>
      <c r="N2367" t="s">
        <v>13</v>
      </c>
    </row>
    <row r="2368" spans="1:14" x14ac:dyDescent="0.35">
      <c r="A2368" s="75">
        <v>44107</v>
      </c>
      <c r="B2368" t="s">
        <v>142</v>
      </c>
      <c r="C2368" t="s">
        <v>101</v>
      </c>
      <c r="D2368">
        <v>4</v>
      </c>
      <c r="E2368">
        <v>3</v>
      </c>
      <c r="F2368">
        <v>1</v>
      </c>
      <c r="G2368" t="s">
        <v>75</v>
      </c>
      <c r="H2368" t="s">
        <v>6</v>
      </c>
      <c r="I2368">
        <v>140000000</v>
      </c>
      <c r="J2368" t="s">
        <v>32</v>
      </c>
      <c r="K2368" t="s">
        <v>2</v>
      </c>
      <c r="L2368" t="s">
        <v>67</v>
      </c>
      <c r="M2368" t="s">
        <v>81</v>
      </c>
      <c r="N2368" t="s">
        <v>13</v>
      </c>
    </row>
    <row r="2369" spans="1:14" x14ac:dyDescent="0.35">
      <c r="A2369" s="75">
        <v>44107</v>
      </c>
      <c r="B2369" t="s">
        <v>142</v>
      </c>
      <c r="C2369" t="s">
        <v>101</v>
      </c>
      <c r="D2369">
        <v>3</v>
      </c>
      <c r="E2369">
        <v>2</v>
      </c>
      <c r="F2369">
        <v>1</v>
      </c>
      <c r="G2369" t="s">
        <v>70</v>
      </c>
      <c r="H2369" t="s">
        <v>1</v>
      </c>
      <c r="I2369">
        <v>60000000</v>
      </c>
      <c r="J2369" t="s">
        <v>27</v>
      </c>
      <c r="K2369" t="s">
        <v>2</v>
      </c>
      <c r="L2369" t="s">
        <v>67</v>
      </c>
      <c r="M2369" t="s">
        <v>82</v>
      </c>
      <c r="N2369" t="s">
        <v>14</v>
      </c>
    </row>
    <row r="2370" spans="1:14" x14ac:dyDescent="0.35">
      <c r="A2370" s="75">
        <v>44107</v>
      </c>
      <c r="B2370" t="s">
        <v>142</v>
      </c>
      <c r="C2370" t="s">
        <v>101</v>
      </c>
      <c r="D2370">
        <v>3</v>
      </c>
      <c r="E2370">
        <v>1</v>
      </c>
      <c r="F2370">
        <v>2</v>
      </c>
      <c r="G2370" t="s">
        <v>74</v>
      </c>
      <c r="H2370" t="s">
        <v>77</v>
      </c>
      <c r="I2370">
        <v>60000000</v>
      </c>
      <c r="J2370" t="s">
        <v>37</v>
      </c>
      <c r="K2370" t="s">
        <v>5</v>
      </c>
      <c r="L2370" t="s">
        <v>67</v>
      </c>
      <c r="M2370" t="s">
        <v>80</v>
      </c>
      <c r="N2370" t="s">
        <v>11</v>
      </c>
    </row>
    <row r="2371" spans="1:14" x14ac:dyDescent="0.35">
      <c r="A2371" s="75">
        <v>44108</v>
      </c>
      <c r="B2371" t="s">
        <v>143</v>
      </c>
      <c r="C2371" t="s">
        <v>101</v>
      </c>
      <c r="D2371">
        <v>9</v>
      </c>
      <c r="E2371">
        <v>7</v>
      </c>
      <c r="F2371">
        <v>2</v>
      </c>
      <c r="G2371" t="s">
        <v>113</v>
      </c>
      <c r="H2371" t="s">
        <v>77</v>
      </c>
      <c r="I2371">
        <v>100000000</v>
      </c>
      <c r="J2371" t="s">
        <v>54</v>
      </c>
      <c r="K2371" t="s">
        <v>5</v>
      </c>
      <c r="L2371" t="s">
        <v>67</v>
      </c>
      <c r="M2371" t="s">
        <v>81</v>
      </c>
      <c r="N2371" t="s">
        <v>11</v>
      </c>
    </row>
    <row r="2372" spans="1:14" x14ac:dyDescent="0.35">
      <c r="A2372" s="75">
        <v>44108</v>
      </c>
      <c r="B2372" t="s">
        <v>143</v>
      </c>
      <c r="C2372" t="s">
        <v>101</v>
      </c>
      <c r="D2372">
        <v>9</v>
      </c>
      <c r="E2372">
        <v>5</v>
      </c>
      <c r="F2372">
        <v>4</v>
      </c>
      <c r="G2372" t="s">
        <v>76</v>
      </c>
      <c r="H2372" t="s">
        <v>79</v>
      </c>
      <c r="I2372">
        <v>120000000</v>
      </c>
      <c r="J2372" t="s">
        <v>50</v>
      </c>
      <c r="K2372" t="s">
        <v>5</v>
      </c>
      <c r="L2372" t="s">
        <v>67</v>
      </c>
      <c r="M2372" t="s">
        <v>81</v>
      </c>
      <c r="N2372" t="s">
        <v>14</v>
      </c>
    </row>
    <row r="2373" spans="1:14" x14ac:dyDescent="0.35">
      <c r="A2373" s="75">
        <v>44108</v>
      </c>
      <c r="B2373" t="s">
        <v>143</v>
      </c>
      <c r="C2373" t="s">
        <v>101</v>
      </c>
      <c r="D2373">
        <v>9</v>
      </c>
      <c r="E2373">
        <v>8</v>
      </c>
      <c r="F2373">
        <v>1</v>
      </c>
      <c r="G2373" t="s">
        <v>76</v>
      </c>
      <c r="H2373" t="s">
        <v>79</v>
      </c>
      <c r="I2373">
        <v>140000000</v>
      </c>
      <c r="J2373" t="s">
        <v>51</v>
      </c>
      <c r="K2373" t="s">
        <v>8</v>
      </c>
      <c r="L2373" t="s">
        <v>67</v>
      </c>
      <c r="M2373" t="s">
        <v>81</v>
      </c>
      <c r="N2373" t="s">
        <v>11</v>
      </c>
    </row>
    <row r="2374" spans="1:14" x14ac:dyDescent="0.35">
      <c r="A2374" s="75">
        <v>44108</v>
      </c>
      <c r="B2374" t="s">
        <v>143</v>
      </c>
      <c r="C2374" t="s">
        <v>101</v>
      </c>
      <c r="D2374">
        <v>7</v>
      </c>
      <c r="E2374">
        <v>6</v>
      </c>
      <c r="F2374">
        <v>1</v>
      </c>
      <c r="G2374" t="s">
        <v>70</v>
      </c>
      <c r="H2374" t="s">
        <v>1</v>
      </c>
      <c r="I2374">
        <v>60000000</v>
      </c>
      <c r="J2374" t="s">
        <v>64</v>
      </c>
      <c r="K2374" t="s">
        <v>5</v>
      </c>
      <c r="L2374" t="s">
        <v>67</v>
      </c>
      <c r="M2374" t="s">
        <v>82</v>
      </c>
      <c r="N2374" t="s">
        <v>11</v>
      </c>
    </row>
    <row r="2375" spans="1:14" x14ac:dyDescent="0.35">
      <c r="A2375" s="75">
        <v>44108</v>
      </c>
      <c r="B2375" t="s">
        <v>143</v>
      </c>
      <c r="C2375" t="s">
        <v>101</v>
      </c>
      <c r="D2375">
        <v>6</v>
      </c>
      <c r="E2375">
        <v>5</v>
      </c>
      <c r="F2375">
        <v>1</v>
      </c>
      <c r="G2375" t="s">
        <v>75</v>
      </c>
      <c r="H2375" t="s">
        <v>6</v>
      </c>
      <c r="I2375">
        <v>80000000</v>
      </c>
      <c r="J2375" t="s">
        <v>36</v>
      </c>
      <c r="K2375" t="s">
        <v>2</v>
      </c>
      <c r="L2375" t="s">
        <v>67</v>
      </c>
      <c r="M2375" t="s">
        <v>81</v>
      </c>
      <c r="N2375" t="s">
        <v>14</v>
      </c>
    </row>
    <row r="2376" spans="1:14" x14ac:dyDescent="0.35">
      <c r="A2376" s="75">
        <v>44108</v>
      </c>
      <c r="B2376" t="s">
        <v>143</v>
      </c>
      <c r="C2376" t="s">
        <v>101</v>
      </c>
      <c r="D2376">
        <v>6</v>
      </c>
      <c r="E2376">
        <v>5</v>
      </c>
      <c r="F2376">
        <v>1</v>
      </c>
      <c r="G2376" t="s">
        <v>70</v>
      </c>
      <c r="H2376" t="s">
        <v>1</v>
      </c>
      <c r="I2376">
        <v>140000000</v>
      </c>
      <c r="J2376" t="s">
        <v>41</v>
      </c>
      <c r="K2376" t="s">
        <v>2</v>
      </c>
      <c r="L2376" t="s">
        <v>67</v>
      </c>
      <c r="M2376" t="s">
        <v>80</v>
      </c>
      <c r="N2376" t="s">
        <v>13</v>
      </c>
    </row>
    <row r="2377" spans="1:14" x14ac:dyDescent="0.35">
      <c r="A2377" s="75">
        <v>44108</v>
      </c>
      <c r="B2377" t="s">
        <v>143</v>
      </c>
      <c r="C2377" t="s">
        <v>101</v>
      </c>
      <c r="D2377">
        <v>6</v>
      </c>
      <c r="E2377">
        <v>4</v>
      </c>
      <c r="F2377">
        <v>2</v>
      </c>
      <c r="G2377" t="s">
        <v>70</v>
      </c>
      <c r="H2377" t="s">
        <v>1</v>
      </c>
      <c r="I2377">
        <v>120000000</v>
      </c>
      <c r="J2377" t="s">
        <v>55</v>
      </c>
      <c r="K2377" t="s">
        <v>8</v>
      </c>
      <c r="L2377" t="s">
        <v>67</v>
      </c>
      <c r="M2377" t="s">
        <v>82</v>
      </c>
      <c r="N2377" t="s">
        <v>11</v>
      </c>
    </row>
    <row r="2378" spans="1:14" x14ac:dyDescent="0.35">
      <c r="A2378" s="75">
        <v>44108</v>
      </c>
      <c r="B2378" t="s">
        <v>143</v>
      </c>
      <c r="C2378" t="s">
        <v>101</v>
      </c>
      <c r="D2378">
        <v>5</v>
      </c>
      <c r="E2378">
        <v>4</v>
      </c>
      <c r="F2378">
        <v>1</v>
      </c>
      <c r="G2378" t="s">
        <v>114</v>
      </c>
      <c r="H2378" t="s">
        <v>3</v>
      </c>
      <c r="I2378">
        <v>60000000</v>
      </c>
      <c r="J2378" t="s">
        <v>33</v>
      </c>
      <c r="K2378" t="s">
        <v>4</v>
      </c>
      <c r="L2378" t="s">
        <v>67</v>
      </c>
      <c r="M2378" t="s">
        <v>80</v>
      </c>
      <c r="N2378" t="s">
        <v>11</v>
      </c>
    </row>
    <row r="2379" spans="1:14" x14ac:dyDescent="0.35">
      <c r="A2379" s="75">
        <v>44108</v>
      </c>
      <c r="B2379" t="s">
        <v>143</v>
      </c>
      <c r="C2379" t="s">
        <v>101</v>
      </c>
      <c r="D2379">
        <v>4</v>
      </c>
      <c r="E2379">
        <v>3</v>
      </c>
      <c r="F2379">
        <v>1</v>
      </c>
      <c r="G2379" t="s">
        <v>73</v>
      </c>
      <c r="H2379" t="s">
        <v>78</v>
      </c>
      <c r="I2379">
        <v>60000000</v>
      </c>
      <c r="J2379" t="s">
        <v>23</v>
      </c>
      <c r="K2379" t="s">
        <v>8</v>
      </c>
      <c r="L2379" t="s">
        <v>67</v>
      </c>
      <c r="M2379" t="s">
        <v>81</v>
      </c>
      <c r="N2379" t="s">
        <v>12</v>
      </c>
    </row>
    <row r="2380" spans="1:14" x14ac:dyDescent="0.35">
      <c r="A2380" s="75">
        <v>44108</v>
      </c>
      <c r="B2380" t="s">
        <v>143</v>
      </c>
      <c r="C2380" t="s">
        <v>101</v>
      </c>
      <c r="D2380">
        <v>3</v>
      </c>
      <c r="E2380">
        <v>2</v>
      </c>
      <c r="F2380">
        <v>1</v>
      </c>
      <c r="G2380" t="s">
        <v>71</v>
      </c>
      <c r="H2380" t="s">
        <v>6</v>
      </c>
      <c r="I2380">
        <v>100000000</v>
      </c>
      <c r="J2380" t="s">
        <v>40</v>
      </c>
      <c r="K2380" t="s">
        <v>2</v>
      </c>
      <c r="L2380" t="s">
        <v>67</v>
      </c>
      <c r="M2380" t="s">
        <v>80</v>
      </c>
      <c r="N2380" t="s">
        <v>13</v>
      </c>
    </row>
    <row r="2381" spans="1:14" x14ac:dyDescent="0.35">
      <c r="A2381" s="75">
        <v>44109</v>
      </c>
      <c r="B2381" t="s">
        <v>144</v>
      </c>
      <c r="C2381" t="s">
        <v>101</v>
      </c>
      <c r="D2381">
        <v>10</v>
      </c>
      <c r="E2381">
        <v>8</v>
      </c>
      <c r="F2381">
        <v>2</v>
      </c>
      <c r="G2381" t="s">
        <v>74</v>
      </c>
      <c r="H2381" t="s">
        <v>77</v>
      </c>
      <c r="I2381">
        <v>100000000</v>
      </c>
      <c r="J2381" t="s">
        <v>28</v>
      </c>
      <c r="K2381" t="s">
        <v>7</v>
      </c>
      <c r="L2381" t="s">
        <v>67</v>
      </c>
      <c r="M2381" t="s">
        <v>81</v>
      </c>
      <c r="N2381" t="s">
        <v>14</v>
      </c>
    </row>
    <row r="2382" spans="1:14" x14ac:dyDescent="0.35">
      <c r="A2382" s="75">
        <v>44109</v>
      </c>
      <c r="B2382" t="s">
        <v>144</v>
      </c>
      <c r="C2382" t="s">
        <v>101</v>
      </c>
      <c r="D2382">
        <v>10</v>
      </c>
      <c r="E2382">
        <v>6</v>
      </c>
      <c r="F2382">
        <v>4</v>
      </c>
      <c r="G2382" t="s">
        <v>70</v>
      </c>
      <c r="H2382" t="s">
        <v>1</v>
      </c>
      <c r="I2382">
        <v>100000000</v>
      </c>
      <c r="J2382" t="s">
        <v>54</v>
      </c>
      <c r="K2382" t="s">
        <v>4</v>
      </c>
      <c r="L2382" t="s">
        <v>67</v>
      </c>
      <c r="M2382" t="s">
        <v>82</v>
      </c>
      <c r="N2382" t="s">
        <v>14</v>
      </c>
    </row>
    <row r="2383" spans="1:14" x14ac:dyDescent="0.35">
      <c r="A2383" s="75">
        <v>44109</v>
      </c>
      <c r="B2383" t="s">
        <v>144</v>
      </c>
      <c r="C2383" t="s">
        <v>101</v>
      </c>
      <c r="D2383">
        <v>9</v>
      </c>
      <c r="E2383">
        <v>5</v>
      </c>
      <c r="F2383">
        <v>4</v>
      </c>
      <c r="G2383" t="s">
        <v>74</v>
      </c>
      <c r="H2383" t="s">
        <v>77</v>
      </c>
      <c r="I2383">
        <v>40000000</v>
      </c>
      <c r="J2383" t="s">
        <v>59</v>
      </c>
      <c r="K2383" t="s">
        <v>8</v>
      </c>
      <c r="L2383" t="s">
        <v>67</v>
      </c>
      <c r="M2383" t="s">
        <v>81</v>
      </c>
      <c r="N2383" t="s">
        <v>12</v>
      </c>
    </row>
    <row r="2384" spans="1:14" x14ac:dyDescent="0.35">
      <c r="A2384" s="75">
        <v>44109</v>
      </c>
      <c r="B2384" t="s">
        <v>144</v>
      </c>
      <c r="C2384" t="s">
        <v>101</v>
      </c>
      <c r="D2384">
        <v>9</v>
      </c>
      <c r="E2384">
        <v>6</v>
      </c>
      <c r="F2384">
        <v>3</v>
      </c>
      <c r="G2384" t="s">
        <v>74</v>
      </c>
      <c r="H2384" t="s">
        <v>77</v>
      </c>
      <c r="I2384">
        <v>60000000</v>
      </c>
      <c r="J2384" t="s">
        <v>23</v>
      </c>
      <c r="K2384" t="s">
        <v>5</v>
      </c>
      <c r="L2384" t="s">
        <v>67</v>
      </c>
      <c r="M2384" t="s">
        <v>80</v>
      </c>
      <c r="N2384" t="s">
        <v>13</v>
      </c>
    </row>
    <row r="2385" spans="1:14" x14ac:dyDescent="0.35">
      <c r="A2385" s="75">
        <v>44109</v>
      </c>
      <c r="B2385" t="s">
        <v>144</v>
      </c>
      <c r="C2385" t="s">
        <v>101</v>
      </c>
      <c r="D2385">
        <v>9</v>
      </c>
      <c r="E2385">
        <v>5</v>
      </c>
      <c r="F2385">
        <v>4</v>
      </c>
      <c r="G2385" t="s">
        <v>70</v>
      </c>
      <c r="H2385" t="s">
        <v>1</v>
      </c>
      <c r="I2385">
        <v>40000000</v>
      </c>
      <c r="J2385" t="s">
        <v>51</v>
      </c>
      <c r="K2385" t="s">
        <v>8</v>
      </c>
      <c r="L2385" t="s">
        <v>67</v>
      </c>
      <c r="M2385" t="s">
        <v>82</v>
      </c>
      <c r="N2385" t="s">
        <v>13</v>
      </c>
    </row>
    <row r="2386" spans="1:14" x14ac:dyDescent="0.35">
      <c r="A2386" s="75">
        <v>44109</v>
      </c>
      <c r="B2386" t="s">
        <v>144</v>
      </c>
      <c r="C2386" t="s">
        <v>101</v>
      </c>
      <c r="D2386">
        <v>8</v>
      </c>
      <c r="E2386">
        <v>5</v>
      </c>
      <c r="F2386">
        <v>3</v>
      </c>
      <c r="G2386" t="s">
        <v>76</v>
      </c>
      <c r="H2386" t="s">
        <v>79</v>
      </c>
      <c r="I2386">
        <v>40000000</v>
      </c>
      <c r="J2386" t="s">
        <v>45</v>
      </c>
      <c r="K2386" t="s">
        <v>2</v>
      </c>
      <c r="L2386" t="s">
        <v>67</v>
      </c>
      <c r="M2386" t="s">
        <v>81</v>
      </c>
      <c r="N2386" t="s">
        <v>12</v>
      </c>
    </row>
    <row r="2387" spans="1:14" x14ac:dyDescent="0.35">
      <c r="A2387" s="75">
        <v>44109</v>
      </c>
      <c r="B2387" t="s">
        <v>144</v>
      </c>
      <c r="C2387" t="s">
        <v>101</v>
      </c>
      <c r="D2387">
        <v>6</v>
      </c>
      <c r="E2387">
        <v>5</v>
      </c>
      <c r="F2387">
        <v>1</v>
      </c>
      <c r="G2387" t="s">
        <v>71</v>
      </c>
      <c r="H2387" t="s">
        <v>6</v>
      </c>
      <c r="I2387">
        <v>40000000</v>
      </c>
      <c r="J2387" t="s">
        <v>42</v>
      </c>
      <c r="K2387" t="s">
        <v>5</v>
      </c>
      <c r="L2387" t="s">
        <v>67</v>
      </c>
      <c r="M2387" t="s">
        <v>81</v>
      </c>
      <c r="N2387" t="s">
        <v>13</v>
      </c>
    </row>
    <row r="2388" spans="1:14" x14ac:dyDescent="0.35">
      <c r="A2388" s="75">
        <v>44109</v>
      </c>
      <c r="B2388" t="s">
        <v>144</v>
      </c>
      <c r="C2388" t="s">
        <v>101</v>
      </c>
      <c r="D2388">
        <v>5</v>
      </c>
      <c r="E2388">
        <v>3</v>
      </c>
      <c r="F2388">
        <v>2</v>
      </c>
      <c r="G2388" t="s">
        <v>113</v>
      </c>
      <c r="H2388" t="s">
        <v>77</v>
      </c>
      <c r="I2388">
        <v>100000000</v>
      </c>
      <c r="J2388" t="s">
        <v>29</v>
      </c>
      <c r="K2388" t="s">
        <v>5</v>
      </c>
      <c r="L2388" t="s">
        <v>67</v>
      </c>
      <c r="M2388" t="s">
        <v>81</v>
      </c>
      <c r="N2388" t="s">
        <v>11</v>
      </c>
    </row>
    <row r="2389" spans="1:14" x14ac:dyDescent="0.35">
      <c r="A2389" s="75">
        <v>44110</v>
      </c>
      <c r="B2389" t="s">
        <v>145</v>
      </c>
      <c r="C2389" t="s">
        <v>101</v>
      </c>
      <c r="D2389">
        <v>9</v>
      </c>
      <c r="E2389">
        <v>8</v>
      </c>
      <c r="F2389">
        <v>1</v>
      </c>
      <c r="G2389" t="s">
        <v>70</v>
      </c>
      <c r="H2389" t="s">
        <v>1</v>
      </c>
      <c r="I2389">
        <v>140000000</v>
      </c>
      <c r="J2389" t="s">
        <v>48</v>
      </c>
      <c r="K2389" t="s">
        <v>2</v>
      </c>
      <c r="L2389" t="s">
        <v>67</v>
      </c>
      <c r="M2389" t="s">
        <v>82</v>
      </c>
      <c r="N2389" t="s">
        <v>11</v>
      </c>
    </row>
    <row r="2390" spans="1:14" x14ac:dyDescent="0.35">
      <c r="A2390" s="75">
        <v>44110</v>
      </c>
      <c r="B2390" t="s">
        <v>145</v>
      </c>
      <c r="C2390" t="s">
        <v>101</v>
      </c>
      <c r="D2390">
        <v>7</v>
      </c>
      <c r="E2390">
        <v>5</v>
      </c>
      <c r="F2390">
        <v>2</v>
      </c>
      <c r="G2390" t="s">
        <v>73</v>
      </c>
      <c r="H2390" t="s">
        <v>78</v>
      </c>
      <c r="I2390">
        <v>60000000</v>
      </c>
      <c r="J2390" t="s">
        <v>45</v>
      </c>
      <c r="K2390" t="s">
        <v>2</v>
      </c>
      <c r="L2390" t="s">
        <v>67</v>
      </c>
      <c r="M2390" t="s">
        <v>82</v>
      </c>
      <c r="N2390" t="s">
        <v>11</v>
      </c>
    </row>
    <row r="2391" spans="1:14" x14ac:dyDescent="0.35">
      <c r="A2391" s="75">
        <v>44110</v>
      </c>
      <c r="B2391" t="s">
        <v>145</v>
      </c>
      <c r="C2391" t="s">
        <v>101</v>
      </c>
      <c r="D2391">
        <v>6</v>
      </c>
      <c r="E2391">
        <v>3</v>
      </c>
      <c r="F2391">
        <v>3</v>
      </c>
      <c r="G2391" t="s">
        <v>75</v>
      </c>
      <c r="H2391" t="s">
        <v>6</v>
      </c>
      <c r="I2391">
        <v>100000000</v>
      </c>
      <c r="J2391" t="s">
        <v>50</v>
      </c>
      <c r="K2391" t="s">
        <v>5</v>
      </c>
      <c r="L2391" t="s">
        <v>67</v>
      </c>
      <c r="M2391" t="s">
        <v>81</v>
      </c>
      <c r="N2391" t="s">
        <v>13</v>
      </c>
    </row>
    <row r="2392" spans="1:14" x14ac:dyDescent="0.35">
      <c r="A2392" s="75">
        <v>44110</v>
      </c>
      <c r="B2392" t="s">
        <v>145</v>
      </c>
      <c r="C2392" t="s">
        <v>101</v>
      </c>
      <c r="D2392">
        <v>4</v>
      </c>
      <c r="E2392">
        <v>3</v>
      </c>
      <c r="F2392">
        <v>1</v>
      </c>
      <c r="G2392" t="s">
        <v>76</v>
      </c>
      <c r="H2392" t="s">
        <v>79</v>
      </c>
      <c r="I2392">
        <v>120000000</v>
      </c>
      <c r="J2392" t="s">
        <v>19</v>
      </c>
      <c r="K2392" t="s">
        <v>2</v>
      </c>
      <c r="L2392" t="s">
        <v>67</v>
      </c>
      <c r="M2392" t="s">
        <v>81</v>
      </c>
      <c r="N2392" t="s">
        <v>11</v>
      </c>
    </row>
    <row r="2393" spans="1:14" x14ac:dyDescent="0.35">
      <c r="A2393" s="75">
        <v>44110</v>
      </c>
      <c r="B2393" t="s">
        <v>145</v>
      </c>
      <c r="C2393" t="s">
        <v>101</v>
      </c>
      <c r="D2393">
        <v>4</v>
      </c>
      <c r="E2393">
        <v>3</v>
      </c>
      <c r="F2393">
        <v>1</v>
      </c>
      <c r="G2393" t="s">
        <v>76</v>
      </c>
      <c r="H2393" t="s">
        <v>79</v>
      </c>
      <c r="I2393">
        <v>80000000</v>
      </c>
      <c r="J2393" t="s">
        <v>25</v>
      </c>
      <c r="K2393" t="s">
        <v>7</v>
      </c>
      <c r="L2393" t="s">
        <v>67</v>
      </c>
      <c r="M2393" t="s">
        <v>80</v>
      </c>
      <c r="N2393" t="s">
        <v>13</v>
      </c>
    </row>
    <row r="2394" spans="1:14" x14ac:dyDescent="0.35">
      <c r="A2394" s="75">
        <v>44110</v>
      </c>
      <c r="B2394" t="s">
        <v>145</v>
      </c>
      <c r="C2394" t="s">
        <v>101</v>
      </c>
      <c r="D2394">
        <v>4</v>
      </c>
      <c r="E2394">
        <v>2</v>
      </c>
      <c r="F2394">
        <v>2</v>
      </c>
      <c r="G2394" t="s">
        <v>113</v>
      </c>
      <c r="H2394" t="s">
        <v>77</v>
      </c>
      <c r="I2394">
        <v>60000000</v>
      </c>
      <c r="J2394" t="s">
        <v>29</v>
      </c>
      <c r="K2394" t="s">
        <v>8</v>
      </c>
      <c r="L2394" t="s">
        <v>67</v>
      </c>
      <c r="M2394" t="s">
        <v>82</v>
      </c>
      <c r="N2394" t="s">
        <v>14</v>
      </c>
    </row>
    <row r="2395" spans="1:14" x14ac:dyDescent="0.35">
      <c r="A2395" s="75">
        <v>44110</v>
      </c>
      <c r="B2395" t="s">
        <v>145</v>
      </c>
      <c r="C2395" t="s">
        <v>101</v>
      </c>
      <c r="D2395">
        <v>4</v>
      </c>
      <c r="E2395">
        <v>2</v>
      </c>
      <c r="F2395">
        <v>2</v>
      </c>
      <c r="G2395" t="s">
        <v>70</v>
      </c>
      <c r="H2395" t="s">
        <v>1</v>
      </c>
      <c r="I2395">
        <v>80000000</v>
      </c>
      <c r="J2395" t="s">
        <v>27</v>
      </c>
      <c r="K2395" t="s">
        <v>7</v>
      </c>
      <c r="L2395" t="s">
        <v>67</v>
      </c>
      <c r="M2395" t="s">
        <v>80</v>
      </c>
      <c r="N2395" t="s">
        <v>14</v>
      </c>
    </row>
    <row r="2396" spans="1:14" x14ac:dyDescent="0.35">
      <c r="A2396" s="75">
        <v>44110</v>
      </c>
      <c r="B2396" t="s">
        <v>145</v>
      </c>
      <c r="C2396" t="s">
        <v>101</v>
      </c>
      <c r="D2396">
        <v>4</v>
      </c>
      <c r="E2396">
        <v>2</v>
      </c>
      <c r="F2396">
        <v>2</v>
      </c>
      <c r="G2396" t="s">
        <v>73</v>
      </c>
      <c r="H2396" t="s">
        <v>78</v>
      </c>
      <c r="I2396">
        <v>60000000</v>
      </c>
      <c r="J2396" t="s">
        <v>25</v>
      </c>
      <c r="K2396" t="s">
        <v>8</v>
      </c>
      <c r="L2396" t="s">
        <v>67</v>
      </c>
      <c r="M2396" t="s">
        <v>81</v>
      </c>
      <c r="N2396" t="s">
        <v>14</v>
      </c>
    </row>
    <row r="2397" spans="1:14" x14ac:dyDescent="0.35">
      <c r="A2397" s="75">
        <v>44110</v>
      </c>
      <c r="B2397" t="s">
        <v>145</v>
      </c>
      <c r="C2397" t="s">
        <v>101</v>
      </c>
      <c r="D2397">
        <v>3</v>
      </c>
      <c r="E2397">
        <v>2</v>
      </c>
      <c r="F2397">
        <v>1</v>
      </c>
      <c r="G2397" t="s">
        <v>74</v>
      </c>
      <c r="H2397" t="s">
        <v>77</v>
      </c>
      <c r="I2397">
        <v>80000000</v>
      </c>
      <c r="J2397" t="s">
        <v>37</v>
      </c>
      <c r="K2397" t="s">
        <v>5</v>
      </c>
      <c r="L2397" t="s">
        <v>67</v>
      </c>
      <c r="M2397" t="s">
        <v>82</v>
      </c>
      <c r="N2397" t="s">
        <v>11</v>
      </c>
    </row>
    <row r="2398" spans="1:14" x14ac:dyDescent="0.35">
      <c r="A2398" s="75">
        <v>44111</v>
      </c>
      <c r="B2398" t="s">
        <v>146</v>
      </c>
      <c r="C2398" t="s">
        <v>101</v>
      </c>
      <c r="D2398">
        <v>10</v>
      </c>
      <c r="E2398">
        <v>8</v>
      </c>
      <c r="F2398">
        <v>2</v>
      </c>
      <c r="G2398" t="s">
        <v>71</v>
      </c>
      <c r="H2398" t="s">
        <v>6</v>
      </c>
      <c r="I2398">
        <v>60000000</v>
      </c>
      <c r="J2398" t="s">
        <v>63</v>
      </c>
      <c r="K2398" t="s">
        <v>2</v>
      </c>
      <c r="L2398" t="s">
        <v>67</v>
      </c>
      <c r="M2398" t="s">
        <v>82</v>
      </c>
      <c r="N2398" t="s">
        <v>14</v>
      </c>
    </row>
    <row r="2399" spans="1:14" x14ac:dyDescent="0.35">
      <c r="A2399" s="75">
        <v>44111</v>
      </c>
      <c r="B2399" t="s">
        <v>146</v>
      </c>
      <c r="C2399" t="s">
        <v>101</v>
      </c>
      <c r="D2399">
        <v>9</v>
      </c>
      <c r="E2399">
        <v>6</v>
      </c>
      <c r="F2399">
        <v>3</v>
      </c>
      <c r="G2399" t="s">
        <v>76</v>
      </c>
      <c r="H2399" t="s">
        <v>79</v>
      </c>
      <c r="I2399">
        <v>40000000</v>
      </c>
      <c r="J2399" t="s">
        <v>53</v>
      </c>
      <c r="K2399" t="s">
        <v>8</v>
      </c>
      <c r="L2399" t="s">
        <v>67</v>
      </c>
      <c r="M2399" t="s">
        <v>81</v>
      </c>
      <c r="N2399" t="s">
        <v>13</v>
      </c>
    </row>
    <row r="2400" spans="1:14" x14ac:dyDescent="0.35">
      <c r="A2400" s="75">
        <v>44111</v>
      </c>
      <c r="B2400" t="s">
        <v>146</v>
      </c>
      <c r="C2400" t="s">
        <v>101</v>
      </c>
      <c r="D2400">
        <v>8</v>
      </c>
      <c r="E2400">
        <v>6</v>
      </c>
      <c r="F2400">
        <v>2</v>
      </c>
      <c r="G2400" t="s">
        <v>73</v>
      </c>
      <c r="H2400" t="s">
        <v>78</v>
      </c>
      <c r="I2400">
        <v>140000000</v>
      </c>
      <c r="J2400" t="s">
        <v>23</v>
      </c>
      <c r="K2400" t="s">
        <v>7</v>
      </c>
      <c r="L2400" t="s">
        <v>67</v>
      </c>
      <c r="M2400" t="s">
        <v>80</v>
      </c>
      <c r="N2400" t="s">
        <v>13</v>
      </c>
    </row>
    <row r="2401" spans="1:14" x14ac:dyDescent="0.35">
      <c r="A2401" s="75">
        <v>44111</v>
      </c>
      <c r="B2401" t="s">
        <v>146</v>
      </c>
      <c r="C2401" t="s">
        <v>101</v>
      </c>
      <c r="D2401">
        <v>8</v>
      </c>
      <c r="E2401">
        <v>5</v>
      </c>
      <c r="F2401">
        <v>3</v>
      </c>
      <c r="G2401" t="s">
        <v>113</v>
      </c>
      <c r="H2401" t="s">
        <v>77</v>
      </c>
      <c r="I2401">
        <v>100000000</v>
      </c>
      <c r="J2401" t="s">
        <v>39</v>
      </c>
      <c r="K2401" t="s">
        <v>2</v>
      </c>
      <c r="L2401" t="s">
        <v>67</v>
      </c>
      <c r="M2401" t="s">
        <v>81</v>
      </c>
      <c r="N2401" t="s">
        <v>11</v>
      </c>
    </row>
    <row r="2402" spans="1:14" x14ac:dyDescent="0.35">
      <c r="A2402" s="75">
        <v>44111</v>
      </c>
      <c r="B2402" t="s">
        <v>146</v>
      </c>
      <c r="C2402" t="s">
        <v>101</v>
      </c>
      <c r="D2402">
        <v>7</v>
      </c>
      <c r="E2402">
        <v>6</v>
      </c>
      <c r="F2402">
        <v>1</v>
      </c>
      <c r="G2402" t="s">
        <v>74</v>
      </c>
      <c r="H2402" t="s">
        <v>77</v>
      </c>
      <c r="I2402">
        <v>40000000</v>
      </c>
      <c r="J2402" t="s">
        <v>32</v>
      </c>
      <c r="K2402" t="s">
        <v>5</v>
      </c>
      <c r="L2402" t="s">
        <v>67</v>
      </c>
      <c r="M2402" t="s">
        <v>82</v>
      </c>
      <c r="N2402" t="s">
        <v>13</v>
      </c>
    </row>
    <row r="2403" spans="1:14" x14ac:dyDescent="0.35">
      <c r="A2403" s="75">
        <v>44111</v>
      </c>
      <c r="B2403" t="s">
        <v>146</v>
      </c>
      <c r="C2403" t="s">
        <v>101</v>
      </c>
      <c r="D2403">
        <v>6</v>
      </c>
      <c r="E2403">
        <v>5</v>
      </c>
      <c r="F2403">
        <v>1</v>
      </c>
      <c r="G2403" t="s">
        <v>72</v>
      </c>
      <c r="H2403" t="s">
        <v>78</v>
      </c>
      <c r="I2403">
        <v>40000000</v>
      </c>
      <c r="J2403" t="s">
        <v>57</v>
      </c>
      <c r="K2403" t="s">
        <v>2</v>
      </c>
      <c r="L2403" t="s">
        <v>67</v>
      </c>
      <c r="M2403" t="s">
        <v>82</v>
      </c>
      <c r="N2403" t="s">
        <v>11</v>
      </c>
    </row>
    <row r="2404" spans="1:14" x14ac:dyDescent="0.35">
      <c r="A2404" s="75">
        <v>44111</v>
      </c>
      <c r="B2404" t="s">
        <v>146</v>
      </c>
      <c r="C2404" t="s">
        <v>101</v>
      </c>
      <c r="D2404">
        <v>6</v>
      </c>
      <c r="E2404">
        <v>5</v>
      </c>
      <c r="F2404">
        <v>1</v>
      </c>
      <c r="G2404" t="s">
        <v>114</v>
      </c>
      <c r="H2404" t="s">
        <v>3</v>
      </c>
      <c r="I2404">
        <v>60000000</v>
      </c>
      <c r="J2404" t="s">
        <v>42</v>
      </c>
      <c r="K2404" t="s">
        <v>9</v>
      </c>
      <c r="L2404" t="s">
        <v>67</v>
      </c>
      <c r="M2404" t="s">
        <v>80</v>
      </c>
      <c r="N2404" t="s">
        <v>12</v>
      </c>
    </row>
    <row r="2405" spans="1:14" x14ac:dyDescent="0.35">
      <c r="A2405" s="75">
        <v>44112</v>
      </c>
      <c r="B2405" t="s">
        <v>147</v>
      </c>
      <c r="C2405" t="s">
        <v>101</v>
      </c>
      <c r="D2405">
        <v>9</v>
      </c>
      <c r="E2405">
        <v>8</v>
      </c>
      <c r="F2405">
        <v>1</v>
      </c>
      <c r="G2405" t="s">
        <v>73</v>
      </c>
      <c r="H2405" t="s">
        <v>78</v>
      </c>
      <c r="I2405">
        <v>80000000</v>
      </c>
      <c r="J2405" t="s">
        <v>17</v>
      </c>
      <c r="K2405" t="s">
        <v>5</v>
      </c>
      <c r="L2405" t="s">
        <v>67</v>
      </c>
      <c r="M2405" t="s">
        <v>81</v>
      </c>
      <c r="N2405" t="s">
        <v>14</v>
      </c>
    </row>
    <row r="2406" spans="1:14" x14ac:dyDescent="0.35">
      <c r="A2406" s="75">
        <v>44112</v>
      </c>
      <c r="B2406" t="s">
        <v>147</v>
      </c>
      <c r="C2406" t="s">
        <v>101</v>
      </c>
      <c r="D2406">
        <v>8</v>
      </c>
      <c r="E2406">
        <v>5</v>
      </c>
      <c r="F2406">
        <v>3</v>
      </c>
      <c r="G2406" t="s">
        <v>113</v>
      </c>
      <c r="H2406" t="s">
        <v>77</v>
      </c>
      <c r="I2406">
        <v>120000000</v>
      </c>
      <c r="J2406" t="s">
        <v>58</v>
      </c>
      <c r="K2406" t="s">
        <v>4</v>
      </c>
      <c r="L2406" t="s">
        <v>67</v>
      </c>
      <c r="M2406" t="s">
        <v>82</v>
      </c>
      <c r="N2406" t="s">
        <v>12</v>
      </c>
    </row>
    <row r="2407" spans="1:14" x14ac:dyDescent="0.35">
      <c r="A2407" s="75">
        <v>44112</v>
      </c>
      <c r="B2407" t="s">
        <v>147</v>
      </c>
      <c r="C2407" t="s">
        <v>101</v>
      </c>
      <c r="D2407">
        <v>8</v>
      </c>
      <c r="E2407">
        <v>6</v>
      </c>
      <c r="F2407">
        <v>2</v>
      </c>
      <c r="G2407" t="s">
        <v>73</v>
      </c>
      <c r="H2407" t="s">
        <v>78</v>
      </c>
      <c r="I2407">
        <v>120000000</v>
      </c>
      <c r="J2407" t="s">
        <v>55</v>
      </c>
      <c r="K2407" t="s">
        <v>5</v>
      </c>
      <c r="L2407" t="s">
        <v>67</v>
      </c>
      <c r="M2407" t="s">
        <v>80</v>
      </c>
      <c r="N2407" t="s">
        <v>11</v>
      </c>
    </row>
    <row r="2408" spans="1:14" x14ac:dyDescent="0.35">
      <c r="A2408" s="75">
        <v>44112</v>
      </c>
      <c r="B2408" t="s">
        <v>147</v>
      </c>
      <c r="C2408" t="s">
        <v>101</v>
      </c>
      <c r="D2408">
        <v>7</v>
      </c>
      <c r="E2408">
        <v>4</v>
      </c>
      <c r="F2408">
        <v>3</v>
      </c>
      <c r="G2408" t="s">
        <v>76</v>
      </c>
      <c r="H2408" t="s">
        <v>79</v>
      </c>
      <c r="I2408">
        <v>80000000</v>
      </c>
      <c r="J2408" t="s">
        <v>15</v>
      </c>
      <c r="K2408" t="s">
        <v>9</v>
      </c>
      <c r="L2408" t="s">
        <v>67</v>
      </c>
      <c r="M2408" t="s">
        <v>80</v>
      </c>
      <c r="N2408" t="s">
        <v>11</v>
      </c>
    </row>
    <row r="2409" spans="1:14" x14ac:dyDescent="0.35">
      <c r="A2409" s="75">
        <v>44112</v>
      </c>
      <c r="B2409" t="s">
        <v>147</v>
      </c>
      <c r="C2409" t="s">
        <v>101</v>
      </c>
      <c r="D2409">
        <v>7</v>
      </c>
      <c r="E2409">
        <v>5</v>
      </c>
      <c r="F2409">
        <v>2</v>
      </c>
      <c r="G2409" t="s">
        <v>71</v>
      </c>
      <c r="H2409" t="s">
        <v>6</v>
      </c>
      <c r="I2409">
        <v>120000000</v>
      </c>
      <c r="J2409" t="s">
        <v>21</v>
      </c>
      <c r="K2409" t="s">
        <v>2</v>
      </c>
      <c r="L2409" t="s">
        <v>67</v>
      </c>
      <c r="M2409" t="s">
        <v>80</v>
      </c>
      <c r="N2409" t="s">
        <v>11</v>
      </c>
    </row>
    <row r="2410" spans="1:14" x14ac:dyDescent="0.35">
      <c r="A2410" s="75">
        <v>44112</v>
      </c>
      <c r="B2410" t="s">
        <v>147</v>
      </c>
      <c r="C2410" t="s">
        <v>101</v>
      </c>
      <c r="D2410">
        <v>6</v>
      </c>
      <c r="E2410">
        <v>5</v>
      </c>
      <c r="F2410">
        <v>1</v>
      </c>
      <c r="G2410" t="s">
        <v>75</v>
      </c>
      <c r="H2410" t="s">
        <v>6</v>
      </c>
      <c r="I2410">
        <v>60000000</v>
      </c>
      <c r="J2410" t="s">
        <v>35</v>
      </c>
      <c r="K2410" t="s">
        <v>5</v>
      </c>
      <c r="L2410" t="s">
        <v>67</v>
      </c>
      <c r="M2410" t="s">
        <v>80</v>
      </c>
      <c r="N2410" t="s">
        <v>11</v>
      </c>
    </row>
    <row r="2411" spans="1:14" x14ac:dyDescent="0.35">
      <c r="A2411" s="75">
        <v>44112</v>
      </c>
      <c r="B2411" t="s">
        <v>147</v>
      </c>
      <c r="C2411" t="s">
        <v>101</v>
      </c>
      <c r="D2411">
        <v>6</v>
      </c>
      <c r="E2411">
        <v>4</v>
      </c>
      <c r="F2411">
        <v>2</v>
      </c>
      <c r="G2411" t="s">
        <v>75</v>
      </c>
      <c r="H2411" t="s">
        <v>6</v>
      </c>
      <c r="I2411">
        <v>100000000</v>
      </c>
      <c r="J2411" t="s">
        <v>51</v>
      </c>
      <c r="K2411" t="s">
        <v>5</v>
      </c>
      <c r="L2411" t="s">
        <v>67</v>
      </c>
      <c r="M2411" t="s">
        <v>82</v>
      </c>
      <c r="N2411" t="s">
        <v>12</v>
      </c>
    </row>
    <row r="2412" spans="1:14" x14ac:dyDescent="0.35">
      <c r="A2412" s="75">
        <v>44112</v>
      </c>
      <c r="B2412" t="s">
        <v>147</v>
      </c>
      <c r="C2412" t="s">
        <v>101</v>
      </c>
      <c r="D2412">
        <v>4</v>
      </c>
      <c r="E2412">
        <v>3</v>
      </c>
      <c r="F2412">
        <v>1</v>
      </c>
      <c r="G2412" t="s">
        <v>113</v>
      </c>
      <c r="H2412" t="s">
        <v>77</v>
      </c>
      <c r="I2412">
        <v>100000000</v>
      </c>
      <c r="J2412" t="s">
        <v>17</v>
      </c>
      <c r="K2412" t="s">
        <v>2</v>
      </c>
      <c r="L2412" t="s">
        <v>67</v>
      </c>
      <c r="M2412" t="s">
        <v>80</v>
      </c>
      <c r="N2412" t="s">
        <v>12</v>
      </c>
    </row>
    <row r="2413" spans="1:14" x14ac:dyDescent="0.35">
      <c r="A2413" s="75">
        <v>44112</v>
      </c>
      <c r="B2413" t="s">
        <v>147</v>
      </c>
      <c r="C2413" t="s">
        <v>101</v>
      </c>
      <c r="D2413">
        <v>4</v>
      </c>
      <c r="E2413">
        <v>3</v>
      </c>
      <c r="F2413">
        <v>1</v>
      </c>
      <c r="G2413" t="s">
        <v>76</v>
      </c>
      <c r="H2413" t="s">
        <v>79</v>
      </c>
      <c r="I2413">
        <v>60000000</v>
      </c>
      <c r="J2413" t="s">
        <v>57</v>
      </c>
      <c r="K2413" t="s">
        <v>7</v>
      </c>
      <c r="L2413" t="s">
        <v>67</v>
      </c>
      <c r="M2413" t="s">
        <v>82</v>
      </c>
      <c r="N2413" t="s">
        <v>13</v>
      </c>
    </row>
    <row r="2414" spans="1:14" x14ac:dyDescent="0.35">
      <c r="A2414" s="75">
        <v>44112</v>
      </c>
      <c r="B2414" t="s">
        <v>147</v>
      </c>
      <c r="C2414" t="s">
        <v>101</v>
      </c>
      <c r="D2414">
        <v>3</v>
      </c>
      <c r="E2414">
        <v>1</v>
      </c>
      <c r="F2414">
        <v>2</v>
      </c>
      <c r="G2414" t="s">
        <v>71</v>
      </c>
      <c r="H2414" t="s">
        <v>6</v>
      </c>
      <c r="I2414">
        <v>120000000</v>
      </c>
      <c r="J2414" t="s">
        <v>45</v>
      </c>
      <c r="K2414" t="s">
        <v>2</v>
      </c>
      <c r="L2414" t="s">
        <v>67</v>
      </c>
      <c r="M2414" t="s">
        <v>80</v>
      </c>
      <c r="N2414" t="s">
        <v>14</v>
      </c>
    </row>
    <row r="2415" spans="1:14" x14ac:dyDescent="0.35">
      <c r="A2415" s="75">
        <v>44113</v>
      </c>
      <c r="B2415" t="s">
        <v>148</v>
      </c>
      <c r="C2415" t="s">
        <v>101</v>
      </c>
      <c r="D2415">
        <v>10</v>
      </c>
      <c r="E2415">
        <v>9</v>
      </c>
      <c r="F2415">
        <v>1</v>
      </c>
      <c r="G2415" t="s">
        <v>114</v>
      </c>
      <c r="H2415" t="s">
        <v>3</v>
      </c>
      <c r="I2415">
        <v>140000000</v>
      </c>
      <c r="J2415" t="s">
        <v>61</v>
      </c>
      <c r="K2415" t="s">
        <v>5</v>
      </c>
      <c r="L2415" t="s">
        <v>67</v>
      </c>
      <c r="M2415" t="s">
        <v>81</v>
      </c>
      <c r="N2415" t="s">
        <v>12</v>
      </c>
    </row>
    <row r="2416" spans="1:14" x14ac:dyDescent="0.35">
      <c r="A2416" s="75">
        <v>44113</v>
      </c>
      <c r="B2416" t="s">
        <v>148</v>
      </c>
      <c r="C2416" t="s">
        <v>101</v>
      </c>
      <c r="D2416">
        <v>10</v>
      </c>
      <c r="E2416">
        <v>7</v>
      </c>
      <c r="F2416">
        <v>3</v>
      </c>
      <c r="G2416" t="s">
        <v>70</v>
      </c>
      <c r="H2416" t="s">
        <v>1</v>
      </c>
      <c r="I2416">
        <v>120000000</v>
      </c>
      <c r="J2416" t="s">
        <v>24</v>
      </c>
      <c r="K2416" t="s">
        <v>7</v>
      </c>
      <c r="L2416" t="s">
        <v>67</v>
      </c>
      <c r="M2416" t="s">
        <v>82</v>
      </c>
      <c r="N2416" t="s">
        <v>14</v>
      </c>
    </row>
    <row r="2417" spans="1:14" x14ac:dyDescent="0.35">
      <c r="A2417" s="75">
        <v>44113</v>
      </c>
      <c r="B2417" t="s">
        <v>148</v>
      </c>
      <c r="C2417" t="s">
        <v>101</v>
      </c>
      <c r="D2417">
        <v>10</v>
      </c>
      <c r="E2417">
        <v>8</v>
      </c>
      <c r="F2417">
        <v>2</v>
      </c>
      <c r="G2417" t="s">
        <v>73</v>
      </c>
      <c r="H2417" t="s">
        <v>78</v>
      </c>
      <c r="I2417">
        <v>60000000</v>
      </c>
      <c r="J2417" t="s">
        <v>39</v>
      </c>
      <c r="K2417" t="s">
        <v>2</v>
      </c>
      <c r="L2417" t="s">
        <v>67</v>
      </c>
      <c r="M2417" t="s">
        <v>80</v>
      </c>
      <c r="N2417" t="s">
        <v>11</v>
      </c>
    </row>
    <row r="2418" spans="1:14" x14ac:dyDescent="0.35">
      <c r="A2418" s="75">
        <v>44113</v>
      </c>
      <c r="B2418" t="s">
        <v>148</v>
      </c>
      <c r="C2418" t="s">
        <v>101</v>
      </c>
      <c r="D2418">
        <v>9</v>
      </c>
      <c r="E2418">
        <v>6</v>
      </c>
      <c r="F2418">
        <v>3</v>
      </c>
      <c r="G2418" t="s">
        <v>113</v>
      </c>
      <c r="H2418" t="s">
        <v>77</v>
      </c>
      <c r="I2418">
        <v>120000000</v>
      </c>
      <c r="J2418" t="s">
        <v>20</v>
      </c>
      <c r="K2418" t="s">
        <v>2</v>
      </c>
      <c r="L2418" t="s">
        <v>67</v>
      </c>
      <c r="M2418" t="s">
        <v>80</v>
      </c>
      <c r="N2418" t="s">
        <v>12</v>
      </c>
    </row>
    <row r="2419" spans="1:14" x14ac:dyDescent="0.35">
      <c r="A2419" s="75">
        <v>44113</v>
      </c>
      <c r="B2419" t="s">
        <v>148</v>
      </c>
      <c r="C2419" t="s">
        <v>101</v>
      </c>
      <c r="D2419">
        <v>8</v>
      </c>
      <c r="E2419">
        <v>5</v>
      </c>
      <c r="F2419">
        <v>3</v>
      </c>
      <c r="G2419" t="s">
        <v>113</v>
      </c>
      <c r="H2419" t="s">
        <v>77</v>
      </c>
      <c r="I2419">
        <v>100000000</v>
      </c>
      <c r="J2419" t="s">
        <v>51</v>
      </c>
      <c r="K2419" t="s">
        <v>2</v>
      </c>
      <c r="L2419" t="s">
        <v>67</v>
      </c>
      <c r="M2419" t="s">
        <v>81</v>
      </c>
      <c r="N2419" t="s">
        <v>11</v>
      </c>
    </row>
    <row r="2420" spans="1:14" x14ac:dyDescent="0.35">
      <c r="A2420" s="75">
        <v>44113</v>
      </c>
      <c r="B2420" t="s">
        <v>148</v>
      </c>
      <c r="C2420" t="s">
        <v>101</v>
      </c>
      <c r="D2420">
        <v>8</v>
      </c>
      <c r="E2420">
        <v>6</v>
      </c>
      <c r="F2420">
        <v>2</v>
      </c>
      <c r="G2420" t="s">
        <v>72</v>
      </c>
      <c r="H2420" t="s">
        <v>78</v>
      </c>
      <c r="I2420">
        <v>100000000</v>
      </c>
      <c r="J2420" t="s">
        <v>51</v>
      </c>
      <c r="K2420" t="s">
        <v>2</v>
      </c>
      <c r="L2420" t="s">
        <v>67</v>
      </c>
      <c r="M2420" t="s">
        <v>81</v>
      </c>
      <c r="N2420" t="s">
        <v>13</v>
      </c>
    </row>
    <row r="2421" spans="1:14" x14ac:dyDescent="0.35">
      <c r="A2421" s="75">
        <v>44113</v>
      </c>
      <c r="B2421" t="s">
        <v>148</v>
      </c>
      <c r="C2421" t="s">
        <v>101</v>
      </c>
      <c r="D2421">
        <v>4</v>
      </c>
      <c r="E2421">
        <v>3</v>
      </c>
      <c r="F2421">
        <v>1</v>
      </c>
      <c r="G2421" t="s">
        <v>72</v>
      </c>
      <c r="H2421" t="s">
        <v>78</v>
      </c>
      <c r="I2421">
        <v>80000000</v>
      </c>
      <c r="J2421" t="s">
        <v>39</v>
      </c>
      <c r="K2421" t="s">
        <v>2</v>
      </c>
      <c r="L2421" t="s">
        <v>67</v>
      </c>
      <c r="M2421" t="s">
        <v>82</v>
      </c>
      <c r="N2421" t="s">
        <v>12</v>
      </c>
    </row>
    <row r="2422" spans="1:14" x14ac:dyDescent="0.35">
      <c r="A2422" s="75">
        <v>44113</v>
      </c>
      <c r="B2422" t="s">
        <v>148</v>
      </c>
      <c r="C2422" t="s">
        <v>101</v>
      </c>
      <c r="D2422">
        <v>3</v>
      </c>
      <c r="E2422">
        <v>1</v>
      </c>
      <c r="F2422">
        <v>2</v>
      </c>
      <c r="G2422" t="s">
        <v>71</v>
      </c>
      <c r="H2422" t="s">
        <v>6</v>
      </c>
      <c r="I2422">
        <v>120000000</v>
      </c>
      <c r="J2422" t="s">
        <v>19</v>
      </c>
      <c r="K2422" t="s">
        <v>5</v>
      </c>
      <c r="L2422" t="s">
        <v>67</v>
      </c>
      <c r="M2422" t="s">
        <v>82</v>
      </c>
      <c r="N2422" t="s">
        <v>12</v>
      </c>
    </row>
    <row r="2423" spans="1:14" x14ac:dyDescent="0.35">
      <c r="A2423" s="75">
        <v>44114</v>
      </c>
      <c r="B2423" t="s">
        <v>149</v>
      </c>
      <c r="C2423" t="s">
        <v>101</v>
      </c>
      <c r="D2423">
        <v>10</v>
      </c>
      <c r="E2423">
        <v>10</v>
      </c>
      <c r="F2423" t="s">
        <v>10</v>
      </c>
      <c r="G2423" t="s">
        <v>70</v>
      </c>
      <c r="H2423" t="s">
        <v>1</v>
      </c>
      <c r="I2423">
        <v>80000000</v>
      </c>
      <c r="J2423" t="s">
        <v>50</v>
      </c>
      <c r="K2423" t="s">
        <v>5</v>
      </c>
      <c r="L2423" t="s">
        <v>67</v>
      </c>
      <c r="M2423" t="s">
        <v>81</v>
      </c>
      <c r="N2423" t="s">
        <v>14</v>
      </c>
    </row>
    <row r="2424" spans="1:14" x14ac:dyDescent="0.35">
      <c r="A2424" s="75">
        <v>44114</v>
      </c>
      <c r="B2424" t="s">
        <v>149</v>
      </c>
      <c r="C2424" t="s">
        <v>101</v>
      </c>
      <c r="D2424">
        <v>10</v>
      </c>
      <c r="E2424">
        <v>10</v>
      </c>
      <c r="F2424" t="s">
        <v>10</v>
      </c>
      <c r="G2424" t="s">
        <v>75</v>
      </c>
      <c r="H2424" t="s">
        <v>6</v>
      </c>
      <c r="I2424">
        <v>40000000</v>
      </c>
      <c r="J2424" t="s">
        <v>17</v>
      </c>
      <c r="K2424" t="s">
        <v>5</v>
      </c>
      <c r="L2424" t="s">
        <v>67</v>
      </c>
      <c r="M2424" t="s">
        <v>82</v>
      </c>
      <c r="N2424" t="s">
        <v>13</v>
      </c>
    </row>
    <row r="2425" spans="1:14" x14ac:dyDescent="0.35">
      <c r="A2425" s="75">
        <v>44114</v>
      </c>
      <c r="B2425" t="s">
        <v>149</v>
      </c>
      <c r="C2425" t="s">
        <v>101</v>
      </c>
      <c r="D2425">
        <v>9</v>
      </c>
      <c r="E2425">
        <v>9</v>
      </c>
      <c r="F2425" t="s">
        <v>10</v>
      </c>
      <c r="G2425" t="s">
        <v>74</v>
      </c>
      <c r="H2425" t="s">
        <v>77</v>
      </c>
      <c r="I2425">
        <v>40000000</v>
      </c>
      <c r="J2425" t="s">
        <v>20</v>
      </c>
      <c r="K2425" t="s">
        <v>5</v>
      </c>
      <c r="L2425" t="s">
        <v>67</v>
      </c>
      <c r="M2425" t="s">
        <v>80</v>
      </c>
      <c r="N2425" t="s">
        <v>14</v>
      </c>
    </row>
    <row r="2426" spans="1:14" x14ac:dyDescent="0.35">
      <c r="A2426" s="75">
        <v>44114</v>
      </c>
      <c r="B2426" t="s">
        <v>149</v>
      </c>
      <c r="C2426" t="s">
        <v>101</v>
      </c>
      <c r="D2426">
        <v>9</v>
      </c>
      <c r="E2426">
        <v>9</v>
      </c>
      <c r="F2426" t="s">
        <v>10</v>
      </c>
      <c r="G2426" t="s">
        <v>76</v>
      </c>
      <c r="H2426" t="s">
        <v>79</v>
      </c>
      <c r="I2426">
        <v>40000000</v>
      </c>
      <c r="J2426" t="s">
        <v>32</v>
      </c>
      <c r="K2426" t="s">
        <v>4</v>
      </c>
      <c r="L2426" t="s">
        <v>67</v>
      </c>
      <c r="M2426" t="s">
        <v>80</v>
      </c>
      <c r="N2426" t="s">
        <v>12</v>
      </c>
    </row>
    <row r="2427" spans="1:14" x14ac:dyDescent="0.35">
      <c r="A2427" s="75">
        <v>44114</v>
      </c>
      <c r="B2427" t="s">
        <v>149</v>
      </c>
      <c r="C2427" t="s">
        <v>101</v>
      </c>
      <c r="D2427">
        <v>9</v>
      </c>
      <c r="E2427">
        <v>9</v>
      </c>
      <c r="F2427" t="s">
        <v>10</v>
      </c>
      <c r="G2427" t="s">
        <v>75</v>
      </c>
      <c r="H2427" t="s">
        <v>6</v>
      </c>
      <c r="I2427">
        <v>60000000</v>
      </c>
      <c r="J2427" t="s">
        <v>16</v>
      </c>
      <c r="K2427" t="s">
        <v>4</v>
      </c>
      <c r="L2427" t="s">
        <v>67</v>
      </c>
      <c r="M2427" t="s">
        <v>80</v>
      </c>
      <c r="N2427" t="s">
        <v>11</v>
      </c>
    </row>
    <row r="2428" spans="1:14" x14ac:dyDescent="0.35">
      <c r="A2428" s="75">
        <v>44114</v>
      </c>
      <c r="B2428" t="s">
        <v>149</v>
      </c>
      <c r="C2428" t="s">
        <v>101</v>
      </c>
      <c r="D2428">
        <v>8</v>
      </c>
      <c r="E2428">
        <v>8</v>
      </c>
      <c r="F2428" t="s">
        <v>10</v>
      </c>
      <c r="G2428" t="s">
        <v>76</v>
      </c>
      <c r="H2428" t="s">
        <v>79</v>
      </c>
      <c r="I2428">
        <v>100000000</v>
      </c>
      <c r="J2428" t="s">
        <v>55</v>
      </c>
      <c r="K2428" t="s">
        <v>5</v>
      </c>
      <c r="L2428" t="s">
        <v>67</v>
      </c>
      <c r="M2428" t="s">
        <v>80</v>
      </c>
      <c r="N2428" t="s">
        <v>14</v>
      </c>
    </row>
    <row r="2429" spans="1:14" x14ac:dyDescent="0.35">
      <c r="A2429" s="75">
        <v>44114</v>
      </c>
      <c r="B2429" t="s">
        <v>149</v>
      </c>
      <c r="C2429" t="s">
        <v>101</v>
      </c>
      <c r="D2429">
        <v>7</v>
      </c>
      <c r="E2429">
        <v>7</v>
      </c>
      <c r="F2429" t="s">
        <v>10</v>
      </c>
      <c r="G2429" t="s">
        <v>76</v>
      </c>
      <c r="H2429" t="s">
        <v>79</v>
      </c>
      <c r="I2429">
        <v>80000000</v>
      </c>
      <c r="J2429" t="s">
        <v>44</v>
      </c>
      <c r="K2429" t="s">
        <v>2</v>
      </c>
      <c r="L2429" t="s">
        <v>67</v>
      </c>
      <c r="M2429" t="s">
        <v>82</v>
      </c>
      <c r="N2429" t="s">
        <v>14</v>
      </c>
    </row>
    <row r="2430" spans="1:14" x14ac:dyDescent="0.35">
      <c r="A2430" s="75">
        <v>44114</v>
      </c>
      <c r="B2430" t="s">
        <v>149</v>
      </c>
      <c r="C2430" t="s">
        <v>101</v>
      </c>
      <c r="D2430">
        <v>7</v>
      </c>
      <c r="E2430">
        <v>7</v>
      </c>
      <c r="F2430" t="s">
        <v>10</v>
      </c>
      <c r="G2430" t="s">
        <v>72</v>
      </c>
      <c r="H2430" t="s">
        <v>78</v>
      </c>
      <c r="I2430">
        <v>60000000</v>
      </c>
      <c r="J2430" t="s">
        <v>16</v>
      </c>
      <c r="K2430" t="s">
        <v>7</v>
      </c>
      <c r="L2430" t="s">
        <v>67</v>
      </c>
      <c r="M2430" t="s">
        <v>82</v>
      </c>
      <c r="N2430" t="s">
        <v>14</v>
      </c>
    </row>
    <row r="2431" spans="1:14" x14ac:dyDescent="0.35">
      <c r="A2431" s="75">
        <v>44114</v>
      </c>
      <c r="B2431" t="s">
        <v>149</v>
      </c>
      <c r="C2431" t="s">
        <v>101</v>
      </c>
      <c r="D2431">
        <v>6</v>
      </c>
      <c r="E2431">
        <v>6</v>
      </c>
      <c r="F2431" t="s">
        <v>10</v>
      </c>
      <c r="G2431" t="s">
        <v>71</v>
      </c>
      <c r="H2431" t="s">
        <v>6</v>
      </c>
      <c r="I2431">
        <v>100000000</v>
      </c>
      <c r="J2431" t="s">
        <v>22</v>
      </c>
      <c r="K2431" t="s">
        <v>7</v>
      </c>
      <c r="L2431" t="s">
        <v>67</v>
      </c>
      <c r="M2431" t="s">
        <v>82</v>
      </c>
      <c r="N2431" t="s">
        <v>12</v>
      </c>
    </row>
    <row r="2432" spans="1:14" x14ac:dyDescent="0.35">
      <c r="A2432" s="75">
        <v>44114</v>
      </c>
      <c r="B2432" t="s">
        <v>149</v>
      </c>
      <c r="C2432" t="s">
        <v>101</v>
      </c>
      <c r="D2432">
        <v>4</v>
      </c>
      <c r="E2432">
        <v>4</v>
      </c>
      <c r="F2432" t="s">
        <v>10</v>
      </c>
      <c r="G2432" t="s">
        <v>71</v>
      </c>
      <c r="H2432" t="s">
        <v>6</v>
      </c>
      <c r="I2432">
        <v>100000000</v>
      </c>
      <c r="J2432" t="s">
        <v>54</v>
      </c>
      <c r="K2432" t="s">
        <v>5</v>
      </c>
      <c r="L2432" t="s">
        <v>67</v>
      </c>
      <c r="M2432" t="s">
        <v>81</v>
      </c>
      <c r="N2432" t="s">
        <v>13</v>
      </c>
    </row>
    <row r="2433" spans="1:14" x14ac:dyDescent="0.35">
      <c r="A2433" s="75">
        <v>44114</v>
      </c>
      <c r="B2433" t="s">
        <v>149</v>
      </c>
      <c r="C2433" t="s">
        <v>101</v>
      </c>
      <c r="D2433">
        <v>4</v>
      </c>
      <c r="E2433">
        <v>4</v>
      </c>
      <c r="F2433" t="s">
        <v>10</v>
      </c>
      <c r="G2433" t="s">
        <v>76</v>
      </c>
      <c r="H2433" t="s">
        <v>79</v>
      </c>
      <c r="I2433">
        <v>80000000</v>
      </c>
      <c r="J2433" t="s">
        <v>64</v>
      </c>
      <c r="K2433" t="s">
        <v>2</v>
      </c>
      <c r="L2433" t="s">
        <v>67</v>
      </c>
      <c r="M2433" t="s">
        <v>82</v>
      </c>
      <c r="N2433" t="s">
        <v>11</v>
      </c>
    </row>
    <row r="2434" spans="1:14" x14ac:dyDescent="0.35">
      <c r="A2434" s="75">
        <v>44114</v>
      </c>
      <c r="B2434" t="s">
        <v>149</v>
      </c>
      <c r="C2434" t="s">
        <v>101</v>
      </c>
      <c r="D2434">
        <v>4</v>
      </c>
      <c r="E2434">
        <v>4</v>
      </c>
      <c r="F2434" t="s">
        <v>10</v>
      </c>
      <c r="G2434" t="s">
        <v>70</v>
      </c>
      <c r="H2434" t="s">
        <v>1</v>
      </c>
      <c r="I2434">
        <v>80000000</v>
      </c>
      <c r="J2434" t="s">
        <v>15</v>
      </c>
      <c r="K2434" t="s">
        <v>2</v>
      </c>
      <c r="L2434" t="s">
        <v>67</v>
      </c>
      <c r="M2434" t="s">
        <v>80</v>
      </c>
      <c r="N2434" t="s">
        <v>12</v>
      </c>
    </row>
    <row r="2435" spans="1:14" x14ac:dyDescent="0.35">
      <c r="A2435" s="75">
        <v>44114</v>
      </c>
      <c r="B2435" t="s">
        <v>149</v>
      </c>
      <c r="C2435" t="s">
        <v>101</v>
      </c>
      <c r="D2435">
        <v>3</v>
      </c>
      <c r="E2435">
        <v>3</v>
      </c>
      <c r="F2435" t="s">
        <v>10</v>
      </c>
      <c r="G2435" t="s">
        <v>76</v>
      </c>
      <c r="H2435" t="s">
        <v>79</v>
      </c>
      <c r="I2435">
        <v>120000000</v>
      </c>
      <c r="J2435" t="s">
        <v>42</v>
      </c>
      <c r="K2435" t="s">
        <v>5</v>
      </c>
      <c r="L2435" t="s">
        <v>67</v>
      </c>
      <c r="M2435" t="s">
        <v>82</v>
      </c>
      <c r="N2435" t="s">
        <v>11</v>
      </c>
    </row>
    <row r="2436" spans="1:14" x14ac:dyDescent="0.35">
      <c r="A2436" s="75">
        <v>44114</v>
      </c>
      <c r="B2436" t="s">
        <v>149</v>
      </c>
      <c r="C2436" t="s">
        <v>101</v>
      </c>
      <c r="D2436">
        <v>3</v>
      </c>
      <c r="E2436">
        <v>3</v>
      </c>
      <c r="F2436" t="s">
        <v>10</v>
      </c>
      <c r="G2436" t="s">
        <v>73</v>
      </c>
      <c r="H2436" t="s">
        <v>78</v>
      </c>
      <c r="I2436">
        <v>80000000</v>
      </c>
      <c r="J2436" t="s">
        <v>17</v>
      </c>
      <c r="K2436" t="s">
        <v>2</v>
      </c>
      <c r="L2436" t="s">
        <v>67</v>
      </c>
      <c r="M2436" t="s">
        <v>81</v>
      </c>
      <c r="N2436" t="s">
        <v>11</v>
      </c>
    </row>
    <row r="2437" spans="1:14" x14ac:dyDescent="0.35">
      <c r="A2437" s="75">
        <v>44115</v>
      </c>
      <c r="B2437" t="s">
        <v>150</v>
      </c>
      <c r="C2437" t="s">
        <v>101</v>
      </c>
      <c r="D2437">
        <v>9</v>
      </c>
      <c r="E2437">
        <v>9</v>
      </c>
      <c r="F2437" t="s">
        <v>10</v>
      </c>
      <c r="G2437" t="s">
        <v>76</v>
      </c>
      <c r="H2437" t="s">
        <v>79</v>
      </c>
      <c r="I2437">
        <v>100000000</v>
      </c>
      <c r="J2437" t="s">
        <v>19</v>
      </c>
      <c r="K2437" t="s">
        <v>5</v>
      </c>
      <c r="L2437" t="s">
        <v>67</v>
      </c>
      <c r="M2437" t="s">
        <v>82</v>
      </c>
      <c r="N2437" t="s">
        <v>14</v>
      </c>
    </row>
    <row r="2438" spans="1:14" x14ac:dyDescent="0.35">
      <c r="A2438" s="75">
        <v>44115</v>
      </c>
      <c r="B2438" t="s">
        <v>150</v>
      </c>
      <c r="C2438" t="s">
        <v>101</v>
      </c>
      <c r="D2438">
        <v>8</v>
      </c>
      <c r="E2438">
        <v>8</v>
      </c>
      <c r="F2438" t="s">
        <v>10</v>
      </c>
      <c r="G2438" t="s">
        <v>71</v>
      </c>
      <c r="H2438" t="s">
        <v>6</v>
      </c>
      <c r="I2438">
        <v>40000000</v>
      </c>
      <c r="J2438" t="s">
        <v>32</v>
      </c>
      <c r="K2438" t="s">
        <v>7</v>
      </c>
      <c r="L2438" t="s">
        <v>67</v>
      </c>
      <c r="M2438" t="s">
        <v>81</v>
      </c>
      <c r="N2438" t="s">
        <v>12</v>
      </c>
    </row>
    <row r="2439" spans="1:14" x14ac:dyDescent="0.35">
      <c r="A2439" s="75">
        <v>44115</v>
      </c>
      <c r="B2439" t="s">
        <v>150</v>
      </c>
      <c r="C2439" t="s">
        <v>101</v>
      </c>
      <c r="D2439">
        <v>8</v>
      </c>
      <c r="E2439">
        <v>8</v>
      </c>
      <c r="F2439" t="s">
        <v>10</v>
      </c>
      <c r="G2439" t="s">
        <v>113</v>
      </c>
      <c r="H2439" t="s">
        <v>77</v>
      </c>
      <c r="I2439">
        <v>40000000</v>
      </c>
      <c r="J2439" t="s">
        <v>35</v>
      </c>
      <c r="K2439" t="s">
        <v>5</v>
      </c>
      <c r="L2439" t="s">
        <v>67</v>
      </c>
      <c r="M2439" t="s">
        <v>82</v>
      </c>
      <c r="N2439" t="s">
        <v>13</v>
      </c>
    </row>
    <row r="2440" spans="1:14" x14ac:dyDescent="0.35">
      <c r="A2440" s="75">
        <v>44115</v>
      </c>
      <c r="B2440" t="s">
        <v>150</v>
      </c>
      <c r="C2440" t="s">
        <v>101</v>
      </c>
      <c r="D2440">
        <v>6</v>
      </c>
      <c r="E2440">
        <v>6</v>
      </c>
      <c r="F2440" t="s">
        <v>10</v>
      </c>
      <c r="G2440" t="s">
        <v>73</v>
      </c>
      <c r="H2440" t="s">
        <v>78</v>
      </c>
      <c r="I2440">
        <v>60000000</v>
      </c>
      <c r="J2440" t="s">
        <v>42</v>
      </c>
      <c r="K2440" t="s">
        <v>5</v>
      </c>
      <c r="L2440" t="s">
        <v>67</v>
      </c>
      <c r="M2440" t="s">
        <v>80</v>
      </c>
      <c r="N2440" t="s">
        <v>12</v>
      </c>
    </row>
    <row r="2441" spans="1:14" x14ac:dyDescent="0.35">
      <c r="A2441" s="75">
        <v>44115</v>
      </c>
      <c r="B2441" t="s">
        <v>150</v>
      </c>
      <c r="C2441" t="s">
        <v>101</v>
      </c>
      <c r="D2441">
        <v>6</v>
      </c>
      <c r="E2441">
        <v>6</v>
      </c>
      <c r="F2441" t="s">
        <v>10</v>
      </c>
      <c r="G2441" t="s">
        <v>74</v>
      </c>
      <c r="H2441" t="s">
        <v>77</v>
      </c>
      <c r="I2441">
        <v>120000000</v>
      </c>
      <c r="J2441" t="s">
        <v>62</v>
      </c>
      <c r="K2441" t="s">
        <v>2</v>
      </c>
      <c r="L2441" t="s">
        <v>67</v>
      </c>
      <c r="M2441" t="s">
        <v>80</v>
      </c>
      <c r="N2441" t="s">
        <v>13</v>
      </c>
    </row>
    <row r="2442" spans="1:14" x14ac:dyDescent="0.35">
      <c r="A2442" s="75">
        <v>44115</v>
      </c>
      <c r="B2442" t="s">
        <v>150</v>
      </c>
      <c r="C2442" t="s">
        <v>101</v>
      </c>
      <c r="D2442">
        <v>5</v>
      </c>
      <c r="E2442">
        <v>5</v>
      </c>
      <c r="F2442" t="s">
        <v>10</v>
      </c>
      <c r="G2442" t="s">
        <v>70</v>
      </c>
      <c r="H2442" t="s">
        <v>1</v>
      </c>
      <c r="I2442">
        <v>120000000</v>
      </c>
      <c r="J2442" t="s">
        <v>50</v>
      </c>
      <c r="K2442" t="s">
        <v>2</v>
      </c>
      <c r="L2442" t="s">
        <v>67</v>
      </c>
      <c r="M2442" t="s">
        <v>82</v>
      </c>
      <c r="N2442" t="s">
        <v>12</v>
      </c>
    </row>
    <row r="2443" spans="1:14" x14ac:dyDescent="0.35">
      <c r="A2443" s="75">
        <v>44115</v>
      </c>
      <c r="B2443" t="s">
        <v>150</v>
      </c>
      <c r="C2443" t="s">
        <v>101</v>
      </c>
      <c r="D2443">
        <v>4</v>
      </c>
      <c r="E2443">
        <v>4</v>
      </c>
      <c r="F2443" t="s">
        <v>10</v>
      </c>
      <c r="G2443" t="s">
        <v>113</v>
      </c>
      <c r="H2443" t="s">
        <v>77</v>
      </c>
      <c r="I2443">
        <v>60000000</v>
      </c>
      <c r="J2443" t="s">
        <v>22</v>
      </c>
      <c r="K2443" t="s">
        <v>2</v>
      </c>
      <c r="L2443" t="s">
        <v>67</v>
      </c>
      <c r="M2443" t="s">
        <v>80</v>
      </c>
      <c r="N2443" t="s">
        <v>11</v>
      </c>
    </row>
    <row r="2444" spans="1:14" x14ac:dyDescent="0.35">
      <c r="A2444" s="75">
        <v>44116</v>
      </c>
      <c r="B2444" t="s">
        <v>151</v>
      </c>
      <c r="C2444" t="s">
        <v>101</v>
      </c>
      <c r="D2444">
        <v>7</v>
      </c>
      <c r="E2444">
        <v>7</v>
      </c>
      <c r="F2444" t="s">
        <v>10</v>
      </c>
      <c r="G2444" t="s">
        <v>76</v>
      </c>
      <c r="H2444" t="s">
        <v>79</v>
      </c>
      <c r="I2444">
        <v>80000000</v>
      </c>
      <c r="J2444" t="s">
        <v>32</v>
      </c>
      <c r="K2444" t="s">
        <v>2</v>
      </c>
      <c r="L2444" t="s">
        <v>67</v>
      </c>
      <c r="M2444" t="s">
        <v>80</v>
      </c>
      <c r="N2444" t="s">
        <v>11</v>
      </c>
    </row>
    <row r="2445" spans="1:14" x14ac:dyDescent="0.35">
      <c r="A2445" s="75">
        <v>44116</v>
      </c>
      <c r="B2445" t="s">
        <v>151</v>
      </c>
      <c r="C2445" t="s">
        <v>101</v>
      </c>
      <c r="D2445">
        <v>7</v>
      </c>
      <c r="E2445">
        <v>7</v>
      </c>
      <c r="F2445" t="s">
        <v>10</v>
      </c>
      <c r="G2445" t="s">
        <v>76</v>
      </c>
      <c r="H2445" t="s">
        <v>79</v>
      </c>
      <c r="I2445">
        <v>40000000</v>
      </c>
      <c r="J2445" t="s">
        <v>21</v>
      </c>
      <c r="K2445" t="s">
        <v>5</v>
      </c>
      <c r="L2445" t="s">
        <v>67</v>
      </c>
      <c r="M2445" t="s">
        <v>82</v>
      </c>
      <c r="N2445" t="s">
        <v>14</v>
      </c>
    </row>
    <row r="2446" spans="1:14" x14ac:dyDescent="0.35">
      <c r="A2446" s="75">
        <v>44116</v>
      </c>
      <c r="B2446" t="s">
        <v>151</v>
      </c>
      <c r="C2446" t="s">
        <v>101</v>
      </c>
      <c r="D2446">
        <v>3</v>
      </c>
      <c r="E2446">
        <v>3</v>
      </c>
      <c r="F2446" t="s">
        <v>10</v>
      </c>
      <c r="G2446" t="s">
        <v>72</v>
      </c>
      <c r="H2446" t="s">
        <v>78</v>
      </c>
      <c r="I2446">
        <v>80000000</v>
      </c>
      <c r="J2446" t="s">
        <v>43</v>
      </c>
      <c r="K2446" t="s">
        <v>2</v>
      </c>
      <c r="L2446" t="s">
        <v>67</v>
      </c>
      <c r="M2446" t="s">
        <v>80</v>
      </c>
      <c r="N2446" t="s">
        <v>12</v>
      </c>
    </row>
    <row r="2447" spans="1:14" x14ac:dyDescent="0.35">
      <c r="A2447" s="75">
        <v>44117</v>
      </c>
      <c r="B2447" t="s">
        <v>152</v>
      </c>
      <c r="C2447" t="s">
        <v>101</v>
      </c>
      <c r="D2447">
        <v>10</v>
      </c>
      <c r="E2447">
        <v>10</v>
      </c>
      <c r="F2447" t="s">
        <v>10</v>
      </c>
      <c r="G2447" t="s">
        <v>76</v>
      </c>
      <c r="H2447" t="s">
        <v>79</v>
      </c>
      <c r="I2447">
        <v>40000000</v>
      </c>
      <c r="J2447" t="s">
        <v>59</v>
      </c>
      <c r="K2447" t="s">
        <v>7</v>
      </c>
      <c r="L2447" t="s">
        <v>67</v>
      </c>
      <c r="M2447" t="s">
        <v>81</v>
      </c>
      <c r="N2447" t="s">
        <v>11</v>
      </c>
    </row>
    <row r="2448" spans="1:14" x14ac:dyDescent="0.35">
      <c r="A2448" s="75">
        <v>44117</v>
      </c>
      <c r="B2448" t="s">
        <v>152</v>
      </c>
      <c r="C2448" t="s">
        <v>101</v>
      </c>
      <c r="D2448">
        <v>10</v>
      </c>
      <c r="E2448">
        <v>10</v>
      </c>
      <c r="F2448" t="s">
        <v>10</v>
      </c>
      <c r="G2448" t="s">
        <v>114</v>
      </c>
      <c r="H2448" t="s">
        <v>3</v>
      </c>
      <c r="I2448">
        <v>40000000</v>
      </c>
      <c r="J2448" t="s">
        <v>48</v>
      </c>
      <c r="K2448" t="s">
        <v>8</v>
      </c>
      <c r="L2448" t="s">
        <v>67</v>
      </c>
      <c r="M2448" t="s">
        <v>80</v>
      </c>
      <c r="N2448" t="s">
        <v>13</v>
      </c>
    </row>
    <row r="2449" spans="1:14" x14ac:dyDescent="0.35">
      <c r="A2449" s="75">
        <v>44117</v>
      </c>
      <c r="B2449" t="s">
        <v>152</v>
      </c>
      <c r="C2449" t="s">
        <v>101</v>
      </c>
      <c r="D2449">
        <v>8</v>
      </c>
      <c r="E2449">
        <v>8</v>
      </c>
      <c r="F2449" t="s">
        <v>10</v>
      </c>
      <c r="G2449" t="s">
        <v>72</v>
      </c>
      <c r="H2449" t="s">
        <v>78</v>
      </c>
      <c r="I2449">
        <v>100000000</v>
      </c>
      <c r="J2449" t="s">
        <v>51</v>
      </c>
      <c r="K2449" t="s">
        <v>8</v>
      </c>
      <c r="L2449" t="s">
        <v>67</v>
      </c>
      <c r="M2449" t="s">
        <v>80</v>
      </c>
      <c r="N2449" t="s">
        <v>13</v>
      </c>
    </row>
    <row r="2450" spans="1:14" x14ac:dyDescent="0.35">
      <c r="A2450" s="75">
        <v>44117</v>
      </c>
      <c r="B2450" t="s">
        <v>152</v>
      </c>
      <c r="C2450" t="s">
        <v>101</v>
      </c>
      <c r="D2450">
        <v>8</v>
      </c>
      <c r="E2450">
        <v>8</v>
      </c>
      <c r="F2450" t="s">
        <v>10</v>
      </c>
      <c r="G2450" t="s">
        <v>76</v>
      </c>
      <c r="H2450" t="s">
        <v>79</v>
      </c>
      <c r="I2450">
        <v>100000000</v>
      </c>
      <c r="J2450" t="s">
        <v>22</v>
      </c>
      <c r="K2450" t="s">
        <v>2</v>
      </c>
      <c r="L2450" t="s">
        <v>67</v>
      </c>
      <c r="M2450" t="s">
        <v>81</v>
      </c>
      <c r="N2450" t="s">
        <v>12</v>
      </c>
    </row>
    <row r="2451" spans="1:14" x14ac:dyDescent="0.35">
      <c r="A2451" s="75">
        <v>44117</v>
      </c>
      <c r="B2451" t="s">
        <v>152</v>
      </c>
      <c r="C2451" t="s">
        <v>101</v>
      </c>
      <c r="D2451">
        <v>7</v>
      </c>
      <c r="E2451">
        <v>7</v>
      </c>
      <c r="F2451" t="s">
        <v>10</v>
      </c>
      <c r="G2451" t="s">
        <v>73</v>
      </c>
      <c r="H2451" t="s">
        <v>78</v>
      </c>
      <c r="I2451">
        <v>120000000</v>
      </c>
      <c r="J2451" t="s">
        <v>15</v>
      </c>
      <c r="K2451" t="s">
        <v>2</v>
      </c>
      <c r="L2451" t="s">
        <v>67</v>
      </c>
      <c r="M2451" t="s">
        <v>82</v>
      </c>
      <c r="N2451" t="s">
        <v>13</v>
      </c>
    </row>
    <row r="2452" spans="1:14" x14ac:dyDescent="0.35">
      <c r="A2452" s="75">
        <v>44117</v>
      </c>
      <c r="B2452" t="s">
        <v>152</v>
      </c>
      <c r="C2452" t="s">
        <v>101</v>
      </c>
      <c r="D2452">
        <v>6</v>
      </c>
      <c r="E2452">
        <v>6</v>
      </c>
      <c r="F2452" t="s">
        <v>10</v>
      </c>
      <c r="G2452" t="s">
        <v>114</v>
      </c>
      <c r="H2452" t="s">
        <v>3</v>
      </c>
      <c r="I2452">
        <v>40000000</v>
      </c>
      <c r="J2452" t="s">
        <v>49</v>
      </c>
      <c r="K2452" t="s">
        <v>7</v>
      </c>
      <c r="L2452" t="s">
        <v>67</v>
      </c>
      <c r="M2452" t="s">
        <v>80</v>
      </c>
      <c r="N2452" t="s">
        <v>12</v>
      </c>
    </row>
    <row r="2453" spans="1:14" x14ac:dyDescent="0.35">
      <c r="A2453" s="75">
        <v>44117</v>
      </c>
      <c r="B2453" t="s">
        <v>152</v>
      </c>
      <c r="C2453" t="s">
        <v>101</v>
      </c>
      <c r="D2453">
        <v>5</v>
      </c>
      <c r="E2453">
        <v>5</v>
      </c>
      <c r="F2453" t="s">
        <v>10</v>
      </c>
      <c r="G2453" t="s">
        <v>76</v>
      </c>
      <c r="H2453" t="s">
        <v>79</v>
      </c>
      <c r="I2453">
        <v>120000000</v>
      </c>
      <c r="J2453" t="s">
        <v>42</v>
      </c>
      <c r="K2453" t="s">
        <v>5</v>
      </c>
      <c r="L2453" t="s">
        <v>67</v>
      </c>
      <c r="M2453" t="s">
        <v>82</v>
      </c>
      <c r="N2453" t="s">
        <v>11</v>
      </c>
    </row>
    <row r="2454" spans="1:14" x14ac:dyDescent="0.35">
      <c r="A2454" s="75">
        <v>44117</v>
      </c>
      <c r="B2454" t="s">
        <v>152</v>
      </c>
      <c r="C2454" t="s">
        <v>101</v>
      </c>
      <c r="D2454">
        <v>5</v>
      </c>
      <c r="E2454">
        <v>5</v>
      </c>
      <c r="F2454" t="s">
        <v>10</v>
      </c>
      <c r="G2454" t="s">
        <v>70</v>
      </c>
      <c r="H2454" t="s">
        <v>1</v>
      </c>
      <c r="I2454">
        <v>80000000</v>
      </c>
      <c r="J2454" t="s">
        <v>44</v>
      </c>
      <c r="K2454" t="s">
        <v>7</v>
      </c>
      <c r="L2454" t="s">
        <v>67</v>
      </c>
      <c r="M2454" t="s">
        <v>80</v>
      </c>
      <c r="N2454" t="s">
        <v>14</v>
      </c>
    </row>
    <row r="2455" spans="1:14" x14ac:dyDescent="0.35">
      <c r="A2455" s="75">
        <v>44117</v>
      </c>
      <c r="B2455" t="s">
        <v>152</v>
      </c>
      <c r="C2455" t="s">
        <v>101</v>
      </c>
      <c r="D2455">
        <v>4</v>
      </c>
      <c r="E2455">
        <v>4</v>
      </c>
      <c r="F2455" t="s">
        <v>10</v>
      </c>
      <c r="G2455" t="s">
        <v>75</v>
      </c>
      <c r="H2455" t="s">
        <v>6</v>
      </c>
      <c r="I2455">
        <v>60000000</v>
      </c>
      <c r="J2455" t="s">
        <v>23</v>
      </c>
      <c r="K2455" t="s">
        <v>2</v>
      </c>
      <c r="L2455" t="s">
        <v>67</v>
      </c>
      <c r="M2455" t="s">
        <v>81</v>
      </c>
      <c r="N2455" t="s">
        <v>11</v>
      </c>
    </row>
    <row r="2456" spans="1:14" x14ac:dyDescent="0.35">
      <c r="A2456" s="75">
        <v>44117</v>
      </c>
      <c r="B2456" t="s">
        <v>152</v>
      </c>
      <c r="C2456" t="s">
        <v>101</v>
      </c>
      <c r="D2456">
        <v>4</v>
      </c>
      <c r="E2456">
        <v>4</v>
      </c>
      <c r="F2456" t="s">
        <v>10</v>
      </c>
      <c r="G2456" t="s">
        <v>72</v>
      </c>
      <c r="H2456" t="s">
        <v>78</v>
      </c>
      <c r="I2456">
        <v>40000000</v>
      </c>
      <c r="J2456" t="s">
        <v>54</v>
      </c>
      <c r="K2456" t="s">
        <v>5</v>
      </c>
      <c r="L2456" t="s">
        <v>67</v>
      </c>
      <c r="M2456" t="s">
        <v>80</v>
      </c>
      <c r="N2456" t="s">
        <v>14</v>
      </c>
    </row>
    <row r="2457" spans="1:14" x14ac:dyDescent="0.35">
      <c r="A2457" s="75">
        <v>44117</v>
      </c>
      <c r="B2457" t="s">
        <v>152</v>
      </c>
      <c r="C2457" t="s">
        <v>101</v>
      </c>
      <c r="D2457">
        <v>4</v>
      </c>
      <c r="E2457">
        <v>4</v>
      </c>
      <c r="F2457" t="s">
        <v>10</v>
      </c>
      <c r="G2457" t="s">
        <v>114</v>
      </c>
      <c r="H2457" t="s">
        <v>3</v>
      </c>
      <c r="I2457">
        <v>80000000</v>
      </c>
      <c r="J2457" t="s">
        <v>48</v>
      </c>
      <c r="K2457" t="s">
        <v>5</v>
      </c>
      <c r="L2457" t="s">
        <v>67</v>
      </c>
      <c r="M2457" t="s">
        <v>82</v>
      </c>
      <c r="N2457" t="s">
        <v>11</v>
      </c>
    </row>
    <row r="2458" spans="1:14" x14ac:dyDescent="0.35">
      <c r="A2458" s="75">
        <v>44118</v>
      </c>
      <c r="B2458" t="s">
        <v>153</v>
      </c>
      <c r="C2458" t="s">
        <v>101</v>
      </c>
      <c r="D2458">
        <v>10</v>
      </c>
      <c r="E2458">
        <v>10</v>
      </c>
      <c r="F2458" t="s">
        <v>10</v>
      </c>
      <c r="G2458" t="s">
        <v>70</v>
      </c>
      <c r="H2458" t="s">
        <v>1</v>
      </c>
      <c r="I2458">
        <v>40000000</v>
      </c>
      <c r="J2458" t="s">
        <v>24</v>
      </c>
      <c r="K2458" t="s">
        <v>5</v>
      </c>
      <c r="L2458" t="s">
        <v>67</v>
      </c>
      <c r="M2458" t="s">
        <v>80</v>
      </c>
      <c r="N2458" t="s">
        <v>13</v>
      </c>
    </row>
    <row r="2459" spans="1:14" x14ac:dyDescent="0.35">
      <c r="A2459" s="75">
        <v>44118</v>
      </c>
      <c r="B2459" t="s">
        <v>153</v>
      </c>
      <c r="C2459" t="s">
        <v>101</v>
      </c>
      <c r="D2459">
        <v>10</v>
      </c>
      <c r="E2459">
        <v>10</v>
      </c>
      <c r="F2459" t="s">
        <v>10</v>
      </c>
      <c r="G2459" t="s">
        <v>71</v>
      </c>
      <c r="H2459" t="s">
        <v>6</v>
      </c>
      <c r="I2459">
        <v>120000000</v>
      </c>
      <c r="J2459" t="s">
        <v>25</v>
      </c>
      <c r="K2459" t="s">
        <v>2</v>
      </c>
      <c r="L2459" t="s">
        <v>67</v>
      </c>
      <c r="M2459" t="s">
        <v>82</v>
      </c>
      <c r="N2459" t="s">
        <v>12</v>
      </c>
    </row>
    <row r="2460" spans="1:14" x14ac:dyDescent="0.35">
      <c r="A2460" s="75">
        <v>44118</v>
      </c>
      <c r="B2460" t="s">
        <v>153</v>
      </c>
      <c r="C2460" t="s">
        <v>101</v>
      </c>
      <c r="D2460">
        <v>6</v>
      </c>
      <c r="E2460">
        <v>6</v>
      </c>
      <c r="F2460" t="s">
        <v>10</v>
      </c>
      <c r="G2460" t="s">
        <v>76</v>
      </c>
      <c r="H2460" t="s">
        <v>79</v>
      </c>
      <c r="I2460">
        <v>100000000</v>
      </c>
      <c r="J2460" t="s">
        <v>43</v>
      </c>
      <c r="K2460" t="s">
        <v>2</v>
      </c>
      <c r="L2460" t="s">
        <v>67</v>
      </c>
      <c r="M2460" t="s">
        <v>82</v>
      </c>
      <c r="N2460" t="s">
        <v>12</v>
      </c>
    </row>
    <row r="2461" spans="1:14" x14ac:dyDescent="0.35">
      <c r="A2461" s="75">
        <v>44118</v>
      </c>
      <c r="B2461" t="s">
        <v>153</v>
      </c>
      <c r="C2461" t="s">
        <v>101</v>
      </c>
      <c r="D2461">
        <v>5</v>
      </c>
      <c r="E2461">
        <v>5</v>
      </c>
      <c r="F2461" t="s">
        <v>10</v>
      </c>
      <c r="G2461" t="s">
        <v>74</v>
      </c>
      <c r="H2461" t="s">
        <v>77</v>
      </c>
      <c r="I2461">
        <v>80000000</v>
      </c>
      <c r="J2461" t="s">
        <v>57</v>
      </c>
      <c r="K2461" t="s">
        <v>5</v>
      </c>
      <c r="L2461" t="s">
        <v>67</v>
      </c>
      <c r="M2461" t="s">
        <v>80</v>
      </c>
      <c r="N2461" t="s">
        <v>12</v>
      </c>
    </row>
    <row r="2462" spans="1:14" x14ac:dyDescent="0.35">
      <c r="A2462" s="75">
        <v>44118</v>
      </c>
      <c r="B2462" t="s">
        <v>153</v>
      </c>
      <c r="C2462" t="s">
        <v>101</v>
      </c>
      <c r="D2462">
        <v>4</v>
      </c>
      <c r="E2462">
        <v>4</v>
      </c>
      <c r="F2462" t="s">
        <v>10</v>
      </c>
      <c r="G2462" t="s">
        <v>71</v>
      </c>
      <c r="H2462" t="s">
        <v>6</v>
      </c>
      <c r="I2462">
        <v>80000000</v>
      </c>
      <c r="J2462" t="s">
        <v>31</v>
      </c>
      <c r="K2462" t="s">
        <v>5</v>
      </c>
      <c r="L2462" t="s">
        <v>67</v>
      </c>
      <c r="M2462" t="s">
        <v>81</v>
      </c>
      <c r="N2462" t="s">
        <v>13</v>
      </c>
    </row>
    <row r="2463" spans="1:14" x14ac:dyDescent="0.35">
      <c r="A2463" s="75">
        <v>44118</v>
      </c>
      <c r="B2463" t="s">
        <v>153</v>
      </c>
      <c r="C2463" t="s">
        <v>101</v>
      </c>
      <c r="D2463">
        <v>3</v>
      </c>
      <c r="E2463">
        <v>3</v>
      </c>
      <c r="F2463" t="s">
        <v>10</v>
      </c>
      <c r="G2463" t="s">
        <v>74</v>
      </c>
      <c r="H2463" t="s">
        <v>77</v>
      </c>
      <c r="I2463">
        <v>140000000</v>
      </c>
      <c r="J2463" t="s">
        <v>15</v>
      </c>
      <c r="K2463" t="s">
        <v>2</v>
      </c>
      <c r="L2463" t="s">
        <v>67</v>
      </c>
      <c r="M2463" t="s">
        <v>82</v>
      </c>
      <c r="N2463" t="s">
        <v>13</v>
      </c>
    </row>
    <row r="2464" spans="1:14" x14ac:dyDescent="0.35">
      <c r="A2464" s="75">
        <v>44119</v>
      </c>
      <c r="B2464" t="s">
        <v>154</v>
      </c>
      <c r="C2464" t="s">
        <v>101</v>
      </c>
      <c r="D2464">
        <v>10</v>
      </c>
      <c r="E2464">
        <v>10</v>
      </c>
      <c r="F2464" t="s">
        <v>10</v>
      </c>
      <c r="G2464" t="s">
        <v>73</v>
      </c>
      <c r="H2464" t="s">
        <v>78</v>
      </c>
      <c r="I2464">
        <v>60000000</v>
      </c>
      <c r="J2464" t="s">
        <v>48</v>
      </c>
      <c r="K2464" t="s">
        <v>4</v>
      </c>
      <c r="L2464" t="s">
        <v>67</v>
      </c>
      <c r="M2464" t="s">
        <v>82</v>
      </c>
      <c r="N2464" t="s">
        <v>11</v>
      </c>
    </row>
    <row r="2465" spans="1:14" x14ac:dyDescent="0.35">
      <c r="A2465" s="75">
        <v>44119</v>
      </c>
      <c r="B2465" t="s">
        <v>154</v>
      </c>
      <c r="C2465" t="s">
        <v>101</v>
      </c>
      <c r="D2465">
        <v>8</v>
      </c>
      <c r="E2465">
        <v>8</v>
      </c>
      <c r="F2465" t="s">
        <v>10</v>
      </c>
      <c r="G2465" t="s">
        <v>114</v>
      </c>
      <c r="H2465" t="s">
        <v>3</v>
      </c>
      <c r="I2465">
        <v>120000000</v>
      </c>
      <c r="J2465" t="s">
        <v>60</v>
      </c>
      <c r="K2465" t="s">
        <v>7</v>
      </c>
      <c r="L2465" t="s">
        <v>67</v>
      </c>
      <c r="M2465" t="s">
        <v>81</v>
      </c>
      <c r="N2465" t="s">
        <v>14</v>
      </c>
    </row>
    <row r="2466" spans="1:14" x14ac:dyDescent="0.35">
      <c r="A2466" s="75">
        <v>44119</v>
      </c>
      <c r="B2466" t="s">
        <v>154</v>
      </c>
      <c r="C2466" t="s">
        <v>101</v>
      </c>
      <c r="D2466">
        <v>8</v>
      </c>
      <c r="E2466">
        <v>8</v>
      </c>
      <c r="F2466" t="s">
        <v>10</v>
      </c>
      <c r="G2466" t="s">
        <v>114</v>
      </c>
      <c r="H2466" t="s">
        <v>3</v>
      </c>
      <c r="I2466">
        <v>140000000</v>
      </c>
      <c r="J2466" t="s">
        <v>62</v>
      </c>
      <c r="K2466" t="s">
        <v>2</v>
      </c>
      <c r="L2466" t="s">
        <v>67</v>
      </c>
      <c r="M2466" t="s">
        <v>81</v>
      </c>
      <c r="N2466" t="s">
        <v>11</v>
      </c>
    </row>
    <row r="2467" spans="1:14" x14ac:dyDescent="0.35">
      <c r="A2467" s="75">
        <v>44119</v>
      </c>
      <c r="B2467" t="s">
        <v>154</v>
      </c>
      <c r="C2467" t="s">
        <v>101</v>
      </c>
      <c r="D2467">
        <v>6</v>
      </c>
      <c r="E2467">
        <v>6</v>
      </c>
      <c r="F2467" t="s">
        <v>10</v>
      </c>
      <c r="G2467" t="s">
        <v>114</v>
      </c>
      <c r="H2467" t="s">
        <v>3</v>
      </c>
      <c r="I2467">
        <v>60000000</v>
      </c>
      <c r="J2467" t="s">
        <v>60</v>
      </c>
      <c r="K2467" t="s">
        <v>7</v>
      </c>
      <c r="L2467" t="s">
        <v>67</v>
      </c>
      <c r="M2467" t="s">
        <v>80</v>
      </c>
      <c r="N2467" t="s">
        <v>14</v>
      </c>
    </row>
    <row r="2468" spans="1:14" x14ac:dyDescent="0.35">
      <c r="A2468" s="75">
        <v>44119</v>
      </c>
      <c r="B2468" t="s">
        <v>154</v>
      </c>
      <c r="C2468" t="s">
        <v>101</v>
      </c>
      <c r="D2468">
        <v>5</v>
      </c>
      <c r="E2468">
        <v>5</v>
      </c>
      <c r="F2468" t="s">
        <v>10</v>
      </c>
      <c r="G2468" t="s">
        <v>75</v>
      </c>
      <c r="H2468" t="s">
        <v>6</v>
      </c>
      <c r="I2468">
        <v>60000000</v>
      </c>
      <c r="J2468" t="s">
        <v>31</v>
      </c>
      <c r="K2468" t="s">
        <v>5</v>
      </c>
      <c r="L2468" t="s">
        <v>67</v>
      </c>
      <c r="M2468" t="s">
        <v>81</v>
      </c>
      <c r="N2468" t="s">
        <v>13</v>
      </c>
    </row>
    <row r="2469" spans="1:14" x14ac:dyDescent="0.35">
      <c r="A2469" s="75">
        <v>44119</v>
      </c>
      <c r="B2469" t="s">
        <v>154</v>
      </c>
      <c r="C2469" t="s">
        <v>101</v>
      </c>
      <c r="D2469">
        <v>5</v>
      </c>
      <c r="E2469">
        <v>5</v>
      </c>
      <c r="F2469" t="s">
        <v>10</v>
      </c>
      <c r="G2469" t="s">
        <v>72</v>
      </c>
      <c r="H2469" t="s">
        <v>78</v>
      </c>
      <c r="I2469">
        <v>40000000</v>
      </c>
      <c r="J2469" t="s">
        <v>54</v>
      </c>
      <c r="K2469" t="s">
        <v>5</v>
      </c>
      <c r="L2469" t="s">
        <v>67</v>
      </c>
      <c r="M2469" t="s">
        <v>81</v>
      </c>
      <c r="N2469" t="s">
        <v>14</v>
      </c>
    </row>
    <row r="2470" spans="1:14" x14ac:dyDescent="0.35">
      <c r="A2470" s="75">
        <v>44119</v>
      </c>
      <c r="B2470" t="s">
        <v>154</v>
      </c>
      <c r="C2470" t="s">
        <v>101</v>
      </c>
      <c r="D2470">
        <v>5</v>
      </c>
      <c r="E2470">
        <v>5</v>
      </c>
      <c r="F2470" t="s">
        <v>10</v>
      </c>
      <c r="G2470" t="s">
        <v>76</v>
      </c>
      <c r="H2470" t="s">
        <v>79</v>
      </c>
      <c r="I2470">
        <v>80000000</v>
      </c>
      <c r="J2470" t="s">
        <v>57</v>
      </c>
      <c r="K2470" t="s">
        <v>5</v>
      </c>
      <c r="L2470" t="s">
        <v>67</v>
      </c>
      <c r="M2470" t="s">
        <v>81</v>
      </c>
      <c r="N2470" t="s">
        <v>14</v>
      </c>
    </row>
    <row r="2471" spans="1:14" x14ac:dyDescent="0.35">
      <c r="A2471" s="75">
        <v>44119</v>
      </c>
      <c r="B2471" t="s">
        <v>154</v>
      </c>
      <c r="C2471" t="s">
        <v>101</v>
      </c>
      <c r="D2471">
        <v>5</v>
      </c>
      <c r="E2471">
        <v>5</v>
      </c>
      <c r="F2471" t="s">
        <v>10</v>
      </c>
      <c r="G2471" t="s">
        <v>75</v>
      </c>
      <c r="H2471" t="s">
        <v>6</v>
      </c>
      <c r="I2471">
        <v>40000000</v>
      </c>
      <c r="J2471" t="s">
        <v>24</v>
      </c>
      <c r="K2471" t="s">
        <v>2</v>
      </c>
      <c r="L2471" t="s">
        <v>67</v>
      </c>
      <c r="M2471" t="s">
        <v>80</v>
      </c>
      <c r="N2471" t="s">
        <v>14</v>
      </c>
    </row>
    <row r="2472" spans="1:14" x14ac:dyDescent="0.35">
      <c r="A2472" s="75">
        <v>44119</v>
      </c>
      <c r="B2472" t="s">
        <v>154</v>
      </c>
      <c r="C2472" t="s">
        <v>101</v>
      </c>
      <c r="D2472">
        <v>4</v>
      </c>
      <c r="E2472">
        <v>4</v>
      </c>
      <c r="F2472" t="s">
        <v>10</v>
      </c>
      <c r="G2472" t="s">
        <v>71</v>
      </c>
      <c r="H2472" t="s">
        <v>6</v>
      </c>
      <c r="I2472">
        <v>120000000</v>
      </c>
      <c r="J2472" t="s">
        <v>46</v>
      </c>
      <c r="K2472" t="s">
        <v>2</v>
      </c>
      <c r="L2472" t="s">
        <v>67</v>
      </c>
      <c r="M2472" t="s">
        <v>80</v>
      </c>
      <c r="N2472" t="s">
        <v>11</v>
      </c>
    </row>
    <row r="2473" spans="1:14" x14ac:dyDescent="0.35">
      <c r="A2473" s="75">
        <v>44119</v>
      </c>
      <c r="B2473" t="s">
        <v>154</v>
      </c>
      <c r="C2473" t="s">
        <v>101</v>
      </c>
      <c r="D2473">
        <v>4</v>
      </c>
      <c r="E2473">
        <v>4</v>
      </c>
      <c r="F2473" t="s">
        <v>10</v>
      </c>
      <c r="G2473" t="s">
        <v>114</v>
      </c>
      <c r="H2473" t="s">
        <v>3</v>
      </c>
      <c r="I2473">
        <v>100000000</v>
      </c>
      <c r="J2473" t="s">
        <v>31</v>
      </c>
      <c r="K2473" t="s">
        <v>8</v>
      </c>
      <c r="L2473" t="s">
        <v>67</v>
      </c>
      <c r="M2473" t="s">
        <v>81</v>
      </c>
      <c r="N2473" t="s">
        <v>11</v>
      </c>
    </row>
    <row r="2474" spans="1:14" x14ac:dyDescent="0.35">
      <c r="A2474" s="75">
        <v>44119</v>
      </c>
      <c r="B2474" t="s">
        <v>154</v>
      </c>
      <c r="C2474" t="s">
        <v>101</v>
      </c>
      <c r="D2474">
        <v>3</v>
      </c>
      <c r="E2474">
        <v>3</v>
      </c>
      <c r="F2474" t="s">
        <v>10</v>
      </c>
      <c r="G2474" t="s">
        <v>114</v>
      </c>
      <c r="H2474" t="s">
        <v>3</v>
      </c>
      <c r="I2474">
        <v>60000000</v>
      </c>
      <c r="J2474" t="s">
        <v>41</v>
      </c>
      <c r="K2474" t="s">
        <v>5</v>
      </c>
      <c r="L2474" t="s">
        <v>67</v>
      </c>
      <c r="M2474" t="s">
        <v>80</v>
      </c>
      <c r="N2474" t="s">
        <v>12</v>
      </c>
    </row>
    <row r="2475" spans="1:14" x14ac:dyDescent="0.35">
      <c r="A2475" s="75">
        <v>44119</v>
      </c>
      <c r="B2475" t="s">
        <v>154</v>
      </c>
      <c r="C2475" t="s">
        <v>101</v>
      </c>
      <c r="D2475">
        <v>3</v>
      </c>
      <c r="E2475">
        <v>3</v>
      </c>
      <c r="F2475" t="s">
        <v>10</v>
      </c>
      <c r="G2475" t="s">
        <v>70</v>
      </c>
      <c r="H2475" t="s">
        <v>1</v>
      </c>
      <c r="I2475">
        <v>80000000</v>
      </c>
      <c r="J2475" t="s">
        <v>51</v>
      </c>
      <c r="K2475" t="s">
        <v>7</v>
      </c>
      <c r="L2475" t="s">
        <v>67</v>
      </c>
      <c r="M2475" t="s">
        <v>82</v>
      </c>
      <c r="N2475" t="s">
        <v>13</v>
      </c>
    </row>
    <row r="2476" spans="1:14" x14ac:dyDescent="0.35">
      <c r="A2476" s="75">
        <v>44119</v>
      </c>
      <c r="B2476" t="s">
        <v>154</v>
      </c>
      <c r="C2476" t="s">
        <v>101</v>
      </c>
      <c r="D2476">
        <v>3</v>
      </c>
      <c r="E2476">
        <v>3</v>
      </c>
      <c r="F2476" t="s">
        <v>10</v>
      </c>
      <c r="G2476" t="s">
        <v>114</v>
      </c>
      <c r="H2476" t="s">
        <v>3</v>
      </c>
      <c r="I2476">
        <v>40000000</v>
      </c>
      <c r="J2476" t="s">
        <v>56</v>
      </c>
      <c r="K2476" t="s">
        <v>9</v>
      </c>
      <c r="L2476" t="s">
        <v>67</v>
      </c>
      <c r="M2476" t="s">
        <v>81</v>
      </c>
      <c r="N2476" t="s">
        <v>14</v>
      </c>
    </row>
    <row r="2477" spans="1:14" x14ac:dyDescent="0.35">
      <c r="A2477" s="75">
        <v>44120</v>
      </c>
      <c r="B2477" t="s">
        <v>155</v>
      </c>
      <c r="C2477" t="s">
        <v>101</v>
      </c>
      <c r="D2477">
        <v>10</v>
      </c>
      <c r="E2477">
        <v>10</v>
      </c>
      <c r="F2477" t="s">
        <v>10</v>
      </c>
      <c r="G2477" t="s">
        <v>70</v>
      </c>
      <c r="H2477" t="s">
        <v>1</v>
      </c>
      <c r="I2477">
        <v>120000000</v>
      </c>
      <c r="J2477" t="s">
        <v>63</v>
      </c>
      <c r="K2477" t="s">
        <v>2</v>
      </c>
      <c r="L2477" t="s">
        <v>67</v>
      </c>
      <c r="M2477" t="s">
        <v>82</v>
      </c>
      <c r="N2477" t="s">
        <v>14</v>
      </c>
    </row>
    <row r="2478" spans="1:14" x14ac:dyDescent="0.35">
      <c r="A2478" s="75">
        <v>44120</v>
      </c>
      <c r="B2478" t="s">
        <v>155</v>
      </c>
      <c r="C2478" t="s">
        <v>101</v>
      </c>
      <c r="D2478">
        <v>9</v>
      </c>
      <c r="E2478">
        <v>9</v>
      </c>
      <c r="F2478" t="s">
        <v>10</v>
      </c>
      <c r="G2478" t="s">
        <v>73</v>
      </c>
      <c r="H2478" t="s">
        <v>78</v>
      </c>
      <c r="I2478">
        <v>40000000</v>
      </c>
      <c r="J2478" t="s">
        <v>58</v>
      </c>
      <c r="K2478" t="s">
        <v>5</v>
      </c>
      <c r="L2478" t="s">
        <v>67</v>
      </c>
      <c r="M2478" t="s">
        <v>82</v>
      </c>
      <c r="N2478" t="s">
        <v>11</v>
      </c>
    </row>
    <row r="2479" spans="1:14" x14ac:dyDescent="0.35">
      <c r="A2479" s="75">
        <v>44120</v>
      </c>
      <c r="B2479" t="s">
        <v>155</v>
      </c>
      <c r="C2479" t="s">
        <v>101</v>
      </c>
      <c r="D2479">
        <v>8</v>
      </c>
      <c r="E2479">
        <v>8</v>
      </c>
      <c r="F2479" t="s">
        <v>10</v>
      </c>
      <c r="G2479" t="s">
        <v>70</v>
      </c>
      <c r="H2479" t="s">
        <v>1</v>
      </c>
      <c r="I2479">
        <v>140000000</v>
      </c>
      <c r="J2479" t="s">
        <v>33</v>
      </c>
      <c r="K2479" t="s">
        <v>5</v>
      </c>
      <c r="L2479" t="s">
        <v>67</v>
      </c>
      <c r="M2479" t="s">
        <v>80</v>
      </c>
      <c r="N2479" t="s">
        <v>12</v>
      </c>
    </row>
    <row r="2480" spans="1:14" x14ac:dyDescent="0.35">
      <c r="A2480" s="75">
        <v>44120</v>
      </c>
      <c r="B2480" t="s">
        <v>155</v>
      </c>
      <c r="C2480" t="s">
        <v>101</v>
      </c>
      <c r="D2480">
        <v>6</v>
      </c>
      <c r="E2480">
        <v>6</v>
      </c>
      <c r="F2480" t="s">
        <v>10</v>
      </c>
      <c r="G2480" t="s">
        <v>70</v>
      </c>
      <c r="H2480" t="s">
        <v>1</v>
      </c>
      <c r="I2480">
        <v>60000000</v>
      </c>
      <c r="J2480" t="s">
        <v>56</v>
      </c>
      <c r="K2480" t="s">
        <v>8</v>
      </c>
      <c r="L2480" t="s">
        <v>67</v>
      </c>
      <c r="M2480" t="s">
        <v>82</v>
      </c>
      <c r="N2480" t="s">
        <v>14</v>
      </c>
    </row>
    <row r="2481" spans="1:14" x14ac:dyDescent="0.35">
      <c r="A2481" s="75">
        <v>44120</v>
      </c>
      <c r="B2481" t="s">
        <v>155</v>
      </c>
      <c r="C2481" t="s">
        <v>101</v>
      </c>
      <c r="D2481">
        <v>6</v>
      </c>
      <c r="E2481">
        <v>6</v>
      </c>
      <c r="F2481" t="s">
        <v>10</v>
      </c>
      <c r="G2481" t="s">
        <v>114</v>
      </c>
      <c r="H2481" t="s">
        <v>3</v>
      </c>
      <c r="I2481">
        <v>40000000</v>
      </c>
      <c r="J2481" t="s">
        <v>31</v>
      </c>
      <c r="K2481" t="s">
        <v>5</v>
      </c>
      <c r="L2481" t="s">
        <v>67</v>
      </c>
      <c r="M2481" t="s">
        <v>82</v>
      </c>
      <c r="N2481" t="s">
        <v>14</v>
      </c>
    </row>
    <row r="2482" spans="1:14" x14ac:dyDescent="0.35">
      <c r="A2482" s="75">
        <v>44120</v>
      </c>
      <c r="B2482" t="s">
        <v>155</v>
      </c>
      <c r="C2482" t="s">
        <v>101</v>
      </c>
      <c r="D2482">
        <v>3</v>
      </c>
      <c r="E2482">
        <v>3</v>
      </c>
      <c r="F2482" t="s">
        <v>10</v>
      </c>
      <c r="G2482" t="s">
        <v>73</v>
      </c>
      <c r="H2482" t="s">
        <v>78</v>
      </c>
      <c r="I2482">
        <v>80000000</v>
      </c>
      <c r="J2482" t="s">
        <v>44</v>
      </c>
      <c r="K2482" t="s">
        <v>2</v>
      </c>
      <c r="L2482" t="s">
        <v>67</v>
      </c>
      <c r="M2482" t="s">
        <v>80</v>
      </c>
      <c r="N2482" t="s">
        <v>11</v>
      </c>
    </row>
    <row r="2483" spans="1:14" x14ac:dyDescent="0.35">
      <c r="A2483" s="75">
        <v>44120</v>
      </c>
      <c r="B2483" t="s">
        <v>155</v>
      </c>
      <c r="C2483" t="s">
        <v>101</v>
      </c>
      <c r="D2483">
        <v>3</v>
      </c>
      <c r="E2483">
        <v>3</v>
      </c>
      <c r="F2483" t="s">
        <v>10</v>
      </c>
      <c r="G2483" t="s">
        <v>74</v>
      </c>
      <c r="H2483" t="s">
        <v>77</v>
      </c>
      <c r="I2483">
        <v>60000000</v>
      </c>
      <c r="J2483" t="s">
        <v>16</v>
      </c>
      <c r="K2483" t="s">
        <v>2</v>
      </c>
      <c r="L2483" t="s">
        <v>67</v>
      </c>
      <c r="M2483" t="s">
        <v>80</v>
      </c>
      <c r="N2483" t="s">
        <v>14</v>
      </c>
    </row>
    <row r="2484" spans="1:14" x14ac:dyDescent="0.35">
      <c r="A2484" s="75">
        <v>44121</v>
      </c>
      <c r="B2484" t="s">
        <v>156</v>
      </c>
      <c r="C2484" t="s">
        <v>101</v>
      </c>
      <c r="D2484">
        <v>10</v>
      </c>
      <c r="E2484">
        <v>10</v>
      </c>
      <c r="F2484" t="s">
        <v>10</v>
      </c>
      <c r="G2484" t="s">
        <v>113</v>
      </c>
      <c r="H2484" t="s">
        <v>77</v>
      </c>
      <c r="I2484">
        <v>140000000</v>
      </c>
      <c r="J2484" t="s">
        <v>22</v>
      </c>
      <c r="K2484" t="s">
        <v>9</v>
      </c>
      <c r="L2484" t="s">
        <v>67</v>
      </c>
      <c r="M2484" t="s">
        <v>81</v>
      </c>
      <c r="N2484" t="s">
        <v>13</v>
      </c>
    </row>
    <row r="2485" spans="1:14" x14ac:dyDescent="0.35">
      <c r="A2485" s="75">
        <v>44121</v>
      </c>
      <c r="B2485" t="s">
        <v>156</v>
      </c>
      <c r="C2485" t="s">
        <v>101</v>
      </c>
      <c r="D2485">
        <v>9</v>
      </c>
      <c r="E2485">
        <v>9</v>
      </c>
      <c r="F2485" t="s">
        <v>10</v>
      </c>
      <c r="G2485" t="s">
        <v>70</v>
      </c>
      <c r="H2485" t="s">
        <v>1</v>
      </c>
      <c r="I2485">
        <v>140000000</v>
      </c>
      <c r="J2485" t="s">
        <v>45</v>
      </c>
      <c r="K2485" t="s">
        <v>2</v>
      </c>
      <c r="L2485" t="s">
        <v>67</v>
      </c>
      <c r="M2485" t="s">
        <v>80</v>
      </c>
      <c r="N2485" t="s">
        <v>12</v>
      </c>
    </row>
    <row r="2486" spans="1:14" x14ac:dyDescent="0.35">
      <c r="A2486" s="75">
        <v>44121</v>
      </c>
      <c r="B2486" t="s">
        <v>156</v>
      </c>
      <c r="C2486" t="s">
        <v>101</v>
      </c>
      <c r="D2486">
        <v>6</v>
      </c>
      <c r="E2486">
        <v>6</v>
      </c>
      <c r="F2486" t="s">
        <v>10</v>
      </c>
      <c r="G2486" t="s">
        <v>70</v>
      </c>
      <c r="H2486" t="s">
        <v>1</v>
      </c>
      <c r="I2486">
        <v>60000000</v>
      </c>
      <c r="J2486" t="s">
        <v>24</v>
      </c>
      <c r="K2486" t="s">
        <v>5</v>
      </c>
      <c r="L2486" t="s">
        <v>67</v>
      </c>
      <c r="M2486" t="s">
        <v>81</v>
      </c>
      <c r="N2486" t="s">
        <v>12</v>
      </c>
    </row>
    <row r="2487" spans="1:14" x14ac:dyDescent="0.35">
      <c r="A2487" s="75">
        <v>44121</v>
      </c>
      <c r="B2487" t="s">
        <v>156</v>
      </c>
      <c r="C2487" t="s">
        <v>101</v>
      </c>
      <c r="D2487">
        <v>5</v>
      </c>
      <c r="E2487">
        <v>5</v>
      </c>
      <c r="F2487" t="s">
        <v>10</v>
      </c>
      <c r="G2487" t="s">
        <v>114</v>
      </c>
      <c r="H2487" t="s">
        <v>3</v>
      </c>
      <c r="I2487">
        <v>60000000</v>
      </c>
      <c r="J2487" t="s">
        <v>49</v>
      </c>
      <c r="K2487" t="s">
        <v>2</v>
      </c>
      <c r="L2487" t="s">
        <v>67</v>
      </c>
      <c r="M2487" t="s">
        <v>80</v>
      </c>
      <c r="N2487" t="s">
        <v>12</v>
      </c>
    </row>
    <row r="2488" spans="1:14" x14ac:dyDescent="0.35">
      <c r="A2488" s="75">
        <v>44122</v>
      </c>
      <c r="B2488" t="s">
        <v>157</v>
      </c>
      <c r="C2488" t="s">
        <v>101</v>
      </c>
      <c r="D2488">
        <v>10</v>
      </c>
      <c r="E2488">
        <v>10</v>
      </c>
      <c r="F2488" t="s">
        <v>10</v>
      </c>
      <c r="G2488" t="s">
        <v>74</v>
      </c>
      <c r="H2488" t="s">
        <v>77</v>
      </c>
      <c r="I2488">
        <v>40000000</v>
      </c>
      <c r="J2488" t="s">
        <v>44</v>
      </c>
      <c r="K2488" t="s">
        <v>2</v>
      </c>
      <c r="L2488" t="s">
        <v>67</v>
      </c>
      <c r="M2488" t="s">
        <v>80</v>
      </c>
      <c r="N2488" t="s">
        <v>12</v>
      </c>
    </row>
    <row r="2489" spans="1:14" x14ac:dyDescent="0.35">
      <c r="A2489" s="75">
        <v>44122</v>
      </c>
      <c r="B2489" t="s">
        <v>157</v>
      </c>
      <c r="C2489" t="s">
        <v>101</v>
      </c>
      <c r="D2489">
        <v>9</v>
      </c>
      <c r="E2489">
        <v>9</v>
      </c>
      <c r="F2489" t="s">
        <v>10</v>
      </c>
      <c r="G2489" t="s">
        <v>73</v>
      </c>
      <c r="H2489" t="s">
        <v>78</v>
      </c>
      <c r="I2489">
        <v>40000000</v>
      </c>
      <c r="J2489" t="s">
        <v>18</v>
      </c>
      <c r="K2489" t="s">
        <v>4</v>
      </c>
      <c r="L2489" t="s">
        <v>67</v>
      </c>
      <c r="M2489" t="s">
        <v>81</v>
      </c>
      <c r="N2489" t="s">
        <v>13</v>
      </c>
    </row>
    <row r="2490" spans="1:14" x14ac:dyDescent="0.35">
      <c r="A2490" s="75">
        <v>44122</v>
      </c>
      <c r="B2490" t="s">
        <v>157</v>
      </c>
      <c r="C2490" t="s">
        <v>101</v>
      </c>
      <c r="D2490">
        <v>7</v>
      </c>
      <c r="E2490">
        <v>7</v>
      </c>
      <c r="F2490" t="s">
        <v>10</v>
      </c>
      <c r="G2490" t="s">
        <v>73</v>
      </c>
      <c r="H2490" t="s">
        <v>78</v>
      </c>
      <c r="I2490">
        <v>40000000</v>
      </c>
      <c r="J2490" t="s">
        <v>36</v>
      </c>
      <c r="K2490" t="s">
        <v>5</v>
      </c>
      <c r="L2490" t="s">
        <v>67</v>
      </c>
      <c r="M2490" t="s">
        <v>80</v>
      </c>
      <c r="N2490" t="s">
        <v>12</v>
      </c>
    </row>
    <row r="2491" spans="1:14" x14ac:dyDescent="0.35">
      <c r="A2491" s="75">
        <v>44122</v>
      </c>
      <c r="B2491" t="s">
        <v>157</v>
      </c>
      <c r="C2491" t="s">
        <v>101</v>
      </c>
      <c r="D2491">
        <v>6</v>
      </c>
      <c r="E2491">
        <v>6</v>
      </c>
      <c r="F2491" t="s">
        <v>10</v>
      </c>
      <c r="G2491" t="s">
        <v>70</v>
      </c>
      <c r="H2491" t="s">
        <v>1</v>
      </c>
      <c r="I2491">
        <v>40000000</v>
      </c>
      <c r="J2491" t="s">
        <v>56</v>
      </c>
      <c r="K2491" t="s">
        <v>5</v>
      </c>
      <c r="L2491" t="s">
        <v>67</v>
      </c>
      <c r="M2491" t="s">
        <v>81</v>
      </c>
      <c r="N2491" t="s">
        <v>11</v>
      </c>
    </row>
    <row r="2492" spans="1:14" x14ac:dyDescent="0.35">
      <c r="A2492" s="75">
        <v>44122</v>
      </c>
      <c r="B2492" t="s">
        <v>157</v>
      </c>
      <c r="C2492" t="s">
        <v>101</v>
      </c>
      <c r="D2492">
        <v>6</v>
      </c>
      <c r="E2492">
        <v>6</v>
      </c>
      <c r="F2492" t="s">
        <v>10</v>
      </c>
      <c r="G2492" t="s">
        <v>75</v>
      </c>
      <c r="H2492" t="s">
        <v>6</v>
      </c>
      <c r="I2492">
        <v>60000000</v>
      </c>
      <c r="J2492" t="s">
        <v>15</v>
      </c>
      <c r="K2492" t="s">
        <v>2</v>
      </c>
      <c r="L2492" t="s">
        <v>67</v>
      </c>
      <c r="M2492" t="s">
        <v>80</v>
      </c>
      <c r="N2492" t="s">
        <v>13</v>
      </c>
    </row>
    <row r="2493" spans="1:14" x14ac:dyDescent="0.35">
      <c r="A2493" s="75">
        <v>44122</v>
      </c>
      <c r="B2493" t="s">
        <v>157</v>
      </c>
      <c r="C2493" t="s">
        <v>101</v>
      </c>
      <c r="D2493">
        <v>5</v>
      </c>
      <c r="E2493">
        <v>5</v>
      </c>
      <c r="F2493" t="s">
        <v>10</v>
      </c>
      <c r="G2493" t="s">
        <v>71</v>
      </c>
      <c r="H2493" t="s">
        <v>6</v>
      </c>
      <c r="I2493">
        <v>60000000</v>
      </c>
      <c r="J2493" t="s">
        <v>46</v>
      </c>
      <c r="K2493" t="s">
        <v>2</v>
      </c>
      <c r="L2493" t="s">
        <v>67</v>
      </c>
      <c r="M2493" t="s">
        <v>80</v>
      </c>
      <c r="N2493" t="s">
        <v>14</v>
      </c>
    </row>
    <row r="2494" spans="1:14" x14ac:dyDescent="0.35">
      <c r="A2494" s="75">
        <v>44122</v>
      </c>
      <c r="B2494" t="s">
        <v>157</v>
      </c>
      <c r="C2494" t="s">
        <v>101</v>
      </c>
      <c r="D2494">
        <v>5</v>
      </c>
      <c r="E2494">
        <v>5</v>
      </c>
      <c r="F2494" t="s">
        <v>10</v>
      </c>
      <c r="G2494" t="s">
        <v>76</v>
      </c>
      <c r="H2494" t="s">
        <v>79</v>
      </c>
      <c r="I2494">
        <v>100000000</v>
      </c>
      <c r="J2494" t="s">
        <v>22</v>
      </c>
      <c r="K2494" t="s">
        <v>8</v>
      </c>
      <c r="L2494" t="s">
        <v>67</v>
      </c>
      <c r="M2494" t="s">
        <v>81</v>
      </c>
      <c r="N2494" t="s">
        <v>11</v>
      </c>
    </row>
    <row r="2495" spans="1:14" x14ac:dyDescent="0.35">
      <c r="A2495" s="75">
        <v>44122</v>
      </c>
      <c r="B2495" t="s">
        <v>157</v>
      </c>
      <c r="C2495" t="s">
        <v>101</v>
      </c>
      <c r="D2495">
        <v>4</v>
      </c>
      <c r="E2495">
        <v>4</v>
      </c>
      <c r="F2495" t="s">
        <v>10</v>
      </c>
      <c r="G2495" t="s">
        <v>71</v>
      </c>
      <c r="H2495" t="s">
        <v>6</v>
      </c>
      <c r="I2495">
        <v>140000000</v>
      </c>
      <c r="J2495" t="s">
        <v>60</v>
      </c>
      <c r="K2495" t="s">
        <v>5</v>
      </c>
      <c r="L2495" t="s">
        <v>67</v>
      </c>
      <c r="M2495" t="s">
        <v>82</v>
      </c>
      <c r="N2495" t="s">
        <v>11</v>
      </c>
    </row>
    <row r="2496" spans="1:14" x14ac:dyDescent="0.35">
      <c r="A2496" s="75">
        <v>44122</v>
      </c>
      <c r="B2496" t="s">
        <v>157</v>
      </c>
      <c r="C2496" t="s">
        <v>101</v>
      </c>
      <c r="D2496">
        <v>4</v>
      </c>
      <c r="E2496">
        <v>4</v>
      </c>
      <c r="F2496" t="s">
        <v>10</v>
      </c>
      <c r="G2496" t="s">
        <v>75</v>
      </c>
      <c r="H2496" t="s">
        <v>6</v>
      </c>
      <c r="I2496">
        <v>140000000</v>
      </c>
      <c r="J2496" t="s">
        <v>17</v>
      </c>
      <c r="K2496" t="s">
        <v>5</v>
      </c>
      <c r="L2496" t="s">
        <v>67</v>
      </c>
      <c r="M2496" t="s">
        <v>82</v>
      </c>
      <c r="N2496" t="s">
        <v>11</v>
      </c>
    </row>
    <row r="2497" spans="1:14" x14ac:dyDescent="0.35">
      <c r="A2497" s="75">
        <v>44122</v>
      </c>
      <c r="B2497" t="s">
        <v>157</v>
      </c>
      <c r="C2497" t="s">
        <v>101</v>
      </c>
      <c r="D2497">
        <v>3</v>
      </c>
      <c r="E2497">
        <v>3</v>
      </c>
      <c r="F2497" t="s">
        <v>10</v>
      </c>
      <c r="G2497" t="s">
        <v>74</v>
      </c>
      <c r="H2497" t="s">
        <v>77</v>
      </c>
      <c r="I2497">
        <v>120000000</v>
      </c>
      <c r="J2497" t="s">
        <v>35</v>
      </c>
      <c r="K2497" t="s">
        <v>2</v>
      </c>
      <c r="L2497" t="s">
        <v>67</v>
      </c>
      <c r="M2497" t="s">
        <v>82</v>
      </c>
      <c r="N2497" t="s">
        <v>11</v>
      </c>
    </row>
    <row r="2498" spans="1:14" x14ac:dyDescent="0.35">
      <c r="A2498" s="75">
        <v>44123</v>
      </c>
      <c r="B2498" t="s">
        <v>158</v>
      </c>
      <c r="C2498" t="s">
        <v>101</v>
      </c>
      <c r="D2498">
        <v>10</v>
      </c>
      <c r="E2498">
        <v>10</v>
      </c>
      <c r="F2498" t="s">
        <v>10</v>
      </c>
      <c r="G2498" t="s">
        <v>72</v>
      </c>
      <c r="H2498" t="s">
        <v>78</v>
      </c>
      <c r="I2498">
        <v>60000000</v>
      </c>
      <c r="J2498" t="s">
        <v>42</v>
      </c>
      <c r="K2498" t="s">
        <v>5</v>
      </c>
      <c r="L2498" t="s">
        <v>67</v>
      </c>
      <c r="M2498" t="s">
        <v>81</v>
      </c>
      <c r="N2498" t="s">
        <v>14</v>
      </c>
    </row>
    <row r="2499" spans="1:14" x14ac:dyDescent="0.35">
      <c r="A2499" s="75">
        <v>44123</v>
      </c>
      <c r="B2499" t="s">
        <v>158</v>
      </c>
      <c r="C2499" t="s">
        <v>101</v>
      </c>
      <c r="D2499">
        <v>8</v>
      </c>
      <c r="E2499">
        <v>8</v>
      </c>
      <c r="F2499" t="s">
        <v>10</v>
      </c>
      <c r="G2499" t="s">
        <v>76</v>
      </c>
      <c r="H2499" t="s">
        <v>79</v>
      </c>
      <c r="I2499">
        <v>120000000</v>
      </c>
      <c r="J2499" t="s">
        <v>48</v>
      </c>
      <c r="K2499" t="s">
        <v>2</v>
      </c>
      <c r="L2499" t="s">
        <v>67</v>
      </c>
      <c r="M2499" t="s">
        <v>81</v>
      </c>
      <c r="N2499" t="s">
        <v>12</v>
      </c>
    </row>
    <row r="2500" spans="1:14" x14ac:dyDescent="0.35">
      <c r="A2500" s="75">
        <v>44123</v>
      </c>
      <c r="B2500" t="s">
        <v>158</v>
      </c>
      <c r="C2500" t="s">
        <v>101</v>
      </c>
      <c r="D2500">
        <v>7</v>
      </c>
      <c r="E2500">
        <v>7</v>
      </c>
      <c r="F2500" t="s">
        <v>10</v>
      </c>
      <c r="G2500" t="s">
        <v>74</v>
      </c>
      <c r="H2500" t="s">
        <v>77</v>
      </c>
      <c r="I2500">
        <v>100000000</v>
      </c>
      <c r="J2500" t="s">
        <v>50</v>
      </c>
      <c r="K2500" t="s">
        <v>5</v>
      </c>
      <c r="L2500" t="s">
        <v>67</v>
      </c>
      <c r="M2500" t="s">
        <v>80</v>
      </c>
      <c r="N2500" t="s">
        <v>14</v>
      </c>
    </row>
    <row r="2501" spans="1:14" x14ac:dyDescent="0.35">
      <c r="A2501" s="75">
        <v>44123</v>
      </c>
      <c r="B2501" t="s">
        <v>158</v>
      </c>
      <c r="C2501" t="s">
        <v>101</v>
      </c>
      <c r="D2501">
        <v>7</v>
      </c>
      <c r="E2501">
        <v>7</v>
      </c>
      <c r="F2501" t="s">
        <v>10</v>
      </c>
      <c r="G2501" t="s">
        <v>113</v>
      </c>
      <c r="H2501" t="s">
        <v>77</v>
      </c>
      <c r="I2501">
        <v>80000000</v>
      </c>
      <c r="J2501" t="s">
        <v>62</v>
      </c>
      <c r="K2501" t="s">
        <v>2</v>
      </c>
      <c r="L2501" t="s">
        <v>67</v>
      </c>
      <c r="M2501" t="s">
        <v>82</v>
      </c>
      <c r="N2501" t="s">
        <v>13</v>
      </c>
    </row>
    <row r="2502" spans="1:14" x14ac:dyDescent="0.35">
      <c r="A2502" s="75">
        <v>44123</v>
      </c>
      <c r="B2502" t="s">
        <v>158</v>
      </c>
      <c r="C2502" t="s">
        <v>101</v>
      </c>
      <c r="D2502">
        <v>6</v>
      </c>
      <c r="E2502">
        <v>6</v>
      </c>
      <c r="F2502" t="s">
        <v>10</v>
      </c>
      <c r="G2502" t="s">
        <v>76</v>
      </c>
      <c r="H2502" t="s">
        <v>79</v>
      </c>
      <c r="I2502">
        <v>40000000</v>
      </c>
      <c r="J2502" t="s">
        <v>35</v>
      </c>
      <c r="K2502" t="s">
        <v>2</v>
      </c>
      <c r="L2502" t="s">
        <v>67</v>
      </c>
      <c r="M2502" t="s">
        <v>81</v>
      </c>
      <c r="N2502" t="s">
        <v>12</v>
      </c>
    </row>
    <row r="2503" spans="1:14" x14ac:dyDescent="0.35">
      <c r="A2503" s="75">
        <v>44123</v>
      </c>
      <c r="B2503" t="s">
        <v>158</v>
      </c>
      <c r="C2503" t="s">
        <v>101</v>
      </c>
      <c r="D2503">
        <v>3</v>
      </c>
      <c r="E2503">
        <v>3</v>
      </c>
      <c r="F2503" t="s">
        <v>10</v>
      </c>
      <c r="G2503" t="s">
        <v>76</v>
      </c>
      <c r="H2503" t="s">
        <v>79</v>
      </c>
      <c r="I2503">
        <v>120000000</v>
      </c>
      <c r="J2503" t="s">
        <v>64</v>
      </c>
      <c r="K2503" t="s">
        <v>7</v>
      </c>
      <c r="L2503" t="s">
        <v>67</v>
      </c>
      <c r="M2503" t="s">
        <v>82</v>
      </c>
      <c r="N2503" t="s">
        <v>12</v>
      </c>
    </row>
    <row r="2504" spans="1:14" x14ac:dyDescent="0.35">
      <c r="A2504" s="75">
        <v>44124</v>
      </c>
      <c r="B2504" t="s">
        <v>159</v>
      </c>
      <c r="C2504" t="s">
        <v>101</v>
      </c>
      <c r="D2504">
        <v>10</v>
      </c>
      <c r="E2504">
        <v>10</v>
      </c>
      <c r="F2504" t="s">
        <v>10</v>
      </c>
      <c r="G2504" t="s">
        <v>71</v>
      </c>
      <c r="H2504" t="s">
        <v>6</v>
      </c>
      <c r="I2504">
        <v>100000000</v>
      </c>
      <c r="J2504" t="s">
        <v>54</v>
      </c>
      <c r="K2504" t="s">
        <v>7</v>
      </c>
      <c r="L2504" t="s">
        <v>67</v>
      </c>
      <c r="M2504" t="s">
        <v>80</v>
      </c>
      <c r="N2504" t="s">
        <v>11</v>
      </c>
    </row>
    <row r="2505" spans="1:14" x14ac:dyDescent="0.35">
      <c r="A2505" s="75">
        <v>44124</v>
      </c>
      <c r="B2505" t="s">
        <v>159</v>
      </c>
      <c r="C2505" t="s">
        <v>101</v>
      </c>
      <c r="D2505">
        <v>10</v>
      </c>
      <c r="E2505">
        <v>10</v>
      </c>
      <c r="F2505" t="s">
        <v>10</v>
      </c>
      <c r="G2505" t="s">
        <v>76</v>
      </c>
      <c r="H2505" t="s">
        <v>79</v>
      </c>
      <c r="I2505">
        <v>40000000</v>
      </c>
      <c r="J2505" t="s">
        <v>44</v>
      </c>
      <c r="K2505" t="s">
        <v>2</v>
      </c>
      <c r="L2505" t="s">
        <v>67</v>
      </c>
      <c r="M2505" t="s">
        <v>80</v>
      </c>
      <c r="N2505" t="s">
        <v>13</v>
      </c>
    </row>
    <row r="2506" spans="1:14" x14ac:dyDescent="0.35">
      <c r="A2506" s="75">
        <v>44124</v>
      </c>
      <c r="B2506" t="s">
        <v>159</v>
      </c>
      <c r="C2506" t="s">
        <v>101</v>
      </c>
      <c r="D2506">
        <v>8</v>
      </c>
      <c r="E2506">
        <v>8</v>
      </c>
      <c r="F2506" t="s">
        <v>10</v>
      </c>
      <c r="G2506" t="s">
        <v>76</v>
      </c>
      <c r="H2506" t="s">
        <v>79</v>
      </c>
      <c r="I2506">
        <v>40000000</v>
      </c>
      <c r="J2506" t="s">
        <v>15</v>
      </c>
      <c r="K2506" t="s">
        <v>2</v>
      </c>
      <c r="L2506" t="s">
        <v>67</v>
      </c>
      <c r="M2506" t="s">
        <v>82</v>
      </c>
      <c r="N2506" t="s">
        <v>11</v>
      </c>
    </row>
    <row r="2507" spans="1:14" x14ac:dyDescent="0.35">
      <c r="A2507" s="75">
        <v>44124</v>
      </c>
      <c r="B2507" t="s">
        <v>159</v>
      </c>
      <c r="C2507" t="s">
        <v>101</v>
      </c>
      <c r="D2507">
        <v>7</v>
      </c>
      <c r="E2507">
        <v>7</v>
      </c>
      <c r="F2507" t="s">
        <v>10</v>
      </c>
      <c r="G2507" t="s">
        <v>114</v>
      </c>
      <c r="H2507" t="s">
        <v>3</v>
      </c>
      <c r="I2507">
        <v>40000000</v>
      </c>
      <c r="J2507" t="s">
        <v>64</v>
      </c>
      <c r="K2507" t="s">
        <v>8</v>
      </c>
      <c r="L2507" t="s">
        <v>67</v>
      </c>
      <c r="M2507" t="s">
        <v>82</v>
      </c>
      <c r="N2507" t="s">
        <v>14</v>
      </c>
    </row>
    <row r="2508" spans="1:14" x14ac:dyDescent="0.35">
      <c r="A2508" s="75">
        <v>44124</v>
      </c>
      <c r="B2508" t="s">
        <v>159</v>
      </c>
      <c r="C2508" t="s">
        <v>101</v>
      </c>
      <c r="D2508">
        <v>5</v>
      </c>
      <c r="E2508">
        <v>5</v>
      </c>
      <c r="F2508" t="s">
        <v>10</v>
      </c>
      <c r="G2508" t="s">
        <v>71</v>
      </c>
      <c r="H2508" t="s">
        <v>6</v>
      </c>
      <c r="I2508">
        <v>40000000</v>
      </c>
      <c r="J2508" t="s">
        <v>32</v>
      </c>
      <c r="K2508" t="s">
        <v>5</v>
      </c>
      <c r="L2508" t="s">
        <v>67</v>
      </c>
      <c r="M2508" t="s">
        <v>81</v>
      </c>
      <c r="N2508" t="s">
        <v>11</v>
      </c>
    </row>
    <row r="2509" spans="1:14" x14ac:dyDescent="0.35">
      <c r="A2509" s="75">
        <v>44124</v>
      </c>
      <c r="B2509" t="s">
        <v>159</v>
      </c>
      <c r="C2509" t="s">
        <v>101</v>
      </c>
      <c r="D2509">
        <v>4</v>
      </c>
      <c r="E2509">
        <v>4</v>
      </c>
      <c r="F2509" t="s">
        <v>10</v>
      </c>
      <c r="G2509" t="s">
        <v>75</v>
      </c>
      <c r="H2509" t="s">
        <v>6</v>
      </c>
      <c r="I2509">
        <v>80000000</v>
      </c>
      <c r="J2509" t="s">
        <v>33</v>
      </c>
      <c r="K2509" t="s">
        <v>8</v>
      </c>
      <c r="L2509" t="s">
        <v>67</v>
      </c>
      <c r="M2509" t="s">
        <v>82</v>
      </c>
      <c r="N2509" t="s">
        <v>12</v>
      </c>
    </row>
    <row r="2510" spans="1:14" x14ac:dyDescent="0.35">
      <c r="A2510" s="75">
        <v>44124</v>
      </c>
      <c r="B2510" t="s">
        <v>159</v>
      </c>
      <c r="C2510" t="s">
        <v>101</v>
      </c>
      <c r="D2510">
        <v>3</v>
      </c>
      <c r="E2510">
        <v>3</v>
      </c>
      <c r="F2510" t="s">
        <v>10</v>
      </c>
      <c r="G2510" t="s">
        <v>114</v>
      </c>
      <c r="H2510" t="s">
        <v>3</v>
      </c>
      <c r="I2510">
        <v>60000000</v>
      </c>
      <c r="J2510" t="s">
        <v>36</v>
      </c>
      <c r="K2510" t="s">
        <v>2</v>
      </c>
      <c r="L2510" t="s">
        <v>67</v>
      </c>
      <c r="M2510" t="s">
        <v>81</v>
      </c>
      <c r="N2510" t="s">
        <v>14</v>
      </c>
    </row>
    <row r="2511" spans="1:14" x14ac:dyDescent="0.35">
      <c r="A2511" s="75">
        <v>44125</v>
      </c>
      <c r="B2511" t="s">
        <v>160</v>
      </c>
      <c r="C2511" t="s">
        <v>101</v>
      </c>
      <c r="D2511">
        <v>10</v>
      </c>
      <c r="E2511">
        <v>10</v>
      </c>
      <c r="F2511" t="s">
        <v>10</v>
      </c>
      <c r="G2511" t="s">
        <v>113</v>
      </c>
      <c r="H2511" t="s">
        <v>77</v>
      </c>
      <c r="I2511">
        <v>100000000</v>
      </c>
      <c r="J2511" t="s">
        <v>26</v>
      </c>
      <c r="K2511" t="s">
        <v>2</v>
      </c>
      <c r="L2511" t="s">
        <v>67</v>
      </c>
      <c r="M2511" t="s">
        <v>80</v>
      </c>
      <c r="N2511" t="s">
        <v>13</v>
      </c>
    </row>
    <row r="2512" spans="1:14" x14ac:dyDescent="0.35">
      <c r="A2512" s="75">
        <v>44125</v>
      </c>
      <c r="B2512" t="s">
        <v>160</v>
      </c>
      <c r="C2512" t="s">
        <v>101</v>
      </c>
      <c r="D2512">
        <v>9</v>
      </c>
      <c r="E2512">
        <v>9</v>
      </c>
      <c r="F2512" t="s">
        <v>10</v>
      </c>
      <c r="G2512" t="s">
        <v>72</v>
      </c>
      <c r="H2512" t="s">
        <v>78</v>
      </c>
      <c r="I2512">
        <v>40000000</v>
      </c>
      <c r="J2512" t="s">
        <v>15</v>
      </c>
      <c r="K2512" t="s">
        <v>5</v>
      </c>
      <c r="L2512" t="s">
        <v>67</v>
      </c>
      <c r="M2512" t="s">
        <v>80</v>
      </c>
      <c r="N2512" t="s">
        <v>13</v>
      </c>
    </row>
    <row r="2513" spans="1:14" x14ac:dyDescent="0.35">
      <c r="A2513" s="75">
        <v>44125</v>
      </c>
      <c r="B2513" t="s">
        <v>160</v>
      </c>
      <c r="C2513" t="s">
        <v>101</v>
      </c>
      <c r="D2513">
        <v>9</v>
      </c>
      <c r="E2513">
        <v>9</v>
      </c>
      <c r="F2513" t="s">
        <v>10</v>
      </c>
      <c r="G2513" t="s">
        <v>71</v>
      </c>
      <c r="H2513" t="s">
        <v>6</v>
      </c>
      <c r="I2513">
        <v>40000000</v>
      </c>
      <c r="J2513" t="s">
        <v>55</v>
      </c>
      <c r="K2513" t="s">
        <v>2</v>
      </c>
      <c r="L2513" t="s">
        <v>67</v>
      </c>
      <c r="M2513" t="s">
        <v>82</v>
      </c>
      <c r="N2513" t="s">
        <v>11</v>
      </c>
    </row>
    <row r="2514" spans="1:14" x14ac:dyDescent="0.35">
      <c r="A2514" s="75">
        <v>44125</v>
      </c>
      <c r="B2514" t="s">
        <v>160</v>
      </c>
      <c r="C2514" t="s">
        <v>101</v>
      </c>
      <c r="D2514">
        <v>8</v>
      </c>
      <c r="E2514">
        <v>8</v>
      </c>
      <c r="F2514" t="s">
        <v>10</v>
      </c>
      <c r="G2514" t="s">
        <v>113</v>
      </c>
      <c r="H2514" t="s">
        <v>77</v>
      </c>
      <c r="I2514">
        <v>80000000</v>
      </c>
      <c r="J2514" t="s">
        <v>64</v>
      </c>
      <c r="K2514" t="s">
        <v>5</v>
      </c>
      <c r="L2514" t="s">
        <v>67</v>
      </c>
      <c r="M2514" t="s">
        <v>81</v>
      </c>
      <c r="N2514" t="s">
        <v>11</v>
      </c>
    </row>
    <row r="2515" spans="1:14" x14ac:dyDescent="0.35">
      <c r="A2515" s="75">
        <v>44125</v>
      </c>
      <c r="B2515" t="s">
        <v>160</v>
      </c>
      <c r="C2515" t="s">
        <v>101</v>
      </c>
      <c r="D2515">
        <v>7</v>
      </c>
      <c r="E2515">
        <v>7</v>
      </c>
      <c r="F2515" t="s">
        <v>10</v>
      </c>
      <c r="G2515" t="s">
        <v>114</v>
      </c>
      <c r="H2515" t="s">
        <v>3</v>
      </c>
      <c r="I2515">
        <v>60000000</v>
      </c>
      <c r="J2515" t="s">
        <v>60</v>
      </c>
      <c r="K2515" t="s">
        <v>2</v>
      </c>
      <c r="L2515" t="s">
        <v>67</v>
      </c>
      <c r="M2515" t="s">
        <v>82</v>
      </c>
      <c r="N2515" t="s">
        <v>11</v>
      </c>
    </row>
    <row r="2516" spans="1:14" x14ac:dyDescent="0.35">
      <c r="A2516" s="75">
        <v>44125</v>
      </c>
      <c r="B2516" t="s">
        <v>160</v>
      </c>
      <c r="C2516" t="s">
        <v>101</v>
      </c>
      <c r="D2516">
        <v>7</v>
      </c>
      <c r="E2516">
        <v>7</v>
      </c>
      <c r="F2516" t="s">
        <v>10</v>
      </c>
      <c r="G2516" t="s">
        <v>114</v>
      </c>
      <c r="H2516" t="s">
        <v>3</v>
      </c>
      <c r="I2516">
        <v>140000000</v>
      </c>
      <c r="J2516" t="s">
        <v>59</v>
      </c>
      <c r="K2516" t="s">
        <v>2</v>
      </c>
      <c r="L2516" t="s">
        <v>67</v>
      </c>
      <c r="M2516" t="s">
        <v>82</v>
      </c>
      <c r="N2516" t="s">
        <v>13</v>
      </c>
    </row>
    <row r="2517" spans="1:14" x14ac:dyDescent="0.35">
      <c r="A2517" s="75">
        <v>44125</v>
      </c>
      <c r="B2517" t="s">
        <v>160</v>
      </c>
      <c r="C2517" t="s">
        <v>101</v>
      </c>
      <c r="D2517">
        <v>5</v>
      </c>
      <c r="E2517">
        <v>5</v>
      </c>
      <c r="F2517" t="s">
        <v>10</v>
      </c>
      <c r="G2517" t="s">
        <v>73</v>
      </c>
      <c r="H2517" t="s">
        <v>78</v>
      </c>
      <c r="I2517">
        <v>140000000</v>
      </c>
      <c r="J2517" t="s">
        <v>46</v>
      </c>
      <c r="K2517" t="s">
        <v>5</v>
      </c>
      <c r="L2517" t="s">
        <v>67</v>
      </c>
      <c r="M2517" t="s">
        <v>80</v>
      </c>
      <c r="N2517" t="s">
        <v>11</v>
      </c>
    </row>
    <row r="2518" spans="1:14" x14ac:dyDescent="0.35">
      <c r="A2518" s="75">
        <v>44125</v>
      </c>
      <c r="B2518" t="s">
        <v>160</v>
      </c>
      <c r="C2518" t="s">
        <v>101</v>
      </c>
      <c r="D2518">
        <v>5</v>
      </c>
      <c r="E2518">
        <v>5</v>
      </c>
      <c r="F2518" t="s">
        <v>10</v>
      </c>
      <c r="G2518" t="s">
        <v>114</v>
      </c>
      <c r="H2518" t="s">
        <v>3</v>
      </c>
      <c r="I2518">
        <v>100000000</v>
      </c>
      <c r="J2518" t="s">
        <v>55</v>
      </c>
      <c r="K2518" t="s">
        <v>9</v>
      </c>
      <c r="L2518" t="s">
        <v>67</v>
      </c>
      <c r="M2518" t="s">
        <v>80</v>
      </c>
      <c r="N2518" t="s">
        <v>14</v>
      </c>
    </row>
    <row r="2519" spans="1:14" x14ac:dyDescent="0.35">
      <c r="A2519" s="75">
        <v>44125</v>
      </c>
      <c r="B2519" t="s">
        <v>160</v>
      </c>
      <c r="C2519" t="s">
        <v>101</v>
      </c>
      <c r="D2519">
        <v>3</v>
      </c>
      <c r="E2519">
        <v>3</v>
      </c>
      <c r="F2519" t="s">
        <v>10</v>
      </c>
      <c r="G2519" t="s">
        <v>76</v>
      </c>
      <c r="H2519" t="s">
        <v>79</v>
      </c>
      <c r="I2519">
        <v>120000000</v>
      </c>
      <c r="J2519" t="s">
        <v>58</v>
      </c>
      <c r="K2519" t="s">
        <v>2</v>
      </c>
      <c r="L2519" t="s">
        <v>67</v>
      </c>
      <c r="M2519" t="s">
        <v>82</v>
      </c>
      <c r="N2519" t="s">
        <v>12</v>
      </c>
    </row>
    <row r="2520" spans="1:14" x14ac:dyDescent="0.35">
      <c r="A2520" s="75">
        <v>44125</v>
      </c>
      <c r="B2520" t="s">
        <v>160</v>
      </c>
      <c r="C2520" t="s">
        <v>101</v>
      </c>
      <c r="D2520">
        <v>3</v>
      </c>
      <c r="E2520">
        <v>3</v>
      </c>
      <c r="F2520" t="s">
        <v>10</v>
      </c>
      <c r="G2520" t="s">
        <v>75</v>
      </c>
      <c r="H2520" t="s">
        <v>6</v>
      </c>
      <c r="I2520">
        <v>60000000</v>
      </c>
      <c r="J2520" t="s">
        <v>39</v>
      </c>
      <c r="K2520" t="s">
        <v>5</v>
      </c>
      <c r="L2520" t="s">
        <v>67</v>
      </c>
      <c r="M2520" t="s">
        <v>80</v>
      </c>
      <c r="N2520" t="s">
        <v>13</v>
      </c>
    </row>
    <row r="2521" spans="1:14" x14ac:dyDescent="0.35">
      <c r="A2521" s="75">
        <v>44125</v>
      </c>
      <c r="B2521" t="s">
        <v>160</v>
      </c>
      <c r="C2521" t="s">
        <v>101</v>
      </c>
      <c r="D2521">
        <v>3</v>
      </c>
      <c r="E2521">
        <v>3</v>
      </c>
      <c r="F2521" t="s">
        <v>10</v>
      </c>
      <c r="G2521" t="s">
        <v>73</v>
      </c>
      <c r="H2521" t="s">
        <v>78</v>
      </c>
      <c r="I2521">
        <v>140000000</v>
      </c>
      <c r="J2521" t="s">
        <v>35</v>
      </c>
      <c r="K2521" t="s">
        <v>5</v>
      </c>
      <c r="L2521" t="s">
        <v>67</v>
      </c>
      <c r="M2521" t="s">
        <v>82</v>
      </c>
      <c r="N2521" t="s">
        <v>12</v>
      </c>
    </row>
    <row r="2522" spans="1:14" x14ac:dyDescent="0.35">
      <c r="A2522" s="75">
        <v>44125</v>
      </c>
      <c r="B2522" t="s">
        <v>160</v>
      </c>
      <c r="C2522" t="s">
        <v>101</v>
      </c>
      <c r="D2522">
        <v>3</v>
      </c>
      <c r="E2522">
        <v>3</v>
      </c>
      <c r="F2522" t="s">
        <v>10</v>
      </c>
      <c r="G2522" t="s">
        <v>76</v>
      </c>
      <c r="H2522" t="s">
        <v>79</v>
      </c>
      <c r="I2522">
        <v>120000000</v>
      </c>
      <c r="J2522" t="s">
        <v>49</v>
      </c>
      <c r="K2522" t="s">
        <v>7</v>
      </c>
      <c r="L2522" t="s">
        <v>67</v>
      </c>
      <c r="M2522" t="s">
        <v>80</v>
      </c>
      <c r="N2522" t="s">
        <v>14</v>
      </c>
    </row>
    <row r="2523" spans="1:14" x14ac:dyDescent="0.35">
      <c r="A2523" s="75">
        <v>44126</v>
      </c>
      <c r="B2523" t="s">
        <v>161</v>
      </c>
      <c r="C2523" t="s">
        <v>101</v>
      </c>
      <c r="D2523">
        <v>10</v>
      </c>
      <c r="E2523">
        <v>10</v>
      </c>
      <c r="F2523" t="s">
        <v>10</v>
      </c>
      <c r="G2523" t="s">
        <v>70</v>
      </c>
      <c r="H2523" t="s">
        <v>1</v>
      </c>
      <c r="I2523">
        <v>40000000</v>
      </c>
      <c r="J2523" t="s">
        <v>26</v>
      </c>
      <c r="K2523" t="s">
        <v>8</v>
      </c>
      <c r="L2523" t="s">
        <v>67</v>
      </c>
      <c r="M2523" t="s">
        <v>81</v>
      </c>
      <c r="N2523" t="s">
        <v>13</v>
      </c>
    </row>
    <row r="2524" spans="1:14" x14ac:dyDescent="0.35">
      <c r="A2524" s="75">
        <v>44126</v>
      </c>
      <c r="B2524" t="s">
        <v>161</v>
      </c>
      <c r="C2524" t="s">
        <v>101</v>
      </c>
      <c r="D2524">
        <v>10</v>
      </c>
      <c r="E2524">
        <v>10</v>
      </c>
      <c r="F2524" t="s">
        <v>10</v>
      </c>
      <c r="G2524" t="s">
        <v>72</v>
      </c>
      <c r="H2524" t="s">
        <v>78</v>
      </c>
      <c r="I2524">
        <v>140000000</v>
      </c>
      <c r="J2524" t="s">
        <v>28</v>
      </c>
      <c r="K2524" t="s">
        <v>7</v>
      </c>
      <c r="L2524" t="s">
        <v>67</v>
      </c>
      <c r="M2524" t="s">
        <v>80</v>
      </c>
      <c r="N2524" t="s">
        <v>14</v>
      </c>
    </row>
    <row r="2525" spans="1:14" x14ac:dyDescent="0.35">
      <c r="A2525" s="75">
        <v>44126</v>
      </c>
      <c r="B2525" t="s">
        <v>161</v>
      </c>
      <c r="C2525" t="s">
        <v>101</v>
      </c>
      <c r="D2525">
        <v>7</v>
      </c>
      <c r="E2525">
        <v>7</v>
      </c>
      <c r="F2525" t="s">
        <v>10</v>
      </c>
      <c r="G2525" t="s">
        <v>113</v>
      </c>
      <c r="H2525" t="s">
        <v>77</v>
      </c>
      <c r="I2525">
        <v>140000000</v>
      </c>
      <c r="J2525" t="s">
        <v>16</v>
      </c>
      <c r="K2525" t="s">
        <v>7</v>
      </c>
      <c r="L2525" t="s">
        <v>67</v>
      </c>
      <c r="M2525" t="s">
        <v>81</v>
      </c>
      <c r="N2525" t="s">
        <v>12</v>
      </c>
    </row>
    <row r="2526" spans="1:14" x14ac:dyDescent="0.35">
      <c r="A2526" s="75">
        <v>44126</v>
      </c>
      <c r="B2526" t="s">
        <v>161</v>
      </c>
      <c r="C2526" t="s">
        <v>101</v>
      </c>
      <c r="D2526">
        <v>7</v>
      </c>
      <c r="E2526">
        <v>7</v>
      </c>
      <c r="F2526" t="s">
        <v>10</v>
      </c>
      <c r="G2526" t="s">
        <v>76</v>
      </c>
      <c r="H2526" t="s">
        <v>79</v>
      </c>
      <c r="I2526">
        <v>120000000</v>
      </c>
      <c r="J2526" t="s">
        <v>26</v>
      </c>
      <c r="K2526" t="s">
        <v>2</v>
      </c>
      <c r="L2526" t="s">
        <v>67</v>
      </c>
      <c r="M2526" t="s">
        <v>81</v>
      </c>
      <c r="N2526" t="s">
        <v>13</v>
      </c>
    </row>
    <row r="2527" spans="1:14" x14ac:dyDescent="0.35">
      <c r="A2527" s="75">
        <v>44126</v>
      </c>
      <c r="B2527" t="s">
        <v>161</v>
      </c>
      <c r="C2527" t="s">
        <v>101</v>
      </c>
      <c r="D2527">
        <v>6</v>
      </c>
      <c r="E2527">
        <v>6</v>
      </c>
      <c r="F2527" t="s">
        <v>10</v>
      </c>
      <c r="G2527" t="s">
        <v>74</v>
      </c>
      <c r="H2527" t="s">
        <v>77</v>
      </c>
      <c r="I2527">
        <v>120000000</v>
      </c>
      <c r="J2527" t="s">
        <v>22</v>
      </c>
      <c r="K2527" t="s">
        <v>2</v>
      </c>
      <c r="L2527" t="s">
        <v>67</v>
      </c>
      <c r="M2527" t="s">
        <v>81</v>
      </c>
      <c r="N2527" t="s">
        <v>12</v>
      </c>
    </row>
    <row r="2528" spans="1:14" x14ac:dyDescent="0.35">
      <c r="A2528" s="75">
        <v>44126</v>
      </c>
      <c r="B2528" t="s">
        <v>161</v>
      </c>
      <c r="C2528" t="s">
        <v>101</v>
      </c>
      <c r="D2528">
        <v>6</v>
      </c>
      <c r="E2528">
        <v>6</v>
      </c>
      <c r="F2528" t="s">
        <v>10</v>
      </c>
      <c r="G2528" t="s">
        <v>71</v>
      </c>
      <c r="H2528" t="s">
        <v>6</v>
      </c>
      <c r="I2528">
        <v>80000000</v>
      </c>
      <c r="J2528" t="s">
        <v>28</v>
      </c>
      <c r="K2528" t="s">
        <v>2</v>
      </c>
      <c r="L2528" t="s">
        <v>67</v>
      </c>
      <c r="M2528" t="s">
        <v>80</v>
      </c>
      <c r="N2528" t="s">
        <v>14</v>
      </c>
    </row>
    <row r="2529" spans="1:14" x14ac:dyDescent="0.35">
      <c r="A2529" s="75">
        <v>44126</v>
      </c>
      <c r="B2529" t="s">
        <v>161</v>
      </c>
      <c r="C2529" t="s">
        <v>101</v>
      </c>
      <c r="D2529">
        <v>5</v>
      </c>
      <c r="E2529">
        <v>5</v>
      </c>
      <c r="F2529" t="s">
        <v>10</v>
      </c>
      <c r="G2529" t="s">
        <v>74</v>
      </c>
      <c r="H2529" t="s">
        <v>77</v>
      </c>
      <c r="I2529">
        <v>120000000</v>
      </c>
      <c r="J2529" t="s">
        <v>61</v>
      </c>
      <c r="K2529" t="s">
        <v>2</v>
      </c>
      <c r="L2529" t="s">
        <v>67</v>
      </c>
      <c r="M2529" t="s">
        <v>81</v>
      </c>
      <c r="N2529" t="s">
        <v>11</v>
      </c>
    </row>
    <row r="2530" spans="1:14" x14ac:dyDescent="0.35">
      <c r="A2530" s="75">
        <v>44126</v>
      </c>
      <c r="B2530" t="s">
        <v>161</v>
      </c>
      <c r="C2530" t="s">
        <v>101</v>
      </c>
      <c r="D2530">
        <v>3</v>
      </c>
      <c r="E2530">
        <v>3</v>
      </c>
      <c r="F2530" t="s">
        <v>10</v>
      </c>
      <c r="G2530" t="s">
        <v>73</v>
      </c>
      <c r="H2530" t="s">
        <v>78</v>
      </c>
      <c r="I2530">
        <v>40000000</v>
      </c>
      <c r="J2530" t="s">
        <v>19</v>
      </c>
      <c r="K2530" t="s">
        <v>5</v>
      </c>
      <c r="L2530" t="s">
        <v>67</v>
      </c>
      <c r="M2530" t="s">
        <v>80</v>
      </c>
      <c r="N2530" t="s">
        <v>13</v>
      </c>
    </row>
    <row r="2531" spans="1:14" x14ac:dyDescent="0.35">
      <c r="A2531" s="75">
        <v>44127</v>
      </c>
      <c r="B2531" t="s">
        <v>162</v>
      </c>
      <c r="C2531" t="s">
        <v>101</v>
      </c>
      <c r="D2531">
        <v>10</v>
      </c>
      <c r="E2531">
        <v>10</v>
      </c>
      <c r="F2531" t="s">
        <v>10</v>
      </c>
      <c r="G2531" t="s">
        <v>71</v>
      </c>
      <c r="H2531" t="s">
        <v>6</v>
      </c>
      <c r="I2531">
        <v>140000000</v>
      </c>
      <c r="J2531" t="s">
        <v>31</v>
      </c>
      <c r="K2531" t="s">
        <v>2</v>
      </c>
      <c r="L2531" t="s">
        <v>67</v>
      </c>
      <c r="M2531" t="s">
        <v>80</v>
      </c>
      <c r="N2531" t="s">
        <v>11</v>
      </c>
    </row>
    <row r="2532" spans="1:14" x14ac:dyDescent="0.35">
      <c r="A2532" s="75">
        <v>44127</v>
      </c>
      <c r="B2532" t="s">
        <v>162</v>
      </c>
      <c r="C2532" t="s">
        <v>101</v>
      </c>
      <c r="D2532">
        <v>9</v>
      </c>
      <c r="E2532">
        <v>9</v>
      </c>
      <c r="F2532" t="s">
        <v>10</v>
      </c>
      <c r="G2532" t="s">
        <v>71</v>
      </c>
      <c r="H2532" t="s">
        <v>6</v>
      </c>
      <c r="I2532">
        <v>80000000</v>
      </c>
      <c r="J2532" t="s">
        <v>54</v>
      </c>
      <c r="K2532" t="s">
        <v>7</v>
      </c>
      <c r="L2532" t="s">
        <v>67</v>
      </c>
      <c r="M2532" t="s">
        <v>82</v>
      </c>
      <c r="N2532" t="s">
        <v>14</v>
      </c>
    </row>
    <row r="2533" spans="1:14" x14ac:dyDescent="0.35">
      <c r="A2533" s="75">
        <v>44127</v>
      </c>
      <c r="B2533" t="s">
        <v>162</v>
      </c>
      <c r="C2533" t="s">
        <v>101</v>
      </c>
      <c r="D2533">
        <v>9</v>
      </c>
      <c r="E2533">
        <v>9</v>
      </c>
      <c r="F2533" t="s">
        <v>10</v>
      </c>
      <c r="G2533" t="s">
        <v>74</v>
      </c>
      <c r="H2533" t="s">
        <v>77</v>
      </c>
      <c r="I2533">
        <v>40000000</v>
      </c>
      <c r="J2533" t="s">
        <v>32</v>
      </c>
      <c r="K2533" t="s">
        <v>2</v>
      </c>
      <c r="L2533" t="s">
        <v>67</v>
      </c>
      <c r="M2533" t="s">
        <v>82</v>
      </c>
      <c r="N2533" t="s">
        <v>11</v>
      </c>
    </row>
    <row r="2534" spans="1:14" x14ac:dyDescent="0.35">
      <c r="A2534" s="75">
        <v>44127</v>
      </c>
      <c r="B2534" t="s">
        <v>162</v>
      </c>
      <c r="C2534" t="s">
        <v>101</v>
      </c>
      <c r="D2534">
        <v>9</v>
      </c>
      <c r="E2534">
        <v>9</v>
      </c>
      <c r="F2534" t="s">
        <v>10</v>
      </c>
      <c r="G2534" t="s">
        <v>70</v>
      </c>
      <c r="H2534" t="s">
        <v>1</v>
      </c>
      <c r="I2534">
        <v>80000000</v>
      </c>
      <c r="J2534" t="s">
        <v>29</v>
      </c>
      <c r="K2534" t="s">
        <v>2</v>
      </c>
      <c r="L2534" t="s">
        <v>67</v>
      </c>
      <c r="M2534" t="s">
        <v>81</v>
      </c>
      <c r="N2534" t="s">
        <v>13</v>
      </c>
    </row>
    <row r="2535" spans="1:14" x14ac:dyDescent="0.35">
      <c r="A2535" s="75">
        <v>44127</v>
      </c>
      <c r="B2535" t="s">
        <v>162</v>
      </c>
      <c r="C2535" t="s">
        <v>101</v>
      </c>
      <c r="D2535">
        <v>8</v>
      </c>
      <c r="E2535">
        <v>8</v>
      </c>
      <c r="F2535" t="s">
        <v>10</v>
      </c>
      <c r="G2535" t="s">
        <v>76</v>
      </c>
      <c r="H2535" t="s">
        <v>79</v>
      </c>
      <c r="I2535">
        <v>80000000</v>
      </c>
      <c r="J2535" t="s">
        <v>55</v>
      </c>
      <c r="K2535" t="s">
        <v>7</v>
      </c>
      <c r="L2535" t="s">
        <v>67</v>
      </c>
      <c r="M2535" t="s">
        <v>82</v>
      </c>
      <c r="N2535" t="s">
        <v>14</v>
      </c>
    </row>
    <row r="2536" spans="1:14" x14ac:dyDescent="0.35">
      <c r="A2536" s="75">
        <v>44127</v>
      </c>
      <c r="B2536" t="s">
        <v>162</v>
      </c>
      <c r="C2536" t="s">
        <v>101</v>
      </c>
      <c r="D2536">
        <v>8</v>
      </c>
      <c r="E2536">
        <v>8</v>
      </c>
      <c r="F2536" t="s">
        <v>10</v>
      </c>
      <c r="G2536" t="s">
        <v>72</v>
      </c>
      <c r="H2536" t="s">
        <v>78</v>
      </c>
      <c r="I2536">
        <v>60000000</v>
      </c>
      <c r="J2536" t="s">
        <v>19</v>
      </c>
      <c r="K2536" t="s">
        <v>2</v>
      </c>
      <c r="L2536" t="s">
        <v>67</v>
      </c>
      <c r="M2536" t="s">
        <v>81</v>
      </c>
      <c r="N2536" t="s">
        <v>14</v>
      </c>
    </row>
    <row r="2537" spans="1:14" x14ac:dyDescent="0.35">
      <c r="A2537" s="75">
        <v>44127</v>
      </c>
      <c r="B2537" t="s">
        <v>162</v>
      </c>
      <c r="C2537" t="s">
        <v>101</v>
      </c>
      <c r="D2537">
        <v>8</v>
      </c>
      <c r="E2537">
        <v>8</v>
      </c>
      <c r="F2537" t="s">
        <v>10</v>
      </c>
      <c r="G2537" t="s">
        <v>73</v>
      </c>
      <c r="H2537" t="s">
        <v>78</v>
      </c>
      <c r="I2537">
        <v>100000000</v>
      </c>
      <c r="J2537" t="s">
        <v>45</v>
      </c>
      <c r="K2537" t="s">
        <v>7</v>
      </c>
      <c r="L2537" t="s">
        <v>67</v>
      </c>
      <c r="M2537" t="s">
        <v>81</v>
      </c>
      <c r="N2537" t="s">
        <v>12</v>
      </c>
    </row>
    <row r="2538" spans="1:14" x14ac:dyDescent="0.35">
      <c r="A2538" s="75">
        <v>44127</v>
      </c>
      <c r="B2538" t="s">
        <v>162</v>
      </c>
      <c r="C2538" t="s">
        <v>101</v>
      </c>
      <c r="D2538">
        <v>8</v>
      </c>
      <c r="E2538">
        <v>8</v>
      </c>
      <c r="F2538" t="s">
        <v>10</v>
      </c>
      <c r="G2538" t="s">
        <v>114</v>
      </c>
      <c r="H2538" t="s">
        <v>3</v>
      </c>
      <c r="I2538">
        <v>80000000</v>
      </c>
      <c r="J2538" t="s">
        <v>25</v>
      </c>
      <c r="K2538" t="s">
        <v>2</v>
      </c>
      <c r="L2538" t="s">
        <v>67</v>
      </c>
      <c r="M2538" t="s">
        <v>82</v>
      </c>
      <c r="N2538" t="s">
        <v>11</v>
      </c>
    </row>
    <row r="2539" spans="1:14" x14ac:dyDescent="0.35">
      <c r="A2539" s="75">
        <v>44127</v>
      </c>
      <c r="B2539" t="s">
        <v>162</v>
      </c>
      <c r="C2539" t="s">
        <v>101</v>
      </c>
      <c r="D2539">
        <v>7</v>
      </c>
      <c r="E2539">
        <v>7</v>
      </c>
      <c r="F2539" t="s">
        <v>10</v>
      </c>
      <c r="G2539" t="s">
        <v>114</v>
      </c>
      <c r="H2539" t="s">
        <v>3</v>
      </c>
      <c r="I2539">
        <v>40000000</v>
      </c>
      <c r="J2539" t="s">
        <v>24</v>
      </c>
      <c r="K2539" t="s">
        <v>5</v>
      </c>
      <c r="L2539" t="s">
        <v>67</v>
      </c>
      <c r="M2539" t="s">
        <v>81</v>
      </c>
      <c r="N2539" t="s">
        <v>13</v>
      </c>
    </row>
    <row r="2540" spans="1:14" x14ac:dyDescent="0.35">
      <c r="A2540" s="75">
        <v>44127</v>
      </c>
      <c r="B2540" t="s">
        <v>162</v>
      </c>
      <c r="C2540" t="s">
        <v>101</v>
      </c>
      <c r="D2540">
        <v>5</v>
      </c>
      <c r="E2540">
        <v>5</v>
      </c>
      <c r="F2540" t="s">
        <v>10</v>
      </c>
      <c r="G2540" t="s">
        <v>114</v>
      </c>
      <c r="H2540" t="s">
        <v>3</v>
      </c>
      <c r="I2540">
        <v>100000000</v>
      </c>
      <c r="J2540" t="s">
        <v>45</v>
      </c>
      <c r="K2540" t="s">
        <v>8</v>
      </c>
      <c r="L2540" t="s">
        <v>67</v>
      </c>
      <c r="M2540" t="s">
        <v>80</v>
      </c>
      <c r="N2540" t="s">
        <v>12</v>
      </c>
    </row>
    <row r="2541" spans="1:14" x14ac:dyDescent="0.35">
      <c r="A2541" s="75">
        <v>44127</v>
      </c>
      <c r="B2541" t="s">
        <v>162</v>
      </c>
      <c r="C2541" t="s">
        <v>101</v>
      </c>
      <c r="D2541">
        <v>5</v>
      </c>
      <c r="E2541">
        <v>5</v>
      </c>
      <c r="F2541" t="s">
        <v>10</v>
      </c>
      <c r="G2541" t="s">
        <v>114</v>
      </c>
      <c r="H2541" t="s">
        <v>3</v>
      </c>
      <c r="I2541">
        <v>140000000</v>
      </c>
      <c r="J2541" t="s">
        <v>15</v>
      </c>
      <c r="K2541" t="s">
        <v>2</v>
      </c>
      <c r="L2541" t="s">
        <v>67</v>
      </c>
      <c r="M2541" t="s">
        <v>80</v>
      </c>
      <c r="N2541" t="s">
        <v>14</v>
      </c>
    </row>
    <row r="2542" spans="1:14" x14ac:dyDescent="0.35">
      <c r="A2542" s="75">
        <v>44128</v>
      </c>
      <c r="B2542" t="s">
        <v>163</v>
      </c>
      <c r="C2542" t="s">
        <v>101</v>
      </c>
      <c r="D2542">
        <v>6</v>
      </c>
      <c r="E2542">
        <v>6</v>
      </c>
      <c r="F2542" t="s">
        <v>10</v>
      </c>
      <c r="G2542" t="s">
        <v>74</v>
      </c>
      <c r="H2542" t="s">
        <v>77</v>
      </c>
      <c r="I2542">
        <v>120000000</v>
      </c>
      <c r="J2542" t="s">
        <v>60</v>
      </c>
      <c r="K2542" t="s">
        <v>7</v>
      </c>
      <c r="L2542" t="s">
        <v>67</v>
      </c>
      <c r="M2542" t="s">
        <v>80</v>
      </c>
      <c r="N2542" t="s">
        <v>11</v>
      </c>
    </row>
    <row r="2543" spans="1:14" x14ac:dyDescent="0.35">
      <c r="A2543" s="75">
        <v>44128</v>
      </c>
      <c r="B2543" t="s">
        <v>163</v>
      </c>
      <c r="C2543" t="s">
        <v>101</v>
      </c>
      <c r="D2543">
        <v>6</v>
      </c>
      <c r="E2543">
        <v>6</v>
      </c>
      <c r="F2543" t="s">
        <v>10</v>
      </c>
      <c r="G2543" t="s">
        <v>113</v>
      </c>
      <c r="H2543" t="s">
        <v>77</v>
      </c>
      <c r="I2543">
        <v>140000000</v>
      </c>
      <c r="J2543" t="s">
        <v>30</v>
      </c>
      <c r="K2543" t="s">
        <v>2</v>
      </c>
      <c r="L2543" t="s">
        <v>67</v>
      </c>
      <c r="M2543" t="s">
        <v>80</v>
      </c>
      <c r="N2543" t="s">
        <v>14</v>
      </c>
    </row>
    <row r="2544" spans="1:14" x14ac:dyDescent="0.35">
      <c r="A2544" s="75">
        <v>44128</v>
      </c>
      <c r="B2544" t="s">
        <v>163</v>
      </c>
      <c r="C2544" t="s">
        <v>101</v>
      </c>
      <c r="D2544">
        <v>5</v>
      </c>
      <c r="E2544">
        <v>5</v>
      </c>
      <c r="F2544" t="s">
        <v>10</v>
      </c>
      <c r="G2544" t="s">
        <v>76</v>
      </c>
      <c r="H2544" t="s">
        <v>79</v>
      </c>
      <c r="I2544">
        <v>100000000</v>
      </c>
      <c r="J2544" t="s">
        <v>57</v>
      </c>
      <c r="K2544" t="s">
        <v>7</v>
      </c>
      <c r="L2544" t="s">
        <v>67</v>
      </c>
      <c r="M2544" t="s">
        <v>80</v>
      </c>
      <c r="N2544" t="s">
        <v>14</v>
      </c>
    </row>
    <row r="2545" spans="1:14" x14ac:dyDescent="0.35">
      <c r="A2545" s="75">
        <v>44128</v>
      </c>
      <c r="B2545" t="s">
        <v>163</v>
      </c>
      <c r="C2545" t="s">
        <v>101</v>
      </c>
      <c r="D2545">
        <v>5</v>
      </c>
      <c r="E2545">
        <v>5</v>
      </c>
      <c r="F2545" t="s">
        <v>10</v>
      </c>
      <c r="G2545" t="s">
        <v>70</v>
      </c>
      <c r="H2545" t="s">
        <v>1</v>
      </c>
      <c r="I2545">
        <v>60000000</v>
      </c>
      <c r="J2545" t="s">
        <v>49</v>
      </c>
      <c r="K2545" t="s">
        <v>9</v>
      </c>
      <c r="L2545" t="s">
        <v>67</v>
      </c>
      <c r="M2545" t="s">
        <v>80</v>
      </c>
      <c r="N2545" t="s">
        <v>13</v>
      </c>
    </row>
    <row r="2546" spans="1:14" x14ac:dyDescent="0.35">
      <c r="A2546" s="75">
        <v>44128</v>
      </c>
      <c r="B2546" t="s">
        <v>163</v>
      </c>
      <c r="C2546" t="s">
        <v>101</v>
      </c>
      <c r="D2546">
        <v>4</v>
      </c>
      <c r="E2546">
        <v>4</v>
      </c>
      <c r="F2546" t="s">
        <v>10</v>
      </c>
      <c r="G2546" t="s">
        <v>114</v>
      </c>
      <c r="H2546" t="s">
        <v>3</v>
      </c>
      <c r="I2546">
        <v>80000000</v>
      </c>
      <c r="J2546" t="s">
        <v>20</v>
      </c>
      <c r="K2546" t="s">
        <v>4</v>
      </c>
      <c r="L2546" t="s">
        <v>67</v>
      </c>
      <c r="M2546" t="s">
        <v>81</v>
      </c>
      <c r="N2546" t="s">
        <v>11</v>
      </c>
    </row>
    <row r="2547" spans="1:14" x14ac:dyDescent="0.35">
      <c r="A2547" s="75">
        <v>44128</v>
      </c>
      <c r="B2547" t="s">
        <v>163</v>
      </c>
      <c r="C2547" t="s">
        <v>101</v>
      </c>
      <c r="D2547">
        <v>3</v>
      </c>
      <c r="E2547">
        <v>3</v>
      </c>
      <c r="F2547" t="s">
        <v>10</v>
      </c>
      <c r="G2547" t="s">
        <v>74</v>
      </c>
      <c r="H2547" t="s">
        <v>77</v>
      </c>
      <c r="I2547">
        <v>80000000</v>
      </c>
      <c r="J2547" t="s">
        <v>41</v>
      </c>
      <c r="K2547" t="s">
        <v>5</v>
      </c>
      <c r="L2547" t="s">
        <v>67</v>
      </c>
      <c r="M2547" t="s">
        <v>82</v>
      </c>
      <c r="N2547" t="s">
        <v>11</v>
      </c>
    </row>
    <row r="2548" spans="1:14" x14ac:dyDescent="0.35">
      <c r="A2548" s="75">
        <v>44128</v>
      </c>
      <c r="B2548" t="s">
        <v>163</v>
      </c>
      <c r="C2548" t="s">
        <v>101</v>
      </c>
      <c r="D2548">
        <v>3</v>
      </c>
      <c r="E2548">
        <v>3</v>
      </c>
      <c r="F2548" t="s">
        <v>10</v>
      </c>
      <c r="G2548" t="s">
        <v>74</v>
      </c>
      <c r="H2548" t="s">
        <v>77</v>
      </c>
      <c r="I2548">
        <v>100000000</v>
      </c>
      <c r="J2548" t="s">
        <v>58</v>
      </c>
      <c r="K2548" t="s">
        <v>8</v>
      </c>
      <c r="L2548" t="s">
        <v>67</v>
      </c>
      <c r="M2548" t="s">
        <v>81</v>
      </c>
      <c r="N2548" t="s">
        <v>12</v>
      </c>
    </row>
    <row r="2549" spans="1:14" x14ac:dyDescent="0.35">
      <c r="A2549" s="75">
        <v>44128</v>
      </c>
      <c r="B2549" t="s">
        <v>163</v>
      </c>
      <c r="C2549" t="s">
        <v>101</v>
      </c>
      <c r="D2549">
        <v>3</v>
      </c>
      <c r="E2549">
        <v>3</v>
      </c>
      <c r="F2549" t="s">
        <v>10</v>
      </c>
      <c r="G2549" t="s">
        <v>114</v>
      </c>
      <c r="H2549" t="s">
        <v>3</v>
      </c>
      <c r="I2549">
        <v>80000000</v>
      </c>
      <c r="J2549" t="s">
        <v>62</v>
      </c>
      <c r="K2549" t="s">
        <v>2</v>
      </c>
      <c r="L2549" t="s">
        <v>67</v>
      </c>
      <c r="M2549" t="s">
        <v>80</v>
      </c>
      <c r="N2549" t="s">
        <v>12</v>
      </c>
    </row>
    <row r="2550" spans="1:14" x14ac:dyDescent="0.35">
      <c r="A2550" s="75">
        <v>44129</v>
      </c>
      <c r="B2550" t="s">
        <v>164</v>
      </c>
      <c r="C2550" t="s">
        <v>101</v>
      </c>
      <c r="D2550">
        <v>9</v>
      </c>
      <c r="E2550">
        <v>9</v>
      </c>
      <c r="F2550" t="s">
        <v>10</v>
      </c>
      <c r="G2550" t="s">
        <v>113</v>
      </c>
      <c r="H2550" t="s">
        <v>77</v>
      </c>
      <c r="I2550">
        <v>100000000</v>
      </c>
      <c r="J2550" t="s">
        <v>40</v>
      </c>
      <c r="K2550" t="s">
        <v>2</v>
      </c>
      <c r="L2550" t="s">
        <v>67</v>
      </c>
      <c r="M2550" t="s">
        <v>82</v>
      </c>
      <c r="N2550" t="s">
        <v>14</v>
      </c>
    </row>
    <row r="2551" spans="1:14" x14ac:dyDescent="0.35">
      <c r="A2551" s="75">
        <v>44129</v>
      </c>
      <c r="B2551" t="s">
        <v>164</v>
      </c>
      <c r="C2551" t="s">
        <v>101</v>
      </c>
      <c r="D2551">
        <v>9</v>
      </c>
      <c r="E2551">
        <v>9</v>
      </c>
      <c r="F2551" t="s">
        <v>10</v>
      </c>
      <c r="G2551" t="s">
        <v>75</v>
      </c>
      <c r="H2551" t="s">
        <v>6</v>
      </c>
      <c r="I2551">
        <v>100000000</v>
      </c>
      <c r="J2551" t="s">
        <v>62</v>
      </c>
      <c r="K2551" t="s">
        <v>5</v>
      </c>
      <c r="L2551" t="s">
        <v>67</v>
      </c>
      <c r="M2551" t="s">
        <v>80</v>
      </c>
      <c r="N2551" t="s">
        <v>12</v>
      </c>
    </row>
    <row r="2552" spans="1:14" x14ac:dyDescent="0.35">
      <c r="A2552" s="75">
        <v>44129</v>
      </c>
      <c r="B2552" t="s">
        <v>164</v>
      </c>
      <c r="C2552" t="s">
        <v>101</v>
      </c>
      <c r="D2552">
        <v>9</v>
      </c>
      <c r="E2552">
        <v>9</v>
      </c>
      <c r="F2552" t="s">
        <v>10</v>
      </c>
      <c r="G2552" t="s">
        <v>70</v>
      </c>
      <c r="H2552" t="s">
        <v>1</v>
      </c>
      <c r="I2552">
        <v>140000000</v>
      </c>
      <c r="J2552" t="s">
        <v>53</v>
      </c>
      <c r="K2552" t="s">
        <v>2</v>
      </c>
      <c r="L2552" t="s">
        <v>67</v>
      </c>
      <c r="M2552" t="s">
        <v>80</v>
      </c>
      <c r="N2552" t="s">
        <v>12</v>
      </c>
    </row>
    <row r="2553" spans="1:14" x14ac:dyDescent="0.35">
      <c r="A2553" s="75">
        <v>44129</v>
      </c>
      <c r="B2553" t="s">
        <v>164</v>
      </c>
      <c r="C2553" t="s">
        <v>101</v>
      </c>
      <c r="D2553">
        <v>8</v>
      </c>
      <c r="E2553">
        <v>8</v>
      </c>
      <c r="F2553" t="s">
        <v>10</v>
      </c>
      <c r="G2553" t="s">
        <v>74</v>
      </c>
      <c r="H2553" t="s">
        <v>77</v>
      </c>
      <c r="I2553">
        <v>80000000</v>
      </c>
      <c r="J2553" t="s">
        <v>30</v>
      </c>
      <c r="K2553" t="s">
        <v>9</v>
      </c>
      <c r="L2553" t="s">
        <v>67</v>
      </c>
      <c r="M2553" t="s">
        <v>82</v>
      </c>
      <c r="N2553" t="s">
        <v>11</v>
      </c>
    </row>
    <row r="2554" spans="1:14" x14ac:dyDescent="0.35">
      <c r="A2554" s="75">
        <v>44129</v>
      </c>
      <c r="B2554" t="s">
        <v>164</v>
      </c>
      <c r="C2554" t="s">
        <v>101</v>
      </c>
      <c r="D2554">
        <v>7</v>
      </c>
      <c r="E2554">
        <v>7</v>
      </c>
      <c r="F2554" t="s">
        <v>10</v>
      </c>
      <c r="G2554" t="s">
        <v>70</v>
      </c>
      <c r="H2554" t="s">
        <v>1</v>
      </c>
      <c r="I2554">
        <v>80000000</v>
      </c>
      <c r="J2554" t="s">
        <v>44</v>
      </c>
      <c r="K2554" t="s">
        <v>9</v>
      </c>
      <c r="L2554" t="s">
        <v>67</v>
      </c>
      <c r="M2554" t="s">
        <v>80</v>
      </c>
      <c r="N2554" t="s">
        <v>12</v>
      </c>
    </row>
    <row r="2555" spans="1:14" x14ac:dyDescent="0.35">
      <c r="A2555" s="75">
        <v>44129</v>
      </c>
      <c r="B2555" t="s">
        <v>164</v>
      </c>
      <c r="C2555" t="s">
        <v>101</v>
      </c>
      <c r="D2555">
        <v>7</v>
      </c>
      <c r="E2555">
        <v>7</v>
      </c>
      <c r="F2555" t="s">
        <v>10</v>
      </c>
      <c r="G2555" t="s">
        <v>71</v>
      </c>
      <c r="H2555" t="s">
        <v>6</v>
      </c>
      <c r="I2555">
        <v>80000000</v>
      </c>
      <c r="J2555" t="s">
        <v>45</v>
      </c>
      <c r="K2555" t="s">
        <v>9</v>
      </c>
      <c r="L2555" t="s">
        <v>67</v>
      </c>
      <c r="M2555" t="s">
        <v>82</v>
      </c>
      <c r="N2555" t="s">
        <v>12</v>
      </c>
    </row>
    <row r="2556" spans="1:14" x14ac:dyDescent="0.35">
      <c r="A2556" s="75">
        <v>44129</v>
      </c>
      <c r="B2556" t="s">
        <v>164</v>
      </c>
      <c r="C2556" t="s">
        <v>101</v>
      </c>
      <c r="D2556">
        <v>7</v>
      </c>
      <c r="E2556">
        <v>7</v>
      </c>
      <c r="F2556" t="s">
        <v>10</v>
      </c>
      <c r="G2556" t="s">
        <v>113</v>
      </c>
      <c r="H2556" t="s">
        <v>77</v>
      </c>
      <c r="I2556">
        <v>60000000</v>
      </c>
      <c r="J2556" t="s">
        <v>64</v>
      </c>
      <c r="K2556" t="s">
        <v>2</v>
      </c>
      <c r="L2556" t="s">
        <v>67</v>
      </c>
      <c r="M2556" t="s">
        <v>80</v>
      </c>
      <c r="N2556" t="s">
        <v>13</v>
      </c>
    </row>
    <row r="2557" spans="1:14" x14ac:dyDescent="0.35">
      <c r="A2557" s="75">
        <v>44129</v>
      </c>
      <c r="B2557" t="s">
        <v>164</v>
      </c>
      <c r="C2557" t="s">
        <v>101</v>
      </c>
      <c r="D2557">
        <v>6</v>
      </c>
      <c r="E2557">
        <v>6</v>
      </c>
      <c r="F2557" t="s">
        <v>10</v>
      </c>
      <c r="G2557" t="s">
        <v>114</v>
      </c>
      <c r="H2557" t="s">
        <v>3</v>
      </c>
      <c r="I2557">
        <v>140000000</v>
      </c>
      <c r="J2557" t="s">
        <v>45</v>
      </c>
      <c r="K2557" t="s">
        <v>5</v>
      </c>
      <c r="L2557" t="s">
        <v>67</v>
      </c>
      <c r="M2557" t="s">
        <v>80</v>
      </c>
      <c r="N2557" t="s">
        <v>13</v>
      </c>
    </row>
    <row r="2558" spans="1:14" x14ac:dyDescent="0.35">
      <c r="A2558" s="75">
        <v>44129</v>
      </c>
      <c r="B2558" t="s">
        <v>164</v>
      </c>
      <c r="C2558" t="s">
        <v>101</v>
      </c>
      <c r="D2558">
        <v>4</v>
      </c>
      <c r="E2558">
        <v>4</v>
      </c>
      <c r="F2558" t="s">
        <v>10</v>
      </c>
      <c r="G2558" t="s">
        <v>75</v>
      </c>
      <c r="H2558" t="s">
        <v>6</v>
      </c>
      <c r="I2558">
        <v>120000000</v>
      </c>
      <c r="J2558" t="s">
        <v>30</v>
      </c>
      <c r="K2558" t="s">
        <v>5</v>
      </c>
      <c r="L2558" t="s">
        <v>67</v>
      </c>
      <c r="M2558" t="s">
        <v>82</v>
      </c>
      <c r="N2558" t="s">
        <v>11</v>
      </c>
    </row>
    <row r="2559" spans="1:14" x14ac:dyDescent="0.35">
      <c r="A2559" s="75">
        <v>44129</v>
      </c>
      <c r="B2559" t="s">
        <v>164</v>
      </c>
      <c r="C2559" t="s">
        <v>101</v>
      </c>
      <c r="D2559">
        <v>3</v>
      </c>
      <c r="E2559">
        <v>3</v>
      </c>
      <c r="F2559" t="s">
        <v>10</v>
      </c>
      <c r="G2559" t="s">
        <v>113</v>
      </c>
      <c r="H2559" t="s">
        <v>77</v>
      </c>
      <c r="I2559">
        <v>60000000</v>
      </c>
      <c r="J2559" t="s">
        <v>40</v>
      </c>
      <c r="K2559" t="s">
        <v>5</v>
      </c>
      <c r="L2559" t="s">
        <v>67</v>
      </c>
      <c r="M2559" t="s">
        <v>82</v>
      </c>
      <c r="N2559" t="s">
        <v>13</v>
      </c>
    </row>
    <row r="2560" spans="1:14" x14ac:dyDescent="0.35">
      <c r="A2560" s="75">
        <v>44129</v>
      </c>
      <c r="B2560" t="s">
        <v>164</v>
      </c>
      <c r="C2560" t="s">
        <v>101</v>
      </c>
      <c r="D2560">
        <v>3</v>
      </c>
      <c r="E2560">
        <v>3</v>
      </c>
      <c r="F2560" t="s">
        <v>10</v>
      </c>
      <c r="G2560" t="s">
        <v>71</v>
      </c>
      <c r="H2560" t="s">
        <v>6</v>
      </c>
      <c r="I2560">
        <v>140000000</v>
      </c>
      <c r="J2560" t="s">
        <v>58</v>
      </c>
      <c r="K2560" t="s">
        <v>2</v>
      </c>
      <c r="L2560" t="s">
        <v>67</v>
      </c>
      <c r="M2560" t="s">
        <v>81</v>
      </c>
      <c r="N2560" t="s">
        <v>12</v>
      </c>
    </row>
    <row r="2561" spans="1:14" x14ac:dyDescent="0.35">
      <c r="A2561" s="75">
        <v>44130</v>
      </c>
      <c r="B2561" t="s">
        <v>165</v>
      </c>
      <c r="C2561" t="s">
        <v>101</v>
      </c>
      <c r="D2561">
        <v>10</v>
      </c>
      <c r="E2561">
        <v>10</v>
      </c>
      <c r="F2561" t="s">
        <v>10</v>
      </c>
      <c r="G2561" t="s">
        <v>74</v>
      </c>
      <c r="H2561" t="s">
        <v>77</v>
      </c>
      <c r="I2561">
        <v>140000000</v>
      </c>
      <c r="J2561" t="s">
        <v>16</v>
      </c>
      <c r="K2561" t="s">
        <v>5</v>
      </c>
      <c r="L2561" t="s">
        <v>67</v>
      </c>
      <c r="M2561" t="s">
        <v>80</v>
      </c>
      <c r="N2561" t="s">
        <v>12</v>
      </c>
    </row>
    <row r="2562" spans="1:14" x14ac:dyDescent="0.35">
      <c r="A2562" s="75">
        <v>44130</v>
      </c>
      <c r="B2562" t="s">
        <v>165</v>
      </c>
      <c r="C2562" t="s">
        <v>101</v>
      </c>
      <c r="D2562">
        <v>10</v>
      </c>
      <c r="E2562">
        <v>10</v>
      </c>
      <c r="F2562" t="s">
        <v>10</v>
      </c>
      <c r="G2562" t="s">
        <v>75</v>
      </c>
      <c r="H2562" t="s">
        <v>6</v>
      </c>
      <c r="I2562">
        <v>100000000</v>
      </c>
      <c r="J2562" t="s">
        <v>49</v>
      </c>
      <c r="K2562" t="s">
        <v>2</v>
      </c>
      <c r="L2562" t="s">
        <v>67</v>
      </c>
      <c r="M2562" t="s">
        <v>81</v>
      </c>
      <c r="N2562" t="s">
        <v>14</v>
      </c>
    </row>
    <row r="2563" spans="1:14" x14ac:dyDescent="0.35">
      <c r="A2563" s="75">
        <v>44130</v>
      </c>
      <c r="B2563" t="s">
        <v>165</v>
      </c>
      <c r="C2563" t="s">
        <v>101</v>
      </c>
      <c r="D2563">
        <v>10</v>
      </c>
      <c r="E2563">
        <v>10</v>
      </c>
      <c r="F2563" t="s">
        <v>10</v>
      </c>
      <c r="G2563" t="s">
        <v>73</v>
      </c>
      <c r="H2563" t="s">
        <v>78</v>
      </c>
      <c r="I2563">
        <v>100000000</v>
      </c>
      <c r="J2563" t="s">
        <v>53</v>
      </c>
      <c r="K2563" t="s">
        <v>5</v>
      </c>
      <c r="L2563" t="s">
        <v>67</v>
      </c>
      <c r="M2563" t="s">
        <v>82</v>
      </c>
      <c r="N2563" t="s">
        <v>12</v>
      </c>
    </row>
    <row r="2564" spans="1:14" x14ac:dyDescent="0.35">
      <c r="A2564" s="75">
        <v>44130</v>
      </c>
      <c r="B2564" t="s">
        <v>165</v>
      </c>
      <c r="C2564" t="s">
        <v>101</v>
      </c>
      <c r="D2564">
        <v>10</v>
      </c>
      <c r="E2564">
        <v>10</v>
      </c>
      <c r="F2564" t="s">
        <v>10</v>
      </c>
      <c r="G2564" t="s">
        <v>72</v>
      </c>
      <c r="H2564" t="s">
        <v>78</v>
      </c>
      <c r="I2564">
        <v>120000000</v>
      </c>
      <c r="J2564" t="s">
        <v>62</v>
      </c>
      <c r="K2564" t="s">
        <v>2</v>
      </c>
      <c r="L2564" t="s">
        <v>67</v>
      </c>
      <c r="M2564" t="s">
        <v>80</v>
      </c>
      <c r="N2564" t="s">
        <v>14</v>
      </c>
    </row>
    <row r="2565" spans="1:14" x14ac:dyDescent="0.35">
      <c r="A2565" s="75">
        <v>44130</v>
      </c>
      <c r="B2565" t="s">
        <v>165</v>
      </c>
      <c r="C2565" t="s">
        <v>101</v>
      </c>
      <c r="D2565">
        <v>10</v>
      </c>
      <c r="E2565">
        <v>10</v>
      </c>
      <c r="F2565" t="s">
        <v>10</v>
      </c>
      <c r="G2565" t="s">
        <v>71</v>
      </c>
      <c r="H2565" t="s">
        <v>6</v>
      </c>
      <c r="I2565">
        <v>100000000</v>
      </c>
      <c r="J2565" t="s">
        <v>54</v>
      </c>
      <c r="K2565" t="s">
        <v>8</v>
      </c>
      <c r="L2565" t="s">
        <v>67</v>
      </c>
      <c r="M2565" t="s">
        <v>82</v>
      </c>
      <c r="N2565" t="s">
        <v>13</v>
      </c>
    </row>
    <row r="2566" spans="1:14" x14ac:dyDescent="0.35">
      <c r="A2566" s="75">
        <v>44130</v>
      </c>
      <c r="B2566" t="s">
        <v>165</v>
      </c>
      <c r="C2566" t="s">
        <v>101</v>
      </c>
      <c r="D2566">
        <v>9</v>
      </c>
      <c r="E2566">
        <v>9</v>
      </c>
      <c r="F2566" t="s">
        <v>10</v>
      </c>
      <c r="G2566" t="s">
        <v>73</v>
      </c>
      <c r="H2566" t="s">
        <v>78</v>
      </c>
      <c r="I2566">
        <v>140000000</v>
      </c>
      <c r="J2566" t="s">
        <v>17</v>
      </c>
      <c r="K2566" t="s">
        <v>7</v>
      </c>
      <c r="L2566" t="s">
        <v>67</v>
      </c>
      <c r="M2566" t="s">
        <v>82</v>
      </c>
      <c r="N2566" t="s">
        <v>11</v>
      </c>
    </row>
    <row r="2567" spans="1:14" x14ac:dyDescent="0.35">
      <c r="A2567" s="75">
        <v>44130</v>
      </c>
      <c r="B2567" t="s">
        <v>165</v>
      </c>
      <c r="C2567" t="s">
        <v>101</v>
      </c>
      <c r="D2567">
        <v>8</v>
      </c>
      <c r="E2567">
        <v>8</v>
      </c>
      <c r="F2567" t="s">
        <v>10</v>
      </c>
      <c r="G2567" t="s">
        <v>74</v>
      </c>
      <c r="H2567" t="s">
        <v>77</v>
      </c>
      <c r="I2567">
        <v>120000000</v>
      </c>
      <c r="J2567" t="s">
        <v>49</v>
      </c>
      <c r="K2567" t="s">
        <v>5</v>
      </c>
      <c r="L2567" t="s">
        <v>67</v>
      </c>
      <c r="M2567" t="s">
        <v>81</v>
      </c>
      <c r="N2567" t="s">
        <v>14</v>
      </c>
    </row>
    <row r="2568" spans="1:14" x14ac:dyDescent="0.35">
      <c r="A2568" s="75">
        <v>44130</v>
      </c>
      <c r="B2568" t="s">
        <v>165</v>
      </c>
      <c r="C2568" t="s">
        <v>101</v>
      </c>
      <c r="D2568">
        <v>6</v>
      </c>
      <c r="E2568">
        <v>6</v>
      </c>
      <c r="F2568" t="s">
        <v>10</v>
      </c>
      <c r="G2568" t="s">
        <v>71</v>
      </c>
      <c r="H2568" t="s">
        <v>6</v>
      </c>
      <c r="I2568">
        <v>80000000</v>
      </c>
      <c r="J2568" t="s">
        <v>45</v>
      </c>
      <c r="K2568" t="s">
        <v>9</v>
      </c>
      <c r="L2568" t="s">
        <v>67</v>
      </c>
      <c r="M2568" t="s">
        <v>81</v>
      </c>
      <c r="N2568" t="s">
        <v>12</v>
      </c>
    </row>
    <row r="2569" spans="1:14" x14ac:dyDescent="0.35">
      <c r="A2569" s="75">
        <v>44130</v>
      </c>
      <c r="B2569" t="s">
        <v>165</v>
      </c>
      <c r="C2569" t="s">
        <v>101</v>
      </c>
      <c r="D2569">
        <v>3</v>
      </c>
      <c r="E2569">
        <v>3</v>
      </c>
      <c r="F2569" t="s">
        <v>10</v>
      </c>
      <c r="G2569" t="s">
        <v>70</v>
      </c>
      <c r="H2569" t="s">
        <v>1</v>
      </c>
      <c r="I2569">
        <v>80000000</v>
      </c>
      <c r="J2569" t="s">
        <v>33</v>
      </c>
      <c r="K2569" t="s">
        <v>2</v>
      </c>
      <c r="L2569" t="s">
        <v>67</v>
      </c>
      <c r="M2569" t="s">
        <v>81</v>
      </c>
      <c r="N2569" t="s">
        <v>13</v>
      </c>
    </row>
    <row r="2570" spans="1:14" x14ac:dyDescent="0.35">
      <c r="A2570" s="75">
        <v>44131</v>
      </c>
      <c r="B2570" t="s">
        <v>166</v>
      </c>
      <c r="C2570" t="s">
        <v>101</v>
      </c>
      <c r="D2570">
        <v>10</v>
      </c>
      <c r="E2570">
        <v>10</v>
      </c>
      <c r="F2570" t="s">
        <v>10</v>
      </c>
      <c r="G2570" t="s">
        <v>76</v>
      </c>
      <c r="H2570" t="s">
        <v>79</v>
      </c>
      <c r="I2570">
        <v>100000000</v>
      </c>
      <c r="J2570" t="s">
        <v>35</v>
      </c>
      <c r="K2570" t="s">
        <v>8</v>
      </c>
      <c r="L2570" t="s">
        <v>67</v>
      </c>
      <c r="M2570" t="s">
        <v>80</v>
      </c>
      <c r="N2570" t="s">
        <v>12</v>
      </c>
    </row>
    <row r="2571" spans="1:14" x14ac:dyDescent="0.35">
      <c r="A2571" s="75">
        <v>44131</v>
      </c>
      <c r="B2571" t="s">
        <v>166</v>
      </c>
      <c r="C2571" t="s">
        <v>101</v>
      </c>
      <c r="D2571">
        <v>10</v>
      </c>
      <c r="E2571">
        <v>10</v>
      </c>
      <c r="F2571" t="s">
        <v>10</v>
      </c>
      <c r="G2571" t="s">
        <v>76</v>
      </c>
      <c r="H2571" t="s">
        <v>79</v>
      </c>
      <c r="I2571">
        <v>60000000</v>
      </c>
      <c r="J2571" t="s">
        <v>20</v>
      </c>
      <c r="K2571" t="s">
        <v>7</v>
      </c>
      <c r="L2571" t="s">
        <v>67</v>
      </c>
      <c r="M2571" t="s">
        <v>82</v>
      </c>
      <c r="N2571" t="s">
        <v>12</v>
      </c>
    </row>
    <row r="2572" spans="1:14" x14ac:dyDescent="0.35">
      <c r="A2572" s="75">
        <v>44131</v>
      </c>
      <c r="B2572" t="s">
        <v>166</v>
      </c>
      <c r="C2572" t="s">
        <v>101</v>
      </c>
      <c r="D2572">
        <v>8</v>
      </c>
      <c r="E2572">
        <v>8</v>
      </c>
      <c r="F2572" t="s">
        <v>10</v>
      </c>
      <c r="G2572" t="s">
        <v>74</v>
      </c>
      <c r="H2572" t="s">
        <v>77</v>
      </c>
      <c r="I2572">
        <v>80000000</v>
      </c>
      <c r="J2572" t="s">
        <v>29</v>
      </c>
      <c r="K2572" t="s">
        <v>5</v>
      </c>
      <c r="L2572" t="s">
        <v>67</v>
      </c>
      <c r="M2572" t="s">
        <v>80</v>
      </c>
      <c r="N2572" t="s">
        <v>11</v>
      </c>
    </row>
    <row r="2573" spans="1:14" x14ac:dyDescent="0.35">
      <c r="A2573" s="75">
        <v>44131</v>
      </c>
      <c r="B2573" t="s">
        <v>166</v>
      </c>
      <c r="C2573" t="s">
        <v>101</v>
      </c>
      <c r="D2573">
        <v>6</v>
      </c>
      <c r="E2573">
        <v>6</v>
      </c>
      <c r="F2573" t="s">
        <v>10</v>
      </c>
      <c r="G2573" t="s">
        <v>75</v>
      </c>
      <c r="H2573" t="s">
        <v>6</v>
      </c>
      <c r="I2573">
        <v>40000000</v>
      </c>
      <c r="J2573" t="s">
        <v>63</v>
      </c>
      <c r="K2573" t="s">
        <v>5</v>
      </c>
      <c r="L2573" t="s">
        <v>67</v>
      </c>
      <c r="M2573" t="s">
        <v>80</v>
      </c>
      <c r="N2573" t="s">
        <v>13</v>
      </c>
    </row>
    <row r="2574" spans="1:14" x14ac:dyDescent="0.35">
      <c r="A2574" s="75">
        <v>44131</v>
      </c>
      <c r="B2574" t="s">
        <v>166</v>
      </c>
      <c r="C2574" t="s">
        <v>101</v>
      </c>
      <c r="D2574">
        <v>5</v>
      </c>
      <c r="E2574">
        <v>5</v>
      </c>
      <c r="F2574" t="s">
        <v>10</v>
      </c>
      <c r="G2574" t="s">
        <v>73</v>
      </c>
      <c r="H2574" t="s">
        <v>78</v>
      </c>
      <c r="I2574">
        <v>120000000</v>
      </c>
      <c r="J2574" t="s">
        <v>35</v>
      </c>
      <c r="K2574" t="s">
        <v>5</v>
      </c>
      <c r="L2574" t="s">
        <v>67</v>
      </c>
      <c r="M2574" t="s">
        <v>80</v>
      </c>
      <c r="N2574" t="s">
        <v>14</v>
      </c>
    </row>
    <row r="2575" spans="1:14" x14ac:dyDescent="0.35">
      <c r="A2575" s="75">
        <v>44131</v>
      </c>
      <c r="B2575" t="s">
        <v>166</v>
      </c>
      <c r="C2575" t="s">
        <v>101</v>
      </c>
      <c r="D2575">
        <v>5</v>
      </c>
      <c r="E2575">
        <v>5</v>
      </c>
      <c r="F2575" t="s">
        <v>10</v>
      </c>
      <c r="G2575" t="s">
        <v>74</v>
      </c>
      <c r="H2575" t="s">
        <v>77</v>
      </c>
      <c r="I2575">
        <v>40000000</v>
      </c>
      <c r="J2575" t="s">
        <v>26</v>
      </c>
      <c r="K2575" t="s">
        <v>2</v>
      </c>
      <c r="L2575" t="s">
        <v>67</v>
      </c>
      <c r="M2575" t="s">
        <v>82</v>
      </c>
      <c r="N2575" t="s">
        <v>13</v>
      </c>
    </row>
    <row r="2576" spans="1:14" x14ac:dyDescent="0.35">
      <c r="A2576" s="75">
        <v>44131</v>
      </c>
      <c r="B2576" t="s">
        <v>166</v>
      </c>
      <c r="C2576" t="s">
        <v>101</v>
      </c>
      <c r="D2576">
        <v>5</v>
      </c>
      <c r="E2576">
        <v>5</v>
      </c>
      <c r="F2576" t="s">
        <v>10</v>
      </c>
      <c r="G2576" t="s">
        <v>114</v>
      </c>
      <c r="H2576" t="s">
        <v>3</v>
      </c>
      <c r="I2576">
        <v>80000000</v>
      </c>
      <c r="J2576" t="s">
        <v>48</v>
      </c>
      <c r="K2576" t="s">
        <v>5</v>
      </c>
      <c r="L2576" t="s">
        <v>67</v>
      </c>
      <c r="M2576" t="s">
        <v>82</v>
      </c>
      <c r="N2576" t="s">
        <v>12</v>
      </c>
    </row>
    <row r="2577" spans="1:14" x14ac:dyDescent="0.35">
      <c r="A2577" s="75">
        <v>44131</v>
      </c>
      <c r="B2577" t="s">
        <v>166</v>
      </c>
      <c r="C2577" t="s">
        <v>101</v>
      </c>
      <c r="D2577">
        <v>4</v>
      </c>
      <c r="E2577">
        <v>4</v>
      </c>
      <c r="F2577" t="s">
        <v>10</v>
      </c>
      <c r="G2577" t="s">
        <v>72</v>
      </c>
      <c r="H2577" t="s">
        <v>78</v>
      </c>
      <c r="I2577">
        <v>60000000</v>
      </c>
      <c r="J2577" t="s">
        <v>35</v>
      </c>
      <c r="K2577" t="s">
        <v>2</v>
      </c>
      <c r="L2577" t="s">
        <v>67</v>
      </c>
      <c r="M2577" t="s">
        <v>82</v>
      </c>
      <c r="N2577" t="s">
        <v>11</v>
      </c>
    </row>
    <row r="2578" spans="1:14" x14ac:dyDescent="0.35">
      <c r="A2578" s="75">
        <v>44131</v>
      </c>
      <c r="B2578" t="s">
        <v>166</v>
      </c>
      <c r="C2578" t="s">
        <v>101</v>
      </c>
      <c r="D2578">
        <v>3</v>
      </c>
      <c r="E2578">
        <v>3</v>
      </c>
      <c r="F2578" t="s">
        <v>10</v>
      </c>
      <c r="G2578" t="s">
        <v>76</v>
      </c>
      <c r="H2578" t="s">
        <v>79</v>
      </c>
      <c r="I2578">
        <v>120000000</v>
      </c>
      <c r="J2578" t="s">
        <v>43</v>
      </c>
      <c r="K2578" t="s">
        <v>2</v>
      </c>
      <c r="L2578" t="s">
        <v>67</v>
      </c>
      <c r="M2578" t="s">
        <v>80</v>
      </c>
      <c r="N2578" t="s">
        <v>11</v>
      </c>
    </row>
    <row r="2579" spans="1:14" x14ac:dyDescent="0.35">
      <c r="A2579" s="75">
        <v>44132</v>
      </c>
      <c r="B2579" t="s">
        <v>167</v>
      </c>
      <c r="C2579" t="s">
        <v>101</v>
      </c>
      <c r="D2579">
        <v>10</v>
      </c>
      <c r="E2579">
        <v>10</v>
      </c>
      <c r="F2579" t="s">
        <v>10</v>
      </c>
      <c r="G2579" t="s">
        <v>76</v>
      </c>
      <c r="H2579" t="s">
        <v>79</v>
      </c>
      <c r="I2579">
        <v>100000000</v>
      </c>
      <c r="J2579" t="s">
        <v>54</v>
      </c>
      <c r="K2579" t="s">
        <v>2</v>
      </c>
      <c r="L2579" t="s">
        <v>67</v>
      </c>
      <c r="M2579" t="s">
        <v>80</v>
      </c>
      <c r="N2579" t="s">
        <v>12</v>
      </c>
    </row>
    <row r="2580" spans="1:14" x14ac:dyDescent="0.35">
      <c r="A2580" s="75">
        <v>44132</v>
      </c>
      <c r="B2580" t="s">
        <v>167</v>
      </c>
      <c r="C2580" t="s">
        <v>101</v>
      </c>
      <c r="D2580">
        <v>9</v>
      </c>
      <c r="E2580">
        <v>9</v>
      </c>
      <c r="F2580" t="s">
        <v>10</v>
      </c>
      <c r="G2580" t="s">
        <v>114</v>
      </c>
      <c r="H2580" t="s">
        <v>3</v>
      </c>
      <c r="I2580">
        <v>120000000</v>
      </c>
      <c r="J2580" t="s">
        <v>27</v>
      </c>
      <c r="K2580" t="s">
        <v>2</v>
      </c>
      <c r="L2580" t="s">
        <v>67</v>
      </c>
      <c r="M2580" t="s">
        <v>80</v>
      </c>
      <c r="N2580" t="s">
        <v>13</v>
      </c>
    </row>
    <row r="2581" spans="1:14" x14ac:dyDescent="0.35">
      <c r="A2581" s="75">
        <v>44132</v>
      </c>
      <c r="B2581" t="s">
        <v>167</v>
      </c>
      <c r="C2581" t="s">
        <v>101</v>
      </c>
      <c r="D2581">
        <v>8</v>
      </c>
      <c r="E2581">
        <v>8</v>
      </c>
      <c r="F2581" t="s">
        <v>10</v>
      </c>
      <c r="G2581" t="s">
        <v>113</v>
      </c>
      <c r="H2581" t="s">
        <v>77</v>
      </c>
      <c r="I2581">
        <v>60000000</v>
      </c>
      <c r="J2581" t="s">
        <v>51</v>
      </c>
      <c r="K2581" t="s">
        <v>2</v>
      </c>
      <c r="L2581" t="s">
        <v>67</v>
      </c>
      <c r="M2581" t="s">
        <v>81</v>
      </c>
      <c r="N2581" t="s">
        <v>12</v>
      </c>
    </row>
    <row r="2582" spans="1:14" x14ac:dyDescent="0.35">
      <c r="A2582" s="75">
        <v>44132</v>
      </c>
      <c r="B2582" t="s">
        <v>167</v>
      </c>
      <c r="C2582" t="s">
        <v>101</v>
      </c>
      <c r="D2582">
        <v>7</v>
      </c>
      <c r="E2582">
        <v>7</v>
      </c>
      <c r="F2582" t="s">
        <v>10</v>
      </c>
      <c r="G2582" t="s">
        <v>73</v>
      </c>
      <c r="H2582" t="s">
        <v>78</v>
      </c>
      <c r="I2582">
        <v>100000000</v>
      </c>
      <c r="J2582" t="s">
        <v>46</v>
      </c>
      <c r="K2582" t="s">
        <v>5</v>
      </c>
      <c r="L2582" t="s">
        <v>67</v>
      </c>
      <c r="M2582" t="s">
        <v>80</v>
      </c>
      <c r="N2582" t="s">
        <v>12</v>
      </c>
    </row>
    <row r="2583" spans="1:14" x14ac:dyDescent="0.35">
      <c r="A2583" s="75">
        <v>44132</v>
      </c>
      <c r="B2583" t="s">
        <v>167</v>
      </c>
      <c r="C2583" t="s">
        <v>101</v>
      </c>
      <c r="D2583">
        <v>6</v>
      </c>
      <c r="E2583">
        <v>6</v>
      </c>
      <c r="F2583" t="s">
        <v>10</v>
      </c>
      <c r="G2583" t="s">
        <v>76</v>
      </c>
      <c r="H2583" t="s">
        <v>79</v>
      </c>
      <c r="I2583">
        <v>140000000</v>
      </c>
      <c r="J2583" t="s">
        <v>57</v>
      </c>
      <c r="K2583" t="s">
        <v>2</v>
      </c>
      <c r="L2583" t="s">
        <v>67</v>
      </c>
      <c r="M2583" t="s">
        <v>82</v>
      </c>
      <c r="N2583" t="s">
        <v>11</v>
      </c>
    </row>
    <row r="2584" spans="1:14" x14ac:dyDescent="0.35">
      <c r="A2584" s="75">
        <v>44132</v>
      </c>
      <c r="B2584" t="s">
        <v>167</v>
      </c>
      <c r="C2584" t="s">
        <v>101</v>
      </c>
      <c r="D2584">
        <v>4</v>
      </c>
      <c r="E2584">
        <v>4</v>
      </c>
      <c r="F2584" t="s">
        <v>10</v>
      </c>
      <c r="G2584" t="s">
        <v>114</v>
      </c>
      <c r="H2584" t="s">
        <v>3</v>
      </c>
      <c r="I2584">
        <v>40000000</v>
      </c>
      <c r="J2584" t="s">
        <v>29</v>
      </c>
      <c r="K2584" t="s">
        <v>8</v>
      </c>
      <c r="L2584" t="s">
        <v>67</v>
      </c>
      <c r="M2584" t="s">
        <v>80</v>
      </c>
      <c r="N2584" t="s">
        <v>14</v>
      </c>
    </row>
    <row r="2585" spans="1:14" x14ac:dyDescent="0.35">
      <c r="A2585" s="75">
        <v>44132</v>
      </c>
      <c r="B2585" t="s">
        <v>167</v>
      </c>
      <c r="C2585" t="s">
        <v>101</v>
      </c>
      <c r="D2585">
        <v>4</v>
      </c>
      <c r="E2585">
        <v>4</v>
      </c>
      <c r="F2585" t="s">
        <v>10</v>
      </c>
      <c r="G2585" t="s">
        <v>76</v>
      </c>
      <c r="H2585" t="s">
        <v>79</v>
      </c>
      <c r="I2585">
        <v>80000000</v>
      </c>
      <c r="J2585" t="s">
        <v>54</v>
      </c>
      <c r="K2585" t="s">
        <v>2</v>
      </c>
      <c r="L2585" t="s">
        <v>67</v>
      </c>
      <c r="M2585" t="s">
        <v>81</v>
      </c>
      <c r="N2585" t="s">
        <v>11</v>
      </c>
    </row>
    <row r="2586" spans="1:14" x14ac:dyDescent="0.35">
      <c r="A2586" s="75">
        <v>44132</v>
      </c>
      <c r="B2586" t="s">
        <v>167</v>
      </c>
      <c r="C2586" t="s">
        <v>101</v>
      </c>
      <c r="D2586">
        <v>3</v>
      </c>
      <c r="E2586">
        <v>3</v>
      </c>
      <c r="F2586" t="s">
        <v>10</v>
      </c>
      <c r="G2586" t="s">
        <v>113</v>
      </c>
      <c r="H2586" t="s">
        <v>77</v>
      </c>
      <c r="I2586">
        <v>100000000</v>
      </c>
      <c r="J2586" t="s">
        <v>22</v>
      </c>
      <c r="K2586" t="s">
        <v>5</v>
      </c>
      <c r="L2586" t="s">
        <v>67</v>
      </c>
      <c r="M2586" t="s">
        <v>82</v>
      </c>
      <c r="N2586" t="s">
        <v>11</v>
      </c>
    </row>
    <row r="2587" spans="1:14" x14ac:dyDescent="0.35">
      <c r="A2587" s="75">
        <v>44132</v>
      </c>
      <c r="B2587" t="s">
        <v>167</v>
      </c>
      <c r="C2587" t="s">
        <v>101</v>
      </c>
      <c r="D2587">
        <v>3</v>
      </c>
      <c r="E2587">
        <v>3</v>
      </c>
      <c r="F2587" t="s">
        <v>10</v>
      </c>
      <c r="G2587" t="s">
        <v>72</v>
      </c>
      <c r="H2587" t="s">
        <v>78</v>
      </c>
      <c r="I2587">
        <v>120000000</v>
      </c>
      <c r="J2587" t="s">
        <v>31</v>
      </c>
      <c r="K2587" t="s">
        <v>7</v>
      </c>
      <c r="L2587" t="s">
        <v>67</v>
      </c>
      <c r="M2587" t="s">
        <v>81</v>
      </c>
      <c r="N2587" t="s">
        <v>12</v>
      </c>
    </row>
    <row r="2588" spans="1:14" x14ac:dyDescent="0.35">
      <c r="A2588" s="75">
        <v>44133</v>
      </c>
      <c r="B2588" t="s">
        <v>168</v>
      </c>
      <c r="C2588" t="s">
        <v>101</v>
      </c>
      <c r="D2588">
        <v>9</v>
      </c>
      <c r="E2588">
        <v>9</v>
      </c>
      <c r="F2588" t="s">
        <v>10</v>
      </c>
      <c r="G2588" t="s">
        <v>74</v>
      </c>
      <c r="H2588" t="s">
        <v>77</v>
      </c>
      <c r="I2588">
        <v>100000000</v>
      </c>
      <c r="J2588" t="s">
        <v>34</v>
      </c>
      <c r="K2588" t="s">
        <v>2</v>
      </c>
      <c r="L2588" t="s">
        <v>67</v>
      </c>
      <c r="M2588" t="s">
        <v>81</v>
      </c>
      <c r="N2588" t="s">
        <v>11</v>
      </c>
    </row>
    <row r="2589" spans="1:14" x14ac:dyDescent="0.35">
      <c r="A2589" s="75">
        <v>44133</v>
      </c>
      <c r="B2589" t="s">
        <v>168</v>
      </c>
      <c r="C2589" t="s">
        <v>101</v>
      </c>
      <c r="D2589">
        <v>9</v>
      </c>
      <c r="E2589">
        <v>9</v>
      </c>
      <c r="F2589" t="s">
        <v>10</v>
      </c>
      <c r="G2589" t="s">
        <v>73</v>
      </c>
      <c r="H2589" t="s">
        <v>78</v>
      </c>
      <c r="I2589">
        <v>100000000</v>
      </c>
      <c r="J2589" t="s">
        <v>56</v>
      </c>
      <c r="K2589" t="s">
        <v>8</v>
      </c>
      <c r="L2589" t="s">
        <v>67</v>
      </c>
      <c r="M2589" t="s">
        <v>82</v>
      </c>
      <c r="N2589" t="s">
        <v>12</v>
      </c>
    </row>
    <row r="2590" spans="1:14" x14ac:dyDescent="0.35">
      <c r="A2590" s="75">
        <v>44133</v>
      </c>
      <c r="B2590" t="s">
        <v>168</v>
      </c>
      <c r="C2590" t="s">
        <v>101</v>
      </c>
      <c r="D2590">
        <v>8</v>
      </c>
      <c r="E2590">
        <v>8</v>
      </c>
      <c r="F2590" t="s">
        <v>10</v>
      </c>
      <c r="G2590" t="s">
        <v>70</v>
      </c>
      <c r="H2590" t="s">
        <v>1</v>
      </c>
      <c r="I2590">
        <v>80000000</v>
      </c>
      <c r="J2590" t="s">
        <v>51</v>
      </c>
      <c r="K2590" t="s">
        <v>5</v>
      </c>
      <c r="L2590" t="s">
        <v>67</v>
      </c>
      <c r="M2590" t="s">
        <v>82</v>
      </c>
      <c r="N2590" t="s">
        <v>12</v>
      </c>
    </row>
    <row r="2591" spans="1:14" x14ac:dyDescent="0.35">
      <c r="A2591" s="75">
        <v>44133</v>
      </c>
      <c r="B2591" t="s">
        <v>168</v>
      </c>
      <c r="C2591" t="s">
        <v>101</v>
      </c>
      <c r="D2591">
        <v>8</v>
      </c>
      <c r="E2591">
        <v>8</v>
      </c>
      <c r="F2591" t="s">
        <v>10</v>
      </c>
      <c r="G2591" t="s">
        <v>73</v>
      </c>
      <c r="H2591" t="s">
        <v>78</v>
      </c>
      <c r="I2591">
        <v>80000000</v>
      </c>
      <c r="J2591" t="s">
        <v>53</v>
      </c>
      <c r="K2591" t="s">
        <v>2</v>
      </c>
      <c r="L2591" t="s">
        <v>67</v>
      </c>
      <c r="M2591" t="s">
        <v>81</v>
      </c>
      <c r="N2591" t="s">
        <v>13</v>
      </c>
    </row>
    <row r="2592" spans="1:14" x14ac:dyDescent="0.35">
      <c r="A2592" s="75">
        <v>44133</v>
      </c>
      <c r="B2592" t="s">
        <v>168</v>
      </c>
      <c r="C2592" t="s">
        <v>101</v>
      </c>
      <c r="D2592">
        <v>8</v>
      </c>
      <c r="E2592">
        <v>8</v>
      </c>
      <c r="F2592" t="s">
        <v>10</v>
      </c>
      <c r="G2592" t="s">
        <v>113</v>
      </c>
      <c r="H2592" t="s">
        <v>77</v>
      </c>
      <c r="I2592">
        <v>140000000</v>
      </c>
      <c r="J2592" t="s">
        <v>37</v>
      </c>
      <c r="K2592" t="s">
        <v>2</v>
      </c>
      <c r="L2592" t="s">
        <v>67</v>
      </c>
      <c r="M2592" t="s">
        <v>81</v>
      </c>
      <c r="N2592" t="s">
        <v>14</v>
      </c>
    </row>
    <row r="2593" spans="1:14" x14ac:dyDescent="0.35">
      <c r="A2593" s="75">
        <v>44133</v>
      </c>
      <c r="B2593" t="s">
        <v>168</v>
      </c>
      <c r="C2593" t="s">
        <v>101</v>
      </c>
      <c r="D2593">
        <v>7</v>
      </c>
      <c r="E2593">
        <v>7</v>
      </c>
      <c r="F2593" t="s">
        <v>10</v>
      </c>
      <c r="G2593" t="s">
        <v>71</v>
      </c>
      <c r="H2593" t="s">
        <v>6</v>
      </c>
      <c r="I2593">
        <v>60000000</v>
      </c>
      <c r="J2593" t="s">
        <v>27</v>
      </c>
      <c r="K2593" t="s">
        <v>5</v>
      </c>
      <c r="L2593" t="s">
        <v>67</v>
      </c>
      <c r="M2593" t="s">
        <v>81</v>
      </c>
      <c r="N2593" t="s">
        <v>14</v>
      </c>
    </row>
    <row r="2594" spans="1:14" x14ac:dyDescent="0.35">
      <c r="A2594" s="75">
        <v>44133</v>
      </c>
      <c r="B2594" t="s">
        <v>168</v>
      </c>
      <c r="C2594" t="s">
        <v>101</v>
      </c>
      <c r="D2594">
        <v>5</v>
      </c>
      <c r="E2594">
        <v>5</v>
      </c>
      <c r="F2594" t="s">
        <v>10</v>
      </c>
      <c r="G2594" t="s">
        <v>114</v>
      </c>
      <c r="H2594" t="s">
        <v>3</v>
      </c>
      <c r="I2594">
        <v>60000000</v>
      </c>
      <c r="J2594" t="s">
        <v>23</v>
      </c>
      <c r="K2594" t="s">
        <v>9</v>
      </c>
      <c r="L2594" t="s">
        <v>67</v>
      </c>
      <c r="M2594" t="s">
        <v>80</v>
      </c>
      <c r="N2594" t="s">
        <v>11</v>
      </c>
    </row>
    <row r="2595" spans="1:14" x14ac:dyDescent="0.35">
      <c r="A2595" s="75">
        <v>44133</v>
      </c>
      <c r="B2595" t="s">
        <v>168</v>
      </c>
      <c r="C2595" t="s">
        <v>101</v>
      </c>
      <c r="D2595">
        <v>3</v>
      </c>
      <c r="E2595">
        <v>3</v>
      </c>
      <c r="F2595" t="s">
        <v>10</v>
      </c>
      <c r="G2595" t="s">
        <v>74</v>
      </c>
      <c r="H2595" t="s">
        <v>77</v>
      </c>
      <c r="I2595">
        <v>100000000</v>
      </c>
      <c r="J2595" t="s">
        <v>35</v>
      </c>
      <c r="K2595" t="s">
        <v>8</v>
      </c>
      <c r="L2595" t="s">
        <v>67</v>
      </c>
      <c r="M2595" t="s">
        <v>80</v>
      </c>
      <c r="N2595" t="s">
        <v>14</v>
      </c>
    </row>
    <row r="2596" spans="1:14" x14ac:dyDescent="0.35">
      <c r="A2596" s="75">
        <v>44134</v>
      </c>
      <c r="B2596" t="s">
        <v>169</v>
      </c>
      <c r="C2596" t="s">
        <v>101</v>
      </c>
      <c r="D2596">
        <v>9</v>
      </c>
      <c r="E2596">
        <v>9</v>
      </c>
      <c r="F2596" t="s">
        <v>10</v>
      </c>
      <c r="G2596" t="s">
        <v>70</v>
      </c>
      <c r="H2596" t="s">
        <v>1</v>
      </c>
      <c r="I2596">
        <v>60000000</v>
      </c>
      <c r="J2596" t="s">
        <v>63</v>
      </c>
      <c r="K2596" t="s">
        <v>2</v>
      </c>
      <c r="L2596" t="s">
        <v>67</v>
      </c>
      <c r="M2596" t="s">
        <v>82</v>
      </c>
      <c r="N2596" t="s">
        <v>11</v>
      </c>
    </row>
    <row r="2597" spans="1:14" x14ac:dyDescent="0.35">
      <c r="A2597" s="75">
        <v>44134</v>
      </c>
      <c r="B2597" t="s">
        <v>169</v>
      </c>
      <c r="C2597" t="s">
        <v>101</v>
      </c>
      <c r="D2597">
        <v>9</v>
      </c>
      <c r="E2597">
        <v>9</v>
      </c>
      <c r="F2597" t="s">
        <v>10</v>
      </c>
      <c r="G2597" t="s">
        <v>72</v>
      </c>
      <c r="H2597" t="s">
        <v>78</v>
      </c>
      <c r="I2597">
        <v>100000000</v>
      </c>
      <c r="J2597" t="s">
        <v>19</v>
      </c>
      <c r="K2597" t="s">
        <v>2</v>
      </c>
      <c r="L2597" t="s">
        <v>67</v>
      </c>
      <c r="M2597" t="s">
        <v>82</v>
      </c>
      <c r="N2597" t="s">
        <v>14</v>
      </c>
    </row>
    <row r="2598" spans="1:14" x14ac:dyDescent="0.35">
      <c r="A2598" s="75">
        <v>44134</v>
      </c>
      <c r="B2598" t="s">
        <v>169</v>
      </c>
      <c r="C2598" t="s">
        <v>101</v>
      </c>
      <c r="D2598">
        <v>8</v>
      </c>
      <c r="E2598">
        <v>8</v>
      </c>
      <c r="F2598" t="s">
        <v>10</v>
      </c>
      <c r="G2598" t="s">
        <v>73</v>
      </c>
      <c r="H2598" t="s">
        <v>78</v>
      </c>
      <c r="I2598">
        <v>40000000</v>
      </c>
      <c r="J2598" t="s">
        <v>15</v>
      </c>
      <c r="K2598" t="s">
        <v>2</v>
      </c>
      <c r="L2598" t="s">
        <v>67</v>
      </c>
      <c r="M2598" t="s">
        <v>82</v>
      </c>
      <c r="N2598" t="s">
        <v>14</v>
      </c>
    </row>
    <row r="2599" spans="1:14" x14ac:dyDescent="0.35">
      <c r="A2599" s="75">
        <v>44134</v>
      </c>
      <c r="B2599" t="s">
        <v>169</v>
      </c>
      <c r="C2599" t="s">
        <v>101</v>
      </c>
      <c r="D2599">
        <v>7</v>
      </c>
      <c r="E2599">
        <v>7</v>
      </c>
      <c r="F2599" t="s">
        <v>10</v>
      </c>
      <c r="G2599" t="s">
        <v>76</v>
      </c>
      <c r="H2599" t="s">
        <v>79</v>
      </c>
      <c r="I2599">
        <v>80000000</v>
      </c>
      <c r="J2599" t="s">
        <v>45</v>
      </c>
      <c r="K2599" t="s">
        <v>2</v>
      </c>
      <c r="L2599" t="s">
        <v>67</v>
      </c>
      <c r="M2599" t="s">
        <v>80</v>
      </c>
      <c r="N2599" t="s">
        <v>14</v>
      </c>
    </row>
    <row r="2600" spans="1:14" x14ac:dyDescent="0.35">
      <c r="A2600" s="75">
        <v>44134</v>
      </c>
      <c r="B2600" t="s">
        <v>169</v>
      </c>
      <c r="C2600" t="s">
        <v>101</v>
      </c>
      <c r="D2600">
        <v>7</v>
      </c>
      <c r="E2600">
        <v>7</v>
      </c>
      <c r="F2600" t="s">
        <v>10</v>
      </c>
      <c r="G2600" t="s">
        <v>70</v>
      </c>
      <c r="H2600" t="s">
        <v>1</v>
      </c>
      <c r="I2600">
        <v>100000000</v>
      </c>
      <c r="J2600" t="s">
        <v>27</v>
      </c>
      <c r="K2600" t="s">
        <v>4</v>
      </c>
      <c r="L2600" t="s">
        <v>67</v>
      </c>
      <c r="M2600" t="s">
        <v>82</v>
      </c>
      <c r="N2600" t="s">
        <v>13</v>
      </c>
    </row>
    <row r="2601" spans="1:14" x14ac:dyDescent="0.35">
      <c r="A2601" s="75">
        <v>44134</v>
      </c>
      <c r="B2601" t="s">
        <v>169</v>
      </c>
      <c r="C2601" t="s">
        <v>101</v>
      </c>
      <c r="D2601">
        <v>6</v>
      </c>
      <c r="E2601">
        <v>6</v>
      </c>
      <c r="F2601" t="s">
        <v>10</v>
      </c>
      <c r="G2601" t="s">
        <v>74</v>
      </c>
      <c r="H2601" t="s">
        <v>77</v>
      </c>
      <c r="I2601">
        <v>40000000</v>
      </c>
      <c r="J2601" t="s">
        <v>58</v>
      </c>
      <c r="K2601" t="s">
        <v>9</v>
      </c>
      <c r="L2601" t="s">
        <v>67</v>
      </c>
      <c r="M2601" t="s">
        <v>82</v>
      </c>
      <c r="N2601" t="s">
        <v>12</v>
      </c>
    </row>
    <row r="2602" spans="1:14" x14ac:dyDescent="0.35">
      <c r="A2602" s="75">
        <v>44134</v>
      </c>
      <c r="B2602" t="s">
        <v>169</v>
      </c>
      <c r="C2602" t="s">
        <v>101</v>
      </c>
      <c r="D2602">
        <v>5</v>
      </c>
      <c r="E2602">
        <v>5</v>
      </c>
      <c r="F2602" t="s">
        <v>10</v>
      </c>
      <c r="G2602" t="s">
        <v>75</v>
      </c>
      <c r="H2602" t="s">
        <v>6</v>
      </c>
      <c r="I2602">
        <v>120000000</v>
      </c>
      <c r="J2602" t="s">
        <v>20</v>
      </c>
      <c r="K2602" t="s">
        <v>5</v>
      </c>
      <c r="L2602" t="s">
        <v>67</v>
      </c>
      <c r="M2602" t="s">
        <v>82</v>
      </c>
      <c r="N2602" t="s">
        <v>11</v>
      </c>
    </row>
    <row r="2603" spans="1:14" x14ac:dyDescent="0.35">
      <c r="A2603" s="75">
        <v>44134</v>
      </c>
      <c r="B2603" t="s">
        <v>169</v>
      </c>
      <c r="C2603" t="s">
        <v>101</v>
      </c>
      <c r="D2603">
        <v>5</v>
      </c>
      <c r="E2603">
        <v>5</v>
      </c>
      <c r="F2603" t="s">
        <v>10</v>
      </c>
      <c r="G2603" t="s">
        <v>73</v>
      </c>
      <c r="H2603" t="s">
        <v>78</v>
      </c>
      <c r="I2603">
        <v>80000000</v>
      </c>
      <c r="J2603" t="s">
        <v>63</v>
      </c>
      <c r="K2603" t="s">
        <v>5</v>
      </c>
      <c r="L2603" t="s">
        <v>67</v>
      </c>
      <c r="M2603" t="s">
        <v>80</v>
      </c>
      <c r="N2603" t="s">
        <v>11</v>
      </c>
    </row>
    <row r="2604" spans="1:14" x14ac:dyDescent="0.35">
      <c r="A2604" s="75">
        <v>44134</v>
      </c>
      <c r="B2604" t="s">
        <v>169</v>
      </c>
      <c r="C2604" t="s">
        <v>101</v>
      </c>
      <c r="D2604">
        <v>5</v>
      </c>
      <c r="E2604">
        <v>5</v>
      </c>
      <c r="F2604" t="s">
        <v>10</v>
      </c>
      <c r="G2604" t="s">
        <v>74</v>
      </c>
      <c r="H2604" t="s">
        <v>77</v>
      </c>
      <c r="I2604">
        <v>80000000</v>
      </c>
      <c r="J2604" t="s">
        <v>50</v>
      </c>
      <c r="K2604" t="s">
        <v>2</v>
      </c>
      <c r="L2604" t="s">
        <v>67</v>
      </c>
      <c r="M2604" t="s">
        <v>80</v>
      </c>
      <c r="N2604" t="s">
        <v>11</v>
      </c>
    </row>
    <row r="2605" spans="1:14" x14ac:dyDescent="0.35">
      <c r="A2605" s="75">
        <v>44134</v>
      </c>
      <c r="B2605" t="s">
        <v>169</v>
      </c>
      <c r="C2605" t="s">
        <v>101</v>
      </c>
      <c r="D2605">
        <v>5</v>
      </c>
      <c r="E2605">
        <v>5</v>
      </c>
      <c r="F2605" t="s">
        <v>10</v>
      </c>
      <c r="G2605" t="s">
        <v>71</v>
      </c>
      <c r="H2605" t="s">
        <v>6</v>
      </c>
      <c r="I2605">
        <v>80000000</v>
      </c>
      <c r="J2605" t="s">
        <v>23</v>
      </c>
      <c r="K2605" t="s">
        <v>5</v>
      </c>
      <c r="L2605" t="s">
        <v>67</v>
      </c>
      <c r="M2605" t="s">
        <v>82</v>
      </c>
      <c r="N2605" t="s">
        <v>11</v>
      </c>
    </row>
    <row r="2606" spans="1:14" x14ac:dyDescent="0.35">
      <c r="A2606" s="75">
        <v>44134</v>
      </c>
      <c r="B2606" t="s">
        <v>169</v>
      </c>
      <c r="C2606" t="s">
        <v>101</v>
      </c>
      <c r="D2606">
        <v>4</v>
      </c>
      <c r="E2606">
        <v>4</v>
      </c>
      <c r="F2606" t="s">
        <v>10</v>
      </c>
      <c r="G2606" t="s">
        <v>114</v>
      </c>
      <c r="H2606" t="s">
        <v>3</v>
      </c>
      <c r="I2606">
        <v>100000000</v>
      </c>
      <c r="J2606" t="s">
        <v>17</v>
      </c>
      <c r="K2606" t="s">
        <v>7</v>
      </c>
      <c r="L2606" t="s">
        <v>67</v>
      </c>
      <c r="M2606" t="s">
        <v>81</v>
      </c>
      <c r="N2606" t="s">
        <v>13</v>
      </c>
    </row>
    <row r="2607" spans="1:14" x14ac:dyDescent="0.35">
      <c r="A2607" s="75">
        <v>44134</v>
      </c>
      <c r="B2607" t="s">
        <v>169</v>
      </c>
      <c r="C2607" t="s">
        <v>101</v>
      </c>
      <c r="D2607">
        <v>4</v>
      </c>
      <c r="E2607">
        <v>4</v>
      </c>
      <c r="F2607" t="s">
        <v>10</v>
      </c>
      <c r="G2607" t="s">
        <v>73</v>
      </c>
      <c r="H2607" t="s">
        <v>78</v>
      </c>
      <c r="I2607">
        <v>100000000</v>
      </c>
      <c r="J2607" t="s">
        <v>42</v>
      </c>
      <c r="K2607" t="s">
        <v>5</v>
      </c>
      <c r="L2607" t="s">
        <v>67</v>
      </c>
      <c r="M2607" t="s">
        <v>81</v>
      </c>
      <c r="N2607" t="s">
        <v>14</v>
      </c>
    </row>
    <row r="2608" spans="1:14" x14ac:dyDescent="0.35">
      <c r="A2608" s="75">
        <v>44134</v>
      </c>
      <c r="B2608" t="s">
        <v>169</v>
      </c>
      <c r="C2608" t="s">
        <v>101</v>
      </c>
      <c r="D2608">
        <v>4</v>
      </c>
      <c r="E2608">
        <v>4</v>
      </c>
      <c r="F2608" t="s">
        <v>10</v>
      </c>
      <c r="G2608" t="s">
        <v>73</v>
      </c>
      <c r="H2608" t="s">
        <v>78</v>
      </c>
      <c r="I2608">
        <v>60000000</v>
      </c>
      <c r="J2608" t="s">
        <v>48</v>
      </c>
      <c r="K2608" t="s">
        <v>2</v>
      </c>
      <c r="L2608" t="s">
        <v>67</v>
      </c>
      <c r="M2608" t="s">
        <v>82</v>
      </c>
      <c r="N2608" t="s">
        <v>11</v>
      </c>
    </row>
    <row r="2609" spans="1:14" x14ac:dyDescent="0.35">
      <c r="A2609" s="75">
        <v>44134</v>
      </c>
      <c r="B2609" t="s">
        <v>169</v>
      </c>
      <c r="C2609" t="s">
        <v>101</v>
      </c>
      <c r="D2609">
        <v>3</v>
      </c>
      <c r="E2609">
        <v>3</v>
      </c>
      <c r="F2609" t="s">
        <v>10</v>
      </c>
      <c r="G2609" t="s">
        <v>70</v>
      </c>
      <c r="H2609" t="s">
        <v>1</v>
      </c>
      <c r="I2609">
        <v>100000000</v>
      </c>
      <c r="J2609" t="s">
        <v>34</v>
      </c>
      <c r="K2609" t="s">
        <v>8</v>
      </c>
      <c r="L2609" t="s">
        <v>67</v>
      </c>
      <c r="M2609" t="s">
        <v>82</v>
      </c>
      <c r="N2609" t="s">
        <v>11</v>
      </c>
    </row>
    <row r="2610" spans="1:14" x14ac:dyDescent="0.35">
      <c r="A2610" s="75">
        <v>44135</v>
      </c>
      <c r="B2610" t="s">
        <v>170</v>
      </c>
      <c r="C2610" t="s">
        <v>101</v>
      </c>
      <c r="D2610">
        <v>10</v>
      </c>
      <c r="E2610">
        <v>10</v>
      </c>
      <c r="F2610" t="s">
        <v>10</v>
      </c>
      <c r="G2610" t="s">
        <v>113</v>
      </c>
      <c r="H2610" t="s">
        <v>77</v>
      </c>
      <c r="I2610">
        <v>80000000</v>
      </c>
      <c r="J2610" t="s">
        <v>29</v>
      </c>
      <c r="K2610" t="s">
        <v>2</v>
      </c>
      <c r="L2610" t="s">
        <v>67</v>
      </c>
      <c r="M2610" t="s">
        <v>81</v>
      </c>
      <c r="N2610" t="s">
        <v>12</v>
      </c>
    </row>
    <row r="2611" spans="1:14" x14ac:dyDescent="0.35">
      <c r="A2611" s="75">
        <v>44135</v>
      </c>
      <c r="B2611" t="s">
        <v>170</v>
      </c>
      <c r="C2611" t="s">
        <v>101</v>
      </c>
      <c r="D2611">
        <v>8</v>
      </c>
      <c r="E2611">
        <v>8</v>
      </c>
      <c r="F2611" t="s">
        <v>10</v>
      </c>
      <c r="G2611" t="s">
        <v>75</v>
      </c>
      <c r="H2611" t="s">
        <v>6</v>
      </c>
      <c r="I2611">
        <v>40000000</v>
      </c>
      <c r="J2611" t="s">
        <v>33</v>
      </c>
      <c r="K2611" t="s">
        <v>2</v>
      </c>
      <c r="L2611" t="s">
        <v>67</v>
      </c>
      <c r="M2611" t="s">
        <v>81</v>
      </c>
      <c r="N2611" t="s">
        <v>13</v>
      </c>
    </row>
    <row r="2612" spans="1:14" x14ac:dyDescent="0.35">
      <c r="A2612" s="75">
        <v>44135</v>
      </c>
      <c r="B2612" t="s">
        <v>170</v>
      </c>
      <c r="C2612" t="s">
        <v>101</v>
      </c>
      <c r="D2612">
        <v>8</v>
      </c>
      <c r="E2612">
        <v>8</v>
      </c>
      <c r="F2612" t="s">
        <v>10</v>
      </c>
      <c r="G2612" t="s">
        <v>73</v>
      </c>
      <c r="H2612" t="s">
        <v>78</v>
      </c>
      <c r="I2612">
        <v>40000000</v>
      </c>
      <c r="J2612" t="s">
        <v>49</v>
      </c>
      <c r="K2612" t="s">
        <v>9</v>
      </c>
      <c r="L2612" t="s">
        <v>67</v>
      </c>
      <c r="M2612" t="s">
        <v>81</v>
      </c>
      <c r="N2612" t="s">
        <v>13</v>
      </c>
    </row>
    <row r="2613" spans="1:14" x14ac:dyDescent="0.35">
      <c r="A2613" s="75">
        <v>44135</v>
      </c>
      <c r="B2613" t="s">
        <v>170</v>
      </c>
      <c r="C2613" t="s">
        <v>101</v>
      </c>
      <c r="D2613">
        <v>7</v>
      </c>
      <c r="E2613">
        <v>7</v>
      </c>
      <c r="F2613" t="s">
        <v>10</v>
      </c>
      <c r="G2613" t="s">
        <v>71</v>
      </c>
      <c r="H2613" t="s">
        <v>6</v>
      </c>
      <c r="I2613">
        <v>40000000</v>
      </c>
      <c r="J2613" t="s">
        <v>27</v>
      </c>
      <c r="K2613" t="s">
        <v>2</v>
      </c>
      <c r="L2613" t="s">
        <v>67</v>
      </c>
      <c r="M2613" t="s">
        <v>80</v>
      </c>
      <c r="N2613" t="s">
        <v>13</v>
      </c>
    </row>
    <row r="2614" spans="1:14" x14ac:dyDescent="0.35">
      <c r="A2614" s="75">
        <v>44135</v>
      </c>
      <c r="B2614" t="s">
        <v>170</v>
      </c>
      <c r="C2614" t="s">
        <v>101</v>
      </c>
      <c r="D2614">
        <v>5</v>
      </c>
      <c r="E2614">
        <v>5</v>
      </c>
      <c r="F2614" t="s">
        <v>10</v>
      </c>
      <c r="G2614" t="s">
        <v>74</v>
      </c>
      <c r="H2614" t="s">
        <v>77</v>
      </c>
      <c r="I2614">
        <v>80000000</v>
      </c>
      <c r="J2614" t="s">
        <v>56</v>
      </c>
      <c r="K2614" t="s">
        <v>5</v>
      </c>
      <c r="L2614" t="s">
        <v>67</v>
      </c>
      <c r="M2614" t="s">
        <v>81</v>
      </c>
      <c r="N2614" t="s">
        <v>12</v>
      </c>
    </row>
    <row r="2615" spans="1:14" x14ac:dyDescent="0.35">
      <c r="A2615" s="75">
        <v>44135</v>
      </c>
      <c r="B2615" t="s">
        <v>170</v>
      </c>
      <c r="C2615" t="s">
        <v>101</v>
      </c>
      <c r="D2615">
        <v>5</v>
      </c>
      <c r="E2615">
        <v>5</v>
      </c>
      <c r="F2615" t="s">
        <v>10</v>
      </c>
      <c r="G2615" t="s">
        <v>74</v>
      </c>
      <c r="H2615" t="s">
        <v>77</v>
      </c>
      <c r="I2615">
        <v>60000000</v>
      </c>
      <c r="J2615" t="s">
        <v>43</v>
      </c>
      <c r="K2615" t="s">
        <v>9</v>
      </c>
      <c r="L2615" t="s">
        <v>67</v>
      </c>
      <c r="M2615" t="s">
        <v>82</v>
      </c>
      <c r="N2615" t="s">
        <v>12</v>
      </c>
    </row>
    <row r="2616" spans="1:14" x14ac:dyDescent="0.35">
      <c r="A2616" s="75">
        <v>44135</v>
      </c>
      <c r="B2616" t="s">
        <v>170</v>
      </c>
      <c r="C2616" t="s">
        <v>101</v>
      </c>
      <c r="D2616">
        <v>5</v>
      </c>
      <c r="E2616">
        <v>5</v>
      </c>
      <c r="F2616" t="s">
        <v>10</v>
      </c>
      <c r="G2616" t="s">
        <v>74</v>
      </c>
      <c r="H2616" t="s">
        <v>77</v>
      </c>
      <c r="I2616">
        <v>60000000</v>
      </c>
      <c r="J2616" t="s">
        <v>27</v>
      </c>
      <c r="K2616" t="s">
        <v>8</v>
      </c>
      <c r="L2616" t="s">
        <v>67</v>
      </c>
      <c r="M2616" t="s">
        <v>81</v>
      </c>
      <c r="N2616" t="s">
        <v>11</v>
      </c>
    </row>
    <row r="2617" spans="1:14" x14ac:dyDescent="0.35">
      <c r="A2617" s="75">
        <v>44135</v>
      </c>
      <c r="B2617" t="s">
        <v>170</v>
      </c>
      <c r="C2617" t="s">
        <v>101</v>
      </c>
      <c r="D2617">
        <v>4</v>
      </c>
      <c r="E2617">
        <v>4</v>
      </c>
      <c r="F2617" t="s">
        <v>10</v>
      </c>
      <c r="G2617" t="s">
        <v>114</v>
      </c>
      <c r="H2617" t="s">
        <v>3</v>
      </c>
      <c r="I2617">
        <v>120000000</v>
      </c>
      <c r="J2617" t="s">
        <v>26</v>
      </c>
      <c r="K2617" t="s">
        <v>5</v>
      </c>
      <c r="L2617" t="s">
        <v>67</v>
      </c>
      <c r="M2617" t="s">
        <v>80</v>
      </c>
      <c r="N2617" t="s">
        <v>13</v>
      </c>
    </row>
    <row r="2618" spans="1:14" x14ac:dyDescent="0.35">
      <c r="A2618" s="75">
        <v>44135</v>
      </c>
      <c r="B2618" t="s">
        <v>170</v>
      </c>
      <c r="C2618" t="s">
        <v>101</v>
      </c>
      <c r="D2618">
        <v>3</v>
      </c>
      <c r="E2618">
        <v>3</v>
      </c>
      <c r="F2618" t="s">
        <v>10</v>
      </c>
      <c r="G2618" t="s">
        <v>75</v>
      </c>
      <c r="H2618" t="s">
        <v>6</v>
      </c>
      <c r="I2618">
        <v>80000000</v>
      </c>
      <c r="J2618" t="s">
        <v>26</v>
      </c>
      <c r="K2618" t="s">
        <v>8</v>
      </c>
      <c r="L2618" t="s">
        <v>67</v>
      </c>
      <c r="M2618" t="s">
        <v>80</v>
      </c>
      <c r="N2618" t="s">
        <v>11</v>
      </c>
    </row>
    <row r="2619" spans="1:14" x14ac:dyDescent="0.35">
      <c r="A2619" s="75">
        <v>44135</v>
      </c>
      <c r="B2619" t="s">
        <v>170</v>
      </c>
      <c r="C2619" t="s">
        <v>101</v>
      </c>
      <c r="D2619">
        <v>3</v>
      </c>
      <c r="E2619">
        <v>3</v>
      </c>
      <c r="F2619" t="s">
        <v>10</v>
      </c>
      <c r="G2619" t="s">
        <v>76</v>
      </c>
      <c r="H2619" t="s">
        <v>79</v>
      </c>
      <c r="I2619">
        <v>140000000</v>
      </c>
      <c r="J2619" t="s">
        <v>26</v>
      </c>
      <c r="K2619" t="s">
        <v>7</v>
      </c>
      <c r="L2619" t="s">
        <v>67</v>
      </c>
      <c r="M2619" t="s">
        <v>80</v>
      </c>
      <c r="N2619" t="s">
        <v>14</v>
      </c>
    </row>
    <row r="2620" spans="1:14" x14ac:dyDescent="0.35">
      <c r="A2620" s="75">
        <v>44135</v>
      </c>
      <c r="B2620" t="s">
        <v>170</v>
      </c>
      <c r="C2620" t="s">
        <v>101</v>
      </c>
      <c r="D2620">
        <v>3</v>
      </c>
      <c r="E2620">
        <v>3</v>
      </c>
      <c r="F2620" t="s">
        <v>10</v>
      </c>
      <c r="G2620" t="s">
        <v>76</v>
      </c>
      <c r="H2620" t="s">
        <v>79</v>
      </c>
      <c r="I2620">
        <v>100000000</v>
      </c>
      <c r="J2620" t="s">
        <v>45</v>
      </c>
      <c r="K2620" t="s">
        <v>8</v>
      </c>
      <c r="L2620" t="s">
        <v>67</v>
      </c>
      <c r="M2620" t="s">
        <v>80</v>
      </c>
      <c r="N2620" t="s">
        <v>14</v>
      </c>
    </row>
    <row r="2621" spans="1:14" x14ac:dyDescent="0.35">
      <c r="A2621" s="75">
        <v>44135</v>
      </c>
      <c r="B2621" t="s">
        <v>170</v>
      </c>
      <c r="C2621" t="s">
        <v>101</v>
      </c>
      <c r="D2621">
        <v>3</v>
      </c>
      <c r="E2621">
        <v>3</v>
      </c>
      <c r="F2621" t="s">
        <v>10</v>
      </c>
      <c r="G2621" t="s">
        <v>71</v>
      </c>
      <c r="H2621" t="s">
        <v>6</v>
      </c>
      <c r="I2621">
        <v>80000000</v>
      </c>
      <c r="J2621" t="s">
        <v>40</v>
      </c>
      <c r="K2621" t="s">
        <v>2</v>
      </c>
      <c r="L2621" t="s">
        <v>67</v>
      </c>
      <c r="M2621" t="s">
        <v>80</v>
      </c>
      <c r="N2621" t="s">
        <v>11</v>
      </c>
    </row>
    <row r="2622" spans="1:14" x14ac:dyDescent="0.35">
      <c r="A2622" s="75">
        <v>44136</v>
      </c>
      <c r="B2622" t="s">
        <v>140</v>
      </c>
      <c r="C2622" t="s">
        <v>102</v>
      </c>
      <c r="D2622">
        <v>10</v>
      </c>
      <c r="E2622">
        <v>10</v>
      </c>
      <c r="F2622" t="s">
        <v>10</v>
      </c>
      <c r="G2622" t="s">
        <v>76</v>
      </c>
      <c r="H2622" t="s">
        <v>79</v>
      </c>
      <c r="I2622">
        <v>100000000</v>
      </c>
      <c r="J2622" t="s">
        <v>27</v>
      </c>
      <c r="K2622" t="s">
        <v>5</v>
      </c>
      <c r="L2622" t="s">
        <v>67</v>
      </c>
      <c r="M2622" t="s">
        <v>80</v>
      </c>
      <c r="N2622" t="s">
        <v>13</v>
      </c>
    </row>
    <row r="2623" spans="1:14" x14ac:dyDescent="0.35">
      <c r="A2623" s="75">
        <v>44136</v>
      </c>
      <c r="B2623" t="s">
        <v>140</v>
      </c>
      <c r="C2623" t="s">
        <v>102</v>
      </c>
      <c r="D2623">
        <v>10</v>
      </c>
      <c r="E2623">
        <v>10</v>
      </c>
      <c r="F2623" t="s">
        <v>10</v>
      </c>
      <c r="G2623" t="s">
        <v>75</v>
      </c>
      <c r="H2623" t="s">
        <v>6</v>
      </c>
      <c r="I2623">
        <v>80000000</v>
      </c>
      <c r="J2623" t="s">
        <v>55</v>
      </c>
      <c r="K2623" t="s">
        <v>2</v>
      </c>
      <c r="L2623" t="s">
        <v>67</v>
      </c>
      <c r="M2623" t="s">
        <v>82</v>
      </c>
      <c r="N2623" t="s">
        <v>13</v>
      </c>
    </row>
    <row r="2624" spans="1:14" x14ac:dyDescent="0.35">
      <c r="A2624" s="75">
        <v>44136</v>
      </c>
      <c r="B2624" t="s">
        <v>140</v>
      </c>
      <c r="C2624" t="s">
        <v>102</v>
      </c>
      <c r="D2624">
        <v>9</v>
      </c>
      <c r="E2624">
        <v>9</v>
      </c>
      <c r="F2624" t="s">
        <v>10</v>
      </c>
      <c r="G2624" t="s">
        <v>71</v>
      </c>
      <c r="H2624" t="s">
        <v>6</v>
      </c>
      <c r="I2624">
        <v>80000000</v>
      </c>
      <c r="J2624" t="s">
        <v>23</v>
      </c>
      <c r="K2624" t="s">
        <v>9</v>
      </c>
      <c r="L2624" t="s">
        <v>67</v>
      </c>
      <c r="M2624" t="s">
        <v>82</v>
      </c>
      <c r="N2624" t="s">
        <v>11</v>
      </c>
    </row>
    <row r="2625" spans="1:14" x14ac:dyDescent="0.35">
      <c r="A2625" s="75">
        <v>44136</v>
      </c>
      <c r="B2625" t="s">
        <v>140</v>
      </c>
      <c r="C2625" t="s">
        <v>102</v>
      </c>
      <c r="D2625">
        <v>7</v>
      </c>
      <c r="E2625">
        <v>7</v>
      </c>
      <c r="F2625" t="s">
        <v>10</v>
      </c>
      <c r="G2625" t="s">
        <v>113</v>
      </c>
      <c r="H2625" t="s">
        <v>77</v>
      </c>
      <c r="I2625">
        <v>140000000</v>
      </c>
      <c r="J2625" t="s">
        <v>42</v>
      </c>
      <c r="K2625" t="s">
        <v>5</v>
      </c>
      <c r="L2625" t="s">
        <v>67</v>
      </c>
      <c r="M2625" t="s">
        <v>81</v>
      </c>
      <c r="N2625" t="s">
        <v>12</v>
      </c>
    </row>
    <row r="2626" spans="1:14" x14ac:dyDescent="0.35">
      <c r="A2626" s="75">
        <v>44136</v>
      </c>
      <c r="B2626" t="s">
        <v>140</v>
      </c>
      <c r="C2626" t="s">
        <v>102</v>
      </c>
      <c r="D2626">
        <v>6</v>
      </c>
      <c r="E2626">
        <v>6</v>
      </c>
      <c r="F2626" t="s">
        <v>10</v>
      </c>
      <c r="G2626" t="s">
        <v>71</v>
      </c>
      <c r="H2626" t="s">
        <v>6</v>
      </c>
      <c r="I2626">
        <v>80000000</v>
      </c>
      <c r="J2626" t="s">
        <v>27</v>
      </c>
      <c r="K2626" t="s">
        <v>9</v>
      </c>
      <c r="L2626" t="s">
        <v>67</v>
      </c>
      <c r="M2626" t="s">
        <v>80</v>
      </c>
      <c r="N2626" t="s">
        <v>12</v>
      </c>
    </row>
    <row r="2627" spans="1:14" x14ac:dyDescent="0.35">
      <c r="A2627" s="75">
        <v>44136</v>
      </c>
      <c r="B2627" t="s">
        <v>140</v>
      </c>
      <c r="C2627" t="s">
        <v>102</v>
      </c>
      <c r="D2627">
        <v>6</v>
      </c>
      <c r="E2627">
        <v>6</v>
      </c>
      <c r="F2627" t="s">
        <v>10</v>
      </c>
      <c r="G2627" t="s">
        <v>72</v>
      </c>
      <c r="H2627" t="s">
        <v>78</v>
      </c>
      <c r="I2627">
        <v>140000000</v>
      </c>
      <c r="J2627" t="s">
        <v>43</v>
      </c>
      <c r="K2627" t="s">
        <v>2</v>
      </c>
      <c r="L2627" t="s">
        <v>67</v>
      </c>
      <c r="M2627" t="s">
        <v>82</v>
      </c>
      <c r="N2627" t="s">
        <v>12</v>
      </c>
    </row>
    <row r="2628" spans="1:14" x14ac:dyDescent="0.35">
      <c r="A2628" s="75">
        <v>44136</v>
      </c>
      <c r="B2628" t="s">
        <v>140</v>
      </c>
      <c r="C2628" t="s">
        <v>102</v>
      </c>
      <c r="D2628">
        <v>6</v>
      </c>
      <c r="E2628">
        <v>6</v>
      </c>
      <c r="F2628" t="s">
        <v>10</v>
      </c>
      <c r="G2628" t="s">
        <v>113</v>
      </c>
      <c r="H2628" t="s">
        <v>77</v>
      </c>
      <c r="I2628">
        <v>60000000</v>
      </c>
      <c r="J2628" t="s">
        <v>26</v>
      </c>
      <c r="K2628" t="s">
        <v>5</v>
      </c>
      <c r="L2628" t="s">
        <v>67</v>
      </c>
      <c r="M2628" t="s">
        <v>82</v>
      </c>
      <c r="N2628" t="s">
        <v>11</v>
      </c>
    </row>
    <row r="2629" spans="1:14" x14ac:dyDescent="0.35">
      <c r="A2629" s="75">
        <v>44136</v>
      </c>
      <c r="B2629" t="s">
        <v>140</v>
      </c>
      <c r="C2629" t="s">
        <v>102</v>
      </c>
      <c r="D2629">
        <v>5</v>
      </c>
      <c r="E2629">
        <v>5</v>
      </c>
      <c r="F2629" t="s">
        <v>10</v>
      </c>
      <c r="G2629" t="s">
        <v>114</v>
      </c>
      <c r="H2629" t="s">
        <v>3</v>
      </c>
      <c r="I2629">
        <v>80000000</v>
      </c>
      <c r="J2629" t="s">
        <v>26</v>
      </c>
      <c r="K2629" t="s">
        <v>9</v>
      </c>
      <c r="L2629" t="s">
        <v>67</v>
      </c>
      <c r="M2629" t="s">
        <v>81</v>
      </c>
      <c r="N2629" t="s">
        <v>12</v>
      </c>
    </row>
    <row r="2630" spans="1:14" x14ac:dyDescent="0.35">
      <c r="A2630" s="75">
        <v>44136</v>
      </c>
      <c r="B2630" t="s">
        <v>140</v>
      </c>
      <c r="C2630" t="s">
        <v>102</v>
      </c>
      <c r="D2630">
        <v>5</v>
      </c>
      <c r="E2630">
        <v>5</v>
      </c>
      <c r="F2630" t="s">
        <v>10</v>
      </c>
      <c r="G2630" t="s">
        <v>72</v>
      </c>
      <c r="H2630" t="s">
        <v>78</v>
      </c>
      <c r="I2630">
        <v>40000000</v>
      </c>
      <c r="J2630" t="s">
        <v>47</v>
      </c>
      <c r="K2630" t="s">
        <v>5</v>
      </c>
      <c r="L2630" t="s">
        <v>67</v>
      </c>
      <c r="M2630" t="s">
        <v>81</v>
      </c>
      <c r="N2630" t="s">
        <v>13</v>
      </c>
    </row>
    <row r="2631" spans="1:14" x14ac:dyDescent="0.35">
      <c r="A2631" s="75">
        <v>44136</v>
      </c>
      <c r="B2631" t="s">
        <v>140</v>
      </c>
      <c r="C2631" t="s">
        <v>102</v>
      </c>
      <c r="D2631">
        <v>5</v>
      </c>
      <c r="E2631">
        <v>5</v>
      </c>
      <c r="F2631" t="s">
        <v>10</v>
      </c>
      <c r="G2631" t="s">
        <v>76</v>
      </c>
      <c r="H2631" t="s">
        <v>79</v>
      </c>
      <c r="I2631">
        <v>140000000</v>
      </c>
      <c r="J2631" t="s">
        <v>46</v>
      </c>
      <c r="K2631" t="s">
        <v>2</v>
      </c>
      <c r="L2631" t="s">
        <v>67</v>
      </c>
      <c r="M2631" t="s">
        <v>80</v>
      </c>
      <c r="N2631" t="s">
        <v>12</v>
      </c>
    </row>
    <row r="2632" spans="1:14" x14ac:dyDescent="0.35">
      <c r="A2632" s="75">
        <v>44136</v>
      </c>
      <c r="B2632" t="s">
        <v>140</v>
      </c>
      <c r="C2632" t="s">
        <v>102</v>
      </c>
      <c r="D2632">
        <v>4</v>
      </c>
      <c r="E2632">
        <v>4</v>
      </c>
      <c r="F2632" t="s">
        <v>10</v>
      </c>
      <c r="G2632" t="s">
        <v>75</v>
      </c>
      <c r="H2632" t="s">
        <v>6</v>
      </c>
      <c r="I2632">
        <v>100000000</v>
      </c>
      <c r="J2632" t="s">
        <v>58</v>
      </c>
      <c r="K2632" t="s">
        <v>2</v>
      </c>
      <c r="L2632" t="s">
        <v>67</v>
      </c>
      <c r="M2632" t="s">
        <v>80</v>
      </c>
      <c r="N2632" t="s">
        <v>14</v>
      </c>
    </row>
    <row r="2633" spans="1:14" x14ac:dyDescent="0.35">
      <c r="A2633" s="75">
        <v>44136</v>
      </c>
      <c r="B2633" t="s">
        <v>140</v>
      </c>
      <c r="C2633" t="s">
        <v>102</v>
      </c>
      <c r="D2633">
        <v>4</v>
      </c>
      <c r="E2633">
        <v>4</v>
      </c>
      <c r="F2633" t="s">
        <v>10</v>
      </c>
      <c r="G2633" t="s">
        <v>114</v>
      </c>
      <c r="H2633" t="s">
        <v>3</v>
      </c>
      <c r="I2633">
        <v>100000000</v>
      </c>
      <c r="J2633" t="s">
        <v>61</v>
      </c>
      <c r="K2633" t="s">
        <v>2</v>
      </c>
      <c r="L2633" t="s">
        <v>67</v>
      </c>
      <c r="M2633" t="s">
        <v>81</v>
      </c>
      <c r="N2633" t="s">
        <v>13</v>
      </c>
    </row>
    <row r="2634" spans="1:14" x14ac:dyDescent="0.35">
      <c r="A2634" s="75">
        <v>44136</v>
      </c>
      <c r="B2634" t="s">
        <v>140</v>
      </c>
      <c r="C2634" t="s">
        <v>102</v>
      </c>
      <c r="D2634">
        <v>4</v>
      </c>
      <c r="E2634">
        <v>4</v>
      </c>
      <c r="F2634" t="s">
        <v>10</v>
      </c>
      <c r="G2634" t="s">
        <v>74</v>
      </c>
      <c r="H2634" t="s">
        <v>77</v>
      </c>
      <c r="I2634">
        <v>120000000</v>
      </c>
      <c r="J2634" t="s">
        <v>25</v>
      </c>
      <c r="K2634" t="s">
        <v>2</v>
      </c>
      <c r="L2634" t="s">
        <v>67</v>
      </c>
      <c r="M2634" t="s">
        <v>82</v>
      </c>
      <c r="N2634" t="s">
        <v>12</v>
      </c>
    </row>
    <row r="2635" spans="1:14" x14ac:dyDescent="0.35">
      <c r="A2635" s="75">
        <v>44136</v>
      </c>
      <c r="B2635" t="s">
        <v>140</v>
      </c>
      <c r="C2635" t="s">
        <v>102</v>
      </c>
      <c r="D2635">
        <v>3</v>
      </c>
      <c r="E2635">
        <v>3</v>
      </c>
      <c r="F2635" t="s">
        <v>10</v>
      </c>
      <c r="G2635" t="s">
        <v>72</v>
      </c>
      <c r="H2635" t="s">
        <v>78</v>
      </c>
      <c r="I2635">
        <v>80000000</v>
      </c>
      <c r="J2635" t="s">
        <v>30</v>
      </c>
      <c r="K2635" t="s">
        <v>2</v>
      </c>
      <c r="L2635" t="s">
        <v>67</v>
      </c>
      <c r="M2635" t="s">
        <v>80</v>
      </c>
      <c r="N2635" t="s">
        <v>12</v>
      </c>
    </row>
    <row r="2636" spans="1:14" x14ac:dyDescent="0.35">
      <c r="A2636" s="75">
        <v>44137</v>
      </c>
      <c r="B2636" t="s">
        <v>141</v>
      </c>
      <c r="C2636" t="s">
        <v>102</v>
      </c>
      <c r="D2636">
        <v>10</v>
      </c>
      <c r="E2636">
        <v>10</v>
      </c>
      <c r="F2636" t="s">
        <v>10</v>
      </c>
      <c r="G2636" t="s">
        <v>70</v>
      </c>
      <c r="H2636" t="s">
        <v>1</v>
      </c>
      <c r="I2636">
        <v>100000000</v>
      </c>
      <c r="J2636" t="s">
        <v>53</v>
      </c>
      <c r="K2636" t="s">
        <v>5</v>
      </c>
      <c r="L2636" t="s">
        <v>67</v>
      </c>
      <c r="M2636" t="s">
        <v>81</v>
      </c>
      <c r="N2636" t="s">
        <v>12</v>
      </c>
    </row>
    <row r="2637" spans="1:14" x14ac:dyDescent="0.35">
      <c r="A2637" s="75">
        <v>44137</v>
      </c>
      <c r="B2637" t="s">
        <v>141</v>
      </c>
      <c r="C2637" t="s">
        <v>102</v>
      </c>
      <c r="D2637">
        <v>7</v>
      </c>
      <c r="E2637">
        <v>7</v>
      </c>
      <c r="F2637" t="s">
        <v>10</v>
      </c>
      <c r="G2637" t="s">
        <v>75</v>
      </c>
      <c r="H2637" t="s">
        <v>6</v>
      </c>
      <c r="I2637">
        <v>40000000</v>
      </c>
      <c r="J2637" t="s">
        <v>36</v>
      </c>
      <c r="K2637" t="s">
        <v>2</v>
      </c>
      <c r="L2637" t="s">
        <v>67</v>
      </c>
      <c r="M2637" t="s">
        <v>82</v>
      </c>
      <c r="N2637" t="s">
        <v>13</v>
      </c>
    </row>
    <row r="2638" spans="1:14" x14ac:dyDescent="0.35">
      <c r="A2638" s="75">
        <v>44137</v>
      </c>
      <c r="B2638" t="s">
        <v>141</v>
      </c>
      <c r="C2638" t="s">
        <v>102</v>
      </c>
      <c r="D2638">
        <v>6</v>
      </c>
      <c r="E2638">
        <v>6</v>
      </c>
      <c r="F2638" t="s">
        <v>10</v>
      </c>
      <c r="G2638" t="s">
        <v>75</v>
      </c>
      <c r="H2638" t="s">
        <v>6</v>
      </c>
      <c r="I2638">
        <v>40000000</v>
      </c>
      <c r="J2638" t="s">
        <v>20</v>
      </c>
      <c r="K2638" t="s">
        <v>9</v>
      </c>
      <c r="L2638" t="s">
        <v>67</v>
      </c>
      <c r="M2638" t="s">
        <v>82</v>
      </c>
      <c r="N2638" t="s">
        <v>12</v>
      </c>
    </row>
    <row r="2639" spans="1:14" x14ac:dyDescent="0.35">
      <c r="A2639" s="75">
        <v>44137</v>
      </c>
      <c r="B2639" t="s">
        <v>141</v>
      </c>
      <c r="C2639" t="s">
        <v>102</v>
      </c>
      <c r="D2639">
        <v>6</v>
      </c>
      <c r="E2639">
        <v>6</v>
      </c>
      <c r="F2639" t="s">
        <v>10</v>
      </c>
      <c r="G2639" t="s">
        <v>71</v>
      </c>
      <c r="H2639" t="s">
        <v>6</v>
      </c>
      <c r="I2639">
        <v>60000000</v>
      </c>
      <c r="J2639" t="s">
        <v>55</v>
      </c>
      <c r="K2639" t="s">
        <v>8</v>
      </c>
      <c r="L2639" t="s">
        <v>67</v>
      </c>
      <c r="M2639" t="s">
        <v>82</v>
      </c>
      <c r="N2639" t="s">
        <v>11</v>
      </c>
    </row>
    <row r="2640" spans="1:14" x14ac:dyDescent="0.35">
      <c r="A2640" s="75">
        <v>44137</v>
      </c>
      <c r="B2640" t="s">
        <v>141</v>
      </c>
      <c r="C2640" t="s">
        <v>102</v>
      </c>
      <c r="D2640">
        <v>4</v>
      </c>
      <c r="E2640">
        <v>4</v>
      </c>
      <c r="F2640" t="s">
        <v>10</v>
      </c>
      <c r="G2640" t="s">
        <v>73</v>
      </c>
      <c r="H2640" t="s">
        <v>78</v>
      </c>
      <c r="I2640">
        <v>140000000</v>
      </c>
      <c r="J2640" t="s">
        <v>33</v>
      </c>
      <c r="K2640" t="s">
        <v>5</v>
      </c>
      <c r="L2640" t="s">
        <v>67</v>
      </c>
      <c r="M2640" t="s">
        <v>82</v>
      </c>
      <c r="N2640" t="s">
        <v>14</v>
      </c>
    </row>
    <row r="2641" spans="1:14" x14ac:dyDescent="0.35">
      <c r="A2641" s="75">
        <v>44137</v>
      </c>
      <c r="B2641" t="s">
        <v>141</v>
      </c>
      <c r="C2641" t="s">
        <v>102</v>
      </c>
      <c r="D2641">
        <v>3</v>
      </c>
      <c r="E2641">
        <v>3</v>
      </c>
      <c r="F2641" t="s">
        <v>10</v>
      </c>
      <c r="G2641" t="s">
        <v>114</v>
      </c>
      <c r="H2641" t="s">
        <v>3</v>
      </c>
      <c r="I2641">
        <v>60000000</v>
      </c>
      <c r="J2641" t="s">
        <v>32</v>
      </c>
      <c r="K2641" t="s">
        <v>7</v>
      </c>
      <c r="L2641" t="s">
        <v>67</v>
      </c>
      <c r="M2641" t="s">
        <v>82</v>
      </c>
      <c r="N2641" t="s">
        <v>11</v>
      </c>
    </row>
    <row r="2642" spans="1:14" x14ac:dyDescent="0.35">
      <c r="A2642" s="75">
        <v>44138</v>
      </c>
      <c r="B2642" t="s">
        <v>142</v>
      </c>
      <c r="C2642" t="s">
        <v>102</v>
      </c>
      <c r="D2642">
        <v>8</v>
      </c>
      <c r="E2642">
        <v>8</v>
      </c>
      <c r="F2642" t="s">
        <v>10</v>
      </c>
      <c r="G2642" t="s">
        <v>73</v>
      </c>
      <c r="H2642" t="s">
        <v>78</v>
      </c>
      <c r="I2642">
        <v>60000000</v>
      </c>
      <c r="J2642" t="s">
        <v>59</v>
      </c>
      <c r="K2642" t="s">
        <v>7</v>
      </c>
      <c r="L2642" t="s">
        <v>67</v>
      </c>
      <c r="M2642" t="s">
        <v>81</v>
      </c>
      <c r="N2642" t="s">
        <v>12</v>
      </c>
    </row>
    <row r="2643" spans="1:14" x14ac:dyDescent="0.35">
      <c r="A2643" s="75">
        <v>44138</v>
      </c>
      <c r="B2643" t="s">
        <v>142</v>
      </c>
      <c r="C2643" t="s">
        <v>102</v>
      </c>
      <c r="D2643">
        <v>7</v>
      </c>
      <c r="E2643">
        <v>7</v>
      </c>
      <c r="F2643" t="s">
        <v>10</v>
      </c>
      <c r="G2643" t="s">
        <v>114</v>
      </c>
      <c r="H2643" t="s">
        <v>3</v>
      </c>
      <c r="I2643">
        <v>60000000</v>
      </c>
      <c r="J2643" t="s">
        <v>38</v>
      </c>
      <c r="K2643" t="s">
        <v>2</v>
      </c>
      <c r="L2643" t="s">
        <v>67</v>
      </c>
      <c r="M2643" t="s">
        <v>82</v>
      </c>
      <c r="N2643" t="s">
        <v>11</v>
      </c>
    </row>
    <row r="2644" spans="1:14" x14ac:dyDescent="0.35">
      <c r="A2644" s="75">
        <v>44138</v>
      </c>
      <c r="B2644" t="s">
        <v>142</v>
      </c>
      <c r="C2644" t="s">
        <v>102</v>
      </c>
      <c r="D2644">
        <v>7</v>
      </c>
      <c r="E2644">
        <v>7</v>
      </c>
      <c r="F2644" t="s">
        <v>10</v>
      </c>
      <c r="G2644" t="s">
        <v>70</v>
      </c>
      <c r="H2644" t="s">
        <v>1</v>
      </c>
      <c r="I2644">
        <v>120000000</v>
      </c>
      <c r="J2644" t="s">
        <v>15</v>
      </c>
      <c r="K2644" t="s">
        <v>8</v>
      </c>
      <c r="L2644" t="s">
        <v>67</v>
      </c>
      <c r="M2644" t="s">
        <v>81</v>
      </c>
      <c r="N2644" t="s">
        <v>11</v>
      </c>
    </row>
    <row r="2645" spans="1:14" x14ac:dyDescent="0.35">
      <c r="A2645" s="75">
        <v>44138</v>
      </c>
      <c r="B2645" t="s">
        <v>142</v>
      </c>
      <c r="C2645" t="s">
        <v>102</v>
      </c>
      <c r="D2645">
        <v>7</v>
      </c>
      <c r="E2645">
        <v>7</v>
      </c>
      <c r="F2645" t="s">
        <v>10</v>
      </c>
      <c r="G2645" t="s">
        <v>75</v>
      </c>
      <c r="H2645" t="s">
        <v>6</v>
      </c>
      <c r="I2645">
        <v>120000000</v>
      </c>
      <c r="J2645" t="s">
        <v>31</v>
      </c>
      <c r="K2645" t="s">
        <v>5</v>
      </c>
      <c r="L2645" t="s">
        <v>67</v>
      </c>
      <c r="M2645" t="s">
        <v>81</v>
      </c>
      <c r="N2645" t="s">
        <v>11</v>
      </c>
    </row>
    <row r="2646" spans="1:14" x14ac:dyDescent="0.35">
      <c r="A2646" s="75">
        <v>44138</v>
      </c>
      <c r="B2646" t="s">
        <v>142</v>
      </c>
      <c r="C2646" t="s">
        <v>102</v>
      </c>
      <c r="D2646">
        <v>6</v>
      </c>
      <c r="E2646">
        <v>6</v>
      </c>
      <c r="F2646" t="s">
        <v>10</v>
      </c>
      <c r="G2646" t="s">
        <v>71</v>
      </c>
      <c r="H2646" t="s">
        <v>6</v>
      </c>
      <c r="I2646">
        <v>60000000</v>
      </c>
      <c r="J2646" t="s">
        <v>45</v>
      </c>
      <c r="K2646" t="s">
        <v>7</v>
      </c>
      <c r="L2646" t="s">
        <v>67</v>
      </c>
      <c r="M2646" t="s">
        <v>82</v>
      </c>
      <c r="N2646" t="s">
        <v>13</v>
      </c>
    </row>
    <row r="2647" spans="1:14" x14ac:dyDescent="0.35">
      <c r="A2647" s="75">
        <v>44138</v>
      </c>
      <c r="B2647" t="s">
        <v>142</v>
      </c>
      <c r="C2647" t="s">
        <v>102</v>
      </c>
      <c r="D2647">
        <v>4</v>
      </c>
      <c r="E2647">
        <v>4</v>
      </c>
      <c r="F2647" t="s">
        <v>10</v>
      </c>
      <c r="G2647" t="s">
        <v>73</v>
      </c>
      <c r="H2647" t="s">
        <v>78</v>
      </c>
      <c r="I2647">
        <v>60000000</v>
      </c>
      <c r="J2647" t="s">
        <v>32</v>
      </c>
      <c r="K2647" t="s">
        <v>2</v>
      </c>
      <c r="L2647" t="s">
        <v>67</v>
      </c>
      <c r="M2647" t="s">
        <v>81</v>
      </c>
      <c r="N2647" t="s">
        <v>14</v>
      </c>
    </row>
    <row r="2648" spans="1:14" x14ac:dyDescent="0.35">
      <c r="A2648" s="75">
        <v>44138</v>
      </c>
      <c r="B2648" t="s">
        <v>142</v>
      </c>
      <c r="C2648" t="s">
        <v>102</v>
      </c>
      <c r="D2648">
        <v>3</v>
      </c>
      <c r="E2648">
        <v>3</v>
      </c>
      <c r="F2648" t="s">
        <v>10</v>
      </c>
      <c r="G2648" t="s">
        <v>73</v>
      </c>
      <c r="H2648" t="s">
        <v>78</v>
      </c>
      <c r="I2648">
        <v>100000000</v>
      </c>
      <c r="J2648" t="s">
        <v>24</v>
      </c>
      <c r="K2648" t="s">
        <v>5</v>
      </c>
      <c r="L2648" t="s">
        <v>67</v>
      </c>
      <c r="M2648" t="s">
        <v>81</v>
      </c>
      <c r="N2648" t="s">
        <v>11</v>
      </c>
    </row>
    <row r="2649" spans="1:14" x14ac:dyDescent="0.35">
      <c r="A2649" s="75">
        <v>44138</v>
      </c>
      <c r="B2649" t="s">
        <v>142</v>
      </c>
      <c r="C2649" t="s">
        <v>102</v>
      </c>
      <c r="D2649">
        <v>3</v>
      </c>
      <c r="E2649">
        <v>3</v>
      </c>
      <c r="F2649" t="s">
        <v>10</v>
      </c>
      <c r="G2649" t="s">
        <v>75</v>
      </c>
      <c r="H2649" t="s">
        <v>6</v>
      </c>
      <c r="I2649">
        <v>80000000</v>
      </c>
      <c r="J2649" t="s">
        <v>37</v>
      </c>
      <c r="K2649" t="s">
        <v>2</v>
      </c>
      <c r="L2649" t="s">
        <v>67</v>
      </c>
      <c r="M2649" t="s">
        <v>82</v>
      </c>
      <c r="N2649" t="s">
        <v>12</v>
      </c>
    </row>
    <row r="2650" spans="1:14" x14ac:dyDescent="0.35">
      <c r="A2650" s="75">
        <v>44139</v>
      </c>
      <c r="B2650" t="s">
        <v>143</v>
      </c>
      <c r="C2650" t="s">
        <v>102</v>
      </c>
      <c r="D2650">
        <v>10</v>
      </c>
      <c r="E2650">
        <v>10</v>
      </c>
      <c r="F2650" t="s">
        <v>10</v>
      </c>
      <c r="G2650" t="s">
        <v>76</v>
      </c>
      <c r="H2650" t="s">
        <v>79</v>
      </c>
      <c r="I2650">
        <v>40000000</v>
      </c>
      <c r="J2650" t="s">
        <v>19</v>
      </c>
      <c r="K2650" t="s">
        <v>8</v>
      </c>
      <c r="L2650" t="s">
        <v>67</v>
      </c>
      <c r="M2650" t="s">
        <v>82</v>
      </c>
      <c r="N2650" t="s">
        <v>11</v>
      </c>
    </row>
    <row r="2651" spans="1:14" x14ac:dyDescent="0.35">
      <c r="A2651" s="75">
        <v>44139</v>
      </c>
      <c r="B2651" t="s">
        <v>143</v>
      </c>
      <c r="C2651" t="s">
        <v>102</v>
      </c>
      <c r="D2651">
        <v>10</v>
      </c>
      <c r="E2651">
        <v>10</v>
      </c>
      <c r="F2651" t="s">
        <v>10</v>
      </c>
      <c r="G2651" t="s">
        <v>70</v>
      </c>
      <c r="H2651" t="s">
        <v>1</v>
      </c>
      <c r="I2651">
        <v>80000000</v>
      </c>
      <c r="J2651" t="s">
        <v>40</v>
      </c>
      <c r="K2651" t="s">
        <v>8</v>
      </c>
      <c r="L2651" t="s">
        <v>67</v>
      </c>
      <c r="M2651" t="s">
        <v>80</v>
      </c>
      <c r="N2651" t="s">
        <v>13</v>
      </c>
    </row>
    <row r="2652" spans="1:14" x14ac:dyDescent="0.35">
      <c r="A2652" s="75">
        <v>44139</v>
      </c>
      <c r="B2652" t="s">
        <v>143</v>
      </c>
      <c r="C2652" t="s">
        <v>102</v>
      </c>
      <c r="D2652">
        <v>5</v>
      </c>
      <c r="E2652">
        <v>5</v>
      </c>
      <c r="F2652" t="s">
        <v>10</v>
      </c>
      <c r="G2652" t="s">
        <v>72</v>
      </c>
      <c r="H2652" t="s">
        <v>78</v>
      </c>
      <c r="I2652">
        <v>120000000</v>
      </c>
      <c r="J2652" t="s">
        <v>44</v>
      </c>
      <c r="K2652" t="s">
        <v>2</v>
      </c>
      <c r="L2652" t="s">
        <v>67</v>
      </c>
      <c r="M2652" t="s">
        <v>82</v>
      </c>
      <c r="N2652" t="s">
        <v>12</v>
      </c>
    </row>
    <row r="2653" spans="1:14" x14ac:dyDescent="0.35">
      <c r="A2653" s="75">
        <v>44139</v>
      </c>
      <c r="B2653" t="s">
        <v>143</v>
      </c>
      <c r="C2653" t="s">
        <v>102</v>
      </c>
      <c r="D2653">
        <v>4</v>
      </c>
      <c r="E2653">
        <v>4</v>
      </c>
      <c r="F2653" t="s">
        <v>10</v>
      </c>
      <c r="G2653" t="s">
        <v>73</v>
      </c>
      <c r="H2653" t="s">
        <v>78</v>
      </c>
      <c r="I2653">
        <v>120000000</v>
      </c>
      <c r="J2653" t="s">
        <v>64</v>
      </c>
      <c r="K2653" t="s">
        <v>7</v>
      </c>
      <c r="L2653" t="s">
        <v>67</v>
      </c>
      <c r="M2653" t="s">
        <v>80</v>
      </c>
      <c r="N2653" t="s">
        <v>14</v>
      </c>
    </row>
    <row r="2654" spans="1:14" x14ac:dyDescent="0.35">
      <c r="A2654" s="75">
        <v>44139</v>
      </c>
      <c r="B2654" t="s">
        <v>143</v>
      </c>
      <c r="C2654" t="s">
        <v>102</v>
      </c>
      <c r="D2654">
        <v>4</v>
      </c>
      <c r="E2654">
        <v>4</v>
      </c>
      <c r="F2654" t="s">
        <v>10</v>
      </c>
      <c r="G2654" t="s">
        <v>70</v>
      </c>
      <c r="H2654" t="s">
        <v>1</v>
      </c>
      <c r="I2654">
        <v>120000000</v>
      </c>
      <c r="J2654" t="s">
        <v>28</v>
      </c>
      <c r="K2654" t="s">
        <v>5</v>
      </c>
      <c r="L2654" t="s">
        <v>67</v>
      </c>
      <c r="M2654" t="s">
        <v>80</v>
      </c>
      <c r="N2654" t="s">
        <v>11</v>
      </c>
    </row>
    <row r="2655" spans="1:14" x14ac:dyDescent="0.35">
      <c r="A2655" s="75">
        <v>44139</v>
      </c>
      <c r="B2655" t="s">
        <v>143</v>
      </c>
      <c r="C2655" t="s">
        <v>102</v>
      </c>
      <c r="D2655">
        <v>4</v>
      </c>
      <c r="E2655">
        <v>4</v>
      </c>
      <c r="F2655" t="s">
        <v>10</v>
      </c>
      <c r="G2655" t="s">
        <v>73</v>
      </c>
      <c r="H2655" t="s">
        <v>78</v>
      </c>
      <c r="I2655">
        <v>60000000</v>
      </c>
      <c r="J2655" t="s">
        <v>29</v>
      </c>
      <c r="K2655" t="s">
        <v>4</v>
      </c>
      <c r="L2655" t="s">
        <v>67</v>
      </c>
      <c r="M2655" t="s">
        <v>82</v>
      </c>
      <c r="N2655" t="s">
        <v>11</v>
      </c>
    </row>
    <row r="2656" spans="1:14" x14ac:dyDescent="0.35">
      <c r="A2656" s="75">
        <v>44139</v>
      </c>
      <c r="B2656" t="s">
        <v>143</v>
      </c>
      <c r="C2656" t="s">
        <v>102</v>
      </c>
      <c r="D2656">
        <v>4</v>
      </c>
      <c r="E2656">
        <v>4</v>
      </c>
      <c r="F2656" t="s">
        <v>10</v>
      </c>
      <c r="G2656" t="s">
        <v>71</v>
      </c>
      <c r="H2656" t="s">
        <v>6</v>
      </c>
      <c r="I2656">
        <v>120000000</v>
      </c>
      <c r="J2656" t="s">
        <v>50</v>
      </c>
      <c r="K2656" t="s">
        <v>9</v>
      </c>
      <c r="L2656" t="s">
        <v>67</v>
      </c>
      <c r="M2656" t="s">
        <v>80</v>
      </c>
      <c r="N2656" t="s">
        <v>12</v>
      </c>
    </row>
    <row r="2657" spans="1:14" x14ac:dyDescent="0.35">
      <c r="A2657" s="75">
        <v>44140</v>
      </c>
      <c r="B2657" t="s">
        <v>144</v>
      </c>
      <c r="C2657" t="s">
        <v>102</v>
      </c>
      <c r="D2657">
        <v>10</v>
      </c>
      <c r="E2657">
        <v>10</v>
      </c>
      <c r="F2657" t="s">
        <v>10</v>
      </c>
      <c r="G2657" t="s">
        <v>76</v>
      </c>
      <c r="H2657" t="s">
        <v>79</v>
      </c>
      <c r="I2657">
        <v>40000000</v>
      </c>
      <c r="J2657" t="s">
        <v>55</v>
      </c>
      <c r="K2657" t="s">
        <v>2</v>
      </c>
      <c r="L2657" t="s">
        <v>67</v>
      </c>
      <c r="M2657" t="s">
        <v>80</v>
      </c>
      <c r="N2657" t="s">
        <v>11</v>
      </c>
    </row>
    <row r="2658" spans="1:14" x14ac:dyDescent="0.35">
      <c r="A2658" s="75">
        <v>44140</v>
      </c>
      <c r="B2658" t="s">
        <v>144</v>
      </c>
      <c r="C2658" t="s">
        <v>102</v>
      </c>
      <c r="D2658">
        <v>10</v>
      </c>
      <c r="E2658">
        <v>10</v>
      </c>
      <c r="F2658" t="s">
        <v>10</v>
      </c>
      <c r="G2658" t="s">
        <v>70</v>
      </c>
      <c r="H2658" t="s">
        <v>1</v>
      </c>
      <c r="I2658">
        <v>40000000</v>
      </c>
      <c r="J2658" t="s">
        <v>18</v>
      </c>
      <c r="K2658" t="s">
        <v>2</v>
      </c>
      <c r="L2658" t="s">
        <v>67</v>
      </c>
      <c r="M2658" t="s">
        <v>82</v>
      </c>
      <c r="N2658" t="s">
        <v>13</v>
      </c>
    </row>
    <row r="2659" spans="1:14" x14ac:dyDescent="0.35">
      <c r="A2659" s="75">
        <v>44140</v>
      </c>
      <c r="B2659" t="s">
        <v>144</v>
      </c>
      <c r="C2659" t="s">
        <v>102</v>
      </c>
      <c r="D2659">
        <v>9</v>
      </c>
      <c r="E2659">
        <v>9</v>
      </c>
      <c r="F2659" t="s">
        <v>10</v>
      </c>
      <c r="G2659" t="s">
        <v>72</v>
      </c>
      <c r="H2659" t="s">
        <v>78</v>
      </c>
      <c r="I2659">
        <v>40000000</v>
      </c>
      <c r="J2659" t="s">
        <v>62</v>
      </c>
      <c r="K2659" t="s">
        <v>5</v>
      </c>
      <c r="L2659" t="s">
        <v>67</v>
      </c>
      <c r="M2659" t="s">
        <v>80</v>
      </c>
      <c r="N2659" t="s">
        <v>13</v>
      </c>
    </row>
    <row r="2660" spans="1:14" x14ac:dyDescent="0.35">
      <c r="A2660" s="75">
        <v>44140</v>
      </c>
      <c r="B2660" t="s">
        <v>144</v>
      </c>
      <c r="C2660" t="s">
        <v>102</v>
      </c>
      <c r="D2660">
        <v>9</v>
      </c>
      <c r="E2660">
        <v>9</v>
      </c>
      <c r="F2660" t="s">
        <v>10</v>
      </c>
      <c r="G2660" t="s">
        <v>70</v>
      </c>
      <c r="H2660" t="s">
        <v>1</v>
      </c>
      <c r="I2660">
        <v>80000000</v>
      </c>
      <c r="J2660" t="s">
        <v>17</v>
      </c>
      <c r="K2660" t="s">
        <v>5</v>
      </c>
      <c r="L2660" t="s">
        <v>67</v>
      </c>
      <c r="M2660" t="s">
        <v>80</v>
      </c>
      <c r="N2660" t="s">
        <v>14</v>
      </c>
    </row>
    <row r="2661" spans="1:14" x14ac:dyDescent="0.35">
      <c r="A2661" s="75">
        <v>44140</v>
      </c>
      <c r="B2661" t="s">
        <v>144</v>
      </c>
      <c r="C2661" t="s">
        <v>102</v>
      </c>
      <c r="D2661">
        <v>6</v>
      </c>
      <c r="E2661">
        <v>6</v>
      </c>
      <c r="F2661" t="s">
        <v>10</v>
      </c>
      <c r="G2661" t="s">
        <v>72</v>
      </c>
      <c r="H2661" t="s">
        <v>78</v>
      </c>
      <c r="I2661">
        <v>120000000</v>
      </c>
      <c r="J2661" t="s">
        <v>36</v>
      </c>
      <c r="K2661" t="s">
        <v>2</v>
      </c>
      <c r="L2661" t="s">
        <v>67</v>
      </c>
      <c r="M2661" t="s">
        <v>80</v>
      </c>
      <c r="N2661" t="s">
        <v>11</v>
      </c>
    </row>
    <row r="2662" spans="1:14" x14ac:dyDescent="0.35">
      <c r="A2662" s="75">
        <v>44140</v>
      </c>
      <c r="B2662" t="s">
        <v>144</v>
      </c>
      <c r="C2662" t="s">
        <v>102</v>
      </c>
      <c r="D2662">
        <v>6</v>
      </c>
      <c r="E2662">
        <v>6</v>
      </c>
      <c r="F2662" t="s">
        <v>10</v>
      </c>
      <c r="G2662" t="s">
        <v>114</v>
      </c>
      <c r="H2662" t="s">
        <v>3</v>
      </c>
      <c r="I2662">
        <v>140000000</v>
      </c>
      <c r="J2662" t="s">
        <v>29</v>
      </c>
      <c r="K2662" t="s">
        <v>2</v>
      </c>
      <c r="L2662" t="s">
        <v>67</v>
      </c>
      <c r="M2662" t="s">
        <v>82</v>
      </c>
      <c r="N2662" t="s">
        <v>12</v>
      </c>
    </row>
    <row r="2663" spans="1:14" x14ac:dyDescent="0.35">
      <c r="A2663" s="75">
        <v>44140</v>
      </c>
      <c r="B2663" t="s">
        <v>144</v>
      </c>
      <c r="C2663" t="s">
        <v>102</v>
      </c>
      <c r="D2663">
        <v>5</v>
      </c>
      <c r="E2663">
        <v>5</v>
      </c>
      <c r="F2663" t="s">
        <v>10</v>
      </c>
      <c r="G2663" t="s">
        <v>74</v>
      </c>
      <c r="H2663" t="s">
        <v>77</v>
      </c>
      <c r="I2663">
        <v>60000000</v>
      </c>
      <c r="J2663" t="s">
        <v>23</v>
      </c>
      <c r="K2663" t="s">
        <v>5</v>
      </c>
      <c r="L2663" t="s">
        <v>67</v>
      </c>
      <c r="M2663" t="s">
        <v>80</v>
      </c>
      <c r="N2663" t="s">
        <v>11</v>
      </c>
    </row>
    <row r="2664" spans="1:14" x14ac:dyDescent="0.35">
      <c r="A2664" s="75">
        <v>44140</v>
      </c>
      <c r="B2664" t="s">
        <v>144</v>
      </c>
      <c r="C2664" t="s">
        <v>102</v>
      </c>
      <c r="D2664">
        <v>5</v>
      </c>
      <c r="E2664">
        <v>5</v>
      </c>
      <c r="F2664" t="s">
        <v>10</v>
      </c>
      <c r="G2664" t="s">
        <v>76</v>
      </c>
      <c r="H2664" t="s">
        <v>79</v>
      </c>
      <c r="I2664">
        <v>40000000</v>
      </c>
      <c r="J2664" t="s">
        <v>24</v>
      </c>
      <c r="K2664" t="s">
        <v>2</v>
      </c>
      <c r="L2664" t="s">
        <v>67</v>
      </c>
      <c r="M2664" t="s">
        <v>81</v>
      </c>
      <c r="N2664" t="s">
        <v>12</v>
      </c>
    </row>
    <row r="2665" spans="1:14" x14ac:dyDescent="0.35">
      <c r="A2665" s="75">
        <v>44140</v>
      </c>
      <c r="B2665" t="s">
        <v>144</v>
      </c>
      <c r="C2665" t="s">
        <v>102</v>
      </c>
      <c r="D2665">
        <v>3</v>
      </c>
      <c r="E2665">
        <v>3</v>
      </c>
      <c r="F2665" t="s">
        <v>10</v>
      </c>
      <c r="G2665" t="s">
        <v>71</v>
      </c>
      <c r="H2665" t="s">
        <v>6</v>
      </c>
      <c r="I2665">
        <v>80000000</v>
      </c>
      <c r="J2665" t="s">
        <v>35</v>
      </c>
      <c r="K2665" t="s">
        <v>2</v>
      </c>
      <c r="L2665" t="s">
        <v>67</v>
      </c>
      <c r="M2665" t="s">
        <v>81</v>
      </c>
      <c r="N2665" t="s">
        <v>11</v>
      </c>
    </row>
    <row r="2666" spans="1:14" x14ac:dyDescent="0.35">
      <c r="A2666" s="75">
        <v>44141</v>
      </c>
      <c r="B2666" t="s">
        <v>145</v>
      </c>
      <c r="C2666" t="s">
        <v>102</v>
      </c>
      <c r="D2666">
        <v>10</v>
      </c>
      <c r="E2666">
        <v>10</v>
      </c>
      <c r="F2666" t="s">
        <v>10</v>
      </c>
      <c r="G2666" t="s">
        <v>70</v>
      </c>
      <c r="H2666" t="s">
        <v>1</v>
      </c>
      <c r="I2666">
        <v>80000000</v>
      </c>
      <c r="J2666" t="s">
        <v>52</v>
      </c>
      <c r="K2666" t="s">
        <v>5</v>
      </c>
      <c r="L2666" t="s">
        <v>86</v>
      </c>
      <c r="M2666" t="s">
        <v>83</v>
      </c>
      <c r="N2666" t="s">
        <v>11</v>
      </c>
    </row>
    <row r="2667" spans="1:14" x14ac:dyDescent="0.35">
      <c r="A2667" s="75">
        <v>44141</v>
      </c>
      <c r="B2667" t="s">
        <v>145</v>
      </c>
      <c r="C2667" t="s">
        <v>102</v>
      </c>
      <c r="D2667">
        <v>10</v>
      </c>
      <c r="E2667">
        <v>10</v>
      </c>
      <c r="F2667" t="s">
        <v>10</v>
      </c>
      <c r="G2667" t="s">
        <v>74</v>
      </c>
      <c r="H2667" t="s">
        <v>77</v>
      </c>
      <c r="I2667">
        <v>100000000</v>
      </c>
      <c r="J2667" t="s">
        <v>20</v>
      </c>
      <c r="K2667" t="s">
        <v>7</v>
      </c>
      <c r="L2667" t="s">
        <v>86</v>
      </c>
      <c r="M2667" t="s">
        <v>83</v>
      </c>
      <c r="N2667" t="s">
        <v>14</v>
      </c>
    </row>
    <row r="2668" spans="1:14" x14ac:dyDescent="0.35">
      <c r="A2668" s="75">
        <v>44141</v>
      </c>
      <c r="B2668" t="s">
        <v>145</v>
      </c>
      <c r="C2668" t="s">
        <v>102</v>
      </c>
      <c r="D2668">
        <v>10</v>
      </c>
      <c r="E2668">
        <v>10</v>
      </c>
      <c r="F2668" t="s">
        <v>10</v>
      </c>
      <c r="G2668" t="s">
        <v>72</v>
      </c>
      <c r="H2668" t="s">
        <v>78</v>
      </c>
      <c r="I2668">
        <v>80000000</v>
      </c>
      <c r="J2668" t="s">
        <v>16</v>
      </c>
      <c r="K2668" t="s">
        <v>8</v>
      </c>
      <c r="L2668" t="s">
        <v>86</v>
      </c>
      <c r="M2668" t="s">
        <v>83</v>
      </c>
      <c r="N2668" t="s">
        <v>11</v>
      </c>
    </row>
    <row r="2669" spans="1:14" x14ac:dyDescent="0.35">
      <c r="A2669" s="75">
        <v>44141</v>
      </c>
      <c r="B2669" t="s">
        <v>145</v>
      </c>
      <c r="C2669" t="s">
        <v>102</v>
      </c>
      <c r="D2669">
        <v>9</v>
      </c>
      <c r="E2669">
        <v>9</v>
      </c>
      <c r="F2669" t="s">
        <v>10</v>
      </c>
      <c r="G2669" t="s">
        <v>73</v>
      </c>
      <c r="H2669" t="s">
        <v>78</v>
      </c>
      <c r="I2669">
        <v>100000000</v>
      </c>
      <c r="J2669" t="s">
        <v>59</v>
      </c>
      <c r="K2669" t="s">
        <v>2</v>
      </c>
      <c r="L2669" t="s">
        <v>86</v>
      </c>
      <c r="M2669" t="s">
        <v>83</v>
      </c>
      <c r="N2669" t="s">
        <v>11</v>
      </c>
    </row>
    <row r="2670" spans="1:14" x14ac:dyDescent="0.35">
      <c r="A2670" s="75">
        <v>44141</v>
      </c>
      <c r="B2670" t="s">
        <v>145</v>
      </c>
      <c r="C2670" t="s">
        <v>102</v>
      </c>
      <c r="D2670">
        <v>8</v>
      </c>
      <c r="E2670">
        <v>8</v>
      </c>
      <c r="F2670" t="s">
        <v>10</v>
      </c>
      <c r="G2670" t="s">
        <v>70</v>
      </c>
      <c r="H2670" t="s">
        <v>1</v>
      </c>
      <c r="I2670">
        <v>60000000</v>
      </c>
      <c r="J2670" t="s">
        <v>40</v>
      </c>
      <c r="K2670" t="s">
        <v>5</v>
      </c>
      <c r="L2670" t="s">
        <v>86</v>
      </c>
      <c r="M2670" t="s">
        <v>83</v>
      </c>
      <c r="N2670" t="s">
        <v>14</v>
      </c>
    </row>
    <row r="2671" spans="1:14" x14ac:dyDescent="0.35">
      <c r="A2671" s="75">
        <v>44141</v>
      </c>
      <c r="B2671" t="s">
        <v>145</v>
      </c>
      <c r="C2671" t="s">
        <v>102</v>
      </c>
      <c r="D2671">
        <v>5</v>
      </c>
      <c r="E2671">
        <v>5</v>
      </c>
      <c r="F2671" t="s">
        <v>10</v>
      </c>
      <c r="G2671" t="s">
        <v>73</v>
      </c>
      <c r="H2671" t="s">
        <v>78</v>
      </c>
      <c r="I2671">
        <v>140000000</v>
      </c>
      <c r="J2671" t="s">
        <v>37</v>
      </c>
      <c r="K2671" t="s">
        <v>2</v>
      </c>
      <c r="L2671" t="s">
        <v>67</v>
      </c>
      <c r="M2671" t="s">
        <v>81</v>
      </c>
      <c r="N2671" t="s">
        <v>13</v>
      </c>
    </row>
    <row r="2672" spans="1:14" x14ac:dyDescent="0.35">
      <c r="A2672" s="75">
        <v>44141</v>
      </c>
      <c r="B2672" t="s">
        <v>145</v>
      </c>
      <c r="C2672" t="s">
        <v>102</v>
      </c>
      <c r="D2672">
        <v>5</v>
      </c>
      <c r="E2672">
        <v>5</v>
      </c>
      <c r="F2672" t="s">
        <v>10</v>
      </c>
      <c r="G2672" t="s">
        <v>72</v>
      </c>
      <c r="H2672" t="s">
        <v>78</v>
      </c>
      <c r="I2672">
        <v>120000000</v>
      </c>
      <c r="J2672" t="s">
        <v>61</v>
      </c>
      <c r="K2672" t="s">
        <v>7</v>
      </c>
      <c r="L2672" t="s">
        <v>86</v>
      </c>
      <c r="M2672" t="s">
        <v>83</v>
      </c>
      <c r="N2672" t="s">
        <v>13</v>
      </c>
    </row>
    <row r="2673" spans="1:14" x14ac:dyDescent="0.35">
      <c r="A2673" s="75">
        <v>44142</v>
      </c>
      <c r="B2673" t="s">
        <v>146</v>
      </c>
      <c r="C2673" t="s">
        <v>102</v>
      </c>
      <c r="D2673">
        <v>7</v>
      </c>
      <c r="E2673">
        <v>7</v>
      </c>
      <c r="F2673" t="s">
        <v>10</v>
      </c>
      <c r="G2673" t="s">
        <v>71</v>
      </c>
      <c r="H2673" t="s">
        <v>6</v>
      </c>
      <c r="I2673">
        <v>120000000</v>
      </c>
      <c r="J2673" t="s">
        <v>25</v>
      </c>
      <c r="K2673" t="s">
        <v>5</v>
      </c>
      <c r="L2673" t="s">
        <v>86</v>
      </c>
      <c r="M2673" t="s">
        <v>83</v>
      </c>
      <c r="N2673" t="s">
        <v>13</v>
      </c>
    </row>
    <row r="2674" spans="1:14" x14ac:dyDescent="0.35">
      <c r="A2674" s="75">
        <v>44142</v>
      </c>
      <c r="B2674" t="s">
        <v>146</v>
      </c>
      <c r="C2674" t="s">
        <v>102</v>
      </c>
      <c r="D2674">
        <v>6</v>
      </c>
      <c r="E2674">
        <v>6</v>
      </c>
      <c r="F2674" t="s">
        <v>10</v>
      </c>
      <c r="G2674" t="s">
        <v>73</v>
      </c>
      <c r="H2674" t="s">
        <v>78</v>
      </c>
      <c r="I2674">
        <v>100000000</v>
      </c>
      <c r="J2674" t="s">
        <v>38</v>
      </c>
      <c r="K2674" t="s">
        <v>5</v>
      </c>
      <c r="L2674" t="s">
        <v>86</v>
      </c>
      <c r="M2674" t="s">
        <v>83</v>
      </c>
      <c r="N2674" t="s">
        <v>11</v>
      </c>
    </row>
    <row r="2675" spans="1:14" x14ac:dyDescent="0.35">
      <c r="A2675" s="75">
        <v>44142</v>
      </c>
      <c r="B2675" t="s">
        <v>146</v>
      </c>
      <c r="C2675" t="s">
        <v>102</v>
      </c>
      <c r="D2675">
        <v>6</v>
      </c>
      <c r="E2675">
        <v>6</v>
      </c>
      <c r="F2675" t="s">
        <v>10</v>
      </c>
      <c r="G2675" t="s">
        <v>72</v>
      </c>
      <c r="H2675" t="s">
        <v>78</v>
      </c>
      <c r="I2675">
        <v>40000000</v>
      </c>
      <c r="J2675" t="s">
        <v>20</v>
      </c>
      <c r="K2675" t="s">
        <v>7</v>
      </c>
      <c r="L2675" t="s">
        <v>86</v>
      </c>
      <c r="M2675" t="s">
        <v>83</v>
      </c>
      <c r="N2675" t="s">
        <v>14</v>
      </c>
    </row>
    <row r="2676" spans="1:14" x14ac:dyDescent="0.35">
      <c r="A2676" s="75">
        <v>44142</v>
      </c>
      <c r="B2676" t="s">
        <v>146</v>
      </c>
      <c r="C2676" t="s">
        <v>102</v>
      </c>
      <c r="D2676">
        <v>6</v>
      </c>
      <c r="E2676">
        <v>6</v>
      </c>
      <c r="F2676" t="s">
        <v>10</v>
      </c>
      <c r="G2676" t="s">
        <v>75</v>
      </c>
      <c r="H2676" t="s">
        <v>6</v>
      </c>
      <c r="I2676">
        <v>140000000</v>
      </c>
      <c r="J2676" t="s">
        <v>46</v>
      </c>
      <c r="K2676" t="s">
        <v>7</v>
      </c>
      <c r="L2676" t="s">
        <v>86</v>
      </c>
      <c r="M2676" t="s">
        <v>83</v>
      </c>
      <c r="N2676" t="s">
        <v>14</v>
      </c>
    </row>
    <row r="2677" spans="1:14" x14ac:dyDescent="0.35">
      <c r="A2677" s="75">
        <v>44142</v>
      </c>
      <c r="B2677" t="s">
        <v>146</v>
      </c>
      <c r="C2677" t="s">
        <v>102</v>
      </c>
      <c r="D2677">
        <v>4</v>
      </c>
      <c r="E2677">
        <v>4</v>
      </c>
      <c r="F2677" t="s">
        <v>10</v>
      </c>
      <c r="G2677" t="s">
        <v>76</v>
      </c>
      <c r="H2677" t="s">
        <v>79</v>
      </c>
      <c r="I2677">
        <v>60000000</v>
      </c>
      <c r="J2677" t="s">
        <v>27</v>
      </c>
      <c r="K2677" t="s">
        <v>7</v>
      </c>
      <c r="L2677" t="s">
        <v>86</v>
      </c>
      <c r="M2677" t="s">
        <v>83</v>
      </c>
      <c r="N2677" t="s">
        <v>12</v>
      </c>
    </row>
    <row r="2678" spans="1:14" x14ac:dyDescent="0.35">
      <c r="A2678" s="75">
        <v>44143</v>
      </c>
      <c r="B2678" t="s">
        <v>147</v>
      </c>
      <c r="C2678" t="s">
        <v>102</v>
      </c>
      <c r="D2678">
        <v>10</v>
      </c>
      <c r="E2678">
        <v>10</v>
      </c>
      <c r="F2678" t="s">
        <v>10</v>
      </c>
      <c r="G2678" t="s">
        <v>74</v>
      </c>
      <c r="H2678" t="s">
        <v>77</v>
      </c>
      <c r="I2678">
        <v>40000000</v>
      </c>
      <c r="J2678" t="s">
        <v>15</v>
      </c>
      <c r="K2678" t="s">
        <v>9</v>
      </c>
      <c r="L2678" t="s">
        <v>86</v>
      </c>
      <c r="M2678" t="s">
        <v>83</v>
      </c>
      <c r="N2678" t="s">
        <v>12</v>
      </c>
    </row>
    <row r="2679" spans="1:14" x14ac:dyDescent="0.35">
      <c r="A2679" s="75">
        <v>44143</v>
      </c>
      <c r="B2679" t="s">
        <v>147</v>
      </c>
      <c r="C2679" t="s">
        <v>102</v>
      </c>
      <c r="D2679">
        <v>9</v>
      </c>
      <c r="E2679">
        <v>9</v>
      </c>
      <c r="F2679" t="s">
        <v>10</v>
      </c>
      <c r="G2679" t="s">
        <v>70</v>
      </c>
      <c r="H2679" t="s">
        <v>1</v>
      </c>
      <c r="I2679">
        <v>80000000</v>
      </c>
      <c r="J2679" t="s">
        <v>23</v>
      </c>
      <c r="K2679" t="s">
        <v>2</v>
      </c>
      <c r="L2679" t="s">
        <v>86</v>
      </c>
      <c r="M2679" t="s">
        <v>83</v>
      </c>
      <c r="N2679" t="s">
        <v>11</v>
      </c>
    </row>
    <row r="2680" spans="1:14" x14ac:dyDescent="0.35">
      <c r="A2680" s="75">
        <v>44143</v>
      </c>
      <c r="B2680" t="s">
        <v>147</v>
      </c>
      <c r="C2680" t="s">
        <v>102</v>
      </c>
      <c r="D2680">
        <v>8</v>
      </c>
      <c r="E2680">
        <v>8</v>
      </c>
      <c r="F2680" t="s">
        <v>10</v>
      </c>
      <c r="G2680" t="s">
        <v>75</v>
      </c>
      <c r="H2680" t="s">
        <v>6</v>
      </c>
      <c r="I2680">
        <v>80000000</v>
      </c>
      <c r="J2680" t="s">
        <v>16</v>
      </c>
      <c r="K2680" t="s">
        <v>9</v>
      </c>
      <c r="L2680" t="s">
        <v>86</v>
      </c>
      <c r="M2680" t="s">
        <v>83</v>
      </c>
      <c r="N2680" t="s">
        <v>12</v>
      </c>
    </row>
    <row r="2681" spans="1:14" x14ac:dyDescent="0.35">
      <c r="A2681" s="75">
        <v>44143</v>
      </c>
      <c r="B2681" t="s">
        <v>147</v>
      </c>
      <c r="C2681" t="s">
        <v>102</v>
      </c>
      <c r="D2681">
        <v>7</v>
      </c>
      <c r="E2681">
        <v>7</v>
      </c>
      <c r="F2681" t="s">
        <v>10</v>
      </c>
      <c r="G2681" t="s">
        <v>72</v>
      </c>
      <c r="H2681" t="s">
        <v>78</v>
      </c>
      <c r="I2681">
        <v>120000000</v>
      </c>
      <c r="J2681" t="s">
        <v>26</v>
      </c>
      <c r="K2681" t="s">
        <v>9</v>
      </c>
      <c r="L2681" t="s">
        <v>86</v>
      </c>
      <c r="M2681" t="s">
        <v>83</v>
      </c>
      <c r="N2681" t="s">
        <v>11</v>
      </c>
    </row>
    <row r="2682" spans="1:14" x14ac:dyDescent="0.35">
      <c r="A2682" s="75">
        <v>44143</v>
      </c>
      <c r="B2682" t="s">
        <v>147</v>
      </c>
      <c r="C2682" t="s">
        <v>102</v>
      </c>
      <c r="D2682">
        <v>7</v>
      </c>
      <c r="E2682">
        <v>7</v>
      </c>
      <c r="F2682" t="s">
        <v>10</v>
      </c>
      <c r="G2682" t="s">
        <v>113</v>
      </c>
      <c r="H2682" t="s">
        <v>77</v>
      </c>
      <c r="I2682">
        <v>60000000</v>
      </c>
      <c r="J2682" t="s">
        <v>30</v>
      </c>
      <c r="K2682" t="s">
        <v>7</v>
      </c>
      <c r="L2682" t="s">
        <v>86</v>
      </c>
      <c r="M2682" t="s">
        <v>83</v>
      </c>
      <c r="N2682" t="s">
        <v>12</v>
      </c>
    </row>
    <row r="2683" spans="1:14" x14ac:dyDescent="0.35">
      <c r="A2683" s="75">
        <v>44143</v>
      </c>
      <c r="B2683" t="s">
        <v>147</v>
      </c>
      <c r="C2683" t="s">
        <v>102</v>
      </c>
      <c r="D2683">
        <v>6</v>
      </c>
      <c r="E2683">
        <v>6</v>
      </c>
      <c r="F2683" t="s">
        <v>10</v>
      </c>
      <c r="G2683" t="s">
        <v>73</v>
      </c>
      <c r="H2683" t="s">
        <v>78</v>
      </c>
      <c r="I2683">
        <v>140000000</v>
      </c>
      <c r="J2683" t="s">
        <v>31</v>
      </c>
      <c r="K2683" t="s">
        <v>5</v>
      </c>
      <c r="L2683" t="s">
        <v>86</v>
      </c>
      <c r="M2683" t="s">
        <v>83</v>
      </c>
      <c r="N2683" t="s">
        <v>13</v>
      </c>
    </row>
    <row r="2684" spans="1:14" x14ac:dyDescent="0.35">
      <c r="A2684" s="75">
        <v>44143</v>
      </c>
      <c r="B2684" t="s">
        <v>147</v>
      </c>
      <c r="C2684" t="s">
        <v>102</v>
      </c>
      <c r="D2684">
        <v>5</v>
      </c>
      <c r="E2684">
        <v>5</v>
      </c>
      <c r="F2684" t="s">
        <v>10</v>
      </c>
      <c r="G2684" t="s">
        <v>113</v>
      </c>
      <c r="H2684" t="s">
        <v>77</v>
      </c>
      <c r="I2684">
        <v>80000000</v>
      </c>
      <c r="J2684" t="s">
        <v>57</v>
      </c>
      <c r="K2684" t="s">
        <v>2</v>
      </c>
      <c r="L2684" t="s">
        <v>86</v>
      </c>
      <c r="M2684" t="s">
        <v>83</v>
      </c>
      <c r="N2684" t="s">
        <v>11</v>
      </c>
    </row>
    <row r="2685" spans="1:14" x14ac:dyDescent="0.35">
      <c r="A2685" s="75">
        <v>44143</v>
      </c>
      <c r="B2685" t="s">
        <v>147</v>
      </c>
      <c r="C2685" t="s">
        <v>102</v>
      </c>
      <c r="D2685">
        <v>4</v>
      </c>
      <c r="E2685">
        <v>4</v>
      </c>
      <c r="F2685" t="s">
        <v>10</v>
      </c>
      <c r="G2685" t="s">
        <v>76</v>
      </c>
      <c r="H2685" t="s">
        <v>79</v>
      </c>
      <c r="I2685">
        <v>140000000</v>
      </c>
      <c r="J2685" t="s">
        <v>33</v>
      </c>
      <c r="K2685" t="s">
        <v>5</v>
      </c>
      <c r="L2685" t="s">
        <v>86</v>
      </c>
      <c r="M2685" t="s">
        <v>83</v>
      </c>
      <c r="N2685" t="s">
        <v>13</v>
      </c>
    </row>
    <row r="2686" spans="1:14" x14ac:dyDescent="0.35">
      <c r="A2686" s="75">
        <v>44144</v>
      </c>
      <c r="B2686" t="s">
        <v>148</v>
      </c>
      <c r="C2686" t="s">
        <v>102</v>
      </c>
      <c r="D2686">
        <v>10</v>
      </c>
      <c r="E2686">
        <v>10</v>
      </c>
      <c r="F2686" t="s">
        <v>10</v>
      </c>
      <c r="G2686" t="s">
        <v>113</v>
      </c>
      <c r="H2686" t="s">
        <v>77</v>
      </c>
      <c r="I2686">
        <v>120000000</v>
      </c>
      <c r="J2686" t="s">
        <v>35</v>
      </c>
      <c r="K2686" t="s">
        <v>4</v>
      </c>
      <c r="L2686" t="s">
        <v>86</v>
      </c>
      <c r="M2686" t="s">
        <v>83</v>
      </c>
      <c r="N2686" t="s">
        <v>11</v>
      </c>
    </row>
    <row r="2687" spans="1:14" x14ac:dyDescent="0.35">
      <c r="A2687" s="75">
        <v>44144</v>
      </c>
      <c r="B2687" t="s">
        <v>148</v>
      </c>
      <c r="C2687" t="s">
        <v>102</v>
      </c>
      <c r="D2687">
        <v>10</v>
      </c>
      <c r="E2687">
        <v>10</v>
      </c>
      <c r="F2687" t="s">
        <v>10</v>
      </c>
      <c r="G2687" t="s">
        <v>113</v>
      </c>
      <c r="H2687" t="s">
        <v>77</v>
      </c>
      <c r="I2687">
        <v>40000000</v>
      </c>
      <c r="J2687" t="s">
        <v>23</v>
      </c>
      <c r="K2687" t="s">
        <v>5</v>
      </c>
      <c r="L2687" t="s">
        <v>86</v>
      </c>
      <c r="M2687" t="s">
        <v>83</v>
      </c>
      <c r="N2687" t="s">
        <v>12</v>
      </c>
    </row>
    <row r="2688" spans="1:14" x14ac:dyDescent="0.35">
      <c r="A2688" s="75">
        <v>44144</v>
      </c>
      <c r="B2688" t="s">
        <v>148</v>
      </c>
      <c r="C2688" t="s">
        <v>102</v>
      </c>
      <c r="D2688">
        <v>10</v>
      </c>
      <c r="E2688">
        <v>10</v>
      </c>
      <c r="F2688" t="s">
        <v>10</v>
      </c>
      <c r="G2688" t="s">
        <v>71</v>
      </c>
      <c r="H2688" t="s">
        <v>6</v>
      </c>
      <c r="I2688">
        <v>140000000</v>
      </c>
      <c r="J2688" t="s">
        <v>63</v>
      </c>
      <c r="K2688" t="s">
        <v>4</v>
      </c>
      <c r="L2688" t="s">
        <v>67</v>
      </c>
      <c r="M2688" t="s">
        <v>80</v>
      </c>
      <c r="N2688" t="s">
        <v>11</v>
      </c>
    </row>
    <row r="2689" spans="1:14" x14ac:dyDescent="0.35">
      <c r="A2689" s="75">
        <v>44144</v>
      </c>
      <c r="B2689" t="s">
        <v>148</v>
      </c>
      <c r="C2689" t="s">
        <v>102</v>
      </c>
      <c r="D2689">
        <v>9</v>
      </c>
      <c r="E2689">
        <v>9</v>
      </c>
      <c r="F2689" t="s">
        <v>10</v>
      </c>
      <c r="G2689" t="s">
        <v>71</v>
      </c>
      <c r="H2689" t="s">
        <v>6</v>
      </c>
      <c r="I2689">
        <v>100000000</v>
      </c>
      <c r="J2689" t="s">
        <v>38</v>
      </c>
      <c r="K2689" t="s">
        <v>2</v>
      </c>
      <c r="L2689" t="s">
        <v>86</v>
      </c>
      <c r="M2689" t="s">
        <v>83</v>
      </c>
      <c r="N2689" t="s">
        <v>14</v>
      </c>
    </row>
    <row r="2690" spans="1:14" x14ac:dyDescent="0.35">
      <c r="A2690" s="75">
        <v>44144</v>
      </c>
      <c r="B2690" t="s">
        <v>148</v>
      </c>
      <c r="C2690" t="s">
        <v>102</v>
      </c>
      <c r="D2690">
        <v>9</v>
      </c>
      <c r="E2690">
        <v>9</v>
      </c>
      <c r="F2690" t="s">
        <v>10</v>
      </c>
      <c r="G2690" t="s">
        <v>75</v>
      </c>
      <c r="H2690" t="s">
        <v>6</v>
      </c>
      <c r="I2690">
        <v>140000000</v>
      </c>
      <c r="J2690" t="s">
        <v>59</v>
      </c>
      <c r="K2690" t="s">
        <v>7</v>
      </c>
      <c r="L2690" t="s">
        <v>67</v>
      </c>
      <c r="M2690" t="s">
        <v>80</v>
      </c>
      <c r="N2690" t="s">
        <v>11</v>
      </c>
    </row>
    <row r="2691" spans="1:14" x14ac:dyDescent="0.35">
      <c r="A2691" s="75">
        <v>44144</v>
      </c>
      <c r="B2691" t="s">
        <v>148</v>
      </c>
      <c r="C2691" t="s">
        <v>102</v>
      </c>
      <c r="D2691">
        <v>6</v>
      </c>
      <c r="E2691">
        <v>6</v>
      </c>
      <c r="F2691" t="s">
        <v>10</v>
      </c>
      <c r="G2691" t="s">
        <v>76</v>
      </c>
      <c r="H2691" t="s">
        <v>79</v>
      </c>
      <c r="I2691">
        <v>60000000</v>
      </c>
      <c r="J2691" t="s">
        <v>29</v>
      </c>
      <c r="K2691" t="s">
        <v>5</v>
      </c>
      <c r="L2691" t="s">
        <v>67</v>
      </c>
      <c r="M2691" t="s">
        <v>81</v>
      </c>
      <c r="N2691" t="s">
        <v>13</v>
      </c>
    </row>
    <row r="2692" spans="1:14" x14ac:dyDescent="0.35">
      <c r="A2692" s="75">
        <v>44144</v>
      </c>
      <c r="B2692" t="s">
        <v>148</v>
      </c>
      <c r="C2692" t="s">
        <v>102</v>
      </c>
      <c r="D2692">
        <v>6</v>
      </c>
      <c r="E2692">
        <v>6</v>
      </c>
      <c r="F2692" t="s">
        <v>10</v>
      </c>
      <c r="G2692" t="s">
        <v>113</v>
      </c>
      <c r="H2692" t="s">
        <v>77</v>
      </c>
      <c r="I2692">
        <v>60000000</v>
      </c>
      <c r="J2692" t="s">
        <v>34</v>
      </c>
      <c r="K2692" t="s">
        <v>5</v>
      </c>
      <c r="L2692" t="s">
        <v>67</v>
      </c>
      <c r="M2692" t="s">
        <v>82</v>
      </c>
      <c r="N2692" t="s">
        <v>12</v>
      </c>
    </row>
    <row r="2693" spans="1:14" x14ac:dyDescent="0.35">
      <c r="A2693" s="75">
        <v>44144</v>
      </c>
      <c r="B2693" t="s">
        <v>148</v>
      </c>
      <c r="C2693" t="s">
        <v>102</v>
      </c>
      <c r="D2693">
        <v>5</v>
      </c>
      <c r="E2693">
        <v>5</v>
      </c>
      <c r="F2693" t="s">
        <v>10</v>
      </c>
      <c r="G2693" t="s">
        <v>71</v>
      </c>
      <c r="H2693" t="s">
        <v>6</v>
      </c>
      <c r="I2693">
        <v>40000000</v>
      </c>
      <c r="J2693" t="s">
        <v>25</v>
      </c>
      <c r="K2693" t="s">
        <v>8</v>
      </c>
      <c r="L2693" t="s">
        <v>86</v>
      </c>
      <c r="M2693" t="s">
        <v>83</v>
      </c>
      <c r="N2693" t="s">
        <v>12</v>
      </c>
    </row>
    <row r="2694" spans="1:14" x14ac:dyDescent="0.35">
      <c r="A2694" s="75">
        <v>44144</v>
      </c>
      <c r="B2694" t="s">
        <v>148</v>
      </c>
      <c r="C2694" t="s">
        <v>102</v>
      </c>
      <c r="D2694">
        <v>4</v>
      </c>
      <c r="E2694">
        <v>4</v>
      </c>
      <c r="F2694" t="s">
        <v>10</v>
      </c>
      <c r="G2694" t="s">
        <v>74</v>
      </c>
      <c r="H2694" t="s">
        <v>77</v>
      </c>
      <c r="I2694">
        <v>120000000</v>
      </c>
      <c r="J2694" t="s">
        <v>58</v>
      </c>
      <c r="K2694" t="s">
        <v>2</v>
      </c>
      <c r="L2694" t="s">
        <v>86</v>
      </c>
      <c r="M2694" t="s">
        <v>83</v>
      </c>
      <c r="N2694" t="s">
        <v>13</v>
      </c>
    </row>
    <row r="2695" spans="1:14" x14ac:dyDescent="0.35">
      <c r="A2695" s="75">
        <v>44145</v>
      </c>
      <c r="B2695" t="s">
        <v>149</v>
      </c>
      <c r="C2695" t="s">
        <v>102</v>
      </c>
      <c r="D2695">
        <v>10</v>
      </c>
      <c r="E2695">
        <v>10</v>
      </c>
      <c r="F2695" t="s">
        <v>10</v>
      </c>
      <c r="G2695" t="s">
        <v>76</v>
      </c>
      <c r="H2695" t="s">
        <v>79</v>
      </c>
      <c r="I2695">
        <v>80000000</v>
      </c>
      <c r="J2695" t="s">
        <v>21</v>
      </c>
      <c r="K2695" t="s">
        <v>2</v>
      </c>
      <c r="L2695" t="s">
        <v>67</v>
      </c>
      <c r="M2695" t="s">
        <v>82</v>
      </c>
      <c r="N2695" t="s">
        <v>14</v>
      </c>
    </row>
    <row r="2696" spans="1:14" x14ac:dyDescent="0.35">
      <c r="A2696" s="75">
        <v>44145</v>
      </c>
      <c r="B2696" t="s">
        <v>149</v>
      </c>
      <c r="C2696" t="s">
        <v>102</v>
      </c>
      <c r="D2696">
        <v>8</v>
      </c>
      <c r="E2696">
        <v>8</v>
      </c>
      <c r="F2696" t="s">
        <v>10</v>
      </c>
      <c r="G2696" t="s">
        <v>71</v>
      </c>
      <c r="H2696" t="s">
        <v>6</v>
      </c>
      <c r="I2696">
        <v>100000000</v>
      </c>
      <c r="J2696" t="s">
        <v>15</v>
      </c>
      <c r="K2696" t="s">
        <v>2</v>
      </c>
      <c r="L2696" t="s">
        <v>67</v>
      </c>
      <c r="M2696" t="s">
        <v>81</v>
      </c>
      <c r="N2696" t="s">
        <v>14</v>
      </c>
    </row>
    <row r="2697" spans="1:14" x14ac:dyDescent="0.35">
      <c r="A2697" s="75">
        <v>44145</v>
      </c>
      <c r="B2697" t="s">
        <v>149</v>
      </c>
      <c r="C2697" t="s">
        <v>102</v>
      </c>
      <c r="D2697">
        <v>8</v>
      </c>
      <c r="E2697">
        <v>8</v>
      </c>
      <c r="F2697" t="s">
        <v>10</v>
      </c>
      <c r="G2697" t="s">
        <v>113</v>
      </c>
      <c r="H2697" t="s">
        <v>77</v>
      </c>
      <c r="I2697">
        <v>100000000</v>
      </c>
      <c r="J2697" t="s">
        <v>28</v>
      </c>
      <c r="K2697" t="s">
        <v>5</v>
      </c>
      <c r="L2697" t="s">
        <v>67</v>
      </c>
      <c r="M2697" t="s">
        <v>81</v>
      </c>
      <c r="N2697" t="s">
        <v>11</v>
      </c>
    </row>
    <row r="2698" spans="1:14" x14ac:dyDescent="0.35">
      <c r="A2698" s="75">
        <v>44145</v>
      </c>
      <c r="B2698" t="s">
        <v>149</v>
      </c>
      <c r="C2698" t="s">
        <v>102</v>
      </c>
      <c r="D2698">
        <v>8</v>
      </c>
      <c r="E2698">
        <v>8</v>
      </c>
      <c r="F2698" t="s">
        <v>10</v>
      </c>
      <c r="G2698" t="s">
        <v>114</v>
      </c>
      <c r="H2698" t="s">
        <v>3</v>
      </c>
      <c r="I2698">
        <v>80000000</v>
      </c>
      <c r="J2698" t="s">
        <v>39</v>
      </c>
      <c r="K2698" t="s">
        <v>2</v>
      </c>
      <c r="L2698" t="s">
        <v>67</v>
      </c>
      <c r="M2698" t="s">
        <v>81</v>
      </c>
      <c r="N2698" t="s">
        <v>12</v>
      </c>
    </row>
    <row r="2699" spans="1:14" x14ac:dyDescent="0.35">
      <c r="A2699" s="75">
        <v>44145</v>
      </c>
      <c r="B2699" t="s">
        <v>149</v>
      </c>
      <c r="C2699" t="s">
        <v>102</v>
      </c>
      <c r="D2699">
        <v>7</v>
      </c>
      <c r="E2699">
        <v>7</v>
      </c>
      <c r="F2699" t="s">
        <v>10</v>
      </c>
      <c r="G2699" t="s">
        <v>76</v>
      </c>
      <c r="H2699" t="s">
        <v>79</v>
      </c>
      <c r="I2699">
        <v>80000000</v>
      </c>
      <c r="J2699" t="s">
        <v>49</v>
      </c>
      <c r="K2699" t="s">
        <v>2</v>
      </c>
      <c r="L2699" t="s">
        <v>67</v>
      </c>
      <c r="M2699" t="s">
        <v>81</v>
      </c>
      <c r="N2699" t="s">
        <v>12</v>
      </c>
    </row>
    <row r="2700" spans="1:14" x14ac:dyDescent="0.35">
      <c r="A2700" s="75">
        <v>44145</v>
      </c>
      <c r="B2700" t="s">
        <v>149</v>
      </c>
      <c r="C2700" t="s">
        <v>102</v>
      </c>
      <c r="D2700">
        <v>6</v>
      </c>
      <c r="E2700">
        <v>6</v>
      </c>
      <c r="F2700" t="s">
        <v>10</v>
      </c>
      <c r="G2700" t="s">
        <v>114</v>
      </c>
      <c r="H2700" t="s">
        <v>3</v>
      </c>
      <c r="I2700">
        <v>60000000</v>
      </c>
      <c r="J2700" t="s">
        <v>42</v>
      </c>
      <c r="K2700" t="s">
        <v>5</v>
      </c>
      <c r="L2700" t="s">
        <v>67</v>
      </c>
      <c r="M2700" t="s">
        <v>81</v>
      </c>
      <c r="N2700" t="s">
        <v>13</v>
      </c>
    </row>
    <row r="2701" spans="1:14" x14ac:dyDescent="0.35">
      <c r="A2701" s="75">
        <v>44145</v>
      </c>
      <c r="B2701" t="s">
        <v>149</v>
      </c>
      <c r="C2701" t="s">
        <v>102</v>
      </c>
      <c r="D2701">
        <v>6</v>
      </c>
      <c r="E2701">
        <v>6</v>
      </c>
      <c r="F2701" t="s">
        <v>10</v>
      </c>
      <c r="G2701" t="s">
        <v>71</v>
      </c>
      <c r="H2701" t="s">
        <v>6</v>
      </c>
      <c r="I2701">
        <v>60000000</v>
      </c>
      <c r="J2701" t="s">
        <v>54</v>
      </c>
      <c r="K2701" t="s">
        <v>9</v>
      </c>
      <c r="L2701" t="s">
        <v>67</v>
      </c>
      <c r="M2701" t="s">
        <v>81</v>
      </c>
      <c r="N2701" t="s">
        <v>11</v>
      </c>
    </row>
    <row r="2702" spans="1:14" x14ac:dyDescent="0.35">
      <c r="A2702" s="75">
        <v>44145</v>
      </c>
      <c r="B2702" t="s">
        <v>149</v>
      </c>
      <c r="C2702" t="s">
        <v>102</v>
      </c>
      <c r="D2702">
        <v>3</v>
      </c>
      <c r="E2702">
        <v>3</v>
      </c>
      <c r="F2702" t="s">
        <v>10</v>
      </c>
      <c r="G2702" t="s">
        <v>75</v>
      </c>
      <c r="H2702" t="s">
        <v>6</v>
      </c>
      <c r="I2702">
        <v>60000000</v>
      </c>
      <c r="J2702" t="s">
        <v>45</v>
      </c>
      <c r="K2702" t="s">
        <v>8</v>
      </c>
      <c r="L2702" t="s">
        <v>67</v>
      </c>
      <c r="M2702" t="s">
        <v>80</v>
      </c>
      <c r="N2702" t="s">
        <v>11</v>
      </c>
    </row>
    <row r="2703" spans="1:14" x14ac:dyDescent="0.35">
      <c r="A2703" s="75">
        <v>44146</v>
      </c>
      <c r="B2703" t="s">
        <v>150</v>
      </c>
      <c r="C2703" t="s">
        <v>102</v>
      </c>
      <c r="D2703">
        <v>10</v>
      </c>
      <c r="E2703">
        <v>10</v>
      </c>
      <c r="F2703" t="s">
        <v>10</v>
      </c>
      <c r="G2703" t="s">
        <v>72</v>
      </c>
      <c r="H2703" t="s">
        <v>78</v>
      </c>
      <c r="I2703">
        <v>60000000</v>
      </c>
      <c r="J2703" t="s">
        <v>62</v>
      </c>
      <c r="K2703" t="s">
        <v>5</v>
      </c>
      <c r="L2703" t="s">
        <v>67</v>
      </c>
      <c r="M2703" t="s">
        <v>80</v>
      </c>
      <c r="N2703" t="s">
        <v>13</v>
      </c>
    </row>
    <row r="2704" spans="1:14" x14ac:dyDescent="0.35">
      <c r="A2704" s="75">
        <v>44146</v>
      </c>
      <c r="B2704" t="s">
        <v>150</v>
      </c>
      <c r="C2704" t="s">
        <v>102</v>
      </c>
      <c r="D2704">
        <v>9</v>
      </c>
      <c r="E2704">
        <v>9</v>
      </c>
      <c r="F2704" t="s">
        <v>10</v>
      </c>
      <c r="G2704" t="s">
        <v>72</v>
      </c>
      <c r="H2704" t="s">
        <v>78</v>
      </c>
      <c r="I2704">
        <v>80000000</v>
      </c>
      <c r="J2704" t="s">
        <v>38</v>
      </c>
      <c r="K2704" t="s">
        <v>7</v>
      </c>
      <c r="L2704" t="s">
        <v>67</v>
      </c>
      <c r="M2704" t="s">
        <v>81</v>
      </c>
      <c r="N2704" t="s">
        <v>12</v>
      </c>
    </row>
    <row r="2705" spans="1:14" x14ac:dyDescent="0.35">
      <c r="A2705" s="75">
        <v>44146</v>
      </c>
      <c r="B2705" t="s">
        <v>150</v>
      </c>
      <c r="C2705" t="s">
        <v>102</v>
      </c>
      <c r="D2705">
        <v>8</v>
      </c>
      <c r="E2705">
        <v>8</v>
      </c>
      <c r="F2705" t="s">
        <v>10</v>
      </c>
      <c r="G2705" t="s">
        <v>71</v>
      </c>
      <c r="H2705" t="s">
        <v>6</v>
      </c>
      <c r="I2705">
        <v>140000000</v>
      </c>
      <c r="J2705" t="s">
        <v>15</v>
      </c>
      <c r="K2705" t="s">
        <v>5</v>
      </c>
      <c r="L2705" t="s">
        <v>67</v>
      </c>
      <c r="M2705" t="s">
        <v>81</v>
      </c>
      <c r="N2705" t="s">
        <v>12</v>
      </c>
    </row>
    <row r="2706" spans="1:14" x14ac:dyDescent="0.35">
      <c r="A2706" s="75">
        <v>44146</v>
      </c>
      <c r="B2706" t="s">
        <v>150</v>
      </c>
      <c r="C2706" t="s">
        <v>102</v>
      </c>
      <c r="D2706">
        <v>8</v>
      </c>
      <c r="E2706">
        <v>8</v>
      </c>
      <c r="F2706" t="s">
        <v>10</v>
      </c>
      <c r="G2706" t="s">
        <v>70</v>
      </c>
      <c r="H2706" t="s">
        <v>1</v>
      </c>
      <c r="I2706">
        <v>140000000</v>
      </c>
      <c r="J2706" t="s">
        <v>17</v>
      </c>
      <c r="K2706" t="s">
        <v>2</v>
      </c>
      <c r="L2706" t="s">
        <v>67</v>
      </c>
      <c r="M2706" t="s">
        <v>81</v>
      </c>
      <c r="N2706" t="s">
        <v>14</v>
      </c>
    </row>
    <row r="2707" spans="1:14" x14ac:dyDescent="0.35">
      <c r="A2707" s="75">
        <v>44146</v>
      </c>
      <c r="B2707" t="s">
        <v>150</v>
      </c>
      <c r="C2707" t="s">
        <v>102</v>
      </c>
      <c r="D2707">
        <v>8</v>
      </c>
      <c r="E2707">
        <v>8</v>
      </c>
      <c r="F2707" t="s">
        <v>10</v>
      </c>
      <c r="G2707" t="s">
        <v>113</v>
      </c>
      <c r="H2707" t="s">
        <v>77</v>
      </c>
      <c r="I2707">
        <v>100000000</v>
      </c>
      <c r="J2707" t="s">
        <v>50</v>
      </c>
      <c r="K2707" t="s">
        <v>2</v>
      </c>
      <c r="L2707" t="s">
        <v>67</v>
      </c>
      <c r="M2707" t="s">
        <v>81</v>
      </c>
      <c r="N2707" t="s">
        <v>12</v>
      </c>
    </row>
    <row r="2708" spans="1:14" x14ac:dyDescent="0.35">
      <c r="A2708" s="75">
        <v>44146</v>
      </c>
      <c r="B2708" t="s">
        <v>150</v>
      </c>
      <c r="C2708" t="s">
        <v>102</v>
      </c>
      <c r="D2708">
        <v>7</v>
      </c>
      <c r="E2708">
        <v>7</v>
      </c>
      <c r="F2708" t="s">
        <v>10</v>
      </c>
      <c r="G2708" t="s">
        <v>73</v>
      </c>
      <c r="H2708" t="s">
        <v>78</v>
      </c>
      <c r="I2708">
        <v>100000000</v>
      </c>
      <c r="J2708" t="s">
        <v>53</v>
      </c>
      <c r="K2708" t="s">
        <v>2</v>
      </c>
      <c r="L2708" t="s">
        <v>67</v>
      </c>
      <c r="M2708" t="s">
        <v>80</v>
      </c>
      <c r="N2708" t="s">
        <v>12</v>
      </c>
    </row>
    <row r="2709" spans="1:14" x14ac:dyDescent="0.35">
      <c r="A2709" s="75">
        <v>44146</v>
      </c>
      <c r="B2709" t="s">
        <v>150</v>
      </c>
      <c r="C2709" t="s">
        <v>102</v>
      </c>
      <c r="D2709">
        <v>7</v>
      </c>
      <c r="E2709">
        <v>7</v>
      </c>
      <c r="F2709" t="s">
        <v>10</v>
      </c>
      <c r="G2709" t="s">
        <v>76</v>
      </c>
      <c r="H2709" t="s">
        <v>79</v>
      </c>
      <c r="I2709">
        <v>40000000</v>
      </c>
      <c r="J2709" t="s">
        <v>24</v>
      </c>
      <c r="K2709" t="s">
        <v>7</v>
      </c>
      <c r="L2709" t="s">
        <v>67</v>
      </c>
      <c r="M2709" t="s">
        <v>81</v>
      </c>
      <c r="N2709" t="s">
        <v>14</v>
      </c>
    </row>
    <row r="2710" spans="1:14" x14ac:dyDescent="0.35">
      <c r="A2710" s="75">
        <v>44147</v>
      </c>
      <c r="B2710" t="s">
        <v>151</v>
      </c>
      <c r="C2710" t="s">
        <v>102</v>
      </c>
      <c r="D2710">
        <v>10</v>
      </c>
      <c r="E2710">
        <v>10</v>
      </c>
      <c r="F2710" t="s">
        <v>10</v>
      </c>
      <c r="G2710" t="s">
        <v>71</v>
      </c>
      <c r="H2710" t="s">
        <v>6</v>
      </c>
      <c r="I2710">
        <v>100000000</v>
      </c>
      <c r="J2710" t="s">
        <v>59</v>
      </c>
      <c r="K2710" t="s">
        <v>2</v>
      </c>
      <c r="L2710" t="s">
        <v>67</v>
      </c>
      <c r="M2710" t="s">
        <v>80</v>
      </c>
      <c r="N2710" t="s">
        <v>14</v>
      </c>
    </row>
    <row r="2711" spans="1:14" x14ac:dyDescent="0.35">
      <c r="A2711" s="75">
        <v>44147</v>
      </c>
      <c r="B2711" t="s">
        <v>151</v>
      </c>
      <c r="C2711" t="s">
        <v>102</v>
      </c>
      <c r="D2711">
        <v>10</v>
      </c>
      <c r="E2711">
        <v>10</v>
      </c>
      <c r="F2711" t="s">
        <v>10</v>
      </c>
      <c r="G2711" t="s">
        <v>70</v>
      </c>
      <c r="H2711" t="s">
        <v>1</v>
      </c>
      <c r="I2711">
        <v>120000000</v>
      </c>
      <c r="J2711" t="s">
        <v>51</v>
      </c>
      <c r="K2711" t="s">
        <v>7</v>
      </c>
      <c r="L2711" t="s">
        <v>67</v>
      </c>
      <c r="M2711" t="s">
        <v>80</v>
      </c>
      <c r="N2711" t="s">
        <v>11</v>
      </c>
    </row>
    <row r="2712" spans="1:14" x14ac:dyDescent="0.35">
      <c r="A2712" s="75">
        <v>44147</v>
      </c>
      <c r="B2712" t="s">
        <v>151</v>
      </c>
      <c r="C2712" t="s">
        <v>102</v>
      </c>
      <c r="D2712">
        <v>10</v>
      </c>
      <c r="E2712">
        <v>10</v>
      </c>
      <c r="F2712" t="s">
        <v>10</v>
      </c>
      <c r="G2712" t="s">
        <v>73</v>
      </c>
      <c r="H2712" t="s">
        <v>78</v>
      </c>
      <c r="I2712">
        <v>80000000</v>
      </c>
      <c r="J2712" t="s">
        <v>28</v>
      </c>
      <c r="K2712" t="s">
        <v>8</v>
      </c>
      <c r="L2712" t="s">
        <v>67</v>
      </c>
      <c r="M2712" t="s">
        <v>80</v>
      </c>
      <c r="N2712" t="s">
        <v>12</v>
      </c>
    </row>
    <row r="2713" spans="1:14" x14ac:dyDescent="0.35">
      <c r="A2713" s="75">
        <v>44147</v>
      </c>
      <c r="B2713" t="s">
        <v>151</v>
      </c>
      <c r="C2713" t="s">
        <v>102</v>
      </c>
      <c r="D2713">
        <v>10</v>
      </c>
      <c r="E2713">
        <v>10</v>
      </c>
      <c r="F2713" t="s">
        <v>10</v>
      </c>
      <c r="G2713" t="s">
        <v>74</v>
      </c>
      <c r="H2713" t="s">
        <v>77</v>
      </c>
      <c r="I2713">
        <v>60000000</v>
      </c>
      <c r="J2713" t="s">
        <v>38</v>
      </c>
      <c r="K2713" t="s">
        <v>2</v>
      </c>
      <c r="L2713" t="s">
        <v>67</v>
      </c>
      <c r="M2713" t="s">
        <v>81</v>
      </c>
      <c r="N2713" t="s">
        <v>13</v>
      </c>
    </row>
    <row r="2714" spans="1:14" x14ac:dyDescent="0.35">
      <c r="A2714" s="75">
        <v>44147</v>
      </c>
      <c r="B2714" t="s">
        <v>151</v>
      </c>
      <c r="C2714" t="s">
        <v>102</v>
      </c>
      <c r="D2714">
        <v>9</v>
      </c>
      <c r="E2714">
        <v>9</v>
      </c>
      <c r="F2714" t="s">
        <v>10</v>
      </c>
      <c r="G2714" t="s">
        <v>113</v>
      </c>
      <c r="H2714" t="s">
        <v>77</v>
      </c>
      <c r="I2714">
        <v>40000000</v>
      </c>
      <c r="J2714" t="s">
        <v>29</v>
      </c>
      <c r="K2714" t="s">
        <v>5</v>
      </c>
      <c r="L2714" t="s">
        <v>67</v>
      </c>
      <c r="M2714" t="s">
        <v>82</v>
      </c>
      <c r="N2714" t="s">
        <v>14</v>
      </c>
    </row>
    <row r="2715" spans="1:14" x14ac:dyDescent="0.35">
      <c r="A2715" s="75">
        <v>44147</v>
      </c>
      <c r="B2715" t="s">
        <v>151</v>
      </c>
      <c r="C2715" t="s">
        <v>102</v>
      </c>
      <c r="D2715">
        <v>9</v>
      </c>
      <c r="E2715">
        <v>9</v>
      </c>
      <c r="F2715" t="s">
        <v>10</v>
      </c>
      <c r="G2715" t="s">
        <v>75</v>
      </c>
      <c r="H2715" t="s">
        <v>6</v>
      </c>
      <c r="I2715">
        <v>60000000</v>
      </c>
      <c r="J2715" t="s">
        <v>40</v>
      </c>
      <c r="K2715" t="s">
        <v>2</v>
      </c>
      <c r="L2715" t="s">
        <v>67</v>
      </c>
      <c r="M2715" t="s">
        <v>81</v>
      </c>
      <c r="N2715" t="s">
        <v>11</v>
      </c>
    </row>
    <row r="2716" spans="1:14" x14ac:dyDescent="0.35">
      <c r="A2716" s="75">
        <v>44147</v>
      </c>
      <c r="B2716" t="s">
        <v>151</v>
      </c>
      <c r="C2716" t="s">
        <v>102</v>
      </c>
      <c r="D2716">
        <v>7</v>
      </c>
      <c r="E2716">
        <v>7</v>
      </c>
      <c r="F2716" t="s">
        <v>10</v>
      </c>
      <c r="G2716" t="s">
        <v>70</v>
      </c>
      <c r="H2716" t="s">
        <v>1</v>
      </c>
      <c r="I2716">
        <v>100000000</v>
      </c>
      <c r="J2716" t="s">
        <v>60</v>
      </c>
      <c r="K2716" t="s">
        <v>2</v>
      </c>
      <c r="L2716" t="s">
        <v>67</v>
      </c>
      <c r="M2716" t="s">
        <v>81</v>
      </c>
      <c r="N2716" t="s">
        <v>13</v>
      </c>
    </row>
    <row r="2717" spans="1:14" x14ac:dyDescent="0.35">
      <c r="A2717" s="75">
        <v>44147</v>
      </c>
      <c r="B2717" t="s">
        <v>151</v>
      </c>
      <c r="C2717" t="s">
        <v>102</v>
      </c>
      <c r="D2717">
        <v>5</v>
      </c>
      <c r="E2717">
        <v>5</v>
      </c>
      <c r="F2717" t="s">
        <v>10</v>
      </c>
      <c r="G2717" t="s">
        <v>113</v>
      </c>
      <c r="H2717" t="s">
        <v>77</v>
      </c>
      <c r="I2717">
        <v>60000000</v>
      </c>
      <c r="J2717" t="s">
        <v>21</v>
      </c>
      <c r="K2717" t="s">
        <v>5</v>
      </c>
      <c r="L2717" t="s">
        <v>67</v>
      </c>
      <c r="M2717" t="s">
        <v>82</v>
      </c>
      <c r="N2717" t="s">
        <v>11</v>
      </c>
    </row>
    <row r="2718" spans="1:14" x14ac:dyDescent="0.35">
      <c r="A2718" s="75">
        <v>44147</v>
      </c>
      <c r="B2718" t="s">
        <v>151</v>
      </c>
      <c r="C2718" t="s">
        <v>102</v>
      </c>
      <c r="D2718">
        <v>5</v>
      </c>
      <c r="E2718">
        <v>5</v>
      </c>
      <c r="F2718" t="s">
        <v>10</v>
      </c>
      <c r="G2718" t="s">
        <v>72</v>
      </c>
      <c r="H2718" t="s">
        <v>78</v>
      </c>
      <c r="I2718">
        <v>100000000</v>
      </c>
      <c r="J2718" t="s">
        <v>17</v>
      </c>
      <c r="K2718" t="s">
        <v>8</v>
      </c>
      <c r="L2718" t="s">
        <v>67</v>
      </c>
      <c r="M2718" t="s">
        <v>82</v>
      </c>
      <c r="N2718" t="s">
        <v>13</v>
      </c>
    </row>
    <row r="2719" spans="1:14" x14ac:dyDescent="0.35">
      <c r="A2719" s="75">
        <v>44147</v>
      </c>
      <c r="B2719" t="s">
        <v>151</v>
      </c>
      <c r="C2719" t="s">
        <v>102</v>
      </c>
      <c r="D2719">
        <v>4</v>
      </c>
      <c r="E2719">
        <v>4</v>
      </c>
      <c r="F2719" t="s">
        <v>10</v>
      </c>
      <c r="G2719" t="s">
        <v>72</v>
      </c>
      <c r="H2719" t="s">
        <v>78</v>
      </c>
      <c r="I2719">
        <v>40000000</v>
      </c>
      <c r="J2719" t="s">
        <v>46</v>
      </c>
      <c r="K2719" t="s">
        <v>5</v>
      </c>
      <c r="L2719" t="s">
        <v>67</v>
      </c>
      <c r="M2719" t="s">
        <v>81</v>
      </c>
      <c r="N2719" t="s">
        <v>13</v>
      </c>
    </row>
    <row r="2720" spans="1:14" x14ac:dyDescent="0.35">
      <c r="A2720" s="75">
        <v>44147</v>
      </c>
      <c r="B2720" t="s">
        <v>151</v>
      </c>
      <c r="C2720" t="s">
        <v>102</v>
      </c>
      <c r="D2720">
        <v>3</v>
      </c>
      <c r="E2720">
        <v>3</v>
      </c>
      <c r="F2720" t="s">
        <v>10</v>
      </c>
      <c r="G2720" t="s">
        <v>76</v>
      </c>
      <c r="H2720" t="s">
        <v>79</v>
      </c>
      <c r="I2720">
        <v>140000000</v>
      </c>
      <c r="J2720" t="s">
        <v>49</v>
      </c>
      <c r="K2720" t="s">
        <v>5</v>
      </c>
      <c r="L2720" t="s">
        <v>67</v>
      </c>
      <c r="M2720" t="s">
        <v>80</v>
      </c>
      <c r="N2720" t="s">
        <v>11</v>
      </c>
    </row>
    <row r="2721" spans="1:14" x14ac:dyDescent="0.35">
      <c r="A2721" s="75">
        <v>44148</v>
      </c>
      <c r="B2721" t="s">
        <v>152</v>
      </c>
      <c r="C2721" t="s">
        <v>102</v>
      </c>
      <c r="D2721">
        <v>10</v>
      </c>
      <c r="E2721">
        <v>10</v>
      </c>
      <c r="F2721" t="s">
        <v>10</v>
      </c>
      <c r="G2721" t="s">
        <v>70</v>
      </c>
      <c r="H2721" t="s">
        <v>1</v>
      </c>
      <c r="I2721">
        <v>40000000</v>
      </c>
      <c r="J2721" t="s">
        <v>39</v>
      </c>
      <c r="K2721" t="s">
        <v>7</v>
      </c>
      <c r="L2721" t="s">
        <v>67</v>
      </c>
      <c r="M2721" t="s">
        <v>82</v>
      </c>
      <c r="N2721" t="s">
        <v>11</v>
      </c>
    </row>
    <row r="2722" spans="1:14" x14ac:dyDescent="0.35">
      <c r="A2722" s="75">
        <v>44148</v>
      </c>
      <c r="B2722" t="s">
        <v>152</v>
      </c>
      <c r="C2722" t="s">
        <v>102</v>
      </c>
      <c r="D2722">
        <v>10</v>
      </c>
      <c r="E2722">
        <v>10</v>
      </c>
      <c r="F2722" t="s">
        <v>10</v>
      </c>
      <c r="G2722" t="s">
        <v>74</v>
      </c>
      <c r="H2722" t="s">
        <v>77</v>
      </c>
      <c r="I2722">
        <v>40000000</v>
      </c>
      <c r="J2722" t="s">
        <v>61</v>
      </c>
      <c r="K2722" t="s">
        <v>5</v>
      </c>
      <c r="L2722" t="s">
        <v>67</v>
      </c>
      <c r="M2722" t="s">
        <v>81</v>
      </c>
      <c r="N2722" t="s">
        <v>14</v>
      </c>
    </row>
    <row r="2723" spans="1:14" x14ac:dyDescent="0.35">
      <c r="A2723" s="75">
        <v>44148</v>
      </c>
      <c r="B2723" t="s">
        <v>152</v>
      </c>
      <c r="C2723" t="s">
        <v>102</v>
      </c>
      <c r="D2723">
        <v>10</v>
      </c>
      <c r="E2723">
        <v>10</v>
      </c>
      <c r="F2723" t="s">
        <v>10</v>
      </c>
      <c r="G2723" t="s">
        <v>76</v>
      </c>
      <c r="H2723" t="s">
        <v>79</v>
      </c>
      <c r="I2723">
        <v>100000000</v>
      </c>
      <c r="J2723" t="s">
        <v>58</v>
      </c>
      <c r="K2723" t="s">
        <v>5</v>
      </c>
      <c r="L2723" t="s">
        <v>67</v>
      </c>
      <c r="M2723" t="s">
        <v>81</v>
      </c>
      <c r="N2723" t="s">
        <v>14</v>
      </c>
    </row>
    <row r="2724" spans="1:14" x14ac:dyDescent="0.35">
      <c r="A2724" s="75">
        <v>44148</v>
      </c>
      <c r="B2724" t="s">
        <v>152</v>
      </c>
      <c r="C2724" t="s">
        <v>102</v>
      </c>
      <c r="D2724">
        <v>8</v>
      </c>
      <c r="E2724">
        <v>8</v>
      </c>
      <c r="F2724" t="s">
        <v>10</v>
      </c>
      <c r="G2724" t="s">
        <v>74</v>
      </c>
      <c r="H2724" t="s">
        <v>77</v>
      </c>
      <c r="I2724">
        <v>40000000</v>
      </c>
      <c r="J2724" t="s">
        <v>26</v>
      </c>
      <c r="K2724" t="s">
        <v>8</v>
      </c>
      <c r="L2724" t="s">
        <v>67</v>
      </c>
      <c r="M2724" t="s">
        <v>82</v>
      </c>
      <c r="N2724" t="s">
        <v>11</v>
      </c>
    </row>
    <row r="2725" spans="1:14" x14ac:dyDescent="0.35">
      <c r="A2725" s="75">
        <v>44148</v>
      </c>
      <c r="B2725" t="s">
        <v>152</v>
      </c>
      <c r="C2725" t="s">
        <v>102</v>
      </c>
      <c r="D2725">
        <v>6</v>
      </c>
      <c r="E2725">
        <v>6</v>
      </c>
      <c r="F2725" t="s">
        <v>10</v>
      </c>
      <c r="G2725" t="s">
        <v>73</v>
      </c>
      <c r="H2725" t="s">
        <v>78</v>
      </c>
      <c r="I2725">
        <v>40000000</v>
      </c>
      <c r="J2725" t="s">
        <v>35</v>
      </c>
      <c r="K2725" t="s">
        <v>5</v>
      </c>
      <c r="L2725" t="s">
        <v>67</v>
      </c>
      <c r="M2725" t="s">
        <v>80</v>
      </c>
      <c r="N2725" t="s">
        <v>14</v>
      </c>
    </row>
    <row r="2726" spans="1:14" x14ac:dyDescent="0.35">
      <c r="A2726" s="75">
        <v>44148</v>
      </c>
      <c r="B2726" t="s">
        <v>152</v>
      </c>
      <c r="C2726" t="s">
        <v>102</v>
      </c>
      <c r="D2726">
        <v>5</v>
      </c>
      <c r="E2726">
        <v>5</v>
      </c>
      <c r="F2726" t="s">
        <v>10</v>
      </c>
      <c r="G2726" t="s">
        <v>113</v>
      </c>
      <c r="H2726" t="s">
        <v>77</v>
      </c>
      <c r="I2726">
        <v>60000000</v>
      </c>
      <c r="J2726" t="s">
        <v>49</v>
      </c>
      <c r="K2726" t="s">
        <v>7</v>
      </c>
      <c r="L2726" t="s">
        <v>67</v>
      </c>
      <c r="M2726" t="s">
        <v>82</v>
      </c>
      <c r="N2726" t="s">
        <v>13</v>
      </c>
    </row>
    <row r="2727" spans="1:14" x14ac:dyDescent="0.35">
      <c r="A2727" s="75">
        <v>44148</v>
      </c>
      <c r="B2727" t="s">
        <v>152</v>
      </c>
      <c r="C2727" t="s">
        <v>102</v>
      </c>
      <c r="D2727">
        <v>5</v>
      </c>
      <c r="E2727">
        <v>5</v>
      </c>
      <c r="F2727" t="s">
        <v>10</v>
      </c>
      <c r="G2727" t="s">
        <v>76</v>
      </c>
      <c r="H2727" t="s">
        <v>79</v>
      </c>
      <c r="I2727">
        <v>100000000</v>
      </c>
      <c r="J2727" t="s">
        <v>47</v>
      </c>
      <c r="K2727" t="s">
        <v>5</v>
      </c>
      <c r="L2727" t="s">
        <v>67</v>
      </c>
      <c r="M2727" t="s">
        <v>80</v>
      </c>
      <c r="N2727" t="s">
        <v>11</v>
      </c>
    </row>
    <row r="2728" spans="1:14" x14ac:dyDescent="0.35">
      <c r="A2728" s="75">
        <v>44149</v>
      </c>
      <c r="B2728" t="s">
        <v>153</v>
      </c>
      <c r="C2728" t="s">
        <v>102</v>
      </c>
      <c r="D2728">
        <v>10</v>
      </c>
      <c r="E2728">
        <v>10</v>
      </c>
      <c r="F2728" t="s">
        <v>10</v>
      </c>
      <c r="G2728" t="s">
        <v>72</v>
      </c>
      <c r="H2728" t="s">
        <v>78</v>
      </c>
      <c r="I2728">
        <v>120000000</v>
      </c>
      <c r="J2728" t="s">
        <v>38</v>
      </c>
      <c r="K2728" t="s">
        <v>5</v>
      </c>
      <c r="L2728" t="s">
        <v>67</v>
      </c>
      <c r="M2728" t="s">
        <v>82</v>
      </c>
      <c r="N2728" t="s">
        <v>14</v>
      </c>
    </row>
    <row r="2729" spans="1:14" x14ac:dyDescent="0.35">
      <c r="A2729" s="75">
        <v>44149</v>
      </c>
      <c r="B2729" t="s">
        <v>153</v>
      </c>
      <c r="C2729" t="s">
        <v>102</v>
      </c>
      <c r="D2729">
        <v>10</v>
      </c>
      <c r="E2729">
        <v>10</v>
      </c>
      <c r="F2729" t="s">
        <v>10</v>
      </c>
      <c r="G2729" t="s">
        <v>70</v>
      </c>
      <c r="H2729" t="s">
        <v>1</v>
      </c>
      <c r="I2729">
        <v>140000000</v>
      </c>
      <c r="J2729" t="s">
        <v>22</v>
      </c>
      <c r="K2729" t="s">
        <v>2</v>
      </c>
      <c r="L2729" t="s">
        <v>67</v>
      </c>
      <c r="M2729" t="s">
        <v>82</v>
      </c>
      <c r="N2729" t="s">
        <v>11</v>
      </c>
    </row>
    <row r="2730" spans="1:14" x14ac:dyDescent="0.35">
      <c r="A2730" s="75">
        <v>44149</v>
      </c>
      <c r="B2730" t="s">
        <v>153</v>
      </c>
      <c r="C2730" t="s">
        <v>102</v>
      </c>
      <c r="D2730">
        <v>9</v>
      </c>
      <c r="E2730">
        <v>9</v>
      </c>
      <c r="F2730" t="s">
        <v>10</v>
      </c>
      <c r="G2730" t="s">
        <v>75</v>
      </c>
      <c r="H2730" t="s">
        <v>6</v>
      </c>
      <c r="I2730">
        <v>140000000</v>
      </c>
      <c r="J2730" t="s">
        <v>61</v>
      </c>
      <c r="K2730" t="s">
        <v>9</v>
      </c>
      <c r="L2730" t="s">
        <v>67</v>
      </c>
      <c r="M2730" t="s">
        <v>81</v>
      </c>
      <c r="N2730" t="s">
        <v>13</v>
      </c>
    </row>
    <row r="2731" spans="1:14" x14ac:dyDescent="0.35">
      <c r="A2731" s="75">
        <v>44149</v>
      </c>
      <c r="B2731" t="s">
        <v>153</v>
      </c>
      <c r="C2731" t="s">
        <v>102</v>
      </c>
      <c r="D2731">
        <v>8</v>
      </c>
      <c r="E2731">
        <v>8</v>
      </c>
      <c r="F2731" t="s">
        <v>10</v>
      </c>
      <c r="G2731" t="s">
        <v>70</v>
      </c>
      <c r="H2731" t="s">
        <v>1</v>
      </c>
      <c r="I2731">
        <v>120000000</v>
      </c>
      <c r="J2731" t="s">
        <v>36</v>
      </c>
      <c r="K2731" t="s">
        <v>5</v>
      </c>
      <c r="L2731" t="s">
        <v>67</v>
      </c>
      <c r="M2731" t="s">
        <v>81</v>
      </c>
      <c r="N2731" t="s">
        <v>13</v>
      </c>
    </row>
    <row r="2732" spans="1:14" x14ac:dyDescent="0.35">
      <c r="A2732" s="75">
        <v>44149</v>
      </c>
      <c r="B2732" t="s">
        <v>153</v>
      </c>
      <c r="C2732" t="s">
        <v>102</v>
      </c>
      <c r="D2732">
        <v>8</v>
      </c>
      <c r="E2732">
        <v>8</v>
      </c>
      <c r="F2732" t="s">
        <v>10</v>
      </c>
      <c r="G2732" t="s">
        <v>70</v>
      </c>
      <c r="H2732" t="s">
        <v>1</v>
      </c>
      <c r="I2732">
        <v>60000000</v>
      </c>
      <c r="J2732" t="s">
        <v>58</v>
      </c>
      <c r="K2732" t="s">
        <v>2</v>
      </c>
      <c r="L2732" t="s">
        <v>67</v>
      </c>
      <c r="M2732" t="s">
        <v>82</v>
      </c>
      <c r="N2732" t="s">
        <v>14</v>
      </c>
    </row>
    <row r="2733" spans="1:14" x14ac:dyDescent="0.35">
      <c r="A2733" s="75">
        <v>44149</v>
      </c>
      <c r="B2733" t="s">
        <v>153</v>
      </c>
      <c r="C2733" t="s">
        <v>102</v>
      </c>
      <c r="D2733">
        <v>8</v>
      </c>
      <c r="E2733">
        <v>8</v>
      </c>
      <c r="F2733" t="s">
        <v>10</v>
      </c>
      <c r="G2733" t="s">
        <v>76</v>
      </c>
      <c r="H2733" t="s">
        <v>79</v>
      </c>
      <c r="I2733">
        <v>80000000</v>
      </c>
      <c r="J2733" t="s">
        <v>24</v>
      </c>
      <c r="K2733" t="s">
        <v>5</v>
      </c>
      <c r="L2733" t="s">
        <v>67</v>
      </c>
      <c r="M2733" t="s">
        <v>82</v>
      </c>
      <c r="N2733" t="s">
        <v>12</v>
      </c>
    </row>
    <row r="2734" spans="1:14" x14ac:dyDescent="0.35">
      <c r="A2734" s="75">
        <v>44149</v>
      </c>
      <c r="B2734" t="s">
        <v>153</v>
      </c>
      <c r="C2734" t="s">
        <v>102</v>
      </c>
      <c r="D2734">
        <v>7</v>
      </c>
      <c r="E2734">
        <v>7</v>
      </c>
      <c r="F2734" t="s">
        <v>10</v>
      </c>
      <c r="G2734" t="s">
        <v>70</v>
      </c>
      <c r="H2734" t="s">
        <v>1</v>
      </c>
      <c r="I2734">
        <v>40000000</v>
      </c>
      <c r="J2734" t="s">
        <v>60</v>
      </c>
      <c r="K2734" t="s">
        <v>2</v>
      </c>
      <c r="L2734" t="s">
        <v>67</v>
      </c>
      <c r="M2734" t="s">
        <v>82</v>
      </c>
      <c r="N2734" t="s">
        <v>14</v>
      </c>
    </row>
    <row r="2735" spans="1:14" x14ac:dyDescent="0.35">
      <c r="A2735" s="75">
        <v>44149</v>
      </c>
      <c r="B2735" t="s">
        <v>153</v>
      </c>
      <c r="C2735" t="s">
        <v>102</v>
      </c>
      <c r="D2735">
        <v>6</v>
      </c>
      <c r="E2735">
        <v>6</v>
      </c>
      <c r="F2735" t="s">
        <v>10</v>
      </c>
      <c r="G2735" t="s">
        <v>71</v>
      </c>
      <c r="H2735" t="s">
        <v>6</v>
      </c>
      <c r="I2735">
        <v>60000000</v>
      </c>
      <c r="J2735" t="s">
        <v>23</v>
      </c>
      <c r="K2735" t="s">
        <v>2</v>
      </c>
      <c r="L2735" t="s">
        <v>67</v>
      </c>
      <c r="M2735" t="s">
        <v>81</v>
      </c>
      <c r="N2735" t="s">
        <v>12</v>
      </c>
    </row>
    <row r="2736" spans="1:14" x14ac:dyDescent="0.35">
      <c r="A2736" s="75">
        <v>44149</v>
      </c>
      <c r="B2736" t="s">
        <v>153</v>
      </c>
      <c r="C2736" t="s">
        <v>102</v>
      </c>
      <c r="D2736">
        <v>5</v>
      </c>
      <c r="E2736">
        <v>5</v>
      </c>
      <c r="F2736" t="s">
        <v>10</v>
      </c>
      <c r="G2736" t="s">
        <v>73</v>
      </c>
      <c r="H2736" t="s">
        <v>78</v>
      </c>
      <c r="I2736">
        <v>100000000</v>
      </c>
      <c r="J2736" t="s">
        <v>42</v>
      </c>
      <c r="K2736" t="s">
        <v>2</v>
      </c>
      <c r="L2736" t="s">
        <v>67</v>
      </c>
      <c r="M2736" t="s">
        <v>81</v>
      </c>
      <c r="N2736" t="s">
        <v>13</v>
      </c>
    </row>
    <row r="2737" spans="1:14" x14ac:dyDescent="0.35">
      <c r="A2737" s="75">
        <v>44149</v>
      </c>
      <c r="B2737" t="s">
        <v>153</v>
      </c>
      <c r="C2737" t="s">
        <v>102</v>
      </c>
      <c r="D2737">
        <v>5</v>
      </c>
      <c r="E2737">
        <v>5</v>
      </c>
      <c r="F2737" t="s">
        <v>10</v>
      </c>
      <c r="G2737" t="s">
        <v>72</v>
      </c>
      <c r="H2737" t="s">
        <v>78</v>
      </c>
      <c r="I2737">
        <v>60000000</v>
      </c>
      <c r="J2737" t="s">
        <v>23</v>
      </c>
      <c r="K2737" t="s">
        <v>5</v>
      </c>
      <c r="L2737" t="s">
        <v>67</v>
      </c>
      <c r="M2737" t="s">
        <v>82</v>
      </c>
      <c r="N2737" t="s">
        <v>11</v>
      </c>
    </row>
    <row r="2738" spans="1:14" x14ac:dyDescent="0.35">
      <c r="A2738" s="75">
        <v>44149</v>
      </c>
      <c r="B2738" t="s">
        <v>153</v>
      </c>
      <c r="C2738" t="s">
        <v>102</v>
      </c>
      <c r="D2738">
        <v>3</v>
      </c>
      <c r="E2738">
        <v>3</v>
      </c>
      <c r="F2738" t="s">
        <v>10</v>
      </c>
      <c r="G2738" t="s">
        <v>73</v>
      </c>
      <c r="H2738" t="s">
        <v>78</v>
      </c>
      <c r="I2738">
        <v>60000000</v>
      </c>
      <c r="J2738" t="s">
        <v>60</v>
      </c>
      <c r="K2738" t="s">
        <v>4</v>
      </c>
      <c r="L2738" t="s">
        <v>67</v>
      </c>
      <c r="M2738" t="s">
        <v>80</v>
      </c>
      <c r="N2738" t="s">
        <v>14</v>
      </c>
    </row>
    <row r="2739" spans="1:14" x14ac:dyDescent="0.35">
      <c r="A2739" s="75">
        <v>44150</v>
      </c>
      <c r="B2739" t="s">
        <v>154</v>
      </c>
      <c r="C2739" t="s">
        <v>102</v>
      </c>
      <c r="D2739">
        <v>10</v>
      </c>
      <c r="E2739">
        <v>10</v>
      </c>
      <c r="F2739" t="s">
        <v>10</v>
      </c>
      <c r="G2739" t="s">
        <v>71</v>
      </c>
      <c r="H2739" t="s">
        <v>6</v>
      </c>
      <c r="I2739">
        <v>80000000</v>
      </c>
      <c r="J2739" t="s">
        <v>38</v>
      </c>
      <c r="K2739" t="s">
        <v>2</v>
      </c>
      <c r="L2739" t="s">
        <v>67</v>
      </c>
      <c r="M2739" t="s">
        <v>81</v>
      </c>
      <c r="N2739" t="s">
        <v>12</v>
      </c>
    </row>
    <row r="2740" spans="1:14" x14ac:dyDescent="0.35">
      <c r="A2740" s="75">
        <v>44150</v>
      </c>
      <c r="B2740" t="s">
        <v>154</v>
      </c>
      <c r="C2740" t="s">
        <v>102</v>
      </c>
      <c r="D2740">
        <v>8</v>
      </c>
      <c r="E2740">
        <v>8</v>
      </c>
      <c r="F2740" t="s">
        <v>10</v>
      </c>
      <c r="G2740" t="s">
        <v>75</v>
      </c>
      <c r="H2740" t="s">
        <v>6</v>
      </c>
      <c r="I2740">
        <v>60000000</v>
      </c>
      <c r="J2740" t="s">
        <v>53</v>
      </c>
      <c r="K2740" t="s">
        <v>9</v>
      </c>
      <c r="L2740" t="s">
        <v>67</v>
      </c>
      <c r="M2740" t="s">
        <v>80</v>
      </c>
      <c r="N2740" t="s">
        <v>13</v>
      </c>
    </row>
    <row r="2741" spans="1:14" x14ac:dyDescent="0.35">
      <c r="A2741" s="75">
        <v>44150</v>
      </c>
      <c r="B2741" t="s">
        <v>154</v>
      </c>
      <c r="C2741" t="s">
        <v>102</v>
      </c>
      <c r="D2741">
        <v>8</v>
      </c>
      <c r="E2741">
        <v>8</v>
      </c>
      <c r="F2741" t="s">
        <v>10</v>
      </c>
      <c r="G2741" t="s">
        <v>73</v>
      </c>
      <c r="H2741" t="s">
        <v>78</v>
      </c>
      <c r="I2741">
        <v>40000000</v>
      </c>
      <c r="J2741" t="s">
        <v>33</v>
      </c>
      <c r="K2741" t="s">
        <v>5</v>
      </c>
      <c r="L2741" t="s">
        <v>67</v>
      </c>
      <c r="M2741" t="s">
        <v>82</v>
      </c>
      <c r="N2741" t="s">
        <v>13</v>
      </c>
    </row>
    <row r="2742" spans="1:14" x14ac:dyDescent="0.35">
      <c r="A2742" s="75">
        <v>44150</v>
      </c>
      <c r="B2742" t="s">
        <v>154</v>
      </c>
      <c r="C2742" t="s">
        <v>102</v>
      </c>
      <c r="D2742">
        <v>7</v>
      </c>
      <c r="E2742">
        <v>7</v>
      </c>
      <c r="F2742" t="s">
        <v>10</v>
      </c>
      <c r="G2742" t="s">
        <v>76</v>
      </c>
      <c r="H2742" t="s">
        <v>79</v>
      </c>
      <c r="I2742">
        <v>100000000</v>
      </c>
      <c r="J2742" t="s">
        <v>31</v>
      </c>
      <c r="K2742" t="s">
        <v>2</v>
      </c>
      <c r="L2742" t="s">
        <v>67</v>
      </c>
      <c r="M2742" t="s">
        <v>80</v>
      </c>
      <c r="N2742" t="s">
        <v>11</v>
      </c>
    </row>
    <row r="2743" spans="1:14" x14ac:dyDescent="0.35">
      <c r="A2743" s="75">
        <v>44150</v>
      </c>
      <c r="B2743" t="s">
        <v>154</v>
      </c>
      <c r="C2743" t="s">
        <v>102</v>
      </c>
      <c r="D2743">
        <v>5</v>
      </c>
      <c r="E2743">
        <v>5</v>
      </c>
      <c r="F2743" t="s">
        <v>10</v>
      </c>
      <c r="G2743" t="s">
        <v>73</v>
      </c>
      <c r="H2743" t="s">
        <v>78</v>
      </c>
      <c r="I2743">
        <v>120000000</v>
      </c>
      <c r="J2743" t="s">
        <v>64</v>
      </c>
      <c r="K2743" t="s">
        <v>2</v>
      </c>
      <c r="L2743" t="s">
        <v>67</v>
      </c>
      <c r="M2743" t="s">
        <v>82</v>
      </c>
      <c r="N2743" t="s">
        <v>13</v>
      </c>
    </row>
    <row r="2744" spans="1:14" x14ac:dyDescent="0.35">
      <c r="A2744" s="75">
        <v>44150</v>
      </c>
      <c r="B2744" t="s">
        <v>154</v>
      </c>
      <c r="C2744" t="s">
        <v>102</v>
      </c>
      <c r="D2744">
        <v>3</v>
      </c>
      <c r="E2744">
        <v>3</v>
      </c>
      <c r="F2744" t="s">
        <v>10</v>
      </c>
      <c r="G2744" t="s">
        <v>72</v>
      </c>
      <c r="H2744" t="s">
        <v>78</v>
      </c>
      <c r="I2744">
        <v>40000000</v>
      </c>
      <c r="J2744" t="s">
        <v>53</v>
      </c>
      <c r="K2744" t="s">
        <v>8</v>
      </c>
      <c r="L2744" t="s">
        <v>67</v>
      </c>
      <c r="M2744" t="s">
        <v>80</v>
      </c>
      <c r="N2744" t="s">
        <v>11</v>
      </c>
    </row>
    <row r="2745" spans="1:14" x14ac:dyDescent="0.35">
      <c r="A2745" s="75">
        <v>44150</v>
      </c>
      <c r="B2745" t="s">
        <v>154</v>
      </c>
      <c r="C2745" t="s">
        <v>102</v>
      </c>
      <c r="D2745">
        <v>3</v>
      </c>
      <c r="E2745">
        <v>3</v>
      </c>
      <c r="F2745" t="s">
        <v>10</v>
      </c>
      <c r="G2745" t="s">
        <v>113</v>
      </c>
      <c r="H2745" t="s">
        <v>77</v>
      </c>
      <c r="I2745">
        <v>60000000</v>
      </c>
      <c r="J2745" t="s">
        <v>42</v>
      </c>
      <c r="K2745" t="s">
        <v>2</v>
      </c>
      <c r="L2745" t="s">
        <v>67</v>
      </c>
      <c r="M2745" t="s">
        <v>82</v>
      </c>
      <c r="N2745" t="s">
        <v>14</v>
      </c>
    </row>
    <row r="2746" spans="1:14" x14ac:dyDescent="0.35">
      <c r="A2746" s="75">
        <v>44151</v>
      </c>
      <c r="B2746" t="s">
        <v>155</v>
      </c>
      <c r="C2746" t="s">
        <v>102</v>
      </c>
      <c r="D2746">
        <v>9</v>
      </c>
      <c r="E2746">
        <v>9</v>
      </c>
      <c r="F2746" t="s">
        <v>10</v>
      </c>
      <c r="G2746" t="s">
        <v>70</v>
      </c>
      <c r="H2746" t="s">
        <v>1</v>
      </c>
      <c r="I2746">
        <v>60000000</v>
      </c>
      <c r="J2746" t="s">
        <v>15</v>
      </c>
      <c r="K2746" t="s">
        <v>5</v>
      </c>
      <c r="L2746" t="s">
        <v>67</v>
      </c>
      <c r="M2746" t="s">
        <v>82</v>
      </c>
      <c r="N2746" t="s">
        <v>14</v>
      </c>
    </row>
    <row r="2747" spans="1:14" x14ac:dyDescent="0.35">
      <c r="A2747" s="75">
        <v>44151</v>
      </c>
      <c r="B2747" t="s">
        <v>155</v>
      </c>
      <c r="C2747" t="s">
        <v>102</v>
      </c>
      <c r="D2747">
        <v>9</v>
      </c>
      <c r="E2747">
        <v>9</v>
      </c>
      <c r="F2747" t="s">
        <v>10</v>
      </c>
      <c r="G2747" t="s">
        <v>73</v>
      </c>
      <c r="H2747" t="s">
        <v>78</v>
      </c>
      <c r="I2747">
        <v>60000000</v>
      </c>
      <c r="J2747" t="s">
        <v>34</v>
      </c>
      <c r="K2747" t="s">
        <v>5</v>
      </c>
      <c r="L2747" t="s">
        <v>67</v>
      </c>
      <c r="M2747" t="s">
        <v>81</v>
      </c>
      <c r="N2747" t="s">
        <v>14</v>
      </c>
    </row>
    <row r="2748" spans="1:14" x14ac:dyDescent="0.35">
      <c r="A2748" s="75">
        <v>44151</v>
      </c>
      <c r="B2748" t="s">
        <v>155</v>
      </c>
      <c r="C2748" t="s">
        <v>102</v>
      </c>
      <c r="D2748">
        <v>8</v>
      </c>
      <c r="E2748">
        <v>8</v>
      </c>
      <c r="F2748" t="s">
        <v>10</v>
      </c>
      <c r="G2748" t="s">
        <v>70</v>
      </c>
      <c r="H2748" t="s">
        <v>1</v>
      </c>
      <c r="I2748">
        <v>80000000</v>
      </c>
      <c r="J2748" t="s">
        <v>48</v>
      </c>
      <c r="K2748" t="s">
        <v>5</v>
      </c>
      <c r="L2748" t="s">
        <v>67</v>
      </c>
      <c r="M2748" t="s">
        <v>80</v>
      </c>
      <c r="N2748" t="s">
        <v>11</v>
      </c>
    </row>
    <row r="2749" spans="1:14" x14ac:dyDescent="0.35">
      <c r="A2749" s="75">
        <v>44151</v>
      </c>
      <c r="B2749" t="s">
        <v>155</v>
      </c>
      <c r="C2749" t="s">
        <v>102</v>
      </c>
      <c r="D2749">
        <v>7</v>
      </c>
      <c r="E2749">
        <v>7</v>
      </c>
      <c r="F2749" t="s">
        <v>10</v>
      </c>
      <c r="G2749" t="s">
        <v>114</v>
      </c>
      <c r="H2749" t="s">
        <v>3</v>
      </c>
      <c r="I2749">
        <v>60000000</v>
      </c>
      <c r="J2749" t="s">
        <v>56</v>
      </c>
      <c r="K2749" t="s">
        <v>5</v>
      </c>
      <c r="L2749" t="s">
        <v>67</v>
      </c>
      <c r="M2749" t="s">
        <v>81</v>
      </c>
      <c r="N2749" t="s">
        <v>14</v>
      </c>
    </row>
    <row r="2750" spans="1:14" x14ac:dyDescent="0.35">
      <c r="A2750" s="75">
        <v>44151</v>
      </c>
      <c r="B2750" t="s">
        <v>155</v>
      </c>
      <c r="C2750" t="s">
        <v>102</v>
      </c>
      <c r="D2750">
        <v>6</v>
      </c>
      <c r="E2750">
        <v>6</v>
      </c>
      <c r="F2750" t="s">
        <v>10</v>
      </c>
      <c r="G2750" t="s">
        <v>71</v>
      </c>
      <c r="H2750" t="s">
        <v>6</v>
      </c>
      <c r="I2750">
        <v>60000000</v>
      </c>
      <c r="J2750" t="s">
        <v>52</v>
      </c>
      <c r="K2750" t="s">
        <v>2</v>
      </c>
      <c r="L2750" t="s">
        <v>67</v>
      </c>
      <c r="M2750" t="s">
        <v>80</v>
      </c>
      <c r="N2750" t="s">
        <v>11</v>
      </c>
    </row>
    <row r="2751" spans="1:14" x14ac:dyDescent="0.35">
      <c r="A2751" s="75">
        <v>44151</v>
      </c>
      <c r="B2751" t="s">
        <v>155</v>
      </c>
      <c r="C2751" t="s">
        <v>102</v>
      </c>
      <c r="D2751">
        <v>6</v>
      </c>
      <c r="E2751">
        <v>6</v>
      </c>
      <c r="F2751" t="s">
        <v>10</v>
      </c>
      <c r="G2751" t="s">
        <v>71</v>
      </c>
      <c r="H2751" t="s">
        <v>6</v>
      </c>
      <c r="I2751">
        <v>80000000</v>
      </c>
      <c r="J2751" t="s">
        <v>63</v>
      </c>
      <c r="K2751" t="s">
        <v>5</v>
      </c>
      <c r="L2751" t="s">
        <v>67</v>
      </c>
      <c r="M2751" t="s">
        <v>80</v>
      </c>
      <c r="N2751" t="s">
        <v>12</v>
      </c>
    </row>
    <row r="2752" spans="1:14" x14ac:dyDescent="0.35">
      <c r="A2752" s="75">
        <v>44151</v>
      </c>
      <c r="B2752" t="s">
        <v>155</v>
      </c>
      <c r="C2752" t="s">
        <v>102</v>
      </c>
      <c r="D2752">
        <v>6</v>
      </c>
      <c r="E2752">
        <v>6</v>
      </c>
      <c r="F2752" t="s">
        <v>10</v>
      </c>
      <c r="G2752" t="s">
        <v>75</v>
      </c>
      <c r="H2752" t="s">
        <v>6</v>
      </c>
      <c r="I2752">
        <v>100000000</v>
      </c>
      <c r="J2752" t="s">
        <v>43</v>
      </c>
      <c r="K2752" t="s">
        <v>7</v>
      </c>
      <c r="L2752" t="s">
        <v>67</v>
      </c>
      <c r="M2752" t="s">
        <v>82</v>
      </c>
      <c r="N2752" t="s">
        <v>11</v>
      </c>
    </row>
    <row r="2753" spans="1:14" x14ac:dyDescent="0.35">
      <c r="A2753" s="75">
        <v>44151</v>
      </c>
      <c r="B2753" t="s">
        <v>155</v>
      </c>
      <c r="C2753" t="s">
        <v>102</v>
      </c>
      <c r="D2753">
        <v>6</v>
      </c>
      <c r="E2753">
        <v>6</v>
      </c>
      <c r="F2753" t="s">
        <v>10</v>
      </c>
      <c r="G2753" t="s">
        <v>72</v>
      </c>
      <c r="H2753" t="s">
        <v>78</v>
      </c>
      <c r="I2753">
        <v>140000000</v>
      </c>
      <c r="J2753" t="s">
        <v>64</v>
      </c>
      <c r="K2753" t="s">
        <v>5</v>
      </c>
      <c r="L2753" t="s">
        <v>67</v>
      </c>
      <c r="M2753" t="s">
        <v>81</v>
      </c>
      <c r="N2753" t="s">
        <v>12</v>
      </c>
    </row>
    <row r="2754" spans="1:14" x14ac:dyDescent="0.35">
      <c r="A2754" s="75">
        <v>44151</v>
      </c>
      <c r="B2754" t="s">
        <v>155</v>
      </c>
      <c r="C2754" t="s">
        <v>102</v>
      </c>
      <c r="D2754">
        <v>5</v>
      </c>
      <c r="E2754">
        <v>5</v>
      </c>
      <c r="F2754" t="s">
        <v>10</v>
      </c>
      <c r="G2754" t="s">
        <v>73</v>
      </c>
      <c r="H2754" t="s">
        <v>78</v>
      </c>
      <c r="I2754">
        <v>100000000</v>
      </c>
      <c r="J2754" t="s">
        <v>34</v>
      </c>
      <c r="K2754" t="s">
        <v>2</v>
      </c>
      <c r="L2754" t="s">
        <v>67</v>
      </c>
      <c r="M2754" t="s">
        <v>80</v>
      </c>
      <c r="N2754" t="s">
        <v>12</v>
      </c>
    </row>
    <row r="2755" spans="1:14" x14ac:dyDescent="0.35">
      <c r="A2755" s="75">
        <v>44151</v>
      </c>
      <c r="B2755" t="s">
        <v>155</v>
      </c>
      <c r="C2755" t="s">
        <v>102</v>
      </c>
      <c r="D2755">
        <v>5</v>
      </c>
      <c r="E2755">
        <v>5</v>
      </c>
      <c r="F2755" t="s">
        <v>10</v>
      </c>
      <c r="G2755" t="s">
        <v>74</v>
      </c>
      <c r="H2755" t="s">
        <v>77</v>
      </c>
      <c r="I2755">
        <v>80000000</v>
      </c>
      <c r="J2755" t="s">
        <v>35</v>
      </c>
      <c r="K2755" t="s">
        <v>5</v>
      </c>
      <c r="L2755" t="s">
        <v>67</v>
      </c>
      <c r="M2755" t="s">
        <v>82</v>
      </c>
      <c r="N2755" t="s">
        <v>12</v>
      </c>
    </row>
    <row r="2756" spans="1:14" x14ac:dyDescent="0.35">
      <c r="A2756" s="75">
        <v>44151</v>
      </c>
      <c r="B2756" t="s">
        <v>155</v>
      </c>
      <c r="C2756" t="s">
        <v>102</v>
      </c>
      <c r="D2756">
        <v>4</v>
      </c>
      <c r="E2756">
        <v>4</v>
      </c>
      <c r="F2756" t="s">
        <v>10</v>
      </c>
      <c r="G2756" t="s">
        <v>114</v>
      </c>
      <c r="H2756" t="s">
        <v>3</v>
      </c>
      <c r="I2756">
        <v>40000000</v>
      </c>
      <c r="J2756" t="s">
        <v>20</v>
      </c>
      <c r="K2756" t="s">
        <v>5</v>
      </c>
      <c r="L2756" t="s">
        <v>67</v>
      </c>
      <c r="M2756" t="s">
        <v>82</v>
      </c>
      <c r="N2756" t="s">
        <v>13</v>
      </c>
    </row>
    <row r="2757" spans="1:14" x14ac:dyDescent="0.35">
      <c r="A2757" s="75">
        <v>44151</v>
      </c>
      <c r="B2757" t="s">
        <v>155</v>
      </c>
      <c r="C2757" t="s">
        <v>102</v>
      </c>
      <c r="D2757">
        <v>4</v>
      </c>
      <c r="E2757">
        <v>4</v>
      </c>
      <c r="F2757" t="s">
        <v>10</v>
      </c>
      <c r="G2757" t="s">
        <v>73</v>
      </c>
      <c r="H2757" t="s">
        <v>78</v>
      </c>
      <c r="I2757">
        <v>100000000</v>
      </c>
      <c r="J2757" t="s">
        <v>40</v>
      </c>
      <c r="K2757" t="s">
        <v>5</v>
      </c>
      <c r="L2757" t="s">
        <v>67</v>
      </c>
      <c r="M2757" t="s">
        <v>82</v>
      </c>
      <c r="N2757" t="s">
        <v>12</v>
      </c>
    </row>
    <row r="2758" spans="1:14" x14ac:dyDescent="0.35">
      <c r="A2758" s="75">
        <v>44151</v>
      </c>
      <c r="B2758" t="s">
        <v>155</v>
      </c>
      <c r="C2758" t="s">
        <v>102</v>
      </c>
      <c r="D2758">
        <v>4</v>
      </c>
      <c r="E2758">
        <v>4</v>
      </c>
      <c r="F2758" t="s">
        <v>10</v>
      </c>
      <c r="G2758" t="s">
        <v>75</v>
      </c>
      <c r="H2758" t="s">
        <v>6</v>
      </c>
      <c r="I2758">
        <v>40000000</v>
      </c>
      <c r="J2758" t="s">
        <v>31</v>
      </c>
      <c r="K2758" t="s">
        <v>2</v>
      </c>
      <c r="L2758" t="s">
        <v>67</v>
      </c>
      <c r="M2758" t="s">
        <v>81</v>
      </c>
      <c r="N2758" t="s">
        <v>13</v>
      </c>
    </row>
    <row r="2759" spans="1:14" x14ac:dyDescent="0.35">
      <c r="A2759" s="75">
        <v>44151</v>
      </c>
      <c r="B2759" t="s">
        <v>155</v>
      </c>
      <c r="C2759" t="s">
        <v>102</v>
      </c>
      <c r="D2759">
        <v>3</v>
      </c>
      <c r="E2759">
        <v>3</v>
      </c>
      <c r="F2759" t="s">
        <v>10</v>
      </c>
      <c r="G2759" t="s">
        <v>73</v>
      </c>
      <c r="H2759" t="s">
        <v>78</v>
      </c>
      <c r="I2759">
        <v>140000000</v>
      </c>
      <c r="J2759" t="s">
        <v>49</v>
      </c>
      <c r="K2759" t="s">
        <v>2</v>
      </c>
      <c r="L2759" t="s">
        <v>67</v>
      </c>
      <c r="M2759" t="s">
        <v>80</v>
      </c>
      <c r="N2759" t="s">
        <v>11</v>
      </c>
    </row>
    <row r="2760" spans="1:14" x14ac:dyDescent="0.35">
      <c r="A2760" s="75">
        <v>44151</v>
      </c>
      <c r="B2760" t="s">
        <v>155</v>
      </c>
      <c r="C2760" t="s">
        <v>102</v>
      </c>
      <c r="D2760">
        <v>3</v>
      </c>
      <c r="E2760">
        <v>3</v>
      </c>
      <c r="F2760" t="s">
        <v>10</v>
      </c>
      <c r="G2760" t="s">
        <v>113</v>
      </c>
      <c r="H2760" t="s">
        <v>77</v>
      </c>
      <c r="I2760">
        <v>60000000</v>
      </c>
      <c r="J2760" t="s">
        <v>39</v>
      </c>
      <c r="K2760" t="s">
        <v>2</v>
      </c>
      <c r="L2760" t="s">
        <v>67</v>
      </c>
      <c r="M2760" t="s">
        <v>81</v>
      </c>
      <c r="N2760" t="s">
        <v>13</v>
      </c>
    </row>
    <row r="2761" spans="1:14" x14ac:dyDescent="0.35">
      <c r="A2761" s="75">
        <v>44152</v>
      </c>
      <c r="B2761" t="s">
        <v>156</v>
      </c>
      <c r="C2761" t="s">
        <v>102</v>
      </c>
      <c r="D2761">
        <v>10</v>
      </c>
      <c r="E2761">
        <v>10</v>
      </c>
      <c r="F2761" t="s">
        <v>10</v>
      </c>
      <c r="G2761" t="s">
        <v>71</v>
      </c>
      <c r="H2761" t="s">
        <v>6</v>
      </c>
      <c r="I2761">
        <v>100000000</v>
      </c>
      <c r="J2761" t="s">
        <v>24</v>
      </c>
      <c r="K2761" t="s">
        <v>5</v>
      </c>
      <c r="L2761" t="s">
        <v>67</v>
      </c>
      <c r="M2761" t="s">
        <v>82</v>
      </c>
      <c r="N2761" t="s">
        <v>11</v>
      </c>
    </row>
    <row r="2762" spans="1:14" x14ac:dyDescent="0.35">
      <c r="A2762" s="75">
        <v>44152</v>
      </c>
      <c r="B2762" t="s">
        <v>156</v>
      </c>
      <c r="C2762" t="s">
        <v>102</v>
      </c>
      <c r="D2762">
        <v>10</v>
      </c>
      <c r="E2762">
        <v>10</v>
      </c>
      <c r="F2762" t="s">
        <v>10</v>
      </c>
      <c r="G2762" t="s">
        <v>70</v>
      </c>
      <c r="H2762" t="s">
        <v>1</v>
      </c>
      <c r="I2762">
        <v>60000000</v>
      </c>
      <c r="J2762" t="s">
        <v>62</v>
      </c>
      <c r="K2762" t="s">
        <v>2</v>
      </c>
      <c r="L2762" t="s">
        <v>67</v>
      </c>
      <c r="M2762" t="s">
        <v>82</v>
      </c>
      <c r="N2762" t="s">
        <v>14</v>
      </c>
    </row>
    <row r="2763" spans="1:14" x14ac:dyDescent="0.35">
      <c r="A2763" s="75">
        <v>44152</v>
      </c>
      <c r="B2763" t="s">
        <v>156</v>
      </c>
      <c r="C2763" t="s">
        <v>102</v>
      </c>
      <c r="D2763">
        <v>10</v>
      </c>
      <c r="E2763">
        <v>10</v>
      </c>
      <c r="F2763" t="s">
        <v>10</v>
      </c>
      <c r="G2763" t="s">
        <v>76</v>
      </c>
      <c r="H2763" t="s">
        <v>79</v>
      </c>
      <c r="I2763">
        <v>100000000</v>
      </c>
      <c r="J2763" t="s">
        <v>15</v>
      </c>
      <c r="K2763" t="s">
        <v>5</v>
      </c>
      <c r="L2763" t="s">
        <v>67</v>
      </c>
      <c r="M2763" t="s">
        <v>80</v>
      </c>
      <c r="N2763" t="s">
        <v>13</v>
      </c>
    </row>
    <row r="2764" spans="1:14" x14ac:dyDescent="0.35">
      <c r="A2764" s="75">
        <v>44152</v>
      </c>
      <c r="B2764" t="s">
        <v>156</v>
      </c>
      <c r="C2764" t="s">
        <v>102</v>
      </c>
      <c r="D2764">
        <v>9</v>
      </c>
      <c r="E2764">
        <v>9</v>
      </c>
      <c r="F2764" t="s">
        <v>10</v>
      </c>
      <c r="G2764" t="s">
        <v>74</v>
      </c>
      <c r="H2764" t="s">
        <v>77</v>
      </c>
      <c r="I2764">
        <v>100000000</v>
      </c>
      <c r="J2764" t="s">
        <v>58</v>
      </c>
      <c r="K2764" t="s">
        <v>5</v>
      </c>
      <c r="L2764" t="s">
        <v>67</v>
      </c>
      <c r="M2764" t="s">
        <v>81</v>
      </c>
      <c r="N2764" t="s">
        <v>11</v>
      </c>
    </row>
    <row r="2765" spans="1:14" x14ac:dyDescent="0.35">
      <c r="A2765" s="75">
        <v>44152</v>
      </c>
      <c r="B2765" t="s">
        <v>156</v>
      </c>
      <c r="C2765" t="s">
        <v>102</v>
      </c>
      <c r="D2765">
        <v>7</v>
      </c>
      <c r="E2765">
        <v>7</v>
      </c>
      <c r="F2765" t="s">
        <v>10</v>
      </c>
      <c r="G2765" t="s">
        <v>73</v>
      </c>
      <c r="H2765" t="s">
        <v>78</v>
      </c>
      <c r="I2765">
        <v>80000000</v>
      </c>
      <c r="J2765" t="s">
        <v>44</v>
      </c>
      <c r="K2765" t="s">
        <v>2</v>
      </c>
      <c r="L2765" t="s">
        <v>67</v>
      </c>
      <c r="M2765" t="s">
        <v>82</v>
      </c>
      <c r="N2765" t="s">
        <v>13</v>
      </c>
    </row>
    <row r="2766" spans="1:14" x14ac:dyDescent="0.35">
      <c r="A2766" s="75">
        <v>44152</v>
      </c>
      <c r="B2766" t="s">
        <v>156</v>
      </c>
      <c r="C2766" t="s">
        <v>102</v>
      </c>
      <c r="D2766">
        <v>7</v>
      </c>
      <c r="E2766">
        <v>7</v>
      </c>
      <c r="F2766" t="s">
        <v>10</v>
      </c>
      <c r="G2766" t="s">
        <v>113</v>
      </c>
      <c r="H2766" t="s">
        <v>77</v>
      </c>
      <c r="I2766">
        <v>140000000</v>
      </c>
      <c r="J2766" t="s">
        <v>60</v>
      </c>
      <c r="K2766" t="s">
        <v>8</v>
      </c>
      <c r="L2766" t="s">
        <v>67</v>
      </c>
      <c r="M2766" t="s">
        <v>80</v>
      </c>
      <c r="N2766" t="s">
        <v>12</v>
      </c>
    </row>
    <row r="2767" spans="1:14" x14ac:dyDescent="0.35">
      <c r="A2767" s="75">
        <v>44152</v>
      </c>
      <c r="B2767" t="s">
        <v>156</v>
      </c>
      <c r="C2767" t="s">
        <v>102</v>
      </c>
      <c r="D2767">
        <v>7</v>
      </c>
      <c r="E2767">
        <v>7</v>
      </c>
      <c r="F2767" t="s">
        <v>10</v>
      </c>
      <c r="G2767" t="s">
        <v>113</v>
      </c>
      <c r="H2767" t="s">
        <v>77</v>
      </c>
      <c r="I2767">
        <v>140000000</v>
      </c>
      <c r="J2767" t="s">
        <v>53</v>
      </c>
      <c r="K2767" t="s">
        <v>5</v>
      </c>
      <c r="L2767" t="s">
        <v>67</v>
      </c>
      <c r="M2767" t="s">
        <v>80</v>
      </c>
      <c r="N2767" t="s">
        <v>13</v>
      </c>
    </row>
    <row r="2768" spans="1:14" x14ac:dyDescent="0.35">
      <c r="A2768" s="75">
        <v>44152</v>
      </c>
      <c r="B2768" t="s">
        <v>156</v>
      </c>
      <c r="C2768" t="s">
        <v>102</v>
      </c>
      <c r="D2768">
        <v>6</v>
      </c>
      <c r="E2768">
        <v>6</v>
      </c>
      <c r="F2768" t="s">
        <v>10</v>
      </c>
      <c r="G2768" t="s">
        <v>76</v>
      </c>
      <c r="H2768" t="s">
        <v>79</v>
      </c>
      <c r="I2768">
        <v>60000000</v>
      </c>
      <c r="J2768" t="s">
        <v>25</v>
      </c>
      <c r="K2768" t="s">
        <v>8</v>
      </c>
      <c r="L2768" t="s">
        <v>67</v>
      </c>
      <c r="M2768" t="s">
        <v>82</v>
      </c>
      <c r="N2768" t="s">
        <v>11</v>
      </c>
    </row>
    <row r="2769" spans="1:14" x14ac:dyDescent="0.35">
      <c r="A2769" s="75">
        <v>44152</v>
      </c>
      <c r="B2769" t="s">
        <v>156</v>
      </c>
      <c r="C2769" t="s">
        <v>102</v>
      </c>
      <c r="D2769">
        <v>6</v>
      </c>
      <c r="E2769">
        <v>6</v>
      </c>
      <c r="F2769" t="s">
        <v>10</v>
      </c>
      <c r="G2769" t="s">
        <v>113</v>
      </c>
      <c r="H2769" t="s">
        <v>77</v>
      </c>
      <c r="I2769">
        <v>120000000</v>
      </c>
      <c r="J2769" t="s">
        <v>27</v>
      </c>
      <c r="K2769" t="s">
        <v>4</v>
      </c>
      <c r="L2769" t="s">
        <v>67</v>
      </c>
      <c r="M2769" t="s">
        <v>81</v>
      </c>
      <c r="N2769" t="s">
        <v>13</v>
      </c>
    </row>
    <row r="2770" spans="1:14" x14ac:dyDescent="0.35">
      <c r="A2770" s="75">
        <v>44152</v>
      </c>
      <c r="B2770" t="s">
        <v>156</v>
      </c>
      <c r="C2770" t="s">
        <v>102</v>
      </c>
      <c r="D2770">
        <v>6</v>
      </c>
      <c r="E2770">
        <v>6</v>
      </c>
      <c r="F2770" t="s">
        <v>10</v>
      </c>
      <c r="G2770" t="s">
        <v>74</v>
      </c>
      <c r="H2770" t="s">
        <v>77</v>
      </c>
      <c r="I2770">
        <v>80000000</v>
      </c>
      <c r="J2770" t="s">
        <v>31</v>
      </c>
      <c r="K2770" t="s">
        <v>5</v>
      </c>
      <c r="L2770" t="s">
        <v>67</v>
      </c>
      <c r="M2770" t="s">
        <v>81</v>
      </c>
      <c r="N2770" t="s">
        <v>12</v>
      </c>
    </row>
    <row r="2771" spans="1:14" x14ac:dyDescent="0.35">
      <c r="A2771" s="75">
        <v>44152</v>
      </c>
      <c r="B2771" t="s">
        <v>156</v>
      </c>
      <c r="C2771" t="s">
        <v>102</v>
      </c>
      <c r="D2771">
        <v>4</v>
      </c>
      <c r="E2771">
        <v>4</v>
      </c>
      <c r="F2771" t="s">
        <v>10</v>
      </c>
      <c r="G2771" t="s">
        <v>70</v>
      </c>
      <c r="H2771" t="s">
        <v>1</v>
      </c>
      <c r="I2771">
        <v>40000000</v>
      </c>
      <c r="J2771" t="s">
        <v>48</v>
      </c>
      <c r="K2771" t="s">
        <v>2</v>
      </c>
      <c r="L2771" t="s">
        <v>67</v>
      </c>
      <c r="M2771" t="s">
        <v>81</v>
      </c>
      <c r="N2771" t="s">
        <v>14</v>
      </c>
    </row>
    <row r="2772" spans="1:14" x14ac:dyDescent="0.35">
      <c r="A2772" s="75">
        <v>44152</v>
      </c>
      <c r="B2772" t="s">
        <v>156</v>
      </c>
      <c r="C2772" t="s">
        <v>102</v>
      </c>
      <c r="D2772">
        <v>4</v>
      </c>
      <c r="E2772">
        <v>4</v>
      </c>
      <c r="F2772" t="s">
        <v>10</v>
      </c>
      <c r="G2772" t="s">
        <v>73</v>
      </c>
      <c r="H2772" t="s">
        <v>78</v>
      </c>
      <c r="I2772">
        <v>120000000</v>
      </c>
      <c r="J2772" t="s">
        <v>26</v>
      </c>
      <c r="K2772" t="s">
        <v>5</v>
      </c>
      <c r="L2772" t="s">
        <v>67</v>
      </c>
      <c r="M2772" t="s">
        <v>81</v>
      </c>
      <c r="N2772" t="s">
        <v>11</v>
      </c>
    </row>
    <row r="2773" spans="1:14" x14ac:dyDescent="0.35">
      <c r="A2773" s="75">
        <v>44152</v>
      </c>
      <c r="B2773" t="s">
        <v>156</v>
      </c>
      <c r="C2773" t="s">
        <v>102</v>
      </c>
      <c r="D2773">
        <v>3</v>
      </c>
      <c r="E2773">
        <v>3</v>
      </c>
      <c r="F2773" t="s">
        <v>10</v>
      </c>
      <c r="G2773" t="s">
        <v>74</v>
      </c>
      <c r="H2773" t="s">
        <v>77</v>
      </c>
      <c r="I2773">
        <v>60000000</v>
      </c>
      <c r="J2773" t="s">
        <v>23</v>
      </c>
      <c r="K2773" t="s">
        <v>2</v>
      </c>
      <c r="L2773" t="s">
        <v>67</v>
      </c>
      <c r="M2773" t="s">
        <v>81</v>
      </c>
      <c r="N2773" t="s">
        <v>14</v>
      </c>
    </row>
    <row r="2774" spans="1:14" x14ac:dyDescent="0.35">
      <c r="A2774" s="75">
        <v>44152</v>
      </c>
      <c r="B2774" t="s">
        <v>156</v>
      </c>
      <c r="C2774" t="s">
        <v>102</v>
      </c>
      <c r="D2774">
        <v>3</v>
      </c>
      <c r="E2774">
        <v>3</v>
      </c>
      <c r="F2774" t="s">
        <v>10</v>
      </c>
      <c r="G2774" t="s">
        <v>71</v>
      </c>
      <c r="H2774" t="s">
        <v>6</v>
      </c>
      <c r="I2774">
        <v>40000000</v>
      </c>
      <c r="J2774" t="s">
        <v>34</v>
      </c>
      <c r="K2774" t="s">
        <v>2</v>
      </c>
      <c r="L2774" t="s">
        <v>67</v>
      </c>
      <c r="M2774" t="s">
        <v>82</v>
      </c>
      <c r="N2774" t="s">
        <v>11</v>
      </c>
    </row>
    <row r="2775" spans="1:14" x14ac:dyDescent="0.35">
      <c r="A2775" s="75">
        <v>44153</v>
      </c>
      <c r="B2775" t="s">
        <v>157</v>
      </c>
      <c r="C2775" t="s">
        <v>102</v>
      </c>
      <c r="D2775">
        <v>10</v>
      </c>
      <c r="E2775">
        <v>10</v>
      </c>
      <c r="F2775" t="s">
        <v>10</v>
      </c>
      <c r="G2775" t="s">
        <v>70</v>
      </c>
      <c r="H2775" t="s">
        <v>1</v>
      </c>
      <c r="I2775">
        <v>40000000</v>
      </c>
      <c r="J2775" t="s">
        <v>39</v>
      </c>
      <c r="K2775" t="s">
        <v>5</v>
      </c>
      <c r="L2775" t="s">
        <v>86</v>
      </c>
      <c r="M2775" t="s">
        <v>83</v>
      </c>
      <c r="N2775" t="s">
        <v>14</v>
      </c>
    </row>
    <row r="2776" spans="1:14" x14ac:dyDescent="0.35">
      <c r="A2776" s="75">
        <v>44153</v>
      </c>
      <c r="B2776" t="s">
        <v>157</v>
      </c>
      <c r="C2776" t="s">
        <v>102</v>
      </c>
      <c r="D2776">
        <v>9</v>
      </c>
      <c r="E2776">
        <v>9</v>
      </c>
      <c r="F2776" t="s">
        <v>10</v>
      </c>
      <c r="G2776" t="s">
        <v>70</v>
      </c>
      <c r="H2776" t="s">
        <v>1</v>
      </c>
      <c r="I2776">
        <v>80000000</v>
      </c>
      <c r="J2776" t="s">
        <v>52</v>
      </c>
      <c r="K2776" t="s">
        <v>5</v>
      </c>
      <c r="L2776" t="s">
        <v>67</v>
      </c>
      <c r="M2776" t="s">
        <v>81</v>
      </c>
      <c r="N2776" t="s">
        <v>12</v>
      </c>
    </row>
    <row r="2777" spans="1:14" x14ac:dyDescent="0.35">
      <c r="A2777" s="75">
        <v>44153</v>
      </c>
      <c r="B2777" t="s">
        <v>157</v>
      </c>
      <c r="C2777" t="s">
        <v>102</v>
      </c>
      <c r="D2777">
        <v>9</v>
      </c>
      <c r="E2777">
        <v>9</v>
      </c>
      <c r="F2777" t="s">
        <v>10</v>
      </c>
      <c r="G2777" t="s">
        <v>114</v>
      </c>
      <c r="H2777" t="s">
        <v>3</v>
      </c>
      <c r="I2777">
        <v>140000000</v>
      </c>
      <c r="J2777" t="s">
        <v>37</v>
      </c>
      <c r="K2777" t="s">
        <v>7</v>
      </c>
      <c r="L2777" t="s">
        <v>86</v>
      </c>
      <c r="M2777" t="s">
        <v>83</v>
      </c>
      <c r="N2777" t="s">
        <v>11</v>
      </c>
    </row>
    <row r="2778" spans="1:14" x14ac:dyDescent="0.35">
      <c r="A2778" s="75">
        <v>44153</v>
      </c>
      <c r="B2778" t="s">
        <v>157</v>
      </c>
      <c r="C2778" t="s">
        <v>102</v>
      </c>
      <c r="D2778">
        <v>5</v>
      </c>
      <c r="E2778">
        <v>5</v>
      </c>
      <c r="F2778" t="s">
        <v>10</v>
      </c>
      <c r="G2778" t="s">
        <v>76</v>
      </c>
      <c r="H2778" t="s">
        <v>79</v>
      </c>
      <c r="I2778">
        <v>60000000</v>
      </c>
      <c r="J2778" t="s">
        <v>23</v>
      </c>
      <c r="K2778" t="s">
        <v>9</v>
      </c>
      <c r="L2778" t="s">
        <v>67</v>
      </c>
      <c r="M2778" t="s">
        <v>81</v>
      </c>
      <c r="N2778" t="s">
        <v>11</v>
      </c>
    </row>
    <row r="2779" spans="1:14" x14ac:dyDescent="0.35">
      <c r="A2779" s="75">
        <v>44153</v>
      </c>
      <c r="B2779" t="s">
        <v>157</v>
      </c>
      <c r="C2779" t="s">
        <v>102</v>
      </c>
      <c r="D2779">
        <v>3</v>
      </c>
      <c r="E2779">
        <v>3</v>
      </c>
      <c r="F2779" t="s">
        <v>10</v>
      </c>
      <c r="G2779" t="s">
        <v>114</v>
      </c>
      <c r="H2779" t="s">
        <v>3</v>
      </c>
      <c r="I2779">
        <v>100000000</v>
      </c>
      <c r="J2779" t="s">
        <v>18</v>
      </c>
      <c r="K2779" t="s">
        <v>5</v>
      </c>
      <c r="L2779" t="s">
        <v>67</v>
      </c>
      <c r="M2779" t="s">
        <v>82</v>
      </c>
      <c r="N2779" t="s">
        <v>13</v>
      </c>
    </row>
    <row r="2780" spans="1:14" x14ac:dyDescent="0.35">
      <c r="A2780" s="75">
        <v>44153</v>
      </c>
      <c r="B2780" t="s">
        <v>157</v>
      </c>
      <c r="C2780" t="s">
        <v>102</v>
      </c>
      <c r="D2780">
        <v>3</v>
      </c>
      <c r="E2780">
        <v>3</v>
      </c>
      <c r="F2780" t="s">
        <v>10</v>
      </c>
      <c r="G2780" t="s">
        <v>73</v>
      </c>
      <c r="H2780" t="s">
        <v>78</v>
      </c>
      <c r="I2780">
        <v>60000000</v>
      </c>
      <c r="J2780" t="s">
        <v>48</v>
      </c>
      <c r="K2780" t="s">
        <v>7</v>
      </c>
      <c r="L2780" t="s">
        <v>86</v>
      </c>
      <c r="M2780" t="s">
        <v>83</v>
      </c>
      <c r="N2780" t="s">
        <v>12</v>
      </c>
    </row>
    <row r="2781" spans="1:14" x14ac:dyDescent="0.35">
      <c r="A2781" s="75">
        <v>44153</v>
      </c>
      <c r="B2781" t="s">
        <v>157</v>
      </c>
      <c r="C2781" t="s">
        <v>102</v>
      </c>
      <c r="D2781">
        <v>3</v>
      </c>
      <c r="E2781">
        <v>3</v>
      </c>
      <c r="F2781" t="s">
        <v>10</v>
      </c>
      <c r="G2781" t="s">
        <v>73</v>
      </c>
      <c r="H2781" t="s">
        <v>78</v>
      </c>
      <c r="I2781">
        <v>40000000</v>
      </c>
      <c r="J2781" t="s">
        <v>55</v>
      </c>
      <c r="K2781" t="s">
        <v>8</v>
      </c>
      <c r="L2781" t="s">
        <v>86</v>
      </c>
      <c r="M2781" t="s">
        <v>83</v>
      </c>
      <c r="N2781" t="s">
        <v>14</v>
      </c>
    </row>
    <row r="2782" spans="1:14" x14ac:dyDescent="0.35">
      <c r="A2782" s="75">
        <v>44154</v>
      </c>
      <c r="B2782" t="s">
        <v>158</v>
      </c>
      <c r="C2782" t="s">
        <v>102</v>
      </c>
      <c r="D2782">
        <v>8</v>
      </c>
      <c r="E2782">
        <v>8</v>
      </c>
      <c r="F2782" t="s">
        <v>10</v>
      </c>
      <c r="G2782" t="s">
        <v>75</v>
      </c>
      <c r="H2782" t="s">
        <v>6</v>
      </c>
      <c r="I2782">
        <v>100000000</v>
      </c>
      <c r="J2782" t="s">
        <v>44</v>
      </c>
      <c r="K2782" t="s">
        <v>5</v>
      </c>
      <c r="L2782" t="s">
        <v>86</v>
      </c>
      <c r="M2782" t="s">
        <v>83</v>
      </c>
      <c r="N2782" t="s">
        <v>13</v>
      </c>
    </row>
    <row r="2783" spans="1:14" x14ac:dyDescent="0.35">
      <c r="A2783" s="75">
        <v>44154</v>
      </c>
      <c r="B2783" t="s">
        <v>158</v>
      </c>
      <c r="C2783" t="s">
        <v>102</v>
      </c>
      <c r="D2783">
        <v>8</v>
      </c>
      <c r="E2783">
        <v>8</v>
      </c>
      <c r="F2783" t="s">
        <v>10</v>
      </c>
      <c r="G2783" t="s">
        <v>70</v>
      </c>
      <c r="H2783" t="s">
        <v>1</v>
      </c>
      <c r="I2783">
        <v>60000000</v>
      </c>
      <c r="J2783" t="s">
        <v>21</v>
      </c>
      <c r="K2783" t="s">
        <v>2</v>
      </c>
      <c r="L2783" t="s">
        <v>86</v>
      </c>
      <c r="M2783" t="s">
        <v>83</v>
      </c>
      <c r="N2783" t="s">
        <v>14</v>
      </c>
    </row>
    <row r="2784" spans="1:14" x14ac:dyDescent="0.35">
      <c r="A2784" s="75">
        <v>44154</v>
      </c>
      <c r="B2784" t="s">
        <v>158</v>
      </c>
      <c r="C2784" t="s">
        <v>102</v>
      </c>
      <c r="D2784">
        <v>8</v>
      </c>
      <c r="E2784">
        <v>8</v>
      </c>
      <c r="F2784" t="s">
        <v>10</v>
      </c>
      <c r="G2784" t="s">
        <v>73</v>
      </c>
      <c r="H2784" t="s">
        <v>78</v>
      </c>
      <c r="I2784">
        <v>40000000</v>
      </c>
      <c r="J2784" t="s">
        <v>40</v>
      </c>
      <c r="K2784" t="s">
        <v>2</v>
      </c>
      <c r="L2784" t="s">
        <v>86</v>
      </c>
      <c r="M2784" t="s">
        <v>83</v>
      </c>
      <c r="N2784" t="s">
        <v>11</v>
      </c>
    </row>
    <row r="2785" spans="1:14" x14ac:dyDescent="0.35">
      <c r="A2785" s="75">
        <v>44154</v>
      </c>
      <c r="B2785" t="s">
        <v>158</v>
      </c>
      <c r="C2785" t="s">
        <v>102</v>
      </c>
      <c r="D2785">
        <v>6</v>
      </c>
      <c r="E2785">
        <v>6</v>
      </c>
      <c r="F2785" t="s">
        <v>10</v>
      </c>
      <c r="G2785" t="s">
        <v>71</v>
      </c>
      <c r="H2785" t="s">
        <v>6</v>
      </c>
      <c r="I2785">
        <v>120000000</v>
      </c>
      <c r="J2785" t="s">
        <v>52</v>
      </c>
      <c r="K2785" t="s">
        <v>5</v>
      </c>
      <c r="L2785" t="s">
        <v>86</v>
      </c>
      <c r="M2785" t="s">
        <v>83</v>
      </c>
      <c r="N2785" t="s">
        <v>14</v>
      </c>
    </row>
    <row r="2786" spans="1:14" x14ac:dyDescent="0.35">
      <c r="A2786" s="75">
        <v>44154</v>
      </c>
      <c r="B2786" t="s">
        <v>158</v>
      </c>
      <c r="C2786" t="s">
        <v>102</v>
      </c>
      <c r="D2786">
        <v>6</v>
      </c>
      <c r="E2786">
        <v>6</v>
      </c>
      <c r="F2786" t="s">
        <v>10</v>
      </c>
      <c r="G2786" t="s">
        <v>75</v>
      </c>
      <c r="H2786" t="s">
        <v>6</v>
      </c>
      <c r="I2786">
        <v>120000000</v>
      </c>
      <c r="J2786" t="s">
        <v>46</v>
      </c>
      <c r="K2786" t="s">
        <v>7</v>
      </c>
      <c r="L2786" t="s">
        <v>86</v>
      </c>
      <c r="M2786" t="s">
        <v>83</v>
      </c>
      <c r="N2786" t="s">
        <v>14</v>
      </c>
    </row>
    <row r="2787" spans="1:14" x14ac:dyDescent="0.35">
      <c r="A2787" s="75">
        <v>44154</v>
      </c>
      <c r="B2787" t="s">
        <v>158</v>
      </c>
      <c r="C2787" t="s">
        <v>102</v>
      </c>
      <c r="D2787">
        <v>5</v>
      </c>
      <c r="E2787">
        <v>5</v>
      </c>
      <c r="F2787" t="s">
        <v>10</v>
      </c>
      <c r="G2787" t="s">
        <v>114</v>
      </c>
      <c r="H2787" t="s">
        <v>3</v>
      </c>
      <c r="I2787">
        <v>100000000</v>
      </c>
      <c r="J2787" t="s">
        <v>56</v>
      </c>
      <c r="K2787" t="s">
        <v>4</v>
      </c>
      <c r="L2787" t="s">
        <v>86</v>
      </c>
      <c r="M2787" t="s">
        <v>83</v>
      </c>
      <c r="N2787" t="s">
        <v>13</v>
      </c>
    </row>
    <row r="2788" spans="1:14" x14ac:dyDescent="0.35">
      <c r="A2788" s="75">
        <v>44154</v>
      </c>
      <c r="B2788" t="s">
        <v>158</v>
      </c>
      <c r="C2788" t="s">
        <v>102</v>
      </c>
      <c r="D2788">
        <v>4</v>
      </c>
      <c r="E2788">
        <v>4</v>
      </c>
      <c r="F2788" t="s">
        <v>10</v>
      </c>
      <c r="G2788" t="s">
        <v>73</v>
      </c>
      <c r="H2788" t="s">
        <v>78</v>
      </c>
      <c r="I2788">
        <v>80000000</v>
      </c>
      <c r="J2788" t="s">
        <v>54</v>
      </c>
      <c r="K2788" t="s">
        <v>2</v>
      </c>
      <c r="L2788" t="s">
        <v>86</v>
      </c>
      <c r="M2788" t="s">
        <v>83</v>
      </c>
      <c r="N2788" t="s">
        <v>11</v>
      </c>
    </row>
    <row r="2789" spans="1:14" x14ac:dyDescent="0.35">
      <c r="A2789" s="75">
        <v>44154</v>
      </c>
      <c r="B2789" t="s">
        <v>158</v>
      </c>
      <c r="C2789" t="s">
        <v>102</v>
      </c>
      <c r="D2789">
        <v>3</v>
      </c>
      <c r="E2789">
        <v>3</v>
      </c>
      <c r="F2789" t="s">
        <v>10</v>
      </c>
      <c r="G2789" t="s">
        <v>114</v>
      </c>
      <c r="H2789" t="s">
        <v>3</v>
      </c>
      <c r="I2789">
        <v>140000000</v>
      </c>
      <c r="J2789" t="s">
        <v>23</v>
      </c>
      <c r="K2789" t="s">
        <v>2</v>
      </c>
      <c r="L2789" t="s">
        <v>86</v>
      </c>
      <c r="M2789" t="s">
        <v>83</v>
      </c>
      <c r="N2789" t="s">
        <v>13</v>
      </c>
    </row>
    <row r="2790" spans="1:14" x14ac:dyDescent="0.35">
      <c r="A2790" s="75">
        <v>44155</v>
      </c>
      <c r="B2790" t="s">
        <v>159</v>
      </c>
      <c r="C2790" t="s">
        <v>102</v>
      </c>
      <c r="D2790">
        <v>8</v>
      </c>
      <c r="E2790">
        <v>8</v>
      </c>
      <c r="F2790" t="s">
        <v>10</v>
      </c>
      <c r="G2790" t="s">
        <v>71</v>
      </c>
      <c r="H2790" t="s">
        <v>6</v>
      </c>
      <c r="I2790">
        <v>120000000</v>
      </c>
      <c r="J2790" t="s">
        <v>19</v>
      </c>
      <c r="K2790" t="s">
        <v>7</v>
      </c>
      <c r="L2790" t="s">
        <v>86</v>
      </c>
      <c r="M2790" t="s">
        <v>83</v>
      </c>
      <c r="N2790" t="s">
        <v>11</v>
      </c>
    </row>
    <row r="2791" spans="1:14" x14ac:dyDescent="0.35">
      <c r="A2791" s="75">
        <v>44155</v>
      </c>
      <c r="B2791" t="s">
        <v>159</v>
      </c>
      <c r="C2791" t="s">
        <v>102</v>
      </c>
      <c r="D2791">
        <v>7</v>
      </c>
      <c r="E2791">
        <v>7</v>
      </c>
      <c r="F2791" t="s">
        <v>10</v>
      </c>
      <c r="G2791" t="s">
        <v>76</v>
      </c>
      <c r="H2791" t="s">
        <v>79</v>
      </c>
      <c r="I2791">
        <v>120000000</v>
      </c>
      <c r="J2791" t="s">
        <v>40</v>
      </c>
      <c r="K2791" t="s">
        <v>4</v>
      </c>
      <c r="L2791" t="s">
        <v>86</v>
      </c>
      <c r="M2791" t="s">
        <v>83</v>
      </c>
      <c r="N2791" t="s">
        <v>14</v>
      </c>
    </row>
    <row r="2792" spans="1:14" x14ac:dyDescent="0.35">
      <c r="A2792" s="75">
        <v>44155</v>
      </c>
      <c r="B2792" t="s">
        <v>159</v>
      </c>
      <c r="C2792" t="s">
        <v>102</v>
      </c>
      <c r="D2792">
        <v>7</v>
      </c>
      <c r="E2792">
        <v>7</v>
      </c>
      <c r="F2792" t="s">
        <v>10</v>
      </c>
      <c r="G2792" t="s">
        <v>73</v>
      </c>
      <c r="H2792" t="s">
        <v>78</v>
      </c>
      <c r="I2792">
        <v>100000000</v>
      </c>
      <c r="J2792" t="s">
        <v>30</v>
      </c>
      <c r="K2792" t="s">
        <v>5</v>
      </c>
      <c r="L2792" t="s">
        <v>86</v>
      </c>
      <c r="M2792" t="s">
        <v>83</v>
      </c>
      <c r="N2792" t="s">
        <v>12</v>
      </c>
    </row>
    <row r="2793" spans="1:14" x14ac:dyDescent="0.35">
      <c r="A2793" s="75">
        <v>44155</v>
      </c>
      <c r="B2793" t="s">
        <v>159</v>
      </c>
      <c r="C2793" t="s">
        <v>102</v>
      </c>
      <c r="D2793">
        <v>6</v>
      </c>
      <c r="E2793">
        <v>6</v>
      </c>
      <c r="F2793" t="s">
        <v>10</v>
      </c>
      <c r="G2793" t="s">
        <v>75</v>
      </c>
      <c r="H2793" t="s">
        <v>6</v>
      </c>
      <c r="I2793">
        <v>60000000</v>
      </c>
      <c r="J2793" t="s">
        <v>59</v>
      </c>
      <c r="K2793" t="s">
        <v>2</v>
      </c>
      <c r="L2793" t="s">
        <v>86</v>
      </c>
      <c r="M2793" t="s">
        <v>83</v>
      </c>
      <c r="N2793" t="s">
        <v>13</v>
      </c>
    </row>
    <row r="2794" spans="1:14" x14ac:dyDescent="0.35">
      <c r="A2794" s="75">
        <v>44155</v>
      </c>
      <c r="B2794" t="s">
        <v>159</v>
      </c>
      <c r="C2794" t="s">
        <v>102</v>
      </c>
      <c r="D2794">
        <v>6</v>
      </c>
      <c r="E2794">
        <v>6</v>
      </c>
      <c r="F2794" t="s">
        <v>10</v>
      </c>
      <c r="G2794" t="s">
        <v>72</v>
      </c>
      <c r="H2794" t="s">
        <v>78</v>
      </c>
      <c r="I2794">
        <v>100000000</v>
      </c>
      <c r="J2794" t="s">
        <v>45</v>
      </c>
      <c r="K2794" t="s">
        <v>5</v>
      </c>
      <c r="L2794" t="s">
        <v>86</v>
      </c>
      <c r="M2794" t="s">
        <v>83</v>
      </c>
      <c r="N2794" t="s">
        <v>13</v>
      </c>
    </row>
    <row r="2795" spans="1:14" x14ac:dyDescent="0.35">
      <c r="A2795" s="75">
        <v>44155</v>
      </c>
      <c r="B2795" t="s">
        <v>159</v>
      </c>
      <c r="C2795" t="s">
        <v>102</v>
      </c>
      <c r="D2795">
        <v>6</v>
      </c>
      <c r="E2795">
        <v>6</v>
      </c>
      <c r="F2795" t="s">
        <v>10</v>
      </c>
      <c r="G2795" t="s">
        <v>114</v>
      </c>
      <c r="H2795" t="s">
        <v>3</v>
      </c>
      <c r="I2795">
        <v>120000000</v>
      </c>
      <c r="J2795" t="s">
        <v>46</v>
      </c>
      <c r="K2795" t="s">
        <v>5</v>
      </c>
      <c r="L2795" t="s">
        <v>86</v>
      </c>
      <c r="M2795" t="s">
        <v>83</v>
      </c>
      <c r="N2795" t="s">
        <v>14</v>
      </c>
    </row>
    <row r="2796" spans="1:14" x14ac:dyDescent="0.35">
      <c r="A2796" s="75">
        <v>44155</v>
      </c>
      <c r="B2796" t="s">
        <v>159</v>
      </c>
      <c r="C2796" t="s">
        <v>102</v>
      </c>
      <c r="D2796">
        <v>3</v>
      </c>
      <c r="E2796">
        <v>3</v>
      </c>
      <c r="F2796" t="s">
        <v>10</v>
      </c>
      <c r="G2796" t="s">
        <v>74</v>
      </c>
      <c r="H2796" t="s">
        <v>77</v>
      </c>
      <c r="I2796">
        <v>120000000</v>
      </c>
      <c r="J2796" t="s">
        <v>41</v>
      </c>
      <c r="K2796" t="s">
        <v>7</v>
      </c>
      <c r="L2796" t="s">
        <v>86</v>
      </c>
      <c r="M2796" t="s">
        <v>83</v>
      </c>
      <c r="N2796" t="s">
        <v>13</v>
      </c>
    </row>
    <row r="2797" spans="1:14" x14ac:dyDescent="0.35">
      <c r="A2797" s="75">
        <v>44156</v>
      </c>
      <c r="B2797" t="s">
        <v>160</v>
      </c>
      <c r="C2797" t="s">
        <v>102</v>
      </c>
      <c r="D2797">
        <v>10</v>
      </c>
      <c r="E2797">
        <v>10</v>
      </c>
      <c r="F2797" t="s">
        <v>10</v>
      </c>
      <c r="G2797" t="s">
        <v>74</v>
      </c>
      <c r="H2797" t="s">
        <v>77</v>
      </c>
      <c r="I2797">
        <v>60000000</v>
      </c>
      <c r="J2797" t="s">
        <v>60</v>
      </c>
      <c r="K2797" t="s">
        <v>5</v>
      </c>
      <c r="L2797" t="s">
        <v>86</v>
      </c>
      <c r="M2797" t="s">
        <v>83</v>
      </c>
      <c r="N2797" t="s">
        <v>13</v>
      </c>
    </row>
    <row r="2798" spans="1:14" x14ac:dyDescent="0.35">
      <c r="A2798" s="75">
        <v>44156</v>
      </c>
      <c r="B2798" t="s">
        <v>160</v>
      </c>
      <c r="C2798" t="s">
        <v>102</v>
      </c>
      <c r="D2798">
        <v>10</v>
      </c>
      <c r="E2798">
        <v>10</v>
      </c>
      <c r="F2798" t="s">
        <v>10</v>
      </c>
      <c r="G2798" t="s">
        <v>70</v>
      </c>
      <c r="H2798" t="s">
        <v>1</v>
      </c>
      <c r="I2798">
        <v>100000000</v>
      </c>
      <c r="J2798" t="s">
        <v>35</v>
      </c>
      <c r="K2798" t="s">
        <v>4</v>
      </c>
      <c r="L2798" t="s">
        <v>86</v>
      </c>
      <c r="M2798" t="s">
        <v>83</v>
      </c>
      <c r="N2798" t="s">
        <v>11</v>
      </c>
    </row>
    <row r="2799" spans="1:14" x14ac:dyDescent="0.35">
      <c r="A2799" s="75">
        <v>44156</v>
      </c>
      <c r="B2799" t="s">
        <v>160</v>
      </c>
      <c r="C2799" t="s">
        <v>102</v>
      </c>
      <c r="D2799">
        <v>10</v>
      </c>
      <c r="E2799">
        <v>10</v>
      </c>
      <c r="F2799" t="s">
        <v>10</v>
      </c>
      <c r="G2799" t="s">
        <v>70</v>
      </c>
      <c r="H2799" t="s">
        <v>1</v>
      </c>
      <c r="I2799">
        <v>40000000</v>
      </c>
      <c r="J2799" t="s">
        <v>30</v>
      </c>
      <c r="K2799" t="s">
        <v>5</v>
      </c>
      <c r="L2799" t="s">
        <v>86</v>
      </c>
      <c r="M2799" t="s">
        <v>83</v>
      </c>
      <c r="N2799" t="s">
        <v>12</v>
      </c>
    </row>
    <row r="2800" spans="1:14" x14ac:dyDescent="0.35">
      <c r="A2800" s="75">
        <v>44156</v>
      </c>
      <c r="B2800" t="s">
        <v>160</v>
      </c>
      <c r="C2800" t="s">
        <v>102</v>
      </c>
      <c r="D2800">
        <v>10</v>
      </c>
      <c r="E2800">
        <v>10</v>
      </c>
      <c r="F2800" t="s">
        <v>10</v>
      </c>
      <c r="G2800" t="s">
        <v>72</v>
      </c>
      <c r="H2800" t="s">
        <v>78</v>
      </c>
      <c r="I2800">
        <v>80000000</v>
      </c>
      <c r="J2800" t="s">
        <v>20</v>
      </c>
      <c r="K2800" t="s">
        <v>2</v>
      </c>
      <c r="L2800" t="s">
        <v>86</v>
      </c>
      <c r="M2800" t="s">
        <v>83</v>
      </c>
      <c r="N2800" t="s">
        <v>11</v>
      </c>
    </row>
    <row r="2801" spans="1:14" x14ac:dyDescent="0.35">
      <c r="A2801" s="75">
        <v>44156</v>
      </c>
      <c r="B2801" t="s">
        <v>160</v>
      </c>
      <c r="C2801" t="s">
        <v>102</v>
      </c>
      <c r="D2801">
        <v>9</v>
      </c>
      <c r="E2801">
        <v>9</v>
      </c>
      <c r="F2801" t="s">
        <v>10</v>
      </c>
      <c r="G2801" t="s">
        <v>76</v>
      </c>
      <c r="H2801" t="s">
        <v>79</v>
      </c>
      <c r="I2801">
        <v>40000000</v>
      </c>
      <c r="J2801" t="s">
        <v>44</v>
      </c>
      <c r="K2801" t="s">
        <v>2</v>
      </c>
      <c r="L2801" t="s">
        <v>86</v>
      </c>
      <c r="M2801" t="s">
        <v>83</v>
      </c>
      <c r="N2801" t="s">
        <v>11</v>
      </c>
    </row>
    <row r="2802" spans="1:14" x14ac:dyDescent="0.35">
      <c r="A2802" s="75">
        <v>44156</v>
      </c>
      <c r="B2802" t="s">
        <v>160</v>
      </c>
      <c r="C2802" t="s">
        <v>102</v>
      </c>
      <c r="D2802">
        <v>8</v>
      </c>
      <c r="E2802">
        <v>8</v>
      </c>
      <c r="F2802" t="s">
        <v>10</v>
      </c>
      <c r="G2802" t="s">
        <v>71</v>
      </c>
      <c r="H2802" t="s">
        <v>6</v>
      </c>
      <c r="I2802">
        <v>60000000</v>
      </c>
      <c r="J2802" t="s">
        <v>25</v>
      </c>
      <c r="K2802" t="s">
        <v>2</v>
      </c>
      <c r="L2802" t="s">
        <v>86</v>
      </c>
      <c r="M2802" t="s">
        <v>83</v>
      </c>
      <c r="N2802" t="s">
        <v>12</v>
      </c>
    </row>
    <row r="2803" spans="1:14" x14ac:dyDescent="0.35">
      <c r="A2803" s="75">
        <v>44156</v>
      </c>
      <c r="B2803" t="s">
        <v>160</v>
      </c>
      <c r="C2803" t="s">
        <v>102</v>
      </c>
      <c r="D2803">
        <v>7</v>
      </c>
      <c r="E2803">
        <v>7</v>
      </c>
      <c r="F2803" t="s">
        <v>10</v>
      </c>
      <c r="G2803" t="s">
        <v>75</v>
      </c>
      <c r="H2803" t="s">
        <v>6</v>
      </c>
      <c r="I2803">
        <v>120000000</v>
      </c>
      <c r="J2803" t="s">
        <v>22</v>
      </c>
      <c r="K2803" t="s">
        <v>5</v>
      </c>
      <c r="L2803" t="s">
        <v>86</v>
      </c>
      <c r="M2803" t="s">
        <v>83</v>
      </c>
      <c r="N2803" t="s">
        <v>14</v>
      </c>
    </row>
    <row r="2804" spans="1:14" x14ac:dyDescent="0.35">
      <c r="A2804" s="75">
        <v>44156</v>
      </c>
      <c r="B2804" t="s">
        <v>160</v>
      </c>
      <c r="C2804" t="s">
        <v>102</v>
      </c>
      <c r="D2804">
        <v>7</v>
      </c>
      <c r="E2804">
        <v>7</v>
      </c>
      <c r="F2804" t="s">
        <v>10</v>
      </c>
      <c r="G2804" t="s">
        <v>113</v>
      </c>
      <c r="H2804" t="s">
        <v>77</v>
      </c>
      <c r="I2804">
        <v>140000000</v>
      </c>
      <c r="J2804" t="s">
        <v>64</v>
      </c>
      <c r="K2804" t="s">
        <v>5</v>
      </c>
      <c r="L2804" t="s">
        <v>86</v>
      </c>
      <c r="M2804" t="s">
        <v>83</v>
      </c>
      <c r="N2804" t="s">
        <v>12</v>
      </c>
    </row>
    <row r="2805" spans="1:14" x14ac:dyDescent="0.35">
      <c r="A2805" s="75">
        <v>44156</v>
      </c>
      <c r="B2805" t="s">
        <v>160</v>
      </c>
      <c r="C2805" t="s">
        <v>102</v>
      </c>
      <c r="D2805">
        <v>7</v>
      </c>
      <c r="E2805">
        <v>7</v>
      </c>
      <c r="F2805" t="s">
        <v>10</v>
      </c>
      <c r="G2805" t="s">
        <v>113</v>
      </c>
      <c r="H2805" t="s">
        <v>77</v>
      </c>
      <c r="I2805">
        <v>40000000</v>
      </c>
      <c r="J2805" t="s">
        <v>50</v>
      </c>
      <c r="K2805" t="s">
        <v>2</v>
      </c>
      <c r="L2805" t="s">
        <v>86</v>
      </c>
      <c r="M2805" t="s">
        <v>83</v>
      </c>
      <c r="N2805" t="s">
        <v>14</v>
      </c>
    </row>
    <row r="2806" spans="1:14" x14ac:dyDescent="0.35">
      <c r="A2806" s="75">
        <v>44156</v>
      </c>
      <c r="B2806" t="s">
        <v>160</v>
      </c>
      <c r="C2806" t="s">
        <v>102</v>
      </c>
      <c r="D2806">
        <v>6</v>
      </c>
      <c r="E2806">
        <v>6</v>
      </c>
      <c r="F2806" t="s">
        <v>10</v>
      </c>
      <c r="G2806" t="s">
        <v>73</v>
      </c>
      <c r="H2806" t="s">
        <v>78</v>
      </c>
      <c r="I2806">
        <v>40000000</v>
      </c>
      <c r="J2806" t="s">
        <v>64</v>
      </c>
      <c r="K2806" t="s">
        <v>2</v>
      </c>
      <c r="L2806" t="s">
        <v>86</v>
      </c>
      <c r="M2806" t="s">
        <v>83</v>
      </c>
      <c r="N2806" t="s">
        <v>13</v>
      </c>
    </row>
    <row r="2807" spans="1:14" x14ac:dyDescent="0.35">
      <c r="A2807" s="75">
        <v>44156</v>
      </c>
      <c r="B2807" t="s">
        <v>160</v>
      </c>
      <c r="C2807" t="s">
        <v>102</v>
      </c>
      <c r="D2807">
        <v>4</v>
      </c>
      <c r="E2807">
        <v>4</v>
      </c>
      <c r="F2807" t="s">
        <v>10</v>
      </c>
      <c r="G2807" t="s">
        <v>73</v>
      </c>
      <c r="H2807" t="s">
        <v>78</v>
      </c>
      <c r="I2807">
        <v>100000000</v>
      </c>
      <c r="J2807" t="s">
        <v>55</v>
      </c>
      <c r="K2807" t="s">
        <v>2</v>
      </c>
      <c r="L2807" t="s">
        <v>86</v>
      </c>
      <c r="M2807" t="s">
        <v>83</v>
      </c>
      <c r="N2807" t="s">
        <v>14</v>
      </c>
    </row>
    <row r="2808" spans="1:14" x14ac:dyDescent="0.35">
      <c r="A2808" s="75">
        <v>44156</v>
      </c>
      <c r="B2808" t="s">
        <v>160</v>
      </c>
      <c r="C2808" t="s">
        <v>102</v>
      </c>
      <c r="D2808">
        <v>4</v>
      </c>
      <c r="E2808">
        <v>4</v>
      </c>
      <c r="F2808" t="s">
        <v>10</v>
      </c>
      <c r="G2808" t="s">
        <v>74</v>
      </c>
      <c r="H2808" t="s">
        <v>77</v>
      </c>
      <c r="I2808">
        <v>100000000</v>
      </c>
      <c r="J2808" t="s">
        <v>64</v>
      </c>
      <c r="K2808" t="s">
        <v>7</v>
      </c>
      <c r="L2808" t="s">
        <v>86</v>
      </c>
      <c r="M2808" t="s">
        <v>83</v>
      </c>
      <c r="N2808" t="s">
        <v>12</v>
      </c>
    </row>
    <row r="2809" spans="1:14" x14ac:dyDescent="0.35">
      <c r="A2809" s="75">
        <v>44156</v>
      </c>
      <c r="B2809" t="s">
        <v>160</v>
      </c>
      <c r="C2809" t="s">
        <v>102</v>
      </c>
      <c r="D2809">
        <v>4</v>
      </c>
      <c r="E2809">
        <v>4</v>
      </c>
      <c r="F2809" t="s">
        <v>10</v>
      </c>
      <c r="G2809" t="s">
        <v>74</v>
      </c>
      <c r="H2809" t="s">
        <v>77</v>
      </c>
      <c r="I2809">
        <v>100000000</v>
      </c>
      <c r="J2809" t="s">
        <v>45</v>
      </c>
      <c r="K2809" t="s">
        <v>5</v>
      </c>
      <c r="L2809" t="s">
        <v>86</v>
      </c>
      <c r="M2809" t="s">
        <v>83</v>
      </c>
      <c r="N2809" t="s">
        <v>14</v>
      </c>
    </row>
    <row r="2810" spans="1:14" x14ac:dyDescent="0.35">
      <c r="A2810" s="75">
        <v>44157</v>
      </c>
      <c r="B2810" t="s">
        <v>161</v>
      </c>
      <c r="C2810" t="s">
        <v>102</v>
      </c>
      <c r="D2810">
        <v>10</v>
      </c>
      <c r="E2810">
        <v>10</v>
      </c>
      <c r="F2810" t="s">
        <v>10</v>
      </c>
      <c r="G2810" t="s">
        <v>71</v>
      </c>
      <c r="H2810" t="s">
        <v>6</v>
      </c>
      <c r="I2810">
        <v>40000000</v>
      </c>
      <c r="J2810" t="s">
        <v>49</v>
      </c>
      <c r="K2810" t="s">
        <v>8</v>
      </c>
      <c r="L2810" t="s">
        <v>86</v>
      </c>
      <c r="M2810" t="s">
        <v>83</v>
      </c>
      <c r="N2810" t="s">
        <v>12</v>
      </c>
    </row>
    <row r="2811" spans="1:14" x14ac:dyDescent="0.35">
      <c r="A2811" s="75">
        <v>44157</v>
      </c>
      <c r="B2811" t="s">
        <v>161</v>
      </c>
      <c r="C2811" t="s">
        <v>102</v>
      </c>
      <c r="D2811">
        <v>8</v>
      </c>
      <c r="E2811">
        <v>8</v>
      </c>
      <c r="F2811" t="s">
        <v>10</v>
      </c>
      <c r="G2811" t="s">
        <v>76</v>
      </c>
      <c r="H2811" t="s">
        <v>79</v>
      </c>
      <c r="I2811">
        <v>80000000</v>
      </c>
      <c r="J2811" t="s">
        <v>38</v>
      </c>
      <c r="K2811" t="s">
        <v>5</v>
      </c>
      <c r="L2811" t="s">
        <v>86</v>
      </c>
      <c r="M2811" t="s">
        <v>83</v>
      </c>
      <c r="N2811" t="s">
        <v>13</v>
      </c>
    </row>
    <row r="2812" spans="1:14" x14ac:dyDescent="0.35">
      <c r="A2812" s="75">
        <v>44157</v>
      </c>
      <c r="B2812" t="s">
        <v>161</v>
      </c>
      <c r="C2812" t="s">
        <v>102</v>
      </c>
      <c r="D2812">
        <v>6</v>
      </c>
      <c r="E2812">
        <v>6</v>
      </c>
      <c r="F2812" t="s">
        <v>10</v>
      </c>
      <c r="G2812" t="s">
        <v>74</v>
      </c>
      <c r="H2812" t="s">
        <v>77</v>
      </c>
      <c r="I2812">
        <v>120000000</v>
      </c>
      <c r="J2812" t="s">
        <v>32</v>
      </c>
      <c r="K2812" t="s">
        <v>5</v>
      </c>
      <c r="L2812" t="s">
        <v>86</v>
      </c>
      <c r="M2812" t="s">
        <v>83</v>
      </c>
      <c r="N2812" t="s">
        <v>11</v>
      </c>
    </row>
    <row r="2813" spans="1:14" x14ac:dyDescent="0.35">
      <c r="A2813" s="75">
        <v>44157</v>
      </c>
      <c r="B2813" t="s">
        <v>161</v>
      </c>
      <c r="C2813" t="s">
        <v>102</v>
      </c>
      <c r="D2813">
        <v>6</v>
      </c>
      <c r="E2813">
        <v>6</v>
      </c>
      <c r="F2813" t="s">
        <v>10</v>
      </c>
      <c r="G2813" t="s">
        <v>73</v>
      </c>
      <c r="H2813" t="s">
        <v>78</v>
      </c>
      <c r="I2813">
        <v>80000000</v>
      </c>
      <c r="J2813" t="s">
        <v>48</v>
      </c>
      <c r="K2813" t="s">
        <v>2</v>
      </c>
      <c r="L2813" t="s">
        <v>86</v>
      </c>
      <c r="M2813" t="s">
        <v>83</v>
      </c>
      <c r="N2813" t="s">
        <v>14</v>
      </c>
    </row>
    <row r="2814" spans="1:14" x14ac:dyDescent="0.35">
      <c r="A2814" s="75">
        <v>44157</v>
      </c>
      <c r="B2814" t="s">
        <v>161</v>
      </c>
      <c r="C2814" t="s">
        <v>102</v>
      </c>
      <c r="D2814">
        <v>6</v>
      </c>
      <c r="E2814">
        <v>6</v>
      </c>
      <c r="F2814" t="s">
        <v>10</v>
      </c>
      <c r="G2814" t="s">
        <v>73</v>
      </c>
      <c r="H2814" t="s">
        <v>78</v>
      </c>
      <c r="I2814">
        <v>80000000</v>
      </c>
      <c r="J2814" t="s">
        <v>55</v>
      </c>
      <c r="K2814" t="s">
        <v>2</v>
      </c>
      <c r="L2814" t="s">
        <v>86</v>
      </c>
      <c r="M2814" t="s">
        <v>83</v>
      </c>
      <c r="N2814" t="s">
        <v>13</v>
      </c>
    </row>
    <row r="2815" spans="1:14" x14ac:dyDescent="0.35">
      <c r="A2815" s="75">
        <v>44157</v>
      </c>
      <c r="B2815" t="s">
        <v>161</v>
      </c>
      <c r="C2815" t="s">
        <v>102</v>
      </c>
      <c r="D2815">
        <v>3</v>
      </c>
      <c r="E2815">
        <v>3</v>
      </c>
      <c r="F2815" t="s">
        <v>10</v>
      </c>
      <c r="G2815" t="s">
        <v>75</v>
      </c>
      <c r="H2815" t="s">
        <v>6</v>
      </c>
      <c r="I2815">
        <v>140000000</v>
      </c>
      <c r="J2815" t="s">
        <v>53</v>
      </c>
      <c r="K2815" t="s">
        <v>2</v>
      </c>
      <c r="L2815" t="s">
        <v>86</v>
      </c>
      <c r="M2815" t="s">
        <v>83</v>
      </c>
      <c r="N2815" t="s">
        <v>14</v>
      </c>
    </row>
    <row r="2816" spans="1:14" x14ac:dyDescent="0.35">
      <c r="A2816" s="75">
        <v>44158</v>
      </c>
      <c r="B2816" t="s">
        <v>162</v>
      </c>
      <c r="C2816" t="s">
        <v>102</v>
      </c>
      <c r="D2816">
        <v>10</v>
      </c>
      <c r="E2816">
        <v>10</v>
      </c>
      <c r="F2816" t="s">
        <v>10</v>
      </c>
      <c r="G2816" t="s">
        <v>76</v>
      </c>
      <c r="H2816" t="s">
        <v>79</v>
      </c>
      <c r="I2816">
        <v>40000000</v>
      </c>
      <c r="J2816" t="s">
        <v>22</v>
      </c>
      <c r="K2816" t="s">
        <v>2</v>
      </c>
      <c r="L2816" t="s">
        <v>86</v>
      </c>
      <c r="M2816" t="s">
        <v>83</v>
      </c>
      <c r="N2816" t="s">
        <v>11</v>
      </c>
    </row>
    <row r="2817" spans="1:14" x14ac:dyDescent="0.35">
      <c r="A2817" s="75">
        <v>44158</v>
      </c>
      <c r="B2817" t="s">
        <v>162</v>
      </c>
      <c r="C2817" t="s">
        <v>102</v>
      </c>
      <c r="D2817">
        <v>10</v>
      </c>
      <c r="E2817">
        <v>10</v>
      </c>
      <c r="F2817" t="s">
        <v>10</v>
      </c>
      <c r="G2817" t="s">
        <v>74</v>
      </c>
      <c r="H2817" t="s">
        <v>77</v>
      </c>
      <c r="I2817">
        <v>120000000</v>
      </c>
      <c r="J2817" t="s">
        <v>18</v>
      </c>
      <c r="K2817" t="s">
        <v>2</v>
      </c>
      <c r="L2817" t="s">
        <v>86</v>
      </c>
      <c r="M2817" t="s">
        <v>83</v>
      </c>
      <c r="N2817" t="s">
        <v>11</v>
      </c>
    </row>
    <row r="2818" spans="1:14" x14ac:dyDescent="0.35">
      <c r="A2818" s="75">
        <v>44158</v>
      </c>
      <c r="B2818" t="s">
        <v>162</v>
      </c>
      <c r="C2818" t="s">
        <v>102</v>
      </c>
      <c r="D2818">
        <v>9</v>
      </c>
      <c r="E2818">
        <v>9</v>
      </c>
      <c r="F2818" t="s">
        <v>10</v>
      </c>
      <c r="G2818" t="s">
        <v>72</v>
      </c>
      <c r="H2818" t="s">
        <v>78</v>
      </c>
      <c r="I2818">
        <v>120000000</v>
      </c>
      <c r="J2818" t="s">
        <v>44</v>
      </c>
      <c r="K2818" t="s">
        <v>2</v>
      </c>
      <c r="L2818" t="s">
        <v>86</v>
      </c>
      <c r="M2818" t="s">
        <v>83</v>
      </c>
      <c r="N2818" t="s">
        <v>14</v>
      </c>
    </row>
    <row r="2819" spans="1:14" x14ac:dyDescent="0.35">
      <c r="A2819" s="75">
        <v>44158</v>
      </c>
      <c r="B2819" t="s">
        <v>162</v>
      </c>
      <c r="C2819" t="s">
        <v>102</v>
      </c>
      <c r="D2819">
        <v>8</v>
      </c>
      <c r="E2819">
        <v>8</v>
      </c>
      <c r="F2819" t="s">
        <v>10</v>
      </c>
      <c r="G2819" t="s">
        <v>74</v>
      </c>
      <c r="H2819" t="s">
        <v>77</v>
      </c>
      <c r="I2819">
        <v>120000000</v>
      </c>
      <c r="J2819" t="s">
        <v>37</v>
      </c>
      <c r="K2819" t="s">
        <v>5</v>
      </c>
      <c r="L2819" t="s">
        <v>86</v>
      </c>
      <c r="M2819" t="s">
        <v>83</v>
      </c>
      <c r="N2819" t="s">
        <v>13</v>
      </c>
    </row>
    <row r="2820" spans="1:14" x14ac:dyDescent="0.35">
      <c r="A2820" s="75">
        <v>44158</v>
      </c>
      <c r="B2820" t="s">
        <v>162</v>
      </c>
      <c r="C2820" t="s">
        <v>102</v>
      </c>
      <c r="D2820">
        <v>8</v>
      </c>
      <c r="E2820">
        <v>8</v>
      </c>
      <c r="F2820" t="s">
        <v>10</v>
      </c>
      <c r="G2820" t="s">
        <v>72</v>
      </c>
      <c r="H2820" t="s">
        <v>78</v>
      </c>
      <c r="I2820">
        <v>80000000</v>
      </c>
      <c r="J2820" t="s">
        <v>56</v>
      </c>
      <c r="K2820" t="s">
        <v>2</v>
      </c>
      <c r="L2820" t="s">
        <v>86</v>
      </c>
      <c r="M2820" t="s">
        <v>83</v>
      </c>
      <c r="N2820" t="s">
        <v>11</v>
      </c>
    </row>
    <row r="2821" spans="1:14" x14ac:dyDescent="0.35">
      <c r="A2821" s="75">
        <v>44158</v>
      </c>
      <c r="B2821" t="s">
        <v>162</v>
      </c>
      <c r="C2821" t="s">
        <v>102</v>
      </c>
      <c r="D2821">
        <v>8</v>
      </c>
      <c r="E2821">
        <v>8</v>
      </c>
      <c r="F2821" t="s">
        <v>10</v>
      </c>
      <c r="G2821" t="s">
        <v>75</v>
      </c>
      <c r="H2821" t="s">
        <v>6</v>
      </c>
      <c r="I2821">
        <v>140000000</v>
      </c>
      <c r="J2821" t="s">
        <v>46</v>
      </c>
      <c r="K2821" t="s">
        <v>5</v>
      </c>
      <c r="L2821" t="s">
        <v>86</v>
      </c>
      <c r="M2821" t="s">
        <v>83</v>
      </c>
      <c r="N2821" t="s">
        <v>11</v>
      </c>
    </row>
    <row r="2822" spans="1:14" x14ac:dyDescent="0.35">
      <c r="A2822" s="75">
        <v>44158</v>
      </c>
      <c r="B2822" t="s">
        <v>162</v>
      </c>
      <c r="C2822" t="s">
        <v>102</v>
      </c>
      <c r="D2822">
        <v>7</v>
      </c>
      <c r="E2822">
        <v>7</v>
      </c>
      <c r="F2822" t="s">
        <v>10</v>
      </c>
      <c r="G2822" t="s">
        <v>74</v>
      </c>
      <c r="H2822" t="s">
        <v>77</v>
      </c>
      <c r="I2822">
        <v>100000000</v>
      </c>
      <c r="J2822" t="s">
        <v>27</v>
      </c>
      <c r="K2822" t="s">
        <v>2</v>
      </c>
      <c r="L2822" t="s">
        <v>86</v>
      </c>
      <c r="M2822" t="s">
        <v>83</v>
      </c>
      <c r="N2822" t="s">
        <v>12</v>
      </c>
    </row>
    <row r="2823" spans="1:14" x14ac:dyDescent="0.35">
      <c r="A2823" s="75">
        <v>44158</v>
      </c>
      <c r="B2823" t="s">
        <v>162</v>
      </c>
      <c r="C2823" t="s">
        <v>102</v>
      </c>
      <c r="D2823">
        <v>7</v>
      </c>
      <c r="E2823">
        <v>7</v>
      </c>
      <c r="F2823" t="s">
        <v>10</v>
      </c>
      <c r="G2823" t="s">
        <v>70</v>
      </c>
      <c r="H2823" t="s">
        <v>1</v>
      </c>
      <c r="I2823">
        <v>140000000</v>
      </c>
      <c r="J2823" t="s">
        <v>64</v>
      </c>
      <c r="K2823" t="s">
        <v>2</v>
      </c>
      <c r="L2823" t="s">
        <v>86</v>
      </c>
      <c r="M2823" t="s">
        <v>83</v>
      </c>
      <c r="N2823" t="s">
        <v>12</v>
      </c>
    </row>
    <row r="2824" spans="1:14" x14ac:dyDescent="0.35">
      <c r="A2824" s="75">
        <v>44158</v>
      </c>
      <c r="B2824" t="s">
        <v>162</v>
      </c>
      <c r="C2824" t="s">
        <v>102</v>
      </c>
      <c r="D2824">
        <v>7</v>
      </c>
      <c r="E2824">
        <v>7</v>
      </c>
      <c r="F2824" t="s">
        <v>10</v>
      </c>
      <c r="G2824" t="s">
        <v>74</v>
      </c>
      <c r="H2824" t="s">
        <v>77</v>
      </c>
      <c r="I2824">
        <v>80000000</v>
      </c>
      <c r="J2824" t="s">
        <v>64</v>
      </c>
      <c r="K2824" t="s">
        <v>5</v>
      </c>
      <c r="L2824" t="s">
        <v>86</v>
      </c>
      <c r="M2824" t="s">
        <v>83</v>
      </c>
      <c r="N2824" t="s">
        <v>13</v>
      </c>
    </row>
    <row r="2825" spans="1:14" x14ac:dyDescent="0.35">
      <c r="A2825" s="75">
        <v>44158</v>
      </c>
      <c r="B2825" t="s">
        <v>162</v>
      </c>
      <c r="C2825" t="s">
        <v>102</v>
      </c>
      <c r="D2825">
        <v>5</v>
      </c>
      <c r="E2825">
        <v>5</v>
      </c>
      <c r="F2825" t="s">
        <v>10</v>
      </c>
      <c r="G2825" t="s">
        <v>72</v>
      </c>
      <c r="H2825" t="s">
        <v>78</v>
      </c>
      <c r="I2825">
        <v>140000000</v>
      </c>
      <c r="J2825" t="s">
        <v>54</v>
      </c>
      <c r="K2825" t="s">
        <v>8</v>
      </c>
      <c r="L2825" t="s">
        <v>86</v>
      </c>
      <c r="M2825" t="s">
        <v>83</v>
      </c>
      <c r="N2825" t="s">
        <v>11</v>
      </c>
    </row>
    <row r="2826" spans="1:14" x14ac:dyDescent="0.35">
      <c r="A2826" s="75">
        <v>44158</v>
      </c>
      <c r="B2826" t="s">
        <v>162</v>
      </c>
      <c r="C2826" t="s">
        <v>102</v>
      </c>
      <c r="D2826">
        <v>4</v>
      </c>
      <c r="E2826">
        <v>4</v>
      </c>
      <c r="F2826" t="s">
        <v>10</v>
      </c>
      <c r="G2826" t="s">
        <v>76</v>
      </c>
      <c r="H2826" t="s">
        <v>79</v>
      </c>
      <c r="I2826">
        <v>120000000</v>
      </c>
      <c r="J2826" t="s">
        <v>36</v>
      </c>
      <c r="K2826" t="s">
        <v>2</v>
      </c>
      <c r="L2826" t="s">
        <v>86</v>
      </c>
      <c r="M2826" t="s">
        <v>83</v>
      </c>
      <c r="N2826" t="s">
        <v>13</v>
      </c>
    </row>
    <row r="2827" spans="1:14" x14ac:dyDescent="0.35">
      <c r="A2827" s="75">
        <v>44159</v>
      </c>
      <c r="B2827" t="s">
        <v>163</v>
      </c>
      <c r="C2827" t="s">
        <v>102</v>
      </c>
      <c r="D2827">
        <v>10</v>
      </c>
      <c r="E2827">
        <v>10</v>
      </c>
      <c r="F2827" t="s">
        <v>10</v>
      </c>
      <c r="G2827" t="s">
        <v>73</v>
      </c>
      <c r="H2827" t="s">
        <v>78</v>
      </c>
      <c r="I2827">
        <v>120000000</v>
      </c>
      <c r="J2827" t="s">
        <v>23</v>
      </c>
      <c r="K2827" t="s">
        <v>5</v>
      </c>
      <c r="L2827" t="s">
        <v>86</v>
      </c>
      <c r="M2827" t="s">
        <v>83</v>
      </c>
      <c r="N2827" t="s">
        <v>12</v>
      </c>
    </row>
    <row r="2828" spans="1:14" x14ac:dyDescent="0.35">
      <c r="A2828" s="75">
        <v>44159</v>
      </c>
      <c r="B2828" t="s">
        <v>163</v>
      </c>
      <c r="C2828" t="s">
        <v>102</v>
      </c>
      <c r="D2828">
        <v>10</v>
      </c>
      <c r="E2828">
        <v>10</v>
      </c>
      <c r="F2828" t="s">
        <v>10</v>
      </c>
      <c r="G2828" t="s">
        <v>76</v>
      </c>
      <c r="H2828" t="s">
        <v>79</v>
      </c>
      <c r="I2828">
        <v>120000000</v>
      </c>
      <c r="J2828" t="s">
        <v>64</v>
      </c>
      <c r="K2828" t="s">
        <v>2</v>
      </c>
      <c r="L2828" t="s">
        <v>86</v>
      </c>
      <c r="M2828" t="s">
        <v>83</v>
      </c>
      <c r="N2828" t="s">
        <v>12</v>
      </c>
    </row>
    <row r="2829" spans="1:14" x14ac:dyDescent="0.35">
      <c r="A2829" s="75">
        <v>44159</v>
      </c>
      <c r="B2829" t="s">
        <v>163</v>
      </c>
      <c r="C2829" t="s">
        <v>102</v>
      </c>
      <c r="D2829">
        <v>9</v>
      </c>
      <c r="E2829">
        <v>9</v>
      </c>
      <c r="F2829" t="s">
        <v>10</v>
      </c>
      <c r="G2829" t="s">
        <v>73</v>
      </c>
      <c r="H2829" t="s">
        <v>78</v>
      </c>
      <c r="I2829">
        <v>120000000</v>
      </c>
      <c r="J2829" t="s">
        <v>53</v>
      </c>
      <c r="K2829" t="s">
        <v>2</v>
      </c>
      <c r="L2829" t="s">
        <v>86</v>
      </c>
      <c r="M2829" t="s">
        <v>83</v>
      </c>
      <c r="N2829" t="s">
        <v>11</v>
      </c>
    </row>
    <row r="2830" spans="1:14" x14ac:dyDescent="0.35">
      <c r="A2830" s="75">
        <v>44159</v>
      </c>
      <c r="B2830" t="s">
        <v>163</v>
      </c>
      <c r="C2830" t="s">
        <v>102</v>
      </c>
      <c r="D2830">
        <v>8</v>
      </c>
      <c r="E2830">
        <v>8</v>
      </c>
      <c r="F2830" t="s">
        <v>10</v>
      </c>
      <c r="G2830" t="s">
        <v>73</v>
      </c>
      <c r="H2830" t="s">
        <v>78</v>
      </c>
      <c r="I2830">
        <v>100000000</v>
      </c>
      <c r="J2830" t="s">
        <v>55</v>
      </c>
      <c r="K2830" t="s">
        <v>2</v>
      </c>
      <c r="L2830" t="s">
        <v>86</v>
      </c>
      <c r="M2830" t="s">
        <v>83</v>
      </c>
      <c r="N2830" t="s">
        <v>13</v>
      </c>
    </row>
    <row r="2831" spans="1:14" x14ac:dyDescent="0.35">
      <c r="A2831" s="75">
        <v>44159</v>
      </c>
      <c r="B2831" t="s">
        <v>163</v>
      </c>
      <c r="C2831" t="s">
        <v>102</v>
      </c>
      <c r="D2831">
        <v>8</v>
      </c>
      <c r="E2831">
        <v>8</v>
      </c>
      <c r="F2831" t="s">
        <v>10</v>
      </c>
      <c r="G2831" t="s">
        <v>72</v>
      </c>
      <c r="H2831" t="s">
        <v>78</v>
      </c>
      <c r="I2831">
        <v>100000000</v>
      </c>
      <c r="J2831" t="s">
        <v>64</v>
      </c>
      <c r="K2831" t="s">
        <v>7</v>
      </c>
      <c r="L2831" t="s">
        <v>86</v>
      </c>
      <c r="M2831" t="s">
        <v>83</v>
      </c>
      <c r="N2831" t="s">
        <v>13</v>
      </c>
    </row>
    <row r="2832" spans="1:14" x14ac:dyDescent="0.35">
      <c r="A2832" s="75">
        <v>44159</v>
      </c>
      <c r="B2832" t="s">
        <v>163</v>
      </c>
      <c r="C2832" t="s">
        <v>102</v>
      </c>
      <c r="D2832">
        <v>8</v>
      </c>
      <c r="E2832">
        <v>8</v>
      </c>
      <c r="F2832" t="s">
        <v>10</v>
      </c>
      <c r="G2832" t="s">
        <v>74</v>
      </c>
      <c r="H2832" t="s">
        <v>77</v>
      </c>
      <c r="I2832">
        <v>80000000</v>
      </c>
      <c r="J2832" t="s">
        <v>26</v>
      </c>
      <c r="K2832" t="s">
        <v>5</v>
      </c>
      <c r="L2832" t="s">
        <v>86</v>
      </c>
      <c r="M2832" t="s">
        <v>83</v>
      </c>
      <c r="N2832" t="s">
        <v>14</v>
      </c>
    </row>
    <row r="2833" spans="1:14" x14ac:dyDescent="0.35">
      <c r="A2833" s="75">
        <v>44159</v>
      </c>
      <c r="B2833" t="s">
        <v>163</v>
      </c>
      <c r="C2833" t="s">
        <v>102</v>
      </c>
      <c r="D2833">
        <v>6</v>
      </c>
      <c r="E2833">
        <v>6</v>
      </c>
      <c r="F2833" t="s">
        <v>10</v>
      </c>
      <c r="G2833" t="s">
        <v>71</v>
      </c>
      <c r="H2833" t="s">
        <v>6</v>
      </c>
      <c r="I2833">
        <v>120000000</v>
      </c>
      <c r="J2833" t="s">
        <v>52</v>
      </c>
      <c r="K2833" t="s">
        <v>8</v>
      </c>
      <c r="L2833" t="s">
        <v>86</v>
      </c>
      <c r="M2833" t="s">
        <v>83</v>
      </c>
      <c r="N2833" t="s">
        <v>12</v>
      </c>
    </row>
    <row r="2834" spans="1:14" x14ac:dyDescent="0.35">
      <c r="A2834" s="75">
        <v>44159</v>
      </c>
      <c r="B2834" t="s">
        <v>163</v>
      </c>
      <c r="C2834" t="s">
        <v>102</v>
      </c>
      <c r="D2834">
        <v>5</v>
      </c>
      <c r="E2834">
        <v>5</v>
      </c>
      <c r="F2834" t="s">
        <v>10</v>
      </c>
      <c r="G2834" t="s">
        <v>71</v>
      </c>
      <c r="H2834" t="s">
        <v>6</v>
      </c>
      <c r="I2834">
        <v>40000000</v>
      </c>
      <c r="J2834" t="s">
        <v>19</v>
      </c>
      <c r="K2834" t="s">
        <v>5</v>
      </c>
      <c r="L2834" t="s">
        <v>86</v>
      </c>
      <c r="M2834" t="s">
        <v>83</v>
      </c>
      <c r="N2834" t="s">
        <v>12</v>
      </c>
    </row>
    <row r="2835" spans="1:14" x14ac:dyDescent="0.35">
      <c r="A2835" s="75">
        <v>44159</v>
      </c>
      <c r="B2835" t="s">
        <v>163</v>
      </c>
      <c r="C2835" t="s">
        <v>102</v>
      </c>
      <c r="D2835">
        <v>4</v>
      </c>
      <c r="E2835">
        <v>4</v>
      </c>
      <c r="F2835" t="s">
        <v>10</v>
      </c>
      <c r="G2835" t="s">
        <v>114</v>
      </c>
      <c r="H2835" t="s">
        <v>3</v>
      </c>
      <c r="I2835">
        <v>80000000</v>
      </c>
      <c r="J2835" t="s">
        <v>56</v>
      </c>
      <c r="K2835" t="s">
        <v>2</v>
      </c>
      <c r="L2835" t="s">
        <v>86</v>
      </c>
      <c r="M2835" t="s">
        <v>83</v>
      </c>
      <c r="N2835" t="s">
        <v>13</v>
      </c>
    </row>
    <row r="2836" spans="1:14" x14ac:dyDescent="0.35">
      <c r="A2836" s="75">
        <v>44159</v>
      </c>
      <c r="B2836" t="s">
        <v>163</v>
      </c>
      <c r="C2836" t="s">
        <v>102</v>
      </c>
      <c r="D2836">
        <v>3</v>
      </c>
      <c r="E2836">
        <v>3</v>
      </c>
      <c r="F2836" t="s">
        <v>10</v>
      </c>
      <c r="G2836" t="s">
        <v>71</v>
      </c>
      <c r="H2836" t="s">
        <v>6</v>
      </c>
      <c r="I2836">
        <v>80000000</v>
      </c>
      <c r="J2836" t="s">
        <v>18</v>
      </c>
      <c r="K2836" t="s">
        <v>2</v>
      </c>
      <c r="L2836" t="s">
        <v>86</v>
      </c>
      <c r="M2836" t="s">
        <v>83</v>
      </c>
      <c r="N2836" t="s">
        <v>12</v>
      </c>
    </row>
    <row r="2837" spans="1:14" x14ac:dyDescent="0.35">
      <c r="A2837" s="75">
        <v>44159</v>
      </c>
      <c r="B2837" t="s">
        <v>163</v>
      </c>
      <c r="C2837" t="s">
        <v>102</v>
      </c>
      <c r="D2837">
        <v>3</v>
      </c>
      <c r="E2837">
        <v>3</v>
      </c>
      <c r="F2837" t="s">
        <v>10</v>
      </c>
      <c r="G2837" t="s">
        <v>73</v>
      </c>
      <c r="H2837" t="s">
        <v>78</v>
      </c>
      <c r="I2837">
        <v>100000000</v>
      </c>
      <c r="J2837" t="s">
        <v>29</v>
      </c>
      <c r="K2837" t="s">
        <v>5</v>
      </c>
      <c r="L2837" t="s">
        <v>86</v>
      </c>
      <c r="M2837" t="s">
        <v>83</v>
      </c>
      <c r="N2837" t="s">
        <v>13</v>
      </c>
    </row>
    <row r="2838" spans="1:14" x14ac:dyDescent="0.35">
      <c r="A2838" s="75">
        <v>44160</v>
      </c>
      <c r="B2838" t="s">
        <v>164</v>
      </c>
      <c r="C2838" t="s">
        <v>102</v>
      </c>
      <c r="D2838">
        <v>10</v>
      </c>
      <c r="E2838">
        <v>10</v>
      </c>
      <c r="F2838" t="s">
        <v>10</v>
      </c>
      <c r="G2838" t="s">
        <v>76</v>
      </c>
      <c r="H2838" t="s">
        <v>79</v>
      </c>
      <c r="I2838">
        <v>60000000</v>
      </c>
      <c r="J2838" t="s">
        <v>59</v>
      </c>
      <c r="K2838" t="s">
        <v>5</v>
      </c>
      <c r="L2838" t="s">
        <v>86</v>
      </c>
      <c r="M2838" t="s">
        <v>83</v>
      </c>
      <c r="N2838" t="s">
        <v>11</v>
      </c>
    </row>
    <row r="2839" spans="1:14" x14ac:dyDescent="0.35">
      <c r="A2839" s="75">
        <v>44160</v>
      </c>
      <c r="B2839" t="s">
        <v>164</v>
      </c>
      <c r="C2839" t="s">
        <v>102</v>
      </c>
      <c r="D2839">
        <v>9</v>
      </c>
      <c r="E2839">
        <v>9</v>
      </c>
      <c r="F2839" t="s">
        <v>10</v>
      </c>
      <c r="G2839" t="s">
        <v>75</v>
      </c>
      <c r="H2839" t="s">
        <v>6</v>
      </c>
      <c r="I2839">
        <v>60000000</v>
      </c>
      <c r="J2839" t="s">
        <v>31</v>
      </c>
      <c r="K2839" t="s">
        <v>5</v>
      </c>
      <c r="L2839" t="s">
        <v>86</v>
      </c>
      <c r="M2839" t="s">
        <v>83</v>
      </c>
      <c r="N2839" t="s">
        <v>14</v>
      </c>
    </row>
    <row r="2840" spans="1:14" x14ac:dyDescent="0.35">
      <c r="A2840" s="75">
        <v>44160</v>
      </c>
      <c r="B2840" t="s">
        <v>164</v>
      </c>
      <c r="C2840" t="s">
        <v>102</v>
      </c>
      <c r="D2840">
        <v>8</v>
      </c>
      <c r="E2840">
        <v>8</v>
      </c>
      <c r="F2840" t="s">
        <v>10</v>
      </c>
      <c r="G2840" t="s">
        <v>71</v>
      </c>
      <c r="H2840" t="s">
        <v>6</v>
      </c>
      <c r="I2840">
        <v>80000000</v>
      </c>
      <c r="J2840" t="s">
        <v>40</v>
      </c>
      <c r="K2840" t="s">
        <v>5</v>
      </c>
      <c r="L2840" t="s">
        <v>86</v>
      </c>
      <c r="M2840" t="s">
        <v>83</v>
      </c>
      <c r="N2840" t="s">
        <v>13</v>
      </c>
    </row>
    <row r="2841" spans="1:14" x14ac:dyDescent="0.35">
      <c r="A2841" s="75">
        <v>44160</v>
      </c>
      <c r="B2841" t="s">
        <v>164</v>
      </c>
      <c r="C2841" t="s">
        <v>102</v>
      </c>
      <c r="D2841">
        <v>7</v>
      </c>
      <c r="E2841">
        <v>7</v>
      </c>
      <c r="F2841" t="s">
        <v>10</v>
      </c>
      <c r="G2841" t="s">
        <v>113</v>
      </c>
      <c r="H2841" t="s">
        <v>77</v>
      </c>
      <c r="I2841">
        <v>80000000</v>
      </c>
      <c r="J2841" t="s">
        <v>27</v>
      </c>
      <c r="K2841" t="s">
        <v>5</v>
      </c>
      <c r="L2841" t="s">
        <v>86</v>
      </c>
      <c r="M2841" t="s">
        <v>83</v>
      </c>
      <c r="N2841" t="s">
        <v>14</v>
      </c>
    </row>
    <row r="2842" spans="1:14" x14ac:dyDescent="0.35">
      <c r="A2842" s="75">
        <v>44160</v>
      </c>
      <c r="B2842" t="s">
        <v>164</v>
      </c>
      <c r="C2842" t="s">
        <v>102</v>
      </c>
      <c r="D2842">
        <v>6</v>
      </c>
      <c r="E2842">
        <v>6</v>
      </c>
      <c r="F2842" t="s">
        <v>10</v>
      </c>
      <c r="G2842" t="s">
        <v>113</v>
      </c>
      <c r="H2842" t="s">
        <v>77</v>
      </c>
      <c r="I2842">
        <v>120000000</v>
      </c>
      <c r="J2842" t="s">
        <v>43</v>
      </c>
      <c r="K2842" t="s">
        <v>5</v>
      </c>
      <c r="L2842" t="s">
        <v>86</v>
      </c>
      <c r="M2842" t="s">
        <v>83</v>
      </c>
      <c r="N2842" t="s">
        <v>14</v>
      </c>
    </row>
    <row r="2843" spans="1:14" x14ac:dyDescent="0.35">
      <c r="A2843" s="75">
        <v>44160</v>
      </c>
      <c r="B2843" t="s">
        <v>164</v>
      </c>
      <c r="C2843" t="s">
        <v>102</v>
      </c>
      <c r="D2843">
        <v>6</v>
      </c>
      <c r="E2843">
        <v>6</v>
      </c>
      <c r="F2843" t="s">
        <v>10</v>
      </c>
      <c r="G2843" t="s">
        <v>72</v>
      </c>
      <c r="H2843" t="s">
        <v>78</v>
      </c>
      <c r="I2843">
        <v>60000000</v>
      </c>
      <c r="J2843" t="s">
        <v>60</v>
      </c>
      <c r="K2843" t="s">
        <v>2</v>
      </c>
      <c r="L2843" t="s">
        <v>86</v>
      </c>
      <c r="M2843" t="s">
        <v>83</v>
      </c>
      <c r="N2843" t="s">
        <v>12</v>
      </c>
    </row>
    <row r="2844" spans="1:14" x14ac:dyDescent="0.35">
      <c r="A2844" s="75">
        <v>44160</v>
      </c>
      <c r="B2844" t="s">
        <v>164</v>
      </c>
      <c r="C2844" t="s">
        <v>102</v>
      </c>
      <c r="D2844">
        <v>4</v>
      </c>
      <c r="E2844">
        <v>4</v>
      </c>
      <c r="F2844" t="s">
        <v>10</v>
      </c>
      <c r="G2844" t="s">
        <v>75</v>
      </c>
      <c r="H2844" t="s">
        <v>6</v>
      </c>
      <c r="I2844">
        <v>120000000</v>
      </c>
      <c r="J2844" t="s">
        <v>48</v>
      </c>
      <c r="K2844" t="s">
        <v>2</v>
      </c>
      <c r="L2844" t="s">
        <v>86</v>
      </c>
      <c r="M2844" t="s">
        <v>83</v>
      </c>
      <c r="N2844" t="s">
        <v>12</v>
      </c>
    </row>
    <row r="2845" spans="1:14" x14ac:dyDescent="0.35">
      <c r="A2845" s="75">
        <v>44160</v>
      </c>
      <c r="B2845" t="s">
        <v>164</v>
      </c>
      <c r="C2845" t="s">
        <v>102</v>
      </c>
      <c r="D2845">
        <v>4</v>
      </c>
      <c r="E2845">
        <v>4</v>
      </c>
      <c r="F2845" t="s">
        <v>10</v>
      </c>
      <c r="G2845" t="s">
        <v>71</v>
      </c>
      <c r="H2845" t="s">
        <v>6</v>
      </c>
      <c r="I2845">
        <v>100000000</v>
      </c>
      <c r="J2845" t="s">
        <v>37</v>
      </c>
      <c r="K2845" t="s">
        <v>5</v>
      </c>
      <c r="L2845" t="s">
        <v>86</v>
      </c>
      <c r="M2845" t="s">
        <v>83</v>
      </c>
      <c r="N2845" t="s">
        <v>13</v>
      </c>
    </row>
    <row r="2846" spans="1:14" x14ac:dyDescent="0.35">
      <c r="A2846" s="75">
        <v>44160</v>
      </c>
      <c r="B2846" t="s">
        <v>164</v>
      </c>
      <c r="C2846" t="s">
        <v>102</v>
      </c>
      <c r="D2846">
        <v>3</v>
      </c>
      <c r="E2846">
        <v>3</v>
      </c>
      <c r="F2846" t="s">
        <v>10</v>
      </c>
      <c r="G2846" t="s">
        <v>70</v>
      </c>
      <c r="H2846" t="s">
        <v>1</v>
      </c>
      <c r="I2846">
        <v>100000000</v>
      </c>
      <c r="J2846" t="s">
        <v>17</v>
      </c>
      <c r="K2846" t="s">
        <v>2</v>
      </c>
      <c r="L2846" t="s">
        <v>86</v>
      </c>
      <c r="M2846" t="s">
        <v>83</v>
      </c>
      <c r="N2846" t="s">
        <v>11</v>
      </c>
    </row>
    <row r="2847" spans="1:14" x14ac:dyDescent="0.35">
      <c r="A2847" s="75">
        <v>44161</v>
      </c>
      <c r="B2847" t="s">
        <v>165</v>
      </c>
      <c r="C2847" t="s">
        <v>102</v>
      </c>
      <c r="D2847">
        <v>10</v>
      </c>
      <c r="E2847">
        <v>10</v>
      </c>
      <c r="F2847" t="s">
        <v>10</v>
      </c>
      <c r="G2847" t="s">
        <v>73</v>
      </c>
      <c r="H2847" t="s">
        <v>78</v>
      </c>
      <c r="I2847">
        <v>140000000</v>
      </c>
      <c r="J2847" t="s">
        <v>54</v>
      </c>
      <c r="K2847" t="s">
        <v>5</v>
      </c>
      <c r="L2847" t="s">
        <v>86</v>
      </c>
      <c r="M2847" t="s">
        <v>83</v>
      </c>
      <c r="N2847" t="s">
        <v>12</v>
      </c>
    </row>
    <row r="2848" spans="1:14" x14ac:dyDescent="0.35">
      <c r="A2848" s="75">
        <v>44161</v>
      </c>
      <c r="B2848" t="s">
        <v>165</v>
      </c>
      <c r="C2848" t="s">
        <v>102</v>
      </c>
      <c r="D2848">
        <v>10</v>
      </c>
      <c r="E2848">
        <v>10</v>
      </c>
      <c r="F2848" t="s">
        <v>10</v>
      </c>
      <c r="G2848" t="s">
        <v>113</v>
      </c>
      <c r="H2848" t="s">
        <v>77</v>
      </c>
      <c r="I2848">
        <v>140000000</v>
      </c>
      <c r="J2848" t="s">
        <v>21</v>
      </c>
      <c r="K2848" t="s">
        <v>2</v>
      </c>
      <c r="L2848" t="s">
        <v>86</v>
      </c>
      <c r="M2848" t="s">
        <v>83</v>
      </c>
      <c r="N2848" t="s">
        <v>12</v>
      </c>
    </row>
    <row r="2849" spans="1:14" x14ac:dyDescent="0.35">
      <c r="A2849" s="75">
        <v>44161</v>
      </c>
      <c r="B2849" t="s">
        <v>165</v>
      </c>
      <c r="C2849" t="s">
        <v>102</v>
      </c>
      <c r="D2849">
        <v>9</v>
      </c>
      <c r="E2849">
        <v>9</v>
      </c>
      <c r="F2849" t="s">
        <v>10</v>
      </c>
      <c r="G2849" t="s">
        <v>73</v>
      </c>
      <c r="H2849" t="s">
        <v>78</v>
      </c>
      <c r="I2849">
        <v>40000000</v>
      </c>
      <c r="J2849" t="s">
        <v>24</v>
      </c>
      <c r="K2849" t="s">
        <v>7</v>
      </c>
      <c r="L2849" t="s">
        <v>86</v>
      </c>
      <c r="M2849" t="s">
        <v>83</v>
      </c>
      <c r="N2849" t="s">
        <v>13</v>
      </c>
    </row>
    <row r="2850" spans="1:14" x14ac:dyDescent="0.35">
      <c r="A2850" s="75">
        <v>44161</v>
      </c>
      <c r="B2850" t="s">
        <v>165</v>
      </c>
      <c r="C2850" t="s">
        <v>102</v>
      </c>
      <c r="D2850">
        <v>6</v>
      </c>
      <c r="E2850">
        <v>6</v>
      </c>
      <c r="F2850" t="s">
        <v>10</v>
      </c>
      <c r="G2850" t="s">
        <v>70</v>
      </c>
      <c r="H2850" t="s">
        <v>1</v>
      </c>
      <c r="I2850">
        <v>40000000</v>
      </c>
      <c r="J2850" t="s">
        <v>44</v>
      </c>
      <c r="K2850" t="s">
        <v>2</v>
      </c>
      <c r="L2850" t="s">
        <v>86</v>
      </c>
      <c r="M2850" t="s">
        <v>83</v>
      </c>
      <c r="N2850" t="s">
        <v>14</v>
      </c>
    </row>
    <row r="2851" spans="1:14" x14ac:dyDescent="0.35">
      <c r="A2851" s="75">
        <v>44161</v>
      </c>
      <c r="B2851" t="s">
        <v>165</v>
      </c>
      <c r="C2851" t="s">
        <v>102</v>
      </c>
      <c r="D2851">
        <v>4</v>
      </c>
      <c r="E2851">
        <v>4</v>
      </c>
      <c r="F2851" t="s">
        <v>10</v>
      </c>
      <c r="G2851" t="s">
        <v>113</v>
      </c>
      <c r="H2851" t="s">
        <v>77</v>
      </c>
      <c r="I2851">
        <v>140000000</v>
      </c>
      <c r="J2851" t="s">
        <v>32</v>
      </c>
      <c r="K2851" t="s">
        <v>2</v>
      </c>
      <c r="L2851" t="s">
        <v>86</v>
      </c>
      <c r="M2851" t="s">
        <v>83</v>
      </c>
      <c r="N2851" t="s">
        <v>12</v>
      </c>
    </row>
    <row r="2852" spans="1:14" x14ac:dyDescent="0.35">
      <c r="A2852" s="75">
        <v>44161</v>
      </c>
      <c r="B2852" t="s">
        <v>165</v>
      </c>
      <c r="C2852" t="s">
        <v>102</v>
      </c>
      <c r="D2852">
        <v>3</v>
      </c>
      <c r="E2852">
        <v>3</v>
      </c>
      <c r="F2852" t="s">
        <v>10</v>
      </c>
      <c r="G2852" t="s">
        <v>76</v>
      </c>
      <c r="H2852" t="s">
        <v>79</v>
      </c>
      <c r="I2852">
        <v>120000000</v>
      </c>
      <c r="J2852" t="s">
        <v>18</v>
      </c>
      <c r="K2852" t="s">
        <v>2</v>
      </c>
      <c r="L2852" t="s">
        <v>86</v>
      </c>
      <c r="M2852" t="s">
        <v>83</v>
      </c>
      <c r="N2852" t="s">
        <v>13</v>
      </c>
    </row>
    <row r="2853" spans="1:14" x14ac:dyDescent="0.35">
      <c r="A2853" s="75">
        <v>44161</v>
      </c>
      <c r="B2853" t="s">
        <v>165</v>
      </c>
      <c r="C2853" t="s">
        <v>102</v>
      </c>
      <c r="D2853">
        <v>3</v>
      </c>
      <c r="E2853">
        <v>3</v>
      </c>
      <c r="F2853" t="s">
        <v>10</v>
      </c>
      <c r="G2853" t="s">
        <v>73</v>
      </c>
      <c r="H2853" t="s">
        <v>78</v>
      </c>
      <c r="I2853">
        <v>80000000</v>
      </c>
      <c r="J2853" t="s">
        <v>34</v>
      </c>
      <c r="K2853" t="s">
        <v>9</v>
      </c>
      <c r="L2853" t="s">
        <v>86</v>
      </c>
      <c r="M2853" t="s">
        <v>83</v>
      </c>
      <c r="N2853" t="s">
        <v>14</v>
      </c>
    </row>
    <row r="2854" spans="1:14" x14ac:dyDescent="0.35">
      <c r="A2854" s="75">
        <v>44162</v>
      </c>
      <c r="B2854" t="s">
        <v>166</v>
      </c>
      <c r="C2854" t="s">
        <v>102</v>
      </c>
      <c r="D2854">
        <v>4</v>
      </c>
      <c r="E2854">
        <v>4</v>
      </c>
      <c r="F2854" t="s">
        <v>10</v>
      </c>
      <c r="G2854" t="s">
        <v>113</v>
      </c>
      <c r="H2854" t="s">
        <v>77</v>
      </c>
      <c r="I2854">
        <v>100000000</v>
      </c>
      <c r="J2854" t="s">
        <v>34</v>
      </c>
      <c r="K2854" t="s">
        <v>2</v>
      </c>
      <c r="L2854" t="s">
        <v>86</v>
      </c>
      <c r="M2854" t="s">
        <v>83</v>
      </c>
      <c r="N2854" t="s">
        <v>11</v>
      </c>
    </row>
    <row r="2855" spans="1:14" x14ac:dyDescent="0.35">
      <c r="A2855" s="75">
        <v>44163</v>
      </c>
      <c r="B2855" t="s">
        <v>167</v>
      </c>
      <c r="C2855" t="s">
        <v>102</v>
      </c>
      <c r="D2855">
        <v>10</v>
      </c>
      <c r="E2855">
        <v>10</v>
      </c>
      <c r="F2855" t="s">
        <v>10</v>
      </c>
      <c r="G2855" t="s">
        <v>113</v>
      </c>
      <c r="H2855" t="s">
        <v>77</v>
      </c>
      <c r="I2855">
        <v>120000000</v>
      </c>
      <c r="J2855" t="s">
        <v>27</v>
      </c>
      <c r="K2855" t="s">
        <v>5</v>
      </c>
      <c r="L2855" t="s">
        <v>86</v>
      </c>
      <c r="M2855" t="s">
        <v>83</v>
      </c>
      <c r="N2855" t="s">
        <v>14</v>
      </c>
    </row>
    <row r="2856" spans="1:14" x14ac:dyDescent="0.35">
      <c r="A2856" s="75">
        <v>44163</v>
      </c>
      <c r="B2856" t="s">
        <v>167</v>
      </c>
      <c r="C2856" t="s">
        <v>102</v>
      </c>
      <c r="D2856">
        <v>10</v>
      </c>
      <c r="E2856">
        <v>10</v>
      </c>
      <c r="F2856" t="s">
        <v>10</v>
      </c>
      <c r="G2856" t="s">
        <v>76</v>
      </c>
      <c r="H2856" t="s">
        <v>79</v>
      </c>
      <c r="I2856">
        <v>60000000</v>
      </c>
      <c r="J2856" t="s">
        <v>56</v>
      </c>
      <c r="K2856" t="s">
        <v>9</v>
      </c>
      <c r="L2856" t="s">
        <v>86</v>
      </c>
      <c r="M2856" t="s">
        <v>83</v>
      </c>
      <c r="N2856" t="s">
        <v>14</v>
      </c>
    </row>
    <row r="2857" spans="1:14" x14ac:dyDescent="0.35">
      <c r="A2857" s="75">
        <v>44163</v>
      </c>
      <c r="B2857" t="s">
        <v>167</v>
      </c>
      <c r="C2857" t="s">
        <v>102</v>
      </c>
      <c r="D2857">
        <v>9</v>
      </c>
      <c r="E2857">
        <v>9</v>
      </c>
      <c r="F2857" t="s">
        <v>10</v>
      </c>
      <c r="G2857" t="s">
        <v>76</v>
      </c>
      <c r="H2857" t="s">
        <v>79</v>
      </c>
      <c r="I2857">
        <v>80000000</v>
      </c>
      <c r="J2857" t="s">
        <v>50</v>
      </c>
      <c r="K2857" t="s">
        <v>7</v>
      </c>
      <c r="L2857" t="s">
        <v>86</v>
      </c>
      <c r="M2857" t="s">
        <v>83</v>
      </c>
      <c r="N2857" t="s">
        <v>11</v>
      </c>
    </row>
    <row r="2858" spans="1:14" x14ac:dyDescent="0.35">
      <c r="A2858" s="75">
        <v>44163</v>
      </c>
      <c r="B2858" t="s">
        <v>167</v>
      </c>
      <c r="C2858" t="s">
        <v>102</v>
      </c>
      <c r="D2858">
        <v>7</v>
      </c>
      <c r="E2858">
        <v>4</v>
      </c>
      <c r="F2858">
        <v>3</v>
      </c>
      <c r="G2858" t="s">
        <v>113</v>
      </c>
      <c r="H2858" t="s">
        <v>77</v>
      </c>
      <c r="I2858">
        <v>80000000</v>
      </c>
      <c r="J2858" t="s">
        <v>58</v>
      </c>
      <c r="K2858" t="s">
        <v>7</v>
      </c>
      <c r="L2858" t="s">
        <v>86</v>
      </c>
      <c r="M2858" t="s">
        <v>83</v>
      </c>
      <c r="N2858" t="s">
        <v>11</v>
      </c>
    </row>
    <row r="2859" spans="1:14" x14ac:dyDescent="0.35">
      <c r="A2859" s="75">
        <v>44163</v>
      </c>
      <c r="B2859" t="s">
        <v>167</v>
      </c>
      <c r="C2859" t="s">
        <v>102</v>
      </c>
      <c r="D2859">
        <v>7</v>
      </c>
      <c r="E2859">
        <v>5</v>
      </c>
      <c r="F2859">
        <v>2</v>
      </c>
      <c r="G2859" t="s">
        <v>73</v>
      </c>
      <c r="H2859" t="s">
        <v>78</v>
      </c>
      <c r="I2859">
        <v>80000000</v>
      </c>
      <c r="J2859" t="s">
        <v>56</v>
      </c>
      <c r="K2859" t="s">
        <v>7</v>
      </c>
      <c r="L2859" t="s">
        <v>86</v>
      </c>
      <c r="M2859" t="s">
        <v>83</v>
      </c>
      <c r="N2859" t="s">
        <v>14</v>
      </c>
    </row>
    <row r="2860" spans="1:14" x14ac:dyDescent="0.35">
      <c r="A2860" s="75">
        <v>44163</v>
      </c>
      <c r="B2860" t="s">
        <v>167</v>
      </c>
      <c r="C2860" t="s">
        <v>102</v>
      </c>
      <c r="D2860">
        <v>4</v>
      </c>
      <c r="E2860">
        <v>3</v>
      </c>
      <c r="F2860">
        <v>1</v>
      </c>
      <c r="G2860" t="s">
        <v>74</v>
      </c>
      <c r="H2860" t="s">
        <v>77</v>
      </c>
      <c r="I2860">
        <v>60000000</v>
      </c>
      <c r="J2860" t="s">
        <v>18</v>
      </c>
      <c r="K2860" t="s">
        <v>8</v>
      </c>
      <c r="L2860" t="s">
        <v>86</v>
      </c>
      <c r="M2860" t="s">
        <v>83</v>
      </c>
      <c r="N2860" t="s">
        <v>12</v>
      </c>
    </row>
    <row r="2861" spans="1:14" x14ac:dyDescent="0.35">
      <c r="A2861" s="75">
        <v>44163</v>
      </c>
      <c r="B2861" t="s">
        <v>167</v>
      </c>
      <c r="C2861" t="s">
        <v>102</v>
      </c>
      <c r="D2861">
        <v>4</v>
      </c>
      <c r="E2861">
        <v>3</v>
      </c>
      <c r="F2861">
        <v>1</v>
      </c>
      <c r="G2861" t="s">
        <v>113</v>
      </c>
      <c r="H2861" t="s">
        <v>77</v>
      </c>
      <c r="I2861">
        <v>120000000</v>
      </c>
      <c r="J2861" t="s">
        <v>46</v>
      </c>
      <c r="K2861" t="s">
        <v>2</v>
      </c>
      <c r="L2861" t="s">
        <v>86</v>
      </c>
      <c r="M2861" t="s">
        <v>83</v>
      </c>
      <c r="N2861" t="s">
        <v>11</v>
      </c>
    </row>
    <row r="2862" spans="1:14" x14ac:dyDescent="0.35">
      <c r="A2862" s="75">
        <v>44163</v>
      </c>
      <c r="B2862" t="s">
        <v>167</v>
      </c>
      <c r="C2862" t="s">
        <v>102</v>
      </c>
      <c r="D2862">
        <v>4</v>
      </c>
      <c r="E2862">
        <v>3</v>
      </c>
      <c r="F2862">
        <v>1</v>
      </c>
      <c r="G2862" t="s">
        <v>114</v>
      </c>
      <c r="H2862" t="s">
        <v>3</v>
      </c>
      <c r="I2862">
        <v>60000000</v>
      </c>
      <c r="J2862" t="s">
        <v>53</v>
      </c>
      <c r="K2862" t="s">
        <v>5</v>
      </c>
      <c r="L2862" t="s">
        <v>86</v>
      </c>
      <c r="M2862" t="s">
        <v>83</v>
      </c>
      <c r="N2862" t="s">
        <v>14</v>
      </c>
    </row>
    <row r="2863" spans="1:14" x14ac:dyDescent="0.35">
      <c r="A2863" s="75">
        <v>44164</v>
      </c>
      <c r="B2863" t="s">
        <v>168</v>
      </c>
      <c r="C2863" t="s">
        <v>102</v>
      </c>
      <c r="D2863">
        <v>10</v>
      </c>
      <c r="E2863">
        <v>9</v>
      </c>
      <c r="F2863">
        <v>1</v>
      </c>
      <c r="G2863" t="s">
        <v>114</v>
      </c>
      <c r="H2863" t="s">
        <v>3</v>
      </c>
      <c r="I2863">
        <v>40000000</v>
      </c>
      <c r="J2863" t="s">
        <v>57</v>
      </c>
      <c r="K2863" t="s">
        <v>7</v>
      </c>
      <c r="L2863" t="s">
        <v>86</v>
      </c>
      <c r="M2863" t="s">
        <v>83</v>
      </c>
      <c r="N2863" t="s">
        <v>13</v>
      </c>
    </row>
    <row r="2864" spans="1:14" x14ac:dyDescent="0.35">
      <c r="A2864" s="75">
        <v>44164</v>
      </c>
      <c r="B2864" t="s">
        <v>168</v>
      </c>
      <c r="C2864" t="s">
        <v>102</v>
      </c>
      <c r="D2864">
        <v>10</v>
      </c>
      <c r="E2864">
        <v>8</v>
      </c>
      <c r="F2864">
        <v>2</v>
      </c>
      <c r="G2864" t="s">
        <v>74</v>
      </c>
      <c r="H2864" t="s">
        <v>77</v>
      </c>
      <c r="I2864">
        <v>40000000</v>
      </c>
      <c r="J2864" t="s">
        <v>31</v>
      </c>
      <c r="K2864" t="s">
        <v>2</v>
      </c>
      <c r="L2864" t="s">
        <v>86</v>
      </c>
      <c r="M2864" t="s">
        <v>83</v>
      </c>
      <c r="N2864" t="s">
        <v>13</v>
      </c>
    </row>
    <row r="2865" spans="1:14" x14ac:dyDescent="0.35">
      <c r="A2865" s="75">
        <v>44164</v>
      </c>
      <c r="B2865" t="s">
        <v>168</v>
      </c>
      <c r="C2865" t="s">
        <v>102</v>
      </c>
      <c r="D2865">
        <v>10</v>
      </c>
      <c r="E2865">
        <v>7</v>
      </c>
      <c r="F2865">
        <v>3</v>
      </c>
      <c r="G2865" t="s">
        <v>72</v>
      </c>
      <c r="H2865" t="s">
        <v>78</v>
      </c>
      <c r="I2865">
        <v>120000000</v>
      </c>
      <c r="J2865" t="s">
        <v>51</v>
      </c>
      <c r="K2865" t="s">
        <v>9</v>
      </c>
      <c r="L2865" t="s">
        <v>86</v>
      </c>
      <c r="M2865" t="s">
        <v>83</v>
      </c>
      <c r="N2865" t="s">
        <v>13</v>
      </c>
    </row>
    <row r="2866" spans="1:14" x14ac:dyDescent="0.35">
      <c r="A2866" s="75">
        <v>44164</v>
      </c>
      <c r="B2866" t="s">
        <v>168</v>
      </c>
      <c r="C2866" t="s">
        <v>102</v>
      </c>
      <c r="D2866">
        <v>9</v>
      </c>
      <c r="E2866">
        <v>7</v>
      </c>
      <c r="F2866">
        <v>2</v>
      </c>
      <c r="G2866" t="s">
        <v>114</v>
      </c>
      <c r="H2866" t="s">
        <v>3</v>
      </c>
      <c r="I2866">
        <v>60000000</v>
      </c>
      <c r="J2866" t="s">
        <v>50</v>
      </c>
      <c r="K2866" t="s">
        <v>5</v>
      </c>
      <c r="L2866" t="s">
        <v>86</v>
      </c>
      <c r="M2866" t="s">
        <v>83</v>
      </c>
      <c r="N2866" t="s">
        <v>12</v>
      </c>
    </row>
    <row r="2867" spans="1:14" x14ac:dyDescent="0.35">
      <c r="A2867" s="75">
        <v>44164</v>
      </c>
      <c r="B2867" t="s">
        <v>168</v>
      </c>
      <c r="C2867" t="s">
        <v>102</v>
      </c>
      <c r="D2867">
        <v>8</v>
      </c>
      <c r="E2867">
        <v>5</v>
      </c>
      <c r="F2867">
        <v>3</v>
      </c>
      <c r="G2867" t="s">
        <v>76</v>
      </c>
      <c r="H2867" t="s">
        <v>79</v>
      </c>
      <c r="I2867">
        <v>40000000</v>
      </c>
      <c r="J2867" t="s">
        <v>56</v>
      </c>
      <c r="K2867" t="s">
        <v>9</v>
      </c>
      <c r="L2867" t="s">
        <v>86</v>
      </c>
      <c r="M2867" t="s">
        <v>83</v>
      </c>
      <c r="N2867" t="s">
        <v>13</v>
      </c>
    </row>
    <row r="2868" spans="1:14" x14ac:dyDescent="0.35">
      <c r="A2868" s="75">
        <v>44164</v>
      </c>
      <c r="B2868" t="s">
        <v>168</v>
      </c>
      <c r="C2868" t="s">
        <v>102</v>
      </c>
      <c r="D2868">
        <v>8</v>
      </c>
      <c r="E2868">
        <v>6</v>
      </c>
      <c r="F2868">
        <v>2</v>
      </c>
      <c r="G2868" t="s">
        <v>70</v>
      </c>
      <c r="H2868" t="s">
        <v>1</v>
      </c>
      <c r="I2868">
        <v>140000000</v>
      </c>
      <c r="J2868" t="s">
        <v>55</v>
      </c>
      <c r="K2868" t="s">
        <v>2</v>
      </c>
      <c r="L2868" t="s">
        <v>86</v>
      </c>
      <c r="M2868" t="s">
        <v>83</v>
      </c>
      <c r="N2868" t="s">
        <v>12</v>
      </c>
    </row>
    <row r="2869" spans="1:14" x14ac:dyDescent="0.35">
      <c r="A2869" s="75">
        <v>44164</v>
      </c>
      <c r="B2869" t="s">
        <v>168</v>
      </c>
      <c r="C2869" t="s">
        <v>102</v>
      </c>
      <c r="D2869">
        <v>8</v>
      </c>
      <c r="E2869">
        <v>7</v>
      </c>
      <c r="F2869">
        <v>1</v>
      </c>
      <c r="G2869" t="s">
        <v>70</v>
      </c>
      <c r="H2869" t="s">
        <v>1</v>
      </c>
      <c r="I2869">
        <v>100000000</v>
      </c>
      <c r="J2869" t="s">
        <v>61</v>
      </c>
      <c r="K2869" t="s">
        <v>2</v>
      </c>
      <c r="L2869" t="s">
        <v>86</v>
      </c>
      <c r="M2869" t="s">
        <v>83</v>
      </c>
      <c r="N2869" t="s">
        <v>12</v>
      </c>
    </row>
    <row r="2870" spans="1:14" x14ac:dyDescent="0.35">
      <c r="A2870" s="75">
        <v>44164</v>
      </c>
      <c r="B2870" t="s">
        <v>168</v>
      </c>
      <c r="C2870" t="s">
        <v>102</v>
      </c>
      <c r="D2870">
        <v>7</v>
      </c>
      <c r="E2870">
        <v>4</v>
      </c>
      <c r="F2870">
        <v>3</v>
      </c>
      <c r="G2870" t="s">
        <v>74</v>
      </c>
      <c r="H2870" t="s">
        <v>77</v>
      </c>
      <c r="I2870">
        <v>140000000</v>
      </c>
      <c r="J2870" t="s">
        <v>17</v>
      </c>
      <c r="K2870" t="s">
        <v>8</v>
      </c>
      <c r="L2870" t="s">
        <v>86</v>
      </c>
      <c r="M2870" t="s">
        <v>83</v>
      </c>
      <c r="N2870" t="s">
        <v>13</v>
      </c>
    </row>
    <row r="2871" spans="1:14" x14ac:dyDescent="0.35">
      <c r="A2871" s="75">
        <v>44164</v>
      </c>
      <c r="B2871" t="s">
        <v>168</v>
      </c>
      <c r="C2871" t="s">
        <v>102</v>
      </c>
      <c r="D2871">
        <v>5</v>
      </c>
      <c r="E2871">
        <v>3</v>
      </c>
      <c r="F2871">
        <v>2</v>
      </c>
      <c r="G2871" t="s">
        <v>113</v>
      </c>
      <c r="H2871" t="s">
        <v>77</v>
      </c>
      <c r="I2871">
        <v>140000000</v>
      </c>
      <c r="J2871" t="s">
        <v>15</v>
      </c>
      <c r="K2871" t="s">
        <v>4</v>
      </c>
      <c r="L2871" t="s">
        <v>86</v>
      </c>
      <c r="M2871" t="s">
        <v>83</v>
      </c>
      <c r="N2871" t="s">
        <v>12</v>
      </c>
    </row>
    <row r="2872" spans="1:14" x14ac:dyDescent="0.35">
      <c r="A2872" s="75">
        <v>44164</v>
      </c>
      <c r="B2872" t="s">
        <v>168</v>
      </c>
      <c r="C2872" t="s">
        <v>102</v>
      </c>
      <c r="D2872">
        <v>4</v>
      </c>
      <c r="E2872">
        <v>3</v>
      </c>
      <c r="F2872">
        <v>1</v>
      </c>
      <c r="G2872" t="s">
        <v>70</v>
      </c>
      <c r="H2872" t="s">
        <v>1</v>
      </c>
      <c r="I2872">
        <v>80000000</v>
      </c>
      <c r="J2872" t="s">
        <v>33</v>
      </c>
      <c r="K2872" t="s">
        <v>2</v>
      </c>
      <c r="L2872" t="s">
        <v>86</v>
      </c>
      <c r="M2872" t="s">
        <v>83</v>
      </c>
      <c r="N2872" t="s">
        <v>12</v>
      </c>
    </row>
    <row r="2873" spans="1:14" x14ac:dyDescent="0.35">
      <c r="A2873" s="75">
        <v>44164</v>
      </c>
      <c r="B2873" t="s">
        <v>168</v>
      </c>
      <c r="C2873" t="s">
        <v>102</v>
      </c>
      <c r="D2873">
        <v>3</v>
      </c>
      <c r="E2873">
        <v>2</v>
      </c>
      <c r="F2873">
        <v>1</v>
      </c>
      <c r="G2873" t="s">
        <v>114</v>
      </c>
      <c r="H2873" t="s">
        <v>3</v>
      </c>
      <c r="I2873">
        <v>80000000</v>
      </c>
      <c r="J2873" t="s">
        <v>53</v>
      </c>
      <c r="K2873" t="s">
        <v>8</v>
      </c>
      <c r="L2873" t="s">
        <v>86</v>
      </c>
      <c r="M2873" t="s">
        <v>83</v>
      </c>
      <c r="N2873" t="s">
        <v>12</v>
      </c>
    </row>
    <row r="2874" spans="1:14" x14ac:dyDescent="0.35">
      <c r="A2874" s="75">
        <v>44165</v>
      </c>
      <c r="B2874" t="s">
        <v>169</v>
      </c>
      <c r="C2874" t="s">
        <v>102</v>
      </c>
      <c r="D2874">
        <v>10</v>
      </c>
      <c r="E2874">
        <v>7</v>
      </c>
      <c r="F2874">
        <v>3</v>
      </c>
      <c r="G2874" t="s">
        <v>70</v>
      </c>
      <c r="H2874" t="s">
        <v>1</v>
      </c>
      <c r="I2874">
        <v>80000000</v>
      </c>
      <c r="J2874" t="s">
        <v>21</v>
      </c>
      <c r="K2874" t="s">
        <v>2</v>
      </c>
      <c r="L2874" t="s">
        <v>86</v>
      </c>
      <c r="M2874" t="s">
        <v>83</v>
      </c>
      <c r="N2874" t="s">
        <v>13</v>
      </c>
    </row>
    <row r="2875" spans="1:14" x14ac:dyDescent="0.35">
      <c r="A2875" s="75">
        <v>44165</v>
      </c>
      <c r="B2875" t="s">
        <v>169</v>
      </c>
      <c r="C2875" t="s">
        <v>102</v>
      </c>
      <c r="D2875">
        <v>10</v>
      </c>
      <c r="E2875">
        <v>6</v>
      </c>
      <c r="F2875">
        <v>4</v>
      </c>
      <c r="G2875" t="s">
        <v>70</v>
      </c>
      <c r="H2875" t="s">
        <v>1</v>
      </c>
      <c r="I2875">
        <v>120000000</v>
      </c>
      <c r="J2875" t="s">
        <v>24</v>
      </c>
      <c r="K2875" t="s">
        <v>2</v>
      </c>
      <c r="L2875" t="s">
        <v>86</v>
      </c>
      <c r="M2875" t="s">
        <v>83</v>
      </c>
      <c r="N2875" t="s">
        <v>13</v>
      </c>
    </row>
    <row r="2876" spans="1:14" x14ac:dyDescent="0.35">
      <c r="A2876" s="75">
        <v>44165</v>
      </c>
      <c r="B2876" t="s">
        <v>169</v>
      </c>
      <c r="C2876" t="s">
        <v>102</v>
      </c>
      <c r="D2876">
        <v>8</v>
      </c>
      <c r="E2876">
        <v>7</v>
      </c>
      <c r="F2876">
        <v>1</v>
      </c>
      <c r="G2876" t="s">
        <v>75</v>
      </c>
      <c r="H2876" t="s">
        <v>6</v>
      </c>
      <c r="I2876">
        <v>80000000</v>
      </c>
      <c r="J2876" t="s">
        <v>57</v>
      </c>
      <c r="K2876" t="s">
        <v>2</v>
      </c>
      <c r="L2876" t="s">
        <v>86</v>
      </c>
      <c r="M2876" t="s">
        <v>83</v>
      </c>
      <c r="N2876" t="s">
        <v>11</v>
      </c>
    </row>
    <row r="2877" spans="1:14" x14ac:dyDescent="0.35">
      <c r="A2877" s="75">
        <v>44165</v>
      </c>
      <c r="B2877" t="s">
        <v>169</v>
      </c>
      <c r="C2877" t="s">
        <v>102</v>
      </c>
      <c r="D2877">
        <v>7</v>
      </c>
      <c r="E2877">
        <v>6</v>
      </c>
      <c r="F2877">
        <v>1</v>
      </c>
      <c r="G2877" t="s">
        <v>71</v>
      </c>
      <c r="H2877" t="s">
        <v>6</v>
      </c>
      <c r="I2877">
        <v>40000000</v>
      </c>
      <c r="J2877" t="s">
        <v>34</v>
      </c>
      <c r="K2877" t="s">
        <v>5</v>
      </c>
      <c r="L2877" t="s">
        <v>86</v>
      </c>
      <c r="M2877" t="s">
        <v>83</v>
      </c>
      <c r="N2877" t="s">
        <v>12</v>
      </c>
    </row>
    <row r="2878" spans="1:14" x14ac:dyDescent="0.35">
      <c r="A2878" s="75">
        <v>44165</v>
      </c>
      <c r="B2878" t="s">
        <v>169</v>
      </c>
      <c r="C2878" t="s">
        <v>102</v>
      </c>
      <c r="D2878">
        <v>7</v>
      </c>
      <c r="E2878">
        <v>4</v>
      </c>
      <c r="F2878">
        <v>3</v>
      </c>
      <c r="G2878" t="s">
        <v>71</v>
      </c>
      <c r="H2878" t="s">
        <v>6</v>
      </c>
      <c r="I2878">
        <v>80000000</v>
      </c>
      <c r="J2878" t="s">
        <v>55</v>
      </c>
      <c r="K2878" t="s">
        <v>5</v>
      </c>
      <c r="L2878" t="s">
        <v>86</v>
      </c>
      <c r="M2878" t="s">
        <v>83</v>
      </c>
      <c r="N2878" t="s">
        <v>13</v>
      </c>
    </row>
    <row r="2879" spans="1:14" x14ac:dyDescent="0.35">
      <c r="A2879" s="75">
        <v>44165</v>
      </c>
      <c r="B2879" t="s">
        <v>169</v>
      </c>
      <c r="C2879" t="s">
        <v>102</v>
      </c>
      <c r="D2879">
        <v>5</v>
      </c>
      <c r="E2879">
        <v>4</v>
      </c>
      <c r="F2879">
        <v>1</v>
      </c>
      <c r="G2879" t="s">
        <v>73</v>
      </c>
      <c r="H2879" t="s">
        <v>78</v>
      </c>
      <c r="I2879">
        <v>100000000</v>
      </c>
      <c r="J2879" t="s">
        <v>60</v>
      </c>
      <c r="K2879" t="s">
        <v>2</v>
      </c>
      <c r="L2879" t="s">
        <v>86</v>
      </c>
      <c r="M2879" t="s">
        <v>83</v>
      </c>
      <c r="N2879" t="s">
        <v>14</v>
      </c>
    </row>
    <row r="2880" spans="1:14" x14ac:dyDescent="0.35">
      <c r="A2880" s="75">
        <v>44165</v>
      </c>
      <c r="B2880" t="s">
        <v>169</v>
      </c>
      <c r="C2880" t="s">
        <v>102</v>
      </c>
      <c r="D2880">
        <v>4</v>
      </c>
      <c r="E2880">
        <v>3</v>
      </c>
      <c r="F2880">
        <v>1</v>
      </c>
      <c r="G2880" t="s">
        <v>73</v>
      </c>
      <c r="H2880" t="s">
        <v>78</v>
      </c>
      <c r="I2880">
        <v>120000000</v>
      </c>
      <c r="J2880" t="s">
        <v>52</v>
      </c>
      <c r="K2880" t="s">
        <v>5</v>
      </c>
      <c r="L2880" t="s">
        <v>86</v>
      </c>
      <c r="M2880" t="s">
        <v>83</v>
      </c>
      <c r="N2880" t="s">
        <v>12</v>
      </c>
    </row>
    <row r="2881" spans="1:14" x14ac:dyDescent="0.35">
      <c r="A2881" s="75">
        <v>44165</v>
      </c>
      <c r="B2881" t="s">
        <v>169</v>
      </c>
      <c r="C2881" t="s">
        <v>102</v>
      </c>
      <c r="D2881">
        <v>3</v>
      </c>
      <c r="E2881">
        <v>1</v>
      </c>
      <c r="F2881">
        <v>2</v>
      </c>
      <c r="G2881" t="s">
        <v>73</v>
      </c>
      <c r="H2881" t="s">
        <v>78</v>
      </c>
      <c r="I2881">
        <v>40000000</v>
      </c>
      <c r="J2881" t="s">
        <v>17</v>
      </c>
      <c r="K2881" t="s">
        <v>2</v>
      </c>
      <c r="L2881" t="s">
        <v>86</v>
      </c>
      <c r="M2881" t="s">
        <v>83</v>
      </c>
      <c r="N2881" t="s">
        <v>14</v>
      </c>
    </row>
    <row r="2882" spans="1:14" x14ac:dyDescent="0.35">
      <c r="A2882" s="75">
        <v>44165</v>
      </c>
      <c r="B2882" t="s">
        <v>169</v>
      </c>
      <c r="C2882" t="s">
        <v>102</v>
      </c>
      <c r="D2882">
        <v>3</v>
      </c>
      <c r="E2882">
        <v>2</v>
      </c>
      <c r="F2882">
        <v>1</v>
      </c>
      <c r="G2882" t="s">
        <v>76</v>
      </c>
      <c r="H2882" t="s">
        <v>79</v>
      </c>
      <c r="I2882">
        <v>40000000</v>
      </c>
      <c r="J2882" t="s">
        <v>28</v>
      </c>
      <c r="K2882" t="s">
        <v>2</v>
      </c>
      <c r="L2882" t="s">
        <v>86</v>
      </c>
      <c r="M2882" t="s">
        <v>83</v>
      </c>
      <c r="N2882" t="s">
        <v>13</v>
      </c>
    </row>
    <row r="2883" spans="1:14" x14ac:dyDescent="0.35">
      <c r="A2883" s="75">
        <v>44165</v>
      </c>
      <c r="B2883" t="s">
        <v>169</v>
      </c>
      <c r="C2883" t="s">
        <v>102</v>
      </c>
      <c r="D2883">
        <v>3</v>
      </c>
      <c r="E2883">
        <v>2</v>
      </c>
      <c r="F2883">
        <v>1</v>
      </c>
      <c r="G2883" t="s">
        <v>70</v>
      </c>
      <c r="H2883" t="s">
        <v>1</v>
      </c>
      <c r="I2883">
        <v>40000000</v>
      </c>
      <c r="J2883" t="s">
        <v>45</v>
      </c>
      <c r="K2883" t="s">
        <v>8</v>
      </c>
      <c r="L2883" t="s">
        <v>86</v>
      </c>
      <c r="M2883" t="s">
        <v>83</v>
      </c>
      <c r="N2883" t="s">
        <v>13</v>
      </c>
    </row>
    <row r="2884" spans="1:14" x14ac:dyDescent="0.35">
      <c r="A2884" s="75">
        <v>44166</v>
      </c>
      <c r="B2884" t="s">
        <v>140</v>
      </c>
      <c r="C2884" t="s">
        <v>103</v>
      </c>
      <c r="D2884">
        <v>10</v>
      </c>
      <c r="E2884">
        <v>9</v>
      </c>
      <c r="F2884">
        <v>1</v>
      </c>
      <c r="G2884" t="s">
        <v>114</v>
      </c>
      <c r="H2884" t="s">
        <v>3</v>
      </c>
      <c r="I2884">
        <v>120000000</v>
      </c>
      <c r="J2884" t="s">
        <v>28</v>
      </c>
      <c r="K2884" t="s">
        <v>9</v>
      </c>
      <c r="L2884" t="s">
        <v>67</v>
      </c>
      <c r="M2884" t="s">
        <v>82</v>
      </c>
      <c r="N2884" t="s">
        <v>13</v>
      </c>
    </row>
    <row r="2885" spans="1:14" x14ac:dyDescent="0.35">
      <c r="A2885" s="75">
        <v>44166</v>
      </c>
      <c r="B2885" t="s">
        <v>140</v>
      </c>
      <c r="C2885" t="s">
        <v>103</v>
      </c>
      <c r="D2885">
        <v>8</v>
      </c>
      <c r="E2885">
        <v>7</v>
      </c>
      <c r="F2885">
        <v>1</v>
      </c>
      <c r="G2885" t="s">
        <v>113</v>
      </c>
      <c r="H2885" t="s">
        <v>77</v>
      </c>
      <c r="I2885">
        <v>80000000</v>
      </c>
      <c r="J2885" t="s">
        <v>23</v>
      </c>
      <c r="K2885" t="s">
        <v>7</v>
      </c>
      <c r="L2885" t="s">
        <v>67</v>
      </c>
      <c r="M2885" t="s">
        <v>81</v>
      </c>
      <c r="N2885" t="s">
        <v>11</v>
      </c>
    </row>
    <row r="2886" spans="1:14" x14ac:dyDescent="0.35">
      <c r="A2886" s="75">
        <v>44166</v>
      </c>
      <c r="B2886" t="s">
        <v>140</v>
      </c>
      <c r="C2886" t="s">
        <v>103</v>
      </c>
      <c r="D2886">
        <v>5</v>
      </c>
      <c r="E2886">
        <v>3</v>
      </c>
      <c r="F2886">
        <v>2</v>
      </c>
      <c r="G2886" t="s">
        <v>73</v>
      </c>
      <c r="H2886" t="s">
        <v>78</v>
      </c>
      <c r="I2886">
        <v>60000000</v>
      </c>
      <c r="J2886" t="s">
        <v>30</v>
      </c>
      <c r="K2886" t="s">
        <v>9</v>
      </c>
      <c r="L2886" t="s">
        <v>67</v>
      </c>
      <c r="M2886" t="s">
        <v>82</v>
      </c>
      <c r="N2886" t="s">
        <v>12</v>
      </c>
    </row>
    <row r="2887" spans="1:14" x14ac:dyDescent="0.35">
      <c r="A2887" s="75">
        <v>44166</v>
      </c>
      <c r="B2887" t="s">
        <v>140</v>
      </c>
      <c r="C2887" t="s">
        <v>103</v>
      </c>
      <c r="D2887">
        <v>3</v>
      </c>
      <c r="E2887">
        <v>2</v>
      </c>
      <c r="F2887">
        <v>1</v>
      </c>
      <c r="G2887" t="s">
        <v>73</v>
      </c>
      <c r="H2887" t="s">
        <v>78</v>
      </c>
      <c r="I2887">
        <v>40000000</v>
      </c>
      <c r="J2887" t="s">
        <v>17</v>
      </c>
      <c r="K2887" t="s">
        <v>8</v>
      </c>
      <c r="L2887" t="s">
        <v>67</v>
      </c>
      <c r="M2887" t="s">
        <v>82</v>
      </c>
      <c r="N2887" t="s">
        <v>12</v>
      </c>
    </row>
    <row r="2888" spans="1:14" x14ac:dyDescent="0.35">
      <c r="A2888" s="75">
        <v>44167</v>
      </c>
      <c r="B2888" t="s">
        <v>141</v>
      </c>
      <c r="C2888" t="s">
        <v>103</v>
      </c>
      <c r="D2888">
        <v>10</v>
      </c>
      <c r="E2888">
        <v>6</v>
      </c>
      <c r="F2888">
        <v>4</v>
      </c>
      <c r="G2888" t="s">
        <v>74</v>
      </c>
      <c r="H2888" t="s">
        <v>77</v>
      </c>
      <c r="I2888">
        <v>40000000</v>
      </c>
      <c r="J2888" t="s">
        <v>20</v>
      </c>
      <c r="K2888" t="s">
        <v>2</v>
      </c>
      <c r="L2888" t="s">
        <v>67</v>
      </c>
      <c r="M2888" t="s">
        <v>80</v>
      </c>
      <c r="N2888" t="s">
        <v>11</v>
      </c>
    </row>
    <row r="2889" spans="1:14" x14ac:dyDescent="0.35">
      <c r="A2889" s="75">
        <v>44167</v>
      </c>
      <c r="B2889" t="s">
        <v>141</v>
      </c>
      <c r="C2889" t="s">
        <v>103</v>
      </c>
      <c r="D2889">
        <v>10</v>
      </c>
      <c r="E2889">
        <v>8</v>
      </c>
      <c r="F2889">
        <v>2</v>
      </c>
      <c r="G2889" t="s">
        <v>76</v>
      </c>
      <c r="H2889" t="s">
        <v>79</v>
      </c>
      <c r="I2889">
        <v>40000000</v>
      </c>
      <c r="J2889" t="s">
        <v>42</v>
      </c>
      <c r="K2889" t="s">
        <v>2</v>
      </c>
      <c r="L2889" t="s">
        <v>67</v>
      </c>
      <c r="M2889" t="s">
        <v>82</v>
      </c>
      <c r="N2889" t="s">
        <v>11</v>
      </c>
    </row>
    <row r="2890" spans="1:14" x14ac:dyDescent="0.35">
      <c r="A2890" s="75">
        <v>44167</v>
      </c>
      <c r="B2890" t="s">
        <v>141</v>
      </c>
      <c r="C2890" t="s">
        <v>103</v>
      </c>
      <c r="D2890">
        <v>9</v>
      </c>
      <c r="E2890">
        <v>6</v>
      </c>
      <c r="F2890">
        <v>3</v>
      </c>
      <c r="G2890" t="s">
        <v>72</v>
      </c>
      <c r="H2890" t="s">
        <v>78</v>
      </c>
      <c r="I2890">
        <v>60000000</v>
      </c>
      <c r="J2890" t="s">
        <v>21</v>
      </c>
      <c r="K2890" t="s">
        <v>9</v>
      </c>
      <c r="L2890" t="s">
        <v>67</v>
      </c>
      <c r="M2890" t="s">
        <v>80</v>
      </c>
      <c r="N2890" t="s">
        <v>13</v>
      </c>
    </row>
    <row r="2891" spans="1:14" x14ac:dyDescent="0.35">
      <c r="A2891" s="75">
        <v>44167</v>
      </c>
      <c r="B2891" t="s">
        <v>141</v>
      </c>
      <c r="C2891" t="s">
        <v>103</v>
      </c>
      <c r="D2891">
        <v>9</v>
      </c>
      <c r="E2891">
        <v>8</v>
      </c>
      <c r="F2891">
        <v>1</v>
      </c>
      <c r="G2891" t="s">
        <v>74</v>
      </c>
      <c r="H2891" t="s">
        <v>77</v>
      </c>
      <c r="I2891">
        <v>120000000</v>
      </c>
      <c r="J2891" t="s">
        <v>40</v>
      </c>
      <c r="K2891" t="s">
        <v>7</v>
      </c>
      <c r="L2891" t="s">
        <v>67</v>
      </c>
      <c r="M2891" t="s">
        <v>81</v>
      </c>
      <c r="N2891" t="s">
        <v>14</v>
      </c>
    </row>
    <row r="2892" spans="1:14" x14ac:dyDescent="0.35">
      <c r="A2892" s="75">
        <v>44167</v>
      </c>
      <c r="B2892" t="s">
        <v>141</v>
      </c>
      <c r="C2892" t="s">
        <v>103</v>
      </c>
      <c r="D2892">
        <v>7</v>
      </c>
      <c r="E2892">
        <v>5</v>
      </c>
      <c r="F2892">
        <v>2</v>
      </c>
      <c r="G2892" t="s">
        <v>70</v>
      </c>
      <c r="H2892" t="s">
        <v>1</v>
      </c>
      <c r="I2892">
        <v>100000000</v>
      </c>
      <c r="J2892" t="s">
        <v>49</v>
      </c>
      <c r="K2892" t="s">
        <v>2</v>
      </c>
      <c r="L2892" t="s">
        <v>67</v>
      </c>
      <c r="M2892" t="s">
        <v>81</v>
      </c>
      <c r="N2892" t="s">
        <v>14</v>
      </c>
    </row>
    <row r="2893" spans="1:14" x14ac:dyDescent="0.35">
      <c r="A2893" s="75">
        <v>44167</v>
      </c>
      <c r="B2893" t="s">
        <v>141</v>
      </c>
      <c r="C2893" t="s">
        <v>103</v>
      </c>
      <c r="D2893">
        <v>6</v>
      </c>
      <c r="E2893">
        <v>4</v>
      </c>
      <c r="F2893">
        <v>2</v>
      </c>
      <c r="G2893" t="s">
        <v>75</v>
      </c>
      <c r="H2893" t="s">
        <v>6</v>
      </c>
      <c r="I2893">
        <v>80000000</v>
      </c>
      <c r="J2893" t="s">
        <v>31</v>
      </c>
      <c r="K2893" t="s">
        <v>2</v>
      </c>
      <c r="L2893" t="s">
        <v>67</v>
      </c>
      <c r="M2893" t="s">
        <v>82</v>
      </c>
      <c r="N2893" t="s">
        <v>14</v>
      </c>
    </row>
    <row r="2894" spans="1:14" x14ac:dyDescent="0.35">
      <c r="A2894" s="75">
        <v>44167</v>
      </c>
      <c r="B2894" t="s">
        <v>141</v>
      </c>
      <c r="C2894" t="s">
        <v>103</v>
      </c>
      <c r="D2894">
        <v>6</v>
      </c>
      <c r="E2894">
        <v>5</v>
      </c>
      <c r="F2894">
        <v>1</v>
      </c>
      <c r="G2894" t="s">
        <v>113</v>
      </c>
      <c r="H2894" t="s">
        <v>77</v>
      </c>
      <c r="I2894">
        <v>120000000</v>
      </c>
      <c r="J2894" t="s">
        <v>55</v>
      </c>
      <c r="K2894" t="s">
        <v>5</v>
      </c>
      <c r="L2894" t="s">
        <v>67</v>
      </c>
      <c r="M2894" t="s">
        <v>80</v>
      </c>
      <c r="N2894" t="s">
        <v>14</v>
      </c>
    </row>
    <row r="2895" spans="1:14" x14ac:dyDescent="0.35">
      <c r="A2895" s="75">
        <v>44167</v>
      </c>
      <c r="B2895" t="s">
        <v>141</v>
      </c>
      <c r="C2895" t="s">
        <v>103</v>
      </c>
      <c r="D2895">
        <v>5</v>
      </c>
      <c r="E2895">
        <v>4</v>
      </c>
      <c r="F2895">
        <v>1</v>
      </c>
      <c r="G2895" t="s">
        <v>70</v>
      </c>
      <c r="H2895" t="s">
        <v>1</v>
      </c>
      <c r="I2895">
        <v>60000000</v>
      </c>
      <c r="J2895" t="s">
        <v>57</v>
      </c>
      <c r="K2895" t="s">
        <v>2</v>
      </c>
      <c r="L2895" t="s">
        <v>67</v>
      </c>
      <c r="M2895" t="s">
        <v>82</v>
      </c>
      <c r="N2895" t="s">
        <v>11</v>
      </c>
    </row>
    <row r="2896" spans="1:14" x14ac:dyDescent="0.35">
      <c r="A2896" s="75">
        <v>44167</v>
      </c>
      <c r="B2896" t="s">
        <v>141</v>
      </c>
      <c r="C2896" t="s">
        <v>103</v>
      </c>
      <c r="D2896">
        <v>5</v>
      </c>
      <c r="E2896">
        <v>3</v>
      </c>
      <c r="F2896">
        <v>2</v>
      </c>
      <c r="G2896" t="s">
        <v>73</v>
      </c>
      <c r="H2896" t="s">
        <v>78</v>
      </c>
      <c r="I2896">
        <v>100000000</v>
      </c>
      <c r="J2896" t="s">
        <v>21</v>
      </c>
      <c r="K2896" t="s">
        <v>8</v>
      </c>
      <c r="L2896" t="s">
        <v>67</v>
      </c>
      <c r="M2896" t="s">
        <v>80</v>
      </c>
      <c r="N2896" t="s">
        <v>13</v>
      </c>
    </row>
    <row r="2897" spans="1:14" x14ac:dyDescent="0.35">
      <c r="A2897" s="75">
        <v>44167</v>
      </c>
      <c r="B2897" t="s">
        <v>141</v>
      </c>
      <c r="C2897" t="s">
        <v>103</v>
      </c>
      <c r="D2897">
        <v>4</v>
      </c>
      <c r="E2897">
        <v>2</v>
      </c>
      <c r="F2897">
        <v>2</v>
      </c>
      <c r="G2897" t="s">
        <v>73</v>
      </c>
      <c r="H2897" t="s">
        <v>78</v>
      </c>
      <c r="I2897">
        <v>40000000</v>
      </c>
      <c r="J2897" t="s">
        <v>46</v>
      </c>
      <c r="K2897" t="s">
        <v>8</v>
      </c>
      <c r="L2897" t="s">
        <v>67</v>
      </c>
      <c r="M2897" t="s">
        <v>80</v>
      </c>
      <c r="N2897" t="s">
        <v>13</v>
      </c>
    </row>
    <row r="2898" spans="1:14" x14ac:dyDescent="0.35">
      <c r="A2898" s="75">
        <v>44167</v>
      </c>
      <c r="B2898" t="s">
        <v>141</v>
      </c>
      <c r="C2898" t="s">
        <v>103</v>
      </c>
      <c r="D2898">
        <v>4</v>
      </c>
      <c r="E2898">
        <v>2</v>
      </c>
      <c r="F2898">
        <v>2</v>
      </c>
      <c r="G2898" t="s">
        <v>73</v>
      </c>
      <c r="H2898" t="s">
        <v>78</v>
      </c>
      <c r="I2898">
        <v>100000000</v>
      </c>
      <c r="J2898" t="s">
        <v>58</v>
      </c>
      <c r="K2898" t="s">
        <v>9</v>
      </c>
      <c r="L2898" t="s">
        <v>67</v>
      </c>
      <c r="M2898" t="s">
        <v>80</v>
      </c>
      <c r="N2898" t="s">
        <v>11</v>
      </c>
    </row>
    <row r="2899" spans="1:14" x14ac:dyDescent="0.35">
      <c r="A2899" s="75">
        <v>44167</v>
      </c>
      <c r="B2899" t="s">
        <v>141</v>
      </c>
      <c r="C2899" t="s">
        <v>103</v>
      </c>
      <c r="D2899">
        <v>3</v>
      </c>
      <c r="E2899">
        <v>1</v>
      </c>
      <c r="F2899">
        <v>2</v>
      </c>
      <c r="G2899" t="s">
        <v>70</v>
      </c>
      <c r="H2899" t="s">
        <v>1</v>
      </c>
      <c r="I2899">
        <v>80000000</v>
      </c>
      <c r="J2899" t="s">
        <v>37</v>
      </c>
      <c r="K2899" t="s">
        <v>5</v>
      </c>
      <c r="L2899" t="s">
        <v>67</v>
      </c>
      <c r="M2899" t="s">
        <v>80</v>
      </c>
      <c r="N2899" t="s">
        <v>11</v>
      </c>
    </row>
    <row r="2900" spans="1:14" x14ac:dyDescent="0.35">
      <c r="A2900" s="75">
        <v>44168</v>
      </c>
      <c r="B2900" t="s">
        <v>142</v>
      </c>
      <c r="C2900" t="s">
        <v>103</v>
      </c>
      <c r="D2900">
        <v>8</v>
      </c>
      <c r="E2900">
        <v>8</v>
      </c>
      <c r="F2900" t="s">
        <v>10</v>
      </c>
      <c r="G2900" t="s">
        <v>71</v>
      </c>
      <c r="H2900" t="s">
        <v>6</v>
      </c>
      <c r="I2900">
        <v>40000000</v>
      </c>
      <c r="J2900" t="s">
        <v>16</v>
      </c>
      <c r="K2900" t="s">
        <v>8</v>
      </c>
      <c r="L2900" t="s">
        <v>67</v>
      </c>
      <c r="M2900" t="s">
        <v>82</v>
      </c>
      <c r="N2900" t="s">
        <v>11</v>
      </c>
    </row>
    <row r="2901" spans="1:14" x14ac:dyDescent="0.35">
      <c r="A2901" s="75">
        <v>44168</v>
      </c>
      <c r="B2901" t="s">
        <v>142</v>
      </c>
      <c r="C2901" t="s">
        <v>103</v>
      </c>
      <c r="D2901">
        <v>7</v>
      </c>
      <c r="E2901">
        <v>7</v>
      </c>
      <c r="F2901" t="s">
        <v>10</v>
      </c>
      <c r="G2901" t="s">
        <v>72</v>
      </c>
      <c r="H2901" t="s">
        <v>78</v>
      </c>
      <c r="I2901">
        <v>60000000</v>
      </c>
      <c r="J2901" t="s">
        <v>35</v>
      </c>
      <c r="K2901" t="s">
        <v>8</v>
      </c>
      <c r="L2901" t="s">
        <v>67</v>
      </c>
      <c r="M2901" t="s">
        <v>82</v>
      </c>
      <c r="N2901" t="s">
        <v>14</v>
      </c>
    </row>
    <row r="2902" spans="1:14" x14ac:dyDescent="0.35">
      <c r="A2902" s="75">
        <v>44168</v>
      </c>
      <c r="B2902" t="s">
        <v>142</v>
      </c>
      <c r="C2902" t="s">
        <v>103</v>
      </c>
      <c r="D2902">
        <v>7</v>
      </c>
      <c r="E2902">
        <v>7</v>
      </c>
      <c r="F2902" t="s">
        <v>10</v>
      </c>
      <c r="G2902" t="s">
        <v>70</v>
      </c>
      <c r="H2902" t="s">
        <v>1</v>
      </c>
      <c r="I2902">
        <v>120000000</v>
      </c>
      <c r="J2902" t="s">
        <v>40</v>
      </c>
      <c r="K2902" t="s">
        <v>5</v>
      </c>
      <c r="L2902" t="s">
        <v>67</v>
      </c>
      <c r="M2902" t="s">
        <v>81</v>
      </c>
      <c r="N2902" t="s">
        <v>12</v>
      </c>
    </row>
    <row r="2903" spans="1:14" x14ac:dyDescent="0.35">
      <c r="A2903" s="75">
        <v>44168</v>
      </c>
      <c r="B2903" t="s">
        <v>142</v>
      </c>
      <c r="C2903" t="s">
        <v>103</v>
      </c>
      <c r="D2903">
        <v>5</v>
      </c>
      <c r="E2903">
        <v>5</v>
      </c>
      <c r="F2903" t="s">
        <v>10</v>
      </c>
      <c r="G2903" t="s">
        <v>72</v>
      </c>
      <c r="H2903" t="s">
        <v>78</v>
      </c>
      <c r="I2903">
        <v>60000000</v>
      </c>
      <c r="J2903" t="s">
        <v>17</v>
      </c>
      <c r="K2903" t="s">
        <v>5</v>
      </c>
      <c r="L2903" t="s">
        <v>67</v>
      </c>
      <c r="M2903" t="s">
        <v>80</v>
      </c>
      <c r="N2903" t="s">
        <v>11</v>
      </c>
    </row>
    <row r="2904" spans="1:14" x14ac:dyDescent="0.35">
      <c r="A2904" s="75">
        <v>44168</v>
      </c>
      <c r="B2904" t="s">
        <v>142</v>
      </c>
      <c r="C2904" t="s">
        <v>103</v>
      </c>
      <c r="D2904">
        <v>4</v>
      </c>
      <c r="E2904">
        <v>4</v>
      </c>
      <c r="F2904" t="s">
        <v>10</v>
      </c>
      <c r="G2904" t="s">
        <v>75</v>
      </c>
      <c r="H2904" t="s">
        <v>6</v>
      </c>
      <c r="I2904">
        <v>60000000</v>
      </c>
      <c r="J2904" t="s">
        <v>32</v>
      </c>
      <c r="K2904" t="s">
        <v>2</v>
      </c>
      <c r="L2904" t="s">
        <v>67</v>
      </c>
      <c r="M2904" t="s">
        <v>82</v>
      </c>
      <c r="N2904" t="s">
        <v>14</v>
      </c>
    </row>
    <row r="2905" spans="1:14" x14ac:dyDescent="0.35">
      <c r="A2905" s="75">
        <v>44169</v>
      </c>
      <c r="B2905" t="s">
        <v>143</v>
      </c>
      <c r="C2905" t="s">
        <v>103</v>
      </c>
      <c r="D2905">
        <v>8</v>
      </c>
      <c r="E2905">
        <v>8</v>
      </c>
      <c r="F2905" t="s">
        <v>10</v>
      </c>
      <c r="G2905" t="s">
        <v>72</v>
      </c>
      <c r="H2905" t="s">
        <v>78</v>
      </c>
      <c r="I2905">
        <v>120000000</v>
      </c>
      <c r="J2905" t="s">
        <v>42</v>
      </c>
      <c r="K2905" t="s">
        <v>5</v>
      </c>
      <c r="L2905" t="s">
        <v>67</v>
      </c>
      <c r="M2905" t="s">
        <v>82</v>
      </c>
      <c r="N2905" t="s">
        <v>14</v>
      </c>
    </row>
    <row r="2906" spans="1:14" x14ac:dyDescent="0.35">
      <c r="A2906" s="75">
        <v>44169</v>
      </c>
      <c r="B2906" t="s">
        <v>143</v>
      </c>
      <c r="C2906" t="s">
        <v>103</v>
      </c>
      <c r="D2906">
        <v>5</v>
      </c>
      <c r="E2906">
        <v>5</v>
      </c>
      <c r="F2906" t="s">
        <v>10</v>
      </c>
      <c r="G2906" t="s">
        <v>73</v>
      </c>
      <c r="H2906" t="s">
        <v>78</v>
      </c>
      <c r="I2906">
        <v>60000000</v>
      </c>
      <c r="J2906" t="s">
        <v>40</v>
      </c>
      <c r="K2906" t="s">
        <v>2</v>
      </c>
      <c r="L2906" t="s">
        <v>67</v>
      </c>
      <c r="M2906" t="s">
        <v>81</v>
      </c>
      <c r="N2906" t="s">
        <v>12</v>
      </c>
    </row>
    <row r="2907" spans="1:14" x14ac:dyDescent="0.35">
      <c r="A2907" s="75">
        <v>44169</v>
      </c>
      <c r="B2907" t="s">
        <v>143</v>
      </c>
      <c r="C2907" t="s">
        <v>103</v>
      </c>
      <c r="D2907">
        <v>4</v>
      </c>
      <c r="E2907">
        <v>4</v>
      </c>
      <c r="F2907" t="s">
        <v>10</v>
      </c>
      <c r="G2907" t="s">
        <v>73</v>
      </c>
      <c r="H2907" t="s">
        <v>78</v>
      </c>
      <c r="I2907">
        <v>60000000</v>
      </c>
      <c r="J2907" t="s">
        <v>53</v>
      </c>
      <c r="K2907" t="s">
        <v>2</v>
      </c>
      <c r="L2907" t="s">
        <v>67</v>
      </c>
      <c r="M2907" t="s">
        <v>82</v>
      </c>
      <c r="N2907" t="s">
        <v>12</v>
      </c>
    </row>
    <row r="2908" spans="1:14" x14ac:dyDescent="0.35">
      <c r="A2908" s="75">
        <v>44170</v>
      </c>
      <c r="B2908" t="s">
        <v>144</v>
      </c>
      <c r="C2908" t="s">
        <v>103</v>
      </c>
      <c r="D2908">
        <v>10</v>
      </c>
      <c r="E2908">
        <v>10</v>
      </c>
      <c r="F2908" t="s">
        <v>10</v>
      </c>
      <c r="G2908" t="s">
        <v>73</v>
      </c>
      <c r="H2908" t="s">
        <v>78</v>
      </c>
      <c r="I2908">
        <v>120000000</v>
      </c>
      <c r="J2908" t="s">
        <v>56</v>
      </c>
      <c r="K2908" t="s">
        <v>2</v>
      </c>
      <c r="L2908" t="s">
        <v>67</v>
      </c>
      <c r="M2908" t="s">
        <v>82</v>
      </c>
      <c r="N2908" t="s">
        <v>12</v>
      </c>
    </row>
    <row r="2909" spans="1:14" x14ac:dyDescent="0.35">
      <c r="A2909" s="75">
        <v>44170</v>
      </c>
      <c r="B2909" t="s">
        <v>144</v>
      </c>
      <c r="C2909" t="s">
        <v>103</v>
      </c>
      <c r="D2909">
        <v>10</v>
      </c>
      <c r="E2909">
        <v>10</v>
      </c>
      <c r="F2909" t="s">
        <v>10</v>
      </c>
      <c r="G2909" t="s">
        <v>114</v>
      </c>
      <c r="H2909" t="s">
        <v>3</v>
      </c>
      <c r="I2909">
        <v>140000000</v>
      </c>
      <c r="J2909" t="s">
        <v>22</v>
      </c>
      <c r="K2909" t="s">
        <v>5</v>
      </c>
      <c r="L2909" t="s">
        <v>67</v>
      </c>
      <c r="M2909" t="s">
        <v>80</v>
      </c>
      <c r="N2909" t="s">
        <v>12</v>
      </c>
    </row>
    <row r="2910" spans="1:14" x14ac:dyDescent="0.35">
      <c r="A2910" s="75">
        <v>44170</v>
      </c>
      <c r="B2910" t="s">
        <v>144</v>
      </c>
      <c r="C2910" t="s">
        <v>103</v>
      </c>
      <c r="D2910">
        <v>10</v>
      </c>
      <c r="E2910">
        <v>10</v>
      </c>
      <c r="F2910" t="s">
        <v>10</v>
      </c>
      <c r="G2910" t="s">
        <v>71</v>
      </c>
      <c r="H2910" t="s">
        <v>6</v>
      </c>
      <c r="I2910">
        <v>60000000</v>
      </c>
      <c r="J2910" t="s">
        <v>56</v>
      </c>
      <c r="K2910" t="s">
        <v>5</v>
      </c>
      <c r="L2910" t="s">
        <v>67</v>
      </c>
      <c r="M2910" t="s">
        <v>82</v>
      </c>
      <c r="N2910" t="s">
        <v>13</v>
      </c>
    </row>
    <row r="2911" spans="1:14" x14ac:dyDescent="0.35">
      <c r="A2911" s="75">
        <v>44170</v>
      </c>
      <c r="B2911" t="s">
        <v>144</v>
      </c>
      <c r="C2911" t="s">
        <v>103</v>
      </c>
      <c r="D2911">
        <v>8</v>
      </c>
      <c r="E2911">
        <v>8</v>
      </c>
      <c r="F2911" t="s">
        <v>10</v>
      </c>
      <c r="G2911" t="s">
        <v>71</v>
      </c>
      <c r="H2911" t="s">
        <v>6</v>
      </c>
      <c r="I2911">
        <v>100000000</v>
      </c>
      <c r="J2911" t="s">
        <v>56</v>
      </c>
      <c r="K2911" t="s">
        <v>9</v>
      </c>
      <c r="L2911" t="s">
        <v>67</v>
      </c>
      <c r="M2911" t="s">
        <v>80</v>
      </c>
      <c r="N2911" t="s">
        <v>12</v>
      </c>
    </row>
    <row r="2912" spans="1:14" x14ac:dyDescent="0.35">
      <c r="A2912" s="75">
        <v>44170</v>
      </c>
      <c r="B2912" t="s">
        <v>144</v>
      </c>
      <c r="C2912" t="s">
        <v>103</v>
      </c>
      <c r="D2912">
        <v>7</v>
      </c>
      <c r="E2912">
        <v>7</v>
      </c>
      <c r="F2912" t="s">
        <v>10</v>
      </c>
      <c r="G2912" t="s">
        <v>71</v>
      </c>
      <c r="H2912" t="s">
        <v>6</v>
      </c>
      <c r="I2912">
        <v>120000000</v>
      </c>
      <c r="J2912" t="s">
        <v>40</v>
      </c>
      <c r="K2912" t="s">
        <v>2</v>
      </c>
      <c r="L2912" t="s">
        <v>67</v>
      </c>
      <c r="M2912" t="s">
        <v>81</v>
      </c>
      <c r="N2912" t="s">
        <v>14</v>
      </c>
    </row>
    <row r="2913" spans="1:14" x14ac:dyDescent="0.35">
      <c r="A2913" s="75">
        <v>44170</v>
      </c>
      <c r="B2913" t="s">
        <v>144</v>
      </c>
      <c r="C2913" t="s">
        <v>103</v>
      </c>
      <c r="D2913">
        <v>7</v>
      </c>
      <c r="E2913">
        <v>7</v>
      </c>
      <c r="F2913" t="s">
        <v>10</v>
      </c>
      <c r="G2913" t="s">
        <v>71</v>
      </c>
      <c r="H2913" t="s">
        <v>6</v>
      </c>
      <c r="I2913">
        <v>140000000</v>
      </c>
      <c r="J2913" t="s">
        <v>28</v>
      </c>
      <c r="K2913" t="s">
        <v>2</v>
      </c>
      <c r="L2913" t="s">
        <v>67</v>
      </c>
      <c r="M2913" t="s">
        <v>81</v>
      </c>
      <c r="N2913" t="s">
        <v>12</v>
      </c>
    </row>
    <row r="2914" spans="1:14" x14ac:dyDescent="0.35">
      <c r="A2914" s="75">
        <v>44170</v>
      </c>
      <c r="B2914" t="s">
        <v>144</v>
      </c>
      <c r="C2914" t="s">
        <v>103</v>
      </c>
      <c r="D2914">
        <v>7</v>
      </c>
      <c r="E2914">
        <v>7</v>
      </c>
      <c r="F2914" t="s">
        <v>10</v>
      </c>
      <c r="G2914" t="s">
        <v>113</v>
      </c>
      <c r="H2914" t="s">
        <v>77</v>
      </c>
      <c r="I2914">
        <v>120000000</v>
      </c>
      <c r="J2914" t="s">
        <v>32</v>
      </c>
      <c r="K2914" t="s">
        <v>5</v>
      </c>
      <c r="L2914" t="s">
        <v>67</v>
      </c>
      <c r="M2914" t="s">
        <v>82</v>
      </c>
      <c r="N2914" t="s">
        <v>14</v>
      </c>
    </row>
    <row r="2915" spans="1:14" x14ac:dyDescent="0.35">
      <c r="A2915" s="75">
        <v>44170</v>
      </c>
      <c r="B2915" t="s">
        <v>144</v>
      </c>
      <c r="C2915" t="s">
        <v>103</v>
      </c>
      <c r="D2915">
        <v>7</v>
      </c>
      <c r="E2915">
        <v>7</v>
      </c>
      <c r="F2915" t="s">
        <v>10</v>
      </c>
      <c r="G2915" t="s">
        <v>76</v>
      </c>
      <c r="H2915" t="s">
        <v>79</v>
      </c>
      <c r="I2915">
        <v>120000000</v>
      </c>
      <c r="J2915" t="s">
        <v>35</v>
      </c>
      <c r="K2915" t="s">
        <v>5</v>
      </c>
      <c r="L2915" t="s">
        <v>67</v>
      </c>
      <c r="M2915" t="s">
        <v>80</v>
      </c>
      <c r="N2915" t="s">
        <v>14</v>
      </c>
    </row>
    <row r="2916" spans="1:14" x14ac:dyDescent="0.35">
      <c r="A2916" s="75">
        <v>44170</v>
      </c>
      <c r="B2916" t="s">
        <v>144</v>
      </c>
      <c r="C2916" t="s">
        <v>103</v>
      </c>
      <c r="D2916">
        <v>5</v>
      </c>
      <c r="E2916">
        <v>5</v>
      </c>
      <c r="F2916" t="s">
        <v>10</v>
      </c>
      <c r="G2916" t="s">
        <v>73</v>
      </c>
      <c r="H2916" t="s">
        <v>78</v>
      </c>
      <c r="I2916">
        <v>40000000</v>
      </c>
      <c r="J2916" t="s">
        <v>54</v>
      </c>
      <c r="K2916" t="s">
        <v>9</v>
      </c>
      <c r="L2916" t="s">
        <v>67</v>
      </c>
      <c r="M2916" t="s">
        <v>82</v>
      </c>
      <c r="N2916" t="s">
        <v>11</v>
      </c>
    </row>
    <row r="2917" spans="1:14" x14ac:dyDescent="0.35">
      <c r="A2917" s="75">
        <v>44170</v>
      </c>
      <c r="B2917" t="s">
        <v>144</v>
      </c>
      <c r="C2917" t="s">
        <v>103</v>
      </c>
      <c r="D2917">
        <v>4</v>
      </c>
      <c r="E2917">
        <v>4</v>
      </c>
      <c r="F2917" t="s">
        <v>10</v>
      </c>
      <c r="G2917" t="s">
        <v>74</v>
      </c>
      <c r="H2917" t="s">
        <v>77</v>
      </c>
      <c r="I2917">
        <v>140000000</v>
      </c>
      <c r="J2917" t="s">
        <v>19</v>
      </c>
      <c r="K2917" t="s">
        <v>2</v>
      </c>
      <c r="L2917" t="s">
        <v>67</v>
      </c>
      <c r="M2917" t="s">
        <v>80</v>
      </c>
      <c r="N2917" t="s">
        <v>11</v>
      </c>
    </row>
    <row r="2918" spans="1:14" x14ac:dyDescent="0.35">
      <c r="A2918" s="75">
        <v>44170</v>
      </c>
      <c r="B2918" t="s">
        <v>144</v>
      </c>
      <c r="C2918" t="s">
        <v>103</v>
      </c>
      <c r="D2918">
        <v>3</v>
      </c>
      <c r="E2918">
        <v>3</v>
      </c>
      <c r="F2918" t="s">
        <v>10</v>
      </c>
      <c r="G2918" t="s">
        <v>75</v>
      </c>
      <c r="H2918" t="s">
        <v>6</v>
      </c>
      <c r="I2918">
        <v>120000000</v>
      </c>
      <c r="J2918" t="s">
        <v>54</v>
      </c>
      <c r="K2918" t="s">
        <v>2</v>
      </c>
      <c r="L2918" t="s">
        <v>67</v>
      </c>
      <c r="M2918" t="s">
        <v>80</v>
      </c>
      <c r="N2918" t="s">
        <v>11</v>
      </c>
    </row>
    <row r="2919" spans="1:14" x14ac:dyDescent="0.35">
      <c r="A2919" s="75">
        <v>44171</v>
      </c>
      <c r="B2919" t="s">
        <v>145</v>
      </c>
      <c r="C2919" t="s">
        <v>103</v>
      </c>
      <c r="D2919">
        <v>9</v>
      </c>
      <c r="E2919">
        <v>9</v>
      </c>
      <c r="F2919" t="s">
        <v>10</v>
      </c>
      <c r="G2919" t="s">
        <v>74</v>
      </c>
      <c r="H2919" t="s">
        <v>77</v>
      </c>
      <c r="I2919">
        <v>140000000</v>
      </c>
      <c r="J2919" t="s">
        <v>25</v>
      </c>
      <c r="K2919" t="s">
        <v>2</v>
      </c>
      <c r="L2919" t="s">
        <v>67</v>
      </c>
      <c r="M2919" t="s">
        <v>80</v>
      </c>
      <c r="N2919" t="s">
        <v>14</v>
      </c>
    </row>
    <row r="2920" spans="1:14" x14ac:dyDescent="0.35">
      <c r="A2920" s="75">
        <v>44171</v>
      </c>
      <c r="B2920" t="s">
        <v>145</v>
      </c>
      <c r="C2920" t="s">
        <v>103</v>
      </c>
      <c r="D2920">
        <v>8</v>
      </c>
      <c r="E2920">
        <v>8</v>
      </c>
      <c r="F2920" t="s">
        <v>10</v>
      </c>
      <c r="G2920" t="s">
        <v>73</v>
      </c>
      <c r="H2920" t="s">
        <v>78</v>
      </c>
      <c r="I2920">
        <v>100000000</v>
      </c>
      <c r="J2920" t="s">
        <v>59</v>
      </c>
      <c r="K2920" t="s">
        <v>2</v>
      </c>
      <c r="L2920" t="s">
        <v>67</v>
      </c>
      <c r="M2920" t="s">
        <v>80</v>
      </c>
      <c r="N2920" t="s">
        <v>11</v>
      </c>
    </row>
    <row r="2921" spans="1:14" x14ac:dyDescent="0.35">
      <c r="A2921" s="75">
        <v>44171</v>
      </c>
      <c r="B2921" t="s">
        <v>145</v>
      </c>
      <c r="C2921" t="s">
        <v>103</v>
      </c>
      <c r="D2921">
        <v>7</v>
      </c>
      <c r="E2921">
        <v>7</v>
      </c>
      <c r="F2921" t="s">
        <v>10</v>
      </c>
      <c r="G2921" t="s">
        <v>113</v>
      </c>
      <c r="H2921" t="s">
        <v>77</v>
      </c>
      <c r="I2921">
        <v>140000000</v>
      </c>
      <c r="J2921" t="s">
        <v>26</v>
      </c>
      <c r="K2921" t="s">
        <v>7</v>
      </c>
      <c r="L2921" t="s">
        <v>67</v>
      </c>
      <c r="M2921" t="s">
        <v>82</v>
      </c>
      <c r="N2921" t="s">
        <v>11</v>
      </c>
    </row>
    <row r="2922" spans="1:14" x14ac:dyDescent="0.35">
      <c r="A2922" s="75">
        <v>44171</v>
      </c>
      <c r="B2922" t="s">
        <v>145</v>
      </c>
      <c r="C2922" t="s">
        <v>103</v>
      </c>
      <c r="D2922">
        <v>5</v>
      </c>
      <c r="E2922">
        <v>5</v>
      </c>
      <c r="F2922" t="s">
        <v>10</v>
      </c>
      <c r="G2922" t="s">
        <v>76</v>
      </c>
      <c r="H2922" t="s">
        <v>79</v>
      </c>
      <c r="I2922">
        <v>120000000</v>
      </c>
      <c r="J2922" t="s">
        <v>51</v>
      </c>
      <c r="K2922" t="s">
        <v>5</v>
      </c>
      <c r="L2922" t="s">
        <v>67</v>
      </c>
      <c r="M2922" t="s">
        <v>82</v>
      </c>
      <c r="N2922" t="s">
        <v>14</v>
      </c>
    </row>
    <row r="2923" spans="1:14" x14ac:dyDescent="0.35">
      <c r="A2923" s="75">
        <v>44171</v>
      </c>
      <c r="B2923" t="s">
        <v>145</v>
      </c>
      <c r="C2923" t="s">
        <v>103</v>
      </c>
      <c r="D2923">
        <v>4</v>
      </c>
      <c r="E2923">
        <v>4</v>
      </c>
      <c r="F2923" t="s">
        <v>10</v>
      </c>
      <c r="G2923" t="s">
        <v>114</v>
      </c>
      <c r="H2923" t="s">
        <v>3</v>
      </c>
      <c r="I2923">
        <v>80000000</v>
      </c>
      <c r="J2923" t="s">
        <v>29</v>
      </c>
      <c r="K2923" t="s">
        <v>5</v>
      </c>
      <c r="L2923" t="s">
        <v>67</v>
      </c>
      <c r="M2923" t="s">
        <v>81</v>
      </c>
      <c r="N2923" t="s">
        <v>14</v>
      </c>
    </row>
    <row r="2924" spans="1:14" x14ac:dyDescent="0.35">
      <c r="A2924" s="75">
        <v>44171</v>
      </c>
      <c r="B2924" t="s">
        <v>145</v>
      </c>
      <c r="C2924" t="s">
        <v>103</v>
      </c>
      <c r="D2924">
        <v>4</v>
      </c>
      <c r="E2924">
        <v>4</v>
      </c>
      <c r="F2924" t="s">
        <v>10</v>
      </c>
      <c r="G2924" t="s">
        <v>72</v>
      </c>
      <c r="H2924" t="s">
        <v>78</v>
      </c>
      <c r="I2924">
        <v>60000000</v>
      </c>
      <c r="J2924" t="s">
        <v>19</v>
      </c>
      <c r="K2924" t="s">
        <v>5</v>
      </c>
      <c r="L2924" t="s">
        <v>67</v>
      </c>
      <c r="M2924" t="s">
        <v>80</v>
      </c>
      <c r="N2924" t="s">
        <v>14</v>
      </c>
    </row>
    <row r="2925" spans="1:14" x14ac:dyDescent="0.35">
      <c r="A2925" s="75">
        <v>44171</v>
      </c>
      <c r="B2925" t="s">
        <v>145</v>
      </c>
      <c r="C2925" t="s">
        <v>103</v>
      </c>
      <c r="D2925">
        <v>4</v>
      </c>
      <c r="E2925">
        <v>4</v>
      </c>
      <c r="F2925" t="s">
        <v>10</v>
      </c>
      <c r="G2925" t="s">
        <v>113</v>
      </c>
      <c r="H2925" t="s">
        <v>77</v>
      </c>
      <c r="I2925">
        <v>100000000</v>
      </c>
      <c r="J2925" t="s">
        <v>28</v>
      </c>
      <c r="K2925" t="s">
        <v>5</v>
      </c>
      <c r="L2925" t="s">
        <v>67</v>
      </c>
      <c r="M2925" t="s">
        <v>82</v>
      </c>
      <c r="N2925" t="s">
        <v>11</v>
      </c>
    </row>
    <row r="2926" spans="1:14" x14ac:dyDescent="0.35">
      <c r="A2926" s="75">
        <v>44171</v>
      </c>
      <c r="B2926" t="s">
        <v>145</v>
      </c>
      <c r="C2926" t="s">
        <v>103</v>
      </c>
      <c r="D2926">
        <v>4</v>
      </c>
      <c r="E2926">
        <v>4</v>
      </c>
      <c r="F2926" t="s">
        <v>10</v>
      </c>
      <c r="G2926" t="s">
        <v>71</v>
      </c>
      <c r="H2926" t="s">
        <v>6</v>
      </c>
      <c r="I2926">
        <v>140000000</v>
      </c>
      <c r="J2926" t="s">
        <v>23</v>
      </c>
      <c r="K2926" t="s">
        <v>8</v>
      </c>
      <c r="L2926" t="s">
        <v>67</v>
      </c>
      <c r="M2926" t="s">
        <v>82</v>
      </c>
      <c r="N2926" t="s">
        <v>11</v>
      </c>
    </row>
    <row r="2927" spans="1:14" x14ac:dyDescent="0.35">
      <c r="A2927" s="75">
        <v>44171</v>
      </c>
      <c r="B2927" t="s">
        <v>145</v>
      </c>
      <c r="C2927" t="s">
        <v>103</v>
      </c>
      <c r="D2927">
        <v>3</v>
      </c>
      <c r="E2927">
        <v>3</v>
      </c>
      <c r="F2927" t="s">
        <v>10</v>
      </c>
      <c r="G2927" t="s">
        <v>73</v>
      </c>
      <c r="H2927" t="s">
        <v>78</v>
      </c>
      <c r="I2927">
        <v>100000000</v>
      </c>
      <c r="J2927" t="s">
        <v>41</v>
      </c>
      <c r="K2927" t="s">
        <v>5</v>
      </c>
      <c r="L2927" t="s">
        <v>67</v>
      </c>
      <c r="M2927" t="s">
        <v>81</v>
      </c>
      <c r="N2927" t="s">
        <v>12</v>
      </c>
    </row>
    <row r="2928" spans="1:14" x14ac:dyDescent="0.35">
      <c r="A2928" s="75">
        <v>44172</v>
      </c>
      <c r="B2928" t="s">
        <v>146</v>
      </c>
      <c r="C2928" t="s">
        <v>103</v>
      </c>
      <c r="D2928">
        <v>10</v>
      </c>
      <c r="E2928">
        <v>10</v>
      </c>
      <c r="F2928" t="s">
        <v>10</v>
      </c>
      <c r="G2928" t="s">
        <v>73</v>
      </c>
      <c r="H2928" t="s">
        <v>78</v>
      </c>
      <c r="I2928">
        <v>40000000</v>
      </c>
      <c r="J2928" t="s">
        <v>38</v>
      </c>
      <c r="K2928" t="s">
        <v>5</v>
      </c>
      <c r="L2928" t="s">
        <v>67</v>
      </c>
      <c r="M2928" t="s">
        <v>82</v>
      </c>
      <c r="N2928" t="s">
        <v>13</v>
      </c>
    </row>
    <row r="2929" spans="1:14" x14ac:dyDescent="0.35">
      <c r="A2929" s="75">
        <v>44172</v>
      </c>
      <c r="B2929" t="s">
        <v>146</v>
      </c>
      <c r="C2929" t="s">
        <v>103</v>
      </c>
      <c r="D2929">
        <v>10</v>
      </c>
      <c r="E2929">
        <v>10</v>
      </c>
      <c r="F2929" t="s">
        <v>10</v>
      </c>
      <c r="G2929" t="s">
        <v>71</v>
      </c>
      <c r="H2929" t="s">
        <v>6</v>
      </c>
      <c r="I2929">
        <v>80000000</v>
      </c>
      <c r="J2929" t="s">
        <v>30</v>
      </c>
      <c r="K2929" t="s">
        <v>2</v>
      </c>
      <c r="L2929" t="s">
        <v>67</v>
      </c>
      <c r="M2929" t="s">
        <v>82</v>
      </c>
      <c r="N2929" t="s">
        <v>14</v>
      </c>
    </row>
    <row r="2930" spans="1:14" x14ac:dyDescent="0.35">
      <c r="A2930" s="75">
        <v>44172</v>
      </c>
      <c r="B2930" t="s">
        <v>146</v>
      </c>
      <c r="C2930" t="s">
        <v>103</v>
      </c>
      <c r="D2930">
        <v>10</v>
      </c>
      <c r="E2930">
        <v>10</v>
      </c>
      <c r="F2930" t="s">
        <v>10</v>
      </c>
      <c r="G2930" t="s">
        <v>70</v>
      </c>
      <c r="H2930" t="s">
        <v>1</v>
      </c>
      <c r="I2930">
        <v>80000000</v>
      </c>
      <c r="J2930" t="s">
        <v>21</v>
      </c>
      <c r="K2930" t="s">
        <v>4</v>
      </c>
      <c r="L2930" t="s">
        <v>67</v>
      </c>
      <c r="M2930" t="s">
        <v>80</v>
      </c>
      <c r="N2930" t="s">
        <v>11</v>
      </c>
    </row>
    <row r="2931" spans="1:14" x14ac:dyDescent="0.35">
      <c r="A2931" s="75">
        <v>44172</v>
      </c>
      <c r="B2931" t="s">
        <v>146</v>
      </c>
      <c r="C2931" t="s">
        <v>103</v>
      </c>
      <c r="D2931">
        <v>9</v>
      </c>
      <c r="E2931">
        <v>9</v>
      </c>
      <c r="F2931" t="s">
        <v>10</v>
      </c>
      <c r="G2931" t="s">
        <v>70</v>
      </c>
      <c r="H2931" t="s">
        <v>1</v>
      </c>
      <c r="I2931">
        <v>60000000</v>
      </c>
      <c r="J2931" t="s">
        <v>34</v>
      </c>
      <c r="K2931" t="s">
        <v>7</v>
      </c>
      <c r="L2931" t="s">
        <v>67</v>
      </c>
      <c r="M2931" t="s">
        <v>82</v>
      </c>
      <c r="N2931" t="s">
        <v>11</v>
      </c>
    </row>
    <row r="2932" spans="1:14" x14ac:dyDescent="0.35">
      <c r="A2932" s="75">
        <v>44172</v>
      </c>
      <c r="B2932" t="s">
        <v>146</v>
      </c>
      <c r="C2932" t="s">
        <v>103</v>
      </c>
      <c r="D2932">
        <v>7</v>
      </c>
      <c r="E2932">
        <v>7</v>
      </c>
      <c r="F2932" t="s">
        <v>10</v>
      </c>
      <c r="G2932" t="s">
        <v>73</v>
      </c>
      <c r="H2932" t="s">
        <v>78</v>
      </c>
      <c r="I2932">
        <v>140000000</v>
      </c>
      <c r="J2932" t="s">
        <v>56</v>
      </c>
      <c r="K2932" t="s">
        <v>9</v>
      </c>
      <c r="L2932" t="s">
        <v>67</v>
      </c>
      <c r="M2932" t="s">
        <v>80</v>
      </c>
      <c r="N2932" t="s">
        <v>11</v>
      </c>
    </row>
    <row r="2933" spans="1:14" x14ac:dyDescent="0.35">
      <c r="A2933" s="75">
        <v>44172</v>
      </c>
      <c r="B2933" t="s">
        <v>146</v>
      </c>
      <c r="C2933" t="s">
        <v>103</v>
      </c>
      <c r="D2933">
        <v>6</v>
      </c>
      <c r="E2933">
        <v>6</v>
      </c>
      <c r="F2933" t="s">
        <v>10</v>
      </c>
      <c r="G2933" t="s">
        <v>73</v>
      </c>
      <c r="H2933" t="s">
        <v>78</v>
      </c>
      <c r="I2933">
        <v>40000000</v>
      </c>
      <c r="J2933" t="s">
        <v>45</v>
      </c>
      <c r="K2933" t="s">
        <v>2</v>
      </c>
      <c r="L2933" t="s">
        <v>67</v>
      </c>
      <c r="M2933" t="s">
        <v>81</v>
      </c>
      <c r="N2933" t="s">
        <v>13</v>
      </c>
    </row>
    <row r="2934" spans="1:14" x14ac:dyDescent="0.35">
      <c r="A2934" s="75">
        <v>44172</v>
      </c>
      <c r="B2934" t="s">
        <v>146</v>
      </c>
      <c r="C2934" t="s">
        <v>103</v>
      </c>
      <c r="D2934">
        <v>6</v>
      </c>
      <c r="E2934">
        <v>6</v>
      </c>
      <c r="F2934" t="s">
        <v>10</v>
      </c>
      <c r="G2934" t="s">
        <v>74</v>
      </c>
      <c r="H2934" t="s">
        <v>77</v>
      </c>
      <c r="I2934">
        <v>120000000</v>
      </c>
      <c r="J2934" t="s">
        <v>47</v>
      </c>
      <c r="K2934" t="s">
        <v>2</v>
      </c>
      <c r="L2934" t="s">
        <v>67</v>
      </c>
      <c r="M2934" t="s">
        <v>81</v>
      </c>
      <c r="N2934" t="s">
        <v>12</v>
      </c>
    </row>
    <row r="2935" spans="1:14" x14ac:dyDescent="0.35">
      <c r="A2935" s="75">
        <v>44172</v>
      </c>
      <c r="B2935" t="s">
        <v>146</v>
      </c>
      <c r="C2935" t="s">
        <v>103</v>
      </c>
      <c r="D2935">
        <v>4</v>
      </c>
      <c r="E2935">
        <v>4</v>
      </c>
      <c r="F2935" t="s">
        <v>10</v>
      </c>
      <c r="G2935" t="s">
        <v>74</v>
      </c>
      <c r="H2935" t="s">
        <v>77</v>
      </c>
      <c r="I2935">
        <v>140000000</v>
      </c>
      <c r="J2935" t="s">
        <v>16</v>
      </c>
      <c r="K2935" t="s">
        <v>5</v>
      </c>
      <c r="L2935" t="s">
        <v>67</v>
      </c>
      <c r="M2935" t="s">
        <v>82</v>
      </c>
      <c r="N2935" t="s">
        <v>11</v>
      </c>
    </row>
    <row r="2936" spans="1:14" x14ac:dyDescent="0.35">
      <c r="A2936" s="75">
        <v>44173</v>
      </c>
      <c r="B2936" t="s">
        <v>147</v>
      </c>
      <c r="C2936" t="s">
        <v>103</v>
      </c>
      <c r="D2936">
        <v>10</v>
      </c>
      <c r="E2936">
        <v>10</v>
      </c>
      <c r="F2936" t="s">
        <v>10</v>
      </c>
      <c r="G2936" t="s">
        <v>113</v>
      </c>
      <c r="H2936" t="s">
        <v>77</v>
      </c>
      <c r="I2936">
        <v>60000000</v>
      </c>
      <c r="J2936" t="s">
        <v>30</v>
      </c>
      <c r="K2936" t="s">
        <v>4</v>
      </c>
      <c r="L2936" t="s">
        <v>67</v>
      </c>
      <c r="M2936" t="s">
        <v>80</v>
      </c>
      <c r="N2936" t="s">
        <v>12</v>
      </c>
    </row>
    <row r="2937" spans="1:14" x14ac:dyDescent="0.35">
      <c r="A2937" s="75">
        <v>44173</v>
      </c>
      <c r="B2937" t="s">
        <v>147</v>
      </c>
      <c r="C2937" t="s">
        <v>103</v>
      </c>
      <c r="D2937">
        <v>10</v>
      </c>
      <c r="E2937">
        <v>10</v>
      </c>
      <c r="F2937" t="s">
        <v>10</v>
      </c>
      <c r="G2937" t="s">
        <v>70</v>
      </c>
      <c r="H2937" t="s">
        <v>1</v>
      </c>
      <c r="I2937">
        <v>120000000</v>
      </c>
      <c r="J2937" t="s">
        <v>61</v>
      </c>
      <c r="K2937" t="s">
        <v>2</v>
      </c>
      <c r="L2937" t="s">
        <v>67</v>
      </c>
      <c r="M2937" t="s">
        <v>82</v>
      </c>
      <c r="N2937" t="s">
        <v>11</v>
      </c>
    </row>
    <row r="2938" spans="1:14" x14ac:dyDescent="0.35">
      <c r="A2938" s="75">
        <v>44173</v>
      </c>
      <c r="B2938" t="s">
        <v>147</v>
      </c>
      <c r="C2938" t="s">
        <v>103</v>
      </c>
      <c r="D2938">
        <v>9</v>
      </c>
      <c r="E2938">
        <v>9</v>
      </c>
      <c r="F2938" t="s">
        <v>10</v>
      </c>
      <c r="G2938" t="s">
        <v>114</v>
      </c>
      <c r="H2938" t="s">
        <v>3</v>
      </c>
      <c r="I2938">
        <v>80000000</v>
      </c>
      <c r="J2938" t="s">
        <v>48</v>
      </c>
      <c r="K2938" t="s">
        <v>5</v>
      </c>
      <c r="L2938" t="s">
        <v>67</v>
      </c>
      <c r="M2938" t="s">
        <v>80</v>
      </c>
      <c r="N2938" t="s">
        <v>12</v>
      </c>
    </row>
    <row r="2939" spans="1:14" x14ac:dyDescent="0.35">
      <c r="A2939" s="75">
        <v>44173</v>
      </c>
      <c r="B2939" t="s">
        <v>147</v>
      </c>
      <c r="C2939" t="s">
        <v>103</v>
      </c>
      <c r="D2939">
        <v>9</v>
      </c>
      <c r="E2939">
        <v>9</v>
      </c>
      <c r="F2939" t="s">
        <v>10</v>
      </c>
      <c r="G2939" t="s">
        <v>73</v>
      </c>
      <c r="H2939" t="s">
        <v>78</v>
      </c>
      <c r="I2939">
        <v>120000000</v>
      </c>
      <c r="J2939" t="s">
        <v>17</v>
      </c>
      <c r="K2939" t="s">
        <v>8</v>
      </c>
      <c r="L2939" t="s">
        <v>67</v>
      </c>
      <c r="M2939" t="s">
        <v>80</v>
      </c>
      <c r="N2939" t="s">
        <v>11</v>
      </c>
    </row>
    <row r="2940" spans="1:14" x14ac:dyDescent="0.35">
      <c r="A2940" s="75">
        <v>44173</v>
      </c>
      <c r="B2940" t="s">
        <v>147</v>
      </c>
      <c r="C2940" t="s">
        <v>103</v>
      </c>
      <c r="D2940">
        <v>8</v>
      </c>
      <c r="E2940">
        <v>8</v>
      </c>
      <c r="F2940" t="s">
        <v>10</v>
      </c>
      <c r="G2940" t="s">
        <v>113</v>
      </c>
      <c r="H2940" t="s">
        <v>77</v>
      </c>
      <c r="I2940">
        <v>60000000</v>
      </c>
      <c r="J2940" t="s">
        <v>49</v>
      </c>
      <c r="K2940" t="s">
        <v>2</v>
      </c>
      <c r="L2940" t="s">
        <v>67</v>
      </c>
      <c r="M2940" t="s">
        <v>80</v>
      </c>
      <c r="N2940" t="s">
        <v>11</v>
      </c>
    </row>
    <row r="2941" spans="1:14" x14ac:dyDescent="0.35">
      <c r="A2941" s="75">
        <v>44173</v>
      </c>
      <c r="B2941" t="s">
        <v>147</v>
      </c>
      <c r="C2941" t="s">
        <v>103</v>
      </c>
      <c r="D2941">
        <v>7</v>
      </c>
      <c r="E2941">
        <v>7</v>
      </c>
      <c r="F2941" t="s">
        <v>10</v>
      </c>
      <c r="G2941" t="s">
        <v>71</v>
      </c>
      <c r="H2941" t="s">
        <v>6</v>
      </c>
      <c r="I2941">
        <v>100000000</v>
      </c>
      <c r="J2941" t="s">
        <v>40</v>
      </c>
      <c r="K2941" t="s">
        <v>5</v>
      </c>
      <c r="L2941" t="s">
        <v>67</v>
      </c>
      <c r="M2941" t="s">
        <v>80</v>
      </c>
      <c r="N2941" t="s">
        <v>14</v>
      </c>
    </row>
    <row r="2942" spans="1:14" x14ac:dyDescent="0.35">
      <c r="A2942" s="75">
        <v>44173</v>
      </c>
      <c r="B2942" t="s">
        <v>147</v>
      </c>
      <c r="C2942" t="s">
        <v>103</v>
      </c>
      <c r="D2942">
        <v>7</v>
      </c>
      <c r="E2942">
        <v>7</v>
      </c>
      <c r="F2942" t="s">
        <v>10</v>
      </c>
      <c r="G2942" t="s">
        <v>113</v>
      </c>
      <c r="H2942" t="s">
        <v>77</v>
      </c>
      <c r="I2942">
        <v>60000000</v>
      </c>
      <c r="J2942" t="s">
        <v>32</v>
      </c>
      <c r="K2942" t="s">
        <v>5</v>
      </c>
      <c r="L2942" t="s">
        <v>67</v>
      </c>
      <c r="M2942" t="s">
        <v>82</v>
      </c>
      <c r="N2942" t="s">
        <v>14</v>
      </c>
    </row>
    <row r="2943" spans="1:14" x14ac:dyDescent="0.35">
      <c r="A2943" s="75">
        <v>44173</v>
      </c>
      <c r="B2943" t="s">
        <v>147</v>
      </c>
      <c r="C2943" t="s">
        <v>103</v>
      </c>
      <c r="D2943">
        <v>5</v>
      </c>
      <c r="E2943">
        <v>5</v>
      </c>
      <c r="F2943" t="s">
        <v>10</v>
      </c>
      <c r="G2943" t="s">
        <v>71</v>
      </c>
      <c r="H2943" t="s">
        <v>6</v>
      </c>
      <c r="I2943">
        <v>40000000</v>
      </c>
      <c r="J2943" t="s">
        <v>36</v>
      </c>
      <c r="K2943" t="s">
        <v>2</v>
      </c>
      <c r="L2943" t="s">
        <v>67</v>
      </c>
      <c r="M2943" t="s">
        <v>82</v>
      </c>
      <c r="N2943" t="s">
        <v>14</v>
      </c>
    </row>
    <row r="2944" spans="1:14" x14ac:dyDescent="0.35">
      <c r="A2944" s="75">
        <v>44173</v>
      </c>
      <c r="B2944" t="s">
        <v>147</v>
      </c>
      <c r="C2944" t="s">
        <v>103</v>
      </c>
      <c r="D2944">
        <v>5</v>
      </c>
      <c r="E2944">
        <v>5</v>
      </c>
      <c r="F2944" t="s">
        <v>10</v>
      </c>
      <c r="G2944" t="s">
        <v>75</v>
      </c>
      <c r="H2944" t="s">
        <v>6</v>
      </c>
      <c r="I2944">
        <v>80000000</v>
      </c>
      <c r="J2944" t="s">
        <v>38</v>
      </c>
      <c r="K2944" t="s">
        <v>2</v>
      </c>
      <c r="L2944" t="s">
        <v>67</v>
      </c>
      <c r="M2944" t="s">
        <v>81</v>
      </c>
      <c r="N2944" t="s">
        <v>14</v>
      </c>
    </row>
    <row r="2945" spans="1:14" x14ac:dyDescent="0.35">
      <c r="A2945" s="75">
        <v>44174</v>
      </c>
      <c r="B2945" t="s">
        <v>148</v>
      </c>
      <c r="C2945" t="s">
        <v>103</v>
      </c>
      <c r="D2945">
        <v>10</v>
      </c>
      <c r="E2945">
        <v>10</v>
      </c>
      <c r="F2945" t="s">
        <v>10</v>
      </c>
      <c r="G2945" t="s">
        <v>114</v>
      </c>
      <c r="H2945" t="s">
        <v>3</v>
      </c>
      <c r="I2945">
        <v>80000000</v>
      </c>
      <c r="J2945" t="s">
        <v>37</v>
      </c>
      <c r="K2945" t="s">
        <v>2</v>
      </c>
      <c r="L2945" t="s">
        <v>67</v>
      </c>
      <c r="M2945" t="s">
        <v>80</v>
      </c>
      <c r="N2945" t="s">
        <v>11</v>
      </c>
    </row>
    <row r="2946" spans="1:14" x14ac:dyDescent="0.35">
      <c r="A2946" s="75">
        <v>44174</v>
      </c>
      <c r="B2946" t="s">
        <v>148</v>
      </c>
      <c r="C2946" t="s">
        <v>103</v>
      </c>
      <c r="D2946">
        <v>10</v>
      </c>
      <c r="E2946">
        <v>10</v>
      </c>
      <c r="F2946" t="s">
        <v>10</v>
      </c>
      <c r="G2946" t="s">
        <v>74</v>
      </c>
      <c r="H2946" t="s">
        <v>77</v>
      </c>
      <c r="I2946">
        <v>60000000</v>
      </c>
      <c r="J2946" t="s">
        <v>31</v>
      </c>
      <c r="K2946" t="s">
        <v>2</v>
      </c>
      <c r="L2946" t="s">
        <v>67</v>
      </c>
      <c r="M2946" t="s">
        <v>82</v>
      </c>
      <c r="N2946" t="s">
        <v>12</v>
      </c>
    </row>
    <row r="2947" spans="1:14" x14ac:dyDescent="0.35">
      <c r="A2947" s="75">
        <v>44174</v>
      </c>
      <c r="B2947" t="s">
        <v>148</v>
      </c>
      <c r="C2947" t="s">
        <v>103</v>
      </c>
      <c r="D2947">
        <v>9</v>
      </c>
      <c r="E2947">
        <v>9</v>
      </c>
      <c r="F2947" t="s">
        <v>10</v>
      </c>
      <c r="G2947" t="s">
        <v>72</v>
      </c>
      <c r="H2947" t="s">
        <v>78</v>
      </c>
      <c r="I2947">
        <v>140000000</v>
      </c>
      <c r="J2947" t="s">
        <v>20</v>
      </c>
      <c r="K2947" t="s">
        <v>2</v>
      </c>
      <c r="L2947" t="s">
        <v>67</v>
      </c>
      <c r="M2947" t="s">
        <v>82</v>
      </c>
      <c r="N2947" t="s">
        <v>14</v>
      </c>
    </row>
    <row r="2948" spans="1:14" x14ac:dyDescent="0.35">
      <c r="A2948" s="75">
        <v>44174</v>
      </c>
      <c r="B2948" t="s">
        <v>148</v>
      </c>
      <c r="C2948" t="s">
        <v>103</v>
      </c>
      <c r="D2948">
        <v>9</v>
      </c>
      <c r="E2948">
        <v>9</v>
      </c>
      <c r="F2948" t="s">
        <v>10</v>
      </c>
      <c r="G2948" t="s">
        <v>114</v>
      </c>
      <c r="H2948" t="s">
        <v>3</v>
      </c>
      <c r="I2948">
        <v>100000000</v>
      </c>
      <c r="J2948" t="s">
        <v>37</v>
      </c>
      <c r="K2948" t="s">
        <v>7</v>
      </c>
      <c r="L2948" t="s">
        <v>67</v>
      </c>
      <c r="M2948" t="s">
        <v>80</v>
      </c>
      <c r="N2948" t="s">
        <v>12</v>
      </c>
    </row>
    <row r="2949" spans="1:14" x14ac:dyDescent="0.35">
      <c r="A2949" s="75">
        <v>44174</v>
      </c>
      <c r="B2949" t="s">
        <v>148</v>
      </c>
      <c r="C2949" t="s">
        <v>103</v>
      </c>
      <c r="D2949">
        <v>8</v>
      </c>
      <c r="E2949">
        <v>8</v>
      </c>
      <c r="F2949" t="s">
        <v>10</v>
      </c>
      <c r="G2949" t="s">
        <v>71</v>
      </c>
      <c r="H2949" t="s">
        <v>6</v>
      </c>
      <c r="I2949">
        <v>140000000</v>
      </c>
      <c r="J2949" t="s">
        <v>26</v>
      </c>
      <c r="K2949" t="s">
        <v>7</v>
      </c>
      <c r="L2949" t="s">
        <v>67</v>
      </c>
      <c r="M2949" t="s">
        <v>81</v>
      </c>
      <c r="N2949" t="s">
        <v>12</v>
      </c>
    </row>
    <row r="2950" spans="1:14" x14ac:dyDescent="0.35">
      <c r="A2950" s="75">
        <v>44174</v>
      </c>
      <c r="B2950" t="s">
        <v>148</v>
      </c>
      <c r="C2950" t="s">
        <v>103</v>
      </c>
      <c r="D2950">
        <v>8</v>
      </c>
      <c r="E2950">
        <v>8</v>
      </c>
      <c r="F2950" t="s">
        <v>10</v>
      </c>
      <c r="G2950" t="s">
        <v>75</v>
      </c>
      <c r="H2950" t="s">
        <v>6</v>
      </c>
      <c r="I2950">
        <v>100000000</v>
      </c>
      <c r="J2950" t="s">
        <v>30</v>
      </c>
      <c r="K2950" t="s">
        <v>5</v>
      </c>
      <c r="L2950" t="s">
        <v>67</v>
      </c>
      <c r="M2950" t="s">
        <v>81</v>
      </c>
      <c r="N2950" t="s">
        <v>11</v>
      </c>
    </row>
    <row r="2951" spans="1:14" x14ac:dyDescent="0.35">
      <c r="A2951" s="75">
        <v>44174</v>
      </c>
      <c r="B2951" t="s">
        <v>148</v>
      </c>
      <c r="C2951" t="s">
        <v>103</v>
      </c>
      <c r="D2951">
        <v>7</v>
      </c>
      <c r="E2951">
        <v>7</v>
      </c>
      <c r="F2951" t="s">
        <v>10</v>
      </c>
      <c r="G2951" t="s">
        <v>76</v>
      </c>
      <c r="H2951" t="s">
        <v>79</v>
      </c>
      <c r="I2951">
        <v>120000000</v>
      </c>
      <c r="J2951" t="s">
        <v>63</v>
      </c>
      <c r="K2951" t="s">
        <v>2</v>
      </c>
      <c r="L2951" t="s">
        <v>67</v>
      </c>
      <c r="M2951" t="s">
        <v>82</v>
      </c>
      <c r="N2951" t="s">
        <v>11</v>
      </c>
    </row>
    <row r="2952" spans="1:14" x14ac:dyDescent="0.35">
      <c r="A2952" s="75">
        <v>44174</v>
      </c>
      <c r="B2952" t="s">
        <v>148</v>
      </c>
      <c r="C2952" t="s">
        <v>103</v>
      </c>
      <c r="D2952">
        <v>6</v>
      </c>
      <c r="E2952">
        <v>6</v>
      </c>
      <c r="F2952" t="s">
        <v>10</v>
      </c>
      <c r="G2952" t="s">
        <v>72</v>
      </c>
      <c r="H2952" t="s">
        <v>78</v>
      </c>
      <c r="I2952">
        <v>60000000</v>
      </c>
      <c r="J2952" t="s">
        <v>51</v>
      </c>
      <c r="K2952" t="s">
        <v>4</v>
      </c>
      <c r="L2952" t="s">
        <v>67</v>
      </c>
      <c r="M2952" t="s">
        <v>80</v>
      </c>
      <c r="N2952" t="s">
        <v>11</v>
      </c>
    </row>
    <row r="2953" spans="1:14" x14ac:dyDescent="0.35">
      <c r="A2953" s="75">
        <v>44174</v>
      </c>
      <c r="B2953" t="s">
        <v>148</v>
      </c>
      <c r="C2953" t="s">
        <v>103</v>
      </c>
      <c r="D2953">
        <v>6</v>
      </c>
      <c r="E2953">
        <v>6</v>
      </c>
      <c r="F2953" t="s">
        <v>10</v>
      </c>
      <c r="G2953" t="s">
        <v>75</v>
      </c>
      <c r="H2953" t="s">
        <v>6</v>
      </c>
      <c r="I2953">
        <v>140000000</v>
      </c>
      <c r="J2953" t="s">
        <v>61</v>
      </c>
      <c r="K2953" t="s">
        <v>7</v>
      </c>
      <c r="L2953" t="s">
        <v>67</v>
      </c>
      <c r="M2953" t="s">
        <v>82</v>
      </c>
      <c r="N2953" t="s">
        <v>11</v>
      </c>
    </row>
    <row r="2954" spans="1:14" x14ac:dyDescent="0.35">
      <c r="A2954" s="75">
        <v>44174</v>
      </c>
      <c r="B2954" t="s">
        <v>148</v>
      </c>
      <c r="C2954" t="s">
        <v>103</v>
      </c>
      <c r="D2954">
        <v>6</v>
      </c>
      <c r="E2954">
        <v>6</v>
      </c>
      <c r="F2954" t="s">
        <v>10</v>
      </c>
      <c r="G2954" t="s">
        <v>74</v>
      </c>
      <c r="H2954" t="s">
        <v>77</v>
      </c>
      <c r="I2954">
        <v>80000000</v>
      </c>
      <c r="J2954" t="s">
        <v>29</v>
      </c>
      <c r="K2954" t="s">
        <v>2</v>
      </c>
      <c r="L2954" t="s">
        <v>67</v>
      </c>
      <c r="M2954" t="s">
        <v>80</v>
      </c>
      <c r="N2954" t="s">
        <v>11</v>
      </c>
    </row>
    <row r="2955" spans="1:14" x14ac:dyDescent="0.35">
      <c r="A2955" s="75">
        <v>44174</v>
      </c>
      <c r="B2955" t="s">
        <v>148</v>
      </c>
      <c r="C2955" t="s">
        <v>103</v>
      </c>
      <c r="D2955">
        <v>5</v>
      </c>
      <c r="E2955">
        <v>5</v>
      </c>
      <c r="F2955" t="s">
        <v>10</v>
      </c>
      <c r="G2955" t="s">
        <v>75</v>
      </c>
      <c r="H2955" t="s">
        <v>6</v>
      </c>
      <c r="I2955">
        <v>60000000</v>
      </c>
      <c r="J2955" t="s">
        <v>63</v>
      </c>
      <c r="K2955" t="s">
        <v>5</v>
      </c>
      <c r="L2955" t="s">
        <v>67</v>
      </c>
      <c r="M2955" t="s">
        <v>80</v>
      </c>
      <c r="N2955" t="s">
        <v>11</v>
      </c>
    </row>
    <row r="2956" spans="1:14" x14ac:dyDescent="0.35">
      <c r="A2956" s="75">
        <v>44174</v>
      </c>
      <c r="B2956" t="s">
        <v>148</v>
      </c>
      <c r="C2956" t="s">
        <v>103</v>
      </c>
      <c r="D2956">
        <v>3</v>
      </c>
      <c r="E2956">
        <v>3</v>
      </c>
      <c r="F2956" t="s">
        <v>10</v>
      </c>
      <c r="G2956" t="s">
        <v>114</v>
      </c>
      <c r="H2956" t="s">
        <v>3</v>
      </c>
      <c r="I2956">
        <v>100000000</v>
      </c>
      <c r="J2956" t="s">
        <v>29</v>
      </c>
      <c r="K2956" t="s">
        <v>2</v>
      </c>
      <c r="L2956" t="s">
        <v>67</v>
      </c>
      <c r="M2956" t="s">
        <v>80</v>
      </c>
      <c r="N2956" t="s">
        <v>12</v>
      </c>
    </row>
    <row r="2957" spans="1:14" x14ac:dyDescent="0.35">
      <c r="A2957" s="75">
        <v>44174</v>
      </c>
      <c r="B2957" t="s">
        <v>148</v>
      </c>
      <c r="C2957" t="s">
        <v>103</v>
      </c>
      <c r="D2957">
        <v>3</v>
      </c>
      <c r="E2957">
        <v>3</v>
      </c>
      <c r="F2957" t="s">
        <v>10</v>
      </c>
      <c r="G2957" t="s">
        <v>114</v>
      </c>
      <c r="H2957" t="s">
        <v>3</v>
      </c>
      <c r="I2957">
        <v>80000000</v>
      </c>
      <c r="J2957" t="s">
        <v>30</v>
      </c>
      <c r="K2957" t="s">
        <v>2</v>
      </c>
      <c r="L2957" t="s">
        <v>67</v>
      </c>
      <c r="M2957" t="s">
        <v>80</v>
      </c>
      <c r="N2957" t="s">
        <v>12</v>
      </c>
    </row>
    <row r="2958" spans="1:14" x14ac:dyDescent="0.35">
      <c r="A2958" s="75">
        <v>44175</v>
      </c>
      <c r="B2958" t="s">
        <v>149</v>
      </c>
      <c r="C2958" t="s">
        <v>103</v>
      </c>
      <c r="D2958">
        <v>10</v>
      </c>
      <c r="E2958">
        <v>10</v>
      </c>
      <c r="F2958" t="s">
        <v>10</v>
      </c>
      <c r="G2958" t="s">
        <v>75</v>
      </c>
      <c r="H2958" t="s">
        <v>6</v>
      </c>
      <c r="I2958">
        <v>60000000</v>
      </c>
      <c r="J2958" t="s">
        <v>51</v>
      </c>
      <c r="K2958" t="s">
        <v>8</v>
      </c>
      <c r="L2958" t="s">
        <v>67</v>
      </c>
      <c r="M2958" t="s">
        <v>82</v>
      </c>
      <c r="N2958" t="s">
        <v>14</v>
      </c>
    </row>
    <row r="2959" spans="1:14" x14ac:dyDescent="0.35">
      <c r="A2959" s="75">
        <v>44175</v>
      </c>
      <c r="B2959" t="s">
        <v>149</v>
      </c>
      <c r="C2959" t="s">
        <v>103</v>
      </c>
      <c r="D2959">
        <v>8</v>
      </c>
      <c r="E2959">
        <v>8</v>
      </c>
      <c r="F2959" t="s">
        <v>10</v>
      </c>
      <c r="G2959" t="s">
        <v>73</v>
      </c>
      <c r="H2959" t="s">
        <v>78</v>
      </c>
      <c r="I2959">
        <v>140000000</v>
      </c>
      <c r="J2959" t="s">
        <v>61</v>
      </c>
      <c r="K2959" t="s">
        <v>5</v>
      </c>
      <c r="L2959" t="s">
        <v>67</v>
      </c>
      <c r="M2959" t="s">
        <v>82</v>
      </c>
      <c r="N2959" t="s">
        <v>12</v>
      </c>
    </row>
    <row r="2960" spans="1:14" x14ac:dyDescent="0.35">
      <c r="A2960" s="75">
        <v>44175</v>
      </c>
      <c r="B2960" t="s">
        <v>149</v>
      </c>
      <c r="C2960" t="s">
        <v>103</v>
      </c>
      <c r="D2960">
        <v>8</v>
      </c>
      <c r="E2960">
        <v>8</v>
      </c>
      <c r="F2960" t="s">
        <v>10</v>
      </c>
      <c r="G2960" t="s">
        <v>74</v>
      </c>
      <c r="H2960" t="s">
        <v>77</v>
      </c>
      <c r="I2960">
        <v>80000000</v>
      </c>
      <c r="J2960" t="s">
        <v>16</v>
      </c>
      <c r="K2960" t="s">
        <v>2</v>
      </c>
      <c r="L2960" t="s">
        <v>67</v>
      </c>
      <c r="M2960" t="s">
        <v>81</v>
      </c>
      <c r="N2960" t="s">
        <v>13</v>
      </c>
    </row>
    <row r="2961" spans="1:14" x14ac:dyDescent="0.35">
      <c r="A2961" s="75">
        <v>44175</v>
      </c>
      <c r="B2961" t="s">
        <v>149</v>
      </c>
      <c r="C2961" t="s">
        <v>103</v>
      </c>
      <c r="D2961">
        <v>7</v>
      </c>
      <c r="E2961">
        <v>7</v>
      </c>
      <c r="F2961" t="s">
        <v>10</v>
      </c>
      <c r="G2961" t="s">
        <v>74</v>
      </c>
      <c r="H2961" t="s">
        <v>77</v>
      </c>
      <c r="I2961">
        <v>40000000</v>
      </c>
      <c r="J2961" t="s">
        <v>28</v>
      </c>
      <c r="K2961" t="s">
        <v>8</v>
      </c>
      <c r="L2961" t="s">
        <v>67</v>
      </c>
      <c r="M2961" t="s">
        <v>80</v>
      </c>
      <c r="N2961" t="s">
        <v>13</v>
      </c>
    </row>
    <row r="2962" spans="1:14" x14ac:dyDescent="0.35">
      <c r="A2962" s="75">
        <v>44175</v>
      </c>
      <c r="B2962" t="s">
        <v>149</v>
      </c>
      <c r="C2962" t="s">
        <v>103</v>
      </c>
      <c r="D2962">
        <v>6</v>
      </c>
      <c r="E2962">
        <v>6</v>
      </c>
      <c r="F2962" t="s">
        <v>10</v>
      </c>
      <c r="G2962" t="s">
        <v>75</v>
      </c>
      <c r="H2962" t="s">
        <v>6</v>
      </c>
      <c r="I2962">
        <v>100000000</v>
      </c>
      <c r="J2962" t="s">
        <v>30</v>
      </c>
      <c r="K2962" t="s">
        <v>2</v>
      </c>
      <c r="L2962" t="s">
        <v>67</v>
      </c>
      <c r="M2962" t="s">
        <v>82</v>
      </c>
      <c r="N2962" t="s">
        <v>13</v>
      </c>
    </row>
    <row r="2963" spans="1:14" x14ac:dyDescent="0.35">
      <c r="A2963" s="75">
        <v>44176</v>
      </c>
      <c r="B2963" t="s">
        <v>150</v>
      </c>
      <c r="C2963" t="s">
        <v>103</v>
      </c>
      <c r="D2963">
        <v>6</v>
      </c>
      <c r="E2963">
        <v>6</v>
      </c>
      <c r="F2963" t="s">
        <v>10</v>
      </c>
      <c r="G2963" t="s">
        <v>76</v>
      </c>
      <c r="H2963" t="s">
        <v>79</v>
      </c>
      <c r="I2963">
        <v>140000000</v>
      </c>
      <c r="J2963" t="s">
        <v>28</v>
      </c>
      <c r="K2963" t="s">
        <v>2</v>
      </c>
      <c r="L2963" t="s">
        <v>86</v>
      </c>
      <c r="M2963" t="s">
        <v>83</v>
      </c>
      <c r="N2963" t="s">
        <v>13</v>
      </c>
    </row>
    <row r="2964" spans="1:14" x14ac:dyDescent="0.35">
      <c r="A2964" s="75">
        <v>44176</v>
      </c>
      <c r="B2964" t="s">
        <v>150</v>
      </c>
      <c r="C2964" t="s">
        <v>103</v>
      </c>
      <c r="D2964">
        <v>6</v>
      </c>
      <c r="E2964">
        <v>6</v>
      </c>
      <c r="F2964" t="s">
        <v>10</v>
      </c>
      <c r="G2964" t="s">
        <v>74</v>
      </c>
      <c r="H2964" t="s">
        <v>77</v>
      </c>
      <c r="I2964">
        <v>60000000</v>
      </c>
      <c r="J2964" t="s">
        <v>17</v>
      </c>
      <c r="K2964" t="s">
        <v>2</v>
      </c>
      <c r="L2964" t="s">
        <v>86</v>
      </c>
      <c r="M2964" t="s">
        <v>83</v>
      </c>
      <c r="N2964" t="s">
        <v>11</v>
      </c>
    </row>
    <row r="2965" spans="1:14" x14ac:dyDescent="0.35">
      <c r="A2965" s="75">
        <v>44176</v>
      </c>
      <c r="B2965" t="s">
        <v>150</v>
      </c>
      <c r="C2965" t="s">
        <v>103</v>
      </c>
      <c r="D2965">
        <v>5</v>
      </c>
      <c r="E2965">
        <v>5</v>
      </c>
      <c r="F2965" t="s">
        <v>10</v>
      </c>
      <c r="G2965" t="s">
        <v>70</v>
      </c>
      <c r="H2965" t="s">
        <v>1</v>
      </c>
      <c r="I2965">
        <v>80000000</v>
      </c>
      <c r="J2965" t="s">
        <v>44</v>
      </c>
      <c r="K2965" t="s">
        <v>8</v>
      </c>
      <c r="L2965" t="s">
        <v>86</v>
      </c>
      <c r="M2965" t="s">
        <v>83</v>
      </c>
      <c r="N2965" t="s">
        <v>14</v>
      </c>
    </row>
    <row r="2966" spans="1:14" x14ac:dyDescent="0.35">
      <c r="A2966" s="75">
        <v>44177</v>
      </c>
      <c r="B2966" t="s">
        <v>151</v>
      </c>
      <c r="C2966" t="s">
        <v>103</v>
      </c>
      <c r="D2966">
        <v>10</v>
      </c>
      <c r="E2966">
        <v>10</v>
      </c>
      <c r="F2966" t="s">
        <v>10</v>
      </c>
      <c r="G2966" t="s">
        <v>72</v>
      </c>
      <c r="H2966" t="s">
        <v>78</v>
      </c>
      <c r="I2966">
        <v>40000000</v>
      </c>
      <c r="J2966" t="s">
        <v>28</v>
      </c>
      <c r="K2966" t="s">
        <v>5</v>
      </c>
      <c r="L2966" t="s">
        <v>86</v>
      </c>
      <c r="M2966" t="s">
        <v>83</v>
      </c>
      <c r="N2966" t="s">
        <v>13</v>
      </c>
    </row>
    <row r="2967" spans="1:14" x14ac:dyDescent="0.35">
      <c r="A2967" s="75">
        <v>44177</v>
      </c>
      <c r="B2967" t="s">
        <v>151</v>
      </c>
      <c r="C2967" t="s">
        <v>103</v>
      </c>
      <c r="D2967">
        <v>8</v>
      </c>
      <c r="E2967">
        <v>8</v>
      </c>
      <c r="F2967" t="s">
        <v>10</v>
      </c>
      <c r="G2967" t="s">
        <v>74</v>
      </c>
      <c r="H2967" t="s">
        <v>77</v>
      </c>
      <c r="I2967">
        <v>60000000</v>
      </c>
      <c r="J2967" t="s">
        <v>45</v>
      </c>
      <c r="K2967" t="s">
        <v>5</v>
      </c>
      <c r="L2967" t="s">
        <v>86</v>
      </c>
      <c r="M2967" t="s">
        <v>83</v>
      </c>
      <c r="N2967" t="s">
        <v>13</v>
      </c>
    </row>
    <row r="2968" spans="1:14" x14ac:dyDescent="0.35">
      <c r="A2968" s="75">
        <v>44177</v>
      </c>
      <c r="B2968" t="s">
        <v>151</v>
      </c>
      <c r="C2968" t="s">
        <v>103</v>
      </c>
      <c r="D2968">
        <v>8</v>
      </c>
      <c r="E2968">
        <v>8</v>
      </c>
      <c r="F2968" t="s">
        <v>10</v>
      </c>
      <c r="G2968" t="s">
        <v>74</v>
      </c>
      <c r="H2968" t="s">
        <v>77</v>
      </c>
      <c r="I2968">
        <v>100000000</v>
      </c>
      <c r="J2968" t="s">
        <v>28</v>
      </c>
      <c r="K2968" t="s">
        <v>2</v>
      </c>
      <c r="L2968" t="s">
        <v>86</v>
      </c>
      <c r="M2968" t="s">
        <v>83</v>
      </c>
      <c r="N2968" t="s">
        <v>13</v>
      </c>
    </row>
    <row r="2969" spans="1:14" x14ac:dyDescent="0.35">
      <c r="A2969" s="75">
        <v>44177</v>
      </c>
      <c r="B2969" t="s">
        <v>151</v>
      </c>
      <c r="C2969" t="s">
        <v>103</v>
      </c>
      <c r="D2969">
        <v>3</v>
      </c>
      <c r="E2969">
        <v>3</v>
      </c>
      <c r="F2969" t="s">
        <v>10</v>
      </c>
      <c r="G2969" t="s">
        <v>113</v>
      </c>
      <c r="H2969" t="s">
        <v>77</v>
      </c>
      <c r="I2969">
        <v>120000000</v>
      </c>
      <c r="J2969" t="s">
        <v>55</v>
      </c>
      <c r="K2969" t="s">
        <v>7</v>
      </c>
      <c r="L2969" t="s">
        <v>86</v>
      </c>
      <c r="M2969" t="s">
        <v>83</v>
      </c>
      <c r="N2969" t="s">
        <v>14</v>
      </c>
    </row>
    <row r="2970" spans="1:14" x14ac:dyDescent="0.35">
      <c r="A2970" s="75">
        <v>44177</v>
      </c>
      <c r="B2970" t="s">
        <v>151</v>
      </c>
      <c r="C2970" t="s">
        <v>103</v>
      </c>
      <c r="D2970">
        <v>3</v>
      </c>
      <c r="E2970">
        <v>3</v>
      </c>
      <c r="F2970" t="s">
        <v>10</v>
      </c>
      <c r="G2970" t="s">
        <v>71</v>
      </c>
      <c r="H2970" t="s">
        <v>6</v>
      </c>
      <c r="I2970">
        <v>100000000</v>
      </c>
      <c r="J2970" t="s">
        <v>17</v>
      </c>
      <c r="K2970" t="s">
        <v>7</v>
      </c>
      <c r="L2970" t="s">
        <v>86</v>
      </c>
      <c r="M2970" t="s">
        <v>83</v>
      </c>
      <c r="N2970" t="s">
        <v>14</v>
      </c>
    </row>
    <row r="2971" spans="1:14" x14ac:dyDescent="0.35">
      <c r="A2971" s="75">
        <v>44177</v>
      </c>
      <c r="B2971" t="s">
        <v>151</v>
      </c>
      <c r="C2971" t="s">
        <v>103</v>
      </c>
      <c r="D2971">
        <v>3</v>
      </c>
      <c r="E2971">
        <v>3</v>
      </c>
      <c r="F2971" t="s">
        <v>10</v>
      </c>
      <c r="G2971" t="s">
        <v>75</v>
      </c>
      <c r="H2971" t="s">
        <v>6</v>
      </c>
      <c r="I2971">
        <v>40000000</v>
      </c>
      <c r="J2971" t="s">
        <v>33</v>
      </c>
      <c r="K2971" t="s">
        <v>2</v>
      </c>
      <c r="L2971" t="s">
        <v>86</v>
      </c>
      <c r="M2971" t="s">
        <v>83</v>
      </c>
      <c r="N2971" t="s">
        <v>12</v>
      </c>
    </row>
    <row r="2972" spans="1:14" x14ac:dyDescent="0.35">
      <c r="A2972" s="75">
        <v>44178</v>
      </c>
      <c r="B2972" t="s">
        <v>152</v>
      </c>
      <c r="C2972" t="s">
        <v>103</v>
      </c>
      <c r="D2972">
        <v>9</v>
      </c>
      <c r="E2972">
        <v>9</v>
      </c>
      <c r="F2972" t="s">
        <v>10</v>
      </c>
      <c r="G2972" t="s">
        <v>114</v>
      </c>
      <c r="H2972" t="s">
        <v>3</v>
      </c>
      <c r="I2972">
        <v>60000000</v>
      </c>
      <c r="J2972" t="s">
        <v>30</v>
      </c>
      <c r="K2972" t="s">
        <v>5</v>
      </c>
      <c r="L2972" t="s">
        <v>86</v>
      </c>
      <c r="M2972" t="s">
        <v>83</v>
      </c>
      <c r="N2972" t="s">
        <v>12</v>
      </c>
    </row>
    <row r="2973" spans="1:14" x14ac:dyDescent="0.35">
      <c r="A2973" s="75">
        <v>44178</v>
      </c>
      <c r="B2973" t="s">
        <v>152</v>
      </c>
      <c r="C2973" t="s">
        <v>103</v>
      </c>
      <c r="D2973">
        <v>8</v>
      </c>
      <c r="E2973">
        <v>8</v>
      </c>
      <c r="F2973" t="s">
        <v>10</v>
      </c>
      <c r="G2973" t="s">
        <v>71</v>
      </c>
      <c r="H2973" t="s">
        <v>6</v>
      </c>
      <c r="I2973">
        <v>80000000</v>
      </c>
      <c r="J2973" t="s">
        <v>63</v>
      </c>
      <c r="K2973" t="s">
        <v>5</v>
      </c>
      <c r="L2973" t="s">
        <v>86</v>
      </c>
      <c r="M2973" t="s">
        <v>83</v>
      </c>
      <c r="N2973" t="s">
        <v>14</v>
      </c>
    </row>
    <row r="2974" spans="1:14" x14ac:dyDescent="0.35">
      <c r="A2974" s="75">
        <v>44178</v>
      </c>
      <c r="B2974" t="s">
        <v>152</v>
      </c>
      <c r="C2974" t="s">
        <v>103</v>
      </c>
      <c r="D2974">
        <v>8</v>
      </c>
      <c r="E2974">
        <v>8</v>
      </c>
      <c r="F2974" t="s">
        <v>10</v>
      </c>
      <c r="G2974" t="s">
        <v>76</v>
      </c>
      <c r="H2974" t="s">
        <v>79</v>
      </c>
      <c r="I2974">
        <v>140000000</v>
      </c>
      <c r="J2974" t="s">
        <v>60</v>
      </c>
      <c r="K2974" t="s">
        <v>2</v>
      </c>
      <c r="L2974" t="s">
        <v>86</v>
      </c>
      <c r="M2974" t="s">
        <v>83</v>
      </c>
      <c r="N2974" t="s">
        <v>12</v>
      </c>
    </row>
    <row r="2975" spans="1:14" x14ac:dyDescent="0.35">
      <c r="A2975" s="75">
        <v>44178</v>
      </c>
      <c r="B2975" t="s">
        <v>152</v>
      </c>
      <c r="C2975" t="s">
        <v>103</v>
      </c>
      <c r="D2975">
        <v>8</v>
      </c>
      <c r="E2975">
        <v>8</v>
      </c>
      <c r="F2975" t="s">
        <v>10</v>
      </c>
      <c r="G2975" t="s">
        <v>70</v>
      </c>
      <c r="H2975" t="s">
        <v>1</v>
      </c>
      <c r="I2975">
        <v>100000000</v>
      </c>
      <c r="J2975" t="s">
        <v>39</v>
      </c>
      <c r="K2975" t="s">
        <v>5</v>
      </c>
      <c r="L2975" t="s">
        <v>86</v>
      </c>
      <c r="M2975" t="s">
        <v>83</v>
      </c>
      <c r="N2975" t="s">
        <v>11</v>
      </c>
    </row>
    <row r="2976" spans="1:14" x14ac:dyDescent="0.35">
      <c r="A2976" s="75">
        <v>44178</v>
      </c>
      <c r="B2976" t="s">
        <v>152</v>
      </c>
      <c r="C2976" t="s">
        <v>103</v>
      </c>
      <c r="D2976">
        <v>7</v>
      </c>
      <c r="E2976">
        <v>7</v>
      </c>
      <c r="F2976" t="s">
        <v>10</v>
      </c>
      <c r="G2976" t="s">
        <v>114</v>
      </c>
      <c r="H2976" t="s">
        <v>3</v>
      </c>
      <c r="I2976">
        <v>60000000</v>
      </c>
      <c r="J2976" t="s">
        <v>34</v>
      </c>
      <c r="K2976" t="s">
        <v>8</v>
      </c>
      <c r="L2976" t="s">
        <v>86</v>
      </c>
      <c r="M2976" t="s">
        <v>83</v>
      </c>
      <c r="N2976" t="s">
        <v>11</v>
      </c>
    </row>
    <row r="2977" spans="1:14" x14ac:dyDescent="0.35">
      <c r="A2977" s="75">
        <v>44178</v>
      </c>
      <c r="B2977" t="s">
        <v>152</v>
      </c>
      <c r="C2977" t="s">
        <v>103</v>
      </c>
      <c r="D2977">
        <v>7</v>
      </c>
      <c r="E2977">
        <v>7</v>
      </c>
      <c r="F2977" t="s">
        <v>10</v>
      </c>
      <c r="G2977" t="s">
        <v>114</v>
      </c>
      <c r="H2977" t="s">
        <v>3</v>
      </c>
      <c r="I2977">
        <v>100000000</v>
      </c>
      <c r="J2977" t="s">
        <v>17</v>
      </c>
      <c r="K2977" t="s">
        <v>2</v>
      </c>
      <c r="L2977" t="s">
        <v>86</v>
      </c>
      <c r="M2977" t="s">
        <v>83</v>
      </c>
      <c r="N2977" t="s">
        <v>14</v>
      </c>
    </row>
    <row r="2978" spans="1:14" x14ac:dyDescent="0.35">
      <c r="A2978" s="75">
        <v>44178</v>
      </c>
      <c r="B2978" t="s">
        <v>152</v>
      </c>
      <c r="C2978" t="s">
        <v>103</v>
      </c>
      <c r="D2978">
        <v>7</v>
      </c>
      <c r="E2978">
        <v>7</v>
      </c>
      <c r="F2978" t="s">
        <v>10</v>
      </c>
      <c r="G2978" t="s">
        <v>74</v>
      </c>
      <c r="H2978" t="s">
        <v>77</v>
      </c>
      <c r="I2978">
        <v>100000000</v>
      </c>
      <c r="J2978" t="s">
        <v>44</v>
      </c>
      <c r="K2978" t="s">
        <v>5</v>
      </c>
      <c r="L2978" t="s">
        <v>86</v>
      </c>
      <c r="M2978" t="s">
        <v>83</v>
      </c>
      <c r="N2978" t="s">
        <v>14</v>
      </c>
    </row>
    <row r="2979" spans="1:14" x14ac:dyDescent="0.35">
      <c r="A2979" s="75">
        <v>44178</v>
      </c>
      <c r="B2979" t="s">
        <v>152</v>
      </c>
      <c r="C2979" t="s">
        <v>103</v>
      </c>
      <c r="D2979">
        <v>4</v>
      </c>
      <c r="E2979">
        <v>4</v>
      </c>
      <c r="F2979" t="s">
        <v>10</v>
      </c>
      <c r="G2979" t="s">
        <v>73</v>
      </c>
      <c r="H2979" t="s">
        <v>78</v>
      </c>
      <c r="I2979">
        <v>120000000</v>
      </c>
      <c r="J2979" t="s">
        <v>24</v>
      </c>
      <c r="K2979" t="s">
        <v>7</v>
      </c>
      <c r="L2979" t="s">
        <v>86</v>
      </c>
      <c r="M2979" t="s">
        <v>83</v>
      </c>
      <c r="N2979" t="s">
        <v>12</v>
      </c>
    </row>
    <row r="2980" spans="1:14" x14ac:dyDescent="0.35">
      <c r="A2980" s="75">
        <v>44178</v>
      </c>
      <c r="B2980" t="s">
        <v>152</v>
      </c>
      <c r="C2980" t="s">
        <v>103</v>
      </c>
      <c r="D2980">
        <v>4</v>
      </c>
      <c r="E2980">
        <v>4</v>
      </c>
      <c r="F2980" t="s">
        <v>10</v>
      </c>
      <c r="G2980" t="s">
        <v>72</v>
      </c>
      <c r="H2980" t="s">
        <v>78</v>
      </c>
      <c r="I2980">
        <v>40000000</v>
      </c>
      <c r="J2980" t="s">
        <v>53</v>
      </c>
      <c r="K2980" t="s">
        <v>5</v>
      </c>
      <c r="L2980" t="s">
        <v>86</v>
      </c>
      <c r="M2980" t="s">
        <v>83</v>
      </c>
      <c r="N2980" t="s">
        <v>11</v>
      </c>
    </row>
    <row r="2981" spans="1:14" x14ac:dyDescent="0.35">
      <c r="A2981" s="75">
        <v>44179</v>
      </c>
      <c r="B2981" t="s">
        <v>153</v>
      </c>
      <c r="C2981" t="s">
        <v>103</v>
      </c>
      <c r="D2981">
        <v>10</v>
      </c>
      <c r="E2981">
        <v>10</v>
      </c>
      <c r="F2981" t="s">
        <v>10</v>
      </c>
      <c r="G2981" t="s">
        <v>73</v>
      </c>
      <c r="H2981" t="s">
        <v>78</v>
      </c>
      <c r="I2981">
        <v>100000000</v>
      </c>
      <c r="J2981" t="s">
        <v>17</v>
      </c>
      <c r="K2981" t="s">
        <v>5</v>
      </c>
      <c r="L2981" t="s">
        <v>86</v>
      </c>
      <c r="M2981" t="s">
        <v>83</v>
      </c>
      <c r="N2981" t="s">
        <v>13</v>
      </c>
    </row>
    <row r="2982" spans="1:14" x14ac:dyDescent="0.35">
      <c r="A2982" s="75">
        <v>44179</v>
      </c>
      <c r="B2982" t="s">
        <v>153</v>
      </c>
      <c r="C2982" t="s">
        <v>103</v>
      </c>
      <c r="D2982">
        <v>10</v>
      </c>
      <c r="E2982">
        <v>10</v>
      </c>
      <c r="F2982" t="s">
        <v>10</v>
      </c>
      <c r="G2982" t="s">
        <v>71</v>
      </c>
      <c r="H2982" t="s">
        <v>6</v>
      </c>
      <c r="I2982">
        <v>40000000</v>
      </c>
      <c r="J2982" t="s">
        <v>17</v>
      </c>
      <c r="K2982" t="s">
        <v>5</v>
      </c>
      <c r="L2982" t="s">
        <v>86</v>
      </c>
      <c r="M2982" t="s">
        <v>83</v>
      </c>
      <c r="N2982" t="s">
        <v>13</v>
      </c>
    </row>
    <row r="2983" spans="1:14" x14ac:dyDescent="0.35">
      <c r="A2983" s="75">
        <v>44179</v>
      </c>
      <c r="B2983" t="s">
        <v>153</v>
      </c>
      <c r="C2983" t="s">
        <v>103</v>
      </c>
      <c r="D2983">
        <v>9</v>
      </c>
      <c r="E2983">
        <v>9</v>
      </c>
      <c r="F2983" t="s">
        <v>10</v>
      </c>
      <c r="G2983" t="s">
        <v>74</v>
      </c>
      <c r="H2983" t="s">
        <v>77</v>
      </c>
      <c r="I2983">
        <v>40000000</v>
      </c>
      <c r="J2983" t="s">
        <v>38</v>
      </c>
      <c r="K2983" t="s">
        <v>5</v>
      </c>
      <c r="L2983" t="s">
        <v>86</v>
      </c>
      <c r="M2983" t="s">
        <v>83</v>
      </c>
      <c r="N2983" t="s">
        <v>13</v>
      </c>
    </row>
    <row r="2984" spans="1:14" x14ac:dyDescent="0.35">
      <c r="A2984" s="75">
        <v>44179</v>
      </c>
      <c r="B2984" t="s">
        <v>153</v>
      </c>
      <c r="C2984" t="s">
        <v>103</v>
      </c>
      <c r="D2984">
        <v>9</v>
      </c>
      <c r="E2984">
        <v>9</v>
      </c>
      <c r="F2984" t="s">
        <v>10</v>
      </c>
      <c r="G2984" t="s">
        <v>74</v>
      </c>
      <c r="H2984" t="s">
        <v>77</v>
      </c>
      <c r="I2984">
        <v>60000000</v>
      </c>
      <c r="J2984" t="s">
        <v>53</v>
      </c>
      <c r="K2984" t="s">
        <v>5</v>
      </c>
      <c r="L2984" t="s">
        <v>86</v>
      </c>
      <c r="M2984" t="s">
        <v>83</v>
      </c>
      <c r="N2984" t="s">
        <v>12</v>
      </c>
    </row>
    <row r="2985" spans="1:14" x14ac:dyDescent="0.35">
      <c r="A2985" s="75">
        <v>44179</v>
      </c>
      <c r="B2985" t="s">
        <v>153</v>
      </c>
      <c r="C2985" t="s">
        <v>103</v>
      </c>
      <c r="D2985">
        <v>9</v>
      </c>
      <c r="E2985">
        <v>9</v>
      </c>
      <c r="F2985" t="s">
        <v>10</v>
      </c>
      <c r="G2985" t="s">
        <v>114</v>
      </c>
      <c r="H2985" t="s">
        <v>3</v>
      </c>
      <c r="I2985">
        <v>120000000</v>
      </c>
      <c r="J2985" t="s">
        <v>64</v>
      </c>
      <c r="K2985" t="s">
        <v>2</v>
      </c>
      <c r="L2985" t="s">
        <v>86</v>
      </c>
      <c r="M2985" t="s">
        <v>83</v>
      </c>
      <c r="N2985" t="s">
        <v>11</v>
      </c>
    </row>
    <row r="2986" spans="1:14" x14ac:dyDescent="0.35">
      <c r="A2986" s="75">
        <v>44179</v>
      </c>
      <c r="B2986" t="s">
        <v>153</v>
      </c>
      <c r="C2986" t="s">
        <v>103</v>
      </c>
      <c r="D2986">
        <v>9</v>
      </c>
      <c r="E2986">
        <v>9</v>
      </c>
      <c r="F2986" t="s">
        <v>10</v>
      </c>
      <c r="G2986" t="s">
        <v>75</v>
      </c>
      <c r="H2986" t="s">
        <v>6</v>
      </c>
      <c r="I2986">
        <v>100000000</v>
      </c>
      <c r="J2986" t="s">
        <v>53</v>
      </c>
      <c r="K2986" t="s">
        <v>2</v>
      </c>
      <c r="L2986" t="s">
        <v>86</v>
      </c>
      <c r="M2986" t="s">
        <v>83</v>
      </c>
      <c r="N2986" t="s">
        <v>12</v>
      </c>
    </row>
    <row r="2987" spans="1:14" x14ac:dyDescent="0.35">
      <c r="A2987" s="75">
        <v>44179</v>
      </c>
      <c r="B2987" t="s">
        <v>153</v>
      </c>
      <c r="C2987" t="s">
        <v>103</v>
      </c>
      <c r="D2987">
        <v>7</v>
      </c>
      <c r="E2987">
        <v>7</v>
      </c>
      <c r="F2987" t="s">
        <v>10</v>
      </c>
      <c r="G2987" t="s">
        <v>75</v>
      </c>
      <c r="H2987" t="s">
        <v>6</v>
      </c>
      <c r="I2987">
        <v>80000000</v>
      </c>
      <c r="J2987" t="s">
        <v>27</v>
      </c>
      <c r="K2987" t="s">
        <v>4</v>
      </c>
      <c r="L2987" t="s">
        <v>86</v>
      </c>
      <c r="M2987" t="s">
        <v>83</v>
      </c>
      <c r="N2987" t="s">
        <v>12</v>
      </c>
    </row>
    <row r="2988" spans="1:14" x14ac:dyDescent="0.35">
      <c r="A2988" s="75">
        <v>44179</v>
      </c>
      <c r="B2988" t="s">
        <v>153</v>
      </c>
      <c r="C2988" t="s">
        <v>103</v>
      </c>
      <c r="D2988">
        <v>6</v>
      </c>
      <c r="E2988">
        <v>6</v>
      </c>
      <c r="F2988" t="s">
        <v>10</v>
      </c>
      <c r="G2988" t="s">
        <v>71</v>
      </c>
      <c r="H2988" t="s">
        <v>6</v>
      </c>
      <c r="I2988">
        <v>40000000</v>
      </c>
      <c r="J2988" t="s">
        <v>59</v>
      </c>
      <c r="K2988" t="s">
        <v>5</v>
      </c>
      <c r="L2988" t="s">
        <v>86</v>
      </c>
      <c r="M2988" t="s">
        <v>83</v>
      </c>
      <c r="N2988" t="s">
        <v>11</v>
      </c>
    </row>
    <row r="2989" spans="1:14" x14ac:dyDescent="0.35">
      <c r="A2989" s="75">
        <v>44179</v>
      </c>
      <c r="B2989" t="s">
        <v>153</v>
      </c>
      <c r="C2989" t="s">
        <v>103</v>
      </c>
      <c r="D2989">
        <v>6</v>
      </c>
      <c r="E2989">
        <v>6</v>
      </c>
      <c r="F2989" t="s">
        <v>10</v>
      </c>
      <c r="G2989" t="s">
        <v>74</v>
      </c>
      <c r="H2989" t="s">
        <v>77</v>
      </c>
      <c r="I2989">
        <v>60000000</v>
      </c>
      <c r="J2989" t="s">
        <v>63</v>
      </c>
      <c r="K2989" t="s">
        <v>7</v>
      </c>
      <c r="L2989" t="s">
        <v>86</v>
      </c>
      <c r="M2989" t="s">
        <v>83</v>
      </c>
      <c r="N2989" t="s">
        <v>11</v>
      </c>
    </row>
    <row r="2990" spans="1:14" x14ac:dyDescent="0.35">
      <c r="A2990" s="75">
        <v>44179</v>
      </c>
      <c r="B2990" t="s">
        <v>153</v>
      </c>
      <c r="C2990" t="s">
        <v>103</v>
      </c>
      <c r="D2990">
        <v>5</v>
      </c>
      <c r="E2990">
        <v>5</v>
      </c>
      <c r="F2990" t="s">
        <v>10</v>
      </c>
      <c r="G2990" t="s">
        <v>76</v>
      </c>
      <c r="H2990" t="s">
        <v>79</v>
      </c>
      <c r="I2990">
        <v>120000000</v>
      </c>
      <c r="J2990" t="s">
        <v>41</v>
      </c>
      <c r="K2990" t="s">
        <v>5</v>
      </c>
      <c r="L2990" t="s">
        <v>86</v>
      </c>
      <c r="M2990" t="s">
        <v>83</v>
      </c>
      <c r="N2990" t="s">
        <v>13</v>
      </c>
    </row>
    <row r="2991" spans="1:14" x14ac:dyDescent="0.35">
      <c r="A2991" s="75">
        <v>44179</v>
      </c>
      <c r="B2991" t="s">
        <v>153</v>
      </c>
      <c r="C2991" t="s">
        <v>103</v>
      </c>
      <c r="D2991">
        <v>5</v>
      </c>
      <c r="E2991">
        <v>5</v>
      </c>
      <c r="F2991" t="s">
        <v>10</v>
      </c>
      <c r="G2991" t="s">
        <v>72</v>
      </c>
      <c r="H2991" t="s">
        <v>78</v>
      </c>
      <c r="I2991">
        <v>80000000</v>
      </c>
      <c r="J2991" t="s">
        <v>49</v>
      </c>
      <c r="K2991" t="s">
        <v>2</v>
      </c>
      <c r="L2991" t="s">
        <v>86</v>
      </c>
      <c r="M2991" t="s">
        <v>83</v>
      </c>
      <c r="N2991" t="s">
        <v>12</v>
      </c>
    </row>
    <row r="2992" spans="1:14" x14ac:dyDescent="0.35">
      <c r="A2992" s="75">
        <v>44179</v>
      </c>
      <c r="B2992" t="s">
        <v>153</v>
      </c>
      <c r="C2992" t="s">
        <v>103</v>
      </c>
      <c r="D2992">
        <v>3</v>
      </c>
      <c r="E2992">
        <v>3</v>
      </c>
      <c r="F2992" t="s">
        <v>10</v>
      </c>
      <c r="G2992" t="s">
        <v>73</v>
      </c>
      <c r="H2992" t="s">
        <v>78</v>
      </c>
      <c r="I2992">
        <v>100000000</v>
      </c>
      <c r="J2992" t="s">
        <v>15</v>
      </c>
      <c r="K2992" t="s">
        <v>2</v>
      </c>
      <c r="L2992" t="s">
        <v>86</v>
      </c>
      <c r="M2992" t="s">
        <v>83</v>
      </c>
      <c r="N2992" t="s">
        <v>13</v>
      </c>
    </row>
    <row r="2993" spans="1:14" x14ac:dyDescent="0.35">
      <c r="A2993" s="75">
        <v>44180</v>
      </c>
      <c r="B2993" t="s">
        <v>154</v>
      </c>
      <c r="C2993" t="s">
        <v>103</v>
      </c>
      <c r="D2993">
        <v>10</v>
      </c>
      <c r="E2993">
        <v>10</v>
      </c>
      <c r="F2993" t="s">
        <v>10</v>
      </c>
      <c r="G2993" t="s">
        <v>75</v>
      </c>
      <c r="H2993" t="s">
        <v>6</v>
      </c>
      <c r="I2993">
        <v>120000000</v>
      </c>
      <c r="J2993" t="s">
        <v>56</v>
      </c>
      <c r="K2993" t="s">
        <v>5</v>
      </c>
      <c r="L2993" t="s">
        <v>86</v>
      </c>
      <c r="M2993" t="s">
        <v>83</v>
      </c>
      <c r="N2993" t="s">
        <v>14</v>
      </c>
    </row>
    <row r="2994" spans="1:14" x14ac:dyDescent="0.35">
      <c r="A2994" s="75">
        <v>44180</v>
      </c>
      <c r="B2994" t="s">
        <v>154</v>
      </c>
      <c r="C2994" t="s">
        <v>103</v>
      </c>
      <c r="D2994">
        <v>9</v>
      </c>
      <c r="E2994">
        <v>9</v>
      </c>
      <c r="F2994" t="s">
        <v>10</v>
      </c>
      <c r="G2994" t="s">
        <v>75</v>
      </c>
      <c r="H2994" t="s">
        <v>6</v>
      </c>
      <c r="I2994">
        <v>100000000</v>
      </c>
      <c r="J2994" t="s">
        <v>24</v>
      </c>
      <c r="K2994" t="s">
        <v>2</v>
      </c>
      <c r="L2994" t="s">
        <v>86</v>
      </c>
      <c r="M2994" t="s">
        <v>83</v>
      </c>
      <c r="N2994" t="s">
        <v>12</v>
      </c>
    </row>
    <row r="2995" spans="1:14" x14ac:dyDescent="0.35">
      <c r="A2995" s="75">
        <v>44180</v>
      </c>
      <c r="B2995" t="s">
        <v>154</v>
      </c>
      <c r="C2995" t="s">
        <v>103</v>
      </c>
      <c r="D2995">
        <v>8</v>
      </c>
      <c r="E2995">
        <v>8</v>
      </c>
      <c r="F2995" t="s">
        <v>10</v>
      </c>
      <c r="G2995" t="s">
        <v>113</v>
      </c>
      <c r="H2995" t="s">
        <v>77</v>
      </c>
      <c r="I2995">
        <v>80000000</v>
      </c>
      <c r="J2995" t="s">
        <v>17</v>
      </c>
      <c r="K2995" t="s">
        <v>8</v>
      </c>
      <c r="L2995" t="s">
        <v>86</v>
      </c>
      <c r="M2995" t="s">
        <v>83</v>
      </c>
      <c r="N2995" t="s">
        <v>12</v>
      </c>
    </row>
    <row r="2996" spans="1:14" x14ac:dyDescent="0.35">
      <c r="A2996" s="75">
        <v>44180</v>
      </c>
      <c r="B2996" t="s">
        <v>154</v>
      </c>
      <c r="C2996" t="s">
        <v>103</v>
      </c>
      <c r="D2996">
        <v>5</v>
      </c>
      <c r="E2996">
        <v>5</v>
      </c>
      <c r="F2996" t="s">
        <v>10</v>
      </c>
      <c r="G2996" t="s">
        <v>113</v>
      </c>
      <c r="H2996" t="s">
        <v>77</v>
      </c>
      <c r="I2996">
        <v>100000000</v>
      </c>
      <c r="J2996" t="s">
        <v>60</v>
      </c>
      <c r="K2996" t="s">
        <v>2</v>
      </c>
      <c r="L2996" t="s">
        <v>86</v>
      </c>
      <c r="M2996" t="s">
        <v>83</v>
      </c>
      <c r="N2996" t="s">
        <v>11</v>
      </c>
    </row>
    <row r="2997" spans="1:14" x14ac:dyDescent="0.35">
      <c r="A2997" s="75">
        <v>44180</v>
      </c>
      <c r="B2997" t="s">
        <v>154</v>
      </c>
      <c r="C2997" t="s">
        <v>103</v>
      </c>
      <c r="D2997">
        <v>4</v>
      </c>
      <c r="E2997">
        <v>4</v>
      </c>
      <c r="F2997" t="s">
        <v>10</v>
      </c>
      <c r="G2997" t="s">
        <v>70</v>
      </c>
      <c r="H2997" t="s">
        <v>1</v>
      </c>
      <c r="I2997">
        <v>100000000</v>
      </c>
      <c r="J2997" t="s">
        <v>52</v>
      </c>
      <c r="K2997" t="s">
        <v>5</v>
      </c>
      <c r="L2997" t="s">
        <v>86</v>
      </c>
      <c r="M2997" t="s">
        <v>83</v>
      </c>
      <c r="N2997" t="s">
        <v>14</v>
      </c>
    </row>
    <row r="2998" spans="1:14" x14ac:dyDescent="0.35">
      <c r="A2998" s="75">
        <v>44180</v>
      </c>
      <c r="B2998" t="s">
        <v>154</v>
      </c>
      <c r="C2998" t="s">
        <v>103</v>
      </c>
      <c r="D2998">
        <v>4</v>
      </c>
      <c r="E2998">
        <v>4</v>
      </c>
      <c r="F2998" t="s">
        <v>10</v>
      </c>
      <c r="G2998" t="s">
        <v>70</v>
      </c>
      <c r="H2998" t="s">
        <v>1</v>
      </c>
      <c r="I2998">
        <v>100000000</v>
      </c>
      <c r="J2998" t="s">
        <v>17</v>
      </c>
      <c r="K2998" t="s">
        <v>8</v>
      </c>
      <c r="L2998" t="s">
        <v>86</v>
      </c>
      <c r="M2998" t="s">
        <v>83</v>
      </c>
      <c r="N2998" t="s">
        <v>14</v>
      </c>
    </row>
    <row r="2999" spans="1:14" x14ac:dyDescent="0.35">
      <c r="A2999" s="75">
        <v>44181</v>
      </c>
      <c r="B2999" t="s">
        <v>155</v>
      </c>
      <c r="C2999" t="s">
        <v>103</v>
      </c>
      <c r="D2999">
        <v>8</v>
      </c>
      <c r="E2999">
        <v>8</v>
      </c>
      <c r="F2999" t="s">
        <v>10</v>
      </c>
      <c r="G2999" t="s">
        <v>76</v>
      </c>
      <c r="H2999" t="s">
        <v>79</v>
      </c>
      <c r="I2999">
        <v>80000000</v>
      </c>
      <c r="J2999" t="s">
        <v>34</v>
      </c>
      <c r="K2999" t="s">
        <v>5</v>
      </c>
      <c r="L2999" t="s">
        <v>86</v>
      </c>
      <c r="M2999" t="s">
        <v>83</v>
      </c>
      <c r="N2999" t="s">
        <v>13</v>
      </c>
    </row>
    <row r="3000" spans="1:14" x14ac:dyDescent="0.35">
      <c r="A3000" s="75">
        <v>44181</v>
      </c>
      <c r="B3000" t="s">
        <v>155</v>
      </c>
      <c r="C3000" t="s">
        <v>103</v>
      </c>
      <c r="D3000">
        <v>7</v>
      </c>
      <c r="E3000">
        <v>7</v>
      </c>
      <c r="F3000" t="s">
        <v>10</v>
      </c>
      <c r="G3000" t="s">
        <v>72</v>
      </c>
      <c r="H3000" t="s">
        <v>78</v>
      </c>
      <c r="I3000">
        <v>80000000</v>
      </c>
      <c r="J3000" t="s">
        <v>19</v>
      </c>
      <c r="K3000" t="s">
        <v>2</v>
      </c>
      <c r="L3000" t="s">
        <v>86</v>
      </c>
      <c r="M3000" t="s">
        <v>83</v>
      </c>
      <c r="N3000" t="s">
        <v>13</v>
      </c>
    </row>
    <row r="3001" spans="1:14" x14ac:dyDescent="0.35">
      <c r="A3001" s="75">
        <v>44181</v>
      </c>
      <c r="B3001" t="s">
        <v>155</v>
      </c>
      <c r="C3001" t="s">
        <v>103</v>
      </c>
      <c r="D3001">
        <v>5</v>
      </c>
      <c r="E3001">
        <v>5</v>
      </c>
      <c r="F3001" t="s">
        <v>10</v>
      </c>
      <c r="G3001" t="s">
        <v>74</v>
      </c>
      <c r="H3001" t="s">
        <v>77</v>
      </c>
      <c r="I3001">
        <v>80000000</v>
      </c>
      <c r="J3001" t="s">
        <v>30</v>
      </c>
      <c r="K3001" t="s">
        <v>5</v>
      </c>
      <c r="L3001" t="s">
        <v>86</v>
      </c>
      <c r="M3001" t="s">
        <v>83</v>
      </c>
      <c r="N3001" t="s">
        <v>12</v>
      </c>
    </row>
    <row r="3002" spans="1:14" x14ac:dyDescent="0.35">
      <c r="A3002" s="75">
        <v>44181</v>
      </c>
      <c r="B3002" t="s">
        <v>155</v>
      </c>
      <c r="C3002" t="s">
        <v>103</v>
      </c>
      <c r="D3002">
        <v>5</v>
      </c>
      <c r="E3002">
        <v>5</v>
      </c>
      <c r="F3002" t="s">
        <v>10</v>
      </c>
      <c r="G3002" t="s">
        <v>114</v>
      </c>
      <c r="H3002" t="s">
        <v>3</v>
      </c>
      <c r="I3002">
        <v>60000000</v>
      </c>
      <c r="J3002" t="s">
        <v>40</v>
      </c>
      <c r="K3002" t="s">
        <v>5</v>
      </c>
      <c r="L3002" t="s">
        <v>86</v>
      </c>
      <c r="M3002" t="s">
        <v>83</v>
      </c>
      <c r="N3002" t="s">
        <v>13</v>
      </c>
    </row>
    <row r="3003" spans="1:14" x14ac:dyDescent="0.35">
      <c r="A3003" s="75">
        <v>44181</v>
      </c>
      <c r="B3003" t="s">
        <v>155</v>
      </c>
      <c r="C3003" t="s">
        <v>103</v>
      </c>
      <c r="D3003">
        <v>4</v>
      </c>
      <c r="E3003">
        <v>4</v>
      </c>
      <c r="F3003" t="s">
        <v>10</v>
      </c>
      <c r="G3003" t="s">
        <v>74</v>
      </c>
      <c r="H3003" t="s">
        <v>77</v>
      </c>
      <c r="I3003">
        <v>140000000</v>
      </c>
      <c r="J3003" t="s">
        <v>37</v>
      </c>
      <c r="K3003" t="s">
        <v>5</v>
      </c>
      <c r="L3003" t="s">
        <v>86</v>
      </c>
      <c r="M3003" t="s">
        <v>83</v>
      </c>
      <c r="N3003" t="s">
        <v>12</v>
      </c>
    </row>
    <row r="3004" spans="1:14" x14ac:dyDescent="0.35">
      <c r="A3004" s="75">
        <v>44181</v>
      </c>
      <c r="B3004" t="s">
        <v>155</v>
      </c>
      <c r="C3004" t="s">
        <v>103</v>
      </c>
      <c r="D3004">
        <v>4</v>
      </c>
      <c r="E3004">
        <v>4</v>
      </c>
      <c r="F3004" t="s">
        <v>10</v>
      </c>
      <c r="G3004" t="s">
        <v>71</v>
      </c>
      <c r="H3004" t="s">
        <v>6</v>
      </c>
      <c r="I3004">
        <v>60000000</v>
      </c>
      <c r="J3004" t="s">
        <v>56</v>
      </c>
      <c r="K3004" t="s">
        <v>9</v>
      </c>
      <c r="L3004" t="s">
        <v>86</v>
      </c>
      <c r="M3004" t="s">
        <v>83</v>
      </c>
      <c r="N3004" t="s">
        <v>12</v>
      </c>
    </row>
    <row r="3005" spans="1:14" x14ac:dyDescent="0.35">
      <c r="A3005" s="75">
        <v>44182</v>
      </c>
      <c r="B3005" t="s">
        <v>156</v>
      </c>
      <c r="C3005" t="s">
        <v>103</v>
      </c>
      <c r="D3005">
        <v>10</v>
      </c>
      <c r="E3005">
        <v>10</v>
      </c>
      <c r="F3005" t="s">
        <v>10</v>
      </c>
      <c r="G3005" t="s">
        <v>70</v>
      </c>
      <c r="H3005" t="s">
        <v>1</v>
      </c>
      <c r="I3005">
        <v>120000000</v>
      </c>
      <c r="J3005" t="s">
        <v>46</v>
      </c>
      <c r="K3005" t="s">
        <v>5</v>
      </c>
      <c r="L3005" t="s">
        <v>86</v>
      </c>
      <c r="M3005" t="s">
        <v>83</v>
      </c>
      <c r="N3005" t="s">
        <v>13</v>
      </c>
    </row>
    <row r="3006" spans="1:14" x14ac:dyDescent="0.35">
      <c r="A3006" s="75">
        <v>44182</v>
      </c>
      <c r="B3006" t="s">
        <v>156</v>
      </c>
      <c r="C3006" t="s">
        <v>103</v>
      </c>
      <c r="D3006">
        <v>9</v>
      </c>
      <c r="E3006">
        <v>9</v>
      </c>
      <c r="F3006" t="s">
        <v>10</v>
      </c>
      <c r="G3006" t="s">
        <v>113</v>
      </c>
      <c r="H3006" t="s">
        <v>77</v>
      </c>
      <c r="I3006">
        <v>40000000</v>
      </c>
      <c r="J3006" t="s">
        <v>16</v>
      </c>
      <c r="K3006" t="s">
        <v>4</v>
      </c>
      <c r="L3006" t="s">
        <v>86</v>
      </c>
      <c r="M3006" t="s">
        <v>83</v>
      </c>
      <c r="N3006" t="s">
        <v>11</v>
      </c>
    </row>
    <row r="3007" spans="1:14" x14ac:dyDescent="0.35">
      <c r="A3007" s="75">
        <v>44182</v>
      </c>
      <c r="B3007" t="s">
        <v>156</v>
      </c>
      <c r="C3007" t="s">
        <v>103</v>
      </c>
      <c r="D3007">
        <v>8</v>
      </c>
      <c r="E3007">
        <v>8</v>
      </c>
      <c r="F3007" t="s">
        <v>10</v>
      </c>
      <c r="G3007" t="s">
        <v>73</v>
      </c>
      <c r="H3007" t="s">
        <v>78</v>
      </c>
      <c r="I3007">
        <v>40000000</v>
      </c>
      <c r="J3007" t="s">
        <v>36</v>
      </c>
      <c r="K3007" t="s">
        <v>2</v>
      </c>
      <c r="L3007" t="s">
        <v>86</v>
      </c>
      <c r="M3007" t="s">
        <v>83</v>
      </c>
      <c r="N3007" t="s">
        <v>12</v>
      </c>
    </row>
    <row r="3008" spans="1:14" x14ac:dyDescent="0.35">
      <c r="A3008" s="75">
        <v>44182</v>
      </c>
      <c r="B3008" t="s">
        <v>156</v>
      </c>
      <c r="C3008" t="s">
        <v>103</v>
      </c>
      <c r="D3008">
        <v>8</v>
      </c>
      <c r="E3008">
        <v>8</v>
      </c>
      <c r="F3008" t="s">
        <v>10</v>
      </c>
      <c r="G3008" t="s">
        <v>72</v>
      </c>
      <c r="H3008" t="s">
        <v>78</v>
      </c>
      <c r="I3008">
        <v>40000000</v>
      </c>
      <c r="J3008" t="s">
        <v>60</v>
      </c>
      <c r="K3008" t="s">
        <v>4</v>
      </c>
      <c r="L3008" t="s">
        <v>86</v>
      </c>
      <c r="M3008" t="s">
        <v>83</v>
      </c>
      <c r="N3008" t="s">
        <v>14</v>
      </c>
    </row>
    <row r="3009" spans="1:14" x14ac:dyDescent="0.35">
      <c r="A3009" s="75">
        <v>44182</v>
      </c>
      <c r="B3009" t="s">
        <v>156</v>
      </c>
      <c r="C3009" t="s">
        <v>103</v>
      </c>
      <c r="D3009">
        <v>7</v>
      </c>
      <c r="E3009">
        <v>7</v>
      </c>
      <c r="F3009" t="s">
        <v>10</v>
      </c>
      <c r="G3009" t="s">
        <v>71</v>
      </c>
      <c r="H3009" t="s">
        <v>6</v>
      </c>
      <c r="I3009">
        <v>40000000</v>
      </c>
      <c r="J3009" t="s">
        <v>54</v>
      </c>
      <c r="K3009" t="s">
        <v>7</v>
      </c>
      <c r="L3009" t="s">
        <v>86</v>
      </c>
      <c r="M3009" t="s">
        <v>83</v>
      </c>
      <c r="N3009" t="s">
        <v>11</v>
      </c>
    </row>
    <row r="3010" spans="1:14" x14ac:dyDescent="0.35">
      <c r="A3010" s="75">
        <v>44182</v>
      </c>
      <c r="B3010" t="s">
        <v>156</v>
      </c>
      <c r="C3010" t="s">
        <v>103</v>
      </c>
      <c r="D3010">
        <v>7</v>
      </c>
      <c r="E3010">
        <v>7</v>
      </c>
      <c r="F3010" t="s">
        <v>10</v>
      </c>
      <c r="G3010" t="s">
        <v>113</v>
      </c>
      <c r="H3010" t="s">
        <v>77</v>
      </c>
      <c r="I3010">
        <v>60000000</v>
      </c>
      <c r="J3010" t="s">
        <v>19</v>
      </c>
      <c r="K3010" t="s">
        <v>2</v>
      </c>
      <c r="L3010" t="s">
        <v>86</v>
      </c>
      <c r="M3010" t="s">
        <v>83</v>
      </c>
      <c r="N3010" t="s">
        <v>14</v>
      </c>
    </row>
    <row r="3011" spans="1:14" x14ac:dyDescent="0.35">
      <c r="A3011" s="75">
        <v>44182</v>
      </c>
      <c r="B3011" t="s">
        <v>156</v>
      </c>
      <c r="C3011" t="s">
        <v>103</v>
      </c>
      <c r="D3011">
        <v>7</v>
      </c>
      <c r="E3011">
        <v>7</v>
      </c>
      <c r="F3011" t="s">
        <v>10</v>
      </c>
      <c r="G3011" t="s">
        <v>72</v>
      </c>
      <c r="H3011" t="s">
        <v>78</v>
      </c>
      <c r="I3011">
        <v>100000000</v>
      </c>
      <c r="J3011" t="s">
        <v>16</v>
      </c>
      <c r="K3011" t="s">
        <v>5</v>
      </c>
      <c r="L3011" t="s">
        <v>86</v>
      </c>
      <c r="M3011" t="s">
        <v>83</v>
      </c>
      <c r="N3011" t="s">
        <v>11</v>
      </c>
    </row>
    <row r="3012" spans="1:14" x14ac:dyDescent="0.35">
      <c r="A3012" s="75">
        <v>44182</v>
      </c>
      <c r="B3012" t="s">
        <v>156</v>
      </c>
      <c r="C3012" t="s">
        <v>103</v>
      </c>
      <c r="D3012">
        <v>6</v>
      </c>
      <c r="E3012">
        <v>6</v>
      </c>
      <c r="F3012" t="s">
        <v>10</v>
      </c>
      <c r="G3012" t="s">
        <v>76</v>
      </c>
      <c r="H3012" t="s">
        <v>79</v>
      </c>
      <c r="I3012">
        <v>60000000</v>
      </c>
      <c r="J3012" t="s">
        <v>33</v>
      </c>
      <c r="K3012" t="s">
        <v>5</v>
      </c>
      <c r="L3012" t="s">
        <v>86</v>
      </c>
      <c r="M3012" t="s">
        <v>83</v>
      </c>
      <c r="N3012" t="s">
        <v>11</v>
      </c>
    </row>
    <row r="3013" spans="1:14" x14ac:dyDescent="0.35">
      <c r="A3013" s="75">
        <v>44182</v>
      </c>
      <c r="B3013" t="s">
        <v>156</v>
      </c>
      <c r="C3013" t="s">
        <v>103</v>
      </c>
      <c r="D3013">
        <v>5</v>
      </c>
      <c r="E3013">
        <v>5</v>
      </c>
      <c r="F3013" t="s">
        <v>10</v>
      </c>
      <c r="G3013" t="s">
        <v>76</v>
      </c>
      <c r="H3013" t="s">
        <v>79</v>
      </c>
      <c r="I3013">
        <v>140000000</v>
      </c>
      <c r="J3013" t="s">
        <v>49</v>
      </c>
      <c r="K3013" t="s">
        <v>2</v>
      </c>
      <c r="L3013" t="s">
        <v>86</v>
      </c>
      <c r="M3013" t="s">
        <v>83</v>
      </c>
      <c r="N3013" t="s">
        <v>14</v>
      </c>
    </row>
    <row r="3014" spans="1:14" x14ac:dyDescent="0.35">
      <c r="A3014" s="75">
        <v>44182</v>
      </c>
      <c r="B3014" t="s">
        <v>156</v>
      </c>
      <c r="C3014" t="s">
        <v>103</v>
      </c>
      <c r="D3014">
        <v>5</v>
      </c>
      <c r="E3014">
        <v>5</v>
      </c>
      <c r="F3014" t="s">
        <v>10</v>
      </c>
      <c r="G3014" t="s">
        <v>76</v>
      </c>
      <c r="H3014" t="s">
        <v>79</v>
      </c>
      <c r="I3014">
        <v>100000000</v>
      </c>
      <c r="J3014" t="s">
        <v>41</v>
      </c>
      <c r="K3014" t="s">
        <v>5</v>
      </c>
      <c r="L3014" t="s">
        <v>86</v>
      </c>
      <c r="M3014" t="s">
        <v>83</v>
      </c>
      <c r="N3014" t="s">
        <v>14</v>
      </c>
    </row>
    <row r="3015" spans="1:14" x14ac:dyDescent="0.35">
      <c r="A3015" s="75">
        <v>44182</v>
      </c>
      <c r="B3015" t="s">
        <v>156</v>
      </c>
      <c r="C3015" t="s">
        <v>103</v>
      </c>
      <c r="D3015">
        <v>5</v>
      </c>
      <c r="E3015">
        <v>5</v>
      </c>
      <c r="F3015" t="s">
        <v>10</v>
      </c>
      <c r="G3015" t="s">
        <v>72</v>
      </c>
      <c r="H3015" t="s">
        <v>78</v>
      </c>
      <c r="I3015">
        <v>120000000</v>
      </c>
      <c r="J3015" t="s">
        <v>22</v>
      </c>
      <c r="K3015" t="s">
        <v>7</v>
      </c>
      <c r="L3015" t="s">
        <v>86</v>
      </c>
      <c r="M3015" t="s">
        <v>83</v>
      </c>
      <c r="N3015" t="s">
        <v>12</v>
      </c>
    </row>
    <row r="3016" spans="1:14" x14ac:dyDescent="0.35">
      <c r="A3016" s="75">
        <v>44182</v>
      </c>
      <c r="B3016" t="s">
        <v>156</v>
      </c>
      <c r="C3016" t="s">
        <v>103</v>
      </c>
      <c r="D3016">
        <v>4</v>
      </c>
      <c r="E3016">
        <v>4</v>
      </c>
      <c r="F3016" t="s">
        <v>10</v>
      </c>
      <c r="G3016" t="s">
        <v>72</v>
      </c>
      <c r="H3016" t="s">
        <v>78</v>
      </c>
      <c r="I3016">
        <v>120000000</v>
      </c>
      <c r="J3016" t="s">
        <v>45</v>
      </c>
      <c r="K3016" t="s">
        <v>7</v>
      </c>
      <c r="L3016" t="s">
        <v>86</v>
      </c>
      <c r="M3016" t="s">
        <v>83</v>
      </c>
      <c r="N3016" t="s">
        <v>14</v>
      </c>
    </row>
    <row r="3017" spans="1:14" x14ac:dyDescent="0.35">
      <c r="A3017" s="75">
        <v>44183</v>
      </c>
      <c r="B3017" t="s">
        <v>157</v>
      </c>
      <c r="C3017" t="s">
        <v>103</v>
      </c>
      <c r="D3017">
        <v>10</v>
      </c>
      <c r="E3017">
        <v>10</v>
      </c>
      <c r="F3017" t="s">
        <v>10</v>
      </c>
      <c r="G3017" t="s">
        <v>70</v>
      </c>
      <c r="H3017" t="s">
        <v>1</v>
      </c>
      <c r="I3017">
        <v>100000000</v>
      </c>
      <c r="J3017" t="s">
        <v>37</v>
      </c>
      <c r="K3017" t="s">
        <v>9</v>
      </c>
      <c r="L3017" t="s">
        <v>86</v>
      </c>
      <c r="M3017" t="s">
        <v>83</v>
      </c>
      <c r="N3017" t="s">
        <v>12</v>
      </c>
    </row>
    <row r="3018" spans="1:14" x14ac:dyDescent="0.35">
      <c r="A3018" s="75">
        <v>44183</v>
      </c>
      <c r="B3018" t="s">
        <v>157</v>
      </c>
      <c r="C3018" t="s">
        <v>103</v>
      </c>
      <c r="D3018">
        <v>9</v>
      </c>
      <c r="E3018">
        <v>9</v>
      </c>
      <c r="F3018" t="s">
        <v>10</v>
      </c>
      <c r="G3018" t="s">
        <v>113</v>
      </c>
      <c r="H3018" t="s">
        <v>77</v>
      </c>
      <c r="I3018">
        <v>40000000</v>
      </c>
      <c r="J3018" t="s">
        <v>52</v>
      </c>
      <c r="K3018" t="s">
        <v>5</v>
      </c>
      <c r="L3018" t="s">
        <v>86</v>
      </c>
      <c r="M3018" t="s">
        <v>83</v>
      </c>
      <c r="N3018" t="s">
        <v>12</v>
      </c>
    </row>
    <row r="3019" spans="1:14" x14ac:dyDescent="0.35">
      <c r="A3019" s="75">
        <v>44183</v>
      </c>
      <c r="B3019" t="s">
        <v>157</v>
      </c>
      <c r="C3019" t="s">
        <v>103</v>
      </c>
      <c r="D3019">
        <v>9</v>
      </c>
      <c r="E3019">
        <v>9</v>
      </c>
      <c r="F3019" t="s">
        <v>10</v>
      </c>
      <c r="G3019" t="s">
        <v>76</v>
      </c>
      <c r="H3019" t="s">
        <v>79</v>
      </c>
      <c r="I3019">
        <v>80000000</v>
      </c>
      <c r="J3019" t="s">
        <v>29</v>
      </c>
      <c r="K3019" t="s">
        <v>7</v>
      </c>
      <c r="L3019" t="s">
        <v>86</v>
      </c>
      <c r="M3019" t="s">
        <v>83</v>
      </c>
      <c r="N3019" t="s">
        <v>12</v>
      </c>
    </row>
    <row r="3020" spans="1:14" x14ac:dyDescent="0.35">
      <c r="A3020" s="75">
        <v>44183</v>
      </c>
      <c r="B3020" t="s">
        <v>157</v>
      </c>
      <c r="C3020" t="s">
        <v>103</v>
      </c>
      <c r="D3020">
        <v>6</v>
      </c>
      <c r="E3020">
        <v>6</v>
      </c>
      <c r="F3020" t="s">
        <v>10</v>
      </c>
      <c r="G3020" t="s">
        <v>73</v>
      </c>
      <c r="H3020" t="s">
        <v>78</v>
      </c>
      <c r="I3020">
        <v>60000000</v>
      </c>
      <c r="J3020" t="s">
        <v>62</v>
      </c>
      <c r="K3020" t="s">
        <v>2</v>
      </c>
      <c r="L3020" t="s">
        <v>86</v>
      </c>
      <c r="M3020" t="s">
        <v>83</v>
      </c>
      <c r="N3020" t="s">
        <v>13</v>
      </c>
    </row>
    <row r="3021" spans="1:14" x14ac:dyDescent="0.35">
      <c r="A3021" s="75">
        <v>44183</v>
      </c>
      <c r="B3021" t="s">
        <v>157</v>
      </c>
      <c r="C3021" t="s">
        <v>103</v>
      </c>
      <c r="D3021">
        <v>5</v>
      </c>
      <c r="E3021">
        <v>5</v>
      </c>
      <c r="F3021" t="s">
        <v>10</v>
      </c>
      <c r="G3021" t="s">
        <v>71</v>
      </c>
      <c r="H3021" t="s">
        <v>6</v>
      </c>
      <c r="I3021">
        <v>140000000</v>
      </c>
      <c r="J3021" t="s">
        <v>19</v>
      </c>
      <c r="K3021" t="s">
        <v>2</v>
      </c>
      <c r="L3021" t="s">
        <v>86</v>
      </c>
      <c r="M3021" t="s">
        <v>83</v>
      </c>
      <c r="N3021" t="s">
        <v>12</v>
      </c>
    </row>
    <row r="3022" spans="1:14" x14ac:dyDescent="0.35">
      <c r="A3022" s="75">
        <v>44183</v>
      </c>
      <c r="B3022" t="s">
        <v>157</v>
      </c>
      <c r="C3022" t="s">
        <v>103</v>
      </c>
      <c r="D3022">
        <v>3</v>
      </c>
      <c r="E3022">
        <v>3</v>
      </c>
      <c r="F3022" t="s">
        <v>10</v>
      </c>
      <c r="G3022" t="s">
        <v>70</v>
      </c>
      <c r="H3022" t="s">
        <v>1</v>
      </c>
      <c r="I3022">
        <v>140000000</v>
      </c>
      <c r="J3022" t="s">
        <v>20</v>
      </c>
      <c r="K3022" t="s">
        <v>2</v>
      </c>
      <c r="L3022" t="s">
        <v>86</v>
      </c>
      <c r="M3022" t="s">
        <v>83</v>
      </c>
      <c r="N3022" t="s">
        <v>12</v>
      </c>
    </row>
    <row r="3023" spans="1:14" x14ac:dyDescent="0.35">
      <c r="A3023" s="75">
        <v>44183</v>
      </c>
      <c r="B3023" t="s">
        <v>157</v>
      </c>
      <c r="C3023" t="s">
        <v>103</v>
      </c>
      <c r="D3023">
        <v>3</v>
      </c>
      <c r="E3023">
        <v>3</v>
      </c>
      <c r="F3023" t="s">
        <v>10</v>
      </c>
      <c r="G3023" t="s">
        <v>76</v>
      </c>
      <c r="H3023" t="s">
        <v>79</v>
      </c>
      <c r="I3023">
        <v>40000000</v>
      </c>
      <c r="J3023" t="s">
        <v>27</v>
      </c>
      <c r="K3023" t="s">
        <v>5</v>
      </c>
      <c r="L3023" t="s">
        <v>86</v>
      </c>
      <c r="M3023" t="s">
        <v>83</v>
      </c>
      <c r="N3023" t="s">
        <v>12</v>
      </c>
    </row>
    <row r="3024" spans="1:14" x14ac:dyDescent="0.35">
      <c r="A3024" s="75">
        <v>44184</v>
      </c>
      <c r="B3024" t="s">
        <v>158</v>
      </c>
      <c r="C3024" t="s">
        <v>103</v>
      </c>
      <c r="D3024">
        <v>10</v>
      </c>
      <c r="E3024">
        <v>10</v>
      </c>
      <c r="F3024" t="s">
        <v>10</v>
      </c>
      <c r="G3024" t="s">
        <v>72</v>
      </c>
      <c r="H3024" t="s">
        <v>78</v>
      </c>
      <c r="I3024">
        <v>100000000</v>
      </c>
      <c r="J3024" t="s">
        <v>17</v>
      </c>
      <c r="K3024" t="s">
        <v>2</v>
      </c>
      <c r="L3024" t="s">
        <v>86</v>
      </c>
      <c r="M3024" t="s">
        <v>83</v>
      </c>
      <c r="N3024" t="s">
        <v>11</v>
      </c>
    </row>
    <row r="3025" spans="1:14" x14ac:dyDescent="0.35">
      <c r="A3025" s="75">
        <v>44184</v>
      </c>
      <c r="B3025" t="s">
        <v>158</v>
      </c>
      <c r="C3025" t="s">
        <v>103</v>
      </c>
      <c r="D3025">
        <v>9</v>
      </c>
      <c r="E3025">
        <v>9</v>
      </c>
      <c r="F3025" t="s">
        <v>10</v>
      </c>
      <c r="G3025" t="s">
        <v>75</v>
      </c>
      <c r="H3025" t="s">
        <v>6</v>
      </c>
      <c r="I3025">
        <v>60000000</v>
      </c>
      <c r="J3025" t="s">
        <v>29</v>
      </c>
      <c r="K3025" t="s">
        <v>4</v>
      </c>
      <c r="L3025" t="s">
        <v>86</v>
      </c>
      <c r="M3025" t="s">
        <v>83</v>
      </c>
      <c r="N3025" t="s">
        <v>14</v>
      </c>
    </row>
    <row r="3026" spans="1:14" x14ac:dyDescent="0.35">
      <c r="A3026" s="75">
        <v>44184</v>
      </c>
      <c r="B3026" t="s">
        <v>158</v>
      </c>
      <c r="C3026" t="s">
        <v>103</v>
      </c>
      <c r="D3026">
        <v>7</v>
      </c>
      <c r="E3026">
        <v>7</v>
      </c>
      <c r="F3026" t="s">
        <v>10</v>
      </c>
      <c r="G3026" t="s">
        <v>73</v>
      </c>
      <c r="H3026" t="s">
        <v>78</v>
      </c>
      <c r="I3026">
        <v>140000000</v>
      </c>
      <c r="J3026" t="s">
        <v>25</v>
      </c>
      <c r="K3026" t="s">
        <v>5</v>
      </c>
      <c r="L3026" t="s">
        <v>86</v>
      </c>
      <c r="M3026" t="s">
        <v>83</v>
      </c>
      <c r="N3026" t="s">
        <v>12</v>
      </c>
    </row>
    <row r="3027" spans="1:14" x14ac:dyDescent="0.35">
      <c r="A3027" s="75">
        <v>44184</v>
      </c>
      <c r="B3027" t="s">
        <v>158</v>
      </c>
      <c r="C3027" t="s">
        <v>103</v>
      </c>
      <c r="D3027">
        <v>3</v>
      </c>
      <c r="E3027">
        <v>3</v>
      </c>
      <c r="F3027" t="s">
        <v>10</v>
      </c>
      <c r="G3027" t="s">
        <v>70</v>
      </c>
      <c r="H3027" t="s">
        <v>1</v>
      </c>
      <c r="I3027">
        <v>120000000</v>
      </c>
      <c r="J3027" t="s">
        <v>19</v>
      </c>
      <c r="K3027" t="s">
        <v>9</v>
      </c>
      <c r="L3027" t="s">
        <v>86</v>
      </c>
      <c r="M3027" t="s">
        <v>83</v>
      </c>
      <c r="N3027" t="s">
        <v>12</v>
      </c>
    </row>
    <row r="3028" spans="1:14" x14ac:dyDescent="0.35">
      <c r="A3028" s="75">
        <v>44184</v>
      </c>
      <c r="B3028" t="s">
        <v>158</v>
      </c>
      <c r="C3028" t="s">
        <v>103</v>
      </c>
      <c r="D3028">
        <v>3</v>
      </c>
      <c r="E3028">
        <v>3</v>
      </c>
      <c r="F3028" t="s">
        <v>10</v>
      </c>
      <c r="G3028" t="s">
        <v>72</v>
      </c>
      <c r="H3028" t="s">
        <v>78</v>
      </c>
      <c r="I3028">
        <v>80000000</v>
      </c>
      <c r="J3028" t="s">
        <v>23</v>
      </c>
      <c r="K3028" t="s">
        <v>9</v>
      </c>
      <c r="L3028" t="s">
        <v>86</v>
      </c>
      <c r="M3028" t="s">
        <v>83</v>
      </c>
      <c r="N3028" t="s">
        <v>12</v>
      </c>
    </row>
    <row r="3029" spans="1:14" x14ac:dyDescent="0.35">
      <c r="A3029" s="75">
        <v>44185</v>
      </c>
      <c r="B3029" t="s">
        <v>159</v>
      </c>
      <c r="C3029" t="s">
        <v>103</v>
      </c>
      <c r="D3029">
        <v>10</v>
      </c>
      <c r="E3029">
        <v>10</v>
      </c>
      <c r="F3029" t="s">
        <v>10</v>
      </c>
      <c r="G3029" t="s">
        <v>70</v>
      </c>
      <c r="H3029" t="s">
        <v>1</v>
      </c>
      <c r="I3029">
        <v>40000000</v>
      </c>
      <c r="J3029" t="s">
        <v>61</v>
      </c>
      <c r="K3029" t="s">
        <v>2</v>
      </c>
      <c r="L3029" t="s">
        <v>86</v>
      </c>
      <c r="M3029" t="s">
        <v>83</v>
      </c>
      <c r="N3029" t="s">
        <v>11</v>
      </c>
    </row>
    <row r="3030" spans="1:14" x14ac:dyDescent="0.35">
      <c r="A3030" s="75">
        <v>44185</v>
      </c>
      <c r="B3030" t="s">
        <v>159</v>
      </c>
      <c r="C3030" t="s">
        <v>103</v>
      </c>
      <c r="D3030">
        <v>10</v>
      </c>
      <c r="E3030">
        <v>10</v>
      </c>
      <c r="F3030" t="s">
        <v>10</v>
      </c>
      <c r="G3030" t="s">
        <v>72</v>
      </c>
      <c r="H3030" t="s">
        <v>78</v>
      </c>
      <c r="I3030">
        <v>140000000</v>
      </c>
      <c r="J3030" t="s">
        <v>19</v>
      </c>
      <c r="K3030" t="s">
        <v>5</v>
      </c>
      <c r="L3030" t="s">
        <v>86</v>
      </c>
      <c r="M3030" t="s">
        <v>83</v>
      </c>
      <c r="N3030" t="s">
        <v>12</v>
      </c>
    </row>
    <row r="3031" spans="1:14" x14ac:dyDescent="0.35">
      <c r="A3031" s="75">
        <v>44185</v>
      </c>
      <c r="B3031" t="s">
        <v>159</v>
      </c>
      <c r="C3031" t="s">
        <v>103</v>
      </c>
      <c r="D3031">
        <v>10</v>
      </c>
      <c r="E3031">
        <v>10</v>
      </c>
      <c r="F3031" t="s">
        <v>10</v>
      </c>
      <c r="G3031" t="s">
        <v>75</v>
      </c>
      <c r="H3031" t="s">
        <v>6</v>
      </c>
      <c r="I3031">
        <v>40000000</v>
      </c>
      <c r="J3031" t="s">
        <v>32</v>
      </c>
      <c r="K3031" t="s">
        <v>2</v>
      </c>
      <c r="L3031" t="s">
        <v>86</v>
      </c>
      <c r="M3031" t="s">
        <v>83</v>
      </c>
      <c r="N3031" t="s">
        <v>14</v>
      </c>
    </row>
    <row r="3032" spans="1:14" x14ac:dyDescent="0.35">
      <c r="A3032" s="75">
        <v>44185</v>
      </c>
      <c r="B3032" t="s">
        <v>159</v>
      </c>
      <c r="C3032" t="s">
        <v>103</v>
      </c>
      <c r="D3032">
        <v>9</v>
      </c>
      <c r="E3032">
        <v>9</v>
      </c>
      <c r="F3032" t="s">
        <v>10</v>
      </c>
      <c r="G3032" t="s">
        <v>70</v>
      </c>
      <c r="H3032" t="s">
        <v>1</v>
      </c>
      <c r="I3032">
        <v>120000000</v>
      </c>
      <c r="J3032" t="s">
        <v>27</v>
      </c>
      <c r="K3032" t="s">
        <v>5</v>
      </c>
      <c r="L3032" t="s">
        <v>86</v>
      </c>
      <c r="M3032" t="s">
        <v>83</v>
      </c>
      <c r="N3032" t="s">
        <v>13</v>
      </c>
    </row>
    <row r="3033" spans="1:14" x14ac:dyDescent="0.35">
      <c r="A3033" s="75">
        <v>44185</v>
      </c>
      <c r="B3033" t="s">
        <v>159</v>
      </c>
      <c r="C3033" t="s">
        <v>103</v>
      </c>
      <c r="D3033">
        <v>9</v>
      </c>
      <c r="E3033">
        <v>9</v>
      </c>
      <c r="F3033" t="s">
        <v>10</v>
      </c>
      <c r="G3033" t="s">
        <v>73</v>
      </c>
      <c r="H3033" t="s">
        <v>78</v>
      </c>
      <c r="I3033">
        <v>40000000</v>
      </c>
      <c r="J3033" t="s">
        <v>34</v>
      </c>
      <c r="K3033" t="s">
        <v>2</v>
      </c>
      <c r="L3033" t="s">
        <v>86</v>
      </c>
      <c r="M3033" t="s">
        <v>83</v>
      </c>
      <c r="N3033" t="s">
        <v>14</v>
      </c>
    </row>
    <row r="3034" spans="1:14" x14ac:dyDescent="0.35">
      <c r="A3034" s="75">
        <v>44185</v>
      </c>
      <c r="B3034" t="s">
        <v>159</v>
      </c>
      <c r="C3034" t="s">
        <v>103</v>
      </c>
      <c r="D3034">
        <v>9</v>
      </c>
      <c r="E3034">
        <v>9</v>
      </c>
      <c r="F3034" t="s">
        <v>10</v>
      </c>
      <c r="G3034" t="s">
        <v>72</v>
      </c>
      <c r="H3034" t="s">
        <v>78</v>
      </c>
      <c r="I3034">
        <v>40000000</v>
      </c>
      <c r="J3034" t="s">
        <v>29</v>
      </c>
      <c r="K3034" t="s">
        <v>4</v>
      </c>
      <c r="L3034" t="s">
        <v>86</v>
      </c>
      <c r="M3034" t="s">
        <v>83</v>
      </c>
      <c r="N3034" t="s">
        <v>12</v>
      </c>
    </row>
    <row r="3035" spans="1:14" x14ac:dyDescent="0.35">
      <c r="A3035" s="75">
        <v>44185</v>
      </c>
      <c r="B3035" t="s">
        <v>159</v>
      </c>
      <c r="C3035" t="s">
        <v>103</v>
      </c>
      <c r="D3035">
        <v>8</v>
      </c>
      <c r="E3035">
        <v>8</v>
      </c>
      <c r="F3035" t="s">
        <v>10</v>
      </c>
      <c r="G3035" t="s">
        <v>73</v>
      </c>
      <c r="H3035" t="s">
        <v>78</v>
      </c>
      <c r="I3035">
        <v>140000000</v>
      </c>
      <c r="J3035" t="s">
        <v>47</v>
      </c>
      <c r="K3035" t="s">
        <v>9</v>
      </c>
      <c r="L3035" t="s">
        <v>86</v>
      </c>
      <c r="M3035" t="s">
        <v>83</v>
      </c>
      <c r="N3035" t="s">
        <v>12</v>
      </c>
    </row>
    <row r="3036" spans="1:14" x14ac:dyDescent="0.35">
      <c r="A3036" s="75">
        <v>44185</v>
      </c>
      <c r="B3036" t="s">
        <v>159</v>
      </c>
      <c r="C3036" t="s">
        <v>103</v>
      </c>
      <c r="D3036">
        <v>7</v>
      </c>
      <c r="E3036">
        <v>7</v>
      </c>
      <c r="F3036" t="s">
        <v>10</v>
      </c>
      <c r="G3036" t="s">
        <v>76</v>
      </c>
      <c r="H3036" t="s">
        <v>79</v>
      </c>
      <c r="I3036">
        <v>120000000</v>
      </c>
      <c r="J3036" t="s">
        <v>36</v>
      </c>
      <c r="K3036" t="s">
        <v>2</v>
      </c>
      <c r="L3036" t="s">
        <v>86</v>
      </c>
      <c r="M3036" t="s">
        <v>83</v>
      </c>
      <c r="N3036" t="s">
        <v>14</v>
      </c>
    </row>
    <row r="3037" spans="1:14" x14ac:dyDescent="0.35">
      <c r="A3037" s="75">
        <v>44185</v>
      </c>
      <c r="B3037" t="s">
        <v>159</v>
      </c>
      <c r="C3037" t="s">
        <v>103</v>
      </c>
      <c r="D3037">
        <v>6</v>
      </c>
      <c r="E3037">
        <v>6</v>
      </c>
      <c r="F3037" t="s">
        <v>10</v>
      </c>
      <c r="G3037" t="s">
        <v>76</v>
      </c>
      <c r="H3037" t="s">
        <v>79</v>
      </c>
      <c r="I3037">
        <v>100000000</v>
      </c>
      <c r="J3037" t="s">
        <v>18</v>
      </c>
      <c r="K3037" t="s">
        <v>2</v>
      </c>
      <c r="L3037" t="s">
        <v>86</v>
      </c>
      <c r="M3037" t="s">
        <v>83</v>
      </c>
      <c r="N3037" t="s">
        <v>12</v>
      </c>
    </row>
    <row r="3038" spans="1:14" x14ac:dyDescent="0.35">
      <c r="A3038" s="75">
        <v>44185</v>
      </c>
      <c r="B3038" t="s">
        <v>159</v>
      </c>
      <c r="C3038" t="s">
        <v>103</v>
      </c>
      <c r="D3038">
        <v>3</v>
      </c>
      <c r="E3038">
        <v>3</v>
      </c>
      <c r="F3038" t="s">
        <v>10</v>
      </c>
      <c r="G3038" t="s">
        <v>113</v>
      </c>
      <c r="H3038" t="s">
        <v>77</v>
      </c>
      <c r="I3038">
        <v>120000000</v>
      </c>
      <c r="J3038" t="s">
        <v>59</v>
      </c>
      <c r="K3038" t="s">
        <v>5</v>
      </c>
      <c r="L3038" t="s">
        <v>86</v>
      </c>
      <c r="M3038" t="s">
        <v>83</v>
      </c>
      <c r="N3038" t="s">
        <v>14</v>
      </c>
    </row>
    <row r="3039" spans="1:14" x14ac:dyDescent="0.35">
      <c r="A3039" s="75">
        <v>44186</v>
      </c>
      <c r="B3039" t="s">
        <v>160</v>
      </c>
      <c r="C3039" t="s">
        <v>103</v>
      </c>
      <c r="D3039">
        <v>10</v>
      </c>
      <c r="E3039">
        <v>10</v>
      </c>
      <c r="F3039" t="s">
        <v>10</v>
      </c>
      <c r="G3039" t="s">
        <v>72</v>
      </c>
      <c r="H3039" t="s">
        <v>78</v>
      </c>
      <c r="I3039">
        <v>80000000</v>
      </c>
      <c r="J3039" t="s">
        <v>16</v>
      </c>
      <c r="K3039" t="s">
        <v>5</v>
      </c>
      <c r="L3039" t="s">
        <v>86</v>
      </c>
      <c r="M3039" t="s">
        <v>83</v>
      </c>
      <c r="N3039" t="s">
        <v>14</v>
      </c>
    </row>
    <row r="3040" spans="1:14" x14ac:dyDescent="0.35">
      <c r="A3040" s="75">
        <v>44186</v>
      </c>
      <c r="B3040" t="s">
        <v>160</v>
      </c>
      <c r="C3040" t="s">
        <v>103</v>
      </c>
      <c r="D3040">
        <v>9</v>
      </c>
      <c r="E3040">
        <v>9</v>
      </c>
      <c r="F3040" t="s">
        <v>10</v>
      </c>
      <c r="G3040" t="s">
        <v>71</v>
      </c>
      <c r="H3040" t="s">
        <v>6</v>
      </c>
      <c r="I3040">
        <v>60000000</v>
      </c>
      <c r="J3040" t="s">
        <v>56</v>
      </c>
      <c r="K3040" t="s">
        <v>5</v>
      </c>
      <c r="L3040" t="s">
        <v>86</v>
      </c>
      <c r="M3040" t="s">
        <v>83</v>
      </c>
      <c r="N3040" t="s">
        <v>13</v>
      </c>
    </row>
    <row r="3041" spans="1:14" x14ac:dyDescent="0.35">
      <c r="A3041" s="75">
        <v>44186</v>
      </c>
      <c r="B3041" t="s">
        <v>160</v>
      </c>
      <c r="C3041" t="s">
        <v>103</v>
      </c>
      <c r="D3041">
        <v>9</v>
      </c>
      <c r="E3041">
        <v>9</v>
      </c>
      <c r="F3041" t="s">
        <v>10</v>
      </c>
      <c r="G3041" t="s">
        <v>74</v>
      </c>
      <c r="H3041" t="s">
        <v>77</v>
      </c>
      <c r="I3041">
        <v>120000000</v>
      </c>
      <c r="J3041" t="s">
        <v>36</v>
      </c>
      <c r="K3041" t="s">
        <v>4</v>
      </c>
      <c r="L3041" t="s">
        <v>86</v>
      </c>
      <c r="M3041" t="s">
        <v>83</v>
      </c>
      <c r="N3041" t="s">
        <v>14</v>
      </c>
    </row>
    <row r="3042" spans="1:14" x14ac:dyDescent="0.35">
      <c r="A3042" s="75">
        <v>44186</v>
      </c>
      <c r="B3042" t="s">
        <v>160</v>
      </c>
      <c r="C3042" t="s">
        <v>103</v>
      </c>
      <c r="D3042">
        <v>9</v>
      </c>
      <c r="E3042">
        <v>9</v>
      </c>
      <c r="F3042" t="s">
        <v>10</v>
      </c>
      <c r="G3042" t="s">
        <v>76</v>
      </c>
      <c r="H3042" t="s">
        <v>79</v>
      </c>
      <c r="I3042">
        <v>140000000</v>
      </c>
      <c r="J3042" t="s">
        <v>23</v>
      </c>
      <c r="K3042" t="s">
        <v>2</v>
      </c>
      <c r="L3042" t="s">
        <v>86</v>
      </c>
      <c r="M3042" t="s">
        <v>83</v>
      </c>
      <c r="N3042" t="s">
        <v>14</v>
      </c>
    </row>
    <row r="3043" spans="1:14" x14ac:dyDescent="0.35">
      <c r="A3043" s="75">
        <v>44186</v>
      </c>
      <c r="B3043" t="s">
        <v>160</v>
      </c>
      <c r="C3043" t="s">
        <v>103</v>
      </c>
      <c r="D3043">
        <v>8</v>
      </c>
      <c r="E3043">
        <v>8</v>
      </c>
      <c r="F3043" t="s">
        <v>10</v>
      </c>
      <c r="G3043" t="s">
        <v>76</v>
      </c>
      <c r="H3043" t="s">
        <v>79</v>
      </c>
      <c r="I3043">
        <v>140000000</v>
      </c>
      <c r="J3043" t="s">
        <v>23</v>
      </c>
      <c r="K3043" t="s">
        <v>8</v>
      </c>
      <c r="L3043" t="s">
        <v>86</v>
      </c>
      <c r="M3043" t="s">
        <v>83</v>
      </c>
      <c r="N3043" t="s">
        <v>12</v>
      </c>
    </row>
    <row r="3044" spans="1:14" x14ac:dyDescent="0.35">
      <c r="A3044" s="75">
        <v>44186</v>
      </c>
      <c r="B3044" t="s">
        <v>160</v>
      </c>
      <c r="C3044" t="s">
        <v>103</v>
      </c>
      <c r="D3044">
        <v>7</v>
      </c>
      <c r="E3044">
        <v>7</v>
      </c>
      <c r="F3044" t="s">
        <v>10</v>
      </c>
      <c r="G3044" t="s">
        <v>74</v>
      </c>
      <c r="H3044" t="s">
        <v>77</v>
      </c>
      <c r="I3044">
        <v>80000000</v>
      </c>
      <c r="J3044" t="s">
        <v>33</v>
      </c>
      <c r="K3044" t="s">
        <v>2</v>
      </c>
      <c r="L3044" t="s">
        <v>86</v>
      </c>
      <c r="M3044" t="s">
        <v>83</v>
      </c>
      <c r="N3044" t="s">
        <v>12</v>
      </c>
    </row>
    <row r="3045" spans="1:14" x14ac:dyDescent="0.35">
      <c r="A3045" s="75">
        <v>44186</v>
      </c>
      <c r="B3045" t="s">
        <v>160</v>
      </c>
      <c r="C3045" t="s">
        <v>103</v>
      </c>
      <c r="D3045">
        <v>6</v>
      </c>
      <c r="E3045">
        <v>6</v>
      </c>
      <c r="F3045" t="s">
        <v>10</v>
      </c>
      <c r="G3045" t="s">
        <v>114</v>
      </c>
      <c r="H3045" t="s">
        <v>3</v>
      </c>
      <c r="I3045">
        <v>60000000</v>
      </c>
      <c r="J3045" t="s">
        <v>20</v>
      </c>
      <c r="K3045" t="s">
        <v>4</v>
      </c>
      <c r="L3045" t="s">
        <v>86</v>
      </c>
      <c r="M3045" t="s">
        <v>83</v>
      </c>
      <c r="N3045" t="s">
        <v>12</v>
      </c>
    </row>
    <row r="3046" spans="1:14" x14ac:dyDescent="0.35">
      <c r="A3046" s="75">
        <v>44186</v>
      </c>
      <c r="B3046" t="s">
        <v>160</v>
      </c>
      <c r="C3046" t="s">
        <v>103</v>
      </c>
      <c r="D3046">
        <v>5</v>
      </c>
      <c r="E3046">
        <v>5</v>
      </c>
      <c r="F3046" t="s">
        <v>10</v>
      </c>
      <c r="G3046" t="s">
        <v>76</v>
      </c>
      <c r="H3046" t="s">
        <v>79</v>
      </c>
      <c r="I3046">
        <v>80000000</v>
      </c>
      <c r="J3046" t="s">
        <v>48</v>
      </c>
      <c r="K3046" t="s">
        <v>2</v>
      </c>
      <c r="L3046" t="s">
        <v>86</v>
      </c>
      <c r="M3046" t="s">
        <v>83</v>
      </c>
      <c r="N3046" t="s">
        <v>12</v>
      </c>
    </row>
    <row r="3047" spans="1:14" x14ac:dyDescent="0.35">
      <c r="A3047" s="75">
        <v>44186</v>
      </c>
      <c r="B3047" t="s">
        <v>160</v>
      </c>
      <c r="C3047" t="s">
        <v>103</v>
      </c>
      <c r="D3047">
        <v>5</v>
      </c>
      <c r="E3047">
        <v>5</v>
      </c>
      <c r="F3047" t="s">
        <v>10</v>
      </c>
      <c r="G3047" t="s">
        <v>75</v>
      </c>
      <c r="H3047" t="s">
        <v>6</v>
      </c>
      <c r="I3047">
        <v>140000000</v>
      </c>
      <c r="J3047" t="s">
        <v>16</v>
      </c>
      <c r="K3047" t="s">
        <v>5</v>
      </c>
      <c r="L3047" t="s">
        <v>86</v>
      </c>
      <c r="M3047" t="s">
        <v>83</v>
      </c>
      <c r="N3047" t="s">
        <v>13</v>
      </c>
    </row>
    <row r="3048" spans="1:14" x14ac:dyDescent="0.35">
      <c r="A3048" s="75">
        <v>44186</v>
      </c>
      <c r="B3048" t="s">
        <v>160</v>
      </c>
      <c r="C3048" t="s">
        <v>103</v>
      </c>
      <c r="D3048">
        <v>4</v>
      </c>
      <c r="E3048">
        <v>4</v>
      </c>
      <c r="F3048" t="s">
        <v>10</v>
      </c>
      <c r="G3048" t="s">
        <v>74</v>
      </c>
      <c r="H3048" t="s">
        <v>77</v>
      </c>
      <c r="I3048">
        <v>40000000</v>
      </c>
      <c r="J3048" t="s">
        <v>18</v>
      </c>
      <c r="K3048" t="s">
        <v>4</v>
      </c>
      <c r="L3048" t="s">
        <v>86</v>
      </c>
      <c r="M3048" t="s">
        <v>83</v>
      </c>
      <c r="N3048" t="s">
        <v>11</v>
      </c>
    </row>
    <row r="3049" spans="1:14" x14ac:dyDescent="0.35">
      <c r="A3049" s="75">
        <v>44186</v>
      </c>
      <c r="B3049" t="s">
        <v>160</v>
      </c>
      <c r="C3049" t="s">
        <v>103</v>
      </c>
      <c r="D3049">
        <v>3</v>
      </c>
      <c r="E3049">
        <v>3</v>
      </c>
      <c r="F3049" t="s">
        <v>10</v>
      </c>
      <c r="G3049" t="s">
        <v>72</v>
      </c>
      <c r="H3049" t="s">
        <v>78</v>
      </c>
      <c r="I3049">
        <v>100000000</v>
      </c>
      <c r="J3049" t="s">
        <v>36</v>
      </c>
      <c r="K3049" t="s">
        <v>5</v>
      </c>
      <c r="L3049" t="s">
        <v>86</v>
      </c>
      <c r="M3049" t="s">
        <v>83</v>
      </c>
      <c r="N3049" t="s">
        <v>12</v>
      </c>
    </row>
    <row r="3050" spans="1:14" x14ac:dyDescent="0.35">
      <c r="A3050" s="75">
        <v>44186</v>
      </c>
      <c r="B3050" t="s">
        <v>160</v>
      </c>
      <c r="C3050" t="s">
        <v>103</v>
      </c>
      <c r="D3050">
        <v>3</v>
      </c>
      <c r="E3050">
        <v>3</v>
      </c>
      <c r="F3050" t="s">
        <v>10</v>
      </c>
      <c r="G3050" t="s">
        <v>72</v>
      </c>
      <c r="H3050" t="s">
        <v>78</v>
      </c>
      <c r="I3050">
        <v>140000000</v>
      </c>
      <c r="J3050" t="s">
        <v>22</v>
      </c>
      <c r="K3050" t="s">
        <v>5</v>
      </c>
      <c r="L3050" t="s">
        <v>86</v>
      </c>
      <c r="M3050" t="s">
        <v>83</v>
      </c>
      <c r="N3050" t="s">
        <v>14</v>
      </c>
    </row>
    <row r="3051" spans="1:14" x14ac:dyDescent="0.35">
      <c r="A3051" s="75">
        <v>44187</v>
      </c>
      <c r="B3051" t="s">
        <v>161</v>
      </c>
      <c r="C3051" t="s">
        <v>103</v>
      </c>
      <c r="D3051">
        <v>10</v>
      </c>
      <c r="E3051">
        <v>10</v>
      </c>
      <c r="F3051" t="s">
        <v>10</v>
      </c>
      <c r="G3051" t="s">
        <v>74</v>
      </c>
      <c r="H3051" t="s">
        <v>77</v>
      </c>
      <c r="I3051">
        <v>40000000</v>
      </c>
      <c r="J3051" t="s">
        <v>47</v>
      </c>
      <c r="K3051" t="s">
        <v>5</v>
      </c>
      <c r="L3051" t="s">
        <v>86</v>
      </c>
      <c r="M3051" t="s">
        <v>83</v>
      </c>
      <c r="N3051" t="s">
        <v>13</v>
      </c>
    </row>
    <row r="3052" spans="1:14" x14ac:dyDescent="0.35">
      <c r="A3052" s="75">
        <v>44187</v>
      </c>
      <c r="B3052" t="s">
        <v>161</v>
      </c>
      <c r="C3052" t="s">
        <v>103</v>
      </c>
      <c r="D3052">
        <v>10</v>
      </c>
      <c r="E3052">
        <v>10</v>
      </c>
      <c r="F3052" t="s">
        <v>10</v>
      </c>
      <c r="G3052" t="s">
        <v>71</v>
      </c>
      <c r="H3052" t="s">
        <v>6</v>
      </c>
      <c r="I3052">
        <v>100000000</v>
      </c>
      <c r="J3052" t="s">
        <v>52</v>
      </c>
      <c r="K3052" t="s">
        <v>7</v>
      </c>
      <c r="L3052" t="s">
        <v>86</v>
      </c>
      <c r="M3052" t="s">
        <v>83</v>
      </c>
      <c r="N3052" t="s">
        <v>14</v>
      </c>
    </row>
    <row r="3053" spans="1:14" x14ac:dyDescent="0.35">
      <c r="A3053" s="75">
        <v>44187</v>
      </c>
      <c r="B3053" t="s">
        <v>161</v>
      </c>
      <c r="C3053" t="s">
        <v>103</v>
      </c>
      <c r="D3053">
        <v>9</v>
      </c>
      <c r="E3053">
        <v>9</v>
      </c>
      <c r="F3053" t="s">
        <v>10</v>
      </c>
      <c r="G3053" t="s">
        <v>72</v>
      </c>
      <c r="H3053" t="s">
        <v>78</v>
      </c>
      <c r="I3053">
        <v>120000000</v>
      </c>
      <c r="J3053" t="s">
        <v>64</v>
      </c>
      <c r="K3053" t="s">
        <v>2</v>
      </c>
      <c r="L3053" t="s">
        <v>86</v>
      </c>
      <c r="M3053" t="s">
        <v>83</v>
      </c>
      <c r="N3053" t="s">
        <v>11</v>
      </c>
    </row>
    <row r="3054" spans="1:14" x14ac:dyDescent="0.35">
      <c r="A3054" s="75">
        <v>44187</v>
      </c>
      <c r="B3054" t="s">
        <v>161</v>
      </c>
      <c r="C3054" t="s">
        <v>103</v>
      </c>
      <c r="D3054">
        <v>7</v>
      </c>
      <c r="E3054">
        <v>7</v>
      </c>
      <c r="F3054" t="s">
        <v>10</v>
      </c>
      <c r="G3054" t="s">
        <v>71</v>
      </c>
      <c r="H3054" t="s">
        <v>6</v>
      </c>
      <c r="I3054">
        <v>40000000</v>
      </c>
      <c r="J3054" t="s">
        <v>52</v>
      </c>
      <c r="K3054" t="s">
        <v>4</v>
      </c>
      <c r="L3054" t="s">
        <v>86</v>
      </c>
      <c r="M3054" t="s">
        <v>83</v>
      </c>
      <c r="N3054" t="s">
        <v>11</v>
      </c>
    </row>
    <row r="3055" spans="1:14" x14ac:dyDescent="0.35">
      <c r="A3055" s="75">
        <v>44187</v>
      </c>
      <c r="B3055" t="s">
        <v>161</v>
      </c>
      <c r="C3055" t="s">
        <v>103</v>
      </c>
      <c r="D3055">
        <v>6</v>
      </c>
      <c r="E3055">
        <v>6</v>
      </c>
      <c r="F3055" t="s">
        <v>10</v>
      </c>
      <c r="G3055" t="s">
        <v>74</v>
      </c>
      <c r="H3055" t="s">
        <v>77</v>
      </c>
      <c r="I3055">
        <v>140000000</v>
      </c>
      <c r="J3055" t="s">
        <v>56</v>
      </c>
      <c r="K3055" t="s">
        <v>2</v>
      </c>
      <c r="L3055" t="s">
        <v>86</v>
      </c>
      <c r="M3055" t="s">
        <v>83</v>
      </c>
      <c r="N3055" t="s">
        <v>13</v>
      </c>
    </row>
    <row r="3056" spans="1:14" x14ac:dyDescent="0.35">
      <c r="A3056" s="75">
        <v>44187</v>
      </c>
      <c r="B3056" t="s">
        <v>161</v>
      </c>
      <c r="C3056" t="s">
        <v>103</v>
      </c>
      <c r="D3056">
        <v>5</v>
      </c>
      <c r="E3056">
        <v>5</v>
      </c>
      <c r="F3056" t="s">
        <v>10</v>
      </c>
      <c r="G3056" t="s">
        <v>76</v>
      </c>
      <c r="H3056" t="s">
        <v>79</v>
      </c>
      <c r="I3056">
        <v>80000000</v>
      </c>
      <c r="J3056" t="s">
        <v>17</v>
      </c>
      <c r="K3056" t="s">
        <v>5</v>
      </c>
      <c r="L3056" t="s">
        <v>86</v>
      </c>
      <c r="M3056" t="s">
        <v>83</v>
      </c>
      <c r="N3056" t="s">
        <v>11</v>
      </c>
    </row>
    <row r="3057" spans="1:14" x14ac:dyDescent="0.35">
      <c r="A3057" s="75">
        <v>44187</v>
      </c>
      <c r="B3057" t="s">
        <v>161</v>
      </c>
      <c r="C3057" t="s">
        <v>103</v>
      </c>
      <c r="D3057">
        <v>5</v>
      </c>
      <c r="E3057">
        <v>5</v>
      </c>
      <c r="F3057" t="s">
        <v>10</v>
      </c>
      <c r="G3057" t="s">
        <v>70</v>
      </c>
      <c r="H3057" t="s">
        <v>1</v>
      </c>
      <c r="I3057">
        <v>100000000</v>
      </c>
      <c r="J3057" t="s">
        <v>43</v>
      </c>
      <c r="K3057" t="s">
        <v>5</v>
      </c>
      <c r="L3057" t="s">
        <v>86</v>
      </c>
      <c r="M3057" t="s">
        <v>83</v>
      </c>
      <c r="N3057" t="s">
        <v>14</v>
      </c>
    </row>
    <row r="3058" spans="1:14" x14ac:dyDescent="0.35">
      <c r="A3058" s="75">
        <v>44188</v>
      </c>
      <c r="B3058" t="s">
        <v>162</v>
      </c>
      <c r="C3058" t="s">
        <v>103</v>
      </c>
      <c r="D3058">
        <v>10</v>
      </c>
      <c r="E3058">
        <v>10</v>
      </c>
      <c r="F3058" t="s">
        <v>10</v>
      </c>
      <c r="G3058" t="s">
        <v>114</v>
      </c>
      <c r="H3058" t="s">
        <v>3</v>
      </c>
      <c r="I3058">
        <v>60000000</v>
      </c>
      <c r="J3058" t="s">
        <v>38</v>
      </c>
      <c r="K3058" t="s">
        <v>7</v>
      </c>
      <c r="L3058" t="s">
        <v>86</v>
      </c>
      <c r="M3058" t="s">
        <v>83</v>
      </c>
      <c r="N3058" t="s">
        <v>13</v>
      </c>
    </row>
    <row r="3059" spans="1:14" x14ac:dyDescent="0.35">
      <c r="A3059" s="75">
        <v>44188</v>
      </c>
      <c r="B3059" t="s">
        <v>162</v>
      </c>
      <c r="C3059" t="s">
        <v>103</v>
      </c>
      <c r="D3059">
        <v>10</v>
      </c>
      <c r="E3059">
        <v>10</v>
      </c>
      <c r="F3059" t="s">
        <v>10</v>
      </c>
      <c r="G3059" t="s">
        <v>73</v>
      </c>
      <c r="H3059" t="s">
        <v>78</v>
      </c>
      <c r="I3059">
        <v>120000000</v>
      </c>
      <c r="J3059" t="s">
        <v>55</v>
      </c>
      <c r="K3059" t="s">
        <v>2</v>
      </c>
      <c r="L3059" t="s">
        <v>86</v>
      </c>
      <c r="M3059" t="s">
        <v>83</v>
      </c>
      <c r="N3059" t="s">
        <v>11</v>
      </c>
    </row>
    <row r="3060" spans="1:14" x14ac:dyDescent="0.35">
      <c r="A3060" s="75">
        <v>44188</v>
      </c>
      <c r="B3060" t="s">
        <v>162</v>
      </c>
      <c r="C3060" t="s">
        <v>103</v>
      </c>
      <c r="D3060">
        <v>9</v>
      </c>
      <c r="E3060">
        <v>9</v>
      </c>
      <c r="F3060" t="s">
        <v>10</v>
      </c>
      <c r="G3060" t="s">
        <v>113</v>
      </c>
      <c r="H3060" t="s">
        <v>77</v>
      </c>
      <c r="I3060">
        <v>120000000</v>
      </c>
      <c r="J3060" t="s">
        <v>30</v>
      </c>
      <c r="K3060" t="s">
        <v>9</v>
      </c>
      <c r="L3060" t="s">
        <v>86</v>
      </c>
      <c r="M3060" t="s">
        <v>83</v>
      </c>
      <c r="N3060" t="s">
        <v>12</v>
      </c>
    </row>
    <row r="3061" spans="1:14" x14ac:dyDescent="0.35">
      <c r="A3061" s="75">
        <v>44188</v>
      </c>
      <c r="B3061" t="s">
        <v>162</v>
      </c>
      <c r="C3061" t="s">
        <v>103</v>
      </c>
      <c r="D3061">
        <v>8</v>
      </c>
      <c r="E3061">
        <v>8</v>
      </c>
      <c r="F3061" t="s">
        <v>10</v>
      </c>
      <c r="G3061" t="s">
        <v>75</v>
      </c>
      <c r="H3061" t="s">
        <v>6</v>
      </c>
      <c r="I3061">
        <v>100000000</v>
      </c>
      <c r="J3061" t="s">
        <v>53</v>
      </c>
      <c r="K3061" t="s">
        <v>5</v>
      </c>
      <c r="L3061" t="s">
        <v>86</v>
      </c>
      <c r="M3061" t="s">
        <v>83</v>
      </c>
      <c r="N3061" t="s">
        <v>12</v>
      </c>
    </row>
    <row r="3062" spans="1:14" x14ac:dyDescent="0.35">
      <c r="A3062" s="75">
        <v>44188</v>
      </c>
      <c r="B3062" t="s">
        <v>162</v>
      </c>
      <c r="C3062" t="s">
        <v>103</v>
      </c>
      <c r="D3062">
        <v>8</v>
      </c>
      <c r="E3062">
        <v>8</v>
      </c>
      <c r="F3062" t="s">
        <v>10</v>
      </c>
      <c r="G3062" t="s">
        <v>70</v>
      </c>
      <c r="H3062" t="s">
        <v>1</v>
      </c>
      <c r="I3062">
        <v>120000000</v>
      </c>
      <c r="J3062" t="s">
        <v>38</v>
      </c>
      <c r="K3062" t="s">
        <v>2</v>
      </c>
      <c r="L3062" t="s">
        <v>86</v>
      </c>
      <c r="M3062" t="s">
        <v>83</v>
      </c>
      <c r="N3062" t="s">
        <v>11</v>
      </c>
    </row>
    <row r="3063" spans="1:14" x14ac:dyDescent="0.35">
      <c r="A3063" s="75">
        <v>44188</v>
      </c>
      <c r="B3063" t="s">
        <v>162</v>
      </c>
      <c r="C3063" t="s">
        <v>103</v>
      </c>
      <c r="D3063">
        <v>6</v>
      </c>
      <c r="E3063">
        <v>6</v>
      </c>
      <c r="F3063" t="s">
        <v>10</v>
      </c>
      <c r="G3063" t="s">
        <v>72</v>
      </c>
      <c r="H3063" t="s">
        <v>78</v>
      </c>
      <c r="I3063">
        <v>80000000</v>
      </c>
      <c r="J3063" t="s">
        <v>43</v>
      </c>
      <c r="K3063" t="s">
        <v>7</v>
      </c>
      <c r="L3063" t="s">
        <v>86</v>
      </c>
      <c r="M3063" t="s">
        <v>83</v>
      </c>
      <c r="N3063" t="s">
        <v>12</v>
      </c>
    </row>
    <row r="3064" spans="1:14" x14ac:dyDescent="0.35">
      <c r="A3064" s="75">
        <v>44188</v>
      </c>
      <c r="B3064" t="s">
        <v>162</v>
      </c>
      <c r="C3064" t="s">
        <v>103</v>
      </c>
      <c r="D3064">
        <v>4</v>
      </c>
      <c r="E3064">
        <v>4</v>
      </c>
      <c r="F3064" t="s">
        <v>10</v>
      </c>
      <c r="G3064" t="s">
        <v>70</v>
      </c>
      <c r="H3064" t="s">
        <v>1</v>
      </c>
      <c r="I3064">
        <v>100000000</v>
      </c>
      <c r="J3064" t="s">
        <v>41</v>
      </c>
      <c r="K3064" t="s">
        <v>2</v>
      </c>
      <c r="L3064" t="s">
        <v>86</v>
      </c>
      <c r="M3064" t="s">
        <v>83</v>
      </c>
      <c r="N3064" t="s">
        <v>14</v>
      </c>
    </row>
    <row r="3065" spans="1:14" x14ac:dyDescent="0.35">
      <c r="A3065" s="75">
        <v>44189</v>
      </c>
      <c r="B3065" t="s">
        <v>163</v>
      </c>
      <c r="C3065" t="s">
        <v>103</v>
      </c>
      <c r="D3065">
        <v>10</v>
      </c>
      <c r="E3065">
        <v>10</v>
      </c>
      <c r="F3065" t="s">
        <v>10</v>
      </c>
      <c r="G3065" t="s">
        <v>114</v>
      </c>
      <c r="H3065" t="s">
        <v>3</v>
      </c>
      <c r="I3065">
        <v>40000000</v>
      </c>
      <c r="J3065" t="s">
        <v>37</v>
      </c>
      <c r="K3065" t="s">
        <v>2</v>
      </c>
      <c r="L3065" t="s">
        <v>86</v>
      </c>
      <c r="M3065" t="s">
        <v>83</v>
      </c>
      <c r="N3065" t="s">
        <v>13</v>
      </c>
    </row>
    <row r="3066" spans="1:14" x14ac:dyDescent="0.35">
      <c r="A3066" s="75">
        <v>44189</v>
      </c>
      <c r="B3066" t="s">
        <v>163</v>
      </c>
      <c r="C3066" t="s">
        <v>103</v>
      </c>
      <c r="D3066">
        <v>9</v>
      </c>
      <c r="E3066">
        <v>9</v>
      </c>
      <c r="F3066" t="s">
        <v>10</v>
      </c>
      <c r="G3066" t="s">
        <v>75</v>
      </c>
      <c r="H3066" t="s">
        <v>6</v>
      </c>
      <c r="I3066">
        <v>40000000</v>
      </c>
      <c r="J3066" t="s">
        <v>39</v>
      </c>
      <c r="K3066" t="s">
        <v>7</v>
      </c>
      <c r="L3066" t="s">
        <v>86</v>
      </c>
      <c r="M3066" t="s">
        <v>83</v>
      </c>
      <c r="N3066" t="s">
        <v>14</v>
      </c>
    </row>
    <row r="3067" spans="1:14" x14ac:dyDescent="0.35">
      <c r="A3067" s="75">
        <v>44189</v>
      </c>
      <c r="B3067" t="s">
        <v>163</v>
      </c>
      <c r="C3067" t="s">
        <v>103</v>
      </c>
      <c r="D3067">
        <v>8</v>
      </c>
      <c r="E3067">
        <v>8</v>
      </c>
      <c r="F3067" t="s">
        <v>10</v>
      </c>
      <c r="G3067" t="s">
        <v>71</v>
      </c>
      <c r="H3067" t="s">
        <v>6</v>
      </c>
      <c r="I3067">
        <v>40000000</v>
      </c>
      <c r="J3067" t="s">
        <v>49</v>
      </c>
      <c r="K3067" t="s">
        <v>2</v>
      </c>
      <c r="L3067" t="s">
        <v>86</v>
      </c>
      <c r="M3067" t="s">
        <v>83</v>
      </c>
      <c r="N3067" t="s">
        <v>11</v>
      </c>
    </row>
    <row r="3068" spans="1:14" x14ac:dyDescent="0.35">
      <c r="A3068" s="75">
        <v>44189</v>
      </c>
      <c r="B3068" t="s">
        <v>163</v>
      </c>
      <c r="C3068" t="s">
        <v>103</v>
      </c>
      <c r="D3068">
        <v>8</v>
      </c>
      <c r="E3068">
        <v>8</v>
      </c>
      <c r="F3068" t="s">
        <v>10</v>
      </c>
      <c r="G3068" t="s">
        <v>73</v>
      </c>
      <c r="H3068" t="s">
        <v>78</v>
      </c>
      <c r="I3068">
        <v>100000000</v>
      </c>
      <c r="J3068" t="s">
        <v>15</v>
      </c>
      <c r="K3068" t="s">
        <v>7</v>
      </c>
      <c r="L3068" t="s">
        <v>86</v>
      </c>
      <c r="M3068" t="s">
        <v>83</v>
      </c>
      <c r="N3068" t="s">
        <v>11</v>
      </c>
    </row>
    <row r="3069" spans="1:14" x14ac:dyDescent="0.35">
      <c r="A3069" s="75">
        <v>44189</v>
      </c>
      <c r="B3069" t="s">
        <v>163</v>
      </c>
      <c r="C3069" t="s">
        <v>103</v>
      </c>
      <c r="D3069">
        <v>7</v>
      </c>
      <c r="E3069">
        <v>7</v>
      </c>
      <c r="F3069" t="s">
        <v>10</v>
      </c>
      <c r="G3069" t="s">
        <v>72</v>
      </c>
      <c r="H3069" t="s">
        <v>78</v>
      </c>
      <c r="I3069">
        <v>40000000</v>
      </c>
      <c r="J3069" t="s">
        <v>39</v>
      </c>
      <c r="K3069" t="s">
        <v>9</v>
      </c>
      <c r="L3069" t="s">
        <v>86</v>
      </c>
      <c r="M3069" t="s">
        <v>83</v>
      </c>
      <c r="N3069" t="s">
        <v>11</v>
      </c>
    </row>
    <row r="3070" spans="1:14" x14ac:dyDescent="0.35">
      <c r="A3070" s="75">
        <v>44189</v>
      </c>
      <c r="B3070" t="s">
        <v>163</v>
      </c>
      <c r="C3070" t="s">
        <v>103</v>
      </c>
      <c r="D3070">
        <v>6</v>
      </c>
      <c r="E3070">
        <v>6</v>
      </c>
      <c r="F3070" t="s">
        <v>10</v>
      </c>
      <c r="G3070" t="s">
        <v>70</v>
      </c>
      <c r="H3070" t="s">
        <v>1</v>
      </c>
      <c r="I3070">
        <v>40000000</v>
      </c>
      <c r="J3070" t="s">
        <v>29</v>
      </c>
      <c r="K3070" t="s">
        <v>5</v>
      </c>
      <c r="L3070" t="s">
        <v>86</v>
      </c>
      <c r="M3070" t="s">
        <v>83</v>
      </c>
      <c r="N3070" t="s">
        <v>12</v>
      </c>
    </row>
    <row r="3071" spans="1:14" x14ac:dyDescent="0.35">
      <c r="A3071" s="75">
        <v>44189</v>
      </c>
      <c r="B3071" t="s">
        <v>163</v>
      </c>
      <c r="C3071" t="s">
        <v>103</v>
      </c>
      <c r="D3071">
        <v>6</v>
      </c>
      <c r="E3071">
        <v>6</v>
      </c>
      <c r="F3071" t="s">
        <v>10</v>
      </c>
      <c r="G3071" t="s">
        <v>76</v>
      </c>
      <c r="H3071" t="s">
        <v>79</v>
      </c>
      <c r="I3071">
        <v>100000000</v>
      </c>
      <c r="J3071" t="s">
        <v>49</v>
      </c>
      <c r="K3071" t="s">
        <v>2</v>
      </c>
      <c r="L3071" t="s">
        <v>86</v>
      </c>
      <c r="M3071" t="s">
        <v>83</v>
      </c>
      <c r="N3071" t="s">
        <v>13</v>
      </c>
    </row>
    <row r="3072" spans="1:14" x14ac:dyDescent="0.35">
      <c r="A3072" s="75">
        <v>44189</v>
      </c>
      <c r="B3072" t="s">
        <v>163</v>
      </c>
      <c r="C3072" t="s">
        <v>103</v>
      </c>
      <c r="D3072">
        <v>6</v>
      </c>
      <c r="E3072">
        <v>6</v>
      </c>
      <c r="F3072" t="s">
        <v>10</v>
      </c>
      <c r="G3072" t="s">
        <v>70</v>
      </c>
      <c r="H3072" t="s">
        <v>1</v>
      </c>
      <c r="I3072">
        <v>40000000</v>
      </c>
      <c r="J3072" t="s">
        <v>25</v>
      </c>
      <c r="K3072" t="s">
        <v>5</v>
      </c>
      <c r="L3072" t="s">
        <v>86</v>
      </c>
      <c r="M3072" t="s">
        <v>83</v>
      </c>
      <c r="N3072" t="s">
        <v>11</v>
      </c>
    </row>
    <row r="3073" spans="1:14" x14ac:dyDescent="0.35">
      <c r="A3073" s="75">
        <v>44189</v>
      </c>
      <c r="B3073" t="s">
        <v>163</v>
      </c>
      <c r="C3073" t="s">
        <v>103</v>
      </c>
      <c r="D3073">
        <v>5</v>
      </c>
      <c r="E3073">
        <v>5</v>
      </c>
      <c r="F3073" t="s">
        <v>10</v>
      </c>
      <c r="G3073" t="s">
        <v>73</v>
      </c>
      <c r="H3073" t="s">
        <v>78</v>
      </c>
      <c r="I3073">
        <v>100000000</v>
      </c>
      <c r="J3073" t="s">
        <v>36</v>
      </c>
      <c r="K3073" t="s">
        <v>9</v>
      </c>
      <c r="L3073" t="s">
        <v>86</v>
      </c>
      <c r="M3073" t="s">
        <v>83</v>
      </c>
      <c r="N3073" t="s">
        <v>11</v>
      </c>
    </row>
    <row r="3074" spans="1:14" x14ac:dyDescent="0.35">
      <c r="A3074" s="75">
        <v>44189</v>
      </c>
      <c r="B3074" t="s">
        <v>163</v>
      </c>
      <c r="C3074" t="s">
        <v>103</v>
      </c>
      <c r="D3074">
        <v>5</v>
      </c>
      <c r="E3074">
        <v>5</v>
      </c>
      <c r="F3074" t="s">
        <v>10</v>
      </c>
      <c r="G3074" t="s">
        <v>71</v>
      </c>
      <c r="H3074" t="s">
        <v>6</v>
      </c>
      <c r="I3074">
        <v>140000000</v>
      </c>
      <c r="J3074" t="s">
        <v>53</v>
      </c>
      <c r="K3074" t="s">
        <v>7</v>
      </c>
      <c r="L3074" t="s">
        <v>86</v>
      </c>
      <c r="M3074" t="s">
        <v>83</v>
      </c>
      <c r="N3074" t="s">
        <v>12</v>
      </c>
    </row>
    <row r="3075" spans="1:14" x14ac:dyDescent="0.35">
      <c r="A3075" s="75">
        <v>44189</v>
      </c>
      <c r="B3075" t="s">
        <v>163</v>
      </c>
      <c r="C3075" t="s">
        <v>103</v>
      </c>
      <c r="D3075">
        <v>3</v>
      </c>
      <c r="E3075">
        <v>3</v>
      </c>
      <c r="F3075" t="s">
        <v>10</v>
      </c>
      <c r="G3075" t="s">
        <v>70</v>
      </c>
      <c r="H3075" t="s">
        <v>1</v>
      </c>
      <c r="I3075">
        <v>100000000</v>
      </c>
      <c r="J3075" t="s">
        <v>31</v>
      </c>
      <c r="K3075" t="s">
        <v>5</v>
      </c>
      <c r="L3075" t="s">
        <v>86</v>
      </c>
      <c r="M3075" t="s">
        <v>83</v>
      </c>
      <c r="N3075" t="s">
        <v>11</v>
      </c>
    </row>
    <row r="3076" spans="1:14" x14ac:dyDescent="0.35">
      <c r="A3076" s="75">
        <v>44189</v>
      </c>
      <c r="B3076" t="s">
        <v>163</v>
      </c>
      <c r="C3076" t="s">
        <v>103</v>
      </c>
      <c r="D3076">
        <v>3</v>
      </c>
      <c r="E3076">
        <v>3</v>
      </c>
      <c r="F3076" t="s">
        <v>10</v>
      </c>
      <c r="G3076" t="s">
        <v>76</v>
      </c>
      <c r="H3076" t="s">
        <v>79</v>
      </c>
      <c r="I3076">
        <v>40000000</v>
      </c>
      <c r="J3076" t="s">
        <v>32</v>
      </c>
      <c r="K3076" t="s">
        <v>2</v>
      </c>
      <c r="L3076" t="s">
        <v>86</v>
      </c>
      <c r="M3076" t="s">
        <v>83</v>
      </c>
      <c r="N3076" t="s">
        <v>13</v>
      </c>
    </row>
    <row r="3077" spans="1:14" x14ac:dyDescent="0.35">
      <c r="A3077" s="75">
        <v>44190</v>
      </c>
      <c r="B3077" t="s">
        <v>164</v>
      </c>
      <c r="C3077" t="s">
        <v>103</v>
      </c>
      <c r="D3077">
        <v>10</v>
      </c>
      <c r="E3077">
        <v>8</v>
      </c>
      <c r="F3077">
        <v>2</v>
      </c>
      <c r="G3077" t="s">
        <v>76</v>
      </c>
      <c r="H3077" t="s">
        <v>79</v>
      </c>
      <c r="I3077">
        <v>100000000</v>
      </c>
      <c r="J3077" t="s">
        <v>32</v>
      </c>
      <c r="K3077" t="s">
        <v>7</v>
      </c>
      <c r="L3077" t="s">
        <v>86</v>
      </c>
      <c r="M3077" t="s">
        <v>83</v>
      </c>
      <c r="N3077" t="s">
        <v>11</v>
      </c>
    </row>
    <row r="3078" spans="1:14" x14ac:dyDescent="0.35">
      <c r="A3078" s="75">
        <v>44190</v>
      </c>
      <c r="B3078" t="s">
        <v>164</v>
      </c>
      <c r="C3078" t="s">
        <v>103</v>
      </c>
      <c r="D3078">
        <v>10</v>
      </c>
      <c r="E3078">
        <v>9</v>
      </c>
      <c r="F3078">
        <v>1</v>
      </c>
      <c r="G3078" t="s">
        <v>114</v>
      </c>
      <c r="H3078" t="s">
        <v>3</v>
      </c>
      <c r="I3078">
        <v>80000000</v>
      </c>
      <c r="J3078" t="s">
        <v>23</v>
      </c>
      <c r="K3078" t="s">
        <v>2</v>
      </c>
      <c r="L3078" t="s">
        <v>86</v>
      </c>
      <c r="M3078" t="s">
        <v>83</v>
      </c>
      <c r="N3078" t="s">
        <v>14</v>
      </c>
    </row>
    <row r="3079" spans="1:14" x14ac:dyDescent="0.35">
      <c r="A3079" s="75">
        <v>44190</v>
      </c>
      <c r="B3079" t="s">
        <v>164</v>
      </c>
      <c r="C3079" t="s">
        <v>103</v>
      </c>
      <c r="D3079">
        <v>6</v>
      </c>
      <c r="E3079">
        <v>5</v>
      </c>
      <c r="F3079">
        <v>1</v>
      </c>
      <c r="G3079" t="s">
        <v>73</v>
      </c>
      <c r="H3079" t="s">
        <v>78</v>
      </c>
      <c r="I3079">
        <v>120000000</v>
      </c>
      <c r="J3079" t="s">
        <v>33</v>
      </c>
      <c r="K3079" t="s">
        <v>8</v>
      </c>
      <c r="L3079" t="s">
        <v>86</v>
      </c>
      <c r="M3079" t="s">
        <v>83</v>
      </c>
      <c r="N3079" t="s">
        <v>11</v>
      </c>
    </row>
    <row r="3080" spans="1:14" x14ac:dyDescent="0.35">
      <c r="A3080" s="75">
        <v>44190</v>
      </c>
      <c r="B3080" t="s">
        <v>164</v>
      </c>
      <c r="C3080" t="s">
        <v>103</v>
      </c>
      <c r="D3080">
        <v>6</v>
      </c>
      <c r="E3080">
        <v>4</v>
      </c>
      <c r="F3080">
        <v>2</v>
      </c>
      <c r="G3080" t="s">
        <v>70</v>
      </c>
      <c r="H3080" t="s">
        <v>1</v>
      </c>
      <c r="I3080">
        <v>120000000</v>
      </c>
      <c r="J3080" t="s">
        <v>57</v>
      </c>
      <c r="K3080" t="s">
        <v>2</v>
      </c>
      <c r="L3080" t="s">
        <v>86</v>
      </c>
      <c r="M3080" t="s">
        <v>83</v>
      </c>
      <c r="N3080" t="s">
        <v>14</v>
      </c>
    </row>
    <row r="3081" spans="1:14" x14ac:dyDescent="0.35">
      <c r="A3081" s="75">
        <v>44190</v>
      </c>
      <c r="B3081" t="s">
        <v>164</v>
      </c>
      <c r="C3081" t="s">
        <v>103</v>
      </c>
      <c r="D3081">
        <v>5</v>
      </c>
      <c r="E3081">
        <v>3</v>
      </c>
      <c r="F3081">
        <v>2</v>
      </c>
      <c r="G3081" t="s">
        <v>76</v>
      </c>
      <c r="H3081" t="s">
        <v>79</v>
      </c>
      <c r="I3081">
        <v>40000000</v>
      </c>
      <c r="J3081" t="s">
        <v>51</v>
      </c>
      <c r="K3081" t="s">
        <v>7</v>
      </c>
      <c r="L3081" t="s">
        <v>86</v>
      </c>
      <c r="M3081" t="s">
        <v>83</v>
      </c>
      <c r="N3081" t="s">
        <v>14</v>
      </c>
    </row>
    <row r="3082" spans="1:14" x14ac:dyDescent="0.35">
      <c r="A3082" s="75">
        <v>44191</v>
      </c>
      <c r="B3082" t="s">
        <v>165</v>
      </c>
      <c r="C3082" t="s">
        <v>103</v>
      </c>
      <c r="D3082">
        <v>10</v>
      </c>
      <c r="E3082">
        <v>8</v>
      </c>
      <c r="F3082">
        <v>2</v>
      </c>
      <c r="G3082" t="s">
        <v>73</v>
      </c>
      <c r="H3082" t="s">
        <v>78</v>
      </c>
      <c r="I3082">
        <v>60000000</v>
      </c>
      <c r="J3082" t="s">
        <v>39</v>
      </c>
      <c r="K3082" t="s">
        <v>5</v>
      </c>
      <c r="L3082" t="s">
        <v>86</v>
      </c>
      <c r="M3082" t="s">
        <v>83</v>
      </c>
      <c r="N3082" t="s">
        <v>14</v>
      </c>
    </row>
    <row r="3083" spans="1:14" x14ac:dyDescent="0.35">
      <c r="A3083" s="75">
        <v>44191</v>
      </c>
      <c r="B3083" t="s">
        <v>165</v>
      </c>
      <c r="C3083" t="s">
        <v>103</v>
      </c>
      <c r="D3083">
        <v>10</v>
      </c>
      <c r="E3083">
        <v>8</v>
      </c>
      <c r="F3083">
        <v>2</v>
      </c>
      <c r="G3083" t="s">
        <v>73</v>
      </c>
      <c r="H3083" t="s">
        <v>78</v>
      </c>
      <c r="I3083">
        <v>120000000</v>
      </c>
      <c r="J3083" t="s">
        <v>32</v>
      </c>
      <c r="K3083" t="s">
        <v>2</v>
      </c>
      <c r="L3083" t="s">
        <v>86</v>
      </c>
      <c r="M3083" t="s">
        <v>83</v>
      </c>
      <c r="N3083" t="s">
        <v>14</v>
      </c>
    </row>
    <row r="3084" spans="1:14" x14ac:dyDescent="0.35">
      <c r="A3084" s="75">
        <v>44191</v>
      </c>
      <c r="B3084" t="s">
        <v>165</v>
      </c>
      <c r="C3084" t="s">
        <v>103</v>
      </c>
      <c r="D3084">
        <v>9</v>
      </c>
      <c r="E3084">
        <v>8</v>
      </c>
      <c r="F3084">
        <v>1</v>
      </c>
      <c r="G3084" t="s">
        <v>71</v>
      </c>
      <c r="H3084" t="s">
        <v>6</v>
      </c>
      <c r="I3084">
        <v>140000000</v>
      </c>
      <c r="J3084" t="s">
        <v>52</v>
      </c>
      <c r="K3084" t="s">
        <v>7</v>
      </c>
      <c r="L3084" t="s">
        <v>86</v>
      </c>
      <c r="M3084" t="s">
        <v>83</v>
      </c>
      <c r="N3084" t="s">
        <v>11</v>
      </c>
    </row>
    <row r="3085" spans="1:14" x14ac:dyDescent="0.35">
      <c r="A3085" s="75">
        <v>44191</v>
      </c>
      <c r="B3085" t="s">
        <v>165</v>
      </c>
      <c r="C3085" t="s">
        <v>103</v>
      </c>
      <c r="D3085">
        <v>8</v>
      </c>
      <c r="E3085">
        <v>7</v>
      </c>
      <c r="F3085">
        <v>1</v>
      </c>
      <c r="G3085" t="s">
        <v>114</v>
      </c>
      <c r="H3085" t="s">
        <v>3</v>
      </c>
      <c r="I3085">
        <v>60000000</v>
      </c>
      <c r="J3085" t="s">
        <v>37</v>
      </c>
      <c r="K3085" t="s">
        <v>5</v>
      </c>
      <c r="L3085" t="s">
        <v>86</v>
      </c>
      <c r="M3085" t="s">
        <v>83</v>
      </c>
      <c r="N3085" t="s">
        <v>14</v>
      </c>
    </row>
    <row r="3086" spans="1:14" x14ac:dyDescent="0.35">
      <c r="A3086" s="75">
        <v>44191</v>
      </c>
      <c r="B3086" t="s">
        <v>165</v>
      </c>
      <c r="C3086" t="s">
        <v>103</v>
      </c>
      <c r="D3086">
        <v>7</v>
      </c>
      <c r="E3086">
        <v>6</v>
      </c>
      <c r="F3086">
        <v>1</v>
      </c>
      <c r="G3086" t="s">
        <v>74</v>
      </c>
      <c r="H3086" t="s">
        <v>77</v>
      </c>
      <c r="I3086">
        <v>120000000</v>
      </c>
      <c r="J3086" t="s">
        <v>29</v>
      </c>
      <c r="K3086" t="s">
        <v>5</v>
      </c>
      <c r="L3086" t="s">
        <v>86</v>
      </c>
      <c r="M3086" t="s">
        <v>83</v>
      </c>
      <c r="N3086" t="s">
        <v>11</v>
      </c>
    </row>
    <row r="3087" spans="1:14" x14ac:dyDescent="0.35">
      <c r="A3087" s="75">
        <v>44191</v>
      </c>
      <c r="B3087" t="s">
        <v>165</v>
      </c>
      <c r="C3087" t="s">
        <v>103</v>
      </c>
      <c r="D3087">
        <v>6</v>
      </c>
      <c r="E3087">
        <v>5</v>
      </c>
      <c r="F3087">
        <v>1</v>
      </c>
      <c r="G3087" t="s">
        <v>74</v>
      </c>
      <c r="H3087" t="s">
        <v>77</v>
      </c>
      <c r="I3087">
        <v>80000000</v>
      </c>
      <c r="J3087" t="s">
        <v>52</v>
      </c>
      <c r="K3087" t="s">
        <v>2</v>
      </c>
      <c r="L3087" t="s">
        <v>86</v>
      </c>
      <c r="M3087" t="s">
        <v>83</v>
      </c>
      <c r="N3087" t="s">
        <v>13</v>
      </c>
    </row>
    <row r="3088" spans="1:14" x14ac:dyDescent="0.35">
      <c r="A3088" s="75">
        <v>44191</v>
      </c>
      <c r="B3088" t="s">
        <v>165</v>
      </c>
      <c r="C3088" t="s">
        <v>103</v>
      </c>
      <c r="D3088">
        <v>4</v>
      </c>
      <c r="E3088">
        <v>2</v>
      </c>
      <c r="F3088">
        <v>2</v>
      </c>
      <c r="G3088" t="s">
        <v>74</v>
      </c>
      <c r="H3088" t="s">
        <v>77</v>
      </c>
      <c r="I3088">
        <v>80000000</v>
      </c>
      <c r="J3088" t="s">
        <v>21</v>
      </c>
      <c r="K3088" t="s">
        <v>4</v>
      </c>
      <c r="L3088" t="s">
        <v>86</v>
      </c>
      <c r="M3088" t="s">
        <v>83</v>
      </c>
      <c r="N3088" t="s">
        <v>14</v>
      </c>
    </row>
    <row r="3089" spans="1:14" x14ac:dyDescent="0.35">
      <c r="A3089" s="75">
        <v>44191</v>
      </c>
      <c r="B3089" t="s">
        <v>165</v>
      </c>
      <c r="C3089" t="s">
        <v>103</v>
      </c>
      <c r="D3089">
        <v>3</v>
      </c>
      <c r="E3089">
        <v>1</v>
      </c>
      <c r="F3089">
        <v>2</v>
      </c>
      <c r="G3089" t="s">
        <v>74</v>
      </c>
      <c r="H3089" t="s">
        <v>77</v>
      </c>
      <c r="I3089">
        <v>120000000</v>
      </c>
      <c r="J3089" t="s">
        <v>39</v>
      </c>
      <c r="K3089" t="s">
        <v>8</v>
      </c>
      <c r="L3089" t="s">
        <v>86</v>
      </c>
      <c r="M3089" t="s">
        <v>83</v>
      </c>
      <c r="N3089" t="s">
        <v>12</v>
      </c>
    </row>
    <row r="3090" spans="1:14" x14ac:dyDescent="0.35">
      <c r="A3090" s="75">
        <v>44192</v>
      </c>
      <c r="B3090" t="s">
        <v>166</v>
      </c>
      <c r="C3090" t="s">
        <v>103</v>
      </c>
      <c r="D3090">
        <v>10</v>
      </c>
      <c r="E3090">
        <v>9</v>
      </c>
      <c r="F3090">
        <v>1</v>
      </c>
      <c r="G3090" t="s">
        <v>72</v>
      </c>
      <c r="H3090" t="s">
        <v>78</v>
      </c>
      <c r="I3090">
        <v>40000000</v>
      </c>
      <c r="J3090" t="s">
        <v>50</v>
      </c>
      <c r="K3090" t="s">
        <v>2</v>
      </c>
      <c r="L3090" t="s">
        <v>86</v>
      </c>
      <c r="M3090" t="s">
        <v>83</v>
      </c>
      <c r="N3090" t="s">
        <v>11</v>
      </c>
    </row>
    <row r="3091" spans="1:14" x14ac:dyDescent="0.35">
      <c r="A3091" s="75">
        <v>44192</v>
      </c>
      <c r="B3091" t="s">
        <v>166</v>
      </c>
      <c r="C3091" t="s">
        <v>103</v>
      </c>
      <c r="D3091">
        <v>10</v>
      </c>
      <c r="E3091">
        <v>8</v>
      </c>
      <c r="F3091">
        <v>2</v>
      </c>
      <c r="G3091" t="s">
        <v>74</v>
      </c>
      <c r="H3091" t="s">
        <v>77</v>
      </c>
      <c r="I3091">
        <v>80000000</v>
      </c>
      <c r="J3091" t="s">
        <v>33</v>
      </c>
      <c r="K3091" t="s">
        <v>5</v>
      </c>
      <c r="L3091" t="s">
        <v>86</v>
      </c>
      <c r="M3091" t="s">
        <v>83</v>
      </c>
      <c r="N3091" t="s">
        <v>12</v>
      </c>
    </row>
    <row r="3092" spans="1:14" x14ac:dyDescent="0.35">
      <c r="A3092" s="75">
        <v>44192</v>
      </c>
      <c r="B3092" t="s">
        <v>166</v>
      </c>
      <c r="C3092" t="s">
        <v>103</v>
      </c>
      <c r="D3092">
        <v>7</v>
      </c>
      <c r="E3092">
        <v>5</v>
      </c>
      <c r="F3092">
        <v>2</v>
      </c>
      <c r="G3092" t="s">
        <v>75</v>
      </c>
      <c r="H3092" t="s">
        <v>6</v>
      </c>
      <c r="I3092">
        <v>60000000</v>
      </c>
      <c r="J3092" t="s">
        <v>44</v>
      </c>
      <c r="K3092" t="s">
        <v>8</v>
      </c>
      <c r="L3092" t="s">
        <v>86</v>
      </c>
      <c r="M3092" t="s">
        <v>83</v>
      </c>
      <c r="N3092" t="s">
        <v>12</v>
      </c>
    </row>
    <row r="3093" spans="1:14" x14ac:dyDescent="0.35">
      <c r="A3093" s="75">
        <v>44192</v>
      </c>
      <c r="B3093" t="s">
        <v>166</v>
      </c>
      <c r="C3093" t="s">
        <v>103</v>
      </c>
      <c r="D3093">
        <v>7</v>
      </c>
      <c r="E3093">
        <v>6</v>
      </c>
      <c r="F3093">
        <v>1</v>
      </c>
      <c r="G3093" t="s">
        <v>74</v>
      </c>
      <c r="H3093" t="s">
        <v>77</v>
      </c>
      <c r="I3093">
        <v>100000000</v>
      </c>
      <c r="J3093" t="s">
        <v>35</v>
      </c>
      <c r="K3093" t="s">
        <v>2</v>
      </c>
      <c r="L3093" t="s">
        <v>86</v>
      </c>
      <c r="M3093" t="s">
        <v>83</v>
      </c>
      <c r="N3093" t="s">
        <v>14</v>
      </c>
    </row>
    <row r="3094" spans="1:14" x14ac:dyDescent="0.35">
      <c r="A3094" s="75">
        <v>44192</v>
      </c>
      <c r="B3094" t="s">
        <v>166</v>
      </c>
      <c r="C3094" t="s">
        <v>103</v>
      </c>
      <c r="D3094">
        <v>6</v>
      </c>
      <c r="E3094">
        <v>4</v>
      </c>
      <c r="F3094">
        <v>2</v>
      </c>
      <c r="G3094" t="s">
        <v>73</v>
      </c>
      <c r="H3094" t="s">
        <v>78</v>
      </c>
      <c r="I3094">
        <v>60000000</v>
      </c>
      <c r="J3094" t="s">
        <v>61</v>
      </c>
      <c r="K3094" t="s">
        <v>5</v>
      </c>
      <c r="L3094" t="s">
        <v>86</v>
      </c>
      <c r="M3094" t="s">
        <v>83</v>
      </c>
      <c r="N3094" t="s">
        <v>14</v>
      </c>
    </row>
    <row r="3095" spans="1:14" x14ac:dyDescent="0.35">
      <c r="A3095" s="75">
        <v>44192</v>
      </c>
      <c r="B3095" t="s">
        <v>166</v>
      </c>
      <c r="C3095" t="s">
        <v>103</v>
      </c>
      <c r="D3095">
        <v>6</v>
      </c>
      <c r="E3095">
        <v>5</v>
      </c>
      <c r="F3095">
        <v>1</v>
      </c>
      <c r="G3095" t="s">
        <v>76</v>
      </c>
      <c r="H3095" t="s">
        <v>79</v>
      </c>
      <c r="I3095">
        <v>120000000</v>
      </c>
      <c r="J3095" t="s">
        <v>53</v>
      </c>
      <c r="K3095" t="s">
        <v>2</v>
      </c>
      <c r="L3095" t="s">
        <v>86</v>
      </c>
      <c r="M3095" t="s">
        <v>83</v>
      </c>
      <c r="N3095" t="s">
        <v>14</v>
      </c>
    </row>
    <row r="3096" spans="1:14" x14ac:dyDescent="0.35">
      <c r="A3096" s="75">
        <v>44192</v>
      </c>
      <c r="B3096" t="s">
        <v>166</v>
      </c>
      <c r="C3096" t="s">
        <v>103</v>
      </c>
      <c r="D3096">
        <v>6</v>
      </c>
      <c r="E3096">
        <v>4</v>
      </c>
      <c r="F3096">
        <v>2</v>
      </c>
      <c r="G3096" t="s">
        <v>70</v>
      </c>
      <c r="H3096" t="s">
        <v>1</v>
      </c>
      <c r="I3096">
        <v>120000000</v>
      </c>
      <c r="J3096" t="s">
        <v>62</v>
      </c>
      <c r="K3096" t="s">
        <v>2</v>
      </c>
      <c r="L3096" t="s">
        <v>86</v>
      </c>
      <c r="M3096" t="s">
        <v>83</v>
      </c>
      <c r="N3096" t="s">
        <v>11</v>
      </c>
    </row>
    <row r="3097" spans="1:14" x14ac:dyDescent="0.35">
      <c r="A3097" s="75">
        <v>44192</v>
      </c>
      <c r="B3097" t="s">
        <v>166</v>
      </c>
      <c r="C3097" t="s">
        <v>103</v>
      </c>
      <c r="D3097">
        <v>5</v>
      </c>
      <c r="E3097">
        <v>3</v>
      </c>
      <c r="F3097">
        <v>2</v>
      </c>
      <c r="G3097" t="s">
        <v>74</v>
      </c>
      <c r="H3097" t="s">
        <v>77</v>
      </c>
      <c r="I3097">
        <v>100000000</v>
      </c>
      <c r="J3097" t="s">
        <v>30</v>
      </c>
      <c r="K3097" t="s">
        <v>2</v>
      </c>
      <c r="L3097" t="s">
        <v>86</v>
      </c>
      <c r="M3097" t="s">
        <v>83</v>
      </c>
      <c r="N3097" t="s">
        <v>11</v>
      </c>
    </row>
    <row r="3098" spans="1:14" x14ac:dyDescent="0.35">
      <c r="A3098" s="75">
        <v>44192</v>
      </c>
      <c r="B3098" t="s">
        <v>166</v>
      </c>
      <c r="C3098" t="s">
        <v>103</v>
      </c>
      <c r="D3098">
        <v>5</v>
      </c>
      <c r="E3098">
        <v>4</v>
      </c>
      <c r="F3098">
        <v>1</v>
      </c>
      <c r="G3098" t="s">
        <v>76</v>
      </c>
      <c r="H3098" t="s">
        <v>79</v>
      </c>
      <c r="I3098">
        <v>80000000</v>
      </c>
      <c r="J3098" t="s">
        <v>62</v>
      </c>
      <c r="K3098" t="s">
        <v>2</v>
      </c>
      <c r="L3098" t="s">
        <v>86</v>
      </c>
      <c r="M3098" t="s">
        <v>83</v>
      </c>
      <c r="N3098" t="s">
        <v>11</v>
      </c>
    </row>
    <row r="3099" spans="1:14" x14ac:dyDescent="0.35">
      <c r="A3099" s="75">
        <v>44192</v>
      </c>
      <c r="B3099" t="s">
        <v>166</v>
      </c>
      <c r="C3099" t="s">
        <v>103</v>
      </c>
      <c r="D3099">
        <v>4</v>
      </c>
      <c r="E3099">
        <v>3</v>
      </c>
      <c r="F3099">
        <v>1</v>
      </c>
      <c r="G3099" t="s">
        <v>71</v>
      </c>
      <c r="H3099" t="s">
        <v>6</v>
      </c>
      <c r="I3099">
        <v>140000000</v>
      </c>
      <c r="J3099" t="s">
        <v>19</v>
      </c>
      <c r="K3099" t="s">
        <v>8</v>
      </c>
      <c r="L3099" t="s">
        <v>86</v>
      </c>
      <c r="M3099" t="s">
        <v>83</v>
      </c>
      <c r="N3099" t="s">
        <v>12</v>
      </c>
    </row>
    <row r="3100" spans="1:14" x14ac:dyDescent="0.35">
      <c r="A3100" s="75">
        <v>44192</v>
      </c>
      <c r="B3100" t="s">
        <v>166</v>
      </c>
      <c r="C3100" t="s">
        <v>103</v>
      </c>
      <c r="D3100">
        <v>4</v>
      </c>
      <c r="E3100">
        <v>2</v>
      </c>
      <c r="F3100">
        <v>2</v>
      </c>
      <c r="G3100" t="s">
        <v>74</v>
      </c>
      <c r="H3100" t="s">
        <v>77</v>
      </c>
      <c r="I3100">
        <v>120000000</v>
      </c>
      <c r="J3100" t="s">
        <v>54</v>
      </c>
      <c r="K3100" t="s">
        <v>2</v>
      </c>
      <c r="L3100" t="s">
        <v>86</v>
      </c>
      <c r="M3100" t="s">
        <v>83</v>
      </c>
      <c r="N3100" t="s">
        <v>11</v>
      </c>
    </row>
    <row r="3101" spans="1:14" x14ac:dyDescent="0.35">
      <c r="A3101" s="75">
        <v>44193</v>
      </c>
      <c r="B3101" t="s">
        <v>167</v>
      </c>
      <c r="C3101" t="s">
        <v>103</v>
      </c>
      <c r="D3101">
        <v>10</v>
      </c>
      <c r="E3101">
        <v>8</v>
      </c>
      <c r="F3101">
        <v>2</v>
      </c>
      <c r="G3101" t="s">
        <v>76</v>
      </c>
      <c r="H3101" t="s">
        <v>79</v>
      </c>
      <c r="I3101">
        <v>120000000</v>
      </c>
      <c r="J3101" t="s">
        <v>53</v>
      </c>
      <c r="K3101" t="s">
        <v>2</v>
      </c>
      <c r="L3101" t="s">
        <v>86</v>
      </c>
      <c r="M3101" t="s">
        <v>83</v>
      </c>
      <c r="N3101" t="s">
        <v>13</v>
      </c>
    </row>
    <row r="3102" spans="1:14" x14ac:dyDescent="0.35">
      <c r="A3102" s="75">
        <v>44193</v>
      </c>
      <c r="B3102" t="s">
        <v>167</v>
      </c>
      <c r="C3102" t="s">
        <v>103</v>
      </c>
      <c r="D3102">
        <v>10</v>
      </c>
      <c r="E3102">
        <v>6</v>
      </c>
      <c r="F3102">
        <v>4</v>
      </c>
      <c r="G3102" t="s">
        <v>70</v>
      </c>
      <c r="H3102" t="s">
        <v>1</v>
      </c>
      <c r="I3102">
        <v>120000000</v>
      </c>
      <c r="J3102" t="s">
        <v>23</v>
      </c>
      <c r="K3102" t="s">
        <v>5</v>
      </c>
      <c r="L3102" t="s">
        <v>86</v>
      </c>
      <c r="M3102" t="s">
        <v>83</v>
      </c>
      <c r="N3102" t="s">
        <v>13</v>
      </c>
    </row>
    <row r="3103" spans="1:14" x14ac:dyDescent="0.35">
      <c r="A3103" s="75">
        <v>44193</v>
      </c>
      <c r="B3103" t="s">
        <v>167</v>
      </c>
      <c r="C3103" t="s">
        <v>103</v>
      </c>
      <c r="D3103">
        <v>9</v>
      </c>
      <c r="E3103">
        <v>7</v>
      </c>
      <c r="F3103">
        <v>2</v>
      </c>
      <c r="G3103" t="s">
        <v>72</v>
      </c>
      <c r="H3103" t="s">
        <v>78</v>
      </c>
      <c r="I3103">
        <v>40000000</v>
      </c>
      <c r="J3103" t="s">
        <v>51</v>
      </c>
      <c r="K3103" t="s">
        <v>9</v>
      </c>
      <c r="L3103" t="s">
        <v>86</v>
      </c>
      <c r="M3103" t="s">
        <v>83</v>
      </c>
      <c r="N3103" t="s">
        <v>13</v>
      </c>
    </row>
    <row r="3104" spans="1:14" x14ac:dyDescent="0.35">
      <c r="A3104" s="75">
        <v>44193</v>
      </c>
      <c r="B3104" t="s">
        <v>167</v>
      </c>
      <c r="C3104" t="s">
        <v>103</v>
      </c>
      <c r="D3104">
        <v>8</v>
      </c>
      <c r="E3104">
        <v>5</v>
      </c>
      <c r="F3104">
        <v>3</v>
      </c>
      <c r="G3104" t="s">
        <v>113</v>
      </c>
      <c r="H3104" t="s">
        <v>77</v>
      </c>
      <c r="I3104">
        <v>140000000</v>
      </c>
      <c r="J3104" t="s">
        <v>44</v>
      </c>
      <c r="K3104" t="s">
        <v>2</v>
      </c>
      <c r="L3104" t="s">
        <v>86</v>
      </c>
      <c r="M3104" t="s">
        <v>83</v>
      </c>
      <c r="N3104" t="s">
        <v>14</v>
      </c>
    </row>
    <row r="3105" spans="1:14" x14ac:dyDescent="0.35">
      <c r="A3105" s="75">
        <v>44193</v>
      </c>
      <c r="B3105" t="s">
        <v>167</v>
      </c>
      <c r="C3105" t="s">
        <v>103</v>
      </c>
      <c r="D3105">
        <v>7</v>
      </c>
      <c r="E3105">
        <v>6</v>
      </c>
      <c r="F3105">
        <v>1</v>
      </c>
      <c r="G3105" t="s">
        <v>74</v>
      </c>
      <c r="H3105" t="s">
        <v>77</v>
      </c>
      <c r="I3105">
        <v>100000000</v>
      </c>
      <c r="J3105" t="s">
        <v>59</v>
      </c>
      <c r="K3105" t="s">
        <v>8</v>
      </c>
      <c r="L3105" t="s">
        <v>86</v>
      </c>
      <c r="M3105" t="s">
        <v>83</v>
      </c>
      <c r="N3105" t="s">
        <v>12</v>
      </c>
    </row>
    <row r="3106" spans="1:14" x14ac:dyDescent="0.35">
      <c r="A3106" s="75">
        <v>44193</v>
      </c>
      <c r="B3106" t="s">
        <v>167</v>
      </c>
      <c r="C3106" t="s">
        <v>103</v>
      </c>
      <c r="D3106">
        <v>6</v>
      </c>
      <c r="E3106">
        <v>4</v>
      </c>
      <c r="F3106">
        <v>2</v>
      </c>
      <c r="G3106" t="s">
        <v>74</v>
      </c>
      <c r="H3106" t="s">
        <v>77</v>
      </c>
      <c r="I3106">
        <v>80000000</v>
      </c>
      <c r="J3106" t="s">
        <v>63</v>
      </c>
      <c r="K3106" t="s">
        <v>5</v>
      </c>
      <c r="L3106" t="s">
        <v>86</v>
      </c>
      <c r="M3106" t="s">
        <v>83</v>
      </c>
      <c r="N3106" t="s">
        <v>13</v>
      </c>
    </row>
    <row r="3107" spans="1:14" x14ac:dyDescent="0.35">
      <c r="A3107" s="75">
        <v>44193</v>
      </c>
      <c r="B3107" t="s">
        <v>167</v>
      </c>
      <c r="C3107" t="s">
        <v>103</v>
      </c>
      <c r="D3107">
        <v>6</v>
      </c>
      <c r="E3107">
        <v>5</v>
      </c>
      <c r="F3107">
        <v>1</v>
      </c>
      <c r="G3107" t="s">
        <v>114</v>
      </c>
      <c r="H3107" t="s">
        <v>3</v>
      </c>
      <c r="I3107">
        <v>140000000</v>
      </c>
      <c r="J3107" t="s">
        <v>30</v>
      </c>
      <c r="K3107" t="s">
        <v>5</v>
      </c>
      <c r="L3107" t="s">
        <v>86</v>
      </c>
      <c r="M3107" t="s">
        <v>83</v>
      </c>
      <c r="N3107" t="s">
        <v>13</v>
      </c>
    </row>
    <row r="3108" spans="1:14" x14ac:dyDescent="0.35">
      <c r="A3108" s="75">
        <v>44193</v>
      </c>
      <c r="B3108" t="s">
        <v>167</v>
      </c>
      <c r="C3108" t="s">
        <v>103</v>
      </c>
      <c r="D3108">
        <v>6</v>
      </c>
      <c r="E3108">
        <v>5</v>
      </c>
      <c r="F3108">
        <v>1</v>
      </c>
      <c r="G3108" t="s">
        <v>74</v>
      </c>
      <c r="H3108" t="s">
        <v>77</v>
      </c>
      <c r="I3108">
        <v>140000000</v>
      </c>
      <c r="J3108" t="s">
        <v>30</v>
      </c>
      <c r="K3108" t="s">
        <v>2</v>
      </c>
      <c r="L3108" t="s">
        <v>86</v>
      </c>
      <c r="M3108" t="s">
        <v>83</v>
      </c>
      <c r="N3108" t="s">
        <v>13</v>
      </c>
    </row>
    <row r="3109" spans="1:14" x14ac:dyDescent="0.35">
      <c r="A3109" s="75">
        <v>44193</v>
      </c>
      <c r="B3109" t="s">
        <v>167</v>
      </c>
      <c r="C3109" t="s">
        <v>103</v>
      </c>
      <c r="D3109">
        <v>5</v>
      </c>
      <c r="E3109">
        <v>3</v>
      </c>
      <c r="F3109">
        <v>2</v>
      </c>
      <c r="G3109" t="s">
        <v>73</v>
      </c>
      <c r="H3109" t="s">
        <v>78</v>
      </c>
      <c r="I3109">
        <v>120000000</v>
      </c>
      <c r="J3109" t="s">
        <v>49</v>
      </c>
      <c r="K3109" t="s">
        <v>2</v>
      </c>
      <c r="L3109" t="s">
        <v>86</v>
      </c>
      <c r="M3109" t="s">
        <v>83</v>
      </c>
      <c r="N3109" t="s">
        <v>11</v>
      </c>
    </row>
    <row r="3110" spans="1:14" x14ac:dyDescent="0.35">
      <c r="A3110" s="75">
        <v>44193</v>
      </c>
      <c r="B3110" t="s">
        <v>167</v>
      </c>
      <c r="C3110" t="s">
        <v>103</v>
      </c>
      <c r="D3110">
        <v>5</v>
      </c>
      <c r="E3110">
        <v>3</v>
      </c>
      <c r="F3110">
        <v>2</v>
      </c>
      <c r="G3110" t="s">
        <v>74</v>
      </c>
      <c r="H3110" t="s">
        <v>77</v>
      </c>
      <c r="I3110">
        <v>80000000</v>
      </c>
      <c r="J3110" t="s">
        <v>24</v>
      </c>
      <c r="K3110" t="s">
        <v>5</v>
      </c>
      <c r="L3110" t="s">
        <v>86</v>
      </c>
      <c r="M3110" t="s">
        <v>83</v>
      </c>
      <c r="N3110" t="s">
        <v>13</v>
      </c>
    </row>
    <row r="3111" spans="1:14" x14ac:dyDescent="0.35">
      <c r="A3111" s="75">
        <v>44193</v>
      </c>
      <c r="B3111" t="s">
        <v>167</v>
      </c>
      <c r="C3111" t="s">
        <v>103</v>
      </c>
      <c r="D3111">
        <v>4</v>
      </c>
      <c r="E3111">
        <v>2</v>
      </c>
      <c r="F3111">
        <v>2</v>
      </c>
      <c r="G3111" t="s">
        <v>75</v>
      </c>
      <c r="H3111" t="s">
        <v>6</v>
      </c>
      <c r="I3111">
        <v>40000000</v>
      </c>
      <c r="J3111" t="s">
        <v>18</v>
      </c>
      <c r="K3111" t="s">
        <v>2</v>
      </c>
      <c r="L3111" t="s">
        <v>86</v>
      </c>
      <c r="M3111" t="s">
        <v>83</v>
      </c>
      <c r="N3111" t="s">
        <v>11</v>
      </c>
    </row>
    <row r="3112" spans="1:14" x14ac:dyDescent="0.35">
      <c r="A3112" s="75">
        <v>44193</v>
      </c>
      <c r="B3112" t="s">
        <v>167</v>
      </c>
      <c r="C3112" t="s">
        <v>103</v>
      </c>
      <c r="D3112">
        <v>3</v>
      </c>
      <c r="E3112">
        <v>1</v>
      </c>
      <c r="F3112">
        <v>2</v>
      </c>
      <c r="G3112" t="s">
        <v>76</v>
      </c>
      <c r="H3112" t="s">
        <v>79</v>
      </c>
      <c r="I3112">
        <v>120000000</v>
      </c>
      <c r="J3112" t="s">
        <v>19</v>
      </c>
      <c r="K3112" t="s">
        <v>2</v>
      </c>
      <c r="L3112" t="s">
        <v>86</v>
      </c>
      <c r="M3112" t="s">
        <v>83</v>
      </c>
      <c r="N3112" t="s">
        <v>11</v>
      </c>
    </row>
    <row r="3113" spans="1:14" x14ac:dyDescent="0.35">
      <c r="A3113" s="75">
        <v>44193</v>
      </c>
      <c r="B3113" t="s">
        <v>167</v>
      </c>
      <c r="C3113" t="s">
        <v>103</v>
      </c>
      <c r="D3113">
        <v>3</v>
      </c>
      <c r="E3113">
        <v>1</v>
      </c>
      <c r="F3113">
        <v>2</v>
      </c>
      <c r="G3113" t="s">
        <v>74</v>
      </c>
      <c r="H3113" t="s">
        <v>77</v>
      </c>
      <c r="I3113">
        <v>80000000</v>
      </c>
      <c r="J3113" t="s">
        <v>42</v>
      </c>
      <c r="K3113" t="s">
        <v>2</v>
      </c>
      <c r="L3113" t="s">
        <v>86</v>
      </c>
      <c r="M3113" t="s">
        <v>83</v>
      </c>
      <c r="N3113" t="s">
        <v>11</v>
      </c>
    </row>
    <row r="3114" spans="1:14" x14ac:dyDescent="0.35">
      <c r="A3114" s="75">
        <v>44194</v>
      </c>
      <c r="B3114" t="s">
        <v>168</v>
      </c>
      <c r="C3114" t="s">
        <v>103</v>
      </c>
      <c r="D3114">
        <v>9</v>
      </c>
      <c r="E3114">
        <v>6</v>
      </c>
      <c r="F3114">
        <v>3</v>
      </c>
      <c r="G3114" t="s">
        <v>74</v>
      </c>
      <c r="H3114" t="s">
        <v>77</v>
      </c>
      <c r="I3114">
        <v>60000000</v>
      </c>
      <c r="J3114" t="s">
        <v>52</v>
      </c>
      <c r="K3114" t="s">
        <v>7</v>
      </c>
      <c r="L3114" t="s">
        <v>86</v>
      </c>
      <c r="M3114" t="s">
        <v>83</v>
      </c>
      <c r="N3114" t="s">
        <v>14</v>
      </c>
    </row>
    <row r="3115" spans="1:14" x14ac:dyDescent="0.35">
      <c r="A3115" s="75">
        <v>44194</v>
      </c>
      <c r="B3115" t="s">
        <v>168</v>
      </c>
      <c r="C3115" t="s">
        <v>103</v>
      </c>
      <c r="D3115">
        <v>8</v>
      </c>
      <c r="E3115">
        <v>6</v>
      </c>
      <c r="F3115">
        <v>2</v>
      </c>
      <c r="G3115" t="s">
        <v>70</v>
      </c>
      <c r="H3115" t="s">
        <v>1</v>
      </c>
      <c r="I3115">
        <v>140000000</v>
      </c>
      <c r="J3115" t="s">
        <v>53</v>
      </c>
      <c r="K3115" t="s">
        <v>2</v>
      </c>
      <c r="L3115" t="s">
        <v>86</v>
      </c>
      <c r="M3115" t="s">
        <v>83</v>
      </c>
      <c r="N3115" t="s">
        <v>11</v>
      </c>
    </row>
    <row r="3116" spans="1:14" x14ac:dyDescent="0.35">
      <c r="A3116" s="75">
        <v>44194</v>
      </c>
      <c r="B3116" t="s">
        <v>168</v>
      </c>
      <c r="C3116" t="s">
        <v>103</v>
      </c>
      <c r="D3116">
        <v>8</v>
      </c>
      <c r="E3116">
        <v>5</v>
      </c>
      <c r="F3116">
        <v>3</v>
      </c>
      <c r="G3116" t="s">
        <v>70</v>
      </c>
      <c r="H3116" t="s">
        <v>1</v>
      </c>
      <c r="I3116">
        <v>120000000</v>
      </c>
      <c r="J3116" t="s">
        <v>64</v>
      </c>
      <c r="K3116" t="s">
        <v>2</v>
      </c>
      <c r="L3116" t="s">
        <v>86</v>
      </c>
      <c r="M3116" t="s">
        <v>83</v>
      </c>
      <c r="N3116" t="s">
        <v>12</v>
      </c>
    </row>
    <row r="3117" spans="1:14" x14ac:dyDescent="0.35">
      <c r="A3117" s="75">
        <v>44194</v>
      </c>
      <c r="B3117" t="s">
        <v>168</v>
      </c>
      <c r="C3117" t="s">
        <v>103</v>
      </c>
      <c r="D3117">
        <v>7</v>
      </c>
      <c r="E3117">
        <v>4</v>
      </c>
      <c r="F3117">
        <v>3</v>
      </c>
      <c r="G3117" t="s">
        <v>75</v>
      </c>
      <c r="H3117" t="s">
        <v>6</v>
      </c>
      <c r="I3117">
        <v>120000000</v>
      </c>
      <c r="J3117" t="s">
        <v>21</v>
      </c>
      <c r="K3117" t="s">
        <v>5</v>
      </c>
      <c r="L3117" t="s">
        <v>86</v>
      </c>
      <c r="M3117" t="s">
        <v>83</v>
      </c>
      <c r="N3117" t="s">
        <v>13</v>
      </c>
    </row>
    <row r="3118" spans="1:14" x14ac:dyDescent="0.35">
      <c r="A3118" s="75">
        <v>44194</v>
      </c>
      <c r="B3118" t="s">
        <v>168</v>
      </c>
      <c r="C3118" t="s">
        <v>103</v>
      </c>
      <c r="D3118">
        <v>7</v>
      </c>
      <c r="E3118">
        <v>5</v>
      </c>
      <c r="F3118">
        <v>2</v>
      </c>
      <c r="G3118" t="s">
        <v>75</v>
      </c>
      <c r="H3118" t="s">
        <v>6</v>
      </c>
      <c r="I3118">
        <v>40000000</v>
      </c>
      <c r="J3118" t="s">
        <v>28</v>
      </c>
      <c r="K3118" t="s">
        <v>4</v>
      </c>
      <c r="L3118" t="s">
        <v>86</v>
      </c>
      <c r="M3118" t="s">
        <v>83</v>
      </c>
      <c r="N3118" t="s">
        <v>14</v>
      </c>
    </row>
    <row r="3119" spans="1:14" x14ac:dyDescent="0.35">
      <c r="A3119" s="75">
        <v>44194</v>
      </c>
      <c r="B3119" t="s">
        <v>168</v>
      </c>
      <c r="C3119" t="s">
        <v>103</v>
      </c>
      <c r="D3119">
        <v>6</v>
      </c>
      <c r="E3119">
        <v>5</v>
      </c>
      <c r="F3119">
        <v>1</v>
      </c>
      <c r="G3119" t="s">
        <v>70</v>
      </c>
      <c r="H3119" t="s">
        <v>1</v>
      </c>
      <c r="I3119">
        <v>140000000</v>
      </c>
      <c r="J3119" t="s">
        <v>22</v>
      </c>
      <c r="K3119" t="s">
        <v>2</v>
      </c>
      <c r="L3119" t="s">
        <v>86</v>
      </c>
      <c r="M3119" t="s">
        <v>83</v>
      </c>
      <c r="N3119" t="s">
        <v>13</v>
      </c>
    </row>
    <row r="3120" spans="1:14" x14ac:dyDescent="0.35">
      <c r="A3120" s="75">
        <v>44194</v>
      </c>
      <c r="B3120" t="s">
        <v>168</v>
      </c>
      <c r="C3120" t="s">
        <v>103</v>
      </c>
      <c r="D3120">
        <v>5</v>
      </c>
      <c r="E3120">
        <v>3</v>
      </c>
      <c r="F3120">
        <v>2</v>
      </c>
      <c r="G3120" t="s">
        <v>71</v>
      </c>
      <c r="H3120" t="s">
        <v>6</v>
      </c>
      <c r="I3120">
        <v>60000000</v>
      </c>
      <c r="J3120" t="s">
        <v>27</v>
      </c>
      <c r="K3120" t="s">
        <v>9</v>
      </c>
      <c r="L3120" t="s">
        <v>86</v>
      </c>
      <c r="M3120" t="s">
        <v>83</v>
      </c>
      <c r="N3120" t="s">
        <v>13</v>
      </c>
    </row>
    <row r="3121" spans="1:14" x14ac:dyDescent="0.35">
      <c r="A3121" s="75">
        <v>44194</v>
      </c>
      <c r="B3121" t="s">
        <v>168</v>
      </c>
      <c r="C3121" t="s">
        <v>103</v>
      </c>
      <c r="D3121">
        <v>3</v>
      </c>
      <c r="E3121">
        <v>1</v>
      </c>
      <c r="F3121">
        <v>2</v>
      </c>
      <c r="G3121" t="s">
        <v>75</v>
      </c>
      <c r="H3121" t="s">
        <v>6</v>
      </c>
      <c r="I3121">
        <v>120000000</v>
      </c>
      <c r="J3121" t="s">
        <v>30</v>
      </c>
      <c r="K3121" t="s">
        <v>7</v>
      </c>
      <c r="L3121" t="s">
        <v>86</v>
      </c>
      <c r="M3121" t="s">
        <v>83</v>
      </c>
      <c r="N3121" t="s">
        <v>13</v>
      </c>
    </row>
    <row r="3122" spans="1:14" x14ac:dyDescent="0.35">
      <c r="A3122" s="75">
        <v>44195</v>
      </c>
      <c r="B3122" t="s">
        <v>169</v>
      </c>
      <c r="C3122" t="s">
        <v>103</v>
      </c>
      <c r="D3122">
        <v>10</v>
      </c>
      <c r="E3122">
        <v>6</v>
      </c>
      <c r="F3122">
        <v>4</v>
      </c>
      <c r="G3122" t="s">
        <v>74</v>
      </c>
      <c r="H3122" t="s">
        <v>77</v>
      </c>
      <c r="I3122">
        <v>60000000</v>
      </c>
      <c r="J3122" t="s">
        <v>27</v>
      </c>
      <c r="K3122" t="s">
        <v>5</v>
      </c>
      <c r="L3122" t="s">
        <v>86</v>
      </c>
      <c r="M3122" t="s">
        <v>83</v>
      </c>
      <c r="N3122" t="s">
        <v>13</v>
      </c>
    </row>
    <row r="3123" spans="1:14" x14ac:dyDescent="0.35">
      <c r="A3123" s="75">
        <v>44195</v>
      </c>
      <c r="B3123" t="s">
        <v>169</v>
      </c>
      <c r="C3123" t="s">
        <v>103</v>
      </c>
      <c r="D3123">
        <v>8</v>
      </c>
      <c r="E3123">
        <v>7</v>
      </c>
      <c r="F3123">
        <v>1</v>
      </c>
      <c r="G3123" t="s">
        <v>113</v>
      </c>
      <c r="H3123" t="s">
        <v>77</v>
      </c>
      <c r="I3123">
        <v>100000000</v>
      </c>
      <c r="J3123" t="s">
        <v>16</v>
      </c>
      <c r="K3123" t="s">
        <v>5</v>
      </c>
      <c r="L3123" t="s">
        <v>86</v>
      </c>
      <c r="M3123" t="s">
        <v>83</v>
      </c>
      <c r="N3123" t="s">
        <v>11</v>
      </c>
    </row>
    <row r="3124" spans="1:14" x14ac:dyDescent="0.35">
      <c r="A3124" s="75">
        <v>44195</v>
      </c>
      <c r="B3124" t="s">
        <v>169</v>
      </c>
      <c r="C3124" t="s">
        <v>103</v>
      </c>
      <c r="D3124">
        <v>7</v>
      </c>
      <c r="E3124">
        <v>4</v>
      </c>
      <c r="F3124">
        <v>3</v>
      </c>
      <c r="G3124" t="s">
        <v>113</v>
      </c>
      <c r="H3124" t="s">
        <v>77</v>
      </c>
      <c r="I3124">
        <v>80000000</v>
      </c>
      <c r="J3124" t="s">
        <v>37</v>
      </c>
      <c r="K3124" t="s">
        <v>7</v>
      </c>
      <c r="L3124" t="s">
        <v>86</v>
      </c>
      <c r="M3124" t="s">
        <v>83</v>
      </c>
      <c r="N3124" t="s">
        <v>11</v>
      </c>
    </row>
    <row r="3125" spans="1:14" x14ac:dyDescent="0.35">
      <c r="A3125" s="75">
        <v>44195</v>
      </c>
      <c r="B3125" t="s">
        <v>169</v>
      </c>
      <c r="C3125" t="s">
        <v>103</v>
      </c>
      <c r="D3125">
        <v>7</v>
      </c>
      <c r="E3125">
        <v>6</v>
      </c>
      <c r="F3125">
        <v>1</v>
      </c>
      <c r="G3125" t="s">
        <v>71</v>
      </c>
      <c r="H3125" t="s">
        <v>6</v>
      </c>
      <c r="I3125">
        <v>140000000</v>
      </c>
      <c r="J3125" t="s">
        <v>45</v>
      </c>
      <c r="K3125" t="s">
        <v>7</v>
      </c>
      <c r="L3125" t="s">
        <v>86</v>
      </c>
      <c r="M3125" t="s">
        <v>83</v>
      </c>
      <c r="N3125" t="s">
        <v>11</v>
      </c>
    </row>
    <row r="3126" spans="1:14" x14ac:dyDescent="0.35">
      <c r="A3126" s="75">
        <v>44195</v>
      </c>
      <c r="B3126" t="s">
        <v>169</v>
      </c>
      <c r="C3126" t="s">
        <v>103</v>
      </c>
      <c r="D3126">
        <v>3</v>
      </c>
      <c r="E3126">
        <v>2</v>
      </c>
      <c r="F3126">
        <v>1</v>
      </c>
      <c r="G3126" t="s">
        <v>76</v>
      </c>
      <c r="H3126" t="s">
        <v>79</v>
      </c>
      <c r="I3126">
        <v>40000000</v>
      </c>
      <c r="J3126" t="s">
        <v>37</v>
      </c>
      <c r="K3126" t="s">
        <v>2</v>
      </c>
      <c r="L3126" t="s">
        <v>86</v>
      </c>
      <c r="M3126" t="s">
        <v>83</v>
      </c>
      <c r="N3126" t="s">
        <v>13</v>
      </c>
    </row>
  </sheetData>
  <conditionalFormatting sqref="A2:N3126">
    <cfRule type="colorScale" priority="1">
      <colorScale>
        <cfvo type="min"/>
        <cfvo type="percentile" val="50"/>
        <cfvo type="max"/>
        <color rgb="FFF8696B"/>
        <color rgb="FFFCFCFF"/>
        <color rgb="FF63BE7B"/>
      </colorScale>
    </cfRule>
  </conditionalFormatting>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rgb="FFE8788C"/>
  </sheetPr>
  <dimension ref="B2:FQ78"/>
  <sheetViews>
    <sheetView showGridLines="0" showRowColHeaders="0" workbookViewId="0">
      <selection activeCell="B6" sqref="B6"/>
    </sheetView>
  </sheetViews>
  <sheetFormatPr defaultColWidth="8.7265625" defaultRowHeight="12.5" x14ac:dyDescent="0.25"/>
  <cols>
    <col min="1" max="1" width="8.7265625" style="28"/>
    <col min="2" max="2" width="20.90625" style="28" bestFit="1" customWidth="1"/>
    <col min="3" max="3" width="8.7265625" style="28"/>
    <col min="4" max="4" width="8.7265625" style="31"/>
    <col min="5" max="5" width="12.36328125" style="28" bestFit="1" customWidth="1"/>
    <col min="6" max="6" width="20.7265625" style="28" bestFit="1" customWidth="1"/>
    <col min="7" max="10" width="8.7265625" style="28"/>
    <col min="11" max="11" width="8.7265625" style="31"/>
    <col min="12" max="12" width="41.36328125" style="28" bestFit="1" customWidth="1"/>
    <col min="13" max="13" width="20.7265625" style="28" bestFit="1" customWidth="1"/>
    <col min="14" max="14" width="8.7265625" style="28"/>
    <col min="15" max="15" width="32.90625" style="28" bestFit="1" customWidth="1"/>
    <col min="16" max="16" width="11.7265625" style="28" bestFit="1" customWidth="1"/>
    <col min="17" max="17" width="8.7265625" style="28"/>
    <col min="18" max="18" width="8.7265625" style="31"/>
    <col min="19" max="19" width="12.90625" style="28" customWidth="1"/>
    <col min="20" max="20" width="22.26953125" style="28" customWidth="1"/>
    <col min="21" max="21" width="22.90625" style="28" bestFit="1" customWidth="1"/>
    <col min="22" max="23" width="8.7265625" style="28"/>
    <col min="24" max="24" width="11.90625" style="28" bestFit="1" customWidth="1"/>
    <col min="25" max="25" width="8.7265625" style="28"/>
    <col min="26" max="26" width="8.7265625" style="31"/>
    <col min="27" max="27" width="12.36328125" style="28" bestFit="1" customWidth="1"/>
    <col min="28" max="28" width="20.7265625" style="28" bestFit="1" customWidth="1"/>
    <col min="29" max="33" width="8.7265625" style="28"/>
    <col min="34" max="34" width="8.7265625" style="31"/>
    <col min="35" max="35" width="12.36328125" style="28" bestFit="1" customWidth="1"/>
    <col min="36" max="36" width="20.7265625" style="28" bestFit="1" customWidth="1"/>
    <col min="37" max="37" width="8.7265625" style="28"/>
    <col min="38" max="38" width="18.453125" style="28" customWidth="1"/>
    <col min="39" max="39" width="8.7265625" style="28"/>
    <col min="40" max="40" width="10.7265625" style="28" customWidth="1"/>
    <col min="41" max="41" width="8.7265625" style="28"/>
    <col min="42" max="42" width="8.7265625" style="31"/>
    <col min="43" max="43" width="12.36328125" style="28" bestFit="1" customWidth="1"/>
    <col min="44" max="44" width="20.7265625" style="28" bestFit="1" customWidth="1"/>
    <col min="45" max="46" width="8.7265625" style="28"/>
    <col min="47" max="47" width="8.7265625" style="31"/>
    <col min="48" max="48" width="12.36328125" style="28" bestFit="1" customWidth="1"/>
    <col min="49" max="49" width="20.7265625" style="28" bestFit="1" customWidth="1"/>
    <col min="50" max="51" width="8.7265625" style="28"/>
    <col min="52" max="52" width="8.7265625" style="31"/>
    <col min="53" max="53" width="16.453125" style="28" customWidth="1"/>
    <col min="54" max="54" width="20.7265625" style="28" bestFit="1" customWidth="1"/>
    <col min="55" max="55" width="8.7265625" style="28"/>
    <col min="56" max="56" width="16.453125" style="28" customWidth="1"/>
    <col min="57" max="57" width="20.7265625" style="28" bestFit="1" customWidth="1"/>
    <col min="58" max="59" width="8.7265625" style="28"/>
    <col min="60" max="60" width="8.7265625" style="31"/>
    <col min="61" max="61" width="16.453125" style="28" customWidth="1"/>
    <col min="62" max="62" width="20.7265625" style="28" bestFit="1" customWidth="1"/>
    <col min="63" max="63" width="8.7265625" style="28"/>
    <col min="64" max="64" width="15.453125" style="28" customWidth="1"/>
    <col min="65" max="65" width="12.7265625" style="28" customWidth="1"/>
    <col min="66" max="67" width="8.7265625" style="28"/>
    <col min="68" max="68" width="8.7265625" style="31"/>
    <col min="69" max="69" width="12.36328125" style="28" bestFit="1" customWidth="1"/>
    <col min="70" max="70" width="20.7265625" style="28" bestFit="1" customWidth="1"/>
    <col min="71" max="72" width="8.7265625" style="28"/>
    <col min="73" max="73" width="16.08984375" style="28" bestFit="1" customWidth="1"/>
    <col min="74" max="80" width="8.7265625" style="28"/>
    <col min="81" max="81" width="8.7265625" style="31"/>
    <col min="82" max="82" width="16.453125" style="28" customWidth="1"/>
    <col min="83" max="83" width="21.90625" style="28" bestFit="1" customWidth="1"/>
    <col min="84" max="84" width="22.90625" style="28" bestFit="1" customWidth="1"/>
    <col min="85" max="85" width="8.7265625" style="28"/>
    <col min="86" max="86" width="13.453125" style="28" bestFit="1" customWidth="1"/>
    <col min="87" max="87" width="21.90625" style="28" bestFit="1" customWidth="1"/>
    <col min="88" max="88" width="8.7265625" style="28"/>
    <col min="89" max="89" width="10.90625" style="28" bestFit="1" customWidth="1"/>
    <col min="90" max="90" width="12.6328125" style="28" bestFit="1" customWidth="1"/>
    <col min="91" max="92" width="8.7265625" style="28"/>
    <col min="93" max="93" width="8.7265625" style="31"/>
    <col min="94" max="94" width="16.453125" style="28" customWidth="1"/>
    <col min="95" max="95" width="20.7265625" style="28" bestFit="1" customWidth="1"/>
    <col min="96" max="96" width="8.7265625" style="28"/>
    <col min="97" max="97" width="13.453125" style="28" bestFit="1" customWidth="1"/>
    <col min="98" max="98" width="21.90625" style="28" bestFit="1" customWidth="1"/>
    <col min="99" max="99" width="8.7265625" style="28"/>
    <col min="100" max="100" width="11.453125" style="28" customWidth="1"/>
    <col min="101" max="103" width="8.7265625" style="28"/>
    <col min="104" max="104" width="8.7265625" style="31"/>
    <col min="105" max="105" width="16.453125" style="28" customWidth="1"/>
    <col min="106" max="106" width="20.7265625" style="28" bestFit="1" customWidth="1"/>
    <col min="107" max="109" width="9.08984375" style="28" customWidth="1"/>
    <col min="110" max="110" width="29.36328125" style="28" customWidth="1"/>
    <col min="111" max="111" width="11.26953125" style="28" bestFit="1" customWidth="1"/>
    <col min="112" max="112" width="9.26953125" style="28" bestFit="1" customWidth="1"/>
    <col min="113" max="113" width="9.453125" style="28" bestFit="1" customWidth="1"/>
    <col min="114" max="114" width="8.7265625" style="28"/>
    <col min="115" max="115" width="7.36328125" style="28" bestFit="1" customWidth="1"/>
    <col min="116" max="116" width="10.453125" style="28" bestFit="1" customWidth="1"/>
    <col min="117" max="117" width="8.7265625" style="28"/>
    <col min="118" max="118" width="11.08984375" style="28" customWidth="1"/>
    <col min="119" max="120" width="8.7265625" style="28"/>
    <col min="121" max="121" width="8.7265625" style="31"/>
    <col min="122" max="122" width="16.453125" style="28" customWidth="1"/>
    <col min="123" max="123" width="20.7265625" style="28" bestFit="1" customWidth="1"/>
    <col min="124" max="124" width="14.453125" style="28" bestFit="1" customWidth="1"/>
    <col min="125" max="126" width="13.453125" style="28" bestFit="1" customWidth="1"/>
    <col min="127" max="131" width="8.7265625" style="28"/>
    <col min="132" max="132" width="8.7265625" style="31"/>
    <col min="133" max="133" width="16.453125" style="28" customWidth="1"/>
    <col min="134" max="134" width="15.90625" style="28" bestFit="1" customWidth="1"/>
    <col min="135" max="135" width="9.26953125" style="28" bestFit="1" customWidth="1"/>
    <col min="136" max="136" width="9.453125" style="28" bestFit="1" customWidth="1"/>
    <col min="137" max="137" width="8.7265625" style="28"/>
    <col min="138" max="138" width="7.36328125" style="28" bestFit="1" customWidth="1"/>
    <col min="139" max="139" width="10.453125" style="28" bestFit="1" customWidth="1"/>
    <col min="140" max="140" width="8.7265625" style="28"/>
    <col min="141" max="141" width="13.453125" style="28" customWidth="1"/>
    <col min="142" max="143" width="8.7265625" style="28"/>
    <col min="144" max="144" width="15" style="28" bestFit="1" customWidth="1"/>
    <col min="145" max="146" width="8.7265625" style="28"/>
    <col min="147" max="147" width="8.7265625" style="31"/>
    <col min="148" max="148" width="16.453125" style="28" customWidth="1"/>
    <col min="149" max="149" width="20.7265625" style="28" bestFit="1" customWidth="1"/>
    <col min="150" max="151" width="8.7265625" style="28"/>
    <col min="152" max="152" width="8.7265625" style="31"/>
    <col min="153" max="153" width="23.36328125" style="28" bestFit="1" customWidth="1"/>
    <col min="154" max="154" width="15.90625" style="28" bestFit="1" customWidth="1"/>
    <col min="155" max="16384" width="8.7265625" style="28"/>
  </cols>
  <sheetData>
    <row r="2" spans="2:173" x14ac:dyDescent="0.25">
      <c r="B2" s="29" t="s">
        <v>138</v>
      </c>
      <c r="C2" s="29"/>
      <c r="D2" s="30"/>
      <c r="E2" s="29" t="s">
        <v>90</v>
      </c>
      <c r="F2" s="29"/>
      <c r="G2" s="29"/>
      <c r="H2" s="29"/>
      <c r="I2" s="29"/>
      <c r="J2" s="29"/>
      <c r="K2" s="30"/>
      <c r="L2" s="29" t="s">
        <v>171</v>
      </c>
      <c r="M2" s="29"/>
      <c r="N2" s="29"/>
      <c r="O2" s="29"/>
      <c r="P2" s="29"/>
      <c r="Q2" s="29"/>
      <c r="R2" s="30"/>
      <c r="S2" s="29" t="s">
        <v>91</v>
      </c>
      <c r="T2" s="29"/>
      <c r="U2" s="29"/>
      <c r="V2" s="29"/>
      <c r="W2" s="29"/>
      <c r="X2" s="29"/>
      <c r="Y2" s="29"/>
      <c r="Z2" s="30"/>
      <c r="AA2" s="29" t="s">
        <v>108</v>
      </c>
      <c r="AB2" s="29"/>
      <c r="AC2" s="29"/>
      <c r="AD2" s="29"/>
      <c r="AE2" s="29"/>
      <c r="AF2" s="29"/>
      <c r="AG2" s="29"/>
      <c r="AH2" s="30"/>
      <c r="AI2" s="29" t="s">
        <v>110</v>
      </c>
      <c r="AJ2" s="29"/>
      <c r="AK2" s="29"/>
      <c r="AL2" s="29"/>
      <c r="AM2" s="29"/>
      <c r="AN2" s="29"/>
      <c r="AO2" s="29"/>
      <c r="AP2" s="30"/>
      <c r="AQ2" s="29" t="s">
        <v>111</v>
      </c>
      <c r="AR2" s="29"/>
      <c r="AS2" s="29"/>
      <c r="AT2" s="29"/>
      <c r="AU2" s="30"/>
      <c r="AV2" s="29" t="s">
        <v>84</v>
      </c>
      <c r="AW2" s="29"/>
      <c r="AX2" s="29"/>
      <c r="AY2" s="29"/>
      <c r="AZ2" s="30"/>
      <c r="BA2" s="29" t="s">
        <v>112</v>
      </c>
      <c r="BB2" s="29"/>
      <c r="BC2" s="29"/>
      <c r="BD2" s="29" t="s">
        <v>115</v>
      </c>
      <c r="BE2" s="29"/>
      <c r="BG2" s="29"/>
      <c r="BH2" s="30"/>
      <c r="BI2" s="29" t="s">
        <v>112</v>
      </c>
      <c r="BJ2" s="29"/>
      <c r="BO2" s="29"/>
      <c r="BP2" s="30"/>
      <c r="BQ2" s="29" t="s">
        <v>119</v>
      </c>
      <c r="BR2" s="29"/>
      <c r="CB2" s="29"/>
      <c r="CC2" s="30"/>
      <c r="CD2" s="29" t="s">
        <v>121</v>
      </c>
      <c r="CE2" s="29"/>
      <c r="CN2" s="29"/>
      <c r="CO2" s="30"/>
      <c r="CP2" s="29" t="s">
        <v>122</v>
      </c>
      <c r="CQ2" s="29"/>
      <c r="CY2" s="29"/>
      <c r="CZ2" s="30"/>
      <c r="DA2" s="29" t="s">
        <v>126</v>
      </c>
      <c r="DB2" s="29"/>
      <c r="DC2" s="29"/>
      <c r="DD2" s="29"/>
      <c r="DE2" s="29"/>
      <c r="DP2" s="29"/>
      <c r="DQ2" s="30"/>
      <c r="DR2" s="29" t="s">
        <v>128</v>
      </c>
      <c r="DS2" s="29"/>
      <c r="EA2" s="29"/>
      <c r="EB2" s="30"/>
      <c r="EC2" s="29" t="s">
        <v>122</v>
      </c>
      <c r="ED2" s="29"/>
      <c r="EP2" s="29"/>
      <c r="EQ2" s="30"/>
      <c r="ER2" s="29" t="s">
        <v>112</v>
      </c>
      <c r="ES2" s="29"/>
      <c r="EU2" s="29"/>
      <c r="EV2" s="30"/>
      <c r="EW2" s="29" t="s">
        <v>84</v>
      </c>
      <c r="EX2" s="29"/>
    </row>
    <row r="3" spans="2:173" s="29" customFormat="1" ht="14.5" x14ac:dyDescent="0.35">
      <c r="D3" s="30"/>
      <c r="K3" s="30"/>
      <c r="R3" s="30"/>
      <c r="Z3" s="30"/>
      <c r="AH3" s="30"/>
      <c r="AP3" s="30"/>
      <c r="AU3" s="30"/>
      <c r="AZ3" s="30"/>
      <c r="BA3" s="65" t="s">
        <v>66</v>
      </c>
      <c r="BB3" s="65" t="s">
        <v>67</v>
      </c>
      <c r="BH3" s="30"/>
      <c r="BI3" s="65" t="s">
        <v>66</v>
      </c>
      <c r="BJ3" s="65" t="s">
        <v>67</v>
      </c>
      <c r="BP3" s="30"/>
      <c r="CC3" s="30"/>
      <c r="CD3" s="65" t="s">
        <v>66</v>
      </c>
      <c r="CE3" s="65" t="s">
        <v>67</v>
      </c>
      <c r="CH3" s="65" t="s">
        <v>66</v>
      </c>
      <c r="CI3" s="65" t="s">
        <v>67</v>
      </c>
      <c r="CO3" s="30"/>
      <c r="CP3" s="65" t="s">
        <v>66</v>
      </c>
      <c r="CQ3" s="65" t="s">
        <v>125</v>
      </c>
      <c r="CS3" s="65" t="s">
        <v>66</v>
      </c>
      <c r="CT3" s="65" t="s">
        <v>125</v>
      </c>
      <c r="CZ3" s="30"/>
      <c r="DA3" s="65" t="s">
        <v>66</v>
      </c>
      <c r="DB3" s="65" t="s">
        <v>67</v>
      </c>
      <c r="DC3" s="70"/>
      <c r="DD3"/>
      <c r="DE3"/>
      <c r="DQ3" s="30"/>
      <c r="DR3" s="65" t="s">
        <v>66</v>
      </c>
      <c r="DS3" s="65" t="s">
        <v>125</v>
      </c>
      <c r="DU3" s="65" t="s">
        <v>66</v>
      </c>
      <c r="DV3" s="65" t="s">
        <v>86</v>
      </c>
      <c r="EB3" s="30"/>
      <c r="EC3" s="65" t="s">
        <v>66</v>
      </c>
      <c r="ED3" s="65" t="s">
        <v>125</v>
      </c>
      <c r="EK3"/>
      <c r="EL3"/>
      <c r="EQ3" s="30"/>
      <c r="ER3" s="65" t="s">
        <v>66</v>
      </c>
      <c r="ES3" s="65" t="s">
        <v>67</v>
      </c>
      <c r="EV3" s="30"/>
      <c r="EW3" s="65" t="s">
        <v>66</v>
      </c>
      <c r="EX3" s="65" t="s">
        <v>67</v>
      </c>
    </row>
    <row r="5" spans="2:173" ht="14.5" x14ac:dyDescent="0.35">
      <c r="B5" s="65" t="s">
        <v>138</v>
      </c>
      <c r="E5" s="65" t="s">
        <v>88</v>
      </c>
      <c r="F5" s="65" t="s">
        <v>139</v>
      </c>
      <c r="G5" s="32"/>
      <c r="L5" s="65" t="s">
        <v>88</v>
      </c>
      <c r="M5" s="65" t="s">
        <v>138</v>
      </c>
      <c r="N5" s="32"/>
      <c r="S5" s="65" t="s">
        <v>87</v>
      </c>
      <c r="T5" s="65" t="s">
        <v>104</v>
      </c>
      <c r="U5"/>
      <c r="AA5" s="65" t="s">
        <v>88</v>
      </c>
      <c r="AB5" s="65" t="s">
        <v>89</v>
      </c>
      <c r="AC5" s="32"/>
      <c r="AI5" s="76"/>
      <c r="AJ5" s="77"/>
      <c r="AK5" s="78"/>
      <c r="AL5" s="76"/>
      <c r="AM5" s="78"/>
      <c r="AN5" s="76"/>
      <c r="AO5" s="77"/>
      <c r="AP5" s="78"/>
      <c r="AQ5" s="65" t="s">
        <v>88</v>
      </c>
      <c r="AR5" s="65" t="s">
        <v>116</v>
      </c>
      <c r="AS5"/>
      <c r="AV5" s="65" t="s">
        <v>88</v>
      </c>
      <c r="AW5" s="65" t="s">
        <v>87</v>
      </c>
      <c r="AX5"/>
      <c r="BA5" s="65" t="s">
        <v>87</v>
      </c>
      <c r="BB5"/>
      <c r="BD5" s="76"/>
      <c r="BE5" s="77"/>
      <c r="BF5" s="78"/>
      <c r="BI5" s="65" t="s">
        <v>87</v>
      </c>
      <c r="BJ5"/>
      <c r="BQ5" s="76"/>
      <c r="BR5" s="77"/>
      <c r="BS5" s="78"/>
      <c r="BT5" s="52" t="s">
        <v>118</v>
      </c>
      <c r="BU5" s="52" t="s">
        <v>117</v>
      </c>
      <c r="BV5" s="52" t="s">
        <v>105</v>
      </c>
      <c r="BW5" s="52" t="s">
        <v>107</v>
      </c>
      <c r="BY5" s="28" t="s">
        <v>120</v>
      </c>
      <c r="BZ5" s="43" t="e">
        <f>AVERAGE(BR:BR)</f>
        <v>#DIV/0!</v>
      </c>
      <c r="CD5" s="65" t="s">
        <v>88</v>
      </c>
      <c r="CE5" s="65" t="s">
        <v>87</v>
      </c>
      <c r="CF5" s="65" t="s">
        <v>104</v>
      </c>
      <c r="CH5" s="65" t="s">
        <v>88</v>
      </c>
      <c r="CI5" s="65" t="s">
        <v>87</v>
      </c>
      <c r="CJ5"/>
      <c r="CK5"/>
      <c r="CL5"/>
      <c r="CM5"/>
      <c r="CP5" s="65" t="s">
        <v>87</v>
      </c>
      <c r="CQ5"/>
      <c r="CS5" s="65" t="s">
        <v>87</v>
      </c>
      <c r="CT5"/>
      <c r="DA5" s="65" t="s">
        <v>87</v>
      </c>
      <c r="DB5"/>
      <c r="DC5" s="70"/>
      <c r="DD5" s="76"/>
      <c r="DE5" s="77"/>
      <c r="DF5" s="78"/>
      <c r="DR5"/>
      <c r="DS5"/>
      <c r="DT5"/>
      <c r="DU5"/>
      <c r="DV5"/>
      <c r="DW5"/>
      <c r="EC5" s="65" t="s">
        <v>87</v>
      </c>
      <c r="ED5"/>
      <c r="EE5"/>
      <c r="EF5"/>
      <c r="EG5"/>
      <c r="EH5"/>
      <c r="EI5"/>
      <c r="EK5" s="76"/>
      <c r="EL5" s="77"/>
      <c r="EM5" s="78"/>
      <c r="ER5" s="65" t="s">
        <v>88</v>
      </c>
      <c r="ES5" s="65" t="s">
        <v>87</v>
      </c>
      <c r="EW5" s="65"/>
      <c r="EX5" s="65" t="s">
        <v>129</v>
      </c>
      <c r="EY5" s="65"/>
      <c r="EZ5" s="65"/>
      <c r="FA5"/>
      <c r="FB5"/>
      <c r="FC5"/>
      <c r="FD5"/>
      <c r="FE5"/>
      <c r="FF5"/>
      <c r="FG5"/>
      <c r="FH5"/>
      <c r="FI5"/>
      <c r="FJ5"/>
      <c r="FK5"/>
      <c r="FL5"/>
      <c r="FM5"/>
      <c r="FN5"/>
      <c r="FO5"/>
      <c r="FP5"/>
      <c r="FQ5"/>
    </row>
    <row r="6" spans="2:173" ht="14.5" x14ac:dyDescent="0.35">
      <c r="B6" s="67">
        <v>42320000000</v>
      </c>
      <c r="E6" s="66" t="s">
        <v>86</v>
      </c>
      <c r="F6" s="72">
        <v>72</v>
      </c>
      <c r="G6" s="32"/>
      <c r="H6" s="34" t="s">
        <v>67</v>
      </c>
      <c r="I6" s="35">
        <f>IFERROR(VLOOKUP(H6,$E$5:$F$8,2,0),"0")</f>
        <v>707</v>
      </c>
      <c r="L6" s="66" t="s">
        <v>46</v>
      </c>
      <c r="M6" s="67">
        <v>1540000000</v>
      </c>
      <c r="N6" s="32"/>
      <c r="O6" s="28" t="str">
        <f t="shared" ref="O6:P10" si="0">IFERROR(L6,"-")</f>
        <v>PT Siantar Top Tbk.</v>
      </c>
      <c r="P6" s="33">
        <f t="shared" si="0"/>
        <v>1540000000</v>
      </c>
      <c r="S6" s="67">
        <v>163120000000</v>
      </c>
      <c r="T6" s="67">
        <v>163120000000</v>
      </c>
      <c r="U6"/>
      <c r="W6" s="34" t="s">
        <v>105</v>
      </c>
      <c r="X6" s="38">
        <f>MAX(U:U)</f>
        <v>0</v>
      </c>
      <c r="AA6" s="66" t="s">
        <v>67</v>
      </c>
      <c r="AB6" s="72">
        <v>707</v>
      </c>
      <c r="AC6" s="32"/>
      <c r="AD6" s="34" t="s">
        <v>67</v>
      </c>
      <c r="AE6" s="35">
        <f>IFERROR(VLOOKUP(AD6,$AA$5:$AB$8,2,0),"0")</f>
        <v>707</v>
      </c>
      <c r="AF6" s="41">
        <f>IFERROR(AE6/GETPIVOTDATA("Payment Status",$AA$5),"-")</f>
        <v>0.90757381258023107</v>
      </c>
      <c r="AI6" s="79"/>
      <c r="AJ6" s="80"/>
      <c r="AK6" s="81"/>
      <c r="AL6" s="79"/>
      <c r="AM6" s="81"/>
      <c r="AN6" s="79"/>
      <c r="AO6" s="80"/>
      <c r="AP6" s="81"/>
      <c r="AQ6" s="66" t="s">
        <v>4</v>
      </c>
      <c r="AR6" s="72">
        <v>41</v>
      </c>
      <c r="AS6"/>
      <c r="AV6" s="66" t="s">
        <v>82</v>
      </c>
      <c r="AW6" s="67">
        <v>12680000000</v>
      </c>
      <c r="AX6"/>
      <c r="BA6" s="73">
        <v>36460000000</v>
      </c>
      <c r="BB6"/>
      <c r="BD6" s="79"/>
      <c r="BE6" s="80"/>
      <c r="BF6" s="81"/>
      <c r="BI6" s="73">
        <v>36460000000</v>
      </c>
      <c r="BJ6"/>
      <c r="BL6" s="44">
        <f t="shared" ref="BL6:BM10" si="1">IFERROR(BI6,"-")</f>
        <v>36460000000</v>
      </c>
      <c r="BM6" s="45">
        <f t="shared" si="1"/>
        <v>0</v>
      </c>
      <c r="BQ6" s="79"/>
      <c r="BR6" s="80"/>
      <c r="BS6" s="81"/>
      <c r="BT6" s="50">
        <f>IFERROR(MONTH(DATEVALUE(BQ6&amp;"1")),0)</f>
        <v>0</v>
      </c>
      <c r="BU6" s="50">
        <f>IFERROR(BR6,0)</f>
        <v>0</v>
      </c>
      <c r="BV6" s="50">
        <f>IF(BU6=MAX(BU:BU),BU6,"")</f>
        <v>0</v>
      </c>
      <c r="BW6" s="50">
        <f>IF(BU6=MIN(BU:BU),BU6,"")</f>
        <v>0</v>
      </c>
      <c r="BY6" s="28" t="s">
        <v>105</v>
      </c>
      <c r="BZ6" s="43">
        <f>MAX(BR:BR)</f>
        <v>0</v>
      </c>
      <c r="CD6" s="66" t="s">
        <v>13</v>
      </c>
      <c r="CE6" s="67">
        <v>31700000000</v>
      </c>
      <c r="CF6" s="67">
        <v>31700000000</v>
      </c>
      <c r="CH6" s="66" t="s">
        <v>11</v>
      </c>
      <c r="CI6" s="67">
        <v>36460000000</v>
      </c>
      <c r="CJ6"/>
      <c r="CK6" s="56" t="str">
        <f>IFERROR(CH6,"-")</f>
        <v>David</v>
      </c>
      <c r="CL6" s="57">
        <f>IFERROR(CI6,"-")</f>
        <v>36460000000</v>
      </c>
      <c r="CM6"/>
      <c r="CP6" s="73">
        <v>42320000000</v>
      </c>
      <c r="CQ6"/>
      <c r="CS6" s="73">
        <v>42320000000</v>
      </c>
      <c r="CT6"/>
      <c r="CV6" s="56">
        <f>IFERROR(CS6,"-")</f>
        <v>42320000000</v>
      </c>
      <c r="CW6" s="57">
        <f>IFERROR(CT6,"-")</f>
        <v>0</v>
      </c>
      <c r="DA6" s="73">
        <v>36460000000</v>
      </c>
      <c r="DB6"/>
      <c r="DC6" s="33"/>
      <c r="DD6" s="79"/>
      <c r="DE6" s="80"/>
      <c r="DF6" s="81"/>
      <c r="DG6" s="58">
        <f>IFERROR(DD6,"-")</f>
        <v>0</v>
      </c>
      <c r="DH6" s="58">
        <f>IFERROR(DD7,"-")</f>
        <v>0</v>
      </c>
      <c r="DI6" s="58">
        <f>IFERROR(DD8,"-")</f>
        <v>0</v>
      </c>
      <c r="DJ6" s="58">
        <f>IFERROR(DD9,"-")</f>
        <v>0</v>
      </c>
      <c r="DK6" s="58">
        <f>IFERROR(DD10,"-")</f>
        <v>0</v>
      </c>
      <c r="DL6" s="59">
        <f>IFERROR(DD11,"")</f>
        <v>0</v>
      </c>
      <c r="DN6" s="62" t="s">
        <v>124</v>
      </c>
      <c r="DR6"/>
      <c r="DS6"/>
      <c r="DT6"/>
      <c r="DU6"/>
      <c r="DV6"/>
      <c r="DW6"/>
      <c r="DX6" s="56" t="s">
        <v>127</v>
      </c>
      <c r="DY6" s="64" t="e">
        <f>GETPIVOTDATA("DO",$DU$5)</f>
        <v>#REF!</v>
      </c>
      <c r="EC6" s="74">
        <v>42320000000</v>
      </c>
      <c r="ED6"/>
      <c r="EE6"/>
      <c r="EF6"/>
      <c r="EG6"/>
      <c r="EH6"/>
      <c r="EI6"/>
      <c r="EK6" s="79"/>
      <c r="EL6" s="80"/>
      <c r="EM6" s="81"/>
      <c r="EN6" s="69" t="s">
        <v>69</v>
      </c>
      <c r="ER6" s="66" t="s">
        <v>11</v>
      </c>
      <c r="ES6" s="67">
        <v>36460000000</v>
      </c>
      <c r="EW6" s="65"/>
      <c r="EX6" s="65" t="s">
        <v>82</v>
      </c>
      <c r="EY6" s="65" t="s">
        <v>81</v>
      </c>
      <c r="EZ6" s="65" t="s">
        <v>80</v>
      </c>
      <c r="FA6"/>
      <c r="FB6"/>
      <c r="FC6"/>
      <c r="FD6"/>
      <c r="FE6"/>
      <c r="FF6"/>
      <c r="FG6"/>
      <c r="FH6"/>
      <c r="FI6"/>
      <c r="FJ6"/>
      <c r="FK6"/>
      <c r="FL6"/>
      <c r="FM6"/>
      <c r="FN6"/>
      <c r="FO6"/>
      <c r="FP6"/>
      <c r="FQ6"/>
    </row>
    <row r="7" spans="2:173" ht="14.5" x14ac:dyDescent="0.35">
      <c r="E7" s="66" t="s">
        <v>67</v>
      </c>
      <c r="F7" s="72">
        <v>707</v>
      </c>
      <c r="G7" s="32"/>
      <c r="H7" s="36" t="s">
        <v>86</v>
      </c>
      <c r="I7" s="37">
        <f>IFERROR(VLOOKUP(H7,$E$5:$F$8,2,0),"-")</f>
        <v>72</v>
      </c>
      <c r="L7" s="66" t="s">
        <v>32</v>
      </c>
      <c r="M7" s="67">
        <v>1340000000</v>
      </c>
      <c r="N7" s="32"/>
      <c r="O7" s="28" t="str">
        <f t="shared" si="0"/>
        <v>PT AKR Corporindo Tbk.</v>
      </c>
      <c r="P7" s="33">
        <f t="shared" si="0"/>
        <v>1340000000</v>
      </c>
      <c r="S7"/>
      <c r="T7"/>
      <c r="U7"/>
      <c r="W7" s="31" t="s">
        <v>106</v>
      </c>
      <c r="X7" s="39" t="e">
        <f>AVERAGE(U:U)</f>
        <v>#DIV/0!</v>
      </c>
      <c r="AA7" s="66" t="s">
        <v>86</v>
      </c>
      <c r="AB7" s="72">
        <v>72</v>
      </c>
      <c r="AC7" s="32"/>
      <c r="AD7" s="36" t="s">
        <v>86</v>
      </c>
      <c r="AE7" s="37">
        <f>IFERROR(VLOOKUP(AD7,$AA$5:$AB$8,2,0),"0")</f>
        <v>72</v>
      </c>
      <c r="AF7" s="42">
        <f>IFERROR(AE7/GETPIVOTDATA("Payment Status",$AA$5),"-")</f>
        <v>9.2426187419768935E-2</v>
      </c>
      <c r="AI7" s="79"/>
      <c r="AJ7" s="80"/>
      <c r="AK7" s="81"/>
      <c r="AL7" s="79"/>
      <c r="AM7" s="81"/>
      <c r="AN7" s="79"/>
      <c r="AO7" s="80"/>
      <c r="AP7" s="81"/>
      <c r="AQ7" s="66" t="s">
        <v>5</v>
      </c>
      <c r="AR7" s="72">
        <v>244</v>
      </c>
      <c r="AS7"/>
      <c r="AV7" s="66" t="s">
        <v>81</v>
      </c>
      <c r="AW7" s="67">
        <v>10700000000</v>
      </c>
      <c r="AX7"/>
      <c r="BA7"/>
      <c r="BB7"/>
      <c r="BD7" s="79"/>
      <c r="BE7" s="80"/>
      <c r="BF7" s="81"/>
      <c r="BI7"/>
      <c r="BJ7"/>
      <c r="BL7" s="46">
        <f t="shared" si="1"/>
        <v>0</v>
      </c>
      <c r="BM7" s="47">
        <f t="shared" si="1"/>
        <v>0</v>
      </c>
      <c r="BQ7" s="79"/>
      <c r="BR7" s="80"/>
      <c r="BS7" s="81"/>
      <c r="BT7" s="50">
        <f t="shared" ref="BT7:BT17" si="2">IFERROR(MONTH(DATEVALUE(BQ7&amp;"1")),0)</f>
        <v>0</v>
      </c>
      <c r="BU7" s="50">
        <f t="shared" ref="BU7:BU17" si="3">IFERROR(BR7,0)</f>
        <v>0</v>
      </c>
      <c r="BV7" s="50">
        <f t="shared" ref="BV7:BV17" si="4">IF(BU7=MAX(BU:BU),BU7,"")</f>
        <v>0</v>
      </c>
      <c r="BW7" s="50">
        <f t="shared" ref="BW7:BW17" si="5">IF(BU7=MIN(BU:BU),BU7,"")</f>
        <v>0</v>
      </c>
      <c r="BY7" s="28" t="s">
        <v>107</v>
      </c>
      <c r="BZ7" s="43">
        <f>MIN(BR:BR)</f>
        <v>0</v>
      </c>
      <c r="CD7" s="66" t="s">
        <v>11</v>
      </c>
      <c r="CE7" s="67">
        <v>36460000000</v>
      </c>
      <c r="CF7" s="67">
        <v>36460000000</v>
      </c>
      <c r="CH7"/>
      <c r="CI7"/>
      <c r="CJ7"/>
      <c r="CP7"/>
      <c r="CQ7"/>
      <c r="CS7"/>
      <c r="CT7"/>
      <c r="DA7"/>
      <c r="DB7"/>
      <c r="DC7" s="33"/>
      <c r="DD7" s="79"/>
      <c r="DE7" s="80"/>
      <c r="DF7" s="81"/>
      <c r="DG7" s="55">
        <f t="shared" ref="DG7:DL7" si="6">IFERROR(VLOOKUP(DG6,$DA:$DB,2,0),0)</f>
        <v>0</v>
      </c>
      <c r="DH7" s="55">
        <f t="shared" si="6"/>
        <v>0</v>
      </c>
      <c r="DI7" s="55">
        <f t="shared" si="6"/>
        <v>0</v>
      </c>
      <c r="DJ7" s="55">
        <f t="shared" si="6"/>
        <v>0</v>
      </c>
      <c r="DK7" s="55">
        <f t="shared" si="6"/>
        <v>0</v>
      </c>
      <c r="DL7" s="60">
        <f t="shared" si="6"/>
        <v>0</v>
      </c>
      <c r="DN7" s="63">
        <f>SUM(DG7:DM7)</f>
        <v>0</v>
      </c>
      <c r="DR7"/>
      <c r="DS7"/>
      <c r="DT7"/>
      <c r="DU7"/>
      <c r="DV7"/>
      <c r="DW7"/>
      <c r="EC7"/>
      <c r="ED7"/>
      <c r="EE7"/>
      <c r="EF7"/>
      <c r="EG7"/>
      <c r="EH7"/>
      <c r="EI7"/>
      <c r="EK7" s="79"/>
      <c r="EL7" s="80"/>
      <c r="EM7" s="81"/>
      <c r="ER7" s="68" t="s">
        <v>109</v>
      </c>
      <c r="ES7" s="73">
        <v>36460000000</v>
      </c>
      <c r="EW7" s="65" t="s">
        <v>87</v>
      </c>
      <c r="EX7" s="74">
        <v>12680000000</v>
      </c>
      <c r="EY7" s="74">
        <v>10700000000</v>
      </c>
      <c r="EZ7" s="74">
        <v>13080000000</v>
      </c>
      <c r="FA7"/>
      <c r="FB7"/>
      <c r="FC7"/>
      <c r="FD7"/>
      <c r="FE7"/>
      <c r="FF7"/>
      <c r="FG7"/>
      <c r="FH7"/>
      <c r="FI7"/>
      <c r="FJ7"/>
      <c r="FK7"/>
      <c r="FL7"/>
      <c r="FM7"/>
      <c r="FN7"/>
      <c r="FO7"/>
      <c r="FP7"/>
      <c r="FQ7"/>
    </row>
    <row r="8" spans="2:173" ht="14.5" x14ac:dyDescent="0.35">
      <c r="E8" s="32"/>
      <c r="F8" s="32"/>
      <c r="G8" s="32"/>
      <c r="L8" s="66" t="s">
        <v>17</v>
      </c>
      <c r="M8" s="67">
        <v>1340000000</v>
      </c>
      <c r="N8" s="32"/>
      <c r="O8" s="28" t="str">
        <f t="shared" si="0"/>
        <v>PT Pakuwon Jati Tbk.</v>
      </c>
      <c r="P8" s="33">
        <f t="shared" si="0"/>
        <v>1340000000</v>
      </c>
      <c r="S8"/>
      <c r="T8"/>
      <c r="U8"/>
      <c r="W8" s="36" t="s">
        <v>107</v>
      </c>
      <c r="X8" s="40">
        <f>MIN(U:U)</f>
        <v>0</v>
      </c>
      <c r="AA8" s="68" t="s">
        <v>109</v>
      </c>
      <c r="AB8" s="65">
        <v>779</v>
      </c>
      <c r="AC8" s="32"/>
      <c r="AI8" s="79"/>
      <c r="AJ8" s="80"/>
      <c r="AK8" s="81"/>
      <c r="AL8" s="79"/>
      <c r="AM8" s="81"/>
      <c r="AN8" s="79"/>
      <c r="AO8" s="80"/>
      <c r="AP8" s="81"/>
      <c r="AQ8" s="66" t="s">
        <v>8</v>
      </c>
      <c r="AR8" s="72">
        <v>54</v>
      </c>
      <c r="AS8"/>
      <c r="AV8" s="66" t="s">
        <v>80</v>
      </c>
      <c r="AW8" s="67">
        <v>13080000000</v>
      </c>
      <c r="AX8"/>
      <c r="BA8"/>
      <c r="BB8"/>
      <c r="BD8" s="79"/>
      <c r="BE8" s="80"/>
      <c r="BF8" s="81"/>
      <c r="BI8"/>
      <c r="BJ8"/>
      <c r="BL8" s="46">
        <f t="shared" si="1"/>
        <v>0</v>
      </c>
      <c r="BM8" s="47">
        <f t="shared" si="1"/>
        <v>0</v>
      </c>
      <c r="BQ8" s="79"/>
      <c r="BR8" s="80"/>
      <c r="BS8" s="81"/>
      <c r="BT8" s="50">
        <f t="shared" si="2"/>
        <v>0</v>
      </c>
      <c r="BU8" s="50">
        <f t="shared" si="3"/>
        <v>0</v>
      </c>
      <c r="BV8" s="50">
        <f t="shared" si="4"/>
        <v>0</v>
      </c>
      <c r="BW8" s="50">
        <f t="shared" si="5"/>
        <v>0</v>
      </c>
      <c r="CD8" s="66" t="s">
        <v>14</v>
      </c>
      <c r="CE8" s="67">
        <v>33260000000</v>
      </c>
      <c r="CF8" s="67">
        <v>33260000000</v>
      </c>
      <c r="CH8"/>
      <c r="CI8"/>
      <c r="CJ8"/>
      <c r="CP8"/>
      <c r="CQ8"/>
      <c r="CS8"/>
      <c r="CT8"/>
      <c r="DA8"/>
      <c r="DB8"/>
      <c r="DC8" s="33"/>
      <c r="DD8" s="79"/>
      <c r="DE8" s="80"/>
      <c r="DF8" s="81"/>
      <c r="DG8" s="61">
        <f t="shared" ref="DG8:DL8" si="7">MAX($DB:$DB)-IFERROR(VLOOKUP(DG6,$DA:$DB,2,0),0)</f>
        <v>0</v>
      </c>
      <c r="DH8" s="61">
        <f t="shared" si="7"/>
        <v>0</v>
      </c>
      <c r="DI8" s="61">
        <f t="shared" si="7"/>
        <v>0</v>
      </c>
      <c r="DJ8" s="61">
        <f t="shared" si="7"/>
        <v>0</v>
      </c>
      <c r="DK8" s="61">
        <f t="shared" si="7"/>
        <v>0</v>
      </c>
      <c r="DL8" s="61">
        <f t="shared" si="7"/>
        <v>0</v>
      </c>
      <c r="DR8"/>
      <c r="DS8"/>
      <c r="DT8"/>
      <c r="DU8"/>
      <c r="DV8"/>
      <c r="DW8"/>
      <c r="EC8"/>
      <c r="ED8"/>
      <c r="EE8"/>
      <c r="EF8"/>
      <c r="EG8"/>
      <c r="EH8"/>
      <c r="EI8"/>
      <c r="EK8" s="79"/>
      <c r="EL8" s="80"/>
      <c r="EM8" s="81"/>
      <c r="ER8"/>
      <c r="ES8"/>
      <c r="EW8"/>
      <c r="EX8"/>
      <c r="EY8"/>
      <c r="EZ8"/>
    </row>
    <row r="9" spans="2:173" ht="14.5" x14ac:dyDescent="0.35">
      <c r="E9" s="32"/>
      <c r="F9" s="32"/>
      <c r="G9" s="32"/>
      <c r="L9" s="66" t="s">
        <v>54</v>
      </c>
      <c r="M9" s="67">
        <v>1320000000</v>
      </c>
      <c r="N9" s="32"/>
      <c r="O9" s="28" t="str">
        <f t="shared" si="0"/>
        <v>PT Mitra Pinasthika Mustika Tbk.</v>
      </c>
      <c r="P9" s="33">
        <f t="shared" si="0"/>
        <v>1320000000</v>
      </c>
      <c r="S9"/>
      <c r="T9"/>
      <c r="U9"/>
      <c r="AA9" s="32"/>
      <c r="AB9" s="32"/>
      <c r="AC9" s="32"/>
      <c r="AI9" s="79"/>
      <c r="AJ9" s="80"/>
      <c r="AK9" s="81"/>
      <c r="AL9" s="79"/>
      <c r="AM9" s="81"/>
      <c r="AN9" s="79"/>
      <c r="AO9" s="80"/>
      <c r="AP9" s="81"/>
      <c r="AQ9" s="66" t="s">
        <v>9</v>
      </c>
      <c r="AR9" s="72">
        <v>45</v>
      </c>
      <c r="AS9"/>
      <c r="AV9" s="68" t="s">
        <v>109</v>
      </c>
      <c r="AW9" s="73">
        <v>36460000000</v>
      </c>
      <c r="AX9"/>
      <c r="BA9"/>
      <c r="BB9"/>
      <c r="BD9" s="79"/>
      <c r="BE9" s="80"/>
      <c r="BF9" s="81"/>
      <c r="BI9"/>
      <c r="BJ9"/>
      <c r="BL9" s="46">
        <f t="shared" si="1"/>
        <v>0</v>
      </c>
      <c r="BM9" s="47">
        <f t="shared" si="1"/>
        <v>0</v>
      </c>
      <c r="BQ9" s="79"/>
      <c r="BR9" s="80"/>
      <c r="BS9" s="81"/>
      <c r="BT9" s="50">
        <f t="shared" si="2"/>
        <v>0</v>
      </c>
      <c r="BU9" s="50">
        <f t="shared" si="3"/>
        <v>0</v>
      </c>
      <c r="BV9" s="50">
        <f t="shared" si="4"/>
        <v>0</v>
      </c>
      <c r="BW9" s="50">
        <f t="shared" si="5"/>
        <v>0</v>
      </c>
      <c r="CD9" s="66" t="s">
        <v>12</v>
      </c>
      <c r="CE9" s="67">
        <v>36600000000</v>
      </c>
      <c r="CF9" s="67">
        <v>36600000000</v>
      </c>
      <c r="CH9"/>
      <c r="CI9"/>
      <c r="CJ9"/>
      <c r="CP9"/>
      <c r="CQ9"/>
      <c r="CS9"/>
      <c r="CT9"/>
      <c r="DA9"/>
      <c r="DB9"/>
      <c r="DC9" s="33"/>
      <c r="DD9" s="79"/>
      <c r="DE9" s="80"/>
      <c r="DF9" s="81"/>
      <c r="DG9" s="33"/>
      <c r="DR9"/>
      <c r="DS9"/>
      <c r="DT9"/>
      <c r="DU9"/>
      <c r="DV9"/>
      <c r="DW9"/>
      <c r="EC9"/>
      <c r="ED9"/>
      <c r="EE9"/>
      <c r="EF9"/>
      <c r="EG9"/>
      <c r="EH9"/>
      <c r="EI9"/>
      <c r="EK9" s="79"/>
      <c r="EL9" s="80"/>
      <c r="EM9" s="81"/>
      <c r="ER9"/>
      <c r="ES9"/>
      <c r="EW9"/>
      <c r="EX9"/>
      <c r="EY9"/>
      <c r="EZ9"/>
    </row>
    <row r="10" spans="2:173" ht="14.5" x14ac:dyDescent="0.35">
      <c r="E10" s="32"/>
      <c r="F10" s="32"/>
      <c r="G10" s="32"/>
      <c r="L10" s="66" t="s">
        <v>30</v>
      </c>
      <c r="M10" s="67">
        <v>1300000000</v>
      </c>
      <c r="N10" s="32"/>
      <c r="O10" s="28" t="str">
        <f t="shared" si="0"/>
        <v>PT Semen Indonesia (Persero) Tbk.</v>
      </c>
      <c r="P10" s="33">
        <f t="shared" si="0"/>
        <v>1300000000</v>
      </c>
      <c r="S10"/>
      <c r="T10"/>
      <c r="U10"/>
      <c r="AA10" s="32"/>
      <c r="AB10" s="32"/>
      <c r="AC10" s="32"/>
      <c r="AI10" s="79"/>
      <c r="AJ10" s="80"/>
      <c r="AK10" s="81"/>
      <c r="AL10" s="79"/>
      <c r="AM10" s="81"/>
      <c r="AN10" s="79"/>
      <c r="AO10" s="80"/>
      <c r="AP10" s="81"/>
      <c r="AQ10" s="66" t="s">
        <v>7</v>
      </c>
      <c r="AR10" s="72">
        <v>88</v>
      </c>
      <c r="AS10"/>
      <c r="AV10"/>
      <c r="AW10"/>
      <c r="AX10"/>
      <c r="BA10"/>
      <c r="BB10"/>
      <c r="BD10" s="79"/>
      <c r="BE10" s="80"/>
      <c r="BF10" s="81"/>
      <c r="BI10"/>
      <c r="BJ10"/>
      <c r="BL10" s="48">
        <f t="shared" si="1"/>
        <v>0</v>
      </c>
      <c r="BM10" s="49">
        <f t="shared" si="1"/>
        <v>0</v>
      </c>
      <c r="BQ10" s="79"/>
      <c r="BR10" s="80"/>
      <c r="BS10" s="81"/>
      <c r="BT10" s="50">
        <f t="shared" si="2"/>
        <v>0</v>
      </c>
      <c r="BU10" s="50">
        <f t="shared" si="3"/>
        <v>0</v>
      </c>
      <c r="BV10" s="50">
        <f t="shared" si="4"/>
        <v>0</v>
      </c>
      <c r="BW10" s="50">
        <f t="shared" si="5"/>
        <v>0</v>
      </c>
      <c r="CD10"/>
      <c r="CE10"/>
      <c r="CP10"/>
      <c r="CQ10"/>
      <c r="CS10"/>
      <c r="CT10"/>
      <c r="DA10"/>
      <c r="DB10"/>
      <c r="DC10" s="33"/>
      <c r="DD10" s="79"/>
      <c r="DE10" s="80"/>
      <c r="DF10" s="81"/>
      <c r="DG10" s="33"/>
      <c r="DR10"/>
      <c r="DS10"/>
      <c r="DT10"/>
      <c r="DU10"/>
      <c r="DV10"/>
      <c r="DW10"/>
      <c r="EC10"/>
      <c r="ED10"/>
      <c r="EE10"/>
      <c r="EF10"/>
      <c r="EG10"/>
      <c r="EH10"/>
      <c r="EI10"/>
      <c r="EK10" s="79"/>
      <c r="EL10" s="80"/>
      <c r="EM10" s="81"/>
      <c r="ER10"/>
      <c r="ES10"/>
      <c r="EW10"/>
      <c r="EX10"/>
      <c r="EY10"/>
      <c r="EZ10"/>
    </row>
    <row r="11" spans="2:173" ht="14.5" x14ac:dyDescent="0.35">
      <c r="E11" s="32"/>
      <c r="F11" s="32"/>
      <c r="G11" s="32"/>
      <c r="L11"/>
      <c r="M11"/>
      <c r="N11" s="32"/>
      <c r="S11"/>
      <c r="T11"/>
      <c r="U11"/>
      <c r="AA11" s="32"/>
      <c r="AB11" s="32"/>
      <c r="AC11" s="32"/>
      <c r="AI11" s="79"/>
      <c r="AJ11" s="80"/>
      <c r="AK11" s="81"/>
      <c r="AL11" s="79"/>
      <c r="AM11" s="81"/>
      <c r="AN11" s="79"/>
      <c r="AO11" s="80"/>
      <c r="AP11" s="81"/>
      <c r="AQ11" s="66" t="s">
        <v>2</v>
      </c>
      <c r="AR11" s="72">
        <v>307</v>
      </c>
      <c r="AS11"/>
      <c r="AV11"/>
      <c r="AW11"/>
      <c r="AX11"/>
      <c r="BA11"/>
      <c r="BB11"/>
      <c r="BD11" s="79"/>
      <c r="BE11" s="80"/>
      <c r="BF11" s="81"/>
      <c r="BI11"/>
      <c r="BJ11"/>
      <c r="BQ11" s="79"/>
      <c r="BR11" s="80"/>
      <c r="BS11" s="81"/>
      <c r="BT11" s="50">
        <f t="shared" si="2"/>
        <v>0</v>
      </c>
      <c r="BU11" s="50">
        <f t="shared" si="3"/>
        <v>0</v>
      </c>
      <c r="BV11" s="50">
        <f t="shared" si="4"/>
        <v>0</v>
      </c>
      <c r="BW11" s="50">
        <f t="shared" si="5"/>
        <v>0</v>
      </c>
      <c r="CD11"/>
      <c r="CE11"/>
      <c r="CP11"/>
      <c r="CQ11"/>
      <c r="CS11"/>
      <c r="CT11"/>
      <c r="DA11"/>
      <c r="DB11"/>
      <c r="DC11"/>
      <c r="DD11" s="79"/>
      <c r="DE11" s="80"/>
      <c r="DF11" s="81"/>
      <c r="DG11" s="33"/>
      <c r="DR11"/>
      <c r="DS11"/>
      <c r="DT11"/>
      <c r="DU11"/>
      <c r="DV11"/>
      <c r="DW11"/>
      <c r="EC11"/>
      <c r="ED11"/>
      <c r="EE11"/>
      <c r="EF11"/>
      <c r="EG11"/>
      <c r="EH11"/>
      <c r="EI11"/>
      <c r="EK11" s="79"/>
      <c r="EL11" s="80"/>
      <c r="EM11" s="81"/>
      <c r="ER11"/>
      <c r="ES11"/>
      <c r="EW11"/>
      <c r="EX11"/>
      <c r="EY11"/>
      <c r="EZ11"/>
    </row>
    <row r="12" spans="2:173" ht="14.5" x14ac:dyDescent="0.35">
      <c r="E12" s="32"/>
      <c r="F12" s="32"/>
      <c r="G12" s="32"/>
      <c r="L12"/>
      <c r="M12"/>
      <c r="N12" s="32"/>
      <c r="S12"/>
      <c r="T12"/>
      <c r="U12"/>
      <c r="AA12" s="32"/>
      <c r="AB12" s="32"/>
      <c r="AC12" s="32"/>
      <c r="AI12" s="79"/>
      <c r="AJ12" s="80"/>
      <c r="AK12" s="81"/>
      <c r="AL12" s="79"/>
      <c r="AM12" s="81"/>
      <c r="AN12" s="79"/>
      <c r="AO12" s="80"/>
      <c r="AP12" s="81"/>
      <c r="AQ12" s="68" t="s">
        <v>109</v>
      </c>
      <c r="AR12" s="65">
        <v>779</v>
      </c>
      <c r="AS12"/>
      <c r="AV12"/>
      <c r="AW12"/>
      <c r="AX12"/>
      <c r="BA12"/>
      <c r="BB12"/>
      <c r="BD12" s="79"/>
      <c r="BE12" s="80"/>
      <c r="BF12" s="81"/>
      <c r="BI12"/>
      <c r="BJ12"/>
      <c r="BQ12" s="79"/>
      <c r="BR12" s="80"/>
      <c r="BS12" s="81"/>
      <c r="BT12" s="50">
        <f t="shared" si="2"/>
        <v>0</v>
      </c>
      <c r="BU12" s="50">
        <f t="shared" si="3"/>
        <v>0</v>
      </c>
      <c r="BV12" s="50">
        <f t="shared" si="4"/>
        <v>0</v>
      </c>
      <c r="BW12" s="50">
        <f t="shared" si="5"/>
        <v>0</v>
      </c>
      <c r="CD12"/>
      <c r="CE12"/>
      <c r="CP12"/>
      <c r="CQ12"/>
      <c r="DA12"/>
      <c r="DB12"/>
      <c r="DC12"/>
      <c r="DD12" s="79"/>
      <c r="DE12" s="80"/>
      <c r="DF12" s="81"/>
      <c r="DR12"/>
      <c r="DS12"/>
      <c r="DT12"/>
      <c r="DU12"/>
      <c r="DV12"/>
      <c r="DW12"/>
      <c r="EC12"/>
      <c r="ED12"/>
      <c r="EE12"/>
      <c r="EF12"/>
      <c r="EG12"/>
      <c r="EH12"/>
      <c r="EI12"/>
      <c r="EK12" s="79"/>
      <c r="EL12" s="80"/>
      <c r="EM12" s="81"/>
      <c r="ER12"/>
      <c r="ES12"/>
      <c r="EW12"/>
      <c r="EX12"/>
      <c r="EY12"/>
      <c r="EZ12"/>
    </row>
    <row r="13" spans="2:173" ht="14.5" x14ac:dyDescent="0.35">
      <c r="E13" s="32"/>
      <c r="F13" s="32"/>
      <c r="G13" s="32"/>
      <c r="L13"/>
      <c r="M13"/>
      <c r="N13" s="32"/>
      <c r="S13"/>
      <c r="T13"/>
      <c r="U13"/>
      <c r="AA13" s="32"/>
      <c r="AB13" s="32"/>
      <c r="AC13" s="32"/>
      <c r="AI13" s="79"/>
      <c r="AJ13" s="80"/>
      <c r="AK13" s="81"/>
      <c r="AL13" s="79"/>
      <c r="AM13" s="81"/>
      <c r="AN13" s="79"/>
      <c r="AO13" s="80"/>
      <c r="AP13" s="81"/>
      <c r="AQ13"/>
      <c r="AR13"/>
      <c r="AS13"/>
      <c r="AV13"/>
      <c r="AW13"/>
      <c r="AX13"/>
      <c r="BA13"/>
      <c r="BB13"/>
      <c r="BD13" s="79"/>
      <c r="BE13" s="80"/>
      <c r="BF13" s="81"/>
      <c r="BI13"/>
      <c r="BJ13"/>
      <c r="BQ13" s="79"/>
      <c r="BR13" s="80"/>
      <c r="BS13" s="81"/>
      <c r="BT13" s="50">
        <f t="shared" si="2"/>
        <v>0</v>
      </c>
      <c r="BU13" s="50">
        <f t="shared" si="3"/>
        <v>0</v>
      </c>
      <c r="BV13" s="50">
        <f t="shared" si="4"/>
        <v>0</v>
      </c>
      <c r="BW13" s="50">
        <f t="shared" si="5"/>
        <v>0</v>
      </c>
      <c r="CD13"/>
      <c r="CE13"/>
      <c r="CP13"/>
      <c r="CQ13"/>
      <c r="DA13"/>
      <c r="DB13"/>
      <c r="DC13"/>
      <c r="DD13" s="79"/>
      <c r="DE13" s="80"/>
      <c r="DF13" s="81"/>
      <c r="DR13"/>
      <c r="DS13"/>
      <c r="DT13"/>
      <c r="DU13"/>
      <c r="DV13"/>
      <c r="DW13"/>
      <c r="EC13"/>
      <c r="ED13"/>
      <c r="EE13"/>
      <c r="EF13"/>
      <c r="EG13"/>
      <c r="EH13"/>
      <c r="EI13"/>
      <c r="EK13" s="79"/>
      <c r="EL13" s="80"/>
      <c r="EM13" s="81"/>
      <c r="ER13"/>
      <c r="ES13"/>
      <c r="EW13"/>
      <c r="EX13"/>
      <c r="EY13"/>
      <c r="EZ13"/>
    </row>
    <row r="14" spans="2:173" ht="14.5" x14ac:dyDescent="0.35">
      <c r="E14" s="32"/>
      <c r="F14" s="32"/>
      <c r="G14" s="32"/>
      <c r="L14"/>
      <c r="M14"/>
      <c r="N14" s="32"/>
      <c r="S14"/>
      <c r="T14"/>
      <c r="U14"/>
      <c r="AA14" s="32"/>
      <c r="AB14" s="32"/>
      <c r="AC14" s="32"/>
      <c r="AI14" s="79"/>
      <c r="AJ14" s="80"/>
      <c r="AK14" s="81"/>
      <c r="AL14" s="79"/>
      <c r="AM14" s="81"/>
      <c r="AN14" s="79"/>
      <c r="AO14" s="80"/>
      <c r="AP14" s="81"/>
      <c r="AQ14"/>
      <c r="AR14"/>
      <c r="AS14"/>
      <c r="AV14"/>
      <c r="AW14"/>
      <c r="AX14"/>
      <c r="BA14"/>
      <c r="BB14"/>
      <c r="BD14" s="79"/>
      <c r="BE14" s="80"/>
      <c r="BF14" s="81"/>
      <c r="BI14"/>
      <c r="BJ14"/>
      <c r="BQ14" s="79"/>
      <c r="BR14" s="80"/>
      <c r="BS14" s="81"/>
      <c r="BT14" s="50">
        <f t="shared" si="2"/>
        <v>0</v>
      </c>
      <c r="BU14" s="50">
        <f t="shared" si="3"/>
        <v>0</v>
      </c>
      <c r="BV14" s="50">
        <f t="shared" si="4"/>
        <v>0</v>
      </c>
      <c r="BW14" s="50">
        <f t="shared" si="5"/>
        <v>0</v>
      </c>
      <c r="CD14"/>
      <c r="CE14"/>
      <c r="CP14"/>
      <c r="CQ14"/>
      <c r="DA14"/>
      <c r="DB14"/>
      <c r="DC14"/>
      <c r="DD14" s="79"/>
      <c r="DE14" s="80"/>
      <c r="DF14" s="81"/>
      <c r="DR14"/>
      <c r="DS14"/>
      <c r="DT14"/>
      <c r="DU14"/>
      <c r="DV14"/>
      <c r="DW14"/>
      <c r="EC14"/>
      <c r="ED14"/>
      <c r="EE14"/>
      <c r="EF14"/>
      <c r="EG14"/>
      <c r="EH14"/>
      <c r="EI14"/>
      <c r="EK14" s="79"/>
      <c r="EL14" s="80"/>
      <c r="EM14" s="81"/>
      <c r="ER14"/>
      <c r="ES14"/>
      <c r="EW14"/>
      <c r="EX14"/>
      <c r="EY14"/>
      <c r="EZ14"/>
    </row>
    <row r="15" spans="2:173" ht="14.5" x14ac:dyDescent="0.35">
      <c r="E15" s="32"/>
      <c r="F15" s="32"/>
      <c r="G15" s="32"/>
      <c r="L15"/>
      <c r="M15"/>
      <c r="N15" s="32"/>
      <c r="S15"/>
      <c r="T15"/>
      <c r="U15"/>
      <c r="AA15" s="32"/>
      <c r="AB15" s="32"/>
      <c r="AC15" s="32"/>
      <c r="AI15" s="79"/>
      <c r="AJ15" s="80"/>
      <c r="AK15" s="81"/>
      <c r="AL15" s="79"/>
      <c r="AM15" s="81"/>
      <c r="AN15" s="79"/>
      <c r="AO15" s="80"/>
      <c r="AP15" s="81"/>
      <c r="AQ15"/>
      <c r="AR15"/>
      <c r="AS15"/>
      <c r="AV15"/>
      <c r="AW15"/>
      <c r="AX15"/>
      <c r="BA15"/>
      <c r="BB15"/>
      <c r="BD15" s="79"/>
      <c r="BE15" s="80"/>
      <c r="BF15" s="81"/>
      <c r="BI15"/>
      <c r="BJ15"/>
      <c r="BQ15" s="79"/>
      <c r="BR15" s="80"/>
      <c r="BS15" s="81"/>
      <c r="BT15" s="50">
        <f t="shared" si="2"/>
        <v>0</v>
      </c>
      <c r="BU15" s="50">
        <f t="shared" si="3"/>
        <v>0</v>
      </c>
      <c r="BV15" s="50">
        <f t="shared" si="4"/>
        <v>0</v>
      </c>
      <c r="BW15" s="50">
        <f t="shared" si="5"/>
        <v>0</v>
      </c>
      <c r="CD15"/>
      <c r="CE15"/>
      <c r="CP15"/>
      <c r="CQ15"/>
      <c r="DA15"/>
      <c r="DB15"/>
      <c r="DC15"/>
      <c r="DD15" s="79"/>
      <c r="DE15" s="80"/>
      <c r="DF15" s="81"/>
      <c r="DR15"/>
      <c r="DS15"/>
      <c r="DT15"/>
      <c r="DU15"/>
      <c r="DV15"/>
      <c r="DW15"/>
      <c r="EC15"/>
      <c r="ED15"/>
      <c r="EE15"/>
      <c r="EF15"/>
      <c r="EG15"/>
      <c r="EH15"/>
      <c r="EI15"/>
      <c r="EK15" s="79"/>
      <c r="EL15" s="80"/>
      <c r="EM15" s="81"/>
      <c r="ER15"/>
      <c r="ES15"/>
      <c r="EW15"/>
      <c r="EX15"/>
      <c r="EY15"/>
      <c r="EZ15"/>
    </row>
    <row r="16" spans="2:173" ht="14.5" x14ac:dyDescent="0.35">
      <c r="E16" s="32"/>
      <c r="F16" s="32"/>
      <c r="G16" s="32"/>
      <c r="L16" s="32"/>
      <c r="M16" s="32"/>
      <c r="N16" s="32"/>
      <c r="S16"/>
      <c r="T16"/>
      <c r="U16"/>
      <c r="AA16" s="32"/>
      <c r="AB16" s="32"/>
      <c r="AC16" s="32"/>
      <c r="AI16" s="79"/>
      <c r="AJ16" s="80"/>
      <c r="AK16" s="81"/>
      <c r="AL16" s="79"/>
      <c r="AM16" s="81"/>
      <c r="AN16" s="79"/>
      <c r="AO16" s="80"/>
      <c r="AP16" s="81"/>
      <c r="AQ16"/>
      <c r="AR16"/>
      <c r="AS16"/>
      <c r="AV16"/>
      <c r="AW16"/>
      <c r="AX16"/>
      <c r="BA16"/>
      <c r="BB16"/>
      <c r="BD16" s="79"/>
      <c r="BE16" s="80"/>
      <c r="BF16" s="81"/>
      <c r="BI16"/>
      <c r="BJ16"/>
      <c r="BQ16" s="79"/>
      <c r="BR16" s="80"/>
      <c r="BS16" s="81"/>
      <c r="BT16" s="50">
        <f t="shared" si="2"/>
        <v>0</v>
      </c>
      <c r="BU16" s="50">
        <f t="shared" si="3"/>
        <v>0</v>
      </c>
      <c r="BV16" s="50">
        <f t="shared" si="4"/>
        <v>0</v>
      </c>
      <c r="BW16" s="50">
        <f t="shared" si="5"/>
        <v>0</v>
      </c>
      <c r="CD16"/>
      <c r="CE16"/>
      <c r="CP16"/>
      <c r="CQ16"/>
      <c r="DA16"/>
      <c r="DB16"/>
      <c r="DC16"/>
      <c r="DD16" s="79"/>
      <c r="DE16" s="80"/>
      <c r="DF16" s="81"/>
      <c r="DR16"/>
      <c r="DS16"/>
      <c r="DT16"/>
      <c r="DU16"/>
      <c r="DV16"/>
      <c r="DW16"/>
      <c r="EC16"/>
      <c r="ED16"/>
      <c r="EE16"/>
      <c r="EF16"/>
      <c r="EG16"/>
      <c r="EH16"/>
      <c r="EI16"/>
      <c r="EK16" s="79"/>
      <c r="EL16" s="80"/>
      <c r="EM16" s="81"/>
      <c r="ER16"/>
      <c r="ES16"/>
      <c r="EW16"/>
      <c r="EX16"/>
      <c r="EY16"/>
      <c r="EZ16"/>
    </row>
    <row r="17" spans="5:156" ht="14.5" x14ac:dyDescent="0.35">
      <c r="E17" s="32"/>
      <c r="F17" s="32"/>
      <c r="G17" s="32"/>
      <c r="L17" s="32"/>
      <c r="M17" s="32"/>
      <c r="N17" s="32"/>
      <c r="S17"/>
      <c r="T17"/>
      <c r="U17"/>
      <c r="AA17" s="32"/>
      <c r="AB17" s="32"/>
      <c r="AC17" s="32"/>
      <c r="AI17" s="79"/>
      <c r="AJ17" s="80"/>
      <c r="AK17" s="81"/>
      <c r="AL17" s="79"/>
      <c r="AM17" s="81"/>
      <c r="AN17" s="79"/>
      <c r="AO17" s="80"/>
      <c r="AP17" s="81"/>
      <c r="AQ17"/>
      <c r="AR17"/>
      <c r="AS17"/>
      <c r="AV17"/>
      <c r="AW17"/>
      <c r="AX17"/>
      <c r="BA17"/>
      <c r="BB17"/>
      <c r="BD17" s="79"/>
      <c r="BE17" s="80"/>
      <c r="BF17" s="81"/>
      <c r="BI17"/>
      <c r="BJ17"/>
      <c r="BQ17" s="79"/>
      <c r="BR17" s="80"/>
      <c r="BS17" s="81"/>
      <c r="BT17" s="51">
        <f t="shared" si="2"/>
        <v>0</v>
      </c>
      <c r="BU17" s="51">
        <f t="shared" si="3"/>
        <v>0</v>
      </c>
      <c r="BV17" s="51">
        <f t="shared" si="4"/>
        <v>0</v>
      </c>
      <c r="BW17" s="51">
        <f t="shared" si="5"/>
        <v>0</v>
      </c>
      <c r="CD17"/>
      <c r="CE17"/>
      <c r="CP17"/>
      <c r="CQ17"/>
      <c r="DA17"/>
      <c r="DB17"/>
      <c r="DC17"/>
      <c r="DD17" s="79"/>
      <c r="DE17" s="80"/>
      <c r="DF17" s="81"/>
      <c r="DR17"/>
      <c r="DS17"/>
      <c r="DU17"/>
      <c r="DV17"/>
      <c r="DW17"/>
      <c r="EC17"/>
      <c r="ED17"/>
      <c r="EE17"/>
      <c r="EF17"/>
      <c r="EG17"/>
      <c r="EH17"/>
      <c r="EI17"/>
      <c r="EK17" s="79"/>
      <c r="EL17" s="80"/>
      <c r="EM17" s="81"/>
      <c r="ER17"/>
      <c r="ES17"/>
      <c r="EW17"/>
      <c r="EX17"/>
      <c r="EY17"/>
      <c r="EZ17"/>
    </row>
    <row r="18" spans="5:156" ht="14.5" x14ac:dyDescent="0.35">
      <c r="E18" s="32"/>
      <c r="F18" s="32"/>
      <c r="G18" s="32"/>
      <c r="L18" s="32"/>
      <c r="M18" s="32"/>
      <c r="N18" s="32"/>
      <c r="S18" s="32"/>
      <c r="T18" s="32"/>
      <c r="AA18" s="32"/>
      <c r="AB18" s="32"/>
      <c r="AC18" s="32"/>
      <c r="AI18" s="79"/>
      <c r="AJ18" s="80"/>
      <c r="AK18" s="81"/>
      <c r="AL18" s="79"/>
      <c r="AM18" s="81"/>
      <c r="AN18" s="79"/>
      <c r="AO18" s="80"/>
      <c r="AP18" s="81"/>
      <c r="AQ18"/>
      <c r="AR18"/>
      <c r="AS18"/>
      <c r="AV18"/>
      <c r="AW18"/>
      <c r="AX18"/>
      <c r="BA18"/>
      <c r="BB18"/>
      <c r="BD18" s="79"/>
      <c r="BE18" s="80"/>
      <c r="BF18" s="81"/>
      <c r="BI18"/>
      <c r="BJ18"/>
      <c r="BQ18" s="79"/>
      <c r="BR18" s="80"/>
      <c r="BS18" s="81"/>
      <c r="CD18"/>
      <c r="CE18"/>
      <c r="CP18"/>
      <c r="CQ18"/>
      <c r="DA18"/>
      <c r="DB18"/>
      <c r="DC18"/>
      <c r="DD18" s="79"/>
      <c r="DE18" s="80"/>
      <c r="DF18" s="81"/>
      <c r="DR18"/>
      <c r="DS18"/>
      <c r="DU18"/>
      <c r="DV18"/>
      <c r="DW18"/>
      <c r="EC18"/>
      <c r="ED18"/>
      <c r="EE18"/>
      <c r="EF18"/>
      <c r="EG18"/>
      <c r="EH18"/>
      <c r="EI18"/>
      <c r="EK18" s="79"/>
      <c r="EL18" s="80"/>
      <c r="EM18" s="81"/>
      <c r="ER18"/>
      <c r="ES18"/>
      <c r="EW18"/>
      <c r="EX18"/>
      <c r="EY18"/>
      <c r="EZ18"/>
    </row>
    <row r="19" spans="5:156" ht="14.5" x14ac:dyDescent="0.35">
      <c r="E19" s="32"/>
      <c r="F19" s="32"/>
      <c r="G19" s="32"/>
      <c r="L19" s="32"/>
      <c r="M19" s="32"/>
      <c r="N19" s="32"/>
      <c r="S19" s="32"/>
      <c r="T19" s="32"/>
      <c r="AA19" s="32"/>
      <c r="AB19" s="32"/>
      <c r="AC19" s="32"/>
      <c r="AI19" s="79"/>
      <c r="AJ19" s="80"/>
      <c r="AK19" s="81"/>
      <c r="AL19" s="79"/>
      <c r="AM19" s="81"/>
      <c r="AN19" s="79"/>
      <c r="AO19" s="80"/>
      <c r="AP19" s="81"/>
      <c r="AQ19"/>
      <c r="AR19"/>
      <c r="AS19"/>
      <c r="AV19"/>
      <c r="AW19"/>
      <c r="AX19"/>
      <c r="BA19"/>
      <c r="BB19"/>
      <c r="BD19" s="79"/>
      <c r="BE19" s="80"/>
      <c r="BF19" s="81"/>
      <c r="BI19"/>
      <c r="BJ19"/>
      <c r="BQ19" s="79"/>
      <c r="BR19" s="80"/>
      <c r="BS19" s="81"/>
      <c r="CD19"/>
      <c r="CE19"/>
      <c r="CP19"/>
      <c r="CQ19"/>
      <c r="DA19"/>
      <c r="DB19"/>
      <c r="DC19"/>
      <c r="DD19" s="79"/>
      <c r="DE19" s="80"/>
      <c r="DF19" s="81"/>
      <c r="DR19"/>
      <c r="DS19"/>
      <c r="DU19"/>
      <c r="DV19"/>
      <c r="DW19"/>
      <c r="EC19"/>
      <c r="ED19"/>
      <c r="EK19" s="79"/>
      <c r="EL19" s="80"/>
      <c r="EM19" s="81"/>
      <c r="ER19"/>
      <c r="ES19"/>
      <c r="EW19"/>
      <c r="EX19"/>
      <c r="EY19"/>
      <c r="EZ19"/>
    </row>
    <row r="20" spans="5:156" ht="14.5" x14ac:dyDescent="0.35">
      <c r="E20" s="32"/>
      <c r="F20" s="32"/>
      <c r="G20" s="32"/>
      <c r="L20" s="32"/>
      <c r="M20" s="32"/>
      <c r="N20" s="32"/>
      <c r="S20" s="32"/>
      <c r="T20" s="32"/>
      <c r="AA20" s="32"/>
      <c r="AB20" s="32"/>
      <c r="AC20" s="32"/>
      <c r="AI20" s="79"/>
      <c r="AJ20" s="80"/>
      <c r="AK20" s="81"/>
      <c r="AL20" s="79"/>
      <c r="AM20" s="81"/>
      <c r="AN20" s="79"/>
      <c r="AO20" s="80"/>
      <c r="AP20" s="81"/>
      <c r="AQ20"/>
      <c r="AR20"/>
      <c r="AS20"/>
      <c r="AV20"/>
      <c r="AW20"/>
      <c r="AX20"/>
      <c r="BA20"/>
      <c r="BB20"/>
      <c r="BD20" s="79"/>
      <c r="BE20" s="80"/>
      <c r="BF20" s="81"/>
      <c r="BI20"/>
      <c r="BJ20"/>
      <c r="BQ20" s="79"/>
      <c r="BR20" s="80"/>
      <c r="BS20" s="81"/>
      <c r="CD20"/>
      <c r="CE20"/>
      <c r="CP20"/>
      <c r="CQ20"/>
      <c r="DA20"/>
      <c r="DB20"/>
      <c r="DC20"/>
      <c r="DD20" s="79"/>
      <c r="DE20" s="80"/>
      <c r="DF20" s="81"/>
      <c r="DR20"/>
      <c r="DS20"/>
      <c r="DU20"/>
      <c r="DV20"/>
      <c r="DW20"/>
      <c r="EC20"/>
      <c r="ED20"/>
      <c r="EK20" s="79"/>
      <c r="EL20" s="80"/>
      <c r="EM20" s="81"/>
      <c r="ER20"/>
      <c r="ES20"/>
      <c r="EW20"/>
      <c r="EX20"/>
      <c r="EY20"/>
      <c r="EZ20"/>
    </row>
    <row r="21" spans="5:156" ht="14.5" x14ac:dyDescent="0.35">
      <c r="E21" s="32"/>
      <c r="F21" s="32"/>
      <c r="G21" s="32"/>
      <c r="L21" s="32"/>
      <c r="M21" s="32"/>
      <c r="N21" s="32"/>
      <c r="S21" s="32"/>
      <c r="T21" s="32"/>
      <c r="AA21" s="32"/>
      <c r="AB21" s="32"/>
      <c r="AC21" s="32"/>
      <c r="AI21" s="79"/>
      <c r="AJ21" s="80"/>
      <c r="AK21" s="81"/>
      <c r="AL21" s="79"/>
      <c r="AM21" s="81"/>
      <c r="AN21" s="79"/>
      <c r="AO21" s="80"/>
      <c r="AP21" s="81"/>
      <c r="AQ21"/>
      <c r="AR21"/>
      <c r="AS21"/>
      <c r="AV21"/>
      <c r="AW21"/>
      <c r="AX21"/>
      <c r="BA21"/>
      <c r="BB21"/>
      <c r="BD21" s="79"/>
      <c r="BE21" s="80"/>
      <c r="BF21" s="81"/>
      <c r="BI21"/>
      <c r="BJ21"/>
      <c r="BQ21" s="79"/>
      <c r="BR21" s="80"/>
      <c r="BS21" s="81"/>
      <c r="CD21"/>
      <c r="CE21"/>
      <c r="CP21"/>
      <c r="CQ21" s="54"/>
      <c r="DA21"/>
      <c r="DB21"/>
      <c r="DC21"/>
      <c r="DD21" s="79"/>
      <c r="DE21" s="80"/>
      <c r="DF21" s="81"/>
      <c r="DR21"/>
      <c r="DS21"/>
      <c r="DU21"/>
      <c r="DV21"/>
      <c r="DW21"/>
      <c r="EC21"/>
      <c r="ED21"/>
      <c r="EK21" s="79"/>
      <c r="EL21" s="80"/>
      <c r="EM21" s="81"/>
      <c r="ER21"/>
      <c r="ES21"/>
      <c r="EW21"/>
      <c r="EX21"/>
      <c r="EY21"/>
      <c r="EZ21"/>
    </row>
    <row r="22" spans="5:156" ht="14.5" x14ac:dyDescent="0.35">
      <c r="E22" s="32"/>
      <c r="F22" s="32"/>
      <c r="G22" s="32"/>
      <c r="L22" s="32"/>
      <c r="M22" s="32"/>
      <c r="N22" s="32"/>
      <c r="S22" s="32"/>
      <c r="T22" s="32"/>
      <c r="AA22" s="32"/>
      <c r="AB22" s="32"/>
      <c r="AC22" s="32"/>
      <c r="AI22" s="82"/>
      <c r="AJ22" s="83"/>
      <c r="AK22" s="84"/>
      <c r="AL22" s="82"/>
      <c r="AM22" s="84"/>
      <c r="AN22" s="82"/>
      <c r="AO22" s="83"/>
      <c r="AP22" s="84"/>
      <c r="AQ22"/>
      <c r="AR22"/>
      <c r="AS22"/>
      <c r="AV22"/>
      <c r="AW22"/>
      <c r="AX22"/>
      <c r="BA22"/>
      <c r="BB22"/>
      <c r="BD22" s="82"/>
      <c r="BE22" s="83"/>
      <c r="BF22" s="84"/>
      <c r="BI22"/>
      <c r="BJ22"/>
      <c r="BQ22" s="82"/>
      <c r="BR22" s="83"/>
      <c r="BS22" s="84"/>
      <c r="CD22"/>
      <c r="CE22"/>
      <c r="CP22"/>
      <c r="CQ22"/>
      <c r="DA22"/>
      <c r="DB22"/>
      <c r="DC22"/>
      <c r="DD22" s="82"/>
      <c r="DE22" s="83"/>
      <c r="DF22" s="84"/>
      <c r="DR22"/>
      <c r="DS22"/>
      <c r="DU22"/>
      <c r="DV22"/>
      <c r="DW22"/>
      <c r="EC22"/>
      <c r="ED22"/>
      <c r="EK22" s="82"/>
      <c r="EL22" s="83"/>
      <c r="EM22" s="84"/>
      <c r="ER22"/>
      <c r="ES22"/>
      <c r="EW22"/>
      <c r="EX22"/>
      <c r="EY22"/>
      <c r="EZ22"/>
    </row>
    <row r="23" spans="5:156" ht="14.5" x14ac:dyDescent="0.35">
      <c r="L23" s="32"/>
      <c r="M23" s="32"/>
      <c r="S23" s="32"/>
      <c r="T23" s="32"/>
      <c r="BQ23"/>
      <c r="ER23"/>
      <c r="ES23"/>
      <c r="EW23"/>
      <c r="EX23"/>
      <c r="EY23"/>
      <c r="EZ23"/>
    </row>
    <row r="24" spans="5:156" ht="14.5" x14ac:dyDescent="0.35">
      <c r="L24" s="32"/>
      <c r="M24" s="32"/>
      <c r="S24" s="32"/>
      <c r="T24" s="32"/>
      <c r="BQ24"/>
      <c r="ER24"/>
      <c r="ES24"/>
      <c r="EW24"/>
      <c r="EX24"/>
      <c r="EY24"/>
      <c r="EZ24"/>
    </row>
    <row r="25" spans="5:156" ht="14.5" x14ac:dyDescent="0.35">
      <c r="L25" s="32"/>
      <c r="M25" s="32"/>
      <c r="S25" s="32"/>
      <c r="T25" s="32"/>
      <c r="BQ25"/>
      <c r="ER25"/>
      <c r="ES25"/>
      <c r="EW25"/>
      <c r="EX25"/>
      <c r="EY25"/>
      <c r="EZ25"/>
    </row>
    <row r="26" spans="5:156" ht="14.5" x14ac:dyDescent="0.35">
      <c r="L26" s="32"/>
      <c r="M26" s="32"/>
      <c r="S26" s="32"/>
      <c r="T26" s="32"/>
      <c r="BQ26"/>
      <c r="ER26"/>
      <c r="ES26"/>
      <c r="EW26"/>
      <c r="EX26"/>
      <c r="EY26"/>
      <c r="EZ26"/>
    </row>
    <row r="27" spans="5:156" ht="14.5" x14ac:dyDescent="0.35">
      <c r="L27" s="32"/>
      <c r="M27" s="32"/>
      <c r="S27" s="32"/>
      <c r="T27" s="32"/>
      <c r="BQ27"/>
      <c r="ER27"/>
      <c r="ES27"/>
      <c r="EW27"/>
      <c r="EX27"/>
      <c r="EY27"/>
      <c r="EZ27"/>
    </row>
    <row r="28" spans="5:156" ht="14.5" x14ac:dyDescent="0.35">
      <c r="L28" s="32"/>
      <c r="M28" s="32"/>
      <c r="S28" s="32"/>
      <c r="T28" s="32"/>
      <c r="BQ28"/>
      <c r="ER28"/>
      <c r="ES28"/>
      <c r="EW28"/>
      <c r="EX28"/>
      <c r="EY28"/>
      <c r="EZ28"/>
    </row>
    <row r="29" spans="5:156" ht="14.5" x14ac:dyDescent="0.35">
      <c r="L29" s="32"/>
      <c r="M29" s="32"/>
      <c r="S29" s="32"/>
      <c r="T29" s="32"/>
      <c r="BQ29"/>
      <c r="ER29"/>
      <c r="ES29"/>
      <c r="EW29"/>
      <c r="EX29"/>
      <c r="EY29"/>
      <c r="EZ29"/>
    </row>
    <row r="30" spans="5:156" ht="14.5" x14ac:dyDescent="0.35">
      <c r="L30" s="32"/>
      <c r="M30" s="32"/>
      <c r="S30" s="32"/>
      <c r="T30" s="32"/>
      <c r="BQ30"/>
      <c r="ER30"/>
      <c r="ES30"/>
      <c r="EW30"/>
      <c r="EX30"/>
      <c r="EY30"/>
      <c r="EZ30"/>
    </row>
    <row r="31" spans="5:156" ht="14.5" x14ac:dyDescent="0.35">
      <c r="L31" s="32"/>
      <c r="M31" s="32"/>
      <c r="S31" s="32"/>
      <c r="T31" s="32"/>
      <c r="BQ31"/>
      <c r="ER31"/>
      <c r="ES31"/>
      <c r="EW31"/>
      <c r="EX31"/>
      <c r="EY31"/>
      <c r="EZ31"/>
    </row>
    <row r="32" spans="5:156" ht="14.5" x14ac:dyDescent="0.35">
      <c r="L32" s="32"/>
      <c r="M32" s="32"/>
      <c r="S32" s="32"/>
      <c r="T32" s="32"/>
      <c r="BQ32"/>
      <c r="ER32"/>
      <c r="ES32"/>
      <c r="EW32"/>
      <c r="EX32"/>
      <c r="EY32"/>
      <c r="EZ32"/>
    </row>
    <row r="33" spans="12:156" ht="14.5" x14ac:dyDescent="0.35">
      <c r="L33" s="32"/>
      <c r="M33" s="32"/>
      <c r="S33" s="32"/>
      <c r="T33" s="32"/>
      <c r="BQ33"/>
      <c r="ER33"/>
      <c r="ES33"/>
      <c r="EW33"/>
      <c r="EX33"/>
      <c r="EY33"/>
      <c r="EZ33"/>
    </row>
    <row r="34" spans="12:156" ht="14.5" x14ac:dyDescent="0.35">
      <c r="L34" s="32"/>
      <c r="M34" s="32"/>
      <c r="S34" s="32"/>
      <c r="T34" s="32"/>
      <c r="BQ34"/>
      <c r="ER34"/>
      <c r="ES34"/>
      <c r="EW34"/>
      <c r="EX34"/>
      <c r="EY34"/>
      <c r="EZ34"/>
    </row>
    <row r="35" spans="12:156" ht="14.5" x14ac:dyDescent="0.35">
      <c r="L35" s="32"/>
      <c r="M35" s="32"/>
      <c r="S35" s="32"/>
      <c r="T35" s="32"/>
      <c r="BQ35"/>
      <c r="ER35"/>
      <c r="ES35"/>
      <c r="EW35"/>
      <c r="EX35"/>
      <c r="EY35"/>
      <c r="EZ35"/>
    </row>
    <row r="36" spans="12:156" ht="14.5" x14ac:dyDescent="0.35">
      <c r="L36" s="32"/>
      <c r="M36" s="32"/>
      <c r="S36" s="32"/>
      <c r="T36" s="32"/>
      <c r="BQ36"/>
      <c r="ER36"/>
      <c r="ES36"/>
      <c r="EW36"/>
      <c r="EX36"/>
      <c r="EY36"/>
      <c r="EZ36"/>
    </row>
    <row r="37" spans="12:156" ht="14.5" x14ac:dyDescent="0.35">
      <c r="L37" s="32"/>
      <c r="M37" s="32"/>
      <c r="S37" s="32"/>
      <c r="T37" s="32"/>
      <c r="BQ37"/>
      <c r="ER37"/>
      <c r="ES37"/>
      <c r="EW37"/>
      <c r="EX37"/>
      <c r="EY37"/>
      <c r="EZ37"/>
    </row>
    <row r="38" spans="12:156" ht="14.5" x14ac:dyDescent="0.35">
      <c r="L38" s="32"/>
      <c r="M38" s="32"/>
      <c r="S38" s="32"/>
      <c r="T38" s="32"/>
      <c r="BQ38"/>
      <c r="ER38"/>
      <c r="ES38"/>
      <c r="EW38"/>
      <c r="EX38"/>
      <c r="EY38"/>
      <c r="EZ38"/>
    </row>
    <row r="39" spans="12:156" ht="14.5" x14ac:dyDescent="0.35">
      <c r="L39" s="32"/>
      <c r="M39" s="32"/>
      <c r="S39" s="32"/>
      <c r="T39" s="32"/>
      <c r="BQ39"/>
      <c r="ER39"/>
      <c r="ES39"/>
      <c r="EW39"/>
      <c r="EX39"/>
      <c r="EY39"/>
      <c r="EZ39"/>
    </row>
    <row r="40" spans="12:156" ht="14.5" x14ac:dyDescent="0.35">
      <c r="L40" s="32"/>
      <c r="M40" s="32"/>
      <c r="S40" s="32"/>
      <c r="T40" s="32"/>
      <c r="BQ40"/>
      <c r="ER40"/>
      <c r="ES40"/>
      <c r="EW40"/>
      <c r="EX40"/>
      <c r="EY40"/>
      <c r="EZ40"/>
    </row>
    <row r="41" spans="12:156" ht="14.5" x14ac:dyDescent="0.35">
      <c r="L41" s="32"/>
      <c r="M41" s="32"/>
      <c r="S41" s="32"/>
      <c r="T41" s="32"/>
      <c r="BQ41"/>
      <c r="ER41"/>
      <c r="ES41"/>
      <c r="EW41"/>
      <c r="EX41"/>
      <c r="EY41"/>
      <c r="EZ41"/>
    </row>
    <row r="42" spans="12:156" ht="14.5" x14ac:dyDescent="0.35">
      <c r="L42" s="32"/>
      <c r="M42" s="32"/>
      <c r="S42" s="32"/>
      <c r="T42" s="32"/>
      <c r="BQ42"/>
      <c r="ER42"/>
      <c r="ES42"/>
      <c r="EW42"/>
      <c r="EX42"/>
      <c r="EY42"/>
      <c r="EZ42"/>
    </row>
    <row r="43" spans="12:156" ht="14.5" x14ac:dyDescent="0.35">
      <c r="L43" s="32"/>
      <c r="M43" s="32"/>
      <c r="S43" s="32"/>
      <c r="T43" s="32"/>
      <c r="BQ43"/>
      <c r="ER43"/>
      <c r="ES43"/>
      <c r="EW43"/>
      <c r="EX43"/>
      <c r="EY43"/>
      <c r="EZ43"/>
    </row>
    <row r="44" spans="12:156" ht="14.5" x14ac:dyDescent="0.35">
      <c r="L44" s="32"/>
      <c r="M44" s="32"/>
      <c r="S44" s="32"/>
      <c r="T44" s="32"/>
      <c r="BQ44"/>
      <c r="ER44"/>
      <c r="ES44"/>
      <c r="EW44"/>
      <c r="EX44"/>
      <c r="EY44"/>
      <c r="EZ44"/>
    </row>
    <row r="45" spans="12:156" ht="14.5" x14ac:dyDescent="0.35">
      <c r="L45" s="32"/>
      <c r="M45" s="32"/>
      <c r="S45" s="32"/>
      <c r="T45" s="32"/>
      <c r="BQ45"/>
      <c r="ER45"/>
      <c r="ES45"/>
      <c r="EW45"/>
      <c r="EX45"/>
      <c r="EY45"/>
      <c r="EZ45"/>
    </row>
    <row r="46" spans="12:156" ht="14.5" x14ac:dyDescent="0.35">
      <c r="L46" s="32"/>
      <c r="M46" s="32"/>
      <c r="S46" s="32"/>
      <c r="T46" s="32"/>
      <c r="BQ46"/>
      <c r="ER46"/>
      <c r="ES46"/>
      <c r="EW46"/>
      <c r="EX46"/>
      <c r="EY46"/>
      <c r="EZ46"/>
    </row>
    <row r="47" spans="12:156" ht="14.5" x14ac:dyDescent="0.35">
      <c r="L47" s="32"/>
      <c r="M47" s="32"/>
      <c r="S47" s="32"/>
      <c r="T47" s="32"/>
      <c r="BQ47"/>
      <c r="ER47"/>
      <c r="ES47"/>
      <c r="EW47"/>
      <c r="EX47"/>
      <c r="EY47"/>
      <c r="EZ47"/>
    </row>
    <row r="48" spans="12:156" ht="14.5" x14ac:dyDescent="0.35">
      <c r="L48" s="32"/>
      <c r="M48" s="32"/>
      <c r="S48" s="32"/>
      <c r="T48" s="32"/>
      <c r="BQ48"/>
      <c r="ER48"/>
      <c r="ES48"/>
      <c r="EW48"/>
      <c r="EX48"/>
      <c r="EY48"/>
      <c r="EZ48"/>
    </row>
    <row r="49" spans="12:156" ht="14.5" x14ac:dyDescent="0.35">
      <c r="L49" s="32"/>
      <c r="M49" s="32"/>
      <c r="S49" s="32"/>
      <c r="T49" s="32"/>
      <c r="BQ49"/>
      <c r="ER49"/>
      <c r="ES49"/>
      <c r="EW49"/>
      <c r="EX49"/>
      <c r="EY49"/>
      <c r="EZ49"/>
    </row>
    <row r="50" spans="12:156" ht="14.5" x14ac:dyDescent="0.35">
      <c r="L50" s="32"/>
      <c r="M50" s="32"/>
      <c r="S50" s="32"/>
      <c r="T50" s="32"/>
      <c r="BQ50"/>
      <c r="ER50"/>
      <c r="ES50"/>
      <c r="EW50"/>
      <c r="EX50"/>
      <c r="EY50"/>
      <c r="EZ50"/>
    </row>
    <row r="51" spans="12:156" ht="14.5" x14ac:dyDescent="0.35">
      <c r="L51" s="32"/>
      <c r="M51" s="32"/>
      <c r="S51" s="32"/>
      <c r="T51" s="32"/>
      <c r="BQ51"/>
      <c r="EW51"/>
      <c r="EX51"/>
      <c r="EY51"/>
      <c r="EZ51"/>
    </row>
    <row r="52" spans="12:156" ht="14.5" x14ac:dyDescent="0.35">
      <c r="L52" s="32"/>
      <c r="M52" s="32"/>
      <c r="S52" s="32"/>
      <c r="T52" s="32"/>
      <c r="BQ52"/>
      <c r="EW52"/>
      <c r="EX52"/>
      <c r="EY52"/>
      <c r="EZ52"/>
    </row>
    <row r="53" spans="12:156" ht="14.5" x14ac:dyDescent="0.35">
      <c r="L53" s="32"/>
      <c r="M53" s="32"/>
      <c r="S53" s="32"/>
      <c r="T53" s="32"/>
      <c r="BQ53"/>
      <c r="EW53"/>
      <c r="EX53"/>
      <c r="EY53"/>
      <c r="EZ53"/>
    </row>
    <row r="54" spans="12:156" ht="14.5" x14ac:dyDescent="0.35">
      <c r="L54" s="32"/>
      <c r="M54" s="32"/>
      <c r="S54" s="32"/>
      <c r="T54" s="32"/>
      <c r="BQ54"/>
      <c r="EW54"/>
      <c r="EX54"/>
      <c r="EY54"/>
      <c r="EZ54"/>
    </row>
    <row r="55" spans="12:156" ht="14.5" x14ac:dyDescent="0.35">
      <c r="L55" s="32"/>
      <c r="M55" s="32"/>
      <c r="S55" s="32"/>
      <c r="T55" s="32"/>
      <c r="BQ55"/>
      <c r="EW55"/>
      <c r="EX55"/>
      <c r="EY55"/>
      <c r="EZ55"/>
    </row>
    <row r="56" spans="12:156" ht="14.5" x14ac:dyDescent="0.35">
      <c r="BQ56"/>
      <c r="EW56"/>
      <c r="EX56"/>
      <c r="EY56"/>
      <c r="EZ56"/>
    </row>
    <row r="57" spans="12:156" ht="14.5" x14ac:dyDescent="0.35">
      <c r="BQ57"/>
      <c r="EW57"/>
      <c r="EX57"/>
      <c r="EY57"/>
      <c r="EZ57"/>
    </row>
    <row r="58" spans="12:156" ht="14.5" x14ac:dyDescent="0.35">
      <c r="BQ58"/>
    </row>
    <row r="59" spans="12:156" ht="14.5" x14ac:dyDescent="0.35">
      <c r="BQ59"/>
    </row>
    <row r="60" spans="12:156" ht="14.5" x14ac:dyDescent="0.35">
      <c r="BQ60"/>
    </row>
    <row r="61" spans="12:156" ht="14.5" x14ac:dyDescent="0.35">
      <c r="BQ61"/>
    </row>
    <row r="62" spans="12:156" ht="14.5" x14ac:dyDescent="0.35">
      <c r="BQ62"/>
    </row>
    <row r="63" spans="12:156" ht="14.5" x14ac:dyDescent="0.35">
      <c r="BQ63"/>
    </row>
    <row r="64" spans="12:156" ht="14.5" x14ac:dyDescent="0.35">
      <c r="BQ64"/>
    </row>
    <row r="65" spans="69:69" ht="14.5" x14ac:dyDescent="0.35">
      <c r="BQ65"/>
    </row>
    <row r="66" spans="69:69" ht="14.5" x14ac:dyDescent="0.35">
      <c r="BQ66"/>
    </row>
    <row r="67" spans="69:69" ht="14.5" x14ac:dyDescent="0.35">
      <c r="BQ67"/>
    </row>
    <row r="68" spans="69:69" ht="14.5" x14ac:dyDescent="0.35">
      <c r="BQ68"/>
    </row>
    <row r="69" spans="69:69" ht="14.5" x14ac:dyDescent="0.35">
      <c r="BQ69"/>
    </row>
    <row r="70" spans="69:69" ht="14.5" x14ac:dyDescent="0.35">
      <c r="BQ70"/>
    </row>
    <row r="71" spans="69:69" ht="14.5" x14ac:dyDescent="0.35">
      <c r="BQ71"/>
    </row>
    <row r="72" spans="69:69" ht="14.5" x14ac:dyDescent="0.35">
      <c r="BQ72"/>
    </row>
    <row r="73" spans="69:69" ht="14.5" x14ac:dyDescent="0.35">
      <c r="BQ73"/>
    </row>
    <row r="74" spans="69:69" ht="14.5" x14ac:dyDescent="0.35">
      <c r="BQ74"/>
    </row>
    <row r="75" spans="69:69" ht="14.5" x14ac:dyDescent="0.35">
      <c r="BQ75"/>
    </row>
    <row r="76" spans="69:69" ht="14.5" x14ac:dyDescent="0.35">
      <c r="BQ76"/>
    </row>
    <row r="77" spans="69:69" ht="14.5" x14ac:dyDescent="0.35">
      <c r="BQ77"/>
    </row>
    <row r="78" spans="69:69" ht="14.5" x14ac:dyDescent="0.35">
      <c r="BQ78"/>
    </row>
  </sheetData>
  <sheetProtection pivotTables="0"/>
  <sortState xmlns:xlrd2="http://schemas.microsoft.com/office/spreadsheetml/2017/richdata2" ref="CS6:CT11">
    <sortCondition descending="1" ref="CT6:CT11"/>
  </sortState>
  <dataConsolidate/>
  <pageMargins left="0.7" right="0.7" top="0.75" bottom="0.75" header="0.3" footer="0.3"/>
  <pageSetup paperSize="9" orientation="portrait" horizontalDpi="4294967293" verticalDpi="4294967293" r:id="rId27"/>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BZ212323"/>
  <sheetViews>
    <sheetView showGridLines="0" showRowColHeaders="0" zoomScale="70" zoomScaleNormal="70" workbookViewId="0">
      <selection activeCell="V11" sqref="V11"/>
    </sheetView>
  </sheetViews>
  <sheetFormatPr defaultColWidth="8.7265625" defaultRowHeight="14.5" x14ac:dyDescent="0.35"/>
  <cols>
    <col min="1" max="16384" width="8.7265625" style="27"/>
  </cols>
  <sheetData>
    <row r="212323" spans="754:754" x14ac:dyDescent="0.35">
      <c r="ABZ212323" s="53" t="s">
        <v>123</v>
      </c>
    </row>
  </sheetData>
  <sheetProtection selectLockedCells="1"/>
  <pageMargins left="0.7" right="0.7" top="0.75" bottom="0.75" header="0.3" footer="0.3"/>
  <pageSetup paperSize="9" orientation="portrait" horizontalDpi="4294967293" verticalDpi="4294967293"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Database</vt:lpstr>
      <vt:lpstr>Sheet2</vt:lpstr>
      <vt:lpstr>PivotTables</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Yasir Abdullah</dc:creator>
  <cp:lastModifiedBy>Juli Yandi Rahman</cp:lastModifiedBy>
  <dcterms:created xsi:type="dcterms:W3CDTF">2022-06-09T03:58:50Z</dcterms:created>
  <dcterms:modified xsi:type="dcterms:W3CDTF">2024-08-27T03:22:00Z</dcterms:modified>
</cp:coreProperties>
</file>