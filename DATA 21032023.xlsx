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Dashboard Excel DL Jum'at\"/>
    </mc:Choice>
  </mc:AlternateContent>
  <xr:revisionPtr revIDLastSave="0" documentId="13_ncr:1_{59174D26-276A-4104-AB10-7C2D614D2F5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Pivot table" sheetId="2" r:id="rId2"/>
    <sheet name="Sheet4" sheetId="5" r:id="rId3"/>
  </sheets>
  <externalReferences>
    <externalReference r:id="rId4"/>
  </externalReferenc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2" l="1"/>
  <c r="G41" i="2"/>
  <c r="G42" i="2"/>
  <c r="G43" i="2"/>
  <c r="G39" i="2"/>
  <c r="G30" i="2" l="1"/>
  <c r="G31" i="2"/>
  <c r="G32" i="2"/>
  <c r="G33" i="2"/>
  <c r="G34" i="2"/>
  <c r="G5" i="2"/>
  <c r="D28" i="2"/>
  <c r="D26" i="2"/>
  <c r="D24" i="2"/>
  <c r="D13" i="2"/>
  <c r="D11" i="2"/>
  <c r="D9" i="2"/>
  <c r="G3" i="2"/>
  <c r="J57" i="1" l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G39" i="1"/>
  <c r="J39" i="1" s="1"/>
  <c r="I38" i="1"/>
  <c r="J38" i="1" s="1"/>
  <c r="G38" i="1"/>
  <c r="G37" i="1"/>
  <c r="J37" i="1" s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J30" i="1" s="1"/>
  <c r="G30" i="1"/>
  <c r="I29" i="1"/>
  <c r="G29" i="1"/>
  <c r="I28" i="1"/>
  <c r="G28" i="1"/>
  <c r="I27" i="1"/>
  <c r="G27" i="1"/>
  <c r="I26" i="1"/>
  <c r="G26" i="1"/>
  <c r="I25" i="1"/>
  <c r="G25" i="1"/>
  <c r="I24" i="1"/>
  <c r="J24" i="1" s="1"/>
  <c r="G24" i="1"/>
  <c r="I23" i="1"/>
  <c r="G23" i="1"/>
  <c r="I22" i="1"/>
  <c r="G22" i="1"/>
  <c r="G20" i="1"/>
  <c r="J20" i="1" s="1"/>
  <c r="I19" i="1"/>
  <c r="G19" i="1"/>
  <c r="I18" i="1"/>
  <c r="G18" i="1"/>
  <c r="J17" i="1"/>
  <c r="I17" i="1"/>
  <c r="G17" i="1"/>
  <c r="I16" i="1"/>
  <c r="G16" i="1"/>
  <c r="I15" i="1"/>
  <c r="J15" i="1" s="1"/>
  <c r="G15" i="1"/>
  <c r="I14" i="1"/>
  <c r="G14" i="1"/>
  <c r="I13" i="1"/>
  <c r="G13" i="1"/>
  <c r="I12" i="1"/>
  <c r="J12" i="1" s="1"/>
  <c r="G12" i="1"/>
  <c r="I11" i="1"/>
  <c r="J11" i="1" s="1"/>
  <c r="G11" i="1"/>
  <c r="I10" i="1"/>
  <c r="G10" i="1"/>
  <c r="I9" i="1"/>
  <c r="J9" i="1" s="1"/>
  <c r="G9" i="1"/>
  <c r="G8" i="1"/>
  <c r="J8" i="1" s="1"/>
  <c r="I7" i="1"/>
  <c r="G7" i="1"/>
  <c r="I6" i="1"/>
  <c r="J6" i="1" s="1"/>
  <c r="G6" i="1"/>
  <c r="I5" i="1"/>
  <c r="G5" i="1"/>
  <c r="G4" i="1"/>
  <c r="J4" i="1" s="1"/>
  <c r="I3" i="1"/>
  <c r="G3" i="1"/>
  <c r="I2" i="1"/>
  <c r="G2" i="1"/>
  <c r="J23" i="1" l="1"/>
  <c r="J3" i="1"/>
  <c r="J7" i="1"/>
  <c r="J19" i="1"/>
  <c r="J29" i="1"/>
  <c r="J27" i="1"/>
  <c r="J14" i="1"/>
  <c r="J10" i="1"/>
  <c r="J35" i="1"/>
  <c r="J18" i="1"/>
  <c r="J32" i="1"/>
  <c r="J5" i="1"/>
  <c r="J2" i="1"/>
  <c r="J13" i="1"/>
  <c r="J25" i="1"/>
  <c r="J36" i="1"/>
  <c r="J16" i="1"/>
  <c r="J33" i="1"/>
  <c r="J22" i="1"/>
  <c r="J26" i="1"/>
  <c r="J34" i="1"/>
  <c r="J31" i="1"/>
  <c r="J28" i="1"/>
</calcChain>
</file>

<file path=xl/sharedStrings.xml><?xml version="1.0" encoding="utf-8"?>
<sst xmlns="http://schemas.openxmlformats.org/spreadsheetml/2006/main" count="879" uniqueCount="109">
  <si>
    <t>BULAN</t>
  </si>
  <si>
    <t>KODE SUB KEGIATAN</t>
  </si>
  <si>
    <t>SUB KEGIATAN</t>
  </si>
  <si>
    <t>ANGGARAN</t>
  </si>
  <si>
    <t>TARGET (RP)</t>
  </si>
  <si>
    <t>TARGET (%)</t>
  </si>
  <si>
    <t>REALISASI (RP)</t>
  </si>
  <si>
    <t>REALISASI (%)</t>
  </si>
  <si>
    <t>DEVIASI (%)</t>
  </si>
  <si>
    <t>STATUS REALISASI</t>
  </si>
  <si>
    <t>OUTPUT KEGIATAN</t>
  </si>
  <si>
    <t>KETERANGAN</t>
  </si>
  <si>
    <t>Jan</t>
  </si>
  <si>
    <t>4.01.01.1.01.01</t>
  </si>
  <si>
    <t>Penyusunan Dokumen Perencanaan Perangkat Daerah</t>
  </si>
  <si>
    <t>TIDAK TERCAPAI</t>
  </si>
  <si>
    <t>TIDAK ADA</t>
  </si>
  <si>
    <t>BELUM ADA SK PPK DAN BPP</t>
  </si>
  <si>
    <t>4.01.01.1.01.06</t>
  </si>
  <si>
    <t xml:space="preserve"> Koordinasi dan Penyusunan Laporan Capaian Kinerja dan
Ikhtisar Realisasi Kinerja SKPD3</t>
  </si>
  <si>
    <t>4.01.01.1.05.09</t>
  </si>
  <si>
    <t>Pendidikan dan Pelatihan Pegawai Berdasarkan Tugas dan
Fungsi</t>
  </si>
  <si>
    <t>TERCAPAI</t>
  </si>
  <si>
    <t>4.01.01.1.06.02</t>
  </si>
  <si>
    <t>Penyediaan Peralatan dan Perlengkapan Kantor</t>
  </si>
  <si>
    <t>4.01.01.1.06.05</t>
  </si>
  <si>
    <t>Penyediaan Barang Cetakan dan Penggandaan</t>
  </si>
  <si>
    <t>4.01.01.1.06.09</t>
  </si>
  <si>
    <t>Penyelenggaraan Rapat Koordinasi dan Konsultasi SKPD</t>
  </si>
  <si>
    <t>4.01.01.1.08.02</t>
  </si>
  <si>
    <t>Penyediaan Jasa Komunikasi, Sumber Daya Air dan Listrik</t>
  </si>
  <si>
    <t xml:space="preserve">4.01.01.1.08.03 </t>
  </si>
  <si>
    <t>Penyediaan Jasa Peralatan dan Perlengkapan Kantor</t>
  </si>
  <si>
    <t>4.01.01.1.08.04</t>
  </si>
  <si>
    <t>Penyediaan Jasa Pelayanan Umum Kantor</t>
  </si>
  <si>
    <t>4.01.07.1.01.01</t>
  </si>
  <si>
    <t>Pengelolaan Strategi Pengadaan Barang dan Jasa</t>
  </si>
  <si>
    <t>4.01.07.1.01.02</t>
  </si>
  <si>
    <t>Pelaksanaan Pengadaan Barang dan Jasa</t>
  </si>
  <si>
    <t xml:space="preserve">4.01.07.1.01.03 </t>
  </si>
  <si>
    <t>Pemantauan dan Evaluasi Pengadaan Barang dan Jasa</t>
  </si>
  <si>
    <t>4.01.07.1.02.01</t>
  </si>
  <si>
    <t>Pengelolaan Sistem Pengadaan Secara Elektronik</t>
  </si>
  <si>
    <t>4.01.07.1.02.02</t>
  </si>
  <si>
    <t>Pengembangan Sistem Informasi Pengadaan Barang dan Jasa</t>
  </si>
  <si>
    <t>4.01.07.1.02.03</t>
  </si>
  <si>
    <t>Pengelolaan Informasi Pengadaan Barang dan Jasa</t>
  </si>
  <si>
    <t>4.01.07.1.03.01</t>
  </si>
  <si>
    <t>Pembinaan Sumber Daya Manusia Pengadaan Barang dan
Jasa</t>
  </si>
  <si>
    <t>4.01.07.1.03.02</t>
  </si>
  <si>
    <t>Pembinaan Kelembagaan Pengadaan Barang dan Jasa</t>
  </si>
  <si>
    <t xml:space="preserve">4.01.07.1.03.03 </t>
  </si>
  <si>
    <t>Pendampingan, Konsultasi, dan/atau Bimbingan Teknis
Pengadaan Barang dan Jasa</t>
  </si>
  <si>
    <t>Feb</t>
  </si>
  <si>
    <t xml:space="preserve">BELANJA MAMIN KEGIATAN RAPAT PENYUSUNAN CASCADING KINERJA PADA BIRO PBJ </t>
  </si>
  <si>
    <t>PENINGKATAN PROGRESS REALISASI</t>
  </si>
  <si>
    <t>BELANJA MAMIN KEGIATAN RAPAT PERSIAPAN PELAKSANAAN KEGIATAN TA 2023 TERKAIT PENATAUSAHAAN KEUANGAN DAN PELAKSANAAN KEGIATAN</t>
  </si>
  <si>
    <t>BELANJA BIMTEK PENINGKATAN KOMPETENSI DALAM PEMILIHAN PENYEDIA, PELAKSANAAN P3DN, DAN PERSIAPAN PEMERIKSAAN/ AUDIT PENGADAAN BARANG/JASA</t>
  </si>
  <si>
    <t>MASIH DALAM PROSES PENGADAAN</t>
  </si>
  <si>
    <t>BELANJA KARANGAN BUNGA UNTUK UCAPAN BERDUKA CITA ATAS MENINGGALNYA IBU DARI BAPAK IR. ISKANDAR</t>
  </si>
  <si>
    <t>BELANJA MAMIN DAN PERJALANAN DINAS</t>
  </si>
  <si>
    <t>BELANJA PERJALANAN DINAS</t>
  </si>
  <si>
    <t>BELANJA PERJALANAN DINAS DAN HONOR TENAGA NON TEKNIS</t>
  </si>
  <si>
    <t>BELANJA HONOR TENAGA NON TEKNIS</t>
  </si>
  <si>
    <t>Mar</t>
  </si>
  <si>
    <t>Apr</t>
  </si>
  <si>
    <t>Mei</t>
  </si>
  <si>
    <t>Juni</t>
  </si>
  <si>
    <t>Juli</t>
  </si>
  <si>
    <t>Agustus</t>
  </si>
  <si>
    <t>Sept</t>
  </si>
  <si>
    <t>Okt</t>
  </si>
  <si>
    <t>Nov</t>
  </si>
  <si>
    <t>Des</t>
  </si>
  <si>
    <t>ID</t>
  </si>
  <si>
    <t>Row Labels</t>
  </si>
  <si>
    <t>(blank)</t>
  </si>
  <si>
    <t>Grand Total</t>
  </si>
  <si>
    <t>Sum of ANGGARAN</t>
  </si>
  <si>
    <t>Sum of REALISASI (RP)</t>
  </si>
  <si>
    <t>Okay kak nanti outputnya di dasboardnya</t>
  </si>
  <si>
    <t>1. Total realisasi</t>
  </si>
  <si>
    <t>2. Total anggaran</t>
  </si>
  <si>
    <t>3. Realisasi per bulan (grafik)</t>
  </si>
  <si>
    <t>4. Realisasi per sub kegiatan</t>
  </si>
  <si>
    <t>5. Deviasi (grafik)</t>
  </si>
  <si>
    <t>6. Perbandingan target dan realisasi</t>
  </si>
  <si>
    <t>7. Realisasi tercapai dan tidak tercapai</t>
  </si>
  <si>
    <t>8. Output kegiatan</t>
  </si>
  <si>
    <t>9. Keterangan</t>
  </si>
  <si>
    <t>Sum of REALISASI (%)</t>
  </si>
  <si>
    <t>Sum of DEVIASI (%)</t>
  </si>
  <si>
    <t>Sum of TARGET (%)</t>
  </si>
  <si>
    <t>Count of KODE SUB KEGIATAN</t>
  </si>
  <si>
    <t>Min</t>
  </si>
  <si>
    <t>Max</t>
  </si>
  <si>
    <t>Average</t>
  </si>
  <si>
    <t>average</t>
  </si>
  <si>
    <t>Anggaran Per Output Kegiatan</t>
  </si>
  <si>
    <t>Realisasi Per Bulan</t>
  </si>
  <si>
    <t>Total Realisasi</t>
  </si>
  <si>
    <t>Total Deviasi</t>
  </si>
  <si>
    <t>Total Anggaran</t>
  </si>
  <si>
    <t>Status Realisasi Per Kegiatan</t>
  </si>
  <si>
    <t>Perbandingan Realisasi dan Target</t>
  </si>
  <si>
    <t>Keterangan Per Kegiatan</t>
  </si>
  <si>
    <t>Realisasi Per Sub Kegiatan</t>
  </si>
  <si>
    <t>5 Belanja dengan Realisasi Tertinggi</t>
  </si>
  <si>
    <t>5 Belanja dengan Realisasi 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</si>
</sst>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/>
      <bottom style="thin">
        <color theme="5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21" fontId="0" fillId="3" borderId="1" xfId="0" applyNumberFormat="1" applyFill="1" applyBorder="1"/>
    <xf numFmtId="42" fontId="0" fillId="0" borderId="0" xfId="0" applyNumberFormat="1"/>
    <xf numFmtId="10" fontId="0" fillId="0" borderId="0" xfId="1" applyNumberFormat="1" applyFont="1" applyAlignment="1">
      <alignment horizontal="center" vertic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horizontal="left" wrapText="1"/>
    </xf>
    <xf numFmtId="9" fontId="0" fillId="0" borderId="0" xfId="1" applyFont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vertical="center"/>
    </xf>
    <xf numFmtId="0" fontId="0" fillId="0" borderId="0" xfId="0" pivotButton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13" xfId="0" applyNumberFormat="1" applyBorder="1"/>
    <xf numFmtId="0" fontId="0" fillId="4" borderId="0" xfId="0" applyFill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14" xfId="0" applyBorder="1"/>
    <xf numFmtId="2" fontId="0" fillId="0" borderId="14" xfId="0" applyNumberFormat="1" applyBorder="1"/>
    <xf numFmtId="9" fontId="0" fillId="0" borderId="14" xfId="0" applyNumberFormat="1" applyBorder="1"/>
    <xf numFmtId="0" fontId="0" fillId="0" borderId="0" xfId="0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21" fontId="0" fillId="3" borderId="3" xfId="0" applyNumberFormat="1" applyFill="1" applyBorder="1" applyAlignment="1">
      <alignment horizontal="left" wrapText="1"/>
    </xf>
    <xf numFmtId="21" fontId="0" fillId="3" borderId="4" xfId="0" applyNumberFormat="1" applyFill="1" applyBorder="1" applyAlignment="1">
      <alignment horizontal="left" wrapText="1"/>
    </xf>
    <xf numFmtId="42" fontId="0" fillId="0" borderId="0" xfId="0" applyNumberFormat="1" applyAlignment="1">
      <alignment horizontal="left" wrapText="1"/>
    </xf>
    <xf numFmtId="10" fontId="0" fillId="0" borderId="0" xfId="1" applyNumberFormat="1" applyFont="1" applyAlignment="1">
      <alignment horizontal="center" vertical="center"/>
    </xf>
    <xf numFmtId="42" fontId="0" fillId="0" borderId="0" xfId="0" applyNumberFormat="1" applyAlignment="1">
      <alignment horizontal="center" wrapText="1"/>
    </xf>
    <xf numFmtId="9" fontId="0" fillId="0" borderId="0" xfId="1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/>
    <xf numFmtId="0" fontId="0" fillId="0" borderId="0" xfId="0" applyNumberFormat="1"/>
    <xf numFmtId="0" fontId="4" fillId="0" borderId="0" xfId="0" applyFont="1" applyAlignment="1">
      <alignment horizontal="center"/>
    </xf>
    <xf numFmtId="164" fontId="0" fillId="0" borderId="0" xfId="0" applyNumberFormat="1" applyBorder="1"/>
    <xf numFmtId="164" fontId="0" fillId="0" borderId="0" xfId="0" applyNumberFormat="1"/>
  </cellXfs>
  <cellStyles count="3">
    <cellStyle name="Normal" xfId="0" builtinId="0"/>
    <cellStyle name="Normal 2" xfId="2" xr:uid="{3387507E-084F-4C20-B25C-F5E449454265}"/>
    <cellStyle name="Percent" xfId="1" builtinId="5"/>
  </cellStyles>
  <dxfs count="3">
    <dxf>
      <numFmt numFmtId="164" formatCode="&quot;Rp&quot;#,##0"/>
    </dxf>
    <dxf>
      <font>
        <color theme="0"/>
      </font>
      <fill>
        <patternFill>
          <bgColor rgb="FFA5C2E3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rgb="FF362F48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Navy 2" pivot="0" table="0" count="10" xr9:uid="{496869F5-60B3-4917-AA52-C8790FC4690A}">
      <tableStyleElement type="wholeTable" dxfId="2"/>
      <tableStyleElement type="headerRow" dxfId="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0"/>
          </font>
          <fill>
            <patternFill patternType="solid">
              <fgColor auto="1"/>
              <bgColor rgb="FFDB2D4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2"/>
            <color theme="1" tint="4.9989318521683403E-2"/>
          </font>
          <fill>
            <patternFill patternType="solid">
              <fgColor auto="1"/>
              <bgColor rgb="FFDB2D4A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2"/>
            <color theme="0"/>
          </font>
          <fill>
            <patternFill patternType="solid">
              <fgColor theme="4" tint="0.59999389629810485"/>
              <bgColor rgb="FF362F4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rgb="FFFFFFFF"/>
              <bgColor rgb="FF362F48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Navy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table!PivotTable8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2"/>
          </a:solidFill>
        </c:spPr>
      </c:pivotFmt>
    </c:pivotFmts>
    <c:plotArea>
      <c:layout/>
      <c:doughnutChart>
        <c:varyColors val="1"/>
        <c:ser>
          <c:idx val="1"/>
          <c:order val="0"/>
          <c:tx>
            <c:strRef>
              <c:f>'Pivot table'!$F$9</c:f>
              <c:strCache>
                <c:ptCount val="1"/>
                <c:pt idx="0">
                  <c:v>Total</c:v>
                </c:pt>
              </c:strCache>
            </c:strRef>
          </c:tx>
          <c:dPt>
            <c:idx val="1"/>
            <c:bubble3D val="0"/>
            <c:spPr>
              <a:solidFill>
                <a:schemeClr val="bg2"/>
              </a:solidFill>
            </c:spPr>
            <c:extLst>
              <c:ext xmlns:c16="http://schemas.microsoft.com/office/drawing/2014/chart" uri="{C3380CC4-5D6E-409C-BE32-E72D297353CC}">
                <c16:uniqueId val="{00000018-0EB2-4556-BB35-18F3432E4A74}"/>
              </c:ext>
            </c:extLst>
          </c:dPt>
          <c:cat>
            <c:strRef>
              <c:f>'Pivot table'!$E$10:$E$12</c:f>
              <c:strCache>
                <c:ptCount val="2"/>
                <c:pt idx="0">
                  <c:v>TERCAPAI</c:v>
                </c:pt>
                <c:pt idx="1">
                  <c:v>TIDAK TERCAPAI</c:v>
                </c:pt>
              </c:strCache>
            </c:strRef>
          </c:cat>
          <c:val>
            <c:numRef>
              <c:f>'Pivot table'!$F$10:$F$12</c:f>
              <c:numCache>
                <c:formatCode>General</c:formatCode>
                <c:ptCount val="2"/>
                <c:pt idx="0">
                  <c:v>14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EB2-4556-BB35-18F3432E4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noFill/>
    <a:ln>
      <a:solidFill>
        <a:schemeClr val="bg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table!PivotTable8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2"/>
          </a:solidFill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table'!$F$9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/>
              </a:solidFill>
            </c:spPr>
            <c:extLst>
              <c:ext xmlns:c16="http://schemas.microsoft.com/office/drawing/2014/chart" uri="{C3380CC4-5D6E-409C-BE32-E72D297353CC}">
                <c16:uniqueId val="{0000000E-BF00-4B99-A700-27472CA314DF}"/>
              </c:ext>
            </c:extLst>
          </c:dPt>
          <c:cat>
            <c:strRef>
              <c:f>'Pivot table'!$E$10:$E$12</c:f>
              <c:strCache>
                <c:ptCount val="2"/>
                <c:pt idx="0">
                  <c:v>TERCAPAI</c:v>
                </c:pt>
                <c:pt idx="1">
                  <c:v>TIDAK TERCAPAI</c:v>
                </c:pt>
              </c:strCache>
            </c:strRef>
          </c:cat>
          <c:val>
            <c:numRef>
              <c:f>'Pivot table'!$F$10:$F$12</c:f>
              <c:numCache>
                <c:formatCode>General</c:formatCode>
                <c:ptCount val="2"/>
                <c:pt idx="0">
                  <c:v>14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F00-4B99-A700-27472CA31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gap"/>
    <c:showDLblsOverMax val="0"/>
    <c:extLst/>
  </c:chart>
  <c:spPr>
    <a:ln>
      <a:solidFill>
        <a:schemeClr val="bg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table!PivotTable12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C1E-4693-8B2A-FD026E25BBD6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E-4693-8B2A-FD026E25BBD6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1E-4693-8B2A-FD026E25BB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table'!$E$22:$E$26</c:f>
              <c:strCache>
                <c:ptCount val="4"/>
                <c:pt idx="0">
                  <c:v>BELUM ADA SK PPK DAN BPP</c:v>
                </c:pt>
                <c:pt idx="1">
                  <c:v>MASIH DALAM PROSES PENGADAAN</c:v>
                </c:pt>
                <c:pt idx="2">
                  <c:v>PENINGKATAN PROGRESS REALISASI</c:v>
                </c:pt>
                <c:pt idx="3">
                  <c:v>(blank)</c:v>
                </c:pt>
              </c:strCache>
            </c:strRef>
          </c:cat>
          <c:val>
            <c:numRef>
              <c:f>'Pivot table'!$F$22:$F$26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12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E-4693-8B2A-FD026E25BB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9246431"/>
        <c:axId val="1650608655"/>
      </c:barChart>
      <c:catAx>
        <c:axId val="1749246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08655"/>
        <c:crosses val="autoZero"/>
        <c:auto val="1"/>
        <c:lblAlgn val="ctr"/>
        <c:lblOffset val="100"/>
        <c:noMultiLvlLbl val="0"/>
      </c:catAx>
      <c:valAx>
        <c:axId val="165060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4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table!PivotTable3</c:name>
    <c:fmtId val="10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table'!$F$3</c:f>
              <c:numCache>
                <c:formatCode>General</c:formatCode>
                <c:ptCount val="1"/>
                <c:pt idx="0">
                  <c:v>31498488837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B-4E7C-AB39-02D69FCC0C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9269167"/>
        <c:axId val="1655369599"/>
      </c:barChart>
      <c:catAx>
        <c:axId val="17492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369599"/>
        <c:crosses val="autoZero"/>
        <c:auto val="1"/>
        <c:lblAlgn val="ctr"/>
        <c:lblOffset val="100"/>
        <c:noMultiLvlLbl val="0"/>
      </c:catAx>
      <c:valAx>
        <c:axId val="165536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6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table!PivotTable9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table'!$E$16</c:f>
              <c:strCache>
                <c:ptCount val="1"/>
                <c:pt idx="0">
                  <c:v>Sum of REALISASI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table'!$E$17</c:f>
              <c:numCache>
                <c:formatCode>General</c:formatCode>
                <c:ptCount val="1"/>
                <c:pt idx="0">
                  <c:v>22.697964341663717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1A-4570-A717-A83EC3207E4A}"/>
            </c:ext>
          </c:extLst>
        </c:ser>
        <c:ser>
          <c:idx val="1"/>
          <c:order val="1"/>
          <c:tx>
            <c:strRef>
              <c:f>'Pivot table'!$F$16</c:f>
              <c:strCache>
                <c:ptCount val="1"/>
                <c:pt idx="0">
                  <c:v>Sum of TARGET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table'!$F$17</c:f>
              <c:numCache>
                <c:formatCode>General</c:formatCode>
                <c:ptCount val="1"/>
                <c:pt idx="0">
                  <c:v>5.3217146024264572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1A-4570-A717-A83EC3207E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9034383"/>
        <c:axId val="1608987215"/>
      </c:barChart>
      <c:catAx>
        <c:axId val="174903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87215"/>
        <c:crosses val="autoZero"/>
        <c:auto val="1"/>
        <c:lblAlgn val="ctr"/>
        <c:lblOffset val="100"/>
        <c:noMultiLvlLbl val="0"/>
      </c:catAx>
      <c:valAx>
        <c:axId val="160898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03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70E1-4AFD-9F7E-FBE199DFA37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70E1-4AFD-9F7E-FBE199DFA3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table'!$B$9:$B$21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</c:v>
                </c:pt>
                <c:pt idx="9">
                  <c:v>Okt</c:v>
                </c:pt>
                <c:pt idx="10">
                  <c:v>Nov</c:v>
                </c:pt>
                <c:pt idx="11">
                  <c:v>Des</c:v>
                </c:pt>
              </c:strCache>
            </c:strRef>
          </c:cat>
          <c:val>
            <c:numRef>
              <c:f>'Pivot table'!$C$9:$C$21</c:f>
              <c:numCache>
                <c:formatCode>General</c:formatCode>
                <c:ptCount val="12"/>
                <c:pt idx="0">
                  <c:v>0</c:v>
                </c:pt>
                <c:pt idx="1">
                  <c:v>434250614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1-4AFD-9F7E-FBE199DFA3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1554663311"/>
        <c:axId val="1367928351"/>
        <c:axId val="1751699663"/>
      </c:bar3DChart>
      <c:catAx>
        <c:axId val="1554663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8351"/>
        <c:crosses val="autoZero"/>
        <c:auto val="1"/>
        <c:lblAlgn val="ctr"/>
        <c:lblOffset val="100"/>
        <c:noMultiLvlLbl val="0"/>
      </c:catAx>
      <c:valAx>
        <c:axId val="13679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663311"/>
        <c:crosses val="autoZero"/>
        <c:crossBetween val="between"/>
      </c:valAx>
      <c:serAx>
        <c:axId val="175169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8351"/>
        <c:crosses val="autoZero"/>
      </c:ser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table!PivotTable10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  <a:sp3d/>
        </c:spPr>
        <c:dLbl>
          <c:idx val="0"/>
          <c:layout>
            <c:manualLayout>
              <c:x val="-5.7581573896354574E-3"/>
              <c:y val="-1.47488666189453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6333973128598848"/>
                  <c:h val="0.12856060606060607"/>
                </c:manualLayout>
              </c15:layout>
            </c:ext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414587332053742"/>
                  <c:h val="0.18916666666666668"/>
                </c:manualLayout>
              </c15:layout>
            </c:ext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  <a:sp3d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00B050"/>
          </a:solidFill>
          <a:ln>
            <a:noFill/>
          </a:ln>
          <a:effectLst/>
          <a:sp3d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  <a:sp3d/>
        </c:spPr>
      </c:pivotFmt>
      <c:pivotFmt>
        <c:idx val="13"/>
        <c:spPr>
          <a:solidFill>
            <a:srgbClr val="0070C0"/>
          </a:solidFill>
          <a:ln>
            <a:noFill/>
          </a:ln>
          <a:effectLst/>
          <a:sp3d/>
        </c:spPr>
      </c:pivotFmt>
      <c:pivotFmt>
        <c:idx val="14"/>
        <c:spPr>
          <a:solidFill>
            <a:srgbClr val="002060"/>
          </a:solidFill>
          <a:ln>
            <a:noFill/>
          </a:ln>
          <a:effectLst/>
          <a:sp3d/>
        </c:spPr>
      </c:pivotFmt>
      <c:pivotFmt>
        <c:idx val="15"/>
        <c:spPr>
          <a:solidFill>
            <a:srgbClr val="7030A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9526105910580922"/>
          <c:y val="6.896921975662133E-3"/>
          <c:w val="0.46276465441819775"/>
          <c:h val="0.8416746864975212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table'!$C$23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0A1D-446C-8C68-DEC68AF81B8F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8-0A1D-446C-8C68-DEC68AF81B8F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0A1D-446C-8C68-DEC68AF81B8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6-0A1D-446C-8C68-DEC68AF81B8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0A1D-446C-8C68-DEC68AF81B8F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0A1D-446C-8C68-DEC68AF81B8F}"/>
              </c:ext>
            </c:extLst>
          </c:dPt>
          <c:dPt>
            <c:idx val="7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0A1D-446C-8C68-DEC68AF81B8F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A1D-446C-8C68-DEC68AF81B8F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A1D-446C-8C68-DEC68AF81B8F}"/>
              </c:ext>
            </c:extLst>
          </c:dPt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14587332053742"/>
                      <c:h val="0.189166666666666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A1D-446C-8C68-DEC68AF81B8F}"/>
                </c:ext>
              </c:extLst>
            </c:dLbl>
            <c:dLbl>
              <c:idx val="9"/>
              <c:layout>
                <c:manualLayout>
                  <c:x val="-5.7581573896354574E-3"/>
                  <c:y val="-1.4748866618945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33973128598848"/>
                      <c:h val="0.128560606060606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A1D-446C-8C68-DEC68AF81B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table'!$B$24:$B$34</c:f>
              <c:strCache>
                <c:ptCount val="10"/>
                <c:pt idx="0">
                  <c:v>BELANJA BIMTEK PENINGKATAN KOMPETENSI DALAM PEMILIHAN PENYEDIA, PELAKSANAAN P3DN, DAN PERSIAPAN PEMERIKSAAN/ AUDIT PENGADAAN BARANG/JASA</c:v>
                </c:pt>
                <c:pt idx="1">
                  <c:v>BELANJA HONOR TENAGA NON TEKNIS</c:v>
                </c:pt>
                <c:pt idx="2">
                  <c:v>BELANJA KARANGAN BUNGA UNTUK UCAPAN BERDUKA CITA ATAS MENINGGALNYA IBU DARI BAPAK IR. ISKANDAR</c:v>
                </c:pt>
                <c:pt idx="3">
                  <c:v>BELANJA MAMIN DAN PERJALANAN DINAS</c:v>
                </c:pt>
                <c:pt idx="4">
                  <c:v>BELANJA MAMIN KEGIATAN RAPAT PENYUSUNAN CASCADING KINERJA PADA BIRO PBJ </c:v>
                </c:pt>
                <c:pt idx="5">
                  <c:v>BELANJA MAMIN KEGIATAN RAPAT PERSIAPAN PELAKSANAAN KEGIATAN TA 2023 TERKAIT PENATAUSAHAAN KEUANGAN DAN PELAKSANAAN KEGIATAN</c:v>
                </c:pt>
                <c:pt idx="6">
                  <c:v>BELANJA PERJALANAN DINAS</c:v>
                </c:pt>
                <c:pt idx="7">
                  <c:v>BELANJA PERJALANAN DINAS DAN HONOR TENAGA NON TEKNIS</c:v>
                </c:pt>
                <c:pt idx="8">
                  <c:v>TIDAK ADA</c:v>
                </c:pt>
                <c:pt idx="9">
                  <c:v>(blank)</c:v>
                </c:pt>
              </c:strCache>
            </c:strRef>
          </c:cat>
          <c:val>
            <c:numRef>
              <c:f>'Pivot table'!$C$24:$C$34</c:f>
              <c:numCache>
                <c:formatCode>General</c:formatCode>
                <c:ptCount val="10"/>
                <c:pt idx="0">
                  <c:v>200000000</c:v>
                </c:pt>
                <c:pt idx="1">
                  <c:v>495000000</c:v>
                </c:pt>
                <c:pt idx="2">
                  <c:v>69707400</c:v>
                </c:pt>
                <c:pt idx="3">
                  <c:v>1652824179</c:v>
                </c:pt>
                <c:pt idx="4">
                  <c:v>7590000</c:v>
                </c:pt>
                <c:pt idx="5">
                  <c:v>77000000</c:v>
                </c:pt>
                <c:pt idx="6">
                  <c:v>488700000</c:v>
                </c:pt>
                <c:pt idx="7">
                  <c:v>2349400000</c:v>
                </c:pt>
                <c:pt idx="8">
                  <c:v>15658770979</c:v>
                </c:pt>
                <c:pt idx="9">
                  <c:v>10499496279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D-446C-8C68-DEC68AF81B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70319167"/>
        <c:axId val="1435530783"/>
        <c:axId val="0"/>
      </c:bar3DChart>
      <c:catAx>
        <c:axId val="1970319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30783"/>
        <c:crosses val="autoZero"/>
        <c:auto val="1"/>
        <c:lblAlgn val="ctr"/>
        <c:lblOffset val="100"/>
        <c:noMultiLvlLbl val="0"/>
      </c:catAx>
      <c:valAx>
        <c:axId val="143553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31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21032023.xlsx]Pivot table!PivotTable6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table'!$I$2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table'!$H$3:$H$21</c:f>
              <c:strCache>
                <c:ptCount val="18"/>
                <c:pt idx="0">
                  <c:v> Koordinasi dan Penyusunan Laporan Capaian Kinerja dan
Ikhtisar Realisasi Kinerja SKPD3</c:v>
                </c:pt>
                <c:pt idx="1">
                  <c:v>Pelaksanaan Pengadaan Barang dan Jasa</c:v>
                </c:pt>
                <c:pt idx="2">
                  <c:v>Pemantauan dan Evaluasi Pengadaan Barang dan Jasa</c:v>
                </c:pt>
                <c:pt idx="3">
                  <c:v>Pembinaan Kelembagaan Pengadaan Barang dan Jasa</c:v>
                </c:pt>
                <c:pt idx="4">
                  <c:v>Pembinaan Sumber Daya Manusia Pengadaan Barang dan
Jasa</c:v>
                </c:pt>
                <c:pt idx="5">
                  <c:v>Pendampingan, Konsultasi, dan/atau Bimbingan Teknis
Pengadaan Barang dan Jasa</c:v>
                </c:pt>
                <c:pt idx="6">
                  <c:v>Pendidikan dan Pelatihan Pegawai Berdasarkan Tugas dan
Fungsi</c:v>
                </c:pt>
                <c:pt idx="7">
                  <c:v>Pengelolaan Informasi Pengadaan Barang dan Jasa</c:v>
                </c:pt>
                <c:pt idx="8">
                  <c:v>Pengelolaan Sistem Pengadaan Secara Elektronik</c:v>
                </c:pt>
                <c:pt idx="9">
                  <c:v>Pengelolaan Strategi Pengadaan Barang dan Jasa</c:v>
                </c:pt>
                <c:pt idx="10">
                  <c:v>Pengembangan Sistem Informasi Pengadaan Barang dan Jasa</c:v>
                </c:pt>
                <c:pt idx="11">
                  <c:v>Penyediaan Barang Cetakan dan Penggandaan</c:v>
                </c:pt>
                <c:pt idx="12">
                  <c:v>Penyediaan Jasa Komunikasi, Sumber Daya Air dan Listrik</c:v>
                </c:pt>
                <c:pt idx="13">
                  <c:v>Penyediaan Jasa Pelayanan Umum Kantor</c:v>
                </c:pt>
                <c:pt idx="14">
                  <c:v>Penyediaan Jasa Peralatan dan Perlengkapan Kantor</c:v>
                </c:pt>
                <c:pt idx="15">
                  <c:v>Penyediaan Peralatan dan Perlengkapan Kantor</c:v>
                </c:pt>
                <c:pt idx="16">
                  <c:v>Penyelenggaraan Rapat Koordinasi dan Konsultasi SKPD</c:v>
                </c:pt>
                <c:pt idx="17">
                  <c:v>Penyusunan Dokumen Perencanaan Perangkat Daerah</c:v>
                </c:pt>
              </c:strCache>
            </c:strRef>
          </c:cat>
          <c:val>
            <c:numRef>
              <c:f>'Pivot table'!$I$3:$I$21</c:f>
              <c:numCache>
                <c:formatCode>General</c:formatCode>
                <c:ptCount val="18"/>
                <c:pt idx="0">
                  <c:v>2300000</c:v>
                </c:pt>
                <c:pt idx="1">
                  <c:v>87925343</c:v>
                </c:pt>
                <c:pt idx="2">
                  <c:v>19352060</c:v>
                </c:pt>
                <c:pt idx="3">
                  <c:v>19831322</c:v>
                </c:pt>
                <c:pt idx="4">
                  <c:v>16011519</c:v>
                </c:pt>
                <c:pt idx="5">
                  <c:v>13908640</c:v>
                </c:pt>
                <c:pt idx="6">
                  <c:v>46500000</c:v>
                </c:pt>
                <c:pt idx="7">
                  <c:v>20633000</c:v>
                </c:pt>
                <c:pt idx="8">
                  <c:v>22730400</c:v>
                </c:pt>
                <c:pt idx="9">
                  <c:v>12172840</c:v>
                </c:pt>
                <c:pt idx="10">
                  <c:v>32838000</c:v>
                </c:pt>
                <c:pt idx="11">
                  <c:v>25600000</c:v>
                </c:pt>
                <c:pt idx="12">
                  <c:v>13053340</c:v>
                </c:pt>
                <c:pt idx="13">
                  <c:v>4088225</c:v>
                </c:pt>
                <c:pt idx="14">
                  <c:v>3600000</c:v>
                </c:pt>
                <c:pt idx="15">
                  <c:v>31102500</c:v>
                </c:pt>
                <c:pt idx="16">
                  <c:v>62130300</c:v>
                </c:pt>
                <c:pt idx="17">
                  <c:v>473125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7-4264-A4C7-B5FC49B6E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391087"/>
        <c:axId val="1550413583"/>
      </c:radarChart>
      <c:catAx>
        <c:axId val="197039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13583"/>
        <c:crosses val="autoZero"/>
        <c:auto val="1"/>
        <c:lblAlgn val="ctr"/>
        <c:lblOffset val="100"/>
        <c:noMultiLvlLbl val="0"/>
      </c:catAx>
      <c:valAx>
        <c:axId val="155041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39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hyperlink" Target="https://dvmed.com/Carprieve-Injection-50mgmL-20mL-Vial_p_163.html" TargetMode="External"/><Relationship Id="rId18" Type="http://schemas.openxmlformats.org/officeDocument/2006/relationships/chart" Target="../charts/chart8.xml"/><Relationship Id="rId3" Type="http://schemas.openxmlformats.org/officeDocument/2006/relationships/hyperlink" Target="https://pixabay.com/th/vectors/%E0%B8%AA%E0%B8%81%E0%B8%B8%E0%B8%A5%E0%B9%80%E0%B8%87%E0%B8%B4%E0%B8%99-%E0%B8%94%E0%B8%AD%E0%B8%A5%E0%B8%A5%E0%B9%88%E0%B8%B2-%E0%B8%A2%E0%B8%B9%E0%B9%82%E0%B8%A3-%E0%B9%80%E0%B8%A2%E0%B8%99-%E0%B8%9B%E0%B8%AD%E0%B8%99%E0%B8%94%E0%B9%8C-1680786/" TargetMode="External"/><Relationship Id="rId7" Type="http://schemas.openxmlformats.org/officeDocument/2006/relationships/image" Target="../media/image3.png"/><Relationship Id="rId12" Type="http://schemas.openxmlformats.org/officeDocument/2006/relationships/image" Target="../media/image5.png"/><Relationship Id="rId17" Type="http://schemas.openxmlformats.org/officeDocument/2006/relationships/image" Target="../media/image7.svg"/><Relationship Id="rId2" Type="http://schemas.microsoft.com/office/2007/relationships/hdphoto" Target="../media/hdphoto1.wdp"/><Relationship Id="rId16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5.xml"/><Relationship Id="rId5" Type="http://schemas.openxmlformats.org/officeDocument/2006/relationships/chart" Target="../charts/chart1.xml"/><Relationship Id="rId15" Type="http://schemas.openxmlformats.org/officeDocument/2006/relationships/chart" Target="../charts/chart7.xml"/><Relationship Id="rId10" Type="http://schemas.openxmlformats.org/officeDocument/2006/relationships/chart" Target="../charts/chart4.xml"/><Relationship Id="rId4" Type="http://schemas.openxmlformats.org/officeDocument/2006/relationships/image" Target="../media/image2.png"/><Relationship Id="rId9" Type="http://schemas.openxmlformats.org/officeDocument/2006/relationships/chart" Target="../charts/chart3.xml"/><Relationship Id="rId1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93870</xdr:colOff>
      <xdr:row>12</xdr:row>
      <xdr:rowOff>65709</xdr:rowOff>
    </xdr:from>
    <xdr:to>
      <xdr:col>7</xdr:col>
      <xdr:colOff>177575</xdr:colOff>
      <xdr:row>26</xdr:row>
      <xdr:rowOff>61668</xdr:rowOff>
    </xdr:to>
    <xdr:sp macro="" textlink="">
      <xdr:nvSpPr>
        <xdr:cNvPr id="192" name="Rectangle: Rounded Corners 191">
          <a:extLst>
            <a:ext uri="{FF2B5EF4-FFF2-40B4-BE49-F238E27FC236}">
              <a16:creationId xmlns:a16="http://schemas.microsoft.com/office/drawing/2014/main" id="{59E2591F-90D2-45E0-A25B-17FFF27BACE1}"/>
            </a:ext>
          </a:extLst>
        </xdr:cNvPr>
        <xdr:cNvSpPr/>
      </xdr:nvSpPr>
      <xdr:spPr>
        <a:xfrm>
          <a:off x="93870" y="2219187"/>
          <a:ext cx="4335444" cy="2508351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120650</xdr:colOff>
      <xdr:row>0</xdr:row>
      <xdr:rowOff>101600</xdr:rowOff>
    </xdr:from>
    <xdr:to>
      <xdr:col>3</xdr:col>
      <xdr:colOff>294385</xdr:colOff>
      <xdr:row>11</xdr:row>
      <xdr:rowOff>87630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2A8099E-BE1C-4C8D-867C-C3693C650CAF}"/>
            </a:ext>
          </a:extLst>
        </xdr:cNvPr>
        <xdr:cNvGrpSpPr/>
      </xdr:nvGrpSpPr>
      <xdr:grpSpPr>
        <a:xfrm>
          <a:off x="120650" y="101600"/>
          <a:ext cx="1997092" cy="1981744"/>
          <a:chOff x="1403136" y="137886"/>
          <a:chExt cx="2002536" cy="2011680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344E451E-4760-C8FE-C96C-D1ADD6E38F9B}"/>
              </a:ext>
            </a:extLst>
          </xdr:cNvPr>
          <xdr:cNvSpPr/>
        </xdr:nvSpPr>
        <xdr:spPr>
          <a:xfrm>
            <a:off x="1403136" y="137886"/>
            <a:ext cx="2002536" cy="2011680"/>
          </a:xfrm>
          <a:prstGeom prst="roundRect">
            <a:avLst>
              <a:gd name="adj" fmla="val 6824"/>
            </a:avLst>
          </a:prstGeom>
          <a:solidFill>
            <a:schemeClr val="bg1"/>
          </a:solidFill>
          <a:ln>
            <a:noFill/>
          </a:ln>
          <a:effectLst>
            <a:outerShdw blurRad="279400" dist="50800" dir="2700000" algn="tl" rotWithShape="0">
              <a:prstClr val="black">
                <a:alpha val="12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8B4A5E4-B8CA-14BA-CBC1-B69C84B8DE1B}"/>
              </a:ext>
            </a:extLst>
          </xdr:cNvPr>
          <xdr:cNvSpPr txBox="1"/>
        </xdr:nvSpPr>
        <xdr:spPr>
          <a:xfrm>
            <a:off x="1808409" y="239343"/>
            <a:ext cx="118872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Total Deviasi </a:t>
            </a:r>
          </a:p>
        </xdr:txBody>
      </xdr:sp>
      <xdr:sp macro="" textlink="'Pivot table'!E3">
        <xdr:nvSpPr>
          <xdr:cNvPr id="13" name="TextBox 12">
            <a:extLst>
              <a:ext uri="{FF2B5EF4-FFF2-40B4-BE49-F238E27FC236}">
                <a16:creationId xmlns:a16="http://schemas.microsoft.com/office/drawing/2014/main" id="{EC4F21A1-635C-D841-B2A1-01DEFCEAFD73}"/>
              </a:ext>
            </a:extLst>
          </xdr:cNvPr>
          <xdr:cNvSpPr txBox="1"/>
        </xdr:nvSpPr>
        <xdr:spPr>
          <a:xfrm>
            <a:off x="1544561" y="502555"/>
            <a:ext cx="1097280" cy="4526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331614F0-028D-45A6-BA00-7B6E4FB108BD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l"/>
              <a:t>17,38</a:t>
            </a:fld>
            <a:r>
              <a:rPr lang="id-ID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%</a:t>
            </a:r>
            <a:endParaRPr lang="en-US" sz="3600" b="1" i="0" u="none" strike="noStrike">
              <a:solidFill>
                <a:schemeClr val="bg2">
                  <a:lumMod val="10000"/>
                </a:schemeClr>
              </a:solidFill>
              <a:latin typeface="Avenir Next LT Pro" panose="020B05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Isosceles Triangle 5">
            <a:extLst>
              <a:ext uri="{FF2B5EF4-FFF2-40B4-BE49-F238E27FC236}">
                <a16:creationId xmlns:a16="http://schemas.microsoft.com/office/drawing/2014/main" id="{D9C00128-CA44-ABA2-49E1-C356240D2841}"/>
              </a:ext>
            </a:extLst>
          </xdr:cNvPr>
          <xdr:cNvSpPr/>
        </xdr:nvSpPr>
        <xdr:spPr>
          <a:xfrm>
            <a:off x="2530933" y="562429"/>
            <a:ext cx="109728" cy="64008"/>
          </a:xfrm>
          <a:prstGeom prst="triangle">
            <a:avLst/>
          </a:prstGeom>
          <a:solidFill>
            <a:srgbClr val="00B62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A7954F00-A9AB-E024-32CD-BC50F084E6C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1563" l="10000" r="94531">
                        <a14:foregroundMark x1="80391" y1="54844" x2="75547" y2="64219"/>
                        <a14:foregroundMark x1="75547" y1="64219" x2="75547" y2="79375"/>
                        <a14:foregroundMark x1="75547" y1="79375" x2="80625" y2="91875"/>
                        <a14:foregroundMark x1="80625" y1="91875" x2="86797" y2="94531"/>
                        <a14:foregroundMark x1="86797" y1="94531" x2="92891" y2="86719"/>
                        <a14:foregroundMark x1="92891" y1="86719" x2="94688" y2="70781"/>
                        <a14:foregroundMark x1="94688" y1="70781" x2="91563" y2="58750"/>
                        <a14:foregroundMark x1="91563" y1="58750" x2="86172" y2="52656"/>
                        <a14:foregroundMark x1="86172" y1="52656" x2="79844" y2="54688"/>
                        <a14:foregroundMark x1="79844" y1="54688" x2="79844" y2="54688"/>
                        <a14:foregroundMark x1="75156" y1="65313" x2="74531" y2="79375"/>
                        <a14:foregroundMark x1="74531" y1="79375" x2="80313" y2="90781"/>
                        <a14:foregroundMark x1="79609" y1="91563" x2="75156" y2="83125"/>
                        <a14:foregroundMark x1="78984" y1="56250" x2="76953" y2="61563"/>
                        <a14:foregroundMark x1="78984" y1="56094" x2="75625" y2="62813"/>
                        <a14:foregroundMark x1="92344" y1="61094" x2="94531" y2="67656"/>
                        <a14:foregroundMark x1="87891" y1="71250" x2="87969" y2="69531"/>
                        <a14:foregroundMark x1="80547" y1="65781" x2="80859" y2="67188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rcRect l="74930" t="50653" r="5345" b="6863"/>
          <a:stretch/>
        </xdr:blipFill>
        <xdr:spPr>
          <a:xfrm>
            <a:off x="1560290" y="172354"/>
            <a:ext cx="326572" cy="351693"/>
          </a:xfrm>
          <a:prstGeom prst="rect">
            <a:avLst/>
          </a:prstGeom>
        </xdr:spPr>
      </xdr:pic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86AD8759-1B94-5D74-F5BD-361EA375D1F2}"/>
              </a:ext>
            </a:extLst>
          </xdr:cNvPr>
          <xdr:cNvCxnSpPr/>
        </xdr:nvCxnSpPr>
        <xdr:spPr>
          <a:xfrm flipV="1">
            <a:off x="1608840" y="1147355"/>
            <a:ext cx="1578429" cy="9071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738FC0E6-5CFD-AC0E-C91A-408E52E857D9}"/>
              </a:ext>
            </a:extLst>
          </xdr:cNvPr>
          <xdr:cNvSpPr txBox="1"/>
        </xdr:nvSpPr>
        <xdr:spPr>
          <a:xfrm>
            <a:off x="1421063" y="1239922"/>
            <a:ext cx="137160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Pagu</a:t>
            </a:r>
            <a:r>
              <a:rPr lang="id-ID" sz="11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 Anggaran</a:t>
            </a:r>
          </a:p>
        </xdr:txBody>
      </xdr:sp>
      <xdr:sp macro="" textlink="'Pivot table'!G13">
        <xdr:nvSpPr>
          <xdr:cNvPr id="10" name="TextBox 9">
            <a:extLst>
              <a:ext uri="{FF2B5EF4-FFF2-40B4-BE49-F238E27FC236}">
                <a16:creationId xmlns:a16="http://schemas.microsoft.com/office/drawing/2014/main" id="{8B86CA77-173B-3CBA-072E-E7CF18555E1C}"/>
              </a:ext>
            </a:extLst>
          </xdr:cNvPr>
          <xdr:cNvSpPr txBox="1"/>
        </xdr:nvSpPr>
        <xdr:spPr>
          <a:xfrm>
            <a:off x="1512905" y="1434193"/>
            <a:ext cx="979461" cy="4526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409719FB-8021-4B79-ABC8-5C8DF9C6BAA1}" type="TxLink">
              <a:rPr lang="en-US" sz="2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l"/>
              <a:t> </a:t>
            </a:fld>
            <a:endParaRPr lang="en-US" sz="6600" b="0" i="0" u="none" strike="noStrike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937E360-82E7-6AF4-C0A7-5ACE7085F02A}"/>
              </a:ext>
            </a:extLst>
          </xdr:cNvPr>
          <xdr:cNvSpPr txBox="1"/>
        </xdr:nvSpPr>
        <xdr:spPr>
          <a:xfrm>
            <a:off x="1536268" y="1757136"/>
            <a:ext cx="819368" cy="2329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000" baseline="0">
                <a:solidFill>
                  <a:schemeClr val="tx1"/>
                </a:solidFill>
                <a:latin typeface="Avenir Next LT Pro Demi" panose="020B0704020202020204" pitchFamily="34" charset="0"/>
              </a:rPr>
              <a:t>Kegiatan</a:t>
            </a:r>
            <a:endParaRPr lang="en-US" sz="1000">
              <a:solidFill>
                <a:schemeClr val="tx1"/>
              </a:solidFill>
              <a:latin typeface="Avenir Next LT Pro Demi" panose="020B0704020202020204" pitchFamily="34" charset="0"/>
            </a:endParaRPr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D9B2E377-FDDE-B6FF-05ED-D5175582DE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7434" y="1397003"/>
            <a:ext cx="933201" cy="623152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403261</xdr:colOff>
      <xdr:row>0</xdr:row>
      <xdr:rowOff>52384</xdr:rowOff>
    </xdr:from>
    <xdr:to>
      <xdr:col>7</xdr:col>
      <xdr:colOff>109990</xdr:colOff>
      <xdr:row>11</xdr:row>
      <xdr:rowOff>112543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6639449-B44D-47A6-A836-CD6B82F25714}"/>
            </a:ext>
          </a:extLst>
        </xdr:cNvPr>
        <xdr:cNvGrpSpPr/>
      </xdr:nvGrpSpPr>
      <xdr:grpSpPr>
        <a:xfrm>
          <a:off x="2226618" y="52384"/>
          <a:ext cx="2137872" cy="2055873"/>
          <a:chOff x="1428536" y="144236"/>
          <a:chExt cx="2002536" cy="2011680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18982838-2DA4-25CE-CA56-DCC07617EBEA}"/>
              </a:ext>
            </a:extLst>
          </xdr:cNvPr>
          <xdr:cNvSpPr/>
        </xdr:nvSpPr>
        <xdr:spPr>
          <a:xfrm>
            <a:off x="1428536" y="144236"/>
            <a:ext cx="2002536" cy="2011680"/>
          </a:xfrm>
          <a:prstGeom prst="roundRect">
            <a:avLst>
              <a:gd name="adj" fmla="val 6824"/>
            </a:avLst>
          </a:prstGeom>
          <a:solidFill>
            <a:schemeClr val="bg1"/>
          </a:solidFill>
          <a:ln>
            <a:noFill/>
          </a:ln>
          <a:effectLst>
            <a:outerShdw blurRad="279400" dist="50800" dir="2700000" algn="tl" rotWithShape="0">
              <a:prstClr val="black">
                <a:alpha val="12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401BE23-7F17-8907-B8F0-C61196A0275C}"/>
              </a:ext>
            </a:extLst>
          </xdr:cNvPr>
          <xdr:cNvSpPr txBox="1"/>
        </xdr:nvSpPr>
        <xdr:spPr>
          <a:xfrm>
            <a:off x="1890959" y="188686"/>
            <a:ext cx="1429878" cy="34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Realisasi</a:t>
            </a:r>
            <a:r>
              <a:rPr lang="id-ID" sz="11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 </a:t>
            </a:r>
            <a:r>
              <a:rPr lang="id-ID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Anggaran</a:t>
            </a: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E58EF38D-4C90-D555-A9AE-70C23AD4F290}"/>
              </a:ext>
            </a:extLst>
          </xdr:cNvPr>
          <xdr:cNvGrpSpPr/>
        </xdr:nvGrpSpPr>
        <xdr:grpSpPr>
          <a:xfrm>
            <a:off x="1563611" y="508905"/>
            <a:ext cx="1097280" cy="562426"/>
            <a:chOff x="1590695" y="418191"/>
            <a:chExt cx="1463419" cy="562426"/>
          </a:xfrm>
        </xdr:grpSpPr>
        <xdr:sp macro="" textlink="'Pivot table'!G5">
          <xdr:nvSpPr>
            <xdr:cNvPr id="26" name="TextBox 25">
              <a:extLst>
                <a:ext uri="{FF2B5EF4-FFF2-40B4-BE49-F238E27FC236}">
                  <a16:creationId xmlns:a16="http://schemas.microsoft.com/office/drawing/2014/main" id="{B9FD29F7-116F-2F7E-3F6A-3C5D2181C7E4}"/>
                </a:ext>
              </a:extLst>
            </xdr:cNvPr>
            <xdr:cNvSpPr txBox="1"/>
          </xdr:nvSpPr>
          <xdr:spPr>
            <a:xfrm>
              <a:off x="1590695" y="418191"/>
              <a:ext cx="1463419" cy="45266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id-ID" sz="2000" b="1">
                  <a:solidFill>
                    <a:schemeClr val="bg2">
                      <a:lumMod val="10000"/>
                    </a:schemeClr>
                  </a:solidFill>
                  <a:latin typeface="Avenir Next LT Pro" panose="020B0504020202020204" pitchFamily="34" charset="0"/>
                  <a:cs typeface="Arial" panose="020B0604020202020204" pitchFamily="34" charset="0"/>
                </a:rPr>
                <a:t>10,5</a:t>
              </a:r>
              <a:r>
                <a:rPr lang="id-ID" sz="2000" b="1" baseline="0">
                  <a:solidFill>
                    <a:schemeClr val="bg2">
                      <a:lumMod val="10000"/>
                    </a:schemeClr>
                  </a:solidFill>
                  <a:latin typeface="Avenir Next LT Pro" panose="020B0504020202020204" pitchFamily="34" charset="0"/>
                  <a:cs typeface="Arial" panose="020B0604020202020204" pitchFamily="34" charset="0"/>
                </a:rPr>
                <a:t> M</a:t>
              </a:r>
              <a:endParaRPr lang="en-US" sz="3600" b="1">
                <a:solidFill>
                  <a:schemeClr val="bg2">
                    <a:lumMod val="10000"/>
                  </a:schemeClr>
                </a:solidFill>
                <a:latin typeface="Avenir Next LT Pro" panose="020B05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659FE30-64A9-3141-A65E-0B71B1C452B8}"/>
                </a:ext>
              </a:extLst>
            </xdr:cNvPr>
            <xdr:cNvSpPr txBox="1"/>
          </xdr:nvSpPr>
          <xdr:spPr>
            <a:xfrm>
              <a:off x="1590696" y="762903"/>
              <a:ext cx="731520" cy="217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10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IDR</a:t>
              </a:r>
            </a:p>
          </xdr:txBody>
        </xdr:sp>
      </xdr:grpSp>
      <xdr:sp macro="" textlink="">
        <xdr:nvSpPr>
          <xdr:cNvPr id="19" name="Isosceles Triangle 18">
            <a:extLst>
              <a:ext uri="{FF2B5EF4-FFF2-40B4-BE49-F238E27FC236}">
                <a16:creationId xmlns:a16="http://schemas.microsoft.com/office/drawing/2014/main" id="{FD71C31C-CC9B-094A-DF35-DF15873B2D42}"/>
              </a:ext>
            </a:extLst>
          </xdr:cNvPr>
          <xdr:cNvSpPr/>
        </xdr:nvSpPr>
        <xdr:spPr>
          <a:xfrm>
            <a:off x="2530933" y="562429"/>
            <a:ext cx="109728" cy="64008"/>
          </a:xfrm>
          <a:prstGeom prst="triangle">
            <a:avLst/>
          </a:prstGeom>
          <a:solidFill>
            <a:srgbClr val="00B62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51BE12E8-909D-7758-36DB-798468D31A7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ackgroundRemoval t="10000" b="91563" l="10000" r="94531">
                        <a14:foregroundMark x1="80391" y1="54844" x2="75547" y2="64219"/>
                        <a14:foregroundMark x1="75547" y1="64219" x2="75547" y2="79375"/>
                        <a14:foregroundMark x1="75547" y1="79375" x2="80625" y2="91875"/>
                        <a14:foregroundMark x1="80625" y1="91875" x2="86797" y2="94531"/>
                        <a14:foregroundMark x1="86797" y1="94531" x2="92891" y2="86719"/>
                        <a14:foregroundMark x1="92891" y1="86719" x2="94688" y2="70781"/>
                        <a14:foregroundMark x1="94688" y1="70781" x2="91563" y2="58750"/>
                        <a14:foregroundMark x1="91563" y1="58750" x2="86172" y2="52656"/>
                        <a14:foregroundMark x1="86172" y1="52656" x2="79844" y2="54688"/>
                        <a14:foregroundMark x1="79844" y1="54688" x2="79844" y2="54688"/>
                        <a14:foregroundMark x1="75156" y1="65313" x2="74531" y2="79375"/>
                        <a14:foregroundMark x1="74531" y1="79375" x2="80313" y2="90781"/>
                        <a14:foregroundMark x1="79609" y1="91563" x2="75156" y2="83125"/>
                        <a14:foregroundMark x1="78984" y1="56250" x2="76953" y2="61563"/>
                        <a14:foregroundMark x1="78984" y1="56094" x2="75625" y2="62813"/>
                        <a14:foregroundMark x1="92344" y1="61094" x2="94531" y2="67656"/>
                        <a14:foregroundMark x1="87891" y1="71250" x2="87969" y2="69531"/>
                        <a14:foregroundMark x1="80547" y1="65781" x2="80859" y2="67188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3"/>
              </a:ext>
            </a:extLst>
          </a:blip>
          <a:srcRect l="74930" t="50653" r="5345" b="6863"/>
          <a:stretch/>
        </xdr:blipFill>
        <xdr:spPr>
          <a:xfrm>
            <a:off x="1560290" y="172354"/>
            <a:ext cx="326572" cy="351693"/>
          </a:xfrm>
          <a:prstGeom prst="rect">
            <a:avLst/>
          </a:prstGeom>
        </xdr:spPr>
      </xdr:pic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446E2101-2357-2B04-F4A8-963FFC412CD7}"/>
              </a:ext>
            </a:extLst>
          </xdr:cNvPr>
          <xdr:cNvCxnSpPr/>
        </xdr:nvCxnSpPr>
        <xdr:spPr>
          <a:xfrm flipV="1">
            <a:off x="1608840" y="1147355"/>
            <a:ext cx="1578429" cy="9071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E69640FC-A78F-E458-F999-D5147E2768FC}"/>
              </a:ext>
            </a:extLst>
          </xdr:cNvPr>
          <xdr:cNvSpPr txBox="1"/>
        </xdr:nvSpPr>
        <xdr:spPr>
          <a:xfrm>
            <a:off x="1490913" y="1246272"/>
            <a:ext cx="137160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Pagu</a:t>
            </a:r>
            <a:r>
              <a:rPr lang="id-ID" sz="11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rPr>
              <a:t> Anggaran</a:t>
            </a:r>
          </a:p>
        </xdr:txBody>
      </xdr:sp>
      <xdr:sp macro="" textlink="'Pivot table'!G13">
        <xdr:nvSpPr>
          <xdr:cNvPr id="23" name="TextBox 22">
            <a:extLst>
              <a:ext uri="{FF2B5EF4-FFF2-40B4-BE49-F238E27FC236}">
                <a16:creationId xmlns:a16="http://schemas.microsoft.com/office/drawing/2014/main" id="{970EC14F-A4AD-8F3F-E737-A169F79AE6F7}"/>
              </a:ext>
            </a:extLst>
          </xdr:cNvPr>
          <xdr:cNvSpPr txBox="1"/>
        </xdr:nvSpPr>
        <xdr:spPr>
          <a:xfrm>
            <a:off x="1563705" y="1389743"/>
            <a:ext cx="979461" cy="4526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D1502279-7AA1-4237-8A4B-7C2A5C4AAA07}" type="TxLink">
              <a:rPr lang="en-US" sz="20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l"/>
              <a:t> </a:t>
            </a:fld>
            <a:endParaRPr lang="en-US" sz="6600" b="1" i="0" u="none" strike="noStrike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86EE9672-6048-ED63-052F-2FD62DF380A0}"/>
              </a:ext>
            </a:extLst>
          </xdr:cNvPr>
          <xdr:cNvSpPr txBox="1"/>
        </xdr:nvSpPr>
        <xdr:spPr>
          <a:xfrm>
            <a:off x="1593418" y="1753364"/>
            <a:ext cx="82296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1000" baseline="0">
                <a:solidFill>
                  <a:schemeClr val="tx1"/>
                </a:solidFill>
                <a:latin typeface="Avenir Next LT Pro Demi" panose="020B0704020202020204" pitchFamily="34" charset="0"/>
              </a:rPr>
              <a:t>Kegiatan</a:t>
            </a:r>
            <a:endParaRPr lang="en-US" sz="1000">
              <a:solidFill>
                <a:schemeClr val="tx1"/>
              </a:solidFill>
              <a:latin typeface="Avenir Next LT Pro Demi" panose="020B0704020202020204" pitchFamily="34" charset="0"/>
            </a:endParaRPr>
          </a:p>
        </xdr:txBody>
      </xdr:sp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58544FEB-CD1A-657A-3F38-E7E4DE2D98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67434" y="1397003"/>
            <a:ext cx="933201" cy="623152"/>
          </a:xfrm>
          <a:prstGeom prst="rect">
            <a:avLst/>
          </a:prstGeom>
        </xdr:spPr>
      </xdr:pic>
    </xdr:grpSp>
    <xdr:clientData/>
  </xdr:twoCellAnchor>
  <xdr:twoCellAnchor editAs="absolute">
    <xdr:from>
      <xdr:col>21</xdr:col>
      <xdr:colOff>99180</xdr:colOff>
      <xdr:row>0</xdr:row>
      <xdr:rowOff>156308</xdr:rowOff>
    </xdr:from>
    <xdr:to>
      <xdr:col>25</xdr:col>
      <xdr:colOff>136769</xdr:colOff>
      <xdr:row>13</xdr:row>
      <xdr:rowOff>4184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4D6BC5FF-C7BD-4E99-848A-5922F88A3BFF}"/>
            </a:ext>
          </a:extLst>
        </xdr:cNvPr>
        <xdr:cNvGrpSpPr/>
      </xdr:nvGrpSpPr>
      <xdr:grpSpPr>
        <a:xfrm>
          <a:off x="12862680" y="156308"/>
          <a:ext cx="2468732" cy="2206447"/>
          <a:chOff x="11527660" y="90714"/>
          <a:chExt cx="2381798" cy="2129392"/>
        </a:xfrm>
      </xdr:grpSpPr>
      <xdr:sp macro="" textlink="">
        <xdr:nvSpPr>
          <xdr:cNvPr id="42" name="Rectangle: Rounded Corners 41">
            <a:extLst>
              <a:ext uri="{FF2B5EF4-FFF2-40B4-BE49-F238E27FC236}">
                <a16:creationId xmlns:a16="http://schemas.microsoft.com/office/drawing/2014/main" id="{094FCF03-8F5B-987A-6337-9464E493E7C0}"/>
              </a:ext>
            </a:extLst>
          </xdr:cNvPr>
          <xdr:cNvSpPr/>
        </xdr:nvSpPr>
        <xdr:spPr>
          <a:xfrm>
            <a:off x="11636419" y="90714"/>
            <a:ext cx="2187311" cy="2129392"/>
          </a:xfrm>
          <a:prstGeom prst="roundRect">
            <a:avLst>
              <a:gd name="adj" fmla="val 6824"/>
            </a:avLst>
          </a:prstGeom>
          <a:solidFill>
            <a:schemeClr val="bg1"/>
          </a:solidFill>
          <a:ln>
            <a:noFill/>
          </a:ln>
          <a:effectLst>
            <a:outerShdw blurRad="279400" dist="50800" dir="2700000" algn="tl" rotWithShape="0">
              <a:prstClr val="black">
                <a:alpha val="12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EDF07AAD-B8FF-A9E8-1DDC-15410DA2E32A}"/>
              </a:ext>
            </a:extLst>
          </xdr:cNvPr>
          <xdr:cNvGrpSpPr/>
        </xdr:nvGrpSpPr>
        <xdr:grpSpPr>
          <a:xfrm>
            <a:off x="12681280" y="236766"/>
            <a:ext cx="914400" cy="607782"/>
            <a:chOff x="12844558" y="236766"/>
            <a:chExt cx="914400" cy="607782"/>
          </a:xfrm>
        </xdr:grpSpPr>
        <xdr:sp macro="" textlink="'Pivot table'!F13">
          <xdr:nvSpPr>
            <xdr:cNvPr id="54" name="TextBox 53">
              <a:extLst>
                <a:ext uri="{FF2B5EF4-FFF2-40B4-BE49-F238E27FC236}">
                  <a16:creationId xmlns:a16="http://schemas.microsoft.com/office/drawing/2014/main" id="{A37D851B-3743-1565-5961-57B9FB8CC66A}"/>
                </a:ext>
              </a:extLst>
            </xdr:cNvPr>
            <xdr:cNvSpPr txBox="1"/>
          </xdr:nvSpPr>
          <xdr:spPr>
            <a:xfrm>
              <a:off x="12844558" y="481694"/>
              <a:ext cx="914400" cy="217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fld id="{E8F9D16D-6515-49EB-B1BE-DEF595AF2DDE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l"/>
                <a:t> </a:t>
              </a:fld>
              <a:endParaRPr lang="en-US" sz="1000" b="1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F48BA33D-2913-AD05-1700-2C2E49EFDA73}"/>
                </a:ext>
              </a:extLst>
            </xdr:cNvPr>
            <xdr:cNvSpPr txBox="1"/>
          </xdr:nvSpPr>
          <xdr:spPr>
            <a:xfrm>
              <a:off x="12844558" y="626834"/>
              <a:ext cx="822960" cy="217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id-ID" sz="9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Next LT Pro Demi" panose="020B0704020202020204" pitchFamily="34" charset="0"/>
                </a:rPr>
                <a:t>Kegiatan</a:t>
              </a:r>
              <a:endParaRPr lang="en-US" sz="900">
                <a:solidFill>
                  <a:schemeClr val="tx1">
                    <a:lumMod val="75000"/>
                    <a:lumOff val="25000"/>
                  </a:schemeClr>
                </a:solidFill>
                <a:latin typeface="Avenir Next LT Pro Demi" panose="020B0704020202020204" pitchFamily="34" charset="0"/>
              </a:endParaRPr>
            </a:p>
          </xdr:txBody>
        </xdr:sp>
        <xdr:sp macro="" textlink="">
          <xdr:nvSpPr>
            <xdr:cNvPr id="53" name="TextBox 52">
              <a:extLst>
                <a:ext uri="{FF2B5EF4-FFF2-40B4-BE49-F238E27FC236}">
                  <a16:creationId xmlns:a16="http://schemas.microsoft.com/office/drawing/2014/main" id="{E046DC48-50B8-5F8C-9176-EC17863C1093}"/>
                </a:ext>
              </a:extLst>
            </xdr:cNvPr>
            <xdr:cNvSpPr txBox="1"/>
          </xdr:nvSpPr>
          <xdr:spPr>
            <a:xfrm>
              <a:off x="12844558" y="236766"/>
              <a:ext cx="914400" cy="217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id-ID" sz="110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 Demi" panose="020B0704020202020204" pitchFamily="34" charset="0"/>
                </a:rPr>
                <a:t>Tercapai</a:t>
              </a:r>
              <a:endParaRPr lang="en-US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endParaRPr>
            </a:p>
          </xdr:txBody>
        </xdr:sp>
      </xdr:grpSp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3C13E553-F973-B1A6-5988-C420F2A66DE2}"/>
              </a:ext>
            </a:extLst>
          </xdr:cNvPr>
          <xdr:cNvGraphicFramePr>
            <a:graphicFrameLocks/>
          </xdr:cNvGraphicFramePr>
        </xdr:nvGraphicFramePr>
        <xdr:xfrm>
          <a:off x="11527660" y="110290"/>
          <a:ext cx="1508761" cy="9509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45" name="Chart 44">
            <a:extLst>
              <a:ext uri="{FF2B5EF4-FFF2-40B4-BE49-F238E27FC236}">
                <a16:creationId xmlns:a16="http://schemas.microsoft.com/office/drawing/2014/main" id="{60651A60-58D6-9BFD-FEE9-9BA9816E2B49}"/>
              </a:ext>
            </a:extLst>
          </xdr:cNvPr>
          <xdr:cNvGraphicFramePr>
            <a:graphicFrameLocks/>
          </xdr:cNvGraphicFramePr>
        </xdr:nvGraphicFramePr>
        <xdr:xfrm>
          <a:off x="11626110" y="1147269"/>
          <a:ext cx="1508760" cy="95097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BFF468DA-8CCD-DAB7-58D1-C3A2FCB31855}"/>
              </a:ext>
            </a:extLst>
          </xdr:cNvPr>
          <xdr:cNvCxnSpPr/>
        </xdr:nvCxnSpPr>
        <xdr:spPr>
          <a:xfrm flipV="1">
            <a:off x="12086301" y="1092927"/>
            <a:ext cx="1463040" cy="9071"/>
          </a:xfrm>
          <a:prstGeom prst="line">
            <a:avLst/>
          </a:prstGeom>
          <a:ln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245CBAA1-BDB6-8135-0794-D23E38310255}"/>
              </a:ext>
            </a:extLst>
          </xdr:cNvPr>
          <xdr:cNvGrpSpPr/>
        </xdr:nvGrpSpPr>
        <xdr:grpSpPr>
          <a:xfrm>
            <a:off x="12681280" y="1240064"/>
            <a:ext cx="1228178" cy="659228"/>
            <a:chOff x="12844558" y="178707"/>
            <a:chExt cx="1228178" cy="659228"/>
          </a:xfrm>
        </xdr:grpSpPr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9DD5BB1A-B331-2F8F-28DA-0CE063639EAB}"/>
                </a:ext>
              </a:extLst>
            </xdr:cNvPr>
            <xdr:cNvSpPr txBox="1"/>
          </xdr:nvSpPr>
          <xdr:spPr>
            <a:xfrm>
              <a:off x="12844558" y="178707"/>
              <a:ext cx="1228178" cy="27577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id-ID" sz="110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 Demi" panose="020B0704020202020204" pitchFamily="34" charset="0"/>
                </a:rPr>
                <a:t>Tidak</a:t>
              </a:r>
              <a:r>
                <a:rPr lang="id-ID" sz="11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 LT Pro Demi" panose="020B0704020202020204" pitchFamily="34" charset="0"/>
                </a:rPr>
                <a:t> Tercapai</a:t>
              </a:r>
              <a:endParaRPr lang="en-US" sz="1100">
                <a:solidFill>
                  <a:schemeClr val="tx1">
                    <a:lumMod val="65000"/>
                    <a:lumOff val="35000"/>
                  </a:schemeClr>
                </a:solidFill>
                <a:latin typeface="Avenir Next LT Pro Demi" panose="020B0704020202020204" pitchFamily="34" charset="0"/>
              </a:endParaRPr>
            </a:p>
          </xdr:txBody>
        </xdr:sp>
        <xdr:sp macro="" textlink="'Pivot table'!F14">
          <xdr:nvSpPr>
            <xdr:cNvPr id="51" name="TextBox 50">
              <a:extLst>
                <a:ext uri="{FF2B5EF4-FFF2-40B4-BE49-F238E27FC236}">
                  <a16:creationId xmlns:a16="http://schemas.microsoft.com/office/drawing/2014/main" id="{977A0766-C5FA-43C9-0E19-FF97F35DEDFD}"/>
                </a:ext>
              </a:extLst>
            </xdr:cNvPr>
            <xdr:cNvSpPr txBox="1"/>
          </xdr:nvSpPr>
          <xdr:spPr>
            <a:xfrm>
              <a:off x="12844558" y="481694"/>
              <a:ext cx="914400" cy="217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fld id="{AF8963E0-86EF-4652-92FD-186BE74F8D3C}" type="TxLink">
                <a:rPr lang="en-US" sz="11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l"/>
                <a:t> </a:t>
              </a:fld>
              <a:endParaRPr lang="en-US" sz="1800" b="1">
                <a:solidFill>
                  <a:schemeClr val="tx1">
                    <a:lumMod val="75000"/>
                    <a:lumOff val="25000"/>
                  </a:schemeClr>
                </a:solidFill>
                <a:latin typeface="Avenir Next LT Pro Demi" panose="020B0704020202020204" pitchFamily="34" charset="0"/>
              </a:endParaRPr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886475EC-2299-4D75-57FC-630F6665020F}"/>
                </a:ext>
              </a:extLst>
            </xdr:cNvPr>
            <xdr:cNvSpPr txBox="1"/>
          </xdr:nvSpPr>
          <xdr:spPr>
            <a:xfrm>
              <a:off x="12864266" y="620221"/>
              <a:ext cx="822960" cy="2177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id-ID" sz="9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venir Next LT Pro Demi" panose="020B0704020202020204" pitchFamily="34" charset="0"/>
                </a:rPr>
                <a:t>Kegiatan</a:t>
              </a:r>
              <a:endParaRPr lang="en-US" sz="900">
                <a:solidFill>
                  <a:schemeClr val="tx1">
                    <a:lumMod val="75000"/>
                    <a:lumOff val="25000"/>
                  </a:schemeClr>
                </a:solidFill>
                <a:latin typeface="Avenir Next LT Pro Demi" panose="020B0704020202020204" pitchFamily="34" charset="0"/>
              </a:endParaRPr>
            </a:p>
          </xdr:txBody>
        </xdr:sp>
      </xdr:grpSp>
      <xdr:sp macro="" textlink="'Pivot table'!$G$11">
        <xdr:nvSpPr>
          <xdr:cNvPr id="48" name="TextBox 47">
            <a:extLst>
              <a:ext uri="{FF2B5EF4-FFF2-40B4-BE49-F238E27FC236}">
                <a16:creationId xmlns:a16="http://schemas.microsoft.com/office/drawing/2014/main" id="{289CEA65-0B6E-D4E6-4BE2-11E6698581EE}"/>
              </a:ext>
            </a:extLst>
          </xdr:cNvPr>
          <xdr:cNvSpPr txBox="1"/>
        </xdr:nvSpPr>
        <xdr:spPr>
          <a:xfrm>
            <a:off x="12125879" y="1507287"/>
            <a:ext cx="5486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4F252F2-1FA4-4E92-87DC-2803C2EE1978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61%</a:t>
            </a:fld>
            <a:endParaRPr lang="en-US" sz="10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"/>
              <a:ea typeface="+mn-ea"/>
              <a:cs typeface="Arial"/>
            </a:endParaRPr>
          </a:p>
        </xdr:txBody>
      </xdr:sp>
      <xdr:sp macro="" textlink="'Pivot table'!G10">
        <xdr:nvSpPr>
          <xdr:cNvPr id="49" name="TextBox 48">
            <a:extLst>
              <a:ext uri="{FF2B5EF4-FFF2-40B4-BE49-F238E27FC236}">
                <a16:creationId xmlns:a16="http://schemas.microsoft.com/office/drawing/2014/main" id="{FC3B7188-B256-9F2B-884D-077C6EDDF57D}"/>
              </a:ext>
            </a:extLst>
          </xdr:cNvPr>
          <xdr:cNvSpPr txBox="1"/>
        </xdr:nvSpPr>
        <xdr:spPr>
          <a:xfrm>
            <a:off x="12046138" y="457345"/>
            <a:ext cx="5486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89D5FD2-240D-4A31-A95F-AFB731B1B6A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39%</a:t>
            </a:fld>
            <a:endParaRPr lang="en-US" sz="1600" b="1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</a:endParaRPr>
          </a:p>
        </xdr:txBody>
      </xdr:sp>
    </xdr:grpSp>
    <xdr:clientData/>
  </xdr:twoCellAnchor>
  <xdr:twoCellAnchor editAs="absolute">
    <xdr:from>
      <xdr:col>7</xdr:col>
      <xdr:colOff>293077</xdr:colOff>
      <xdr:row>13</xdr:row>
      <xdr:rowOff>53562</xdr:rowOff>
    </xdr:from>
    <xdr:to>
      <xdr:col>15</xdr:col>
      <xdr:colOff>261137</xdr:colOff>
      <xdr:row>26</xdr:row>
      <xdr:rowOff>127000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253E3FFA-494E-411D-8D19-0596C2A4DB65}"/>
            </a:ext>
          </a:extLst>
        </xdr:cNvPr>
        <xdr:cNvSpPr/>
      </xdr:nvSpPr>
      <xdr:spPr>
        <a:xfrm>
          <a:off x="4532923" y="2466562"/>
          <a:ext cx="4813599" cy="2486438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5</xdr:col>
      <xdr:colOff>457200</xdr:colOff>
      <xdr:row>17</xdr:row>
      <xdr:rowOff>158750</xdr:rowOff>
    </xdr:from>
    <xdr:to>
      <xdr:col>7</xdr:col>
      <xdr:colOff>553363</xdr:colOff>
      <xdr:row>19</xdr:row>
      <xdr:rowOff>61685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600E5B77-196F-41A9-930A-907CFE547B33}"/>
            </a:ext>
          </a:extLst>
        </xdr:cNvPr>
        <xdr:cNvSpPr txBox="1"/>
      </xdr:nvSpPr>
      <xdr:spPr>
        <a:xfrm>
          <a:off x="3505200" y="3289300"/>
          <a:ext cx="1315363" cy="27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700" b="0" i="0" u="none" strike="noStrike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7</xdr:col>
      <xdr:colOff>530660</xdr:colOff>
      <xdr:row>13</xdr:row>
      <xdr:rowOff>112071</xdr:rowOff>
    </xdr:from>
    <xdr:to>
      <xdr:col>10</xdr:col>
      <xdr:colOff>244910</xdr:colOff>
      <xdr:row>15</xdr:row>
      <xdr:rowOff>182670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E6FAA16-2FFF-4189-9E3E-36080FB4A8E3}"/>
            </a:ext>
          </a:extLst>
        </xdr:cNvPr>
        <xdr:cNvSpPr txBox="1"/>
      </xdr:nvSpPr>
      <xdr:spPr>
        <a:xfrm>
          <a:off x="4770506" y="2525071"/>
          <a:ext cx="1531327" cy="441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>
              <a:solidFill>
                <a:schemeClr val="tx1"/>
              </a:solidFill>
              <a:latin typeface="Avenir Next LT Pro Demi" panose="020B0704020202020204" pitchFamily="34" charset="0"/>
            </a:rPr>
            <a:t>Total </a:t>
          </a:r>
          <a:r>
            <a:rPr lang="id-ID" sz="1400">
              <a:solidFill>
                <a:schemeClr val="tx1"/>
              </a:solidFill>
              <a:latin typeface="Avenir Next LT Pro Demi" panose="020B0704020202020204" pitchFamily="34" charset="0"/>
            </a:rPr>
            <a:t>Anggaran</a:t>
          </a:r>
          <a:endParaRPr lang="en-US" sz="1100">
            <a:solidFill>
              <a:schemeClr val="tx1"/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 editAs="absolute">
    <xdr:from>
      <xdr:col>13</xdr:col>
      <xdr:colOff>311702</xdr:colOff>
      <xdr:row>13</xdr:row>
      <xdr:rowOff>148258</xdr:rowOff>
    </xdr:from>
    <xdr:to>
      <xdr:col>14</xdr:col>
      <xdr:colOff>58718</xdr:colOff>
      <xdr:row>15</xdr:row>
      <xdr:rowOff>136574</xdr:rowOff>
    </xdr:to>
    <xdr:pic>
      <xdr:nvPicPr>
        <xdr:cNvPr id="65" name="Graphic 64" descr="Ribbon with solid fill">
          <a:extLst>
            <a:ext uri="{FF2B5EF4-FFF2-40B4-BE49-F238E27FC236}">
              <a16:creationId xmlns:a16="http://schemas.microsoft.com/office/drawing/2014/main" id="{BA8E6A62-A9A2-4753-BBF4-2F01930A3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207789" y="2481193"/>
          <a:ext cx="354407" cy="347229"/>
        </a:xfrm>
        <a:prstGeom prst="rect">
          <a:avLst/>
        </a:prstGeom>
      </xdr:spPr>
    </xdr:pic>
    <xdr:clientData/>
  </xdr:twoCellAnchor>
  <xdr:twoCellAnchor editAs="absolute">
    <xdr:from>
      <xdr:col>0</xdr:col>
      <xdr:colOff>128656</xdr:colOff>
      <xdr:row>27</xdr:row>
      <xdr:rowOff>67916</xdr:rowOff>
    </xdr:from>
    <xdr:to>
      <xdr:col>15</xdr:col>
      <xdr:colOff>234674</xdr:colOff>
      <xdr:row>43</xdr:row>
      <xdr:rowOff>110435</xdr:rowOff>
    </xdr:to>
    <xdr:sp macro="" textlink="">
      <xdr:nvSpPr>
        <xdr:cNvPr id="162" name="Rectangle: Rounded Corners 161">
          <a:extLst>
            <a:ext uri="{FF2B5EF4-FFF2-40B4-BE49-F238E27FC236}">
              <a16:creationId xmlns:a16="http://schemas.microsoft.com/office/drawing/2014/main" id="{BD3D97B6-85B7-4B00-987F-45F320636A82}"/>
            </a:ext>
          </a:extLst>
        </xdr:cNvPr>
        <xdr:cNvSpPr/>
      </xdr:nvSpPr>
      <xdr:spPr>
        <a:xfrm>
          <a:off x="128656" y="4913242"/>
          <a:ext cx="9216888" cy="2913823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13</xdr:col>
      <xdr:colOff>31198</xdr:colOff>
      <xdr:row>27</xdr:row>
      <xdr:rowOff>94422</xdr:rowOff>
    </xdr:from>
    <xdr:to>
      <xdr:col>15</xdr:col>
      <xdr:colOff>125145</xdr:colOff>
      <xdr:row>31</xdr:row>
      <xdr:rowOff>60107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5909FD4F-44E4-44BE-9ED7-398223AB7D5B}"/>
            </a:ext>
          </a:extLst>
        </xdr:cNvPr>
        <xdr:cNvGrpSpPr/>
      </xdr:nvGrpSpPr>
      <xdr:grpSpPr>
        <a:xfrm>
          <a:off x="7932412" y="4992993"/>
          <a:ext cx="1309519" cy="691400"/>
          <a:chOff x="5161649" y="4672694"/>
          <a:chExt cx="1315356" cy="697592"/>
        </a:xfrm>
      </xdr:grpSpPr>
      <xdr:sp macro="" textlink="'Pivot table'!E25">
        <xdr:nvSpPr>
          <xdr:cNvPr id="165" name="TextBox 164">
            <a:extLst>
              <a:ext uri="{FF2B5EF4-FFF2-40B4-BE49-F238E27FC236}">
                <a16:creationId xmlns:a16="http://schemas.microsoft.com/office/drawing/2014/main" id="{8B30891A-A69F-8471-E2F8-B7FA25B0E1D0}"/>
              </a:ext>
            </a:extLst>
          </xdr:cNvPr>
          <xdr:cNvSpPr txBox="1"/>
        </xdr:nvSpPr>
        <xdr:spPr>
          <a:xfrm>
            <a:off x="5315005" y="4672694"/>
            <a:ext cx="1162000" cy="271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2C0F93D-D2CB-436C-AE61-26B7A7D5CB5A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(blank)</a:t>
            </a:fld>
            <a:endParaRPr lang="en-US" sz="1400" b="1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endParaRPr>
          </a:p>
        </xdr:txBody>
      </xdr:sp>
      <xdr:sp macro="" textlink="'Pivot table'!G25">
        <xdr:nvSpPr>
          <xdr:cNvPr id="166" name="TextBox 165">
            <a:extLst>
              <a:ext uri="{FF2B5EF4-FFF2-40B4-BE49-F238E27FC236}">
                <a16:creationId xmlns:a16="http://schemas.microsoft.com/office/drawing/2014/main" id="{17C01691-1915-612D-3E1C-5AEF829B432D}"/>
              </a:ext>
            </a:extLst>
          </xdr:cNvPr>
          <xdr:cNvSpPr txBox="1"/>
        </xdr:nvSpPr>
        <xdr:spPr>
          <a:xfrm>
            <a:off x="5315005" y="4885872"/>
            <a:ext cx="1162000" cy="271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E0F5E701-7831-4F85-8822-A9B75F16A471}" type="TxLink">
              <a:rPr lang="en-US" sz="11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180</a:t>
            </a:fld>
            <a:endParaRPr lang="en-US" sz="1000" b="1" i="0" u="none" strike="noStrike">
              <a:solidFill>
                <a:srgbClr val="000000"/>
              </a:solidFill>
              <a:latin typeface="Avenir Next LT Pro Demi" panose="020B0704020202020204" pitchFamily="34" charset="0"/>
              <a:cs typeface="Arial"/>
            </a:endParaRPr>
          </a:p>
        </xdr:txBody>
      </xdr:sp>
      <xdr:sp macro="" textlink="">
        <xdr:nvSpPr>
          <xdr:cNvPr id="167" name="TextBox 166">
            <a:extLst>
              <a:ext uri="{FF2B5EF4-FFF2-40B4-BE49-F238E27FC236}">
                <a16:creationId xmlns:a16="http://schemas.microsoft.com/office/drawing/2014/main" id="{83755096-EDAD-07FB-1FD3-8022660C851C}"/>
              </a:ext>
            </a:extLst>
          </xdr:cNvPr>
          <xdr:cNvSpPr txBox="1"/>
        </xdr:nvSpPr>
        <xdr:spPr>
          <a:xfrm>
            <a:off x="5315005" y="5099051"/>
            <a:ext cx="1162000" cy="271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700" b="0" i="0" u="none" strike="noStrike">
                <a:solidFill>
                  <a:schemeClr val="tx1">
                    <a:lumMod val="75000"/>
                    <a:lumOff val="2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Kegiatan</a:t>
            </a:r>
            <a:endParaRPr lang="en-US" sz="7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68" name="Graphic 167" descr="Ribbon with solid fill">
            <a:extLst>
              <a:ext uri="{FF2B5EF4-FFF2-40B4-BE49-F238E27FC236}">
                <a16:creationId xmlns:a16="http://schemas.microsoft.com/office/drawing/2014/main" id="{CFF19B90-B0ED-7E37-2CC9-33C8052BC2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5161649" y="4789716"/>
            <a:ext cx="353782" cy="35378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275811</xdr:colOff>
      <xdr:row>31</xdr:row>
      <xdr:rowOff>69022</xdr:rowOff>
    </xdr:from>
    <xdr:to>
      <xdr:col>13</xdr:col>
      <xdr:colOff>193261</xdr:colOff>
      <xdr:row>42</xdr:row>
      <xdr:rowOff>108779</xdr:rowOff>
    </xdr:to>
    <xdr:graphicFrame macro="">
      <xdr:nvGraphicFramePr>
        <xdr:cNvPr id="171" name="Chart 170">
          <a:extLst>
            <a:ext uri="{FF2B5EF4-FFF2-40B4-BE49-F238E27FC236}">
              <a16:creationId xmlns:a16="http://schemas.microsoft.com/office/drawing/2014/main" id="{DB1F7E19-AED8-4DD2-BD8A-34A0B1ECE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0</xdr:col>
      <xdr:colOff>342624</xdr:colOff>
      <xdr:row>27</xdr:row>
      <xdr:rowOff>88624</xdr:rowOff>
    </xdr:from>
    <xdr:to>
      <xdr:col>7</xdr:col>
      <xdr:colOff>96631</xdr:colOff>
      <xdr:row>30</xdr:row>
      <xdr:rowOff>165651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430C9A7-B4E7-41D9-B397-B78678BBD023}"/>
            </a:ext>
          </a:extLst>
        </xdr:cNvPr>
        <xdr:cNvSpPr txBox="1"/>
      </xdr:nvSpPr>
      <xdr:spPr>
        <a:xfrm>
          <a:off x="342624" y="4933950"/>
          <a:ext cx="4005746" cy="615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2000" b="1">
              <a:solidFill>
                <a:schemeClr val="tx1"/>
              </a:solidFill>
              <a:latin typeface="Avenir Next LT Pro Demi" panose="020B0704020202020204" pitchFamily="34" charset="0"/>
            </a:rPr>
            <a:t>Keterangan</a:t>
          </a:r>
          <a:r>
            <a:rPr lang="id-ID" sz="2000" b="1" baseline="0">
              <a:solidFill>
                <a:schemeClr val="tx1"/>
              </a:solidFill>
              <a:latin typeface="Avenir Next LT Pro Demi" panose="020B0704020202020204" pitchFamily="34" charset="0"/>
            </a:rPr>
            <a:t> Kegiatan</a:t>
          </a:r>
          <a:endParaRPr lang="en-US" sz="2000" b="1">
            <a:solidFill>
              <a:schemeClr val="tx1"/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>
    <xdr:from>
      <xdr:col>7</xdr:col>
      <xdr:colOff>508000</xdr:colOff>
      <xdr:row>16</xdr:row>
      <xdr:rowOff>53009</xdr:rowOff>
    </xdr:from>
    <xdr:to>
      <xdr:col>15</xdr:col>
      <xdr:colOff>94146</xdr:colOff>
      <xdr:row>25</xdr:row>
      <xdr:rowOff>146538</xdr:rowOff>
    </xdr:to>
    <xdr:graphicFrame macro="">
      <xdr:nvGraphicFramePr>
        <xdr:cNvPr id="174" name="Chart 173">
          <a:extLst>
            <a:ext uri="{FF2B5EF4-FFF2-40B4-BE49-F238E27FC236}">
              <a16:creationId xmlns:a16="http://schemas.microsoft.com/office/drawing/2014/main" id="{B7012B55-A5C1-43B5-93AB-24DBABD5E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13</xdr:col>
      <xdr:colOff>399222</xdr:colOff>
      <xdr:row>13</xdr:row>
      <xdr:rowOff>160959</xdr:rowOff>
    </xdr:from>
    <xdr:to>
      <xdr:col>15</xdr:col>
      <xdr:colOff>344230</xdr:colOff>
      <xdr:row>15</xdr:row>
      <xdr:rowOff>63894</xdr:rowOff>
    </xdr:to>
    <xdr:sp macro="" textlink="'Pivot table'!$G$3">
      <xdr:nvSpPr>
        <xdr:cNvPr id="175" name="TextBox 174">
          <a:extLst>
            <a:ext uri="{FF2B5EF4-FFF2-40B4-BE49-F238E27FC236}">
              <a16:creationId xmlns:a16="http://schemas.microsoft.com/office/drawing/2014/main" id="{95BB06A6-F89E-433B-8ED2-3853651D8BE5}"/>
            </a:ext>
          </a:extLst>
        </xdr:cNvPr>
        <xdr:cNvSpPr txBox="1"/>
      </xdr:nvSpPr>
      <xdr:spPr>
        <a:xfrm>
          <a:off x="8295309" y="2493894"/>
          <a:ext cx="1159791" cy="261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51B359E-9D86-4D0C-9F1C-D407CD565AB4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/>
            <a:t>31,50</a:t>
          </a:fld>
          <a:r>
            <a:rPr lang="id-ID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M</a:t>
          </a:r>
          <a:endParaRPr lang="en-US" sz="1600" b="1" i="0" u="none" strike="noStrike">
            <a:solidFill>
              <a:srgbClr val="000000"/>
            </a:solidFill>
            <a:latin typeface="Avenir Next LT Pro Demi" panose="020B0704020202020204" pitchFamily="34" charset="0"/>
            <a:ea typeface="+mn-ea"/>
            <a:cs typeface="Arial"/>
          </a:endParaRPr>
        </a:p>
      </xdr:txBody>
    </xdr:sp>
    <xdr:clientData/>
  </xdr:twoCellAnchor>
  <xdr:twoCellAnchor editAs="absolute">
    <xdr:from>
      <xdr:col>17</xdr:col>
      <xdr:colOff>1</xdr:colOff>
      <xdr:row>0</xdr:row>
      <xdr:rowOff>110436</xdr:rowOff>
    </xdr:from>
    <xdr:to>
      <xdr:col>21</xdr:col>
      <xdr:colOff>121921</xdr:colOff>
      <xdr:row>13</xdr:row>
      <xdr:rowOff>9901</xdr:rowOff>
    </xdr:to>
    <xdr:sp macro="" textlink="">
      <xdr:nvSpPr>
        <xdr:cNvPr id="176" name="Rectangle: Rounded Corners 175">
          <a:extLst>
            <a:ext uri="{FF2B5EF4-FFF2-40B4-BE49-F238E27FC236}">
              <a16:creationId xmlns:a16="http://schemas.microsoft.com/office/drawing/2014/main" id="{222A1391-798B-44CE-AC56-79CA7BF540BD}"/>
            </a:ext>
          </a:extLst>
        </xdr:cNvPr>
        <xdr:cNvSpPr/>
      </xdr:nvSpPr>
      <xdr:spPr>
        <a:xfrm>
          <a:off x="10325653" y="110436"/>
          <a:ext cx="2551485" cy="2232400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128933</xdr:colOff>
      <xdr:row>3</xdr:row>
      <xdr:rowOff>170899</xdr:rowOff>
    </xdr:from>
    <xdr:to>
      <xdr:col>20</xdr:col>
      <xdr:colOff>564874</xdr:colOff>
      <xdr:row>11</xdr:row>
      <xdr:rowOff>170899</xdr:rowOff>
    </xdr:to>
    <xdr:graphicFrame macro="">
      <xdr:nvGraphicFramePr>
        <xdr:cNvPr id="177" name="Chart 176">
          <a:extLst>
            <a:ext uri="{FF2B5EF4-FFF2-40B4-BE49-F238E27FC236}">
              <a16:creationId xmlns:a16="http://schemas.microsoft.com/office/drawing/2014/main" id="{434AED6D-F5BB-47A5-BBFC-41BA6B056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17</xdr:col>
      <xdr:colOff>388179</xdr:colOff>
      <xdr:row>1</xdr:row>
      <xdr:rowOff>24295</xdr:rowOff>
    </xdr:from>
    <xdr:to>
      <xdr:col>20</xdr:col>
      <xdr:colOff>305629</xdr:colOff>
      <xdr:row>3</xdr:row>
      <xdr:rowOff>63302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DA1A01B5-BEA0-4A4A-932F-35EE254289B4}"/>
            </a:ext>
          </a:extLst>
        </xdr:cNvPr>
        <xdr:cNvSpPr txBox="1"/>
      </xdr:nvSpPr>
      <xdr:spPr>
        <a:xfrm>
          <a:off x="10713831" y="203752"/>
          <a:ext cx="1739624" cy="397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200" baseline="0">
              <a:solidFill>
                <a:schemeClr val="tx1"/>
              </a:solidFill>
              <a:latin typeface="Avenir Next LT Pro Demi" panose="020B0704020202020204" pitchFamily="34" charset="0"/>
            </a:rPr>
            <a:t>Realisasi VS Target</a:t>
          </a:r>
          <a:endParaRPr lang="en-US" sz="1200">
            <a:solidFill>
              <a:schemeClr val="tx1"/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 editAs="absolute">
    <xdr:from>
      <xdr:col>7</xdr:col>
      <xdr:colOff>276087</xdr:colOff>
      <xdr:row>0</xdr:row>
      <xdr:rowOff>104636</xdr:rowOff>
    </xdr:from>
    <xdr:to>
      <xdr:col>16</xdr:col>
      <xdr:colOff>567506</xdr:colOff>
      <xdr:row>12</xdr:row>
      <xdr:rowOff>176143</xdr:rowOff>
    </xdr:to>
    <xdr:sp macro="" textlink="">
      <xdr:nvSpPr>
        <xdr:cNvPr id="179" name="Rectangle: Rounded Corners 178">
          <a:extLst>
            <a:ext uri="{FF2B5EF4-FFF2-40B4-BE49-F238E27FC236}">
              <a16:creationId xmlns:a16="http://schemas.microsoft.com/office/drawing/2014/main" id="{5C39FD72-B3D6-4009-A225-23341F6C73C8}"/>
            </a:ext>
          </a:extLst>
        </xdr:cNvPr>
        <xdr:cNvSpPr/>
      </xdr:nvSpPr>
      <xdr:spPr>
        <a:xfrm>
          <a:off x="4527826" y="104636"/>
          <a:ext cx="5757941" cy="2224985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14</xdr:col>
      <xdr:colOff>214796</xdr:colOff>
      <xdr:row>1</xdr:row>
      <xdr:rowOff>17945</xdr:rowOff>
    </xdr:from>
    <xdr:to>
      <xdr:col>16</xdr:col>
      <xdr:colOff>518243</xdr:colOff>
      <xdr:row>3</xdr:row>
      <xdr:rowOff>138593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0A65C54-8491-4363-8414-4E785B0EECE1}"/>
            </a:ext>
          </a:extLst>
        </xdr:cNvPr>
        <xdr:cNvSpPr txBox="1"/>
      </xdr:nvSpPr>
      <xdr:spPr>
        <a:xfrm>
          <a:off x="8718274" y="197402"/>
          <a:ext cx="1518230" cy="479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1400">
              <a:solidFill>
                <a:schemeClr val="tx1"/>
              </a:solidFill>
              <a:latin typeface="Avenir Next LT Pro Demi" panose="020B0704020202020204" pitchFamily="34" charset="0"/>
            </a:rPr>
            <a:t>REALISASI</a:t>
          </a:r>
          <a:endParaRPr lang="en-US" sz="1100">
            <a:solidFill>
              <a:schemeClr val="tx1"/>
            </a:solidFill>
            <a:latin typeface="Avenir Next LT Pro Demi" panose="020B0704020202020204" pitchFamily="34" charset="0"/>
          </a:endParaRPr>
        </a:p>
        <a:p>
          <a:pPr algn="l"/>
          <a:r>
            <a:rPr lang="id-ID" sz="11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Per</a:t>
          </a:r>
          <a:r>
            <a:rPr lang="id-ID" sz="11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 Bulan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 editAs="absolute">
    <xdr:from>
      <xdr:col>14</xdr:col>
      <xdr:colOff>38100</xdr:colOff>
      <xdr:row>3</xdr:row>
      <xdr:rowOff>172001</xdr:rowOff>
    </xdr:from>
    <xdr:to>
      <xdr:col>16</xdr:col>
      <xdr:colOff>556591</xdr:colOff>
      <xdr:row>7</xdr:row>
      <xdr:rowOff>30645</xdr:rowOff>
    </xdr:to>
    <xdr:grpSp>
      <xdr:nvGrpSpPr>
        <xdr:cNvPr id="181" name="Group 180">
          <a:extLst>
            <a:ext uri="{FF2B5EF4-FFF2-40B4-BE49-F238E27FC236}">
              <a16:creationId xmlns:a16="http://schemas.microsoft.com/office/drawing/2014/main" id="{1C491D2D-F460-4FB1-BC4C-676B290E6ABF}"/>
            </a:ext>
          </a:extLst>
        </xdr:cNvPr>
        <xdr:cNvGrpSpPr/>
      </xdr:nvGrpSpPr>
      <xdr:grpSpPr>
        <a:xfrm>
          <a:off x="8547100" y="716287"/>
          <a:ext cx="1734062" cy="584358"/>
          <a:chOff x="7520216" y="2948434"/>
          <a:chExt cx="1731959" cy="548640"/>
        </a:xfrm>
      </xdr:grpSpPr>
      <xdr:sp macro="" textlink="">
        <xdr:nvSpPr>
          <xdr:cNvPr id="182" name="Rectangle: Top Corners Rounded 181">
            <a:extLst>
              <a:ext uri="{FF2B5EF4-FFF2-40B4-BE49-F238E27FC236}">
                <a16:creationId xmlns:a16="http://schemas.microsoft.com/office/drawing/2014/main" id="{FCBEA998-BDD6-59BD-4E6C-CB3B55741B2A}"/>
              </a:ext>
            </a:extLst>
          </xdr:cNvPr>
          <xdr:cNvSpPr/>
        </xdr:nvSpPr>
        <xdr:spPr>
          <a:xfrm rot="16200000">
            <a:off x="8123124" y="2355801"/>
            <a:ext cx="526143" cy="1731959"/>
          </a:xfrm>
          <a:prstGeom prst="round2SameRect">
            <a:avLst/>
          </a:prstGeom>
          <a:solidFill>
            <a:srgbClr val="A13F9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'!D13">
        <xdr:nvSpPr>
          <xdr:cNvPr id="183" name="TextBox 182">
            <a:extLst>
              <a:ext uri="{FF2B5EF4-FFF2-40B4-BE49-F238E27FC236}">
                <a16:creationId xmlns:a16="http://schemas.microsoft.com/office/drawing/2014/main" id="{1D753D24-1648-2B52-0476-A0502DCC0E69}"/>
              </a:ext>
            </a:extLst>
          </xdr:cNvPr>
          <xdr:cNvSpPr txBox="1"/>
        </xdr:nvSpPr>
        <xdr:spPr>
          <a:xfrm>
            <a:off x="8271595" y="2977306"/>
            <a:ext cx="980580" cy="4889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05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Rp</a:t>
            </a:r>
            <a:r>
              <a:rPr lang="id-ID" sz="1050" b="0" i="0" u="none" strike="noStrike" baseline="0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 </a:t>
            </a:r>
            <a:fld id="{30EE52F0-34C5-4432-8A8B-F767C6D414EB}" type="TxLink">
              <a:rPr lang="en-US" sz="105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217125307</a:t>
            </a:fld>
            <a:endParaRPr lang="en-US" sz="2400" b="1">
              <a:solidFill>
                <a:schemeClr val="bg1"/>
              </a:solidFill>
              <a:latin typeface="Avenir Next LT Pro Demi" panose="020B0704020202020204" pitchFamily="34" charset="0"/>
            </a:endParaRPr>
          </a:p>
        </xdr:txBody>
      </xdr:sp>
      <xdr:sp macro="" textlink="">
        <xdr:nvSpPr>
          <xdr:cNvPr id="184" name="TextBox 183">
            <a:extLst>
              <a:ext uri="{FF2B5EF4-FFF2-40B4-BE49-F238E27FC236}">
                <a16:creationId xmlns:a16="http://schemas.microsoft.com/office/drawing/2014/main" id="{EFF85BED-B0A1-44D1-962B-1FBB2A9FE636}"/>
              </a:ext>
            </a:extLst>
          </xdr:cNvPr>
          <xdr:cNvSpPr txBox="1"/>
        </xdr:nvSpPr>
        <xdr:spPr>
          <a:xfrm>
            <a:off x="7565571" y="2948434"/>
            <a:ext cx="1252722" cy="5486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9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Rata-rata</a:t>
            </a:r>
            <a:endPara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id-ID" sz="9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Realisasi</a:t>
            </a:r>
            <a:endParaRPr lang="en-US" sz="9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id-ID" sz="9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 Bulan</a:t>
            </a:r>
            <a:endPara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absolute">
    <xdr:from>
      <xdr:col>14</xdr:col>
      <xdr:colOff>66813</xdr:colOff>
      <xdr:row>7</xdr:row>
      <xdr:rowOff>88899</xdr:rowOff>
    </xdr:from>
    <xdr:to>
      <xdr:col>16</xdr:col>
      <xdr:colOff>557437</xdr:colOff>
      <xdr:row>11</xdr:row>
      <xdr:rowOff>96160</xdr:rowOff>
    </xdr:to>
    <xdr:grpSp>
      <xdr:nvGrpSpPr>
        <xdr:cNvPr id="185" name="Group 184">
          <a:extLst>
            <a:ext uri="{FF2B5EF4-FFF2-40B4-BE49-F238E27FC236}">
              <a16:creationId xmlns:a16="http://schemas.microsoft.com/office/drawing/2014/main" id="{D516A937-9E5C-4EFF-A374-D460E8DE5DD5}"/>
            </a:ext>
          </a:extLst>
        </xdr:cNvPr>
        <xdr:cNvGrpSpPr/>
      </xdr:nvGrpSpPr>
      <xdr:grpSpPr>
        <a:xfrm>
          <a:off x="8575813" y="1358899"/>
          <a:ext cx="1706195" cy="732975"/>
          <a:chOff x="7502070" y="3592279"/>
          <a:chExt cx="1712033" cy="743861"/>
        </a:xfrm>
      </xdr:grpSpPr>
      <xdr:sp macro="" textlink="'Pivot table'!D9">
        <xdr:nvSpPr>
          <xdr:cNvPr id="186" name="TextBox 185">
            <a:extLst>
              <a:ext uri="{FF2B5EF4-FFF2-40B4-BE49-F238E27FC236}">
                <a16:creationId xmlns:a16="http://schemas.microsoft.com/office/drawing/2014/main" id="{8C091A2C-6AA0-7809-F694-4BFE5893258A}"/>
              </a:ext>
            </a:extLst>
          </xdr:cNvPr>
          <xdr:cNvSpPr txBox="1"/>
        </xdr:nvSpPr>
        <xdr:spPr>
          <a:xfrm>
            <a:off x="7502071" y="4063998"/>
            <a:ext cx="807357" cy="2721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7CD8199-D5F1-4D6D-9686-E26C68B0033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0</a:t>
            </a:fld>
            <a:endParaRPr lang="en-US" sz="3200" b="1">
              <a:solidFill>
                <a:srgbClr val="362F48"/>
              </a:solidFill>
              <a:latin typeface="Avenir Next LT Pro Demi" panose="020B0704020202020204" pitchFamily="34" charset="0"/>
            </a:endParaRPr>
          </a:p>
        </xdr:txBody>
      </xdr:sp>
      <xdr:sp macro="" textlink="">
        <xdr:nvSpPr>
          <xdr:cNvPr id="187" name="TextBox 186">
            <a:extLst>
              <a:ext uri="{FF2B5EF4-FFF2-40B4-BE49-F238E27FC236}">
                <a16:creationId xmlns:a16="http://schemas.microsoft.com/office/drawing/2014/main" id="{5ECD32E3-7CC1-2E67-4BE5-4E7DDB2C2965}"/>
              </a:ext>
            </a:extLst>
          </xdr:cNvPr>
          <xdr:cNvSpPr txBox="1"/>
        </xdr:nvSpPr>
        <xdr:spPr>
          <a:xfrm>
            <a:off x="7502070" y="3592279"/>
            <a:ext cx="832104" cy="4898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100" b="1" i="0" u="none" strike="noStrike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Angka</a:t>
            </a:r>
          </a:p>
          <a:p>
            <a:pPr algn="ctr"/>
            <a:r>
              <a:rPr lang="en-US" sz="1100" b="1" i="0" u="none" strike="noStrike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Minimum</a:t>
            </a:r>
          </a:p>
        </xdr:txBody>
      </xdr:sp>
      <xdr:sp macro="" textlink="'Pivot table'!D11">
        <xdr:nvSpPr>
          <xdr:cNvPr id="188" name="TextBox 187">
            <a:extLst>
              <a:ext uri="{FF2B5EF4-FFF2-40B4-BE49-F238E27FC236}">
                <a16:creationId xmlns:a16="http://schemas.microsoft.com/office/drawing/2014/main" id="{AC36ED8E-1E5D-94CE-9C0F-3F59F9C1FEBC}"/>
              </a:ext>
            </a:extLst>
          </xdr:cNvPr>
          <xdr:cNvSpPr txBox="1"/>
        </xdr:nvSpPr>
        <xdr:spPr>
          <a:xfrm>
            <a:off x="8382000" y="4063998"/>
            <a:ext cx="807357" cy="2721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B22B4EE-AE31-4BFC-88A7-D8B3C7215C67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434250614</a:t>
            </a:fld>
            <a:endParaRPr lang="en-US" sz="1400" b="1" i="0" u="none" strike="noStrike">
              <a:solidFill>
                <a:srgbClr val="000000"/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">
        <xdr:nvSpPr>
          <xdr:cNvPr id="189" name="TextBox 188">
            <a:extLst>
              <a:ext uri="{FF2B5EF4-FFF2-40B4-BE49-F238E27FC236}">
                <a16:creationId xmlns:a16="http://schemas.microsoft.com/office/drawing/2014/main" id="{9F508218-DC50-F8C7-6B90-E78DF17141F2}"/>
              </a:ext>
            </a:extLst>
          </xdr:cNvPr>
          <xdr:cNvSpPr txBox="1"/>
        </xdr:nvSpPr>
        <xdr:spPr>
          <a:xfrm>
            <a:off x="8381999" y="3592279"/>
            <a:ext cx="832104" cy="4898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id-ID" sz="1100" b="1" i="0" u="none" strike="noStrike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Angka</a:t>
            </a:r>
          </a:p>
          <a:p>
            <a:pPr marL="0" indent="0" algn="ctr"/>
            <a:r>
              <a:rPr lang="en-US" sz="1100" b="1" i="0" u="none" strike="noStrike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Maximum</a:t>
            </a:r>
          </a:p>
        </xdr:txBody>
      </xdr:sp>
      <xdr:pic>
        <xdr:nvPicPr>
          <xdr:cNvPr id="190" name="Picture 189">
            <a:extLst>
              <a:ext uri="{FF2B5EF4-FFF2-40B4-BE49-F238E27FC236}">
                <a16:creationId xmlns:a16="http://schemas.microsoft.com/office/drawing/2014/main" id="{B74ADAFC-1471-F254-3524-273DD57752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13"/>
              </a:ext>
            </a:extLst>
          </a:blip>
          <a:stretch>
            <a:fillRect/>
          </a:stretch>
        </xdr:blipFill>
        <xdr:spPr>
          <a:xfrm>
            <a:off x="8208408" y="3835546"/>
            <a:ext cx="299357" cy="25732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426554</xdr:colOff>
      <xdr:row>1</xdr:row>
      <xdr:rowOff>42241</xdr:rowOff>
    </xdr:from>
    <xdr:to>
      <xdr:col>13</xdr:col>
      <xdr:colOff>578954</xdr:colOff>
      <xdr:row>12</xdr:row>
      <xdr:rowOff>137492</xdr:rowOff>
    </xdr:to>
    <xdr:graphicFrame macro="">
      <xdr:nvGraphicFramePr>
        <xdr:cNvPr id="191" name="Chart 190">
          <a:extLst>
            <a:ext uri="{FF2B5EF4-FFF2-40B4-BE49-F238E27FC236}">
              <a16:creationId xmlns:a16="http://schemas.microsoft.com/office/drawing/2014/main" id="{AEF89BFD-A5F7-4E7F-B151-CCB8BA8B5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75371</xdr:colOff>
      <xdr:row>16</xdr:row>
      <xdr:rowOff>91109</xdr:rowOff>
    </xdr:from>
    <xdr:to>
      <xdr:col>5</xdr:col>
      <xdr:colOff>335721</xdr:colOff>
      <xdr:row>25</xdr:row>
      <xdr:rowOff>110159</xdr:rowOff>
    </xdr:to>
    <xdr:graphicFrame macro="">
      <xdr:nvGraphicFramePr>
        <xdr:cNvPr id="197" name="Chart 196">
          <a:extLst>
            <a:ext uri="{FF2B5EF4-FFF2-40B4-BE49-F238E27FC236}">
              <a16:creationId xmlns:a16="http://schemas.microsoft.com/office/drawing/2014/main" id="{9C0170CD-C5D7-45C3-9C96-44225EC91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absolute">
    <xdr:from>
      <xdr:col>0</xdr:col>
      <xdr:colOff>204304</xdr:colOff>
      <xdr:row>12</xdr:row>
      <xdr:rowOff>38100</xdr:rowOff>
    </xdr:from>
    <xdr:to>
      <xdr:col>3</xdr:col>
      <xdr:colOff>437045</xdr:colOff>
      <xdr:row>16</xdr:row>
      <xdr:rowOff>19050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BD6BAEF-9B6D-4AF1-A488-30B94A56FCD4}"/>
            </a:ext>
          </a:extLst>
        </xdr:cNvPr>
        <xdr:cNvSpPr txBox="1"/>
      </xdr:nvSpPr>
      <xdr:spPr>
        <a:xfrm>
          <a:off x="204304" y="2191578"/>
          <a:ext cx="2054915" cy="6987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d-ID" sz="1400">
              <a:solidFill>
                <a:schemeClr val="tx1"/>
              </a:solidFill>
              <a:latin typeface="Avenir Next LT Pro Demi" panose="020B0704020202020204" pitchFamily="34" charset="0"/>
            </a:rPr>
            <a:t>Anggaran Kegiatan</a:t>
          </a:r>
          <a:endParaRPr lang="en-US" sz="1100">
            <a:solidFill>
              <a:schemeClr val="tx1"/>
            </a:solidFill>
            <a:latin typeface="Avenir Next LT Pro Demi" panose="020B0704020202020204" pitchFamily="34" charset="0"/>
          </a:endParaRPr>
        </a:p>
        <a:p>
          <a:pPr algn="l"/>
          <a:r>
            <a:rPr lang="id-ID" sz="11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Per</a:t>
          </a:r>
          <a:r>
            <a:rPr lang="id-ID" sz="1100" baseline="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 Output Kegiatan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 editAs="absolute">
    <xdr:from>
      <xdr:col>4</xdr:col>
      <xdr:colOff>292652</xdr:colOff>
      <xdr:row>18</xdr:row>
      <xdr:rowOff>177248</xdr:rowOff>
    </xdr:from>
    <xdr:to>
      <xdr:col>7</xdr:col>
      <xdr:colOff>175885</xdr:colOff>
      <xdr:row>23</xdr:row>
      <xdr:rowOff>5052</xdr:rowOff>
    </xdr:to>
    <xdr:grpSp>
      <xdr:nvGrpSpPr>
        <xdr:cNvPr id="199" name="Group 198">
          <a:extLst>
            <a:ext uri="{FF2B5EF4-FFF2-40B4-BE49-F238E27FC236}">
              <a16:creationId xmlns:a16="http://schemas.microsoft.com/office/drawing/2014/main" id="{6401ECFC-56AC-4396-BF21-267E057890FF}"/>
            </a:ext>
          </a:extLst>
        </xdr:cNvPr>
        <xdr:cNvGrpSpPr/>
      </xdr:nvGrpSpPr>
      <xdr:grpSpPr>
        <a:xfrm>
          <a:off x="2723795" y="3442962"/>
          <a:ext cx="1706590" cy="734947"/>
          <a:chOff x="7502070" y="3592279"/>
          <a:chExt cx="1712033" cy="743861"/>
        </a:xfrm>
      </xdr:grpSpPr>
      <xdr:sp macro="" textlink="'Pivot table'!D24">
        <xdr:nvSpPr>
          <xdr:cNvPr id="200" name="TextBox 199">
            <a:extLst>
              <a:ext uri="{FF2B5EF4-FFF2-40B4-BE49-F238E27FC236}">
                <a16:creationId xmlns:a16="http://schemas.microsoft.com/office/drawing/2014/main" id="{763F9C2A-DC6D-3B5B-6436-248C487414BD}"/>
              </a:ext>
            </a:extLst>
          </xdr:cNvPr>
          <xdr:cNvSpPr txBox="1"/>
        </xdr:nvSpPr>
        <xdr:spPr>
          <a:xfrm>
            <a:off x="7502071" y="4063998"/>
            <a:ext cx="807357" cy="2721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BE37969-EC5D-43C0-8968-38503EF04383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7590000</a:t>
            </a:fld>
            <a:endParaRPr lang="en-US" sz="3200" b="1">
              <a:solidFill>
                <a:srgbClr val="362F48"/>
              </a:solidFill>
              <a:latin typeface="Avenir Next LT Pro Demi" panose="020B0704020202020204" pitchFamily="34" charset="0"/>
            </a:endParaRPr>
          </a:p>
        </xdr:txBody>
      </xdr:sp>
      <xdr:sp macro="" textlink="">
        <xdr:nvSpPr>
          <xdr:cNvPr id="201" name="TextBox 200">
            <a:extLst>
              <a:ext uri="{FF2B5EF4-FFF2-40B4-BE49-F238E27FC236}">
                <a16:creationId xmlns:a16="http://schemas.microsoft.com/office/drawing/2014/main" id="{345D998C-2A75-FD39-CC6A-1D8F63163C3D}"/>
              </a:ext>
            </a:extLst>
          </xdr:cNvPr>
          <xdr:cNvSpPr txBox="1"/>
        </xdr:nvSpPr>
        <xdr:spPr>
          <a:xfrm>
            <a:off x="7502070" y="3592279"/>
            <a:ext cx="832104" cy="4898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id-ID" sz="1100" b="1" i="0" u="none" strike="noStrike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Angka</a:t>
            </a:r>
          </a:p>
          <a:p>
            <a:pPr algn="ctr"/>
            <a:r>
              <a:rPr lang="en-US" sz="1100" b="1" i="0" u="none" strike="noStrike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Minimum</a:t>
            </a:r>
          </a:p>
        </xdr:txBody>
      </xdr:sp>
      <xdr:sp macro="" textlink="'Pivot table'!D26">
        <xdr:nvSpPr>
          <xdr:cNvPr id="202" name="TextBox 201">
            <a:extLst>
              <a:ext uri="{FF2B5EF4-FFF2-40B4-BE49-F238E27FC236}">
                <a16:creationId xmlns:a16="http://schemas.microsoft.com/office/drawing/2014/main" id="{78A71101-48F1-ABEB-DE8E-1C06A7072731}"/>
              </a:ext>
            </a:extLst>
          </xdr:cNvPr>
          <xdr:cNvSpPr txBox="1"/>
        </xdr:nvSpPr>
        <xdr:spPr>
          <a:xfrm>
            <a:off x="8382000" y="4063998"/>
            <a:ext cx="807357" cy="2721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4D8DC5F-7C90-46F5-8A27-400C75017D8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 algn="ctr"/>
              <a:t>15658770979</a:t>
            </a:fld>
            <a:endParaRPr lang="en-US" sz="1400" b="1" i="0" u="none" strike="noStrike">
              <a:solidFill>
                <a:srgbClr val="000000"/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">
        <xdr:nvSpPr>
          <xdr:cNvPr id="203" name="TextBox 202">
            <a:extLst>
              <a:ext uri="{FF2B5EF4-FFF2-40B4-BE49-F238E27FC236}">
                <a16:creationId xmlns:a16="http://schemas.microsoft.com/office/drawing/2014/main" id="{02A48BB6-2F17-0ED1-7A52-C4B47E688E06}"/>
              </a:ext>
            </a:extLst>
          </xdr:cNvPr>
          <xdr:cNvSpPr txBox="1"/>
        </xdr:nvSpPr>
        <xdr:spPr>
          <a:xfrm>
            <a:off x="8381999" y="3592279"/>
            <a:ext cx="832104" cy="4898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id-ID" sz="1100" b="1" i="0" u="none" strike="noStrike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Angka</a:t>
            </a:r>
          </a:p>
          <a:p>
            <a:pPr marL="0" indent="0" algn="ctr"/>
            <a:r>
              <a:rPr lang="en-US" sz="1100" b="1" i="0" u="none" strike="noStrike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Maximum</a:t>
            </a:r>
          </a:p>
        </xdr:txBody>
      </xdr:sp>
    </xdr:grpSp>
    <xdr:clientData/>
  </xdr:twoCellAnchor>
  <xdr:twoCellAnchor editAs="absolute">
    <xdr:from>
      <xdr:col>5</xdr:col>
      <xdr:colOff>367748</xdr:colOff>
      <xdr:row>21</xdr:row>
      <xdr:rowOff>51905</xdr:rowOff>
    </xdr:from>
    <xdr:to>
      <xdr:col>6</xdr:col>
      <xdr:colOff>34677</xdr:colOff>
      <xdr:row>22</xdr:row>
      <xdr:rowOff>136633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0C0A31EC-2EA9-475A-8A29-C803A7E20878}"/>
            </a:ext>
          </a:extLst>
        </xdr:cNvPr>
        <xdr:cNvGrpSpPr/>
      </xdr:nvGrpSpPr>
      <xdr:grpSpPr>
        <a:xfrm>
          <a:off x="3406677" y="3861905"/>
          <a:ext cx="274714" cy="266157"/>
          <a:chOff x="1454604" y="3555095"/>
          <a:chExt cx="274320" cy="274320"/>
        </a:xfrm>
      </xdr:grpSpPr>
      <xdr:sp macro="" textlink="">
        <xdr:nvSpPr>
          <xdr:cNvPr id="206" name="Oval 205">
            <a:extLst>
              <a:ext uri="{FF2B5EF4-FFF2-40B4-BE49-F238E27FC236}">
                <a16:creationId xmlns:a16="http://schemas.microsoft.com/office/drawing/2014/main" id="{002DB5F1-BF57-D9BC-8C5C-45604C0B5BEB}"/>
              </a:ext>
            </a:extLst>
          </xdr:cNvPr>
          <xdr:cNvSpPr/>
        </xdr:nvSpPr>
        <xdr:spPr>
          <a:xfrm>
            <a:off x="1454604" y="3555095"/>
            <a:ext cx="274320" cy="27432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207" name="Graphic 206" descr="Payroll with solid fill">
            <a:extLst>
              <a:ext uri="{FF2B5EF4-FFF2-40B4-BE49-F238E27FC236}">
                <a16:creationId xmlns:a16="http://schemas.microsoft.com/office/drawing/2014/main" id="{A15368B1-4A67-2CFE-A0C7-33BD5D7E2D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7"/>
              </a:ext>
            </a:extLst>
          </a:blip>
          <a:stretch>
            <a:fillRect/>
          </a:stretch>
        </xdr:blipFill>
        <xdr:spPr>
          <a:xfrm>
            <a:off x="1491181" y="3591671"/>
            <a:ext cx="201167" cy="201168"/>
          </a:xfrm>
          <a:prstGeom prst="rect">
            <a:avLst/>
          </a:prstGeom>
        </xdr:spPr>
      </xdr:pic>
    </xdr:grpSp>
    <xdr:clientData/>
  </xdr:twoCellAnchor>
  <xdr:twoCellAnchor editAs="absolute">
    <xdr:from>
      <xdr:col>4</xdr:col>
      <xdr:colOff>242957</xdr:colOff>
      <xdr:row>13</xdr:row>
      <xdr:rowOff>34511</xdr:rowOff>
    </xdr:from>
    <xdr:to>
      <xdr:col>7</xdr:col>
      <xdr:colOff>156266</xdr:colOff>
      <xdr:row>16</xdr:row>
      <xdr:rowOff>67918</xdr:rowOff>
    </xdr:to>
    <xdr:grpSp>
      <xdr:nvGrpSpPr>
        <xdr:cNvPr id="209" name="Group 208">
          <a:extLst>
            <a:ext uri="{FF2B5EF4-FFF2-40B4-BE49-F238E27FC236}">
              <a16:creationId xmlns:a16="http://schemas.microsoft.com/office/drawing/2014/main" id="{333B7631-25CF-439C-878C-C59AEF6FDB01}"/>
            </a:ext>
          </a:extLst>
        </xdr:cNvPr>
        <xdr:cNvGrpSpPr/>
      </xdr:nvGrpSpPr>
      <xdr:grpSpPr>
        <a:xfrm>
          <a:off x="2674100" y="2393082"/>
          <a:ext cx="1736666" cy="577693"/>
          <a:chOff x="7520216" y="2948434"/>
          <a:chExt cx="1731959" cy="548640"/>
        </a:xfrm>
      </xdr:grpSpPr>
      <xdr:sp macro="" textlink="">
        <xdr:nvSpPr>
          <xdr:cNvPr id="210" name="Rectangle: Top Corners Rounded 209">
            <a:extLst>
              <a:ext uri="{FF2B5EF4-FFF2-40B4-BE49-F238E27FC236}">
                <a16:creationId xmlns:a16="http://schemas.microsoft.com/office/drawing/2014/main" id="{849EE7B1-64E9-7D39-6BE7-1884CD0043EF}"/>
              </a:ext>
            </a:extLst>
          </xdr:cNvPr>
          <xdr:cNvSpPr/>
        </xdr:nvSpPr>
        <xdr:spPr>
          <a:xfrm rot="16200000">
            <a:off x="8123124" y="2355801"/>
            <a:ext cx="526143" cy="1731959"/>
          </a:xfrm>
          <a:prstGeom prst="round2SameRect">
            <a:avLst/>
          </a:prstGeom>
          <a:solidFill>
            <a:srgbClr val="A13F9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Pivot table'!D28">
        <xdr:nvSpPr>
          <xdr:cNvPr id="211" name="TextBox 210">
            <a:extLst>
              <a:ext uri="{FF2B5EF4-FFF2-40B4-BE49-F238E27FC236}">
                <a16:creationId xmlns:a16="http://schemas.microsoft.com/office/drawing/2014/main" id="{995B0823-C3E3-05A3-6D1E-16FEA779B417}"/>
              </a:ext>
            </a:extLst>
          </xdr:cNvPr>
          <xdr:cNvSpPr txBox="1"/>
        </xdr:nvSpPr>
        <xdr:spPr>
          <a:xfrm>
            <a:off x="8271595" y="2977306"/>
            <a:ext cx="980580" cy="4889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BF25880-BB18-4B66-AC1D-25EAE27DE817}" type="TxLink">
              <a:rPr lang="en-US" sz="11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 algn="ctr"/>
              <a:t>3149848884</a:t>
            </a:fld>
            <a:endParaRPr lang="en-US" sz="2400" b="1">
              <a:solidFill>
                <a:schemeClr val="bg1"/>
              </a:solidFill>
              <a:latin typeface="Avenir Next LT Pro Demi" panose="020B0704020202020204" pitchFamily="34" charset="0"/>
            </a:endParaRPr>
          </a:p>
        </xdr:txBody>
      </xdr:sp>
      <xdr:sp macro="" textlink="">
        <xdr:nvSpPr>
          <xdr:cNvPr id="212" name="TextBox 211">
            <a:extLst>
              <a:ext uri="{FF2B5EF4-FFF2-40B4-BE49-F238E27FC236}">
                <a16:creationId xmlns:a16="http://schemas.microsoft.com/office/drawing/2014/main" id="{60CDE4F6-D8C7-1CCB-75A2-F9F7E2283438}"/>
              </a:ext>
            </a:extLst>
          </xdr:cNvPr>
          <xdr:cNvSpPr txBox="1"/>
        </xdr:nvSpPr>
        <xdr:spPr>
          <a:xfrm>
            <a:off x="7565571" y="2948434"/>
            <a:ext cx="1252722" cy="5486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id-ID" sz="90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Rata-rata</a:t>
            </a:r>
            <a:endPara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id-ID" sz="9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Anggaran</a:t>
            </a:r>
            <a:endParaRPr lang="en-US" sz="90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id-ID" sz="900" baseline="0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Per Output</a:t>
            </a:r>
            <a:endParaRPr lang="en-US" sz="9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absolute">
    <xdr:from>
      <xdr:col>15</xdr:col>
      <xdr:colOff>383485</xdr:colOff>
      <xdr:row>13</xdr:row>
      <xdr:rowOff>110987</xdr:rowOff>
    </xdr:from>
    <xdr:to>
      <xdr:col>25</xdr:col>
      <xdr:colOff>36444</xdr:colOff>
      <xdr:row>43</xdr:row>
      <xdr:rowOff>117230</xdr:rowOff>
    </xdr:to>
    <xdr:sp macro="" textlink="">
      <xdr:nvSpPr>
        <xdr:cNvPr id="213" name="Rectangle: Rounded Corners 212">
          <a:extLst>
            <a:ext uri="{FF2B5EF4-FFF2-40B4-BE49-F238E27FC236}">
              <a16:creationId xmlns:a16="http://schemas.microsoft.com/office/drawing/2014/main" id="{83BC8C3A-0D09-41B4-B629-3538B90817F8}"/>
            </a:ext>
          </a:extLst>
        </xdr:cNvPr>
        <xdr:cNvSpPr/>
      </xdr:nvSpPr>
      <xdr:spPr>
        <a:xfrm>
          <a:off x="9468870" y="2523987"/>
          <a:ext cx="5709882" cy="5574705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559904</xdr:colOff>
      <xdr:row>18</xdr:row>
      <xdr:rowOff>56918</xdr:rowOff>
    </xdr:from>
    <xdr:to>
      <xdr:col>24</xdr:col>
      <xdr:colOff>316007</xdr:colOff>
      <xdr:row>42</xdr:row>
      <xdr:rowOff>156309</xdr:rowOff>
    </xdr:to>
    <xdr:graphicFrame macro="">
      <xdr:nvGraphicFramePr>
        <xdr:cNvPr id="214" name="Chart 213">
          <a:extLst>
            <a:ext uri="{FF2B5EF4-FFF2-40B4-BE49-F238E27FC236}">
              <a16:creationId xmlns:a16="http://schemas.microsoft.com/office/drawing/2014/main" id="{46A617E4-4B7D-43A7-813A-6CD1AF77D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absolute">
    <xdr:from>
      <xdr:col>17</xdr:col>
      <xdr:colOff>106295</xdr:colOff>
      <xdr:row>15</xdr:row>
      <xdr:rowOff>128105</xdr:rowOff>
    </xdr:from>
    <xdr:to>
      <xdr:col>23</xdr:col>
      <xdr:colOff>13805</xdr:colOff>
      <xdr:row>20</xdr:row>
      <xdr:rowOff>69023</xdr:rowOff>
    </xdr:to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4170C21B-AD43-45CE-B1E9-EFCFC006AA5F}"/>
            </a:ext>
          </a:extLst>
        </xdr:cNvPr>
        <xdr:cNvSpPr txBox="1"/>
      </xdr:nvSpPr>
      <xdr:spPr>
        <a:xfrm>
          <a:off x="10431947" y="2819953"/>
          <a:ext cx="3551858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000" baseline="0">
              <a:solidFill>
                <a:schemeClr val="tx1"/>
              </a:solidFill>
              <a:latin typeface="Avenir Next LT Pro Demi" panose="020B0704020202020204" pitchFamily="34" charset="0"/>
            </a:rPr>
            <a:t>Realisasi Per Sub Kegiatan</a:t>
          </a:r>
          <a:endParaRPr lang="en-US" sz="2000">
            <a:solidFill>
              <a:schemeClr val="tx1"/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 editAs="absolute">
    <xdr:from>
      <xdr:col>25</xdr:col>
      <xdr:colOff>217714</xdr:colOff>
      <xdr:row>0</xdr:row>
      <xdr:rowOff>163284</xdr:rowOff>
    </xdr:from>
    <xdr:to>
      <xdr:col>34</xdr:col>
      <xdr:colOff>27215</xdr:colOff>
      <xdr:row>22</xdr:row>
      <xdr:rowOff>9070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40687C-6C43-48B4-8A84-D50D75B7FE73}"/>
            </a:ext>
          </a:extLst>
        </xdr:cNvPr>
        <xdr:cNvSpPr/>
      </xdr:nvSpPr>
      <xdr:spPr>
        <a:xfrm>
          <a:off x="15412357" y="163284"/>
          <a:ext cx="5279572" cy="3837215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25</xdr:col>
      <xdr:colOff>254002</xdr:colOff>
      <xdr:row>9</xdr:row>
      <xdr:rowOff>72572</xdr:rowOff>
    </xdr:from>
    <xdr:to>
      <xdr:col>33</xdr:col>
      <xdr:colOff>571502</xdr:colOff>
      <xdr:row>21</xdr:row>
      <xdr:rowOff>36286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50010C7-7358-47D4-AC4C-9AEFD4AD8B34}"/>
            </a:ext>
          </a:extLst>
        </xdr:cNvPr>
        <xdr:cNvGrpSpPr/>
      </xdr:nvGrpSpPr>
      <xdr:grpSpPr>
        <a:xfrm>
          <a:off x="15448645" y="1705429"/>
          <a:ext cx="5179786" cy="2140857"/>
          <a:chOff x="3522916" y="765488"/>
          <a:chExt cx="2627516" cy="1215572"/>
        </a:xfrm>
      </xdr:grpSpPr>
      <xdr:sp macro="" textlink="'Pivot table'!E30">
        <xdr:nvSpPr>
          <xdr:cNvPr id="30" name="TextBox 29">
            <a:extLst>
              <a:ext uri="{FF2B5EF4-FFF2-40B4-BE49-F238E27FC236}">
                <a16:creationId xmlns:a16="http://schemas.microsoft.com/office/drawing/2014/main" id="{96159F8F-0C07-36B3-0BEF-6FEBF33C63EC}"/>
              </a:ext>
            </a:extLst>
          </xdr:cNvPr>
          <xdr:cNvSpPr txBox="1"/>
        </xdr:nvSpPr>
        <xdr:spPr>
          <a:xfrm>
            <a:off x="3522916" y="765488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BBCC3C75-4E8D-429A-BD40-384EE4B7487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Pelaksanaan Pengadaan Barang dan Jasa</a:t>
            </a:fld>
            <a:endParaRPr lang="en-US" sz="8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endParaRPr>
          </a:p>
        </xdr:txBody>
      </xdr:sp>
      <xdr:sp macro="" textlink="'Pivot table'!G30">
        <xdr:nvSpPr>
          <xdr:cNvPr id="31" name="TextBox 30">
            <a:extLst>
              <a:ext uri="{FF2B5EF4-FFF2-40B4-BE49-F238E27FC236}">
                <a16:creationId xmlns:a16="http://schemas.microsoft.com/office/drawing/2014/main" id="{AED0BE86-5B74-4D1B-885F-A06FDDB0B243}"/>
              </a:ext>
            </a:extLst>
          </xdr:cNvPr>
          <xdr:cNvSpPr txBox="1"/>
        </xdr:nvSpPr>
        <xdr:spPr>
          <a:xfrm>
            <a:off x="5510352" y="765488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B4B4C961-3B96-42A9-9FB4-4096ED8633E2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Rp87.925.343</a:t>
            </a:fld>
            <a:endParaRPr lang="en-US" sz="1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"/>
              <a:ea typeface="+mn-ea"/>
              <a:cs typeface="Arial"/>
            </a:endParaRPr>
          </a:p>
        </xdr:txBody>
      </xdr:sp>
      <xdr:sp macro="" textlink="'Pivot table'!E31">
        <xdr:nvSpPr>
          <xdr:cNvPr id="32" name="TextBox 31">
            <a:extLst>
              <a:ext uri="{FF2B5EF4-FFF2-40B4-BE49-F238E27FC236}">
                <a16:creationId xmlns:a16="http://schemas.microsoft.com/office/drawing/2014/main" id="{EF09C9C1-90AD-8A46-22A8-E19FCD034557}"/>
              </a:ext>
            </a:extLst>
          </xdr:cNvPr>
          <xdr:cNvSpPr txBox="1"/>
        </xdr:nvSpPr>
        <xdr:spPr>
          <a:xfrm>
            <a:off x="3522916" y="990984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5330C1F1-976C-4859-8CAD-F114E2AABE5E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Penyelenggaraan Rapat Koordinasi dan Konsultasi SKPD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31">
        <xdr:nvSpPr>
          <xdr:cNvPr id="33" name="TextBox 32">
            <a:extLst>
              <a:ext uri="{FF2B5EF4-FFF2-40B4-BE49-F238E27FC236}">
                <a16:creationId xmlns:a16="http://schemas.microsoft.com/office/drawing/2014/main" id="{B00B6625-699B-849A-4792-76C78165208A}"/>
              </a:ext>
            </a:extLst>
          </xdr:cNvPr>
          <xdr:cNvSpPr txBox="1"/>
        </xdr:nvSpPr>
        <xdr:spPr>
          <a:xfrm>
            <a:off x="5510352" y="1014952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AF0ED40D-E279-4C06-A87C-A0FB570BFE7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Rp62.130.300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E32">
        <xdr:nvSpPr>
          <xdr:cNvPr id="34" name="TextBox 33">
            <a:extLst>
              <a:ext uri="{FF2B5EF4-FFF2-40B4-BE49-F238E27FC236}">
                <a16:creationId xmlns:a16="http://schemas.microsoft.com/office/drawing/2014/main" id="{603348B2-4408-CEB9-8611-A9B314D3C205}"/>
              </a:ext>
            </a:extLst>
          </xdr:cNvPr>
          <xdr:cNvSpPr txBox="1"/>
        </xdr:nvSpPr>
        <xdr:spPr>
          <a:xfrm>
            <a:off x="3522916" y="1264416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54E4AC66-EBD2-4AB0-B144-5353D2759D24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Pendidikan dan Pelatihan Pegawai Berdasarkan Tugas dan
Fungsi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32">
        <xdr:nvSpPr>
          <xdr:cNvPr id="35" name="TextBox 34">
            <a:extLst>
              <a:ext uri="{FF2B5EF4-FFF2-40B4-BE49-F238E27FC236}">
                <a16:creationId xmlns:a16="http://schemas.microsoft.com/office/drawing/2014/main" id="{C0738970-FF93-B0AE-01B7-7A76099CF6CF}"/>
              </a:ext>
            </a:extLst>
          </xdr:cNvPr>
          <xdr:cNvSpPr txBox="1"/>
        </xdr:nvSpPr>
        <xdr:spPr>
          <a:xfrm>
            <a:off x="5510352" y="1264416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7B0518A5-5222-4892-955F-B1F4C06A8F9E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Rp46.500.000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E33">
        <xdr:nvSpPr>
          <xdr:cNvPr id="36" name="TextBox 35">
            <a:extLst>
              <a:ext uri="{FF2B5EF4-FFF2-40B4-BE49-F238E27FC236}">
                <a16:creationId xmlns:a16="http://schemas.microsoft.com/office/drawing/2014/main" id="{054EE87F-3605-E3C5-4389-33B3905E91F5}"/>
              </a:ext>
            </a:extLst>
          </xdr:cNvPr>
          <xdr:cNvSpPr txBox="1"/>
        </xdr:nvSpPr>
        <xdr:spPr>
          <a:xfrm>
            <a:off x="3522916" y="1513881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4FB2E1A2-FCA6-4A84-9E20-08842EE42BE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Pengembangan Sistem Informasi Pengadaan Barang dan Jasa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33">
        <xdr:nvSpPr>
          <xdr:cNvPr id="37" name="TextBox 36">
            <a:extLst>
              <a:ext uri="{FF2B5EF4-FFF2-40B4-BE49-F238E27FC236}">
                <a16:creationId xmlns:a16="http://schemas.microsoft.com/office/drawing/2014/main" id="{99A8BA2A-C260-FB3A-8166-5A40A95282B7}"/>
              </a:ext>
            </a:extLst>
          </xdr:cNvPr>
          <xdr:cNvSpPr txBox="1"/>
        </xdr:nvSpPr>
        <xdr:spPr>
          <a:xfrm>
            <a:off x="5510352" y="1513881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42FA0B7-5C71-4682-AF99-1A365D9F39A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Rp32.838.000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E34">
        <xdr:nvSpPr>
          <xdr:cNvPr id="38" name="TextBox 37">
            <a:extLst>
              <a:ext uri="{FF2B5EF4-FFF2-40B4-BE49-F238E27FC236}">
                <a16:creationId xmlns:a16="http://schemas.microsoft.com/office/drawing/2014/main" id="{94BC3FE5-F484-F228-3CE3-4F76DA30ECEF}"/>
              </a:ext>
            </a:extLst>
          </xdr:cNvPr>
          <xdr:cNvSpPr txBox="1"/>
        </xdr:nvSpPr>
        <xdr:spPr>
          <a:xfrm>
            <a:off x="3522916" y="1763346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92D820B6-694C-4E84-8234-E4795AEB6C84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Penyediaan Peralatan dan Perlengkapan Kantor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34">
        <xdr:nvSpPr>
          <xdr:cNvPr id="39" name="TextBox 38">
            <a:extLst>
              <a:ext uri="{FF2B5EF4-FFF2-40B4-BE49-F238E27FC236}">
                <a16:creationId xmlns:a16="http://schemas.microsoft.com/office/drawing/2014/main" id="{AD705B13-BDE9-D56C-18B5-98C418BE36B5}"/>
              </a:ext>
            </a:extLst>
          </xdr:cNvPr>
          <xdr:cNvSpPr txBox="1"/>
        </xdr:nvSpPr>
        <xdr:spPr>
          <a:xfrm>
            <a:off x="5510352" y="1763346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4A13D231-3D50-4555-BA3A-FA6FF62963E9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Rp31.102.500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</xdr:grpSp>
    <xdr:clientData/>
  </xdr:twoCellAnchor>
  <xdr:twoCellAnchor editAs="absolute">
    <xdr:from>
      <xdr:col>25</xdr:col>
      <xdr:colOff>199571</xdr:colOff>
      <xdr:row>22</xdr:row>
      <xdr:rowOff>154213</xdr:rowOff>
    </xdr:from>
    <xdr:to>
      <xdr:col>34</xdr:col>
      <xdr:colOff>9072</xdr:colOff>
      <xdr:row>43</xdr:row>
      <xdr:rowOff>99784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FE19D1C8-50C1-49EC-A92E-1F11343953DC}"/>
            </a:ext>
          </a:extLst>
        </xdr:cNvPr>
        <xdr:cNvSpPr/>
      </xdr:nvSpPr>
      <xdr:spPr>
        <a:xfrm>
          <a:off x="15394214" y="4145642"/>
          <a:ext cx="5279572" cy="3755571"/>
        </a:xfrm>
        <a:prstGeom prst="roundRect">
          <a:avLst>
            <a:gd name="adj" fmla="val 6824"/>
          </a:avLst>
        </a:prstGeom>
        <a:solidFill>
          <a:schemeClr val="bg1"/>
        </a:solidFill>
        <a:ln>
          <a:noFill/>
        </a:ln>
        <a:effectLst>
          <a:outerShdw blurRad="279400" dist="50800" dir="2700000" algn="tl" rotWithShape="0">
            <a:prstClr val="black">
              <a:alpha val="12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25</xdr:col>
      <xdr:colOff>208644</xdr:colOff>
      <xdr:row>29</xdr:row>
      <xdr:rowOff>145142</xdr:rowOff>
    </xdr:from>
    <xdr:to>
      <xdr:col>33</xdr:col>
      <xdr:colOff>544287</xdr:colOff>
      <xdr:row>42</xdr:row>
      <xdr:rowOff>171078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90186DCA-50E1-4051-916A-CE43B990BB3F}"/>
            </a:ext>
          </a:extLst>
        </xdr:cNvPr>
        <xdr:cNvGrpSpPr/>
      </xdr:nvGrpSpPr>
      <xdr:grpSpPr>
        <a:xfrm>
          <a:off x="15403287" y="5406571"/>
          <a:ext cx="5197929" cy="2384507"/>
          <a:chOff x="3513713" y="765488"/>
          <a:chExt cx="2636719" cy="1215572"/>
        </a:xfrm>
      </xdr:grpSpPr>
      <xdr:sp macro="" textlink="'Pivot table'!E39">
        <xdr:nvSpPr>
          <xdr:cNvPr id="57" name="TextBox 56">
            <a:extLst>
              <a:ext uri="{FF2B5EF4-FFF2-40B4-BE49-F238E27FC236}">
                <a16:creationId xmlns:a16="http://schemas.microsoft.com/office/drawing/2014/main" id="{105C9093-003C-4A73-EB7B-8F505070AD68}"/>
              </a:ext>
            </a:extLst>
          </xdr:cNvPr>
          <xdr:cNvSpPr txBox="1"/>
        </xdr:nvSpPr>
        <xdr:spPr>
          <a:xfrm>
            <a:off x="3513713" y="771067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fld id="{CA28A8EE-EB58-49D1-8746-87B50F421828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Pengelolaan Strategi Pengadaan Barang dan Jasa</a:t>
            </a:fld>
            <a:endParaRPr lang="en-US" sz="8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endParaRPr>
          </a:p>
        </xdr:txBody>
      </xdr:sp>
      <xdr:sp macro="" textlink="'Pivot table'!G39">
        <xdr:nvSpPr>
          <xdr:cNvPr id="58" name="TextBox 57">
            <a:extLst>
              <a:ext uri="{FF2B5EF4-FFF2-40B4-BE49-F238E27FC236}">
                <a16:creationId xmlns:a16="http://schemas.microsoft.com/office/drawing/2014/main" id="{7DC34038-B67D-5ABA-33D4-21AFFF2938BA}"/>
              </a:ext>
            </a:extLst>
          </xdr:cNvPr>
          <xdr:cNvSpPr txBox="1"/>
        </xdr:nvSpPr>
        <xdr:spPr>
          <a:xfrm>
            <a:off x="5510352" y="765488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4E1A3412-6013-4918-86AD-70868526EFE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Rp12.172.840</a:t>
            </a:fld>
            <a:endParaRPr lang="en-US" sz="10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rial"/>
              <a:ea typeface="+mn-ea"/>
              <a:cs typeface="Arial"/>
            </a:endParaRPr>
          </a:p>
        </xdr:txBody>
      </xdr:sp>
      <xdr:sp macro="" textlink="'Pivot table'!E40">
        <xdr:nvSpPr>
          <xdr:cNvPr id="60" name="TextBox 59">
            <a:extLst>
              <a:ext uri="{FF2B5EF4-FFF2-40B4-BE49-F238E27FC236}">
                <a16:creationId xmlns:a16="http://schemas.microsoft.com/office/drawing/2014/main" id="{2FD734ED-187E-AC86-09B0-289C0E16DD62}"/>
              </a:ext>
            </a:extLst>
          </xdr:cNvPr>
          <xdr:cNvSpPr txBox="1"/>
        </xdr:nvSpPr>
        <xdr:spPr>
          <a:xfrm>
            <a:off x="3522917" y="1002144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1F38B180-A738-4A40-8FFE-CF4CEC84C7EA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Penyediaan Jasa Pelayanan Umum Kantor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40">
        <xdr:nvSpPr>
          <xdr:cNvPr id="61" name="TextBox 60">
            <a:extLst>
              <a:ext uri="{FF2B5EF4-FFF2-40B4-BE49-F238E27FC236}">
                <a16:creationId xmlns:a16="http://schemas.microsoft.com/office/drawing/2014/main" id="{9874D100-4479-BA75-B6A9-FAA194052813}"/>
              </a:ext>
            </a:extLst>
          </xdr:cNvPr>
          <xdr:cNvSpPr txBox="1"/>
        </xdr:nvSpPr>
        <xdr:spPr>
          <a:xfrm>
            <a:off x="5510352" y="1014952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40B3358F-0D6C-427C-804A-40D9DE0AC5F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Rp4.088.225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E41">
        <xdr:nvSpPr>
          <xdr:cNvPr id="62" name="TextBox 61">
            <a:extLst>
              <a:ext uri="{FF2B5EF4-FFF2-40B4-BE49-F238E27FC236}">
                <a16:creationId xmlns:a16="http://schemas.microsoft.com/office/drawing/2014/main" id="{F5B6753A-7672-EC12-7F01-1669F939C96E}"/>
              </a:ext>
            </a:extLst>
          </xdr:cNvPr>
          <xdr:cNvSpPr txBox="1"/>
        </xdr:nvSpPr>
        <xdr:spPr>
          <a:xfrm>
            <a:off x="3522915" y="1258836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0721D6D-858C-460E-A66A-62A1F9D757C9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Penyediaan Jasa Peralatan dan Perlengkapan Kantor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41">
        <xdr:nvSpPr>
          <xdr:cNvPr id="66" name="TextBox 65">
            <a:extLst>
              <a:ext uri="{FF2B5EF4-FFF2-40B4-BE49-F238E27FC236}">
                <a16:creationId xmlns:a16="http://schemas.microsoft.com/office/drawing/2014/main" id="{2FB14BDB-DAD4-3B18-C907-AA802F4201A4}"/>
              </a:ext>
            </a:extLst>
          </xdr:cNvPr>
          <xdr:cNvSpPr txBox="1"/>
        </xdr:nvSpPr>
        <xdr:spPr>
          <a:xfrm>
            <a:off x="5510352" y="1264416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96A4C0C0-9B6A-4564-91F1-C3E46262EC9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Rp3.600.000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E42">
        <xdr:nvSpPr>
          <xdr:cNvPr id="67" name="TextBox 66">
            <a:extLst>
              <a:ext uri="{FF2B5EF4-FFF2-40B4-BE49-F238E27FC236}">
                <a16:creationId xmlns:a16="http://schemas.microsoft.com/office/drawing/2014/main" id="{286E5200-D36C-F336-F55D-F9A57E0E14AD}"/>
              </a:ext>
            </a:extLst>
          </xdr:cNvPr>
          <xdr:cNvSpPr txBox="1"/>
        </xdr:nvSpPr>
        <xdr:spPr>
          <a:xfrm>
            <a:off x="3522916" y="1508302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FF15CC13-112B-40D3-8407-C4F9DF1D09C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Koordinasi dan Penyusunan Laporan Capaian Kinerja dan
Ikhtisar Realisasi Kinerja SKPD3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42">
        <xdr:nvSpPr>
          <xdr:cNvPr id="68" name="TextBox 67">
            <a:extLst>
              <a:ext uri="{FF2B5EF4-FFF2-40B4-BE49-F238E27FC236}">
                <a16:creationId xmlns:a16="http://schemas.microsoft.com/office/drawing/2014/main" id="{FB19BA39-DB4F-6549-1510-BF81D4E0AFF0}"/>
              </a:ext>
            </a:extLst>
          </xdr:cNvPr>
          <xdr:cNvSpPr txBox="1"/>
        </xdr:nvSpPr>
        <xdr:spPr>
          <a:xfrm>
            <a:off x="5510352" y="1513881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C0B8AFE7-D879-4F5A-94BE-1CABFBEE682C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Rp2.300.000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E43">
        <xdr:nvSpPr>
          <xdr:cNvPr id="69" name="TextBox 68">
            <a:extLst>
              <a:ext uri="{FF2B5EF4-FFF2-40B4-BE49-F238E27FC236}">
                <a16:creationId xmlns:a16="http://schemas.microsoft.com/office/drawing/2014/main" id="{F0CB79D3-595E-A34A-208E-4CB04C7D3379}"/>
              </a:ext>
            </a:extLst>
          </xdr:cNvPr>
          <xdr:cNvSpPr txBox="1"/>
        </xdr:nvSpPr>
        <xdr:spPr>
          <a:xfrm>
            <a:off x="3522916" y="1763346"/>
            <a:ext cx="192024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l"/>
            <a:fld id="{648E4025-016C-43F0-8414-634C85543D9F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Penyusunan Dokumen Perencanaan Perangkat Daerah</a:t>
            </a:fld>
            <a:endParaRPr lang="en-US" sz="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  <xdr:sp macro="" textlink="'Pivot table'!G43">
        <xdr:nvSpPr>
          <xdr:cNvPr id="70" name="TextBox 69">
            <a:extLst>
              <a:ext uri="{FF2B5EF4-FFF2-40B4-BE49-F238E27FC236}">
                <a16:creationId xmlns:a16="http://schemas.microsoft.com/office/drawing/2014/main" id="{2FB503D0-AC1D-71BB-6A26-F9F7116726F0}"/>
              </a:ext>
            </a:extLst>
          </xdr:cNvPr>
          <xdr:cNvSpPr txBox="1"/>
        </xdr:nvSpPr>
        <xdr:spPr>
          <a:xfrm>
            <a:off x="5510352" y="1763346"/>
            <a:ext cx="640080" cy="2177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r"/>
            <a:fld id="{5A894FF5-3A5E-4F8D-8AC5-2B5938A24C1D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Rp473.125</a:t>
            </a:fld>
            <a:endParaRPr lang="en-US" sz="9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venir Next LT Pro Demi" panose="020B0704020202020204" pitchFamily="34" charset="0"/>
              <a:ea typeface="+mn-ea"/>
              <a:cs typeface="Arial"/>
            </a:endParaRPr>
          </a:p>
        </xdr:txBody>
      </xdr:sp>
    </xdr:grpSp>
    <xdr:clientData/>
  </xdr:twoCellAnchor>
  <xdr:twoCellAnchor editAs="absolute">
    <xdr:from>
      <xdr:col>25</xdr:col>
      <xdr:colOff>217714</xdr:colOff>
      <xdr:row>0</xdr:row>
      <xdr:rowOff>163284</xdr:rowOff>
    </xdr:from>
    <xdr:to>
      <xdr:col>29</xdr:col>
      <xdr:colOff>27214</xdr:colOff>
      <xdr:row>7</xdr:row>
      <xdr:rowOff>163285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C6D3DF0-F7A1-4417-84DA-0995F9026B12}"/>
            </a:ext>
          </a:extLst>
        </xdr:cNvPr>
        <xdr:cNvSpPr txBox="1"/>
      </xdr:nvSpPr>
      <xdr:spPr>
        <a:xfrm>
          <a:off x="15412357" y="163284"/>
          <a:ext cx="2240643" cy="1270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Top 5</a:t>
          </a:r>
          <a:endParaRPr lang="en-US" sz="1600">
            <a:solidFill>
              <a:schemeClr val="tx1">
                <a:lumMod val="65000"/>
                <a:lumOff val="35000"/>
              </a:schemeClr>
            </a:solidFill>
            <a:latin typeface="Avenir Next LT Pro Demi" panose="020B0704020202020204" pitchFamily="34" charset="0"/>
          </a:endParaRPr>
        </a:p>
        <a:p>
          <a:pPr algn="l"/>
          <a:r>
            <a:rPr lang="id-ID" sz="1800">
              <a:solidFill>
                <a:schemeClr val="tx1">
                  <a:lumMod val="85000"/>
                  <a:lumOff val="15000"/>
                </a:schemeClr>
              </a:solidFill>
              <a:latin typeface="Avenir Next LT Pro Demi" panose="020B0704020202020204" pitchFamily="34" charset="0"/>
            </a:rPr>
            <a:t>Highest</a:t>
          </a:r>
          <a:r>
            <a:rPr lang="en-US" sz="1800">
              <a:solidFill>
                <a:schemeClr val="tx1">
                  <a:lumMod val="85000"/>
                  <a:lumOff val="15000"/>
                </a:schemeClr>
              </a:solidFill>
              <a:latin typeface="Avenir Next LT Pro Demi" panose="020B0704020202020204" pitchFamily="34" charset="0"/>
            </a:rPr>
            <a:t> </a:t>
          </a:r>
          <a:r>
            <a:rPr lang="id-ID" sz="1800">
              <a:solidFill>
                <a:schemeClr val="tx1">
                  <a:lumMod val="85000"/>
                  <a:lumOff val="15000"/>
                </a:schemeClr>
              </a:solidFill>
              <a:latin typeface="Avenir Next LT Pro Demi" panose="020B0704020202020204" pitchFamily="34" charset="0"/>
            </a:rPr>
            <a:t>Activity</a:t>
          </a:r>
          <a:endParaRPr lang="en-US" sz="1600">
            <a:solidFill>
              <a:schemeClr val="tx1">
                <a:lumMod val="85000"/>
                <a:lumOff val="15000"/>
              </a:schemeClr>
            </a:solidFill>
            <a:latin typeface="Avenir Next LT Pro Demi" panose="020B0704020202020204" pitchFamily="34" charset="0"/>
          </a:endParaRPr>
        </a:p>
        <a:p>
          <a:pPr algn="l"/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Support to </a:t>
          </a:r>
          <a:r>
            <a:rPr lang="id-ID" sz="12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Realitation</a:t>
          </a:r>
          <a:endParaRPr lang="en-US" sz="1600">
            <a:solidFill>
              <a:schemeClr val="tx1">
                <a:lumMod val="65000"/>
                <a:lumOff val="35000"/>
              </a:schemeClr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 editAs="absolute">
    <xdr:from>
      <xdr:col>25</xdr:col>
      <xdr:colOff>244928</xdr:colOff>
      <xdr:row>24</xdr:row>
      <xdr:rowOff>72571</xdr:rowOff>
    </xdr:from>
    <xdr:to>
      <xdr:col>28</xdr:col>
      <xdr:colOff>290285</xdr:colOff>
      <xdr:row>29</xdr:row>
      <xdr:rowOff>90714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329351E4-8F05-4BB0-9279-C542B686612D}"/>
            </a:ext>
          </a:extLst>
        </xdr:cNvPr>
        <xdr:cNvSpPr txBox="1"/>
      </xdr:nvSpPr>
      <xdr:spPr>
        <a:xfrm>
          <a:off x="15439571" y="4426857"/>
          <a:ext cx="1868714" cy="925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Top 5</a:t>
          </a:r>
          <a:endParaRPr lang="en-US" sz="1600">
            <a:solidFill>
              <a:schemeClr val="tx1">
                <a:lumMod val="65000"/>
                <a:lumOff val="35000"/>
              </a:schemeClr>
            </a:solidFill>
            <a:latin typeface="Avenir Next LT Pro Demi" panose="020B070402020202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id-ID" sz="18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85000"/>
                  <a:lumOff val="15000"/>
                </a:prstClr>
              </a:solidFill>
              <a:effectLst/>
              <a:uLnTx/>
              <a:uFillTx/>
              <a:latin typeface="Avenir Next LT Pro Demi" panose="020B0704020202020204" pitchFamily="34" charset="0"/>
              <a:ea typeface="+mn-ea"/>
              <a:cs typeface="+mn-cs"/>
            </a:rPr>
            <a:t>Lowest</a:t>
          </a: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85000"/>
                  <a:lumOff val="15000"/>
                </a:prstClr>
              </a:solidFill>
              <a:effectLst/>
              <a:uLnTx/>
              <a:uFillTx/>
              <a:latin typeface="Avenir Next LT Pro Demi" panose="020B0704020202020204" pitchFamily="34" charset="0"/>
              <a:ea typeface="+mn-ea"/>
              <a:cs typeface="+mn-cs"/>
            </a:rPr>
            <a:t> </a:t>
          </a:r>
          <a:r>
            <a:rPr kumimoji="0" lang="id-ID" sz="1800" b="0" i="0" u="none" strike="noStrike" kern="0" cap="none" spc="0" normalizeH="0" baseline="0" noProof="0">
              <a:ln>
                <a:noFill/>
              </a:ln>
              <a:solidFill>
                <a:prstClr val="black">
                  <a:lumMod val="85000"/>
                  <a:lumOff val="15000"/>
                </a:prstClr>
              </a:solidFill>
              <a:effectLst/>
              <a:uLnTx/>
              <a:uFillTx/>
              <a:latin typeface="Avenir Next LT Pro Demi" panose="020B0704020202020204" pitchFamily="34" charset="0"/>
              <a:ea typeface="+mn-ea"/>
              <a:cs typeface="+mn-cs"/>
            </a:rPr>
            <a:t>Activity</a:t>
          </a:r>
          <a:endParaRPr lang="en-US" sz="1600">
            <a:solidFill>
              <a:schemeClr val="tx1">
                <a:lumMod val="85000"/>
                <a:lumOff val="15000"/>
              </a:schemeClr>
            </a:solidFill>
            <a:latin typeface="Avenir Next LT Pro Demi" panose="020B0704020202020204" pitchFamily="34" charset="0"/>
          </a:endParaRPr>
        </a:p>
        <a:p>
          <a:pPr algn="l"/>
          <a:r>
            <a:rPr lang="en-US" sz="12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Support to </a:t>
          </a:r>
          <a:r>
            <a:rPr lang="id-ID" sz="1200">
              <a:solidFill>
                <a:schemeClr val="tx1">
                  <a:lumMod val="65000"/>
                  <a:lumOff val="35000"/>
                </a:schemeClr>
              </a:solidFill>
              <a:latin typeface="Avenir Next LT Pro Demi" panose="020B0704020202020204" pitchFamily="34" charset="0"/>
            </a:rPr>
            <a:t>Realitation</a:t>
          </a:r>
          <a:endParaRPr lang="en-US" sz="1600">
            <a:solidFill>
              <a:schemeClr val="tx1">
                <a:lumMod val="65000"/>
                <a:lumOff val="35000"/>
              </a:schemeClr>
            </a:solidFill>
            <a:latin typeface="Avenir Next LT Pro Demi" panose="020B0704020202020204" pitchFamily="34" charset="0"/>
          </a:endParaRPr>
        </a:p>
      </xdr:txBody>
    </xdr:sp>
    <xdr:clientData/>
  </xdr:twoCellAnchor>
  <xdr:twoCellAnchor>
    <xdr:from>
      <xdr:col>27</xdr:col>
      <xdr:colOff>435429</xdr:colOff>
      <xdr:row>2</xdr:row>
      <xdr:rowOff>72570</xdr:rowOff>
    </xdr:from>
    <xdr:to>
      <xdr:col>27</xdr:col>
      <xdr:colOff>545157</xdr:colOff>
      <xdr:row>2</xdr:row>
      <xdr:rowOff>136578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6E038310-DB4F-4C63-96F7-E3CD0CEF1020}"/>
            </a:ext>
          </a:extLst>
        </xdr:cNvPr>
        <xdr:cNvSpPr/>
      </xdr:nvSpPr>
      <xdr:spPr>
        <a:xfrm>
          <a:off x="16845643" y="435427"/>
          <a:ext cx="109728" cy="64008"/>
        </a:xfrm>
        <a:prstGeom prst="triangle">
          <a:avLst/>
        </a:prstGeom>
        <a:solidFill>
          <a:srgbClr val="00B62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526143</xdr:colOff>
      <xdr:row>25</xdr:row>
      <xdr:rowOff>27215</xdr:rowOff>
    </xdr:from>
    <xdr:to>
      <xdr:col>28</xdr:col>
      <xdr:colOff>28085</xdr:colOff>
      <xdr:row>25</xdr:row>
      <xdr:rowOff>91223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72943B49-F55E-450F-8A4F-48A218ABCF1B}"/>
            </a:ext>
          </a:extLst>
        </xdr:cNvPr>
        <xdr:cNvSpPr/>
      </xdr:nvSpPr>
      <xdr:spPr>
        <a:xfrm rot="10800000">
          <a:off x="16936357" y="4562929"/>
          <a:ext cx="109728" cy="64008"/>
        </a:xfrm>
        <a:prstGeom prst="triangle">
          <a:avLst/>
        </a:prstGeom>
        <a:solidFill>
          <a:srgbClr val="00B62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27</xdr:col>
      <xdr:colOff>253999</xdr:colOff>
      <xdr:row>2</xdr:row>
      <xdr:rowOff>81642</xdr:rowOff>
    </xdr:from>
    <xdr:to>
      <xdr:col>27</xdr:col>
      <xdr:colOff>372871</xdr:colOff>
      <xdr:row>3</xdr:row>
      <xdr:rowOff>19085</xdr:rowOff>
    </xdr:to>
    <xdr:sp macro="" textlink="">
      <xdr:nvSpPr>
        <xdr:cNvPr id="75" name="Star: 5 Points 74">
          <a:extLst>
            <a:ext uri="{FF2B5EF4-FFF2-40B4-BE49-F238E27FC236}">
              <a16:creationId xmlns:a16="http://schemas.microsoft.com/office/drawing/2014/main" id="{BA267D7A-859E-4174-B83D-CBA9BCAE0E1D}"/>
            </a:ext>
          </a:extLst>
        </xdr:cNvPr>
        <xdr:cNvSpPr/>
      </xdr:nvSpPr>
      <xdr:spPr>
        <a:xfrm>
          <a:off x="16664213" y="444499"/>
          <a:ext cx="118872" cy="118872"/>
        </a:xfrm>
        <a:prstGeom prst="star5">
          <a:avLst/>
        </a:prstGeom>
        <a:solidFill>
          <a:srgbClr val="FED14E"/>
        </a:solidFill>
        <a:ln>
          <a:solidFill>
            <a:srgbClr val="FED14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27</xdr:col>
      <xdr:colOff>297543</xdr:colOff>
      <xdr:row>24</xdr:row>
      <xdr:rowOff>152399</xdr:rowOff>
    </xdr:from>
    <xdr:to>
      <xdr:col>27</xdr:col>
      <xdr:colOff>416415</xdr:colOff>
      <xdr:row>25</xdr:row>
      <xdr:rowOff>89843</xdr:rowOff>
    </xdr:to>
    <xdr:sp macro="" textlink="">
      <xdr:nvSpPr>
        <xdr:cNvPr id="76" name="Star: 5 Points 75">
          <a:extLst>
            <a:ext uri="{FF2B5EF4-FFF2-40B4-BE49-F238E27FC236}">
              <a16:creationId xmlns:a16="http://schemas.microsoft.com/office/drawing/2014/main" id="{C7E84B65-C51D-46BF-8A38-7E6E7545D449}"/>
            </a:ext>
          </a:extLst>
        </xdr:cNvPr>
        <xdr:cNvSpPr/>
      </xdr:nvSpPr>
      <xdr:spPr>
        <a:xfrm>
          <a:off x="16707757" y="4506685"/>
          <a:ext cx="118872" cy="118872"/>
        </a:xfrm>
        <a:prstGeom prst="star5">
          <a:avLst/>
        </a:prstGeom>
        <a:solidFill>
          <a:srgbClr val="FED14E"/>
        </a:solidFill>
        <a:ln>
          <a:solidFill>
            <a:srgbClr val="FED14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467579</xdr:colOff>
      <xdr:row>1</xdr:row>
      <xdr:rowOff>90712</xdr:rowOff>
    </xdr:from>
    <xdr:to>
      <xdr:col>33</xdr:col>
      <xdr:colOff>433854</xdr:colOff>
      <xdr:row>4</xdr:row>
      <xdr:rowOff>117929</xdr:rowOff>
    </xdr:to>
    <xdr:pic>
      <xdr:nvPicPr>
        <xdr:cNvPr id="77" name="Graphic 76" descr="Ribbon with solid fill">
          <a:extLst>
            <a:ext uri="{FF2B5EF4-FFF2-40B4-BE49-F238E27FC236}">
              <a16:creationId xmlns:a16="http://schemas.microsoft.com/office/drawing/2014/main" id="{EE44BCE9-298B-4983-8E9D-744B6202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916722" y="272141"/>
          <a:ext cx="574061" cy="571502"/>
        </a:xfrm>
        <a:prstGeom prst="rect">
          <a:avLst/>
        </a:prstGeom>
      </xdr:spPr>
    </xdr:pic>
    <xdr:clientData/>
  </xdr:twoCellAnchor>
  <xdr:twoCellAnchor>
    <xdr:from>
      <xdr:col>32</xdr:col>
      <xdr:colOff>465888</xdr:colOff>
      <xdr:row>23</xdr:row>
      <xdr:rowOff>179613</xdr:rowOff>
    </xdr:from>
    <xdr:to>
      <xdr:col>33</xdr:col>
      <xdr:colOff>404826</xdr:colOff>
      <xdr:row>26</xdr:row>
      <xdr:rowOff>179614</xdr:rowOff>
    </xdr:to>
    <xdr:pic>
      <xdr:nvPicPr>
        <xdr:cNvPr id="78" name="Graphic 77" descr="Ribbon with solid fill">
          <a:extLst>
            <a:ext uri="{FF2B5EF4-FFF2-40B4-BE49-F238E27FC236}">
              <a16:creationId xmlns:a16="http://schemas.microsoft.com/office/drawing/2014/main" id="{557BDB72-79FB-4B7A-BD28-E4D2D6624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915031" y="4352470"/>
          <a:ext cx="546724" cy="544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%20YANDI%20RAHMAN\Downloads\Kerjaan\Selesai\Dashboard%20Excel%20DL%20Jum'at\Sales%20Performance%20Metric%20Dashboard.xlsx" TargetMode="External"/><Relationship Id="rId1" Type="http://schemas.openxmlformats.org/officeDocument/2006/relationships/externalLinkPath" Target="Sales%20Performance%20Metric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base"/>
      <sheetName val="Sheet2"/>
      <sheetName val="PivotTables"/>
      <sheetName val="D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 YANDI RAHMAN" refreshedDate="45009.452842824074" createdVersion="8" refreshedVersion="8" minRefreshableVersion="3" recordCount="217" xr:uid="{C5A08379-86E4-4F64-94D8-682B0AA092D0}">
  <cacheSource type="worksheet">
    <worksheetSource ref="A1:M218" sheet="Sheet1"/>
  </cacheSource>
  <cacheFields count="13">
    <cacheField name="ID" numFmtId="0">
      <sharedItems containsSemiMixedTypes="0" containsString="0" containsNumber="1" containsInteger="1" minValue="1" maxValue="217"/>
    </cacheField>
    <cacheField name="BULAN" numFmtId="0">
      <sharedItems containsBlank="1" count="13">
        <s v="Jan"/>
        <s v="Feb"/>
        <m/>
        <s v="Mar"/>
        <s v="Apr"/>
        <s v="Mei"/>
        <s v="Juni"/>
        <s v="Juli"/>
        <s v="Agustus"/>
        <s v="Sept"/>
        <s v="Okt"/>
        <s v="Nov"/>
        <s v="Des"/>
      </sharedItems>
    </cacheField>
    <cacheField name="KODE SUB KEGIATAN" numFmtId="0">
      <sharedItems containsBlank="1"/>
    </cacheField>
    <cacheField name="SUB KEGIATAN" numFmtId="0">
      <sharedItems containsBlank="1" count="19">
        <s v="Penyusunan Dokumen Perencanaan Perangkat Daerah"/>
        <s v=" Koordinasi dan Penyusunan Laporan Capaian Kinerja dan_x000a_Ikhtisar Realisasi Kinerja SKPD3"/>
        <s v="Pendidikan dan Pelatihan Pegawai Berdasarkan Tugas dan_x000a_Fungsi"/>
        <s v="Penyediaan Peralatan dan Perlengkapan Kantor"/>
        <s v="Penyediaan Barang Cetakan dan Penggandaan"/>
        <s v="Penyelenggaraan Rapat Koordinasi dan Konsultasi SKPD"/>
        <s v="Penyediaan Jasa Komunikasi, Sumber Daya Air dan Listrik"/>
        <s v="Penyediaan Jasa Peralatan dan Perlengkapan Kantor"/>
        <s v="Penyediaan Jasa Pelayanan Umum Kantor"/>
        <s v="Pengelolaan Strategi Pengadaan Barang dan Jasa"/>
        <s v="Pelaksanaan Pengadaan Barang dan Jasa"/>
        <s v="Pemantauan dan Evaluasi Pengadaan Barang dan Jasa"/>
        <s v="Pengelolaan Sistem Pengadaan Secara Elektronik"/>
        <s v="Pengembangan Sistem Informasi Pengadaan Barang dan Jasa"/>
        <s v="Pengelolaan Informasi Pengadaan Barang dan Jasa"/>
        <s v="Pembinaan Sumber Daya Manusia Pengadaan Barang dan_x000a_Jasa"/>
        <s v="Pembinaan Kelembagaan Pengadaan Barang dan Jasa"/>
        <s v="Pendampingan, Konsultasi, dan/atau Bimbingan Teknis_x000a_Pengadaan Barang dan Jasa"/>
        <m/>
      </sharedItems>
    </cacheField>
    <cacheField name="ANGGARAN" numFmtId="0">
      <sharedItems containsString="0" containsBlank="1" containsNumber="1" containsInteger="1" minValue="7590000" maxValue="4167000000"/>
    </cacheField>
    <cacheField name="TARGET (RP)" numFmtId="0">
      <sharedItems containsString="0" containsBlank="1" containsNumber="1" containsInteger="1" minValue="0" maxValue="1735334390"/>
    </cacheField>
    <cacheField name="TARGET (%)" numFmtId="0">
      <sharedItems containsString="0" containsBlank="1" containsNumber="1" minValue="0" maxValue="0.50062578222778475"/>
    </cacheField>
    <cacheField name="REALISASI (RP)" numFmtId="0">
      <sharedItems containsString="0" containsBlank="1" containsNumber="1" containsInteger="1" minValue="0" maxValue="87925343" count="20">
        <n v="0"/>
        <n v="473125"/>
        <m/>
        <n v="2300000"/>
        <n v="46500000"/>
        <n v="31102500"/>
        <n v="25600000"/>
        <n v="62130300"/>
        <n v="13053340"/>
        <n v="3600000"/>
        <n v="4088225"/>
        <n v="12172840"/>
        <n v="87925343"/>
        <n v="19352060"/>
        <n v="22730400"/>
        <n v="32838000"/>
        <n v="20633000"/>
        <n v="16011519"/>
        <n v="19831322"/>
        <n v="13908640"/>
      </sharedItems>
    </cacheField>
    <cacheField name="REALISASI (%)" numFmtId="0">
      <sharedItems containsString="0" containsBlank="1" containsNumber="1" minValue="0" maxValue="12.19047619047619"/>
    </cacheField>
    <cacheField name="DEVIASI (%)" numFmtId="0">
      <sharedItems containsString="0" containsBlank="1" containsNumber="1" minValue="-0.46910371065338829" maxValue="12.160350264103954"/>
    </cacheField>
    <cacheField name="STATUS REALISASI" numFmtId="0">
      <sharedItems containsBlank="1" count="4">
        <s v="TIDAK TERCAPAI"/>
        <s v="TERCAPAI"/>
        <m/>
        <s v="TIDAK TERCAPAI " u="1"/>
      </sharedItems>
    </cacheField>
    <cacheField name="OUTPUT KEGIATAN" numFmtId="0">
      <sharedItems containsBlank="1" count="10">
        <s v="TIDAK ADA"/>
        <s v="BELANJA MAMIN KEGIATAN RAPAT PENYUSUNAN CASCADING KINERJA PADA BIRO PBJ "/>
        <m/>
        <s v="BELANJA MAMIN KEGIATAN RAPAT PERSIAPAN PELAKSANAAN KEGIATAN TA 2023 TERKAIT PENATAUSAHAAN KEUANGAN DAN PELAKSANAAN KEGIATAN"/>
        <s v="BELANJA BIMTEK PENINGKATAN KOMPETENSI DALAM PEMILIHAN PENYEDIA, PELAKSANAAN P3DN, DAN PERSIAPAN PEMERIKSAAN/ AUDIT PENGADAAN BARANG/JASA"/>
        <s v="BELANJA KARANGAN BUNGA UNTUK UCAPAN BERDUKA CITA ATAS MENINGGALNYA IBU DARI BAPAK IR. ISKANDAR"/>
        <s v="BELANJA MAMIN DAN PERJALANAN DINAS"/>
        <s v="BELANJA PERJALANAN DINAS"/>
        <s v="BELANJA PERJALANAN DINAS DAN HONOR TENAGA NON TEKNIS"/>
        <s v="BELANJA HONOR TENAGA NON TEKNIS"/>
      </sharedItems>
    </cacheField>
    <cacheField name="KETERANGAN" numFmtId="0">
      <sharedItems containsBlank="1" count="4">
        <s v="BELUM ADA SK PPK DAN BPP"/>
        <s v="PENINGKATAN PROGRESS REALISASI"/>
        <m/>
        <s v="MASIH DALAM PROSES PENGADA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n v="1"/>
    <x v="0"/>
    <s v="4.01.01.1.01.01"/>
    <x v="0"/>
    <n v="7590000"/>
    <n v="2392500"/>
    <n v="0.31521739130434784"/>
    <x v="0"/>
    <n v="0"/>
    <n v="-0.31521739130434784"/>
    <x v="0"/>
    <x v="0"/>
    <x v="0"/>
  </r>
  <r>
    <n v="2"/>
    <x v="0"/>
    <s v="4.01.01.1.01.06"/>
    <x v="1"/>
    <n v="77000000"/>
    <n v="20848000"/>
    <n v="0.27075324675324675"/>
    <x v="0"/>
    <n v="0"/>
    <n v="-0.27075324675324675"/>
    <x v="0"/>
    <x v="0"/>
    <x v="0"/>
  </r>
  <r>
    <n v="3"/>
    <x v="0"/>
    <s v="4.01.01.1.05.09"/>
    <x v="2"/>
    <n v="200000000"/>
    <n v="0"/>
    <n v="0"/>
    <x v="0"/>
    <n v="0"/>
    <n v="0"/>
    <x v="1"/>
    <x v="0"/>
    <x v="0"/>
  </r>
  <r>
    <n v="4"/>
    <x v="0"/>
    <s v="4.01.01.1.06.02"/>
    <x v="3"/>
    <n v="438855000"/>
    <n v="2255000"/>
    <n v="5.1383714438709826E-3"/>
    <x v="0"/>
    <n v="0"/>
    <n v="-5.1383714438709826E-3"/>
    <x v="0"/>
    <x v="0"/>
    <x v="0"/>
  </r>
  <r>
    <n v="5"/>
    <x v="0"/>
    <s v="4.01.01.1.06.05"/>
    <x v="4"/>
    <n v="69707400"/>
    <n v="32700000"/>
    <n v="0.46910371065338829"/>
    <x v="0"/>
    <n v="0"/>
    <n v="-0.46910371065338829"/>
    <x v="0"/>
    <x v="0"/>
    <x v="0"/>
  </r>
  <r>
    <n v="6"/>
    <x v="0"/>
    <s v="4.01.01.1.06.09"/>
    <x v="5"/>
    <n v="1652824179"/>
    <n v="94532217"/>
    <n v="5.7194357513086699E-2"/>
    <x v="0"/>
    <n v="0"/>
    <n v="-5.7194357513086699E-2"/>
    <x v="0"/>
    <x v="0"/>
    <x v="0"/>
  </r>
  <r>
    <n v="7"/>
    <x v="0"/>
    <s v="4.01.01.1.08.02"/>
    <x v="6"/>
    <n v="52734000"/>
    <n v="0"/>
    <n v="0"/>
    <x v="0"/>
    <n v="0"/>
    <n v="0"/>
    <x v="1"/>
    <x v="0"/>
    <x v="0"/>
  </r>
  <r>
    <n v="8"/>
    <x v="0"/>
    <s v="4.01.01.1.08.03 "/>
    <x v="7"/>
    <n v="62850000"/>
    <n v="3750000"/>
    <n v="5.9665871121718374E-2"/>
    <x v="0"/>
    <n v="0"/>
    <n v="-5.9665871121718374E-2"/>
    <x v="0"/>
    <x v="0"/>
    <x v="0"/>
  </r>
  <r>
    <n v="9"/>
    <x v="0"/>
    <s v="4.01.01.1.08.04"/>
    <x v="8"/>
    <n v="52835700"/>
    <n v="4088225"/>
    <n v="7.737618693421304E-2"/>
    <x v="0"/>
    <n v="0"/>
    <n v="-7.737618693421304E-2"/>
    <x v="0"/>
    <x v="0"/>
    <x v="0"/>
  </r>
  <r>
    <n v="10"/>
    <x v="0"/>
    <s v="4.01.07.1.01.01"/>
    <x v="9"/>
    <n v="385000000"/>
    <n v="12930570"/>
    <n v="3.3585896103896104E-2"/>
    <x v="0"/>
    <n v="0"/>
    <n v="-3.3585896103896104E-2"/>
    <x v="0"/>
    <x v="0"/>
    <x v="0"/>
  </r>
  <r>
    <n v="11"/>
    <x v="0"/>
    <s v="4.01.07.1.01.02"/>
    <x v="10"/>
    <n v="488700000"/>
    <n v="36810000"/>
    <n v="7.5322283609576421E-2"/>
    <x v="0"/>
    <n v="0"/>
    <n v="-7.5322283609576421E-2"/>
    <x v="0"/>
    <x v="0"/>
    <x v="0"/>
  </r>
  <r>
    <n v="12"/>
    <x v="0"/>
    <s v="4.01.07.1.01.03 "/>
    <x v="11"/>
    <n v="605000000"/>
    <n v="57794100"/>
    <n v="9.5527438016528923E-2"/>
    <x v="0"/>
    <n v="0"/>
    <n v="-9.5527438016528923E-2"/>
    <x v="0"/>
    <x v="0"/>
    <x v="0"/>
  </r>
  <r>
    <n v="13"/>
    <x v="0"/>
    <s v="4.01.07.1.02.01"/>
    <x v="12"/>
    <n v="495000000"/>
    <n v="42765000"/>
    <n v="8.6393939393939398E-2"/>
    <x v="0"/>
    <n v="0"/>
    <n v="-8.6393939393939398E-2"/>
    <x v="0"/>
    <x v="0"/>
    <x v="0"/>
  </r>
  <r>
    <n v="14"/>
    <x v="0"/>
    <s v="4.01.07.1.02.02"/>
    <x v="13"/>
    <n v="4167000000"/>
    <n v="36189750"/>
    <n v="8.6848452123830088E-3"/>
    <x v="0"/>
    <n v="0"/>
    <n v="-8.6848452123830088E-3"/>
    <x v="0"/>
    <x v="0"/>
    <x v="0"/>
  </r>
  <r>
    <n v="15"/>
    <x v="0"/>
    <s v="4.01.07.1.02.03"/>
    <x v="14"/>
    <n v="385000000"/>
    <n v="15908040"/>
    <n v="4.1319584415584414E-2"/>
    <x v="0"/>
    <n v="0"/>
    <n v="-4.1319584415584414E-2"/>
    <x v="0"/>
    <x v="0"/>
    <x v="0"/>
  </r>
  <r>
    <n v="16"/>
    <x v="0"/>
    <s v="4.01.07.1.03.01"/>
    <x v="15"/>
    <n v="303000000"/>
    <n v="46859720"/>
    <n v="0.15465254125412542"/>
    <x v="0"/>
    <n v="0"/>
    <n v="-0.15465254125412542"/>
    <x v="0"/>
    <x v="0"/>
    <x v="0"/>
  </r>
  <r>
    <n v="17"/>
    <x v="0"/>
    <s v="4.01.07.1.03.02"/>
    <x v="16"/>
    <n v="400000000"/>
    <n v="17535000"/>
    <n v="4.3837500000000001E-2"/>
    <x v="0"/>
    <n v="0"/>
    <n v="-4.3837500000000001E-2"/>
    <x v="0"/>
    <x v="0"/>
    <x v="0"/>
  </r>
  <r>
    <n v="18"/>
    <x v="0"/>
    <s v="4.01.07.1.03.03 "/>
    <x v="17"/>
    <n v="656400000"/>
    <n v="46305833"/>
    <n v="7.0545144728823894E-2"/>
    <x v="0"/>
    <n v="0"/>
    <n v="-7.0545144728823894E-2"/>
    <x v="0"/>
    <x v="0"/>
    <x v="0"/>
  </r>
  <r>
    <n v="19"/>
    <x v="1"/>
    <s v="4.01.01.1.01.01"/>
    <x v="0"/>
    <n v="7590000"/>
    <n v="0"/>
    <n v="0"/>
    <x v="1"/>
    <n v="1.06"/>
    <n v="1.06"/>
    <x v="1"/>
    <x v="1"/>
    <x v="1"/>
  </r>
  <r>
    <n v="20"/>
    <x v="2"/>
    <m/>
    <x v="18"/>
    <m/>
    <m/>
    <m/>
    <x v="2"/>
    <m/>
    <m/>
    <x v="2"/>
    <x v="2"/>
    <x v="2"/>
  </r>
  <r>
    <n v="21"/>
    <x v="1"/>
    <s v="4.01.01.1.01.06"/>
    <x v="1"/>
    <n v="77000000"/>
    <n v="907500"/>
    <n v="1.1785714285714287E-2"/>
    <x v="3"/>
    <n v="2.5344352617079888"/>
    <n v="2.5226495474222745"/>
    <x v="1"/>
    <x v="3"/>
    <x v="1"/>
  </r>
  <r>
    <n v="22"/>
    <x v="1"/>
    <s v="4.01.01.1.05.09"/>
    <x v="2"/>
    <n v="200000000"/>
    <n v="50000000"/>
    <n v="0.25"/>
    <x v="4"/>
    <n v="0.93"/>
    <n v="0.68"/>
    <x v="1"/>
    <x v="4"/>
    <x v="1"/>
  </r>
  <r>
    <n v="23"/>
    <x v="1"/>
    <s v="4.01.01.1.06.02"/>
    <x v="3"/>
    <n v="438855000"/>
    <n v="163179500"/>
    <n v="0.3718301033370931"/>
    <x v="5"/>
    <n v="0.19060298628197783"/>
    <n v="-0.18122711705511527"/>
    <x v="0"/>
    <x v="0"/>
    <x v="3"/>
  </r>
  <r>
    <n v="24"/>
    <x v="1"/>
    <s v="4.01.01.1.06.05"/>
    <x v="4"/>
    <n v="69707400"/>
    <n v="2100000"/>
    <n v="3.0125926372235948E-2"/>
    <x v="6"/>
    <n v="12.19047619047619"/>
    <n v="12.160350264103954"/>
    <x v="1"/>
    <x v="5"/>
    <x v="1"/>
  </r>
  <r>
    <n v="25"/>
    <x v="1"/>
    <s v="4.01.01.1.06.09"/>
    <x v="5"/>
    <n v="1652824179"/>
    <n v="88322217"/>
    <n v="5.3437152071091523E-2"/>
    <x v="7"/>
    <n v="0.70345041270872988"/>
    <n v="0.65001326063763831"/>
    <x v="1"/>
    <x v="6"/>
    <x v="1"/>
  </r>
  <r>
    <n v="26"/>
    <x v="1"/>
    <s v="4.01.01.1.08.02"/>
    <x v="6"/>
    <n v="52734000"/>
    <n v="26400000"/>
    <n v="0.50062578222778475"/>
    <x v="8"/>
    <n v="0.49444469696969695"/>
    <n v="-6.181085258087804E-3"/>
    <x v="0"/>
    <x v="0"/>
    <x v="3"/>
  </r>
  <r>
    <n v="27"/>
    <x v="1"/>
    <s v="4.01.01.1.08.03 "/>
    <x v="7"/>
    <n v="62850000"/>
    <n v="26400000"/>
    <n v="0.42004773269689738"/>
    <x v="9"/>
    <n v="0.13636363636363635"/>
    <n v="-0.28368409633326103"/>
    <x v="0"/>
    <x v="0"/>
    <x v="3"/>
  </r>
  <r>
    <n v="28"/>
    <x v="1"/>
    <s v="4.01.01.1.08.04"/>
    <x v="8"/>
    <n v="52835700"/>
    <n v="26400000"/>
    <n v="0.49966216024392596"/>
    <x v="10"/>
    <n v="0.15485700757575757"/>
    <n v="-0.34480515266816836"/>
    <x v="0"/>
    <x v="0"/>
    <x v="3"/>
  </r>
  <r>
    <n v="29"/>
    <x v="1"/>
    <s v="4.01.07.1.01.01"/>
    <x v="9"/>
    <n v="385000000"/>
    <n v="119765570"/>
    <n v="0.31107940259740258"/>
    <x v="11"/>
    <n v="0.1016388933814618"/>
    <n v="-0.20944050921594076"/>
    <x v="0"/>
    <x v="0"/>
    <x v="3"/>
  </r>
  <r>
    <n v="30"/>
    <x v="1"/>
    <s v="4.01.07.1.01.02"/>
    <x v="10"/>
    <n v="488700000"/>
    <n v="119765570"/>
    <n v="0.24506971557192553"/>
    <x v="12"/>
    <n v="0.73414540589586808"/>
    <n v="0.48907569032394255"/>
    <x v="1"/>
    <x v="7"/>
    <x v="1"/>
  </r>
  <r>
    <n v="31"/>
    <x v="1"/>
    <s v="4.01.07.1.01.03 "/>
    <x v="11"/>
    <n v="605000000"/>
    <n v="50265750"/>
    <n v="8.3083884297520658E-2"/>
    <x v="13"/>
    <n v="0.38499495183101812"/>
    <n v="0.30191106753349745"/>
    <x v="1"/>
    <x v="8"/>
    <x v="1"/>
  </r>
  <r>
    <n v="32"/>
    <x v="1"/>
    <s v="4.01.07.1.02.01"/>
    <x v="12"/>
    <n v="495000000"/>
    <n v="50265750"/>
    <n v="0.10154696969696969"/>
    <x v="14"/>
    <n v="0.4522045329075961"/>
    <n v="0.35065756321062641"/>
    <x v="1"/>
    <x v="9"/>
    <x v="1"/>
  </r>
  <r>
    <n v="33"/>
    <x v="1"/>
    <s v="4.01.07.1.02.02"/>
    <x v="13"/>
    <n v="4167000000"/>
    <n v="1735334390"/>
    <n v="0.41644693784497239"/>
    <x v="15"/>
    <n v="1.8923154055628437E-2"/>
    <n v="-0.39752378378934394"/>
    <x v="0"/>
    <x v="0"/>
    <x v="3"/>
  </r>
  <r>
    <n v="34"/>
    <x v="1"/>
    <s v="4.01.07.1.02.03"/>
    <x v="14"/>
    <n v="385000000"/>
    <n v="17858040"/>
    <n v="4.6384519480519477E-2"/>
    <x v="16"/>
    <n v="1.1553899532087508"/>
    <n v="1.1090054337282313"/>
    <x v="1"/>
    <x v="8"/>
    <x v="1"/>
  </r>
  <r>
    <n v="35"/>
    <x v="1"/>
    <s v="4.01.07.1.03.01"/>
    <x v="15"/>
    <n v="303000000"/>
    <n v="13854720"/>
    <n v="4.5725148514851488E-2"/>
    <x v="17"/>
    <n v="1.155672507275499"/>
    <n v="1.1099473587606474"/>
    <x v="1"/>
    <x v="8"/>
    <x v="1"/>
  </r>
  <r>
    <n v="36"/>
    <x v="1"/>
    <s v="4.01.07.1.03.02"/>
    <x v="16"/>
    <n v="400000000"/>
    <n v="0"/>
    <n v="0"/>
    <x v="18"/>
    <m/>
    <n v="0"/>
    <x v="1"/>
    <x v="8"/>
    <x v="1"/>
  </r>
  <r>
    <n v="37"/>
    <x v="1"/>
    <s v="4.01.07.1.03.03 "/>
    <x v="17"/>
    <n v="656400000"/>
    <n v="46305833"/>
    <n v="7.0545144728823894E-2"/>
    <x v="19"/>
    <n v="0.3003647510239153"/>
    <n v="0.22981960629509141"/>
    <x v="1"/>
    <x v="8"/>
    <x v="1"/>
  </r>
  <r>
    <n v="38"/>
    <x v="3"/>
    <s v="4.01.01.1.01.01"/>
    <x v="0"/>
    <n v="7590000"/>
    <n v="0"/>
    <n v="0"/>
    <x v="2"/>
    <m/>
    <n v="0"/>
    <x v="2"/>
    <x v="2"/>
    <x v="2"/>
  </r>
  <r>
    <n v="39"/>
    <x v="3"/>
    <s v="4.01.01.1.01.06"/>
    <x v="1"/>
    <n v="77000000"/>
    <n v="0"/>
    <m/>
    <x v="2"/>
    <m/>
    <n v="0"/>
    <x v="2"/>
    <x v="2"/>
    <x v="2"/>
  </r>
  <r>
    <n v="40"/>
    <x v="3"/>
    <s v="4.01.01.1.05.09"/>
    <x v="2"/>
    <n v="200000000"/>
    <n v="0"/>
    <m/>
    <x v="2"/>
    <m/>
    <n v="0"/>
    <x v="2"/>
    <x v="2"/>
    <x v="2"/>
  </r>
  <r>
    <n v="41"/>
    <x v="3"/>
    <s v="4.01.01.1.06.02"/>
    <x v="3"/>
    <n v="438855000"/>
    <n v="0"/>
    <m/>
    <x v="2"/>
    <m/>
    <n v="0"/>
    <x v="2"/>
    <x v="2"/>
    <x v="2"/>
  </r>
  <r>
    <n v="42"/>
    <x v="3"/>
    <s v="4.01.01.1.06.05"/>
    <x v="4"/>
    <n v="69707400"/>
    <n v="0"/>
    <m/>
    <x v="2"/>
    <m/>
    <n v="0"/>
    <x v="2"/>
    <x v="2"/>
    <x v="2"/>
  </r>
  <r>
    <n v="43"/>
    <x v="3"/>
    <s v="4.01.01.1.06.09"/>
    <x v="5"/>
    <n v="1652824179"/>
    <n v="138406217"/>
    <m/>
    <x v="2"/>
    <m/>
    <n v="0"/>
    <x v="2"/>
    <x v="2"/>
    <x v="2"/>
  </r>
  <r>
    <n v="44"/>
    <x v="3"/>
    <s v="4.01.01.1.08.02"/>
    <x v="6"/>
    <n v="52734000"/>
    <n v="0"/>
    <m/>
    <x v="2"/>
    <m/>
    <n v="0"/>
    <x v="2"/>
    <x v="2"/>
    <x v="2"/>
  </r>
  <r>
    <n v="45"/>
    <x v="3"/>
    <s v="4.01.01.1.08.03 "/>
    <x v="7"/>
    <n v="62850000"/>
    <n v="3750000"/>
    <m/>
    <x v="2"/>
    <m/>
    <n v="0"/>
    <x v="2"/>
    <x v="2"/>
    <x v="2"/>
  </r>
  <r>
    <n v="46"/>
    <x v="3"/>
    <s v="4.01.01.1.08.04"/>
    <x v="8"/>
    <n v="52835700"/>
    <n v="4088225"/>
    <m/>
    <x v="2"/>
    <m/>
    <n v="0"/>
    <x v="2"/>
    <x v="2"/>
    <x v="2"/>
  </r>
  <r>
    <n v="47"/>
    <x v="3"/>
    <s v="4.01.07.1.01.01"/>
    <x v="9"/>
    <n v="385000000"/>
    <n v="8852840"/>
    <m/>
    <x v="2"/>
    <m/>
    <n v="0"/>
    <x v="2"/>
    <x v="2"/>
    <x v="2"/>
  </r>
  <r>
    <n v="48"/>
    <x v="3"/>
    <s v="4.01.07.1.01.02"/>
    <x v="10"/>
    <n v="488700000"/>
    <n v="24504660"/>
    <m/>
    <x v="2"/>
    <m/>
    <n v="0"/>
    <x v="2"/>
    <x v="2"/>
    <x v="2"/>
  </r>
  <r>
    <n v="49"/>
    <x v="3"/>
    <s v="4.01.07.1.01.03 "/>
    <x v="11"/>
    <n v="605000000"/>
    <n v="48445750"/>
    <m/>
    <x v="2"/>
    <m/>
    <n v="0"/>
    <x v="2"/>
    <x v="2"/>
    <x v="2"/>
  </r>
  <r>
    <n v="50"/>
    <x v="3"/>
    <s v="4.01.07.1.02.01"/>
    <x v="12"/>
    <n v="495000000"/>
    <n v="40050000"/>
    <m/>
    <x v="2"/>
    <m/>
    <n v="0"/>
    <x v="2"/>
    <x v="2"/>
    <x v="2"/>
  </r>
  <r>
    <n v="51"/>
    <x v="3"/>
    <s v="4.01.07.1.02.02"/>
    <x v="13"/>
    <n v="4167000000"/>
    <n v="696578282"/>
    <m/>
    <x v="2"/>
    <m/>
    <n v="0"/>
    <x v="2"/>
    <x v="2"/>
    <x v="2"/>
  </r>
  <r>
    <n v="52"/>
    <x v="3"/>
    <s v="4.01.07.1.02.03"/>
    <x v="14"/>
    <n v="385000000"/>
    <n v="132116400"/>
    <m/>
    <x v="2"/>
    <m/>
    <n v="0"/>
    <x v="2"/>
    <x v="2"/>
    <x v="2"/>
  </r>
  <r>
    <n v="53"/>
    <x v="3"/>
    <s v="4.01.07.1.03.01"/>
    <x v="15"/>
    <n v="303000000"/>
    <n v="13854720"/>
    <m/>
    <x v="2"/>
    <m/>
    <n v="0"/>
    <x v="2"/>
    <x v="2"/>
    <x v="2"/>
  </r>
  <r>
    <n v="54"/>
    <x v="3"/>
    <s v="4.01.07.1.03.02"/>
    <x v="16"/>
    <n v="400000000"/>
    <n v="0"/>
    <m/>
    <x v="2"/>
    <m/>
    <n v="0"/>
    <x v="2"/>
    <x v="2"/>
    <x v="2"/>
  </r>
  <r>
    <n v="55"/>
    <x v="3"/>
    <s v="4.01.07.1.03.03 "/>
    <x v="17"/>
    <n v="656400000"/>
    <n v="46355833"/>
    <m/>
    <x v="2"/>
    <m/>
    <n v="0"/>
    <x v="2"/>
    <x v="2"/>
    <x v="2"/>
  </r>
  <r>
    <n v="56"/>
    <x v="4"/>
    <s v="4.01.01.1.01.01"/>
    <x v="0"/>
    <m/>
    <m/>
    <m/>
    <x v="2"/>
    <m/>
    <n v="0"/>
    <x v="2"/>
    <x v="2"/>
    <x v="2"/>
  </r>
  <r>
    <n v="57"/>
    <x v="4"/>
    <s v="4.01.01.1.01.06"/>
    <x v="1"/>
    <m/>
    <m/>
    <m/>
    <x v="2"/>
    <m/>
    <m/>
    <x v="2"/>
    <x v="2"/>
    <x v="2"/>
  </r>
  <r>
    <n v="58"/>
    <x v="4"/>
    <s v="4.01.01.1.05.09"/>
    <x v="2"/>
    <m/>
    <m/>
    <m/>
    <x v="2"/>
    <m/>
    <m/>
    <x v="2"/>
    <x v="2"/>
    <x v="2"/>
  </r>
  <r>
    <n v="59"/>
    <x v="4"/>
    <s v="4.01.01.1.06.02"/>
    <x v="3"/>
    <m/>
    <m/>
    <m/>
    <x v="2"/>
    <m/>
    <m/>
    <x v="2"/>
    <x v="2"/>
    <x v="2"/>
  </r>
  <r>
    <n v="60"/>
    <x v="4"/>
    <s v="4.01.01.1.06.05"/>
    <x v="4"/>
    <m/>
    <m/>
    <m/>
    <x v="2"/>
    <m/>
    <m/>
    <x v="2"/>
    <x v="2"/>
    <x v="2"/>
  </r>
  <r>
    <n v="61"/>
    <x v="4"/>
    <s v="4.01.01.1.06.09"/>
    <x v="5"/>
    <m/>
    <m/>
    <m/>
    <x v="2"/>
    <m/>
    <m/>
    <x v="2"/>
    <x v="2"/>
    <x v="2"/>
  </r>
  <r>
    <n v="62"/>
    <x v="4"/>
    <s v="4.01.01.1.08.02"/>
    <x v="6"/>
    <m/>
    <m/>
    <m/>
    <x v="2"/>
    <m/>
    <m/>
    <x v="2"/>
    <x v="2"/>
    <x v="2"/>
  </r>
  <r>
    <n v="63"/>
    <x v="4"/>
    <s v="4.01.01.1.08.03 "/>
    <x v="7"/>
    <m/>
    <m/>
    <m/>
    <x v="2"/>
    <m/>
    <m/>
    <x v="2"/>
    <x v="2"/>
    <x v="2"/>
  </r>
  <r>
    <n v="64"/>
    <x v="4"/>
    <s v="4.01.01.1.08.04"/>
    <x v="8"/>
    <m/>
    <m/>
    <m/>
    <x v="2"/>
    <m/>
    <m/>
    <x v="2"/>
    <x v="2"/>
    <x v="2"/>
  </r>
  <r>
    <n v="65"/>
    <x v="4"/>
    <s v="4.01.07.1.01.01"/>
    <x v="9"/>
    <m/>
    <m/>
    <m/>
    <x v="2"/>
    <m/>
    <m/>
    <x v="2"/>
    <x v="2"/>
    <x v="2"/>
  </r>
  <r>
    <n v="66"/>
    <x v="4"/>
    <s v="4.01.07.1.01.02"/>
    <x v="10"/>
    <m/>
    <m/>
    <m/>
    <x v="2"/>
    <m/>
    <m/>
    <x v="2"/>
    <x v="2"/>
    <x v="2"/>
  </r>
  <r>
    <n v="67"/>
    <x v="4"/>
    <s v="4.01.07.1.01.03 "/>
    <x v="11"/>
    <m/>
    <m/>
    <m/>
    <x v="2"/>
    <m/>
    <m/>
    <x v="2"/>
    <x v="2"/>
    <x v="2"/>
  </r>
  <r>
    <n v="68"/>
    <x v="4"/>
    <s v="4.01.07.1.02.01"/>
    <x v="12"/>
    <m/>
    <m/>
    <m/>
    <x v="2"/>
    <m/>
    <m/>
    <x v="2"/>
    <x v="2"/>
    <x v="2"/>
  </r>
  <r>
    <n v="69"/>
    <x v="4"/>
    <s v="4.01.07.1.02.02"/>
    <x v="13"/>
    <m/>
    <m/>
    <m/>
    <x v="2"/>
    <m/>
    <m/>
    <x v="2"/>
    <x v="2"/>
    <x v="2"/>
  </r>
  <r>
    <n v="70"/>
    <x v="4"/>
    <s v="4.01.07.1.02.03"/>
    <x v="14"/>
    <m/>
    <m/>
    <m/>
    <x v="2"/>
    <m/>
    <m/>
    <x v="2"/>
    <x v="2"/>
    <x v="2"/>
  </r>
  <r>
    <n v="71"/>
    <x v="4"/>
    <s v="4.01.07.1.03.01"/>
    <x v="15"/>
    <m/>
    <m/>
    <m/>
    <x v="2"/>
    <m/>
    <m/>
    <x v="2"/>
    <x v="2"/>
    <x v="2"/>
  </r>
  <r>
    <n v="72"/>
    <x v="4"/>
    <s v="4.01.07.1.03.02"/>
    <x v="16"/>
    <m/>
    <m/>
    <m/>
    <x v="2"/>
    <m/>
    <m/>
    <x v="2"/>
    <x v="2"/>
    <x v="2"/>
  </r>
  <r>
    <n v="73"/>
    <x v="4"/>
    <s v="4.01.07.1.03.03 "/>
    <x v="17"/>
    <m/>
    <m/>
    <m/>
    <x v="2"/>
    <m/>
    <m/>
    <x v="2"/>
    <x v="2"/>
    <x v="2"/>
  </r>
  <r>
    <n v="74"/>
    <x v="5"/>
    <s v="4.01.01.1.01.01"/>
    <x v="0"/>
    <m/>
    <m/>
    <m/>
    <x v="2"/>
    <m/>
    <m/>
    <x v="2"/>
    <x v="2"/>
    <x v="2"/>
  </r>
  <r>
    <n v="75"/>
    <x v="5"/>
    <s v="4.01.01.1.01.06"/>
    <x v="1"/>
    <m/>
    <m/>
    <m/>
    <x v="2"/>
    <m/>
    <m/>
    <x v="2"/>
    <x v="2"/>
    <x v="2"/>
  </r>
  <r>
    <n v="76"/>
    <x v="5"/>
    <s v="4.01.01.1.05.09"/>
    <x v="2"/>
    <m/>
    <m/>
    <m/>
    <x v="2"/>
    <m/>
    <m/>
    <x v="2"/>
    <x v="2"/>
    <x v="2"/>
  </r>
  <r>
    <n v="77"/>
    <x v="5"/>
    <s v="4.01.01.1.06.02"/>
    <x v="3"/>
    <m/>
    <m/>
    <m/>
    <x v="2"/>
    <m/>
    <m/>
    <x v="2"/>
    <x v="2"/>
    <x v="2"/>
  </r>
  <r>
    <n v="78"/>
    <x v="5"/>
    <s v="4.01.01.1.06.05"/>
    <x v="4"/>
    <m/>
    <m/>
    <m/>
    <x v="2"/>
    <m/>
    <m/>
    <x v="2"/>
    <x v="2"/>
    <x v="2"/>
  </r>
  <r>
    <n v="79"/>
    <x v="5"/>
    <s v="4.01.01.1.06.09"/>
    <x v="5"/>
    <m/>
    <m/>
    <m/>
    <x v="2"/>
    <m/>
    <m/>
    <x v="2"/>
    <x v="2"/>
    <x v="2"/>
  </r>
  <r>
    <n v="80"/>
    <x v="5"/>
    <s v="4.01.01.1.08.02"/>
    <x v="6"/>
    <m/>
    <m/>
    <m/>
    <x v="2"/>
    <m/>
    <m/>
    <x v="2"/>
    <x v="2"/>
    <x v="2"/>
  </r>
  <r>
    <n v="81"/>
    <x v="5"/>
    <s v="4.01.01.1.08.03 "/>
    <x v="7"/>
    <m/>
    <m/>
    <m/>
    <x v="2"/>
    <m/>
    <m/>
    <x v="2"/>
    <x v="2"/>
    <x v="2"/>
  </r>
  <r>
    <n v="82"/>
    <x v="5"/>
    <s v="4.01.01.1.08.04"/>
    <x v="8"/>
    <m/>
    <m/>
    <m/>
    <x v="2"/>
    <m/>
    <m/>
    <x v="2"/>
    <x v="2"/>
    <x v="2"/>
  </r>
  <r>
    <n v="83"/>
    <x v="5"/>
    <s v="4.01.07.1.01.01"/>
    <x v="9"/>
    <m/>
    <m/>
    <m/>
    <x v="2"/>
    <m/>
    <m/>
    <x v="2"/>
    <x v="2"/>
    <x v="2"/>
  </r>
  <r>
    <n v="84"/>
    <x v="5"/>
    <s v="4.01.07.1.01.02"/>
    <x v="10"/>
    <m/>
    <m/>
    <m/>
    <x v="2"/>
    <m/>
    <m/>
    <x v="2"/>
    <x v="2"/>
    <x v="2"/>
  </r>
  <r>
    <n v="85"/>
    <x v="5"/>
    <s v="4.01.07.1.01.03 "/>
    <x v="11"/>
    <m/>
    <m/>
    <m/>
    <x v="2"/>
    <m/>
    <m/>
    <x v="2"/>
    <x v="2"/>
    <x v="2"/>
  </r>
  <r>
    <n v="86"/>
    <x v="5"/>
    <s v="4.01.07.1.02.01"/>
    <x v="12"/>
    <m/>
    <m/>
    <m/>
    <x v="2"/>
    <m/>
    <m/>
    <x v="2"/>
    <x v="2"/>
    <x v="2"/>
  </r>
  <r>
    <n v="87"/>
    <x v="5"/>
    <s v="4.01.07.1.02.02"/>
    <x v="13"/>
    <m/>
    <m/>
    <m/>
    <x v="2"/>
    <m/>
    <m/>
    <x v="2"/>
    <x v="2"/>
    <x v="2"/>
  </r>
  <r>
    <n v="88"/>
    <x v="5"/>
    <s v="4.01.07.1.02.03"/>
    <x v="14"/>
    <m/>
    <m/>
    <m/>
    <x v="2"/>
    <m/>
    <m/>
    <x v="2"/>
    <x v="2"/>
    <x v="2"/>
  </r>
  <r>
    <n v="89"/>
    <x v="5"/>
    <s v="4.01.07.1.03.01"/>
    <x v="15"/>
    <m/>
    <m/>
    <m/>
    <x v="2"/>
    <m/>
    <m/>
    <x v="2"/>
    <x v="2"/>
    <x v="2"/>
  </r>
  <r>
    <n v="90"/>
    <x v="5"/>
    <s v="4.01.07.1.03.02"/>
    <x v="16"/>
    <m/>
    <m/>
    <m/>
    <x v="2"/>
    <m/>
    <m/>
    <x v="2"/>
    <x v="2"/>
    <x v="2"/>
  </r>
  <r>
    <n v="91"/>
    <x v="5"/>
    <s v="4.01.07.1.03.03 "/>
    <x v="17"/>
    <m/>
    <m/>
    <m/>
    <x v="2"/>
    <m/>
    <m/>
    <x v="2"/>
    <x v="2"/>
    <x v="2"/>
  </r>
  <r>
    <n v="92"/>
    <x v="6"/>
    <s v="4.01.01.1.01.01"/>
    <x v="0"/>
    <m/>
    <m/>
    <m/>
    <x v="2"/>
    <m/>
    <m/>
    <x v="2"/>
    <x v="2"/>
    <x v="2"/>
  </r>
  <r>
    <n v="93"/>
    <x v="6"/>
    <s v="4.01.01.1.01.06"/>
    <x v="1"/>
    <m/>
    <m/>
    <m/>
    <x v="2"/>
    <m/>
    <m/>
    <x v="2"/>
    <x v="2"/>
    <x v="2"/>
  </r>
  <r>
    <n v="94"/>
    <x v="6"/>
    <s v="4.01.01.1.05.09"/>
    <x v="2"/>
    <m/>
    <m/>
    <m/>
    <x v="2"/>
    <m/>
    <m/>
    <x v="2"/>
    <x v="2"/>
    <x v="2"/>
  </r>
  <r>
    <n v="95"/>
    <x v="6"/>
    <s v="4.01.01.1.06.02"/>
    <x v="3"/>
    <m/>
    <m/>
    <m/>
    <x v="2"/>
    <m/>
    <m/>
    <x v="2"/>
    <x v="2"/>
    <x v="2"/>
  </r>
  <r>
    <n v="96"/>
    <x v="6"/>
    <s v="4.01.01.1.06.05"/>
    <x v="4"/>
    <m/>
    <m/>
    <m/>
    <x v="2"/>
    <m/>
    <m/>
    <x v="2"/>
    <x v="2"/>
    <x v="2"/>
  </r>
  <r>
    <n v="97"/>
    <x v="6"/>
    <s v="4.01.01.1.06.09"/>
    <x v="5"/>
    <m/>
    <m/>
    <m/>
    <x v="2"/>
    <m/>
    <m/>
    <x v="2"/>
    <x v="2"/>
    <x v="2"/>
  </r>
  <r>
    <n v="98"/>
    <x v="6"/>
    <s v="4.01.01.1.08.02"/>
    <x v="6"/>
    <m/>
    <m/>
    <m/>
    <x v="2"/>
    <m/>
    <m/>
    <x v="2"/>
    <x v="2"/>
    <x v="2"/>
  </r>
  <r>
    <n v="99"/>
    <x v="6"/>
    <s v="4.01.01.1.08.03 "/>
    <x v="7"/>
    <m/>
    <m/>
    <m/>
    <x v="2"/>
    <m/>
    <m/>
    <x v="2"/>
    <x v="2"/>
    <x v="2"/>
  </r>
  <r>
    <n v="100"/>
    <x v="6"/>
    <s v="4.01.01.1.08.04"/>
    <x v="8"/>
    <m/>
    <m/>
    <m/>
    <x v="2"/>
    <m/>
    <m/>
    <x v="2"/>
    <x v="2"/>
    <x v="2"/>
  </r>
  <r>
    <n v="101"/>
    <x v="6"/>
    <s v="4.01.07.1.01.01"/>
    <x v="9"/>
    <m/>
    <m/>
    <m/>
    <x v="2"/>
    <m/>
    <m/>
    <x v="2"/>
    <x v="2"/>
    <x v="2"/>
  </r>
  <r>
    <n v="102"/>
    <x v="6"/>
    <s v="4.01.07.1.01.02"/>
    <x v="10"/>
    <m/>
    <m/>
    <m/>
    <x v="2"/>
    <m/>
    <m/>
    <x v="2"/>
    <x v="2"/>
    <x v="2"/>
  </r>
  <r>
    <n v="103"/>
    <x v="6"/>
    <s v="4.01.07.1.01.03 "/>
    <x v="11"/>
    <m/>
    <m/>
    <m/>
    <x v="2"/>
    <m/>
    <m/>
    <x v="2"/>
    <x v="2"/>
    <x v="2"/>
  </r>
  <r>
    <n v="104"/>
    <x v="6"/>
    <s v="4.01.07.1.02.01"/>
    <x v="12"/>
    <m/>
    <m/>
    <m/>
    <x v="2"/>
    <m/>
    <m/>
    <x v="2"/>
    <x v="2"/>
    <x v="2"/>
  </r>
  <r>
    <n v="105"/>
    <x v="6"/>
    <s v="4.01.07.1.02.02"/>
    <x v="13"/>
    <m/>
    <m/>
    <m/>
    <x v="2"/>
    <m/>
    <m/>
    <x v="2"/>
    <x v="2"/>
    <x v="2"/>
  </r>
  <r>
    <n v="106"/>
    <x v="6"/>
    <s v="4.01.07.1.02.03"/>
    <x v="14"/>
    <m/>
    <m/>
    <m/>
    <x v="2"/>
    <m/>
    <m/>
    <x v="2"/>
    <x v="2"/>
    <x v="2"/>
  </r>
  <r>
    <n v="107"/>
    <x v="6"/>
    <s v="4.01.07.1.03.01"/>
    <x v="15"/>
    <m/>
    <m/>
    <m/>
    <x v="2"/>
    <m/>
    <m/>
    <x v="2"/>
    <x v="2"/>
    <x v="2"/>
  </r>
  <r>
    <n v="108"/>
    <x v="6"/>
    <s v="4.01.07.1.03.02"/>
    <x v="16"/>
    <m/>
    <m/>
    <m/>
    <x v="2"/>
    <m/>
    <m/>
    <x v="2"/>
    <x v="2"/>
    <x v="2"/>
  </r>
  <r>
    <n v="109"/>
    <x v="6"/>
    <s v="4.01.07.1.03.03 "/>
    <x v="17"/>
    <m/>
    <m/>
    <m/>
    <x v="2"/>
    <m/>
    <m/>
    <x v="2"/>
    <x v="2"/>
    <x v="2"/>
  </r>
  <r>
    <n v="110"/>
    <x v="7"/>
    <s v="4.01.01.1.01.01"/>
    <x v="0"/>
    <m/>
    <m/>
    <m/>
    <x v="2"/>
    <m/>
    <m/>
    <x v="2"/>
    <x v="2"/>
    <x v="2"/>
  </r>
  <r>
    <n v="111"/>
    <x v="7"/>
    <s v="4.01.01.1.01.06"/>
    <x v="1"/>
    <m/>
    <m/>
    <m/>
    <x v="2"/>
    <m/>
    <m/>
    <x v="2"/>
    <x v="2"/>
    <x v="2"/>
  </r>
  <r>
    <n v="112"/>
    <x v="7"/>
    <s v="4.01.01.1.05.09"/>
    <x v="2"/>
    <m/>
    <m/>
    <m/>
    <x v="2"/>
    <m/>
    <m/>
    <x v="2"/>
    <x v="2"/>
    <x v="2"/>
  </r>
  <r>
    <n v="113"/>
    <x v="7"/>
    <s v="4.01.01.1.06.02"/>
    <x v="3"/>
    <m/>
    <m/>
    <m/>
    <x v="2"/>
    <m/>
    <m/>
    <x v="2"/>
    <x v="2"/>
    <x v="2"/>
  </r>
  <r>
    <n v="114"/>
    <x v="7"/>
    <s v="4.01.01.1.06.05"/>
    <x v="4"/>
    <m/>
    <m/>
    <m/>
    <x v="2"/>
    <m/>
    <m/>
    <x v="2"/>
    <x v="2"/>
    <x v="2"/>
  </r>
  <r>
    <n v="115"/>
    <x v="7"/>
    <s v="4.01.01.1.06.09"/>
    <x v="5"/>
    <m/>
    <m/>
    <m/>
    <x v="2"/>
    <m/>
    <m/>
    <x v="2"/>
    <x v="2"/>
    <x v="2"/>
  </r>
  <r>
    <n v="116"/>
    <x v="7"/>
    <s v="4.01.01.1.08.02"/>
    <x v="6"/>
    <m/>
    <m/>
    <m/>
    <x v="2"/>
    <m/>
    <m/>
    <x v="2"/>
    <x v="2"/>
    <x v="2"/>
  </r>
  <r>
    <n v="117"/>
    <x v="7"/>
    <s v="4.01.01.1.08.03 "/>
    <x v="7"/>
    <m/>
    <m/>
    <m/>
    <x v="2"/>
    <m/>
    <m/>
    <x v="2"/>
    <x v="2"/>
    <x v="2"/>
  </r>
  <r>
    <n v="118"/>
    <x v="7"/>
    <s v="4.01.01.1.08.04"/>
    <x v="8"/>
    <m/>
    <m/>
    <m/>
    <x v="2"/>
    <m/>
    <m/>
    <x v="2"/>
    <x v="2"/>
    <x v="2"/>
  </r>
  <r>
    <n v="119"/>
    <x v="7"/>
    <s v="4.01.07.1.01.01"/>
    <x v="9"/>
    <m/>
    <m/>
    <m/>
    <x v="2"/>
    <m/>
    <m/>
    <x v="2"/>
    <x v="2"/>
    <x v="2"/>
  </r>
  <r>
    <n v="120"/>
    <x v="7"/>
    <s v="4.01.07.1.01.02"/>
    <x v="10"/>
    <m/>
    <m/>
    <m/>
    <x v="2"/>
    <m/>
    <m/>
    <x v="2"/>
    <x v="2"/>
    <x v="2"/>
  </r>
  <r>
    <n v="121"/>
    <x v="7"/>
    <s v="4.01.07.1.01.03 "/>
    <x v="11"/>
    <m/>
    <m/>
    <m/>
    <x v="2"/>
    <m/>
    <m/>
    <x v="2"/>
    <x v="2"/>
    <x v="2"/>
  </r>
  <r>
    <n v="122"/>
    <x v="7"/>
    <s v="4.01.07.1.02.01"/>
    <x v="12"/>
    <m/>
    <m/>
    <m/>
    <x v="2"/>
    <m/>
    <m/>
    <x v="2"/>
    <x v="2"/>
    <x v="2"/>
  </r>
  <r>
    <n v="123"/>
    <x v="7"/>
    <s v="4.01.07.1.02.02"/>
    <x v="13"/>
    <m/>
    <m/>
    <m/>
    <x v="2"/>
    <m/>
    <m/>
    <x v="2"/>
    <x v="2"/>
    <x v="2"/>
  </r>
  <r>
    <n v="124"/>
    <x v="7"/>
    <s v="4.01.07.1.02.03"/>
    <x v="14"/>
    <m/>
    <m/>
    <m/>
    <x v="2"/>
    <m/>
    <m/>
    <x v="2"/>
    <x v="2"/>
    <x v="2"/>
  </r>
  <r>
    <n v="125"/>
    <x v="7"/>
    <s v="4.01.07.1.03.01"/>
    <x v="15"/>
    <m/>
    <m/>
    <m/>
    <x v="2"/>
    <m/>
    <m/>
    <x v="2"/>
    <x v="2"/>
    <x v="2"/>
  </r>
  <r>
    <n v="126"/>
    <x v="7"/>
    <s v="4.01.07.1.03.02"/>
    <x v="16"/>
    <m/>
    <m/>
    <m/>
    <x v="2"/>
    <m/>
    <m/>
    <x v="2"/>
    <x v="2"/>
    <x v="2"/>
  </r>
  <r>
    <n v="127"/>
    <x v="7"/>
    <s v="4.01.07.1.03.03 "/>
    <x v="17"/>
    <m/>
    <m/>
    <m/>
    <x v="2"/>
    <m/>
    <m/>
    <x v="2"/>
    <x v="2"/>
    <x v="2"/>
  </r>
  <r>
    <n v="128"/>
    <x v="8"/>
    <s v="4.01.01.1.01.01"/>
    <x v="0"/>
    <m/>
    <m/>
    <m/>
    <x v="2"/>
    <m/>
    <m/>
    <x v="2"/>
    <x v="2"/>
    <x v="2"/>
  </r>
  <r>
    <n v="129"/>
    <x v="8"/>
    <s v="4.01.01.1.01.06"/>
    <x v="1"/>
    <m/>
    <m/>
    <m/>
    <x v="2"/>
    <m/>
    <m/>
    <x v="2"/>
    <x v="2"/>
    <x v="2"/>
  </r>
  <r>
    <n v="130"/>
    <x v="8"/>
    <s v="4.01.01.1.05.09"/>
    <x v="2"/>
    <m/>
    <m/>
    <m/>
    <x v="2"/>
    <m/>
    <m/>
    <x v="2"/>
    <x v="2"/>
    <x v="2"/>
  </r>
  <r>
    <n v="131"/>
    <x v="8"/>
    <s v="4.01.01.1.06.02"/>
    <x v="3"/>
    <m/>
    <m/>
    <m/>
    <x v="2"/>
    <m/>
    <m/>
    <x v="2"/>
    <x v="2"/>
    <x v="2"/>
  </r>
  <r>
    <n v="132"/>
    <x v="8"/>
    <s v="4.01.01.1.06.05"/>
    <x v="4"/>
    <m/>
    <m/>
    <m/>
    <x v="2"/>
    <m/>
    <m/>
    <x v="2"/>
    <x v="2"/>
    <x v="2"/>
  </r>
  <r>
    <n v="133"/>
    <x v="8"/>
    <s v="4.01.01.1.06.09"/>
    <x v="5"/>
    <m/>
    <m/>
    <m/>
    <x v="2"/>
    <m/>
    <m/>
    <x v="2"/>
    <x v="2"/>
    <x v="2"/>
  </r>
  <r>
    <n v="134"/>
    <x v="8"/>
    <s v="4.01.01.1.08.02"/>
    <x v="6"/>
    <m/>
    <m/>
    <m/>
    <x v="2"/>
    <m/>
    <m/>
    <x v="2"/>
    <x v="2"/>
    <x v="2"/>
  </r>
  <r>
    <n v="135"/>
    <x v="8"/>
    <s v="4.01.01.1.08.03 "/>
    <x v="7"/>
    <m/>
    <m/>
    <m/>
    <x v="2"/>
    <m/>
    <m/>
    <x v="2"/>
    <x v="2"/>
    <x v="2"/>
  </r>
  <r>
    <n v="136"/>
    <x v="8"/>
    <s v="4.01.01.1.08.04"/>
    <x v="8"/>
    <m/>
    <m/>
    <m/>
    <x v="2"/>
    <m/>
    <m/>
    <x v="2"/>
    <x v="2"/>
    <x v="2"/>
  </r>
  <r>
    <n v="137"/>
    <x v="8"/>
    <s v="4.01.07.1.01.01"/>
    <x v="9"/>
    <m/>
    <m/>
    <m/>
    <x v="2"/>
    <m/>
    <m/>
    <x v="2"/>
    <x v="2"/>
    <x v="2"/>
  </r>
  <r>
    <n v="138"/>
    <x v="8"/>
    <s v="4.01.07.1.01.02"/>
    <x v="10"/>
    <m/>
    <m/>
    <m/>
    <x v="2"/>
    <m/>
    <m/>
    <x v="2"/>
    <x v="2"/>
    <x v="2"/>
  </r>
  <r>
    <n v="139"/>
    <x v="8"/>
    <s v="4.01.07.1.01.03 "/>
    <x v="11"/>
    <m/>
    <m/>
    <m/>
    <x v="2"/>
    <m/>
    <m/>
    <x v="2"/>
    <x v="2"/>
    <x v="2"/>
  </r>
  <r>
    <n v="140"/>
    <x v="8"/>
    <s v="4.01.07.1.02.01"/>
    <x v="12"/>
    <m/>
    <m/>
    <m/>
    <x v="2"/>
    <m/>
    <m/>
    <x v="2"/>
    <x v="2"/>
    <x v="2"/>
  </r>
  <r>
    <n v="141"/>
    <x v="8"/>
    <s v="4.01.07.1.02.02"/>
    <x v="13"/>
    <m/>
    <m/>
    <m/>
    <x v="2"/>
    <m/>
    <m/>
    <x v="2"/>
    <x v="2"/>
    <x v="2"/>
  </r>
  <r>
    <n v="142"/>
    <x v="8"/>
    <s v="4.01.07.1.02.03"/>
    <x v="14"/>
    <m/>
    <m/>
    <m/>
    <x v="2"/>
    <m/>
    <m/>
    <x v="2"/>
    <x v="2"/>
    <x v="2"/>
  </r>
  <r>
    <n v="143"/>
    <x v="8"/>
    <s v="4.01.07.1.03.01"/>
    <x v="15"/>
    <m/>
    <m/>
    <m/>
    <x v="2"/>
    <m/>
    <m/>
    <x v="2"/>
    <x v="2"/>
    <x v="2"/>
  </r>
  <r>
    <n v="144"/>
    <x v="8"/>
    <s v="4.01.07.1.03.02"/>
    <x v="16"/>
    <m/>
    <m/>
    <m/>
    <x v="2"/>
    <m/>
    <m/>
    <x v="2"/>
    <x v="2"/>
    <x v="2"/>
  </r>
  <r>
    <n v="145"/>
    <x v="8"/>
    <s v="4.01.07.1.03.03 "/>
    <x v="17"/>
    <m/>
    <m/>
    <m/>
    <x v="2"/>
    <m/>
    <m/>
    <x v="2"/>
    <x v="2"/>
    <x v="2"/>
  </r>
  <r>
    <n v="146"/>
    <x v="9"/>
    <s v="4.01.01.1.01.01"/>
    <x v="0"/>
    <m/>
    <m/>
    <m/>
    <x v="2"/>
    <m/>
    <m/>
    <x v="2"/>
    <x v="2"/>
    <x v="2"/>
  </r>
  <r>
    <n v="147"/>
    <x v="9"/>
    <s v="4.01.01.1.01.06"/>
    <x v="1"/>
    <m/>
    <m/>
    <m/>
    <x v="2"/>
    <m/>
    <m/>
    <x v="2"/>
    <x v="2"/>
    <x v="2"/>
  </r>
  <r>
    <n v="148"/>
    <x v="9"/>
    <s v="4.01.01.1.05.09"/>
    <x v="2"/>
    <m/>
    <m/>
    <m/>
    <x v="2"/>
    <m/>
    <m/>
    <x v="2"/>
    <x v="2"/>
    <x v="2"/>
  </r>
  <r>
    <n v="149"/>
    <x v="9"/>
    <s v="4.01.01.1.06.02"/>
    <x v="3"/>
    <m/>
    <m/>
    <m/>
    <x v="2"/>
    <m/>
    <m/>
    <x v="2"/>
    <x v="2"/>
    <x v="2"/>
  </r>
  <r>
    <n v="150"/>
    <x v="9"/>
    <s v="4.01.01.1.06.05"/>
    <x v="4"/>
    <m/>
    <m/>
    <m/>
    <x v="2"/>
    <m/>
    <m/>
    <x v="2"/>
    <x v="2"/>
    <x v="2"/>
  </r>
  <r>
    <n v="151"/>
    <x v="9"/>
    <s v="4.01.01.1.06.09"/>
    <x v="5"/>
    <m/>
    <m/>
    <m/>
    <x v="2"/>
    <m/>
    <m/>
    <x v="2"/>
    <x v="2"/>
    <x v="2"/>
  </r>
  <r>
    <n v="152"/>
    <x v="9"/>
    <s v="4.01.01.1.08.02"/>
    <x v="6"/>
    <m/>
    <m/>
    <m/>
    <x v="2"/>
    <m/>
    <m/>
    <x v="2"/>
    <x v="2"/>
    <x v="2"/>
  </r>
  <r>
    <n v="153"/>
    <x v="9"/>
    <s v="4.01.01.1.08.03 "/>
    <x v="7"/>
    <m/>
    <m/>
    <m/>
    <x v="2"/>
    <m/>
    <m/>
    <x v="2"/>
    <x v="2"/>
    <x v="2"/>
  </r>
  <r>
    <n v="154"/>
    <x v="9"/>
    <s v="4.01.01.1.08.04"/>
    <x v="8"/>
    <m/>
    <m/>
    <m/>
    <x v="2"/>
    <m/>
    <m/>
    <x v="2"/>
    <x v="2"/>
    <x v="2"/>
  </r>
  <r>
    <n v="155"/>
    <x v="9"/>
    <s v="4.01.07.1.01.01"/>
    <x v="9"/>
    <m/>
    <m/>
    <m/>
    <x v="2"/>
    <m/>
    <m/>
    <x v="2"/>
    <x v="2"/>
    <x v="2"/>
  </r>
  <r>
    <n v="156"/>
    <x v="9"/>
    <s v="4.01.07.1.01.02"/>
    <x v="10"/>
    <m/>
    <m/>
    <m/>
    <x v="2"/>
    <m/>
    <m/>
    <x v="2"/>
    <x v="2"/>
    <x v="2"/>
  </r>
  <r>
    <n v="157"/>
    <x v="9"/>
    <s v="4.01.07.1.01.03 "/>
    <x v="11"/>
    <m/>
    <m/>
    <m/>
    <x v="2"/>
    <m/>
    <m/>
    <x v="2"/>
    <x v="2"/>
    <x v="2"/>
  </r>
  <r>
    <n v="158"/>
    <x v="9"/>
    <s v="4.01.07.1.02.01"/>
    <x v="12"/>
    <m/>
    <m/>
    <m/>
    <x v="2"/>
    <m/>
    <m/>
    <x v="2"/>
    <x v="2"/>
    <x v="2"/>
  </r>
  <r>
    <n v="159"/>
    <x v="9"/>
    <s v="4.01.07.1.02.02"/>
    <x v="13"/>
    <m/>
    <m/>
    <m/>
    <x v="2"/>
    <m/>
    <m/>
    <x v="2"/>
    <x v="2"/>
    <x v="2"/>
  </r>
  <r>
    <n v="160"/>
    <x v="9"/>
    <s v="4.01.07.1.02.03"/>
    <x v="14"/>
    <m/>
    <m/>
    <m/>
    <x v="2"/>
    <m/>
    <m/>
    <x v="2"/>
    <x v="2"/>
    <x v="2"/>
  </r>
  <r>
    <n v="161"/>
    <x v="9"/>
    <s v="4.01.07.1.03.01"/>
    <x v="15"/>
    <m/>
    <m/>
    <m/>
    <x v="2"/>
    <m/>
    <m/>
    <x v="2"/>
    <x v="2"/>
    <x v="2"/>
  </r>
  <r>
    <n v="162"/>
    <x v="9"/>
    <s v="4.01.07.1.03.02"/>
    <x v="16"/>
    <m/>
    <m/>
    <m/>
    <x v="2"/>
    <m/>
    <m/>
    <x v="2"/>
    <x v="2"/>
    <x v="2"/>
  </r>
  <r>
    <n v="163"/>
    <x v="9"/>
    <s v="4.01.07.1.03.03 "/>
    <x v="17"/>
    <m/>
    <m/>
    <m/>
    <x v="2"/>
    <m/>
    <m/>
    <x v="2"/>
    <x v="2"/>
    <x v="2"/>
  </r>
  <r>
    <n v="164"/>
    <x v="10"/>
    <s v="4.01.01.1.01.01"/>
    <x v="0"/>
    <m/>
    <m/>
    <m/>
    <x v="2"/>
    <m/>
    <m/>
    <x v="2"/>
    <x v="2"/>
    <x v="2"/>
  </r>
  <r>
    <n v="165"/>
    <x v="10"/>
    <s v="4.01.01.1.01.06"/>
    <x v="1"/>
    <m/>
    <m/>
    <m/>
    <x v="2"/>
    <m/>
    <m/>
    <x v="2"/>
    <x v="2"/>
    <x v="2"/>
  </r>
  <r>
    <n v="166"/>
    <x v="10"/>
    <s v="4.01.01.1.05.09"/>
    <x v="2"/>
    <m/>
    <m/>
    <m/>
    <x v="2"/>
    <m/>
    <m/>
    <x v="2"/>
    <x v="2"/>
    <x v="2"/>
  </r>
  <r>
    <n v="167"/>
    <x v="10"/>
    <s v="4.01.01.1.06.02"/>
    <x v="3"/>
    <m/>
    <m/>
    <m/>
    <x v="2"/>
    <m/>
    <m/>
    <x v="2"/>
    <x v="2"/>
    <x v="2"/>
  </r>
  <r>
    <n v="168"/>
    <x v="10"/>
    <s v="4.01.01.1.06.05"/>
    <x v="4"/>
    <m/>
    <m/>
    <m/>
    <x v="2"/>
    <m/>
    <m/>
    <x v="2"/>
    <x v="2"/>
    <x v="2"/>
  </r>
  <r>
    <n v="169"/>
    <x v="10"/>
    <s v="4.01.01.1.06.09"/>
    <x v="5"/>
    <m/>
    <m/>
    <m/>
    <x v="2"/>
    <m/>
    <m/>
    <x v="2"/>
    <x v="2"/>
    <x v="2"/>
  </r>
  <r>
    <n v="170"/>
    <x v="10"/>
    <s v="4.01.01.1.08.02"/>
    <x v="6"/>
    <m/>
    <m/>
    <m/>
    <x v="2"/>
    <m/>
    <m/>
    <x v="2"/>
    <x v="2"/>
    <x v="2"/>
  </r>
  <r>
    <n v="171"/>
    <x v="10"/>
    <s v="4.01.01.1.08.03 "/>
    <x v="7"/>
    <m/>
    <m/>
    <m/>
    <x v="2"/>
    <m/>
    <m/>
    <x v="2"/>
    <x v="2"/>
    <x v="2"/>
  </r>
  <r>
    <n v="172"/>
    <x v="10"/>
    <s v="4.01.01.1.08.04"/>
    <x v="8"/>
    <m/>
    <m/>
    <m/>
    <x v="2"/>
    <m/>
    <m/>
    <x v="2"/>
    <x v="2"/>
    <x v="2"/>
  </r>
  <r>
    <n v="173"/>
    <x v="10"/>
    <s v="4.01.07.1.01.01"/>
    <x v="9"/>
    <m/>
    <m/>
    <m/>
    <x v="2"/>
    <m/>
    <m/>
    <x v="2"/>
    <x v="2"/>
    <x v="2"/>
  </r>
  <r>
    <n v="174"/>
    <x v="10"/>
    <s v="4.01.07.1.01.02"/>
    <x v="10"/>
    <m/>
    <m/>
    <m/>
    <x v="2"/>
    <m/>
    <m/>
    <x v="2"/>
    <x v="2"/>
    <x v="2"/>
  </r>
  <r>
    <n v="175"/>
    <x v="10"/>
    <s v="4.01.07.1.01.03 "/>
    <x v="11"/>
    <m/>
    <m/>
    <m/>
    <x v="2"/>
    <m/>
    <m/>
    <x v="2"/>
    <x v="2"/>
    <x v="2"/>
  </r>
  <r>
    <n v="176"/>
    <x v="10"/>
    <s v="4.01.07.1.02.01"/>
    <x v="12"/>
    <m/>
    <m/>
    <m/>
    <x v="2"/>
    <m/>
    <m/>
    <x v="2"/>
    <x v="2"/>
    <x v="2"/>
  </r>
  <r>
    <n v="177"/>
    <x v="10"/>
    <s v="4.01.07.1.02.02"/>
    <x v="13"/>
    <m/>
    <m/>
    <m/>
    <x v="2"/>
    <m/>
    <m/>
    <x v="2"/>
    <x v="2"/>
    <x v="2"/>
  </r>
  <r>
    <n v="178"/>
    <x v="10"/>
    <s v="4.01.07.1.02.03"/>
    <x v="14"/>
    <m/>
    <m/>
    <m/>
    <x v="2"/>
    <m/>
    <m/>
    <x v="2"/>
    <x v="2"/>
    <x v="2"/>
  </r>
  <r>
    <n v="179"/>
    <x v="10"/>
    <s v="4.01.07.1.03.01"/>
    <x v="15"/>
    <m/>
    <m/>
    <m/>
    <x v="2"/>
    <m/>
    <m/>
    <x v="2"/>
    <x v="2"/>
    <x v="2"/>
  </r>
  <r>
    <n v="180"/>
    <x v="10"/>
    <s v="4.01.07.1.03.02"/>
    <x v="16"/>
    <m/>
    <m/>
    <m/>
    <x v="2"/>
    <m/>
    <m/>
    <x v="2"/>
    <x v="2"/>
    <x v="2"/>
  </r>
  <r>
    <n v="181"/>
    <x v="10"/>
    <s v="4.01.07.1.03.03 "/>
    <x v="17"/>
    <m/>
    <m/>
    <m/>
    <x v="2"/>
    <m/>
    <m/>
    <x v="2"/>
    <x v="2"/>
    <x v="2"/>
  </r>
  <r>
    <n v="182"/>
    <x v="11"/>
    <s v="4.01.01.1.01.01"/>
    <x v="0"/>
    <m/>
    <m/>
    <m/>
    <x v="2"/>
    <m/>
    <m/>
    <x v="2"/>
    <x v="2"/>
    <x v="2"/>
  </r>
  <r>
    <n v="183"/>
    <x v="11"/>
    <s v="4.01.01.1.01.06"/>
    <x v="1"/>
    <m/>
    <m/>
    <m/>
    <x v="2"/>
    <m/>
    <m/>
    <x v="2"/>
    <x v="2"/>
    <x v="2"/>
  </r>
  <r>
    <n v="184"/>
    <x v="11"/>
    <s v="4.01.01.1.05.09"/>
    <x v="2"/>
    <m/>
    <m/>
    <m/>
    <x v="2"/>
    <m/>
    <m/>
    <x v="2"/>
    <x v="2"/>
    <x v="2"/>
  </r>
  <r>
    <n v="185"/>
    <x v="11"/>
    <s v="4.01.01.1.06.02"/>
    <x v="3"/>
    <m/>
    <m/>
    <m/>
    <x v="2"/>
    <m/>
    <m/>
    <x v="2"/>
    <x v="2"/>
    <x v="2"/>
  </r>
  <r>
    <n v="186"/>
    <x v="11"/>
    <s v="4.01.01.1.06.05"/>
    <x v="4"/>
    <m/>
    <m/>
    <m/>
    <x v="2"/>
    <m/>
    <m/>
    <x v="2"/>
    <x v="2"/>
    <x v="2"/>
  </r>
  <r>
    <n v="187"/>
    <x v="11"/>
    <s v="4.01.01.1.06.09"/>
    <x v="5"/>
    <m/>
    <m/>
    <m/>
    <x v="2"/>
    <m/>
    <m/>
    <x v="2"/>
    <x v="2"/>
    <x v="2"/>
  </r>
  <r>
    <n v="188"/>
    <x v="11"/>
    <s v="4.01.01.1.08.02"/>
    <x v="6"/>
    <m/>
    <m/>
    <m/>
    <x v="2"/>
    <m/>
    <m/>
    <x v="2"/>
    <x v="2"/>
    <x v="2"/>
  </r>
  <r>
    <n v="189"/>
    <x v="11"/>
    <s v="4.01.01.1.08.03 "/>
    <x v="7"/>
    <m/>
    <m/>
    <m/>
    <x v="2"/>
    <m/>
    <m/>
    <x v="2"/>
    <x v="2"/>
    <x v="2"/>
  </r>
  <r>
    <n v="190"/>
    <x v="11"/>
    <s v="4.01.01.1.08.04"/>
    <x v="8"/>
    <m/>
    <m/>
    <m/>
    <x v="2"/>
    <m/>
    <m/>
    <x v="2"/>
    <x v="2"/>
    <x v="2"/>
  </r>
  <r>
    <n v="191"/>
    <x v="11"/>
    <s v="4.01.07.1.01.01"/>
    <x v="9"/>
    <m/>
    <m/>
    <m/>
    <x v="2"/>
    <m/>
    <m/>
    <x v="2"/>
    <x v="2"/>
    <x v="2"/>
  </r>
  <r>
    <n v="192"/>
    <x v="11"/>
    <s v="4.01.07.1.01.02"/>
    <x v="10"/>
    <m/>
    <m/>
    <m/>
    <x v="2"/>
    <m/>
    <m/>
    <x v="2"/>
    <x v="2"/>
    <x v="2"/>
  </r>
  <r>
    <n v="193"/>
    <x v="11"/>
    <s v="4.01.07.1.01.03 "/>
    <x v="11"/>
    <m/>
    <m/>
    <m/>
    <x v="2"/>
    <m/>
    <m/>
    <x v="2"/>
    <x v="2"/>
    <x v="2"/>
  </r>
  <r>
    <n v="194"/>
    <x v="11"/>
    <s v="4.01.07.1.02.01"/>
    <x v="12"/>
    <m/>
    <m/>
    <m/>
    <x v="2"/>
    <m/>
    <m/>
    <x v="2"/>
    <x v="2"/>
    <x v="2"/>
  </r>
  <r>
    <n v="195"/>
    <x v="11"/>
    <s v="4.01.07.1.02.02"/>
    <x v="13"/>
    <m/>
    <m/>
    <m/>
    <x v="2"/>
    <m/>
    <m/>
    <x v="2"/>
    <x v="2"/>
    <x v="2"/>
  </r>
  <r>
    <n v="196"/>
    <x v="11"/>
    <s v="4.01.07.1.02.03"/>
    <x v="14"/>
    <m/>
    <m/>
    <m/>
    <x v="2"/>
    <m/>
    <m/>
    <x v="2"/>
    <x v="2"/>
    <x v="2"/>
  </r>
  <r>
    <n v="197"/>
    <x v="11"/>
    <s v="4.01.07.1.03.01"/>
    <x v="15"/>
    <m/>
    <m/>
    <m/>
    <x v="2"/>
    <m/>
    <m/>
    <x v="2"/>
    <x v="2"/>
    <x v="2"/>
  </r>
  <r>
    <n v="198"/>
    <x v="11"/>
    <s v="4.01.07.1.03.02"/>
    <x v="16"/>
    <m/>
    <m/>
    <m/>
    <x v="2"/>
    <m/>
    <m/>
    <x v="2"/>
    <x v="2"/>
    <x v="2"/>
  </r>
  <r>
    <n v="199"/>
    <x v="11"/>
    <s v="4.01.07.1.03.03 "/>
    <x v="17"/>
    <m/>
    <m/>
    <m/>
    <x v="2"/>
    <m/>
    <m/>
    <x v="2"/>
    <x v="2"/>
    <x v="2"/>
  </r>
  <r>
    <n v="200"/>
    <x v="12"/>
    <s v="4.01.01.1.01.01"/>
    <x v="0"/>
    <m/>
    <m/>
    <m/>
    <x v="2"/>
    <m/>
    <m/>
    <x v="2"/>
    <x v="2"/>
    <x v="2"/>
  </r>
  <r>
    <n v="201"/>
    <x v="12"/>
    <s v="4.01.01.1.01.06"/>
    <x v="1"/>
    <m/>
    <m/>
    <m/>
    <x v="2"/>
    <m/>
    <m/>
    <x v="2"/>
    <x v="2"/>
    <x v="2"/>
  </r>
  <r>
    <n v="202"/>
    <x v="12"/>
    <s v="4.01.01.1.05.09"/>
    <x v="2"/>
    <m/>
    <m/>
    <m/>
    <x v="2"/>
    <m/>
    <m/>
    <x v="2"/>
    <x v="2"/>
    <x v="2"/>
  </r>
  <r>
    <n v="203"/>
    <x v="12"/>
    <s v="4.01.01.1.06.02"/>
    <x v="3"/>
    <m/>
    <m/>
    <m/>
    <x v="2"/>
    <m/>
    <m/>
    <x v="2"/>
    <x v="2"/>
    <x v="2"/>
  </r>
  <r>
    <n v="204"/>
    <x v="12"/>
    <s v="4.01.01.1.06.05"/>
    <x v="4"/>
    <m/>
    <m/>
    <m/>
    <x v="2"/>
    <m/>
    <m/>
    <x v="2"/>
    <x v="2"/>
    <x v="2"/>
  </r>
  <r>
    <n v="205"/>
    <x v="12"/>
    <s v="4.01.01.1.06.09"/>
    <x v="5"/>
    <m/>
    <m/>
    <m/>
    <x v="2"/>
    <m/>
    <m/>
    <x v="2"/>
    <x v="2"/>
    <x v="2"/>
  </r>
  <r>
    <n v="206"/>
    <x v="12"/>
    <s v="4.01.01.1.08.02"/>
    <x v="6"/>
    <m/>
    <m/>
    <m/>
    <x v="2"/>
    <m/>
    <m/>
    <x v="2"/>
    <x v="2"/>
    <x v="2"/>
  </r>
  <r>
    <n v="207"/>
    <x v="12"/>
    <s v="4.01.01.1.08.03 "/>
    <x v="7"/>
    <m/>
    <m/>
    <m/>
    <x v="2"/>
    <m/>
    <m/>
    <x v="2"/>
    <x v="2"/>
    <x v="2"/>
  </r>
  <r>
    <n v="208"/>
    <x v="12"/>
    <s v="4.01.01.1.08.04"/>
    <x v="8"/>
    <m/>
    <m/>
    <m/>
    <x v="2"/>
    <m/>
    <m/>
    <x v="2"/>
    <x v="2"/>
    <x v="2"/>
  </r>
  <r>
    <n v="209"/>
    <x v="12"/>
    <s v="4.01.07.1.01.01"/>
    <x v="9"/>
    <m/>
    <m/>
    <m/>
    <x v="2"/>
    <m/>
    <m/>
    <x v="2"/>
    <x v="2"/>
    <x v="2"/>
  </r>
  <r>
    <n v="210"/>
    <x v="12"/>
    <s v="4.01.07.1.01.02"/>
    <x v="10"/>
    <m/>
    <m/>
    <m/>
    <x v="2"/>
    <m/>
    <m/>
    <x v="2"/>
    <x v="2"/>
    <x v="2"/>
  </r>
  <r>
    <n v="211"/>
    <x v="12"/>
    <s v="4.01.07.1.01.03 "/>
    <x v="11"/>
    <m/>
    <m/>
    <m/>
    <x v="2"/>
    <m/>
    <m/>
    <x v="2"/>
    <x v="2"/>
    <x v="2"/>
  </r>
  <r>
    <n v="212"/>
    <x v="12"/>
    <s v="4.01.07.1.02.01"/>
    <x v="12"/>
    <m/>
    <m/>
    <m/>
    <x v="2"/>
    <m/>
    <m/>
    <x v="2"/>
    <x v="2"/>
    <x v="2"/>
  </r>
  <r>
    <n v="213"/>
    <x v="12"/>
    <s v="4.01.07.1.02.02"/>
    <x v="13"/>
    <m/>
    <m/>
    <m/>
    <x v="2"/>
    <m/>
    <m/>
    <x v="2"/>
    <x v="2"/>
    <x v="2"/>
  </r>
  <r>
    <n v="214"/>
    <x v="12"/>
    <s v="4.01.07.1.02.03"/>
    <x v="14"/>
    <m/>
    <m/>
    <m/>
    <x v="2"/>
    <m/>
    <m/>
    <x v="2"/>
    <x v="2"/>
    <x v="2"/>
  </r>
  <r>
    <n v="215"/>
    <x v="12"/>
    <s v="4.01.07.1.03.01"/>
    <x v="15"/>
    <m/>
    <m/>
    <m/>
    <x v="2"/>
    <m/>
    <m/>
    <x v="2"/>
    <x v="2"/>
    <x v="2"/>
  </r>
  <r>
    <n v="216"/>
    <x v="12"/>
    <s v="4.01.07.1.03.02"/>
    <x v="16"/>
    <m/>
    <m/>
    <m/>
    <x v="2"/>
    <m/>
    <m/>
    <x v="2"/>
    <x v="2"/>
    <x v="2"/>
  </r>
  <r>
    <n v="217"/>
    <x v="12"/>
    <s v="4.01.07.1.03.03 "/>
    <x v="17"/>
    <m/>
    <m/>
    <m/>
    <x v="2"/>
    <m/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20B07-AB90-4C72-B828-632298B6F12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9:F35" firstHeaderRow="1" firstDataRow="1" firstDataCol="1"/>
  <pivotFields count="13">
    <pivotField showAll="0"/>
    <pivotField showAll="0"/>
    <pivotField showAll="0"/>
    <pivotField axis="axisRow" showAll="0">
      <items count="20">
        <item x="10"/>
        <item x="5"/>
        <item x="2"/>
        <item x="13"/>
        <item x="3"/>
        <item h="1" x="1"/>
        <item h="1" x="11"/>
        <item h="1" x="16"/>
        <item h="1" x="15"/>
        <item h="1" x="17"/>
        <item h="1" x="14"/>
        <item h="1" x="12"/>
        <item h="1" x="9"/>
        <item h="1" x="4"/>
        <item h="1" x="6"/>
        <item h="1" x="8"/>
        <item h="1" x="7"/>
        <item h="1" x="0"/>
        <item h="1" x="18"/>
        <item t="default"/>
      </items>
    </pivotField>
    <pivotField showAll="0"/>
    <pivotField showAll="0"/>
    <pivotField showAll="0"/>
    <pivotField dataField="1" showAll="0" sortType="descending">
      <items count="21">
        <item x="2"/>
        <item x="12"/>
        <item x="7"/>
        <item x="4"/>
        <item x="15"/>
        <item x="5"/>
        <item x="6"/>
        <item x="14"/>
        <item x="16"/>
        <item x="18"/>
        <item x="13"/>
        <item x="17"/>
        <item x="19"/>
        <item x="8"/>
        <item x="11"/>
        <item x="10"/>
        <item x="9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ALISASI (RP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30A0C-B21E-45E3-8228-B4575BDB081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2:I21" firstHeaderRow="1" firstDataRow="1" firstDataCol="1"/>
  <pivotFields count="13">
    <pivotField showAll="0"/>
    <pivotField showAll="0"/>
    <pivotField showAll="0"/>
    <pivotField axis="axisRow" showAll="0">
      <items count="20">
        <item x="1"/>
        <item x="10"/>
        <item x="11"/>
        <item x="16"/>
        <item x="15"/>
        <item x="17"/>
        <item x="2"/>
        <item x="14"/>
        <item x="12"/>
        <item x="9"/>
        <item x="13"/>
        <item x="4"/>
        <item x="6"/>
        <item x="8"/>
        <item x="7"/>
        <item x="3"/>
        <item x="5"/>
        <item x="0"/>
        <item h="1" x="18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EALISASI (RP)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F1131-BC36-4EDF-AC23-158F9601EA20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8:F44" firstHeaderRow="1" firstDataRow="1" firstDataCol="1"/>
  <pivotFields count="13">
    <pivotField showAll="0"/>
    <pivotField showAll="0"/>
    <pivotField showAll="0"/>
    <pivotField axis="axisRow" showAll="0">
      <items count="20">
        <item h="1" x="10"/>
        <item h="1" x="11"/>
        <item h="1" x="16"/>
        <item h="1" x="15"/>
        <item h="1" x="17"/>
        <item h="1" x="2"/>
        <item h="1" x="14"/>
        <item h="1" x="12"/>
        <item h="1" x="13"/>
        <item h="1" x="4"/>
        <item h="1" x="6"/>
        <item h="1" x="3"/>
        <item h="1" x="5"/>
        <item h="1" x="18"/>
        <item x="9"/>
        <item x="8"/>
        <item x="7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1">
        <item x="4"/>
        <item x="9"/>
        <item x="5"/>
        <item x="6"/>
        <item x="1"/>
        <item x="3"/>
        <item x="7"/>
        <item x="8"/>
        <item x="0"/>
        <item x="2"/>
        <item t="default"/>
      </items>
    </pivotField>
    <pivotField showAll="0"/>
  </pivotFields>
  <rowFields count="1">
    <field x="3"/>
  </rowFields>
  <rowItems count="6"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REALISASI (RP)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99A4A-F1B3-4840-B1B5-5A2A88B7DA15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6:F17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ALISASI (%)" fld="8" baseField="0" baseItem="0"/>
    <dataField name="Sum of TARGET (%)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57008-5687-4CC2-B715-D6F999F59645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23:C34" firstHeaderRow="1" firstDataRow="1" firstDataCol="1"/>
  <pivotFields count="13">
    <pivotField showAll="0"/>
    <pivotField showAll="0"/>
    <pivotField showAll="0"/>
    <pivotField showAll="0">
      <items count="20">
        <item n="Koordinasi dan Penyusunan Laporan Capaian Kinerja dan_x000a_Ikhtisar Realisasi Kinerja SKPD3" x="1"/>
        <item x="10"/>
        <item x="11"/>
        <item x="16"/>
        <item x="15"/>
        <item x="17"/>
        <item x="2"/>
        <item x="14"/>
        <item x="12"/>
        <item x="9"/>
        <item x="13"/>
        <item x="4"/>
        <item x="6"/>
        <item x="8"/>
        <item x="7"/>
        <item x="3"/>
        <item x="5"/>
        <item x="0"/>
        <item h="1" x="1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9"/>
        <item x="5"/>
        <item x="6"/>
        <item x="1"/>
        <item x="3"/>
        <item x="7"/>
        <item x="8"/>
        <item x="0"/>
        <item x="2"/>
        <item t="default"/>
      </items>
    </pivotField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NGGARAN" fld="4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03B18-5FB6-48A2-8CE1-51B826EED4F3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21:F26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KODE SUB KEGIATAN" fld="2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B00A7-2905-494A-9075-6C579449D17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2:D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DEVIASI (%)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64DB7-D5EE-4E9D-8660-24FD09B9A98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8:C21" firstHeaderRow="1" firstDataRow="1" firstDataCol="1"/>
  <pivotFields count="13">
    <pivotField showAll="0"/>
    <pivotField axis="axisRow" showAll="0">
      <items count="14"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ALISASI (RP)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1845A-2F57-4792-AD8E-49ED73525E9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:N18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ADCA0-3EC1-4D14-8078-97231E50D8D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F2:F3" firstHeaderRow="1" firstDataRow="1" firstDataCol="0"/>
  <pivotFields count="1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ANGGARAN" fld="4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98543-2B63-4ECB-B9B3-A38276FC5193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E9:F12" firstHeaderRow="1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m="1" x="3"/>
        <item h="1" x="2"/>
        <item t="default"/>
      </items>
    </pivotField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KODE SUB KEGIATAN" fld="2" subtotal="count" baseField="0" baseItem="0"/>
  </dataFields>
  <chartFormats count="11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7948D-3DB1-4795-8DB1-630A818DC2AF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2:B3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sortType="ascending"/>
    <pivotField showAll="0"/>
    <pivotField showAll="0"/>
  </pivotFields>
  <rowItems count="1">
    <i/>
  </rowItems>
  <colItems count="1">
    <i/>
  </colItems>
  <dataFields count="1">
    <dataField name="Sum of REALISASI (RP)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"/>
  <sheetViews>
    <sheetView workbookViewId="0">
      <selection activeCell="G4" sqref="G4"/>
    </sheetView>
  </sheetViews>
  <sheetFormatPr defaultRowHeight="14.5" x14ac:dyDescent="0.35"/>
  <cols>
    <col min="3" max="3" width="17.26953125" bestFit="1" customWidth="1"/>
    <col min="4" max="4" width="47.90625" bestFit="1" customWidth="1"/>
    <col min="5" max="5" width="15.7265625" bestFit="1" customWidth="1"/>
    <col min="6" max="6" width="16.90625" customWidth="1"/>
    <col min="7" max="7" width="9.90625" style="20" bestFit="1" customWidth="1"/>
    <col min="8" max="8" width="13.26953125" bestFit="1" customWidth="1"/>
    <col min="9" max="9" width="11.453125" bestFit="1" customWidth="1"/>
    <col min="10" max="10" width="10" bestFit="1" customWidth="1"/>
    <col min="11" max="11" width="14.90625" bestFit="1" customWidth="1"/>
    <col min="12" max="12" width="46" customWidth="1"/>
    <col min="13" max="13" width="29.453125" bestFit="1" customWidth="1"/>
  </cols>
  <sheetData>
    <row r="1" spans="1:17" s="6" customFormat="1" x14ac:dyDescent="0.35">
      <c r="A1" s="6" t="s">
        <v>74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1" t="s">
        <v>6</v>
      </c>
      <c r="I1" s="1" t="s">
        <v>7</v>
      </c>
      <c r="J1" s="4" t="s">
        <v>8</v>
      </c>
      <c r="K1" s="1" t="s">
        <v>9</v>
      </c>
      <c r="L1" s="1" t="s">
        <v>10</v>
      </c>
      <c r="M1" s="5" t="s">
        <v>11</v>
      </c>
    </row>
    <row r="2" spans="1:17" x14ac:dyDescent="0.35">
      <c r="A2">
        <v>1</v>
      </c>
      <c r="B2" s="7" t="s">
        <v>12</v>
      </c>
      <c r="C2" s="8" t="s">
        <v>13</v>
      </c>
      <c r="D2" s="7" t="s">
        <v>14</v>
      </c>
      <c r="E2" s="9">
        <v>7590000</v>
      </c>
      <c r="F2" s="9">
        <v>2392500</v>
      </c>
      <c r="G2" s="10">
        <f>F2/E2</f>
        <v>0.31521739130434784</v>
      </c>
      <c r="H2" s="9">
        <v>0</v>
      </c>
      <c r="I2" s="11">
        <f>H2/F2</f>
        <v>0</v>
      </c>
      <c r="J2" s="12">
        <f>I2-G2</f>
        <v>-0.31521739130434784</v>
      </c>
      <c r="K2" t="s">
        <v>15</v>
      </c>
      <c r="L2" t="s">
        <v>16</v>
      </c>
      <c r="M2" s="13" t="s">
        <v>17</v>
      </c>
    </row>
    <row r="3" spans="1:17" ht="41.25" customHeight="1" x14ac:dyDescent="0.35">
      <c r="A3">
        <v>2</v>
      </c>
      <c r="B3" s="14" t="s">
        <v>12</v>
      </c>
      <c r="C3" s="14" t="s">
        <v>18</v>
      </c>
      <c r="D3" s="15" t="s">
        <v>19</v>
      </c>
      <c r="E3" s="9">
        <v>77000000</v>
      </c>
      <c r="F3" s="9">
        <v>20848000</v>
      </c>
      <c r="G3" s="10">
        <f>F3/E3</f>
        <v>0.27075324675324675</v>
      </c>
      <c r="H3" s="9">
        <v>0</v>
      </c>
      <c r="I3" s="11">
        <f t="shared" ref="I3:I38" si="0">H3/F3</f>
        <v>0</v>
      </c>
      <c r="J3" s="12">
        <f t="shared" ref="J3:J57" si="1">I3-G3</f>
        <v>-0.27075324675324675</v>
      </c>
      <c r="K3" t="s">
        <v>15</v>
      </c>
      <c r="L3" t="s">
        <v>16</v>
      </c>
      <c r="M3" s="13" t="s">
        <v>17</v>
      </c>
      <c r="Q3" t="s">
        <v>80</v>
      </c>
    </row>
    <row r="4" spans="1:17" ht="43.5" x14ac:dyDescent="0.35">
      <c r="A4">
        <v>3</v>
      </c>
      <c r="B4" s="7" t="s">
        <v>12</v>
      </c>
      <c r="C4" s="7" t="s">
        <v>20</v>
      </c>
      <c r="D4" s="16" t="s">
        <v>21</v>
      </c>
      <c r="E4" s="9">
        <v>200000000</v>
      </c>
      <c r="F4" s="9">
        <v>0</v>
      </c>
      <c r="G4" s="10">
        <f t="shared" ref="G4:G32" si="2">F4/E4</f>
        <v>0</v>
      </c>
      <c r="H4" s="9">
        <v>0</v>
      </c>
      <c r="I4" s="11">
        <v>0</v>
      </c>
      <c r="J4" s="12">
        <f t="shared" si="1"/>
        <v>0</v>
      </c>
      <c r="K4" t="s">
        <v>22</v>
      </c>
      <c r="L4" t="s">
        <v>16</v>
      </c>
      <c r="M4" s="13" t="s">
        <v>17</v>
      </c>
      <c r="Q4" t="s">
        <v>81</v>
      </c>
    </row>
    <row r="5" spans="1:17" x14ac:dyDescent="0.35">
      <c r="A5">
        <v>4</v>
      </c>
      <c r="B5" s="14" t="s">
        <v>12</v>
      </c>
      <c r="C5" s="14" t="s">
        <v>23</v>
      </c>
      <c r="D5" s="14" t="s">
        <v>24</v>
      </c>
      <c r="E5" s="9">
        <v>438855000</v>
      </c>
      <c r="F5" s="9">
        <v>2255000</v>
      </c>
      <c r="G5" s="10">
        <f t="shared" si="2"/>
        <v>5.1383714438709826E-3</v>
      </c>
      <c r="H5" s="9">
        <v>0</v>
      </c>
      <c r="I5" s="11">
        <f t="shared" si="0"/>
        <v>0</v>
      </c>
      <c r="J5" s="12">
        <f t="shared" si="1"/>
        <v>-5.1383714438709826E-3</v>
      </c>
      <c r="K5" t="s">
        <v>15</v>
      </c>
      <c r="L5" t="s">
        <v>16</v>
      </c>
      <c r="M5" s="13" t="s">
        <v>17</v>
      </c>
      <c r="Q5" t="s">
        <v>82</v>
      </c>
    </row>
    <row r="6" spans="1:17" x14ac:dyDescent="0.35">
      <c r="A6">
        <v>5</v>
      </c>
      <c r="B6" s="7" t="s">
        <v>12</v>
      </c>
      <c r="C6" s="7" t="s">
        <v>25</v>
      </c>
      <c r="D6" s="7" t="s">
        <v>26</v>
      </c>
      <c r="E6" s="9">
        <v>69707400</v>
      </c>
      <c r="F6" s="9">
        <v>32700000</v>
      </c>
      <c r="G6" s="10">
        <f t="shared" si="2"/>
        <v>0.46910371065338829</v>
      </c>
      <c r="H6" s="9">
        <v>0</v>
      </c>
      <c r="I6" s="11">
        <f t="shared" si="0"/>
        <v>0</v>
      </c>
      <c r="J6" s="12">
        <f t="shared" si="1"/>
        <v>-0.46910371065338829</v>
      </c>
      <c r="K6" t="s">
        <v>15</v>
      </c>
      <c r="L6" t="s">
        <v>16</v>
      </c>
      <c r="M6" s="13" t="s">
        <v>17</v>
      </c>
      <c r="Q6" t="s">
        <v>83</v>
      </c>
    </row>
    <row r="7" spans="1:17" x14ac:dyDescent="0.35">
      <c r="A7">
        <v>6</v>
      </c>
      <c r="B7" s="14" t="s">
        <v>12</v>
      </c>
      <c r="C7" s="14" t="s">
        <v>27</v>
      </c>
      <c r="D7" s="14" t="s">
        <v>28</v>
      </c>
      <c r="E7" s="9">
        <v>1652824179</v>
      </c>
      <c r="F7" s="9">
        <v>94532217</v>
      </c>
      <c r="G7" s="10">
        <f t="shared" si="2"/>
        <v>5.7194357513086699E-2</v>
      </c>
      <c r="H7" s="9">
        <v>0</v>
      </c>
      <c r="I7" s="11">
        <f t="shared" si="0"/>
        <v>0</v>
      </c>
      <c r="J7" s="12">
        <f t="shared" si="1"/>
        <v>-5.7194357513086699E-2</v>
      </c>
      <c r="K7" t="s">
        <v>15</v>
      </c>
      <c r="L7" t="s">
        <v>16</v>
      </c>
      <c r="M7" s="13" t="s">
        <v>17</v>
      </c>
      <c r="Q7" t="s">
        <v>84</v>
      </c>
    </row>
    <row r="8" spans="1:17" x14ac:dyDescent="0.35">
      <c r="A8">
        <v>7</v>
      </c>
      <c r="B8" s="7" t="s">
        <v>12</v>
      </c>
      <c r="C8" s="7" t="s">
        <v>29</v>
      </c>
      <c r="D8" s="7" t="s">
        <v>30</v>
      </c>
      <c r="E8" s="9">
        <v>52734000</v>
      </c>
      <c r="F8" s="9">
        <v>0</v>
      </c>
      <c r="G8" s="10">
        <f t="shared" si="2"/>
        <v>0</v>
      </c>
      <c r="H8" s="9">
        <v>0</v>
      </c>
      <c r="I8" s="11">
        <v>0</v>
      </c>
      <c r="J8" s="12">
        <f t="shared" si="1"/>
        <v>0</v>
      </c>
      <c r="K8" t="s">
        <v>22</v>
      </c>
      <c r="L8" t="s">
        <v>16</v>
      </c>
      <c r="M8" s="13" t="s">
        <v>17</v>
      </c>
      <c r="Q8" t="s">
        <v>85</v>
      </c>
    </row>
    <row r="9" spans="1:17" x14ac:dyDescent="0.35">
      <c r="A9">
        <v>8</v>
      </c>
      <c r="B9" s="14" t="s">
        <v>12</v>
      </c>
      <c r="C9" s="14" t="s">
        <v>31</v>
      </c>
      <c r="D9" s="14" t="s">
        <v>32</v>
      </c>
      <c r="E9" s="9">
        <v>62850000</v>
      </c>
      <c r="F9" s="9">
        <v>3750000</v>
      </c>
      <c r="G9" s="10">
        <f t="shared" si="2"/>
        <v>5.9665871121718374E-2</v>
      </c>
      <c r="H9" s="9">
        <v>0</v>
      </c>
      <c r="I9" s="11">
        <f t="shared" si="0"/>
        <v>0</v>
      </c>
      <c r="J9" s="12">
        <f t="shared" si="1"/>
        <v>-5.9665871121718374E-2</v>
      </c>
      <c r="K9" t="s">
        <v>15</v>
      </c>
      <c r="L9" t="s">
        <v>16</v>
      </c>
      <c r="M9" s="13" t="s">
        <v>17</v>
      </c>
      <c r="Q9" t="s">
        <v>86</v>
      </c>
    </row>
    <row r="10" spans="1:17" x14ac:dyDescent="0.35">
      <c r="A10">
        <v>9</v>
      </c>
      <c r="B10" s="7" t="s">
        <v>12</v>
      </c>
      <c r="C10" s="7" t="s">
        <v>33</v>
      </c>
      <c r="D10" s="7" t="s">
        <v>34</v>
      </c>
      <c r="E10" s="9">
        <v>52835700</v>
      </c>
      <c r="F10" s="9">
        <v>4088225</v>
      </c>
      <c r="G10" s="10">
        <f t="shared" si="2"/>
        <v>7.737618693421304E-2</v>
      </c>
      <c r="H10" s="9">
        <v>0</v>
      </c>
      <c r="I10" s="11">
        <f t="shared" si="0"/>
        <v>0</v>
      </c>
      <c r="J10" s="12">
        <f t="shared" si="1"/>
        <v>-7.737618693421304E-2</v>
      </c>
      <c r="K10" t="s">
        <v>15</v>
      </c>
      <c r="L10" t="s">
        <v>16</v>
      </c>
      <c r="M10" s="13" t="s">
        <v>17</v>
      </c>
      <c r="Q10" t="s">
        <v>87</v>
      </c>
    </row>
    <row r="11" spans="1:17" x14ac:dyDescent="0.35">
      <c r="A11">
        <v>10</v>
      </c>
      <c r="B11" s="14" t="s">
        <v>12</v>
      </c>
      <c r="C11" s="14" t="s">
        <v>35</v>
      </c>
      <c r="D11" s="14" t="s">
        <v>36</v>
      </c>
      <c r="E11" s="9">
        <v>385000000</v>
      </c>
      <c r="F11" s="9">
        <v>12930570</v>
      </c>
      <c r="G11" s="10">
        <f t="shared" si="2"/>
        <v>3.3585896103896104E-2</v>
      </c>
      <c r="H11" s="9">
        <v>0</v>
      </c>
      <c r="I11" s="11">
        <f t="shared" si="0"/>
        <v>0</v>
      </c>
      <c r="J11" s="12">
        <f t="shared" si="1"/>
        <v>-3.3585896103896104E-2</v>
      </c>
      <c r="K11" t="s">
        <v>15</v>
      </c>
      <c r="L11" t="s">
        <v>16</v>
      </c>
      <c r="M11" s="13" t="s">
        <v>17</v>
      </c>
      <c r="Q11" t="s">
        <v>88</v>
      </c>
    </row>
    <row r="12" spans="1:17" x14ac:dyDescent="0.35">
      <c r="A12">
        <v>11</v>
      </c>
      <c r="B12" s="7" t="s">
        <v>12</v>
      </c>
      <c r="C12" s="7" t="s">
        <v>37</v>
      </c>
      <c r="D12" s="7" t="s">
        <v>38</v>
      </c>
      <c r="E12" s="9">
        <v>488700000</v>
      </c>
      <c r="F12" s="9">
        <v>36810000</v>
      </c>
      <c r="G12" s="10">
        <f t="shared" si="2"/>
        <v>7.5322283609576421E-2</v>
      </c>
      <c r="H12" s="9">
        <v>0</v>
      </c>
      <c r="I12" s="11">
        <f t="shared" si="0"/>
        <v>0</v>
      </c>
      <c r="J12" s="12">
        <f t="shared" si="1"/>
        <v>-7.5322283609576421E-2</v>
      </c>
      <c r="K12" t="s">
        <v>15</v>
      </c>
      <c r="L12" t="s">
        <v>16</v>
      </c>
      <c r="M12" s="13" t="s">
        <v>17</v>
      </c>
      <c r="Q12" t="s">
        <v>89</v>
      </c>
    </row>
    <row r="13" spans="1:17" x14ac:dyDescent="0.35">
      <c r="A13">
        <v>12</v>
      </c>
      <c r="B13" s="14" t="s">
        <v>12</v>
      </c>
      <c r="C13" s="14" t="s">
        <v>39</v>
      </c>
      <c r="D13" s="14" t="s">
        <v>40</v>
      </c>
      <c r="E13" s="9">
        <v>605000000</v>
      </c>
      <c r="F13" s="9">
        <v>57794100</v>
      </c>
      <c r="G13" s="10">
        <f t="shared" si="2"/>
        <v>9.5527438016528923E-2</v>
      </c>
      <c r="H13" s="9">
        <v>0</v>
      </c>
      <c r="I13" s="11">
        <f t="shared" si="0"/>
        <v>0</v>
      </c>
      <c r="J13" s="12">
        <f t="shared" si="1"/>
        <v>-9.5527438016528923E-2</v>
      </c>
      <c r="K13" t="s">
        <v>15</v>
      </c>
      <c r="L13" t="s">
        <v>16</v>
      </c>
      <c r="M13" s="13" t="s">
        <v>17</v>
      </c>
    </row>
    <row r="14" spans="1:17" x14ac:dyDescent="0.35">
      <c r="A14">
        <v>13</v>
      </c>
      <c r="B14" s="7" t="s">
        <v>12</v>
      </c>
      <c r="C14" s="7" t="s">
        <v>41</v>
      </c>
      <c r="D14" s="7" t="s">
        <v>42</v>
      </c>
      <c r="E14" s="9">
        <v>495000000</v>
      </c>
      <c r="F14" s="9">
        <v>42765000</v>
      </c>
      <c r="G14" s="10">
        <f t="shared" si="2"/>
        <v>8.6393939393939398E-2</v>
      </c>
      <c r="H14" s="9">
        <v>0</v>
      </c>
      <c r="I14" s="11">
        <f t="shared" si="0"/>
        <v>0</v>
      </c>
      <c r="J14" s="12">
        <f t="shared" si="1"/>
        <v>-8.6393939393939398E-2</v>
      </c>
      <c r="K14" t="s">
        <v>15</v>
      </c>
      <c r="L14" t="s">
        <v>16</v>
      </c>
      <c r="M14" s="13" t="s">
        <v>17</v>
      </c>
    </row>
    <row r="15" spans="1:17" x14ac:dyDescent="0.35">
      <c r="A15">
        <v>14</v>
      </c>
      <c r="B15" s="14" t="s">
        <v>12</v>
      </c>
      <c r="C15" s="14" t="s">
        <v>43</v>
      </c>
      <c r="D15" s="14" t="s">
        <v>44</v>
      </c>
      <c r="E15" s="9">
        <v>4167000000</v>
      </c>
      <c r="F15" s="9">
        <v>36189750</v>
      </c>
      <c r="G15" s="10">
        <f t="shared" si="2"/>
        <v>8.6848452123830088E-3</v>
      </c>
      <c r="H15" s="9">
        <v>0</v>
      </c>
      <c r="I15" s="11">
        <f t="shared" si="0"/>
        <v>0</v>
      </c>
      <c r="J15" s="12">
        <f t="shared" si="1"/>
        <v>-8.6848452123830088E-3</v>
      </c>
      <c r="K15" t="s">
        <v>15</v>
      </c>
      <c r="L15" t="s">
        <v>16</v>
      </c>
      <c r="M15" s="13" t="s">
        <v>17</v>
      </c>
    </row>
    <row r="16" spans="1:17" x14ac:dyDescent="0.35">
      <c r="A16">
        <v>15</v>
      </c>
      <c r="B16" s="7" t="s">
        <v>12</v>
      </c>
      <c r="C16" s="7" t="s">
        <v>45</v>
      </c>
      <c r="D16" s="7" t="s">
        <v>46</v>
      </c>
      <c r="E16" s="9">
        <v>385000000</v>
      </c>
      <c r="F16" s="9">
        <v>15908040</v>
      </c>
      <c r="G16" s="10">
        <f t="shared" si="2"/>
        <v>4.1319584415584414E-2</v>
      </c>
      <c r="H16" s="9">
        <v>0</v>
      </c>
      <c r="I16" s="11">
        <f t="shared" si="0"/>
        <v>0</v>
      </c>
      <c r="J16" s="12">
        <f t="shared" si="1"/>
        <v>-4.1319584415584414E-2</v>
      </c>
      <c r="K16" t="s">
        <v>15</v>
      </c>
      <c r="L16" t="s">
        <v>16</v>
      </c>
      <c r="M16" s="13" t="s">
        <v>17</v>
      </c>
    </row>
    <row r="17" spans="1:13" ht="43.5" x14ac:dyDescent="0.35">
      <c r="A17">
        <v>16</v>
      </c>
      <c r="B17" s="14" t="s">
        <v>12</v>
      </c>
      <c r="C17" s="14" t="s">
        <v>47</v>
      </c>
      <c r="D17" s="15" t="s">
        <v>48</v>
      </c>
      <c r="E17" s="9">
        <v>303000000</v>
      </c>
      <c r="F17" s="9">
        <v>46859720</v>
      </c>
      <c r="G17" s="10">
        <f t="shared" si="2"/>
        <v>0.15465254125412542</v>
      </c>
      <c r="H17" s="9">
        <v>0</v>
      </c>
      <c r="I17" s="11">
        <f t="shared" si="0"/>
        <v>0</v>
      </c>
      <c r="J17" s="12">
        <f t="shared" si="1"/>
        <v>-0.15465254125412542</v>
      </c>
      <c r="K17" t="s">
        <v>15</v>
      </c>
      <c r="L17" t="s">
        <v>16</v>
      </c>
      <c r="M17" s="13" t="s">
        <v>17</v>
      </c>
    </row>
    <row r="18" spans="1:13" x14ac:dyDescent="0.35">
      <c r="A18">
        <v>17</v>
      </c>
      <c r="B18" s="7" t="s">
        <v>12</v>
      </c>
      <c r="C18" s="7" t="s">
        <v>49</v>
      </c>
      <c r="D18" s="7" t="s">
        <v>50</v>
      </c>
      <c r="E18" s="9">
        <v>400000000</v>
      </c>
      <c r="F18" s="9">
        <v>17535000</v>
      </c>
      <c r="G18" s="10">
        <f t="shared" si="2"/>
        <v>4.3837500000000001E-2</v>
      </c>
      <c r="H18" s="9">
        <v>0</v>
      </c>
      <c r="I18" s="11">
        <f t="shared" si="0"/>
        <v>0</v>
      </c>
      <c r="J18" s="12">
        <f t="shared" si="1"/>
        <v>-4.3837500000000001E-2</v>
      </c>
      <c r="K18" t="s">
        <v>15</v>
      </c>
      <c r="L18" t="s">
        <v>16</v>
      </c>
      <c r="M18" s="13" t="s">
        <v>17</v>
      </c>
    </row>
    <row r="19" spans="1:13" ht="29" x14ac:dyDescent="0.35">
      <c r="A19">
        <v>18</v>
      </c>
      <c r="B19" s="14" t="s">
        <v>12</v>
      </c>
      <c r="C19" s="14" t="s">
        <v>51</v>
      </c>
      <c r="D19" s="15" t="s">
        <v>52</v>
      </c>
      <c r="E19" s="9">
        <v>656400000</v>
      </c>
      <c r="F19" s="9">
        <v>46305833</v>
      </c>
      <c r="G19" s="10">
        <f t="shared" si="2"/>
        <v>7.0545144728823894E-2</v>
      </c>
      <c r="H19" s="9">
        <v>0</v>
      </c>
      <c r="I19" s="11">
        <f t="shared" si="0"/>
        <v>0</v>
      </c>
      <c r="J19" s="12">
        <f t="shared" si="1"/>
        <v>-7.0545144728823894E-2</v>
      </c>
      <c r="K19" t="s">
        <v>15</v>
      </c>
      <c r="L19" t="s">
        <v>16</v>
      </c>
      <c r="M19" s="13" t="s">
        <v>17</v>
      </c>
    </row>
    <row r="20" spans="1:13" x14ac:dyDescent="0.35">
      <c r="A20">
        <v>19</v>
      </c>
      <c r="B20" s="40" t="s">
        <v>53</v>
      </c>
      <c r="C20" s="42" t="s">
        <v>13</v>
      </c>
      <c r="D20" s="40" t="s">
        <v>14</v>
      </c>
      <c r="E20" s="44">
        <v>7590000</v>
      </c>
      <c r="F20" s="44">
        <v>0</v>
      </c>
      <c r="G20" s="45">
        <f>F20/E20</f>
        <v>0</v>
      </c>
      <c r="H20" s="46">
        <v>473125</v>
      </c>
      <c r="I20" s="47">
        <v>1.06</v>
      </c>
      <c r="J20" s="48">
        <f>I20-G20</f>
        <v>1.06</v>
      </c>
      <c r="K20" s="39" t="s">
        <v>22</v>
      </c>
      <c r="L20" s="49" t="s">
        <v>54</v>
      </c>
      <c r="M20" s="39" t="s">
        <v>55</v>
      </c>
    </row>
    <row r="21" spans="1:13" ht="48" customHeight="1" x14ac:dyDescent="0.35">
      <c r="A21">
        <v>20</v>
      </c>
      <c r="B21" s="41"/>
      <c r="C21" s="43"/>
      <c r="D21" s="41"/>
      <c r="E21" s="44"/>
      <c r="F21" s="44"/>
      <c r="G21" s="45"/>
      <c r="H21" s="46"/>
      <c r="I21" s="47"/>
      <c r="J21" s="48"/>
      <c r="K21" s="39"/>
      <c r="L21" s="49"/>
      <c r="M21" s="39"/>
    </row>
    <row r="22" spans="1:13" ht="97.5" customHeight="1" x14ac:dyDescent="0.35">
      <c r="A22">
        <v>21</v>
      </c>
      <c r="B22" s="14" t="s">
        <v>53</v>
      </c>
      <c r="C22" s="14" t="s">
        <v>18</v>
      </c>
      <c r="D22" s="15" t="s">
        <v>19</v>
      </c>
      <c r="E22" s="9">
        <v>77000000</v>
      </c>
      <c r="F22" s="9">
        <v>907500</v>
      </c>
      <c r="G22" s="10">
        <f>F22/E22</f>
        <v>1.1785714285714287E-2</v>
      </c>
      <c r="H22" s="9">
        <v>2300000</v>
      </c>
      <c r="I22" s="11">
        <f t="shared" si="0"/>
        <v>2.5344352617079888</v>
      </c>
      <c r="J22" s="12">
        <f t="shared" si="1"/>
        <v>2.5226495474222745</v>
      </c>
      <c r="K22" t="s">
        <v>22</v>
      </c>
      <c r="L22" s="18" t="s">
        <v>56</v>
      </c>
      <c r="M22" s="19" t="s">
        <v>55</v>
      </c>
    </row>
    <row r="23" spans="1:13" ht="90.75" customHeight="1" x14ac:dyDescent="0.35">
      <c r="A23">
        <v>22</v>
      </c>
      <c r="B23" s="7" t="s">
        <v>53</v>
      </c>
      <c r="C23" s="7" t="s">
        <v>20</v>
      </c>
      <c r="D23" s="16" t="s">
        <v>21</v>
      </c>
      <c r="E23" s="9">
        <v>200000000</v>
      </c>
      <c r="F23" s="9">
        <v>50000000</v>
      </c>
      <c r="G23" s="10">
        <f t="shared" si="2"/>
        <v>0.25</v>
      </c>
      <c r="H23" s="9">
        <v>46500000</v>
      </c>
      <c r="I23" s="11">
        <f t="shared" si="0"/>
        <v>0.93</v>
      </c>
      <c r="J23" s="12">
        <f t="shared" si="1"/>
        <v>0.68</v>
      </c>
      <c r="K23" t="s">
        <v>22</v>
      </c>
      <c r="L23" s="17" t="s">
        <v>57</v>
      </c>
      <c r="M23" s="19" t="s">
        <v>55</v>
      </c>
    </row>
    <row r="24" spans="1:13" x14ac:dyDescent="0.35">
      <c r="A24">
        <v>23</v>
      </c>
      <c r="B24" s="14" t="s">
        <v>53</v>
      </c>
      <c r="C24" s="14" t="s">
        <v>23</v>
      </c>
      <c r="D24" s="14" t="s">
        <v>24</v>
      </c>
      <c r="E24" s="9">
        <v>438855000</v>
      </c>
      <c r="F24" s="9">
        <v>163179500</v>
      </c>
      <c r="G24" s="10">
        <f t="shared" si="2"/>
        <v>0.3718301033370931</v>
      </c>
      <c r="H24" s="9">
        <v>31102500</v>
      </c>
      <c r="I24" s="11">
        <f t="shared" si="0"/>
        <v>0.19060298628197783</v>
      </c>
      <c r="J24" s="12">
        <f t="shared" si="1"/>
        <v>-0.18122711705511527</v>
      </c>
      <c r="K24" t="s">
        <v>15</v>
      </c>
      <c r="L24" t="s">
        <v>16</v>
      </c>
      <c r="M24" t="s">
        <v>58</v>
      </c>
    </row>
    <row r="25" spans="1:13" ht="43.5" x14ac:dyDescent="0.35">
      <c r="A25">
        <v>24</v>
      </c>
      <c r="B25" s="7" t="s">
        <v>53</v>
      </c>
      <c r="C25" s="7" t="s">
        <v>25</v>
      </c>
      <c r="D25" s="7" t="s">
        <v>26</v>
      </c>
      <c r="E25" s="9">
        <v>69707400</v>
      </c>
      <c r="F25" s="9">
        <v>2100000</v>
      </c>
      <c r="G25" s="10">
        <f t="shared" si="2"/>
        <v>3.0125926372235948E-2</v>
      </c>
      <c r="H25" s="9">
        <v>25600000</v>
      </c>
      <c r="I25" s="11">
        <f t="shared" si="0"/>
        <v>12.19047619047619</v>
      </c>
      <c r="J25" s="12">
        <f t="shared" si="1"/>
        <v>12.160350264103954</v>
      </c>
      <c r="K25" t="s">
        <v>22</v>
      </c>
      <c r="L25" s="17" t="s">
        <v>59</v>
      </c>
      <c r="M25" t="s">
        <v>55</v>
      </c>
    </row>
    <row r="26" spans="1:13" x14ac:dyDescent="0.35">
      <c r="A26">
        <v>25</v>
      </c>
      <c r="B26" s="14" t="s">
        <v>53</v>
      </c>
      <c r="C26" s="14" t="s">
        <v>27</v>
      </c>
      <c r="D26" s="14" t="s">
        <v>28</v>
      </c>
      <c r="E26" s="9">
        <v>1652824179</v>
      </c>
      <c r="F26" s="9">
        <v>88322217</v>
      </c>
      <c r="G26" s="10">
        <f t="shared" si="2"/>
        <v>5.3437152071091523E-2</v>
      </c>
      <c r="H26" s="9">
        <v>62130300</v>
      </c>
      <c r="I26" s="11">
        <f t="shared" si="0"/>
        <v>0.70345041270872988</v>
      </c>
      <c r="J26" s="12">
        <f t="shared" si="1"/>
        <v>0.65001326063763831</v>
      </c>
      <c r="K26" t="s">
        <v>22</v>
      </c>
      <c r="L26" t="s">
        <v>60</v>
      </c>
      <c r="M26" t="s">
        <v>55</v>
      </c>
    </row>
    <row r="27" spans="1:13" x14ac:dyDescent="0.35">
      <c r="A27">
        <v>26</v>
      </c>
      <c r="B27" s="7" t="s">
        <v>53</v>
      </c>
      <c r="C27" s="7" t="s">
        <v>29</v>
      </c>
      <c r="D27" s="7" t="s">
        <v>30</v>
      </c>
      <c r="E27" s="9">
        <v>52734000</v>
      </c>
      <c r="F27" s="9">
        <v>26400000</v>
      </c>
      <c r="G27" s="10">
        <f t="shared" si="2"/>
        <v>0.50062578222778475</v>
      </c>
      <c r="H27" s="9">
        <v>13053340</v>
      </c>
      <c r="I27" s="11">
        <f t="shared" si="0"/>
        <v>0.49444469696969695</v>
      </c>
      <c r="J27" s="12">
        <f t="shared" si="1"/>
        <v>-6.181085258087804E-3</v>
      </c>
      <c r="K27" t="s">
        <v>15</v>
      </c>
      <c r="L27" t="s">
        <v>16</v>
      </c>
      <c r="M27" t="s">
        <v>58</v>
      </c>
    </row>
    <row r="28" spans="1:13" x14ac:dyDescent="0.35">
      <c r="A28">
        <v>27</v>
      </c>
      <c r="B28" s="14" t="s">
        <v>53</v>
      </c>
      <c r="C28" s="14" t="s">
        <v>31</v>
      </c>
      <c r="D28" s="14" t="s">
        <v>32</v>
      </c>
      <c r="E28" s="9">
        <v>62850000</v>
      </c>
      <c r="F28" s="9">
        <v>26400000</v>
      </c>
      <c r="G28" s="10">
        <f t="shared" si="2"/>
        <v>0.42004773269689738</v>
      </c>
      <c r="H28" s="9">
        <v>3600000</v>
      </c>
      <c r="I28" s="11">
        <f t="shared" si="0"/>
        <v>0.13636363636363635</v>
      </c>
      <c r="J28" s="12">
        <f t="shared" si="1"/>
        <v>-0.28368409633326103</v>
      </c>
      <c r="K28" t="s">
        <v>15</v>
      </c>
      <c r="L28" t="s">
        <v>16</v>
      </c>
      <c r="M28" t="s">
        <v>58</v>
      </c>
    </row>
    <row r="29" spans="1:13" x14ac:dyDescent="0.35">
      <c r="A29">
        <v>28</v>
      </c>
      <c r="B29" s="7" t="s">
        <v>53</v>
      </c>
      <c r="C29" s="7" t="s">
        <v>33</v>
      </c>
      <c r="D29" s="7" t="s">
        <v>34</v>
      </c>
      <c r="E29" s="9">
        <v>52835700</v>
      </c>
      <c r="F29" s="9">
        <v>26400000</v>
      </c>
      <c r="G29" s="10">
        <f t="shared" si="2"/>
        <v>0.49966216024392596</v>
      </c>
      <c r="H29" s="9">
        <v>4088225</v>
      </c>
      <c r="I29" s="11">
        <f t="shared" si="0"/>
        <v>0.15485700757575757</v>
      </c>
      <c r="J29" s="12">
        <f t="shared" si="1"/>
        <v>-0.34480515266816836</v>
      </c>
      <c r="K29" t="s">
        <v>15</v>
      </c>
      <c r="L29" t="s">
        <v>16</v>
      </c>
      <c r="M29" t="s">
        <v>58</v>
      </c>
    </row>
    <row r="30" spans="1:13" x14ac:dyDescent="0.35">
      <c r="A30">
        <v>29</v>
      </c>
      <c r="B30" s="14" t="s">
        <v>53</v>
      </c>
      <c r="C30" s="14" t="s">
        <v>35</v>
      </c>
      <c r="D30" s="14" t="s">
        <v>36</v>
      </c>
      <c r="E30" s="9">
        <v>385000000</v>
      </c>
      <c r="F30" s="9">
        <v>119765570</v>
      </c>
      <c r="G30" s="10">
        <f t="shared" si="2"/>
        <v>0.31107940259740258</v>
      </c>
      <c r="H30" s="9">
        <v>12172840</v>
      </c>
      <c r="I30" s="11">
        <f t="shared" si="0"/>
        <v>0.1016388933814618</v>
      </c>
      <c r="J30" s="12">
        <f t="shared" si="1"/>
        <v>-0.20944050921594076</v>
      </c>
      <c r="K30" t="s">
        <v>15</v>
      </c>
      <c r="L30" t="s">
        <v>16</v>
      </c>
      <c r="M30" t="s">
        <v>58</v>
      </c>
    </row>
    <row r="31" spans="1:13" ht="29" x14ac:dyDescent="0.35">
      <c r="A31">
        <v>30</v>
      </c>
      <c r="B31" s="7" t="s">
        <v>53</v>
      </c>
      <c r="C31" s="7" t="s">
        <v>37</v>
      </c>
      <c r="D31" s="7" t="s">
        <v>38</v>
      </c>
      <c r="E31" s="9">
        <v>488700000</v>
      </c>
      <c r="F31" s="9">
        <v>119765570</v>
      </c>
      <c r="G31" s="10">
        <f t="shared" si="2"/>
        <v>0.24506971557192553</v>
      </c>
      <c r="H31" s="9">
        <v>87925343</v>
      </c>
      <c r="I31" s="11">
        <f t="shared" si="0"/>
        <v>0.73414540589586808</v>
      </c>
      <c r="J31" s="12">
        <f t="shared" si="1"/>
        <v>0.48907569032394255</v>
      </c>
      <c r="K31" t="s">
        <v>22</v>
      </c>
      <c r="L31" s="20" t="s">
        <v>61</v>
      </c>
      <c r="M31" s="19" t="s">
        <v>55</v>
      </c>
    </row>
    <row r="32" spans="1:13" ht="29" x14ac:dyDescent="0.35">
      <c r="A32">
        <v>31</v>
      </c>
      <c r="B32" s="14" t="s">
        <v>53</v>
      </c>
      <c r="C32" s="14" t="s">
        <v>39</v>
      </c>
      <c r="D32" s="14" t="s">
        <v>40</v>
      </c>
      <c r="E32" s="9">
        <v>605000000</v>
      </c>
      <c r="F32" s="9">
        <v>50265750</v>
      </c>
      <c r="G32" s="10">
        <f t="shared" si="2"/>
        <v>8.3083884297520658E-2</v>
      </c>
      <c r="H32" s="9">
        <v>19352060</v>
      </c>
      <c r="I32" s="11">
        <f t="shared" si="0"/>
        <v>0.38499495183101812</v>
      </c>
      <c r="J32" s="12">
        <f t="shared" si="1"/>
        <v>0.30191106753349745</v>
      </c>
      <c r="K32" t="s">
        <v>22</v>
      </c>
      <c r="L32" t="s">
        <v>62</v>
      </c>
      <c r="M32" s="19" t="s">
        <v>55</v>
      </c>
    </row>
    <row r="33" spans="1:13" ht="29" x14ac:dyDescent="0.35">
      <c r="A33">
        <v>32</v>
      </c>
      <c r="B33" s="7" t="s">
        <v>53</v>
      </c>
      <c r="C33" s="7" t="s">
        <v>41</v>
      </c>
      <c r="D33" s="7" t="s">
        <v>42</v>
      </c>
      <c r="E33" s="9">
        <v>495000000</v>
      </c>
      <c r="F33" s="9">
        <v>50265750</v>
      </c>
      <c r="G33" s="10">
        <f>F33/E33</f>
        <v>0.10154696969696969</v>
      </c>
      <c r="H33" s="9">
        <v>22730400</v>
      </c>
      <c r="I33" s="11">
        <f t="shared" si="0"/>
        <v>0.4522045329075961</v>
      </c>
      <c r="J33" s="12">
        <f t="shared" si="1"/>
        <v>0.35065756321062641</v>
      </c>
      <c r="K33" t="s">
        <v>22</v>
      </c>
      <c r="L33" t="s">
        <v>63</v>
      </c>
      <c r="M33" s="19" t="s">
        <v>55</v>
      </c>
    </row>
    <row r="34" spans="1:13" x14ac:dyDescent="0.35">
      <c r="A34">
        <v>33</v>
      </c>
      <c r="B34" s="14" t="s">
        <v>53</v>
      </c>
      <c r="C34" s="14" t="s">
        <v>43</v>
      </c>
      <c r="D34" s="14" t="s">
        <v>44</v>
      </c>
      <c r="E34" s="9">
        <v>4167000000</v>
      </c>
      <c r="F34" s="9">
        <v>1735334390</v>
      </c>
      <c r="G34" s="10">
        <f>F34/E34</f>
        <v>0.41644693784497239</v>
      </c>
      <c r="H34" s="9">
        <v>32838000</v>
      </c>
      <c r="I34" s="11">
        <f t="shared" si="0"/>
        <v>1.8923154055628437E-2</v>
      </c>
      <c r="J34" s="12">
        <f t="shared" si="1"/>
        <v>-0.39752378378934394</v>
      </c>
      <c r="K34" t="s">
        <v>15</v>
      </c>
      <c r="L34" t="s">
        <v>16</v>
      </c>
      <c r="M34" t="s">
        <v>58</v>
      </c>
    </row>
    <row r="35" spans="1:13" ht="29" x14ac:dyDescent="0.35">
      <c r="A35">
        <v>34</v>
      </c>
      <c r="B35" s="7" t="s">
        <v>53</v>
      </c>
      <c r="C35" s="7" t="s">
        <v>45</v>
      </c>
      <c r="D35" s="7" t="s">
        <v>46</v>
      </c>
      <c r="E35" s="9">
        <v>385000000</v>
      </c>
      <c r="F35" s="9">
        <v>17858040</v>
      </c>
      <c r="G35" s="10">
        <f t="shared" ref="G35:G39" si="3">F35/E35</f>
        <v>4.6384519480519477E-2</v>
      </c>
      <c r="H35" s="9">
        <v>20633000</v>
      </c>
      <c r="I35" s="11">
        <f t="shared" si="0"/>
        <v>1.1553899532087508</v>
      </c>
      <c r="J35" s="12">
        <f t="shared" si="1"/>
        <v>1.1090054337282313</v>
      </c>
      <c r="K35" t="s">
        <v>22</v>
      </c>
      <c r="L35" t="s">
        <v>62</v>
      </c>
      <c r="M35" s="19" t="s">
        <v>55</v>
      </c>
    </row>
    <row r="36" spans="1:13" ht="43.5" x14ac:dyDescent="0.35">
      <c r="A36">
        <v>35</v>
      </c>
      <c r="B36" s="14" t="s">
        <v>53</v>
      </c>
      <c r="C36" s="14" t="s">
        <v>47</v>
      </c>
      <c r="D36" s="15" t="s">
        <v>48</v>
      </c>
      <c r="E36" s="9">
        <v>303000000</v>
      </c>
      <c r="F36" s="9">
        <v>13854720</v>
      </c>
      <c r="G36" s="10">
        <f t="shared" si="3"/>
        <v>4.5725148514851488E-2</v>
      </c>
      <c r="H36" s="9">
        <v>16011519</v>
      </c>
      <c r="I36" s="11">
        <f t="shared" si="0"/>
        <v>1.155672507275499</v>
      </c>
      <c r="J36" s="12">
        <f t="shared" si="1"/>
        <v>1.1099473587606474</v>
      </c>
      <c r="K36" t="s">
        <v>22</v>
      </c>
      <c r="L36" t="s">
        <v>62</v>
      </c>
      <c r="M36" s="19" t="s">
        <v>55</v>
      </c>
    </row>
    <row r="37" spans="1:13" ht="29" x14ac:dyDescent="0.35">
      <c r="A37">
        <v>36</v>
      </c>
      <c r="B37" s="7" t="s">
        <v>53</v>
      </c>
      <c r="C37" s="7" t="s">
        <v>49</v>
      </c>
      <c r="D37" s="7" t="s">
        <v>50</v>
      </c>
      <c r="E37" s="9">
        <v>400000000</v>
      </c>
      <c r="F37" s="9">
        <v>0</v>
      </c>
      <c r="G37" s="10">
        <f t="shared" si="3"/>
        <v>0</v>
      </c>
      <c r="H37" s="9">
        <v>19831322</v>
      </c>
      <c r="I37" s="11"/>
      <c r="J37" s="12">
        <f t="shared" si="1"/>
        <v>0</v>
      </c>
      <c r="K37" t="s">
        <v>22</v>
      </c>
      <c r="L37" t="s">
        <v>62</v>
      </c>
      <c r="M37" s="19" t="s">
        <v>55</v>
      </c>
    </row>
    <row r="38" spans="1:13" ht="29" x14ac:dyDescent="0.35">
      <c r="A38">
        <v>37</v>
      </c>
      <c r="B38" s="14" t="s">
        <v>53</v>
      </c>
      <c r="C38" s="14" t="s">
        <v>51</v>
      </c>
      <c r="D38" s="15" t="s">
        <v>52</v>
      </c>
      <c r="E38" s="9">
        <v>656400000</v>
      </c>
      <c r="F38" s="9">
        <v>46305833</v>
      </c>
      <c r="G38" s="10">
        <f t="shared" si="3"/>
        <v>7.0545144728823894E-2</v>
      </c>
      <c r="H38" s="9">
        <v>13908640</v>
      </c>
      <c r="I38" s="11">
        <f t="shared" si="0"/>
        <v>0.3003647510239153</v>
      </c>
      <c r="J38" s="12">
        <f t="shared" si="1"/>
        <v>0.22981960629509141</v>
      </c>
      <c r="K38" t="s">
        <v>22</v>
      </c>
      <c r="L38" t="s">
        <v>62</v>
      </c>
      <c r="M38" s="19" t="s">
        <v>55</v>
      </c>
    </row>
    <row r="39" spans="1:13" x14ac:dyDescent="0.35">
      <c r="A39">
        <v>38</v>
      </c>
      <c r="B39" s="7" t="s">
        <v>64</v>
      </c>
      <c r="C39" s="8" t="s">
        <v>13</v>
      </c>
      <c r="D39" s="7" t="s">
        <v>14</v>
      </c>
      <c r="E39" s="9">
        <v>7590000</v>
      </c>
      <c r="F39" s="9">
        <v>0</v>
      </c>
      <c r="G39" s="10">
        <f t="shared" si="3"/>
        <v>0</v>
      </c>
      <c r="J39" s="12">
        <f t="shared" si="1"/>
        <v>0</v>
      </c>
    </row>
    <row r="40" spans="1:13" ht="43.5" x14ac:dyDescent="0.35">
      <c r="A40">
        <v>39</v>
      </c>
      <c r="B40" s="14" t="s">
        <v>64</v>
      </c>
      <c r="C40" s="14" t="s">
        <v>18</v>
      </c>
      <c r="D40" s="15" t="s">
        <v>19</v>
      </c>
      <c r="E40" s="9">
        <v>77000000</v>
      </c>
      <c r="F40" s="9">
        <v>0</v>
      </c>
      <c r="G40" s="21"/>
      <c r="J40" s="12">
        <f t="shared" si="1"/>
        <v>0</v>
      </c>
    </row>
    <row r="41" spans="1:13" ht="43.5" x14ac:dyDescent="0.35">
      <c r="A41">
        <v>40</v>
      </c>
      <c r="B41" s="7" t="s">
        <v>64</v>
      </c>
      <c r="C41" s="7" t="s">
        <v>20</v>
      </c>
      <c r="D41" s="16" t="s">
        <v>21</v>
      </c>
      <c r="E41" s="9">
        <v>200000000</v>
      </c>
      <c r="F41" s="9">
        <v>0</v>
      </c>
      <c r="G41" s="21"/>
      <c r="J41" s="12">
        <f t="shared" si="1"/>
        <v>0</v>
      </c>
    </row>
    <row r="42" spans="1:13" x14ac:dyDescent="0.35">
      <c r="A42">
        <v>41</v>
      </c>
      <c r="B42" s="14" t="s">
        <v>64</v>
      </c>
      <c r="C42" s="14" t="s">
        <v>23</v>
      </c>
      <c r="D42" s="14" t="s">
        <v>24</v>
      </c>
      <c r="E42" s="9">
        <v>438855000</v>
      </c>
      <c r="F42" s="9">
        <v>0</v>
      </c>
      <c r="G42" s="21"/>
      <c r="J42" s="12">
        <f t="shared" si="1"/>
        <v>0</v>
      </c>
    </row>
    <row r="43" spans="1:13" x14ac:dyDescent="0.35">
      <c r="A43">
        <v>42</v>
      </c>
      <c r="B43" s="7" t="s">
        <v>64</v>
      </c>
      <c r="C43" s="7" t="s">
        <v>25</v>
      </c>
      <c r="D43" s="7" t="s">
        <v>26</v>
      </c>
      <c r="E43" s="9">
        <v>69707400</v>
      </c>
      <c r="F43" s="9">
        <v>0</v>
      </c>
      <c r="G43" s="21"/>
      <c r="J43" s="12">
        <f t="shared" si="1"/>
        <v>0</v>
      </c>
    </row>
    <row r="44" spans="1:13" x14ac:dyDescent="0.35">
      <c r="A44">
        <v>43</v>
      </c>
      <c r="B44" s="14" t="s">
        <v>64</v>
      </c>
      <c r="C44" s="14" t="s">
        <v>27</v>
      </c>
      <c r="D44" s="14" t="s">
        <v>28</v>
      </c>
      <c r="E44" s="9">
        <v>1652824179</v>
      </c>
      <c r="F44" s="9">
        <v>138406217</v>
      </c>
      <c r="G44" s="21"/>
      <c r="J44" s="12">
        <f t="shared" si="1"/>
        <v>0</v>
      </c>
    </row>
    <row r="45" spans="1:13" x14ac:dyDescent="0.35">
      <c r="A45">
        <v>44</v>
      </c>
      <c r="B45" s="7" t="s">
        <v>64</v>
      </c>
      <c r="C45" s="7" t="s">
        <v>29</v>
      </c>
      <c r="D45" s="7" t="s">
        <v>30</v>
      </c>
      <c r="E45" s="9">
        <v>52734000</v>
      </c>
      <c r="F45" s="9">
        <v>0</v>
      </c>
      <c r="G45" s="21"/>
      <c r="J45" s="12">
        <f t="shared" si="1"/>
        <v>0</v>
      </c>
    </row>
    <row r="46" spans="1:13" x14ac:dyDescent="0.35">
      <c r="A46">
        <v>45</v>
      </c>
      <c r="B46" s="14" t="s">
        <v>64</v>
      </c>
      <c r="C46" s="14" t="s">
        <v>31</v>
      </c>
      <c r="D46" s="14" t="s">
        <v>32</v>
      </c>
      <c r="E46" s="9">
        <v>62850000</v>
      </c>
      <c r="F46" s="9">
        <v>3750000</v>
      </c>
      <c r="G46" s="21"/>
      <c r="J46" s="12">
        <f t="shared" si="1"/>
        <v>0</v>
      </c>
    </row>
    <row r="47" spans="1:13" x14ac:dyDescent="0.35">
      <c r="A47">
        <v>46</v>
      </c>
      <c r="B47" s="7" t="s">
        <v>64</v>
      </c>
      <c r="C47" s="7" t="s">
        <v>33</v>
      </c>
      <c r="D47" s="7" t="s">
        <v>34</v>
      </c>
      <c r="E47" s="9">
        <v>52835700</v>
      </c>
      <c r="F47" s="9">
        <v>4088225</v>
      </c>
      <c r="G47" s="21"/>
      <c r="J47" s="12">
        <f t="shared" si="1"/>
        <v>0</v>
      </c>
    </row>
    <row r="48" spans="1:13" x14ac:dyDescent="0.35">
      <c r="A48">
        <v>47</v>
      </c>
      <c r="B48" s="14" t="s">
        <v>64</v>
      </c>
      <c r="C48" s="14" t="s">
        <v>35</v>
      </c>
      <c r="D48" s="14" t="s">
        <v>36</v>
      </c>
      <c r="E48" s="9">
        <v>385000000</v>
      </c>
      <c r="F48" s="9">
        <v>8852840</v>
      </c>
      <c r="G48" s="21"/>
      <c r="J48" s="12">
        <f t="shared" si="1"/>
        <v>0</v>
      </c>
    </row>
    <row r="49" spans="1:10" x14ac:dyDescent="0.35">
      <c r="A49">
        <v>48</v>
      </c>
      <c r="B49" s="7" t="s">
        <v>64</v>
      </c>
      <c r="C49" s="7" t="s">
        <v>37</v>
      </c>
      <c r="D49" s="7" t="s">
        <v>38</v>
      </c>
      <c r="E49" s="9">
        <v>488700000</v>
      </c>
      <c r="F49" s="9">
        <v>24504660</v>
      </c>
      <c r="G49" s="21"/>
      <c r="J49" s="12">
        <f t="shared" si="1"/>
        <v>0</v>
      </c>
    </row>
    <row r="50" spans="1:10" x14ac:dyDescent="0.35">
      <c r="A50">
        <v>49</v>
      </c>
      <c r="B50" s="14" t="s">
        <v>64</v>
      </c>
      <c r="C50" s="14" t="s">
        <v>39</v>
      </c>
      <c r="D50" s="14" t="s">
        <v>40</v>
      </c>
      <c r="E50" s="9">
        <v>605000000</v>
      </c>
      <c r="F50" s="9">
        <v>48445750</v>
      </c>
      <c r="G50" s="21"/>
      <c r="J50" s="12">
        <f t="shared" si="1"/>
        <v>0</v>
      </c>
    </row>
    <row r="51" spans="1:10" x14ac:dyDescent="0.35">
      <c r="A51">
        <v>50</v>
      </c>
      <c r="B51" s="7" t="s">
        <v>64</v>
      </c>
      <c r="C51" s="7" t="s">
        <v>41</v>
      </c>
      <c r="D51" s="7" t="s">
        <v>42</v>
      </c>
      <c r="E51" s="9">
        <v>495000000</v>
      </c>
      <c r="F51" s="9">
        <v>40050000</v>
      </c>
      <c r="G51" s="21"/>
      <c r="J51" s="12">
        <f t="shared" si="1"/>
        <v>0</v>
      </c>
    </row>
    <row r="52" spans="1:10" x14ac:dyDescent="0.35">
      <c r="A52">
        <v>51</v>
      </c>
      <c r="B52" s="14" t="s">
        <v>64</v>
      </c>
      <c r="C52" s="14" t="s">
        <v>43</v>
      </c>
      <c r="D52" s="14" t="s">
        <v>44</v>
      </c>
      <c r="E52" s="9">
        <v>4167000000</v>
      </c>
      <c r="F52" s="9">
        <v>696578282</v>
      </c>
      <c r="G52" s="21"/>
      <c r="J52" s="12">
        <f t="shared" si="1"/>
        <v>0</v>
      </c>
    </row>
    <row r="53" spans="1:10" x14ac:dyDescent="0.35">
      <c r="A53">
        <v>52</v>
      </c>
      <c r="B53" s="7" t="s">
        <v>64</v>
      </c>
      <c r="C53" s="7" t="s">
        <v>45</v>
      </c>
      <c r="D53" s="7" t="s">
        <v>46</v>
      </c>
      <c r="E53" s="9">
        <v>385000000</v>
      </c>
      <c r="F53" s="9">
        <v>132116400</v>
      </c>
      <c r="G53" s="21"/>
      <c r="J53" s="12">
        <f t="shared" si="1"/>
        <v>0</v>
      </c>
    </row>
    <row r="54" spans="1:10" ht="43.5" x14ac:dyDescent="0.35">
      <c r="A54">
        <v>53</v>
      </c>
      <c r="B54" s="14" t="s">
        <v>64</v>
      </c>
      <c r="C54" s="14" t="s">
        <v>47</v>
      </c>
      <c r="D54" s="15" t="s">
        <v>48</v>
      </c>
      <c r="E54" s="9">
        <v>303000000</v>
      </c>
      <c r="F54" s="9">
        <v>13854720</v>
      </c>
      <c r="G54" s="21"/>
      <c r="J54" s="12">
        <f t="shared" si="1"/>
        <v>0</v>
      </c>
    </row>
    <row r="55" spans="1:10" x14ac:dyDescent="0.35">
      <c r="A55">
        <v>54</v>
      </c>
      <c r="B55" s="7" t="s">
        <v>64</v>
      </c>
      <c r="C55" s="7" t="s">
        <v>49</v>
      </c>
      <c r="D55" s="7" t="s">
        <v>50</v>
      </c>
      <c r="E55" s="9">
        <v>400000000</v>
      </c>
      <c r="F55" s="9">
        <v>0</v>
      </c>
      <c r="G55" s="21"/>
      <c r="J55" s="12">
        <f t="shared" si="1"/>
        <v>0</v>
      </c>
    </row>
    <row r="56" spans="1:10" ht="29" x14ac:dyDescent="0.35">
      <c r="A56">
        <v>55</v>
      </c>
      <c r="B56" s="14" t="s">
        <v>64</v>
      </c>
      <c r="C56" s="14" t="s">
        <v>51</v>
      </c>
      <c r="D56" s="15" t="s">
        <v>52</v>
      </c>
      <c r="E56" s="9">
        <v>656400000</v>
      </c>
      <c r="F56" s="9">
        <v>46355833</v>
      </c>
      <c r="G56" s="21"/>
      <c r="J56" s="12">
        <f t="shared" si="1"/>
        <v>0</v>
      </c>
    </row>
    <row r="57" spans="1:10" x14ac:dyDescent="0.35">
      <c r="A57">
        <v>56</v>
      </c>
      <c r="B57" s="7" t="s">
        <v>65</v>
      </c>
      <c r="C57" s="8" t="s">
        <v>13</v>
      </c>
      <c r="D57" s="7" t="s">
        <v>14</v>
      </c>
      <c r="G57" s="22"/>
      <c r="J57" s="12">
        <f t="shared" si="1"/>
        <v>0</v>
      </c>
    </row>
    <row r="58" spans="1:10" ht="43.5" x14ac:dyDescent="0.35">
      <c r="A58">
        <v>57</v>
      </c>
      <c r="B58" s="14" t="s">
        <v>65</v>
      </c>
      <c r="C58" s="14" t="s">
        <v>18</v>
      </c>
      <c r="D58" s="15" t="s">
        <v>19</v>
      </c>
    </row>
    <row r="59" spans="1:10" ht="43.5" x14ac:dyDescent="0.35">
      <c r="A59">
        <v>58</v>
      </c>
      <c r="B59" s="7" t="s">
        <v>65</v>
      </c>
      <c r="C59" s="7" t="s">
        <v>20</v>
      </c>
      <c r="D59" s="16" t="s">
        <v>21</v>
      </c>
    </row>
    <row r="60" spans="1:10" x14ac:dyDescent="0.35">
      <c r="A60">
        <v>59</v>
      </c>
      <c r="B60" s="14" t="s">
        <v>65</v>
      </c>
      <c r="C60" s="14" t="s">
        <v>23</v>
      </c>
      <c r="D60" s="14" t="s">
        <v>24</v>
      </c>
    </row>
    <row r="61" spans="1:10" x14ac:dyDescent="0.35">
      <c r="A61">
        <v>60</v>
      </c>
      <c r="B61" s="7" t="s">
        <v>65</v>
      </c>
      <c r="C61" s="7" t="s">
        <v>25</v>
      </c>
      <c r="D61" s="7" t="s">
        <v>26</v>
      </c>
    </row>
    <row r="62" spans="1:10" x14ac:dyDescent="0.35">
      <c r="A62">
        <v>61</v>
      </c>
      <c r="B62" s="14" t="s">
        <v>65</v>
      </c>
      <c r="C62" s="14" t="s">
        <v>27</v>
      </c>
      <c r="D62" s="14" t="s">
        <v>28</v>
      </c>
    </row>
    <row r="63" spans="1:10" x14ac:dyDescent="0.35">
      <c r="A63">
        <v>62</v>
      </c>
      <c r="B63" s="7" t="s">
        <v>65</v>
      </c>
      <c r="C63" s="7" t="s">
        <v>29</v>
      </c>
      <c r="D63" s="7" t="s">
        <v>30</v>
      </c>
    </row>
    <row r="64" spans="1:10" x14ac:dyDescent="0.35">
      <c r="A64">
        <v>63</v>
      </c>
      <c r="B64" s="14" t="s">
        <v>65</v>
      </c>
      <c r="C64" s="14" t="s">
        <v>31</v>
      </c>
      <c r="D64" s="14" t="s">
        <v>32</v>
      </c>
    </row>
    <row r="65" spans="1:4" x14ac:dyDescent="0.35">
      <c r="A65">
        <v>64</v>
      </c>
      <c r="B65" s="7" t="s">
        <v>65</v>
      </c>
      <c r="C65" s="7" t="s">
        <v>33</v>
      </c>
      <c r="D65" s="7" t="s">
        <v>34</v>
      </c>
    </row>
    <row r="66" spans="1:4" x14ac:dyDescent="0.35">
      <c r="A66">
        <v>65</v>
      </c>
      <c r="B66" s="14" t="s">
        <v>65</v>
      </c>
      <c r="C66" s="14" t="s">
        <v>35</v>
      </c>
      <c r="D66" s="14" t="s">
        <v>36</v>
      </c>
    </row>
    <row r="67" spans="1:4" x14ac:dyDescent="0.35">
      <c r="A67">
        <v>66</v>
      </c>
      <c r="B67" s="7" t="s">
        <v>65</v>
      </c>
      <c r="C67" s="7" t="s">
        <v>37</v>
      </c>
      <c r="D67" s="7" t="s">
        <v>38</v>
      </c>
    </row>
    <row r="68" spans="1:4" x14ac:dyDescent="0.35">
      <c r="A68">
        <v>67</v>
      </c>
      <c r="B68" s="14" t="s">
        <v>65</v>
      </c>
      <c r="C68" s="14" t="s">
        <v>39</v>
      </c>
      <c r="D68" s="14" t="s">
        <v>40</v>
      </c>
    </row>
    <row r="69" spans="1:4" x14ac:dyDescent="0.35">
      <c r="A69">
        <v>68</v>
      </c>
      <c r="B69" s="7" t="s">
        <v>65</v>
      </c>
      <c r="C69" s="7" t="s">
        <v>41</v>
      </c>
      <c r="D69" s="7" t="s">
        <v>42</v>
      </c>
    </row>
    <row r="70" spans="1:4" x14ac:dyDescent="0.35">
      <c r="A70">
        <v>69</v>
      </c>
      <c r="B70" s="14" t="s">
        <v>65</v>
      </c>
      <c r="C70" s="14" t="s">
        <v>43</v>
      </c>
      <c r="D70" s="14" t="s">
        <v>44</v>
      </c>
    </row>
    <row r="71" spans="1:4" x14ac:dyDescent="0.35">
      <c r="A71">
        <v>70</v>
      </c>
      <c r="B71" s="7" t="s">
        <v>65</v>
      </c>
      <c r="C71" s="7" t="s">
        <v>45</v>
      </c>
      <c r="D71" s="7" t="s">
        <v>46</v>
      </c>
    </row>
    <row r="72" spans="1:4" ht="43.5" x14ac:dyDescent="0.35">
      <c r="A72">
        <v>71</v>
      </c>
      <c r="B72" s="14" t="s">
        <v>65</v>
      </c>
      <c r="C72" s="14" t="s">
        <v>47</v>
      </c>
      <c r="D72" s="15" t="s">
        <v>48</v>
      </c>
    </row>
    <row r="73" spans="1:4" x14ac:dyDescent="0.35">
      <c r="A73">
        <v>72</v>
      </c>
      <c r="B73" s="7" t="s">
        <v>65</v>
      </c>
      <c r="C73" s="7" t="s">
        <v>49</v>
      </c>
      <c r="D73" s="7" t="s">
        <v>50</v>
      </c>
    </row>
    <row r="74" spans="1:4" ht="29" x14ac:dyDescent="0.35">
      <c r="A74">
        <v>73</v>
      </c>
      <c r="B74" s="14" t="s">
        <v>65</v>
      </c>
      <c r="C74" s="14" t="s">
        <v>51</v>
      </c>
      <c r="D74" s="15" t="s">
        <v>52</v>
      </c>
    </row>
    <row r="75" spans="1:4" x14ac:dyDescent="0.35">
      <c r="A75">
        <v>74</v>
      </c>
      <c r="B75" s="7" t="s">
        <v>66</v>
      </c>
      <c r="C75" s="8" t="s">
        <v>13</v>
      </c>
      <c r="D75" s="7" t="s">
        <v>14</v>
      </c>
    </row>
    <row r="76" spans="1:4" ht="43.5" x14ac:dyDescent="0.35">
      <c r="A76">
        <v>75</v>
      </c>
      <c r="B76" s="14" t="s">
        <v>66</v>
      </c>
      <c r="C76" s="14" t="s">
        <v>18</v>
      </c>
      <c r="D76" s="15" t="s">
        <v>19</v>
      </c>
    </row>
    <row r="77" spans="1:4" ht="43.5" x14ac:dyDescent="0.35">
      <c r="A77">
        <v>76</v>
      </c>
      <c r="B77" s="7" t="s">
        <v>66</v>
      </c>
      <c r="C77" s="7" t="s">
        <v>20</v>
      </c>
      <c r="D77" s="16" t="s">
        <v>21</v>
      </c>
    </row>
    <row r="78" spans="1:4" x14ac:dyDescent="0.35">
      <c r="A78">
        <v>77</v>
      </c>
      <c r="B78" s="14" t="s">
        <v>66</v>
      </c>
      <c r="C78" s="14" t="s">
        <v>23</v>
      </c>
      <c r="D78" s="14" t="s">
        <v>24</v>
      </c>
    </row>
    <row r="79" spans="1:4" x14ac:dyDescent="0.35">
      <c r="A79">
        <v>78</v>
      </c>
      <c r="B79" s="7" t="s">
        <v>66</v>
      </c>
      <c r="C79" s="7" t="s">
        <v>25</v>
      </c>
      <c r="D79" s="7" t="s">
        <v>26</v>
      </c>
    </row>
    <row r="80" spans="1:4" x14ac:dyDescent="0.35">
      <c r="A80">
        <v>79</v>
      </c>
      <c r="B80" s="14" t="s">
        <v>66</v>
      </c>
      <c r="C80" s="14" t="s">
        <v>27</v>
      </c>
      <c r="D80" s="14" t="s">
        <v>28</v>
      </c>
    </row>
    <row r="81" spans="1:4" x14ac:dyDescent="0.35">
      <c r="A81">
        <v>80</v>
      </c>
      <c r="B81" s="7" t="s">
        <v>66</v>
      </c>
      <c r="C81" s="7" t="s">
        <v>29</v>
      </c>
      <c r="D81" s="7" t="s">
        <v>30</v>
      </c>
    </row>
    <row r="82" spans="1:4" x14ac:dyDescent="0.35">
      <c r="A82">
        <v>81</v>
      </c>
      <c r="B82" s="14" t="s">
        <v>66</v>
      </c>
      <c r="C82" s="14" t="s">
        <v>31</v>
      </c>
      <c r="D82" s="14" t="s">
        <v>32</v>
      </c>
    </row>
    <row r="83" spans="1:4" x14ac:dyDescent="0.35">
      <c r="A83">
        <v>82</v>
      </c>
      <c r="B83" s="7" t="s">
        <v>66</v>
      </c>
      <c r="C83" s="7" t="s">
        <v>33</v>
      </c>
      <c r="D83" s="7" t="s">
        <v>34</v>
      </c>
    </row>
    <row r="84" spans="1:4" x14ac:dyDescent="0.35">
      <c r="A84">
        <v>83</v>
      </c>
      <c r="B84" s="14" t="s">
        <v>66</v>
      </c>
      <c r="C84" s="14" t="s">
        <v>35</v>
      </c>
      <c r="D84" s="14" t="s">
        <v>36</v>
      </c>
    </row>
    <row r="85" spans="1:4" x14ac:dyDescent="0.35">
      <c r="A85">
        <v>84</v>
      </c>
      <c r="B85" s="7" t="s">
        <v>66</v>
      </c>
      <c r="C85" s="7" t="s">
        <v>37</v>
      </c>
      <c r="D85" s="7" t="s">
        <v>38</v>
      </c>
    </row>
    <row r="86" spans="1:4" x14ac:dyDescent="0.35">
      <c r="A86">
        <v>85</v>
      </c>
      <c r="B86" s="14" t="s">
        <v>66</v>
      </c>
      <c r="C86" s="14" t="s">
        <v>39</v>
      </c>
      <c r="D86" s="14" t="s">
        <v>40</v>
      </c>
    </row>
    <row r="87" spans="1:4" x14ac:dyDescent="0.35">
      <c r="A87">
        <v>86</v>
      </c>
      <c r="B87" s="7" t="s">
        <v>66</v>
      </c>
      <c r="C87" s="7" t="s">
        <v>41</v>
      </c>
      <c r="D87" s="7" t="s">
        <v>42</v>
      </c>
    </row>
    <row r="88" spans="1:4" x14ac:dyDescent="0.35">
      <c r="A88">
        <v>87</v>
      </c>
      <c r="B88" s="14" t="s">
        <v>66</v>
      </c>
      <c r="C88" s="14" t="s">
        <v>43</v>
      </c>
      <c r="D88" s="14" t="s">
        <v>44</v>
      </c>
    </row>
    <row r="89" spans="1:4" x14ac:dyDescent="0.35">
      <c r="A89">
        <v>88</v>
      </c>
      <c r="B89" s="7" t="s">
        <v>66</v>
      </c>
      <c r="C89" s="7" t="s">
        <v>45</v>
      </c>
      <c r="D89" s="7" t="s">
        <v>46</v>
      </c>
    </row>
    <row r="90" spans="1:4" ht="43.5" x14ac:dyDescent="0.35">
      <c r="A90">
        <v>89</v>
      </c>
      <c r="B90" s="14" t="s">
        <v>66</v>
      </c>
      <c r="C90" s="14" t="s">
        <v>47</v>
      </c>
      <c r="D90" s="15" t="s">
        <v>48</v>
      </c>
    </row>
    <row r="91" spans="1:4" x14ac:dyDescent="0.35">
      <c r="A91">
        <v>90</v>
      </c>
      <c r="B91" s="7" t="s">
        <v>66</v>
      </c>
      <c r="C91" s="7" t="s">
        <v>49</v>
      </c>
      <c r="D91" s="7" t="s">
        <v>50</v>
      </c>
    </row>
    <row r="92" spans="1:4" ht="29" x14ac:dyDescent="0.35">
      <c r="A92">
        <v>91</v>
      </c>
      <c r="B92" s="14" t="s">
        <v>66</v>
      </c>
      <c r="C92" s="14" t="s">
        <v>51</v>
      </c>
      <c r="D92" s="15" t="s">
        <v>52</v>
      </c>
    </row>
    <row r="93" spans="1:4" x14ac:dyDescent="0.35">
      <c r="A93">
        <v>92</v>
      </c>
      <c r="B93" s="7" t="s">
        <v>67</v>
      </c>
      <c r="C93" s="8" t="s">
        <v>13</v>
      </c>
      <c r="D93" s="7" t="s">
        <v>14</v>
      </c>
    </row>
    <row r="94" spans="1:4" ht="43.5" x14ac:dyDescent="0.35">
      <c r="A94">
        <v>93</v>
      </c>
      <c r="B94" s="14" t="s">
        <v>67</v>
      </c>
      <c r="C94" s="14" t="s">
        <v>18</v>
      </c>
      <c r="D94" s="15" t="s">
        <v>19</v>
      </c>
    </row>
    <row r="95" spans="1:4" ht="43.5" x14ac:dyDescent="0.35">
      <c r="A95">
        <v>94</v>
      </c>
      <c r="B95" s="7" t="s">
        <v>67</v>
      </c>
      <c r="C95" s="7" t="s">
        <v>20</v>
      </c>
      <c r="D95" s="16" t="s">
        <v>21</v>
      </c>
    </row>
    <row r="96" spans="1:4" x14ac:dyDescent="0.35">
      <c r="A96">
        <v>95</v>
      </c>
      <c r="B96" s="14" t="s">
        <v>67</v>
      </c>
      <c r="C96" s="14" t="s">
        <v>23</v>
      </c>
      <c r="D96" s="14" t="s">
        <v>24</v>
      </c>
    </row>
    <row r="97" spans="1:4" x14ac:dyDescent="0.35">
      <c r="A97">
        <v>96</v>
      </c>
      <c r="B97" s="7" t="s">
        <v>67</v>
      </c>
      <c r="C97" s="7" t="s">
        <v>25</v>
      </c>
      <c r="D97" s="7" t="s">
        <v>26</v>
      </c>
    </row>
    <row r="98" spans="1:4" x14ac:dyDescent="0.35">
      <c r="A98">
        <v>97</v>
      </c>
      <c r="B98" s="14" t="s">
        <v>67</v>
      </c>
      <c r="C98" s="14" t="s">
        <v>27</v>
      </c>
      <c r="D98" s="14" t="s">
        <v>28</v>
      </c>
    </row>
    <row r="99" spans="1:4" x14ac:dyDescent="0.35">
      <c r="A99">
        <v>98</v>
      </c>
      <c r="B99" s="7" t="s">
        <v>67</v>
      </c>
      <c r="C99" s="7" t="s">
        <v>29</v>
      </c>
      <c r="D99" s="7" t="s">
        <v>30</v>
      </c>
    </row>
    <row r="100" spans="1:4" x14ac:dyDescent="0.35">
      <c r="A100">
        <v>99</v>
      </c>
      <c r="B100" s="14" t="s">
        <v>67</v>
      </c>
      <c r="C100" s="14" t="s">
        <v>31</v>
      </c>
      <c r="D100" s="14" t="s">
        <v>32</v>
      </c>
    </row>
    <row r="101" spans="1:4" x14ac:dyDescent="0.35">
      <c r="A101">
        <v>100</v>
      </c>
      <c r="B101" s="7" t="s">
        <v>67</v>
      </c>
      <c r="C101" s="7" t="s">
        <v>33</v>
      </c>
      <c r="D101" s="7" t="s">
        <v>34</v>
      </c>
    </row>
    <row r="102" spans="1:4" x14ac:dyDescent="0.35">
      <c r="A102">
        <v>101</v>
      </c>
      <c r="B102" s="14" t="s">
        <v>67</v>
      </c>
      <c r="C102" s="14" t="s">
        <v>35</v>
      </c>
      <c r="D102" s="14" t="s">
        <v>36</v>
      </c>
    </row>
    <row r="103" spans="1:4" x14ac:dyDescent="0.35">
      <c r="A103">
        <v>102</v>
      </c>
      <c r="B103" s="7" t="s">
        <v>67</v>
      </c>
      <c r="C103" s="7" t="s">
        <v>37</v>
      </c>
      <c r="D103" s="7" t="s">
        <v>38</v>
      </c>
    </row>
    <row r="104" spans="1:4" x14ac:dyDescent="0.35">
      <c r="A104">
        <v>103</v>
      </c>
      <c r="B104" s="14" t="s">
        <v>67</v>
      </c>
      <c r="C104" s="14" t="s">
        <v>39</v>
      </c>
      <c r="D104" s="14" t="s">
        <v>40</v>
      </c>
    </row>
    <row r="105" spans="1:4" x14ac:dyDescent="0.35">
      <c r="A105">
        <v>104</v>
      </c>
      <c r="B105" s="7" t="s">
        <v>67</v>
      </c>
      <c r="C105" s="7" t="s">
        <v>41</v>
      </c>
      <c r="D105" s="7" t="s">
        <v>42</v>
      </c>
    </row>
    <row r="106" spans="1:4" x14ac:dyDescent="0.35">
      <c r="A106">
        <v>105</v>
      </c>
      <c r="B106" s="14" t="s">
        <v>67</v>
      </c>
      <c r="C106" s="14" t="s">
        <v>43</v>
      </c>
      <c r="D106" s="14" t="s">
        <v>44</v>
      </c>
    </row>
    <row r="107" spans="1:4" x14ac:dyDescent="0.35">
      <c r="A107">
        <v>106</v>
      </c>
      <c r="B107" s="7" t="s">
        <v>67</v>
      </c>
      <c r="C107" s="7" t="s">
        <v>45</v>
      </c>
      <c r="D107" s="7" t="s">
        <v>46</v>
      </c>
    </row>
    <row r="108" spans="1:4" ht="43.5" x14ac:dyDescent="0.35">
      <c r="A108">
        <v>107</v>
      </c>
      <c r="B108" s="14" t="s">
        <v>67</v>
      </c>
      <c r="C108" s="14" t="s">
        <v>47</v>
      </c>
      <c r="D108" s="15" t="s">
        <v>48</v>
      </c>
    </row>
    <row r="109" spans="1:4" x14ac:dyDescent="0.35">
      <c r="A109">
        <v>108</v>
      </c>
      <c r="B109" s="7" t="s">
        <v>67</v>
      </c>
      <c r="C109" s="7" t="s">
        <v>49</v>
      </c>
      <c r="D109" s="7" t="s">
        <v>50</v>
      </c>
    </row>
    <row r="110" spans="1:4" ht="29" x14ac:dyDescent="0.35">
      <c r="A110">
        <v>109</v>
      </c>
      <c r="B110" s="14" t="s">
        <v>67</v>
      </c>
      <c r="C110" s="14" t="s">
        <v>51</v>
      </c>
      <c r="D110" s="15" t="s">
        <v>52</v>
      </c>
    </row>
    <row r="111" spans="1:4" x14ac:dyDescent="0.35">
      <c r="A111">
        <v>110</v>
      </c>
      <c r="B111" s="7" t="s">
        <v>68</v>
      </c>
      <c r="C111" s="8" t="s">
        <v>13</v>
      </c>
      <c r="D111" s="7" t="s">
        <v>14</v>
      </c>
    </row>
    <row r="112" spans="1:4" ht="43.5" x14ac:dyDescent="0.35">
      <c r="A112">
        <v>111</v>
      </c>
      <c r="B112" s="14" t="s">
        <v>68</v>
      </c>
      <c r="C112" s="14" t="s">
        <v>18</v>
      </c>
      <c r="D112" s="15" t="s">
        <v>19</v>
      </c>
    </row>
    <row r="113" spans="1:4" ht="43.5" x14ac:dyDescent="0.35">
      <c r="A113">
        <v>112</v>
      </c>
      <c r="B113" s="7" t="s">
        <v>68</v>
      </c>
      <c r="C113" s="7" t="s">
        <v>20</v>
      </c>
      <c r="D113" s="16" t="s">
        <v>21</v>
      </c>
    </row>
    <row r="114" spans="1:4" x14ac:dyDescent="0.35">
      <c r="A114">
        <v>113</v>
      </c>
      <c r="B114" s="14" t="s">
        <v>68</v>
      </c>
      <c r="C114" s="14" t="s">
        <v>23</v>
      </c>
      <c r="D114" s="14" t="s">
        <v>24</v>
      </c>
    </row>
    <row r="115" spans="1:4" x14ac:dyDescent="0.35">
      <c r="A115">
        <v>114</v>
      </c>
      <c r="B115" s="7" t="s">
        <v>68</v>
      </c>
      <c r="C115" s="7" t="s">
        <v>25</v>
      </c>
      <c r="D115" s="7" t="s">
        <v>26</v>
      </c>
    </row>
    <row r="116" spans="1:4" x14ac:dyDescent="0.35">
      <c r="A116">
        <v>115</v>
      </c>
      <c r="B116" s="14" t="s">
        <v>68</v>
      </c>
      <c r="C116" s="14" t="s">
        <v>27</v>
      </c>
      <c r="D116" s="14" t="s">
        <v>28</v>
      </c>
    </row>
    <row r="117" spans="1:4" x14ac:dyDescent="0.35">
      <c r="A117">
        <v>116</v>
      </c>
      <c r="B117" s="7" t="s">
        <v>68</v>
      </c>
      <c r="C117" s="7" t="s">
        <v>29</v>
      </c>
      <c r="D117" s="7" t="s">
        <v>30</v>
      </c>
    </row>
    <row r="118" spans="1:4" x14ac:dyDescent="0.35">
      <c r="A118">
        <v>117</v>
      </c>
      <c r="B118" s="14" t="s">
        <v>68</v>
      </c>
      <c r="C118" s="14" t="s">
        <v>31</v>
      </c>
      <c r="D118" s="14" t="s">
        <v>32</v>
      </c>
    </row>
    <row r="119" spans="1:4" x14ac:dyDescent="0.35">
      <c r="A119">
        <v>118</v>
      </c>
      <c r="B119" s="7" t="s">
        <v>68</v>
      </c>
      <c r="C119" s="7" t="s">
        <v>33</v>
      </c>
      <c r="D119" s="7" t="s">
        <v>34</v>
      </c>
    </row>
    <row r="120" spans="1:4" x14ac:dyDescent="0.35">
      <c r="A120">
        <v>119</v>
      </c>
      <c r="B120" s="14" t="s">
        <v>68</v>
      </c>
      <c r="C120" s="14" t="s">
        <v>35</v>
      </c>
      <c r="D120" s="14" t="s">
        <v>36</v>
      </c>
    </row>
    <row r="121" spans="1:4" x14ac:dyDescent="0.35">
      <c r="A121">
        <v>120</v>
      </c>
      <c r="B121" s="7" t="s">
        <v>68</v>
      </c>
      <c r="C121" s="7" t="s">
        <v>37</v>
      </c>
      <c r="D121" s="7" t="s">
        <v>38</v>
      </c>
    </row>
    <row r="122" spans="1:4" x14ac:dyDescent="0.35">
      <c r="A122">
        <v>121</v>
      </c>
      <c r="B122" s="14" t="s">
        <v>68</v>
      </c>
      <c r="C122" s="14" t="s">
        <v>39</v>
      </c>
      <c r="D122" s="14" t="s">
        <v>40</v>
      </c>
    </row>
    <row r="123" spans="1:4" x14ac:dyDescent="0.35">
      <c r="A123">
        <v>122</v>
      </c>
      <c r="B123" s="7" t="s">
        <v>68</v>
      </c>
      <c r="C123" s="7" t="s">
        <v>41</v>
      </c>
      <c r="D123" s="7" t="s">
        <v>42</v>
      </c>
    </row>
    <row r="124" spans="1:4" x14ac:dyDescent="0.35">
      <c r="A124">
        <v>123</v>
      </c>
      <c r="B124" s="14" t="s">
        <v>68</v>
      </c>
      <c r="C124" s="14" t="s">
        <v>43</v>
      </c>
      <c r="D124" s="14" t="s">
        <v>44</v>
      </c>
    </row>
    <row r="125" spans="1:4" x14ac:dyDescent="0.35">
      <c r="A125">
        <v>124</v>
      </c>
      <c r="B125" s="7" t="s">
        <v>68</v>
      </c>
      <c r="C125" s="7" t="s">
        <v>45</v>
      </c>
      <c r="D125" s="7" t="s">
        <v>46</v>
      </c>
    </row>
    <row r="126" spans="1:4" ht="43.5" x14ac:dyDescent="0.35">
      <c r="A126">
        <v>125</v>
      </c>
      <c r="B126" s="14" t="s">
        <v>68</v>
      </c>
      <c r="C126" s="14" t="s">
        <v>47</v>
      </c>
      <c r="D126" s="15" t="s">
        <v>48</v>
      </c>
    </row>
    <row r="127" spans="1:4" x14ac:dyDescent="0.35">
      <c r="A127">
        <v>126</v>
      </c>
      <c r="B127" s="7" t="s">
        <v>68</v>
      </c>
      <c r="C127" s="7" t="s">
        <v>49</v>
      </c>
      <c r="D127" s="7" t="s">
        <v>50</v>
      </c>
    </row>
    <row r="128" spans="1:4" ht="29" x14ac:dyDescent="0.35">
      <c r="A128">
        <v>127</v>
      </c>
      <c r="B128" s="14" t="s">
        <v>68</v>
      </c>
      <c r="C128" s="14" t="s">
        <v>51</v>
      </c>
      <c r="D128" s="15" t="s">
        <v>52</v>
      </c>
    </row>
    <row r="129" spans="1:4" x14ac:dyDescent="0.35">
      <c r="A129">
        <v>128</v>
      </c>
      <c r="B129" s="7" t="s">
        <v>69</v>
      </c>
      <c r="C129" s="8" t="s">
        <v>13</v>
      </c>
      <c r="D129" s="7" t="s">
        <v>14</v>
      </c>
    </row>
    <row r="130" spans="1:4" ht="43.5" x14ac:dyDescent="0.35">
      <c r="A130">
        <v>129</v>
      </c>
      <c r="B130" s="14" t="s">
        <v>69</v>
      </c>
      <c r="C130" s="14" t="s">
        <v>18</v>
      </c>
      <c r="D130" s="15" t="s">
        <v>19</v>
      </c>
    </row>
    <row r="131" spans="1:4" ht="43.5" x14ac:dyDescent="0.35">
      <c r="A131">
        <v>130</v>
      </c>
      <c r="B131" s="7" t="s">
        <v>69</v>
      </c>
      <c r="C131" s="7" t="s">
        <v>20</v>
      </c>
      <c r="D131" s="16" t="s">
        <v>21</v>
      </c>
    </row>
    <row r="132" spans="1:4" x14ac:dyDescent="0.35">
      <c r="A132">
        <v>131</v>
      </c>
      <c r="B132" s="14" t="s">
        <v>69</v>
      </c>
      <c r="C132" s="14" t="s">
        <v>23</v>
      </c>
      <c r="D132" s="14" t="s">
        <v>24</v>
      </c>
    </row>
    <row r="133" spans="1:4" x14ac:dyDescent="0.35">
      <c r="A133">
        <v>132</v>
      </c>
      <c r="B133" s="7" t="s">
        <v>69</v>
      </c>
      <c r="C133" s="7" t="s">
        <v>25</v>
      </c>
      <c r="D133" s="7" t="s">
        <v>26</v>
      </c>
    </row>
    <row r="134" spans="1:4" x14ac:dyDescent="0.35">
      <c r="A134">
        <v>133</v>
      </c>
      <c r="B134" s="14" t="s">
        <v>69</v>
      </c>
      <c r="C134" s="14" t="s">
        <v>27</v>
      </c>
      <c r="D134" s="14" t="s">
        <v>28</v>
      </c>
    </row>
    <row r="135" spans="1:4" x14ac:dyDescent="0.35">
      <c r="A135">
        <v>134</v>
      </c>
      <c r="B135" s="7" t="s">
        <v>69</v>
      </c>
      <c r="C135" s="7" t="s">
        <v>29</v>
      </c>
      <c r="D135" s="7" t="s">
        <v>30</v>
      </c>
    </row>
    <row r="136" spans="1:4" x14ac:dyDescent="0.35">
      <c r="A136">
        <v>135</v>
      </c>
      <c r="B136" s="14" t="s">
        <v>69</v>
      </c>
      <c r="C136" s="14" t="s">
        <v>31</v>
      </c>
      <c r="D136" s="14" t="s">
        <v>32</v>
      </c>
    </row>
    <row r="137" spans="1:4" x14ac:dyDescent="0.35">
      <c r="A137">
        <v>136</v>
      </c>
      <c r="B137" s="7" t="s">
        <v>69</v>
      </c>
      <c r="C137" s="7" t="s">
        <v>33</v>
      </c>
      <c r="D137" s="7" t="s">
        <v>34</v>
      </c>
    </row>
    <row r="138" spans="1:4" x14ac:dyDescent="0.35">
      <c r="A138">
        <v>137</v>
      </c>
      <c r="B138" s="14" t="s">
        <v>69</v>
      </c>
      <c r="C138" s="14" t="s">
        <v>35</v>
      </c>
      <c r="D138" s="14" t="s">
        <v>36</v>
      </c>
    </row>
    <row r="139" spans="1:4" x14ac:dyDescent="0.35">
      <c r="A139">
        <v>138</v>
      </c>
      <c r="B139" s="7" t="s">
        <v>69</v>
      </c>
      <c r="C139" s="7" t="s">
        <v>37</v>
      </c>
      <c r="D139" s="7" t="s">
        <v>38</v>
      </c>
    </row>
    <row r="140" spans="1:4" x14ac:dyDescent="0.35">
      <c r="A140">
        <v>139</v>
      </c>
      <c r="B140" s="14" t="s">
        <v>69</v>
      </c>
      <c r="C140" s="14" t="s">
        <v>39</v>
      </c>
      <c r="D140" s="14" t="s">
        <v>40</v>
      </c>
    </row>
    <row r="141" spans="1:4" x14ac:dyDescent="0.35">
      <c r="A141">
        <v>140</v>
      </c>
      <c r="B141" s="7" t="s">
        <v>69</v>
      </c>
      <c r="C141" s="7" t="s">
        <v>41</v>
      </c>
      <c r="D141" s="7" t="s">
        <v>42</v>
      </c>
    </row>
    <row r="142" spans="1:4" x14ac:dyDescent="0.35">
      <c r="A142">
        <v>141</v>
      </c>
      <c r="B142" s="14" t="s">
        <v>69</v>
      </c>
      <c r="C142" s="14" t="s">
        <v>43</v>
      </c>
      <c r="D142" s="14" t="s">
        <v>44</v>
      </c>
    </row>
    <row r="143" spans="1:4" x14ac:dyDescent="0.35">
      <c r="A143">
        <v>142</v>
      </c>
      <c r="B143" s="7" t="s">
        <v>69</v>
      </c>
      <c r="C143" s="7" t="s">
        <v>45</v>
      </c>
      <c r="D143" s="7" t="s">
        <v>46</v>
      </c>
    </row>
    <row r="144" spans="1:4" ht="43.5" x14ac:dyDescent="0.35">
      <c r="A144">
        <v>143</v>
      </c>
      <c r="B144" s="14" t="s">
        <v>69</v>
      </c>
      <c r="C144" s="14" t="s">
        <v>47</v>
      </c>
      <c r="D144" s="15" t="s">
        <v>48</v>
      </c>
    </row>
    <row r="145" spans="1:4" x14ac:dyDescent="0.35">
      <c r="A145">
        <v>144</v>
      </c>
      <c r="B145" s="7" t="s">
        <v>69</v>
      </c>
      <c r="C145" s="7" t="s">
        <v>49</v>
      </c>
      <c r="D145" s="7" t="s">
        <v>50</v>
      </c>
    </row>
    <row r="146" spans="1:4" ht="29" x14ac:dyDescent="0.35">
      <c r="A146">
        <v>145</v>
      </c>
      <c r="B146" s="14" t="s">
        <v>69</v>
      </c>
      <c r="C146" s="14" t="s">
        <v>51</v>
      </c>
      <c r="D146" s="15" t="s">
        <v>52</v>
      </c>
    </row>
    <row r="147" spans="1:4" x14ac:dyDescent="0.35">
      <c r="A147">
        <v>146</v>
      </c>
      <c r="B147" s="7" t="s">
        <v>70</v>
      </c>
      <c r="C147" s="8" t="s">
        <v>13</v>
      </c>
      <c r="D147" s="7" t="s">
        <v>14</v>
      </c>
    </row>
    <row r="148" spans="1:4" ht="43.5" x14ac:dyDescent="0.35">
      <c r="A148">
        <v>147</v>
      </c>
      <c r="B148" s="14" t="s">
        <v>70</v>
      </c>
      <c r="C148" s="14" t="s">
        <v>18</v>
      </c>
      <c r="D148" s="15" t="s">
        <v>19</v>
      </c>
    </row>
    <row r="149" spans="1:4" ht="43.5" x14ac:dyDescent="0.35">
      <c r="A149">
        <v>148</v>
      </c>
      <c r="B149" s="7" t="s">
        <v>70</v>
      </c>
      <c r="C149" s="7" t="s">
        <v>20</v>
      </c>
      <c r="D149" s="16" t="s">
        <v>21</v>
      </c>
    </row>
    <row r="150" spans="1:4" x14ac:dyDescent="0.35">
      <c r="A150">
        <v>149</v>
      </c>
      <c r="B150" s="14" t="s">
        <v>70</v>
      </c>
      <c r="C150" s="14" t="s">
        <v>23</v>
      </c>
      <c r="D150" s="14" t="s">
        <v>24</v>
      </c>
    </row>
    <row r="151" spans="1:4" x14ac:dyDescent="0.35">
      <c r="A151">
        <v>150</v>
      </c>
      <c r="B151" s="7" t="s">
        <v>70</v>
      </c>
      <c r="C151" s="7" t="s">
        <v>25</v>
      </c>
      <c r="D151" s="7" t="s">
        <v>26</v>
      </c>
    </row>
    <row r="152" spans="1:4" x14ac:dyDescent="0.35">
      <c r="A152">
        <v>151</v>
      </c>
      <c r="B152" s="14" t="s">
        <v>70</v>
      </c>
      <c r="C152" s="14" t="s">
        <v>27</v>
      </c>
      <c r="D152" s="14" t="s">
        <v>28</v>
      </c>
    </row>
    <row r="153" spans="1:4" x14ac:dyDescent="0.35">
      <c r="A153">
        <v>152</v>
      </c>
      <c r="B153" s="7" t="s">
        <v>70</v>
      </c>
      <c r="C153" s="7" t="s">
        <v>29</v>
      </c>
      <c r="D153" s="7" t="s">
        <v>30</v>
      </c>
    </row>
    <row r="154" spans="1:4" x14ac:dyDescent="0.35">
      <c r="A154">
        <v>153</v>
      </c>
      <c r="B154" s="14" t="s">
        <v>70</v>
      </c>
      <c r="C154" s="14" t="s">
        <v>31</v>
      </c>
      <c r="D154" s="14" t="s">
        <v>32</v>
      </c>
    </row>
    <row r="155" spans="1:4" x14ac:dyDescent="0.35">
      <c r="A155">
        <v>154</v>
      </c>
      <c r="B155" s="7" t="s">
        <v>70</v>
      </c>
      <c r="C155" s="7" t="s">
        <v>33</v>
      </c>
      <c r="D155" s="7" t="s">
        <v>34</v>
      </c>
    </row>
    <row r="156" spans="1:4" x14ac:dyDescent="0.35">
      <c r="A156">
        <v>155</v>
      </c>
      <c r="B156" s="14" t="s">
        <v>70</v>
      </c>
      <c r="C156" s="14" t="s">
        <v>35</v>
      </c>
      <c r="D156" s="14" t="s">
        <v>36</v>
      </c>
    </row>
    <row r="157" spans="1:4" x14ac:dyDescent="0.35">
      <c r="A157">
        <v>156</v>
      </c>
      <c r="B157" s="7" t="s">
        <v>70</v>
      </c>
      <c r="C157" s="7" t="s">
        <v>37</v>
      </c>
      <c r="D157" s="7" t="s">
        <v>38</v>
      </c>
    </row>
    <row r="158" spans="1:4" x14ac:dyDescent="0.35">
      <c r="A158">
        <v>157</v>
      </c>
      <c r="B158" s="14" t="s">
        <v>70</v>
      </c>
      <c r="C158" s="14" t="s">
        <v>39</v>
      </c>
      <c r="D158" s="14" t="s">
        <v>40</v>
      </c>
    </row>
    <row r="159" spans="1:4" x14ac:dyDescent="0.35">
      <c r="A159">
        <v>158</v>
      </c>
      <c r="B159" s="7" t="s">
        <v>70</v>
      </c>
      <c r="C159" s="7" t="s">
        <v>41</v>
      </c>
      <c r="D159" s="7" t="s">
        <v>42</v>
      </c>
    </row>
    <row r="160" spans="1:4" x14ac:dyDescent="0.35">
      <c r="A160">
        <v>159</v>
      </c>
      <c r="B160" s="14" t="s">
        <v>70</v>
      </c>
      <c r="C160" s="14" t="s">
        <v>43</v>
      </c>
      <c r="D160" s="14" t="s">
        <v>44</v>
      </c>
    </row>
    <row r="161" spans="1:4" x14ac:dyDescent="0.35">
      <c r="A161">
        <v>160</v>
      </c>
      <c r="B161" s="7" t="s">
        <v>70</v>
      </c>
      <c r="C161" s="7" t="s">
        <v>45</v>
      </c>
      <c r="D161" s="7" t="s">
        <v>46</v>
      </c>
    </row>
    <row r="162" spans="1:4" ht="43.5" x14ac:dyDescent="0.35">
      <c r="A162">
        <v>161</v>
      </c>
      <c r="B162" s="14" t="s">
        <v>70</v>
      </c>
      <c r="C162" s="14" t="s">
        <v>47</v>
      </c>
      <c r="D162" s="15" t="s">
        <v>48</v>
      </c>
    </row>
    <row r="163" spans="1:4" x14ac:dyDescent="0.35">
      <c r="A163">
        <v>162</v>
      </c>
      <c r="B163" s="7" t="s">
        <v>70</v>
      </c>
      <c r="C163" s="7" t="s">
        <v>49</v>
      </c>
      <c r="D163" s="7" t="s">
        <v>50</v>
      </c>
    </row>
    <row r="164" spans="1:4" ht="29" x14ac:dyDescent="0.35">
      <c r="A164">
        <v>163</v>
      </c>
      <c r="B164" s="14" t="s">
        <v>70</v>
      </c>
      <c r="C164" s="14" t="s">
        <v>51</v>
      </c>
      <c r="D164" s="15" t="s">
        <v>52</v>
      </c>
    </row>
    <row r="165" spans="1:4" x14ac:dyDescent="0.35">
      <c r="A165">
        <v>164</v>
      </c>
      <c r="B165" s="7" t="s">
        <v>71</v>
      </c>
      <c r="C165" s="8" t="s">
        <v>13</v>
      </c>
      <c r="D165" s="7" t="s">
        <v>14</v>
      </c>
    </row>
    <row r="166" spans="1:4" ht="43.5" x14ac:dyDescent="0.35">
      <c r="A166">
        <v>165</v>
      </c>
      <c r="B166" s="14" t="s">
        <v>71</v>
      </c>
      <c r="C166" s="14" t="s">
        <v>18</v>
      </c>
      <c r="D166" s="15" t="s">
        <v>19</v>
      </c>
    </row>
    <row r="167" spans="1:4" ht="43.5" x14ac:dyDescent="0.35">
      <c r="A167">
        <v>166</v>
      </c>
      <c r="B167" s="7" t="s">
        <v>71</v>
      </c>
      <c r="C167" s="7" t="s">
        <v>20</v>
      </c>
      <c r="D167" s="16" t="s">
        <v>21</v>
      </c>
    </row>
    <row r="168" spans="1:4" x14ac:dyDescent="0.35">
      <c r="A168">
        <v>167</v>
      </c>
      <c r="B168" s="14" t="s">
        <v>71</v>
      </c>
      <c r="C168" s="14" t="s">
        <v>23</v>
      </c>
      <c r="D168" s="14" t="s">
        <v>24</v>
      </c>
    </row>
    <row r="169" spans="1:4" x14ac:dyDescent="0.35">
      <c r="A169">
        <v>168</v>
      </c>
      <c r="B169" s="7" t="s">
        <v>71</v>
      </c>
      <c r="C169" s="7" t="s">
        <v>25</v>
      </c>
      <c r="D169" s="7" t="s">
        <v>26</v>
      </c>
    </row>
    <row r="170" spans="1:4" x14ac:dyDescent="0.35">
      <c r="A170">
        <v>169</v>
      </c>
      <c r="B170" s="14" t="s">
        <v>71</v>
      </c>
      <c r="C170" s="14" t="s">
        <v>27</v>
      </c>
      <c r="D170" s="14" t="s">
        <v>28</v>
      </c>
    </row>
    <row r="171" spans="1:4" x14ac:dyDescent="0.35">
      <c r="A171">
        <v>170</v>
      </c>
      <c r="B171" s="7" t="s">
        <v>71</v>
      </c>
      <c r="C171" s="7" t="s">
        <v>29</v>
      </c>
      <c r="D171" s="7" t="s">
        <v>30</v>
      </c>
    </row>
    <row r="172" spans="1:4" x14ac:dyDescent="0.35">
      <c r="A172">
        <v>171</v>
      </c>
      <c r="B172" s="14" t="s">
        <v>71</v>
      </c>
      <c r="C172" s="14" t="s">
        <v>31</v>
      </c>
      <c r="D172" s="14" t="s">
        <v>32</v>
      </c>
    </row>
    <row r="173" spans="1:4" x14ac:dyDescent="0.35">
      <c r="A173">
        <v>172</v>
      </c>
      <c r="B173" s="7" t="s">
        <v>71</v>
      </c>
      <c r="C173" s="7" t="s">
        <v>33</v>
      </c>
      <c r="D173" s="7" t="s">
        <v>34</v>
      </c>
    </row>
    <row r="174" spans="1:4" x14ac:dyDescent="0.35">
      <c r="A174">
        <v>173</v>
      </c>
      <c r="B174" s="14" t="s">
        <v>71</v>
      </c>
      <c r="C174" s="14" t="s">
        <v>35</v>
      </c>
      <c r="D174" s="14" t="s">
        <v>36</v>
      </c>
    </row>
    <row r="175" spans="1:4" x14ac:dyDescent="0.35">
      <c r="A175">
        <v>174</v>
      </c>
      <c r="B175" s="7" t="s">
        <v>71</v>
      </c>
      <c r="C175" s="7" t="s">
        <v>37</v>
      </c>
      <c r="D175" s="7" t="s">
        <v>38</v>
      </c>
    </row>
    <row r="176" spans="1:4" x14ac:dyDescent="0.35">
      <c r="A176">
        <v>175</v>
      </c>
      <c r="B176" s="14" t="s">
        <v>71</v>
      </c>
      <c r="C176" s="14" t="s">
        <v>39</v>
      </c>
      <c r="D176" s="14" t="s">
        <v>40</v>
      </c>
    </row>
    <row r="177" spans="1:4" x14ac:dyDescent="0.35">
      <c r="A177">
        <v>176</v>
      </c>
      <c r="B177" s="7" t="s">
        <v>71</v>
      </c>
      <c r="C177" s="7" t="s">
        <v>41</v>
      </c>
      <c r="D177" s="7" t="s">
        <v>42</v>
      </c>
    </row>
    <row r="178" spans="1:4" x14ac:dyDescent="0.35">
      <c r="A178">
        <v>177</v>
      </c>
      <c r="B178" s="14" t="s">
        <v>71</v>
      </c>
      <c r="C178" s="14" t="s">
        <v>43</v>
      </c>
      <c r="D178" s="14" t="s">
        <v>44</v>
      </c>
    </row>
    <row r="179" spans="1:4" x14ac:dyDescent="0.35">
      <c r="A179">
        <v>178</v>
      </c>
      <c r="B179" s="7" t="s">
        <v>71</v>
      </c>
      <c r="C179" s="7" t="s">
        <v>45</v>
      </c>
      <c r="D179" s="7" t="s">
        <v>46</v>
      </c>
    </row>
    <row r="180" spans="1:4" ht="43.5" x14ac:dyDescent="0.35">
      <c r="A180">
        <v>179</v>
      </c>
      <c r="B180" s="14" t="s">
        <v>71</v>
      </c>
      <c r="C180" s="14" t="s">
        <v>47</v>
      </c>
      <c r="D180" s="15" t="s">
        <v>48</v>
      </c>
    </row>
    <row r="181" spans="1:4" x14ac:dyDescent="0.35">
      <c r="A181">
        <v>180</v>
      </c>
      <c r="B181" s="7" t="s">
        <v>71</v>
      </c>
      <c r="C181" s="7" t="s">
        <v>49</v>
      </c>
      <c r="D181" s="7" t="s">
        <v>50</v>
      </c>
    </row>
    <row r="182" spans="1:4" ht="29" x14ac:dyDescent="0.35">
      <c r="A182">
        <v>181</v>
      </c>
      <c r="B182" s="14" t="s">
        <v>71</v>
      </c>
      <c r="C182" s="14" t="s">
        <v>51</v>
      </c>
      <c r="D182" s="15" t="s">
        <v>52</v>
      </c>
    </row>
    <row r="183" spans="1:4" x14ac:dyDescent="0.35">
      <c r="A183">
        <v>182</v>
      </c>
      <c r="B183" s="7" t="s">
        <v>72</v>
      </c>
      <c r="C183" s="8" t="s">
        <v>13</v>
      </c>
      <c r="D183" s="7" t="s">
        <v>14</v>
      </c>
    </row>
    <row r="184" spans="1:4" ht="43.5" x14ac:dyDescent="0.35">
      <c r="A184">
        <v>183</v>
      </c>
      <c r="B184" s="14" t="s">
        <v>72</v>
      </c>
      <c r="C184" s="14" t="s">
        <v>18</v>
      </c>
      <c r="D184" s="15" t="s">
        <v>19</v>
      </c>
    </row>
    <row r="185" spans="1:4" ht="43.5" x14ac:dyDescent="0.35">
      <c r="A185">
        <v>184</v>
      </c>
      <c r="B185" s="7" t="s">
        <v>72</v>
      </c>
      <c r="C185" s="7" t="s">
        <v>20</v>
      </c>
      <c r="D185" s="16" t="s">
        <v>21</v>
      </c>
    </row>
    <row r="186" spans="1:4" x14ac:dyDescent="0.35">
      <c r="A186">
        <v>185</v>
      </c>
      <c r="B186" s="14" t="s">
        <v>72</v>
      </c>
      <c r="C186" s="14" t="s">
        <v>23</v>
      </c>
      <c r="D186" s="14" t="s">
        <v>24</v>
      </c>
    </row>
    <row r="187" spans="1:4" x14ac:dyDescent="0.35">
      <c r="A187">
        <v>186</v>
      </c>
      <c r="B187" s="7" t="s">
        <v>72</v>
      </c>
      <c r="C187" s="7" t="s">
        <v>25</v>
      </c>
      <c r="D187" s="7" t="s">
        <v>26</v>
      </c>
    </row>
    <row r="188" spans="1:4" x14ac:dyDescent="0.35">
      <c r="A188">
        <v>187</v>
      </c>
      <c r="B188" s="14" t="s">
        <v>72</v>
      </c>
      <c r="C188" s="14" t="s">
        <v>27</v>
      </c>
      <c r="D188" s="14" t="s">
        <v>28</v>
      </c>
    </row>
    <row r="189" spans="1:4" x14ac:dyDescent="0.35">
      <c r="A189">
        <v>188</v>
      </c>
      <c r="B189" s="7" t="s">
        <v>72</v>
      </c>
      <c r="C189" s="7" t="s">
        <v>29</v>
      </c>
      <c r="D189" s="7" t="s">
        <v>30</v>
      </c>
    </row>
    <row r="190" spans="1:4" x14ac:dyDescent="0.35">
      <c r="A190">
        <v>189</v>
      </c>
      <c r="B190" s="14" t="s">
        <v>72</v>
      </c>
      <c r="C190" s="14" t="s">
        <v>31</v>
      </c>
      <c r="D190" s="14" t="s">
        <v>32</v>
      </c>
    </row>
    <row r="191" spans="1:4" x14ac:dyDescent="0.35">
      <c r="A191">
        <v>190</v>
      </c>
      <c r="B191" s="7" t="s">
        <v>72</v>
      </c>
      <c r="C191" s="7" t="s">
        <v>33</v>
      </c>
      <c r="D191" s="7" t="s">
        <v>34</v>
      </c>
    </row>
    <row r="192" spans="1:4" x14ac:dyDescent="0.35">
      <c r="A192">
        <v>191</v>
      </c>
      <c r="B192" s="14" t="s">
        <v>72</v>
      </c>
      <c r="C192" s="14" t="s">
        <v>35</v>
      </c>
      <c r="D192" s="14" t="s">
        <v>36</v>
      </c>
    </row>
    <row r="193" spans="1:4" x14ac:dyDescent="0.35">
      <c r="A193">
        <v>192</v>
      </c>
      <c r="B193" s="7" t="s">
        <v>72</v>
      </c>
      <c r="C193" s="7" t="s">
        <v>37</v>
      </c>
      <c r="D193" s="7" t="s">
        <v>38</v>
      </c>
    </row>
    <row r="194" spans="1:4" x14ac:dyDescent="0.35">
      <c r="A194">
        <v>193</v>
      </c>
      <c r="B194" s="14" t="s">
        <v>72</v>
      </c>
      <c r="C194" s="14" t="s">
        <v>39</v>
      </c>
      <c r="D194" s="14" t="s">
        <v>40</v>
      </c>
    </row>
    <row r="195" spans="1:4" x14ac:dyDescent="0.35">
      <c r="A195">
        <v>194</v>
      </c>
      <c r="B195" s="7" t="s">
        <v>72</v>
      </c>
      <c r="C195" s="7" t="s">
        <v>41</v>
      </c>
      <c r="D195" s="7" t="s">
        <v>42</v>
      </c>
    </row>
    <row r="196" spans="1:4" x14ac:dyDescent="0.35">
      <c r="A196">
        <v>195</v>
      </c>
      <c r="B196" s="14" t="s">
        <v>72</v>
      </c>
      <c r="C196" s="14" t="s">
        <v>43</v>
      </c>
      <c r="D196" s="14" t="s">
        <v>44</v>
      </c>
    </row>
    <row r="197" spans="1:4" x14ac:dyDescent="0.35">
      <c r="A197">
        <v>196</v>
      </c>
      <c r="B197" s="7" t="s">
        <v>72</v>
      </c>
      <c r="C197" s="7" t="s">
        <v>45</v>
      </c>
      <c r="D197" s="7" t="s">
        <v>46</v>
      </c>
    </row>
    <row r="198" spans="1:4" ht="43.5" x14ac:dyDescent="0.35">
      <c r="A198">
        <v>197</v>
      </c>
      <c r="B198" s="14" t="s">
        <v>72</v>
      </c>
      <c r="C198" s="14" t="s">
        <v>47</v>
      </c>
      <c r="D198" s="15" t="s">
        <v>48</v>
      </c>
    </row>
    <row r="199" spans="1:4" x14ac:dyDescent="0.35">
      <c r="A199">
        <v>198</v>
      </c>
      <c r="B199" s="7" t="s">
        <v>72</v>
      </c>
      <c r="C199" s="7" t="s">
        <v>49</v>
      </c>
      <c r="D199" s="7" t="s">
        <v>50</v>
      </c>
    </row>
    <row r="200" spans="1:4" ht="29" x14ac:dyDescent="0.35">
      <c r="A200">
        <v>199</v>
      </c>
      <c r="B200" s="14" t="s">
        <v>72</v>
      </c>
      <c r="C200" s="14" t="s">
        <v>51</v>
      </c>
      <c r="D200" s="15" t="s">
        <v>52</v>
      </c>
    </row>
    <row r="201" spans="1:4" x14ac:dyDescent="0.35">
      <c r="A201">
        <v>200</v>
      </c>
      <c r="B201" s="7" t="s">
        <v>73</v>
      </c>
      <c r="C201" s="8" t="s">
        <v>13</v>
      </c>
      <c r="D201" s="7" t="s">
        <v>14</v>
      </c>
    </row>
    <row r="202" spans="1:4" ht="43.5" x14ac:dyDescent="0.35">
      <c r="A202">
        <v>201</v>
      </c>
      <c r="B202" s="14" t="s">
        <v>73</v>
      </c>
      <c r="C202" s="14" t="s">
        <v>18</v>
      </c>
      <c r="D202" s="15" t="s">
        <v>19</v>
      </c>
    </row>
    <row r="203" spans="1:4" ht="43.5" x14ac:dyDescent="0.35">
      <c r="A203">
        <v>202</v>
      </c>
      <c r="B203" s="7" t="s">
        <v>73</v>
      </c>
      <c r="C203" s="7" t="s">
        <v>20</v>
      </c>
      <c r="D203" s="16" t="s">
        <v>21</v>
      </c>
    </row>
    <row r="204" spans="1:4" x14ac:dyDescent="0.35">
      <c r="A204">
        <v>203</v>
      </c>
      <c r="B204" s="14" t="s">
        <v>73</v>
      </c>
      <c r="C204" s="14" t="s">
        <v>23</v>
      </c>
      <c r="D204" s="14" t="s">
        <v>24</v>
      </c>
    </row>
    <row r="205" spans="1:4" x14ac:dyDescent="0.35">
      <c r="A205">
        <v>204</v>
      </c>
      <c r="B205" s="7" t="s">
        <v>73</v>
      </c>
      <c r="C205" s="7" t="s">
        <v>25</v>
      </c>
      <c r="D205" s="7" t="s">
        <v>26</v>
      </c>
    </row>
    <row r="206" spans="1:4" x14ac:dyDescent="0.35">
      <c r="A206">
        <v>205</v>
      </c>
      <c r="B206" s="14" t="s">
        <v>73</v>
      </c>
      <c r="C206" s="14" t="s">
        <v>27</v>
      </c>
      <c r="D206" s="14" t="s">
        <v>28</v>
      </c>
    </row>
    <row r="207" spans="1:4" x14ac:dyDescent="0.35">
      <c r="A207">
        <v>206</v>
      </c>
      <c r="B207" s="7" t="s">
        <v>73</v>
      </c>
      <c r="C207" s="7" t="s">
        <v>29</v>
      </c>
      <c r="D207" s="7" t="s">
        <v>30</v>
      </c>
    </row>
    <row r="208" spans="1:4" x14ac:dyDescent="0.35">
      <c r="A208">
        <v>207</v>
      </c>
      <c r="B208" s="14" t="s">
        <v>73</v>
      </c>
      <c r="C208" s="14" t="s">
        <v>31</v>
      </c>
      <c r="D208" s="14" t="s">
        <v>32</v>
      </c>
    </row>
    <row r="209" spans="1:4" x14ac:dyDescent="0.35">
      <c r="A209">
        <v>208</v>
      </c>
      <c r="B209" s="7" t="s">
        <v>73</v>
      </c>
      <c r="C209" s="7" t="s">
        <v>33</v>
      </c>
      <c r="D209" s="7" t="s">
        <v>34</v>
      </c>
    </row>
    <row r="210" spans="1:4" x14ac:dyDescent="0.35">
      <c r="A210">
        <v>209</v>
      </c>
      <c r="B210" s="14" t="s">
        <v>73</v>
      </c>
      <c r="C210" s="14" t="s">
        <v>35</v>
      </c>
      <c r="D210" s="14" t="s">
        <v>36</v>
      </c>
    </row>
    <row r="211" spans="1:4" x14ac:dyDescent="0.35">
      <c r="A211">
        <v>210</v>
      </c>
      <c r="B211" s="7" t="s">
        <v>73</v>
      </c>
      <c r="C211" s="7" t="s">
        <v>37</v>
      </c>
      <c r="D211" s="7" t="s">
        <v>38</v>
      </c>
    </row>
    <row r="212" spans="1:4" x14ac:dyDescent="0.35">
      <c r="A212">
        <v>211</v>
      </c>
      <c r="B212" s="14" t="s">
        <v>73</v>
      </c>
      <c r="C212" s="14" t="s">
        <v>39</v>
      </c>
      <c r="D212" s="14" t="s">
        <v>40</v>
      </c>
    </row>
    <row r="213" spans="1:4" x14ac:dyDescent="0.35">
      <c r="A213">
        <v>212</v>
      </c>
      <c r="B213" s="7" t="s">
        <v>73</v>
      </c>
      <c r="C213" s="7" t="s">
        <v>41</v>
      </c>
      <c r="D213" s="7" t="s">
        <v>42</v>
      </c>
    </row>
    <row r="214" spans="1:4" x14ac:dyDescent="0.35">
      <c r="A214">
        <v>213</v>
      </c>
      <c r="B214" s="14" t="s">
        <v>73</v>
      </c>
      <c r="C214" s="14" t="s">
        <v>43</v>
      </c>
      <c r="D214" s="14" t="s">
        <v>44</v>
      </c>
    </row>
    <row r="215" spans="1:4" x14ac:dyDescent="0.35">
      <c r="A215">
        <v>214</v>
      </c>
      <c r="B215" s="7" t="s">
        <v>73</v>
      </c>
      <c r="C215" s="7" t="s">
        <v>45</v>
      </c>
      <c r="D215" s="7" t="s">
        <v>46</v>
      </c>
    </row>
    <row r="216" spans="1:4" ht="43.5" x14ac:dyDescent="0.35">
      <c r="A216">
        <v>215</v>
      </c>
      <c r="B216" s="14" t="s">
        <v>73</v>
      </c>
      <c r="C216" s="14" t="s">
        <v>47</v>
      </c>
      <c r="D216" s="15" t="s">
        <v>48</v>
      </c>
    </row>
    <row r="217" spans="1:4" x14ac:dyDescent="0.35">
      <c r="A217">
        <v>216</v>
      </c>
      <c r="B217" s="7" t="s">
        <v>73</v>
      </c>
      <c r="C217" s="7" t="s">
        <v>49</v>
      </c>
      <c r="D217" s="7" t="s">
        <v>50</v>
      </c>
    </row>
    <row r="218" spans="1:4" ht="29" x14ac:dyDescent="0.35">
      <c r="A218">
        <v>217</v>
      </c>
      <c r="B218" s="14" t="s">
        <v>73</v>
      </c>
      <c r="C218" s="14" t="s">
        <v>51</v>
      </c>
      <c r="D218" s="15" t="s">
        <v>52</v>
      </c>
    </row>
  </sheetData>
  <mergeCells count="12">
    <mergeCell ref="M20:M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</mergeCells>
  <conditionalFormatting sqref="B2:B20 B22:B2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20 C22:C2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20 D22:D21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76C7-36B2-4AD8-B1F4-9755C9BBF897}">
  <dimension ref="B1:N44"/>
  <sheetViews>
    <sheetView topLeftCell="D22" zoomScale="81" workbookViewId="0">
      <selection activeCell="E39" sqref="E39"/>
    </sheetView>
  </sheetViews>
  <sheetFormatPr defaultRowHeight="14.5" x14ac:dyDescent="0.35"/>
  <cols>
    <col min="2" max="2" width="32.1796875" customWidth="1"/>
    <col min="3" max="3" width="20.7265625" bestFit="1" customWidth="1"/>
    <col min="4" max="4" width="17.81640625" bestFit="1" customWidth="1"/>
    <col min="5" max="5" width="56.1796875" bestFit="1" customWidth="1"/>
    <col min="6" max="6" width="20.36328125" bestFit="1" customWidth="1"/>
    <col min="7" max="7" width="12.08984375" bestFit="1" customWidth="1"/>
    <col min="8" max="8" width="53.26953125" customWidth="1"/>
    <col min="9" max="9" width="20.7265625" bestFit="1" customWidth="1"/>
    <col min="10" max="10" width="77.36328125" bestFit="1" customWidth="1"/>
    <col min="11" max="11" width="20.7265625" bestFit="1" customWidth="1"/>
    <col min="12" max="12" width="76.6328125" bestFit="1" customWidth="1"/>
    <col min="13" max="13" width="20.36328125" bestFit="1" customWidth="1"/>
    <col min="14" max="14" width="12.6328125" customWidth="1"/>
    <col min="15" max="15" width="10.7265625" bestFit="1" customWidth="1"/>
  </cols>
  <sheetData>
    <row r="1" spans="2:14" x14ac:dyDescent="0.35">
      <c r="B1" s="35" t="s">
        <v>100</v>
      </c>
      <c r="D1" s="35" t="s">
        <v>101</v>
      </c>
      <c r="F1" s="35" t="s">
        <v>102</v>
      </c>
      <c r="H1" s="35" t="s">
        <v>106</v>
      </c>
      <c r="L1" s="24"/>
      <c r="M1" s="25"/>
      <c r="N1" s="26"/>
    </row>
    <row r="2" spans="2:14" x14ac:dyDescent="0.35">
      <c r="B2" t="s">
        <v>79</v>
      </c>
      <c r="D2" t="s">
        <v>91</v>
      </c>
      <c r="F2" t="s">
        <v>78</v>
      </c>
      <c r="H2" s="23" t="s">
        <v>75</v>
      </c>
      <c r="I2" t="s">
        <v>79</v>
      </c>
      <c r="L2" s="27"/>
      <c r="M2" s="28"/>
      <c r="N2" s="29"/>
    </row>
    <row r="3" spans="2:14" x14ac:dyDescent="0.35">
      <c r="B3">
        <v>434250614</v>
      </c>
      <c r="C3" s="36">
        <v>434250614</v>
      </c>
      <c r="D3">
        <v>17.376249739237252</v>
      </c>
      <c r="E3" s="37">
        <v>17.376249739237252</v>
      </c>
      <c r="F3">
        <v>31498488837</v>
      </c>
      <c r="G3" s="37">
        <f>GETPIVOTDATA("ANGGARAN",$F$2)/1000000000</f>
        <v>31.498488837</v>
      </c>
      <c r="H3" s="13" t="s">
        <v>19</v>
      </c>
      <c r="I3">
        <v>2300000</v>
      </c>
      <c r="L3" s="27"/>
      <c r="M3" s="28"/>
      <c r="N3" s="29"/>
    </row>
    <row r="4" spans="2:14" x14ac:dyDescent="0.35">
      <c r="F4" s="35" t="s">
        <v>102</v>
      </c>
      <c r="H4" s="13" t="s">
        <v>38</v>
      </c>
      <c r="I4">
        <v>87925343</v>
      </c>
      <c r="L4" s="27"/>
      <c r="M4" s="28"/>
      <c r="N4" s="29"/>
    </row>
    <row r="5" spans="2:14" x14ac:dyDescent="0.35">
      <c r="F5" s="50">
        <v>10499496279</v>
      </c>
      <c r="G5">
        <f>F5/1000000000</f>
        <v>10.499496279000001</v>
      </c>
      <c r="H5" s="13" t="s">
        <v>40</v>
      </c>
      <c r="I5">
        <v>19352060</v>
      </c>
      <c r="L5" s="27"/>
      <c r="M5" s="28"/>
      <c r="N5" s="29"/>
    </row>
    <row r="6" spans="2:14" x14ac:dyDescent="0.35">
      <c r="H6" s="13" t="s">
        <v>50</v>
      </c>
      <c r="I6">
        <v>19831322</v>
      </c>
      <c r="L6" s="27"/>
      <c r="M6" s="28"/>
      <c r="N6" s="29"/>
    </row>
    <row r="7" spans="2:14" x14ac:dyDescent="0.35">
      <c r="B7" s="35" t="s">
        <v>99</v>
      </c>
      <c r="H7" s="13" t="s">
        <v>48</v>
      </c>
      <c r="I7">
        <v>16011519</v>
      </c>
      <c r="L7" s="27"/>
      <c r="M7" s="28"/>
      <c r="N7" s="29"/>
    </row>
    <row r="8" spans="2:14" x14ac:dyDescent="0.35">
      <c r="B8" s="23" t="s">
        <v>75</v>
      </c>
      <c r="C8" t="s">
        <v>79</v>
      </c>
      <c r="D8" s="36" t="s">
        <v>94</v>
      </c>
      <c r="E8" s="35" t="s">
        <v>103</v>
      </c>
      <c r="H8" s="13" t="s">
        <v>52</v>
      </c>
      <c r="I8">
        <v>13908640</v>
      </c>
      <c r="L8" s="27"/>
      <c r="M8" s="28"/>
      <c r="N8" s="29"/>
    </row>
    <row r="9" spans="2:14" x14ac:dyDescent="0.35">
      <c r="B9" s="13" t="s">
        <v>12</v>
      </c>
      <c r="C9">
        <v>0</v>
      </c>
      <c r="D9" s="36">
        <f>MIN(C9:C20)</f>
        <v>0</v>
      </c>
      <c r="E9" s="23" t="s">
        <v>75</v>
      </c>
      <c r="F9" t="s">
        <v>93</v>
      </c>
      <c r="H9" s="13" t="s">
        <v>21</v>
      </c>
      <c r="I9">
        <v>46500000</v>
      </c>
      <c r="L9" s="27"/>
      <c r="M9" s="28"/>
      <c r="N9" s="29"/>
    </row>
    <row r="10" spans="2:14" x14ac:dyDescent="0.35">
      <c r="B10" s="13" t="s">
        <v>53</v>
      </c>
      <c r="C10">
        <v>434250614</v>
      </c>
      <c r="D10" s="36" t="s">
        <v>95</v>
      </c>
      <c r="E10" s="13" t="s">
        <v>22</v>
      </c>
      <c r="F10">
        <v>14</v>
      </c>
      <c r="G10" s="38">
        <v>0.3888888888888889</v>
      </c>
      <c r="H10" s="13" t="s">
        <v>46</v>
      </c>
      <c r="I10">
        <v>20633000</v>
      </c>
      <c r="L10" s="27"/>
      <c r="M10" s="28"/>
      <c r="N10" s="29"/>
    </row>
    <row r="11" spans="2:14" x14ac:dyDescent="0.35">
      <c r="B11" s="13" t="s">
        <v>64</v>
      </c>
      <c r="D11" s="36">
        <f>MAX(C9:C20)</f>
        <v>434250614</v>
      </c>
      <c r="E11" s="13" t="s">
        <v>15</v>
      </c>
      <c r="F11">
        <v>22</v>
      </c>
      <c r="G11" s="38">
        <v>0.61111111111111116</v>
      </c>
      <c r="H11" s="13" t="s">
        <v>42</v>
      </c>
      <c r="I11">
        <v>22730400</v>
      </c>
      <c r="L11" s="27"/>
      <c r="M11" s="28"/>
      <c r="N11" s="29"/>
    </row>
    <row r="12" spans="2:14" x14ac:dyDescent="0.35">
      <c r="B12" s="13" t="s">
        <v>65</v>
      </c>
      <c r="D12" s="36" t="s">
        <v>96</v>
      </c>
      <c r="E12" s="13" t="s">
        <v>77</v>
      </c>
      <c r="F12">
        <v>36</v>
      </c>
      <c r="H12" s="13" t="s">
        <v>36</v>
      </c>
      <c r="I12">
        <v>12172840</v>
      </c>
      <c r="L12" s="27"/>
      <c r="M12" s="28"/>
      <c r="N12" s="29"/>
    </row>
    <row r="13" spans="2:14" x14ac:dyDescent="0.35">
      <c r="B13" s="13" t="s">
        <v>66</v>
      </c>
      <c r="D13" s="36">
        <f>AVERAGE(C9:C20)</f>
        <v>217125307</v>
      </c>
      <c r="H13" s="13" t="s">
        <v>44</v>
      </c>
      <c r="I13">
        <v>32838000</v>
      </c>
      <c r="L13" s="27"/>
      <c r="M13" s="28"/>
      <c r="N13" s="29"/>
    </row>
    <row r="14" spans="2:14" x14ac:dyDescent="0.35">
      <c r="B14" s="13" t="s">
        <v>67</v>
      </c>
      <c r="H14" s="13" t="s">
        <v>26</v>
      </c>
      <c r="I14">
        <v>25600000</v>
      </c>
      <c r="L14" s="27"/>
      <c r="M14" s="28"/>
      <c r="N14" s="29"/>
    </row>
    <row r="15" spans="2:14" x14ac:dyDescent="0.35">
      <c r="B15" s="13" t="s">
        <v>68</v>
      </c>
      <c r="E15" s="34" t="s">
        <v>104</v>
      </c>
      <c r="H15" s="13" t="s">
        <v>30</v>
      </c>
      <c r="I15">
        <v>13053340</v>
      </c>
      <c r="L15" s="27"/>
      <c r="M15" s="28"/>
      <c r="N15" s="29"/>
    </row>
    <row r="16" spans="2:14" x14ac:dyDescent="0.35">
      <c r="B16" s="13" t="s">
        <v>69</v>
      </c>
      <c r="E16" t="s">
        <v>90</v>
      </c>
      <c r="F16" t="s">
        <v>92</v>
      </c>
      <c r="H16" s="13" t="s">
        <v>34</v>
      </c>
      <c r="I16">
        <v>4088225</v>
      </c>
      <c r="L16" s="27"/>
      <c r="M16" s="28"/>
      <c r="N16" s="29"/>
    </row>
    <row r="17" spans="2:14" x14ac:dyDescent="0.35">
      <c r="B17" s="13" t="s">
        <v>70</v>
      </c>
      <c r="E17">
        <v>22.697964341663717</v>
      </c>
      <c r="F17">
        <v>5.3217146024264572</v>
      </c>
      <c r="H17" s="13" t="s">
        <v>32</v>
      </c>
      <c r="I17">
        <v>3600000</v>
      </c>
      <c r="L17" s="27"/>
      <c r="M17" s="28"/>
      <c r="N17" s="29"/>
    </row>
    <row r="18" spans="2:14" x14ac:dyDescent="0.35">
      <c r="B18" s="13" t="s">
        <v>71</v>
      </c>
      <c r="H18" s="13" t="s">
        <v>24</v>
      </c>
      <c r="I18">
        <v>31102500</v>
      </c>
      <c r="L18" s="30"/>
      <c r="M18" s="31"/>
      <c r="N18" s="32"/>
    </row>
    <row r="19" spans="2:14" x14ac:dyDescent="0.35">
      <c r="B19" s="13" t="s">
        <v>72</v>
      </c>
      <c r="H19" s="13" t="s">
        <v>28</v>
      </c>
      <c r="I19">
        <v>62130300</v>
      </c>
    </row>
    <row r="20" spans="2:14" x14ac:dyDescent="0.35">
      <c r="B20" s="13" t="s">
        <v>73</v>
      </c>
      <c r="E20" s="35" t="s">
        <v>105</v>
      </c>
      <c r="H20" s="13" t="s">
        <v>14</v>
      </c>
      <c r="I20">
        <v>473125</v>
      </c>
    </row>
    <row r="21" spans="2:14" x14ac:dyDescent="0.35">
      <c r="B21" s="13" t="s">
        <v>77</v>
      </c>
      <c r="C21">
        <v>434250614</v>
      </c>
      <c r="E21" s="23" t="s">
        <v>75</v>
      </c>
      <c r="F21" t="s">
        <v>93</v>
      </c>
      <c r="H21" s="13" t="s">
        <v>77</v>
      </c>
      <c r="I21">
        <v>434250614</v>
      </c>
    </row>
    <row r="22" spans="2:14" x14ac:dyDescent="0.35">
      <c r="B22" s="34" t="s">
        <v>98</v>
      </c>
      <c r="E22" s="13" t="s">
        <v>17</v>
      </c>
      <c r="F22">
        <v>18</v>
      </c>
      <c r="G22" s="36">
        <v>18</v>
      </c>
    </row>
    <row r="23" spans="2:14" x14ac:dyDescent="0.35">
      <c r="B23" s="23" t="s">
        <v>75</v>
      </c>
      <c r="C23" t="s">
        <v>78</v>
      </c>
      <c r="D23" s="36" t="s">
        <v>94</v>
      </c>
      <c r="E23" s="13" t="s">
        <v>58</v>
      </c>
      <c r="F23">
        <v>6</v>
      </c>
      <c r="G23" s="36">
        <v>6</v>
      </c>
    </row>
    <row r="24" spans="2:14" x14ac:dyDescent="0.35">
      <c r="B24" s="13" t="s">
        <v>57</v>
      </c>
      <c r="C24">
        <v>200000000</v>
      </c>
      <c r="D24" s="36">
        <f>MIN(C24:C33)</f>
        <v>7590000</v>
      </c>
      <c r="E24" s="13" t="s">
        <v>55</v>
      </c>
      <c r="F24">
        <v>12</v>
      </c>
      <c r="G24" s="36">
        <v>12</v>
      </c>
    </row>
    <row r="25" spans="2:14" x14ac:dyDescent="0.35">
      <c r="B25" s="13" t="s">
        <v>63</v>
      </c>
      <c r="C25">
        <v>495000000</v>
      </c>
      <c r="D25" s="36" t="s">
        <v>95</v>
      </c>
      <c r="E25" s="13" t="s">
        <v>76</v>
      </c>
      <c r="F25">
        <v>180</v>
      </c>
      <c r="G25" s="36">
        <v>180</v>
      </c>
    </row>
    <row r="26" spans="2:14" x14ac:dyDescent="0.35">
      <c r="B26" s="13" t="s">
        <v>59</v>
      </c>
      <c r="C26">
        <v>69707400</v>
      </c>
      <c r="D26" s="36">
        <f>MAX(C24:C33)</f>
        <v>15658770979</v>
      </c>
      <c r="E26" s="13" t="s">
        <v>77</v>
      </c>
      <c r="F26">
        <v>216</v>
      </c>
    </row>
    <row r="27" spans="2:14" x14ac:dyDescent="0.35">
      <c r="B27" s="13" t="s">
        <v>60</v>
      </c>
      <c r="C27">
        <v>1652824179</v>
      </c>
      <c r="D27" s="36" t="s">
        <v>97</v>
      </c>
    </row>
    <row r="28" spans="2:14" x14ac:dyDescent="0.35">
      <c r="B28" s="13" t="s">
        <v>54</v>
      </c>
      <c r="C28">
        <v>7590000</v>
      </c>
      <c r="D28" s="36">
        <f>AVERAGE(C24:C33)</f>
        <v>3149848883.6999998</v>
      </c>
      <c r="E28" s="34" t="s">
        <v>107</v>
      </c>
    </row>
    <row r="29" spans="2:14" x14ac:dyDescent="0.35">
      <c r="B29" s="13" t="s">
        <v>56</v>
      </c>
      <c r="C29">
        <v>77000000</v>
      </c>
      <c r="E29" s="23" t="s">
        <v>75</v>
      </c>
      <c r="F29" t="s">
        <v>79</v>
      </c>
      <c r="H29" s="52"/>
      <c r="I29" s="52"/>
    </row>
    <row r="30" spans="2:14" x14ac:dyDescent="0.35">
      <c r="B30" s="13" t="s">
        <v>61</v>
      </c>
      <c r="C30">
        <v>488700000</v>
      </c>
      <c r="E30" s="13" t="s">
        <v>38</v>
      </c>
      <c r="F30" s="51">
        <v>87925343</v>
      </c>
      <c r="G30" s="53">
        <f>F30</f>
        <v>87925343</v>
      </c>
    </row>
    <row r="31" spans="2:14" x14ac:dyDescent="0.35">
      <c r="B31" s="13" t="s">
        <v>62</v>
      </c>
      <c r="C31">
        <v>2349400000</v>
      </c>
      <c r="E31" s="13" t="s">
        <v>28</v>
      </c>
      <c r="F31" s="51">
        <v>62130300</v>
      </c>
      <c r="G31" s="53">
        <f>F31</f>
        <v>62130300</v>
      </c>
    </row>
    <row r="32" spans="2:14" x14ac:dyDescent="0.35">
      <c r="B32" s="13" t="s">
        <v>16</v>
      </c>
      <c r="C32">
        <v>15658770979</v>
      </c>
      <c r="E32" s="13" t="s">
        <v>21</v>
      </c>
      <c r="F32" s="51">
        <v>46500000</v>
      </c>
      <c r="G32" s="53">
        <f>F32</f>
        <v>46500000</v>
      </c>
    </row>
    <row r="33" spans="2:7" x14ac:dyDescent="0.35">
      <c r="B33" s="13" t="s">
        <v>76</v>
      </c>
      <c r="C33">
        <v>10499496279</v>
      </c>
      <c r="E33" s="13" t="s">
        <v>44</v>
      </c>
      <c r="F33" s="51">
        <v>32838000</v>
      </c>
      <c r="G33" s="53">
        <f>F33</f>
        <v>32838000</v>
      </c>
    </row>
    <row r="34" spans="2:7" x14ac:dyDescent="0.35">
      <c r="B34" s="13" t="s">
        <v>77</v>
      </c>
      <c r="C34">
        <v>31498488837</v>
      </c>
      <c r="E34" s="13" t="s">
        <v>24</v>
      </c>
      <c r="F34" s="51">
        <v>31102500</v>
      </c>
      <c r="G34" s="53">
        <f>F34</f>
        <v>31102500</v>
      </c>
    </row>
    <row r="35" spans="2:7" x14ac:dyDescent="0.35">
      <c r="E35" s="13" t="s">
        <v>77</v>
      </c>
      <c r="F35" s="51">
        <v>260496143</v>
      </c>
    </row>
    <row r="37" spans="2:7" x14ac:dyDescent="0.35">
      <c r="E37" s="34" t="s">
        <v>108</v>
      </c>
    </row>
    <row r="38" spans="2:7" x14ac:dyDescent="0.35">
      <c r="E38" s="23" t="s">
        <v>75</v>
      </c>
      <c r="F38" t="s">
        <v>79</v>
      </c>
    </row>
    <row r="39" spans="2:7" x14ac:dyDescent="0.35">
      <c r="E39" s="13" t="s">
        <v>36</v>
      </c>
      <c r="F39" s="51">
        <v>12172840</v>
      </c>
      <c r="G39" s="54">
        <f>F39</f>
        <v>12172840</v>
      </c>
    </row>
    <row r="40" spans="2:7" x14ac:dyDescent="0.35">
      <c r="E40" s="13" t="s">
        <v>34</v>
      </c>
      <c r="F40" s="51">
        <v>4088225</v>
      </c>
      <c r="G40" s="54">
        <f t="shared" ref="G40:G43" si="0">F40</f>
        <v>4088225</v>
      </c>
    </row>
    <row r="41" spans="2:7" x14ac:dyDescent="0.35">
      <c r="E41" s="13" t="s">
        <v>32</v>
      </c>
      <c r="F41" s="51">
        <v>3600000</v>
      </c>
      <c r="G41" s="54">
        <f t="shared" si="0"/>
        <v>3600000</v>
      </c>
    </row>
    <row r="42" spans="2:7" x14ac:dyDescent="0.35">
      <c r="E42" s="13" t="s">
        <v>19</v>
      </c>
      <c r="F42" s="51">
        <v>2300000</v>
      </c>
      <c r="G42" s="54">
        <f t="shared" si="0"/>
        <v>2300000</v>
      </c>
    </row>
    <row r="43" spans="2:7" x14ac:dyDescent="0.35">
      <c r="E43" s="13" t="s">
        <v>14</v>
      </c>
      <c r="F43" s="51">
        <v>473125</v>
      </c>
      <c r="G43" s="54">
        <f t="shared" si="0"/>
        <v>473125</v>
      </c>
    </row>
    <row r="44" spans="2:7" x14ac:dyDescent="0.35">
      <c r="E44" s="13" t="s">
        <v>77</v>
      </c>
      <c r="F44" s="51">
        <v>22634190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63E1-64D3-4FAA-B564-4CC4288AC13F}">
  <dimension ref="A1"/>
  <sheetViews>
    <sheetView tabSelected="1" zoomScale="70" workbookViewId="0">
      <selection activeCell="AI7" sqref="AI7"/>
    </sheetView>
  </sheetViews>
  <sheetFormatPr defaultRowHeight="14.5" x14ac:dyDescent="0.35"/>
  <cols>
    <col min="1" max="16384" width="8.7265625" style="3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 table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JULI YANDI RAHMAN</cp:lastModifiedBy>
  <dcterms:created xsi:type="dcterms:W3CDTF">2023-03-21T04:07:20Z</dcterms:created>
  <dcterms:modified xsi:type="dcterms:W3CDTF">2023-03-27T15:39:05Z</dcterms:modified>
</cp:coreProperties>
</file>